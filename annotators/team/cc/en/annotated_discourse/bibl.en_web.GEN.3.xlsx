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<sst xmlns="http://schemas.openxmlformats.org/spreadsheetml/2006/main" count="1850" uniqueCount="470">
  <si>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</si>
  <si>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</si>
  <si>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</si>
  <si>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</si>
  <si>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</si>
  <si>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</si>
  <si>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</si>
  <si>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</si>
  <si>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</si>
  <si>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</si>
  <si>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</si>
  <si>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4</t>
  </si>
  <si>
    <t xml:space="preserve">_</t>
  </si>
  <si>
    <t xml:space="preserve">be (be subtle)</t>
  </si>
  <si>
    <t xml:space="preserve">Now the serpent was more subtle than any animal of the field which Yahweh God had made .</t>
  </si>
  <si>
    <t xml:space="preserve">file://conllu/en/bibl.en_web.GEN.3.conllu#s1_0</t>
  </si>
  <si>
    <t xml:space="preserve">now</t>
  </si>
  <si>
    <t xml:space="preserve">Synchrony</t>
  </si>
  <si>
    <t xml:space="preserve">synchronous with the results pf the preceding chapter</t>
  </si>
  <si>
    <t xml:space="preserve">2</t>
  </si>
  <si>
    <t xml:space="preserve">11</t>
  </si>
  <si>
    <t xml:space="preserve">say (say say)</t>
  </si>
  <si>
    <t xml:space="preserve">He said to the woman , &amp;quot; Has God really said , ' You shall not eat of any tree of the garden ? ' &amp;quot;</t>
  </si>
  <si>
    <t xml:space="preserve">file://conllu/en/bibl.en_web.GEN.3.conllu#s2_0</t>
  </si>
  <si>
    <t xml:space="preserve">(because of that)</t>
  </si>
  <si>
    <t xml:space="preserve">result</t>
  </si>
  <si>
    <t xml:space="preserve">3</t>
  </si>
  <si>
    <t xml:space="preserve">say</t>
  </si>
  <si>
    <t xml:space="preserve">The woman said to the serpent , &amp;quot; Of the fruit of the trees of the garden we may eat ,</t>
  </si>
  <si>
    <t xml:space="preserve">file://conllu/en/bibl.en_web.GEN.3.conllu#s3_0</t>
  </si>
  <si>
    <t xml:space="preserve">answer</t>
  </si>
  <si>
    <t xml:space="preserve">19</t>
  </si>
  <si>
    <t xml:space="preserve">but?</t>
  </si>
  <si>
    <t xml:space="preserve">but of the fruit of the tree which is in the middle of the garden , God has said , ' You shall not eat of it , neither shall you touch it , lest you die . ' &amp;quot;</t>
  </si>
  <si>
    <t xml:space="preserve">file://conllu/en/bibl.en_web.GEN.3.conllu#s4_0</t>
  </si>
  <si>
    <t xml:space="preserve">but</t>
  </si>
  <si>
    <t xml:space="preserve">Contrast</t>
  </si>
  <si>
    <t xml:space="preserve">this is not concession because the woman knows about that and there is no counter-expectation</t>
  </si>
  <si>
    <t xml:space="preserve">5</t>
  </si>
  <si>
    <t xml:space="preserve">The serpent said to the woman , &amp;quot; You wo n't surely die ,</t>
  </si>
  <si>
    <t xml:space="preserve">file://conllu/en/bibl.en_web.GEN.3.conllu#s5_0</t>
  </si>
  <si>
    <t xml:space="preserve">(you won’t)</t>
  </si>
  <si>
    <t xml:space="preserve">disagreement</t>
  </si>
  <si>
    <t xml:space="preserve">6</t>
  </si>
  <si>
    <t xml:space="preserve">25</t>
  </si>
  <si>
    <t xml:space="preserve">for?</t>
  </si>
  <si>
    <t xml:space="preserve">know (know know)</t>
  </si>
  <si>
    <t xml:space="preserve">for God knows that in the day you eat it , your eyes will be opened , and you will be like God , knowing good and evil . &amp;quot;</t>
  </si>
  <si>
    <t xml:space="preserve">file://conllu/en/bibl.en_web.GEN.3.conllu#s6_0</t>
  </si>
  <si>
    <t xml:space="preserve">for</t>
  </si>
  <si>
    <t xml:space="preserve">reason</t>
  </si>
  <si>
    <t xml:space="preserve">7</t>
  </si>
  <si>
    <t xml:space="preserve">37</t>
  </si>
  <si>
    <t xml:space="preserve">when?</t>
  </si>
  <si>
    <t xml:space="preserve">take</t>
  </si>
  <si>
    <t xml:space="preserve">When the woman saw that the tree was good for food , and that it was a delight to the eyes , and that the tree was to be desired to make one wise , she took of its fruit , and ate ; and she gave some to her husband with her , and he ate .</t>
  </si>
  <si>
    <t xml:space="preserve">file://conllu/en/bibl.en_web.GEN.3.conllu#s7_0</t>
  </si>
  <si>
    <t xml:space="preserve">(as a result)</t>
  </si>
  <si>
    <t xml:space="preserve">result of the serpents utterance, not of what God (presumably) knows</t>
  </si>
  <si>
    <t xml:space="preserve">8</t>
  </si>
  <si>
    <t xml:space="preserve">and?</t>
  </si>
  <si>
    <t xml:space="preserve">open</t>
  </si>
  <si>
    <t xml:space="preserve">The eyes of both of them were opened , and they knew that they were naked .</t>
  </si>
  <si>
    <t xml:space="preserve">file://conllu/en/bibl.en_web.GEN.3.conllu#s8_0</t>
  </si>
  <si>
    <t xml:space="preserve">(so)</t>
  </si>
  <si>
    <t xml:space="preserve">9</t>
  </si>
  <si>
    <t xml:space="preserve">sew</t>
  </si>
  <si>
    <t xml:space="preserve">They sewed fig leaves together , and made themselves aprons .</t>
  </si>
  <si>
    <t xml:space="preserve">file://conllu/en/bibl.en_web.GEN.3.conllu#s9_0</t>
  </si>
  <si>
    <t xml:space="preserve">10</t>
  </si>
  <si>
    <t xml:space="preserve">hear</t>
  </si>
  <si>
    <t xml:space="preserve">They heard the voice of Yahweh God walking in the garden in the cool of the day , and the man and his wife hid themselves from the presence of Yahweh God among the trees of the garden .</t>
  </si>
  <si>
    <t xml:space="preserve">file://conllu/en/bibl.en_web.GEN.3.conllu#s10_0</t>
  </si>
  <si>
    <t xml:space="preserve">(then)</t>
  </si>
  <si>
    <t xml:space="preserve">after</t>
  </si>
  <si>
    <t xml:space="preserve">call</t>
  </si>
  <si>
    <t xml:space="preserve">Yahweh God called to the man , and said to him , &amp;quot; Where are you ? &amp;quot;</t>
  </si>
  <si>
    <t xml:space="preserve">file://conllu/en/bibl.en_web.GEN.3.conllu#s11_0</t>
  </si>
  <si>
    <t xml:space="preserve">(but)</t>
  </si>
  <si>
    <t xml:space="preserve">although they were hiding, God called them. This is not counter-expected, because God should know</t>
  </si>
  <si>
    <t xml:space="preserve">12</t>
  </si>
  <si>
    <t xml:space="preserve">hear (hear say)</t>
  </si>
  <si>
    <t xml:space="preserve">The man said , &amp;quot; I heard your voice in the garden , and I was afraid , because I was naked ; and I hid myself . &amp;quot;</t>
  </si>
  <si>
    <t xml:space="preserve">file://conllu/en/bibl.en_web.GEN.3.conllu#s12_0</t>
  </si>
  <si>
    <t xml:space="preserve">13</t>
  </si>
  <si>
    <t xml:space="preserve">tell (tell say)</t>
  </si>
  <si>
    <t xml:space="preserve">God said , &amp;quot; Who told you that you were naked ?</t>
  </si>
  <si>
    <t xml:space="preserve">file://conllu/en/bibl.en_web.GEN.3.conllu#s13_0</t>
  </si>
  <si>
    <t xml:space="preserve">14</t>
  </si>
  <si>
    <t xml:space="preserve">eat</t>
  </si>
  <si>
    <t xml:space="preserve">Have you eaten from the tree that I commanded you not to eat from ? &amp;quot;</t>
  </si>
  <si>
    <t xml:space="preserve">file://conllu/en/bibl.en_web.GEN.3.conllu#s14_0</t>
  </si>
  <si>
    <t xml:space="preserve">[repetition]</t>
  </si>
  <si>
    <t xml:space="preserve">Restatement</t>
  </si>
  <si>
    <t xml:space="preserve">15</t>
  </si>
  <si>
    <t xml:space="preserve">The man said , &amp;quot; The woman whom you gave to be with me , she gave me of the tree , and I ate . &amp;quot;</t>
  </si>
  <si>
    <t xml:space="preserve">file://conllu/en/bibl.en_web.GEN.3.conllu#s15_0</t>
  </si>
  <si>
    <t xml:space="preserve">16</t>
  </si>
  <si>
    <t xml:space="preserve">Yahweh God said to the woman , &amp;quot; What is this you have done ? &amp;quot;</t>
  </si>
  <si>
    <t xml:space="preserve">file://conllu/en/bibl.en_web.GEN.3.conllu#s16_0</t>
  </si>
  <si>
    <t xml:space="preserve">(why)</t>
  </si>
  <si>
    <t xml:space="preserve">asking for reason</t>
  </si>
  <si>
    <t xml:space="preserve">17</t>
  </si>
  <si>
    <t xml:space="preserve">The woman said , &amp;quot; The serpent deceived me , and I ate . &amp;quot;</t>
  </si>
  <si>
    <t xml:space="preserve">file://conllu/en/bibl.en_web.GEN.3.conllu#s17_0</t>
  </si>
  <si>
    <t xml:space="preserve">(because)</t>
  </si>
  <si>
    <t xml:space="preserve">18</t>
  </si>
  <si>
    <t xml:space="preserve">Yahweh God said to the serpent , &amp;quot; Because you have done this , you are cursed above all livestock , and above every animal of the field .</t>
  </si>
  <si>
    <t xml:space="preserve">file://conllu/en/bibl.en_web.GEN.3.conllu#s18_0</t>
  </si>
  <si>
    <t xml:space="preserve">result of deception</t>
  </si>
  <si>
    <t xml:space="preserve">go</t>
  </si>
  <si>
    <t xml:space="preserve">On your belly you shall go , and you shall eat dust all the days of your life .</t>
  </si>
  <si>
    <t xml:space="preserve">file://conllu/en/bibl.en_web.GEN.3.conllu#s19_0</t>
  </si>
  <si>
    <t xml:space="preserve">(and)</t>
  </si>
  <si>
    <t xml:space="preserve">Conjunction</t>
  </si>
  <si>
    <t xml:space="preserve">20</t>
  </si>
  <si>
    <t xml:space="preserve">put</t>
  </si>
  <si>
    <t xml:space="preserve">I will put enmity between you and the woman , and between your offspring and her offspring .</t>
  </si>
  <si>
    <t xml:space="preserve">file://conllu/en/bibl.en_web.GEN.3.conllu#s20_0</t>
  </si>
  <si>
    <t xml:space="preserve">21</t>
  </si>
  <si>
    <t xml:space="preserve">bruise</t>
  </si>
  <si>
    <t xml:space="preserve">He will bruise your head , and you will bruise his heel . &amp;quot;</t>
  </si>
  <si>
    <t xml:space="preserve">file://conllu/en/bibl.en_web.GEN.3.conllu#s21_0</t>
  </si>
  <si>
    <t xml:space="preserve">22</t>
  </si>
  <si>
    <t xml:space="preserve">multiply</t>
  </si>
  <si>
    <t xml:space="preserve">To the woman he said , &amp;quot; I will greatly multiply your pain in childbirth .</t>
  </si>
  <si>
    <t xml:space="preserve">file://conllu/en/bibl.en_web.GEN.3.conllu#s22_0</t>
  </si>
  <si>
    <t xml:space="preserve">(because she ate from the tree)</t>
  </si>
  <si>
    <t xml:space="preserve">result of eating</t>
  </si>
  <si>
    <t xml:space="preserve">23</t>
  </si>
  <si>
    <t xml:space="preserve">bring</t>
  </si>
  <si>
    <t xml:space="preserve">In pain you will bring forth children .</t>
  </si>
  <si>
    <t xml:space="preserve">file://conllu/en/bibl.en_web.GEN.3.conllu#s23_0</t>
  </si>
  <si>
    <t xml:space="preserve">(in particular)</t>
  </si>
  <si>
    <t xml:space="preserve">specific</t>
  </si>
  <si>
    <t xml:space="preserve">24</t>
  </si>
  <si>
    <t xml:space="preserve">be (be husband)</t>
  </si>
  <si>
    <t xml:space="preserve">Your desire will be for your husband , and he will rule over you . &amp;quot;</t>
  </si>
  <si>
    <t xml:space="preserve">file://conllu/en/bibl.en_web.GEN.3.conllu#s24_0</t>
  </si>
  <si>
    <t xml:space="preserve">not under childbirth, but another result</t>
  </si>
  <si>
    <t xml:space="preserve">30</t>
  </si>
  <si>
    <t xml:space="preserve">because?</t>
  </si>
  <si>
    <t xml:space="preserve">say (say command listen say)</t>
  </si>
  <si>
    <t xml:space="preserve">To Adam he said , &amp;quot; Because you have listened to your wife 's voice , and have eaten of the tree , of which I commanded you , saying , ' You shall not eat of it , ' cursed is the ground for your sake .</t>
  </si>
  <si>
    <t xml:space="preserve">file://conllu/en/bibl.en_web.GEN.3.conllu#s25_0</t>
  </si>
  <si>
    <t xml:space="preserve">predicate is cursed</t>
  </si>
  <si>
    <t xml:space="preserve">26</t>
  </si>
  <si>
    <t xml:space="preserve">In toil you will eat of it all the days of your life .</t>
  </si>
  <si>
    <t xml:space="preserve">file://conllu/en/bibl.en_web.GEN.3.conllu#s26_0</t>
  </si>
  <si>
    <t xml:space="preserve">instance</t>
  </si>
  <si>
    <t xml:space="preserve">27</t>
  </si>
  <si>
    <t xml:space="preserve">also?</t>
  </si>
  <si>
    <t xml:space="preserve">Thorns</t>
  </si>
  <si>
    <t xml:space="preserve">Thorns also and thistles will it bring forth to you ; and you will eat the herb of the field .</t>
  </si>
  <si>
    <t xml:space="preserve">file://conllu/en/bibl.en_web.GEN.3.conllu#s27_0</t>
  </si>
  <si>
    <t xml:space="preserve">another instance</t>
  </si>
  <si>
    <t xml:space="preserve">28</t>
  </si>
  <si>
    <t xml:space="preserve">until?</t>
  </si>
  <si>
    <t xml:space="preserve">By the sweat of your face will you eat bread until you return to the ground , for out of it you were taken .</t>
  </si>
  <si>
    <t xml:space="preserve">file://conllu/en/bibl.en_web.GEN.3.conllu#s28_0</t>
  </si>
  <si>
    <t xml:space="preserve">29</t>
  </si>
  <si>
    <t xml:space="preserve">be (be dust)</t>
  </si>
  <si>
    <t xml:space="preserve">For you are dust , and to dust you shall return . &amp;quot;</t>
  </si>
  <si>
    <t xml:space="preserve">file://conllu/en/bibl.en_web.GEN.3.conllu#s29_0</t>
  </si>
  <si>
    <t xml:space="preserve">asserted reason</t>
  </si>
  <si>
    <t xml:space="preserve">The man called his wife Eve , because she was the mother of all living .</t>
  </si>
  <si>
    <t xml:space="preserve">file://conllu/en/bibl.en_web.GEN.3.conllu#s30_0</t>
  </si>
  <si>
    <t xml:space="preserve">31</t>
  </si>
  <si>
    <t xml:space="preserve">make</t>
  </si>
  <si>
    <t xml:space="preserve">Yahweh God made coats of skins for Adam and for his wife , and clothed them .</t>
  </si>
  <si>
    <t xml:space="preserve">file://conllu/en/bibl.en_web.GEN.3.conllu#s31_0</t>
  </si>
  <si>
    <t xml:space="preserve">32</t>
  </si>
  <si>
    <t xml:space="preserve">Yahweh God said , &amp;quot; Behold , the man has become like one of us , knowing good and evil .</t>
  </si>
  <si>
    <t xml:space="preserve">file://conllu/en/bibl.en_web.GEN.3.conllu#s32_0</t>
  </si>
  <si>
    <t xml:space="preserve">33</t>
  </si>
  <si>
    <t xml:space="preserve">lest?</t>
  </si>
  <si>
    <t xml:space="preserve">lest</t>
  </si>
  <si>
    <t xml:space="preserve">Now , lest he put forth his hand , and also take of the tree of life , and eat , and live forever ... &amp;quot;</t>
  </si>
  <si>
    <t xml:space="preserve">file://conllu/en/bibl.en_web.GEN.3.conllu#s33_0</t>
  </si>
  <si>
    <t xml:space="preserve">tbc.</t>
  </si>
  <si>
    <t xml:space="preserve">34</t>
  </si>
  <si>
    <t xml:space="preserve">therefore?</t>
  </si>
  <si>
    <t xml:space="preserve">send</t>
  </si>
  <si>
    <t xml:space="preserve">Therefore Yahweh God sent him forth from the garden of Eden , to till the ground from which he was taken .</t>
  </si>
  <si>
    <t xml:space="preserve">file://conllu/en/bibl.en_web.GEN.3.conllu#s34_0</t>
  </si>
  <si>
    <t xml:space="preserve">therefore</t>
  </si>
  <si>
    <t xml:space="preserve">35</t>
  </si>
  <si>
    <t xml:space="preserve">drive</t>
  </si>
  <si>
    <t xml:space="preserve">So he drove out the man ; and he placed Cherubs at the east of the garden of Eden , and the flame of a sword which turned every way , to guard the way to the tree of life .</t>
  </si>
  <si>
    <t xml:space="preserve">file://conllu/en/bibl.en_web.GEN.3.conllu#s35_0</t>
  </si>
  <si>
    <t xml:space="preserve">so</t>
  </si>
  <si>
    <t xml:space="preserve">achievement</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</si>
  <si>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</si>
  <si>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</si>
  <si>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</si>
  <si>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</si>
  <si>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</si>
  <si>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</si>
  <si>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</si>
  <si>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</si>
  <si>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</si>
  <si>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</si>
  <si>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</si>
  <si>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Now the serpent was more subtle than any animal of the field which Yahweh God had made.</t>
  </si>
  <si>
    <t xml:space="preserve">Now</t>
  </si>
  <si>
    <t xml:space="preserve">the</t>
  </si>
  <si>
    <t xml:space="preserve">serpent</t>
  </si>
  <si>
    <t xml:space="preserve">SBJ</t>
  </si>
  <si>
    <t xml:space="preserve">def-np.the</t>
  </si>
  <si>
    <t xml:space="preserve">?OLD</t>
  </si>
  <si>
    <t xml:space="preserve">was</t>
  </si>
  <si>
    <t xml:space="preserve">more</t>
  </si>
  <si>
    <t xml:space="preserve">subtle</t>
  </si>
  <si>
    <t xml:space="preserve">than</t>
  </si>
  <si>
    <t xml:space="preserve">any</t>
  </si>
  <si>
    <t xml:space="preserve">animal</t>
  </si>
  <si>
    <t xml:space="preserve">other</t>
  </si>
  <si>
    <t xml:space="preserve">indef-np.a</t>
  </si>
  <si>
    <t xml:space="preserve">of</t>
  </si>
  <si>
    <t xml:space="preserve">field</t>
  </si>
  <si>
    <t xml:space="preserve">other_2</t>
  </si>
  <si>
    <t xml:space="preserve">which</t>
  </si>
  <si>
    <t xml:space="preserve">OBJ_4</t>
  </si>
  <si>
    <t xml:space="preserve">Yahweh</t>
  </si>
  <si>
    <t xml:space="preserve">SBJ_4</t>
  </si>
  <si>
    <t xml:space="preserve">ne</t>
  </si>
  <si>
    <t xml:space="preserve">God</t>
  </si>
  <si>
    <t xml:space="preserve">had</t>
  </si>
  <si>
    <t xml:space="preserve">made</t>
  </si>
  <si>
    <t xml:space="preserve">.</t>
  </si>
  <si>
    <t xml:space="preserve">--</t>
  </si>
  <si>
    <t xml:space="preserve"># text = He said to the woman, \"Has God really said, 'You shall not eat of any tree of the garden?'\"</t>
  </si>
  <si>
    <t xml:space="preserve">He</t>
  </si>
  <si>
    <t xml:space="preserve">pron.pper</t>
  </si>
  <si>
    <t xml:space="preserve">said</t>
  </si>
  <si>
    <t xml:space="preserve">to</t>
  </si>
  <si>
    <t xml:space="preserve">woman</t>
  </si>
  <si>
    <t xml:space="preserve">,</t>
  </si>
  <si>
    <t xml:space="preserve">&amp;quot;</t>
  </si>
  <si>
    <t xml:space="preserve">Has</t>
  </si>
  <si>
    <t xml:space="preserve">SBJ_2</t>
  </si>
  <si>
    <t xml:space="preserve">really</t>
  </si>
  <si>
    <t xml:space="preserve">'</t>
  </si>
  <si>
    <t xml:space="preserve">You</t>
  </si>
  <si>
    <t xml:space="preserve">SBJ_3</t>
  </si>
  <si>
    <t xml:space="preserve">shall</t>
  </si>
  <si>
    <t xml:space="preserve">not</t>
  </si>
  <si>
    <t xml:space="preserve">tree</t>
  </si>
  <si>
    <t xml:space="preserve">other_3</t>
  </si>
  <si>
    <t xml:space="preserve">garden</t>
  </si>
  <si>
    <t xml:space="preserve">other_4</t>
  </si>
  <si>
    <t xml:space="preserve">?</t>
  </si>
  <si>
    <t xml:space="preserve"># text = The woman said to the serpent, \"Of the fruit of the trees of the garden we may eat,</t>
  </si>
  <si>
    <t xml:space="preserve">The</t>
  </si>
  <si>
    <t xml:space="preserve">Of</t>
  </si>
  <si>
    <t xml:space="preserve">fruit</t>
  </si>
  <si>
    <t xml:space="preserve">trees</t>
  </si>
  <si>
    <t xml:space="preserve">we</t>
  </si>
  <si>
    <t xml:space="preserve">may</t>
  </si>
  <si>
    <t xml:space="preserve"># text = but of the fruit of the tree which is in the middle of the garden, God has said, 'You shall not eat of it, neither shall you touch it, lest you die.'\"</t>
  </si>
  <si>
    <t xml:space="preserve">is</t>
  </si>
  <si>
    <t xml:space="preserve">in</t>
  </si>
  <si>
    <t xml:space="preserve">middle</t>
  </si>
  <si>
    <t xml:space="preserve">has</t>
  </si>
  <si>
    <t xml:space="preserve">it</t>
  </si>
  <si>
    <t xml:space="preserve">neither</t>
  </si>
  <si>
    <t xml:space="preserve">you</t>
  </si>
  <si>
    <t xml:space="preserve">touch</t>
  </si>
  <si>
    <t xml:space="preserve">OBJ_3</t>
  </si>
  <si>
    <t xml:space="preserve">SBJ_5</t>
  </si>
  <si>
    <t xml:space="preserve">die</t>
  </si>
  <si>
    <t xml:space="preserve"># text = The serpent said to the woman, "You won't surely die,</t>
  </si>
  <si>
    <t xml:space="preserve">wo</t>
  </si>
  <si>
    <t xml:space="preserve">n't</t>
  </si>
  <si>
    <t xml:space="preserve">surely</t>
  </si>
  <si>
    <t xml:space="preserve"># text = for God knows that in the day you eat it, your eyes will be opened, and you will be like God, knowing good and evil.\"</t>
  </si>
  <si>
    <t xml:space="preserve">knows</t>
  </si>
  <si>
    <t xml:space="preserve">that</t>
  </si>
  <si>
    <t xml:space="preserve">OBJ</t>
  </si>
  <si>
    <t xml:space="preserve">pron.pds</t>
  </si>
  <si>
    <t xml:space="preserve">day</t>
  </si>
  <si>
    <t xml:space="preserve">your</t>
  </si>
  <si>
    <t xml:space="preserve">pron.ppos</t>
  </si>
  <si>
    <t xml:space="preserve">eyes</t>
  </si>
  <si>
    <t xml:space="preserve">def-np.poss</t>
  </si>
  <si>
    <t xml:space="preserve">will</t>
  </si>
  <si>
    <t xml:space="preserve">be</t>
  </si>
  <si>
    <t xml:space="preserve">opened</t>
  </si>
  <si>
    <t xml:space="preserve">and</t>
  </si>
  <si>
    <t xml:space="preserve">like</t>
  </si>
  <si>
    <t xml:space="preserve">knowing</t>
  </si>
  <si>
    <t xml:space="preserve">good</t>
  </si>
  <si>
    <t xml:space="preserve">evil</t>
  </si>
  <si>
    <t xml:space="preserve"># text = When the woman saw that the tree was good for food, and that it was a delight to the eyes, and that the tree was to be desired to make one wise, she took of its fruit, and ate; and she gave some to her husband with her, and he ate.</t>
  </si>
  <si>
    <t xml:space="preserve">When</t>
  </si>
  <si>
    <t xml:space="preserve">saw</t>
  </si>
  <si>
    <t xml:space="preserve">food</t>
  </si>
  <si>
    <t xml:space="preserve">indef-np.bare</t>
  </si>
  <si>
    <t xml:space="preserve">a</t>
  </si>
  <si>
    <t xml:space="preserve">delight</t>
  </si>
  <si>
    <t xml:space="preserve">desired</t>
  </si>
  <si>
    <t xml:space="preserve">one</t>
  </si>
  <si>
    <t xml:space="preserve">OBJ_6</t>
  </si>
  <si>
    <t xml:space="preserve">wise</t>
  </si>
  <si>
    <t xml:space="preserve">she</t>
  </si>
  <si>
    <t xml:space="preserve">took</t>
  </si>
  <si>
    <t xml:space="preserve">its</t>
  </si>
  <si>
    <t xml:space="preserve">ate</t>
  </si>
  <si>
    <t xml:space="preserve">;</t>
  </si>
  <si>
    <t xml:space="preserve">gave</t>
  </si>
  <si>
    <t xml:space="preserve">some</t>
  </si>
  <si>
    <t xml:space="preserve">OBJ_2</t>
  </si>
  <si>
    <t xml:space="preserve">her</t>
  </si>
  <si>
    <t xml:space="preserve">husband</t>
  </si>
  <si>
    <t xml:space="preserve">with</t>
  </si>
  <si>
    <t xml:space="preserve">he</t>
  </si>
  <si>
    <t xml:space="preserve"># text = The eyes of both of them were opened, and they knew that they were naked.</t>
  </si>
  <si>
    <t xml:space="preserve">def-np.quant</t>
  </si>
  <si>
    <t xml:space="preserve">both</t>
  </si>
  <si>
    <t xml:space="preserve">them</t>
  </si>
  <si>
    <t xml:space="preserve">were</t>
  </si>
  <si>
    <t xml:space="preserve">they</t>
  </si>
  <si>
    <t xml:space="preserve">knew</t>
  </si>
  <si>
    <t xml:space="preserve">naked</t>
  </si>
  <si>
    <t xml:space="preserve"># text = They sewed fig leaves together, and made themselves aprons.</t>
  </si>
  <si>
    <t xml:space="preserve">They</t>
  </si>
  <si>
    <t xml:space="preserve">sewed</t>
  </si>
  <si>
    <t xml:space="preserve">fig</t>
  </si>
  <si>
    <t xml:space="preserve">leaves</t>
  </si>
  <si>
    <t xml:space="preserve">together</t>
  </si>
  <si>
    <t xml:space="preserve">themselves</t>
  </si>
  <si>
    <t xml:space="preserve">aprons</t>
  </si>
  <si>
    <t xml:space="preserve"># text = They heard the voice of Yahweh God walking in the garden in the cool of the day, and the man and his wife hid themselves from the presence of Yahweh God among the trees of the garden.</t>
  </si>
  <si>
    <t xml:space="preserve">heard</t>
  </si>
  <si>
    <t xml:space="preserve">voice</t>
  </si>
  <si>
    <t xml:space="preserve">walking</t>
  </si>
  <si>
    <t xml:space="preserve">cool</t>
  </si>
  <si>
    <t xml:space="preserve">man</t>
  </si>
  <si>
    <t xml:space="preserve">his</t>
  </si>
  <si>
    <t xml:space="preserve">wife</t>
  </si>
  <si>
    <t xml:space="preserve">hid</t>
  </si>
  <si>
    <t xml:space="preserve">from</t>
  </si>
  <si>
    <t xml:space="preserve">presence</t>
  </si>
  <si>
    <t xml:space="preserve">among</t>
  </si>
  <si>
    <t xml:space="preserve"># text = Yahweh God called to the man, and said to him, "Where are you?"</t>
  </si>
  <si>
    <t xml:space="preserve">called</t>
  </si>
  <si>
    <t xml:space="preserve">him</t>
  </si>
  <si>
    <t xml:space="preserve">Where</t>
  </si>
  <si>
    <t xml:space="preserve">pron.pint</t>
  </si>
  <si>
    <t xml:space="preserve">are</t>
  </si>
  <si>
    <t xml:space="preserve"># text = The man said, "I heard your voice in the garden, and I was afraid, because I was naked; and I hid myself."</t>
  </si>
  <si>
    <t xml:space="preserve">I</t>
  </si>
  <si>
    <t xml:space="preserve">afraid</t>
  </si>
  <si>
    <t xml:space="preserve">because</t>
  </si>
  <si>
    <t xml:space="preserve">myself</t>
  </si>
  <si>
    <t xml:space="preserve"># text = God said, "Who told you that you were naked?</t>
  </si>
  <si>
    <t xml:space="preserve">Who</t>
  </si>
  <si>
    <t xml:space="preserve">told</t>
  </si>
  <si>
    <t xml:space="preserve"># text = Have you eaten from the tree that I commanded you not to eat from?\"</t>
  </si>
  <si>
    <t xml:space="preserve">Have</t>
  </si>
  <si>
    <t xml:space="preserve">eaten</t>
  </si>
  <si>
    <t xml:space="preserve">commanded</t>
  </si>
  <si>
    <t xml:space="preserve"># text = The man said, "The woman whom you gave to be with me, she gave me of the tree, and I ate."</t>
  </si>
  <si>
    <t xml:space="preserve">whom</t>
  </si>
  <si>
    <t xml:space="preserve">me</t>
  </si>
  <si>
    <t xml:space="preserve"># text = Yahweh God said to the woman, \"What is this you have done?\"</t>
  </si>
  <si>
    <t xml:space="preserve">What</t>
  </si>
  <si>
    <t xml:space="preserve">this</t>
  </si>
  <si>
    <t xml:space="preserve">have</t>
  </si>
  <si>
    <t xml:space="preserve">done</t>
  </si>
  <si>
    <t xml:space="preserve"># text = The woman said, \"The serpent deceived me, and I ate.\"</t>
  </si>
  <si>
    <t xml:space="preserve">deceived</t>
  </si>
  <si>
    <t xml:space="preserve"># text = Yahweh God said to the serpent, \"Because you have done this, you are cursed above all livestock, and above every animal of the field.</t>
  </si>
  <si>
    <t xml:space="preserve">Because</t>
  </si>
  <si>
    <t xml:space="preserve">cursed</t>
  </si>
  <si>
    <t xml:space="preserve">above</t>
  </si>
  <si>
    <t xml:space="preserve">all</t>
  </si>
  <si>
    <t xml:space="preserve">livestock</t>
  </si>
  <si>
    <t xml:space="preserve">every</t>
  </si>
  <si>
    <t xml:space="preserve">indef-np</t>
  </si>
  <si>
    <t xml:space="preserve"># text = On your belly you shall go, and you shall eat dust all the days of your life.</t>
  </si>
  <si>
    <t xml:space="preserve">On</t>
  </si>
  <si>
    <t xml:space="preserve">belly</t>
  </si>
  <si>
    <t xml:space="preserve">dust</t>
  </si>
  <si>
    <t xml:space="preserve">days</t>
  </si>
  <si>
    <t xml:space="preserve">life</t>
  </si>
  <si>
    <t xml:space="preserve"># text = I will put enmity between you and the woman, and between your offspring and her offspring.</t>
  </si>
  <si>
    <t xml:space="preserve">enmity</t>
  </si>
  <si>
    <t xml:space="preserve">between</t>
  </si>
  <si>
    <t xml:space="preserve">offspring</t>
  </si>
  <si>
    <t xml:space="preserve"># text = He will bruise your head, and you will bruise his heel."</t>
  </si>
  <si>
    <t xml:space="preserve">head</t>
  </si>
  <si>
    <t xml:space="preserve">heel</t>
  </si>
  <si>
    <t xml:space="preserve"># text = To the woman he said, \"I will greatly multiply your pain in childbirth.</t>
  </si>
  <si>
    <t xml:space="preserve">To</t>
  </si>
  <si>
    <t xml:space="preserve">greatly</t>
  </si>
  <si>
    <t xml:space="preserve">pain</t>
  </si>
  <si>
    <t xml:space="preserve">childbirth</t>
  </si>
  <si>
    <t xml:space="preserve"># text = In pain you will bring forth children.</t>
  </si>
  <si>
    <t xml:space="preserve">In</t>
  </si>
  <si>
    <t xml:space="preserve">forth</t>
  </si>
  <si>
    <t xml:space="preserve">children</t>
  </si>
  <si>
    <t xml:space="preserve"># text = Your desire will be for your husband, and he will rule over you."</t>
  </si>
  <si>
    <t xml:space="preserve">Your</t>
  </si>
  <si>
    <t xml:space="preserve">desire</t>
  </si>
  <si>
    <t xml:space="preserve">rule</t>
  </si>
  <si>
    <t xml:space="preserve">over</t>
  </si>
  <si>
    <t xml:space="preserve"># text = To Adam he said, "Because you have listened to your wife's voice, and have eaten of the tree, of which I commanded you, saying, 'You shall not eat of it,' cursed is the ground for your sake.</t>
  </si>
  <si>
    <t xml:space="preserve">Adam</t>
  </si>
  <si>
    <t xml:space="preserve">listened</t>
  </si>
  <si>
    <t xml:space="preserve">'s</t>
  </si>
  <si>
    <t xml:space="preserve">saying</t>
  </si>
  <si>
    <t xml:space="preserve">other_5</t>
  </si>
  <si>
    <t xml:space="preserve">SBJ_6</t>
  </si>
  <si>
    <t xml:space="preserve">ground</t>
  </si>
  <si>
    <t xml:space="preserve">other_7</t>
  </si>
  <si>
    <t xml:space="preserve">sake</t>
  </si>
  <si>
    <t xml:space="preserve">other_6</t>
  </si>
  <si>
    <t xml:space="preserve"># text = In toil you will eat of it all the days of your life.</t>
  </si>
  <si>
    <t xml:space="preserve">toil</t>
  </si>
  <si>
    <t xml:space="preserve"># text = Thorns also and thistles will it bring forth to you; and you will eat the herb of the field.</t>
  </si>
  <si>
    <t xml:space="preserve">also</t>
  </si>
  <si>
    <t xml:space="preserve">thistles</t>
  </si>
  <si>
    <t xml:space="preserve">herb</t>
  </si>
  <si>
    <t xml:space="preserve"># text = By the sweat of your face will you eat bread until you return to the ground, for out of it you were taken.</t>
  </si>
  <si>
    <t xml:space="preserve">By</t>
  </si>
  <si>
    <t xml:space="preserve">sweat</t>
  </si>
  <si>
    <t xml:space="preserve">face</t>
  </si>
  <si>
    <t xml:space="preserve">bread</t>
  </si>
  <si>
    <t xml:space="preserve">until</t>
  </si>
  <si>
    <t xml:space="preserve">return</t>
  </si>
  <si>
    <t xml:space="preserve">out</t>
  </si>
  <si>
    <t xml:space="preserve">taken</t>
  </si>
  <si>
    <t xml:space="preserve"># text = For you are dust, and to dust you shall return.\"</t>
  </si>
  <si>
    <t xml:space="preserve">For</t>
  </si>
  <si>
    <t xml:space="preserve"># text = The man called his wife Eve, because she was the mother of all living.</t>
  </si>
  <si>
    <t xml:space="preserve">Eve</t>
  </si>
  <si>
    <t xml:space="preserve">mother</t>
  </si>
  <si>
    <t xml:space="preserve">living</t>
  </si>
  <si>
    <t xml:space="preserve"># text = Yahweh God made coats of skins for Adam and for his wife, and clothed them.</t>
  </si>
  <si>
    <t xml:space="preserve">coats</t>
  </si>
  <si>
    <t xml:space="preserve">skins</t>
  </si>
  <si>
    <t xml:space="preserve">clothed</t>
  </si>
  <si>
    <t xml:space="preserve"># text = Yahweh God said, \"Behold, the man has become like one of us, knowing good and evil.</t>
  </si>
  <si>
    <t xml:space="preserve">Behold</t>
  </si>
  <si>
    <t xml:space="preserve">become</t>
  </si>
  <si>
    <t xml:space="preserve">us</t>
  </si>
  <si>
    <t xml:space="preserve"># text = Now, lest he put forth his hand, and also take of the tree of life, and eat, and live forever..."</t>
  </si>
  <si>
    <t xml:space="preserve">hand</t>
  </si>
  <si>
    <t xml:space="preserve">live</t>
  </si>
  <si>
    <t xml:space="preserve">forever</t>
  </si>
  <si>
    <t xml:space="preserve">...</t>
  </si>
  <si>
    <t xml:space="preserve"># text = Therefore Yahweh God sent him forth from the garden of Eden, to till the ground from which he was taken.</t>
  </si>
  <si>
    <t xml:space="preserve">Therefore</t>
  </si>
  <si>
    <t xml:space="preserve">sent</t>
  </si>
  <si>
    <t xml:space="preserve">Eden</t>
  </si>
  <si>
    <t xml:space="preserve">till</t>
  </si>
  <si>
    <t xml:space="preserve"># text = So he drove out the man; and he placed Cherubs at the east of the garden of Eden, and the flame of a sword which turned every way, to guard the way to the tree of life.</t>
  </si>
  <si>
    <t xml:space="preserve">So</t>
  </si>
  <si>
    <t xml:space="preserve">drove</t>
  </si>
  <si>
    <t xml:space="preserve">placed</t>
  </si>
  <si>
    <t xml:space="preserve">Cherubs</t>
  </si>
  <si>
    <t xml:space="preserve">at</t>
  </si>
  <si>
    <t xml:space="preserve">east</t>
  </si>
  <si>
    <t xml:space="preserve">flame</t>
  </si>
  <si>
    <t xml:space="preserve">sword</t>
  </si>
  <si>
    <t xml:space="preserve">turned</t>
  </si>
  <si>
    <t xml:space="preserve">way</t>
  </si>
  <si>
    <t xml:space="preserve">guard</t>
  </si>
  <si>
    <t xml:space="preserve">OBJ_5</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</si>
</sst>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fals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tru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31" activePane="bottomRight" state="frozen"/>
      <selection pane="topLeft" activeCell="A1" activeCellId="0" sqref="A1"/>
      <selection pane="topRight" activeCell="F1" activeCellId="0" sqref="F1"/>
      <selection pane="bottomLeft" activeCell="A31" activeCellId="0" sqref="A31"/>
      <selection pane="bottomRight" activeCell="H36" activeCellId="0" sqref="H36"/>
    </sheetView>
  </sheetViews>
  <sheetFormatPr defaultColWidth="8.6796875" defaultRowHeight="60" customHeight="true"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10" t="n">
        <v>0</v>
      </c>
      <c r="I2" s="11" t="s">
        <v>17</v>
      </c>
      <c r="J2" s="12" t="s">
        <v>18</v>
      </c>
    </row>
    <row r="3" customFormat="false" ht="60" hidden="false" customHeight="true" outlineLevel="0" collapsed="false">
      <c r="A3" s="6" t="s">
        <v>19</v>
      </c>
      <c r="B3" s="6" t="s">
        <v>20</v>
      </c>
      <c r="C3" s="6" t="s">
        <v>12</v>
      </c>
      <c r="D3" s="7" t="s">
        <v>21</v>
      </c>
      <c r="E3" s="8" t="s">
        <v>22</v>
      </c>
      <c r="F3" s="6" t="s">
        <v>23</v>
      </c>
      <c r="G3" s="9" t="s">
        <v>24</v>
      </c>
      <c r="H3" s="10" t="n">
        <v>1</v>
      </c>
      <c r="I3" s="11" t="s">
        <v>25</v>
      </c>
      <c r="J3" s="12"/>
    </row>
    <row r="4" customFormat="false" ht="60" hidden="false" customHeight="true" outlineLevel="0" collapsed="false">
      <c r="A4" s="6" t="s">
        <v>26</v>
      </c>
      <c r="B4" s="6" t="s">
        <v>26</v>
      </c>
      <c r="C4" s="6" t="s">
        <v>12</v>
      </c>
      <c r="D4" s="7" t="s">
        <v>27</v>
      </c>
      <c r="E4" s="8" t="s">
        <v>28</v>
      </c>
      <c r="F4" s="6" t="s">
        <v>29</v>
      </c>
      <c r="G4" s="9"/>
      <c r="H4" s="10" t="n">
        <v>2</v>
      </c>
      <c r="I4" s="11" t="s">
        <v>30</v>
      </c>
      <c r="J4" s="12"/>
    </row>
    <row r="5" customFormat="false" ht="60" hidden="false" customHeight="true" outlineLevel="0" collapsed="false">
      <c r="A5" s="6" t="s">
        <v>11</v>
      </c>
      <c r="B5" s="6" t="s">
        <v>31</v>
      </c>
      <c r="C5" s="6" t="s">
        <v>32</v>
      </c>
      <c r="D5" s="7" t="s">
        <v>27</v>
      </c>
      <c r="E5" s="8" t="s">
        <v>33</v>
      </c>
      <c r="F5" s="6" t="s">
        <v>34</v>
      </c>
      <c r="G5" s="9" t="s">
        <v>35</v>
      </c>
      <c r="H5" s="10" t="n">
        <v>3</v>
      </c>
      <c r="I5" s="11" t="s">
        <v>36</v>
      </c>
      <c r="J5" s="12" t="s">
        <v>37</v>
      </c>
    </row>
    <row r="6" customFormat="false" ht="60" hidden="false" customHeight="true" outlineLevel="0" collapsed="false">
      <c r="A6" s="6" t="s">
        <v>38</v>
      </c>
      <c r="B6" s="6" t="s">
        <v>26</v>
      </c>
      <c r="C6" s="6" t="s">
        <v>12</v>
      </c>
      <c r="D6" s="7" t="s">
        <v>27</v>
      </c>
      <c r="E6" s="8" t="s">
        <v>39</v>
      </c>
      <c r="F6" s="6" t="s">
        <v>40</v>
      </c>
      <c r="G6" s="9" t="s">
        <v>41</v>
      </c>
      <c r="H6" s="10" t="n">
        <v>4</v>
      </c>
      <c r="I6" s="11" t="s">
        <v>42</v>
      </c>
      <c r="J6" s="12"/>
    </row>
    <row r="7" customFormat="false" ht="60" hidden="false" customHeight="true" outlineLevel="0" collapsed="false">
      <c r="A7" s="6" t="s">
        <v>43</v>
      </c>
      <c r="B7" s="6" t="s">
        <v>44</v>
      </c>
      <c r="C7" s="6" t="s">
        <v>45</v>
      </c>
      <c r="D7" s="7" t="s">
        <v>46</v>
      </c>
      <c r="E7" s="8" t="s">
        <v>47</v>
      </c>
      <c r="F7" s="6" t="s">
        <v>48</v>
      </c>
      <c r="G7" s="9" t="s">
        <v>49</v>
      </c>
      <c r="H7" s="10" t="n">
        <v>5</v>
      </c>
      <c r="I7" s="11" t="s">
        <v>50</v>
      </c>
      <c r="J7" s="12"/>
    </row>
    <row r="8" customFormat="false" ht="60" hidden="false" customHeight="true" outlineLevel="0" collapsed="false">
      <c r="A8" s="6" t="s">
        <v>51</v>
      </c>
      <c r="B8" s="6" t="s">
        <v>52</v>
      </c>
      <c r="C8" s="6" t="s">
        <v>53</v>
      </c>
      <c r="D8" s="7" t="s">
        <v>54</v>
      </c>
      <c r="E8" s="8" t="s">
        <v>55</v>
      </c>
      <c r="F8" s="6" t="s">
        <v>56</v>
      </c>
      <c r="G8" s="9" t="s">
        <v>57</v>
      </c>
      <c r="H8" s="10" t="n">
        <v>5</v>
      </c>
      <c r="I8" s="11" t="s">
        <v>25</v>
      </c>
      <c r="J8" s="12" t="s">
        <v>58</v>
      </c>
    </row>
    <row r="9" customFormat="false" ht="60" hidden="false" customHeight="true" outlineLevel="0" collapsed="false">
      <c r="A9" s="6" t="s">
        <v>59</v>
      </c>
      <c r="B9" s="6" t="s">
        <v>59</v>
      </c>
      <c r="C9" s="6" t="s">
        <v>60</v>
      </c>
      <c r="D9" s="7" t="s">
        <v>61</v>
      </c>
      <c r="E9" s="8" t="s">
        <v>62</v>
      </c>
      <c r="F9" s="6" t="s">
        <v>63</v>
      </c>
      <c r="G9" s="9" t="s">
        <v>64</v>
      </c>
      <c r="H9" s="10" t="n">
        <v>7</v>
      </c>
      <c r="I9" s="11" t="s">
        <v>25</v>
      </c>
      <c r="J9" s="12"/>
    </row>
    <row r="10" customFormat="false" ht="60" hidden="false" customHeight="true" outlineLevel="0" collapsed="false">
      <c r="A10" s="6" t="s">
        <v>65</v>
      </c>
      <c r="B10" s="6" t="s">
        <v>19</v>
      </c>
      <c r="C10" s="6" t="s">
        <v>60</v>
      </c>
      <c r="D10" s="7" t="s">
        <v>66</v>
      </c>
      <c r="E10" s="8" t="s">
        <v>67</v>
      </c>
      <c r="F10" s="6" t="s">
        <v>68</v>
      </c>
      <c r="G10" s="9" t="s">
        <v>64</v>
      </c>
      <c r="H10" s="10" t="n">
        <v>8</v>
      </c>
      <c r="I10" s="11" t="s">
        <v>25</v>
      </c>
      <c r="J10" s="12"/>
    </row>
    <row r="11" customFormat="false" ht="60" hidden="false" customHeight="true" outlineLevel="0" collapsed="false">
      <c r="A11" s="6" t="s">
        <v>69</v>
      </c>
      <c r="B11" s="6" t="s">
        <v>19</v>
      </c>
      <c r="C11" s="6" t="s">
        <v>60</v>
      </c>
      <c r="D11" s="7" t="s">
        <v>70</v>
      </c>
      <c r="E11" s="8" t="s">
        <v>71</v>
      </c>
      <c r="F11" s="6" t="s">
        <v>72</v>
      </c>
      <c r="G11" s="9" t="s">
        <v>73</v>
      </c>
      <c r="H11" s="10" t="n">
        <v>9</v>
      </c>
      <c r="I11" s="11" t="s">
        <v>74</v>
      </c>
      <c r="J11" s="12"/>
    </row>
    <row r="12" customFormat="false" ht="60" hidden="false" customHeight="true" outlineLevel="0" collapsed="false">
      <c r="A12" s="6" t="s">
        <v>20</v>
      </c>
      <c r="B12" s="6" t="s">
        <v>26</v>
      </c>
      <c r="C12" s="6" t="s">
        <v>60</v>
      </c>
      <c r="D12" s="7" t="s">
        <v>75</v>
      </c>
      <c r="E12" s="8" t="s">
        <v>76</v>
      </c>
      <c r="F12" s="6" t="s">
        <v>77</v>
      </c>
      <c r="G12" s="9" t="s">
        <v>78</v>
      </c>
      <c r="H12" s="10" t="n">
        <v>10</v>
      </c>
      <c r="I12" s="11" t="s">
        <v>36</v>
      </c>
      <c r="J12" s="12" t="s">
        <v>79</v>
      </c>
    </row>
    <row r="13" customFormat="false" ht="60" hidden="false" customHeight="true" outlineLevel="0" collapsed="false">
      <c r="A13" s="6" t="s">
        <v>80</v>
      </c>
      <c r="B13" s="6" t="s">
        <v>51</v>
      </c>
      <c r="C13" s="6" t="s">
        <v>60</v>
      </c>
      <c r="D13" s="7" t="s">
        <v>81</v>
      </c>
      <c r="E13" s="8" t="s">
        <v>82</v>
      </c>
      <c r="F13" s="6" t="s">
        <v>83</v>
      </c>
      <c r="G13" s="9"/>
      <c r="H13" s="10" t="n">
        <v>11</v>
      </c>
      <c r="I13" s="11" t="s">
        <v>30</v>
      </c>
      <c r="J13" s="12"/>
    </row>
    <row r="14" customFormat="false" ht="60" hidden="false" customHeight="true" outlineLevel="0" collapsed="false">
      <c r="A14" s="6" t="s">
        <v>84</v>
      </c>
      <c r="B14" s="6" t="s">
        <v>43</v>
      </c>
      <c r="C14" s="6" t="s">
        <v>12</v>
      </c>
      <c r="D14" s="7" t="s">
        <v>85</v>
      </c>
      <c r="E14" s="8" t="s">
        <v>86</v>
      </c>
      <c r="F14" s="6" t="s">
        <v>87</v>
      </c>
      <c r="G14" s="9" t="s">
        <v>73</v>
      </c>
      <c r="H14" s="10" t="n">
        <v>12</v>
      </c>
      <c r="I14" s="11" t="s">
        <v>74</v>
      </c>
      <c r="J14" s="12"/>
    </row>
    <row r="15" customFormat="false" ht="60" hidden="false" customHeight="true" outlineLevel="0" collapsed="false">
      <c r="A15" s="6" t="s">
        <v>88</v>
      </c>
      <c r="B15" s="6" t="s">
        <v>26</v>
      </c>
      <c r="C15" s="6" t="s">
        <v>12</v>
      </c>
      <c r="D15" s="7" t="s">
        <v>89</v>
      </c>
      <c r="E15" s="8" t="s">
        <v>90</v>
      </c>
      <c r="F15" s="6" t="s">
        <v>91</v>
      </c>
      <c r="G15" s="9" t="s">
        <v>92</v>
      </c>
      <c r="H15" s="10" t="n">
        <v>4</v>
      </c>
      <c r="I15" s="11" t="s">
        <v>93</v>
      </c>
      <c r="J15" s="12"/>
    </row>
    <row r="16" customFormat="false" ht="60" hidden="false" customHeight="true" outlineLevel="0" collapsed="false">
      <c r="A16" s="6" t="s">
        <v>94</v>
      </c>
      <c r="B16" s="6" t="s">
        <v>26</v>
      </c>
      <c r="C16" s="6" t="s">
        <v>60</v>
      </c>
      <c r="D16" s="7" t="s">
        <v>27</v>
      </c>
      <c r="E16" s="8" t="s">
        <v>95</v>
      </c>
      <c r="F16" s="6" t="s">
        <v>96</v>
      </c>
      <c r="G16" s="9"/>
      <c r="H16" s="10" t="n">
        <v>14</v>
      </c>
      <c r="I16" s="11" t="s">
        <v>30</v>
      </c>
      <c r="J16" s="12"/>
    </row>
    <row r="17" customFormat="false" ht="60" hidden="false" customHeight="true" outlineLevel="0" collapsed="false">
      <c r="A17" s="6" t="s">
        <v>97</v>
      </c>
      <c r="B17" s="6" t="s">
        <v>26</v>
      </c>
      <c r="C17" s="6" t="s">
        <v>12</v>
      </c>
      <c r="D17" s="7" t="s">
        <v>27</v>
      </c>
      <c r="E17" s="8" t="s">
        <v>98</v>
      </c>
      <c r="F17" s="6" t="s">
        <v>99</v>
      </c>
      <c r="G17" s="9" t="s">
        <v>100</v>
      </c>
      <c r="H17" s="10" t="n">
        <v>15</v>
      </c>
      <c r="I17" s="11" t="s">
        <v>50</v>
      </c>
      <c r="J17" s="12" t="s">
        <v>101</v>
      </c>
    </row>
    <row r="18" customFormat="false" ht="60" hidden="false" customHeight="true" outlineLevel="0" collapsed="false">
      <c r="A18" s="6" t="s">
        <v>102</v>
      </c>
      <c r="B18" s="6" t="s">
        <v>26</v>
      </c>
      <c r="C18" s="6" t="s">
        <v>12</v>
      </c>
      <c r="D18" s="7" t="s">
        <v>27</v>
      </c>
      <c r="E18" s="8" t="s">
        <v>103</v>
      </c>
      <c r="F18" s="6" t="s">
        <v>104</v>
      </c>
      <c r="G18" s="9" t="s">
        <v>105</v>
      </c>
      <c r="H18" s="10" t="n">
        <v>16</v>
      </c>
      <c r="I18" s="11" t="s">
        <v>30</v>
      </c>
      <c r="J18" s="12"/>
    </row>
    <row r="19" customFormat="false" ht="60" hidden="false" customHeight="true" outlineLevel="0" collapsed="false">
      <c r="A19" s="6" t="s">
        <v>106</v>
      </c>
      <c r="B19" s="6" t="s">
        <v>26</v>
      </c>
      <c r="C19" s="6" t="s">
        <v>12</v>
      </c>
      <c r="D19" s="7" t="s">
        <v>27</v>
      </c>
      <c r="E19" s="8" t="s">
        <v>107</v>
      </c>
      <c r="F19" s="6" t="s">
        <v>108</v>
      </c>
      <c r="G19" s="9" t="s">
        <v>57</v>
      </c>
      <c r="H19" s="10" t="n">
        <v>17</v>
      </c>
      <c r="I19" s="11" t="s">
        <v>25</v>
      </c>
      <c r="J19" s="12" t="s">
        <v>109</v>
      </c>
    </row>
    <row r="20" customFormat="false" ht="60" hidden="false" customHeight="true" outlineLevel="0" collapsed="false">
      <c r="A20" s="6" t="s">
        <v>31</v>
      </c>
      <c r="B20" s="6" t="s">
        <v>43</v>
      </c>
      <c r="C20" s="6" t="s">
        <v>60</v>
      </c>
      <c r="D20" s="7" t="s">
        <v>110</v>
      </c>
      <c r="E20" s="8" t="s">
        <v>111</v>
      </c>
      <c r="F20" s="6" t="s">
        <v>112</v>
      </c>
      <c r="G20" s="9" t="s">
        <v>113</v>
      </c>
      <c r="H20" s="10" t="n">
        <v>18</v>
      </c>
      <c r="I20" s="11" t="s">
        <v>114</v>
      </c>
      <c r="J20" s="12"/>
    </row>
    <row r="21" customFormat="false" ht="60" hidden="false" customHeight="true" outlineLevel="0" collapsed="false">
      <c r="A21" s="6" t="s">
        <v>115</v>
      </c>
      <c r="B21" s="6" t="s">
        <v>26</v>
      </c>
      <c r="C21" s="6" t="s">
        <v>60</v>
      </c>
      <c r="D21" s="7" t="s">
        <v>116</v>
      </c>
      <c r="E21" s="8" t="s">
        <v>117</v>
      </c>
      <c r="F21" s="6" t="s">
        <v>118</v>
      </c>
      <c r="G21" s="9" t="s">
        <v>113</v>
      </c>
      <c r="H21" s="10" t="n">
        <v>18</v>
      </c>
      <c r="I21" s="11" t="s">
        <v>114</v>
      </c>
      <c r="J21" s="12"/>
    </row>
    <row r="22" customFormat="false" ht="60" hidden="false" customHeight="true" outlineLevel="0" collapsed="false">
      <c r="A22" s="6" t="s">
        <v>119</v>
      </c>
      <c r="B22" s="6" t="s">
        <v>26</v>
      </c>
      <c r="C22" s="6" t="s">
        <v>60</v>
      </c>
      <c r="D22" s="7" t="s">
        <v>120</v>
      </c>
      <c r="E22" s="8" t="s">
        <v>121</v>
      </c>
      <c r="F22" s="6" t="s">
        <v>122</v>
      </c>
      <c r="G22" s="9" t="s">
        <v>64</v>
      </c>
      <c r="H22" s="10" t="n">
        <v>20</v>
      </c>
      <c r="I22" s="11" t="s">
        <v>25</v>
      </c>
      <c r="J22" s="12"/>
    </row>
    <row r="23" customFormat="false" ht="60" hidden="false" customHeight="true" outlineLevel="0" collapsed="false">
      <c r="A23" s="6" t="s">
        <v>123</v>
      </c>
      <c r="B23" s="6" t="s">
        <v>20</v>
      </c>
      <c r="C23" s="6" t="s">
        <v>12</v>
      </c>
      <c r="D23" s="7" t="s">
        <v>124</v>
      </c>
      <c r="E23" s="8" t="s">
        <v>125</v>
      </c>
      <c r="F23" s="6" t="s">
        <v>126</v>
      </c>
      <c r="G23" s="9" t="s">
        <v>127</v>
      </c>
      <c r="H23" s="10" t="n">
        <v>16</v>
      </c>
      <c r="I23" s="11" t="s">
        <v>25</v>
      </c>
      <c r="J23" s="12" t="s">
        <v>128</v>
      </c>
    </row>
    <row r="24" customFormat="false" ht="60" hidden="false" customHeight="true" outlineLevel="0" collapsed="false">
      <c r="A24" s="6" t="s">
        <v>129</v>
      </c>
      <c r="B24" s="6" t="s">
        <v>38</v>
      </c>
      <c r="C24" s="6" t="s">
        <v>12</v>
      </c>
      <c r="D24" s="7" t="s">
        <v>130</v>
      </c>
      <c r="E24" s="8" t="s">
        <v>131</v>
      </c>
      <c r="F24" s="6" t="s">
        <v>132</v>
      </c>
      <c r="G24" s="9" t="s">
        <v>133</v>
      </c>
      <c r="H24" s="10" t="n">
        <v>22</v>
      </c>
      <c r="I24" s="11" t="s">
        <v>134</v>
      </c>
      <c r="J24" s="12"/>
    </row>
    <row r="25" customFormat="false" ht="60" hidden="false" customHeight="true" outlineLevel="0" collapsed="false">
      <c r="A25" s="6" t="s">
        <v>135</v>
      </c>
      <c r="B25" s="6" t="s">
        <v>11</v>
      </c>
      <c r="C25" s="6" t="s">
        <v>45</v>
      </c>
      <c r="D25" s="7" t="s">
        <v>136</v>
      </c>
      <c r="E25" s="8" t="s">
        <v>137</v>
      </c>
      <c r="F25" s="6" t="s">
        <v>138</v>
      </c>
      <c r="G25" s="9" t="s">
        <v>113</v>
      </c>
      <c r="H25" s="10" t="n">
        <v>22</v>
      </c>
      <c r="I25" s="11" t="s">
        <v>114</v>
      </c>
      <c r="J25" s="12" t="s">
        <v>139</v>
      </c>
    </row>
    <row r="26" customFormat="false" ht="60" hidden="false" customHeight="true" outlineLevel="0" collapsed="false">
      <c r="A26" s="6" t="s">
        <v>44</v>
      </c>
      <c r="B26" s="6" t="s">
        <v>140</v>
      </c>
      <c r="C26" s="6" t="s">
        <v>141</v>
      </c>
      <c r="D26" s="7" t="s">
        <v>142</v>
      </c>
      <c r="E26" s="8" t="s">
        <v>143</v>
      </c>
      <c r="F26" s="6" t="s">
        <v>144</v>
      </c>
      <c r="G26" s="9" t="s">
        <v>105</v>
      </c>
      <c r="H26" s="10" t="n">
        <v>14</v>
      </c>
      <c r="I26" s="11" t="s">
        <v>25</v>
      </c>
      <c r="J26" s="12" t="s">
        <v>145</v>
      </c>
    </row>
    <row r="27" customFormat="false" ht="60" hidden="false" customHeight="true" outlineLevel="0" collapsed="false">
      <c r="A27" s="6" t="s">
        <v>146</v>
      </c>
      <c r="B27" s="6" t="s">
        <v>38</v>
      </c>
      <c r="C27" s="6" t="s">
        <v>12</v>
      </c>
      <c r="D27" s="7" t="s">
        <v>89</v>
      </c>
      <c r="E27" s="8" t="s">
        <v>147</v>
      </c>
      <c r="F27" s="6" t="s">
        <v>148</v>
      </c>
      <c r="G27" s="9" t="s">
        <v>133</v>
      </c>
      <c r="H27" s="10" t="n">
        <v>25</v>
      </c>
      <c r="I27" s="11" t="s">
        <v>149</v>
      </c>
      <c r="J27" s="12"/>
    </row>
    <row r="28" customFormat="false" ht="60" hidden="false" customHeight="true" outlineLevel="0" collapsed="false">
      <c r="A28" s="6" t="s">
        <v>150</v>
      </c>
      <c r="B28" s="6" t="s">
        <v>10</v>
      </c>
      <c r="C28" s="6" t="s">
        <v>151</v>
      </c>
      <c r="D28" s="7" t="s">
        <v>152</v>
      </c>
      <c r="E28" s="8" t="s">
        <v>153</v>
      </c>
      <c r="F28" s="6" t="s">
        <v>154</v>
      </c>
      <c r="G28" s="9" t="s">
        <v>113</v>
      </c>
      <c r="H28" s="10" t="n">
        <v>26</v>
      </c>
      <c r="I28" s="11" t="s">
        <v>114</v>
      </c>
      <c r="J28" s="12" t="s">
        <v>155</v>
      </c>
    </row>
    <row r="29" customFormat="false" ht="60" hidden="false" customHeight="true" outlineLevel="0" collapsed="false">
      <c r="A29" s="6" t="s">
        <v>156</v>
      </c>
      <c r="B29" s="6" t="s">
        <v>65</v>
      </c>
      <c r="C29" s="6" t="s">
        <v>157</v>
      </c>
      <c r="D29" s="7" t="s">
        <v>89</v>
      </c>
      <c r="E29" s="8" t="s">
        <v>158</v>
      </c>
      <c r="F29" s="6" t="s">
        <v>159</v>
      </c>
      <c r="G29" s="9" t="s">
        <v>113</v>
      </c>
      <c r="H29" s="10" t="n">
        <v>26</v>
      </c>
      <c r="I29" s="11" t="s">
        <v>114</v>
      </c>
      <c r="J29" s="12" t="s">
        <v>155</v>
      </c>
    </row>
    <row r="30" customFormat="false" ht="60" hidden="false" customHeight="true" outlineLevel="0" collapsed="false">
      <c r="A30" s="6" t="s">
        <v>160</v>
      </c>
      <c r="B30" s="6" t="s">
        <v>26</v>
      </c>
      <c r="C30" s="6" t="s">
        <v>45</v>
      </c>
      <c r="D30" s="7" t="s">
        <v>161</v>
      </c>
      <c r="E30" s="8" t="s">
        <v>162</v>
      </c>
      <c r="F30" s="6" t="s">
        <v>163</v>
      </c>
      <c r="G30" s="9" t="s">
        <v>49</v>
      </c>
      <c r="H30" s="10" t="n">
        <v>28</v>
      </c>
      <c r="I30" s="11" t="s">
        <v>50</v>
      </c>
      <c r="J30" s="12" t="s">
        <v>164</v>
      </c>
    </row>
    <row r="31" customFormat="false" ht="60" hidden="false" customHeight="true" outlineLevel="0" collapsed="false">
      <c r="A31" s="6" t="s">
        <v>140</v>
      </c>
      <c r="B31" s="6" t="s">
        <v>26</v>
      </c>
      <c r="C31" s="6" t="s">
        <v>141</v>
      </c>
      <c r="D31" s="7" t="s">
        <v>75</v>
      </c>
      <c r="E31" s="8" t="s">
        <v>165</v>
      </c>
      <c r="F31" s="6" t="s">
        <v>166</v>
      </c>
      <c r="G31" s="9" t="s">
        <v>73</v>
      </c>
      <c r="H31" s="10" t="n">
        <v>25</v>
      </c>
      <c r="I31" s="11" t="s">
        <v>74</v>
      </c>
      <c r="J31" s="12"/>
    </row>
    <row r="32" customFormat="false" ht="60" hidden="false" customHeight="true" outlineLevel="0" collapsed="false">
      <c r="A32" s="6" t="s">
        <v>167</v>
      </c>
      <c r="B32" s="6" t="s">
        <v>26</v>
      </c>
      <c r="C32" s="6" t="s">
        <v>60</v>
      </c>
      <c r="D32" s="7" t="s">
        <v>168</v>
      </c>
      <c r="E32" s="8" t="s">
        <v>169</v>
      </c>
      <c r="F32" s="6" t="s">
        <v>170</v>
      </c>
      <c r="G32" s="9" t="s">
        <v>73</v>
      </c>
      <c r="H32" s="10" t="n">
        <v>30</v>
      </c>
      <c r="I32" s="11" t="s">
        <v>74</v>
      </c>
      <c r="J32" s="12"/>
    </row>
    <row r="33" customFormat="false" ht="60" hidden="false" customHeight="true" outlineLevel="0" collapsed="false">
      <c r="A33" s="6" t="s">
        <v>171</v>
      </c>
      <c r="B33" s="6" t="s">
        <v>26</v>
      </c>
      <c r="C33" s="6" t="s">
        <v>12</v>
      </c>
      <c r="D33" s="7" t="s">
        <v>27</v>
      </c>
      <c r="E33" s="8" t="s">
        <v>172</v>
      </c>
      <c r="F33" s="6" t="s">
        <v>173</v>
      </c>
      <c r="G33" s="9" t="s">
        <v>73</v>
      </c>
      <c r="H33" s="10" t="n">
        <v>31</v>
      </c>
      <c r="I33" s="11" t="s">
        <v>74</v>
      </c>
      <c r="J33" s="12"/>
    </row>
    <row r="34" customFormat="false" ht="60" hidden="false" customHeight="true" outlineLevel="0" collapsed="false">
      <c r="A34" s="6" t="s">
        <v>174</v>
      </c>
      <c r="B34" s="6" t="s">
        <v>26</v>
      </c>
      <c r="C34" s="6" t="s">
        <v>175</v>
      </c>
      <c r="D34" s="7" t="s">
        <v>176</v>
      </c>
      <c r="E34" s="8" t="s">
        <v>177</v>
      </c>
      <c r="F34" s="6" t="s">
        <v>178</v>
      </c>
      <c r="G34" s="9" t="s">
        <v>16</v>
      </c>
      <c r="H34" s="10" t="n">
        <v>32</v>
      </c>
      <c r="I34" s="11" t="s">
        <v>114</v>
      </c>
      <c r="J34" s="12" t="s">
        <v>179</v>
      </c>
    </row>
    <row r="35" customFormat="false" ht="60" hidden="false" customHeight="true" outlineLevel="0" collapsed="false">
      <c r="A35" s="6" t="s">
        <v>180</v>
      </c>
      <c r="B35" s="6" t="s">
        <v>11</v>
      </c>
      <c r="C35" s="6" t="s">
        <v>181</v>
      </c>
      <c r="D35" s="7" t="s">
        <v>182</v>
      </c>
      <c r="E35" s="8" t="s">
        <v>183</v>
      </c>
      <c r="F35" s="6" t="s">
        <v>184</v>
      </c>
      <c r="G35" s="9" t="s">
        <v>185</v>
      </c>
      <c r="H35" s="10" t="n">
        <v>32</v>
      </c>
      <c r="I35" s="11" t="s">
        <v>25</v>
      </c>
      <c r="J35" s="12"/>
    </row>
    <row r="36" customFormat="false" ht="60" hidden="false" customHeight="true" outlineLevel="0" collapsed="false">
      <c r="A36" s="6" t="s">
        <v>186</v>
      </c>
      <c r="B36" s="6" t="s">
        <v>26</v>
      </c>
      <c r="C36" s="6" t="s">
        <v>60</v>
      </c>
      <c r="D36" s="7" t="s">
        <v>187</v>
      </c>
      <c r="E36" s="8" t="s">
        <v>188</v>
      </c>
      <c r="F36" s="6" t="s">
        <v>189</v>
      </c>
      <c r="G36" s="9" t="s">
        <v>190</v>
      </c>
      <c r="H36" s="10" t="n">
        <v>34</v>
      </c>
      <c r="I36" s="11" t="s">
        <v>191</v>
      </c>
      <c r="J36"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s>
  <sheetData>
    <row r="1" customFormat="false" ht="15" hidden="false" customHeight="false" outlineLevel="0" collapsed="false">
      <c r="A1" s="13" t="s">
        <v>192</v>
      </c>
      <c r="B1" s="13" t="s">
        <v>193</v>
      </c>
      <c r="C1" s="13" t="s">
        <v>194</v>
      </c>
      <c r="D1" s="13" t="s">
        <v>195</v>
      </c>
      <c r="E1" s="14" t="s">
        <v>196</v>
      </c>
      <c r="F1" s="15" t="s">
        <v>197</v>
      </c>
      <c r="G1" s="16" t="s">
        <v>198</v>
      </c>
      <c r="H1" s="17" t="s">
        <v>199</v>
      </c>
      <c r="I1" s="18" t="s">
        <v>200</v>
      </c>
      <c r="J1" s="18" t="s">
        <v>201</v>
      </c>
      <c r="K1" s="18" t="s">
        <v>202</v>
      </c>
      <c r="L1" s="19" t="s">
        <v>9</v>
      </c>
    </row>
    <row r="2" customFormat="false" ht="15" hidden="false" customHeight="false" outlineLevel="0" collapsed="false">
      <c r="A2" s="20" t="s">
        <v>203</v>
      </c>
    </row>
    <row r="3" customFormat="false" ht="15" hidden="false" customHeight="false" outlineLevel="0" collapsed="false">
      <c r="A3" s="20" t="s">
        <v>204</v>
      </c>
      <c r="E3" s="21" t="str">
        <f aca="false">IF(D3="?OLD","!!!","")</f>
        <v/>
      </c>
      <c r="F3" s="22" t="str">
        <f aca="false">IF(OR(E3="",E3="!!!"),"",IF(NOT(ISNA(VLOOKUP(E3,E$1:E2,1,FALSE()))),"OLD",IF(AND(E3&lt;&gt;"",E3&lt;&gt;"!!!"),"NEW","")))</f>
        <v> </v>
      </c>
      <c r="G3" s="23" t="str">
        <f aca="false">IF(OR(E3="",E3="!!!"),"",IF(OR(J3=0,AND(J3=1,K3=1),AND(J3=1,I3="SBJ"),AND(J3=1,I3=0)),"?IN_FOCUS",IF(J3&lt;=2,"?ACTIVATED",IF(J3&lt;&gt;"","?FAMILIAR",IF(F3="NEW",IF(ISNA(VLOOKUP(E3,#REF!,1,FALSE())),"?TYPE_IDENTIFIABLE","?REFERENTIAL"),"_")))))</f>
        <v/>
      </c>
      <c r="H3" s="24" t="str">
        <f aca="false">IF(J3&lt;&gt;1,"",IF(I3="SBJ","CB","?"))</f>
        <v/>
      </c>
      <c r="I3" s="25" t="str">
        <f aca="false">IF(OR(E3="",E3="!!!",F3="NEW"),"",INDEX(B2:B$2,-1+SUMPRODUCT(MAX(ROW(E2:E$2)*(E3=E2:E$2)))))</f>
        <v> </v>
      </c>
      <c r="J3" s="25" t="str">
        <f aca="true">IF(OR(E3="",E3="!!!",F3="NEW"),"",COUNTBLANK(OFFSET(A$1,,,SUMPRODUCT(MAX(ROW(E$2:E3)*(E3=E$2:E3)))))-COUNTBLANK(OFFSET(A$1,,,SUMPRODUCT(MAX(ROW(E$1:E2)*(E2=E$1:E2))))))</f>
        <v/>
      </c>
      <c r="K3" s="25" t="str">
        <f aca="false">IF(OR(E3="",E3="!!!",F3="NEW"),"",INDEX(J$1:J2,SUMPRODUCT(MAX(ROW(E$1:E2)*(E3=E$1:E2)))))</f>
        <v> </v>
      </c>
      <c r="L3" s="26"/>
    </row>
    <row r="4" customFormat="false" ht="15" hidden="false" customHeight="false" outlineLevel="0" collapsed="false">
      <c r="A4" s="20" t="s">
        <v>205</v>
      </c>
      <c r="E4" s="21" t="str">
        <f aca="false">IF(D4="?OLD","!!!","")</f>
        <v/>
      </c>
      <c r="F4" s="22" t="str">
        <f aca="false">IF(OR(E4="",E4="!!!"),"",IF(NOT(ISNA(VLOOKUP(E4,E$1:E3,1,FALSE()))),"OLD",IF(AND(E4&lt;&gt;"",E4&lt;&gt;"!!!"),"NEW","")))</f>
        <v> </v>
      </c>
      <c r="G4" s="23" t="str">
        <f aca="false">IF(OR(E4="",E4="!!!"),"",IF(OR(J4=0,AND(J4=1,K4=1),AND(J4=1,I4="SBJ"),AND(J4=1,I4=0)),"?IN_FOCUS",IF(J4&lt;=2,"?ACTIVATED",IF(J4&lt;&gt;"","?FAMILIAR",IF(F4="NEW",IF(ISNA(VLOOKUP(E4,#REF!,1,FALSE())),"?TYPE_IDENTIFIABLE","?REFERENTIAL"),"_")))))</f>
        <v/>
      </c>
      <c r="H4" s="24" t="str">
        <f aca="false">IF(J4&lt;&gt;1,"",IF(I4="SBJ","CB","?"))</f>
        <v/>
      </c>
      <c r="I4" s="25" t="str">
        <f aca="false">IF(OR(E4="",E4="!!!",F4="NEW"),"",INDEX(B3:B$2,-1+SUMPRODUCT(MAX(ROW(E3:E$2)*(E4=E3:E$2)))))</f>
        <v> </v>
      </c>
      <c r="J4" s="25" t="str">
        <f aca="true">IF(OR(E4="",E4="!!!",F4="NEW"),"",COUNTBLANK(OFFSET(A$1,,,SUMPRODUCT(MAX(ROW(E$2:E4)*(E4=E$2:E4)))))-COUNTBLANK(OFFSET(A$1,,,SUMPRODUCT(MAX(ROW(E$1:E3)*(E2=E$1:E3))))))</f>
        <v/>
      </c>
      <c r="K4" s="25" t="str">
        <f aca="false">IF(OR(E4="",E4="!!!",F4="NEW"),"",INDEX(J$1:J3,SUMPRODUCT(MAX(ROW(E$1:E3)*(E4=E$1:E3)))))</f>
        <v/>
      </c>
      <c r="L4" s="26"/>
    </row>
    <row r="5" customFormat="false" ht="15" hidden="false" customHeight="false" outlineLevel="0" collapsed="false">
      <c r="A5" s="20" t="s">
        <v>206</v>
      </c>
      <c r="B5" s="27" t="s">
        <v>207</v>
      </c>
      <c r="C5" s="27" t="s">
        <v>208</v>
      </c>
      <c r="D5" s="27" t="s">
        <v>209</v>
      </c>
      <c r="E5" s="21" t="str">
        <f aca="false">IF(D5="?OLD","!!!","")</f>
        <v>!!!</v>
      </c>
      <c r="F5" s="22" t="str">
        <f aca="false">IF(OR(E5="",E5="!!!"),"",IF(NOT(ISNA(VLOOKUP(E5,E$1:E4,1,FALSE()))),"OLD",IF(AND(E5&lt;&gt;"",E5&lt;&gt;"!!!"),"NEW","")))</f>
        <v> </v>
      </c>
      <c r="G5" s="23" t="str">
        <f aca="false">IF(OR(E5="",E5="!!!"),"",IF(OR(J5=0,AND(J5=1,K5=1),AND(J5=1,I5="SBJ"),AND(J5=1,I5=0)),"?IN_FOCUS",IF(J5&lt;=2,"?ACTIVATED",IF(J5&lt;&gt;"","?FAMILIAR",IF(F5="NEW",IF(ISNA(VLOOKUP(E5,#REF!,1,FALSE())),"?TYPE_IDENTIFIABLE","?REFERENTIAL"),"_")))))</f>
        <v/>
      </c>
      <c r="H5" s="24" t="str">
        <f aca="false">IF(J5&lt;&gt;1,"",IF(I5="SBJ","CB","?"))</f>
        <v/>
      </c>
      <c r="I5" s="25" t="str">
        <f aca="false">IF(OR(E5="",E5="!!!",F5="NEW"),"",INDEX(B4:B$2,-1+SUMPRODUCT(MAX(ROW(E4:E$2)*(E5=E4:E$2)))))</f>
        <v> </v>
      </c>
      <c r="J5" s="25" t="str">
        <f aca="true">IF(OR(E5="",E5="!!!",F5="NEW"),"",COUNTBLANK(OFFSET(A$1,,,SUMPRODUCT(MAX(ROW(E$2:E5)*(E5=E$2:E5)))))-COUNTBLANK(OFFSET(A$1,,,SUMPRODUCT(MAX(ROW(E$1:E4)*(E2=E$1:E4))))))</f>
        <v/>
      </c>
      <c r="K5" s="25" t="str">
        <f aca="false">IF(OR(E5="",E5="!!!",F5="NEW"),"",INDEX(J$1:J4,SUMPRODUCT(MAX(ROW(E$1:E4)*(E5=E$1:E4)))))</f>
        <v/>
      </c>
      <c r="L5" s="26"/>
    </row>
    <row r="6" customFormat="false" ht="15" hidden="false" customHeight="false" outlineLevel="0" collapsed="false">
      <c r="A6" s="20" t="s">
        <v>210</v>
      </c>
      <c r="E6" s="21" t="str">
        <f aca="false">IF(D6="?OLD","!!!","")</f>
        <v/>
      </c>
      <c r="F6" s="22" t="str">
        <f aca="false">IF(OR(E6="",E6="!!!"),"",IF(NOT(ISNA(VLOOKUP(E6,E$1:E5,1,FALSE()))),"OLD",IF(AND(E6&lt;&gt;"",E6&lt;&gt;"!!!"),"NEW","")))</f>
        <v> </v>
      </c>
      <c r="G6" s="23" t="str">
        <f aca="false">IF(OR(E6="",E6="!!!"),"",IF(OR(J6=0,AND(J6=1,K6=1),AND(J6=1,I6="SBJ"),AND(J6=1,I6=0)),"?IN_FOCUS",IF(J6&lt;=2,"?ACTIVATED",IF(J6&lt;&gt;"","?FAMILIAR",IF(F6="NEW",IF(ISNA(VLOOKUP(E6,#REF!,1,FALSE())),"?TYPE_IDENTIFIABLE","?REFERENTIAL"),"_")))))</f>
        <v/>
      </c>
      <c r="H6" s="24" t="str">
        <f aca="false">IF(J6&lt;&gt;1,"",IF(I6="SBJ","CB","?"))</f>
        <v/>
      </c>
      <c r="I6" s="25" t="str">
        <f aca="false">IF(OR(E6="",E6="!!!",F6="NEW"),"",INDEX(B5:B$2,-1+SUMPRODUCT(MAX(ROW(E5:E$2)*(E6=E5:E$2)))))</f>
        <v> </v>
      </c>
      <c r="J6" s="25" t="str">
        <f aca="true">IF(OR(E6="",E6="!!!",F6="NEW"),"",COUNTBLANK(OFFSET(A$1,,,SUMPRODUCT(MAX(ROW(E$2:E6)*(E6=E$2:E6)))))-COUNTBLANK(OFFSET(A$1,,,SUMPRODUCT(MAX(ROW(E$1:E5)*(E2=E$1:E5))))))</f>
        <v/>
      </c>
      <c r="K6" s="25" t="str">
        <f aca="false">IF(OR(E6="",E6="!!!",F6="NEW"),"",INDEX(J$1:J5,SUMPRODUCT(MAX(ROW(E$1:E5)*(E6=E$1:E5)))))</f>
        <v/>
      </c>
      <c r="L6" s="26"/>
    </row>
    <row r="7" customFormat="false" ht="15" hidden="false" customHeight="false" outlineLevel="0" collapsed="false">
      <c r="A7" s="20" t="s">
        <v>211</v>
      </c>
      <c r="E7" s="21" t="str">
        <f aca="false">IF(D7="?OLD","!!!","")</f>
        <v/>
      </c>
      <c r="F7" s="22" t="str">
        <f aca="false">IF(OR(E7="",E7="!!!"),"",IF(NOT(ISNA(VLOOKUP(E7,E$1:E6,1,FALSE()))),"OLD",IF(AND(E7&lt;&gt;"",E7&lt;&gt;"!!!"),"NEW","")))</f>
        <v> </v>
      </c>
      <c r="G7" s="23" t="str">
        <f aca="false">IF(OR(E7="",E7="!!!"),"",IF(OR(J7=0,AND(J7=1,K7=1),AND(J7=1,I7="SBJ"),AND(J7=1,I7=0)),"?IN_FOCUS",IF(J7&lt;=2,"?ACTIVATED",IF(J7&lt;&gt;"","?FAMILIAR",IF(F7="NEW",IF(ISNA(VLOOKUP(E7,#REF!,1,FALSE())),"?TYPE_IDENTIFIABLE","?REFERENTIAL"),"_")))))</f>
        <v/>
      </c>
      <c r="H7" s="24" t="str">
        <f aca="false">IF(J7&lt;&gt;1,"",IF(I7="SBJ","CB","?"))</f>
        <v/>
      </c>
      <c r="I7" s="25" t="str">
        <f aca="false">IF(OR(E7="",E7="!!!",F7="NEW"),"",INDEX(B6:B$2,-1+SUMPRODUCT(MAX(ROW(E6:E$2)*(E7=E6:E$2)))))</f>
        <v> </v>
      </c>
      <c r="J7" s="25" t="str">
        <f aca="true">IF(OR(E7="",E7="!!!",F7="NEW"),"",COUNTBLANK(OFFSET(A$1,,,SUMPRODUCT(MAX(ROW(E$2:E7)*(E7=E$2:E7)))))-COUNTBLANK(OFFSET(A$1,,,SUMPRODUCT(MAX(ROW(E$1:E6)*(E2=E$1:E6))))))</f>
        <v/>
      </c>
      <c r="K7" s="25" t="str">
        <f aca="false">IF(OR(E7="",E7="!!!",F7="NEW"),"",INDEX(J$1:J6,SUMPRODUCT(MAX(ROW(E$1:E6)*(E7=E$1:E6)))))</f>
        <v/>
      </c>
      <c r="L7" s="26"/>
    </row>
    <row r="8" customFormat="false" ht="15" hidden="false" customHeight="false" outlineLevel="0" collapsed="false">
      <c r="A8" s="20" t="s">
        <v>212</v>
      </c>
      <c r="E8" s="21" t="str">
        <f aca="false">IF(D8="?OLD","!!!","")</f>
        <v/>
      </c>
      <c r="F8" s="22" t="str">
        <f aca="false">IF(OR(E8="",E8="!!!"),"",IF(NOT(ISNA(VLOOKUP(E8,E$1:E7,1,FALSE()))),"OLD",IF(AND(E8&lt;&gt;"",E8&lt;&gt;"!!!"),"NEW","")))</f>
        <v> </v>
      </c>
      <c r="G8" s="23" t="str">
        <f aca="false">IF(OR(E8="",E8="!!!"),"",IF(OR(J8=0,AND(J8=1,K8=1),AND(J8=1,I8="SBJ"),AND(J8=1,I8=0)),"?IN_FOCUS",IF(J8&lt;=2,"?ACTIVATED",IF(J8&lt;&gt;"","?FAMILIAR",IF(F8="NEW",IF(ISNA(VLOOKUP(E8,#REF!,1,FALSE())),"?TYPE_IDENTIFIABLE","?REFERENTIAL"),"_")))))</f>
        <v/>
      </c>
      <c r="H8" s="24" t="str">
        <f aca="false">IF(J8&lt;&gt;1,"",IF(I8="SBJ","CB","?"))</f>
        <v/>
      </c>
      <c r="I8" s="25" t="str">
        <f aca="false">IF(OR(E8="",E8="!!!",F8="NEW"),"",INDEX(B7:B$2,-1+SUMPRODUCT(MAX(ROW(E7:E$2)*(E8=E7:E$2)))))</f>
        <v> </v>
      </c>
      <c r="J8" s="25" t="str">
        <f aca="true">IF(OR(E8="",E8="!!!",F8="NEW"),"",COUNTBLANK(OFFSET(A$1,,,SUMPRODUCT(MAX(ROW(E$2:E8)*(E8=E$2:E8)))))-COUNTBLANK(OFFSET(A$1,,,SUMPRODUCT(MAX(ROW(E$1:E7)*(E2=E$1:E7))))))</f>
        <v/>
      </c>
      <c r="K8" s="25" t="str">
        <f aca="false">IF(OR(E8="",E8="!!!",F8="NEW"),"",INDEX(J$1:J7,SUMPRODUCT(MAX(ROW(E$1:E7)*(E8=E$1:E7)))))</f>
        <v/>
      </c>
      <c r="L8" s="26"/>
    </row>
    <row r="9" customFormat="false" ht="15" hidden="false" customHeight="false" outlineLevel="0" collapsed="false">
      <c r="A9" s="20" t="s">
        <v>213</v>
      </c>
      <c r="E9" s="21" t="str">
        <f aca="false">IF(D9="?OLD","!!!","")</f>
        <v/>
      </c>
      <c r="F9" s="22" t="str">
        <f aca="false">IF(OR(E9="",E9="!!!"),"",IF(NOT(ISNA(VLOOKUP(E9,E$1:E8,1,FALSE()))),"OLD",IF(AND(E9&lt;&gt;"",E9&lt;&gt;"!!!"),"NEW","")))</f>
        <v> </v>
      </c>
      <c r="G9" s="23" t="str">
        <f aca="false">IF(OR(E9="",E9="!!!"),"",IF(OR(J9=0,AND(J9=1,K9=1),AND(J9=1,I9="SBJ"),AND(J9=1,I9=0)),"?IN_FOCUS",IF(J9&lt;=2,"?ACTIVATED",IF(J9&lt;&gt;"","?FAMILIAR",IF(F9="NEW",IF(ISNA(VLOOKUP(E9,#REF!,1,FALSE())),"?TYPE_IDENTIFIABLE","?REFERENTIAL"),"_")))))</f>
        <v/>
      </c>
      <c r="H9" s="24" t="str">
        <f aca="false">IF(J9&lt;&gt;1,"",IF(I9="SBJ","CB","?"))</f>
        <v/>
      </c>
      <c r="I9" s="25" t="str">
        <f aca="false">IF(OR(E9="",E9="!!!",F9="NEW"),"",INDEX(B8:B$2,-1+SUMPRODUCT(MAX(ROW(E8:E$2)*(E9=E8:E$2)))))</f>
        <v> </v>
      </c>
      <c r="J9" s="25" t="str">
        <f aca="true">IF(OR(E9="",E9="!!!",F9="NEW"),"",COUNTBLANK(OFFSET(A$1,,,SUMPRODUCT(MAX(ROW(E$2:E9)*(E9=E$2:E9)))))-COUNTBLANK(OFFSET(A$1,,,SUMPRODUCT(MAX(ROW(E$1:E8)*(E2=E$1:E8))))))</f>
        <v/>
      </c>
      <c r="K9" s="25" t="str">
        <f aca="false">IF(OR(E9="",E9="!!!",F9="NEW"),"",INDEX(J$1:J8,SUMPRODUCT(MAX(ROW(E$1:E8)*(E9=E$1:E8)))))</f>
        <v/>
      </c>
      <c r="L9" s="26"/>
    </row>
    <row r="10" customFormat="false" ht="15" hidden="false" customHeight="false" outlineLevel="0" collapsed="false">
      <c r="A10" s="20" t="s">
        <v>214</v>
      </c>
      <c r="E10" s="21" t="str">
        <f aca="false">IF(D10="?OLD","!!!","")</f>
        <v/>
      </c>
      <c r="F10" s="22" t="str">
        <f aca="false">IF(OR(E10="",E10="!!!"),"",IF(NOT(ISNA(VLOOKUP(E10,E$1:E9,1,FALSE()))),"OLD",IF(AND(E10&lt;&gt;"",E10&lt;&gt;"!!!"),"NEW","")))</f>
        <v>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IF(OR(E10="",E10="!!!",F10="NEW"),"",INDEX(B9:B$2,-1+SUMPRODUCT(MAX(ROW(E9:E$2)*(E10=E9:E$2)))))</f>
        <v> </v>
      </c>
      <c r="J10" s="25" t="str">
        <f aca="true">IF(OR(E10="",E10="!!!",F10="NEW"),"",COUNTBLANK(OFFSET(A$1,,,SUMPRODUCT(MAX(ROW(E$2:E10)*(E10=E$2:E10)))))-COUNTBLANK(OFFSET(A$1,,,SUMPRODUCT(MAX(ROW(E$1:E9)*(E2=E$1:E9))))))</f>
        <v/>
      </c>
      <c r="K10" s="25" t="str">
        <f aca="false">IF(OR(E10="",E10="!!!",F10="NEW"),"",INDEX(J$1:J9,SUMPRODUCT(MAX(ROW(E$1:E9)*(E10=E$1:E9)))))</f>
        <v/>
      </c>
      <c r="L10" s="26"/>
    </row>
    <row r="11" customFormat="false" ht="15" hidden="false" customHeight="false" outlineLevel="0" collapsed="false">
      <c r="A11" s="20" t="s">
        <v>215</v>
      </c>
      <c r="B11" s="27" t="s">
        <v>216</v>
      </c>
      <c r="C11" s="27" t="s">
        <v>217</v>
      </c>
      <c r="E11" s="21" t="str">
        <f aca="false">IF(D11="?OLD","!!!","")</f>
        <v/>
      </c>
      <c r="F11" s="22" t="str">
        <f aca="false">IF(OR(E11="",E11="!!!"),"",IF(NOT(ISNA(VLOOKUP(E11,E$1:E10,1,FALSE()))),"OLD",IF(AND(E11&lt;&gt;"",E11&lt;&gt;"!!!"),"NEW","")))</f>
        <v>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IF(OR(E11="",E11="!!!",F11="NEW"),"",INDEX(B10:B$2,-1+SUMPRODUCT(MAX(ROW(E10:E$2)*(E11=E10:E$2)))))</f>
        <v> </v>
      </c>
      <c r="J11" s="25" t="str">
        <f aca="true">IF(OR(E11="",E11="!!!",F11="NEW"),"",COUNTBLANK(OFFSET(A$1,,,SUMPRODUCT(MAX(ROW(E$2:E11)*(E11=E$2:E11)))))-COUNTBLANK(OFFSET(A$1,,,SUMPRODUCT(MAX(ROW(E$1:E10)*(E2=E$1:E10))))))</f>
        <v/>
      </c>
      <c r="K11" s="25" t="str">
        <f aca="false">IF(OR(E11="",E11="!!!",F11="NEW"),"",INDEX(J$1:J10,SUMPRODUCT(MAX(ROW(E$1:E10)*(E11=E$1:E10)))))</f>
        <v/>
      </c>
      <c r="L11" s="26"/>
    </row>
    <row r="12" customFormat="false" ht="15" hidden="false" customHeight="false" outlineLevel="0" collapsed="false">
      <c r="A12" s="20" t="s">
        <v>218</v>
      </c>
      <c r="E12" s="21" t="str">
        <f aca="false">IF(D12="?OLD","!!!","")</f>
        <v/>
      </c>
      <c r="F12" s="22" t="str">
        <f aca="false">IF(OR(E12="",E12="!!!"),"",IF(NOT(ISNA(VLOOKUP(E12,E$1:E11,1,FALSE()))),"OLD",IF(AND(E12&lt;&gt;"",E12&lt;&gt;"!!!"),"NEW","")))</f>
        <v> </v>
      </c>
      <c r="G12" s="23" t="str">
        <f aca="false">IF(OR(E12="",E12="!!!"),"",IF(OR(J12=0,AND(J12=1,K12=1),AND(J12=1,I12="SBJ"),AND(J12=1,I12=0)),"?IN_FOCUS",IF(J12&lt;=2,"?ACTIVATED",IF(J12&lt;&gt;"","?FAMILIAR",IF(F12="NEW",IF(ISNA(VLOOKUP(E12,#REF!,1,FALSE())),"?TYPE_IDENTIFIABLE","?REFERENTIAL"),"_")))))</f>
        <v/>
      </c>
      <c r="H12" s="24" t="str">
        <f aca="false">IF(J12&lt;&gt;1,"",IF(I12="SBJ","CB","?"))</f>
        <v/>
      </c>
      <c r="I12" s="25" t="str">
        <f aca="false">IF(OR(E12="",E12="!!!",F12="NEW"),"",INDEX(B11:B$2,-1+SUMPRODUCT(MAX(ROW(E11:E$2)*(E12=E11:E$2)))))</f>
        <v> </v>
      </c>
      <c r="J12" s="25" t="str">
        <f aca="true">IF(OR(E12="",E12="!!!",F12="NEW"),"",COUNTBLANK(OFFSET(A$1,,,SUMPRODUCT(MAX(ROW(E$2:E12)*(E12=E$2:E12)))))-COUNTBLANK(OFFSET(A$1,,,SUMPRODUCT(MAX(ROW(E$1:E11)*(E2=E$1:E11))))))</f>
        <v/>
      </c>
      <c r="K12" s="25" t="str">
        <f aca="false">IF(OR(E12="",E12="!!!",F12="NEW"),"",INDEX(J$1:J11,SUMPRODUCT(MAX(ROW(E$1:E11)*(E12=E$1:E11)))))</f>
        <v/>
      </c>
      <c r="L12" s="26"/>
    </row>
    <row r="13" customFormat="false" ht="15" hidden="false" customHeight="false" outlineLevel="0" collapsed="false">
      <c r="A13" s="20" t="s">
        <v>205</v>
      </c>
      <c r="E13" s="21" t="str">
        <f aca="false">IF(D13="?OLD","!!!","")</f>
        <v/>
      </c>
      <c r="F13" s="22" t="str">
        <f aca="false">IF(OR(E13="",E13="!!!"),"",IF(NOT(ISNA(VLOOKUP(E13,E$1:E12,1,FALSE()))),"OLD",IF(AND(E13&lt;&gt;"",E13&lt;&gt;"!!!"),"NEW","")))</f>
        <v>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IF(OR(E13="",E13="!!!",F13="NEW"),"",INDEX(B12:B$2,-1+SUMPRODUCT(MAX(ROW(E12:E$2)*(E13=E12:E$2)))))</f>
        <v> </v>
      </c>
      <c r="J13" s="25" t="str">
        <f aca="true">IF(OR(E13="",E13="!!!",F13="NEW"),"",COUNTBLANK(OFFSET(A$1,,,SUMPRODUCT(MAX(ROW(E$2:E13)*(E13=E$2:E13)))))-COUNTBLANK(OFFSET(A$1,,,SUMPRODUCT(MAX(ROW(E$1:E12)*(E2=E$1:E12))))))</f>
        <v/>
      </c>
      <c r="K13" s="25" t="str">
        <f aca="false">IF(OR(E13="",E13="!!!",F13="NEW"),"",INDEX(J$1:J12,SUMPRODUCT(MAX(ROW(E$1:E12)*(E13=E$1:E12)))))</f>
        <v/>
      </c>
      <c r="L13" s="26"/>
    </row>
    <row r="14" customFormat="false" ht="15" hidden="false" customHeight="false" outlineLevel="0" collapsed="false">
      <c r="A14" s="20" t="s">
        <v>219</v>
      </c>
      <c r="B14" s="27" t="s">
        <v>220</v>
      </c>
      <c r="C14" s="27" t="s">
        <v>208</v>
      </c>
      <c r="D14" s="27" t="s">
        <v>209</v>
      </c>
      <c r="E14" s="21" t="str">
        <f aca="false">IF(D14="?OLD","!!!","")</f>
        <v>!!!</v>
      </c>
      <c r="F14" s="22" t="str">
        <f aca="false">IF(OR(E14="",E14="!!!"),"",IF(NOT(ISNA(VLOOKUP(E14,E$1:E13,1,FALSE()))),"OLD",IF(AND(E14&lt;&gt;"",E14&lt;&gt;"!!!"),"NEW","")))</f>
        <v>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IF(OR(E14="",E14="!!!",F14="NEW"),"",INDEX(B13:B$2,-1+SUMPRODUCT(MAX(ROW(E13:E$2)*(E14=E13:E$2)))))</f>
        <v> </v>
      </c>
      <c r="J14" s="25" t="str">
        <f aca="true">IF(OR(E14="",E14="!!!",F14="NEW"),"",COUNTBLANK(OFFSET(A$1,,,SUMPRODUCT(MAX(ROW(E$2:E14)*(E14=E$2:E14)))))-COUNTBLANK(OFFSET(A$1,,,SUMPRODUCT(MAX(ROW(E$1:E13)*(E2=E$1:E13))))))</f>
        <v/>
      </c>
      <c r="K14" s="25" t="str">
        <f aca="false">IF(OR(E14="",E14="!!!",F14="NEW"),"",INDEX(J$1:J13,SUMPRODUCT(MAX(ROW(E$1:E13)*(E14=E$1:E13)))))</f>
        <v/>
      </c>
      <c r="L14" s="26"/>
    </row>
    <row r="15" customFormat="false" ht="15" hidden="false" customHeight="false" outlineLevel="0" collapsed="false">
      <c r="A15" s="20" t="s">
        <v>221</v>
      </c>
      <c r="B15" s="27" t="s">
        <v>222</v>
      </c>
      <c r="E15" s="21" t="str">
        <f aca="false">IF(D15="?OLD","!!!","")</f>
        <v/>
      </c>
      <c r="F15" s="22" t="str">
        <f aca="false">IF(OR(E15="",E15="!!!"),"",IF(NOT(ISNA(VLOOKUP(E15,E$1:E14,1,FALSE()))),"OLD",IF(AND(E15&lt;&gt;"",E15&lt;&gt;"!!!"),"NEW","")))</f>
        <v>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IF(OR(E15="",E15="!!!",F15="NEW"),"",INDEX(B14:B$2,-1+SUMPRODUCT(MAX(ROW(E14:E$2)*(E15=E14:E$2)))))</f>
        <v> </v>
      </c>
      <c r="J15" s="25" t="str">
        <f aca="true">IF(OR(E15="",E15="!!!",F15="NEW"),"",COUNTBLANK(OFFSET(A$1,,,SUMPRODUCT(MAX(ROW(E$2:E15)*(E15=E$2:E15)))))-COUNTBLANK(OFFSET(A$1,,,SUMPRODUCT(MAX(ROW(E$1:E14)*(E2=E$1:E14))))))</f>
        <v/>
      </c>
      <c r="K15" s="25" t="str">
        <f aca="false">IF(OR(E15="",E15="!!!",F15="NEW"),"",INDEX(J$1:J14,SUMPRODUCT(MAX(ROW(E$1:E14)*(E15=E$1:E14)))))</f>
        <v/>
      </c>
      <c r="L15" s="26"/>
    </row>
    <row r="16" customFormat="false" ht="15" hidden="false" customHeight="false" outlineLevel="0" collapsed="false">
      <c r="A16" s="20" t="s">
        <v>223</v>
      </c>
      <c r="B16" s="27" t="s">
        <v>224</v>
      </c>
      <c r="C16" s="27" t="s">
        <v>225</v>
      </c>
      <c r="D16" s="27" t="s">
        <v>209</v>
      </c>
      <c r="E16" s="21" t="str">
        <f aca="false">IF(D16="?OLD","!!!","")</f>
        <v>!!!</v>
      </c>
      <c r="F16" s="22" t="str">
        <f aca="false">IF(OR(E16="",E16="!!!"),"",IF(NOT(ISNA(VLOOKUP(E16,E$1:E15,1,FALSE()))),"OLD",IF(AND(E16&lt;&gt;"",E16&lt;&gt;"!!!"),"NEW","")))</f>
        <v> </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IF(OR(E16="",E16="!!!",F16="NEW"),"",INDEX(B15:B$2,-1+SUMPRODUCT(MAX(ROW(E15:E$2)*(E16=E15:E$2)))))</f>
        <v> </v>
      </c>
      <c r="J16" s="25" t="str">
        <f aca="true">IF(OR(E16="",E16="!!!",F16="NEW"),"",COUNTBLANK(OFFSET(A$1,,,SUMPRODUCT(MAX(ROW(E$2:E16)*(E16=E$2:E16)))))-COUNTBLANK(OFFSET(A$1,,,SUMPRODUCT(MAX(ROW(E$1:E15)*(E2=E$1:E15))))))</f>
        <v/>
      </c>
      <c r="K16" s="25" t="str">
        <f aca="false">IF(OR(E16="",E16="!!!",F16="NEW"),"",INDEX(J$1:J15,SUMPRODUCT(MAX(ROW(E$1:E15)*(E16=E$1:E15)))))</f>
        <v/>
      </c>
      <c r="L16" s="26"/>
    </row>
    <row r="17" customFormat="false" ht="15" hidden="false" customHeight="false" outlineLevel="0" collapsed="false">
      <c r="A17" s="20" t="s">
        <v>226</v>
      </c>
      <c r="E17" s="21" t="str">
        <f aca="false">IF(D17="?OLD","!!!","")</f>
        <v/>
      </c>
      <c r="F17" s="22" t="str">
        <f aca="false">IF(OR(E17="",E17="!!!"),"",IF(NOT(ISNA(VLOOKUP(E17,E$1:E16,1,FALSE()))),"OLD",IF(AND(E17&lt;&gt;"",E17&lt;&gt;"!!!"),"NEW","")))</f>
        <v> </v>
      </c>
      <c r="G17" s="23" t="str">
        <f aca="false">IF(OR(E17="",E17="!!!"),"",IF(OR(J17=0,AND(J17=1,K17=1),AND(J17=1,I17="SBJ"),AND(J17=1,I17=0)),"?IN_FOCUS",IF(J17&lt;=2,"?ACTIVATED",IF(J17&lt;&gt;"","?FAMILIAR",IF(F17="NEW",IF(ISNA(VLOOKUP(E17,#REF!,1,FALSE())),"?TYPE_IDENTIFIABLE","?REFERENTIAL"),"_")))))</f>
        <v/>
      </c>
      <c r="H17" s="24" t="str">
        <f aca="false">IF(J17&lt;&gt;1,"",IF(I17="SBJ","CB","?"))</f>
        <v/>
      </c>
      <c r="I17" s="25" t="str">
        <f aca="false">IF(OR(E17="",E17="!!!",F17="NEW"),"",INDEX(B16:B$2,-1+SUMPRODUCT(MAX(ROW(E16:E$2)*(E17=E16:E$2)))))</f>
        <v> </v>
      </c>
      <c r="J17" s="25" t="str">
        <f aca="true">IF(OR(E17="",E17="!!!",F17="NEW"),"",COUNTBLANK(OFFSET(A$1,,,SUMPRODUCT(MAX(ROW(E$2:E17)*(E17=E$2:E17)))))-COUNTBLANK(OFFSET(A$1,,,SUMPRODUCT(MAX(ROW(E$1:E16)*(E2=E$1:E16))))))</f>
        <v/>
      </c>
      <c r="K17" s="25" t="str">
        <f aca="false">IF(OR(E17="",E17="!!!",F17="NEW"),"",INDEX(J$1:J16,SUMPRODUCT(MAX(ROW(E$1:E16)*(E17=E$1:E16)))))</f>
        <v/>
      </c>
      <c r="L17" s="26"/>
    </row>
    <row r="18" customFormat="false" ht="15" hidden="false" customHeight="false" outlineLevel="0" collapsed="false">
      <c r="A18" s="20" t="s">
        <v>227</v>
      </c>
      <c r="E18" s="21" t="str">
        <f aca="false">IF(D18="?OLD","!!!","")</f>
        <v/>
      </c>
      <c r="F18" s="22" t="str">
        <f aca="false">IF(OR(E18="",E18="!!!"),"",IF(NOT(ISNA(VLOOKUP(E18,E$1:E17,1,FALSE()))),"OLD",IF(AND(E18&lt;&gt;"",E18&lt;&gt;"!!!"),"NEW","")))</f>
        <v> </v>
      </c>
      <c r="G18" s="23" t="str">
        <f aca="false">IF(OR(E18="",E18="!!!"),"",IF(OR(J18=0,AND(J18=1,K18=1),AND(J18=1,I18="SBJ"),AND(J18=1,I18=0)),"?IN_FOCUS",IF(J18&lt;=2,"?ACTIVATED",IF(J18&lt;&gt;"","?FAMILIAR",IF(F18="NEW",IF(ISNA(VLOOKUP(E18,#REF!,1,FALSE())),"?TYPE_IDENTIFIABLE","?REFERENTIAL"),"_")))))</f>
        <v/>
      </c>
      <c r="H18" s="24" t="str">
        <f aca="false">IF(J18&lt;&gt;1,"",IF(I18="SBJ","CB","?"))</f>
        <v/>
      </c>
      <c r="I18" s="25" t="str">
        <f aca="false">IF(OR(E18="",E18="!!!",F18="NEW"),"",INDEX(B17:B$2,-1+SUMPRODUCT(MAX(ROW(E17:E$2)*(E18=E17:E$2)))))</f>
        <v> </v>
      </c>
      <c r="J18" s="25" t="str">
        <f aca="true">IF(OR(E18="",E18="!!!",F18="NEW"),"",COUNTBLANK(OFFSET(A$1,,,SUMPRODUCT(MAX(ROW(E$2:E18)*(E18=E$2:E18)))))-COUNTBLANK(OFFSET(A$1,,,SUMPRODUCT(MAX(ROW(E$1:E17)*(E2=E$1:E17))))))</f>
        <v/>
      </c>
      <c r="K18" s="25" t="str">
        <f aca="false">IF(OR(E18="",E18="!!!",F18="NEW"),"",INDEX(J$1:J17,SUMPRODUCT(MAX(ROW(E$1:E17)*(E18=E$1:E17)))))</f>
        <v/>
      </c>
      <c r="L18" s="26"/>
    </row>
    <row r="19" customFormat="false" ht="15" hidden="false" customHeight="false" outlineLevel="0" collapsed="false">
      <c r="A19" s="20" t="s">
        <v>228</v>
      </c>
      <c r="E19" s="21" t="str">
        <f aca="false">IF(D19="?OLD","!!!","")</f>
        <v/>
      </c>
      <c r="F19" s="22" t="str">
        <f aca="false">IF(OR(E19="",E19="!!!"),"",IF(NOT(ISNA(VLOOKUP(E19,E$1:E18,1,FALSE()))),"OLD",IF(AND(E19&lt;&gt;"",E19&lt;&gt;"!!!"),"NEW","")))</f>
        <v>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IF(OR(E19="",E19="!!!",F19="NEW"),"",INDEX(B18:B$2,-1+SUMPRODUCT(MAX(ROW(E18:E$2)*(E19=E18:E$2)))))</f>
        <v> </v>
      </c>
      <c r="J19" s="25" t="str">
        <f aca="true">IF(OR(E19="",E19="!!!",F19="NEW"),"",COUNTBLANK(OFFSET(A$1,,,SUMPRODUCT(MAX(ROW(E$2:E19)*(E19=E$2:E19)))))-COUNTBLANK(OFFSET(A$1,,,SUMPRODUCT(MAX(ROW(E$1:E18)*(E2=E$1:E18))))))</f>
        <v/>
      </c>
      <c r="K19" s="25" t="str">
        <f aca="false">IF(OR(E19="",E19="!!!",F19="NEW"),"",INDEX(J$1:J18,SUMPRODUCT(MAX(ROW(E$1:E18)*(E19=E$1:E18)))))</f>
        <v/>
      </c>
      <c r="L19" s="26"/>
    </row>
    <row r="20" customFormat="false" ht="15" hidden="false" customHeight="false" outlineLevel="0" collapsed="false">
      <c r="A20" s="20" t="s">
        <v>229</v>
      </c>
      <c r="E20" s="21" t="str">
        <f aca="false">IF(D20="?OLD","!!!","")</f>
        <v/>
      </c>
      <c r="F20" s="22" t="str">
        <f aca="false">IF(OR(E20="",E20="!!!"),"",IF(NOT(ISNA(VLOOKUP(E20,E$1:E19,1,FALSE()))),"OLD",IF(AND(E20&lt;&gt;"",E20&lt;&gt;"!!!"),"NEW","")))</f>
        <v>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IF(OR(E20="",E20="!!!",F20="NEW"),"",INDEX(B19:B$2,-1+SUMPRODUCT(MAX(ROW(E19:E$2)*(E20=E19:E$2)))))</f>
        <v> </v>
      </c>
      <c r="J20" s="25" t="str">
        <f aca="true">IF(OR(E20="",E20="!!!",F20="NEW"),"",COUNTBLANK(OFFSET(A$1,,,SUMPRODUCT(MAX(ROW(E$2:E20)*(E20=E$2:E20)))))-COUNTBLANK(OFFSET(A$1,,,SUMPRODUCT(MAX(ROW(E$1:E19)*(E2=E$1:E19))))))</f>
        <v/>
      </c>
      <c r="K20" s="25" t="str">
        <f aca="false">IF(OR(E20="",E20="!!!",F20="NEW"),"",INDEX(J$1:J19,SUMPRODUCT(MAX(ROW(E$1:E19)*(E20=E$1:E19)))))</f>
        <v/>
      </c>
      <c r="L20" s="26"/>
    </row>
    <row r="21" customFormat="false" ht="15" hidden="false" customHeight="false" outlineLevel="0" collapsed="false">
      <c r="A21" s="20"/>
    </row>
    <row r="22" customFormat="false" ht="15" hidden="false" customHeight="false" outlineLevel="0" collapsed="false">
      <c r="A22" s="20" t="s">
        <v>230</v>
      </c>
      <c r="E22" s="21" t="str">
        <f aca="false">IF(D22="?OLD","!!!","")</f>
        <v/>
      </c>
      <c r="F22" s="22" t="str">
        <f aca="false">IF(OR(E22="",E22="!!!"),"",IF(NOT(ISNA(VLOOKUP(E22,E$1:E21,1,FALSE()))),"OLD",IF(AND(E22&lt;&gt;"",E22&lt;&gt;"!!!"),"NEW","")))</f>
        <v>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IF(OR(E22="",E22="!!!",F22="NEW"),"",INDEX(B21:B$2,-1+SUMPRODUCT(MAX(ROW(E21:E$2)*(E22=E21:E$2)))))</f>
        <v> </v>
      </c>
      <c r="J22" s="25" t="str">
        <f aca="true">IF(OR(E22="",E22="!!!",F22="NEW"),"",COUNTBLANK(OFFSET(A$1,,,SUMPRODUCT(MAX(ROW(E$2:E22)*(E22=E$2:E22)))))-COUNTBLANK(OFFSET(A$1,,,SUMPRODUCT(MAX(ROW(E$1:E21)*(E2=E$1:E21))))))</f>
        <v/>
      </c>
      <c r="K22" s="25" t="str">
        <f aca="false">IF(OR(E22="",E22="!!!",F22="NEW"),"",INDEX(J$1:J21,SUMPRODUCT(MAX(ROW(E$1:E21)*(E22=E$1:E21)))))</f>
        <v/>
      </c>
      <c r="L22" s="26"/>
    </row>
    <row r="23" customFormat="false" ht="15" hidden="false" customHeight="false" outlineLevel="0" collapsed="false">
      <c r="A23" s="20" t="s">
        <v>231</v>
      </c>
    </row>
    <row r="24" customFormat="false" ht="15" hidden="false" customHeight="false" outlineLevel="0" collapsed="false">
      <c r="A24" s="20" t="s">
        <v>232</v>
      </c>
      <c r="B24" s="27" t="s">
        <v>207</v>
      </c>
      <c r="C24" s="27" t="s">
        <v>233</v>
      </c>
      <c r="D24" s="27" t="s">
        <v>209</v>
      </c>
      <c r="E24" s="21" t="str">
        <f aca="false">IF(D24="?OLD","!!!","")</f>
        <v>!!!</v>
      </c>
      <c r="F24" s="22" t="str">
        <f aca="false">IF(OR(E24="",E24="!!!"),"",IF(NOT(ISNA(VLOOKUP(E24,E$1:E23,1,FALSE()))),"OLD",IF(AND(E24&lt;&gt;"",E24&lt;&gt;"!!!"),"NEW","")))</f>
        <v> </v>
      </c>
      <c r="G24" s="23" t="str">
        <f aca="false">IF(OR(E24="",E24="!!!"),"",IF(OR(J24=0,AND(J24=1,K24=1),AND(J24=1,I24="SBJ"),AND(J24=1,I24=0)),"?IN_FOCUS",IF(J24&lt;=2,"?ACTIVATED",IF(J24&lt;&gt;"","?FAMILIAR",IF(F24="NEW",IF(ISNA(VLOOKUP(E24,#REF!,1,FALSE())),"?TYPE_IDENTIFIABLE","?REFERENTIAL"),"_")))))</f>
        <v/>
      </c>
      <c r="H24" s="24" t="str">
        <f aca="false">IF(J24&lt;&gt;1,"",IF(I24="SBJ","CB","?"))</f>
        <v/>
      </c>
      <c r="I24" s="25" t="str">
        <f aca="false">IF(OR(E24="",E24="!!!",F24="NEW"),"",INDEX(B23:B$2,-1+SUMPRODUCT(MAX(ROW(E23:E$2)*(E24=E23:E$2)))))</f>
        <v> </v>
      </c>
      <c r="J24" s="25" t="str">
        <f aca="true">IF(OR(E24="",E24="!!!",F24="NEW"),"",COUNTBLANK(OFFSET(A$1,,,SUMPRODUCT(MAX(ROW(E$2:E24)*(E24=E$2:E24)))))-COUNTBLANK(OFFSET(A$1,,,SUMPRODUCT(MAX(ROW(E$1:E23)*(E2=E$1:E23))))))</f>
        <v/>
      </c>
      <c r="K24" s="25" t="str">
        <f aca="false">IF(OR(E24="",E24="!!!",F24="NEW"),"",INDEX(J$1:J23,SUMPRODUCT(MAX(ROW(E$1:E23)*(E24=E$1:E23)))))</f>
        <v/>
      </c>
      <c r="L24" s="26"/>
    </row>
    <row r="25" customFormat="false" ht="15" hidden="false" customHeight="false" outlineLevel="0" collapsed="false">
      <c r="A25" s="20" t="s">
        <v>234</v>
      </c>
      <c r="E25" s="21" t="str">
        <f aca="false">IF(D25="?OLD","!!!","")</f>
        <v/>
      </c>
      <c r="F25" s="22" t="str">
        <f aca="false">IF(OR(E25="",E25="!!!"),"",IF(NOT(ISNA(VLOOKUP(E25,E$1:E24,1,FALSE()))),"OLD",IF(AND(E25&lt;&gt;"",E25&lt;&gt;"!!!"),"NEW","")))</f>
        <v>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IF(OR(E25="",E25="!!!",F25="NEW"),"",INDEX(B24:B$2,-1+SUMPRODUCT(MAX(ROW(E24:E$2)*(E25=E24:E$2)))))</f>
        <v> </v>
      </c>
      <c r="J25" s="25" t="str">
        <f aca="true">IF(OR(E25="",E25="!!!",F25="NEW"),"",COUNTBLANK(OFFSET(A$1,,,SUMPRODUCT(MAX(ROW(E$2:E25)*(E25=E$2:E25)))))-COUNTBLANK(OFFSET(A$1,,,SUMPRODUCT(MAX(ROW(E$1:E24)*(E2=E$1:E24))))))</f>
        <v/>
      </c>
      <c r="K25" s="25" t="str">
        <f aca="false">IF(OR(E25="",E25="!!!",F25="NEW"),"",INDEX(J$1:J24,SUMPRODUCT(MAX(ROW(E$1:E24)*(E25=E$1:E24)))))</f>
        <v/>
      </c>
      <c r="L25" s="26"/>
    </row>
    <row r="26" customFormat="false" ht="15" hidden="false" customHeight="false" outlineLevel="0" collapsed="false">
      <c r="A26" s="20" t="s">
        <v>235</v>
      </c>
      <c r="E26" s="21" t="str">
        <f aca="false">IF(D26="?OLD","!!!","")</f>
        <v/>
      </c>
      <c r="F26" s="22" t="str">
        <f aca="false">IF(OR(E26="",E26="!!!"),"",IF(NOT(ISNA(VLOOKUP(E26,E$1:E25,1,FALSE()))),"OLD",IF(AND(E26&lt;&gt;"",E26&lt;&gt;"!!!"),"NEW","")))</f>
        <v> </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IF(OR(E26="",E26="!!!",F26="NEW"),"",INDEX(B25:B$2,-1+SUMPRODUCT(MAX(ROW(E25:E$2)*(E26=E25:E$2)))))</f>
        <v> </v>
      </c>
      <c r="J26" s="25" t="str">
        <f aca="true">IF(OR(E26="",E26="!!!",F26="NEW"),"",COUNTBLANK(OFFSET(A$1,,,SUMPRODUCT(MAX(ROW(E$2:E26)*(E26=E$2:E26)))))-COUNTBLANK(OFFSET(A$1,,,SUMPRODUCT(MAX(ROW(E$1:E25)*(E2=E$1:E25))))))</f>
        <v/>
      </c>
      <c r="K26" s="25" t="str">
        <f aca="false">IF(OR(E26="",E26="!!!",F26="NEW"),"",INDEX(J$1:J25,SUMPRODUCT(MAX(ROW(E$1:E25)*(E26=E$1:E25)))))</f>
        <v/>
      </c>
      <c r="L26" s="26"/>
    </row>
    <row r="27" customFormat="false" ht="15" hidden="false" customHeight="false" outlineLevel="0" collapsed="false">
      <c r="A27" s="20" t="s">
        <v>205</v>
      </c>
      <c r="E27" s="21" t="str">
        <f aca="false">IF(D27="?OLD","!!!","")</f>
        <v/>
      </c>
      <c r="F27" s="22" t="str">
        <f aca="false">IF(OR(E27="",E27="!!!"),"",IF(NOT(ISNA(VLOOKUP(E27,E$1:E26,1,FALSE()))),"OLD",IF(AND(E27&lt;&gt;"",E27&lt;&gt;"!!!"),"NEW","")))</f>
        <v>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IF(OR(E27="",E27="!!!",F27="NEW"),"",INDEX(B26:B$2,-1+SUMPRODUCT(MAX(ROW(E26:E$2)*(E27=E26:E$2)))))</f>
        <v> </v>
      </c>
      <c r="J27" s="25" t="str">
        <f aca="true">IF(OR(E27="",E27="!!!",F27="NEW"),"",COUNTBLANK(OFFSET(A$1,,,SUMPRODUCT(MAX(ROW(E$2:E27)*(E27=E$2:E27)))))-COUNTBLANK(OFFSET(A$1,,,SUMPRODUCT(MAX(ROW(E$1:E26)*(E2=E$1:E26))))))</f>
        <v/>
      </c>
      <c r="K27" s="25" t="str">
        <f aca="false">IF(OR(E27="",E27="!!!",F27="NEW"),"",INDEX(J$1:J26,SUMPRODUCT(MAX(ROW(E$1:E26)*(E27=E$1:E26)))))</f>
        <v/>
      </c>
      <c r="L27" s="26"/>
    </row>
    <row r="28" customFormat="false" ht="15" hidden="false" customHeight="false" outlineLevel="0" collapsed="false">
      <c r="A28" s="20" t="s">
        <v>236</v>
      </c>
      <c r="B28" s="27" t="s">
        <v>216</v>
      </c>
      <c r="C28" s="27" t="s">
        <v>208</v>
      </c>
      <c r="D28" s="27" t="s">
        <v>209</v>
      </c>
      <c r="E28" s="21" t="str">
        <f aca="false">IF(D28="?OLD","!!!","")</f>
        <v>!!!</v>
      </c>
      <c r="F28" s="22" t="str">
        <f aca="false">IF(OR(E28="",E28="!!!"),"",IF(NOT(ISNA(VLOOKUP(E28,E$1:E27,1,FALSE()))),"OLD",IF(AND(E28&lt;&gt;"",E28&lt;&gt;"!!!"),"NEW","")))</f>
        <v>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IF(OR(E28="",E28="!!!",F28="NEW"),"",INDEX(B27:B$2,-1+SUMPRODUCT(MAX(ROW(E27:E$2)*(E28=E27:E$2)))))</f>
        <v> </v>
      </c>
      <c r="J28" s="25" t="str">
        <f aca="true">IF(OR(E28="",E28="!!!",F28="NEW"),"",COUNTBLANK(OFFSET(A$1,,,SUMPRODUCT(MAX(ROW(E$2:E28)*(E28=E$2:E28)))))-COUNTBLANK(OFFSET(A$1,,,SUMPRODUCT(MAX(ROW(E$1:E27)*(E2=E$1:E27))))))</f>
        <v/>
      </c>
      <c r="K28" s="25" t="str">
        <f aca="false">IF(OR(E28="",E28="!!!",F28="NEW"),"",INDEX(J$1:J27,SUMPRODUCT(MAX(ROW(E$1:E27)*(E28=E$1:E27)))))</f>
        <v/>
      </c>
      <c r="L28" s="26"/>
    </row>
    <row r="29" customFormat="false" ht="15" hidden="false" customHeight="false" outlineLevel="0" collapsed="false">
      <c r="A29" s="20" t="s">
        <v>237</v>
      </c>
      <c r="E29" s="21" t="str">
        <f aca="false">IF(D29="?OLD","!!!","")</f>
        <v/>
      </c>
      <c r="F29" s="22" t="str">
        <f aca="false">IF(OR(E29="",E29="!!!"),"",IF(NOT(ISNA(VLOOKUP(E29,E$1:E28,1,FALSE()))),"OLD",IF(AND(E29&lt;&gt;"",E29&lt;&gt;"!!!"),"NEW","")))</f>
        <v>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IF(OR(E29="",E29="!!!",F29="NEW"),"",INDEX(B28:B$2,-1+SUMPRODUCT(MAX(ROW(E28:E$2)*(E29=E28:E$2)))))</f>
        <v> </v>
      </c>
      <c r="J29" s="25" t="str">
        <f aca="true">IF(OR(E29="",E29="!!!",F29="NEW"),"",COUNTBLANK(OFFSET(A$1,,,SUMPRODUCT(MAX(ROW(E$2:E29)*(E29=E$2:E29)))))-COUNTBLANK(OFFSET(A$1,,,SUMPRODUCT(MAX(ROW(E$1:E28)*(E2=E$1:E28))))))</f>
        <v/>
      </c>
      <c r="K29" s="25" t="str">
        <f aca="false">IF(OR(E29="",E29="!!!",F29="NEW"),"",INDEX(J$1:J28,SUMPRODUCT(MAX(ROW(E$1:E28)*(E29=E$1:E28)))))</f>
        <v/>
      </c>
      <c r="L29" s="26"/>
    </row>
    <row r="30" customFormat="false" ht="15" hidden="false" customHeight="false" outlineLevel="0" collapsed="false">
      <c r="A30" s="20" t="s">
        <v>238</v>
      </c>
      <c r="E30" s="21" t="str">
        <f aca="false">IF(D30="?OLD","!!!","")</f>
        <v/>
      </c>
      <c r="F30" s="22" t="str">
        <f aca="false">IF(OR(E30="",E30="!!!"),"",IF(NOT(ISNA(VLOOKUP(E30,E$1:E29,1,FALSE()))),"OLD",IF(AND(E30&lt;&gt;"",E30&lt;&gt;"!!!"),"NEW","")))</f>
        <v> </v>
      </c>
      <c r="G30" s="23" t="str">
        <f aca="false">IF(OR(E30="",E30="!!!"),"",IF(OR(J30=0,AND(J30=1,K30=1),AND(J30=1,I30="SBJ"),AND(J30=1,I30=0)),"?IN_FOCUS",IF(J30&lt;=2,"?ACTIVATED",IF(J30&lt;&gt;"","?FAMILIAR",IF(F30="NEW",IF(ISNA(VLOOKUP(E30,#REF!,1,FALSE())),"?TYPE_IDENTIFIABLE","?REFERENTIAL"),"_")))))</f>
        <v/>
      </c>
      <c r="H30" s="24" t="str">
        <f aca="false">IF(J30&lt;&gt;1,"",IF(I30="SBJ","CB","?"))</f>
        <v/>
      </c>
      <c r="I30" s="25" t="str">
        <f aca="false">IF(OR(E30="",E30="!!!",F30="NEW"),"",INDEX(B29:B$2,-1+SUMPRODUCT(MAX(ROW(E29:E$2)*(E30=E29:E$2)))))</f>
        <v> </v>
      </c>
      <c r="J30" s="25" t="str">
        <f aca="true">IF(OR(E30="",E30="!!!",F30="NEW"),"",COUNTBLANK(OFFSET(A$1,,,SUMPRODUCT(MAX(ROW(E$2:E30)*(E30=E$2:E30)))))-COUNTBLANK(OFFSET(A$1,,,SUMPRODUCT(MAX(ROW(E$1:E29)*(E2=E$1:E29))))))</f>
        <v/>
      </c>
      <c r="K30" s="25" t="str">
        <f aca="false">IF(OR(E30="",E30="!!!",F30="NEW"),"",INDEX(J$1:J29,SUMPRODUCT(MAX(ROW(E$1:E29)*(E30=E$1:E29)))))</f>
        <v/>
      </c>
      <c r="L30" s="26"/>
    </row>
    <row r="31" customFormat="false" ht="15" hidden="false" customHeight="false" outlineLevel="0" collapsed="false">
      <c r="A31" s="20" t="s">
        <v>239</v>
      </c>
      <c r="E31" s="21" t="str">
        <f aca="false">IF(D31="?OLD","!!!","")</f>
        <v/>
      </c>
      <c r="F31" s="22" t="str">
        <f aca="false">IF(OR(E31="",E31="!!!"),"",IF(NOT(ISNA(VLOOKUP(E31,E$1:E30,1,FALSE()))),"OLD",IF(AND(E31&lt;&gt;"",E31&lt;&gt;"!!!"),"NEW","")))</f>
        <v>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IF(OR(E31="",E31="!!!",F31="NEW"),"",INDEX(B30:B$2,-1+SUMPRODUCT(MAX(ROW(E30:E$2)*(E31=E30:E$2)))))</f>
        <v> </v>
      </c>
      <c r="J31" s="25" t="str">
        <f aca="true">IF(OR(E31="",E31="!!!",F31="NEW"),"",COUNTBLANK(OFFSET(A$1,,,SUMPRODUCT(MAX(ROW(E$2:E31)*(E31=E$2:E31)))))-COUNTBLANK(OFFSET(A$1,,,SUMPRODUCT(MAX(ROW(E$1:E30)*(E2=E$1:E30))))))</f>
        <v/>
      </c>
      <c r="K31" s="25" t="str">
        <f aca="false">IF(OR(E31="",E31="!!!",F31="NEW"),"",INDEX(J$1:J30,SUMPRODUCT(MAX(ROW(E$1:E30)*(E31=E$1:E30)))))</f>
        <v/>
      </c>
      <c r="L31" s="26"/>
    </row>
    <row r="32" customFormat="false" ht="15" hidden="false" customHeight="false" outlineLevel="0" collapsed="false">
      <c r="A32" s="20" t="s">
        <v>226</v>
      </c>
      <c r="B32" s="27" t="s">
        <v>240</v>
      </c>
      <c r="C32" s="27" t="s">
        <v>225</v>
      </c>
      <c r="D32" s="27" t="s">
        <v>209</v>
      </c>
      <c r="E32" s="21" t="str">
        <f aca="false">IF(D32="?OLD","!!!","")</f>
        <v>!!!</v>
      </c>
      <c r="F32" s="22" t="str">
        <f aca="false">IF(OR(E32="",E32="!!!"),"",IF(NOT(ISNA(VLOOKUP(E32,E$1:E31,1,FALSE()))),"OLD",IF(AND(E32&lt;&gt;"",E32&lt;&gt;"!!!"),"NEW","")))</f>
        <v>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IF(OR(E32="",E32="!!!",F32="NEW"),"",INDEX(B31:B$2,-1+SUMPRODUCT(MAX(ROW(E31:E$2)*(E32=E31:E$2)))))</f>
        <v> </v>
      </c>
      <c r="J32" s="25" t="str">
        <f aca="true">IF(OR(E32="",E32="!!!",F32="NEW"),"",COUNTBLANK(OFFSET(A$1,,,SUMPRODUCT(MAX(ROW(E$2:E32)*(E32=E$2:E32)))))-COUNTBLANK(OFFSET(A$1,,,SUMPRODUCT(MAX(ROW(E$1:E31)*(E2=E$1:E31))))))</f>
        <v/>
      </c>
      <c r="K32" s="25" t="str">
        <f aca="false">IF(OR(E32="",E32="!!!",F32="NEW"),"",INDEX(J$1:J31,SUMPRODUCT(MAX(ROW(E$1:E31)*(E32=E$1:E31)))))</f>
        <v/>
      </c>
      <c r="L32" s="26"/>
    </row>
    <row r="33" customFormat="false" ht="15" hidden="false" customHeight="false" outlineLevel="0" collapsed="false">
      <c r="A33" s="20" t="s">
        <v>241</v>
      </c>
      <c r="E33" s="21" t="str">
        <f aca="false">IF(D33="?OLD","!!!","")</f>
        <v/>
      </c>
      <c r="F33" s="22" t="str">
        <f aca="false">IF(OR(E33="",E33="!!!"),"",IF(NOT(ISNA(VLOOKUP(E33,E$1:E32,1,FALSE()))),"OLD",IF(AND(E33&lt;&gt;"",E33&lt;&gt;"!!!"),"NEW","")))</f>
        <v>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IF(OR(E33="",E33="!!!",F33="NEW"),"",INDEX(B32:B$2,-1+SUMPRODUCT(MAX(ROW(E32:E$2)*(E33=E32:E$2)))))</f>
        <v> </v>
      </c>
      <c r="J33" s="25" t="str">
        <f aca="true">IF(OR(E33="",E33="!!!",F33="NEW"),"",COUNTBLANK(OFFSET(A$1,,,SUMPRODUCT(MAX(ROW(E$2:E33)*(E33=E$2:E33)))))-COUNTBLANK(OFFSET(A$1,,,SUMPRODUCT(MAX(ROW(E$1:E32)*(E2=E$1:E32))))))</f>
        <v/>
      </c>
      <c r="K33" s="25" t="str">
        <f aca="false">IF(OR(E33="",E33="!!!",F33="NEW"),"",INDEX(J$1:J32,SUMPRODUCT(MAX(ROW(E$1:E32)*(E33=E$1:E32)))))</f>
        <v/>
      </c>
      <c r="L33" s="26"/>
    </row>
    <row r="34" customFormat="false" ht="15" hidden="false" customHeight="false" outlineLevel="0" collapsed="false">
      <c r="A34" s="20" t="s">
        <v>234</v>
      </c>
      <c r="E34" s="21" t="str">
        <f aca="false">IF(D34="?OLD","!!!","")</f>
        <v/>
      </c>
      <c r="F34" s="22" t="str">
        <f aca="false">IF(OR(E34="",E34="!!!"),"",IF(NOT(ISNA(VLOOKUP(E34,E$1:E33,1,FALSE()))),"OLD",IF(AND(E34&lt;&gt;"",E34&lt;&gt;"!!!"),"NEW","")))</f>
        <v>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IF(OR(E34="",E34="!!!",F34="NEW"),"",INDEX(B33:B$2,-1+SUMPRODUCT(MAX(ROW(E33:E$2)*(E34=E33:E$2)))))</f>
        <v> </v>
      </c>
      <c r="J34" s="25" t="str">
        <f aca="true">IF(OR(E34="",E34="!!!",F34="NEW"),"",COUNTBLANK(OFFSET(A$1,,,SUMPRODUCT(MAX(ROW(E$2:E34)*(E34=E$2:E34)))))-COUNTBLANK(OFFSET(A$1,,,SUMPRODUCT(MAX(ROW(E$1:E33)*(E2=E$1:E33))))))</f>
        <v/>
      </c>
      <c r="K34" s="25" t="str">
        <f aca="false">IF(OR(E34="",E34="!!!",F34="NEW"),"",INDEX(J$1:J33,SUMPRODUCT(MAX(ROW(E$1:E33)*(E34=E$1:E33)))))</f>
        <v/>
      </c>
      <c r="L34" s="26"/>
    </row>
    <row r="35" customFormat="false" ht="15" hidden="false" customHeight="false" outlineLevel="0" collapsed="false">
      <c r="A35" s="20" t="s">
        <v>237</v>
      </c>
      <c r="E35" s="21" t="str">
        <f aca="false">IF(D35="?OLD","!!!","")</f>
        <v/>
      </c>
      <c r="F35" s="22" t="str">
        <f aca="false">IF(OR(E35="",E35="!!!"),"",IF(NOT(ISNA(VLOOKUP(E35,E$1:E34,1,FALSE()))),"OLD",IF(AND(E35&lt;&gt;"",E35&lt;&gt;"!!!"),"NEW","")))</f>
        <v> </v>
      </c>
      <c r="G35" s="23" t="str">
        <f aca="false">IF(OR(E35="",E35="!!!"),"",IF(OR(J35=0,AND(J35=1,K35=1),AND(J35=1,I35="SBJ"),AND(J35=1,I35=0)),"?IN_FOCUS",IF(J35&lt;=2,"?ACTIVATED",IF(J35&lt;&gt;"","?FAMILIAR",IF(F35="NEW",IF(ISNA(VLOOKUP(E35,#REF!,1,FALSE())),"?TYPE_IDENTIFIABLE","?REFERENTIAL"),"_")))))</f>
        <v/>
      </c>
      <c r="H35" s="24" t="str">
        <f aca="false">IF(J35&lt;&gt;1,"",IF(I35="SBJ","CB","?"))</f>
        <v/>
      </c>
      <c r="I35" s="25" t="str">
        <f aca="false">IF(OR(E35="",E35="!!!",F35="NEW"),"",INDEX(B34:B$2,-1+SUMPRODUCT(MAX(ROW(E34:E$2)*(E35=E34:E$2)))))</f>
        <v> </v>
      </c>
      <c r="J35" s="25" t="str">
        <f aca="true">IF(OR(E35="",E35="!!!",F35="NEW"),"",COUNTBLANK(OFFSET(A$1,,,SUMPRODUCT(MAX(ROW(E$2:E35)*(E35=E$2:E35)))))-COUNTBLANK(OFFSET(A$1,,,SUMPRODUCT(MAX(ROW(E$1:E34)*(E2=E$1:E34))))))</f>
        <v/>
      </c>
      <c r="K35" s="25" t="str">
        <f aca="false">IF(OR(E35="",E35="!!!",F35="NEW"),"",INDEX(J$1:J34,SUMPRODUCT(MAX(ROW(E$1:E34)*(E35=E$1:E34)))))</f>
        <v/>
      </c>
      <c r="L35" s="26"/>
    </row>
    <row r="36" customFormat="false" ht="15" hidden="false" customHeight="false" outlineLevel="0" collapsed="false">
      <c r="A36" s="20" t="s">
        <v>242</v>
      </c>
      <c r="E36" s="21" t="str">
        <f aca="false">IF(D36="?OLD","!!!","")</f>
        <v/>
      </c>
      <c r="F36" s="22" t="str">
        <f aca="false">IF(OR(E36="",E36="!!!"),"",IF(NOT(ISNA(VLOOKUP(E36,E$1:E35,1,FALSE()))),"OLD",IF(AND(E36&lt;&gt;"",E36&lt;&gt;"!!!"),"NEW","")))</f>
        <v> </v>
      </c>
      <c r="G36" s="23" t="str">
        <f aca="false">IF(OR(E36="",E36="!!!"),"",IF(OR(J36=0,AND(J36=1,K36=1),AND(J36=1,I36="SBJ"),AND(J36=1,I36=0)),"?IN_FOCUS",IF(J36&lt;=2,"?ACTIVATED",IF(J36&lt;&gt;"","?FAMILIAR",IF(F36="NEW",IF(ISNA(VLOOKUP(E36,#REF!,1,FALSE())),"?TYPE_IDENTIFIABLE","?REFERENTIAL"),"_")))))</f>
        <v/>
      </c>
      <c r="H36" s="24" t="str">
        <f aca="false">IF(J36&lt;&gt;1,"",IF(I36="SBJ","CB","?"))</f>
        <v/>
      </c>
      <c r="I36" s="25" t="str">
        <f aca="false">IF(OR(E36="",E36="!!!",F36="NEW"),"",INDEX(B35:B$2,-1+SUMPRODUCT(MAX(ROW(E35:E$2)*(E36=E35:E$2)))))</f>
        <v> </v>
      </c>
      <c r="J36" s="25" t="str">
        <f aca="true">IF(OR(E36="",E36="!!!",F36="NEW"),"",COUNTBLANK(OFFSET(A$1,,,SUMPRODUCT(MAX(ROW(E$2:E36)*(E36=E$2:E36)))))-COUNTBLANK(OFFSET(A$1,,,SUMPRODUCT(MAX(ROW(E$1:E35)*(E2=E$1:E35))))))</f>
        <v/>
      </c>
      <c r="K36" s="25" t="str">
        <f aca="false">IF(OR(E36="",E36="!!!",F36="NEW"),"",INDEX(J$1:J35,SUMPRODUCT(MAX(ROW(E$1:E35)*(E36=E$1:E35)))))</f>
        <v/>
      </c>
      <c r="L36" s="26"/>
    </row>
    <row r="37" customFormat="false" ht="15" hidden="false" customHeight="false" outlineLevel="0" collapsed="false">
      <c r="A37" s="20" t="s">
        <v>243</v>
      </c>
      <c r="B37" s="27" t="s">
        <v>244</v>
      </c>
      <c r="C37" s="27" t="s">
        <v>233</v>
      </c>
      <c r="D37" s="27" t="s">
        <v>209</v>
      </c>
      <c r="E37" s="21" t="str">
        <f aca="false">IF(D37="?OLD","!!!","")</f>
        <v>!!!</v>
      </c>
      <c r="F37" s="22" t="str">
        <f aca="false">IF(OR(E37="",E37="!!!"),"",IF(NOT(ISNA(VLOOKUP(E37,E$1:E36,1,FALSE()))),"OLD",IF(AND(E37&lt;&gt;"",E37&lt;&gt;"!!!"),"NEW","")))</f>
        <v> </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IF(OR(E37="",E37="!!!",F37="NEW"),"",INDEX(B36:B$2,-1+SUMPRODUCT(MAX(ROW(E36:E$2)*(E37=E36:E$2)))))</f>
        <v> </v>
      </c>
      <c r="J37" s="25" t="str">
        <f aca="true">IF(OR(E37="",E37="!!!",F37="NEW"),"",COUNTBLANK(OFFSET(A$1,,,SUMPRODUCT(MAX(ROW(E$2:E37)*(E37=E$2:E37)))))-COUNTBLANK(OFFSET(A$1,,,SUMPRODUCT(MAX(ROW(E$1:E36)*(E2=E$1:E36))))))</f>
        <v/>
      </c>
      <c r="K37" s="25" t="str">
        <f aca="false">IF(OR(E37="",E37="!!!",F37="NEW"),"",INDEX(J$1:J36,SUMPRODUCT(MAX(ROW(E$1:E36)*(E37=E$1:E36)))))</f>
        <v/>
      </c>
      <c r="L37" s="26"/>
    </row>
    <row r="38" customFormat="false" ht="15" hidden="false" customHeight="false" outlineLevel="0" collapsed="false">
      <c r="A38" s="20" t="s">
        <v>245</v>
      </c>
      <c r="E38" s="21" t="str">
        <f aca="false">IF(D38="?OLD","!!!","")</f>
        <v/>
      </c>
      <c r="F38" s="22" t="str">
        <f aca="false">IF(OR(E38="",E38="!!!"),"",IF(NOT(ISNA(VLOOKUP(E38,E$1:E37,1,FALSE()))),"OLD",IF(AND(E38&lt;&gt;"",E38&lt;&gt;"!!!"),"NEW","")))</f>
        <v> </v>
      </c>
      <c r="G38" s="23" t="str">
        <f aca="false">IF(OR(E38="",E38="!!!"),"",IF(OR(J38=0,AND(J38=1,K38=1),AND(J38=1,I38="SBJ"),AND(J38=1,I38=0)),"?IN_FOCUS",IF(J38&lt;=2,"?ACTIVATED",IF(J38&lt;&gt;"","?FAMILIAR",IF(F38="NEW",IF(ISNA(VLOOKUP(E38,#REF!,1,FALSE())),"?TYPE_IDENTIFIABLE","?REFERENTIAL"),"_")))))</f>
        <v/>
      </c>
      <c r="H38" s="24" t="str">
        <f aca="false">IF(J38&lt;&gt;1,"",IF(I38="SBJ","CB","?"))</f>
        <v/>
      </c>
      <c r="I38" s="25" t="str">
        <f aca="false">IF(OR(E38="",E38="!!!",F38="NEW"),"",INDEX(B37:B$2,-1+SUMPRODUCT(MAX(ROW(E37:E$2)*(E38=E37:E$2)))))</f>
        <v> </v>
      </c>
      <c r="J38" s="25" t="str">
        <f aca="true">IF(OR(E38="",E38="!!!",F38="NEW"),"",COUNTBLANK(OFFSET(A$1,,,SUMPRODUCT(MAX(ROW(E$2:E38)*(E38=E$2:E38)))))-COUNTBLANK(OFFSET(A$1,,,SUMPRODUCT(MAX(ROW(E$1:E37)*(E2=E$1:E37))))))</f>
        <v/>
      </c>
      <c r="K38" s="25" t="str">
        <f aca="false">IF(OR(E38="",E38="!!!",F38="NEW"),"",INDEX(J$1:J37,SUMPRODUCT(MAX(ROW(E$1:E37)*(E38=E$1:E37)))))</f>
        <v/>
      </c>
      <c r="L38" s="26"/>
    </row>
    <row r="39" customFormat="false" ht="15" hidden="false" customHeight="false" outlineLevel="0" collapsed="false">
      <c r="A39" s="20" t="s">
        <v>246</v>
      </c>
      <c r="E39" s="21" t="str">
        <f aca="false">IF(D39="?OLD","!!!","")</f>
        <v/>
      </c>
      <c r="F39" s="22" t="str">
        <f aca="false">IF(OR(E39="",E39="!!!"),"",IF(NOT(ISNA(VLOOKUP(E39,E$1:E38,1,FALSE()))),"OLD",IF(AND(E39&lt;&gt;"",E39&lt;&gt;"!!!"),"NEW","")))</f>
        <v>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IF(OR(E39="",E39="!!!",F39="NEW"),"",INDEX(B38:B$2,-1+SUMPRODUCT(MAX(ROW(E38:E$2)*(E39=E38:E$2)))))</f>
        <v> </v>
      </c>
      <c r="J39" s="25" t="str">
        <f aca="true">IF(OR(E39="",E39="!!!",F39="NEW"),"",COUNTBLANK(OFFSET(A$1,,,SUMPRODUCT(MAX(ROW(E$2:E39)*(E39=E$2:E39)))))-COUNTBLANK(OFFSET(A$1,,,SUMPRODUCT(MAX(ROW(E$1:E38)*(E2=E$1:E38))))))</f>
        <v/>
      </c>
      <c r="K39" s="25" t="str">
        <f aca="false">IF(OR(E39="",E39="!!!",F39="NEW"),"",INDEX(J$1:J38,SUMPRODUCT(MAX(ROW(E$1:E38)*(E39=E$1:E38)))))</f>
        <v/>
      </c>
      <c r="L39" s="26"/>
    </row>
    <row r="40" customFormat="false" ht="15" hidden="false" customHeight="false" outlineLevel="0" collapsed="false">
      <c r="A40" s="20" t="s">
        <v>89</v>
      </c>
      <c r="E40" s="21" t="str">
        <f aca="false">IF(D40="?OLD","!!!","")</f>
        <v/>
      </c>
      <c r="F40" s="22" t="str">
        <f aca="false">IF(OR(E40="",E40="!!!"),"",IF(NOT(ISNA(VLOOKUP(E40,E$1:E39,1,FALSE()))),"OLD",IF(AND(E40&lt;&gt;"",E40&lt;&gt;"!!!"),"NEW","")))</f>
        <v>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IF(OR(E40="",E40="!!!",F40="NEW"),"",INDEX(B39:B$2,-1+SUMPRODUCT(MAX(ROW(E39:E$2)*(E40=E39:E$2)))))</f>
        <v> </v>
      </c>
      <c r="J40" s="25" t="str">
        <f aca="true">IF(OR(E40="",E40="!!!",F40="NEW"),"",COUNTBLANK(OFFSET(A$1,,,SUMPRODUCT(MAX(ROW(E$2:E40)*(E40=E$2:E40)))))-COUNTBLANK(OFFSET(A$1,,,SUMPRODUCT(MAX(ROW(E$1:E39)*(E2=E$1:E39))))))</f>
        <v/>
      </c>
      <c r="K40" s="25" t="str">
        <f aca="false">IF(OR(E40="",E40="!!!",F40="NEW"),"",INDEX(J$1:J39,SUMPRODUCT(MAX(ROW(E$1:E39)*(E40=E$1:E39)))))</f>
        <v/>
      </c>
      <c r="L40" s="26"/>
    </row>
    <row r="41" customFormat="false" ht="15" hidden="false" customHeight="false" outlineLevel="0" collapsed="false">
      <c r="A41" s="20" t="s">
        <v>218</v>
      </c>
      <c r="E41" s="21" t="str">
        <f aca="false">IF(D41="?OLD","!!!","")</f>
        <v/>
      </c>
      <c r="F41" s="22" t="str">
        <f aca="false">IF(OR(E41="",E41="!!!"),"",IF(NOT(ISNA(VLOOKUP(E41,E$1:E40,1,FALSE()))),"OLD",IF(AND(E41&lt;&gt;"",E41&lt;&gt;"!!!"),"NEW","")))</f>
        <v>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IF(OR(E41="",E41="!!!",F41="NEW"),"",INDEX(B40:B$2,-1+SUMPRODUCT(MAX(ROW(E40:E$2)*(E41=E40:E$2)))))</f>
        <v> </v>
      </c>
      <c r="J41" s="25" t="str">
        <f aca="true">IF(OR(E41="",E41="!!!",F41="NEW"),"",COUNTBLANK(OFFSET(A$1,,,SUMPRODUCT(MAX(ROW(E$2:E41)*(E41=E$2:E41)))))-COUNTBLANK(OFFSET(A$1,,,SUMPRODUCT(MAX(ROW(E$1:E40)*(E2=E$1:E40))))))</f>
        <v/>
      </c>
      <c r="K41" s="25" t="str">
        <f aca="false">IF(OR(E41="",E41="!!!",F41="NEW"),"",INDEX(J$1:J40,SUMPRODUCT(MAX(ROW(E$1:E40)*(E41=E$1:E40)))))</f>
        <v/>
      </c>
      <c r="L41" s="26"/>
    </row>
    <row r="42" customFormat="false" ht="15" hidden="false" customHeight="false" outlineLevel="0" collapsed="false">
      <c r="A42" s="20" t="s">
        <v>214</v>
      </c>
      <c r="E42" s="21" t="str">
        <f aca="false">IF(D42="?OLD","!!!","")</f>
        <v/>
      </c>
      <c r="F42" s="22" t="str">
        <f aca="false">IF(OR(E42="",E42="!!!"),"",IF(NOT(ISNA(VLOOKUP(E42,E$1:E41,1,FALSE()))),"OLD",IF(AND(E42&lt;&gt;"",E42&lt;&gt;"!!!"),"NEW","")))</f>
        <v>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IF(OR(E42="",E42="!!!",F42="NEW"),"",INDEX(B41:B$2,-1+SUMPRODUCT(MAX(ROW(E41:E$2)*(E42=E41:E$2)))))</f>
        <v> </v>
      </c>
      <c r="J42" s="25" t="str">
        <f aca="true">IF(OR(E42="",E42="!!!",F42="NEW"),"",COUNTBLANK(OFFSET(A$1,,,SUMPRODUCT(MAX(ROW(E$2:E42)*(E42=E$2:E42)))))-COUNTBLANK(OFFSET(A$1,,,SUMPRODUCT(MAX(ROW(E$1:E41)*(E2=E$1:E41))))))</f>
        <v/>
      </c>
      <c r="K42" s="25" t="str">
        <f aca="false">IF(OR(E42="",E42="!!!",F42="NEW"),"",INDEX(J$1:J41,SUMPRODUCT(MAX(ROW(E$1:E41)*(E42=E$1:E41)))))</f>
        <v/>
      </c>
      <c r="L42" s="26"/>
    </row>
    <row r="43" customFormat="false" ht="15" hidden="false" customHeight="false" outlineLevel="0" collapsed="false">
      <c r="A43" s="20" t="s">
        <v>247</v>
      </c>
      <c r="B43" s="27" t="s">
        <v>248</v>
      </c>
      <c r="C43" s="27" t="s">
        <v>217</v>
      </c>
      <c r="E43" s="21" t="str">
        <f aca="false">IF(D43="?OLD","!!!","")</f>
        <v/>
      </c>
      <c r="F43" s="22" t="str">
        <f aca="false">IF(OR(E43="",E43="!!!"),"",IF(NOT(ISNA(VLOOKUP(E43,E$1:E42,1,FALSE()))),"OLD",IF(AND(E43&lt;&gt;"",E43&lt;&gt;"!!!"),"NEW","")))</f>
        <v>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IF(OR(E43="",E43="!!!",F43="NEW"),"",INDEX(B42:B$2,-1+SUMPRODUCT(MAX(ROW(E42:E$2)*(E43=E42:E$2)))))</f>
        <v> </v>
      </c>
      <c r="J43" s="25" t="str">
        <f aca="true">IF(OR(E43="",E43="!!!",F43="NEW"),"",COUNTBLANK(OFFSET(A$1,,,SUMPRODUCT(MAX(ROW(E$2:E43)*(E43=E$2:E43)))))-COUNTBLANK(OFFSET(A$1,,,SUMPRODUCT(MAX(ROW(E$1:E42)*(E2=E$1:E42))))))</f>
        <v/>
      </c>
      <c r="K43" s="25" t="str">
        <f aca="false">IF(OR(E43="",E43="!!!",F43="NEW"),"",INDEX(J$1:J42,SUMPRODUCT(MAX(ROW(E$1:E42)*(E43=E$1:E42)))))</f>
        <v/>
      </c>
      <c r="L43" s="26"/>
    </row>
    <row r="44" customFormat="false" ht="15" hidden="false" customHeight="false" outlineLevel="0" collapsed="false">
      <c r="A44" s="20" t="s">
        <v>218</v>
      </c>
      <c r="E44" s="21" t="str">
        <f aca="false">IF(D44="?OLD","!!!","")</f>
        <v/>
      </c>
      <c r="F44" s="22" t="str">
        <f aca="false">IF(OR(E44="",E44="!!!"),"",IF(NOT(ISNA(VLOOKUP(E44,E$1:E43,1,FALSE()))),"OLD",IF(AND(E44&lt;&gt;"",E44&lt;&gt;"!!!"),"NEW","")))</f>
        <v> </v>
      </c>
      <c r="G44" s="23" t="str">
        <f aca="false">IF(OR(E44="",E44="!!!"),"",IF(OR(J44=0,AND(J44=1,K44=1),AND(J44=1,I44="SBJ"),AND(J44=1,I44=0)),"?IN_FOCUS",IF(J44&lt;=2,"?ACTIVATED",IF(J44&lt;&gt;"","?FAMILIAR",IF(F44="NEW",IF(ISNA(VLOOKUP(E44,#REF!,1,FALSE())),"?TYPE_IDENTIFIABLE","?REFERENTIAL"),"_")))))</f>
        <v/>
      </c>
      <c r="H44" s="24" t="str">
        <f aca="false">IF(J44&lt;&gt;1,"",IF(I44="SBJ","CB","?"))</f>
        <v/>
      </c>
      <c r="I44" s="25" t="str">
        <f aca="false">IF(OR(E44="",E44="!!!",F44="NEW"),"",INDEX(B43:B$2,-1+SUMPRODUCT(MAX(ROW(E43:E$2)*(E44=E43:E$2)))))</f>
        <v> </v>
      </c>
      <c r="J44" s="25" t="str">
        <f aca="true">IF(OR(E44="",E44="!!!",F44="NEW"),"",COUNTBLANK(OFFSET(A$1,,,SUMPRODUCT(MAX(ROW(E$2:E44)*(E44=E$2:E44)))))-COUNTBLANK(OFFSET(A$1,,,SUMPRODUCT(MAX(ROW(E$1:E43)*(E2=E$1:E43))))))</f>
        <v/>
      </c>
      <c r="K44" s="25" t="str">
        <f aca="false">IF(OR(E44="",E44="!!!",F44="NEW"),"",INDEX(J$1:J43,SUMPRODUCT(MAX(ROW(E$1:E43)*(E44=E$1:E43)))))</f>
        <v/>
      </c>
      <c r="L44" s="26"/>
    </row>
    <row r="45" customFormat="false" ht="15" hidden="false" customHeight="false" outlineLevel="0" collapsed="false">
      <c r="A45" s="20" t="s">
        <v>205</v>
      </c>
      <c r="E45" s="21" t="str">
        <f aca="false">IF(D45="?OLD","!!!","")</f>
        <v/>
      </c>
      <c r="F45" s="22" t="str">
        <f aca="false">IF(OR(E45="",E45="!!!"),"",IF(NOT(ISNA(VLOOKUP(E45,E$1:E44,1,FALSE()))),"OLD",IF(AND(E45&lt;&gt;"",E45&lt;&gt;"!!!"),"NEW","")))</f>
        <v>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IF(OR(E45="",E45="!!!",F45="NEW"),"",INDEX(B44:B$2,-1+SUMPRODUCT(MAX(ROW(E44:E$2)*(E45=E44:E$2)))))</f>
        <v> </v>
      </c>
      <c r="J45" s="25" t="str">
        <f aca="true">IF(OR(E45="",E45="!!!",F45="NEW"),"",COUNTBLANK(OFFSET(A$1,,,SUMPRODUCT(MAX(ROW(E$2:E45)*(E45=E$2:E45)))))-COUNTBLANK(OFFSET(A$1,,,SUMPRODUCT(MAX(ROW(E$1:E44)*(E2=E$1:E44))))))</f>
        <v/>
      </c>
      <c r="K45" s="25" t="str">
        <f aca="false">IF(OR(E45="",E45="!!!",F45="NEW"),"",INDEX(J$1:J44,SUMPRODUCT(MAX(ROW(E$1:E44)*(E45=E$1:E44)))))</f>
        <v/>
      </c>
      <c r="L45" s="26"/>
    </row>
    <row r="46" customFormat="false" ht="15" hidden="false" customHeight="false" outlineLevel="0" collapsed="false">
      <c r="A46" s="20" t="s">
        <v>249</v>
      </c>
      <c r="B46" s="27" t="s">
        <v>250</v>
      </c>
      <c r="C46" s="27" t="s">
        <v>208</v>
      </c>
      <c r="D46" s="27" t="s">
        <v>209</v>
      </c>
      <c r="E46" s="21" t="str">
        <f aca="false">IF(D46="?OLD","!!!","")</f>
        <v>!!!</v>
      </c>
      <c r="F46" s="22" t="str">
        <f aca="false">IF(OR(E46="",E46="!!!"),"",IF(NOT(ISNA(VLOOKUP(E46,E$1:E45,1,FALSE()))),"OLD",IF(AND(E46&lt;&gt;"",E46&lt;&gt;"!!!"),"NEW","")))</f>
        <v>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IF(OR(E46="",E46="!!!",F46="NEW"),"",INDEX(B45:B$2,-1+SUMPRODUCT(MAX(ROW(E45:E$2)*(E46=E45:E$2)))))</f>
        <v> </v>
      </c>
      <c r="J46" s="25" t="str">
        <f aca="true">IF(OR(E46="",E46="!!!",F46="NEW"),"",COUNTBLANK(OFFSET(A$1,,,SUMPRODUCT(MAX(ROW(E$2:E46)*(E46=E$2:E46)))))-COUNTBLANK(OFFSET(A$1,,,SUMPRODUCT(MAX(ROW(E$1:E45)*(E2=E$1:E45))))))</f>
        <v/>
      </c>
      <c r="K46" s="25" t="str">
        <f aca="false">IF(OR(E46="",E46="!!!",F46="NEW"),"",INDEX(J$1:J45,SUMPRODUCT(MAX(ROW(E$1:E45)*(E46=E$1:E45)))))</f>
        <v/>
      </c>
      <c r="L46" s="26"/>
    </row>
    <row r="47" customFormat="false" ht="15" hidden="false" customHeight="false" outlineLevel="0" collapsed="false">
      <c r="A47" s="20" t="s">
        <v>251</v>
      </c>
      <c r="E47" s="21" t="str">
        <f aca="false">IF(D47="?OLD","!!!","")</f>
        <v/>
      </c>
      <c r="F47" s="22" t="str">
        <f aca="false">IF(OR(E47="",E47="!!!"),"",IF(NOT(ISNA(VLOOKUP(E47,E$1:E46,1,FALSE()))),"OLD",IF(AND(E47&lt;&gt;"",E47&lt;&gt;"!!!"),"NEW","")))</f>
        <v> </v>
      </c>
      <c r="G47" s="23" t="str">
        <f aca="false">IF(OR(E47="",E47="!!!"),"",IF(OR(J47=0,AND(J47=1,K47=1),AND(J47=1,I47="SBJ"),AND(J47=1,I47=0)),"?IN_FOCUS",IF(J47&lt;=2,"?ACTIVATED",IF(J47&lt;&gt;"","?FAMILIAR",IF(F47="NEW",IF(ISNA(VLOOKUP(E47,#REF!,1,FALSE())),"?TYPE_IDENTIFIABLE","?REFERENTIAL"),"_")))))</f>
        <v/>
      </c>
      <c r="H47" s="24" t="str">
        <f aca="false">IF(J47&lt;&gt;1,"",IF(I47="SBJ","CB","?"))</f>
        <v/>
      </c>
      <c r="I47" s="25" t="str">
        <f aca="false">IF(OR(E47="",E47="!!!",F47="NEW"),"",INDEX(B46:B$2,-1+SUMPRODUCT(MAX(ROW(E46:E$2)*(E47=E46:E$2)))))</f>
        <v> </v>
      </c>
      <c r="J47" s="25" t="str">
        <f aca="true">IF(OR(E47="",E47="!!!",F47="NEW"),"",COUNTBLANK(OFFSET(A$1,,,SUMPRODUCT(MAX(ROW(E$2:E47)*(E47=E$2:E47)))))-COUNTBLANK(OFFSET(A$1,,,SUMPRODUCT(MAX(ROW(E$1:E46)*(E2=E$1:E46))))))</f>
        <v/>
      </c>
      <c r="K47" s="25" t="str">
        <f aca="false">IF(OR(E47="",E47="!!!",F47="NEW"),"",INDEX(J$1:J46,SUMPRODUCT(MAX(ROW(E$1:E46)*(E47=E$1:E46)))))</f>
        <v/>
      </c>
      <c r="L47" s="26"/>
    </row>
    <row r="48" customFormat="false" ht="15" hidden="false" customHeight="false" outlineLevel="0" collapsed="false">
      <c r="A48" s="20" t="s">
        <v>242</v>
      </c>
      <c r="E48" s="21" t="str">
        <f aca="false">IF(D48="?OLD","!!!","")</f>
        <v/>
      </c>
      <c r="F48" s="22" t="str">
        <f aca="false">IF(OR(E48="",E48="!!!"),"",IF(NOT(ISNA(VLOOKUP(E48,E$1:E47,1,FALSE()))),"OLD",IF(AND(E48&lt;&gt;"",E48&lt;&gt;"!!!"),"NEW","")))</f>
        <v> </v>
      </c>
      <c r="G48" s="23" t="str">
        <f aca="false">IF(OR(E48="",E48="!!!"),"",IF(OR(J48=0,AND(J48=1,K48=1),AND(J48=1,I48="SBJ"),AND(J48=1,I48=0)),"?IN_FOCUS",IF(J48&lt;=2,"?ACTIVATED",IF(J48&lt;&gt;"","?FAMILIAR",IF(F48="NEW",IF(ISNA(VLOOKUP(E48,#REF!,1,FALSE())),"?TYPE_IDENTIFIABLE","?REFERENTIAL"),"_")))))</f>
        <v/>
      </c>
      <c r="H48" s="24" t="str">
        <f aca="false">IF(J48&lt;&gt;1,"",IF(I48="SBJ","CB","?"))</f>
        <v/>
      </c>
      <c r="I48" s="25" t="str">
        <f aca="false">IF(OR(E48="",E48="!!!",F48="NEW"),"",INDEX(B47:B$2,-1+SUMPRODUCT(MAX(ROW(E47:E$2)*(E48=E47:E$2)))))</f>
        <v> </v>
      </c>
      <c r="J48" s="25" t="str">
        <f aca="true">IF(OR(E48="",E48="!!!",F48="NEW"),"",COUNTBLANK(OFFSET(A$1,,,SUMPRODUCT(MAX(ROW(E$2:E48)*(E48=E$2:E48)))))-COUNTBLANK(OFFSET(A$1,,,SUMPRODUCT(MAX(ROW(E$1:E47)*(E2=E$1:E47))))))</f>
        <v/>
      </c>
      <c r="K48" s="25" t="str">
        <f aca="false">IF(OR(E48="",E48="!!!",F48="NEW"),"",INDEX(J$1:J47,SUMPRODUCT(MAX(ROW(E$1:E47)*(E48=E$1:E47)))))</f>
        <v/>
      </c>
      <c r="L48" s="26"/>
    </row>
    <row r="49" customFormat="false" ht="15" hidden="false" customHeight="false" outlineLevel="0" collapsed="false">
      <c r="A49" s="20" t="s">
        <v>238</v>
      </c>
      <c r="E49" s="21" t="str">
        <f aca="false">IF(D49="?OLD","!!!","")</f>
        <v/>
      </c>
      <c r="F49" s="22" t="str">
        <f aca="false">IF(OR(E49="",E49="!!!"),"",IF(NOT(ISNA(VLOOKUP(E49,E$1:E48,1,FALSE()))),"OLD",IF(AND(E49&lt;&gt;"",E49&lt;&gt;"!!!"),"NEW","")))</f>
        <v> </v>
      </c>
      <c r="G49" s="23" t="str">
        <f aca="false">IF(OR(E49="",E49="!!!"),"",IF(OR(J49=0,AND(J49=1,K49=1),AND(J49=1,I49="SBJ"),AND(J49=1,I49=0)),"?IN_FOCUS",IF(J49&lt;=2,"?ACTIVATED",IF(J49&lt;&gt;"","?FAMILIAR",IF(F49="NEW",IF(ISNA(VLOOKUP(E49,#REF!,1,FALSE())),"?TYPE_IDENTIFIABLE","?REFERENTIAL"),"_")))))</f>
        <v/>
      </c>
      <c r="H49" s="24" t="str">
        <f aca="false">IF(J49&lt;&gt;1,"",IF(I49="SBJ","CB","?"))</f>
        <v/>
      </c>
      <c r="I49" s="25" t="str">
        <f aca="false">IF(OR(E49="",E49="!!!",F49="NEW"),"",INDEX(B48:B$2,-1+SUMPRODUCT(MAX(ROW(E48:E$2)*(E49=E48:E$2)))))</f>
        <v> </v>
      </c>
      <c r="J49" s="25" t="str">
        <f aca="true">IF(OR(E49="",E49="!!!",F49="NEW"),"",COUNTBLANK(OFFSET(A$1,,,SUMPRODUCT(MAX(ROW(E$2:E49)*(E49=E$2:E49)))))-COUNTBLANK(OFFSET(A$1,,,SUMPRODUCT(MAX(ROW(E$1:E48)*(E2=E$1:E48))))))</f>
        <v/>
      </c>
      <c r="K49" s="25" t="str">
        <f aca="false">IF(OR(E49="",E49="!!!",F49="NEW"),"",INDEX(J$1:J48,SUMPRODUCT(MAX(ROW(E$1:E48)*(E49=E$1:E48)))))</f>
        <v/>
      </c>
      <c r="L49" s="26"/>
    </row>
    <row r="50" customFormat="false" ht="15" hidden="false" customHeight="false" outlineLevel="0" collapsed="false">
      <c r="A50" s="20"/>
    </row>
    <row r="51" customFormat="false" ht="15" hidden="false" customHeight="false" outlineLevel="0" collapsed="false">
      <c r="A51" s="20" t="s">
        <v>230</v>
      </c>
      <c r="E51" s="21" t="str">
        <f aca="false">IF(D51="?OLD","!!!","")</f>
        <v/>
      </c>
      <c r="F51" s="22" t="str">
        <f aca="false">IF(OR(E51="",E51="!!!"),"",IF(NOT(ISNA(VLOOKUP(E51,E$1:E50,1,FALSE()))),"OLD",IF(AND(E51&lt;&gt;"",E51&lt;&gt;"!!!"),"NEW","")))</f>
        <v>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IF(OR(E51="",E51="!!!",F51="NEW"),"",INDEX(B50:B$2,-1+SUMPRODUCT(MAX(ROW(E50:E$2)*(E51=E50:E$2)))))</f>
        <v> </v>
      </c>
      <c r="J51" s="25" t="str">
        <f aca="true">IF(OR(E51="",E51="!!!",F51="NEW"),"",COUNTBLANK(OFFSET(A$1,,,SUMPRODUCT(MAX(ROW(E$2:E51)*(E51=E$2:E51)))))-COUNTBLANK(OFFSET(A$1,,,SUMPRODUCT(MAX(ROW(E$1:E50)*(E2=E$1:E50))))))</f>
        <v/>
      </c>
      <c r="K51" s="25" t="str">
        <f aca="false">IF(OR(E51="",E51="!!!",F51="NEW"),"",INDEX(J$1:J50,SUMPRODUCT(MAX(ROW(E$1:E50)*(E51=E$1:E50)))))</f>
        <v/>
      </c>
      <c r="L51" s="26"/>
    </row>
    <row r="52" customFormat="false" ht="15" hidden="false" customHeight="false" outlineLevel="0" collapsed="false">
      <c r="A52" s="20" t="s">
        <v>252</v>
      </c>
    </row>
    <row r="53" customFormat="false" ht="15" hidden="false" customHeight="false" outlineLevel="0" collapsed="false">
      <c r="A53" s="20" t="s">
        <v>253</v>
      </c>
      <c r="E53" s="21" t="str">
        <f aca="false">IF(D53="?OLD","!!!","")</f>
        <v/>
      </c>
      <c r="F53" s="22" t="str">
        <f aca="false">IF(OR(E53="",E53="!!!"),"",IF(NOT(ISNA(VLOOKUP(E53,E$1:E52,1,FALSE()))),"OLD",IF(AND(E53&lt;&gt;"",E53&lt;&gt;"!!!"),"NEW","")))</f>
        <v>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IF(OR(E53="",E53="!!!",F53="NEW"),"",INDEX(B52:B$2,-1+SUMPRODUCT(MAX(ROW(E52:E$2)*(E53=E52:E$2)))))</f>
        <v> </v>
      </c>
      <c r="J53" s="25" t="str">
        <f aca="true">IF(OR(E53="",E53="!!!",F53="NEW"),"",COUNTBLANK(OFFSET(A$1,,,SUMPRODUCT(MAX(ROW(E$2:E53)*(E53=E$2:E53)))))-COUNTBLANK(OFFSET(A$1,,,SUMPRODUCT(MAX(ROW(E$1:E52)*(E2=E$1:E52))))))</f>
        <v/>
      </c>
      <c r="K53" s="25" t="str">
        <f aca="false">IF(OR(E53="",E53="!!!",F53="NEW"),"",INDEX(J$1:J52,SUMPRODUCT(MAX(ROW(E$1:E52)*(E53=E$1:E52)))))</f>
        <v/>
      </c>
      <c r="L53" s="26"/>
    </row>
    <row r="54" customFormat="false" ht="15" hidden="false" customHeight="false" outlineLevel="0" collapsed="false">
      <c r="A54" s="20" t="s">
        <v>236</v>
      </c>
      <c r="B54" s="27" t="s">
        <v>207</v>
      </c>
      <c r="C54" s="27" t="s">
        <v>208</v>
      </c>
      <c r="D54" s="27" t="s">
        <v>209</v>
      </c>
      <c r="E54" s="21" t="str">
        <f aca="false">IF(D54="?OLD","!!!","")</f>
        <v>!!!</v>
      </c>
      <c r="F54" s="22" t="str">
        <f aca="false">IF(OR(E54="",E54="!!!"),"",IF(NOT(ISNA(VLOOKUP(E54,E$1:E53,1,FALSE()))),"OLD",IF(AND(E54&lt;&gt;"",E54&lt;&gt;"!!!"),"NEW","")))</f>
        <v> </v>
      </c>
      <c r="G54" s="23" t="str">
        <f aca="false">IF(OR(E54="",E54="!!!"),"",IF(OR(J54=0,AND(J54=1,K54=1),AND(J54=1,I54="SBJ"),AND(J54=1,I54=0)),"?IN_FOCUS",IF(J54&lt;=2,"?ACTIVATED",IF(J54&lt;&gt;"","?FAMILIAR",IF(F54="NEW",IF(ISNA(VLOOKUP(E54,#REF!,1,FALSE())),"?TYPE_IDENTIFIABLE","?REFERENTIAL"),"_")))))</f>
        <v/>
      </c>
      <c r="H54" s="24" t="str">
        <f aca="false">IF(J54&lt;&gt;1,"",IF(I54="SBJ","CB","?"))</f>
        <v/>
      </c>
      <c r="I54" s="25" t="str">
        <f aca="false">IF(OR(E54="",E54="!!!",F54="NEW"),"",INDEX(B53:B$2,-1+SUMPRODUCT(MAX(ROW(E53:E$2)*(E54=E53:E$2)))))</f>
        <v> </v>
      </c>
      <c r="J54" s="25" t="str">
        <f aca="true">IF(OR(E54="",E54="!!!",F54="NEW"),"",COUNTBLANK(OFFSET(A$1,,,SUMPRODUCT(MAX(ROW(E$2:E54)*(E54=E$2:E54)))))-COUNTBLANK(OFFSET(A$1,,,SUMPRODUCT(MAX(ROW(E$1:E53)*(E2=E$1:E53))))))</f>
        <v/>
      </c>
      <c r="K54" s="25" t="str">
        <f aca="false">IF(OR(E54="",E54="!!!",F54="NEW"),"",INDEX(J$1:J53,SUMPRODUCT(MAX(ROW(E$1:E53)*(E54=E$1:E53)))))</f>
        <v/>
      </c>
      <c r="L54" s="26"/>
    </row>
    <row r="55" customFormat="false" ht="15" hidden="false" customHeight="false" outlineLevel="0" collapsed="false">
      <c r="A55" s="20" t="s">
        <v>234</v>
      </c>
      <c r="E55" s="21" t="str">
        <f aca="false">IF(D55="?OLD","!!!","")</f>
        <v/>
      </c>
      <c r="F55" s="22" t="str">
        <f aca="false">IF(OR(E55="",E55="!!!"),"",IF(NOT(ISNA(VLOOKUP(E55,E$1:E54,1,FALSE()))),"OLD",IF(AND(E55&lt;&gt;"",E55&lt;&gt;"!!!"),"NEW","")))</f>
        <v>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IF(OR(E55="",E55="!!!",F55="NEW"),"",INDEX(B54:B$2,-1+SUMPRODUCT(MAX(ROW(E54:E$2)*(E55=E54:E$2)))))</f>
        <v> </v>
      </c>
      <c r="J55" s="25" t="str">
        <f aca="true">IF(OR(E55="",E55="!!!",F55="NEW"),"",COUNTBLANK(OFFSET(A$1,,,SUMPRODUCT(MAX(ROW(E$2:E55)*(E55=E$2:E55)))))-COUNTBLANK(OFFSET(A$1,,,SUMPRODUCT(MAX(ROW(E$1:E54)*(E2=E$1:E54))))))</f>
        <v/>
      </c>
      <c r="K55" s="25" t="str">
        <f aca="false">IF(OR(E55="",E55="!!!",F55="NEW"),"",INDEX(J$1:J54,SUMPRODUCT(MAX(ROW(E$1:E54)*(E55=E$1:E54)))))</f>
        <v/>
      </c>
      <c r="L55" s="26"/>
    </row>
    <row r="56" customFormat="false" ht="15" hidden="false" customHeight="false" outlineLevel="0" collapsed="false">
      <c r="A56" s="20" t="s">
        <v>235</v>
      </c>
      <c r="E56" s="21" t="str">
        <f aca="false">IF(D56="?OLD","!!!","")</f>
        <v/>
      </c>
      <c r="F56" s="22" t="str">
        <f aca="false">IF(OR(E56="",E56="!!!"),"",IF(NOT(ISNA(VLOOKUP(E56,E$1:E55,1,FALSE()))),"OLD",IF(AND(E56&lt;&gt;"",E56&lt;&gt;"!!!"),"NEW","")))</f>
        <v> </v>
      </c>
      <c r="G56" s="23" t="str">
        <f aca="false">IF(OR(E56="",E56="!!!"),"",IF(OR(J56=0,AND(J56=1,K56=1),AND(J56=1,I56="SBJ"),AND(J56=1,I56=0)),"?IN_FOCUS",IF(J56&lt;=2,"?ACTIVATED",IF(J56&lt;&gt;"","?FAMILIAR",IF(F56="NEW",IF(ISNA(VLOOKUP(E56,#REF!,1,FALSE())),"?TYPE_IDENTIFIABLE","?REFERENTIAL"),"_")))))</f>
        <v/>
      </c>
      <c r="H56" s="24" t="str">
        <f aca="false">IF(J56&lt;&gt;1,"",IF(I56="SBJ","CB","?"))</f>
        <v/>
      </c>
      <c r="I56" s="25" t="str">
        <f aca="false">IF(OR(E56="",E56="!!!",F56="NEW"),"",INDEX(B55:B$2,-1+SUMPRODUCT(MAX(ROW(E55:E$2)*(E56=E55:E$2)))))</f>
        <v> </v>
      </c>
      <c r="J56" s="25" t="str">
        <f aca="true">IF(OR(E56="",E56="!!!",F56="NEW"),"",COUNTBLANK(OFFSET(A$1,,,SUMPRODUCT(MAX(ROW(E$2:E56)*(E56=E$2:E56)))))-COUNTBLANK(OFFSET(A$1,,,SUMPRODUCT(MAX(ROW(E$1:E55)*(E2=E$1:E55))))))</f>
        <v/>
      </c>
      <c r="K56" s="25" t="str">
        <f aca="false">IF(OR(E56="",E56="!!!",F56="NEW"),"",INDEX(J$1:J55,SUMPRODUCT(MAX(ROW(E$1:E55)*(E56=E$1:E55)))))</f>
        <v/>
      </c>
      <c r="L56" s="26"/>
    </row>
    <row r="57" customFormat="false" ht="15" hidden="false" customHeight="false" outlineLevel="0" collapsed="false">
      <c r="A57" s="20" t="s">
        <v>205</v>
      </c>
      <c r="E57" s="21" t="str">
        <f aca="false">IF(D57="?OLD","!!!","")</f>
        <v/>
      </c>
      <c r="F57" s="22" t="str">
        <f aca="false">IF(OR(E57="",E57="!!!"),"",IF(NOT(ISNA(VLOOKUP(E57,E$1:E56,1,FALSE()))),"OLD",IF(AND(E57&lt;&gt;"",E57&lt;&gt;"!!!"),"NEW","")))</f>
        <v>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IF(OR(E57="",E57="!!!",F57="NEW"),"",INDEX(B56:B$2,-1+SUMPRODUCT(MAX(ROW(E56:E$2)*(E57=E56:E$2)))))</f>
        <v> </v>
      </c>
      <c r="J57" s="25" t="str">
        <f aca="true">IF(OR(E57="",E57="!!!",F57="NEW"),"",COUNTBLANK(OFFSET(A$1,,,SUMPRODUCT(MAX(ROW(E$2:E57)*(E57=E$2:E57)))))-COUNTBLANK(OFFSET(A$1,,,SUMPRODUCT(MAX(ROW(E$1:E56)*(E2=E$1:E56))))))</f>
        <v/>
      </c>
      <c r="K57" s="25" t="str">
        <f aca="false">IF(OR(E57="",E57="!!!",F57="NEW"),"",INDEX(J$1:J56,SUMPRODUCT(MAX(ROW(E$1:E56)*(E57=E$1:E56)))))</f>
        <v/>
      </c>
      <c r="L57" s="26"/>
    </row>
    <row r="58" customFormat="false" ht="15" hidden="false" customHeight="false" outlineLevel="0" collapsed="false">
      <c r="A58" s="20" t="s">
        <v>206</v>
      </c>
      <c r="B58" s="27" t="s">
        <v>216</v>
      </c>
      <c r="C58" s="27" t="s">
        <v>208</v>
      </c>
      <c r="D58" s="27" t="s">
        <v>209</v>
      </c>
      <c r="E58" s="21" t="str">
        <f aca="false">IF(D58="?OLD","!!!","")</f>
        <v>!!!</v>
      </c>
      <c r="F58" s="22" t="str">
        <f aca="false">IF(OR(E58="",E58="!!!"),"",IF(NOT(ISNA(VLOOKUP(E58,E$1:E57,1,FALSE()))),"OLD",IF(AND(E58&lt;&gt;"",E58&lt;&gt;"!!!"),"NEW","")))</f>
        <v>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IF(OR(E58="",E58="!!!",F58="NEW"),"",INDEX(B57:B$2,-1+SUMPRODUCT(MAX(ROW(E57:E$2)*(E58=E57:E$2)))))</f>
        <v> </v>
      </c>
      <c r="J58" s="25" t="str">
        <f aca="true">IF(OR(E58="",E58="!!!",F58="NEW"),"",COUNTBLANK(OFFSET(A$1,,,SUMPRODUCT(MAX(ROW(E$2:E58)*(E58=E$2:E58)))))-COUNTBLANK(OFFSET(A$1,,,SUMPRODUCT(MAX(ROW(E$1:E57)*(E2=E$1:E57))))))</f>
        <v/>
      </c>
      <c r="K58" s="25" t="str">
        <f aca="false">IF(OR(E58="",E58="!!!",F58="NEW"),"",INDEX(J$1:J57,SUMPRODUCT(MAX(ROW(E$1:E57)*(E58=E$1:E57)))))</f>
        <v/>
      </c>
      <c r="L58" s="26"/>
    </row>
    <row r="59" customFormat="false" ht="15" hidden="false" customHeight="false" outlineLevel="0" collapsed="false">
      <c r="A59" s="20" t="s">
        <v>237</v>
      </c>
      <c r="E59" s="21" t="str">
        <f aca="false">IF(D59="?OLD","!!!","")</f>
        <v/>
      </c>
      <c r="F59" s="22" t="str">
        <f aca="false">IF(OR(E59="",E59="!!!"),"",IF(NOT(ISNA(VLOOKUP(E59,E$1:E58,1,FALSE()))),"OLD",IF(AND(E59&lt;&gt;"",E59&lt;&gt;"!!!"),"NEW","")))</f>
        <v>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IF(OR(E59="",E59="!!!",F59="NEW"),"",INDEX(B58:B$2,-1+SUMPRODUCT(MAX(ROW(E58:E$2)*(E59=E58:E$2)))))</f>
        <v> </v>
      </c>
      <c r="J59" s="25" t="str">
        <f aca="true">IF(OR(E59="",E59="!!!",F59="NEW"),"",COUNTBLANK(OFFSET(A$1,,,SUMPRODUCT(MAX(ROW(E$2:E59)*(E59=E$2:E59)))))-COUNTBLANK(OFFSET(A$1,,,SUMPRODUCT(MAX(ROW(E$1:E58)*(E2=E$1:E58))))))</f>
        <v/>
      </c>
      <c r="K59" s="25" t="str">
        <f aca="false">IF(OR(E59="",E59="!!!",F59="NEW"),"",INDEX(J$1:J58,SUMPRODUCT(MAX(ROW(E$1:E58)*(E59=E$1:E58)))))</f>
        <v/>
      </c>
      <c r="L59" s="26"/>
    </row>
    <row r="60" customFormat="false" ht="15" hidden="false" customHeight="false" outlineLevel="0" collapsed="false">
      <c r="A60" s="20" t="s">
        <v>238</v>
      </c>
      <c r="E60" s="21" t="str">
        <f aca="false">IF(D60="?OLD","!!!","")</f>
        <v/>
      </c>
      <c r="F60" s="22" t="str">
        <f aca="false">IF(OR(E60="",E60="!!!"),"",IF(NOT(ISNA(VLOOKUP(E60,E$1:E59,1,FALSE()))),"OLD",IF(AND(E60&lt;&gt;"",E60&lt;&gt;"!!!"),"NEW","")))</f>
        <v>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IF(OR(E60="",E60="!!!",F60="NEW"),"",INDEX(B59:B$2,-1+SUMPRODUCT(MAX(ROW(E59:E$2)*(E60=E59:E$2)))))</f>
        <v> </v>
      </c>
      <c r="J60" s="25" t="str">
        <f aca="true">IF(OR(E60="",E60="!!!",F60="NEW"),"",COUNTBLANK(OFFSET(A$1,,,SUMPRODUCT(MAX(ROW(E$2:E60)*(E60=E$2:E60)))))-COUNTBLANK(OFFSET(A$1,,,SUMPRODUCT(MAX(ROW(E$1:E59)*(E2=E$1:E59))))))</f>
        <v/>
      </c>
      <c r="K60" s="25" t="str">
        <f aca="false">IF(OR(E60="",E60="!!!",F60="NEW"),"",INDEX(J$1:J59,SUMPRODUCT(MAX(ROW(E$1:E59)*(E60=E$1:E59)))))</f>
        <v/>
      </c>
      <c r="L60" s="26"/>
    </row>
    <row r="61" customFormat="false" ht="15" hidden="false" customHeight="false" outlineLevel="0" collapsed="false">
      <c r="A61" s="20" t="s">
        <v>254</v>
      </c>
      <c r="E61" s="21" t="str">
        <f aca="false">IF(D61="?OLD","!!!","")</f>
        <v/>
      </c>
      <c r="F61" s="22" t="str">
        <f aca="false">IF(OR(E61="",E61="!!!"),"",IF(NOT(ISNA(VLOOKUP(E61,E$1:E60,1,FALSE()))),"OLD",IF(AND(E61&lt;&gt;"",E61&lt;&gt;"!!!"),"NEW","")))</f>
        <v>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IF(OR(E61="",E61="!!!",F61="NEW"),"",INDEX(B60:B$2,-1+SUMPRODUCT(MAX(ROW(E60:E$2)*(E61=E60:E$2)))))</f>
        <v> </v>
      </c>
      <c r="J61" s="25" t="str">
        <f aca="true">IF(OR(E61="",E61="!!!",F61="NEW"),"",COUNTBLANK(OFFSET(A$1,,,SUMPRODUCT(MAX(ROW(E$2:E61)*(E61=E$2:E61)))))-COUNTBLANK(OFFSET(A$1,,,SUMPRODUCT(MAX(ROW(E$1:E60)*(E2=E$1:E60))))))</f>
        <v/>
      </c>
      <c r="K61" s="25" t="str">
        <f aca="false">IF(OR(E61="",E61="!!!",F61="NEW"),"",INDEX(J$1:J60,SUMPRODUCT(MAX(ROW(E$1:E60)*(E61=E$1:E60)))))</f>
        <v/>
      </c>
      <c r="L61" s="26"/>
    </row>
    <row r="62" customFormat="false" ht="15" hidden="false" customHeight="false" outlineLevel="0" collapsed="false">
      <c r="A62" s="20" t="s">
        <v>205</v>
      </c>
      <c r="E62" s="21" t="str">
        <f aca="false">IF(D62="?OLD","!!!","")</f>
        <v/>
      </c>
      <c r="F62" s="22" t="str">
        <f aca="false">IF(OR(E62="",E62="!!!"),"",IF(NOT(ISNA(VLOOKUP(E62,E$1:E61,1,FALSE()))),"OLD",IF(AND(E62&lt;&gt;"",E62&lt;&gt;"!!!"),"NEW","")))</f>
        <v>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IF(OR(E62="",E62="!!!",F62="NEW"),"",INDEX(B61:B$2,-1+SUMPRODUCT(MAX(ROW(E61:E$2)*(E62=E61:E$2)))))</f>
        <v> </v>
      </c>
      <c r="J62" s="25" t="str">
        <f aca="true">IF(OR(E62="",E62="!!!",F62="NEW"),"",COUNTBLANK(OFFSET(A$1,,,SUMPRODUCT(MAX(ROW(E$2:E62)*(E62=E$2:E62)))))-COUNTBLANK(OFFSET(A$1,,,SUMPRODUCT(MAX(ROW(E$1:E61)*(E2=E$1:E61))))))</f>
        <v/>
      </c>
      <c r="K62" s="25" t="str">
        <f aca="false">IF(OR(E62="",E62="!!!",F62="NEW"),"",INDEX(J$1:J61,SUMPRODUCT(MAX(ROW(E$1:E61)*(E62=E$1:E61)))))</f>
        <v/>
      </c>
      <c r="L62" s="26"/>
    </row>
    <row r="63" customFormat="false" ht="15" hidden="false" customHeight="false" outlineLevel="0" collapsed="false">
      <c r="A63" s="20" t="s">
        <v>255</v>
      </c>
      <c r="B63" s="27" t="s">
        <v>216</v>
      </c>
      <c r="C63" s="27" t="s">
        <v>208</v>
      </c>
      <c r="D63" s="27" t="s">
        <v>209</v>
      </c>
      <c r="E63" s="21" t="str">
        <f aca="false">IF(D63="?OLD","!!!","")</f>
        <v>!!!</v>
      </c>
      <c r="F63" s="22" t="str">
        <f aca="false">IF(OR(E63="",E63="!!!"),"",IF(NOT(ISNA(VLOOKUP(E63,E$1:E62,1,FALSE()))),"OLD",IF(AND(E63&lt;&gt;"",E63&lt;&gt;"!!!"),"NEW","")))</f>
        <v>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IF(OR(E63="",E63="!!!",F63="NEW"),"",INDEX(B62:B$2,-1+SUMPRODUCT(MAX(ROW(E62:E$2)*(E63=E62:E$2)))))</f>
        <v> </v>
      </c>
      <c r="J63" s="25" t="str">
        <f aca="true">IF(OR(E63="",E63="!!!",F63="NEW"),"",COUNTBLANK(OFFSET(A$1,,,SUMPRODUCT(MAX(ROW(E$2:E63)*(E63=E$2:E63)))))-COUNTBLANK(OFFSET(A$1,,,SUMPRODUCT(MAX(ROW(E$1:E62)*(E2=E$1:E62))))))</f>
        <v/>
      </c>
      <c r="K63" s="25" t="str">
        <f aca="false">IF(OR(E63="",E63="!!!",F63="NEW"),"",INDEX(J$1:J62,SUMPRODUCT(MAX(ROW(E$1:E62)*(E63=E$1:E62)))))</f>
        <v/>
      </c>
      <c r="L63" s="26"/>
    </row>
    <row r="64" customFormat="false" ht="15" hidden="false" customHeight="false" outlineLevel="0" collapsed="false">
      <c r="A64" s="20" t="s">
        <v>218</v>
      </c>
      <c r="E64" s="21" t="str">
        <f aca="false">IF(D64="?OLD","!!!","")</f>
        <v/>
      </c>
      <c r="F64" s="22" t="str">
        <f aca="false">IF(OR(E64="",E64="!!!"),"",IF(NOT(ISNA(VLOOKUP(E64,E$1:E63,1,FALSE()))),"OLD",IF(AND(E64&lt;&gt;"",E64&lt;&gt;"!!!"),"NEW","")))</f>
        <v> </v>
      </c>
      <c r="G64" s="23" t="str">
        <f aca="false">IF(OR(E64="",E64="!!!"),"",IF(OR(J64=0,AND(J64=1,K64=1),AND(J64=1,I64="SBJ"),AND(J64=1,I64=0)),"?IN_FOCUS",IF(J64&lt;=2,"?ACTIVATED",IF(J64&lt;&gt;"","?FAMILIAR",IF(F64="NEW",IF(ISNA(VLOOKUP(E64,#REF!,1,FALSE())),"?TYPE_IDENTIFIABLE","?REFERENTIAL"),"_")))))</f>
        <v/>
      </c>
      <c r="H64" s="24" t="str">
        <f aca="false">IF(J64&lt;&gt;1,"",IF(I64="SBJ","CB","?"))</f>
        <v/>
      </c>
      <c r="I64" s="25" t="str">
        <f aca="false">IF(OR(E64="",E64="!!!",F64="NEW"),"",INDEX(B63:B$2,-1+SUMPRODUCT(MAX(ROW(E63:E$2)*(E64=E63:E$2)))))</f>
        <v> </v>
      </c>
      <c r="J64" s="25" t="str">
        <f aca="true">IF(OR(E64="",E64="!!!",F64="NEW"),"",COUNTBLANK(OFFSET(A$1,,,SUMPRODUCT(MAX(ROW(E$2:E64)*(E64=E$2:E64)))))-COUNTBLANK(OFFSET(A$1,,,SUMPRODUCT(MAX(ROW(E$1:E63)*(E2=E$1:E63))))))</f>
        <v/>
      </c>
      <c r="K64" s="25" t="str">
        <f aca="false">IF(OR(E64="",E64="!!!",F64="NEW"),"",INDEX(J$1:J63,SUMPRODUCT(MAX(ROW(E$1:E63)*(E64=E$1:E63)))))</f>
        <v/>
      </c>
      <c r="L64" s="26"/>
    </row>
    <row r="65" customFormat="false" ht="15" hidden="false" customHeight="false" outlineLevel="0" collapsed="false">
      <c r="A65" s="20" t="s">
        <v>205</v>
      </c>
      <c r="E65" s="21" t="str">
        <f aca="false">IF(D65="?OLD","!!!","")</f>
        <v/>
      </c>
      <c r="F65" s="22" t="str">
        <f aca="false">IF(OR(E65="",E65="!!!"),"",IF(NOT(ISNA(VLOOKUP(E65,E$1:E64,1,FALSE()))),"OLD",IF(AND(E65&lt;&gt;"",E65&lt;&gt;"!!!"),"NEW","")))</f>
        <v>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IF(OR(E65="",E65="!!!",F65="NEW"),"",INDEX(B64:B$2,-1+SUMPRODUCT(MAX(ROW(E64:E$2)*(E65=E64:E$2)))))</f>
        <v> </v>
      </c>
      <c r="J65" s="25" t="str">
        <f aca="true">IF(OR(E65="",E65="!!!",F65="NEW"),"",COUNTBLANK(OFFSET(A$1,,,SUMPRODUCT(MAX(ROW(E$2:E65)*(E65=E$2:E65)))))-COUNTBLANK(OFFSET(A$1,,,SUMPRODUCT(MAX(ROW(E$1:E64)*(E2=E$1:E64))))))</f>
        <v/>
      </c>
      <c r="K65" s="25" t="str">
        <f aca="false">IF(OR(E65="",E65="!!!",F65="NEW"),"",INDEX(J$1:J64,SUMPRODUCT(MAX(ROW(E$1:E64)*(E65=E$1:E64)))))</f>
        <v/>
      </c>
      <c r="L65" s="26"/>
    </row>
    <row r="66" customFormat="false" ht="15" hidden="false" customHeight="false" outlineLevel="0" collapsed="false">
      <c r="A66" s="20" t="s">
        <v>256</v>
      </c>
      <c r="B66" s="27" t="s">
        <v>220</v>
      </c>
      <c r="C66" s="27" t="s">
        <v>208</v>
      </c>
      <c r="D66" s="27" t="s">
        <v>209</v>
      </c>
      <c r="E66" s="21" t="str">
        <f aca="false">IF(D66="?OLD","!!!","")</f>
        <v>!!!</v>
      </c>
      <c r="F66" s="22" t="str">
        <f aca="false">IF(OR(E66="",E66="!!!"),"",IF(NOT(ISNA(VLOOKUP(E66,E$1:E65,1,FALSE()))),"OLD",IF(AND(E66&lt;&gt;"",E66&lt;&gt;"!!!"),"NEW","")))</f>
        <v>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IF(OR(E66="",E66="!!!",F66="NEW"),"",INDEX(B65:B$2,-1+SUMPRODUCT(MAX(ROW(E65:E$2)*(E66=E65:E$2)))))</f>
        <v> </v>
      </c>
      <c r="J66" s="25" t="str">
        <f aca="true">IF(OR(E66="",E66="!!!",F66="NEW"),"",COUNTBLANK(OFFSET(A$1,,,SUMPRODUCT(MAX(ROW(E$2:E66)*(E66=E$2:E66)))))-COUNTBLANK(OFFSET(A$1,,,SUMPRODUCT(MAX(ROW(E$1:E65)*(E2=E$1:E65))))))</f>
        <v/>
      </c>
      <c r="K66" s="25" t="str">
        <f aca="false">IF(OR(E66="",E66="!!!",F66="NEW"),"",INDEX(J$1:J65,SUMPRODUCT(MAX(ROW(E$1:E65)*(E66=E$1:E65)))))</f>
        <v/>
      </c>
      <c r="L66" s="26"/>
    </row>
    <row r="67" customFormat="false" ht="15" hidden="false" customHeight="false" outlineLevel="0" collapsed="false">
      <c r="A67" s="20" t="s">
        <v>218</v>
      </c>
      <c r="E67" s="21" t="str">
        <f aca="false">IF(D67="?OLD","!!!","")</f>
        <v/>
      </c>
      <c r="F67" s="22" t="str">
        <f aca="false">IF(OR(E67="",E67="!!!"),"",IF(NOT(ISNA(VLOOKUP(E67,E$1:E66,1,FALSE()))),"OLD",IF(AND(E67&lt;&gt;"",E67&lt;&gt;"!!!"),"NEW","")))</f>
        <v>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IF(OR(E67="",E67="!!!",F67="NEW"),"",INDEX(B66:B$2,-1+SUMPRODUCT(MAX(ROW(E66:E$2)*(E67=E66:E$2)))))</f>
        <v> </v>
      </c>
      <c r="J67" s="25" t="str">
        <f aca="true">IF(OR(E67="",E67="!!!",F67="NEW"),"",COUNTBLANK(OFFSET(A$1,,,SUMPRODUCT(MAX(ROW(E$2:E67)*(E67=E$2:E67)))))-COUNTBLANK(OFFSET(A$1,,,SUMPRODUCT(MAX(ROW(E$1:E66)*(E2=E$1:E66))))))</f>
        <v/>
      </c>
      <c r="K67" s="25" t="str">
        <f aca="false">IF(OR(E67="",E67="!!!",F67="NEW"),"",INDEX(J$1:J66,SUMPRODUCT(MAX(ROW(E$1:E66)*(E67=E$1:E66)))))</f>
        <v/>
      </c>
      <c r="L67" s="26"/>
    </row>
    <row r="68" customFormat="false" ht="15" hidden="false" customHeight="false" outlineLevel="0" collapsed="false">
      <c r="A68" s="20" t="s">
        <v>205</v>
      </c>
      <c r="E68" s="21" t="str">
        <f aca="false">IF(D68="?OLD","!!!","")</f>
        <v/>
      </c>
      <c r="F68" s="22" t="str">
        <f aca="false">IF(OR(E68="",E68="!!!"),"",IF(NOT(ISNA(VLOOKUP(E68,E$1:E67,1,FALSE()))),"OLD",IF(AND(E68&lt;&gt;"",E68&lt;&gt;"!!!"),"NEW","")))</f>
        <v>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IF(OR(E68="",E68="!!!",F68="NEW"),"",INDEX(B67:B$2,-1+SUMPRODUCT(MAX(ROW(E67:E$2)*(E68=E67:E$2)))))</f>
        <v> </v>
      </c>
      <c r="J68" s="25" t="str">
        <f aca="true">IF(OR(E68="",E68="!!!",F68="NEW"),"",COUNTBLANK(OFFSET(A$1,,,SUMPRODUCT(MAX(ROW(E$2:E68)*(E68=E$2:E68)))))-COUNTBLANK(OFFSET(A$1,,,SUMPRODUCT(MAX(ROW(E$1:E67)*(E2=E$1:E67))))))</f>
        <v/>
      </c>
      <c r="K68" s="25" t="str">
        <f aca="false">IF(OR(E68="",E68="!!!",F68="NEW"),"",INDEX(J$1:J67,SUMPRODUCT(MAX(ROW(E$1:E67)*(E68=E$1:E67)))))</f>
        <v/>
      </c>
      <c r="L68" s="26"/>
    </row>
    <row r="69" customFormat="false" ht="15" hidden="false" customHeight="false" outlineLevel="0" collapsed="false">
      <c r="A69" s="20" t="s">
        <v>249</v>
      </c>
      <c r="B69" s="27" t="s">
        <v>248</v>
      </c>
      <c r="C69" s="27" t="s">
        <v>208</v>
      </c>
      <c r="D69" s="27" t="s">
        <v>209</v>
      </c>
      <c r="E69" s="21" t="str">
        <f aca="false">IF(D69="?OLD","!!!","")</f>
        <v>!!!</v>
      </c>
      <c r="F69" s="22" t="str">
        <f aca="false">IF(OR(E69="",E69="!!!"),"",IF(NOT(ISNA(VLOOKUP(E69,E$1:E68,1,FALSE()))),"OLD",IF(AND(E69&lt;&gt;"",E69&lt;&gt;"!!!"),"NEW","")))</f>
        <v> </v>
      </c>
      <c r="G69" s="23" t="str">
        <f aca="false">IF(OR(E69="",E69="!!!"),"",IF(OR(J69=0,AND(J69=1,K69=1),AND(J69=1,I69="SBJ"),AND(J69=1,I69=0)),"?IN_FOCUS",IF(J69&lt;=2,"?ACTIVATED",IF(J69&lt;&gt;"","?FAMILIAR",IF(F69="NEW",IF(ISNA(VLOOKUP(E69,#REF!,1,FALSE())),"?TYPE_IDENTIFIABLE","?REFERENTIAL"),"_")))))</f>
        <v/>
      </c>
      <c r="H69" s="24" t="str">
        <f aca="false">IF(J69&lt;&gt;1,"",IF(I69="SBJ","CB","?"))</f>
        <v/>
      </c>
      <c r="I69" s="25" t="str">
        <f aca="false">IF(OR(E69="",E69="!!!",F69="NEW"),"",INDEX(B68:B$2,-1+SUMPRODUCT(MAX(ROW(E68:E$2)*(E69=E68:E$2)))))</f>
        <v> </v>
      </c>
      <c r="J69" s="25" t="str">
        <f aca="true">IF(OR(E69="",E69="!!!",F69="NEW"),"",COUNTBLANK(OFFSET(A$1,,,SUMPRODUCT(MAX(ROW(E$2:E69)*(E69=E$2:E69)))))-COUNTBLANK(OFFSET(A$1,,,SUMPRODUCT(MAX(ROW(E$1:E68)*(E2=E$1:E68))))))</f>
        <v/>
      </c>
      <c r="K69" s="25" t="str">
        <f aca="false">IF(OR(E69="",E69="!!!",F69="NEW"),"",INDEX(J$1:J68,SUMPRODUCT(MAX(ROW(E$1:E68)*(E69=E$1:E68)))))</f>
        <v/>
      </c>
      <c r="L69" s="26"/>
    </row>
    <row r="70" customFormat="false" ht="15" hidden="false" customHeight="false" outlineLevel="0" collapsed="false">
      <c r="A70" s="20" t="s">
        <v>257</v>
      </c>
      <c r="B70" s="27" t="s">
        <v>244</v>
      </c>
      <c r="C70" s="27" t="s">
        <v>233</v>
      </c>
      <c r="D70" s="27" t="s">
        <v>209</v>
      </c>
      <c r="E70" s="21" t="str">
        <f aca="false">IF(D70="?OLD","!!!","")</f>
        <v>!!!</v>
      </c>
      <c r="F70" s="22" t="str">
        <f aca="false">IF(OR(E70="",E70="!!!"),"",IF(NOT(ISNA(VLOOKUP(E70,E$1:E69,1,FALSE()))),"OLD",IF(AND(E70&lt;&gt;"",E70&lt;&gt;"!!!"),"NEW","")))</f>
        <v> </v>
      </c>
      <c r="G70" s="23" t="str">
        <f aca="false">IF(OR(E70="",E70="!!!"),"",IF(OR(J70=0,AND(J70=1,K70=1),AND(J70=1,I70="SBJ"),AND(J70=1,I70=0)),"?IN_FOCUS",IF(J70&lt;=2,"?ACTIVATED",IF(J70&lt;&gt;"","?FAMILIAR",IF(F70="NEW",IF(ISNA(VLOOKUP(E70,#REF!,1,FALSE())),"?TYPE_IDENTIFIABLE","?REFERENTIAL"),"_")))))</f>
        <v/>
      </c>
      <c r="H70" s="24" t="str">
        <f aca="false">IF(J70&lt;&gt;1,"",IF(I70="SBJ","CB","?"))</f>
        <v/>
      </c>
      <c r="I70" s="25" t="str">
        <f aca="false">IF(OR(E70="",E70="!!!",F70="NEW"),"",INDEX(B69:B$2,-1+SUMPRODUCT(MAX(ROW(E69:E$2)*(E70=E69:E$2)))))</f>
        <v> </v>
      </c>
      <c r="J70" s="25" t="str">
        <f aca="true">IF(OR(E70="",E70="!!!",F70="NEW"),"",COUNTBLANK(OFFSET(A$1,,,SUMPRODUCT(MAX(ROW(E$2:E70)*(E70=E$2:E70)))))-COUNTBLANK(OFFSET(A$1,,,SUMPRODUCT(MAX(ROW(E$1:E69)*(E2=E$1:E69))))))</f>
        <v/>
      </c>
      <c r="K70" s="25" t="str">
        <f aca="false">IF(OR(E70="",E70="!!!",F70="NEW"),"",INDEX(J$1:J69,SUMPRODUCT(MAX(ROW(E$1:E69)*(E70=E$1:E69)))))</f>
        <v/>
      </c>
      <c r="L70" s="26"/>
    </row>
    <row r="71" customFormat="false" ht="15" hidden="false" customHeight="false" outlineLevel="0" collapsed="false">
      <c r="A71" s="20" t="s">
        <v>258</v>
      </c>
      <c r="E71" s="21" t="str">
        <f aca="false">IF(D71="?OLD","!!!","")</f>
        <v/>
      </c>
      <c r="F71" s="22" t="str">
        <f aca="false">IF(OR(E71="",E71="!!!"),"",IF(NOT(ISNA(VLOOKUP(E71,E$1:E70,1,FALSE()))),"OLD",IF(AND(E71&lt;&gt;"",E71&lt;&gt;"!!!"),"NEW","")))</f>
        <v>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IF(OR(E71="",E71="!!!",F71="NEW"),"",INDEX(B70:B$2,-1+SUMPRODUCT(MAX(ROW(E70:E$2)*(E71=E70:E$2)))))</f>
        <v> </v>
      </c>
      <c r="J71" s="25" t="str">
        <f aca="true">IF(OR(E71="",E71="!!!",F71="NEW"),"",COUNTBLANK(OFFSET(A$1,,,SUMPRODUCT(MAX(ROW(E$2:E71)*(E71=E$2:E71)))))-COUNTBLANK(OFFSET(A$1,,,SUMPRODUCT(MAX(ROW(E$1:E70)*(E2=E$1:E70))))))</f>
        <v/>
      </c>
      <c r="K71" s="25" t="str">
        <f aca="false">IF(OR(E71="",E71="!!!",F71="NEW"),"",INDEX(J$1:J70,SUMPRODUCT(MAX(ROW(E$1:E70)*(E71=E$1:E70)))))</f>
        <v/>
      </c>
      <c r="L71" s="26"/>
    </row>
    <row r="72" customFormat="false" ht="15" hidden="false" customHeight="false" outlineLevel="0" collapsed="false">
      <c r="A72" s="20" t="s">
        <v>89</v>
      </c>
      <c r="E72" s="21" t="str">
        <f aca="false">IF(D72="?OLD","!!!","")</f>
        <v/>
      </c>
      <c r="F72" s="22" t="str">
        <f aca="false">IF(OR(E72="",E72="!!!"),"",IF(NOT(ISNA(VLOOKUP(E72,E$1:E71,1,FALSE()))),"OLD",IF(AND(E72&lt;&gt;"",E72&lt;&gt;"!!!"),"NEW","")))</f>
        <v> </v>
      </c>
      <c r="G72" s="23" t="str">
        <f aca="false">IF(OR(E72="",E72="!!!"),"",IF(OR(J72=0,AND(J72=1,K72=1),AND(J72=1,I72="SBJ"),AND(J72=1,I72=0)),"?IN_FOCUS",IF(J72&lt;=2,"?ACTIVATED",IF(J72&lt;&gt;"","?FAMILIAR",IF(F72="NEW",IF(ISNA(VLOOKUP(E72,#REF!,1,FALSE())),"?TYPE_IDENTIFIABLE","?REFERENTIAL"),"_")))))</f>
        <v/>
      </c>
      <c r="H72" s="24" t="str">
        <f aca="false">IF(J72&lt;&gt;1,"",IF(I72="SBJ","CB","?"))</f>
        <v/>
      </c>
      <c r="I72" s="25" t="str">
        <f aca="false">IF(OR(E72="",E72="!!!",F72="NEW"),"",INDEX(B71:B$2,-1+SUMPRODUCT(MAX(ROW(E71:E$2)*(E72=E71:E$2)))))</f>
        <v> </v>
      </c>
      <c r="J72" s="25" t="str">
        <f aca="true">IF(OR(E72="",E72="!!!",F72="NEW"),"",COUNTBLANK(OFFSET(A$1,,,SUMPRODUCT(MAX(ROW(E$2:E72)*(E72=E$2:E72)))))-COUNTBLANK(OFFSET(A$1,,,SUMPRODUCT(MAX(ROW(E$1:E71)*(E2=E$1:E71))))))</f>
        <v/>
      </c>
      <c r="K72" s="25" t="str">
        <f aca="false">IF(OR(E72="",E72="!!!",F72="NEW"),"",INDEX(J$1:J71,SUMPRODUCT(MAX(ROW(E$1:E71)*(E72=E$1:E71)))))</f>
        <v/>
      </c>
      <c r="L72" s="26"/>
    </row>
    <row r="73" customFormat="false" ht="15" hidden="false" customHeight="false" outlineLevel="0" collapsed="false">
      <c r="A73" s="20" t="s">
        <v>237</v>
      </c>
      <c r="E73" s="21" t="str">
        <f aca="false">IF(D73="?OLD","!!!","")</f>
        <v/>
      </c>
      <c r="F73" s="22" t="str">
        <f aca="false">IF(OR(E73="",E73="!!!"),"",IF(NOT(ISNA(VLOOKUP(E73,E$1:E72,1,FALSE()))),"OLD",IF(AND(E73&lt;&gt;"",E73&lt;&gt;"!!!"),"NEW","")))</f>
        <v>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IF(OR(E73="",E73="!!!",F73="NEW"),"",INDEX(B72:B$2,-1+SUMPRODUCT(MAX(ROW(E72:E$2)*(E73=E72:E$2)))))</f>
        <v> </v>
      </c>
      <c r="J73" s="25" t="str">
        <f aca="true">IF(OR(E73="",E73="!!!",F73="NEW"),"",COUNTBLANK(OFFSET(A$1,,,SUMPRODUCT(MAX(ROW(E$2:E73)*(E73=E$2:E73)))))-COUNTBLANK(OFFSET(A$1,,,SUMPRODUCT(MAX(ROW(E$1:E72)*(E2=E$1:E72))))))</f>
        <v/>
      </c>
      <c r="K73" s="25" t="str">
        <f aca="false">IF(OR(E73="",E73="!!!",F73="NEW"),"",INDEX(J$1:J72,SUMPRODUCT(MAX(ROW(E$1:E72)*(E73=E$1:E72)))))</f>
        <v/>
      </c>
      <c r="L73" s="26"/>
    </row>
    <row r="74" customFormat="false" ht="15" hidden="false" customHeight="false" outlineLevel="0" collapsed="false">
      <c r="A74" s="20"/>
    </row>
    <row r="75" customFormat="false" ht="15" hidden="false" customHeight="false" outlineLevel="0" collapsed="false">
      <c r="A75" s="20" t="s">
        <v>230</v>
      </c>
      <c r="E75" s="21" t="str">
        <f aca="false">IF(D75="?OLD","!!!","")</f>
        <v/>
      </c>
      <c r="F75" s="22" t="str">
        <f aca="false">IF(OR(E75="",E75="!!!"),"",IF(NOT(ISNA(VLOOKUP(E75,E$1:E74,1,FALSE()))),"OLD",IF(AND(E75&lt;&gt;"",E75&lt;&gt;"!!!"),"NEW","")))</f>
        <v>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IF(OR(E75="",E75="!!!",F75="NEW"),"",INDEX(B74:B$2,-1+SUMPRODUCT(MAX(ROW(E74:E$2)*(E75=E74:E$2)))))</f>
        <v> </v>
      </c>
      <c r="J75" s="25" t="str">
        <f aca="true">IF(OR(E75="",E75="!!!",F75="NEW"),"",COUNTBLANK(OFFSET(A$1,,,SUMPRODUCT(MAX(ROW(E$2:E75)*(E75=E$2:E75)))))-COUNTBLANK(OFFSET(A$1,,,SUMPRODUCT(MAX(ROW(E$1:E74)*(E2=E$1:E74))))))</f>
        <v/>
      </c>
      <c r="K75" s="25" t="str">
        <f aca="false">IF(OR(E75="",E75="!!!",F75="NEW"),"",INDEX(J$1:J74,SUMPRODUCT(MAX(ROW(E$1:E74)*(E75=E$1:E74)))))</f>
        <v/>
      </c>
      <c r="L75" s="26"/>
    </row>
    <row r="76" customFormat="false" ht="15" hidden="false" customHeight="false" outlineLevel="0" collapsed="false">
      <c r="A76" s="20" t="s">
        <v>259</v>
      </c>
    </row>
    <row r="77" customFormat="false" ht="15" hidden="false" customHeight="false" outlineLevel="0" collapsed="false">
      <c r="A77" s="20" t="s">
        <v>35</v>
      </c>
      <c r="E77" s="21" t="str">
        <f aca="false">IF(D77="?OLD","!!!","")</f>
        <v/>
      </c>
      <c r="F77" s="22" t="str">
        <f aca="false">IF(OR(E77="",E77="!!!"),"",IF(NOT(ISNA(VLOOKUP(E77,E$1:E76,1,FALSE()))),"OLD",IF(AND(E77&lt;&gt;"",E77&lt;&gt;"!!!"),"NEW","")))</f>
        <v> </v>
      </c>
      <c r="G77" s="23" t="str">
        <f aca="false">IF(OR(E77="",E77="!!!"),"",IF(OR(J77=0,AND(J77=1,K77=1),AND(J77=1,I77="SBJ"),AND(J77=1,I77=0)),"?IN_FOCUS",IF(J77&lt;=2,"?ACTIVATED",IF(J77&lt;&gt;"","?FAMILIAR",IF(F77="NEW",IF(ISNA(VLOOKUP(E77,#REF!,1,FALSE())),"?TYPE_IDENTIFIABLE","?REFERENTIAL"),"_")))))</f>
        <v/>
      </c>
      <c r="H77" s="24" t="str">
        <f aca="false">IF(J77&lt;&gt;1,"",IF(I77="SBJ","CB","?"))</f>
        <v/>
      </c>
      <c r="I77" s="25" t="str">
        <f aca="false">IF(OR(E77="",E77="!!!",F77="NEW"),"",INDEX(B76:B$2,-1+SUMPRODUCT(MAX(ROW(E76:E$2)*(E77=E76:E$2)))))</f>
        <v> </v>
      </c>
      <c r="J77" s="25" t="str">
        <f aca="true">IF(OR(E77="",E77="!!!",F77="NEW"),"",COUNTBLANK(OFFSET(A$1,,,SUMPRODUCT(MAX(ROW(E$2:E77)*(E77=E$2:E77)))))-COUNTBLANK(OFFSET(A$1,,,SUMPRODUCT(MAX(ROW(E$1:E76)*(E2=E$1:E76))))))</f>
        <v/>
      </c>
      <c r="K77" s="25" t="str">
        <f aca="false">IF(OR(E77="",E77="!!!",F77="NEW"),"",INDEX(J$1:J76,SUMPRODUCT(MAX(ROW(E$1:E76)*(E77=E$1:E76)))))</f>
        <v/>
      </c>
      <c r="L77" s="26"/>
    </row>
    <row r="78" customFormat="false" ht="15" hidden="false" customHeight="false" outlineLevel="0" collapsed="false">
      <c r="A78" s="20" t="s">
        <v>218</v>
      </c>
      <c r="E78" s="21" t="str">
        <f aca="false">IF(D78="?OLD","!!!","")</f>
        <v/>
      </c>
      <c r="F78" s="22" t="str">
        <f aca="false">IF(OR(E78="",E78="!!!"),"",IF(NOT(ISNA(VLOOKUP(E78,E$1:E77,1,FALSE()))),"OLD",IF(AND(E78&lt;&gt;"",E78&lt;&gt;"!!!"),"NEW","")))</f>
        <v> </v>
      </c>
      <c r="G78" s="23" t="str">
        <f aca="false">IF(OR(E78="",E78="!!!"),"",IF(OR(J78=0,AND(J78=1,K78=1),AND(J78=1,I78="SBJ"),AND(J78=1,I78=0)),"?IN_FOCUS",IF(J78&lt;=2,"?ACTIVATED",IF(J78&lt;&gt;"","?FAMILIAR",IF(F78="NEW",IF(ISNA(VLOOKUP(E78,#REF!,1,FALSE())),"?TYPE_IDENTIFIABLE","?REFERENTIAL"),"_")))))</f>
        <v/>
      </c>
      <c r="H78" s="24" t="str">
        <f aca="false">IF(J78&lt;&gt;1,"",IF(I78="SBJ","CB","?"))</f>
        <v/>
      </c>
      <c r="I78" s="25" t="str">
        <f aca="false">IF(OR(E78="",E78="!!!",F78="NEW"),"",INDEX(B77:B$2,-1+SUMPRODUCT(MAX(ROW(E77:E$2)*(E78=E77:E$2)))))</f>
        <v> </v>
      </c>
      <c r="J78" s="25" t="str">
        <f aca="true">IF(OR(E78="",E78="!!!",F78="NEW"),"",COUNTBLANK(OFFSET(A$1,,,SUMPRODUCT(MAX(ROW(E$2:E78)*(E78=E$2:E78)))))-COUNTBLANK(OFFSET(A$1,,,SUMPRODUCT(MAX(ROW(E$1:E77)*(E2=E$1:E77))))))</f>
        <v/>
      </c>
      <c r="K78" s="25" t="str">
        <f aca="false">IF(OR(E78="",E78="!!!",F78="NEW"),"",INDEX(J$1:J77,SUMPRODUCT(MAX(ROW(E$1:E77)*(E78=E$1:E77)))))</f>
        <v/>
      </c>
      <c r="L78" s="26"/>
    </row>
    <row r="79" customFormat="false" ht="15" hidden="false" customHeight="false" outlineLevel="0" collapsed="false">
      <c r="A79" s="20" t="s">
        <v>205</v>
      </c>
      <c r="E79" s="21" t="str">
        <f aca="false">IF(D79="?OLD","!!!","")</f>
        <v/>
      </c>
      <c r="F79" s="22" t="str">
        <f aca="false">IF(OR(E79="",E79="!!!"),"",IF(NOT(ISNA(VLOOKUP(E79,E$1:E78,1,FALSE()))),"OLD",IF(AND(E79&lt;&gt;"",E79&lt;&gt;"!!!"),"NEW","")))</f>
        <v>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IF(OR(E79="",E79="!!!",F79="NEW"),"",INDEX(B78:B$2,-1+SUMPRODUCT(MAX(ROW(E78:E$2)*(E79=E78:E$2)))))</f>
        <v> </v>
      </c>
      <c r="J79" s="25" t="str">
        <f aca="true">IF(OR(E79="",E79="!!!",F79="NEW"),"",COUNTBLANK(OFFSET(A$1,,,SUMPRODUCT(MAX(ROW(E$2:E79)*(E79=E$2:E79)))))-COUNTBLANK(OFFSET(A$1,,,SUMPRODUCT(MAX(ROW(E$1:E78)*(E2=E$1:E78))))))</f>
        <v/>
      </c>
      <c r="K79" s="25" t="str">
        <f aca="false">IF(OR(E79="",E79="!!!",F79="NEW"),"",INDEX(J$1:J78,SUMPRODUCT(MAX(ROW(E$1:E78)*(E79=E$1:E78)))))</f>
        <v/>
      </c>
      <c r="L79" s="26"/>
    </row>
    <row r="80" customFormat="false" ht="15" hidden="false" customHeight="false" outlineLevel="0" collapsed="false">
      <c r="A80" s="20" t="s">
        <v>255</v>
      </c>
      <c r="B80" s="27" t="s">
        <v>216</v>
      </c>
      <c r="C80" s="27" t="s">
        <v>208</v>
      </c>
      <c r="D80" s="27" t="s">
        <v>209</v>
      </c>
      <c r="E80" s="21" t="str">
        <f aca="false">IF(D80="?OLD","!!!","")</f>
        <v>!!!</v>
      </c>
      <c r="F80" s="22" t="str">
        <f aca="false">IF(OR(E80="",E80="!!!"),"",IF(NOT(ISNA(VLOOKUP(E80,E$1:E79,1,FALSE()))),"OLD",IF(AND(E80&lt;&gt;"",E80&lt;&gt;"!!!"),"NEW","")))</f>
        <v>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IF(OR(E80="",E80="!!!",F80="NEW"),"",INDEX(B79:B$2,-1+SUMPRODUCT(MAX(ROW(E79:E$2)*(E80=E79:E$2)))))</f>
        <v> </v>
      </c>
      <c r="J80" s="25" t="str">
        <f aca="true">IF(OR(E80="",E80="!!!",F80="NEW"),"",COUNTBLANK(OFFSET(A$1,,,SUMPRODUCT(MAX(ROW(E$2:E80)*(E80=E$2:E80)))))-COUNTBLANK(OFFSET(A$1,,,SUMPRODUCT(MAX(ROW(E$1:E79)*(E2=E$1:E79))))))</f>
        <v/>
      </c>
      <c r="K80" s="25" t="str">
        <f aca="false">IF(OR(E80="",E80="!!!",F80="NEW"),"",INDEX(J$1:J79,SUMPRODUCT(MAX(ROW(E$1:E79)*(E80=E$1:E79)))))</f>
        <v/>
      </c>
      <c r="L80" s="26"/>
    </row>
    <row r="81" customFormat="false" ht="15" hidden="false" customHeight="false" outlineLevel="0" collapsed="false">
      <c r="A81" s="20" t="s">
        <v>218</v>
      </c>
      <c r="E81" s="21" t="str">
        <f aca="false">IF(D81="?OLD","!!!","")</f>
        <v/>
      </c>
      <c r="F81" s="22" t="str">
        <f aca="false">IF(OR(E81="",E81="!!!"),"",IF(NOT(ISNA(VLOOKUP(E81,E$1:E80,1,FALSE()))),"OLD",IF(AND(E81&lt;&gt;"",E81&lt;&gt;"!!!"),"NEW","")))</f>
        <v> </v>
      </c>
      <c r="G81" s="23" t="str">
        <f aca="false">IF(OR(E81="",E81="!!!"),"",IF(OR(J81=0,AND(J81=1,K81=1),AND(J81=1,I81="SBJ"),AND(J81=1,I81=0)),"?IN_FOCUS",IF(J81&lt;=2,"?ACTIVATED",IF(J81&lt;&gt;"","?FAMILIAR",IF(F81="NEW",IF(ISNA(VLOOKUP(E81,#REF!,1,FALSE())),"?TYPE_IDENTIFIABLE","?REFERENTIAL"),"_")))))</f>
        <v/>
      </c>
      <c r="H81" s="24" t="str">
        <f aca="false">IF(J81&lt;&gt;1,"",IF(I81="SBJ","CB","?"))</f>
        <v/>
      </c>
      <c r="I81" s="25" t="str">
        <f aca="false">IF(OR(E81="",E81="!!!",F81="NEW"),"",INDEX(B80:B$2,-1+SUMPRODUCT(MAX(ROW(E80:E$2)*(E81=E80:E$2)))))</f>
        <v> </v>
      </c>
      <c r="J81" s="25" t="str">
        <f aca="true">IF(OR(E81="",E81="!!!",F81="NEW"),"",COUNTBLANK(OFFSET(A$1,,,SUMPRODUCT(MAX(ROW(E$2:E81)*(E81=E$2:E81)))))-COUNTBLANK(OFFSET(A$1,,,SUMPRODUCT(MAX(ROW(E$1:E80)*(E2=E$1:E80))))))</f>
        <v/>
      </c>
      <c r="K81" s="25" t="str">
        <f aca="false">IF(OR(E81="",E81="!!!",F81="NEW"),"",INDEX(J$1:J80,SUMPRODUCT(MAX(ROW(E$1:E80)*(E81=E$1:E80)))))</f>
        <v/>
      </c>
      <c r="L81" s="26"/>
    </row>
    <row r="82" customFormat="false" ht="15" hidden="false" customHeight="false" outlineLevel="0" collapsed="false">
      <c r="A82" s="20" t="s">
        <v>205</v>
      </c>
      <c r="E82" s="21" t="str">
        <f aca="false">IF(D82="?OLD","!!!","")</f>
        <v/>
      </c>
      <c r="F82" s="22" t="str">
        <f aca="false">IF(OR(E82="",E82="!!!"),"",IF(NOT(ISNA(VLOOKUP(E82,E$1:E81,1,FALSE()))),"OLD",IF(AND(E82&lt;&gt;"",E82&lt;&gt;"!!!"),"NEW","")))</f>
        <v> </v>
      </c>
      <c r="G82" s="23" t="str">
        <f aca="false">IF(OR(E82="",E82="!!!"),"",IF(OR(J82=0,AND(J82=1,K82=1),AND(J82=1,I82="SBJ"),AND(J82=1,I82=0)),"?IN_FOCUS",IF(J82&lt;=2,"?ACTIVATED",IF(J82&lt;&gt;"","?FAMILIAR",IF(F82="NEW",IF(ISNA(VLOOKUP(E82,#REF!,1,FALSE())),"?TYPE_IDENTIFIABLE","?REFERENTIAL"),"_")))))</f>
        <v/>
      </c>
      <c r="H82" s="24" t="str">
        <f aca="false">IF(J82&lt;&gt;1,"",IF(I82="SBJ","CB","?"))</f>
        <v/>
      </c>
      <c r="I82" s="25" t="str">
        <f aca="false">IF(OR(E82="",E82="!!!",F82="NEW"),"",INDEX(B81:B$2,-1+SUMPRODUCT(MAX(ROW(E81:E$2)*(E82=E81:E$2)))))</f>
        <v> </v>
      </c>
      <c r="J82" s="25" t="str">
        <f aca="true">IF(OR(E82="",E82="!!!",F82="NEW"),"",COUNTBLANK(OFFSET(A$1,,,SUMPRODUCT(MAX(ROW(E$2:E82)*(E82=E$2:E82)))))-COUNTBLANK(OFFSET(A$1,,,SUMPRODUCT(MAX(ROW(E$1:E81)*(E2=E$1:E81))))))</f>
        <v/>
      </c>
      <c r="K82" s="25" t="str">
        <f aca="false">IF(OR(E82="",E82="!!!",F82="NEW"),"",INDEX(J$1:J81,SUMPRODUCT(MAX(ROW(E$1:E81)*(E82=E$1:E81)))))</f>
        <v/>
      </c>
      <c r="L82" s="26"/>
    </row>
    <row r="83" customFormat="false" ht="15" hidden="false" customHeight="false" outlineLevel="0" collapsed="false">
      <c r="A83" s="20" t="s">
        <v>247</v>
      </c>
      <c r="B83" s="27" t="s">
        <v>220</v>
      </c>
      <c r="C83" s="27" t="s">
        <v>208</v>
      </c>
      <c r="D83" s="27" t="s">
        <v>209</v>
      </c>
      <c r="E83" s="21" t="str">
        <f aca="false">IF(D83="?OLD","!!!","")</f>
        <v>!!!</v>
      </c>
      <c r="F83" s="22" t="str">
        <f aca="false">IF(OR(E83="",E83="!!!"),"",IF(NOT(ISNA(VLOOKUP(E83,E$1:E82,1,FALSE()))),"OLD",IF(AND(E83&lt;&gt;"",E83&lt;&gt;"!!!"),"NEW","")))</f>
        <v>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IF(OR(E83="",E83="!!!",F83="NEW"),"",INDEX(B82:B$2,-1+SUMPRODUCT(MAX(ROW(E82:E$2)*(E83=E82:E$2)))))</f>
        <v> </v>
      </c>
      <c r="J83" s="25" t="str">
        <f aca="true">IF(OR(E83="",E83="!!!",F83="NEW"),"",COUNTBLANK(OFFSET(A$1,,,SUMPRODUCT(MAX(ROW(E$2:E83)*(E83=E$2:E83)))))-COUNTBLANK(OFFSET(A$1,,,SUMPRODUCT(MAX(ROW(E$1:E82)*(E2=E$1:E82))))))</f>
        <v/>
      </c>
      <c r="K83" s="25" t="str">
        <f aca="false">IF(OR(E83="",E83="!!!",F83="NEW"),"",INDEX(J$1:J82,SUMPRODUCT(MAX(ROW(E$1:E82)*(E83=E$1:E82)))))</f>
        <v/>
      </c>
      <c r="L83" s="26"/>
    </row>
    <row r="84" customFormat="false" ht="15" hidden="false" customHeight="false" outlineLevel="0" collapsed="false">
      <c r="A84" s="20" t="s">
        <v>221</v>
      </c>
      <c r="B84" s="27" t="s">
        <v>224</v>
      </c>
      <c r="E84" s="21" t="str">
        <f aca="false">IF(D84="?OLD","!!!","")</f>
        <v/>
      </c>
      <c r="F84" s="22" t="str">
        <f aca="false">IF(OR(E84="",E84="!!!"),"",IF(NOT(ISNA(VLOOKUP(E84,E$1:E83,1,FALSE()))),"OLD",IF(AND(E84&lt;&gt;"",E84&lt;&gt;"!!!"),"NEW","")))</f>
        <v>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IF(OR(E84="",E84="!!!",F84="NEW"),"",INDEX(B83:B$2,-1+SUMPRODUCT(MAX(ROW(E83:E$2)*(E84=E83:E$2)))))</f>
        <v> </v>
      </c>
      <c r="J84" s="25" t="str">
        <f aca="true">IF(OR(E84="",E84="!!!",F84="NEW"),"",COUNTBLANK(OFFSET(A$1,,,SUMPRODUCT(MAX(ROW(E$2:E84)*(E84=E$2:E84)))))-COUNTBLANK(OFFSET(A$1,,,SUMPRODUCT(MAX(ROW(E$1:E83)*(E2=E$1:E83))))))</f>
        <v/>
      </c>
      <c r="K84" s="25" t="str">
        <f aca="false">IF(OR(E84="",E84="!!!",F84="NEW"),"",INDEX(J$1:J83,SUMPRODUCT(MAX(ROW(E$1:E83)*(E84=E$1:E83)))))</f>
        <v/>
      </c>
      <c r="L84" s="26"/>
    </row>
    <row r="85" customFormat="false" ht="15" hidden="false" customHeight="false" outlineLevel="0" collapsed="false">
      <c r="A85" s="20" t="s">
        <v>260</v>
      </c>
      <c r="E85" s="21" t="str">
        <f aca="false">IF(D85="?OLD","!!!","")</f>
        <v/>
      </c>
      <c r="F85" s="22" t="str">
        <f aca="false">IF(OR(E85="",E85="!!!"),"",IF(NOT(ISNA(VLOOKUP(E85,E$1:E84,1,FALSE()))),"OLD",IF(AND(E85&lt;&gt;"",E85&lt;&gt;"!!!"),"NEW","")))</f>
        <v>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IF(OR(E85="",E85="!!!",F85="NEW"),"",INDEX(B84:B$2,-1+SUMPRODUCT(MAX(ROW(E84:E$2)*(E85=E84:E$2)))))</f>
        <v> </v>
      </c>
      <c r="J85" s="25" t="str">
        <f aca="true">IF(OR(E85="",E85="!!!",F85="NEW"),"",COUNTBLANK(OFFSET(A$1,,,SUMPRODUCT(MAX(ROW(E$2:E85)*(E85=E$2:E85)))))-COUNTBLANK(OFFSET(A$1,,,SUMPRODUCT(MAX(ROW(E$1:E84)*(E2=E$1:E84))))))</f>
        <v/>
      </c>
      <c r="K85" s="25" t="str">
        <f aca="false">IF(OR(E85="",E85="!!!",F85="NEW"),"",INDEX(J$1:J84,SUMPRODUCT(MAX(ROW(E$1:E84)*(E85=E$1:E84)))))</f>
        <v/>
      </c>
      <c r="L85" s="26"/>
    </row>
    <row r="86" customFormat="false" ht="15" hidden="false" customHeight="false" outlineLevel="0" collapsed="false">
      <c r="A86" s="20" t="s">
        <v>261</v>
      </c>
      <c r="E86" s="21" t="str">
        <f aca="false">IF(D86="?OLD","!!!","")</f>
        <v/>
      </c>
      <c r="F86" s="22" t="str">
        <f aca="false">IF(OR(E86="",E86="!!!"),"",IF(NOT(ISNA(VLOOKUP(E86,E$1:E85,1,FALSE()))),"OLD",IF(AND(E86&lt;&gt;"",E86&lt;&gt;"!!!"),"NEW","")))</f>
        <v> </v>
      </c>
      <c r="G86" s="23" t="str">
        <f aca="false">IF(OR(E86="",E86="!!!"),"",IF(OR(J86=0,AND(J86=1,K86=1),AND(J86=1,I86="SBJ"),AND(J86=1,I86=0)),"?IN_FOCUS",IF(J86&lt;=2,"?ACTIVATED",IF(J86&lt;&gt;"","?FAMILIAR",IF(F86="NEW",IF(ISNA(VLOOKUP(E86,#REF!,1,FALSE())),"?TYPE_IDENTIFIABLE","?REFERENTIAL"),"_")))))</f>
        <v/>
      </c>
      <c r="H86" s="24" t="str">
        <f aca="false">IF(J86&lt;&gt;1,"",IF(I86="SBJ","CB","?"))</f>
        <v/>
      </c>
      <c r="I86" s="25" t="str">
        <f aca="false">IF(OR(E86="",E86="!!!",F86="NEW"),"",INDEX(B85:B$2,-1+SUMPRODUCT(MAX(ROW(E85:E$2)*(E86=E85:E$2)))))</f>
        <v> </v>
      </c>
      <c r="J86" s="25" t="str">
        <f aca="true">IF(OR(E86="",E86="!!!",F86="NEW"),"",COUNTBLANK(OFFSET(A$1,,,SUMPRODUCT(MAX(ROW(E$2:E86)*(E86=E$2:E86)))))-COUNTBLANK(OFFSET(A$1,,,SUMPRODUCT(MAX(ROW(E$1:E85)*(E2=E$1:E85))))))</f>
        <v/>
      </c>
      <c r="K86" s="25" t="str">
        <f aca="false">IF(OR(E86="",E86="!!!",F86="NEW"),"",INDEX(J$1:J85,SUMPRODUCT(MAX(ROW(E$1:E85)*(E86=E$1:E85)))))</f>
        <v/>
      </c>
      <c r="L86" s="26"/>
    </row>
    <row r="87" customFormat="false" ht="15" hidden="false" customHeight="false" outlineLevel="0" collapsed="false">
      <c r="A87" s="20" t="s">
        <v>205</v>
      </c>
      <c r="E87" s="21" t="str">
        <f aca="false">IF(D87="?OLD","!!!","")</f>
        <v/>
      </c>
      <c r="F87" s="22" t="str">
        <f aca="false">IF(OR(E87="",E87="!!!"),"",IF(NOT(ISNA(VLOOKUP(E87,E$1:E86,1,FALSE()))),"OLD",IF(AND(E87&lt;&gt;"",E87&lt;&gt;"!!!"),"NEW","")))</f>
        <v>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IF(OR(E87="",E87="!!!",F87="NEW"),"",INDEX(B86:B$2,-1+SUMPRODUCT(MAX(ROW(E86:E$2)*(E87=E86:E$2)))))</f>
        <v> </v>
      </c>
      <c r="J87" s="25" t="str">
        <f aca="true">IF(OR(E87="",E87="!!!",F87="NEW"),"",COUNTBLANK(OFFSET(A$1,,,SUMPRODUCT(MAX(ROW(E$2:E87)*(E87=E$2:E87)))))-COUNTBLANK(OFFSET(A$1,,,SUMPRODUCT(MAX(ROW(E$1:E86)*(E2=E$1:E86))))))</f>
        <v/>
      </c>
      <c r="K87" s="25" t="str">
        <f aca="false">IF(OR(E87="",E87="!!!",F87="NEW"),"",INDEX(J$1:J86,SUMPRODUCT(MAX(ROW(E$1:E86)*(E87=E$1:E86)))))</f>
        <v/>
      </c>
      <c r="L87" s="26"/>
    </row>
    <row r="88" customFormat="false" ht="15" hidden="false" customHeight="false" outlineLevel="0" collapsed="false">
      <c r="A88" s="20" t="s">
        <v>262</v>
      </c>
      <c r="B88" s="27" t="s">
        <v>248</v>
      </c>
      <c r="C88" s="27" t="s">
        <v>208</v>
      </c>
      <c r="D88" s="27" t="s">
        <v>209</v>
      </c>
      <c r="E88" s="21" t="str">
        <f aca="false">IF(D88="?OLD","!!!","")</f>
        <v>!!!</v>
      </c>
      <c r="F88" s="22" t="str">
        <f aca="false">IF(OR(E88="",E88="!!!"),"",IF(NOT(ISNA(VLOOKUP(E88,E$1:E87,1,FALSE()))),"OLD",IF(AND(E88&lt;&gt;"",E88&lt;&gt;"!!!"),"NEW","")))</f>
        <v>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IF(OR(E88="",E88="!!!",F88="NEW"),"",INDEX(B87:B$2,-1+SUMPRODUCT(MAX(ROW(E87:E$2)*(E88=E87:E$2)))))</f>
        <v> </v>
      </c>
      <c r="J88" s="25" t="str">
        <f aca="true">IF(OR(E88="",E88="!!!",F88="NEW"),"",COUNTBLANK(OFFSET(A$1,,,SUMPRODUCT(MAX(ROW(E$2:E88)*(E88=E$2:E88)))))-COUNTBLANK(OFFSET(A$1,,,SUMPRODUCT(MAX(ROW(E$1:E87)*(E2=E$1:E87))))))</f>
        <v/>
      </c>
      <c r="K88" s="25" t="str">
        <f aca="false">IF(OR(E88="",E88="!!!",F88="NEW"),"",INDEX(J$1:J87,SUMPRODUCT(MAX(ROW(E$1:E87)*(E88=E$1:E87)))))</f>
        <v/>
      </c>
      <c r="L88" s="26"/>
    </row>
    <row r="89" customFormat="false" ht="15" hidden="false" customHeight="false" outlineLevel="0" collapsed="false">
      <c r="A89" s="20" t="s">
        <v>218</v>
      </c>
      <c r="E89" s="21" t="str">
        <f aca="false">IF(D89="?OLD","!!!","")</f>
        <v/>
      </c>
      <c r="F89" s="22" t="str">
        <f aca="false">IF(OR(E89="",E89="!!!"),"",IF(NOT(ISNA(VLOOKUP(E89,E$1:E88,1,FALSE()))),"OLD",IF(AND(E89&lt;&gt;"",E89&lt;&gt;"!!!"),"NEW","")))</f>
        <v> </v>
      </c>
      <c r="G89" s="23" t="str">
        <f aca="false">IF(OR(E89="",E89="!!!"),"",IF(OR(J89=0,AND(J89=1,K89=1),AND(J89=1,I89="SBJ"),AND(J89=1,I89=0)),"?IN_FOCUS",IF(J89&lt;=2,"?ACTIVATED",IF(J89&lt;&gt;"","?FAMILIAR",IF(F89="NEW",IF(ISNA(VLOOKUP(E89,#REF!,1,FALSE())),"?TYPE_IDENTIFIABLE","?REFERENTIAL"),"_")))))</f>
        <v/>
      </c>
      <c r="H89" s="24" t="str">
        <f aca="false">IF(J89&lt;&gt;1,"",IF(I89="SBJ","CB","?"))</f>
        <v/>
      </c>
      <c r="I89" s="25" t="str">
        <f aca="false">IF(OR(E89="",E89="!!!",F89="NEW"),"",INDEX(B88:B$2,-1+SUMPRODUCT(MAX(ROW(E88:E$2)*(E89=E88:E$2)))))</f>
        <v> </v>
      </c>
      <c r="J89" s="25" t="str">
        <f aca="true">IF(OR(E89="",E89="!!!",F89="NEW"),"",COUNTBLANK(OFFSET(A$1,,,SUMPRODUCT(MAX(ROW(E$2:E89)*(E89=E$2:E89)))))-COUNTBLANK(OFFSET(A$1,,,SUMPRODUCT(MAX(ROW(E$1:E88)*(E2=E$1:E88))))))</f>
        <v/>
      </c>
      <c r="K89" s="25" t="str">
        <f aca="false">IF(OR(E89="",E89="!!!",F89="NEW"),"",INDEX(J$1:J88,SUMPRODUCT(MAX(ROW(E$1:E88)*(E89=E$1:E88)))))</f>
        <v/>
      </c>
      <c r="L89" s="26"/>
    </row>
    <row r="90" customFormat="false" ht="15" hidden="false" customHeight="false" outlineLevel="0" collapsed="false">
      <c r="A90" s="20" t="s">
        <v>205</v>
      </c>
      <c r="E90" s="21" t="str">
        <f aca="false">IF(D90="?OLD","!!!","")</f>
        <v/>
      </c>
      <c r="F90" s="22" t="str">
        <f aca="false">IF(OR(E90="",E90="!!!"),"",IF(NOT(ISNA(VLOOKUP(E90,E$1:E89,1,FALSE()))),"OLD",IF(AND(E90&lt;&gt;"",E90&lt;&gt;"!!!"),"NEW","")))</f>
        <v> </v>
      </c>
      <c r="G90" s="23" t="str">
        <f aca="false">IF(OR(E90="",E90="!!!"),"",IF(OR(J90=0,AND(J90=1,K90=1),AND(J90=1,I90="SBJ"),AND(J90=1,I90=0)),"?IN_FOCUS",IF(J90&lt;=2,"?ACTIVATED",IF(J90&lt;&gt;"","?FAMILIAR",IF(F90="NEW",IF(ISNA(VLOOKUP(E90,#REF!,1,FALSE())),"?TYPE_IDENTIFIABLE","?REFERENTIAL"),"_")))))</f>
        <v/>
      </c>
      <c r="H90" s="24" t="str">
        <f aca="false">IF(J90&lt;&gt;1,"",IF(I90="SBJ","CB","?"))</f>
        <v/>
      </c>
      <c r="I90" s="25" t="str">
        <f aca="false">IF(OR(E90="",E90="!!!",F90="NEW"),"",INDEX(B89:B$2,-1+SUMPRODUCT(MAX(ROW(E89:E$2)*(E90=E89:E$2)))))</f>
        <v> </v>
      </c>
      <c r="J90" s="25" t="str">
        <f aca="true">IF(OR(E90="",E90="!!!",F90="NEW"),"",COUNTBLANK(OFFSET(A$1,,,SUMPRODUCT(MAX(ROW(E$2:E90)*(E90=E$2:E90)))))-COUNTBLANK(OFFSET(A$1,,,SUMPRODUCT(MAX(ROW(E$1:E89)*(E2=E$1:E89))))))</f>
        <v/>
      </c>
      <c r="K90" s="25" t="str">
        <f aca="false">IF(OR(E90="",E90="!!!",F90="NEW"),"",INDEX(J$1:J89,SUMPRODUCT(MAX(ROW(E$1:E89)*(E90=E$1:E89)))))</f>
        <v/>
      </c>
      <c r="L90" s="26"/>
    </row>
    <row r="91" customFormat="false" ht="15" hidden="false" customHeight="false" outlineLevel="0" collapsed="false">
      <c r="A91" s="20" t="s">
        <v>249</v>
      </c>
      <c r="B91" s="27" t="s">
        <v>250</v>
      </c>
      <c r="C91" s="27" t="s">
        <v>208</v>
      </c>
      <c r="D91" s="27" t="s">
        <v>209</v>
      </c>
      <c r="E91" s="21" t="str">
        <f aca="false">IF(D91="?OLD","!!!","")</f>
        <v>!!!</v>
      </c>
      <c r="F91" s="22" t="str">
        <f aca="false">IF(OR(E91="",E91="!!!"),"",IF(NOT(ISNA(VLOOKUP(E91,E$1:E90,1,FALSE()))),"OLD",IF(AND(E91&lt;&gt;"",E91&lt;&gt;"!!!"),"NEW","")))</f>
        <v> </v>
      </c>
      <c r="G91" s="23" t="str">
        <f aca="false">IF(OR(E91="",E91="!!!"),"",IF(OR(J91=0,AND(J91=1,K91=1),AND(J91=1,I91="SBJ"),AND(J91=1,I91=0)),"?IN_FOCUS",IF(J91&lt;=2,"?ACTIVATED",IF(J91&lt;&gt;"","?FAMILIAR",IF(F91="NEW",IF(ISNA(VLOOKUP(E91,#REF!,1,FALSE())),"?TYPE_IDENTIFIABLE","?REFERENTIAL"),"_")))))</f>
        <v/>
      </c>
      <c r="H91" s="24" t="str">
        <f aca="false">IF(J91&lt;&gt;1,"",IF(I91="SBJ","CB","?"))</f>
        <v/>
      </c>
      <c r="I91" s="25" t="str">
        <f aca="false">IF(OR(E91="",E91="!!!",F91="NEW"),"",INDEX(B90:B$2,-1+SUMPRODUCT(MAX(ROW(E90:E$2)*(E91=E90:E$2)))))</f>
        <v> </v>
      </c>
      <c r="J91" s="25" t="str">
        <f aca="true">IF(OR(E91="",E91="!!!",F91="NEW"),"",COUNTBLANK(OFFSET(A$1,,,SUMPRODUCT(MAX(ROW(E$2:E91)*(E91=E$2:E91)))))-COUNTBLANK(OFFSET(A$1,,,SUMPRODUCT(MAX(ROW(E$1:E90)*(E2=E$1:E90))))))</f>
        <v/>
      </c>
      <c r="K91" s="25" t="str">
        <f aca="false">IF(OR(E91="",E91="!!!",F91="NEW"),"",INDEX(J$1:J90,SUMPRODUCT(MAX(ROW(E$1:E90)*(E91=E$1:E90)))))</f>
        <v/>
      </c>
      <c r="L91" s="26"/>
    </row>
    <row r="92" customFormat="false" ht="15" hidden="false" customHeight="false" outlineLevel="0" collapsed="false">
      <c r="A92" s="20" t="s">
        <v>237</v>
      </c>
      <c r="E92" s="21" t="str">
        <f aca="false">IF(D92="?OLD","!!!","")</f>
        <v/>
      </c>
      <c r="F92" s="22" t="str">
        <f aca="false">IF(OR(E92="",E92="!!!"),"",IF(NOT(ISNA(VLOOKUP(E92,E$1:E91,1,FALSE()))),"OLD",IF(AND(E92&lt;&gt;"",E92&lt;&gt;"!!!"),"NEW","")))</f>
        <v>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IF(OR(E92="",E92="!!!",F92="NEW"),"",INDEX(B91:B$2,-1+SUMPRODUCT(MAX(ROW(E91:E$2)*(E92=E91:E$2)))))</f>
        <v> </v>
      </c>
      <c r="J92" s="25" t="str">
        <f aca="true">IF(OR(E92="",E92="!!!",F92="NEW"),"",COUNTBLANK(OFFSET(A$1,,,SUMPRODUCT(MAX(ROW(E$2:E92)*(E92=E$2:E92)))))-COUNTBLANK(OFFSET(A$1,,,SUMPRODUCT(MAX(ROW(E$1:E91)*(E2=E$1:E91))))))</f>
        <v/>
      </c>
      <c r="K92" s="25" t="str">
        <f aca="false">IF(OR(E92="",E92="!!!",F92="NEW"),"",INDEX(J$1:J91,SUMPRODUCT(MAX(ROW(E$1:E91)*(E92=E$1:E91)))))</f>
        <v/>
      </c>
      <c r="L92" s="26"/>
    </row>
    <row r="93" customFormat="false" ht="15" hidden="false" customHeight="false" outlineLevel="0" collapsed="false">
      <c r="A93" s="20" t="s">
        <v>226</v>
      </c>
      <c r="B93" s="27" t="s">
        <v>207</v>
      </c>
      <c r="C93" s="27" t="s">
        <v>225</v>
      </c>
      <c r="D93" s="27" t="s">
        <v>209</v>
      </c>
      <c r="E93" s="21" t="str">
        <f aca="false">IF(D93="?OLD","!!!","")</f>
        <v>!!!</v>
      </c>
      <c r="F93" s="22" t="str">
        <f aca="false">IF(OR(E93="",E93="!!!"),"",IF(NOT(ISNA(VLOOKUP(E93,E$1:E92,1,FALSE()))),"OLD",IF(AND(E93&lt;&gt;"",E93&lt;&gt;"!!!"),"NEW","")))</f>
        <v> </v>
      </c>
      <c r="G93" s="23" t="str">
        <f aca="false">IF(OR(E93="",E93="!!!"),"",IF(OR(J93=0,AND(J93=1,K93=1),AND(J93=1,I93="SBJ"),AND(J93=1,I93=0)),"?IN_FOCUS",IF(J93&lt;=2,"?ACTIVATED",IF(J93&lt;&gt;"","?FAMILIAR",IF(F93="NEW",IF(ISNA(VLOOKUP(E93,#REF!,1,FALSE())),"?TYPE_IDENTIFIABLE","?REFERENTIAL"),"_")))))</f>
        <v/>
      </c>
      <c r="H93" s="24" t="str">
        <f aca="false">IF(J93&lt;&gt;1,"",IF(I93="SBJ","CB","?"))</f>
        <v/>
      </c>
      <c r="I93" s="25" t="str">
        <f aca="false">IF(OR(E93="",E93="!!!",F93="NEW"),"",INDEX(B92:B$2,-1+SUMPRODUCT(MAX(ROW(E92:E$2)*(E93=E92:E$2)))))</f>
        <v> </v>
      </c>
      <c r="J93" s="25" t="str">
        <f aca="true">IF(OR(E93="",E93="!!!",F93="NEW"),"",COUNTBLANK(OFFSET(A$1,,,SUMPRODUCT(MAX(ROW(E$2:E93)*(E93=E$2:E93)))))-COUNTBLANK(OFFSET(A$1,,,SUMPRODUCT(MAX(ROW(E$1:E92)*(E2=E$1:E92))))))</f>
        <v/>
      </c>
      <c r="K93" s="25" t="str">
        <f aca="false">IF(OR(E93="",E93="!!!",F93="NEW"),"",INDEX(J$1:J92,SUMPRODUCT(MAX(ROW(E$1:E92)*(E93=E$1:E92)))))</f>
        <v/>
      </c>
      <c r="L93" s="26"/>
    </row>
    <row r="94" customFormat="false" ht="15" hidden="false" customHeight="false" outlineLevel="0" collapsed="false">
      <c r="A94" s="20" t="s">
        <v>263</v>
      </c>
      <c r="E94" s="21" t="str">
        <f aca="false">IF(D94="?OLD","!!!","")</f>
        <v/>
      </c>
      <c r="F94" s="22" t="str">
        <f aca="false">IF(OR(E94="",E94="!!!"),"",IF(NOT(ISNA(VLOOKUP(E94,E$1:E93,1,FALSE()))),"OLD",IF(AND(E94&lt;&gt;"",E94&lt;&gt;"!!!"),"NEW","")))</f>
        <v>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IF(OR(E94="",E94="!!!",F94="NEW"),"",INDEX(B93:B$2,-1+SUMPRODUCT(MAX(ROW(E93:E$2)*(E94=E93:E$2)))))</f>
        <v> </v>
      </c>
      <c r="J94" s="25" t="str">
        <f aca="true">IF(OR(E94="",E94="!!!",F94="NEW"),"",COUNTBLANK(OFFSET(A$1,,,SUMPRODUCT(MAX(ROW(E$2:E94)*(E94=E$2:E94)))))-COUNTBLANK(OFFSET(A$1,,,SUMPRODUCT(MAX(ROW(E$1:E93)*(E2=E$1:E93))))))</f>
        <v/>
      </c>
      <c r="K94" s="25" t="str">
        <f aca="false">IF(OR(E94="",E94="!!!",F94="NEW"),"",INDEX(J$1:J93,SUMPRODUCT(MAX(ROW(E$1:E93)*(E94=E$1:E93)))))</f>
        <v/>
      </c>
      <c r="L94" s="26"/>
    </row>
    <row r="95" customFormat="false" ht="15" hidden="false" customHeight="false" outlineLevel="0" collapsed="false">
      <c r="A95" s="20" t="s">
        <v>234</v>
      </c>
      <c r="E95" s="21" t="str">
        <f aca="false">IF(D95="?OLD","!!!","")</f>
        <v/>
      </c>
      <c r="F95" s="22" t="str">
        <f aca="false">IF(OR(E95="",E95="!!!"),"",IF(NOT(ISNA(VLOOKUP(E95,E$1:E94,1,FALSE()))),"OLD",IF(AND(E95&lt;&gt;"",E95&lt;&gt;"!!!"),"NEW","")))</f>
        <v>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IF(OR(E95="",E95="!!!",F95="NEW"),"",INDEX(B94:B$2,-1+SUMPRODUCT(MAX(ROW(E94:E$2)*(E95=E94:E$2)))))</f>
        <v> </v>
      </c>
      <c r="J95" s="25" t="str">
        <f aca="true">IF(OR(E95="",E95="!!!",F95="NEW"),"",COUNTBLANK(OFFSET(A$1,,,SUMPRODUCT(MAX(ROW(E$2:E95)*(E95=E$2:E95)))))-COUNTBLANK(OFFSET(A$1,,,SUMPRODUCT(MAX(ROW(E$1:E94)*(E2=E$1:E94))))))</f>
        <v/>
      </c>
      <c r="K95" s="25" t="str">
        <f aca="false">IF(OR(E95="",E95="!!!",F95="NEW"),"",INDEX(J$1:J94,SUMPRODUCT(MAX(ROW(E$1:E94)*(E95=E$1:E94)))))</f>
        <v/>
      </c>
      <c r="L95" s="26"/>
    </row>
    <row r="96" customFormat="false" ht="15" hidden="false" customHeight="false" outlineLevel="0" collapsed="false">
      <c r="A96" s="20" t="s">
        <v>237</v>
      </c>
      <c r="E96" s="21" t="str">
        <f aca="false">IF(D96="?OLD","!!!","")</f>
        <v/>
      </c>
      <c r="F96" s="22" t="str">
        <f aca="false">IF(OR(E96="",E96="!!!"),"",IF(NOT(ISNA(VLOOKUP(E96,E$1:E95,1,FALSE()))),"OLD",IF(AND(E96&lt;&gt;"",E96&lt;&gt;"!!!"),"NEW","")))</f>
        <v> </v>
      </c>
      <c r="G96" s="23" t="str">
        <f aca="false">IF(OR(E96="",E96="!!!"),"",IF(OR(J96=0,AND(J96=1,K96=1),AND(J96=1,I96="SBJ"),AND(J96=1,I96=0)),"?IN_FOCUS",IF(J96&lt;=2,"?ACTIVATED",IF(J96&lt;&gt;"","?FAMILIAR",IF(F96="NEW",IF(ISNA(VLOOKUP(E96,#REF!,1,FALSE())),"?TYPE_IDENTIFIABLE","?REFERENTIAL"),"_")))))</f>
        <v/>
      </c>
      <c r="H96" s="24" t="str">
        <f aca="false">IF(J96&lt;&gt;1,"",IF(I96="SBJ","CB","?"))</f>
        <v/>
      </c>
      <c r="I96" s="25" t="str">
        <f aca="false">IF(OR(E96="",E96="!!!",F96="NEW"),"",INDEX(B95:B$2,-1+SUMPRODUCT(MAX(ROW(E95:E$2)*(E96=E95:E$2)))))</f>
        <v> </v>
      </c>
      <c r="J96" s="25" t="str">
        <f aca="true">IF(OR(E96="",E96="!!!",F96="NEW"),"",COUNTBLANK(OFFSET(A$1,,,SUMPRODUCT(MAX(ROW(E$2:E96)*(E96=E$2:E96)))))-COUNTBLANK(OFFSET(A$1,,,SUMPRODUCT(MAX(ROW(E$1:E95)*(E2=E$1:E95))))))</f>
        <v/>
      </c>
      <c r="K96" s="25" t="str">
        <f aca="false">IF(OR(E96="",E96="!!!",F96="NEW"),"",INDEX(J$1:J95,SUMPRODUCT(MAX(ROW(E$1:E95)*(E96=E$1:E95)))))</f>
        <v/>
      </c>
      <c r="L96" s="26"/>
    </row>
    <row r="97" customFormat="false" ht="15" hidden="false" customHeight="false" outlineLevel="0" collapsed="false">
      <c r="A97" s="20" t="s">
        <v>242</v>
      </c>
      <c r="E97" s="21" t="str">
        <f aca="false">IF(D97="?OLD","!!!","")</f>
        <v/>
      </c>
      <c r="F97" s="22" t="str">
        <f aca="false">IF(OR(E97="",E97="!!!"),"",IF(NOT(ISNA(VLOOKUP(E97,E$1:E96,1,FALSE()))),"OLD",IF(AND(E97&lt;&gt;"",E97&lt;&gt;"!!!"),"NEW","")))</f>
        <v>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IF(OR(E97="",E97="!!!",F97="NEW"),"",INDEX(B96:B$2,-1+SUMPRODUCT(MAX(ROW(E96:E$2)*(E97=E96:E$2)))))</f>
        <v> </v>
      </c>
      <c r="J97" s="25" t="str">
        <f aca="true">IF(OR(E97="",E97="!!!",F97="NEW"),"",COUNTBLANK(OFFSET(A$1,,,SUMPRODUCT(MAX(ROW(E$2:E97)*(E97=E$2:E97)))))-COUNTBLANK(OFFSET(A$1,,,SUMPRODUCT(MAX(ROW(E$1:E96)*(E2=E$1:E96))))))</f>
        <v/>
      </c>
      <c r="K97" s="25" t="str">
        <f aca="false">IF(OR(E97="",E97="!!!",F97="NEW"),"",INDEX(J$1:J96,SUMPRODUCT(MAX(ROW(E$1:E96)*(E97=E$1:E96)))))</f>
        <v/>
      </c>
      <c r="L97" s="26"/>
    </row>
    <row r="98" customFormat="false" ht="15" hidden="false" customHeight="false" outlineLevel="0" collapsed="false">
      <c r="A98" s="20" t="s">
        <v>243</v>
      </c>
      <c r="B98" s="27" t="s">
        <v>240</v>
      </c>
      <c r="C98" s="27" t="s">
        <v>233</v>
      </c>
      <c r="D98" s="27" t="s">
        <v>209</v>
      </c>
      <c r="E98" s="21" t="str">
        <f aca="false">IF(D98="?OLD","!!!","")</f>
        <v>!!!</v>
      </c>
      <c r="F98" s="22" t="str">
        <f aca="false">IF(OR(E98="",E98="!!!"),"",IF(NOT(ISNA(VLOOKUP(E98,E$1:E97,1,FALSE()))),"OLD",IF(AND(E98&lt;&gt;"",E98&lt;&gt;"!!!"),"NEW","")))</f>
        <v>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IF(OR(E98="",E98="!!!",F98="NEW"),"",INDEX(B97:B$2,-1+SUMPRODUCT(MAX(ROW(E97:E$2)*(E98=E97:E$2)))))</f>
        <v> </v>
      </c>
      <c r="J98" s="25" t="str">
        <f aca="true">IF(OR(E98="",E98="!!!",F98="NEW"),"",COUNTBLANK(OFFSET(A$1,,,SUMPRODUCT(MAX(ROW(E$2:E98)*(E98=E$2:E98)))))-COUNTBLANK(OFFSET(A$1,,,SUMPRODUCT(MAX(ROW(E$1:E97)*(E2=E$1:E97))))))</f>
        <v/>
      </c>
      <c r="K98" s="25" t="str">
        <f aca="false">IF(OR(E98="",E98="!!!",F98="NEW"),"",INDEX(J$1:J97,SUMPRODUCT(MAX(ROW(E$1:E97)*(E98=E$1:E97)))))</f>
        <v/>
      </c>
      <c r="L98" s="26"/>
    </row>
    <row r="99" customFormat="false" ht="15" hidden="false" customHeight="false" outlineLevel="0" collapsed="false">
      <c r="A99" s="20" t="s">
        <v>245</v>
      </c>
      <c r="E99" s="21" t="str">
        <f aca="false">IF(D99="?OLD","!!!","")</f>
        <v/>
      </c>
      <c r="F99" s="22" t="str">
        <f aca="false">IF(OR(E99="",E99="!!!"),"",IF(NOT(ISNA(VLOOKUP(E99,E$1:E98,1,FALSE()))),"OLD",IF(AND(E99&lt;&gt;"",E99&lt;&gt;"!!!"),"NEW","")))</f>
        <v>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IF(OR(E99="",E99="!!!",F99="NEW"),"",INDEX(B98:B$2,-1+SUMPRODUCT(MAX(ROW(E98:E$2)*(E99=E98:E$2)))))</f>
        <v> </v>
      </c>
      <c r="J99" s="25" t="str">
        <f aca="true">IF(OR(E99="",E99="!!!",F99="NEW"),"",COUNTBLANK(OFFSET(A$1,,,SUMPRODUCT(MAX(ROW(E$2:E99)*(E99=E$2:E99)))))-COUNTBLANK(OFFSET(A$1,,,SUMPRODUCT(MAX(ROW(E$1:E98)*(E2=E$1:E98))))))</f>
        <v/>
      </c>
      <c r="K99" s="25" t="str">
        <f aca="false">IF(OR(E99="",E99="!!!",F99="NEW"),"",INDEX(J$1:J98,SUMPRODUCT(MAX(ROW(E$1:E98)*(E99=E$1:E98)))))</f>
        <v/>
      </c>
      <c r="L99" s="26"/>
    </row>
    <row r="100" customFormat="false" ht="15" hidden="false" customHeight="false" outlineLevel="0" collapsed="false">
      <c r="A100" s="20" t="s">
        <v>246</v>
      </c>
      <c r="E100" s="21" t="str">
        <f aca="false">IF(D100="?OLD","!!!","")</f>
        <v/>
      </c>
      <c r="F100" s="22" t="str">
        <f aca="false">IF(OR(E100="",E100="!!!"),"",IF(NOT(ISNA(VLOOKUP(E100,E$1:E99,1,FALSE()))),"OLD",IF(AND(E100&lt;&gt;"",E100&lt;&gt;"!!!"),"NEW","")))</f>
        <v>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IF(OR(E100="",E100="!!!",F100="NEW"),"",INDEX(B99:B$2,-1+SUMPRODUCT(MAX(ROW(E99:E$2)*(E100=E99:E$2)))))</f>
        <v> </v>
      </c>
      <c r="J100" s="25" t="str">
        <f aca="true">IF(OR(E100="",E100="!!!",F100="NEW"),"",COUNTBLANK(OFFSET(A$1,,,SUMPRODUCT(MAX(ROW(E$2:E100)*(E100=E$2:E100)))))-COUNTBLANK(OFFSET(A$1,,,SUMPRODUCT(MAX(ROW(E$1:E99)*(E2=E$1:E99))))))</f>
        <v/>
      </c>
      <c r="K100" s="25" t="str">
        <f aca="false">IF(OR(E100="",E100="!!!",F100="NEW"),"",INDEX(J$1:J99,SUMPRODUCT(MAX(ROW(E$1:E99)*(E100=E$1:E99)))))</f>
        <v/>
      </c>
      <c r="L100" s="26"/>
    </row>
    <row r="101" customFormat="false" ht="15" hidden="false" customHeight="false" outlineLevel="0" collapsed="false">
      <c r="A101" s="20" t="s">
        <v>89</v>
      </c>
      <c r="E101" s="21" t="str">
        <f aca="false">IF(D101="?OLD","!!!","")</f>
        <v/>
      </c>
      <c r="F101" s="22" t="str">
        <f aca="false">IF(OR(E101="",E101="!!!"),"",IF(NOT(ISNA(VLOOKUP(E101,E$1:E100,1,FALSE()))),"OLD",IF(AND(E101&lt;&gt;"",E101&lt;&gt;"!!!"),"NEW","")))</f>
        <v>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IF(OR(E101="",E101="!!!",F101="NEW"),"",INDEX(B100:B$2,-1+SUMPRODUCT(MAX(ROW(E100:E$2)*(E101=E100:E$2)))))</f>
        <v> </v>
      </c>
      <c r="J101" s="25" t="str">
        <f aca="true">IF(OR(E101="",E101="!!!",F101="NEW"),"",COUNTBLANK(OFFSET(A$1,,,SUMPRODUCT(MAX(ROW(E$2:E101)*(E101=E$2:E101)))))-COUNTBLANK(OFFSET(A$1,,,SUMPRODUCT(MAX(ROW(E$1:E100)*(E2=E$1:E100))))))</f>
        <v/>
      </c>
      <c r="K101" s="25" t="str">
        <f aca="false">IF(OR(E101="",E101="!!!",F101="NEW"),"",INDEX(J$1:J100,SUMPRODUCT(MAX(ROW(E$1:E100)*(E101=E$1:E100)))))</f>
        <v/>
      </c>
      <c r="L101" s="26"/>
    </row>
    <row r="102" customFormat="false" ht="15" hidden="false" customHeight="false" outlineLevel="0" collapsed="false">
      <c r="A102" s="20" t="s">
        <v>218</v>
      </c>
      <c r="E102" s="21" t="str">
        <f aca="false">IF(D102="?OLD","!!!","")</f>
        <v/>
      </c>
      <c r="F102" s="22" t="str">
        <f aca="false">IF(OR(E102="",E102="!!!"),"",IF(NOT(ISNA(VLOOKUP(E102,E$1:E101,1,FALSE()))),"OLD",IF(AND(E102&lt;&gt;"",E102&lt;&gt;"!!!"),"NEW","")))</f>
        <v>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IF(OR(E102="",E102="!!!",F102="NEW"),"",INDEX(B101:B$2,-1+SUMPRODUCT(MAX(ROW(E101:E$2)*(E102=E101:E$2)))))</f>
        <v> </v>
      </c>
      <c r="J102" s="25" t="str">
        <f aca="true">IF(OR(E102="",E102="!!!",F102="NEW"),"",COUNTBLANK(OFFSET(A$1,,,SUMPRODUCT(MAX(ROW(E$2:E102)*(E102=E$2:E102)))))-COUNTBLANK(OFFSET(A$1,,,SUMPRODUCT(MAX(ROW(E$1:E101)*(E2=E$1:E101))))))</f>
        <v/>
      </c>
      <c r="K102" s="25" t="str">
        <f aca="false">IF(OR(E102="",E102="!!!",F102="NEW"),"",INDEX(J$1:J101,SUMPRODUCT(MAX(ROW(E$1:E101)*(E102=E$1:E101)))))</f>
        <v/>
      </c>
      <c r="L102" s="26"/>
    </row>
    <row r="103" customFormat="false" ht="15" hidden="false" customHeight="false" outlineLevel="0" collapsed="false">
      <c r="A103" s="20" t="s">
        <v>264</v>
      </c>
      <c r="B103" s="27" t="s">
        <v>220</v>
      </c>
      <c r="C103" s="27" t="s">
        <v>233</v>
      </c>
      <c r="D103" s="27" t="s">
        <v>209</v>
      </c>
      <c r="E103" s="21" t="str">
        <f aca="false">IF(D103="?OLD","!!!","")</f>
        <v>!!!</v>
      </c>
      <c r="F103" s="22" t="str">
        <f aca="false">IF(OR(E103="",E103="!!!"),"",IF(NOT(ISNA(VLOOKUP(E103,E$1:E102,1,FALSE()))),"OLD",IF(AND(E103&lt;&gt;"",E103&lt;&gt;"!!!"),"NEW","")))</f>
        <v>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IF(OR(E103="",E103="!!!",F103="NEW"),"",INDEX(B102:B$2,-1+SUMPRODUCT(MAX(ROW(E102:E$2)*(E103=E102:E$2)))))</f>
        <v> </v>
      </c>
      <c r="J103" s="25" t="str">
        <f aca="true">IF(OR(E103="",E103="!!!",F103="NEW"),"",COUNTBLANK(OFFSET(A$1,,,SUMPRODUCT(MAX(ROW(E$2:E103)*(E103=E$2:E103)))))-COUNTBLANK(OFFSET(A$1,,,SUMPRODUCT(MAX(ROW(E$1:E102)*(E2=E$1:E102))))))</f>
        <v/>
      </c>
      <c r="K103" s="25" t="str">
        <f aca="false">IF(OR(E103="",E103="!!!",F103="NEW"),"",INDEX(J$1:J102,SUMPRODUCT(MAX(ROW(E$1:E102)*(E103=E$1:E102)))))</f>
        <v/>
      </c>
      <c r="L103" s="26"/>
    </row>
    <row r="104" customFormat="false" ht="15" hidden="false" customHeight="false" outlineLevel="0" collapsed="false">
      <c r="A104" s="20" t="s">
        <v>237</v>
      </c>
      <c r="E104" s="21" t="str">
        <f aca="false">IF(D104="?OLD","!!!","")</f>
        <v/>
      </c>
      <c r="F104" s="22" t="str">
        <f aca="false">IF(OR(E104="",E104="!!!"),"",IF(NOT(ISNA(VLOOKUP(E104,E$1:E103,1,FALSE()))),"OLD",IF(AND(E104&lt;&gt;"",E104&lt;&gt;"!!!"),"NEW","")))</f>
        <v> </v>
      </c>
      <c r="G104" s="23" t="str">
        <f aca="false">IF(OR(E104="",E104="!!!"),"",IF(OR(J104=0,AND(J104=1,K104=1),AND(J104=1,I104="SBJ"),AND(J104=1,I104=0)),"?IN_FOCUS",IF(J104&lt;=2,"?ACTIVATED",IF(J104&lt;&gt;"","?FAMILIAR",IF(F104="NEW",IF(ISNA(VLOOKUP(E104,#REF!,1,FALSE())),"?TYPE_IDENTIFIABLE","?REFERENTIAL"),"_")))))</f>
        <v/>
      </c>
      <c r="H104" s="24" t="str">
        <f aca="false">IF(J104&lt;&gt;1,"",IF(I104="SBJ","CB","?"))</f>
        <v/>
      </c>
      <c r="I104" s="25" t="str">
        <f aca="false">IF(OR(E104="",E104="!!!",F104="NEW"),"",INDEX(B103:B$2,-1+SUMPRODUCT(MAX(ROW(E103:E$2)*(E104=E103:E$2)))))</f>
        <v> </v>
      </c>
      <c r="J104" s="25" t="str">
        <f aca="true">IF(OR(E104="",E104="!!!",F104="NEW"),"",COUNTBLANK(OFFSET(A$1,,,SUMPRODUCT(MAX(ROW(E$2:E104)*(E104=E$2:E104)))))-COUNTBLANK(OFFSET(A$1,,,SUMPRODUCT(MAX(ROW(E$1:E103)*(E2=E$1:E103))))))</f>
        <v/>
      </c>
      <c r="K104" s="25" t="str">
        <f aca="false">IF(OR(E104="",E104="!!!",F104="NEW"),"",INDEX(J$1:J103,SUMPRODUCT(MAX(ROW(E$1:E103)*(E104=E$1:E103)))))</f>
        <v/>
      </c>
      <c r="L104" s="26"/>
    </row>
    <row r="105" customFormat="false" ht="15" hidden="false" customHeight="false" outlineLevel="0" collapsed="false">
      <c r="A105" s="20" t="s">
        <v>265</v>
      </c>
      <c r="E105" s="21" t="str">
        <f aca="false">IF(D105="?OLD","!!!","")</f>
        <v/>
      </c>
      <c r="F105" s="22" t="str">
        <f aca="false">IF(OR(E105="",E105="!!!"),"",IF(NOT(ISNA(VLOOKUP(E105,E$1:E104,1,FALSE()))),"OLD",IF(AND(E105&lt;&gt;"",E105&lt;&gt;"!!!"),"NEW","")))</f>
        <v> </v>
      </c>
      <c r="G105" s="23" t="str">
        <f aca="false">IF(OR(E105="",E105="!!!"),"",IF(OR(J105=0,AND(J105=1,K105=1),AND(J105=1,I105="SBJ"),AND(J105=1,I105=0)),"?IN_FOCUS",IF(J105&lt;=2,"?ACTIVATED",IF(J105&lt;&gt;"","?FAMILIAR",IF(F105="NEW",IF(ISNA(VLOOKUP(E105,#REF!,1,FALSE())),"?TYPE_IDENTIFIABLE","?REFERENTIAL"),"_")))))</f>
        <v/>
      </c>
      <c r="H105" s="24" t="str">
        <f aca="false">IF(J105&lt;&gt;1,"",IF(I105="SBJ","CB","?"))</f>
        <v/>
      </c>
      <c r="I105" s="25" t="str">
        <f aca="false">IF(OR(E105="",E105="!!!",F105="NEW"),"",INDEX(B104:B$2,-1+SUMPRODUCT(MAX(ROW(E104:E$2)*(E105=E104:E$2)))))</f>
        <v> </v>
      </c>
      <c r="J105" s="25" t="str">
        <f aca="true">IF(OR(E105="",E105="!!!",F105="NEW"),"",COUNTBLANK(OFFSET(A$1,,,SUMPRODUCT(MAX(ROW(E$2:E105)*(E105=E$2:E105)))))-COUNTBLANK(OFFSET(A$1,,,SUMPRODUCT(MAX(ROW(E$1:E104)*(E2=E$1:E104))))))</f>
        <v/>
      </c>
      <c r="K105" s="25" t="str">
        <f aca="false">IF(OR(E105="",E105="!!!",F105="NEW"),"",INDEX(J$1:J104,SUMPRODUCT(MAX(ROW(E$1:E104)*(E105=E$1:E104)))))</f>
        <v/>
      </c>
      <c r="L105" s="26"/>
    </row>
    <row r="106" customFormat="false" ht="15" hidden="false" customHeight="false" outlineLevel="0" collapsed="false">
      <c r="A106" s="20" t="s">
        <v>245</v>
      </c>
      <c r="E106" s="21" t="str">
        <f aca="false">IF(D106="?OLD","!!!","")</f>
        <v/>
      </c>
      <c r="F106" s="22" t="str">
        <f aca="false">IF(OR(E106="",E106="!!!"),"",IF(NOT(ISNA(VLOOKUP(E106,E$1:E105,1,FALSE()))),"OLD",IF(AND(E106&lt;&gt;"",E106&lt;&gt;"!!!"),"NEW","")))</f>
        <v>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IF(OR(E106="",E106="!!!",F106="NEW"),"",INDEX(B105:B$2,-1+SUMPRODUCT(MAX(ROW(E105:E$2)*(E106=E105:E$2)))))</f>
        <v> </v>
      </c>
      <c r="J106" s="25" t="str">
        <f aca="true">IF(OR(E106="",E106="!!!",F106="NEW"),"",COUNTBLANK(OFFSET(A$1,,,SUMPRODUCT(MAX(ROW(E$2:E106)*(E106=E$2:E106)))))-COUNTBLANK(OFFSET(A$1,,,SUMPRODUCT(MAX(ROW(E$1:E105)*(E2=E$1:E105))))))</f>
        <v/>
      </c>
      <c r="K106" s="25" t="str">
        <f aca="false">IF(OR(E106="",E106="!!!",F106="NEW"),"",INDEX(J$1:J105,SUMPRODUCT(MAX(ROW(E$1:E105)*(E106=E$1:E105)))))</f>
        <v/>
      </c>
      <c r="L106" s="26"/>
    </row>
    <row r="107" customFormat="false" ht="15" hidden="false" customHeight="false" outlineLevel="0" collapsed="false">
      <c r="A107" s="20" t="s">
        <v>266</v>
      </c>
      <c r="B107" s="27" t="s">
        <v>244</v>
      </c>
      <c r="C107" s="27" t="s">
        <v>233</v>
      </c>
      <c r="D107" s="27" t="s">
        <v>209</v>
      </c>
      <c r="E107" s="21" t="str">
        <f aca="false">IF(D107="?OLD","!!!","")</f>
        <v>!!!</v>
      </c>
      <c r="F107" s="22" t="str">
        <f aca="false">IF(OR(E107="",E107="!!!"),"",IF(NOT(ISNA(VLOOKUP(E107,E$1:E106,1,FALSE()))),"OLD",IF(AND(E107&lt;&gt;"",E107&lt;&gt;"!!!"),"NEW","")))</f>
        <v>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IF(OR(E107="",E107="!!!",F107="NEW"),"",INDEX(B106:B$2,-1+SUMPRODUCT(MAX(ROW(E106:E$2)*(E107=E106:E$2)))))</f>
        <v> </v>
      </c>
      <c r="J107" s="25" t="str">
        <f aca="true">IF(OR(E107="",E107="!!!",F107="NEW"),"",COUNTBLANK(OFFSET(A$1,,,SUMPRODUCT(MAX(ROW(E$2:E107)*(E107=E$2:E107)))))-COUNTBLANK(OFFSET(A$1,,,SUMPRODUCT(MAX(ROW(E$1:E106)*(E2=E$1:E106))))))</f>
        <v/>
      </c>
      <c r="K107" s="25" t="str">
        <f aca="false">IF(OR(E107="",E107="!!!",F107="NEW"),"",INDEX(J$1:J106,SUMPRODUCT(MAX(ROW(E$1:E106)*(E107=E$1:E106)))))</f>
        <v/>
      </c>
      <c r="L107" s="26"/>
    </row>
    <row r="108" customFormat="false" ht="15" hidden="false" customHeight="false" outlineLevel="0" collapsed="false">
      <c r="A108" s="20" t="s">
        <v>267</v>
      </c>
      <c r="E108" s="21" t="str">
        <f aca="false">IF(D108="?OLD","!!!","")</f>
        <v/>
      </c>
      <c r="F108" s="22" t="str">
        <f aca="false">IF(OR(E108="",E108="!!!"),"",IF(NOT(ISNA(VLOOKUP(E108,E$1:E107,1,FALSE()))),"OLD",IF(AND(E108&lt;&gt;"",E108&lt;&gt;"!!!"),"NEW","")))</f>
        <v>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IF(OR(E108="",E108="!!!",F108="NEW"),"",INDEX(B107:B$2,-1+SUMPRODUCT(MAX(ROW(E107:E$2)*(E108=E107:E$2)))))</f>
        <v> </v>
      </c>
      <c r="J108" s="25" t="str">
        <f aca="true">IF(OR(E108="",E108="!!!",F108="NEW"),"",COUNTBLANK(OFFSET(A$1,,,SUMPRODUCT(MAX(ROW(E$2:E108)*(E108=E$2:E108)))))-COUNTBLANK(OFFSET(A$1,,,SUMPRODUCT(MAX(ROW(E$1:E107)*(E2=E$1:E107))))))</f>
        <v/>
      </c>
      <c r="K108" s="25" t="str">
        <f aca="false">IF(OR(E108="",E108="!!!",F108="NEW"),"",INDEX(J$1:J107,SUMPRODUCT(MAX(ROW(E$1:E107)*(E108=E$1:E107)))))</f>
        <v/>
      </c>
      <c r="L108" s="26"/>
    </row>
    <row r="109" customFormat="false" ht="15" hidden="false" customHeight="false" outlineLevel="0" collapsed="false">
      <c r="A109" s="20" t="s">
        <v>264</v>
      </c>
      <c r="B109" s="27" t="s">
        <v>268</v>
      </c>
      <c r="C109" s="27" t="s">
        <v>233</v>
      </c>
      <c r="D109" s="27" t="s">
        <v>209</v>
      </c>
      <c r="E109" s="21" t="str">
        <f aca="false">IF(D109="?OLD","!!!","")</f>
        <v>!!!</v>
      </c>
      <c r="F109" s="22" t="str">
        <f aca="false">IF(OR(E109="",E109="!!!"),"",IF(NOT(ISNA(VLOOKUP(E109,E$1:E108,1,FALSE()))),"OLD",IF(AND(E109&lt;&gt;"",E109&lt;&gt;"!!!"),"NEW","")))</f>
        <v>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IF(OR(E109="",E109="!!!",F109="NEW"),"",INDEX(B108:B$2,-1+SUMPRODUCT(MAX(ROW(E108:E$2)*(E109=E108:E$2)))))</f>
        <v> </v>
      </c>
      <c r="J109" s="25" t="str">
        <f aca="true">IF(OR(E109="",E109="!!!",F109="NEW"),"",COUNTBLANK(OFFSET(A$1,,,SUMPRODUCT(MAX(ROW(E$2:E109)*(E109=E$2:E109)))))-COUNTBLANK(OFFSET(A$1,,,SUMPRODUCT(MAX(ROW(E$1:E108)*(E2=E$1:E108))))))</f>
        <v/>
      </c>
      <c r="K109" s="25" t="str">
        <f aca="false">IF(OR(E109="",E109="!!!",F109="NEW"),"",INDEX(J$1:J108,SUMPRODUCT(MAX(ROW(E$1:E108)*(E109=E$1:E108)))))</f>
        <v/>
      </c>
      <c r="L109" s="26"/>
    </row>
    <row r="110" customFormat="false" ht="15" hidden="false" customHeight="false" outlineLevel="0" collapsed="false">
      <c r="A110" s="20" t="s">
        <v>237</v>
      </c>
      <c r="E110" s="21" t="str">
        <f aca="false">IF(D110="?OLD","!!!","")</f>
        <v/>
      </c>
      <c r="F110" s="22" t="str">
        <f aca="false">IF(OR(E110="",E110="!!!"),"",IF(NOT(ISNA(VLOOKUP(E110,E$1:E109,1,FALSE()))),"OLD",IF(AND(E110&lt;&gt;"",E110&lt;&gt;"!!!"),"NEW","")))</f>
        <v>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IF(OR(E110="",E110="!!!",F110="NEW"),"",INDEX(B109:B$2,-1+SUMPRODUCT(MAX(ROW(E109:E$2)*(E110=E109:E$2)))))</f>
        <v> </v>
      </c>
      <c r="J110" s="25" t="str">
        <f aca="true">IF(OR(E110="",E110="!!!",F110="NEW"),"",COUNTBLANK(OFFSET(A$1,,,SUMPRODUCT(MAX(ROW(E$2:E110)*(E110=E$2:E110)))))-COUNTBLANK(OFFSET(A$1,,,SUMPRODUCT(MAX(ROW(E$1:E109)*(E2=E$1:E109))))))</f>
        <v/>
      </c>
      <c r="K110" s="25" t="str">
        <f aca="false">IF(OR(E110="",E110="!!!",F110="NEW"),"",INDEX(J$1:J109,SUMPRODUCT(MAX(ROW(E$1:E109)*(E110=E$1:E109)))))</f>
        <v/>
      </c>
      <c r="L110" s="26"/>
    </row>
    <row r="111" customFormat="false" ht="15" hidden="false" customHeight="false" outlineLevel="0" collapsed="false">
      <c r="A111" s="20" t="s">
        <v>176</v>
      </c>
      <c r="E111" s="21" t="str">
        <f aca="false">IF(D111="?OLD","!!!","")</f>
        <v/>
      </c>
      <c r="F111" s="22" t="str">
        <f aca="false">IF(OR(E111="",E111="!!!"),"",IF(NOT(ISNA(VLOOKUP(E111,E$1:E110,1,FALSE()))),"OLD",IF(AND(E111&lt;&gt;"",E111&lt;&gt;"!!!"),"NEW","")))</f>
        <v> </v>
      </c>
      <c r="G111" s="23" t="str">
        <f aca="false">IF(OR(E111="",E111="!!!"),"",IF(OR(J111=0,AND(J111=1,K111=1),AND(J111=1,I111="SBJ"),AND(J111=1,I111=0)),"?IN_FOCUS",IF(J111&lt;=2,"?ACTIVATED",IF(J111&lt;&gt;"","?FAMILIAR",IF(F111="NEW",IF(ISNA(VLOOKUP(E111,#REF!,1,FALSE())),"?TYPE_IDENTIFIABLE","?REFERENTIAL"),"_")))))</f>
        <v/>
      </c>
      <c r="H111" s="24" t="str">
        <f aca="false">IF(J111&lt;&gt;1,"",IF(I111="SBJ","CB","?"))</f>
        <v/>
      </c>
      <c r="I111" s="25" t="str">
        <f aca="false">IF(OR(E111="",E111="!!!",F111="NEW"),"",INDEX(B110:B$2,-1+SUMPRODUCT(MAX(ROW(E110:E$2)*(E111=E110:E$2)))))</f>
        <v> </v>
      </c>
      <c r="J111" s="25" t="str">
        <f aca="true">IF(OR(E111="",E111="!!!",F111="NEW"),"",COUNTBLANK(OFFSET(A$1,,,SUMPRODUCT(MAX(ROW(E$2:E111)*(E111=E$2:E111)))))-COUNTBLANK(OFFSET(A$1,,,SUMPRODUCT(MAX(ROW(E$1:E110)*(E2=E$1:E110))))))</f>
        <v/>
      </c>
      <c r="K111" s="25" t="str">
        <f aca="false">IF(OR(E111="",E111="!!!",F111="NEW"),"",INDEX(J$1:J110,SUMPRODUCT(MAX(ROW(E$1:E110)*(E111=E$1:E110)))))</f>
        <v/>
      </c>
      <c r="L111" s="26"/>
    </row>
    <row r="112" customFormat="false" ht="15" hidden="false" customHeight="false" outlineLevel="0" collapsed="false">
      <c r="A112" s="20" t="s">
        <v>266</v>
      </c>
      <c r="B112" s="27" t="s">
        <v>269</v>
      </c>
      <c r="C112" s="27" t="s">
        <v>233</v>
      </c>
      <c r="D112" s="27" t="s">
        <v>209</v>
      </c>
      <c r="E112" s="21" t="str">
        <f aca="false">IF(D112="?OLD","!!!","")</f>
        <v>!!!</v>
      </c>
      <c r="F112" s="22" t="str">
        <f aca="false">IF(OR(E112="",E112="!!!"),"",IF(NOT(ISNA(VLOOKUP(E112,E$1:E111,1,FALSE()))),"OLD",IF(AND(E112&lt;&gt;"",E112&lt;&gt;"!!!"),"NEW","")))</f>
        <v> </v>
      </c>
      <c r="G112" s="23" t="str">
        <f aca="false">IF(OR(E112="",E112="!!!"),"",IF(OR(J112=0,AND(J112=1,K112=1),AND(J112=1,I112="SBJ"),AND(J112=1,I112=0)),"?IN_FOCUS",IF(J112&lt;=2,"?ACTIVATED",IF(J112&lt;&gt;"","?FAMILIAR",IF(F112="NEW",IF(ISNA(VLOOKUP(E112,#REF!,1,FALSE())),"?TYPE_IDENTIFIABLE","?REFERENTIAL"),"_")))))</f>
        <v/>
      </c>
      <c r="H112" s="24" t="str">
        <f aca="false">IF(J112&lt;&gt;1,"",IF(I112="SBJ","CB","?"))</f>
        <v/>
      </c>
      <c r="I112" s="25" t="str">
        <f aca="false">IF(OR(E112="",E112="!!!",F112="NEW"),"",INDEX(B111:B$2,-1+SUMPRODUCT(MAX(ROW(E111:E$2)*(E112=E111:E$2)))))</f>
        <v> </v>
      </c>
      <c r="J112" s="25" t="str">
        <f aca="true">IF(OR(E112="",E112="!!!",F112="NEW"),"",COUNTBLANK(OFFSET(A$1,,,SUMPRODUCT(MAX(ROW(E$2:E112)*(E112=E$2:E112)))))-COUNTBLANK(OFFSET(A$1,,,SUMPRODUCT(MAX(ROW(E$1:E111)*(E2=E$1:E111))))))</f>
        <v/>
      </c>
      <c r="K112" s="25" t="str">
        <f aca="false">IF(OR(E112="",E112="!!!",F112="NEW"),"",INDEX(J$1:J111,SUMPRODUCT(MAX(ROW(E$1:E111)*(E112=E$1:E111)))))</f>
        <v/>
      </c>
      <c r="L112" s="26"/>
    </row>
    <row r="113" customFormat="false" ht="15" hidden="false" customHeight="false" outlineLevel="0" collapsed="false">
      <c r="A113" s="20" t="s">
        <v>270</v>
      </c>
      <c r="E113" s="21" t="str">
        <f aca="false">IF(D113="?OLD","!!!","")</f>
        <v/>
      </c>
      <c r="F113" s="22" t="str">
        <f aca="false">IF(OR(E113="",E113="!!!"),"",IF(NOT(ISNA(VLOOKUP(E113,E$1:E112,1,FALSE()))),"OLD",IF(AND(E113&lt;&gt;"",E113&lt;&gt;"!!!"),"NEW","")))</f>
        <v>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IF(OR(E113="",E113="!!!",F113="NEW"),"",INDEX(B112:B$2,-1+SUMPRODUCT(MAX(ROW(E112:E$2)*(E113=E112:E$2)))))</f>
        <v> </v>
      </c>
      <c r="J113" s="25" t="str">
        <f aca="true">IF(OR(E113="",E113="!!!",F113="NEW"),"",COUNTBLANK(OFFSET(A$1,,,SUMPRODUCT(MAX(ROW(E$2:E113)*(E113=E$2:E113)))))-COUNTBLANK(OFFSET(A$1,,,SUMPRODUCT(MAX(ROW(E$1:E112)*(E2=E$1:E112))))))</f>
        <v/>
      </c>
      <c r="K113" s="25" t="str">
        <f aca="false">IF(OR(E113="",E113="!!!",F113="NEW"),"",INDEX(J$1:J112,SUMPRODUCT(MAX(ROW(E$1:E112)*(E113=E$1:E112)))))</f>
        <v/>
      </c>
      <c r="L113" s="26"/>
    </row>
    <row r="114" customFormat="false" ht="15" hidden="false" customHeight="false" outlineLevel="0" collapsed="false">
      <c r="A114" s="20" t="s">
        <v>229</v>
      </c>
      <c r="E114" s="21" t="str">
        <f aca="false">IF(D114="?OLD","!!!","")</f>
        <v/>
      </c>
      <c r="F114" s="22" t="str">
        <f aca="false">IF(OR(E114="",E114="!!!"),"",IF(NOT(ISNA(VLOOKUP(E114,E$1:E113,1,FALSE()))),"OLD",IF(AND(E114&lt;&gt;"",E114&lt;&gt;"!!!"),"NEW","")))</f>
        <v>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IF(OR(E114="",E114="!!!",F114="NEW"),"",INDEX(B113:B$2,-1+SUMPRODUCT(MAX(ROW(E113:E$2)*(E114=E113:E$2)))))</f>
        <v> </v>
      </c>
      <c r="J114" s="25" t="str">
        <f aca="true">IF(OR(E114="",E114="!!!",F114="NEW"),"",COUNTBLANK(OFFSET(A$1,,,SUMPRODUCT(MAX(ROW(E$2:E114)*(E114=E$2:E114)))))-COUNTBLANK(OFFSET(A$1,,,SUMPRODUCT(MAX(ROW(E$1:E113)*(E2=E$1:E113))))))</f>
        <v/>
      </c>
      <c r="K114" s="25" t="str">
        <f aca="false">IF(OR(E114="",E114="!!!",F114="NEW"),"",INDEX(J$1:J113,SUMPRODUCT(MAX(ROW(E$1:E113)*(E114=E$1:E113)))))</f>
        <v/>
      </c>
      <c r="L114" s="26"/>
    </row>
    <row r="115" customFormat="false" ht="15" hidden="false" customHeight="false" outlineLevel="0" collapsed="false">
      <c r="A115" s="20" t="s">
        <v>242</v>
      </c>
      <c r="E115" s="21" t="str">
        <f aca="false">IF(D115="?OLD","!!!","")</f>
        <v/>
      </c>
      <c r="F115" s="22" t="str">
        <f aca="false">IF(OR(E115="",E115="!!!"),"",IF(NOT(ISNA(VLOOKUP(E115,E$1:E114,1,FALSE()))),"OLD",IF(AND(E115&lt;&gt;"",E115&lt;&gt;"!!!"),"NEW","")))</f>
        <v>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IF(OR(E115="",E115="!!!",F115="NEW"),"",INDEX(B114:B$2,-1+SUMPRODUCT(MAX(ROW(E114:E$2)*(E115=E114:E$2)))))</f>
        <v> </v>
      </c>
      <c r="J115" s="25" t="str">
        <f aca="true">IF(OR(E115="",E115="!!!",F115="NEW"),"",COUNTBLANK(OFFSET(A$1,,,SUMPRODUCT(MAX(ROW(E$2:E115)*(E115=E$2:E115)))))-COUNTBLANK(OFFSET(A$1,,,SUMPRODUCT(MAX(ROW(E$1:E114)*(E2=E$1:E114))))))</f>
        <v/>
      </c>
      <c r="K115" s="25" t="str">
        <f aca="false">IF(OR(E115="",E115="!!!",F115="NEW"),"",INDEX(J$1:J114,SUMPRODUCT(MAX(ROW(E$1:E114)*(E115=E$1:E114)))))</f>
        <v/>
      </c>
      <c r="L115" s="26"/>
    </row>
    <row r="116" customFormat="false" ht="15" hidden="false" customHeight="false" outlineLevel="0" collapsed="false">
      <c r="A116" s="20" t="s">
        <v>238</v>
      </c>
      <c r="E116" s="21" t="str">
        <f aca="false">IF(D116="?OLD","!!!","")</f>
        <v/>
      </c>
      <c r="F116" s="22" t="str">
        <f aca="false">IF(OR(E116="",E116="!!!"),"",IF(NOT(ISNA(VLOOKUP(E116,E$1:E115,1,FALSE()))),"OLD",IF(AND(E116&lt;&gt;"",E116&lt;&gt;"!!!"),"NEW","")))</f>
        <v> </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IF(OR(E116="",E116="!!!",F116="NEW"),"",INDEX(B115:B$2,-1+SUMPRODUCT(MAX(ROW(E115:E$2)*(E116=E115:E$2)))))</f>
        <v> </v>
      </c>
      <c r="J116" s="25" t="str">
        <f aca="true">IF(OR(E116="",E116="!!!",F116="NEW"),"",COUNTBLANK(OFFSET(A$1,,,SUMPRODUCT(MAX(ROW(E$2:E116)*(E116=E$2:E116)))))-COUNTBLANK(OFFSET(A$1,,,SUMPRODUCT(MAX(ROW(E$1:E115)*(E2=E$1:E115))))))</f>
        <v/>
      </c>
      <c r="K116" s="25" t="str">
        <f aca="false">IF(OR(E116="",E116="!!!",F116="NEW"),"",INDEX(J$1:J115,SUMPRODUCT(MAX(ROW(E$1:E115)*(E116=E$1:E115)))))</f>
        <v/>
      </c>
      <c r="L116" s="26"/>
    </row>
    <row r="117" customFormat="false" ht="15" hidden="false" customHeight="false" outlineLevel="0" collapsed="false">
      <c r="A117" s="20"/>
    </row>
    <row r="118" customFormat="false" ht="15" hidden="false" customHeight="false" outlineLevel="0" collapsed="false">
      <c r="A118" s="20" t="s">
        <v>230</v>
      </c>
      <c r="E118" s="21" t="str">
        <f aca="false">IF(D118="?OLD","!!!","")</f>
        <v/>
      </c>
      <c r="F118" s="22" t="str">
        <f aca="false">IF(OR(E118="",E118="!!!"),"",IF(NOT(ISNA(VLOOKUP(E118,E$1:E117,1,FALSE()))),"OLD",IF(AND(E118&lt;&gt;"",E118&lt;&gt;"!!!"),"NEW","")))</f>
        <v>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IF(OR(E118="",E118="!!!",F118="NEW"),"",INDEX(B117:B$2,-1+SUMPRODUCT(MAX(ROW(E117:E$2)*(E118=E117:E$2)))))</f>
        <v> </v>
      </c>
      <c r="J118" s="25" t="str">
        <f aca="true">IF(OR(E118="",E118="!!!",F118="NEW"),"",COUNTBLANK(OFFSET(A$1,,,SUMPRODUCT(MAX(ROW(E$2:E118)*(E118=E$2:E118)))))-COUNTBLANK(OFFSET(A$1,,,SUMPRODUCT(MAX(ROW(E$1:E117)*(E2=E$1:E117))))))</f>
        <v/>
      </c>
      <c r="K118" s="25" t="str">
        <f aca="false">IF(OR(E118="",E118="!!!",F118="NEW"),"",INDEX(J$1:J117,SUMPRODUCT(MAX(ROW(E$1:E117)*(E118=E$1:E117)))))</f>
        <v/>
      </c>
      <c r="L118" s="26"/>
    </row>
    <row r="119" customFormat="false" ht="15" hidden="false" customHeight="false" outlineLevel="0" collapsed="false">
      <c r="A119" s="20" t="s">
        <v>271</v>
      </c>
    </row>
    <row r="120" customFormat="false" ht="15" hidden="false" customHeight="false" outlineLevel="0" collapsed="false">
      <c r="A120" s="20" t="s">
        <v>253</v>
      </c>
      <c r="E120" s="21" t="str">
        <f aca="false">IF(D120="?OLD","!!!","")</f>
        <v/>
      </c>
      <c r="F120" s="22" t="str">
        <f aca="false">IF(OR(E120="",E120="!!!"),"",IF(NOT(ISNA(VLOOKUP(E120,E$1:E119,1,FALSE()))),"OLD",IF(AND(E120&lt;&gt;"",E120&lt;&gt;"!!!"),"NEW","")))</f>
        <v>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IF(OR(E120="",E120="!!!",F120="NEW"),"",INDEX(B119:B$2,-1+SUMPRODUCT(MAX(ROW(E119:E$2)*(E120=E119:E$2)))))</f>
        <v> </v>
      </c>
      <c r="J120" s="25" t="str">
        <f aca="true">IF(OR(E120="",E120="!!!",F120="NEW"),"",COUNTBLANK(OFFSET(A$1,,,SUMPRODUCT(MAX(ROW(E$2:E120)*(E120=E$2:E120)))))-COUNTBLANK(OFFSET(A$1,,,SUMPRODUCT(MAX(ROW(E$1:E119)*(E2=E$1:E119))))))</f>
        <v/>
      </c>
      <c r="K120" s="25" t="str">
        <f aca="false">IF(OR(E120="",E120="!!!",F120="NEW"),"",INDEX(J$1:J119,SUMPRODUCT(MAX(ROW(E$1:E119)*(E120=E$1:E119)))))</f>
        <v/>
      </c>
      <c r="L120" s="26"/>
    </row>
    <row r="121" customFormat="false" ht="15" hidden="false" customHeight="false" outlineLevel="0" collapsed="false">
      <c r="A121" s="20" t="s">
        <v>206</v>
      </c>
      <c r="B121" s="27" t="s">
        <v>207</v>
      </c>
      <c r="C121" s="27" t="s">
        <v>208</v>
      </c>
      <c r="D121" s="27" t="s">
        <v>209</v>
      </c>
      <c r="E121" s="21" t="str">
        <f aca="false">IF(D121="?OLD","!!!","")</f>
        <v>!!!</v>
      </c>
      <c r="F121" s="22" t="str">
        <f aca="false">IF(OR(E121="",E121="!!!"),"",IF(NOT(ISNA(VLOOKUP(E121,E$1:E120,1,FALSE()))),"OLD",IF(AND(E121&lt;&gt;"",E121&lt;&gt;"!!!"),"NEW","")))</f>
        <v>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IF(OR(E121="",E121="!!!",F121="NEW"),"",INDEX(B120:B$2,-1+SUMPRODUCT(MAX(ROW(E120:E$2)*(E121=E120:E$2)))))</f>
        <v> </v>
      </c>
      <c r="J121" s="25" t="str">
        <f aca="true">IF(OR(E121="",E121="!!!",F121="NEW"),"",COUNTBLANK(OFFSET(A$1,,,SUMPRODUCT(MAX(ROW(E$2:E121)*(E121=E$2:E121)))))-COUNTBLANK(OFFSET(A$1,,,SUMPRODUCT(MAX(ROW(E$1:E120)*(E2=E$1:E120))))))</f>
        <v/>
      </c>
      <c r="K121" s="25" t="str">
        <f aca="false">IF(OR(E121="",E121="!!!",F121="NEW"),"",INDEX(J$1:J120,SUMPRODUCT(MAX(ROW(E$1:E120)*(E121=E$1:E120)))))</f>
        <v/>
      </c>
      <c r="L121" s="26"/>
    </row>
    <row r="122" customFormat="false" ht="15" hidden="false" customHeight="false" outlineLevel="0" collapsed="false">
      <c r="A122" s="20" t="s">
        <v>234</v>
      </c>
      <c r="E122" s="21" t="str">
        <f aca="false">IF(D122="?OLD","!!!","")</f>
        <v/>
      </c>
      <c r="F122" s="22" t="str">
        <f aca="false">IF(OR(E122="",E122="!!!"),"",IF(NOT(ISNA(VLOOKUP(E122,E$1:E121,1,FALSE()))),"OLD",IF(AND(E122&lt;&gt;"",E122&lt;&gt;"!!!"),"NEW","")))</f>
        <v>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IF(OR(E122="",E122="!!!",F122="NEW"),"",INDEX(B121:B$2,-1+SUMPRODUCT(MAX(ROW(E121:E$2)*(E122=E121:E$2)))))</f>
        <v> </v>
      </c>
      <c r="J122" s="25" t="str">
        <f aca="true">IF(OR(E122="",E122="!!!",F122="NEW"),"",COUNTBLANK(OFFSET(A$1,,,SUMPRODUCT(MAX(ROW(E$2:E122)*(E122=E$2:E122)))))-COUNTBLANK(OFFSET(A$1,,,SUMPRODUCT(MAX(ROW(E$1:E121)*(E2=E$1:E121))))))</f>
        <v/>
      </c>
      <c r="K122" s="25" t="str">
        <f aca="false">IF(OR(E122="",E122="!!!",F122="NEW"),"",INDEX(J$1:J121,SUMPRODUCT(MAX(ROW(E$1:E121)*(E122=E$1:E121)))))</f>
        <v/>
      </c>
      <c r="L122" s="26"/>
    </row>
    <row r="123" customFormat="false" ht="15" hidden="false" customHeight="false" outlineLevel="0" collapsed="false">
      <c r="A123" s="20" t="s">
        <v>235</v>
      </c>
      <c r="E123" s="21" t="str">
        <f aca="false">IF(D123="?OLD","!!!","")</f>
        <v/>
      </c>
      <c r="F123" s="22" t="str">
        <f aca="false">IF(OR(E123="",E123="!!!"),"",IF(NOT(ISNA(VLOOKUP(E123,E$1:E122,1,FALSE()))),"OLD",IF(AND(E123&lt;&gt;"",E123&lt;&gt;"!!!"),"NEW","")))</f>
        <v> </v>
      </c>
      <c r="G123" s="23" t="str">
        <f aca="false">IF(OR(E123="",E123="!!!"),"",IF(OR(J123=0,AND(J123=1,K123=1),AND(J123=1,I123="SBJ"),AND(J123=1,I123=0)),"?IN_FOCUS",IF(J123&lt;=2,"?ACTIVATED",IF(J123&lt;&gt;"","?FAMILIAR",IF(F123="NEW",IF(ISNA(VLOOKUP(E123,#REF!,1,FALSE())),"?TYPE_IDENTIFIABLE","?REFERENTIAL"),"_")))))</f>
        <v/>
      </c>
      <c r="H123" s="24" t="str">
        <f aca="false">IF(J123&lt;&gt;1,"",IF(I123="SBJ","CB","?"))</f>
        <v/>
      </c>
      <c r="I123" s="25" t="str">
        <f aca="false">IF(OR(E123="",E123="!!!",F123="NEW"),"",INDEX(B122:B$2,-1+SUMPRODUCT(MAX(ROW(E122:E$2)*(E123=E122:E$2)))))</f>
        <v> </v>
      </c>
      <c r="J123" s="25" t="str">
        <f aca="true">IF(OR(E123="",E123="!!!",F123="NEW"),"",COUNTBLANK(OFFSET(A$1,,,SUMPRODUCT(MAX(ROW(E$2:E123)*(E123=E$2:E123)))))-COUNTBLANK(OFFSET(A$1,,,SUMPRODUCT(MAX(ROW(E$1:E122)*(E2=E$1:E122))))))</f>
        <v/>
      </c>
      <c r="K123" s="25" t="str">
        <f aca="false">IF(OR(E123="",E123="!!!",F123="NEW"),"",INDEX(J$1:J122,SUMPRODUCT(MAX(ROW(E$1:E122)*(E123=E$1:E122)))))</f>
        <v/>
      </c>
      <c r="L123" s="26"/>
    </row>
    <row r="124" customFormat="false" ht="15" hidden="false" customHeight="false" outlineLevel="0" collapsed="false">
      <c r="A124" s="20" t="s">
        <v>205</v>
      </c>
      <c r="E124" s="21" t="str">
        <f aca="false">IF(D124="?OLD","!!!","")</f>
        <v/>
      </c>
      <c r="F124" s="22" t="str">
        <f aca="false">IF(OR(E124="",E124="!!!"),"",IF(NOT(ISNA(VLOOKUP(E124,E$1:E123,1,FALSE()))),"OLD",IF(AND(E124&lt;&gt;"",E124&lt;&gt;"!!!"),"NEW","")))</f>
        <v>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IF(OR(E124="",E124="!!!",F124="NEW"),"",INDEX(B123:B$2,-1+SUMPRODUCT(MAX(ROW(E123:E$2)*(E124=E123:E$2)))))</f>
        <v> </v>
      </c>
      <c r="J124" s="25" t="str">
        <f aca="true">IF(OR(E124="",E124="!!!",F124="NEW"),"",COUNTBLANK(OFFSET(A$1,,,SUMPRODUCT(MAX(ROW(E$2:E124)*(E124=E$2:E124)))))-COUNTBLANK(OFFSET(A$1,,,SUMPRODUCT(MAX(ROW(E$1:E123)*(E2=E$1:E123))))))</f>
        <v/>
      </c>
      <c r="K124" s="25" t="str">
        <f aca="false">IF(OR(E124="",E124="!!!",F124="NEW"),"",INDEX(J$1:J123,SUMPRODUCT(MAX(ROW(E$1:E123)*(E124=E$1:E123)))))</f>
        <v/>
      </c>
      <c r="L124" s="26"/>
    </row>
    <row r="125" customFormat="false" ht="15" hidden="false" customHeight="false" outlineLevel="0" collapsed="false">
      <c r="A125" s="20" t="s">
        <v>236</v>
      </c>
      <c r="B125" s="27" t="s">
        <v>216</v>
      </c>
      <c r="C125" s="27" t="s">
        <v>208</v>
      </c>
      <c r="D125" s="27" t="s">
        <v>209</v>
      </c>
      <c r="E125" s="21" t="str">
        <f aca="false">IF(D125="?OLD","!!!","")</f>
        <v>!!!</v>
      </c>
      <c r="F125" s="22" t="str">
        <f aca="false">IF(OR(E125="",E125="!!!"),"",IF(NOT(ISNA(VLOOKUP(E125,E$1:E124,1,FALSE()))),"OLD",IF(AND(E125&lt;&gt;"",E125&lt;&gt;"!!!"),"NEW","")))</f>
        <v>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IF(OR(E125="",E125="!!!",F125="NEW"),"",INDEX(B124:B$2,-1+SUMPRODUCT(MAX(ROW(E124:E$2)*(E125=E124:E$2)))))</f>
        <v> </v>
      </c>
      <c r="J125" s="25" t="str">
        <f aca="true">IF(OR(E125="",E125="!!!",F125="NEW"),"",COUNTBLANK(OFFSET(A$1,,,SUMPRODUCT(MAX(ROW(E$2:E125)*(E125=E$2:E125)))))-COUNTBLANK(OFFSET(A$1,,,SUMPRODUCT(MAX(ROW(E$1:E124)*(E2=E$1:E124))))))</f>
        <v/>
      </c>
      <c r="K125" s="25" t="str">
        <f aca="false">IF(OR(E125="",E125="!!!",F125="NEW"),"",INDEX(J$1:J124,SUMPRODUCT(MAX(ROW(E$1:E124)*(E125=E$1:E124)))))</f>
        <v/>
      </c>
      <c r="L125" s="26"/>
    </row>
    <row r="126" customFormat="false" ht="15" hidden="false" customHeight="false" outlineLevel="0" collapsed="false">
      <c r="A126" s="20" t="s">
        <v>237</v>
      </c>
      <c r="E126" s="21" t="str">
        <f aca="false">IF(D126="?OLD","!!!","")</f>
        <v/>
      </c>
      <c r="F126" s="22" t="str">
        <f aca="false">IF(OR(E126="",E126="!!!"),"",IF(NOT(ISNA(VLOOKUP(E126,E$1:E125,1,FALSE()))),"OLD",IF(AND(E126&lt;&gt;"",E126&lt;&gt;"!!!"),"NEW","")))</f>
        <v> </v>
      </c>
      <c r="G126" s="23" t="str">
        <f aca="false">IF(OR(E126="",E126="!!!"),"",IF(OR(J126=0,AND(J126=1,K126=1),AND(J126=1,I126="SBJ"),AND(J126=1,I126=0)),"?IN_FOCUS",IF(J126&lt;=2,"?ACTIVATED",IF(J126&lt;&gt;"","?FAMILIAR",IF(F126="NEW",IF(ISNA(VLOOKUP(E126,#REF!,1,FALSE())),"?TYPE_IDENTIFIABLE","?REFERENTIAL"),"_")))))</f>
        <v/>
      </c>
      <c r="H126" s="24" t="str">
        <f aca="false">IF(J126&lt;&gt;1,"",IF(I126="SBJ","CB","?"))</f>
        <v/>
      </c>
      <c r="I126" s="25" t="str">
        <f aca="false">IF(OR(E126="",E126="!!!",F126="NEW"),"",INDEX(B125:B$2,-1+SUMPRODUCT(MAX(ROW(E125:E$2)*(E126=E125:E$2)))))</f>
        <v> </v>
      </c>
      <c r="J126" s="25" t="str">
        <f aca="true">IF(OR(E126="",E126="!!!",F126="NEW"),"",COUNTBLANK(OFFSET(A$1,,,SUMPRODUCT(MAX(ROW(E$2:E126)*(E126=E$2:E126)))))-COUNTBLANK(OFFSET(A$1,,,SUMPRODUCT(MAX(ROW(E$1:E125)*(E2=E$1:E125))))))</f>
        <v/>
      </c>
      <c r="K126" s="25" t="str">
        <f aca="false">IF(OR(E126="",E126="!!!",F126="NEW"),"",INDEX(J$1:J125,SUMPRODUCT(MAX(ROW(E$1:E125)*(E126=E$1:E125)))))</f>
        <v/>
      </c>
      <c r="L126" s="26"/>
    </row>
    <row r="127" customFormat="false" ht="15" hidden="false" customHeight="false" outlineLevel="0" collapsed="false">
      <c r="A127" s="20" t="s">
        <v>238</v>
      </c>
      <c r="E127" s="21" t="str">
        <f aca="false">IF(D127="?OLD","!!!","")</f>
        <v/>
      </c>
      <c r="F127" s="22" t="str">
        <f aca="false">IF(OR(E127="",E127="!!!"),"",IF(NOT(ISNA(VLOOKUP(E127,E$1:E126,1,FALSE()))),"OLD",IF(AND(E127&lt;&gt;"",E127&lt;&gt;"!!!"),"NEW","")))</f>
        <v> </v>
      </c>
      <c r="G127" s="23" t="str">
        <f aca="false">IF(OR(E127="",E127="!!!"),"",IF(OR(J127=0,AND(J127=1,K127=1),AND(J127=1,I127="SBJ"),AND(J127=1,I127=0)),"?IN_FOCUS",IF(J127&lt;=2,"?ACTIVATED",IF(J127&lt;&gt;"","?FAMILIAR",IF(F127="NEW",IF(ISNA(VLOOKUP(E127,#REF!,1,FALSE())),"?TYPE_IDENTIFIABLE","?REFERENTIAL"),"_")))))</f>
        <v/>
      </c>
      <c r="H127" s="24" t="str">
        <f aca="false">IF(J127&lt;&gt;1,"",IF(I127="SBJ","CB","?"))</f>
        <v/>
      </c>
      <c r="I127" s="25" t="str">
        <f aca="false">IF(OR(E127="",E127="!!!",F127="NEW"),"",INDEX(B126:B$2,-1+SUMPRODUCT(MAX(ROW(E126:E$2)*(E127=E126:E$2)))))</f>
        <v> </v>
      </c>
      <c r="J127" s="25" t="str">
        <f aca="true">IF(OR(E127="",E127="!!!",F127="NEW"),"",COUNTBLANK(OFFSET(A$1,,,SUMPRODUCT(MAX(ROW(E$2:E127)*(E127=E$2:E127)))))-COUNTBLANK(OFFSET(A$1,,,SUMPRODUCT(MAX(ROW(E$1:E126)*(E2=E$1:E126))))))</f>
        <v/>
      </c>
      <c r="K127" s="25" t="str">
        <f aca="false">IF(OR(E127="",E127="!!!",F127="NEW"),"",INDEX(J$1:J126,SUMPRODUCT(MAX(ROW(E$1:E126)*(E127=E$1:E126)))))</f>
        <v/>
      </c>
      <c r="L127" s="26"/>
    </row>
    <row r="128" customFormat="false" ht="15" hidden="false" customHeight="false" outlineLevel="0" collapsed="false">
      <c r="A128" s="20" t="s">
        <v>243</v>
      </c>
      <c r="B128" s="27" t="s">
        <v>240</v>
      </c>
      <c r="C128" s="27" t="s">
        <v>233</v>
      </c>
      <c r="D128" s="27" t="s">
        <v>209</v>
      </c>
      <c r="E128" s="21" t="str">
        <f aca="false">IF(D128="?OLD","!!!","")</f>
        <v>!!!</v>
      </c>
      <c r="F128" s="22" t="str">
        <f aca="false">IF(OR(E128="",E128="!!!"),"",IF(NOT(ISNA(VLOOKUP(E128,E$1:E127,1,FALSE()))),"OLD",IF(AND(E128&lt;&gt;"",E128&lt;&gt;"!!!"),"NEW","")))</f>
        <v> </v>
      </c>
      <c r="G128" s="23" t="str">
        <f aca="false">IF(OR(E128="",E128="!!!"),"",IF(OR(J128=0,AND(J128=1,K128=1),AND(J128=1,I128="SBJ"),AND(J128=1,I128=0)),"?IN_FOCUS",IF(J128&lt;=2,"?ACTIVATED",IF(J128&lt;&gt;"","?FAMILIAR",IF(F128="NEW",IF(ISNA(VLOOKUP(E128,#REF!,1,FALSE())),"?TYPE_IDENTIFIABLE","?REFERENTIAL"),"_")))))</f>
        <v/>
      </c>
      <c r="H128" s="24" t="str">
        <f aca="false">IF(J128&lt;&gt;1,"",IF(I128="SBJ","CB","?"))</f>
        <v/>
      </c>
      <c r="I128" s="25" t="str">
        <f aca="false">IF(OR(E128="",E128="!!!",F128="NEW"),"",INDEX(B127:B$2,-1+SUMPRODUCT(MAX(ROW(E127:E$2)*(E128=E127:E$2)))))</f>
        <v> </v>
      </c>
      <c r="J128" s="25" t="str">
        <f aca="true">IF(OR(E128="",E128="!!!",F128="NEW"),"",COUNTBLANK(OFFSET(A$1,,,SUMPRODUCT(MAX(ROW(E$2:E128)*(E128=E$2:E128)))))-COUNTBLANK(OFFSET(A$1,,,SUMPRODUCT(MAX(ROW(E$1:E127)*(E2=E$1:E127))))))</f>
        <v/>
      </c>
      <c r="K128" s="25" t="str">
        <f aca="false">IF(OR(E128="",E128="!!!",F128="NEW"),"",INDEX(J$1:J127,SUMPRODUCT(MAX(ROW(E$1:E127)*(E128=E$1:E127)))))</f>
        <v/>
      </c>
      <c r="L128" s="26"/>
    </row>
    <row r="129" customFormat="false" ht="15" hidden="false" customHeight="false" outlineLevel="0" collapsed="false">
      <c r="A129" s="20" t="s">
        <v>272</v>
      </c>
      <c r="E129" s="21" t="str">
        <f aca="false">IF(D129="?OLD","!!!","")</f>
        <v/>
      </c>
      <c r="F129" s="22" t="str">
        <f aca="false">IF(OR(E129="",E129="!!!"),"",IF(NOT(ISNA(VLOOKUP(E129,E$1:E128,1,FALSE()))),"OLD",IF(AND(E129&lt;&gt;"",E129&lt;&gt;"!!!"),"NEW","")))</f>
        <v>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IF(OR(E129="",E129="!!!",F129="NEW"),"",INDEX(B128:B$2,-1+SUMPRODUCT(MAX(ROW(E128:E$2)*(E129=E128:E$2)))))</f>
        <v> </v>
      </c>
      <c r="J129" s="25" t="str">
        <f aca="true">IF(OR(E129="",E129="!!!",F129="NEW"),"",COUNTBLANK(OFFSET(A$1,,,SUMPRODUCT(MAX(ROW(E$2:E129)*(E129=E$2:E129)))))-COUNTBLANK(OFFSET(A$1,,,SUMPRODUCT(MAX(ROW(E$1:E128)*(E2=E$1:E128))))))</f>
        <v/>
      </c>
      <c r="K129" s="25" t="str">
        <f aca="false">IF(OR(E129="",E129="!!!",F129="NEW"),"",INDEX(J$1:J128,SUMPRODUCT(MAX(ROW(E$1:E128)*(E129=E$1:E128)))))</f>
        <v/>
      </c>
      <c r="L129" s="26"/>
    </row>
    <row r="130" customFormat="false" ht="15" hidden="false" customHeight="false" outlineLevel="0" collapsed="false">
      <c r="A130" s="20" t="s">
        <v>273</v>
      </c>
      <c r="E130" s="21" t="str">
        <f aca="false">IF(D130="?OLD","!!!","")</f>
        <v/>
      </c>
      <c r="F130" s="22" t="str">
        <f aca="false">IF(OR(E130="",E130="!!!"),"",IF(NOT(ISNA(VLOOKUP(E130,E$1:E129,1,FALSE()))),"OLD",IF(AND(E130&lt;&gt;"",E130&lt;&gt;"!!!"),"NEW","")))</f>
        <v>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IF(OR(E130="",E130="!!!",F130="NEW"),"",INDEX(B129:B$2,-1+SUMPRODUCT(MAX(ROW(E129:E$2)*(E130=E129:E$2)))))</f>
        <v> </v>
      </c>
      <c r="J130" s="25" t="str">
        <f aca="true">IF(OR(E130="",E130="!!!",F130="NEW"),"",COUNTBLANK(OFFSET(A$1,,,SUMPRODUCT(MAX(ROW(E$2:E130)*(E130=E$2:E130)))))-COUNTBLANK(OFFSET(A$1,,,SUMPRODUCT(MAX(ROW(E$1:E129)*(E2=E$1:E129))))))</f>
        <v/>
      </c>
      <c r="K130" s="25" t="str">
        <f aca="false">IF(OR(E130="",E130="!!!",F130="NEW"),"",INDEX(J$1:J129,SUMPRODUCT(MAX(ROW(E$1:E129)*(E130=E$1:E129)))))</f>
        <v/>
      </c>
      <c r="L130" s="26"/>
    </row>
    <row r="131" customFormat="false" ht="15" hidden="false" customHeight="false" outlineLevel="0" collapsed="false">
      <c r="A131" s="20" t="s">
        <v>274</v>
      </c>
      <c r="E131" s="21" t="str">
        <f aca="false">IF(D131="?OLD","!!!","")</f>
        <v/>
      </c>
      <c r="F131" s="22" t="str">
        <f aca="false">IF(OR(E131="",E131="!!!"),"",IF(NOT(ISNA(VLOOKUP(E131,E$1:E130,1,FALSE()))),"OLD",IF(AND(E131&lt;&gt;"",E131&lt;&gt;"!!!"),"NEW","")))</f>
        <v>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IF(OR(E131="",E131="!!!",F131="NEW"),"",INDEX(B130:B$2,-1+SUMPRODUCT(MAX(ROW(E130:E$2)*(E131=E130:E$2)))))</f>
        <v> </v>
      </c>
      <c r="J131" s="25" t="str">
        <f aca="true">IF(OR(E131="",E131="!!!",F131="NEW"),"",COUNTBLANK(OFFSET(A$1,,,SUMPRODUCT(MAX(ROW(E$2:E131)*(E131=E$2:E131)))))-COUNTBLANK(OFFSET(A$1,,,SUMPRODUCT(MAX(ROW(E$1:E130)*(E2=E$1:E130))))))</f>
        <v/>
      </c>
      <c r="K131" s="25" t="str">
        <f aca="false">IF(OR(E131="",E131="!!!",F131="NEW"),"",INDEX(J$1:J130,SUMPRODUCT(MAX(ROW(E$1:E130)*(E131=E$1:E130)))))</f>
        <v/>
      </c>
      <c r="L131" s="26"/>
    </row>
    <row r="132" customFormat="false" ht="15" hidden="false" customHeight="false" outlineLevel="0" collapsed="false">
      <c r="A132" s="20" t="s">
        <v>270</v>
      </c>
      <c r="E132" s="21" t="str">
        <f aca="false">IF(D132="?OLD","!!!","")</f>
        <v/>
      </c>
      <c r="F132" s="22" t="str">
        <f aca="false">IF(OR(E132="",E132="!!!"),"",IF(NOT(ISNA(VLOOKUP(E132,E$1:E131,1,FALSE()))),"OLD",IF(AND(E132&lt;&gt;"",E132&lt;&gt;"!!!"),"NEW","")))</f>
        <v>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IF(OR(E132="",E132="!!!",F132="NEW"),"",INDEX(B131:B$2,-1+SUMPRODUCT(MAX(ROW(E131:E$2)*(E132=E131:E$2)))))</f>
        <v> </v>
      </c>
      <c r="J132" s="25" t="str">
        <f aca="true">IF(OR(E132="",E132="!!!",F132="NEW"),"",COUNTBLANK(OFFSET(A$1,,,SUMPRODUCT(MAX(ROW(E$2:E132)*(E132=E$2:E132)))))-COUNTBLANK(OFFSET(A$1,,,SUMPRODUCT(MAX(ROW(E$1:E131)*(E2=E$1:E131))))))</f>
        <v/>
      </c>
      <c r="K132" s="25" t="str">
        <f aca="false">IF(OR(E132="",E132="!!!",F132="NEW"),"",INDEX(J$1:J131,SUMPRODUCT(MAX(ROW(E$1:E131)*(E132=E$1:E131)))))</f>
        <v/>
      </c>
      <c r="L132" s="26"/>
    </row>
    <row r="133" customFormat="false" ht="15" hidden="false" customHeight="false" outlineLevel="0" collapsed="false">
      <c r="A133" s="20" t="s">
        <v>237</v>
      </c>
      <c r="E133" s="21" t="str">
        <f aca="false">IF(D133="?OLD","!!!","")</f>
        <v/>
      </c>
      <c r="F133" s="22" t="str">
        <f aca="false">IF(OR(E133="",E133="!!!"),"",IF(NOT(ISNA(VLOOKUP(E133,E$1:E132,1,FALSE()))),"OLD",IF(AND(E133&lt;&gt;"",E133&lt;&gt;"!!!"),"NEW","")))</f>
        <v>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IF(OR(E133="",E133="!!!",F133="NEW"),"",INDEX(B132:B$2,-1+SUMPRODUCT(MAX(ROW(E132:E$2)*(E133=E132:E$2)))))</f>
        <v> </v>
      </c>
      <c r="J133" s="25" t="str">
        <f aca="true">IF(OR(E133="",E133="!!!",F133="NEW"),"",COUNTBLANK(OFFSET(A$1,,,SUMPRODUCT(MAX(ROW(E$2:E133)*(E133=E$2:E133)))))-COUNTBLANK(OFFSET(A$1,,,SUMPRODUCT(MAX(ROW(E$1:E132)*(E2=E$1:E132))))))</f>
        <v/>
      </c>
      <c r="K133" s="25" t="str">
        <f aca="false">IF(OR(E133="",E133="!!!",F133="NEW"),"",INDEX(J$1:J132,SUMPRODUCT(MAX(ROW(E$1:E132)*(E133=E$1:E132)))))</f>
        <v/>
      </c>
      <c r="L133" s="26"/>
    </row>
    <row r="134" customFormat="false" ht="15" hidden="false" customHeight="false" outlineLevel="0" collapsed="false">
      <c r="A134" s="20"/>
    </row>
    <row r="135" customFormat="false" ht="15" hidden="false" customHeight="false" outlineLevel="0" collapsed="false">
      <c r="A135" s="20" t="s">
        <v>230</v>
      </c>
      <c r="E135" s="21" t="str">
        <f aca="false">IF(D135="?OLD","!!!","")</f>
        <v/>
      </c>
      <c r="F135" s="22" t="str">
        <f aca="false">IF(OR(E135="",E135="!!!"),"",IF(NOT(ISNA(VLOOKUP(E135,E$1:E134,1,FALSE()))),"OLD",IF(AND(E135&lt;&gt;"",E135&lt;&gt;"!!!"),"NEW","")))</f>
        <v> </v>
      </c>
      <c r="G135" s="23" t="str">
        <f aca="false">IF(OR(E135="",E135="!!!"),"",IF(OR(J135=0,AND(J135=1,K135=1),AND(J135=1,I135="SBJ"),AND(J135=1,I135=0)),"?IN_FOCUS",IF(J135&lt;=2,"?ACTIVATED",IF(J135&lt;&gt;"","?FAMILIAR",IF(F135="NEW",IF(ISNA(VLOOKUP(E135,#REF!,1,FALSE())),"?TYPE_IDENTIFIABLE","?REFERENTIAL"),"_")))))</f>
        <v/>
      </c>
      <c r="H135" s="24" t="str">
        <f aca="false">IF(J135&lt;&gt;1,"",IF(I135="SBJ","CB","?"))</f>
        <v/>
      </c>
      <c r="I135" s="25" t="str">
        <f aca="false">IF(OR(E135="",E135="!!!",F135="NEW"),"",INDEX(B134:B$2,-1+SUMPRODUCT(MAX(ROW(E134:E$2)*(E135=E134:E$2)))))</f>
        <v> </v>
      </c>
      <c r="J135" s="25" t="str">
        <f aca="true">IF(OR(E135="",E135="!!!",F135="NEW"),"",COUNTBLANK(OFFSET(A$1,,,SUMPRODUCT(MAX(ROW(E$2:E135)*(E135=E$2:E135)))))-COUNTBLANK(OFFSET(A$1,,,SUMPRODUCT(MAX(ROW(E$1:E134)*(E2=E$1:E134))))))</f>
        <v/>
      </c>
      <c r="K135" s="25" t="str">
        <f aca="false">IF(OR(E135="",E135="!!!",F135="NEW"),"",INDEX(J$1:J134,SUMPRODUCT(MAX(ROW(E$1:E134)*(E135=E$1:E134)))))</f>
        <v/>
      </c>
      <c r="L135" s="26"/>
    </row>
    <row r="136" customFormat="false" ht="15" hidden="false" customHeight="false" outlineLevel="0" collapsed="false">
      <c r="A136" s="20" t="s">
        <v>275</v>
      </c>
    </row>
    <row r="137" customFormat="false" ht="15" hidden="false" customHeight="false" outlineLevel="0" collapsed="false">
      <c r="A137" s="20" t="s">
        <v>49</v>
      </c>
      <c r="E137" s="21" t="str">
        <f aca="false">IF(D137="?OLD","!!!","")</f>
        <v/>
      </c>
      <c r="F137" s="22" t="str">
        <f aca="false">IF(OR(E137="",E137="!!!"),"",IF(NOT(ISNA(VLOOKUP(E137,E$1:E136,1,FALSE()))),"OLD",IF(AND(E137&lt;&gt;"",E137&lt;&gt;"!!!"),"NEW","")))</f>
        <v>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IF(OR(E137="",E137="!!!",F137="NEW"),"",INDEX(B136:B$2,-1+SUMPRODUCT(MAX(ROW(E136:E$2)*(E137=E136:E$2)))))</f>
        <v> </v>
      </c>
      <c r="J137" s="25" t="str">
        <f aca="true">IF(OR(E137="",E137="!!!",F137="NEW"),"",COUNTBLANK(OFFSET(A$1,,,SUMPRODUCT(MAX(ROW(E$2:E137)*(E137=E$2:E137)))))-COUNTBLANK(OFFSET(A$1,,,SUMPRODUCT(MAX(ROW(E$1:E136)*(E2=E$1:E136))))))</f>
        <v/>
      </c>
      <c r="K137" s="25" t="str">
        <f aca="false">IF(OR(E137="",E137="!!!",F137="NEW"),"",INDEX(J$1:J136,SUMPRODUCT(MAX(ROW(E$1:E136)*(E137=E$1:E136)))))</f>
        <v/>
      </c>
      <c r="L137" s="26"/>
    </row>
    <row r="138" customFormat="false" ht="15" hidden="false" customHeight="false" outlineLevel="0" collapsed="false">
      <c r="A138" s="20" t="s">
        <v>226</v>
      </c>
      <c r="B138" s="27" t="s">
        <v>207</v>
      </c>
      <c r="C138" s="27" t="s">
        <v>225</v>
      </c>
      <c r="D138" s="27" t="s">
        <v>209</v>
      </c>
      <c r="E138" s="21" t="str">
        <f aca="false">IF(D138="?OLD","!!!","")</f>
        <v>!!!</v>
      </c>
      <c r="F138" s="22" t="str">
        <f aca="false">IF(OR(E138="",E138="!!!"),"",IF(NOT(ISNA(VLOOKUP(E138,E$1:E137,1,FALSE()))),"OLD",IF(AND(E138&lt;&gt;"",E138&lt;&gt;"!!!"),"NEW","")))</f>
        <v> </v>
      </c>
      <c r="G138" s="23" t="str">
        <f aca="false">IF(OR(E138="",E138="!!!"),"",IF(OR(J138=0,AND(J138=1,K138=1),AND(J138=1,I138="SBJ"),AND(J138=1,I138=0)),"?IN_FOCUS",IF(J138&lt;=2,"?ACTIVATED",IF(J138&lt;&gt;"","?FAMILIAR",IF(F138="NEW",IF(ISNA(VLOOKUP(E138,#REF!,1,FALSE())),"?TYPE_IDENTIFIABLE","?REFERENTIAL"),"_")))))</f>
        <v/>
      </c>
      <c r="H138" s="24" t="str">
        <f aca="false">IF(J138&lt;&gt;1,"",IF(I138="SBJ","CB","?"))</f>
        <v/>
      </c>
      <c r="I138" s="25" t="str">
        <f aca="false">IF(OR(E138="",E138="!!!",F138="NEW"),"",INDEX(B137:B$2,-1+SUMPRODUCT(MAX(ROW(E137:E$2)*(E138=E137:E$2)))))</f>
        <v> </v>
      </c>
      <c r="J138" s="25" t="str">
        <f aca="true">IF(OR(E138="",E138="!!!",F138="NEW"),"",COUNTBLANK(OFFSET(A$1,,,SUMPRODUCT(MAX(ROW(E$2:E138)*(E138=E$2:E138)))))-COUNTBLANK(OFFSET(A$1,,,SUMPRODUCT(MAX(ROW(E$1:E137)*(E2=E$1:E137))))))</f>
        <v/>
      </c>
      <c r="K138" s="25" t="str">
        <f aca="false">IF(OR(E138="",E138="!!!",F138="NEW"),"",INDEX(J$1:J137,SUMPRODUCT(MAX(ROW(E$1:E137)*(E138=E$1:E137)))))</f>
        <v/>
      </c>
      <c r="L138" s="26"/>
    </row>
    <row r="139" customFormat="false" ht="15" hidden="false" customHeight="false" outlineLevel="0" collapsed="false">
      <c r="A139" s="20" t="s">
        <v>276</v>
      </c>
      <c r="E139" s="21" t="str">
        <f aca="false">IF(D139="?OLD","!!!","")</f>
        <v/>
      </c>
      <c r="F139" s="22" t="str">
        <f aca="false">IF(OR(E139="",E139="!!!"),"",IF(NOT(ISNA(VLOOKUP(E139,E$1:E138,1,FALSE()))),"OLD",IF(AND(E139&lt;&gt;"",E139&lt;&gt;"!!!"),"NEW","")))</f>
        <v>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IF(OR(E139="",E139="!!!",F139="NEW"),"",INDEX(B138:B$2,-1+SUMPRODUCT(MAX(ROW(E138:E$2)*(E139=E138:E$2)))))</f>
        <v> </v>
      </c>
      <c r="J139" s="25" t="str">
        <f aca="true">IF(OR(E139="",E139="!!!",F139="NEW"),"",COUNTBLANK(OFFSET(A$1,,,SUMPRODUCT(MAX(ROW(E$2:E139)*(E139=E$2:E139)))))-COUNTBLANK(OFFSET(A$1,,,SUMPRODUCT(MAX(ROW(E$1:E138)*(E2=E$1:E138))))))</f>
        <v/>
      </c>
      <c r="K139" s="25" t="str">
        <f aca="false">IF(OR(E139="",E139="!!!",F139="NEW"),"",INDEX(J$1:J138,SUMPRODUCT(MAX(ROW(E$1:E138)*(E139=E$1:E138)))))</f>
        <v/>
      </c>
      <c r="L139" s="26"/>
    </row>
    <row r="140" customFormat="false" ht="15" hidden="false" customHeight="false" outlineLevel="0" collapsed="false">
      <c r="A140" s="20" t="s">
        <v>277</v>
      </c>
      <c r="B140" s="27" t="s">
        <v>278</v>
      </c>
      <c r="C140" s="27" t="s">
        <v>279</v>
      </c>
      <c r="D140" s="27" t="s">
        <v>209</v>
      </c>
      <c r="E140" s="21" t="str">
        <f aca="false">IF(D140="?OLD","!!!","")</f>
        <v>!!!</v>
      </c>
      <c r="F140" s="22" t="str">
        <f aca="false">IF(OR(E140="",E140="!!!"),"",IF(NOT(ISNA(VLOOKUP(E140,E$1:E139,1,FALSE()))),"OLD",IF(AND(E140&lt;&gt;"",E140&lt;&gt;"!!!"),"NEW","")))</f>
        <v>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IF(OR(E140="",E140="!!!",F140="NEW"),"",INDEX(B139:B$2,-1+SUMPRODUCT(MAX(ROW(E139:E$2)*(E140=E139:E$2)))))</f>
        <v> </v>
      </c>
      <c r="J140" s="25" t="str">
        <f aca="true">IF(OR(E140="",E140="!!!",F140="NEW"),"",COUNTBLANK(OFFSET(A$1,,,SUMPRODUCT(MAX(ROW(E$2:E140)*(E140=E$2:E140)))))-COUNTBLANK(OFFSET(A$1,,,SUMPRODUCT(MAX(ROW(E$1:E139)*(E2=E$1:E139))))))</f>
        <v/>
      </c>
      <c r="K140" s="25" t="str">
        <f aca="false">IF(OR(E140="",E140="!!!",F140="NEW"),"",INDEX(J$1:J139,SUMPRODUCT(MAX(ROW(E$1:E139)*(E140=E$1:E139)))))</f>
        <v/>
      </c>
      <c r="L140" s="26"/>
    </row>
    <row r="141" customFormat="false" ht="15" hidden="false" customHeight="false" outlineLevel="0" collapsed="false">
      <c r="A141" s="20" t="s">
        <v>261</v>
      </c>
      <c r="E141" s="21" t="str">
        <f aca="false">IF(D141="?OLD","!!!","")</f>
        <v/>
      </c>
      <c r="F141" s="22" t="str">
        <f aca="false">IF(OR(E141="",E141="!!!"),"",IF(NOT(ISNA(VLOOKUP(E141,E$1:E140,1,FALSE()))),"OLD",IF(AND(E141&lt;&gt;"",E141&lt;&gt;"!!!"),"NEW","")))</f>
        <v>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IF(OR(E141="",E141="!!!",F141="NEW"),"",INDEX(B140:B$2,-1+SUMPRODUCT(MAX(ROW(E140:E$2)*(E141=E140:E$2)))))</f>
        <v> </v>
      </c>
      <c r="J141" s="25" t="str">
        <f aca="true">IF(OR(E141="",E141="!!!",F141="NEW"),"",COUNTBLANK(OFFSET(A$1,,,SUMPRODUCT(MAX(ROW(E$2:E141)*(E141=E$2:E141)))))-COUNTBLANK(OFFSET(A$1,,,SUMPRODUCT(MAX(ROW(E$1:E140)*(E2=E$1:E140))))))</f>
        <v/>
      </c>
      <c r="K141" s="25" t="str">
        <f aca="false">IF(OR(E141="",E141="!!!",F141="NEW"),"",INDEX(J$1:J140,SUMPRODUCT(MAX(ROW(E$1:E140)*(E141=E$1:E140)))))</f>
        <v/>
      </c>
      <c r="L141" s="26"/>
    </row>
    <row r="142" customFormat="false" ht="15" hidden="false" customHeight="false" outlineLevel="0" collapsed="false">
      <c r="A142" s="20" t="s">
        <v>205</v>
      </c>
      <c r="E142" s="21" t="str">
        <f aca="false">IF(D142="?OLD","!!!","")</f>
        <v/>
      </c>
      <c r="F142" s="22" t="str">
        <f aca="false">IF(OR(E142="",E142="!!!"),"",IF(NOT(ISNA(VLOOKUP(E142,E$1:E141,1,FALSE()))),"OLD",IF(AND(E142&lt;&gt;"",E142&lt;&gt;"!!!"),"NEW","")))</f>
        <v>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IF(OR(E142="",E142="!!!",F142="NEW"),"",INDEX(B141:B$2,-1+SUMPRODUCT(MAX(ROW(E141:E$2)*(E142=E141:E$2)))))</f>
        <v> </v>
      </c>
      <c r="J142" s="25" t="str">
        <f aca="true">IF(OR(E142="",E142="!!!",F142="NEW"),"",COUNTBLANK(OFFSET(A$1,,,SUMPRODUCT(MAX(ROW(E$2:E142)*(E142=E$2:E142)))))-COUNTBLANK(OFFSET(A$1,,,SUMPRODUCT(MAX(ROW(E$1:E141)*(E2=E$1:E141))))))</f>
        <v/>
      </c>
      <c r="K142" s="25" t="str">
        <f aca="false">IF(OR(E142="",E142="!!!",F142="NEW"),"",INDEX(J$1:J141,SUMPRODUCT(MAX(ROW(E$1:E141)*(E142=E$1:E141)))))</f>
        <v/>
      </c>
      <c r="L142" s="26"/>
    </row>
    <row r="143" customFormat="false" ht="15" hidden="false" customHeight="false" outlineLevel="0" collapsed="false">
      <c r="A143" s="20" t="s">
        <v>280</v>
      </c>
      <c r="B143" s="27" t="s">
        <v>216</v>
      </c>
      <c r="C143" s="27" t="s">
        <v>208</v>
      </c>
      <c r="D143" s="27" t="s">
        <v>209</v>
      </c>
      <c r="E143" s="21" t="str">
        <f aca="false">IF(D143="?OLD","!!!","")</f>
        <v>!!!</v>
      </c>
      <c r="F143" s="22" t="str">
        <f aca="false">IF(OR(E143="",E143="!!!"),"",IF(NOT(ISNA(VLOOKUP(E143,E$1:E142,1,FALSE()))),"OLD",IF(AND(E143&lt;&gt;"",E143&lt;&gt;"!!!"),"NEW","")))</f>
        <v>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IF(OR(E143="",E143="!!!",F143="NEW"),"",INDEX(B142:B$2,-1+SUMPRODUCT(MAX(ROW(E142:E$2)*(E143=E142:E$2)))))</f>
        <v> </v>
      </c>
      <c r="J143" s="25" t="str">
        <f aca="true">IF(OR(E143="",E143="!!!",F143="NEW"),"",COUNTBLANK(OFFSET(A$1,,,SUMPRODUCT(MAX(ROW(E$2:E143)*(E143=E$2:E143)))))-COUNTBLANK(OFFSET(A$1,,,SUMPRODUCT(MAX(ROW(E$1:E142)*(E2=E$1:E142))))))</f>
        <v/>
      </c>
      <c r="K143" s="25" t="str">
        <f aca="false">IF(OR(E143="",E143="!!!",F143="NEW"),"",INDEX(J$1:J142,SUMPRODUCT(MAX(ROW(E$1:E142)*(E143=E$1:E142)))))</f>
        <v/>
      </c>
      <c r="L143" s="26"/>
    </row>
    <row r="144" customFormat="false" ht="15" hidden="false" customHeight="false" outlineLevel="0" collapsed="false">
      <c r="A144" s="20" t="s">
        <v>266</v>
      </c>
      <c r="B144" s="27" t="s">
        <v>244</v>
      </c>
      <c r="C144" s="27" t="s">
        <v>233</v>
      </c>
      <c r="D144" s="27" t="s">
        <v>209</v>
      </c>
      <c r="E144" s="21" t="str">
        <f aca="false">IF(D144="?OLD","!!!","")</f>
        <v>!!!</v>
      </c>
      <c r="F144" s="22" t="str">
        <f aca="false">IF(OR(E144="",E144="!!!"),"",IF(NOT(ISNA(VLOOKUP(E144,E$1:E143,1,FALSE()))),"OLD",IF(AND(E144&lt;&gt;"",E144&lt;&gt;"!!!"),"NEW","")))</f>
        <v>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IF(OR(E144="",E144="!!!",F144="NEW"),"",INDEX(B143:B$2,-1+SUMPRODUCT(MAX(ROW(E143:E$2)*(E144=E143:E$2)))))</f>
        <v> </v>
      </c>
      <c r="J144" s="25" t="str">
        <f aca="true">IF(OR(E144="",E144="!!!",F144="NEW"),"",COUNTBLANK(OFFSET(A$1,,,SUMPRODUCT(MAX(ROW(E$2:E144)*(E144=E$2:E144)))))-COUNTBLANK(OFFSET(A$1,,,SUMPRODUCT(MAX(ROW(E$1:E143)*(E2=E$1:E143))))))</f>
        <v/>
      </c>
      <c r="K144" s="25" t="str">
        <f aca="false">IF(OR(E144="",E144="!!!",F144="NEW"),"",INDEX(J$1:J143,SUMPRODUCT(MAX(ROW(E$1:E143)*(E144=E$1:E143)))))</f>
        <v/>
      </c>
      <c r="L144" s="26"/>
    </row>
    <row r="145" customFormat="false" ht="15" hidden="false" customHeight="false" outlineLevel="0" collapsed="false">
      <c r="A145" s="20" t="s">
        <v>89</v>
      </c>
      <c r="E145" s="21" t="str">
        <f aca="false">IF(D145="?OLD","!!!","")</f>
        <v/>
      </c>
      <c r="F145" s="22" t="str">
        <f aca="false">IF(OR(E145="",E145="!!!"),"",IF(NOT(ISNA(VLOOKUP(E145,E$1:E144,1,FALSE()))),"OLD",IF(AND(E145&lt;&gt;"",E145&lt;&gt;"!!!"),"NEW","")))</f>
        <v>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IF(OR(E145="",E145="!!!",F145="NEW"),"",INDEX(B144:B$2,-1+SUMPRODUCT(MAX(ROW(E144:E$2)*(E145=E144:E$2)))))</f>
        <v> </v>
      </c>
      <c r="J145" s="25" t="str">
        <f aca="true">IF(OR(E145="",E145="!!!",F145="NEW"),"",COUNTBLANK(OFFSET(A$1,,,SUMPRODUCT(MAX(ROW(E$2:E145)*(E145=E$2:E145)))))-COUNTBLANK(OFFSET(A$1,,,SUMPRODUCT(MAX(ROW(E$1:E144)*(E2=E$1:E144))))))</f>
        <v/>
      </c>
      <c r="K145" s="25" t="str">
        <f aca="false">IF(OR(E145="",E145="!!!",F145="NEW"),"",INDEX(J$1:J144,SUMPRODUCT(MAX(ROW(E$1:E144)*(E145=E$1:E144)))))</f>
        <v/>
      </c>
      <c r="L145" s="26"/>
    </row>
    <row r="146" customFormat="false" ht="15" hidden="false" customHeight="false" outlineLevel="0" collapsed="false">
      <c r="A146" s="20" t="s">
        <v>264</v>
      </c>
      <c r="B146" s="27" t="s">
        <v>268</v>
      </c>
      <c r="C146" s="27" t="s">
        <v>233</v>
      </c>
      <c r="D146" s="27" t="s">
        <v>209</v>
      </c>
      <c r="E146" s="21" t="str">
        <f aca="false">IF(D146="?OLD","!!!","")</f>
        <v>!!!</v>
      </c>
      <c r="F146" s="22" t="str">
        <f aca="false">IF(OR(E146="",E146="!!!"),"",IF(NOT(ISNA(VLOOKUP(E146,E$1:E145,1,FALSE()))),"OLD",IF(AND(E146&lt;&gt;"",E146&lt;&gt;"!!!"),"NEW","")))</f>
        <v>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IF(OR(E146="",E146="!!!",F146="NEW"),"",INDEX(B145:B$2,-1+SUMPRODUCT(MAX(ROW(E145:E$2)*(E146=E145:E$2)))))</f>
        <v> </v>
      </c>
      <c r="J146" s="25" t="str">
        <f aca="true">IF(OR(E146="",E146="!!!",F146="NEW"),"",COUNTBLANK(OFFSET(A$1,,,SUMPRODUCT(MAX(ROW(E$2:E146)*(E146=E$2:E146)))))-COUNTBLANK(OFFSET(A$1,,,SUMPRODUCT(MAX(ROW(E$1:E145)*(E2=E$1:E145))))))</f>
        <v/>
      </c>
      <c r="K146" s="25" t="str">
        <f aca="false">IF(OR(E146="",E146="!!!",F146="NEW"),"",INDEX(J$1:J145,SUMPRODUCT(MAX(ROW(E$1:E145)*(E146=E$1:E145)))))</f>
        <v/>
      </c>
      <c r="L146" s="26"/>
    </row>
    <row r="147" customFormat="false" ht="15" hidden="false" customHeight="false" outlineLevel="0" collapsed="false">
      <c r="A147" s="20" t="s">
        <v>237</v>
      </c>
      <c r="E147" s="21" t="str">
        <f aca="false">IF(D147="?OLD","!!!","")</f>
        <v/>
      </c>
      <c r="F147" s="22" t="str">
        <f aca="false">IF(OR(E147="",E147="!!!"),"",IF(NOT(ISNA(VLOOKUP(E147,E$1:E146,1,FALSE()))),"OLD",IF(AND(E147&lt;&gt;"",E147&lt;&gt;"!!!"),"NEW","")))</f>
        <v>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IF(OR(E147="",E147="!!!",F147="NEW"),"",INDEX(B146:B$2,-1+SUMPRODUCT(MAX(ROW(E146:E$2)*(E147=E146:E$2)))))</f>
        <v> </v>
      </c>
      <c r="J147" s="25" t="str">
        <f aca="true">IF(OR(E147="",E147="!!!",F147="NEW"),"",COUNTBLANK(OFFSET(A$1,,,SUMPRODUCT(MAX(ROW(E$2:E147)*(E147=E$2:E147)))))-COUNTBLANK(OFFSET(A$1,,,SUMPRODUCT(MAX(ROW(E$1:E146)*(E2=E$1:E146))))))</f>
        <v/>
      </c>
      <c r="K147" s="25" t="str">
        <f aca="false">IF(OR(E147="",E147="!!!",F147="NEW"),"",INDEX(J$1:J146,SUMPRODUCT(MAX(ROW(E$1:E146)*(E147=E$1:E146)))))</f>
        <v/>
      </c>
      <c r="L147" s="26"/>
    </row>
    <row r="148" customFormat="false" ht="15" hidden="false" customHeight="false" outlineLevel="0" collapsed="false">
      <c r="A148" s="20" t="s">
        <v>281</v>
      </c>
      <c r="B148" s="27" t="s">
        <v>248</v>
      </c>
      <c r="C148" s="27" t="s">
        <v>282</v>
      </c>
      <c r="D148" s="27" t="s">
        <v>209</v>
      </c>
      <c r="E148" s="21" t="str">
        <f aca="false">IF(D148="?OLD","!!!","")</f>
        <v>!!!</v>
      </c>
      <c r="F148" s="22" t="str">
        <f aca="false">IF(OR(E148="",E148="!!!"),"",IF(NOT(ISNA(VLOOKUP(E148,E$1:E147,1,FALSE()))),"OLD",IF(AND(E148&lt;&gt;"",E148&lt;&gt;"!!!"),"NEW","")))</f>
        <v> </v>
      </c>
      <c r="G148" s="23" t="str">
        <f aca="false">IF(OR(E148="",E148="!!!"),"",IF(OR(J148=0,AND(J148=1,K148=1),AND(J148=1,I148="SBJ"),AND(J148=1,I148=0)),"?IN_FOCUS",IF(J148&lt;=2,"?ACTIVATED",IF(J148&lt;&gt;"","?FAMILIAR",IF(F148="NEW",IF(ISNA(VLOOKUP(E148,#REF!,1,FALSE())),"?TYPE_IDENTIFIABLE","?REFERENTIAL"),"_")))))</f>
        <v/>
      </c>
      <c r="H148" s="24" t="str">
        <f aca="false">IF(J148&lt;&gt;1,"",IF(I148="SBJ","CB","?"))</f>
        <v/>
      </c>
      <c r="I148" s="25" t="str">
        <f aca="false">IF(OR(E148="",E148="!!!",F148="NEW"),"",INDEX(B147:B$2,-1+SUMPRODUCT(MAX(ROW(E147:E$2)*(E148=E147:E$2)))))</f>
        <v> </v>
      </c>
      <c r="J148" s="25" t="str">
        <f aca="true">IF(OR(E148="",E148="!!!",F148="NEW"),"",COUNTBLANK(OFFSET(A$1,,,SUMPRODUCT(MAX(ROW(E$2:E148)*(E148=E$2:E148)))))-COUNTBLANK(OFFSET(A$1,,,SUMPRODUCT(MAX(ROW(E$1:E147)*(E2=E$1:E147))))))</f>
        <v/>
      </c>
      <c r="K148" s="25" t="str">
        <f aca="false">IF(OR(E148="",E148="!!!",F148="NEW"),"",INDEX(J$1:J147,SUMPRODUCT(MAX(ROW(E$1:E147)*(E148=E$1:E147)))))</f>
        <v/>
      </c>
      <c r="L148" s="26"/>
    </row>
    <row r="149" customFormat="false" ht="15" hidden="false" customHeight="false" outlineLevel="0" collapsed="false">
      <c r="A149" s="20" t="s">
        <v>283</v>
      </c>
      <c r="B149" s="27" t="s">
        <v>240</v>
      </c>
      <c r="C149" s="27" t="s">
        <v>284</v>
      </c>
      <c r="D149" s="27" t="s">
        <v>209</v>
      </c>
      <c r="E149" s="21" t="str">
        <f aca="false">IF(D149="?OLD","!!!","")</f>
        <v>!!!</v>
      </c>
      <c r="F149" s="22" t="str">
        <f aca="false">IF(OR(E149="",E149="!!!"),"",IF(NOT(ISNA(VLOOKUP(E149,E$1:E148,1,FALSE()))),"OLD",IF(AND(E149&lt;&gt;"",E149&lt;&gt;"!!!"),"NEW","")))</f>
        <v> </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IF(OR(E149="",E149="!!!",F149="NEW"),"",INDEX(B148:B$2,-1+SUMPRODUCT(MAX(ROW(E148:E$2)*(E149=E148:E$2)))))</f>
        <v> </v>
      </c>
      <c r="J149" s="25" t="str">
        <f aca="true">IF(OR(E149="",E149="!!!",F149="NEW"),"",COUNTBLANK(OFFSET(A$1,,,SUMPRODUCT(MAX(ROW(E$2:E149)*(E149=E$2:E149)))))-COUNTBLANK(OFFSET(A$1,,,SUMPRODUCT(MAX(ROW(E$1:E148)*(E2=E$1:E148))))))</f>
        <v/>
      </c>
      <c r="K149" s="25" t="str">
        <f aca="false">IF(OR(E149="",E149="!!!",F149="NEW"),"",INDEX(J$1:J148,SUMPRODUCT(MAX(ROW(E$1:E148)*(E149=E$1:E148)))))</f>
        <v/>
      </c>
      <c r="L149" s="26"/>
    </row>
    <row r="150" customFormat="false" ht="15" hidden="false" customHeight="false" outlineLevel="0" collapsed="false">
      <c r="A150" s="20" t="s">
        <v>285</v>
      </c>
      <c r="E150" s="21" t="str">
        <f aca="false">IF(D150="?OLD","!!!","")</f>
        <v/>
      </c>
      <c r="F150" s="22" t="str">
        <f aca="false">IF(OR(E150="",E150="!!!"),"",IF(NOT(ISNA(VLOOKUP(E150,E$1:E149,1,FALSE()))),"OLD",IF(AND(E150&lt;&gt;"",E150&lt;&gt;"!!!"),"NEW","")))</f>
        <v>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IF(OR(E150="",E150="!!!",F150="NEW"),"",INDEX(B149:B$2,-1+SUMPRODUCT(MAX(ROW(E149:E$2)*(E150=E149:E$2)))))</f>
        <v> </v>
      </c>
      <c r="J150" s="25" t="str">
        <f aca="true">IF(OR(E150="",E150="!!!",F150="NEW"),"",COUNTBLANK(OFFSET(A$1,,,SUMPRODUCT(MAX(ROW(E$2:E150)*(E150=E$2:E150)))))-COUNTBLANK(OFFSET(A$1,,,SUMPRODUCT(MAX(ROW(E$1:E149)*(E2=E$1:E149))))))</f>
        <v/>
      </c>
      <c r="K150" s="25" t="str">
        <f aca="false">IF(OR(E150="",E150="!!!",F150="NEW"),"",INDEX(J$1:J149,SUMPRODUCT(MAX(ROW(E$1:E149)*(E150=E$1:E149)))))</f>
        <v/>
      </c>
      <c r="L150" s="26"/>
    </row>
    <row r="151" customFormat="false" ht="15" hidden="false" customHeight="false" outlineLevel="0" collapsed="false">
      <c r="A151" s="20" t="s">
        <v>286</v>
      </c>
      <c r="E151" s="21" t="str">
        <f aca="false">IF(D151="?OLD","!!!","")</f>
        <v/>
      </c>
      <c r="F151" s="22" t="str">
        <f aca="false">IF(OR(E151="",E151="!!!"),"",IF(NOT(ISNA(VLOOKUP(E151,E$1:E150,1,FALSE()))),"OLD",IF(AND(E151&lt;&gt;"",E151&lt;&gt;"!!!"),"NEW","")))</f>
        <v>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IF(OR(E151="",E151="!!!",F151="NEW"),"",INDEX(B150:B$2,-1+SUMPRODUCT(MAX(ROW(E150:E$2)*(E151=E150:E$2)))))</f>
        <v> </v>
      </c>
      <c r="J151" s="25" t="str">
        <f aca="true">IF(OR(E151="",E151="!!!",F151="NEW"),"",COUNTBLANK(OFFSET(A$1,,,SUMPRODUCT(MAX(ROW(E$2:E151)*(E151=E$2:E151)))))-COUNTBLANK(OFFSET(A$1,,,SUMPRODUCT(MAX(ROW(E$1:E150)*(E2=E$1:E150))))))</f>
        <v/>
      </c>
      <c r="K151" s="25" t="str">
        <f aca="false">IF(OR(E151="",E151="!!!",F151="NEW"),"",INDEX(J$1:J150,SUMPRODUCT(MAX(ROW(E$1:E150)*(E151=E$1:E150)))))</f>
        <v/>
      </c>
      <c r="L151" s="26"/>
    </row>
    <row r="152" customFormat="false" ht="15" hidden="false" customHeight="false" outlineLevel="0" collapsed="false">
      <c r="A152" s="20" t="s">
        <v>287</v>
      </c>
      <c r="E152" s="21" t="str">
        <f aca="false">IF(D152="?OLD","!!!","")</f>
        <v/>
      </c>
      <c r="F152" s="22" t="str">
        <f aca="false">IF(OR(E152="",E152="!!!"),"",IF(NOT(ISNA(VLOOKUP(E152,E$1:E151,1,FALSE()))),"OLD",IF(AND(E152&lt;&gt;"",E152&lt;&gt;"!!!"),"NEW","")))</f>
        <v>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IF(OR(E152="",E152="!!!",F152="NEW"),"",INDEX(B151:B$2,-1+SUMPRODUCT(MAX(ROW(E151:E$2)*(E152=E151:E$2)))))</f>
        <v> </v>
      </c>
      <c r="J152" s="25" t="str">
        <f aca="true">IF(OR(E152="",E152="!!!",F152="NEW"),"",COUNTBLANK(OFFSET(A$1,,,SUMPRODUCT(MAX(ROW(E$2:E152)*(E152=E$2:E152)))))-COUNTBLANK(OFFSET(A$1,,,SUMPRODUCT(MAX(ROW(E$1:E151)*(E2=E$1:E151))))))</f>
        <v/>
      </c>
      <c r="K152" s="25" t="str">
        <f aca="false">IF(OR(E152="",E152="!!!",F152="NEW"),"",INDEX(J$1:J151,SUMPRODUCT(MAX(ROW(E$1:E151)*(E152=E$1:E151)))))</f>
        <v/>
      </c>
      <c r="L152" s="26"/>
    </row>
    <row r="153" customFormat="false" ht="15" hidden="false" customHeight="false" outlineLevel="0" collapsed="false">
      <c r="A153" s="20" t="s">
        <v>237</v>
      </c>
      <c r="E153" s="21" t="str">
        <f aca="false">IF(D153="?OLD","!!!","")</f>
        <v/>
      </c>
      <c r="F153" s="22" t="str">
        <f aca="false">IF(OR(E153="",E153="!!!"),"",IF(NOT(ISNA(VLOOKUP(E153,E$1:E152,1,FALSE()))),"OLD",IF(AND(E153&lt;&gt;"",E153&lt;&gt;"!!!"),"NEW","")))</f>
        <v> </v>
      </c>
      <c r="G153" s="23" t="str">
        <f aca="false">IF(OR(E153="",E153="!!!"),"",IF(OR(J153=0,AND(J153=1,K153=1),AND(J153=1,I153="SBJ"),AND(J153=1,I153=0)),"?IN_FOCUS",IF(J153&lt;=2,"?ACTIVATED",IF(J153&lt;&gt;"","?FAMILIAR",IF(F153="NEW",IF(ISNA(VLOOKUP(E153,#REF!,1,FALSE())),"?TYPE_IDENTIFIABLE","?REFERENTIAL"),"_")))))</f>
        <v/>
      </c>
      <c r="H153" s="24" t="str">
        <f aca="false">IF(J153&lt;&gt;1,"",IF(I153="SBJ","CB","?"))</f>
        <v/>
      </c>
      <c r="I153" s="25" t="str">
        <f aca="false">IF(OR(E153="",E153="!!!",F153="NEW"),"",INDEX(B152:B$2,-1+SUMPRODUCT(MAX(ROW(E152:E$2)*(E153=E152:E$2)))))</f>
        <v> </v>
      </c>
      <c r="J153" s="25" t="str">
        <f aca="true">IF(OR(E153="",E153="!!!",F153="NEW"),"",COUNTBLANK(OFFSET(A$1,,,SUMPRODUCT(MAX(ROW(E$2:E153)*(E153=E$2:E153)))))-COUNTBLANK(OFFSET(A$1,,,SUMPRODUCT(MAX(ROW(E$1:E152)*(E2=E$1:E152))))))</f>
        <v/>
      </c>
      <c r="K153" s="25" t="str">
        <f aca="false">IF(OR(E153="",E153="!!!",F153="NEW"),"",INDEX(J$1:J152,SUMPRODUCT(MAX(ROW(E$1:E152)*(E153=E$1:E152)))))</f>
        <v/>
      </c>
      <c r="L153" s="26"/>
    </row>
    <row r="154" customFormat="false" ht="15" hidden="false" customHeight="false" outlineLevel="0" collapsed="false">
      <c r="A154" s="20" t="s">
        <v>288</v>
      </c>
      <c r="E154" s="21" t="str">
        <f aca="false">IF(D154="?OLD","!!!","")</f>
        <v/>
      </c>
      <c r="F154" s="22" t="str">
        <f aca="false">IF(OR(E154="",E154="!!!"),"",IF(NOT(ISNA(VLOOKUP(E154,E$1:E153,1,FALSE()))),"OLD",IF(AND(E154&lt;&gt;"",E154&lt;&gt;"!!!"),"NEW","")))</f>
        <v>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IF(OR(E154="",E154="!!!",F154="NEW"),"",INDEX(B153:B$2,-1+SUMPRODUCT(MAX(ROW(E153:E$2)*(E154=E153:E$2)))))</f>
        <v> </v>
      </c>
      <c r="J154" s="25" t="str">
        <f aca="true">IF(OR(E154="",E154="!!!",F154="NEW"),"",COUNTBLANK(OFFSET(A$1,,,SUMPRODUCT(MAX(ROW(E$2:E154)*(E154=E$2:E154)))))-COUNTBLANK(OFFSET(A$1,,,SUMPRODUCT(MAX(ROW(E$1:E153)*(E2=E$1:E153))))))</f>
        <v/>
      </c>
      <c r="K154" s="25" t="str">
        <f aca="false">IF(OR(E154="",E154="!!!",F154="NEW"),"",INDEX(J$1:J153,SUMPRODUCT(MAX(ROW(E$1:E153)*(E154=E$1:E153)))))</f>
        <v/>
      </c>
      <c r="L154" s="26"/>
    </row>
    <row r="155" customFormat="false" ht="15" hidden="false" customHeight="false" outlineLevel="0" collapsed="false">
      <c r="A155" s="20" t="s">
        <v>266</v>
      </c>
      <c r="B155" s="27" t="s">
        <v>244</v>
      </c>
      <c r="C155" s="27" t="s">
        <v>233</v>
      </c>
      <c r="D155" s="27" t="s">
        <v>209</v>
      </c>
      <c r="E155" s="21" t="str">
        <f aca="false">IF(D155="?OLD","!!!","")</f>
        <v>!!!</v>
      </c>
      <c r="F155" s="22" t="str">
        <f aca="false">IF(OR(E155="",E155="!!!"),"",IF(NOT(ISNA(VLOOKUP(E155,E$1:E154,1,FALSE()))),"OLD",IF(AND(E155&lt;&gt;"",E155&lt;&gt;"!!!"),"NEW","")))</f>
        <v>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IF(OR(E155="",E155="!!!",F155="NEW"),"",INDEX(B154:B$2,-1+SUMPRODUCT(MAX(ROW(E154:E$2)*(E155=E154:E$2)))))</f>
        <v> </v>
      </c>
      <c r="J155" s="25" t="str">
        <f aca="true">IF(OR(E155="",E155="!!!",F155="NEW"),"",COUNTBLANK(OFFSET(A$1,,,SUMPRODUCT(MAX(ROW(E$2:E155)*(E155=E$2:E155)))))-COUNTBLANK(OFFSET(A$1,,,SUMPRODUCT(MAX(ROW(E$1:E154)*(E2=E$1:E154))))))</f>
        <v/>
      </c>
      <c r="K155" s="25" t="str">
        <f aca="false">IF(OR(E155="",E155="!!!",F155="NEW"),"",INDEX(J$1:J154,SUMPRODUCT(MAX(ROW(E$1:E154)*(E155=E$1:E154)))))</f>
        <v/>
      </c>
      <c r="L155" s="26"/>
    </row>
    <row r="156" customFormat="false" ht="15" hidden="false" customHeight="false" outlineLevel="0" collapsed="false">
      <c r="A156" s="20" t="s">
        <v>285</v>
      </c>
      <c r="E156" s="21" t="str">
        <f aca="false">IF(D156="?OLD","!!!","")</f>
        <v/>
      </c>
      <c r="F156" s="22" t="str">
        <f aca="false">IF(OR(E156="",E156="!!!"),"",IF(NOT(ISNA(VLOOKUP(E156,E$1:E155,1,FALSE()))),"OLD",IF(AND(E156&lt;&gt;"",E156&lt;&gt;"!!!"),"NEW","")))</f>
        <v> </v>
      </c>
      <c r="G156" s="23" t="str">
        <f aca="false">IF(OR(E156="",E156="!!!"),"",IF(OR(J156=0,AND(J156=1,K156=1),AND(J156=1,I156="SBJ"),AND(J156=1,I156=0)),"?IN_FOCUS",IF(J156&lt;=2,"?ACTIVATED",IF(J156&lt;&gt;"","?FAMILIAR",IF(F156="NEW",IF(ISNA(VLOOKUP(E156,#REF!,1,FALSE())),"?TYPE_IDENTIFIABLE","?REFERENTIAL"),"_")))))</f>
        <v/>
      </c>
      <c r="H156" s="24" t="str">
        <f aca="false">IF(J156&lt;&gt;1,"",IF(I156="SBJ","CB","?"))</f>
        <v/>
      </c>
      <c r="I156" s="25" t="str">
        <f aca="false">IF(OR(E156="",E156="!!!",F156="NEW"),"",INDEX(B155:B$2,-1+SUMPRODUCT(MAX(ROW(E155:E$2)*(E156=E155:E$2)))))</f>
        <v> </v>
      </c>
      <c r="J156" s="25" t="str">
        <f aca="true">IF(OR(E156="",E156="!!!",F156="NEW"),"",COUNTBLANK(OFFSET(A$1,,,SUMPRODUCT(MAX(ROW(E$2:E156)*(E156=E$2:E156)))))-COUNTBLANK(OFFSET(A$1,,,SUMPRODUCT(MAX(ROW(E$1:E155)*(E2=E$1:E155))))))</f>
        <v/>
      </c>
      <c r="K156" s="25" t="str">
        <f aca="false">IF(OR(E156="",E156="!!!",F156="NEW"),"",INDEX(J$1:J155,SUMPRODUCT(MAX(ROW(E$1:E155)*(E156=E$1:E155)))))</f>
        <v/>
      </c>
      <c r="L156" s="26"/>
    </row>
    <row r="157" customFormat="false" ht="15" hidden="false" customHeight="false" outlineLevel="0" collapsed="false">
      <c r="A157" s="20" t="s">
        <v>286</v>
      </c>
      <c r="E157" s="21" t="str">
        <f aca="false">IF(D157="?OLD","!!!","")</f>
        <v/>
      </c>
      <c r="F157" s="22" t="str">
        <f aca="false">IF(OR(E157="",E157="!!!"),"",IF(NOT(ISNA(VLOOKUP(E157,E$1:E156,1,FALSE()))),"OLD",IF(AND(E157&lt;&gt;"",E157&lt;&gt;"!!!"),"NEW","")))</f>
        <v>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IF(OR(E157="",E157="!!!",F157="NEW"),"",INDEX(B156:B$2,-1+SUMPRODUCT(MAX(ROW(E156:E$2)*(E157=E156:E$2)))))</f>
        <v> </v>
      </c>
      <c r="J157" s="25" t="str">
        <f aca="true">IF(OR(E157="",E157="!!!",F157="NEW"),"",COUNTBLANK(OFFSET(A$1,,,SUMPRODUCT(MAX(ROW(E$2:E157)*(E157=E$2:E157)))))-COUNTBLANK(OFFSET(A$1,,,SUMPRODUCT(MAX(ROW(E$1:E156)*(E2=E$1:E156))))))</f>
        <v/>
      </c>
      <c r="K157" s="25" t="str">
        <f aca="false">IF(OR(E157="",E157="!!!",F157="NEW"),"",INDEX(J$1:J156,SUMPRODUCT(MAX(ROW(E$1:E156)*(E157=E$1:E156)))))</f>
        <v/>
      </c>
      <c r="L157" s="26"/>
    </row>
    <row r="158" customFormat="false" ht="15" hidden="false" customHeight="false" outlineLevel="0" collapsed="false">
      <c r="A158" s="20" t="s">
        <v>289</v>
      </c>
      <c r="E158" s="21" t="str">
        <f aca="false">IF(D158="?OLD","!!!","")</f>
        <v/>
      </c>
      <c r="F158" s="22" t="str">
        <f aca="false">IF(OR(E158="",E158="!!!"),"",IF(NOT(ISNA(VLOOKUP(E158,E$1:E157,1,FALSE()))),"OLD",IF(AND(E158&lt;&gt;"",E158&lt;&gt;"!!!"),"NEW","")))</f>
        <v>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IF(OR(E158="",E158="!!!",F158="NEW"),"",INDEX(B157:B$2,-1+SUMPRODUCT(MAX(ROW(E157:E$2)*(E158=E157:E$2)))))</f>
        <v> </v>
      </c>
      <c r="J158" s="25" t="str">
        <f aca="true">IF(OR(E158="",E158="!!!",F158="NEW"),"",COUNTBLANK(OFFSET(A$1,,,SUMPRODUCT(MAX(ROW(E$2:E158)*(E158=E$2:E158)))))-COUNTBLANK(OFFSET(A$1,,,SUMPRODUCT(MAX(ROW(E$1:E157)*(E2=E$1:E157))))))</f>
        <v/>
      </c>
      <c r="K158" s="25" t="str">
        <f aca="false">IF(OR(E158="",E158="!!!",F158="NEW"),"",INDEX(J$1:J157,SUMPRODUCT(MAX(ROW(E$1:E157)*(E158=E$1:E157)))))</f>
        <v/>
      </c>
      <c r="L158" s="26"/>
    </row>
    <row r="159" customFormat="false" ht="15" hidden="false" customHeight="false" outlineLevel="0" collapsed="false">
      <c r="A159" s="20" t="s">
        <v>226</v>
      </c>
      <c r="B159" s="27" t="s">
        <v>220</v>
      </c>
      <c r="C159" s="27" t="s">
        <v>225</v>
      </c>
      <c r="D159" s="27" t="s">
        <v>209</v>
      </c>
      <c r="E159" s="21" t="str">
        <f aca="false">IF(D159="?OLD","!!!","")</f>
        <v>!!!</v>
      </c>
      <c r="F159" s="22" t="str">
        <f aca="false">IF(OR(E159="",E159="!!!"),"",IF(NOT(ISNA(VLOOKUP(E159,E$1:E158,1,FALSE()))),"OLD",IF(AND(E159&lt;&gt;"",E159&lt;&gt;"!!!"),"NEW","")))</f>
        <v>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IF(OR(E159="",E159="!!!",F159="NEW"),"",INDEX(B158:B$2,-1+SUMPRODUCT(MAX(ROW(E158:E$2)*(E159=E158:E$2)))))</f>
        <v> </v>
      </c>
      <c r="J159" s="25" t="str">
        <f aca="true">IF(OR(E159="",E159="!!!",F159="NEW"),"",COUNTBLANK(OFFSET(A$1,,,SUMPRODUCT(MAX(ROW(E$2:E159)*(E159=E$2:E159)))))-COUNTBLANK(OFFSET(A$1,,,SUMPRODUCT(MAX(ROW(E$1:E158)*(E2=E$1:E158))))))</f>
        <v/>
      </c>
      <c r="K159" s="25" t="str">
        <f aca="false">IF(OR(E159="",E159="!!!",F159="NEW"),"",INDEX(J$1:J158,SUMPRODUCT(MAX(ROW(E$1:E158)*(E159=E$1:E158)))))</f>
        <v/>
      </c>
      <c r="L159" s="26"/>
    </row>
    <row r="160" customFormat="false" ht="15" hidden="false" customHeight="false" outlineLevel="0" collapsed="false">
      <c r="A160" s="20" t="s">
        <v>237</v>
      </c>
      <c r="E160" s="21" t="str">
        <f aca="false">IF(D160="?OLD","!!!","")</f>
        <v/>
      </c>
      <c r="F160" s="22" t="str">
        <f aca="false">IF(OR(E160="",E160="!!!"),"",IF(NOT(ISNA(VLOOKUP(E160,E$1:E159,1,FALSE()))),"OLD",IF(AND(E160&lt;&gt;"",E160&lt;&gt;"!!!"),"NEW","")))</f>
        <v> </v>
      </c>
      <c r="G160" s="23" t="str">
        <f aca="false">IF(OR(E160="",E160="!!!"),"",IF(OR(J160=0,AND(J160=1,K160=1),AND(J160=1,I160="SBJ"),AND(J160=1,I160=0)),"?IN_FOCUS",IF(J160&lt;=2,"?ACTIVATED",IF(J160&lt;&gt;"","?FAMILIAR",IF(F160="NEW",IF(ISNA(VLOOKUP(E160,#REF!,1,FALSE())),"?TYPE_IDENTIFIABLE","?REFERENTIAL"),"_")))))</f>
        <v/>
      </c>
      <c r="H160" s="24" t="str">
        <f aca="false">IF(J160&lt;&gt;1,"",IF(I160="SBJ","CB","?"))</f>
        <v/>
      </c>
      <c r="I160" s="25" t="str">
        <f aca="false">IF(OR(E160="",E160="!!!",F160="NEW"),"",INDEX(B159:B$2,-1+SUMPRODUCT(MAX(ROW(E159:E$2)*(E160=E159:E$2)))))</f>
        <v> </v>
      </c>
      <c r="J160" s="25" t="str">
        <f aca="true">IF(OR(E160="",E160="!!!",F160="NEW"),"",COUNTBLANK(OFFSET(A$1,,,SUMPRODUCT(MAX(ROW(E$2:E160)*(E160=E$2:E160)))))-COUNTBLANK(OFFSET(A$1,,,SUMPRODUCT(MAX(ROW(E$1:E159)*(E2=E$1:E159))))))</f>
        <v/>
      </c>
      <c r="K160" s="25" t="str">
        <f aca="false">IF(OR(E160="",E160="!!!",F160="NEW"),"",INDEX(J$1:J159,SUMPRODUCT(MAX(ROW(E$1:E159)*(E160=E$1:E159)))))</f>
        <v/>
      </c>
      <c r="L160" s="26"/>
    </row>
    <row r="161" customFormat="false" ht="15" hidden="false" customHeight="false" outlineLevel="0" collapsed="false">
      <c r="A161" s="20" t="s">
        <v>290</v>
      </c>
      <c r="E161" s="21" t="str">
        <f aca="false">IF(D161="?OLD","!!!","")</f>
        <v/>
      </c>
      <c r="F161" s="22" t="str">
        <f aca="false">IF(OR(E161="",E161="!!!"),"",IF(NOT(ISNA(VLOOKUP(E161,E$1:E160,1,FALSE()))),"OLD",IF(AND(E161&lt;&gt;"",E161&lt;&gt;"!!!"),"NEW","")))</f>
        <v>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IF(OR(E161="",E161="!!!",F161="NEW"),"",INDEX(B160:B$2,-1+SUMPRODUCT(MAX(ROW(E160:E$2)*(E161=E160:E$2)))))</f>
        <v> </v>
      </c>
      <c r="J161" s="25" t="str">
        <f aca="true">IF(OR(E161="",E161="!!!",F161="NEW"),"",COUNTBLANK(OFFSET(A$1,,,SUMPRODUCT(MAX(ROW(E$2:E161)*(E161=E$2:E161)))))-COUNTBLANK(OFFSET(A$1,,,SUMPRODUCT(MAX(ROW(E$1:E160)*(E2=E$1:E160))))))</f>
        <v/>
      </c>
      <c r="K161" s="25" t="str">
        <f aca="false">IF(OR(E161="",E161="!!!",F161="NEW"),"",INDEX(J$1:J160,SUMPRODUCT(MAX(ROW(E$1:E160)*(E161=E$1:E160)))))</f>
        <v/>
      </c>
      <c r="L161" s="26"/>
    </row>
    <row r="162" customFormat="false" ht="15" hidden="false" customHeight="false" outlineLevel="0" collapsed="false">
      <c r="A162" s="20" t="s">
        <v>291</v>
      </c>
      <c r="E162" s="21" t="str">
        <f aca="false">IF(D162="?OLD","!!!","")</f>
        <v/>
      </c>
      <c r="F162" s="22" t="str">
        <f aca="false">IF(OR(E162="",E162="!!!"),"",IF(NOT(ISNA(VLOOKUP(E162,E$1:E161,1,FALSE()))),"OLD",IF(AND(E162&lt;&gt;"",E162&lt;&gt;"!!!"),"NEW","")))</f>
        <v>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IF(OR(E162="",E162="!!!",F162="NEW"),"",INDEX(B161:B$2,-1+SUMPRODUCT(MAX(ROW(E161:E$2)*(E162=E161:E$2)))))</f>
        <v> </v>
      </c>
      <c r="J162" s="25" t="str">
        <f aca="true">IF(OR(E162="",E162="!!!",F162="NEW"),"",COUNTBLANK(OFFSET(A$1,,,SUMPRODUCT(MAX(ROW(E$2:E162)*(E162=E$2:E162)))))-COUNTBLANK(OFFSET(A$1,,,SUMPRODUCT(MAX(ROW(E$1:E161)*(E2=E$1:E161))))))</f>
        <v/>
      </c>
      <c r="K162" s="25" t="str">
        <f aca="false">IF(OR(E162="",E162="!!!",F162="NEW"),"",INDEX(J$1:J161,SUMPRODUCT(MAX(ROW(E$1:E161)*(E162=E$1:E161)))))</f>
        <v/>
      </c>
      <c r="L162" s="26"/>
    </row>
    <row r="163" customFormat="false" ht="15" hidden="false" customHeight="false" outlineLevel="0" collapsed="false">
      <c r="A163" s="20" t="s">
        <v>288</v>
      </c>
      <c r="E163" s="21" t="str">
        <f aca="false">IF(D163="?OLD","!!!","")</f>
        <v/>
      </c>
      <c r="F163" s="22" t="str">
        <f aca="false">IF(OR(E163="",E163="!!!"),"",IF(NOT(ISNA(VLOOKUP(E163,E$1:E162,1,FALSE()))),"OLD",IF(AND(E163&lt;&gt;"",E163&lt;&gt;"!!!"),"NEW","")))</f>
        <v> </v>
      </c>
      <c r="G163" s="23" t="str">
        <f aca="false">IF(OR(E163="",E163="!!!"),"",IF(OR(J163=0,AND(J163=1,K163=1),AND(J163=1,I163="SBJ"),AND(J163=1,I163=0)),"?IN_FOCUS",IF(J163&lt;=2,"?ACTIVATED",IF(J163&lt;&gt;"","?FAMILIAR",IF(F163="NEW",IF(ISNA(VLOOKUP(E163,#REF!,1,FALSE())),"?TYPE_IDENTIFIABLE","?REFERENTIAL"),"_")))))</f>
        <v/>
      </c>
      <c r="H163" s="24" t="str">
        <f aca="false">IF(J163&lt;&gt;1,"",IF(I163="SBJ","CB","?"))</f>
        <v/>
      </c>
      <c r="I163" s="25" t="str">
        <f aca="false">IF(OR(E163="",E163="!!!",F163="NEW"),"",INDEX(B162:B$2,-1+SUMPRODUCT(MAX(ROW(E162:E$2)*(E163=E162:E$2)))))</f>
        <v> </v>
      </c>
      <c r="J163" s="25" t="str">
        <f aca="true">IF(OR(E163="",E163="!!!",F163="NEW"),"",COUNTBLANK(OFFSET(A$1,,,SUMPRODUCT(MAX(ROW(E$2:E163)*(E163=E$2:E163)))))-COUNTBLANK(OFFSET(A$1,,,SUMPRODUCT(MAX(ROW(E$1:E162)*(E2=E$1:E162))))))</f>
        <v/>
      </c>
      <c r="K163" s="25" t="str">
        <f aca="false">IF(OR(E163="",E163="!!!",F163="NEW"),"",INDEX(J$1:J162,SUMPRODUCT(MAX(ROW(E$1:E162)*(E163=E$1:E162)))))</f>
        <v/>
      </c>
      <c r="L163" s="26"/>
    </row>
    <row r="164" customFormat="false" ht="15" hidden="false" customHeight="false" outlineLevel="0" collapsed="false">
      <c r="A164" s="20" t="s">
        <v>292</v>
      </c>
      <c r="E164" s="21" t="str">
        <f aca="false">IF(D164="?OLD","!!!","")</f>
        <v/>
      </c>
      <c r="F164" s="22" t="str">
        <f aca="false">IF(OR(E164="",E164="!!!"),"",IF(NOT(ISNA(VLOOKUP(E164,E$1:E163,1,FALSE()))),"OLD",IF(AND(E164&lt;&gt;"",E164&lt;&gt;"!!!"),"NEW","")))</f>
        <v> </v>
      </c>
      <c r="G164" s="23" t="str">
        <f aca="false">IF(OR(E164="",E164="!!!"),"",IF(OR(J164=0,AND(J164=1,K164=1),AND(J164=1,I164="SBJ"),AND(J164=1,I164=0)),"?IN_FOCUS",IF(J164&lt;=2,"?ACTIVATED",IF(J164&lt;&gt;"","?FAMILIAR",IF(F164="NEW",IF(ISNA(VLOOKUP(E164,#REF!,1,FALSE())),"?TYPE_IDENTIFIABLE","?REFERENTIAL"),"_")))))</f>
        <v/>
      </c>
      <c r="H164" s="24" t="str">
        <f aca="false">IF(J164&lt;&gt;1,"",IF(I164="SBJ","CB","?"))</f>
        <v/>
      </c>
      <c r="I164" s="25" t="str">
        <f aca="false">IF(OR(E164="",E164="!!!",F164="NEW"),"",INDEX(B163:B$2,-1+SUMPRODUCT(MAX(ROW(E163:E$2)*(E164=E163:E$2)))))</f>
        <v> </v>
      </c>
      <c r="J164" s="25" t="str">
        <f aca="true">IF(OR(E164="",E164="!!!",F164="NEW"),"",COUNTBLANK(OFFSET(A$1,,,SUMPRODUCT(MAX(ROW(E$2:E164)*(E164=E$2:E164)))))-COUNTBLANK(OFFSET(A$1,,,SUMPRODUCT(MAX(ROW(E$1:E163)*(E2=E$1:E163))))))</f>
        <v/>
      </c>
      <c r="K164" s="25" t="str">
        <f aca="false">IF(OR(E164="",E164="!!!",F164="NEW"),"",INDEX(J$1:J163,SUMPRODUCT(MAX(ROW(E$1:E163)*(E164=E$1:E163)))))</f>
        <v/>
      </c>
      <c r="L164" s="26"/>
    </row>
    <row r="165" customFormat="false" ht="15" hidden="false" customHeight="false" outlineLevel="0" collapsed="false">
      <c r="A165" s="20" t="s">
        <v>229</v>
      </c>
      <c r="E165" s="21" t="str">
        <f aca="false">IF(D165="?OLD","!!!","")</f>
        <v/>
      </c>
      <c r="F165" s="22" t="str">
        <f aca="false">IF(OR(E165="",E165="!!!"),"",IF(NOT(ISNA(VLOOKUP(E165,E$1:E164,1,FALSE()))),"OLD",IF(AND(E165&lt;&gt;"",E165&lt;&gt;"!!!"),"NEW","")))</f>
        <v>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IF(OR(E165="",E165="!!!",F165="NEW"),"",INDEX(B164:B$2,-1+SUMPRODUCT(MAX(ROW(E164:E$2)*(E165=E164:E$2)))))</f>
        <v> </v>
      </c>
      <c r="J165" s="25" t="str">
        <f aca="true">IF(OR(E165="",E165="!!!",F165="NEW"),"",COUNTBLANK(OFFSET(A$1,,,SUMPRODUCT(MAX(ROW(E$2:E165)*(E165=E$2:E165)))))-COUNTBLANK(OFFSET(A$1,,,SUMPRODUCT(MAX(ROW(E$1:E164)*(E2=E$1:E164))))))</f>
        <v/>
      </c>
      <c r="K165" s="25" t="str">
        <f aca="false">IF(OR(E165="",E165="!!!",F165="NEW"),"",INDEX(J$1:J164,SUMPRODUCT(MAX(ROW(E$1:E164)*(E165=E$1:E164)))))</f>
        <v/>
      </c>
      <c r="L165" s="26"/>
    </row>
    <row r="166" customFormat="false" ht="15" hidden="false" customHeight="false" outlineLevel="0" collapsed="false">
      <c r="A166" s="20" t="s">
        <v>238</v>
      </c>
      <c r="E166" s="21" t="str">
        <f aca="false">IF(D166="?OLD","!!!","")</f>
        <v/>
      </c>
      <c r="F166" s="22" t="str">
        <f aca="false">IF(OR(E166="",E166="!!!"),"",IF(NOT(ISNA(VLOOKUP(E166,E$1:E165,1,FALSE()))),"OLD",IF(AND(E166&lt;&gt;"",E166&lt;&gt;"!!!"),"NEW","")))</f>
        <v>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IF(OR(E166="",E166="!!!",F166="NEW"),"",INDEX(B165:B$2,-1+SUMPRODUCT(MAX(ROW(E165:E$2)*(E166=E165:E$2)))))</f>
        <v> </v>
      </c>
      <c r="J166" s="25" t="str">
        <f aca="true">IF(OR(E166="",E166="!!!",F166="NEW"),"",COUNTBLANK(OFFSET(A$1,,,SUMPRODUCT(MAX(ROW(E$2:E166)*(E166=E$2:E166)))))-COUNTBLANK(OFFSET(A$1,,,SUMPRODUCT(MAX(ROW(E$1:E165)*(E2=E$1:E165))))))</f>
        <v/>
      </c>
      <c r="K166" s="25" t="str">
        <f aca="false">IF(OR(E166="",E166="!!!",F166="NEW"),"",INDEX(J$1:J165,SUMPRODUCT(MAX(ROW(E$1:E165)*(E166=E$1:E165)))))</f>
        <v/>
      </c>
      <c r="L166" s="26"/>
    </row>
    <row r="167" customFormat="false" ht="15" hidden="false" customHeight="false" outlineLevel="0" collapsed="false">
      <c r="A167" s="20"/>
    </row>
    <row r="168" customFormat="false" ht="15" hidden="false" customHeight="false" outlineLevel="0" collapsed="false">
      <c r="A168" s="20" t="s">
        <v>293</v>
      </c>
    </row>
    <row r="169" customFormat="false" ht="15" hidden="false" customHeight="false" outlineLevel="0" collapsed="false">
      <c r="A169" s="20" t="s">
        <v>294</v>
      </c>
      <c r="E169" s="21" t="str">
        <f aca="false">IF(D169="?OLD","!!!","")</f>
        <v/>
      </c>
      <c r="F169" s="22" t="str">
        <f aca="false">IF(OR(E169="",E169="!!!"),"",IF(NOT(ISNA(VLOOKUP(E169,E$1:E168,1,FALSE()))),"OLD",IF(AND(E169&lt;&gt;"",E169&lt;&gt;"!!!"),"NEW","")))</f>
        <v> </v>
      </c>
      <c r="G169" s="23" t="str">
        <f aca="false">IF(OR(E169="",E169="!!!"),"",IF(OR(J169=0,AND(J169=1,K169=1),AND(J169=1,I169="SBJ"),AND(J169=1,I169=0)),"?IN_FOCUS",IF(J169&lt;=2,"?ACTIVATED",IF(J169&lt;&gt;"","?FAMILIAR",IF(F169="NEW",IF(ISNA(VLOOKUP(E169,#REF!,1,FALSE())),"?TYPE_IDENTIFIABLE","?REFERENTIAL"),"_")))))</f>
        <v/>
      </c>
      <c r="H169" s="24" t="str">
        <f aca="false">IF(J169&lt;&gt;1,"",IF(I169="SBJ","CB","?"))</f>
        <v/>
      </c>
      <c r="I169" s="25" t="str">
        <f aca="false">IF(OR(E169="",E169="!!!",F169="NEW"),"",INDEX(B168:B$2,-1+SUMPRODUCT(MAX(ROW(E168:E$2)*(E169=E168:E$2)))))</f>
        <v> </v>
      </c>
      <c r="J169" s="25" t="str">
        <f aca="true">IF(OR(E169="",E169="!!!",F169="NEW"),"",COUNTBLANK(OFFSET(A$1,,,SUMPRODUCT(MAX(ROW(E$2:E169)*(E169=E$2:E169)))))-COUNTBLANK(OFFSET(A$1,,,SUMPRODUCT(MAX(ROW(E$1:E168)*(E2=E$1:E168))))))</f>
        <v/>
      </c>
      <c r="K169" s="25" t="str">
        <f aca="false">IF(OR(E169="",E169="!!!",F169="NEW"),"",INDEX(J$1:J168,SUMPRODUCT(MAX(ROW(E$1:E168)*(E169=E$1:E168)))))</f>
        <v/>
      </c>
      <c r="L169" s="26"/>
    </row>
    <row r="170" customFormat="false" ht="15" hidden="false" customHeight="false" outlineLevel="0" collapsed="false">
      <c r="A170" s="20" t="s">
        <v>205</v>
      </c>
      <c r="E170" s="21" t="str">
        <f aca="false">IF(D170="?OLD","!!!","")</f>
        <v/>
      </c>
      <c r="F170" s="22" t="str">
        <f aca="false">IF(OR(E170="",E170="!!!"),"",IF(NOT(ISNA(VLOOKUP(E170,E$1:E169,1,FALSE()))),"OLD",IF(AND(E170&lt;&gt;"",E170&lt;&gt;"!!!"),"NEW","")))</f>
        <v>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IF(OR(E170="",E170="!!!",F170="NEW"),"",INDEX(B169:B$2,-1+SUMPRODUCT(MAX(ROW(E169:E$2)*(E170=E169:E$2)))))</f>
        <v> </v>
      </c>
      <c r="J170" s="25" t="str">
        <f aca="true">IF(OR(E170="",E170="!!!",F170="NEW"),"",COUNTBLANK(OFFSET(A$1,,,SUMPRODUCT(MAX(ROW(E$2:E170)*(E170=E$2:E170)))))-COUNTBLANK(OFFSET(A$1,,,SUMPRODUCT(MAX(ROW(E$1:E169)*(E2=E$1:E169))))))</f>
        <v/>
      </c>
      <c r="K170" s="25" t="str">
        <f aca="false">IF(OR(E170="",E170="!!!",F170="NEW"),"",INDEX(J$1:J169,SUMPRODUCT(MAX(ROW(E$1:E169)*(E170=E$1:E169)))))</f>
        <v/>
      </c>
      <c r="L170" s="26"/>
    </row>
    <row r="171" customFormat="false" ht="15" hidden="false" customHeight="false" outlineLevel="0" collapsed="false">
      <c r="A171" s="20" t="s">
        <v>236</v>
      </c>
      <c r="B171" s="27" t="s">
        <v>240</v>
      </c>
      <c r="C171" s="27" t="s">
        <v>208</v>
      </c>
      <c r="D171" s="27" t="s">
        <v>209</v>
      </c>
      <c r="E171" s="21" t="str">
        <f aca="false">IF(D171="?OLD","!!!","")</f>
        <v>!!!</v>
      </c>
      <c r="F171" s="22" t="str">
        <f aca="false">IF(OR(E171="",E171="!!!"),"",IF(NOT(ISNA(VLOOKUP(E171,E$1:E170,1,FALSE()))),"OLD",IF(AND(E171&lt;&gt;"",E171&lt;&gt;"!!!"),"NEW","")))</f>
        <v>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IF(OR(E171="",E171="!!!",F171="NEW"),"",INDEX(B170:B$2,-1+SUMPRODUCT(MAX(ROW(E170:E$2)*(E171=E170:E$2)))))</f>
        <v> </v>
      </c>
      <c r="J171" s="25" t="str">
        <f aca="true">IF(OR(E171="",E171="!!!",F171="NEW"),"",COUNTBLANK(OFFSET(A$1,,,SUMPRODUCT(MAX(ROW(E$2:E171)*(E171=E$2:E171)))))-COUNTBLANK(OFFSET(A$1,,,SUMPRODUCT(MAX(ROW(E$1:E170)*(E2=E$1:E170))))))</f>
        <v/>
      </c>
      <c r="K171" s="25" t="str">
        <f aca="false">IF(OR(E171="",E171="!!!",F171="NEW"),"",INDEX(J$1:J170,SUMPRODUCT(MAX(ROW(E$1:E170)*(E171=E$1:E170)))))</f>
        <v/>
      </c>
      <c r="L171" s="26"/>
    </row>
    <row r="172" customFormat="false" ht="15" hidden="false" customHeight="false" outlineLevel="0" collapsed="false">
      <c r="A172" s="20" t="s">
        <v>295</v>
      </c>
      <c r="E172" s="21" t="str">
        <f aca="false">IF(D172="?OLD","!!!","")</f>
        <v/>
      </c>
      <c r="F172" s="22" t="str">
        <f aca="false">IF(OR(E172="",E172="!!!"),"",IF(NOT(ISNA(VLOOKUP(E172,E$1:E171,1,FALSE()))),"OLD",IF(AND(E172&lt;&gt;"",E172&lt;&gt;"!!!"),"NEW","")))</f>
        <v>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IF(OR(E172="",E172="!!!",F172="NEW"),"",INDEX(B171:B$2,-1+SUMPRODUCT(MAX(ROW(E171:E$2)*(E172=E171:E$2)))))</f>
        <v> </v>
      </c>
      <c r="J172" s="25" t="str">
        <f aca="true">IF(OR(E172="",E172="!!!",F172="NEW"),"",COUNTBLANK(OFFSET(A$1,,,SUMPRODUCT(MAX(ROW(E$2:E172)*(E172=E$2:E172)))))-COUNTBLANK(OFFSET(A$1,,,SUMPRODUCT(MAX(ROW(E$1:E171)*(E2=E$1:E171))))))</f>
        <v/>
      </c>
      <c r="K172" s="25" t="str">
        <f aca="false">IF(OR(E172="",E172="!!!",F172="NEW"),"",INDEX(J$1:J171,SUMPRODUCT(MAX(ROW(E$1:E171)*(E172=E$1:E171)))))</f>
        <v/>
      </c>
      <c r="L172" s="26"/>
    </row>
    <row r="173" customFormat="false" ht="15" hidden="false" customHeight="false" outlineLevel="0" collapsed="false">
      <c r="A173" s="20" t="s">
        <v>277</v>
      </c>
      <c r="E173" s="21" t="str">
        <f aca="false">IF(D173="?OLD","!!!","")</f>
        <v/>
      </c>
      <c r="F173" s="22" t="str">
        <f aca="false">IF(OR(E173="",E173="!!!"),"",IF(NOT(ISNA(VLOOKUP(E173,E$1:E172,1,FALSE()))),"OLD",IF(AND(E173&lt;&gt;"",E173&lt;&gt;"!!!"),"NEW","")))</f>
        <v>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IF(OR(E173="",E173="!!!",F173="NEW"),"",INDEX(B172:B$2,-1+SUMPRODUCT(MAX(ROW(E172:E$2)*(E173=E172:E$2)))))</f>
        <v> </v>
      </c>
      <c r="J173" s="25" t="str">
        <f aca="true">IF(OR(E173="",E173="!!!",F173="NEW"),"",COUNTBLANK(OFFSET(A$1,,,SUMPRODUCT(MAX(ROW(E$2:E173)*(E173=E$2:E173)))))-COUNTBLANK(OFFSET(A$1,,,SUMPRODUCT(MAX(ROW(E$1:E172)*(E2=E$1:E172))))))</f>
        <v/>
      </c>
      <c r="K173" s="25" t="str">
        <f aca="false">IF(OR(E173="",E173="!!!",F173="NEW"),"",INDEX(J$1:J172,SUMPRODUCT(MAX(ROW(E$1:E172)*(E173=E$1:E172)))))</f>
        <v/>
      </c>
      <c r="L173" s="26"/>
    </row>
    <row r="174" customFormat="false" ht="15" hidden="false" customHeight="false" outlineLevel="0" collapsed="false">
      <c r="A174" s="20" t="s">
        <v>205</v>
      </c>
      <c r="E174" s="21" t="str">
        <f aca="false">IF(D174="?OLD","!!!","")</f>
        <v/>
      </c>
      <c r="F174" s="22" t="str">
        <f aca="false">IF(OR(E174="",E174="!!!"),"",IF(NOT(ISNA(VLOOKUP(E174,E$1:E173,1,FALSE()))),"OLD",IF(AND(E174&lt;&gt;"",E174&lt;&gt;"!!!"),"NEW","")))</f>
        <v> </v>
      </c>
      <c r="G174" s="23" t="str">
        <f aca="false">IF(OR(E174="",E174="!!!"),"",IF(OR(J174=0,AND(J174=1,K174=1),AND(J174=1,I174="SBJ"),AND(J174=1,I174=0)),"?IN_FOCUS",IF(J174&lt;=2,"?ACTIVATED",IF(J174&lt;&gt;"","?FAMILIAR",IF(F174="NEW",IF(ISNA(VLOOKUP(E174,#REF!,1,FALSE())),"?TYPE_IDENTIFIABLE","?REFERENTIAL"),"_")))))</f>
        <v/>
      </c>
      <c r="H174" s="24" t="str">
        <f aca="false">IF(J174&lt;&gt;1,"",IF(I174="SBJ","CB","?"))</f>
        <v/>
      </c>
      <c r="I174" s="25" t="str">
        <f aca="false">IF(OR(E174="",E174="!!!",F174="NEW"),"",INDEX(B173:B$2,-1+SUMPRODUCT(MAX(ROW(E173:E$2)*(E174=E173:E$2)))))</f>
        <v> </v>
      </c>
      <c r="J174" s="25" t="str">
        <f aca="true">IF(OR(E174="",E174="!!!",F174="NEW"),"",COUNTBLANK(OFFSET(A$1,,,SUMPRODUCT(MAX(ROW(E$2:E174)*(E174=E$2:E174)))))-COUNTBLANK(OFFSET(A$1,,,SUMPRODUCT(MAX(ROW(E$1:E173)*(E2=E$1:E173))))))</f>
        <v/>
      </c>
      <c r="K174" s="25" t="str">
        <f aca="false">IF(OR(E174="",E174="!!!",F174="NEW"),"",INDEX(J$1:J173,SUMPRODUCT(MAX(ROW(E$1:E173)*(E174=E$1:E173)))))</f>
        <v/>
      </c>
      <c r="L174" s="26"/>
    </row>
    <row r="175" customFormat="false" ht="15" hidden="false" customHeight="false" outlineLevel="0" collapsed="false">
      <c r="A175" s="20" t="s">
        <v>247</v>
      </c>
      <c r="B175" s="27" t="s">
        <v>244</v>
      </c>
      <c r="C175" s="27" t="s">
        <v>208</v>
      </c>
      <c r="D175" s="27" t="s">
        <v>209</v>
      </c>
      <c r="E175" s="21" t="str">
        <f aca="false">IF(D175="?OLD","!!!","")</f>
        <v>!!!</v>
      </c>
      <c r="F175" s="22" t="str">
        <f aca="false">IF(OR(E175="",E175="!!!"),"",IF(NOT(ISNA(VLOOKUP(E175,E$1:E174,1,FALSE()))),"OLD",IF(AND(E175&lt;&gt;"",E175&lt;&gt;"!!!"),"NEW","")))</f>
        <v>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IF(OR(E175="",E175="!!!",F175="NEW"),"",INDEX(B174:B$2,-1+SUMPRODUCT(MAX(ROW(E174:E$2)*(E175=E174:E$2)))))</f>
        <v> </v>
      </c>
      <c r="J175" s="25" t="str">
        <f aca="true">IF(OR(E175="",E175="!!!",F175="NEW"),"",COUNTBLANK(OFFSET(A$1,,,SUMPRODUCT(MAX(ROW(E$2:E175)*(E175=E$2:E175)))))-COUNTBLANK(OFFSET(A$1,,,SUMPRODUCT(MAX(ROW(E$1:E174)*(E2=E$1:E174))))))</f>
        <v/>
      </c>
      <c r="K175" s="25" t="str">
        <f aca="false">IF(OR(E175="",E175="!!!",F175="NEW"),"",INDEX(J$1:J174,SUMPRODUCT(MAX(ROW(E$1:E174)*(E175=E$1:E174)))))</f>
        <v/>
      </c>
      <c r="L175" s="26"/>
    </row>
    <row r="176" customFormat="false" ht="15" hidden="false" customHeight="false" outlineLevel="0" collapsed="false">
      <c r="A176" s="20" t="s">
        <v>210</v>
      </c>
      <c r="E176" s="21" t="str">
        <f aca="false">IF(D176="?OLD","!!!","")</f>
        <v/>
      </c>
      <c r="F176" s="22" t="str">
        <f aca="false">IF(OR(E176="",E176="!!!"),"",IF(NOT(ISNA(VLOOKUP(E176,E$1:E175,1,FALSE()))),"OLD",IF(AND(E176&lt;&gt;"",E176&lt;&gt;"!!!"),"NEW","")))</f>
        <v>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IF(OR(E176="",E176="!!!",F176="NEW"),"",INDEX(B175:B$2,-1+SUMPRODUCT(MAX(ROW(E175:E$2)*(E176=E175:E$2)))))</f>
        <v> </v>
      </c>
      <c r="J176" s="25" t="str">
        <f aca="true">IF(OR(E176="",E176="!!!",F176="NEW"),"",COUNTBLANK(OFFSET(A$1,,,SUMPRODUCT(MAX(ROW(E$2:E176)*(E176=E$2:E176)))))-COUNTBLANK(OFFSET(A$1,,,SUMPRODUCT(MAX(ROW(E$1:E175)*(E2=E$1:E175))))))</f>
        <v/>
      </c>
      <c r="K176" s="25" t="str">
        <f aca="false">IF(OR(E176="",E176="!!!",F176="NEW"),"",INDEX(J$1:J175,SUMPRODUCT(MAX(ROW(E$1:E175)*(E176=E$1:E175)))))</f>
        <v/>
      </c>
      <c r="L176" s="26"/>
    </row>
    <row r="177" customFormat="false" ht="15" hidden="false" customHeight="false" outlineLevel="0" collapsed="false">
      <c r="A177" s="20" t="s">
        <v>291</v>
      </c>
      <c r="E177" s="21" t="str">
        <f aca="false">IF(D177="?OLD","!!!","")</f>
        <v/>
      </c>
      <c r="F177" s="22" t="str">
        <f aca="false">IF(OR(E177="",E177="!!!"),"",IF(NOT(ISNA(VLOOKUP(E177,E$1:E176,1,FALSE()))),"OLD",IF(AND(E177&lt;&gt;"",E177&lt;&gt;"!!!"),"NEW","")))</f>
        <v> </v>
      </c>
      <c r="G177" s="23" t="str">
        <f aca="false">IF(OR(E177="",E177="!!!"),"",IF(OR(J177=0,AND(J177=1,K177=1),AND(J177=1,I177="SBJ"),AND(J177=1,I177=0)),"?IN_FOCUS",IF(J177&lt;=2,"?ACTIVATED",IF(J177&lt;&gt;"","?FAMILIAR",IF(F177="NEW",IF(ISNA(VLOOKUP(E177,#REF!,1,FALSE())),"?TYPE_IDENTIFIABLE","?REFERENTIAL"),"_")))))</f>
        <v/>
      </c>
      <c r="H177" s="24" t="str">
        <f aca="false">IF(J177&lt;&gt;1,"",IF(I177="SBJ","CB","?"))</f>
        <v/>
      </c>
      <c r="I177" s="25" t="str">
        <f aca="false">IF(OR(E177="",E177="!!!",F177="NEW"),"",INDEX(B176:B$2,-1+SUMPRODUCT(MAX(ROW(E176:E$2)*(E177=E176:E$2)))))</f>
        <v> </v>
      </c>
      <c r="J177" s="25" t="str">
        <f aca="true">IF(OR(E177="",E177="!!!",F177="NEW"),"",COUNTBLANK(OFFSET(A$1,,,SUMPRODUCT(MAX(ROW(E$2:E177)*(E177=E$2:E177)))))-COUNTBLANK(OFFSET(A$1,,,SUMPRODUCT(MAX(ROW(E$1:E176)*(E2=E$1:E176))))))</f>
        <v/>
      </c>
      <c r="K177" s="25" t="str">
        <f aca="false">IF(OR(E177="",E177="!!!",F177="NEW"),"",INDEX(J$1:J176,SUMPRODUCT(MAX(ROW(E$1:E176)*(E177=E$1:E176)))))</f>
        <v/>
      </c>
      <c r="L177" s="26"/>
    </row>
    <row r="178" customFormat="false" ht="15" hidden="false" customHeight="false" outlineLevel="0" collapsed="false">
      <c r="A178" s="20" t="s">
        <v>49</v>
      </c>
      <c r="E178" s="21" t="str">
        <f aca="false">IF(D178="?OLD","!!!","")</f>
        <v/>
      </c>
      <c r="F178" s="22" t="str">
        <f aca="false">IF(OR(E178="",E178="!!!"),"",IF(NOT(ISNA(VLOOKUP(E178,E$1:E177,1,FALSE()))),"OLD",IF(AND(E178&lt;&gt;"",E178&lt;&gt;"!!!"),"NEW","")))</f>
        <v>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IF(OR(E178="",E178="!!!",F178="NEW"),"",INDEX(B177:B$2,-1+SUMPRODUCT(MAX(ROW(E177:E$2)*(E178=E177:E$2)))))</f>
        <v> </v>
      </c>
      <c r="J178" s="25" t="str">
        <f aca="true">IF(OR(E178="",E178="!!!",F178="NEW"),"",COUNTBLANK(OFFSET(A$1,,,SUMPRODUCT(MAX(ROW(E$2:E178)*(E178=E$2:E178)))))-COUNTBLANK(OFFSET(A$1,,,SUMPRODUCT(MAX(ROW(E$1:E177)*(E2=E$1:E177))))))</f>
        <v/>
      </c>
      <c r="K178" s="25" t="str">
        <f aca="false">IF(OR(E178="",E178="!!!",F178="NEW"),"",INDEX(J$1:J177,SUMPRODUCT(MAX(ROW(E$1:E177)*(E178=E$1:E177)))))</f>
        <v/>
      </c>
      <c r="L178" s="26"/>
    </row>
    <row r="179" customFormat="false" ht="15" hidden="false" customHeight="false" outlineLevel="0" collapsed="false">
      <c r="A179" s="20" t="s">
        <v>296</v>
      </c>
      <c r="B179" s="27" t="s">
        <v>248</v>
      </c>
      <c r="C179" s="27" t="s">
        <v>297</v>
      </c>
      <c r="E179" s="21" t="str">
        <f aca="false">IF(D179="?OLD","!!!","")</f>
        <v/>
      </c>
      <c r="F179" s="22" t="str">
        <f aca="false">IF(OR(E179="",E179="!!!"),"",IF(NOT(ISNA(VLOOKUP(E179,E$1:E178,1,FALSE()))),"OLD",IF(AND(E179&lt;&gt;"",E179&lt;&gt;"!!!"),"NEW","")))</f>
        <v> </v>
      </c>
      <c r="G179" s="23" t="str">
        <f aca="false">IF(OR(E179="",E179="!!!"),"",IF(OR(J179=0,AND(J179=1,K179=1),AND(J179=1,I179="SBJ"),AND(J179=1,I179=0)),"?IN_FOCUS",IF(J179&lt;=2,"?ACTIVATED",IF(J179&lt;&gt;"","?FAMILIAR",IF(F179="NEW",IF(ISNA(VLOOKUP(E179,#REF!,1,FALSE())),"?TYPE_IDENTIFIABLE","?REFERENTIAL"),"_")))))</f>
        <v/>
      </c>
      <c r="H179" s="24" t="str">
        <f aca="false">IF(J179&lt;&gt;1,"",IF(I179="SBJ","CB","?"))</f>
        <v/>
      </c>
      <c r="I179" s="25" t="str">
        <f aca="false">IF(OR(E179="",E179="!!!",F179="NEW"),"",INDEX(B178:B$2,-1+SUMPRODUCT(MAX(ROW(E178:E$2)*(E179=E178:E$2)))))</f>
        <v> </v>
      </c>
      <c r="J179" s="25" t="str">
        <f aca="true">IF(OR(E179="",E179="!!!",F179="NEW"),"",COUNTBLANK(OFFSET(A$1,,,SUMPRODUCT(MAX(ROW(E$2:E179)*(E179=E$2:E179)))))-COUNTBLANK(OFFSET(A$1,,,SUMPRODUCT(MAX(ROW(E$1:E178)*(E2=E$1:E178))))))</f>
        <v/>
      </c>
      <c r="K179" s="25" t="str">
        <f aca="false">IF(OR(E179="",E179="!!!",F179="NEW"),"",INDEX(J$1:J178,SUMPRODUCT(MAX(ROW(E$1:E178)*(E179=E$1:E178)))))</f>
        <v/>
      </c>
      <c r="L179" s="26"/>
    </row>
    <row r="180" customFormat="false" ht="15" hidden="false" customHeight="false" outlineLevel="0" collapsed="false">
      <c r="A180" s="20" t="s">
        <v>237</v>
      </c>
      <c r="E180" s="21" t="str">
        <f aca="false">IF(D180="?OLD","!!!","")</f>
        <v/>
      </c>
      <c r="F180" s="22" t="str">
        <f aca="false">IF(OR(E180="",E180="!!!"),"",IF(NOT(ISNA(VLOOKUP(E180,E$1:E179,1,FALSE()))),"OLD",IF(AND(E180&lt;&gt;"",E180&lt;&gt;"!!!"),"NEW","")))</f>
        <v> </v>
      </c>
      <c r="G180" s="23" t="str">
        <f aca="false">IF(OR(E180="",E180="!!!"),"",IF(OR(J180=0,AND(J180=1,K180=1),AND(J180=1,I180="SBJ"),AND(J180=1,I180=0)),"?IN_FOCUS",IF(J180&lt;=2,"?ACTIVATED",IF(J180&lt;&gt;"","?FAMILIAR",IF(F180="NEW",IF(ISNA(VLOOKUP(E180,#REF!,1,FALSE())),"?TYPE_IDENTIFIABLE","?REFERENTIAL"),"_")))))</f>
        <v/>
      </c>
      <c r="H180" s="24" t="str">
        <f aca="false">IF(J180&lt;&gt;1,"",IF(I180="SBJ","CB","?"))</f>
        <v/>
      </c>
      <c r="I180" s="25" t="str">
        <f aca="false">IF(OR(E180="",E180="!!!",F180="NEW"),"",INDEX(B179:B$2,-1+SUMPRODUCT(MAX(ROW(E179:E$2)*(E180=E179:E$2)))))</f>
        <v> </v>
      </c>
      <c r="J180" s="25" t="str">
        <f aca="true">IF(OR(E180="",E180="!!!",F180="NEW"),"",COUNTBLANK(OFFSET(A$1,,,SUMPRODUCT(MAX(ROW(E$2:E180)*(E180=E$2:E180)))))-COUNTBLANK(OFFSET(A$1,,,SUMPRODUCT(MAX(ROW(E$1:E179)*(E2=E$1:E179))))))</f>
        <v/>
      </c>
      <c r="K180" s="25" t="str">
        <f aca="false">IF(OR(E180="",E180="!!!",F180="NEW"),"",INDEX(J$1:J179,SUMPRODUCT(MAX(ROW(E$1:E179)*(E180=E$1:E179)))))</f>
        <v/>
      </c>
      <c r="L180" s="26"/>
    </row>
    <row r="181" customFormat="false" ht="15" hidden="false" customHeight="false" outlineLevel="0" collapsed="false">
      <c r="A181" s="20" t="s">
        <v>288</v>
      </c>
      <c r="E181" s="21" t="str">
        <f aca="false">IF(D181="?OLD","!!!","")</f>
        <v/>
      </c>
      <c r="F181" s="22" t="str">
        <f aca="false">IF(OR(E181="",E181="!!!"),"",IF(NOT(ISNA(VLOOKUP(E181,E$1:E180,1,FALSE()))),"OLD",IF(AND(E181&lt;&gt;"",E181&lt;&gt;"!!!"),"NEW","")))</f>
        <v> </v>
      </c>
      <c r="G181" s="23" t="str">
        <f aca="false">IF(OR(E181="",E181="!!!"),"",IF(OR(J181=0,AND(J181=1,K181=1),AND(J181=1,I181="SBJ"),AND(J181=1,I181=0)),"?IN_FOCUS",IF(J181&lt;=2,"?ACTIVATED",IF(J181&lt;&gt;"","?FAMILIAR",IF(F181="NEW",IF(ISNA(VLOOKUP(E181,#REF!,1,FALSE())),"?TYPE_IDENTIFIABLE","?REFERENTIAL"),"_")))))</f>
        <v/>
      </c>
      <c r="H181" s="24" t="str">
        <f aca="false">IF(J181&lt;&gt;1,"",IF(I181="SBJ","CB","?"))</f>
        <v/>
      </c>
      <c r="I181" s="25" t="str">
        <f aca="false">IF(OR(E181="",E181="!!!",F181="NEW"),"",INDEX(B180:B$2,-1+SUMPRODUCT(MAX(ROW(E180:E$2)*(E181=E180:E$2)))))</f>
        <v> </v>
      </c>
      <c r="J181" s="25" t="str">
        <f aca="true">IF(OR(E181="",E181="!!!",F181="NEW"),"",COUNTBLANK(OFFSET(A$1,,,SUMPRODUCT(MAX(ROW(E$2:E181)*(E181=E$2:E181)))))-COUNTBLANK(OFFSET(A$1,,,SUMPRODUCT(MAX(ROW(E$1:E180)*(E2=E$1:E180))))))</f>
        <v/>
      </c>
      <c r="K181" s="25" t="str">
        <f aca="false">IF(OR(E181="",E181="!!!",F181="NEW"),"",INDEX(J$1:J180,SUMPRODUCT(MAX(ROW(E$1:E180)*(E181=E$1:E180)))))</f>
        <v/>
      </c>
      <c r="L181" s="26"/>
    </row>
    <row r="182" customFormat="false" ht="15" hidden="false" customHeight="false" outlineLevel="0" collapsed="false">
      <c r="A182" s="20" t="s">
        <v>277</v>
      </c>
      <c r="E182" s="21" t="str">
        <f aca="false">IF(D182="?OLD","!!!","")</f>
        <v/>
      </c>
      <c r="F182" s="22" t="str">
        <f aca="false">IF(OR(E182="",E182="!!!"),"",IF(NOT(ISNA(VLOOKUP(E182,E$1:E181,1,FALSE()))),"OLD",IF(AND(E182&lt;&gt;"",E182&lt;&gt;"!!!"),"NEW","")))</f>
        <v>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IF(OR(E182="",E182="!!!",F182="NEW"),"",INDEX(B181:B$2,-1+SUMPRODUCT(MAX(ROW(E181:E$2)*(E182=E181:E$2)))))</f>
        <v> </v>
      </c>
      <c r="J182" s="25" t="str">
        <f aca="true">IF(OR(E182="",E182="!!!",F182="NEW"),"",COUNTBLANK(OFFSET(A$1,,,SUMPRODUCT(MAX(ROW(E$2:E182)*(E182=E$2:E182)))))-COUNTBLANK(OFFSET(A$1,,,SUMPRODUCT(MAX(ROW(E$1:E181)*(E2=E$1:E181))))))</f>
        <v/>
      </c>
      <c r="K182" s="25" t="str">
        <f aca="false">IF(OR(E182="",E182="!!!",F182="NEW"),"",INDEX(J$1:J181,SUMPRODUCT(MAX(ROW(E$1:E181)*(E182=E$1:E181)))))</f>
        <v/>
      </c>
      <c r="L182" s="26"/>
    </row>
    <row r="183" customFormat="false" ht="15" hidden="false" customHeight="false" outlineLevel="0" collapsed="false">
      <c r="A183" s="20" t="s">
        <v>264</v>
      </c>
      <c r="B183" s="27" t="s">
        <v>244</v>
      </c>
      <c r="C183" s="27" t="s">
        <v>233</v>
      </c>
      <c r="D183" s="27" t="s">
        <v>209</v>
      </c>
      <c r="E183" s="21" t="str">
        <f aca="false">IF(D183="?OLD","!!!","")</f>
        <v>!!!</v>
      </c>
      <c r="F183" s="22" t="str">
        <f aca="false">IF(OR(E183="",E183="!!!"),"",IF(NOT(ISNA(VLOOKUP(E183,E$1:E182,1,FALSE()))),"OLD",IF(AND(E183&lt;&gt;"",E183&lt;&gt;"!!!"),"NEW","")))</f>
        <v>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IF(OR(E183="",E183="!!!",F183="NEW"),"",INDEX(B182:B$2,-1+SUMPRODUCT(MAX(ROW(E182:E$2)*(E183=E182:E$2)))))</f>
        <v> </v>
      </c>
      <c r="J183" s="25" t="str">
        <f aca="true">IF(OR(E183="",E183="!!!",F183="NEW"),"",COUNTBLANK(OFFSET(A$1,,,SUMPRODUCT(MAX(ROW(E$2:E183)*(E183=E$2:E183)))))-COUNTBLANK(OFFSET(A$1,,,SUMPRODUCT(MAX(ROW(E$1:E182)*(E2=E$1:E182))))))</f>
        <v/>
      </c>
      <c r="K183" s="25" t="str">
        <f aca="false">IF(OR(E183="",E183="!!!",F183="NEW"),"",INDEX(J$1:J182,SUMPRODUCT(MAX(ROW(E$1:E182)*(E183=E$1:E182)))))</f>
        <v/>
      </c>
      <c r="L183" s="26"/>
    </row>
    <row r="184" customFormat="false" ht="15" hidden="false" customHeight="false" outlineLevel="0" collapsed="false">
      <c r="A184" s="20" t="s">
        <v>210</v>
      </c>
      <c r="E184" s="21" t="str">
        <f aca="false">IF(D184="?OLD","!!!","")</f>
        <v/>
      </c>
      <c r="F184" s="22" t="str">
        <f aca="false">IF(OR(E184="",E184="!!!"),"",IF(NOT(ISNA(VLOOKUP(E184,E$1:E183,1,FALSE()))),"OLD",IF(AND(E184&lt;&gt;"",E184&lt;&gt;"!!!"),"NEW","")))</f>
        <v>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IF(OR(E184="",E184="!!!",F184="NEW"),"",INDEX(B183:B$2,-1+SUMPRODUCT(MAX(ROW(E183:E$2)*(E184=E183:E$2)))))</f>
        <v> </v>
      </c>
      <c r="J184" s="25" t="str">
        <f aca="true">IF(OR(E184="",E184="!!!",F184="NEW"),"",COUNTBLANK(OFFSET(A$1,,,SUMPRODUCT(MAX(ROW(E$2:E184)*(E184=E$2:E184)))))-COUNTBLANK(OFFSET(A$1,,,SUMPRODUCT(MAX(ROW(E$1:E183)*(E2=E$1:E183))))))</f>
        <v/>
      </c>
      <c r="K184" s="25" t="str">
        <f aca="false">IF(OR(E184="",E184="!!!",F184="NEW"),"",INDEX(J$1:J183,SUMPRODUCT(MAX(ROW(E$1:E183)*(E184=E$1:E183)))))</f>
        <v/>
      </c>
      <c r="L184" s="26"/>
    </row>
    <row r="185" customFormat="false" ht="15" hidden="false" customHeight="false" outlineLevel="0" collapsed="false">
      <c r="A185" s="20" t="s">
        <v>298</v>
      </c>
      <c r="E185" s="21" t="str">
        <f aca="false">IF(D185="?OLD","!!!","")</f>
        <v/>
      </c>
      <c r="F185" s="22" t="str">
        <f aca="false">IF(OR(E185="",E185="!!!"),"",IF(NOT(ISNA(VLOOKUP(E185,E$1:E184,1,FALSE()))),"OLD",IF(AND(E185&lt;&gt;"",E185&lt;&gt;"!!!"),"NEW","")))</f>
        <v> </v>
      </c>
      <c r="G185" s="23" t="str">
        <f aca="false">IF(OR(E185="",E185="!!!"),"",IF(OR(J185=0,AND(J185=1,K185=1),AND(J185=1,I185="SBJ"),AND(J185=1,I185=0)),"?IN_FOCUS",IF(J185&lt;=2,"?ACTIVATED",IF(J185&lt;&gt;"","?FAMILIAR",IF(F185="NEW",IF(ISNA(VLOOKUP(E185,#REF!,1,FALSE())),"?TYPE_IDENTIFIABLE","?REFERENTIAL"),"_")))))</f>
        <v/>
      </c>
      <c r="H185" s="24" t="str">
        <f aca="false">IF(J185&lt;&gt;1,"",IF(I185="SBJ","CB","?"))</f>
        <v/>
      </c>
      <c r="I185" s="25" t="str">
        <f aca="false">IF(OR(E185="",E185="!!!",F185="NEW"),"",INDEX(B184:B$2,-1+SUMPRODUCT(MAX(ROW(E184:E$2)*(E185=E184:E$2)))))</f>
        <v> </v>
      </c>
      <c r="J185" s="25" t="str">
        <f aca="true">IF(OR(E185="",E185="!!!",F185="NEW"),"",COUNTBLANK(OFFSET(A$1,,,SUMPRODUCT(MAX(ROW(E$2:E185)*(E185=E$2:E185)))))-COUNTBLANK(OFFSET(A$1,,,SUMPRODUCT(MAX(ROW(E$1:E184)*(E2=E$1:E184))))))</f>
        <v/>
      </c>
      <c r="K185" s="25" t="str">
        <f aca="false">IF(OR(E185="",E185="!!!",F185="NEW"),"",INDEX(J$1:J184,SUMPRODUCT(MAX(ROW(E$1:E184)*(E185=E$1:E184)))))</f>
        <v/>
      </c>
      <c r="L185" s="26"/>
    </row>
    <row r="186" customFormat="false" ht="15" hidden="false" customHeight="false" outlineLevel="0" collapsed="false">
      <c r="A186" s="20" t="s">
        <v>299</v>
      </c>
      <c r="B186" s="27" t="s">
        <v>220</v>
      </c>
      <c r="C186" s="27" t="s">
        <v>217</v>
      </c>
      <c r="E186" s="21" t="str">
        <f aca="false">IF(D186="?OLD","!!!","")</f>
        <v/>
      </c>
      <c r="F186" s="22" t="str">
        <f aca="false">IF(OR(E186="",E186="!!!"),"",IF(NOT(ISNA(VLOOKUP(E186,E$1:E185,1,FALSE()))),"OLD",IF(AND(E186&lt;&gt;"",E186&lt;&gt;"!!!"),"NEW","")))</f>
        <v>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IF(OR(E186="",E186="!!!",F186="NEW"),"",INDEX(B185:B$2,-1+SUMPRODUCT(MAX(ROW(E185:E$2)*(E186=E185:E$2)))))</f>
        <v> </v>
      </c>
      <c r="J186" s="25" t="str">
        <f aca="true">IF(OR(E186="",E186="!!!",F186="NEW"),"",COUNTBLANK(OFFSET(A$1,,,SUMPRODUCT(MAX(ROW(E$2:E186)*(E186=E$2:E186)))))-COUNTBLANK(OFFSET(A$1,,,SUMPRODUCT(MAX(ROW(E$1:E185)*(E2=E$1:E185))))))</f>
        <v/>
      </c>
      <c r="K186" s="25" t="str">
        <f aca="false">IF(OR(E186="",E186="!!!",F186="NEW"),"",INDEX(J$1:J185,SUMPRODUCT(MAX(ROW(E$1:E185)*(E186=E$1:E185)))))</f>
        <v/>
      </c>
      <c r="L186" s="26"/>
    </row>
    <row r="187" customFormat="false" ht="15" hidden="false" customHeight="false" outlineLevel="0" collapsed="false">
      <c r="A187" s="20" t="s">
        <v>235</v>
      </c>
      <c r="E187" s="21" t="str">
        <f aca="false">IF(D187="?OLD","!!!","")</f>
        <v/>
      </c>
      <c r="F187" s="22" t="str">
        <f aca="false">IF(OR(E187="",E187="!!!"),"",IF(NOT(ISNA(VLOOKUP(E187,E$1:E186,1,FALSE()))),"OLD",IF(AND(E187&lt;&gt;"",E187&lt;&gt;"!!!"),"NEW","")))</f>
        <v> </v>
      </c>
      <c r="G187" s="23" t="str">
        <f aca="false">IF(OR(E187="",E187="!!!"),"",IF(OR(J187=0,AND(J187=1,K187=1),AND(J187=1,I187="SBJ"),AND(J187=1,I187=0)),"?IN_FOCUS",IF(J187&lt;=2,"?ACTIVATED",IF(J187&lt;&gt;"","?FAMILIAR",IF(F187="NEW",IF(ISNA(VLOOKUP(E187,#REF!,1,FALSE())),"?TYPE_IDENTIFIABLE","?REFERENTIAL"),"_")))))</f>
        <v/>
      </c>
      <c r="H187" s="24" t="str">
        <f aca="false">IF(J187&lt;&gt;1,"",IF(I187="SBJ","CB","?"))</f>
        <v/>
      </c>
      <c r="I187" s="25" t="str">
        <f aca="false">IF(OR(E187="",E187="!!!",F187="NEW"),"",INDEX(B186:B$2,-1+SUMPRODUCT(MAX(ROW(E186:E$2)*(E187=E186:E$2)))))</f>
        <v> </v>
      </c>
      <c r="J187" s="25" t="str">
        <f aca="true">IF(OR(E187="",E187="!!!",F187="NEW"),"",COUNTBLANK(OFFSET(A$1,,,SUMPRODUCT(MAX(ROW(E$2:E187)*(E187=E$2:E187)))))-COUNTBLANK(OFFSET(A$1,,,SUMPRODUCT(MAX(ROW(E$1:E186)*(E2=E$1:E186))))))</f>
        <v/>
      </c>
      <c r="K187" s="25" t="str">
        <f aca="false">IF(OR(E187="",E187="!!!",F187="NEW"),"",INDEX(J$1:J186,SUMPRODUCT(MAX(ROW(E$1:E186)*(E187=E$1:E186)))))</f>
        <v/>
      </c>
      <c r="L187" s="26"/>
    </row>
    <row r="188" customFormat="false" ht="15" hidden="false" customHeight="false" outlineLevel="0" collapsed="false">
      <c r="A188" s="20" t="s">
        <v>205</v>
      </c>
      <c r="E188" s="21" t="str">
        <f aca="false">IF(D188="?OLD","!!!","")</f>
        <v/>
      </c>
      <c r="F188" s="22" t="str">
        <f aca="false">IF(OR(E188="",E188="!!!"),"",IF(NOT(ISNA(VLOOKUP(E188,E$1:E187,1,FALSE()))),"OLD",IF(AND(E188&lt;&gt;"",E188&lt;&gt;"!!!"),"NEW","")))</f>
        <v>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IF(OR(E188="",E188="!!!",F188="NEW"),"",INDEX(B187:B$2,-1+SUMPRODUCT(MAX(ROW(E187:E$2)*(E188=E187:E$2)))))</f>
        <v> </v>
      </c>
      <c r="J188" s="25" t="str">
        <f aca="true">IF(OR(E188="",E188="!!!",F188="NEW"),"",COUNTBLANK(OFFSET(A$1,,,SUMPRODUCT(MAX(ROW(E$2:E188)*(E188=E$2:E188)))))-COUNTBLANK(OFFSET(A$1,,,SUMPRODUCT(MAX(ROW(E$1:E187)*(E2=E$1:E187))))))</f>
        <v/>
      </c>
      <c r="K188" s="25" t="str">
        <f aca="false">IF(OR(E188="",E188="!!!",F188="NEW"),"",INDEX(J$1:J187,SUMPRODUCT(MAX(ROW(E$1:E187)*(E188=E$1:E187)))))</f>
        <v/>
      </c>
      <c r="L188" s="26"/>
    </row>
    <row r="189" customFormat="false" ht="15" hidden="false" customHeight="false" outlineLevel="0" collapsed="false">
      <c r="A189" s="20" t="s">
        <v>283</v>
      </c>
      <c r="B189" s="27" t="s">
        <v>248</v>
      </c>
      <c r="C189" s="27" t="s">
        <v>208</v>
      </c>
      <c r="D189" s="27" t="s">
        <v>209</v>
      </c>
      <c r="E189" s="21" t="str">
        <f aca="false">IF(D189="?OLD","!!!","")</f>
        <v>!!!</v>
      </c>
      <c r="F189" s="22" t="str">
        <f aca="false">IF(OR(E189="",E189="!!!"),"",IF(NOT(ISNA(VLOOKUP(E189,E$1:E188,1,FALSE()))),"OLD",IF(AND(E189&lt;&gt;"",E189&lt;&gt;"!!!"),"NEW","")))</f>
        <v>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IF(OR(E189="",E189="!!!",F189="NEW"),"",INDEX(B188:B$2,-1+SUMPRODUCT(MAX(ROW(E188:E$2)*(E189=E188:E$2)))))</f>
        <v> </v>
      </c>
      <c r="J189" s="25" t="str">
        <f aca="true">IF(OR(E189="",E189="!!!",F189="NEW"),"",COUNTBLANK(OFFSET(A$1,,,SUMPRODUCT(MAX(ROW(E$2:E189)*(E189=E$2:E189)))))-COUNTBLANK(OFFSET(A$1,,,SUMPRODUCT(MAX(ROW(E$1:E188)*(E2=E$1:E188))))))</f>
        <v/>
      </c>
      <c r="K189" s="25" t="str">
        <f aca="false">IF(OR(E189="",E189="!!!",F189="NEW"),"",INDEX(J$1:J188,SUMPRODUCT(MAX(ROW(E$1:E188)*(E189=E$1:E188)))))</f>
        <v/>
      </c>
      <c r="L189" s="26"/>
    </row>
    <row r="190" customFormat="false" ht="15" hidden="false" customHeight="false" outlineLevel="0" collapsed="false">
      <c r="A190" s="20" t="s">
        <v>237</v>
      </c>
      <c r="E190" s="21" t="str">
        <f aca="false">IF(D190="?OLD","!!!","")</f>
        <v/>
      </c>
      <c r="F190" s="22" t="str">
        <f aca="false">IF(OR(E190="",E190="!!!"),"",IF(NOT(ISNA(VLOOKUP(E190,E$1:E189,1,FALSE()))),"OLD",IF(AND(E190&lt;&gt;"",E190&lt;&gt;"!!!"),"NEW","")))</f>
        <v>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IF(OR(E190="",E190="!!!",F190="NEW"),"",INDEX(B189:B$2,-1+SUMPRODUCT(MAX(ROW(E189:E$2)*(E190=E189:E$2)))))</f>
        <v> </v>
      </c>
      <c r="J190" s="25" t="str">
        <f aca="true">IF(OR(E190="",E190="!!!",F190="NEW"),"",COUNTBLANK(OFFSET(A$1,,,SUMPRODUCT(MAX(ROW(E$2:E190)*(E190=E$2:E190)))))-COUNTBLANK(OFFSET(A$1,,,SUMPRODUCT(MAX(ROW(E$1:E189)*(E2=E$1:E189))))))</f>
        <v/>
      </c>
      <c r="K190" s="25" t="str">
        <f aca="false">IF(OR(E190="",E190="!!!",F190="NEW"),"",INDEX(J$1:J189,SUMPRODUCT(MAX(ROW(E$1:E189)*(E190=E$1:E189)))))</f>
        <v/>
      </c>
      <c r="L190" s="26"/>
    </row>
    <row r="191" customFormat="false" ht="15" hidden="false" customHeight="false" outlineLevel="0" collapsed="false">
      <c r="A191" s="20" t="s">
        <v>288</v>
      </c>
      <c r="E191" s="21" t="str">
        <f aca="false">IF(D191="?OLD","!!!","")</f>
        <v/>
      </c>
      <c r="F191" s="22" t="str">
        <f aca="false">IF(OR(E191="",E191="!!!"),"",IF(NOT(ISNA(VLOOKUP(E191,E$1:E190,1,FALSE()))),"OLD",IF(AND(E191&lt;&gt;"",E191&lt;&gt;"!!!"),"NEW","")))</f>
        <v>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IF(OR(E191="",E191="!!!",F191="NEW"),"",INDEX(B190:B$2,-1+SUMPRODUCT(MAX(ROW(E190:E$2)*(E191=E190:E$2)))))</f>
        <v> </v>
      </c>
      <c r="J191" s="25" t="str">
        <f aca="true">IF(OR(E191="",E191="!!!",F191="NEW"),"",COUNTBLANK(OFFSET(A$1,,,SUMPRODUCT(MAX(ROW(E$2:E191)*(E191=E$2:E191)))))-COUNTBLANK(OFFSET(A$1,,,SUMPRODUCT(MAX(ROW(E$1:E190)*(E2=E$1:E190))))))</f>
        <v/>
      </c>
      <c r="K191" s="25" t="str">
        <f aca="false">IF(OR(E191="",E191="!!!",F191="NEW"),"",INDEX(J$1:J190,SUMPRODUCT(MAX(ROW(E$1:E190)*(E191=E$1:E190)))))</f>
        <v/>
      </c>
      <c r="L191" s="26"/>
    </row>
    <row r="192" customFormat="false" ht="15" hidden="false" customHeight="false" outlineLevel="0" collapsed="false">
      <c r="A192" s="20" t="s">
        <v>277</v>
      </c>
      <c r="E192" s="21" t="str">
        <f aca="false">IF(D192="?OLD","!!!","")</f>
        <v/>
      </c>
      <c r="F192" s="22" t="str">
        <f aca="false">IF(OR(E192="",E192="!!!"),"",IF(NOT(ISNA(VLOOKUP(E192,E$1:E191,1,FALSE()))),"OLD",IF(AND(E192&lt;&gt;"",E192&lt;&gt;"!!!"),"NEW","")))</f>
        <v>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IF(OR(E192="",E192="!!!",F192="NEW"),"",INDEX(B191:B$2,-1+SUMPRODUCT(MAX(ROW(E191:E$2)*(E192=E191:E$2)))))</f>
        <v> </v>
      </c>
      <c r="J192" s="25" t="str">
        <f aca="true">IF(OR(E192="",E192="!!!",F192="NEW"),"",COUNTBLANK(OFFSET(A$1,,,SUMPRODUCT(MAX(ROW(E$2:E192)*(E192=E$2:E192)))))-COUNTBLANK(OFFSET(A$1,,,SUMPRODUCT(MAX(ROW(E$1:E191)*(E2=E$1:E191))))))</f>
        <v/>
      </c>
      <c r="K192" s="25" t="str">
        <f aca="false">IF(OR(E192="",E192="!!!",F192="NEW"),"",INDEX(J$1:J191,SUMPRODUCT(MAX(ROW(E$1:E191)*(E192=E$1:E191)))))</f>
        <v/>
      </c>
      <c r="L192" s="26"/>
    </row>
    <row r="193" customFormat="false" ht="15" hidden="false" customHeight="false" outlineLevel="0" collapsed="false">
      <c r="A193" s="20" t="s">
        <v>205</v>
      </c>
      <c r="E193" s="21" t="str">
        <f aca="false">IF(D193="?OLD","!!!","")</f>
        <v/>
      </c>
      <c r="F193" s="22" t="str">
        <f aca="false">IF(OR(E193="",E193="!!!"),"",IF(NOT(ISNA(VLOOKUP(E193,E$1:E192,1,FALSE()))),"OLD",IF(AND(E193&lt;&gt;"",E193&lt;&gt;"!!!"),"NEW","")))</f>
        <v> </v>
      </c>
      <c r="G193" s="23" t="str">
        <f aca="false">IF(OR(E193="",E193="!!!"),"",IF(OR(J193=0,AND(J193=1,K193=1),AND(J193=1,I193="SBJ"),AND(J193=1,I193=0)),"?IN_FOCUS",IF(J193&lt;=2,"?ACTIVATED",IF(J193&lt;&gt;"","?FAMILIAR",IF(F193="NEW",IF(ISNA(VLOOKUP(E193,#REF!,1,FALSE())),"?TYPE_IDENTIFIABLE","?REFERENTIAL"),"_")))))</f>
        <v/>
      </c>
      <c r="H193" s="24" t="str">
        <f aca="false">IF(J193&lt;&gt;1,"",IF(I193="SBJ","CB","?"))</f>
        <v/>
      </c>
      <c r="I193" s="25" t="str">
        <f aca="false">IF(OR(E193="",E193="!!!",F193="NEW"),"",INDEX(B192:B$2,-1+SUMPRODUCT(MAX(ROW(E192:E$2)*(E193=E192:E$2)))))</f>
        <v> </v>
      </c>
      <c r="J193" s="25" t="str">
        <f aca="true">IF(OR(E193="",E193="!!!",F193="NEW"),"",COUNTBLANK(OFFSET(A$1,,,SUMPRODUCT(MAX(ROW(E$2:E193)*(E193=E$2:E193)))))-COUNTBLANK(OFFSET(A$1,,,SUMPRODUCT(MAX(ROW(E$1:E192)*(E2=E$1:E192))))))</f>
        <v/>
      </c>
      <c r="K193" s="25" t="str">
        <f aca="false">IF(OR(E193="",E193="!!!",F193="NEW"),"",INDEX(J$1:J192,SUMPRODUCT(MAX(ROW(E$1:E192)*(E193=E$1:E192)))))</f>
        <v/>
      </c>
      <c r="L193" s="26"/>
    </row>
    <row r="194" customFormat="false" ht="15" hidden="false" customHeight="false" outlineLevel="0" collapsed="false">
      <c r="A194" s="20" t="s">
        <v>247</v>
      </c>
      <c r="B194" s="27" t="s">
        <v>244</v>
      </c>
      <c r="C194" s="27" t="s">
        <v>208</v>
      </c>
      <c r="D194" s="27" t="s">
        <v>209</v>
      </c>
      <c r="E194" s="21" t="str">
        <f aca="false">IF(D194="?OLD","!!!","")</f>
        <v>!!!</v>
      </c>
      <c r="F194" s="22" t="str">
        <f aca="false">IF(OR(E194="",E194="!!!"),"",IF(NOT(ISNA(VLOOKUP(E194,E$1:E193,1,FALSE()))),"OLD",IF(AND(E194&lt;&gt;"",E194&lt;&gt;"!!!"),"NEW","")))</f>
        <v>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IF(OR(E194="",E194="!!!",F194="NEW"),"",INDEX(B193:B$2,-1+SUMPRODUCT(MAX(ROW(E193:E$2)*(E194=E193:E$2)))))</f>
        <v> </v>
      </c>
      <c r="J194" s="25" t="str">
        <f aca="true">IF(OR(E194="",E194="!!!",F194="NEW"),"",COUNTBLANK(OFFSET(A$1,,,SUMPRODUCT(MAX(ROW(E$2:E194)*(E194=E$2:E194)))))-COUNTBLANK(OFFSET(A$1,,,SUMPRODUCT(MAX(ROW(E$1:E193)*(E2=E$1:E193))))))</f>
        <v/>
      </c>
      <c r="K194" s="25" t="str">
        <f aca="false">IF(OR(E194="",E194="!!!",F194="NEW"),"",INDEX(J$1:J193,SUMPRODUCT(MAX(ROW(E$1:E193)*(E194=E$1:E193)))))</f>
        <v/>
      </c>
      <c r="L194" s="26"/>
    </row>
    <row r="195" customFormat="false" ht="15" hidden="false" customHeight="false" outlineLevel="0" collapsed="false">
      <c r="A195" s="20" t="s">
        <v>210</v>
      </c>
      <c r="E195" s="21" t="str">
        <f aca="false">IF(D195="?OLD","!!!","")</f>
        <v/>
      </c>
      <c r="F195" s="22" t="str">
        <f aca="false">IF(OR(E195="",E195="!!!"),"",IF(NOT(ISNA(VLOOKUP(E195,E$1:E194,1,FALSE()))),"OLD",IF(AND(E195&lt;&gt;"",E195&lt;&gt;"!!!"),"NEW","")))</f>
        <v> </v>
      </c>
      <c r="G195" s="23" t="str">
        <f aca="false">IF(OR(E195="",E195="!!!"),"",IF(OR(J195=0,AND(J195=1,K195=1),AND(J195=1,I195="SBJ"),AND(J195=1,I195=0)),"?IN_FOCUS",IF(J195&lt;=2,"?ACTIVATED",IF(J195&lt;&gt;"","?FAMILIAR",IF(F195="NEW",IF(ISNA(VLOOKUP(E195,#REF!,1,FALSE())),"?TYPE_IDENTIFIABLE","?REFERENTIAL"),"_")))))</f>
        <v/>
      </c>
      <c r="H195" s="24" t="str">
        <f aca="false">IF(J195&lt;&gt;1,"",IF(I195="SBJ","CB","?"))</f>
        <v/>
      </c>
      <c r="I195" s="25" t="str">
        <f aca="false">IF(OR(E195="",E195="!!!",F195="NEW"),"",INDEX(B194:B$2,-1+SUMPRODUCT(MAX(ROW(E194:E$2)*(E195=E194:E$2)))))</f>
        <v> </v>
      </c>
      <c r="J195" s="25" t="str">
        <f aca="true">IF(OR(E195="",E195="!!!",F195="NEW"),"",COUNTBLANK(OFFSET(A$1,,,SUMPRODUCT(MAX(ROW(E$2:E195)*(E195=E$2:E195)))))-COUNTBLANK(OFFSET(A$1,,,SUMPRODUCT(MAX(ROW(E$1:E194)*(E2=E$1:E194))))))</f>
        <v/>
      </c>
      <c r="K195" s="25" t="str">
        <f aca="false">IF(OR(E195="",E195="!!!",F195="NEW"),"",INDEX(J$1:J194,SUMPRODUCT(MAX(ROW(E$1:E194)*(E195=E$1:E194)))))</f>
        <v/>
      </c>
      <c r="L195" s="26"/>
    </row>
    <row r="196" customFormat="false" ht="15" hidden="false" customHeight="false" outlineLevel="0" collapsed="false">
      <c r="A196" s="20" t="s">
        <v>235</v>
      </c>
      <c r="E196" s="21" t="str">
        <f aca="false">IF(D196="?OLD","!!!","")</f>
        <v/>
      </c>
      <c r="F196" s="22" t="str">
        <f aca="false">IF(OR(E196="",E196="!!!"),"",IF(NOT(ISNA(VLOOKUP(E196,E$1:E195,1,FALSE()))),"OLD",IF(AND(E196&lt;&gt;"",E196&lt;&gt;"!!!"),"NEW","")))</f>
        <v> </v>
      </c>
      <c r="G196" s="23" t="str">
        <f aca="false">IF(OR(E196="",E196="!!!"),"",IF(OR(J196=0,AND(J196=1,K196=1),AND(J196=1,I196="SBJ"),AND(J196=1,I196=0)),"?IN_FOCUS",IF(J196&lt;=2,"?ACTIVATED",IF(J196&lt;&gt;"","?FAMILIAR",IF(F196="NEW",IF(ISNA(VLOOKUP(E196,#REF!,1,FALSE())),"?TYPE_IDENTIFIABLE","?REFERENTIAL"),"_")))))</f>
        <v/>
      </c>
      <c r="H196" s="24" t="str">
        <f aca="false">IF(J196&lt;&gt;1,"",IF(I196="SBJ","CB","?"))</f>
        <v/>
      </c>
      <c r="I196" s="25" t="str">
        <f aca="false">IF(OR(E196="",E196="!!!",F196="NEW"),"",INDEX(B195:B$2,-1+SUMPRODUCT(MAX(ROW(E195:E$2)*(E196=E195:E$2)))))</f>
        <v> </v>
      </c>
      <c r="J196" s="25" t="str">
        <f aca="true">IF(OR(E196="",E196="!!!",F196="NEW"),"",COUNTBLANK(OFFSET(A$1,,,SUMPRODUCT(MAX(ROW(E$2:E196)*(E196=E$2:E196)))))-COUNTBLANK(OFFSET(A$1,,,SUMPRODUCT(MAX(ROW(E$1:E195)*(E2=E$1:E195))))))</f>
        <v/>
      </c>
      <c r="K196" s="25" t="str">
        <f aca="false">IF(OR(E196="",E196="!!!",F196="NEW"),"",INDEX(J$1:J195,SUMPRODUCT(MAX(ROW(E$1:E195)*(E196=E$1:E195)))))</f>
        <v/>
      </c>
      <c r="L196" s="26"/>
    </row>
    <row r="197" customFormat="false" ht="15" hidden="false" customHeight="false" outlineLevel="0" collapsed="false">
      <c r="A197" s="20" t="s">
        <v>286</v>
      </c>
      <c r="E197" s="21" t="str">
        <f aca="false">IF(D197="?OLD","!!!","")</f>
        <v/>
      </c>
      <c r="F197" s="22" t="str">
        <f aca="false">IF(OR(E197="",E197="!!!"),"",IF(NOT(ISNA(VLOOKUP(E197,E$1:E196,1,FALSE()))),"OLD",IF(AND(E197&lt;&gt;"",E197&lt;&gt;"!!!"),"NEW","")))</f>
        <v>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IF(OR(E197="",E197="!!!",F197="NEW"),"",INDEX(B196:B$2,-1+SUMPRODUCT(MAX(ROW(E196:E$2)*(E197=E196:E$2)))))</f>
        <v> </v>
      </c>
      <c r="J197" s="25" t="str">
        <f aca="true">IF(OR(E197="",E197="!!!",F197="NEW"),"",COUNTBLANK(OFFSET(A$1,,,SUMPRODUCT(MAX(ROW(E$2:E197)*(E197=E$2:E197)))))-COUNTBLANK(OFFSET(A$1,,,SUMPRODUCT(MAX(ROW(E$1:E196)*(E2=E$1:E196))))))</f>
        <v/>
      </c>
      <c r="K197" s="25" t="str">
        <f aca="false">IF(OR(E197="",E197="!!!",F197="NEW"),"",INDEX(J$1:J196,SUMPRODUCT(MAX(ROW(E$1:E196)*(E197=E$1:E196)))))</f>
        <v/>
      </c>
      <c r="L197" s="26"/>
    </row>
    <row r="198" customFormat="false" ht="15" hidden="false" customHeight="false" outlineLevel="0" collapsed="false">
      <c r="A198" s="20" t="s">
        <v>300</v>
      </c>
      <c r="E198" s="21" t="str">
        <f aca="false">IF(D198="?OLD","!!!","")</f>
        <v/>
      </c>
      <c r="F198" s="22" t="str">
        <f aca="false">IF(OR(E198="",E198="!!!"),"",IF(NOT(ISNA(VLOOKUP(E198,E$1:E197,1,FALSE()))),"OLD",IF(AND(E198&lt;&gt;"",E198&lt;&gt;"!!!"),"NEW","")))</f>
        <v>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IF(OR(E198="",E198="!!!",F198="NEW"),"",INDEX(B197:B$2,-1+SUMPRODUCT(MAX(ROW(E197:E$2)*(E198=E197:E$2)))))</f>
        <v> </v>
      </c>
      <c r="J198" s="25" t="str">
        <f aca="true">IF(OR(E198="",E198="!!!",F198="NEW"),"",COUNTBLANK(OFFSET(A$1,,,SUMPRODUCT(MAX(ROW(E$2:E198)*(E198=E$2:E198)))))-COUNTBLANK(OFFSET(A$1,,,SUMPRODUCT(MAX(ROW(E$1:E197)*(E2=E$1:E197))))))</f>
        <v/>
      </c>
      <c r="K198" s="25" t="str">
        <f aca="false">IF(OR(E198="",E198="!!!",F198="NEW"),"",INDEX(J$1:J197,SUMPRODUCT(MAX(ROW(E$1:E197)*(E198=E$1:E197)))))</f>
        <v/>
      </c>
      <c r="L198" s="26"/>
    </row>
    <row r="199" customFormat="false" ht="15" hidden="false" customHeight="false" outlineLevel="0" collapsed="false">
      <c r="A199" s="20" t="s">
        <v>235</v>
      </c>
      <c r="E199" s="21" t="str">
        <f aca="false">IF(D199="?OLD","!!!","")</f>
        <v/>
      </c>
      <c r="F199" s="22" t="str">
        <f aca="false">IF(OR(E199="",E199="!!!"),"",IF(NOT(ISNA(VLOOKUP(E199,E$1:E198,1,FALSE()))),"OLD",IF(AND(E199&lt;&gt;"",E199&lt;&gt;"!!!"),"NEW","")))</f>
        <v>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IF(OR(E199="",E199="!!!",F199="NEW"),"",INDEX(B198:B$2,-1+SUMPRODUCT(MAX(ROW(E198:E$2)*(E199=E198:E$2)))))</f>
        <v> </v>
      </c>
      <c r="J199" s="25" t="str">
        <f aca="true">IF(OR(E199="",E199="!!!",F199="NEW"),"",COUNTBLANK(OFFSET(A$1,,,SUMPRODUCT(MAX(ROW(E$2:E199)*(E199=E$2:E199)))))-COUNTBLANK(OFFSET(A$1,,,SUMPRODUCT(MAX(ROW(E$1:E198)*(E2=E$1:E198))))))</f>
        <v/>
      </c>
      <c r="K199" s="25" t="str">
        <f aca="false">IF(OR(E199="",E199="!!!",F199="NEW"),"",INDEX(J$1:J198,SUMPRODUCT(MAX(ROW(E$1:E198)*(E199=E$1:E198)))))</f>
        <v/>
      </c>
      <c r="L199" s="26"/>
    </row>
    <row r="200" customFormat="false" ht="15" hidden="false" customHeight="false" outlineLevel="0" collapsed="false">
      <c r="A200" s="20" t="s">
        <v>168</v>
      </c>
      <c r="E200" s="21" t="str">
        <f aca="false">IF(D200="?OLD","!!!","")</f>
        <v/>
      </c>
      <c r="F200" s="22" t="str">
        <f aca="false">IF(OR(E200="",E200="!!!"),"",IF(NOT(ISNA(VLOOKUP(E200,E$1:E199,1,FALSE()))),"OLD",IF(AND(E200&lt;&gt;"",E200&lt;&gt;"!!!"),"NEW","")))</f>
        <v>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IF(OR(E200="",E200="!!!",F200="NEW"),"",INDEX(B199:B$2,-1+SUMPRODUCT(MAX(ROW(E199:E$2)*(E200=E199:E$2)))))</f>
        <v> </v>
      </c>
      <c r="J200" s="25" t="str">
        <f aca="true">IF(OR(E200="",E200="!!!",F200="NEW"),"",COUNTBLANK(OFFSET(A$1,,,SUMPRODUCT(MAX(ROW(E$2:E200)*(E200=E$2:E200)))))-COUNTBLANK(OFFSET(A$1,,,SUMPRODUCT(MAX(ROW(E$1:E199)*(E2=E$1:E199))))))</f>
        <v/>
      </c>
      <c r="K200" s="25" t="str">
        <f aca="false">IF(OR(E200="",E200="!!!",F200="NEW"),"",INDEX(J$1:J199,SUMPRODUCT(MAX(ROW(E$1:E199)*(E200=E$1:E199)))))</f>
        <v/>
      </c>
      <c r="L200" s="26"/>
    </row>
    <row r="201" customFormat="false" ht="15" hidden="false" customHeight="false" outlineLevel="0" collapsed="false">
      <c r="A201" s="20" t="s">
        <v>301</v>
      </c>
      <c r="B201" s="27" t="s">
        <v>302</v>
      </c>
      <c r="E201" s="21" t="str">
        <f aca="false">IF(D201="?OLD","!!!","")</f>
        <v/>
      </c>
      <c r="F201" s="22" t="str">
        <f aca="false">IF(OR(E201="",E201="!!!"),"",IF(NOT(ISNA(VLOOKUP(E201,E$1:E200,1,FALSE()))),"OLD",IF(AND(E201&lt;&gt;"",E201&lt;&gt;"!!!"),"NEW","")))</f>
        <v>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IF(OR(E201="",E201="!!!",F201="NEW"),"",INDEX(B200:B$2,-1+SUMPRODUCT(MAX(ROW(E200:E$2)*(E201=E200:E$2)))))</f>
        <v> </v>
      </c>
      <c r="J201" s="25" t="str">
        <f aca="true">IF(OR(E201="",E201="!!!",F201="NEW"),"",COUNTBLANK(OFFSET(A$1,,,SUMPRODUCT(MAX(ROW(E$2:E201)*(E201=E$2:E201)))))-COUNTBLANK(OFFSET(A$1,,,SUMPRODUCT(MAX(ROW(E$1:E200)*(E2=E$1:E200))))))</f>
        <v/>
      </c>
      <c r="K201" s="25" t="str">
        <f aca="false">IF(OR(E201="",E201="!!!",F201="NEW"),"",INDEX(J$1:J200,SUMPRODUCT(MAX(ROW(E$1:E200)*(E201=E$1:E200)))))</f>
        <v/>
      </c>
      <c r="L201" s="26"/>
    </row>
    <row r="202" customFormat="false" ht="15" hidden="false" customHeight="false" outlineLevel="0" collapsed="false">
      <c r="A202" s="20" t="s">
        <v>303</v>
      </c>
      <c r="E202" s="21" t="str">
        <f aca="false">IF(D202="?OLD","!!!","")</f>
        <v/>
      </c>
      <c r="F202" s="22" t="str">
        <f aca="false">IF(OR(E202="",E202="!!!"),"",IF(NOT(ISNA(VLOOKUP(E202,E$1:E201,1,FALSE()))),"OLD",IF(AND(E202&lt;&gt;"",E202&lt;&gt;"!!!"),"NEW","")))</f>
        <v> </v>
      </c>
      <c r="G202" s="23" t="str">
        <f aca="false">IF(OR(E202="",E202="!!!"),"",IF(OR(J202=0,AND(J202=1,K202=1),AND(J202=1,I202="SBJ"),AND(J202=1,I202=0)),"?IN_FOCUS",IF(J202&lt;=2,"?ACTIVATED",IF(J202&lt;&gt;"","?FAMILIAR",IF(F202="NEW",IF(ISNA(VLOOKUP(E202,#REF!,1,FALSE())),"?TYPE_IDENTIFIABLE","?REFERENTIAL"),"_")))))</f>
        <v/>
      </c>
      <c r="H202" s="24" t="str">
        <f aca="false">IF(J202&lt;&gt;1,"",IF(I202="SBJ","CB","?"))</f>
        <v/>
      </c>
      <c r="I202" s="25" t="str">
        <f aca="false">IF(OR(E202="",E202="!!!",F202="NEW"),"",INDEX(B201:B$2,-1+SUMPRODUCT(MAX(ROW(E201:E$2)*(E202=E201:E$2)))))</f>
        <v> </v>
      </c>
      <c r="J202" s="25" t="str">
        <f aca="true">IF(OR(E202="",E202="!!!",F202="NEW"),"",COUNTBLANK(OFFSET(A$1,,,SUMPRODUCT(MAX(ROW(E$2:E202)*(E202=E$2:E202)))))-COUNTBLANK(OFFSET(A$1,,,SUMPRODUCT(MAX(ROW(E$1:E201)*(E2=E$1:E201))))))</f>
        <v/>
      </c>
      <c r="K202" s="25" t="str">
        <f aca="false">IF(OR(E202="",E202="!!!",F202="NEW"),"",INDEX(J$1:J201,SUMPRODUCT(MAX(ROW(E$1:E201)*(E202=E$1:E201)))))</f>
        <v/>
      </c>
      <c r="L202" s="26"/>
    </row>
    <row r="203" customFormat="false" ht="15" hidden="false" customHeight="false" outlineLevel="0" collapsed="false">
      <c r="A203" s="20" t="s">
        <v>237</v>
      </c>
      <c r="E203" s="21" t="str">
        <f aca="false">IF(D203="?OLD","!!!","")</f>
        <v/>
      </c>
      <c r="F203" s="22" t="str">
        <f aca="false">IF(OR(E203="",E203="!!!"),"",IF(NOT(ISNA(VLOOKUP(E203,E$1:E202,1,FALSE()))),"OLD",IF(AND(E203&lt;&gt;"",E203&lt;&gt;"!!!"),"NEW","")))</f>
        <v>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IF(OR(E203="",E203="!!!",F203="NEW"),"",INDEX(B202:B$2,-1+SUMPRODUCT(MAX(ROW(E202:E$2)*(E203=E202:E$2)))))</f>
        <v> </v>
      </c>
      <c r="J203" s="25" t="str">
        <f aca="true">IF(OR(E203="",E203="!!!",F203="NEW"),"",COUNTBLANK(OFFSET(A$1,,,SUMPRODUCT(MAX(ROW(E$2:E203)*(E203=E$2:E203)))))-COUNTBLANK(OFFSET(A$1,,,SUMPRODUCT(MAX(ROW(E$1:E202)*(E2=E$1:E202))))))</f>
        <v/>
      </c>
      <c r="K203" s="25" t="str">
        <f aca="false">IF(OR(E203="",E203="!!!",F203="NEW"),"",INDEX(J$1:J202,SUMPRODUCT(MAX(ROW(E$1:E202)*(E203=E$1:E202)))))</f>
        <v/>
      </c>
      <c r="L203" s="26"/>
    </row>
    <row r="204" customFormat="false" ht="15" hidden="false" customHeight="false" outlineLevel="0" collapsed="false">
      <c r="A204" s="20" t="s">
        <v>304</v>
      </c>
      <c r="B204" s="27" t="s">
        <v>207</v>
      </c>
      <c r="C204" s="27" t="s">
        <v>233</v>
      </c>
      <c r="D204" s="27" t="s">
        <v>209</v>
      </c>
      <c r="E204" s="21" t="str">
        <f aca="false">IF(D204="?OLD","!!!","")</f>
        <v>!!!</v>
      </c>
      <c r="F204" s="22" t="str">
        <f aca="false">IF(OR(E204="",E204="!!!"),"",IF(NOT(ISNA(VLOOKUP(E204,E$1:E203,1,FALSE()))),"OLD",IF(AND(E204&lt;&gt;"",E204&lt;&gt;"!!!"),"NEW","")))</f>
        <v> </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IF(OR(E204="",E204="!!!",F204="NEW"),"",INDEX(B203:B$2,-1+SUMPRODUCT(MAX(ROW(E203:E$2)*(E204=E203:E$2)))))</f>
        <v> </v>
      </c>
      <c r="J204" s="25" t="str">
        <f aca="true">IF(OR(E204="",E204="!!!",F204="NEW"),"",COUNTBLANK(OFFSET(A$1,,,SUMPRODUCT(MAX(ROW(E$2:E204)*(E204=E$2:E204)))))-COUNTBLANK(OFFSET(A$1,,,SUMPRODUCT(MAX(ROW(E$1:E203)*(E2=E$1:E203))))))</f>
        <v/>
      </c>
      <c r="K204" s="25" t="str">
        <f aca="false">IF(OR(E204="",E204="!!!",F204="NEW"),"",INDEX(J$1:J203,SUMPRODUCT(MAX(ROW(E$1:E203)*(E204=E$1:E203)))))</f>
        <v/>
      </c>
      <c r="L204" s="26"/>
    </row>
    <row r="205" customFormat="false" ht="15" hidden="false" customHeight="false" outlineLevel="0" collapsed="false">
      <c r="A205" s="20" t="s">
        <v>305</v>
      </c>
      <c r="E205" s="21" t="str">
        <f aca="false">IF(D205="?OLD","!!!","")</f>
        <v/>
      </c>
      <c r="F205" s="22" t="str">
        <f aca="false">IF(OR(E205="",E205="!!!"),"",IF(NOT(ISNA(VLOOKUP(E205,E$1:E204,1,FALSE()))),"OLD",IF(AND(E205&lt;&gt;"",E205&lt;&gt;"!!!"),"NEW","")))</f>
        <v> </v>
      </c>
      <c r="G205" s="23" t="str">
        <f aca="false">IF(OR(E205="",E205="!!!"),"",IF(OR(J205=0,AND(J205=1,K205=1),AND(J205=1,I205="SBJ"),AND(J205=1,I205=0)),"?IN_FOCUS",IF(J205&lt;=2,"?ACTIVATED",IF(J205&lt;&gt;"","?FAMILIAR",IF(F205="NEW",IF(ISNA(VLOOKUP(E205,#REF!,1,FALSE())),"?TYPE_IDENTIFIABLE","?REFERENTIAL"),"_")))))</f>
        <v/>
      </c>
      <c r="H205" s="24" t="str">
        <f aca="false">IF(J205&lt;&gt;1,"",IF(I205="SBJ","CB","?"))</f>
        <v/>
      </c>
      <c r="I205" s="25" t="str">
        <f aca="false">IF(OR(E205="",E205="!!!",F205="NEW"),"",INDEX(B204:B$2,-1+SUMPRODUCT(MAX(ROW(E204:E$2)*(E205=E204:E$2)))))</f>
        <v> </v>
      </c>
      <c r="J205" s="25" t="str">
        <f aca="true">IF(OR(E205="",E205="!!!",F205="NEW"),"",COUNTBLANK(OFFSET(A$1,,,SUMPRODUCT(MAX(ROW(E$2:E205)*(E205=E$2:E205)))))-COUNTBLANK(OFFSET(A$1,,,SUMPRODUCT(MAX(ROW(E$1:E204)*(E2=E$1:E204))))))</f>
        <v/>
      </c>
      <c r="K205" s="25" t="str">
        <f aca="false">IF(OR(E205="",E205="!!!",F205="NEW"),"",INDEX(J$1:J204,SUMPRODUCT(MAX(ROW(E$1:E204)*(E205=E$1:E204)))))</f>
        <v/>
      </c>
      <c r="L205" s="26"/>
    </row>
    <row r="206" customFormat="false" ht="15" hidden="false" customHeight="false" outlineLevel="0" collapsed="false">
      <c r="A206" s="20" t="s">
        <v>218</v>
      </c>
      <c r="E206" s="21" t="str">
        <f aca="false">IF(D206="?OLD","!!!","")</f>
        <v/>
      </c>
      <c r="F206" s="22" t="str">
        <f aca="false">IF(OR(E206="",E206="!!!"),"",IF(NOT(ISNA(VLOOKUP(E206,E$1:E205,1,FALSE()))),"OLD",IF(AND(E206&lt;&gt;"",E206&lt;&gt;"!!!"),"NEW","")))</f>
        <v>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IF(OR(E206="",E206="!!!",F206="NEW"),"",INDEX(B205:B$2,-1+SUMPRODUCT(MAX(ROW(E205:E$2)*(E206=E205:E$2)))))</f>
        <v> </v>
      </c>
      <c r="J206" s="25" t="str">
        <f aca="true">IF(OR(E206="",E206="!!!",F206="NEW"),"",COUNTBLANK(OFFSET(A$1,,,SUMPRODUCT(MAX(ROW(E$2:E206)*(E206=E$2:E206)))))-COUNTBLANK(OFFSET(A$1,,,SUMPRODUCT(MAX(ROW(E$1:E205)*(E2=E$1:E205))))))</f>
        <v/>
      </c>
      <c r="K206" s="25" t="str">
        <f aca="false">IF(OR(E206="",E206="!!!",F206="NEW"),"",INDEX(J$1:J205,SUMPRODUCT(MAX(ROW(E$1:E205)*(E206=E$1:E205)))))</f>
        <v/>
      </c>
      <c r="L206" s="26"/>
    </row>
    <row r="207" customFormat="false" ht="15" hidden="false" customHeight="false" outlineLevel="0" collapsed="false">
      <c r="A207" s="20" t="s">
        <v>306</v>
      </c>
      <c r="B207" s="27" t="s">
        <v>220</v>
      </c>
      <c r="C207" s="27" t="s">
        <v>282</v>
      </c>
      <c r="D207" s="27" t="s">
        <v>209</v>
      </c>
      <c r="E207" s="21" t="str">
        <f aca="false">IF(D207="?OLD","!!!","")</f>
        <v>!!!</v>
      </c>
      <c r="F207" s="22" t="str">
        <f aca="false">IF(OR(E207="",E207="!!!"),"",IF(NOT(ISNA(VLOOKUP(E207,E$1:E206,1,FALSE()))),"OLD",IF(AND(E207&lt;&gt;"",E207&lt;&gt;"!!!"),"NEW","")))</f>
        <v> </v>
      </c>
      <c r="G207" s="23" t="str">
        <f aca="false">IF(OR(E207="",E207="!!!"),"",IF(OR(J207=0,AND(J207=1,K207=1),AND(J207=1,I207="SBJ"),AND(J207=1,I207=0)),"?IN_FOCUS",IF(J207&lt;=2,"?ACTIVATED",IF(J207&lt;&gt;"","?FAMILIAR",IF(F207="NEW",IF(ISNA(VLOOKUP(E207,#REF!,1,FALSE())),"?TYPE_IDENTIFIABLE","?REFERENTIAL"),"_")))))</f>
        <v/>
      </c>
      <c r="H207" s="24" t="str">
        <f aca="false">IF(J207&lt;&gt;1,"",IF(I207="SBJ","CB","?"))</f>
        <v/>
      </c>
      <c r="I207" s="25" t="str">
        <f aca="false">IF(OR(E207="",E207="!!!",F207="NEW"),"",INDEX(B206:B$2,-1+SUMPRODUCT(MAX(ROW(E206:E$2)*(E207=E206:E$2)))))</f>
        <v> </v>
      </c>
      <c r="J207" s="25" t="str">
        <f aca="true">IF(OR(E207="",E207="!!!",F207="NEW"),"",COUNTBLANK(OFFSET(A$1,,,SUMPRODUCT(MAX(ROW(E$2:E207)*(E207=E$2:E207)))))-COUNTBLANK(OFFSET(A$1,,,SUMPRODUCT(MAX(ROW(E$1:E206)*(E2=E$1:E206))))))</f>
        <v/>
      </c>
      <c r="K207" s="25" t="str">
        <f aca="false">IF(OR(E207="",E207="!!!",F207="NEW"),"",INDEX(J$1:J206,SUMPRODUCT(MAX(ROW(E$1:E206)*(E207=E$1:E206)))))</f>
        <v/>
      </c>
      <c r="L207" s="26"/>
    </row>
    <row r="208" customFormat="false" ht="15" hidden="false" customHeight="false" outlineLevel="0" collapsed="false">
      <c r="A208" s="20" t="s">
        <v>255</v>
      </c>
      <c r="B208" s="27" t="s">
        <v>216</v>
      </c>
      <c r="C208" s="27" t="s">
        <v>284</v>
      </c>
      <c r="D208" s="27" t="s">
        <v>209</v>
      </c>
      <c r="E208" s="21" t="str">
        <f aca="false">IF(D208="?OLD","!!!","")</f>
        <v>!!!</v>
      </c>
      <c r="F208" s="22" t="str">
        <f aca="false">IF(OR(E208="",E208="!!!"),"",IF(NOT(ISNA(VLOOKUP(E208,E$1:E207,1,FALSE()))),"OLD",IF(AND(E208&lt;&gt;"",E208&lt;&gt;"!!!"),"NEW","")))</f>
        <v>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IF(OR(E208="",E208="!!!",F208="NEW"),"",INDEX(B207:B$2,-1+SUMPRODUCT(MAX(ROW(E207:E$2)*(E208=E207:E$2)))))</f>
        <v> </v>
      </c>
      <c r="J208" s="25" t="str">
        <f aca="true">IF(OR(E208="",E208="!!!",F208="NEW"),"",COUNTBLANK(OFFSET(A$1,,,SUMPRODUCT(MAX(ROW(E$2:E208)*(E208=E$2:E208)))))-COUNTBLANK(OFFSET(A$1,,,SUMPRODUCT(MAX(ROW(E$1:E207)*(E2=E$1:E207))))))</f>
        <v/>
      </c>
      <c r="K208" s="25" t="str">
        <f aca="false">IF(OR(E208="",E208="!!!",F208="NEW"),"",INDEX(J$1:J207,SUMPRODUCT(MAX(ROW(E$1:E207)*(E208=E$1:E207)))))</f>
        <v/>
      </c>
      <c r="L208" s="26"/>
    </row>
    <row r="209" customFormat="false" ht="15" hidden="false" customHeight="false" outlineLevel="0" collapsed="false">
      <c r="A209" s="20" t="s">
        <v>237</v>
      </c>
      <c r="E209" s="21" t="str">
        <f aca="false">IF(D209="?OLD","!!!","")</f>
        <v/>
      </c>
      <c r="F209" s="22" t="str">
        <f aca="false">IF(OR(E209="",E209="!!!"),"",IF(NOT(ISNA(VLOOKUP(E209,E$1:E208,1,FALSE()))),"OLD",IF(AND(E209&lt;&gt;"",E209&lt;&gt;"!!!"),"NEW","")))</f>
        <v> </v>
      </c>
      <c r="G209" s="23" t="str">
        <f aca="false">IF(OR(E209="",E209="!!!"),"",IF(OR(J209=0,AND(J209=1,K209=1),AND(J209=1,I209="SBJ"),AND(J209=1,I209=0)),"?IN_FOCUS",IF(J209&lt;=2,"?ACTIVATED",IF(J209&lt;&gt;"","?FAMILIAR",IF(F209="NEW",IF(ISNA(VLOOKUP(E209,#REF!,1,FALSE())),"?TYPE_IDENTIFIABLE","?REFERENTIAL"),"_")))))</f>
        <v/>
      </c>
      <c r="H209" s="24" t="str">
        <f aca="false">IF(J209&lt;&gt;1,"",IF(I209="SBJ","CB","?"))</f>
        <v/>
      </c>
      <c r="I209" s="25" t="str">
        <f aca="false">IF(OR(E209="",E209="!!!",F209="NEW"),"",INDEX(B208:B$2,-1+SUMPRODUCT(MAX(ROW(E208:E$2)*(E209=E208:E$2)))))</f>
        <v> </v>
      </c>
      <c r="J209" s="25" t="str">
        <f aca="true">IF(OR(E209="",E209="!!!",F209="NEW"),"",COUNTBLANK(OFFSET(A$1,,,SUMPRODUCT(MAX(ROW(E$2:E209)*(E209=E$2:E209)))))-COUNTBLANK(OFFSET(A$1,,,SUMPRODUCT(MAX(ROW(E$1:E208)*(E2=E$1:E208))))))</f>
        <v/>
      </c>
      <c r="K209" s="25" t="str">
        <f aca="false">IF(OR(E209="",E209="!!!",F209="NEW"),"",INDEX(J$1:J208,SUMPRODUCT(MAX(ROW(E$1:E208)*(E209=E$1:E208)))))</f>
        <v/>
      </c>
      <c r="L209" s="26"/>
    </row>
    <row r="210" customFormat="false" ht="15" hidden="false" customHeight="false" outlineLevel="0" collapsed="false">
      <c r="A210" s="20" t="s">
        <v>288</v>
      </c>
      <c r="E210" s="21" t="str">
        <f aca="false">IF(D210="?OLD","!!!","")</f>
        <v/>
      </c>
      <c r="F210" s="22" t="str">
        <f aca="false">IF(OR(E210="",E210="!!!"),"",IF(NOT(ISNA(VLOOKUP(E210,E$1:E209,1,FALSE()))),"OLD",IF(AND(E210&lt;&gt;"",E210&lt;&gt;"!!!"),"NEW","")))</f>
        <v> </v>
      </c>
      <c r="G210" s="23" t="str">
        <f aca="false">IF(OR(E210="",E210="!!!"),"",IF(OR(J210=0,AND(J210=1,K210=1),AND(J210=1,I210="SBJ"),AND(J210=1,I210=0)),"?IN_FOCUS",IF(J210&lt;=2,"?ACTIVATED",IF(J210&lt;&gt;"","?FAMILIAR",IF(F210="NEW",IF(ISNA(VLOOKUP(E210,#REF!,1,FALSE())),"?TYPE_IDENTIFIABLE","?REFERENTIAL"),"_")))))</f>
        <v/>
      </c>
      <c r="H210" s="24" t="str">
        <f aca="false">IF(J210&lt;&gt;1,"",IF(I210="SBJ","CB","?"))</f>
        <v/>
      </c>
      <c r="I210" s="25" t="str">
        <f aca="false">IF(OR(E210="",E210="!!!",F210="NEW"),"",INDEX(B209:B$2,-1+SUMPRODUCT(MAX(ROW(E209:E$2)*(E210=E209:E$2)))))</f>
        <v> </v>
      </c>
      <c r="J210" s="25" t="str">
        <f aca="true">IF(OR(E210="",E210="!!!",F210="NEW"),"",COUNTBLANK(OFFSET(A$1,,,SUMPRODUCT(MAX(ROW(E$2:E210)*(E210=E$2:E210)))))-COUNTBLANK(OFFSET(A$1,,,SUMPRODUCT(MAX(ROW(E$1:E209)*(E2=E$1:E209))))))</f>
        <v/>
      </c>
      <c r="K210" s="25" t="str">
        <f aca="false">IF(OR(E210="",E210="!!!",F210="NEW"),"",INDEX(J$1:J209,SUMPRODUCT(MAX(ROW(E$1:E209)*(E210=E$1:E209)))))</f>
        <v/>
      </c>
      <c r="L210" s="26"/>
    </row>
    <row r="211" customFormat="false" ht="15" hidden="false" customHeight="false" outlineLevel="0" collapsed="false">
      <c r="A211" s="20" t="s">
        <v>307</v>
      </c>
      <c r="E211" s="21" t="str">
        <f aca="false">IF(D211="?OLD","!!!","")</f>
        <v/>
      </c>
      <c r="F211" s="22" t="str">
        <f aca="false">IF(OR(E211="",E211="!!!"),"",IF(NOT(ISNA(VLOOKUP(E211,E$1:E210,1,FALSE()))),"OLD",IF(AND(E211&lt;&gt;"",E211&lt;&gt;"!!!"),"NEW","")))</f>
        <v> </v>
      </c>
      <c r="G211" s="23" t="str">
        <f aca="false">IF(OR(E211="",E211="!!!"),"",IF(OR(J211=0,AND(J211=1,K211=1),AND(J211=1,I211="SBJ"),AND(J211=1,I211=0)),"?IN_FOCUS",IF(J211&lt;=2,"?ACTIVATED",IF(J211&lt;&gt;"","?FAMILIAR",IF(F211="NEW",IF(ISNA(VLOOKUP(E211,#REF!,1,FALSE())),"?TYPE_IDENTIFIABLE","?REFERENTIAL"),"_")))))</f>
        <v/>
      </c>
      <c r="H211" s="24" t="str">
        <f aca="false">IF(J211&lt;&gt;1,"",IF(I211="SBJ","CB","?"))</f>
        <v/>
      </c>
      <c r="I211" s="25" t="str">
        <f aca="false">IF(OR(E211="",E211="!!!",F211="NEW"),"",INDEX(B210:B$2,-1+SUMPRODUCT(MAX(ROW(E210:E$2)*(E211=E210:E$2)))))</f>
        <v> </v>
      </c>
      <c r="J211" s="25" t="str">
        <f aca="true">IF(OR(E211="",E211="!!!",F211="NEW"),"",COUNTBLANK(OFFSET(A$1,,,SUMPRODUCT(MAX(ROW(E$2:E211)*(E211=E$2:E211)))))-COUNTBLANK(OFFSET(A$1,,,SUMPRODUCT(MAX(ROW(E$1:E210)*(E2=E$1:E210))))))</f>
        <v/>
      </c>
      <c r="K211" s="25" t="str">
        <f aca="false">IF(OR(E211="",E211="!!!",F211="NEW"),"",INDEX(J$1:J210,SUMPRODUCT(MAX(ROW(E$1:E210)*(E211=E$1:E210)))))</f>
        <v/>
      </c>
      <c r="L211" s="26"/>
    </row>
    <row r="212" customFormat="false" ht="15" hidden="false" customHeight="false" outlineLevel="0" collapsed="false">
      <c r="A212" s="20" t="s">
        <v>308</v>
      </c>
      <c r="E212" s="21" t="str">
        <f aca="false">IF(D212="?OLD","!!!","")</f>
        <v/>
      </c>
      <c r="F212" s="22" t="str">
        <f aca="false">IF(OR(E212="",E212="!!!"),"",IF(NOT(ISNA(VLOOKUP(E212,E$1:E211,1,FALSE()))),"OLD",IF(AND(E212&lt;&gt;"",E212&lt;&gt;"!!!"),"NEW","")))</f>
        <v> </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IF(OR(E212="",E212="!!!",F212="NEW"),"",INDEX(B211:B$2,-1+SUMPRODUCT(MAX(ROW(E211:E$2)*(E212=E211:E$2)))))</f>
        <v> </v>
      </c>
      <c r="J212" s="25" t="str">
        <f aca="true">IF(OR(E212="",E212="!!!",F212="NEW"),"",COUNTBLANK(OFFSET(A$1,,,SUMPRODUCT(MAX(ROW(E$2:E212)*(E212=E$2:E212)))))-COUNTBLANK(OFFSET(A$1,,,SUMPRODUCT(MAX(ROW(E$1:E211)*(E2=E$1:E211))))))</f>
        <v/>
      </c>
      <c r="K212" s="25" t="str">
        <f aca="false">IF(OR(E212="",E212="!!!",F212="NEW"),"",INDEX(J$1:J211,SUMPRODUCT(MAX(ROW(E$1:E211)*(E212=E$1:E211)))))</f>
        <v/>
      </c>
      <c r="L212" s="26"/>
    </row>
    <row r="213" customFormat="false" ht="15" hidden="false" customHeight="false" outlineLevel="0" collapsed="false">
      <c r="A213" s="20" t="s">
        <v>288</v>
      </c>
      <c r="E213" s="21" t="str">
        <f aca="false">IF(D213="?OLD","!!!","")</f>
        <v/>
      </c>
      <c r="F213" s="22" t="str">
        <f aca="false">IF(OR(E213="",E213="!!!"),"",IF(NOT(ISNA(VLOOKUP(E213,E$1:E212,1,FALSE()))),"OLD",IF(AND(E213&lt;&gt;"",E213&lt;&gt;"!!!"),"NEW","")))</f>
        <v> </v>
      </c>
      <c r="G213" s="23" t="str">
        <f aca="false">IF(OR(E213="",E213="!!!"),"",IF(OR(J213=0,AND(J213=1,K213=1),AND(J213=1,I213="SBJ"),AND(J213=1,I213=0)),"?IN_FOCUS",IF(J213&lt;=2,"?ACTIVATED",IF(J213&lt;&gt;"","?FAMILIAR",IF(F213="NEW",IF(ISNA(VLOOKUP(E213,#REF!,1,FALSE())),"?TYPE_IDENTIFIABLE","?REFERENTIAL"),"_")))))</f>
        <v/>
      </c>
      <c r="H213" s="24" t="str">
        <f aca="false">IF(J213&lt;&gt;1,"",IF(I213="SBJ","CB","?"))</f>
        <v/>
      </c>
      <c r="I213" s="25" t="str">
        <f aca="false">IF(OR(E213="",E213="!!!",F213="NEW"),"",INDEX(B212:B$2,-1+SUMPRODUCT(MAX(ROW(E212:E$2)*(E213=E212:E$2)))))</f>
        <v> </v>
      </c>
      <c r="J213" s="25" t="str">
        <f aca="true">IF(OR(E213="",E213="!!!",F213="NEW"),"",COUNTBLANK(OFFSET(A$1,,,SUMPRODUCT(MAX(ROW(E$2:E213)*(E213=E$2:E213)))))-COUNTBLANK(OFFSET(A$1,,,SUMPRODUCT(MAX(ROW(E$1:E212)*(E2=E$1:E212))))))</f>
        <v/>
      </c>
      <c r="K213" s="25" t="str">
        <f aca="false">IF(OR(E213="",E213="!!!",F213="NEW"),"",INDEX(J$1:J212,SUMPRODUCT(MAX(ROW(E$1:E212)*(E213=E$1:E212)))))</f>
        <v/>
      </c>
      <c r="L213" s="26"/>
    </row>
    <row r="214" customFormat="false" ht="15" hidden="false" customHeight="false" outlineLevel="0" collapsed="false">
      <c r="A214" s="20" t="s">
        <v>304</v>
      </c>
      <c r="B214" s="27" t="s">
        <v>240</v>
      </c>
      <c r="C214" s="27" t="s">
        <v>233</v>
      </c>
      <c r="D214" s="27" t="s">
        <v>209</v>
      </c>
      <c r="E214" s="21" t="str">
        <f aca="false">IF(D214="?OLD","!!!","")</f>
        <v>!!!</v>
      </c>
      <c r="F214" s="22" t="str">
        <f aca="false">IF(OR(E214="",E214="!!!"),"",IF(NOT(ISNA(VLOOKUP(E214,E$1:E213,1,FALSE()))),"OLD",IF(AND(E214&lt;&gt;"",E214&lt;&gt;"!!!"),"NEW","")))</f>
        <v>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IF(OR(E214="",E214="!!!",F214="NEW"),"",INDEX(B213:B$2,-1+SUMPRODUCT(MAX(ROW(E213:E$2)*(E214=E213:E$2)))))</f>
        <v> </v>
      </c>
      <c r="J214" s="25" t="str">
        <f aca="true">IF(OR(E214="",E214="!!!",F214="NEW"),"",COUNTBLANK(OFFSET(A$1,,,SUMPRODUCT(MAX(ROW(E$2:E214)*(E214=E$2:E214)))))-COUNTBLANK(OFFSET(A$1,,,SUMPRODUCT(MAX(ROW(E$1:E213)*(E2=E$1:E213))))))</f>
        <v/>
      </c>
      <c r="K214" s="25" t="str">
        <f aca="false">IF(OR(E214="",E214="!!!",F214="NEW"),"",INDEX(J$1:J213,SUMPRODUCT(MAX(ROW(E$1:E213)*(E214=E$1:E213)))))</f>
        <v/>
      </c>
      <c r="L214" s="26"/>
    </row>
    <row r="215" customFormat="false" ht="15" hidden="false" customHeight="false" outlineLevel="0" collapsed="false">
      <c r="A215" s="20" t="s">
        <v>309</v>
      </c>
      <c r="E215" s="21" t="str">
        <f aca="false">IF(D215="?OLD","!!!","")</f>
        <v/>
      </c>
      <c r="F215" s="22" t="str">
        <f aca="false">IF(OR(E215="",E215="!!!"),"",IF(NOT(ISNA(VLOOKUP(E215,E$1:E214,1,FALSE()))),"OLD",IF(AND(E215&lt;&gt;"",E215&lt;&gt;"!!!"),"NEW","")))</f>
        <v>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IF(OR(E215="",E215="!!!",F215="NEW"),"",INDEX(B214:B$2,-1+SUMPRODUCT(MAX(ROW(E214:E$2)*(E215=E214:E$2)))))</f>
        <v> </v>
      </c>
      <c r="J215" s="25" t="str">
        <f aca="true">IF(OR(E215="",E215="!!!",F215="NEW"),"",COUNTBLANK(OFFSET(A$1,,,SUMPRODUCT(MAX(ROW(E$2:E215)*(E215=E$2:E215)))))-COUNTBLANK(OFFSET(A$1,,,SUMPRODUCT(MAX(ROW(E$1:E214)*(E2=E$1:E214))))))</f>
        <v/>
      </c>
      <c r="K215" s="25" t="str">
        <f aca="false">IF(OR(E215="",E215="!!!",F215="NEW"),"",INDEX(J$1:J214,SUMPRODUCT(MAX(ROW(E$1:E214)*(E215=E$1:E214)))))</f>
        <v/>
      </c>
      <c r="L215" s="26"/>
    </row>
    <row r="216" customFormat="false" ht="15" hidden="false" customHeight="false" outlineLevel="0" collapsed="false">
      <c r="A216" s="20" t="s">
        <v>310</v>
      </c>
      <c r="B216" s="27" t="s">
        <v>311</v>
      </c>
      <c r="E216" s="21" t="str">
        <f aca="false">IF(D216="?OLD","!!!","")</f>
        <v/>
      </c>
      <c r="F216" s="22" t="str">
        <f aca="false">IF(OR(E216="",E216="!!!"),"",IF(NOT(ISNA(VLOOKUP(E216,E$1:E215,1,FALSE()))),"OLD",IF(AND(E216&lt;&gt;"",E216&lt;&gt;"!!!"),"NEW","")))</f>
        <v>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IF(OR(E216="",E216="!!!",F216="NEW"),"",INDEX(B215:B$2,-1+SUMPRODUCT(MAX(ROW(E215:E$2)*(E216=E215:E$2)))))</f>
        <v> </v>
      </c>
      <c r="J216" s="25" t="str">
        <f aca="true">IF(OR(E216="",E216="!!!",F216="NEW"),"",COUNTBLANK(OFFSET(A$1,,,SUMPRODUCT(MAX(ROW(E$2:E216)*(E216=E$2:E216)))))-COUNTBLANK(OFFSET(A$1,,,SUMPRODUCT(MAX(ROW(E$1:E215)*(E2=E$1:E215))))))</f>
        <v/>
      </c>
      <c r="K216" s="25" t="str">
        <f aca="false">IF(OR(E216="",E216="!!!",F216="NEW"),"",INDEX(J$1:J215,SUMPRODUCT(MAX(ROW(E$1:E215)*(E216=E$1:E215)))))</f>
        <v/>
      </c>
      <c r="L216" s="26"/>
    </row>
    <row r="217" customFormat="false" ht="15" hidden="false" customHeight="false" outlineLevel="0" collapsed="false">
      <c r="A217" s="20" t="s">
        <v>235</v>
      </c>
      <c r="E217" s="21" t="str">
        <f aca="false">IF(D217="?OLD","!!!","")</f>
        <v/>
      </c>
      <c r="F217" s="22" t="str">
        <f aca="false">IF(OR(E217="",E217="!!!"),"",IF(NOT(ISNA(VLOOKUP(E217,E$1:E216,1,FALSE()))),"OLD",IF(AND(E217&lt;&gt;"",E217&lt;&gt;"!!!"),"NEW","")))</f>
        <v>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IF(OR(E217="",E217="!!!",F217="NEW"),"",INDEX(B216:B$2,-1+SUMPRODUCT(MAX(ROW(E216:E$2)*(E217=E216:E$2)))))</f>
        <v> </v>
      </c>
      <c r="J217" s="25" t="str">
        <f aca="true">IF(OR(E217="",E217="!!!",F217="NEW"),"",COUNTBLANK(OFFSET(A$1,,,SUMPRODUCT(MAX(ROW(E$2:E217)*(E217=E$2:E217)))))-COUNTBLANK(OFFSET(A$1,,,SUMPRODUCT(MAX(ROW(E$1:E216)*(E2=E$1:E216))))))</f>
        <v/>
      </c>
      <c r="K217" s="25" t="str">
        <f aca="false">IF(OR(E217="",E217="!!!",F217="NEW"),"",INDEX(J$1:J216,SUMPRODUCT(MAX(ROW(E$1:E216)*(E217=E$1:E216)))))</f>
        <v/>
      </c>
      <c r="L217" s="26"/>
    </row>
    <row r="218" customFormat="false" ht="15" hidden="false" customHeight="false" outlineLevel="0" collapsed="false">
      <c r="A218" s="20" t="s">
        <v>312</v>
      </c>
      <c r="B218" s="27" t="s">
        <v>248</v>
      </c>
      <c r="C218" s="27" t="s">
        <v>282</v>
      </c>
      <c r="D218" s="27" t="s">
        <v>209</v>
      </c>
      <c r="E218" s="21" t="str">
        <f aca="false">IF(D218="?OLD","!!!","")</f>
        <v>!!!</v>
      </c>
      <c r="F218" s="22" t="str">
        <f aca="false">IF(OR(E218="",E218="!!!"),"",IF(NOT(ISNA(VLOOKUP(E218,E$1:E217,1,FALSE()))),"OLD",IF(AND(E218&lt;&gt;"",E218&lt;&gt;"!!!"),"NEW","")))</f>
        <v> </v>
      </c>
      <c r="G218" s="23" t="str">
        <f aca="false">IF(OR(E218="",E218="!!!"),"",IF(OR(J218=0,AND(J218=1,K218=1),AND(J218=1,I218="SBJ"),AND(J218=1,I218=0)),"?IN_FOCUS",IF(J218&lt;=2,"?ACTIVATED",IF(J218&lt;&gt;"","?FAMILIAR",IF(F218="NEW",IF(ISNA(VLOOKUP(E218,#REF!,1,FALSE())),"?TYPE_IDENTIFIABLE","?REFERENTIAL"),"_")))))</f>
        <v/>
      </c>
      <c r="H218" s="24" t="str">
        <f aca="false">IF(J218&lt;&gt;1,"",IF(I218="SBJ","CB","?"))</f>
        <v/>
      </c>
      <c r="I218" s="25" t="str">
        <f aca="false">IF(OR(E218="",E218="!!!",F218="NEW"),"",INDEX(B217:B$2,-1+SUMPRODUCT(MAX(ROW(E217:E$2)*(E218=E217:E$2)))))</f>
        <v> </v>
      </c>
      <c r="J218" s="25" t="str">
        <f aca="true">IF(OR(E218="",E218="!!!",F218="NEW"),"",COUNTBLANK(OFFSET(A$1,,,SUMPRODUCT(MAX(ROW(E$2:E218)*(E218=E$2:E218)))))-COUNTBLANK(OFFSET(A$1,,,SUMPRODUCT(MAX(ROW(E$1:E217)*(E2=E$1:E217))))))</f>
        <v/>
      </c>
      <c r="K218" s="25" t="str">
        <f aca="false">IF(OR(E218="",E218="!!!",F218="NEW"),"",INDEX(J$1:J217,SUMPRODUCT(MAX(ROW(E$1:E217)*(E218=E$1:E217)))))</f>
        <v/>
      </c>
      <c r="L218" s="26"/>
    </row>
    <row r="219" customFormat="false" ht="15" hidden="false" customHeight="false" outlineLevel="0" collapsed="false">
      <c r="A219" s="20" t="s">
        <v>313</v>
      </c>
      <c r="B219" s="27" t="s">
        <v>220</v>
      </c>
      <c r="C219" s="27" t="s">
        <v>284</v>
      </c>
      <c r="D219" s="27" t="s">
        <v>209</v>
      </c>
      <c r="E219" s="21" t="str">
        <f aca="false">IF(D219="?OLD","!!!","")</f>
        <v>!!!</v>
      </c>
      <c r="F219" s="22" t="str">
        <f aca="false">IF(OR(E219="",E219="!!!"),"",IF(NOT(ISNA(VLOOKUP(E219,E$1:E218,1,FALSE()))),"OLD",IF(AND(E219&lt;&gt;"",E219&lt;&gt;"!!!"),"NEW","")))</f>
        <v>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IF(OR(E219="",E219="!!!",F219="NEW"),"",INDEX(B218:B$2,-1+SUMPRODUCT(MAX(ROW(E218:E$2)*(E219=E218:E$2)))))</f>
        <v> </v>
      </c>
      <c r="J219" s="25" t="str">
        <f aca="true">IF(OR(E219="",E219="!!!",F219="NEW"),"",COUNTBLANK(OFFSET(A$1,,,SUMPRODUCT(MAX(ROW(E$2:E219)*(E219=E$2:E219)))))-COUNTBLANK(OFFSET(A$1,,,SUMPRODUCT(MAX(ROW(E$1:E218)*(E2=E$1:E218))))))</f>
        <v/>
      </c>
      <c r="K219" s="25" t="str">
        <f aca="false">IF(OR(E219="",E219="!!!",F219="NEW"),"",INDEX(J$1:J218,SUMPRODUCT(MAX(ROW(E$1:E218)*(E219=E$1:E218)))))</f>
        <v/>
      </c>
      <c r="L219" s="26"/>
    </row>
    <row r="220" customFormat="false" ht="15" hidden="false" customHeight="false" outlineLevel="0" collapsed="false">
      <c r="A220" s="20" t="s">
        <v>314</v>
      </c>
      <c r="E220" s="21" t="str">
        <f aca="false">IF(D220="?OLD","!!!","")</f>
        <v/>
      </c>
      <c r="F220" s="22" t="str">
        <f aca="false">IF(OR(E220="",E220="!!!"),"",IF(NOT(ISNA(VLOOKUP(E220,E$1:E219,1,FALSE()))),"OLD",IF(AND(E220&lt;&gt;"",E220&lt;&gt;"!!!"),"NEW","")))</f>
        <v>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IF(OR(E220="",E220="!!!",F220="NEW"),"",INDEX(B219:B$2,-1+SUMPRODUCT(MAX(ROW(E219:E$2)*(E220=E219:E$2)))))</f>
        <v> </v>
      </c>
      <c r="J220" s="25" t="str">
        <f aca="true">IF(OR(E220="",E220="!!!",F220="NEW"),"",COUNTBLANK(OFFSET(A$1,,,SUMPRODUCT(MAX(ROW(E$2:E220)*(E220=E$2:E220)))))-COUNTBLANK(OFFSET(A$1,,,SUMPRODUCT(MAX(ROW(E$1:E219)*(E2=E$1:E219))))))</f>
        <v/>
      </c>
      <c r="K220" s="25" t="str">
        <f aca="false">IF(OR(E220="",E220="!!!",F220="NEW"),"",INDEX(J$1:J219,SUMPRODUCT(MAX(ROW(E$1:E219)*(E220=E$1:E219)))))</f>
        <v/>
      </c>
      <c r="L220" s="26"/>
    </row>
    <row r="221" customFormat="false" ht="15" hidden="false" customHeight="false" outlineLevel="0" collapsed="false">
      <c r="A221" s="20" t="s">
        <v>312</v>
      </c>
      <c r="B221" s="27" t="s">
        <v>248</v>
      </c>
      <c r="C221" s="27" t="s">
        <v>233</v>
      </c>
      <c r="D221" s="27" t="s">
        <v>209</v>
      </c>
      <c r="E221" s="21" t="str">
        <f aca="false">IF(D221="?OLD","!!!","")</f>
        <v>!!!</v>
      </c>
      <c r="F221" s="22" t="str">
        <f aca="false">IF(OR(E221="",E221="!!!"),"",IF(NOT(ISNA(VLOOKUP(E221,E$1:E220,1,FALSE()))),"OLD",IF(AND(E221&lt;&gt;"",E221&lt;&gt;"!!!"),"NEW","")))</f>
        <v>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IF(OR(E221="",E221="!!!",F221="NEW"),"",INDEX(B220:B$2,-1+SUMPRODUCT(MAX(ROW(E220:E$2)*(E221=E220:E$2)))))</f>
        <v> </v>
      </c>
      <c r="J221" s="25" t="str">
        <f aca="true">IF(OR(E221="",E221="!!!",F221="NEW"),"",COUNTBLANK(OFFSET(A$1,,,SUMPRODUCT(MAX(ROW(E$2:E221)*(E221=E$2:E221)))))-COUNTBLANK(OFFSET(A$1,,,SUMPRODUCT(MAX(ROW(E$1:E220)*(E2=E$1:E220))))))</f>
        <v/>
      </c>
      <c r="K221" s="25" t="str">
        <f aca="false">IF(OR(E221="",E221="!!!",F221="NEW"),"",INDEX(J$1:J220,SUMPRODUCT(MAX(ROW(E$1:E220)*(E221=E$1:E220)))))</f>
        <v/>
      </c>
      <c r="L221" s="26"/>
    </row>
    <row r="222" customFormat="false" ht="15" hidden="false" customHeight="false" outlineLevel="0" collapsed="false">
      <c r="A222" s="20" t="s">
        <v>237</v>
      </c>
      <c r="E222" s="21" t="str">
        <f aca="false">IF(D222="?OLD","!!!","")</f>
        <v/>
      </c>
      <c r="F222" s="22" t="str">
        <f aca="false">IF(OR(E222="",E222="!!!"),"",IF(NOT(ISNA(VLOOKUP(E222,E$1:E221,1,FALSE()))),"OLD",IF(AND(E222&lt;&gt;"",E222&lt;&gt;"!!!"),"NEW","")))</f>
        <v>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IF(OR(E222="",E222="!!!",F222="NEW"),"",INDEX(B221:B$2,-1+SUMPRODUCT(MAX(ROW(E221:E$2)*(E222=E221:E$2)))))</f>
        <v> </v>
      </c>
      <c r="J222" s="25" t="str">
        <f aca="true">IF(OR(E222="",E222="!!!",F222="NEW"),"",COUNTBLANK(OFFSET(A$1,,,SUMPRODUCT(MAX(ROW(E$2:E222)*(E222=E$2:E222)))))-COUNTBLANK(OFFSET(A$1,,,SUMPRODUCT(MAX(ROW(E$1:E221)*(E2=E$1:E221))))))</f>
        <v/>
      </c>
      <c r="K222" s="25" t="str">
        <f aca="false">IF(OR(E222="",E222="!!!",F222="NEW"),"",INDEX(J$1:J221,SUMPRODUCT(MAX(ROW(E$1:E221)*(E222=E$1:E221)))))</f>
        <v/>
      </c>
      <c r="L222" s="26"/>
    </row>
    <row r="223" customFormat="false" ht="15" hidden="false" customHeight="false" outlineLevel="0" collapsed="false">
      <c r="A223" s="20" t="s">
        <v>288</v>
      </c>
      <c r="E223" s="21" t="str">
        <f aca="false">IF(D223="?OLD","!!!","")</f>
        <v/>
      </c>
      <c r="F223" s="22" t="str">
        <f aca="false">IF(OR(E223="",E223="!!!"),"",IF(NOT(ISNA(VLOOKUP(E223,E$1:E222,1,FALSE()))),"OLD",IF(AND(E223&lt;&gt;"",E223&lt;&gt;"!!!"),"NEW","")))</f>
        <v>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IF(OR(E223="",E223="!!!",F223="NEW"),"",INDEX(B222:B$2,-1+SUMPRODUCT(MAX(ROW(E222:E$2)*(E223=E222:E$2)))))</f>
        <v> </v>
      </c>
      <c r="J223" s="25" t="str">
        <f aca="true">IF(OR(E223="",E223="!!!",F223="NEW"),"",COUNTBLANK(OFFSET(A$1,,,SUMPRODUCT(MAX(ROW(E$2:E223)*(E223=E$2:E223)))))-COUNTBLANK(OFFSET(A$1,,,SUMPRODUCT(MAX(ROW(E$1:E222)*(E2=E$1:E222))))))</f>
        <v/>
      </c>
      <c r="K223" s="25" t="str">
        <f aca="false">IF(OR(E223="",E223="!!!",F223="NEW"),"",INDEX(J$1:J222,SUMPRODUCT(MAX(ROW(E$1:E222)*(E223=E$1:E222)))))</f>
        <v/>
      </c>
      <c r="L223" s="26"/>
    </row>
    <row r="224" customFormat="false" ht="15" hidden="false" customHeight="false" outlineLevel="0" collapsed="false">
      <c r="A224" s="20" t="s">
        <v>315</v>
      </c>
      <c r="B224" s="27" t="s">
        <v>240</v>
      </c>
      <c r="C224" s="27" t="s">
        <v>233</v>
      </c>
      <c r="D224" s="27" t="s">
        <v>209</v>
      </c>
      <c r="E224" s="21" t="str">
        <f aca="false">IF(D224="?OLD","!!!","")</f>
        <v>!!!</v>
      </c>
      <c r="F224" s="22" t="str">
        <f aca="false">IF(OR(E224="",E224="!!!"),"",IF(NOT(ISNA(VLOOKUP(E224,E$1:E223,1,FALSE()))),"OLD",IF(AND(E224&lt;&gt;"",E224&lt;&gt;"!!!"),"NEW","")))</f>
        <v> </v>
      </c>
      <c r="G224" s="23" t="str">
        <f aca="false">IF(OR(E224="",E224="!!!"),"",IF(OR(J224=0,AND(J224=1,K224=1),AND(J224=1,I224="SBJ"),AND(J224=1,I224=0)),"?IN_FOCUS",IF(J224&lt;=2,"?ACTIVATED",IF(J224&lt;&gt;"","?FAMILIAR",IF(F224="NEW",IF(ISNA(VLOOKUP(E224,#REF!,1,FALSE())),"?TYPE_IDENTIFIABLE","?REFERENTIAL"),"_")))))</f>
        <v/>
      </c>
      <c r="H224" s="24" t="str">
        <f aca="false">IF(J224&lt;&gt;1,"",IF(I224="SBJ","CB","?"))</f>
        <v/>
      </c>
      <c r="I224" s="25" t="str">
        <f aca="false">IF(OR(E224="",E224="!!!",F224="NEW"),"",INDEX(B223:B$2,-1+SUMPRODUCT(MAX(ROW(E223:E$2)*(E224=E223:E$2)))))</f>
        <v> </v>
      </c>
      <c r="J224" s="25" t="str">
        <f aca="true">IF(OR(E224="",E224="!!!",F224="NEW"),"",COUNTBLANK(OFFSET(A$1,,,SUMPRODUCT(MAX(ROW(E$2:E224)*(E224=E$2:E224)))))-COUNTBLANK(OFFSET(A$1,,,SUMPRODUCT(MAX(ROW(E$1:E223)*(E2=E$1:E223))))))</f>
        <v/>
      </c>
      <c r="K224" s="25" t="str">
        <f aca="false">IF(OR(E224="",E224="!!!",F224="NEW"),"",INDEX(J$1:J223,SUMPRODUCT(MAX(ROW(E$1:E223)*(E224=E$1:E223)))))</f>
        <v/>
      </c>
      <c r="L224" s="26"/>
    </row>
    <row r="225" customFormat="false" ht="15" hidden="false" customHeight="false" outlineLevel="0" collapsed="false">
      <c r="A225" s="20" t="s">
        <v>307</v>
      </c>
      <c r="E225" s="21" t="str">
        <f aca="false">IF(D225="?OLD","!!!","")</f>
        <v/>
      </c>
      <c r="F225" s="22" t="str">
        <f aca="false">IF(OR(E225="",E225="!!!"),"",IF(NOT(ISNA(VLOOKUP(E225,E$1:E224,1,FALSE()))),"OLD",IF(AND(E225&lt;&gt;"",E225&lt;&gt;"!!!"),"NEW","")))</f>
        <v>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IF(OR(E225="",E225="!!!",F225="NEW"),"",INDEX(B224:B$2,-1+SUMPRODUCT(MAX(ROW(E224:E$2)*(E225=E224:E$2)))))</f>
        <v> </v>
      </c>
      <c r="J225" s="25" t="str">
        <f aca="true">IF(OR(E225="",E225="!!!",F225="NEW"),"",COUNTBLANK(OFFSET(A$1,,,SUMPRODUCT(MAX(ROW(E$2:E225)*(E225=E$2:E225)))))-COUNTBLANK(OFFSET(A$1,,,SUMPRODUCT(MAX(ROW(E$1:E224)*(E2=E$1:E224))))))</f>
        <v/>
      </c>
      <c r="K225" s="25" t="str">
        <f aca="false">IF(OR(E225="",E225="!!!",F225="NEW"),"",INDEX(J$1:J224,SUMPRODUCT(MAX(ROW(E$1:E224)*(E225=E$1:E224)))))</f>
        <v/>
      </c>
      <c r="L225" s="26"/>
    </row>
    <row r="226" customFormat="false" ht="15" hidden="false" customHeight="false" outlineLevel="0" collapsed="false">
      <c r="A226" s="20" t="s">
        <v>229</v>
      </c>
      <c r="E226" s="21" t="str">
        <f aca="false">IF(D226="?OLD","!!!","")</f>
        <v/>
      </c>
      <c r="F226" s="22" t="str">
        <f aca="false">IF(OR(E226="",E226="!!!"),"",IF(NOT(ISNA(VLOOKUP(E226,E$1:E225,1,FALSE()))),"OLD",IF(AND(E226&lt;&gt;"",E226&lt;&gt;"!!!"),"NEW","")))</f>
        <v>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IF(OR(E226="",E226="!!!",F226="NEW"),"",INDEX(B225:B$2,-1+SUMPRODUCT(MAX(ROW(E225:E$2)*(E226=E225:E$2)))))</f>
        <v> </v>
      </c>
      <c r="J226" s="25" t="str">
        <f aca="true">IF(OR(E226="",E226="!!!",F226="NEW"),"",COUNTBLANK(OFFSET(A$1,,,SUMPRODUCT(MAX(ROW(E$2:E226)*(E226=E$2:E226)))))-COUNTBLANK(OFFSET(A$1,,,SUMPRODUCT(MAX(ROW(E$1:E225)*(E2=E$1:E225))))))</f>
        <v/>
      </c>
      <c r="K226" s="25" t="str">
        <f aca="false">IF(OR(E226="",E226="!!!",F226="NEW"),"",INDEX(J$1:J225,SUMPRODUCT(MAX(ROW(E$1:E225)*(E226=E$1:E225)))))</f>
        <v/>
      </c>
      <c r="L226" s="26"/>
    </row>
    <row r="227" customFormat="false" ht="15" hidden="false" customHeight="false" outlineLevel="0" collapsed="false">
      <c r="A227" s="20"/>
    </row>
    <row r="228" customFormat="false" ht="15" hidden="false" customHeight="false" outlineLevel="0" collapsed="false">
      <c r="A228" s="20" t="s">
        <v>316</v>
      </c>
    </row>
    <row r="229" customFormat="false" ht="15" hidden="false" customHeight="false" outlineLevel="0" collapsed="false">
      <c r="A229" s="20" t="s">
        <v>253</v>
      </c>
      <c r="E229" s="21" t="str">
        <f aca="false">IF(D229="?OLD","!!!","")</f>
        <v/>
      </c>
      <c r="F229" s="22" t="str">
        <f aca="false">IF(OR(E229="",E229="!!!"),"",IF(NOT(ISNA(VLOOKUP(E229,E$1:E228,1,FALSE()))),"OLD",IF(AND(E229&lt;&gt;"",E229&lt;&gt;"!!!"),"NEW","")))</f>
        <v>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IF(OR(E229="",E229="!!!",F229="NEW"),"",INDEX(B228:B$2,-1+SUMPRODUCT(MAX(ROW(E228:E$2)*(E229=E228:E$2)))))</f>
        <v> </v>
      </c>
      <c r="J229" s="25" t="str">
        <f aca="true">IF(OR(E229="",E229="!!!",F229="NEW"),"",COUNTBLANK(OFFSET(A$1,,,SUMPRODUCT(MAX(ROW(E$2:E229)*(E229=E$2:E229)))))-COUNTBLANK(OFFSET(A$1,,,SUMPRODUCT(MAX(ROW(E$1:E228)*(E2=E$1:E228))))))</f>
        <v/>
      </c>
      <c r="K229" s="25" t="str">
        <f aca="false">IF(OR(E229="",E229="!!!",F229="NEW"),"",INDEX(J$1:J228,SUMPRODUCT(MAX(ROW(E$1:E228)*(E229=E$1:E228)))))</f>
        <v/>
      </c>
      <c r="L229" s="26"/>
    </row>
    <row r="230" customFormat="false" ht="15" hidden="false" customHeight="false" outlineLevel="0" collapsed="false">
      <c r="A230" s="20" t="s">
        <v>283</v>
      </c>
      <c r="B230" s="27" t="s">
        <v>207</v>
      </c>
      <c r="C230" s="27" t="s">
        <v>317</v>
      </c>
      <c r="D230" s="27" t="s">
        <v>209</v>
      </c>
      <c r="E230" s="21" t="str">
        <f aca="false">IF(D230="?OLD","!!!","")</f>
        <v>!!!</v>
      </c>
      <c r="F230" s="22" t="str">
        <f aca="false">IF(OR(E230="",E230="!!!"),"",IF(NOT(ISNA(VLOOKUP(E230,E$1:E229,1,FALSE()))),"OLD",IF(AND(E230&lt;&gt;"",E230&lt;&gt;"!!!"),"NEW","")))</f>
        <v>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IF(OR(E230="",E230="!!!",F230="NEW"),"",INDEX(B229:B$2,-1+SUMPRODUCT(MAX(ROW(E229:E$2)*(E230=E229:E$2)))))</f>
        <v> </v>
      </c>
      <c r="J230" s="25" t="str">
        <f aca="true">IF(OR(E230="",E230="!!!",F230="NEW"),"",COUNTBLANK(OFFSET(A$1,,,SUMPRODUCT(MAX(ROW(E$2:E230)*(E230=E$2:E230)))))-COUNTBLANK(OFFSET(A$1,,,SUMPRODUCT(MAX(ROW(E$1:E229)*(E2=E$1:E229))))))</f>
        <v/>
      </c>
      <c r="K230" s="25" t="str">
        <f aca="false">IF(OR(E230="",E230="!!!",F230="NEW"),"",INDEX(J$1:J229,SUMPRODUCT(MAX(ROW(E$1:E229)*(E230=E$1:E229)))))</f>
        <v/>
      </c>
      <c r="L230" s="26"/>
    </row>
    <row r="231" customFormat="false" ht="15" hidden="false" customHeight="false" outlineLevel="0" collapsed="false">
      <c r="A231" s="20" t="s">
        <v>218</v>
      </c>
      <c r="E231" s="21" t="str">
        <f aca="false">IF(D231="?OLD","!!!","")</f>
        <v/>
      </c>
      <c r="F231" s="22" t="str">
        <f aca="false">IF(OR(E231="",E231="!!!"),"",IF(NOT(ISNA(VLOOKUP(E231,E$1:E230,1,FALSE()))),"OLD",IF(AND(E231&lt;&gt;"",E231&lt;&gt;"!!!"),"NEW","")))</f>
        <v>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IF(OR(E231="",E231="!!!",F231="NEW"),"",INDEX(B230:B$2,-1+SUMPRODUCT(MAX(ROW(E230:E$2)*(E231=E230:E$2)))))</f>
        <v> </v>
      </c>
      <c r="J231" s="25" t="str">
        <f aca="true">IF(OR(E231="",E231="!!!",F231="NEW"),"",COUNTBLANK(OFFSET(A$1,,,SUMPRODUCT(MAX(ROW(E$2:E231)*(E231=E$2:E231)))))-COUNTBLANK(OFFSET(A$1,,,SUMPRODUCT(MAX(ROW(E$1:E230)*(E2=E$1:E230))))))</f>
        <v/>
      </c>
      <c r="K231" s="25" t="str">
        <f aca="false">IF(OR(E231="",E231="!!!",F231="NEW"),"",INDEX(J$1:J230,SUMPRODUCT(MAX(ROW(E$1:E230)*(E231=E$1:E230)))))</f>
        <v/>
      </c>
      <c r="L231" s="26"/>
    </row>
    <row r="232" customFormat="false" ht="15" hidden="false" customHeight="false" outlineLevel="0" collapsed="false">
      <c r="A232" s="20" t="s">
        <v>318</v>
      </c>
      <c r="B232" s="27" t="s">
        <v>220</v>
      </c>
      <c r="C232" s="27" t="s">
        <v>284</v>
      </c>
      <c r="D232" s="27" t="s">
        <v>209</v>
      </c>
      <c r="E232" s="21" t="str">
        <f aca="false">IF(D232="?OLD","!!!","")</f>
        <v>!!!</v>
      </c>
      <c r="F232" s="22" t="str">
        <f aca="false">IF(OR(E232="",E232="!!!"),"",IF(NOT(ISNA(VLOOKUP(E232,E$1:E231,1,FALSE()))),"OLD",IF(AND(E232&lt;&gt;"",E232&lt;&gt;"!!!"),"NEW","")))</f>
        <v> </v>
      </c>
      <c r="G232" s="23" t="str">
        <f aca="false">IF(OR(E232="",E232="!!!"),"",IF(OR(J232=0,AND(J232=1,K232=1),AND(J232=1,I232="SBJ"),AND(J232=1,I232=0)),"?IN_FOCUS",IF(J232&lt;=2,"?ACTIVATED",IF(J232&lt;&gt;"","?FAMILIAR",IF(F232="NEW",IF(ISNA(VLOOKUP(E232,#REF!,1,FALSE())),"?TYPE_IDENTIFIABLE","?REFERENTIAL"),"_")))))</f>
        <v/>
      </c>
      <c r="H232" s="24" t="str">
        <f aca="false">IF(J232&lt;&gt;1,"",IF(I232="SBJ","CB","?"))</f>
        <v/>
      </c>
      <c r="I232" s="25" t="str">
        <f aca="false">IF(OR(E232="",E232="!!!",F232="NEW"),"",INDEX(B231:B$2,-1+SUMPRODUCT(MAX(ROW(E231:E$2)*(E232=E231:E$2)))))</f>
        <v> </v>
      </c>
      <c r="J232" s="25" t="str">
        <f aca="true">IF(OR(E232="",E232="!!!",F232="NEW"),"",COUNTBLANK(OFFSET(A$1,,,SUMPRODUCT(MAX(ROW(E$2:E232)*(E232=E$2:E232)))))-COUNTBLANK(OFFSET(A$1,,,SUMPRODUCT(MAX(ROW(E$1:E231)*(E2=E$1:E231))))))</f>
        <v/>
      </c>
      <c r="K232" s="25" t="str">
        <f aca="false">IF(OR(E232="",E232="!!!",F232="NEW"),"",INDEX(J$1:J231,SUMPRODUCT(MAX(ROW(E$1:E231)*(E232=E$1:E231)))))</f>
        <v/>
      </c>
      <c r="L232" s="26"/>
    </row>
    <row r="233" customFormat="false" ht="15" hidden="false" customHeight="false" outlineLevel="0" collapsed="false">
      <c r="A233" s="20" t="s">
        <v>218</v>
      </c>
      <c r="E233" s="21" t="str">
        <f aca="false">IF(D233="?OLD","!!!","")</f>
        <v/>
      </c>
      <c r="F233" s="22" t="str">
        <f aca="false">IF(OR(E233="",E233="!!!"),"",IF(NOT(ISNA(VLOOKUP(E233,E$1:E232,1,FALSE()))),"OLD",IF(AND(E233&lt;&gt;"",E233&lt;&gt;"!!!"),"NEW","")))</f>
        <v> </v>
      </c>
      <c r="G233" s="23" t="str">
        <f aca="false">IF(OR(E233="",E233="!!!"),"",IF(OR(J233=0,AND(J233=1,K233=1),AND(J233=1,I233="SBJ"),AND(J233=1,I233=0)),"?IN_FOCUS",IF(J233&lt;=2,"?ACTIVATED",IF(J233&lt;&gt;"","?FAMILIAR",IF(F233="NEW",IF(ISNA(VLOOKUP(E233,#REF!,1,FALSE())),"?TYPE_IDENTIFIABLE","?REFERENTIAL"),"_")))))</f>
        <v/>
      </c>
      <c r="H233" s="24" t="str">
        <f aca="false">IF(J233&lt;&gt;1,"",IF(I233="SBJ","CB","?"))</f>
        <v/>
      </c>
      <c r="I233" s="25" t="str">
        <f aca="false">IF(OR(E233="",E233="!!!",F233="NEW"),"",INDEX(B232:B$2,-1+SUMPRODUCT(MAX(ROW(E232:E$2)*(E233=E232:E$2)))))</f>
        <v> </v>
      </c>
      <c r="J233" s="25" t="str">
        <f aca="true">IF(OR(E233="",E233="!!!",F233="NEW"),"",COUNTBLANK(OFFSET(A$1,,,SUMPRODUCT(MAX(ROW(E$2:E233)*(E233=E$2:E233)))))-COUNTBLANK(OFFSET(A$1,,,SUMPRODUCT(MAX(ROW(E$1:E232)*(E2=E$1:E232))))))</f>
        <v/>
      </c>
      <c r="K233" s="25" t="str">
        <f aca="false">IF(OR(E233="",E233="!!!",F233="NEW"),"",INDEX(J$1:J232,SUMPRODUCT(MAX(ROW(E$1:E232)*(E233=E$1:E232)))))</f>
        <v/>
      </c>
      <c r="L233" s="26"/>
    </row>
    <row r="234" customFormat="false" ht="15" hidden="false" customHeight="false" outlineLevel="0" collapsed="false">
      <c r="A234" s="20" t="s">
        <v>319</v>
      </c>
      <c r="B234" s="27" t="s">
        <v>248</v>
      </c>
      <c r="C234" s="27" t="s">
        <v>233</v>
      </c>
      <c r="D234" s="27" t="s">
        <v>209</v>
      </c>
      <c r="E234" s="21" t="str">
        <f aca="false">IF(D234="?OLD","!!!","")</f>
        <v>!!!</v>
      </c>
      <c r="F234" s="22" t="str">
        <f aca="false">IF(OR(E234="",E234="!!!"),"",IF(NOT(ISNA(VLOOKUP(E234,E$1:E233,1,FALSE()))),"OLD",IF(AND(E234&lt;&gt;"",E234&lt;&gt;"!!!"),"NEW","")))</f>
        <v> </v>
      </c>
      <c r="G234" s="23" t="str">
        <f aca="false">IF(OR(E234="",E234="!!!"),"",IF(OR(J234=0,AND(J234=1,K234=1),AND(J234=1,I234="SBJ"),AND(J234=1,I234=0)),"?IN_FOCUS",IF(J234&lt;=2,"?ACTIVATED",IF(J234&lt;&gt;"","?FAMILIAR",IF(F234="NEW",IF(ISNA(VLOOKUP(E234,#REF!,1,FALSE())),"?TYPE_IDENTIFIABLE","?REFERENTIAL"),"_")))))</f>
        <v/>
      </c>
      <c r="H234" s="24" t="str">
        <f aca="false">IF(J234&lt;&gt;1,"",IF(I234="SBJ","CB","?"))</f>
        <v/>
      </c>
      <c r="I234" s="25" t="str">
        <f aca="false">IF(OR(E234="",E234="!!!",F234="NEW"),"",INDEX(B233:B$2,-1+SUMPRODUCT(MAX(ROW(E233:E$2)*(E234=E233:E$2)))))</f>
        <v> </v>
      </c>
      <c r="J234" s="25" t="str">
        <f aca="true">IF(OR(E234="",E234="!!!",F234="NEW"),"",COUNTBLANK(OFFSET(A$1,,,SUMPRODUCT(MAX(ROW(E$2:E234)*(E234=E$2:E234)))))-COUNTBLANK(OFFSET(A$1,,,SUMPRODUCT(MAX(ROW(E$1:E233)*(E2=E$1:E233))))))</f>
        <v/>
      </c>
      <c r="K234" s="25" t="str">
        <f aca="false">IF(OR(E234="",E234="!!!",F234="NEW"),"",INDEX(J$1:J233,SUMPRODUCT(MAX(ROW(E$1:E233)*(E234=E$1:E233)))))</f>
        <v/>
      </c>
      <c r="L234" s="26"/>
    </row>
    <row r="235" customFormat="false" ht="15" hidden="false" customHeight="false" outlineLevel="0" collapsed="false">
      <c r="A235" s="20" t="s">
        <v>320</v>
      </c>
      <c r="E235" s="21" t="str">
        <f aca="false">IF(D235="?OLD","!!!","")</f>
        <v/>
      </c>
      <c r="F235" s="22" t="str">
        <f aca="false">IF(OR(E235="",E235="!!!"),"",IF(NOT(ISNA(VLOOKUP(E235,E$1:E234,1,FALSE()))),"OLD",IF(AND(E235&lt;&gt;"",E235&lt;&gt;"!!!"),"NEW","")))</f>
        <v>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IF(OR(E235="",E235="!!!",F235="NEW"),"",INDEX(B234:B$2,-1+SUMPRODUCT(MAX(ROW(E234:E$2)*(E235=E234:E$2)))))</f>
        <v> </v>
      </c>
      <c r="J235" s="25" t="str">
        <f aca="true">IF(OR(E235="",E235="!!!",F235="NEW"),"",COUNTBLANK(OFFSET(A$1,,,SUMPRODUCT(MAX(ROW(E$2:E235)*(E235=E$2:E235)))))-COUNTBLANK(OFFSET(A$1,,,SUMPRODUCT(MAX(ROW(E$1:E234)*(E2=E$1:E234))))))</f>
        <v/>
      </c>
      <c r="K235" s="25" t="str">
        <f aca="false">IF(OR(E235="",E235="!!!",F235="NEW"),"",INDEX(J$1:J234,SUMPRODUCT(MAX(ROW(E$1:E234)*(E235=E$1:E234)))))</f>
        <v/>
      </c>
      <c r="L235" s="26"/>
    </row>
    <row r="236" customFormat="false" ht="15" hidden="false" customHeight="false" outlineLevel="0" collapsed="false">
      <c r="A236" s="20" t="s">
        <v>287</v>
      </c>
      <c r="E236" s="21" t="str">
        <f aca="false">IF(D236="?OLD","!!!","")</f>
        <v/>
      </c>
      <c r="F236" s="22" t="str">
        <f aca="false">IF(OR(E236="",E236="!!!"),"",IF(NOT(ISNA(VLOOKUP(E236,E$1:E235,1,FALSE()))),"OLD",IF(AND(E236&lt;&gt;"",E236&lt;&gt;"!!!"),"NEW","")))</f>
        <v>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IF(OR(E236="",E236="!!!",F236="NEW"),"",INDEX(B235:B$2,-1+SUMPRODUCT(MAX(ROW(E235:E$2)*(E236=E235:E$2)))))</f>
        <v> </v>
      </c>
      <c r="J236" s="25" t="str">
        <f aca="true">IF(OR(E236="",E236="!!!",F236="NEW"),"",COUNTBLANK(OFFSET(A$1,,,SUMPRODUCT(MAX(ROW(E$2:E236)*(E236=E$2:E236)))))-COUNTBLANK(OFFSET(A$1,,,SUMPRODUCT(MAX(ROW(E$1:E235)*(E2=E$1:E235))))))</f>
        <v/>
      </c>
      <c r="K236" s="25" t="str">
        <f aca="false">IF(OR(E236="",E236="!!!",F236="NEW"),"",INDEX(J$1:J235,SUMPRODUCT(MAX(ROW(E$1:E235)*(E236=E$1:E235)))))</f>
        <v/>
      </c>
      <c r="L236" s="26"/>
    </row>
    <row r="237" customFormat="false" ht="15" hidden="false" customHeight="false" outlineLevel="0" collapsed="false">
      <c r="A237" s="20" t="s">
        <v>237</v>
      </c>
      <c r="E237" s="21" t="str">
        <f aca="false">IF(D237="?OLD","!!!","")</f>
        <v/>
      </c>
      <c r="F237" s="22" t="str">
        <f aca="false">IF(OR(E237="",E237="!!!"),"",IF(NOT(ISNA(VLOOKUP(E237,E$1:E236,1,FALSE()))),"OLD",IF(AND(E237&lt;&gt;"",E237&lt;&gt;"!!!"),"NEW","")))</f>
        <v>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IF(OR(E237="",E237="!!!",F237="NEW"),"",INDEX(B236:B$2,-1+SUMPRODUCT(MAX(ROW(E236:E$2)*(E237=E236:E$2)))))</f>
        <v> </v>
      </c>
      <c r="J237" s="25" t="str">
        <f aca="true">IF(OR(E237="",E237="!!!",F237="NEW"),"",COUNTBLANK(OFFSET(A$1,,,SUMPRODUCT(MAX(ROW(E$2:E237)*(E237=E$2:E237)))))-COUNTBLANK(OFFSET(A$1,,,SUMPRODUCT(MAX(ROW(E$1:E236)*(E2=E$1:E236))))))</f>
        <v/>
      </c>
      <c r="K237" s="25" t="str">
        <f aca="false">IF(OR(E237="",E237="!!!",F237="NEW"),"",INDEX(J$1:J236,SUMPRODUCT(MAX(ROW(E$1:E236)*(E237=E$1:E236)))))</f>
        <v/>
      </c>
      <c r="L237" s="26"/>
    </row>
    <row r="238" customFormat="false" ht="15" hidden="false" customHeight="false" outlineLevel="0" collapsed="false">
      <c r="A238" s="20" t="s">
        <v>288</v>
      </c>
      <c r="E238" s="21" t="str">
        <f aca="false">IF(D238="?OLD","!!!","")</f>
        <v/>
      </c>
      <c r="F238" s="22" t="str">
        <f aca="false">IF(OR(E238="",E238="!!!"),"",IF(NOT(ISNA(VLOOKUP(E238,E$1:E237,1,FALSE()))),"OLD",IF(AND(E238&lt;&gt;"",E238&lt;&gt;"!!!"),"NEW","")))</f>
        <v>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IF(OR(E238="",E238="!!!",F238="NEW"),"",INDEX(B237:B$2,-1+SUMPRODUCT(MAX(ROW(E237:E$2)*(E238=E237:E$2)))))</f>
        <v> </v>
      </c>
      <c r="J238" s="25" t="str">
        <f aca="true">IF(OR(E238="",E238="!!!",F238="NEW"),"",COUNTBLANK(OFFSET(A$1,,,SUMPRODUCT(MAX(ROW(E$2:E238)*(E238=E$2:E238)))))-COUNTBLANK(OFFSET(A$1,,,SUMPRODUCT(MAX(ROW(E$1:E237)*(E2=E$1:E237))))))</f>
        <v/>
      </c>
      <c r="K238" s="25" t="str">
        <f aca="false">IF(OR(E238="",E238="!!!",F238="NEW"),"",INDEX(J$1:J237,SUMPRODUCT(MAX(ROW(E$1:E237)*(E238=E$1:E237)))))</f>
        <v/>
      </c>
      <c r="L238" s="26"/>
    </row>
    <row r="239" customFormat="false" ht="15" hidden="false" customHeight="false" outlineLevel="0" collapsed="false">
      <c r="A239" s="20" t="s">
        <v>321</v>
      </c>
      <c r="B239" s="27" t="s">
        <v>240</v>
      </c>
      <c r="C239" s="27" t="s">
        <v>233</v>
      </c>
      <c r="D239" s="27" t="s">
        <v>209</v>
      </c>
      <c r="E239" s="21" t="str">
        <f aca="false">IF(D239="?OLD","!!!","")</f>
        <v>!!!</v>
      </c>
      <c r="F239" s="22" t="str">
        <f aca="false">IF(OR(E239="",E239="!!!"),"",IF(NOT(ISNA(VLOOKUP(E239,E$1:E238,1,FALSE()))),"OLD",IF(AND(E239&lt;&gt;"",E239&lt;&gt;"!!!"),"NEW","")))</f>
        <v>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IF(OR(E239="",E239="!!!",F239="NEW"),"",INDEX(B238:B$2,-1+SUMPRODUCT(MAX(ROW(E238:E$2)*(E239=E238:E$2)))))</f>
        <v> </v>
      </c>
      <c r="J239" s="25" t="str">
        <f aca="true">IF(OR(E239="",E239="!!!",F239="NEW"),"",COUNTBLANK(OFFSET(A$1,,,SUMPRODUCT(MAX(ROW(E$2:E239)*(E239=E$2:E239)))))-COUNTBLANK(OFFSET(A$1,,,SUMPRODUCT(MAX(ROW(E$1:E238)*(E2=E$1:E238))))))</f>
        <v/>
      </c>
      <c r="K239" s="25" t="str">
        <f aca="false">IF(OR(E239="",E239="!!!",F239="NEW"),"",INDEX(J$1:J238,SUMPRODUCT(MAX(ROW(E$1:E238)*(E239=E$1:E238)))))</f>
        <v/>
      </c>
      <c r="L239" s="26"/>
    </row>
    <row r="240" customFormat="false" ht="15" hidden="false" customHeight="false" outlineLevel="0" collapsed="false">
      <c r="A240" s="20" t="s">
        <v>322</v>
      </c>
      <c r="E240" s="21" t="str">
        <f aca="false">IF(D240="?OLD","!!!","")</f>
        <v/>
      </c>
      <c r="F240" s="22" t="str">
        <f aca="false">IF(OR(E240="",E240="!!!"),"",IF(NOT(ISNA(VLOOKUP(E240,E$1:E239,1,FALSE()))),"OLD",IF(AND(E240&lt;&gt;"",E240&lt;&gt;"!!!"),"NEW","")))</f>
        <v>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IF(OR(E240="",E240="!!!",F240="NEW"),"",INDEX(B239:B$2,-1+SUMPRODUCT(MAX(ROW(E239:E$2)*(E240=E239:E$2)))))</f>
        <v> </v>
      </c>
      <c r="J240" s="25" t="str">
        <f aca="true">IF(OR(E240="",E240="!!!",F240="NEW"),"",COUNTBLANK(OFFSET(A$1,,,SUMPRODUCT(MAX(ROW(E$2:E240)*(E240=E$2:E240)))))-COUNTBLANK(OFFSET(A$1,,,SUMPRODUCT(MAX(ROW(E$1:E239)*(E2=E$1:E239))))))</f>
        <v/>
      </c>
      <c r="K240" s="25" t="str">
        <f aca="false">IF(OR(E240="",E240="!!!",F240="NEW"),"",INDEX(J$1:J239,SUMPRODUCT(MAX(ROW(E$1:E239)*(E240=E$1:E239)))))</f>
        <v/>
      </c>
      <c r="L240" s="26"/>
    </row>
    <row r="241" customFormat="false" ht="15" hidden="false" customHeight="false" outlineLevel="0" collapsed="false">
      <c r="A241" s="20" t="s">
        <v>277</v>
      </c>
      <c r="E241" s="21" t="str">
        <f aca="false">IF(D241="?OLD","!!!","")</f>
        <v/>
      </c>
      <c r="F241" s="22" t="str">
        <f aca="false">IF(OR(E241="",E241="!!!"),"",IF(NOT(ISNA(VLOOKUP(E241,E$1:E240,1,FALSE()))),"OLD",IF(AND(E241&lt;&gt;"",E241&lt;&gt;"!!!"),"NEW","")))</f>
        <v>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IF(OR(E241="",E241="!!!",F241="NEW"),"",INDEX(B240:B$2,-1+SUMPRODUCT(MAX(ROW(E240:E$2)*(E241=E240:E$2)))))</f>
        <v> </v>
      </c>
      <c r="J241" s="25" t="str">
        <f aca="true">IF(OR(E241="",E241="!!!",F241="NEW"),"",COUNTBLANK(OFFSET(A$1,,,SUMPRODUCT(MAX(ROW(E$2:E241)*(E241=E$2:E241)))))-COUNTBLANK(OFFSET(A$1,,,SUMPRODUCT(MAX(ROW(E$1:E240)*(E2=E$1:E240))))))</f>
        <v/>
      </c>
      <c r="K241" s="25" t="str">
        <f aca="false">IF(OR(E241="",E241="!!!",F241="NEW"),"",INDEX(J$1:J240,SUMPRODUCT(MAX(ROW(E$1:E240)*(E241=E$1:E240)))))</f>
        <v/>
      </c>
      <c r="L241" s="26"/>
    </row>
    <row r="242" customFormat="false" ht="15" hidden="false" customHeight="false" outlineLevel="0" collapsed="false">
      <c r="A242" s="20" t="s">
        <v>321</v>
      </c>
      <c r="B242" s="27" t="s">
        <v>244</v>
      </c>
      <c r="C242" s="27" t="s">
        <v>233</v>
      </c>
      <c r="D242" s="27" t="s">
        <v>209</v>
      </c>
      <c r="E242" s="21" t="str">
        <f aca="false">IF(D242="?OLD","!!!","")</f>
        <v>!!!</v>
      </c>
      <c r="F242" s="22" t="str">
        <f aca="false">IF(OR(E242="",E242="!!!"),"",IF(NOT(ISNA(VLOOKUP(E242,E$1:E241,1,FALSE()))),"OLD",IF(AND(E242&lt;&gt;"",E242&lt;&gt;"!!!"),"NEW","")))</f>
        <v>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IF(OR(E242="",E242="!!!",F242="NEW"),"",INDEX(B241:B$2,-1+SUMPRODUCT(MAX(ROW(E241:E$2)*(E242=E241:E$2)))))</f>
        <v> </v>
      </c>
      <c r="J242" s="25" t="str">
        <f aca="true">IF(OR(E242="",E242="!!!",F242="NEW"),"",COUNTBLANK(OFFSET(A$1,,,SUMPRODUCT(MAX(ROW(E$2:E242)*(E242=E$2:E242)))))-COUNTBLANK(OFFSET(A$1,,,SUMPRODUCT(MAX(ROW(E$1:E241)*(E2=E$1:E241))))))</f>
        <v/>
      </c>
      <c r="K242" s="25" t="str">
        <f aca="false">IF(OR(E242="",E242="!!!",F242="NEW"),"",INDEX(J$1:J241,SUMPRODUCT(MAX(ROW(E$1:E241)*(E242=E$1:E241)))))</f>
        <v/>
      </c>
      <c r="L242" s="26"/>
    </row>
    <row r="243" customFormat="false" ht="15" hidden="false" customHeight="false" outlineLevel="0" collapsed="false">
      <c r="A243" s="20" t="s">
        <v>320</v>
      </c>
      <c r="E243" s="21" t="str">
        <f aca="false">IF(D243="?OLD","!!!","")</f>
        <v/>
      </c>
      <c r="F243" s="22" t="str">
        <f aca="false">IF(OR(E243="",E243="!!!"),"",IF(NOT(ISNA(VLOOKUP(E243,E$1:E242,1,FALSE()))),"OLD",IF(AND(E243&lt;&gt;"",E243&lt;&gt;"!!!"),"NEW","")))</f>
        <v> </v>
      </c>
      <c r="G243" s="23" t="str">
        <f aca="false">IF(OR(E243="",E243="!!!"),"",IF(OR(J243=0,AND(J243=1,K243=1),AND(J243=1,I243="SBJ"),AND(J243=1,I243=0)),"?IN_FOCUS",IF(J243&lt;=2,"?ACTIVATED",IF(J243&lt;&gt;"","?FAMILIAR",IF(F243="NEW",IF(ISNA(VLOOKUP(E243,#REF!,1,FALSE())),"?TYPE_IDENTIFIABLE","?REFERENTIAL"),"_")))))</f>
        <v/>
      </c>
      <c r="H243" s="24" t="str">
        <f aca="false">IF(J243&lt;&gt;1,"",IF(I243="SBJ","CB","?"))</f>
        <v/>
      </c>
      <c r="I243" s="25" t="str">
        <f aca="false">IF(OR(E243="",E243="!!!",F243="NEW"),"",INDEX(B242:B$2,-1+SUMPRODUCT(MAX(ROW(E242:E$2)*(E243=E242:E$2)))))</f>
        <v> </v>
      </c>
      <c r="J243" s="25" t="str">
        <f aca="true">IF(OR(E243="",E243="!!!",F243="NEW"),"",COUNTBLANK(OFFSET(A$1,,,SUMPRODUCT(MAX(ROW(E$2:E243)*(E243=E$2:E243)))))-COUNTBLANK(OFFSET(A$1,,,SUMPRODUCT(MAX(ROW(E$1:E242)*(E2=E$1:E242))))))</f>
        <v/>
      </c>
      <c r="K243" s="25" t="str">
        <f aca="false">IF(OR(E243="",E243="!!!",F243="NEW"),"",INDEX(J$1:J242,SUMPRODUCT(MAX(ROW(E$1:E242)*(E243=E$1:E242)))))</f>
        <v/>
      </c>
      <c r="L243" s="26"/>
    </row>
    <row r="244" customFormat="false" ht="15" hidden="false" customHeight="false" outlineLevel="0" collapsed="false">
      <c r="A244" s="20" t="s">
        <v>323</v>
      </c>
      <c r="E244" s="21" t="str">
        <f aca="false">IF(D244="?OLD","!!!","")</f>
        <v/>
      </c>
      <c r="F244" s="22" t="str">
        <f aca="false">IF(OR(E244="",E244="!!!"),"",IF(NOT(ISNA(VLOOKUP(E244,E$1:E243,1,FALSE()))),"OLD",IF(AND(E244&lt;&gt;"",E244&lt;&gt;"!!!"),"NEW","")))</f>
        <v> </v>
      </c>
      <c r="G244" s="23" t="str">
        <f aca="false">IF(OR(E244="",E244="!!!"),"",IF(OR(J244=0,AND(J244=1,K244=1),AND(J244=1,I244="SBJ"),AND(J244=1,I244=0)),"?IN_FOCUS",IF(J244&lt;=2,"?ACTIVATED",IF(J244&lt;&gt;"","?FAMILIAR",IF(F244="NEW",IF(ISNA(VLOOKUP(E244,#REF!,1,FALSE())),"?TYPE_IDENTIFIABLE","?REFERENTIAL"),"_")))))</f>
        <v/>
      </c>
      <c r="H244" s="24" t="str">
        <f aca="false">IF(J244&lt;&gt;1,"",IF(I244="SBJ","CB","?"))</f>
        <v/>
      </c>
      <c r="I244" s="25" t="str">
        <f aca="false">IF(OR(E244="",E244="!!!",F244="NEW"),"",INDEX(B243:B$2,-1+SUMPRODUCT(MAX(ROW(E243:E$2)*(E244=E243:E$2)))))</f>
        <v> </v>
      </c>
      <c r="J244" s="25" t="str">
        <f aca="true">IF(OR(E244="",E244="!!!",F244="NEW"),"",COUNTBLANK(OFFSET(A$1,,,SUMPRODUCT(MAX(ROW(E$2:E244)*(E244=E$2:E244)))))-COUNTBLANK(OFFSET(A$1,,,SUMPRODUCT(MAX(ROW(E$1:E243)*(E2=E$1:E243))))))</f>
        <v/>
      </c>
      <c r="K244" s="25" t="str">
        <f aca="false">IF(OR(E244="",E244="!!!",F244="NEW"),"",INDEX(J$1:J243,SUMPRODUCT(MAX(ROW(E$1:E243)*(E244=E$1:E243)))))</f>
        <v/>
      </c>
      <c r="L244" s="26"/>
    </row>
    <row r="245" customFormat="false" ht="15" hidden="false" customHeight="false" outlineLevel="0" collapsed="false">
      <c r="A245" s="20" t="s">
        <v>229</v>
      </c>
      <c r="E245" s="21" t="str">
        <f aca="false">IF(D245="?OLD","!!!","")</f>
        <v/>
      </c>
      <c r="F245" s="22" t="str">
        <f aca="false">IF(OR(E245="",E245="!!!"),"",IF(NOT(ISNA(VLOOKUP(E245,E$1:E244,1,FALSE()))),"OLD",IF(AND(E245&lt;&gt;"",E245&lt;&gt;"!!!"),"NEW","")))</f>
        <v> </v>
      </c>
      <c r="G245" s="23" t="str">
        <f aca="false">IF(OR(E245="",E245="!!!"),"",IF(OR(J245=0,AND(J245=1,K245=1),AND(J245=1,I245="SBJ"),AND(J245=1,I245=0)),"?IN_FOCUS",IF(J245&lt;=2,"?ACTIVATED",IF(J245&lt;&gt;"","?FAMILIAR",IF(F245="NEW",IF(ISNA(VLOOKUP(E245,#REF!,1,FALSE())),"?TYPE_IDENTIFIABLE","?REFERENTIAL"),"_")))))</f>
        <v/>
      </c>
      <c r="H245" s="24" t="str">
        <f aca="false">IF(J245&lt;&gt;1,"",IF(I245="SBJ","CB","?"))</f>
        <v/>
      </c>
      <c r="I245" s="25" t="str">
        <f aca="false">IF(OR(E245="",E245="!!!",F245="NEW"),"",INDEX(B244:B$2,-1+SUMPRODUCT(MAX(ROW(E244:E$2)*(E245=E244:E$2)))))</f>
        <v> </v>
      </c>
      <c r="J245" s="25" t="str">
        <f aca="true">IF(OR(E245="",E245="!!!",F245="NEW"),"",COUNTBLANK(OFFSET(A$1,,,SUMPRODUCT(MAX(ROW(E$2:E245)*(E245=E$2:E245)))))-COUNTBLANK(OFFSET(A$1,,,SUMPRODUCT(MAX(ROW(E$1:E244)*(E2=E$1:E244))))))</f>
        <v/>
      </c>
      <c r="K245" s="25" t="str">
        <f aca="false">IF(OR(E245="",E245="!!!",F245="NEW"),"",INDEX(J$1:J244,SUMPRODUCT(MAX(ROW(E$1:E244)*(E245=E$1:E244)))))</f>
        <v/>
      </c>
      <c r="L245" s="26"/>
    </row>
    <row r="246" customFormat="false" ht="15" hidden="false" customHeight="false" outlineLevel="0" collapsed="false">
      <c r="A246" s="20"/>
    </row>
    <row r="247" customFormat="false" ht="15" hidden="false" customHeight="false" outlineLevel="0" collapsed="false">
      <c r="A247" s="20" t="s">
        <v>324</v>
      </c>
    </row>
    <row r="248" customFormat="false" ht="15" hidden="false" customHeight="false" outlineLevel="0" collapsed="false">
      <c r="A248" s="20" t="s">
        <v>325</v>
      </c>
      <c r="B248" s="27" t="s">
        <v>207</v>
      </c>
      <c r="C248" s="27" t="s">
        <v>233</v>
      </c>
      <c r="D248" s="27" t="s">
        <v>209</v>
      </c>
      <c r="E248" s="21" t="str">
        <f aca="false">IF(D248="?OLD","!!!","")</f>
        <v>!!!</v>
      </c>
      <c r="F248" s="22" t="str">
        <f aca="false">IF(OR(E248="",E248="!!!"),"",IF(NOT(ISNA(VLOOKUP(E248,E$1:E247,1,FALSE()))),"OLD",IF(AND(E248&lt;&gt;"",E248&lt;&gt;"!!!"),"NEW","")))</f>
        <v>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IF(OR(E248="",E248="!!!",F248="NEW"),"",INDEX(B247:B$2,-1+SUMPRODUCT(MAX(ROW(E247:E$2)*(E248=E247:E$2)))))</f>
        <v> </v>
      </c>
      <c r="J248" s="25" t="str">
        <f aca="true">IF(OR(E248="",E248="!!!",F248="NEW"),"",COUNTBLANK(OFFSET(A$1,,,SUMPRODUCT(MAX(ROW(E$2:E248)*(E248=E$2:E248)))))-COUNTBLANK(OFFSET(A$1,,,SUMPRODUCT(MAX(ROW(E$1:E247)*(E2=E$1:E247))))))</f>
        <v/>
      </c>
      <c r="K248" s="25" t="str">
        <f aca="false">IF(OR(E248="",E248="!!!",F248="NEW"),"",INDEX(J$1:J247,SUMPRODUCT(MAX(ROW(E$1:E247)*(E248=E$1:E247)))))</f>
        <v/>
      </c>
      <c r="L248" s="26"/>
    </row>
    <row r="249" customFormat="false" ht="15" hidden="false" customHeight="false" outlineLevel="0" collapsed="false">
      <c r="A249" s="20" t="s">
        <v>326</v>
      </c>
      <c r="E249" s="21" t="str">
        <f aca="false">IF(D249="?OLD","!!!","")</f>
        <v/>
      </c>
      <c r="F249" s="22" t="str">
        <f aca="false">IF(OR(E249="",E249="!!!"),"",IF(NOT(ISNA(VLOOKUP(E249,E$1:E248,1,FALSE()))),"OLD",IF(AND(E249&lt;&gt;"",E249&lt;&gt;"!!!"),"NEW","")))</f>
        <v> </v>
      </c>
      <c r="G249" s="23" t="str">
        <f aca="false">IF(OR(E249="",E249="!!!"),"",IF(OR(J249=0,AND(J249=1,K249=1),AND(J249=1,I249="SBJ"),AND(J249=1,I249=0)),"?IN_FOCUS",IF(J249&lt;=2,"?ACTIVATED",IF(J249&lt;&gt;"","?FAMILIAR",IF(F249="NEW",IF(ISNA(VLOOKUP(E249,#REF!,1,FALSE())),"?TYPE_IDENTIFIABLE","?REFERENTIAL"),"_")))))</f>
        <v/>
      </c>
      <c r="H249" s="24" t="str">
        <f aca="false">IF(J249&lt;&gt;1,"",IF(I249="SBJ","CB","?"))</f>
        <v/>
      </c>
      <c r="I249" s="25" t="str">
        <f aca="false">IF(OR(E249="",E249="!!!",F249="NEW"),"",INDEX(B248:B$2,-1+SUMPRODUCT(MAX(ROW(E248:E$2)*(E249=E248:E$2)))))</f>
        <v> </v>
      </c>
      <c r="J249" s="25" t="str">
        <f aca="true">IF(OR(E249="",E249="!!!",F249="NEW"),"",COUNTBLANK(OFFSET(A$1,,,SUMPRODUCT(MAX(ROW(E$2:E249)*(E249=E$2:E249)))))-COUNTBLANK(OFFSET(A$1,,,SUMPRODUCT(MAX(ROW(E$1:E248)*(E2=E$1:E248))))))</f>
        <v/>
      </c>
      <c r="K249" s="25" t="str">
        <f aca="false">IF(OR(E249="",E249="!!!",F249="NEW"),"",INDEX(J$1:J248,SUMPRODUCT(MAX(ROW(E$1:E248)*(E249=E$1:E248)))))</f>
        <v/>
      </c>
      <c r="L249" s="26"/>
    </row>
    <row r="250" customFormat="false" ht="15" hidden="false" customHeight="false" outlineLevel="0" collapsed="false">
      <c r="A250" s="20" t="s">
        <v>327</v>
      </c>
      <c r="E250" s="21" t="str">
        <f aca="false">IF(D250="?OLD","!!!","")</f>
        <v/>
      </c>
      <c r="F250" s="22" t="str">
        <f aca="false">IF(OR(E250="",E250="!!!"),"",IF(NOT(ISNA(VLOOKUP(E250,E$1:E249,1,FALSE()))),"OLD",IF(AND(E250&lt;&gt;"",E250&lt;&gt;"!!!"),"NEW","")))</f>
        <v>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IF(OR(E250="",E250="!!!",F250="NEW"),"",INDEX(B249:B$2,-1+SUMPRODUCT(MAX(ROW(E249:E$2)*(E250=E249:E$2)))))</f>
        <v> </v>
      </c>
      <c r="J250" s="25" t="str">
        <f aca="true">IF(OR(E250="",E250="!!!",F250="NEW"),"",COUNTBLANK(OFFSET(A$1,,,SUMPRODUCT(MAX(ROW(E$2:E250)*(E250=E$2:E250)))))-COUNTBLANK(OFFSET(A$1,,,SUMPRODUCT(MAX(ROW(E$1:E249)*(E2=E$1:E249))))))</f>
        <v/>
      </c>
      <c r="K250" s="25" t="str">
        <f aca="false">IF(OR(E250="",E250="!!!",F250="NEW"),"",INDEX(J$1:J249,SUMPRODUCT(MAX(ROW(E$1:E249)*(E250=E$1:E249)))))</f>
        <v/>
      </c>
      <c r="L250" s="26"/>
    </row>
    <row r="251" customFormat="false" ht="15" hidden="false" customHeight="false" outlineLevel="0" collapsed="false">
      <c r="A251" s="20" t="s">
        <v>328</v>
      </c>
      <c r="B251" s="27" t="s">
        <v>311</v>
      </c>
      <c r="C251" s="27" t="s">
        <v>297</v>
      </c>
      <c r="E251" s="21" t="str">
        <f aca="false">IF(D251="?OLD","!!!","")</f>
        <v/>
      </c>
      <c r="F251" s="22" t="str">
        <f aca="false">IF(OR(E251="",E251="!!!"),"",IF(NOT(ISNA(VLOOKUP(E251,E$1:E250,1,FALSE()))),"OLD",IF(AND(E251&lt;&gt;"",E251&lt;&gt;"!!!"),"NEW","")))</f>
        <v> </v>
      </c>
      <c r="G251" s="23" t="str">
        <f aca="false">IF(OR(E251="",E251="!!!"),"",IF(OR(J251=0,AND(J251=1,K251=1),AND(J251=1,I251="SBJ"),AND(J251=1,I251=0)),"?IN_FOCUS",IF(J251&lt;=2,"?ACTIVATED",IF(J251&lt;&gt;"","?FAMILIAR",IF(F251="NEW",IF(ISNA(VLOOKUP(E251,#REF!,1,FALSE())),"?TYPE_IDENTIFIABLE","?REFERENTIAL"),"_")))))</f>
        <v/>
      </c>
      <c r="H251" s="24" t="str">
        <f aca="false">IF(J251&lt;&gt;1,"",IF(I251="SBJ","CB","?"))</f>
        <v/>
      </c>
      <c r="I251" s="25" t="str">
        <f aca="false">IF(OR(E251="",E251="!!!",F251="NEW"),"",INDEX(B250:B$2,-1+SUMPRODUCT(MAX(ROW(E250:E$2)*(E251=E250:E$2)))))</f>
        <v> </v>
      </c>
      <c r="J251" s="25" t="str">
        <f aca="true">IF(OR(E251="",E251="!!!",F251="NEW"),"",COUNTBLANK(OFFSET(A$1,,,SUMPRODUCT(MAX(ROW(E$2:E251)*(E251=E$2:E251)))))-COUNTBLANK(OFFSET(A$1,,,SUMPRODUCT(MAX(ROW(E$1:E250)*(E2=E$1:E250))))))</f>
        <v/>
      </c>
      <c r="K251" s="25" t="str">
        <f aca="false">IF(OR(E251="",E251="!!!",F251="NEW"),"",INDEX(J$1:J250,SUMPRODUCT(MAX(ROW(E$1:E250)*(E251=E$1:E250)))))</f>
        <v/>
      </c>
      <c r="L251" s="26"/>
    </row>
    <row r="252" customFormat="false" ht="15" hidden="false" customHeight="false" outlineLevel="0" collapsed="false">
      <c r="A252" s="20" t="s">
        <v>329</v>
      </c>
      <c r="E252" s="21" t="str">
        <f aca="false">IF(D252="?OLD","!!!","")</f>
        <v/>
      </c>
      <c r="F252" s="22" t="str">
        <f aca="false">IF(OR(E252="",E252="!!!"),"",IF(NOT(ISNA(VLOOKUP(E252,E$1:E251,1,FALSE()))),"OLD",IF(AND(E252&lt;&gt;"",E252&lt;&gt;"!!!"),"NEW","")))</f>
        <v>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IF(OR(E252="",E252="!!!",F252="NEW"),"",INDEX(B251:B$2,-1+SUMPRODUCT(MAX(ROW(E251:E$2)*(E252=E251:E$2)))))</f>
        <v> </v>
      </c>
      <c r="J252" s="25" t="str">
        <f aca="true">IF(OR(E252="",E252="!!!",F252="NEW"),"",COUNTBLANK(OFFSET(A$1,,,SUMPRODUCT(MAX(ROW(E$2:E252)*(E252=E$2:E252)))))-COUNTBLANK(OFFSET(A$1,,,SUMPRODUCT(MAX(ROW(E$1:E251)*(E2=E$1:E251))))))</f>
        <v/>
      </c>
      <c r="K252" s="25" t="str">
        <f aca="false">IF(OR(E252="",E252="!!!",F252="NEW"),"",INDEX(J$1:J251,SUMPRODUCT(MAX(ROW(E$1:E251)*(E252=E$1:E251)))))</f>
        <v/>
      </c>
      <c r="L252" s="26"/>
    </row>
    <row r="253" customFormat="false" ht="15" hidden="false" customHeight="false" outlineLevel="0" collapsed="false">
      <c r="A253" s="20" t="s">
        <v>237</v>
      </c>
      <c r="E253" s="21" t="str">
        <f aca="false">IF(D253="?OLD","!!!","")</f>
        <v/>
      </c>
      <c r="F253" s="22" t="str">
        <f aca="false">IF(OR(E253="",E253="!!!"),"",IF(NOT(ISNA(VLOOKUP(E253,E$1:E252,1,FALSE()))),"OLD",IF(AND(E253&lt;&gt;"",E253&lt;&gt;"!!!"),"NEW","")))</f>
        <v>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IF(OR(E253="",E253="!!!",F253="NEW"),"",INDEX(B252:B$2,-1+SUMPRODUCT(MAX(ROW(E252:E$2)*(E253=E252:E$2)))))</f>
        <v> </v>
      </c>
      <c r="J253" s="25" t="str">
        <f aca="true">IF(OR(E253="",E253="!!!",F253="NEW"),"",COUNTBLANK(OFFSET(A$1,,,SUMPRODUCT(MAX(ROW(E$2:E253)*(E253=E$2:E253)))))-COUNTBLANK(OFFSET(A$1,,,SUMPRODUCT(MAX(ROW(E$1:E252)*(E2=E$1:E252))))))</f>
        <v/>
      </c>
      <c r="K253" s="25" t="str">
        <f aca="false">IF(OR(E253="",E253="!!!",F253="NEW"),"",INDEX(J$1:J252,SUMPRODUCT(MAX(ROW(E$1:E252)*(E253=E$1:E252)))))</f>
        <v/>
      </c>
      <c r="L253" s="26"/>
    </row>
    <row r="254" customFormat="false" ht="15" hidden="false" customHeight="false" outlineLevel="0" collapsed="false">
      <c r="A254" s="20" t="s">
        <v>288</v>
      </c>
      <c r="E254" s="21" t="str">
        <f aca="false">IF(D254="?OLD","!!!","")</f>
        <v/>
      </c>
      <c r="F254" s="22" t="str">
        <f aca="false">IF(OR(E254="",E254="!!!"),"",IF(NOT(ISNA(VLOOKUP(E254,E$1:E253,1,FALSE()))),"OLD",IF(AND(E254&lt;&gt;"",E254&lt;&gt;"!!!"),"NEW","")))</f>
        <v> </v>
      </c>
      <c r="G254" s="23" t="str">
        <f aca="false">IF(OR(E254="",E254="!!!"),"",IF(OR(J254=0,AND(J254=1,K254=1),AND(J254=1,I254="SBJ"),AND(J254=1,I254=0)),"?IN_FOCUS",IF(J254&lt;=2,"?ACTIVATED",IF(J254&lt;&gt;"","?FAMILIAR",IF(F254="NEW",IF(ISNA(VLOOKUP(E254,#REF!,1,FALSE())),"?TYPE_IDENTIFIABLE","?REFERENTIAL"),"_")))))</f>
        <v/>
      </c>
      <c r="H254" s="24" t="str">
        <f aca="false">IF(J254&lt;&gt;1,"",IF(I254="SBJ","CB","?"))</f>
        <v/>
      </c>
      <c r="I254" s="25" t="str">
        <f aca="false">IF(OR(E254="",E254="!!!",F254="NEW"),"",INDEX(B253:B$2,-1+SUMPRODUCT(MAX(ROW(E253:E$2)*(E254=E253:E$2)))))</f>
        <v> </v>
      </c>
      <c r="J254" s="25" t="str">
        <f aca="true">IF(OR(E254="",E254="!!!",F254="NEW"),"",COUNTBLANK(OFFSET(A$1,,,SUMPRODUCT(MAX(ROW(E$2:E254)*(E254=E$2:E254)))))-COUNTBLANK(OFFSET(A$1,,,SUMPRODUCT(MAX(ROW(E$1:E253)*(E2=E$1:E253))))))</f>
        <v/>
      </c>
      <c r="K254" s="25" t="str">
        <f aca="false">IF(OR(E254="",E254="!!!",F254="NEW"),"",INDEX(J$1:J253,SUMPRODUCT(MAX(ROW(E$1:E253)*(E254=E$1:E253)))))</f>
        <v/>
      </c>
      <c r="L254" s="26"/>
    </row>
    <row r="255" customFormat="false" ht="15" hidden="false" customHeight="false" outlineLevel="0" collapsed="false">
      <c r="A255" s="20" t="s">
        <v>228</v>
      </c>
      <c r="E255" s="21" t="str">
        <f aca="false">IF(D255="?OLD","!!!","")</f>
        <v/>
      </c>
      <c r="F255" s="22" t="str">
        <f aca="false">IF(OR(E255="",E255="!!!"),"",IF(NOT(ISNA(VLOOKUP(E255,E$1:E254,1,FALSE()))),"OLD",IF(AND(E255&lt;&gt;"",E255&lt;&gt;"!!!"),"NEW","")))</f>
        <v>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IF(OR(E255="",E255="!!!",F255="NEW"),"",INDEX(B254:B$2,-1+SUMPRODUCT(MAX(ROW(E254:E$2)*(E255=E254:E$2)))))</f>
        <v> </v>
      </c>
      <c r="J255" s="25" t="str">
        <f aca="true">IF(OR(E255="",E255="!!!",F255="NEW"),"",COUNTBLANK(OFFSET(A$1,,,SUMPRODUCT(MAX(ROW(E$2:E255)*(E255=E$2:E255)))))-COUNTBLANK(OFFSET(A$1,,,SUMPRODUCT(MAX(ROW(E$1:E254)*(E2=E$1:E254))))))</f>
        <v/>
      </c>
      <c r="K255" s="25" t="str">
        <f aca="false">IF(OR(E255="",E255="!!!",F255="NEW"),"",INDEX(J$1:J254,SUMPRODUCT(MAX(ROW(E$1:E254)*(E255=E$1:E254)))))</f>
        <v/>
      </c>
      <c r="L255" s="26"/>
    </row>
    <row r="256" customFormat="false" ht="15" hidden="false" customHeight="false" outlineLevel="0" collapsed="false">
      <c r="A256" s="20" t="s">
        <v>330</v>
      </c>
      <c r="E256" s="21" t="str">
        <f aca="false">IF(D256="?OLD","!!!","")</f>
        <v/>
      </c>
      <c r="F256" s="22" t="str">
        <f aca="false">IF(OR(E256="",E256="!!!"),"",IF(NOT(ISNA(VLOOKUP(E256,E$1:E255,1,FALSE()))),"OLD",IF(AND(E256&lt;&gt;"",E256&lt;&gt;"!!!"),"NEW","")))</f>
        <v>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IF(OR(E256="",E256="!!!",F256="NEW"),"",INDEX(B255:B$2,-1+SUMPRODUCT(MAX(ROW(E255:E$2)*(E256=E255:E$2)))))</f>
        <v> </v>
      </c>
      <c r="J256" s="25" t="str">
        <f aca="true">IF(OR(E256="",E256="!!!",F256="NEW"),"",COUNTBLANK(OFFSET(A$1,,,SUMPRODUCT(MAX(ROW(E$2:E256)*(E256=E$2:E256)))))-COUNTBLANK(OFFSET(A$1,,,SUMPRODUCT(MAX(ROW(E$1:E255)*(E2=E$1:E255))))))</f>
        <v/>
      </c>
      <c r="K256" s="25" t="str">
        <f aca="false">IF(OR(E256="",E256="!!!",F256="NEW"),"",INDEX(J$1:J255,SUMPRODUCT(MAX(ROW(E$1:E255)*(E256=E$1:E255)))))</f>
        <v/>
      </c>
      <c r="L256" s="26"/>
    </row>
    <row r="257" customFormat="false" ht="15" hidden="false" customHeight="false" outlineLevel="0" collapsed="false">
      <c r="A257" s="20" t="s">
        <v>331</v>
      </c>
      <c r="B257" s="27" t="s">
        <v>311</v>
      </c>
      <c r="C257" s="27" t="s">
        <v>284</v>
      </c>
      <c r="D257" s="27" t="s">
        <v>209</v>
      </c>
      <c r="E257" s="21" t="str">
        <f aca="false">IF(D257="?OLD","!!!","")</f>
        <v>!!!</v>
      </c>
      <c r="F257" s="22" t="str">
        <f aca="false">IF(OR(E257="",E257="!!!"),"",IF(NOT(ISNA(VLOOKUP(E257,E$1:E256,1,FALSE()))),"OLD",IF(AND(E257&lt;&gt;"",E257&lt;&gt;"!!!"),"NEW","")))</f>
        <v>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IF(OR(E257="",E257="!!!",F257="NEW"),"",INDEX(B256:B$2,-1+SUMPRODUCT(MAX(ROW(E256:E$2)*(E257=E256:E$2)))))</f>
        <v> </v>
      </c>
      <c r="J257" s="25" t="str">
        <f aca="true">IF(OR(E257="",E257="!!!",F257="NEW"),"",COUNTBLANK(OFFSET(A$1,,,SUMPRODUCT(MAX(ROW(E$2:E257)*(E257=E$2:E257)))))-COUNTBLANK(OFFSET(A$1,,,SUMPRODUCT(MAX(ROW(E$1:E256)*(E2=E$1:E256))))))</f>
        <v/>
      </c>
      <c r="K257" s="25" t="str">
        <f aca="false">IF(OR(E257="",E257="!!!",F257="NEW"),"",INDEX(J$1:J256,SUMPRODUCT(MAX(ROW(E$1:E256)*(E257=E$1:E256)))))</f>
        <v/>
      </c>
      <c r="L257" s="26"/>
    </row>
    <row r="258" customFormat="false" ht="15" hidden="false" customHeight="false" outlineLevel="0" collapsed="false">
      <c r="A258" s="20" t="s">
        <v>229</v>
      </c>
      <c r="E258" s="21" t="str">
        <f aca="false">IF(D258="?OLD","!!!","")</f>
        <v/>
      </c>
      <c r="F258" s="22" t="str">
        <f aca="false">IF(OR(E258="",E258="!!!"),"",IF(NOT(ISNA(VLOOKUP(E258,E$1:E257,1,FALSE()))),"OLD",IF(AND(E258&lt;&gt;"",E258&lt;&gt;"!!!"),"NEW","")))</f>
        <v> </v>
      </c>
      <c r="G258" s="23" t="str">
        <f aca="false">IF(OR(E258="",E258="!!!"),"",IF(OR(J258=0,AND(J258=1,K258=1),AND(J258=1,I258="SBJ"),AND(J258=1,I258=0)),"?IN_FOCUS",IF(J258&lt;=2,"?ACTIVATED",IF(J258&lt;&gt;"","?FAMILIAR",IF(F258="NEW",IF(ISNA(VLOOKUP(E258,#REF!,1,FALSE())),"?TYPE_IDENTIFIABLE","?REFERENTIAL"),"_")))))</f>
        <v/>
      </c>
      <c r="H258" s="24" t="str">
        <f aca="false">IF(J258&lt;&gt;1,"",IF(I258="SBJ","CB","?"))</f>
        <v/>
      </c>
      <c r="I258" s="25" t="str">
        <f aca="false">IF(OR(E258="",E258="!!!",F258="NEW"),"",INDEX(B257:B$2,-1+SUMPRODUCT(MAX(ROW(E257:E$2)*(E258=E257:E$2)))))</f>
        <v> </v>
      </c>
      <c r="J258" s="25" t="str">
        <f aca="true">IF(OR(E258="",E258="!!!",F258="NEW"),"",COUNTBLANK(OFFSET(A$1,,,SUMPRODUCT(MAX(ROW(E$2:E258)*(E258=E$2:E258)))))-COUNTBLANK(OFFSET(A$1,,,SUMPRODUCT(MAX(ROW(E$1:E257)*(E2=E$1:E257))))))</f>
        <v/>
      </c>
      <c r="K258" s="25" t="str">
        <f aca="false">IF(OR(E258="",E258="!!!",F258="NEW"),"",INDEX(J$1:J257,SUMPRODUCT(MAX(ROW(E$1:E257)*(E258=E$1:E257)))))</f>
        <v/>
      </c>
      <c r="L258" s="26"/>
    </row>
    <row r="259" customFormat="false" ht="15" hidden="false" customHeight="false" outlineLevel="0" collapsed="false">
      <c r="A259" s="20"/>
    </row>
    <row r="260" customFormat="false" ht="15" hidden="false" customHeight="false" outlineLevel="0" collapsed="false">
      <c r="A260" s="20" t="s">
        <v>332</v>
      </c>
    </row>
    <row r="261" customFormat="false" ht="15" hidden="false" customHeight="false" outlineLevel="0" collapsed="false">
      <c r="A261" s="20" t="s">
        <v>325</v>
      </c>
      <c r="B261" s="27" t="s">
        <v>207</v>
      </c>
      <c r="C261" s="27" t="s">
        <v>233</v>
      </c>
      <c r="D261" s="27" t="s">
        <v>209</v>
      </c>
      <c r="E261" s="21" t="str">
        <f aca="false">IF(D261="?OLD","!!!","")</f>
        <v>!!!</v>
      </c>
      <c r="F261" s="22" t="str">
        <f aca="false">IF(OR(E261="",E261="!!!"),"",IF(NOT(ISNA(VLOOKUP(E261,E$1:E260,1,FALSE()))),"OLD",IF(AND(E261&lt;&gt;"",E261&lt;&gt;"!!!"),"NEW","")))</f>
        <v> </v>
      </c>
      <c r="G261" s="23" t="str">
        <f aca="false">IF(OR(E261="",E261="!!!"),"",IF(OR(J261=0,AND(J261=1,K261=1),AND(J261=1,I261="SBJ"),AND(J261=1,I261=0)),"?IN_FOCUS",IF(J261&lt;=2,"?ACTIVATED",IF(J261&lt;&gt;"","?FAMILIAR",IF(F261="NEW",IF(ISNA(VLOOKUP(E261,#REF!,1,FALSE())),"?TYPE_IDENTIFIABLE","?REFERENTIAL"),"_")))))</f>
        <v/>
      </c>
      <c r="H261" s="24" t="str">
        <f aca="false">IF(J261&lt;&gt;1,"",IF(I261="SBJ","CB","?"))</f>
        <v/>
      </c>
      <c r="I261" s="25" t="str">
        <f aca="false">IF(OR(E261="",E261="!!!",F261="NEW"),"",INDEX(B260:B$2,-1+SUMPRODUCT(MAX(ROW(E260:E$2)*(E261=E260:E$2)))))</f>
        <v> </v>
      </c>
      <c r="J261" s="25" t="str">
        <f aca="true">IF(OR(E261="",E261="!!!",F261="NEW"),"",COUNTBLANK(OFFSET(A$1,,,SUMPRODUCT(MAX(ROW(E$2:E261)*(E261=E$2:E261)))))-COUNTBLANK(OFFSET(A$1,,,SUMPRODUCT(MAX(ROW(E$1:E260)*(E2=E$1:E260))))))</f>
        <v/>
      </c>
      <c r="K261" s="25" t="str">
        <f aca="false">IF(OR(E261="",E261="!!!",F261="NEW"),"",INDEX(J$1:J260,SUMPRODUCT(MAX(ROW(E$1:E260)*(E261=E$1:E260)))))</f>
        <v/>
      </c>
      <c r="L261" s="26"/>
    </row>
    <row r="262" customFormat="false" ht="15" hidden="false" customHeight="false" outlineLevel="0" collapsed="false">
      <c r="A262" s="20" t="s">
        <v>333</v>
      </c>
      <c r="E262" s="21" t="str">
        <f aca="false">IF(D262="?OLD","!!!","")</f>
        <v/>
      </c>
      <c r="F262" s="22" t="str">
        <f aca="false">IF(OR(E262="",E262="!!!"),"",IF(NOT(ISNA(VLOOKUP(E262,E$1:E261,1,FALSE()))),"OLD",IF(AND(E262&lt;&gt;"",E262&lt;&gt;"!!!"),"NEW","")))</f>
        <v>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IF(OR(E262="",E262="!!!",F262="NEW"),"",INDEX(B261:B$2,-1+SUMPRODUCT(MAX(ROW(E261:E$2)*(E262=E261:E$2)))))</f>
        <v> </v>
      </c>
      <c r="J262" s="25" t="str">
        <f aca="true">IF(OR(E262="",E262="!!!",F262="NEW"),"",COUNTBLANK(OFFSET(A$1,,,SUMPRODUCT(MAX(ROW(E$2:E262)*(E262=E$2:E262)))))-COUNTBLANK(OFFSET(A$1,,,SUMPRODUCT(MAX(ROW(E$1:E261)*(E2=E$1:E261))))))</f>
        <v/>
      </c>
      <c r="K262" s="25" t="str">
        <f aca="false">IF(OR(E262="",E262="!!!",F262="NEW"),"",INDEX(J$1:J261,SUMPRODUCT(MAX(ROW(E$1:E261)*(E262=E$1:E261)))))</f>
        <v/>
      </c>
      <c r="L262" s="26"/>
    </row>
    <row r="263" customFormat="false" ht="15" hidden="false" customHeight="false" outlineLevel="0" collapsed="false">
      <c r="A263" s="20" t="s">
        <v>205</v>
      </c>
      <c r="E263" s="21" t="str">
        <f aca="false">IF(D263="?OLD","!!!","")</f>
        <v/>
      </c>
      <c r="F263" s="22" t="str">
        <f aca="false">IF(OR(E263="",E263="!!!"),"",IF(NOT(ISNA(VLOOKUP(E263,E$1:E262,1,FALSE()))),"OLD",IF(AND(E263&lt;&gt;"",E263&lt;&gt;"!!!"),"NEW","")))</f>
        <v>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IF(OR(E263="",E263="!!!",F263="NEW"),"",INDEX(B262:B$2,-1+SUMPRODUCT(MAX(ROW(E262:E$2)*(E263=E262:E$2)))))</f>
        <v> </v>
      </c>
      <c r="J263" s="25" t="str">
        <f aca="true">IF(OR(E263="",E263="!!!",F263="NEW"),"",COUNTBLANK(OFFSET(A$1,,,SUMPRODUCT(MAX(ROW(E$2:E263)*(E263=E$2:E263)))))-COUNTBLANK(OFFSET(A$1,,,SUMPRODUCT(MAX(ROW(E$1:E262)*(E2=E$1:E262))))))</f>
        <v/>
      </c>
      <c r="K263" s="25" t="str">
        <f aca="false">IF(OR(E263="",E263="!!!",F263="NEW"),"",INDEX(J$1:J262,SUMPRODUCT(MAX(ROW(E$1:E262)*(E263=E$1:E262)))))</f>
        <v/>
      </c>
      <c r="L263" s="26"/>
    </row>
    <row r="264" customFormat="false" ht="15" hidden="false" customHeight="false" outlineLevel="0" collapsed="false">
      <c r="A264" s="20" t="s">
        <v>334</v>
      </c>
      <c r="B264" s="27" t="s">
        <v>278</v>
      </c>
      <c r="C264" s="27" t="s">
        <v>284</v>
      </c>
      <c r="D264" s="27" t="s">
        <v>209</v>
      </c>
      <c r="E264" s="21" t="str">
        <f aca="false">IF(D264="?OLD","!!!","")</f>
        <v>!!!</v>
      </c>
      <c r="F264" s="22" t="str">
        <f aca="false">IF(OR(E264="",E264="!!!"),"",IF(NOT(ISNA(VLOOKUP(E264,E$1:E263,1,FALSE()))),"OLD",IF(AND(E264&lt;&gt;"",E264&lt;&gt;"!!!"),"NEW","")))</f>
        <v>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IF(OR(E264="",E264="!!!",F264="NEW"),"",INDEX(B263:B$2,-1+SUMPRODUCT(MAX(ROW(E263:E$2)*(E264=E263:E$2)))))</f>
        <v> </v>
      </c>
      <c r="J264" s="25" t="str">
        <f aca="true">IF(OR(E264="",E264="!!!",F264="NEW"),"",COUNTBLANK(OFFSET(A$1,,,SUMPRODUCT(MAX(ROW(E$2:E264)*(E264=E$2:E264)))))-COUNTBLANK(OFFSET(A$1,,,SUMPRODUCT(MAX(ROW(E$1:E263)*(E2=E$1:E263))))))</f>
        <v/>
      </c>
      <c r="K264" s="25" t="str">
        <f aca="false">IF(OR(E264="",E264="!!!",F264="NEW"),"",INDEX(J$1:J263,SUMPRODUCT(MAX(ROW(E$1:E263)*(E264=E$1:E263)))))</f>
        <v/>
      </c>
      <c r="L264" s="26"/>
    </row>
    <row r="265" customFormat="false" ht="15" hidden="false" customHeight="false" outlineLevel="0" collapsed="false">
      <c r="A265" s="20" t="s">
        <v>218</v>
      </c>
      <c r="E265" s="21" t="str">
        <f aca="false">IF(D265="?OLD","!!!","")</f>
        <v/>
      </c>
      <c r="F265" s="22" t="str">
        <f aca="false">IF(OR(E265="",E265="!!!"),"",IF(NOT(ISNA(VLOOKUP(E265,E$1:E264,1,FALSE()))),"OLD",IF(AND(E265&lt;&gt;"",E265&lt;&gt;"!!!"),"NEW","")))</f>
        <v>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IF(OR(E265="",E265="!!!",F265="NEW"),"",INDEX(B264:B$2,-1+SUMPRODUCT(MAX(ROW(E264:E$2)*(E265=E264:E$2)))))</f>
        <v> </v>
      </c>
      <c r="J265" s="25" t="str">
        <f aca="true">IF(OR(E265="",E265="!!!",F265="NEW"),"",COUNTBLANK(OFFSET(A$1,,,SUMPRODUCT(MAX(ROW(E$2:E265)*(E265=E$2:E265)))))-COUNTBLANK(OFFSET(A$1,,,SUMPRODUCT(MAX(ROW(E$1:E264)*(E2=E$1:E264))))))</f>
        <v/>
      </c>
      <c r="K265" s="25" t="str">
        <f aca="false">IF(OR(E265="",E265="!!!",F265="NEW"),"",INDEX(J$1:J264,SUMPRODUCT(MAX(ROW(E$1:E264)*(E265=E$1:E264)))))</f>
        <v/>
      </c>
      <c r="L265" s="26"/>
    </row>
    <row r="266" customFormat="false" ht="15" hidden="false" customHeight="false" outlineLevel="0" collapsed="false">
      <c r="A266" s="20" t="s">
        <v>223</v>
      </c>
      <c r="B266" s="27" t="s">
        <v>220</v>
      </c>
      <c r="C266" s="27" t="s">
        <v>225</v>
      </c>
      <c r="D266" s="27" t="s">
        <v>209</v>
      </c>
      <c r="E266" s="21" t="str">
        <f aca="false">IF(D266="?OLD","!!!","")</f>
        <v>!!!</v>
      </c>
      <c r="F266" s="22" t="str">
        <f aca="false">IF(OR(E266="",E266="!!!"),"",IF(NOT(ISNA(VLOOKUP(E266,E$1:E265,1,FALSE()))),"OLD",IF(AND(E266&lt;&gt;"",E266&lt;&gt;"!!!"),"NEW","")))</f>
        <v>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IF(OR(E266="",E266="!!!",F266="NEW"),"",INDEX(B265:B$2,-1+SUMPRODUCT(MAX(ROW(E265:E$2)*(E266=E265:E$2)))))</f>
        <v> </v>
      </c>
      <c r="J266" s="25" t="str">
        <f aca="true">IF(OR(E266="",E266="!!!",F266="NEW"),"",COUNTBLANK(OFFSET(A$1,,,SUMPRODUCT(MAX(ROW(E$2:E266)*(E266=E$2:E266)))))-COUNTBLANK(OFFSET(A$1,,,SUMPRODUCT(MAX(ROW(E$1:E265)*(E2=E$1:E265))))))</f>
        <v/>
      </c>
      <c r="K266" s="25" t="str">
        <f aca="false">IF(OR(E266="",E266="!!!",F266="NEW"),"",INDEX(J$1:J265,SUMPRODUCT(MAX(ROW(E$1:E265)*(E266=E$1:E265)))))</f>
        <v/>
      </c>
      <c r="L266" s="26"/>
    </row>
    <row r="267" customFormat="false" ht="15" hidden="false" customHeight="false" outlineLevel="0" collapsed="false">
      <c r="A267" s="20" t="s">
        <v>226</v>
      </c>
      <c r="E267" s="21" t="str">
        <f aca="false">IF(D267="?OLD","!!!","")</f>
        <v/>
      </c>
      <c r="F267" s="22" t="str">
        <f aca="false">IF(OR(E267="",E267="!!!"),"",IF(NOT(ISNA(VLOOKUP(E267,E$1:E266,1,FALSE()))),"OLD",IF(AND(E267&lt;&gt;"",E267&lt;&gt;"!!!"),"NEW","")))</f>
        <v> </v>
      </c>
      <c r="G267" s="23" t="str">
        <f aca="false">IF(OR(E267="",E267="!!!"),"",IF(OR(J267=0,AND(J267=1,K267=1),AND(J267=1,I267="SBJ"),AND(J267=1,I267=0)),"?IN_FOCUS",IF(J267&lt;=2,"?ACTIVATED",IF(J267&lt;&gt;"","?FAMILIAR",IF(F267="NEW",IF(ISNA(VLOOKUP(E267,#REF!,1,FALSE())),"?TYPE_IDENTIFIABLE","?REFERENTIAL"),"_")))))</f>
        <v/>
      </c>
      <c r="H267" s="24" t="str">
        <f aca="false">IF(J267&lt;&gt;1,"",IF(I267="SBJ","CB","?"))</f>
        <v/>
      </c>
      <c r="I267" s="25" t="str">
        <f aca="false">IF(OR(E267="",E267="!!!",F267="NEW"),"",INDEX(B266:B$2,-1+SUMPRODUCT(MAX(ROW(E266:E$2)*(E267=E266:E$2)))))</f>
        <v> </v>
      </c>
      <c r="J267" s="25" t="str">
        <f aca="true">IF(OR(E267="",E267="!!!",F267="NEW"),"",COUNTBLANK(OFFSET(A$1,,,SUMPRODUCT(MAX(ROW(E$2:E267)*(E267=E$2:E267)))))-COUNTBLANK(OFFSET(A$1,,,SUMPRODUCT(MAX(ROW(E$1:E266)*(E2=E$1:E266))))))</f>
        <v/>
      </c>
      <c r="K267" s="25" t="str">
        <f aca="false">IF(OR(E267="",E267="!!!",F267="NEW"),"",INDEX(J$1:J266,SUMPRODUCT(MAX(ROW(E$1:E266)*(E267=E$1:E266)))))</f>
        <v/>
      </c>
      <c r="L267" s="26"/>
    </row>
    <row r="268" customFormat="false" ht="15" hidden="false" customHeight="false" outlineLevel="0" collapsed="false">
      <c r="A268" s="20" t="s">
        <v>335</v>
      </c>
      <c r="E268" s="21" t="str">
        <f aca="false">IF(D268="?OLD","!!!","")</f>
        <v/>
      </c>
      <c r="F268" s="22" t="str">
        <f aca="false">IF(OR(E268="",E268="!!!"),"",IF(NOT(ISNA(VLOOKUP(E268,E$1:E267,1,FALSE()))),"OLD",IF(AND(E268&lt;&gt;"",E268&lt;&gt;"!!!"),"NEW","")))</f>
        <v> </v>
      </c>
      <c r="G268" s="23" t="str">
        <f aca="false">IF(OR(E268="",E268="!!!"),"",IF(OR(J268=0,AND(J268=1,K268=1),AND(J268=1,I268="SBJ"),AND(J268=1,I268=0)),"?IN_FOCUS",IF(J268&lt;=2,"?ACTIVATED",IF(J268&lt;&gt;"","?FAMILIAR",IF(F268="NEW",IF(ISNA(VLOOKUP(E268,#REF!,1,FALSE())),"?TYPE_IDENTIFIABLE","?REFERENTIAL"),"_")))))</f>
        <v/>
      </c>
      <c r="H268" s="24" t="str">
        <f aca="false">IF(J268&lt;&gt;1,"",IF(I268="SBJ","CB","?"))</f>
        <v/>
      </c>
      <c r="I268" s="25" t="str">
        <f aca="false">IF(OR(E268="",E268="!!!",F268="NEW"),"",INDEX(B267:B$2,-1+SUMPRODUCT(MAX(ROW(E267:E$2)*(E268=E267:E$2)))))</f>
        <v> </v>
      </c>
      <c r="J268" s="25" t="str">
        <f aca="true">IF(OR(E268="",E268="!!!",F268="NEW"),"",COUNTBLANK(OFFSET(A$1,,,SUMPRODUCT(MAX(ROW(E$2:E268)*(E268=E$2:E268)))))-COUNTBLANK(OFFSET(A$1,,,SUMPRODUCT(MAX(ROW(E$1:E267)*(E2=E$1:E267))))))</f>
        <v/>
      </c>
      <c r="K268" s="25" t="str">
        <f aca="false">IF(OR(E268="",E268="!!!",F268="NEW"),"",INDEX(J$1:J267,SUMPRODUCT(MAX(ROW(E$1:E267)*(E268=E$1:E267)))))</f>
        <v/>
      </c>
      <c r="L268" s="26"/>
    </row>
    <row r="269" customFormat="false" ht="15" hidden="false" customHeight="false" outlineLevel="0" collapsed="false">
      <c r="A269" s="20" t="s">
        <v>261</v>
      </c>
      <c r="E269" s="21" t="str">
        <f aca="false">IF(D269="?OLD","!!!","")</f>
        <v/>
      </c>
      <c r="F269" s="22" t="str">
        <f aca="false">IF(OR(E269="",E269="!!!"),"",IF(NOT(ISNA(VLOOKUP(E269,E$1:E268,1,FALSE()))),"OLD",IF(AND(E269&lt;&gt;"",E269&lt;&gt;"!!!"),"NEW","")))</f>
        <v>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IF(OR(E269="",E269="!!!",F269="NEW"),"",INDEX(B268:B$2,-1+SUMPRODUCT(MAX(ROW(E268:E$2)*(E269=E268:E$2)))))</f>
        <v> </v>
      </c>
      <c r="J269" s="25" t="str">
        <f aca="true">IF(OR(E269="",E269="!!!",F269="NEW"),"",COUNTBLANK(OFFSET(A$1,,,SUMPRODUCT(MAX(ROW(E$2:E269)*(E269=E$2:E269)))))-COUNTBLANK(OFFSET(A$1,,,SUMPRODUCT(MAX(ROW(E$1:E268)*(E2=E$1:E268))))))</f>
        <v/>
      </c>
      <c r="K269" s="25" t="str">
        <f aca="false">IF(OR(E269="",E269="!!!",F269="NEW"),"",INDEX(J$1:J268,SUMPRODUCT(MAX(ROW(E$1:E268)*(E269=E$1:E268)))))</f>
        <v/>
      </c>
      <c r="L269" s="26"/>
    </row>
    <row r="270" customFormat="false" ht="15" hidden="false" customHeight="false" outlineLevel="0" collapsed="false">
      <c r="A270" s="20" t="s">
        <v>205</v>
      </c>
      <c r="E270" s="21" t="str">
        <f aca="false">IF(D270="?OLD","!!!","")</f>
        <v/>
      </c>
      <c r="F270" s="22" t="str">
        <f aca="false">IF(OR(E270="",E270="!!!"),"",IF(NOT(ISNA(VLOOKUP(E270,E$1:E269,1,FALSE()))),"OLD",IF(AND(E270&lt;&gt;"",E270&lt;&gt;"!!!"),"NEW","")))</f>
        <v>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IF(OR(E270="",E270="!!!",F270="NEW"),"",INDEX(B269:B$2,-1+SUMPRODUCT(MAX(ROW(E269:E$2)*(E270=E269:E$2)))))</f>
        <v> </v>
      </c>
      <c r="J270" s="25" t="str">
        <f aca="true">IF(OR(E270="",E270="!!!",F270="NEW"),"",COUNTBLANK(OFFSET(A$1,,,SUMPRODUCT(MAX(ROW(E$2:E270)*(E270=E$2:E270)))))-COUNTBLANK(OFFSET(A$1,,,SUMPRODUCT(MAX(ROW(E$1:E269)*(E2=E$1:E269))))))</f>
        <v/>
      </c>
      <c r="K270" s="25" t="str">
        <f aca="false">IF(OR(E270="",E270="!!!",F270="NEW"),"",INDEX(J$1:J269,SUMPRODUCT(MAX(ROW(E$1:E269)*(E270=E$1:E269)))))</f>
        <v/>
      </c>
      <c r="L270" s="26"/>
    </row>
    <row r="271" customFormat="false" ht="15" hidden="false" customHeight="false" outlineLevel="0" collapsed="false">
      <c r="A271" s="20" t="s">
        <v>249</v>
      </c>
      <c r="B271" s="27" t="s">
        <v>248</v>
      </c>
      <c r="C271" s="27" t="s">
        <v>208</v>
      </c>
      <c r="D271" s="27" t="s">
        <v>209</v>
      </c>
      <c r="E271" s="21" t="str">
        <f aca="false">IF(D271="?OLD","!!!","")</f>
        <v>!!!</v>
      </c>
      <c r="F271" s="22" t="str">
        <f aca="false">IF(OR(E271="",E271="!!!"),"",IF(NOT(ISNA(VLOOKUP(E271,E$1:E270,1,FALSE()))),"OLD",IF(AND(E271&lt;&gt;"",E271&lt;&gt;"!!!"),"NEW","")))</f>
        <v>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IF(OR(E271="",E271="!!!",F271="NEW"),"",INDEX(B270:B$2,-1+SUMPRODUCT(MAX(ROW(E270:E$2)*(E271=E270:E$2)))))</f>
        <v> </v>
      </c>
      <c r="J271" s="25" t="str">
        <f aca="true">IF(OR(E271="",E271="!!!",F271="NEW"),"",COUNTBLANK(OFFSET(A$1,,,SUMPRODUCT(MAX(ROW(E$2:E271)*(E271=E$2:E271)))))-COUNTBLANK(OFFSET(A$1,,,SUMPRODUCT(MAX(ROW(E$1:E270)*(E2=E$1:E270))))))</f>
        <v/>
      </c>
      <c r="K271" s="25" t="str">
        <f aca="false">IF(OR(E271="",E271="!!!",F271="NEW"),"",INDEX(J$1:J270,SUMPRODUCT(MAX(ROW(E$1:E270)*(E271=E$1:E270)))))</f>
        <v/>
      </c>
      <c r="L271" s="26"/>
    </row>
    <row r="272" customFormat="false" ht="15" hidden="false" customHeight="false" outlineLevel="0" collapsed="false">
      <c r="A272" s="20" t="s">
        <v>261</v>
      </c>
      <c r="E272" s="21" t="str">
        <f aca="false">IF(D272="?OLD","!!!","")</f>
        <v/>
      </c>
      <c r="F272" s="22" t="str">
        <f aca="false">IF(OR(E272="",E272="!!!"),"",IF(NOT(ISNA(VLOOKUP(E272,E$1:E271,1,FALSE()))),"OLD",IF(AND(E272&lt;&gt;"",E272&lt;&gt;"!!!"),"NEW","")))</f>
        <v> </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IF(OR(E272="",E272="!!!",F272="NEW"),"",INDEX(B271:B$2,-1+SUMPRODUCT(MAX(ROW(E271:E$2)*(E272=E271:E$2)))))</f>
        <v> </v>
      </c>
      <c r="J272" s="25" t="str">
        <f aca="true">IF(OR(E272="",E272="!!!",F272="NEW"),"",COUNTBLANK(OFFSET(A$1,,,SUMPRODUCT(MAX(ROW(E$2:E272)*(E272=E$2:E272)))))-COUNTBLANK(OFFSET(A$1,,,SUMPRODUCT(MAX(ROW(E$1:E271)*(E2=E$1:E271))))))</f>
        <v/>
      </c>
      <c r="K272" s="25" t="str">
        <f aca="false">IF(OR(E272="",E272="!!!",F272="NEW"),"",INDEX(J$1:J271,SUMPRODUCT(MAX(ROW(E$1:E271)*(E272=E$1:E271)))))</f>
        <v/>
      </c>
      <c r="L272" s="26"/>
    </row>
    <row r="273" customFormat="false" ht="15" hidden="false" customHeight="false" outlineLevel="0" collapsed="false">
      <c r="A273" s="20" t="s">
        <v>205</v>
      </c>
      <c r="E273" s="21" t="str">
        <f aca="false">IF(D273="?OLD","!!!","")</f>
        <v/>
      </c>
      <c r="F273" s="22" t="str">
        <f aca="false">IF(OR(E273="",E273="!!!"),"",IF(NOT(ISNA(VLOOKUP(E273,E$1:E272,1,FALSE()))),"OLD",IF(AND(E273&lt;&gt;"",E273&lt;&gt;"!!!"),"NEW","")))</f>
        <v>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IF(OR(E273="",E273="!!!",F273="NEW"),"",INDEX(B272:B$2,-1+SUMPRODUCT(MAX(ROW(E272:E$2)*(E273=E272:E$2)))))</f>
        <v> </v>
      </c>
      <c r="J273" s="25" t="str">
        <f aca="true">IF(OR(E273="",E273="!!!",F273="NEW"),"",COUNTBLANK(OFFSET(A$1,,,SUMPRODUCT(MAX(ROW(E$2:E273)*(E273=E$2:E273)))))-COUNTBLANK(OFFSET(A$1,,,SUMPRODUCT(MAX(ROW(E$1:E272)*(E2=E$1:E272))))))</f>
        <v/>
      </c>
      <c r="K273" s="25" t="str">
        <f aca="false">IF(OR(E273="",E273="!!!",F273="NEW"),"",INDEX(J$1:J272,SUMPRODUCT(MAX(ROW(E$1:E272)*(E273=E$1:E272)))))</f>
        <v/>
      </c>
      <c r="L273" s="26"/>
    </row>
    <row r="274" customFormat="false" ht="15" hidden="false" customHeight="false" outlineLevel="0" collapsed="false">
      <c r="A274" s="20" t="s">
        <v>336</v>
      </c>
      <c r="B274" s="27" t="s">
        <v>248</v>
      </c>
      <c r="C274" s="27" t="s">
        <v>208</v>
      </c>
      <c r="D274" s="27" t="s">
        <v>209</v>
      </c>
      <c r="E274" s="21" t="str">
        <f aca="false">IF(D274="?OLD","!!!","")</f>
        <v>!!!</v>
      </c>
      <c r="F274" s="22" t="str">
        <f aca="false">IF(OR(E274="",E274="!!!"),"",IF(NOT(ISNA(VLOOKUP(E274,E$1:E273,1,FALSE()))),"OLD",IF(AND(E274&lt;&gt;"",E274&lt;&gt;"!!!"),"NEW","")))</f>
        <v>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IF(OR(E274="",E274="!!!",F274="NEW"),"",INDEX(B273:B$2,-1+SUMPRODUCT(MAX(ROW(E273:E$2)*(E274=E273:E$2)))))</f>
        <v> </v>
      </c>
      <c r="J274" s="25" t="str">
        <f aca="true">IF(OR(E274="",E274="!!!",F274="NEW"),"",COUNTBLANK(OFFSET(A$1,,,SUMPRODUCT(MAX(ROW(E$2:E274)*(E274=E$2:E274)))))-COUNTBLANK(OFFSET(A$1,,,SUMPRODUCT(MAX(ROW(E$1:E273)*(E2=E$1:E273))))))</f>
        <v/>
      </c>
      <c r="K274" s="25" t="str">
        <f aca="false">IF(OR(E274="",E274="!!!",F274="NEW"),"",INDEX(J$1:J273,SUMPRODUCT(MAX(ROW(E$1:E273)*(E274=E$1:E273)))))</f>
        <v/>
      </c>
      <c r="L274" s="26"/>
    </row>
    <row r="275" customFormat="false" ht="15" hidden="false" customHeight="false" outlineLevel="0" collapsed="false">
      <c r="A275" s="20" t="s">
        <v>218</v>
      </c>
      <c r="E275" s="21" t="str">
        <f aca="false">IF(D275="?OLD","!!!","")</f>
        <v/>
      </c>
      <c r="F275" s="22" t="str">
        <f aca="false">IF(OR(E275="",E275="!!!"),"",IF(NOT(ISNA(VLOOKUP(E275,E$1:E274,1,FALSE()))),"OLD",IF(AND(E275&lt;&gt;"",E275&lt;&gt;"!!!"),"NEW","")))</f>
        <v>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IF(OR(E275="",E275="!!!",F275="NEW"),"",INDEX(B274:B$2,-1+SUMPRODUCT(MAX(ROW(E274:E$2)*(E275=E274:E$2)))))</f>
        <v> </v>
      </c>
      <c r="J275" s="25" t="str">
        <f aca="true">IF(OR(E275="",E275="!!!",F275="NEW"),"",COUNTBLANK(OFFSET(A$1,,,SUMPRODUCT(MAX(ROW(E$2:E275)*(E275=E$2:E275)))))-COUNTBLANK(OFFSET(A$1,,,SUMPRODUCT(MAX(ROW(E$1:E274)*(E2=E$1:E274))))))</f>
        <v/>
      </c>
      <c r="K275" s="25" t="str">
        <f aca="false">IF(OR(E275="",E275="!!!",F275="NEW"),"",INDEX(J$1:J274,SUMPRODUCT(MAX(ROW(E$1:E274)*(E275=E$1:E274)))))</f>
        <v/>
      </c>
      <c r="L275" s="26"/>
    </row>
    <row r="276" customFormat="false" ht="15" hidden="false" customHeight="false" outlineLevel="0" collapsed="false">
      <c r="A276" s="20" t="s">
        <v>205</v>
      </c>
      <c r="E276" s="21" t="str">
        <f aca="false">IF(D276="?OLD","!!!","")</f>
        <v/>
      </c>
      <c r="F276" s="22" t="str">
        <f aca="false">IF(OR(E276="",E276="!!!"),"",IF(NOT(ISNA(VLOOKUP(E276,E$1:E275,1,FALSE()))),"OLD",IF(AND(E276&lt;&gt;"",E276&lt;&gt;"!!!"),"NEW","")))</f>
        <v> </v>
      </c>
      <c r="G276" s="23" t="str">
        <f aca="false">IF(OR(E276="",E276="!!!"),"",IF(OR(J276=0,AND(J276=1,K276=1),AND(J276=1,I276="SBJ"),AND(J276=1,I276=0)),"?IN_FOCUS",IF(J276&lt;=2,"?ACTIVATED",IF(J276&lt;&gt;"","?FAMILIAR",IF(F276="NEW",IF(ISNA(VLOOKUP(E276,#REF!,1,FALSE())),"?TYPE_IDENTIFIABLE","?REFERENTIAL"),"_")))))</f>
        <v/>
      </c>
      <c r="H276" s="24" t="str">
        <f aca="false">IF(J276&lt;&gt;1,"",IF(I276="SBJ","CB","?"))</f>
        <v/>
      </c>
      <c r="I276" s="25" t="str">
        <f aca="false">IF(OR(E276="",E276="!!!",F276="NEW"),"",INDEX(B275:B$2,-1+SUMPRODUCT(MAX(ROW(E275:E$2)*(E276=E275:E$2)))))</f>
        <v> </v>
      </c>
      <c r="J276" s="25" t="str">
        <f aca="true">IF(OR(E276="",E276="!!!",F276="NEW"),"",COUNTBLANK(OFFSET(A$1,,,SUMPRODUCT(MAX(ROW(E$2:E276)*(E276=E$2:E276)))))-COUNTBLANK(OFFSET(A$1,,,SUMPRODUCT(MAX(ROW(E$1:E275)*(E2=E$1:E275))))))</f>
        <v/>
      </c>
      <c r="K276" s="25" t="str">
        <f aca="false">IF(OR(E276="",E276="!!!",F276="NEW"),"",INDEX(J$1:J275,SUMPRODUCT(MAX(ROW(E$1:E275)*(E276=E$1:E275)))))</f>
        <v/>
      </c>
      <c r="L276" s="26"/>
    </row>
    <row r="277" customFormat="false" ht="15" hidden="false" customHeight="false" outlineLevel="0" collapsed="false">
      <c r="A277" s="20" t="s">
        <v>280</v>
      </c>
      <c r="B277" s="27" t="s">
        <v>250</v>
      </c>
      <c r="C277" s="27" t="s">
        <v>208</v>
      </c>
      <c r="D277" s="27" t="s">
        <v>209</v>
      </c>
      <c r="E277" s="21" t="str">
        <f aca="false">IF(D277="?OLD","!!!","")</f>
        <v>!!!</v>
      </c>
      <c r="F277" s="22" t="str">
        <f aca="false">IF(OR(E277="",E277="!!!"),"",IF(NOT(ISNA(VLOOKUP(E277,E$1:E276,1,FALSE()))),"OLD",IF(AND(E277&lt;&gt;"",E277&lt;&gt;"!!!"),"NEW","")))</f>
        <v>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IF(OR(E277="",E277="!!!",F277="NEW"),"",INDEX(B276:B$2,-1+SUMPRODUCT(MAX(ROW(E276:E$2)*(E277=E276:E$2)))))</f>
        <v> </v>
      </c>
      <c r="J277" s="25" t="str">
        <f aca="true">IF(OR(E277="",E277="!!!",F277="NEW"),"",COUNTBLANK(OFFSET(A$1,,,SUMPRODUCT(MAX(ROW(E$2:E277)*(E277=E$2:E277)))))-COUNTBLANK(OFFSET(A$1,,,SUMPRODUCT(MAX(ROW(E$1:E276)*(E2=E$1:E276))))))</f>
        <v/>
      </c>
      <c r="K277" s="25" t="str">
        <f aca="false">IF(OR(E277="",E277="!!!",F277="NEW"),"",INDEX(J$1:J276,SUMPRODUCT(MAX(ROW(E$1:E276)*(E277=E$1:E276)))))</f>
        <v/>
      </c>
      <c r="L277" s="26"/>
    </row>
    <row r="278" customFormat="false" ht="15" hidden="false" customHeight="false" outlineLevel="0" collapsed="false">
      <c r="A278" s="20" t="s">
        <v>237</v>
      </c>
      <c r="E278" s="21" t="str">
        <f aca="false">IF(D278="?OLD","!!!","")</f>
        <v/>
      </c>
      <c r="F278" s="22" t="str">
        <f aca="false">IF(OR(E278="",E278="!!!"),"",IF(NOT(ISNA(VLOOKUP(E278,E$1:E277,1,FALSE()))),"OLD",IF(AND(E278&lt;&gt;"",E278&lt;&gt;"!!!"),"NEW","")))</f>
        <v> </v>
      </c>
      <c r="G278" s="23" t="str">
        <f aca="false">IF(OR(E278="",E278="!!!"),"",IF(OR(J278=0,AND(J278=1,K278=1),AND(J278=1,I278="SBJ"),AND(J278=1,I278=0)),"?IN_FOCUS",IF(J278&lt;=2,"?ACTIVATED",IF(J278&lt;&gt;"","?FAMILIAR",IF(F278="NEW",IF(ISNA(VLOOKUP(E278,#REF!,1,FALSE())),"?TYPE_IDENTIFIABLE","?REFERENTIAL"),"_")))))</f>
        <v/>
      </c>
      <c r="H278" s="24" t="str">
        <f aca="false">IF(J278&lt;&gt;1,"",IF(I278="SBJ","CB","?"))</f>
        <v/>
      </c>
      <c r="I278" s="25" t="str">
        <f aca="false">IF(OR(E278="",E278="!!!",F278="NEW"),"",INDEX(B277:B$2,-1+SUMPRODUCT(MAX(ROW(E277:E$2)*(E278=E277:E$2)))))</f>
        <v> </v>
      </c>
      <c r="J278" s="25" t="str">
        <f aca="true">IF(OR(E278="",E278="!!!",F278="NEW"),"",COUNTBLANK(OFFSET(A$1,,,SUMPRODUCT(MAX(ROW(E$2:E278)*(E278=E$2:E278)))))-COUNTBLANK(OFFSET(A$1,,,SUMPRODUCT(MAX(ROW(E$1:E277)*(E2=E$1:E277))))))</f>
        <v/>
      </c>
      <c r="K278" s="25" t="str">
        <f aca="false">IF(OR(E278="",E278="!!!",F278="NEW"),"",INDEX(J$1:J277,SUMPRODUCT(MAX(ROW(E$1:E277)*(E278=E$1:E277)))))</f>
        <v/>
      </c>
      <c r="L278" s="26"/>
    </row>
    <row r="279" customFormat="false" ht="15" hidden="false" customHeight="false" outlineLevel="0" collapsed="false">
      <c r="A279" s="20" t="s">
        <v>288</v>
      </c>
      <c r="E279" s="21" t="str">
        <f aca="false">IF(D279="?OLD","!!!","")</f>
        <v/>
      </c>
      <c r="F279" s="22" t="str">
        <f aca="false">IF(OR(E279="",E279="!!!"),"",IF(NOT(ISNA(VLOOKUP(E279,E$1:E278,1,FALSE()))),"OLD",IF(AND(E279&lt;&gt;"",E279&lt;&gt;"!!!"),"NEW","")))</f>
        <v> </v>
      </c>
      <c r="G279" s="23" t="str">
        <f aca="false">IF(OR(E279="",E279="!!!"),"",IF(OR(J279=0,AND(J279=1,K279=1),AND(J279=1,I279="SBJ"),AND(J279=1,I279=0)),"?IN_FOCUS",IF(J279&lt;=2,"?ACTIVATED",IF(J279&lt;&gt;"","?FAMILIAR",IF(F279="NEW",IF(ISNA(VLOOKUP(E279,#REF!,1,FALSE())),"?TYPE_IDENTIFIABLE","?REFERENTIAL"),"_")))))</f>
        <v/>
      </c>
      <c r="H279" s="24" t="str">
        <f aca="false">IF(J279&lt;&gt;1,"",IF(I279="SBJ","CB","?"))</f>
        <v/>
      </c>
      <c r="I279" s="25" t="str">
        <f aca="false">IF(OR(E279="",E279="!!!",F279="NEW"),"",INDEX(B278:B$2,-1+SUMPRODUCT(MAX(ROW(E278:E$2)*(E279=E278:E$2)))))</f>
        <v> </v>
      </c>
      <c r="J279" s="25" t="str">
        <f aca="true">IF(OR(E279="",E279="!!!",F279="NEW"),"",COUNTBLANK(OFFSET(A$1,,,SUMPRODUCT(MAX(ROW(E$2:E279)*(E279=E$2:E279)))))-COUNTBLANK(OFFSET(A$1,,,SUMPRODUCT(MAX(ROW(E$1:E278)*(E2=E$1:E278))))))</f>
        <v/>
      </c>
      <c r="K279" s="25" t="str">
        <f aca="false">IF(OR(E279="",E279="!!!",F279="NEW"),"",INDEX(J$1:J278,SUMPRODUCT(MAX(ROW(E$1:E278)*(E279=E$1:E278)))))</f>
        <v/>
      </c>
      <c r="L279" s="26"/>
    </row>
    <row r="280" customFormat="false" ht="15" hidden="false" customHeight="false" outlineLevel="0" collapsed="false">
      <c r="A280" s="20" t="s">
        <v>205</v>
      </c>
      <c r="E280" s="21" t="str">
        <f aca="false">IF(D280="?OLD","!!!","")</f>
        <v/>
      </c>
      <c r="F280" s="22" t="str">
        <f aca="false">IF(OR(E280="",E280="!!!"),"",IF(NOT(ISNA(VLOOKUP(E280,E$1:E279,1,FALSE()))),"OLD",IF(AND(E280&lt;&gt;"",E280&lt;&gt;"!!!"),"NEW","")))</f>
        <v>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IF(OR(E280="",E280="!!!",F280="NEW"),"",INDEX(B279:B$2,-1+SUMPRODUCT(MAX(ROW(E279:E$2)*(E280=E279:E$2)))))</f>
        <v> </v>
      </c>
      <c r="J280" s="25" t="str">
        <f aca="true">IF(OR(E280="",E280="!!!",F280="NEW"),"",COUNTBLANK(OFFSET(A$1,,,SUMPRODUCT(MAX(ROW(E$2:E280)*(E280=E$2:E280)))))-COUNTBLANK(OFFSET(A$1,,,SUMPRODUCT(MAX(ROW(E$1:E279)*(E2=E$1:E279))))))</f>
        <v/>
      </c>
      <c r="K280" s="25" t="str">
        <f aca="false">IF(OR(E280="",E280="!!!",F280="NEW"),"",INDEX(J$1:J279,SUMPRODUCT(MAX(ROW(E$1:E279)*(E280=E$1:E279)))))</f>
        <v/>
      </c>
      <c r="L280" s="26"/>
    </row>
    <row r="281" customFormat="false" ht="15" hidden="false" customHeight="false" outlineLevel="0" collapsed="false">
      <c r="A281" s="20" t="s">
        <v>337</v>
      </c>
      <c r="B281" s="27" t="s">
        <v>240</v>
      </c>
      <c r="C281" s="27" t="s">
        <v>208</v>
      </c>
      <c r="D281" s="27" t="s">
        <v>209</v>
      </c>
      <c r="E281" s="21" t="str">
        <f aca="false">IF(D281="?OLD","!!!","")</f>
        <v>!!!</v>
      </c>
      <c r="F281" s="22" t="str">
        <f aca="false">IF(OR(E281="",E281="!!!"),"",IF(NOT(ISNA(VLOOKUP(E281,E$1:E280,1,FALSE()))),"OLD",IF(AND(E281&lt;&gt;"",E281&lt;&gt;"!!!"),"NEW","")))</f>
        <v>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IF(OR(E281="",E281="!!!",F281="NEW"),"",INDEX(B280:B$2,-1+SUMPRODUCT(MAX(ROW(E280:E$2)*(E281=E280:E$2)))))</f>
        <v> </v>
      </c>
      <c r="J281" s="25" t="str">
        <f aca="true">IF(OR(E281="",E281="!!!",F281="NEW"),"",COUNTBLANK(OFFSET(A$1,,,SUMPRODUCT(MAX(ROW(E$2:E281)*(E281=E$2:E281)))))-COUNTBLANK(OFFSET(A$1,,,SUMPRODUCT(MAX(ROW(E$1:E280)*(E2=E$1:E280))))))</f>
        <v/>
      </c>
      <c r="K281" s="25" t="str">
        <f aca="false">IF(OR(E281="",E281="!!!",F281="NEW"),"",INDEX(J$1:J280,SUMPRODUCT(MAX(ROW(E$1:E280)*(E281=E$1:E280)))))</f>
        <v/>
      </c>
      <c r="L281" s="26"/>
    </row>
    <row r="282" customFormat="false" ht="15" hidden="false" customHeight="false" outlineLevel="0" collapsed="false">
      <c r="A282" s="20" t="s">
        <v>288</v>
      </c>
      <c r="E282" s="21" t="str">
        <f aca="false">IF(D282="?OLD","!!!","")</f>
        <v/>
      </c>
      <c r="F282" s="22" t="str">
        <f aca="false">IF(OR(E282="",E282="!!!"),"",IF(NOT(ISNA(VLOOKUP(E282,E$1:E281,1,FALSE()))),"OLD",IF(AND(E282&lt;&gt;"",E282&lt;&gt;"!!!"),"NEW","")))</f>
        <v> </v>
      </c>
      <c r="G282" s="23" t="str">
        <f aca="false">IF(OR(E282="",E282="!!!"),"",IF(OR(J282=0,AND(J282=1,K282=1),AND(J282=1,I282="SBJ"),AND(J282=1,I282=0)),"?IN_FOCUS",IF(J282&lt;=2,"?ACTIVATED",IF(J282&lt;&gt;"","?FAMILIAR",IF(F282="NEW",IF(ISNA(VLOOKUP(E282,#REF!,1,FALSE())),"?TYPE_IDENTIFIABLE","?REFERENTIAL"),"_")))))</f>
        <v/>
      </c>
      <c r="H282" s="24" t="str">
        <f aca="false">IF(J282&lt;&gt;1,"",IF(I282="SBJ","CB","?"))</f>
        <v/>
      </c>
      <c r="I282" s="25" t="str">
        <f aca="false">IF(OR(E282="",E282="!!!",F282="NEW"),"",INDEX(B281:B$2,-1+SUMPRODUCT(MAX(ROW(E281:E$2)*(E282=E281:E$2)))))</f>
        <v> </v>
      </c>
      <c r="J282" s="25" t="str">
        <f aca="true">IF(OR(E282="",E282="!!!",F282="NEW"),"",COUNTBLANK(OFFSET(A$1,,,SUMPRODUCT(MAX(ROW(E$2:E282)*(E282=E$2:E282)))))-COUNTBLANK(OFFSET(A$1,,,SUMPRODUCT(MAX(ROW(E$1:E281)*(E2=E$1:E281))))))</f>
        <v/>
      </c>
      <c r="K282" s="25" t="str">
        <f aca="false">IF(OR(E282="",E282="!!!",F282="NEW"),"",INDEX(J$1:J281,SUMPRODUCT(MAX(ROW(E$1:E281)*(E282=E$1:E281)))))</f>
        <v/>
      </c>
      <c r="L282" s="26"/>
    </row>
    <row r="283" customFormat="false" ht="15" hidden="false" customHeight="false" outlineLevel="0" collapsed="false">
      <c r="A283" s="20" t="s">
        <v>338</v>
      </c>
      <c r="B283" s="27" t="s">
        <v>250</v>
      </c>
      <c r="C283" s="27" t="s">
        <v>282</v>
      </c>
      <c r="D283" s="27" t="s">
        <v>209</v>
      </c>
      <c r="E283" s="21" t="str">
        <f aca="false">IF(D283="?OLD","!!!","")</f>
        <v>!!!</v>
      </c>
      <c r="F283" s="22" t="str">
        <f aca="false">IF(OR(E283="",E283="!!!"),"",IF(NOT(ISNA(VLOOKUP(E283,E$1:E282,1,FALSE()))),"OLD",IF(AND(E283&lt;&gt;"",E283&lt;&gt;"!!!"),"NEW","")))</f>
        <v> </v>
      </c>
      <c r="G283" s="23" t="str">
        <f aca="false">IF(OR(E283="",E283="!!!"),"",IF(OR(J283=0,AND(J283=1,K283=1),AND(J283=1,I283="SBJ"),AND(J283=1,I283=0)),"?IN_FOCUS",IF(J283&lt;=2,"?ACTIVATED",IF(J283&lt;&gt;"","?FAMILIAR",IF(F283="NEW",IF(ISNA(VLOOKUP(E283,#REF!,1,FALSE())),"?TYPE_IDENTIFIABLE","?REFERENTIAL"),"_")))))</f>
        <v/>
      </c>
      <c r="H283" s="24" t="str">
        <f aca="false">IF(J283&lt;&gt;1,"",IF(I283="SBJ","CB","?"))</f>
        <v/>
      </c>
      <c r="I283" s="25" t="str">
        <f aca="false">IF(OR(E283="",E283="!!!",F283="NEW"),"",INDEX(B282:B$2,-1+SUMPRODUCT(MAX(ROW(E282:E$2)*(E283=E282:E$2)))))</f>
        <v> </v>
      </c>
      <c r="J283" s="25" t="str">
        <f aca="true">IF(OR(E283="",E283="!!!",F283="NEW"),"",COUNTBLANK(OFFSET(A$1,,,SUMPRODUCT(MAX(ROW(E$2:E283)*(E283=E$2:E283)))))-COUNTBLANK(OFFSET(A$1,,,SUMPRODUCT(MAX(ROW(E$1:E282)*(E2=E$1:E282))))))</f>
        <v/>
      </c>
      <c r="K283" s="25" t="str">
        <f aca="false">IF(OR(E283="",E283="!!!",F283="NEW"),"",INDEX(J$1:J282,SUMPRODUCT(MAX(ROW(E$1:E282)*(E283=E$1:E282)))))</f>
        <v/>
      </c>
      <c r="L283" s="26"/>
    </row>
    <row r="284" customFormat="false" ht="15" hidden="false" customHeight="false" outlineLevel="0" collapsed="false">
      <c r="A284" s="20" t="s">
        <v>339</v>
      </c>
      <c r="B284" s="27" t="s">
        <v>248</v>
      </c>
      <c r="C284" s="27" t="s">
        <v>284</v>
      </c>
      <c r="D284" s="27" t="s">
        <v>209</v>
      </c>
      <c r="E284" s="21" t="str">
        <f aca="false">IF(D284="?OLD","!!!","")</f>
        <v>!!!</v>
      </c>
      <c r="F284" s="22" t="str">
        <f aca="false">IF(OR(E284="",E284="!!!"),"",IF(NOT(ISNA(VLOOKUP(E284,E$1:E283,1,FALSE()))),"OLD",IF(AND(E284&lt;&gt;"",E284&lt;&gt;"!!!"),"NEW","")))</f>
        <v> </v>
      </c>
      <c r="G284" s="23" t="str">
        <f aca="false">IF(OR(E284="",E284="!!!"),"",IF(OR(J284=0,AND(J284=1,K284=1),AND(J284=1,I284="SBJ"),AND(J284=1,I284=0)),"?IN_FOCUS",IF(J284&lt;=2,"?ACTIVATED",IF(J284&lt;&gt;"","?FAMILIAR",IF(F284="NEW",IF(ISNA(VLOOKUP(E284,#REF!,1,FALSE())),"?TYPE_IDENTIFIABLE","?REFERENTIAL"),"_")))))</f>
        <v/>
      </c>
      <c r="H284" s="24" t="str">
        <f aca="false">IF(J284&lt;&gt;1,"",IF(I284="SBJ","CB","?"))</f>
        <v/>
      </c>
      <c r="I284" s="25" t="str">
        <f aca="false">IF(OR(E284="",E284="!!!",F284="NEW"),"",INDEX(B283:B$2,-1+SUMPRODUCT(MAX(ROW(E283:E$2)*(E284=E283:E$2)))))</f>
        <v> </v>
      </c>
      <c r="J284" s="25" t="str">
        <f aca="true">IF(OR(E284="",E284="!!!",F284="NEW"),"",COUNTBLANK(OFFSET(A$1,,,SUMPRODUCT(MAX(ROW(E$2:E284)*(E284=E$2:E284)))))-COUNTBLANK(OFFSET(A$1,,,SUMPRODUCT(MAX(ROW(E$1:E283)*(E2=E$1:E283))))))</f>
        <v/>
      </c>
      <c r="K284" s="25" t="str">
        <f aca="false">IF(OR(E284="",E284="!!!",F284="NEW"),"",INDEX(J$1:J283,SUMPRODUCT(MAX(ROW(E$1:E283)*(E284=E$1:E283)))))</f>
        <v/>
      </c>
      <c r="L284" s="26"/>
    </row>
    <row r="285" customFormat="false" ht="15" hidden="false" customHeight="false" outlineLevel="0" collapsed="false">
      <c r="A285" s="20" t="s">
        <v>340</v>
      </c>
      <c r="E285" s="21" t="str">
        <f aca="false">IF(D285="?OLD","!!!","")</f>
        <v/>
      </c>
      <c r="F285" s="22" t="str">
        <f aca="false">IF(OR(E285="",E285="!!!"),"",IF(NOT(ISNA(VLOOKUP(E285,E$1:E284,1,FALSE()))),"OLD",IF(AND(E285&lt;&gt;"",E285&lt;&gt;"!!!"),"NEW","")))</f>
        <v> </v>
      </c>
      <c r="G285" s="23" t="str">
        <f aca="false">IF(OR(E285="",E285="!!!"),"",IF(OR(J285=0,AND(J285=1,K285=1),AND(J285=1,I285="SBJ"),AND(J285=1,I285=0)),"?IN_FOCUS",IF(J285&lt;=2,"?ACTIVATED",IF(J285&lt;&gt;"","?FAMILIAR",IF(F285="NEW",IF(ISNA(VLOOKUP(E285,#REF!,1,FALSE())),"?TYPE_IDENTIFIABLE","?REFERENTIAL"),"_")))))</f>
        <v/>
      </c>
      <c r="H285" s="24" t="str">
        <f aca="false">IF(J285&lt;&gt;1,"",IF(I285="SBJ","CB","?"))</f>
        <v/>
      </c>
      <c r="I285" s="25" t="str">
        <f aca="false">IF(OR(E285="",E285="!!!",F285="NEW"),"",INDEX(B284:B$2,-1+SUMPRODUCT(MAX(ROW(E284:E$2)*(E285=E284:E$2)))))</f>
        <v> </v>
      </c>
      <c r="J285" s="25" t="str">
        <f aca="true">IF(OR(E285="",E285="!!!",F285="NEW"),"",COUNTBLANK(OFFSET(A$1,,,SUMPRODUCT(MAX(ROW(E$2:E285)*(E285=E$2:E285)))))-COUNTBLANK(OFFSET(A$1,,,SUMPRODUCT(MAX(ROW(E$1:E284)*(E2=E$1:E284))))))</f>
        <v/>
      </c>
      <c r="K285" s="25" t="str">
        <f aca="false">IF(OR(E285="",E285="!!!",F285="NEW"),"",INDEX(J$1:J284,SUMPRODUCT(MAX(ROW(E$1:E284)*(E285=E$1:E284)))))</f>
        <v/>
      </c>
      <c r="L285" s="26"/>
    </row>
    <row r="286" customFormat="false" ht="15" hidden="false" customHeight="false" outlineLevel="0" collapsed="false">
      <c r="A286" s="20" t="s">
        <v>330</v>
      </c>
      <c r="B286" s="27" t="s">
        <v>311</v>
      </c>
      <c r="E286" s="21" t="str">
        <f aca="false">IF(D286="?OLD","!!!","")</f>
        <v/>
      </c>
      <c r="F286" s="22" t="str">
        <f aca="false">IF(OR(E286="",E286="!!!"),"",IF(NOT(ISNA(VLOOKUP(E286,E$1:E285,1,FALSE()))),"OLD",IF(AND(E286&lt;&gt;"",E286&lt;&gt;"!!!"),"NEW","")))</f>
        <v>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IF(OR(E286="",E286="!!!",F286="NEW"),"",INDEX(B285:B$2,-1+SUMPRODUCT(MAX(ROW(E285:E$2)*(E286=E285:E$2)))))</f>
        <v> </v>
      </c>
      <c r="J286" s="25" t="str">
        <f aca="true">IF(OR(E286="",E286="!!!",F286="NEW"),"",COUNTBLANK(OFFSET(A$1,,,SUMPRODUCT(MAX(ROW(E$2:E286)*(E286=E$2:E286)))))-COUNTBLANK(OFFSET(A$1,,,SUMPRODUCT(MAX(ROW(E$1:E285)*(E2=E$1:E285))))))</f>
        <v/>
      </c>
      <c r="K286" s="25" t="str">
        <f aca="false">IF(OR(E286="",E286="!!!",F286="NEW"),"",INDEX(J$1:J285,SUMPRODUCT(MAX(ROW(E$1:E285)*(E286=E$1:E285)))))</f>
        <v/>
      </c>
      <c r="L286" s="26"/>
    </row>
    <row r="287" customFormat="false" ht="15" hidden="false" customHeight="false" outlineLevel="0" collapsed="false">
      <c r="A287" s="20" t="s">
        <v>341</v>
      </c>
      <c r="E287" s="21" t="str">
        <f aca="false">IF(D287="?OLD","!!!","")</f>
        <v/>
      </c>
      <c r="F287" s="22" t="str">
        <f aca="false">IF(OR(E287="",E287="!!!"),"",IF(NOT(ISNA(VLOOKUP(E287,E$1:E286,1,FALSE()))),"OLD",IF(AND(E287&lt;&gt;"",E287&lt;&gt;"!!!"),"NEW","")))</f>
        <v>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IF(OR(E287="",E287="!!!",F287="NEW"),"",INDEX(B286:B$2,-1+SUMPRODUCT(MAX(ROW(E286:E$2)*(E287=E286:E$2)))))</f>
        <v> </v>
      </c>
      <c r="J287" s="25" t="str">
        <f aca="true">IF(OR(E287="",E287="!!!",F287="NEW"),"",COUNTBLANK(OFFSET(A$1,,,SUMPRODUCT(MAX(ROW(E$2:E287)*(E287=E$2:E287)))))-COUNTBLANK(OFFSET(A$1,,,SUMPRODUCT(MAX(ROW(E$1:E286)*(E2=E$1:E286))))))</f>
        <v/>
      </c>
      <c r="K287" s="25" t="str">
        <f aca="false">IF(OR(E287="",E287="!!!",F287="NEW"),"",INDEX(J$1:J286,SUMPRODUCT(MAX(ROW(E$1:E286)*(E287=E$1:E286)))))</f>
        <v/>
      </c>
      <c r="L287" s="26"/>
    </row>
    <row r="288" customFormat="false" ht="15" hidden="false" customHeight="false" outlineLevel="0" collapsed="false">
      <c r="A288" s="20" t="s">
        <v>205</v>
      </c>
      <c r="E288" s="21" t="str">
        <f aca="false">IF(D288="?OLD","!!!","")</f>
        <v/>
      </c>
      <c r="F288" s="22" t="str">
        <f aca="false">IF(OR(E288="",E288="!!!"),"",IF(NOT(ISNA(VLOOKUP(E288,E$1:E287,1,FALSE()))),"OLD",IF(AND(E288&lt;&gt;"",E288&lt;&gt;"!!!"),"NEW","")))</f>
        <v>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IF(OR(E288="",E288="!!!",F288="NEW"),"",INDEX(B287:B$2,-1+SUMPRODUCT(MAX(ROW(E287:E$2)*(E288=E287:E$2)))))</f>
        <v> </v>
      </c>
      <c r="J288" s="25" t="str">
        <f aca="true">IF(OR(E288="",E288="!!!",F288="NEW"),"",COUNTBLANK(OFFSET(A$1,,,SUMPRODUCT(MAX(ROW(E$2:E288)*(E288=E$2:E288)))))-COUNTBLANK(OFFSET(A$1,,,SUMPRODUCT(MAX(ROW(E$1:E287)*(E2=E$1:E287))))))</f>
        <v/>
      </c>
      <c r="K288" s="25" t="str">
        <f aca="false">IF(OR(E288="",E288="!!!",F288="NEW"),"",INDEX(J$1:J287,SUMPRODUCT(MAX(ROW(E$1:E287)*(E288=E$1:E287)))))</f>
        <v/>
      </c>
      <c r="L288" s="26"/>
    </row>
    <row r="289" customFormat="false" ht="15" hidden="false" customHeight="false" outlineLevel="0" collapsed="false">
      <c r="A289" s="20" t="s">
        <v>342</v>
      </c>
      <c r="B289" s="27" t="s">
        <v>220</v>
      </c>
      <c r="C289" s="27" t="s">
        <v>284</v>
      </c>
      <c r="D289" s="27" t="s">
        <v>209</v>
      </c>
      <c r="E289" s="21" t="str">
        <f aca="false">IF(D289="?OLD","!!!","")</f>
        <v>!!!</v>
      </c>
      <c r="F289" s="22" t="str">
        <f aca="false">IF(OR(E289="",E289="!!!"),"",IF(NOT(ISNA(VLOOKUP(E289,E$1:E288,1,FALSE()))),"OLD",IF(AND(E289&lt;&gt;"",E289&lt;&gt;"!!!"),"NEW","")))</f>
        <v> </v>
      </c>
      <c r="G289" s="23" t="str">
        <f aca="false">IF(OR(E289="",E289="!!!"),"",IF(OR(J289=0,AND(J289=1,K289=1),AND(J289=1,I289="SBJ"),AND(J289=1,I289=0)),"?IN_FOCUS",IF(J289&lt;=2,"?ACTIVATED",IF(J289&lt;&gt;"","?FAMILIAR",IF(F289="NEW",IF(ISNA(VLOOKUP(E289,#REF!,1,FALSE())),"?TYPE_IDENTIFIABLE","?REFERENTIAL"),"_")))))</f>
        <v/>
      </c>
      <c r="H289" s="24" t="str">
        <f aca="false">IF(J289&lt;&gt;1,"",IF(I289="SBJ","CB","?"))</f>
        <v/>
      </c>
      <c r="I289" s="25" t="str">
        <f aca="false">IF(OR(E289="",E289="!!!",F289="NEW"),"",INDEX(B288:B$2,-1+SUMPRODUCT(MAX(ROW(E288:E$2)*(E289=E288:E$2)))))</f>
        <v> </v>
      </c>
      <c r="J289" s="25" t="str">
        <f aca="true">IF(OR(E289="",E289="!!!",F289="NEW"),"",COUNTBLANK(OFFSET(A$1,,,SUMPRODUCT(MAX(ROW(E$2:E289)*(E289=E$2:E289)))))-COUNTBLANK(OFFSET(A$1,,,SUMPRODUCT(MAX(ROW(E$1:E288)*(E2=E$1:E288))))))</f>
        <v/>
      </c>
      <c r="K289" s="25" t="str">
        <f aca="false">IF(OR(E289="",E289="!!!",F289="NEW"),"",INDEX(J$1:J288,SUMPRODUCT(MAX(ROW(E$1:E288)*(E289=E$1:E288)))))</f>
        <v/>
      </c>
      <c r="L289" s="26"/>
    </row>
    <row r="290" customFormat="false" ht="15" hidden="false" customHeight="false" outlineLevel="0" collapsed="false">
      <c r="A290" s="20" t="s">
        <v>218</v>
      </c>
      <c r="E290" s="21" t="str">
        <f aca="false">IF(D290="?OLD","!!!","")</f>
        <v/>
      </c>
      <c r="F290" s="22" t="str">
        <f aca="false">IF(OR(E290="",E290="!!!"),"",IF(NOT(ISNA(VLOOKUP(E290,E$1:E289,1,FALSE()))),"OLD",IF(AND(E290&lt;&gt;"",E290&lt;&gt;"!!!"),"NEW","")))</f>
        <v>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IF(OR(E290="",E290="!!!",F290="NEW"),"",INDEX(B289:B$2,-1+SUMPRODUCT(MAX(ROW(E289:E$2)*(E290=E289:E$2)))))</f>
        <v> </v>
      </c>
      <c r="J290" s="25" t="str">
        <f aca="true">IF(OR(E290="",E290="!!!",F290="NEW"),"",COUNTBLANK(OFFSET(A$1,,,SUMPRODUCT(MAX(ROW(E$2:E290)*(E290=E$2:E290)))))-COUNTBLANK(OFFSET(A$1,,,SUMPRODUCT(MAX(ROW(E$1:E289)*(E2=E$1:E289))))))</f>
        <v/>
      </c>
      <c r="K290" s="25" t="str">
        <f aca="false">IF(OR(E290="",E290="!!!",F290="NEW"),"",INDEX(J$1:J289,SUMPRODUCT(MAX(ROW(E$1:E289)*(E290=E$1:E289)))))</f>
        <v/>
      </c>
      <c r="L290" s="26"/>
    </row>
    <row r="291" customFormat="false" ht="15" hidden="false" customHeight="false" outlineLevel="0" collapsed="false">
      <c r="A291" s="20" t="s">
        <v>223</v>
      </c>
      <c r="B291" s="27" t="s">
        <v>248</v>
      </c>
      <c r="C291" s="27" t="s">
        <v>225</v>
      </c>
      <c r="D291" s="27" t="s">
        <v>209</v>
      </c>
      <c r="E291" s="21" t="str">
        <f aca="false">IF(D291="?OLD","!!!","")</f>
        <v>!!!</v>
      </c>
      <c r="F291" s="22" t="str">
        <f aca="false">IF(OR(E291="",E291="!!!"),"",IF(NOT(ISNA(VLOOKUP(E291,E$1:E290,1,FALSE()))),"OLD",IF(AND(E291&lt;&gt;"",E291&lt;&gt;"!!!"),"NEW","")))</f>
        <v>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IF(OR(E291="",E291="!!!",F291="NEW"),"",INDEX(B290:B$2,-1+SUMPRODUCT(MAX(ROW(E290:E$2)*(E291=E290:E$2)))))</f>
        <v> </v>
      </c>
      <c r="J291" s="25" t="str">
        <f aca="true">IF(OR(E291="",E291="!!!",F291="NEW"),"",COUNTBLANK(OFFSET(A$1,,,SUMPRODUCT(MAX(ROW(E$2:E291)*(E291=E$2:E291)))))-COUNTBLANK(OFFSET(A$1,,,SUMPRODUCT(MAX(ROW(E$1:E290)*(E2=E$1:E290))))))</f>
        <v/>
      </c>
      <c r="K291" s="25" t="str">
        <f aca="false">IF(OR(E291="",E291="!!!",F291="NEW"),"",INDEX(J$1:J290,SUMPRODUCT(MAX(ROW(E$1:E290)*(E291=E$1:E290)))))</f>
        <v/>
      </c>
      <c r="L291" s="26"/>
    </row>
    <row r="292" customFormat="false" ht="15" hidden="false" customHeight="false" outlineLevel="0" collapsed="false">
      <c r="A292" s="20" t="s">
        <v>226</v>
      </c>
      <c r="E292" s="21" t="str">
        <f aca="false">IF(D292="?OLD","!!!","")</f>
        <v/>
      </c>
      <c r="F292" s="22" t="str">
        <f aca="false">IF(OR(E292="",E292="!!!"),"",IF(NOT(ISNA(VLOOKUP(E292,E$1:E291,1,FALSE()))),"OLD",IF(AND(E292&lt;&gt;"",E292&lt;&gt;"!!!"),"NEW","")))</f>
        <v>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IF(OR(E292="",E292="!!!",F292="NEW"),"",INDEX(B291:B$2,-1+SUMPRODUCT(MAX(ROW(E291:E$2)*(E292=E291:E$2)))))</f>
        <v> </v>
      </c>
      <c r="J292" s="25" t="str">
        <f aca="true">IF(OR(E292="",E292="!!!",F292="NEW"),"",COUNTBLANK(OFFSET(A$1,,,SUMPRODUCT(MAX(ROW(E$2:E292)*(E292=E$2:E292)))))-COUNTBLANK(OFFSET(A$1,,,SUMPRODUCT(MAX(ROW(E$1:E291)*(E2=E$1:E291))))))</f>
        <v/>
      </c>
      <c r="K292" s="25" t="str">
        <f aca="false">IF(OR(E292="",E292="!!!",F292="NEW"),"",INDEX(J$1:J291,SUMPRODUCT(MAX(ROW(E$1:E291)*(E292=E$1:E291)))))</f>
        <v/>
      </c>
      <c r="L292" s="26"/>
    </row>
    <row r="293" customFormat="false" ht="15" hidden="false" customHeight="false" outlineLevel="0" collapsed="false">
      <c r="A293" s="20" t="s">
        <v>343</v>
      </c>
      <c r="E293" s="21" t="str">
        <f aca="false">IF(D293="?OLD","!!!","")</f>
        <v/>
      </c>
      <c r="F293" s="22" t="str">
        <f aca="false">IF(OR(E293="",E293="!!!"),"",IF(NOT(ISNA(VLOOKUP(E293,E$1:E292,1,FALSE()))),"OLD",IF(AND(E293&lt;&gt;"",E293&lt;&gt;"!!!"),"NEW","")))</f>
        <v>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IF(OR(E293="",E293="!!!",F293="NEW"),"",INDEX(B292:B$2,-1+SUMPRODUCT(MAX(ROW(E292:E$2)*(E293=E292:E$2)))))</f>
        <v> </v>
      </c>
      <c r="J293" s="25" t="str">
        <f aca="true">IF(OR(E293="",E293="!!!",F293="NEW"),"",COUNTBLANK(OFFSET(A$1,,,SUMPRODUCT(MAX(ROW(E$2:E293)*(E293=E$2:E293)))))-COUNTBLANK(OFFSET(A$1,,,SUMPRODUCT(MAX(ROW(E$1:E292)*(E2=E$1:E292))))))</f>
        <v/>
      </c>
      <c r="K293" s="25" t="str">
        <f aca="false">IF(OR(E293="",E293="!!!",F293="NEW"),"",INDEX(J$1:J292,SUMPRODUCT(MAX(ROW(E$1:E292)*(E293=E$1:E292)))))</f>
        <v/>
      </c>
      <c r="L293" s="26"/>
    </row>
    <row r="294" customFormat="false" ht="15" hidden="false" customHeight="false" outlineLevel="0" collapsed="false">
      <c r="A294" s="20" t="s">
        <v>205</v>
      </c>
      <c r="E294" s="21" t="str">
        <f aca="false">IF(D294="?OLD","!!!","")</f>
        <v/>
      </c>
      <c r="F294" s="22" t="str">
        <f aca="false">IF(OR(E294="",E294="!!!"),"",IF(NOT(ISNA(VLOOKUP(E294,E$1:E293,1,FALSE()))),"OLD",IF(AND(E294&lt;&gt;"",E294&lt;&gt;"!!!"),"NEW","")))</f>
        <v>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IF(OR(E294="",E294="!!!",F294="NEW"),"",INDEX(B293:B$2,-1+SUMPRODUCT(MAX(ROW(E293:E$2)*(E294=E293:E$2)))))</f>
        <v> </v>
      </c>
      <c r="J294" s="25" t="str">
        <f aca="true">IF(OR(E294="",E294="!!!",F294="NEW"),"",COUNTBLANK(OFFSET(A$1,,,SUMPRODUCT(MAX(ROW(E$2:E294)*(E294=E$2:E294)))))-COUNTBLANK(OFFSET(A$1,,,SUMPRODUCT(MAX(ROW(E$1:E293)*(E2=E$1:E293))))))</f>
        <v/>
      </c>
      <c r="K294" s="25" t="str">
        <f aca="false">IF(OR(E294="",E294="!!!",F294="NEW"),"",INDEX(J$1:J293,SUMPRODUCT(MAX(ROW(E$1:E293)*(E294=E$1:E293)))))</f>
        <v/>
      </c>
      <c r="L294" s="26"/>
    </row>
    <row r="295" customFormat="false" ht="15" hidden="false" customHeight="false" outlineLevel="0" collapsed="false">
      <c r="A295" s="20" t="s">
        <v>256</v>
      </c>
      <c r="B295" s="27" t="s">
        <v>248</v>
      </c>
      <c r="C295" s="27" t="s">
        <v>208</v>
      </c>
      <c r="D295" s="27" t="s">
        <v>209</v>
      </c>
      <c r="E295" s="21" t="str">
        <f aca="false">IF(D295="?OLD","!!!","")</f>
        <v>!!!</v>
      </c>
      <c r="F295" s="22" t="str">
        <f aca="false">IF(OR(E295="",E295="!!!"),"",IF(NOT(ISNA(VLOOKUP(E295,E$1:E294,1,FALSE()))),"OLD",IF(AND(E295&lt;&gt;"",E295&lt;&gt;"!!!"),"NEW","")))</f>
        <v>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IF(OR(E295="",E295="!!!",F295="NEW"),"",INDEX(B294:B$2,-1+SUMPRODUCT(MAX(ROW(E294:E$2)*(E295=E294:E$2)))))</f>
        <v> </v>
      </c>
      <c r="J295" s="25" t="str">
        <f aca="true">IF(OR(E295="",E295="!!!",F295="NEW"),"",COUNTBLANK(OFFSET(A$1,,,SUMPRODUCT(MAX(ROW(E$2:E295)*(E295=E$2:E295)))))-COUNTBLANK(OFFSET(A$1,,,SUMPRODUCT(MAX(ROW(E$1:E294)*(E2=E$1:E294))))))</f>
        <v/>
      </c>
      <c r="K295" s="25" t="str">
        <f aca="false">IF(OR(E295="",E295="!!!",F295="NEW"),"",INDEX(J$1:J294,SUMPRODUCT(MAX(ROW(E$1:E294)*(E295=E$1:E294)))))</f>
        <v/>
      </c>
      <c r="L295" s="26"/>
    </row>
    <row r="296" customFormat="false" ht="15" hidden="false" customHeight="false" outlineLevel="0" collapsed="false">
      <c r="A296" s="20" t="s">
        <v>218</v>
      </c>
      <c r="E296" s="21" t="str">
        <f aca="false">IF(D296="?OLD","!!!","")</f>
        <v/>
      </c>
      <c r="F296" s="22" t="str">
        <f aca="false">IF(OR(E296="",E296="!!!"),"",IF(NOT(ISNA(VLOOKUP(E296,E$1:E295,1,FALSE()))),"OLD",IF(AND(E296&lt;&gt;"",E296&lt;&gt;"!!!"),"NEW","")))</f>
        <v>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IF(OR(E296="",E296="!!!",F296="NEW"),"",INDEX(B295:B$2,-1+SUMPRODUCT(MAX(ROW(E295:E$2)*(E296=E295:E$2)))))</f>
        <v> </v>
      </c>
      <c r="J296" s="25" t="str">
        <f aca="true">IF(OR(E296="",E296="!!!",F296="NEW"),"",COUNTBLANK(OFFSET(A$1,,,SUMPRODUCT(MAX(ROW(E$2:E296)*(E296=E$2:E296)))))-COUNTBLANK(OFFSET(A$1,,,SUMPRODUCT(MAX(ROW(E$1:E295)*(E2=E$1:E295))))))</f>
        <v/>
      </c>
      <c r="K296" s="25" t="str">
        <f aca="false">IF(OR(E296="",E296="!!!",F296="NEW"),"",INDEX(J$1:J295,SUMPRODUCT(MAX(ROW(E$1:E295)*(E296=E$1:E295)))))</f>
        <v/>
      </c>
      <c r="L296" s="26"/>
    </row>
    <row r="297" customFormat="false" ht="15" hidden="false" customHeight="false" outlineLevel="0" collapsed="false">
      <c r="A297" s="20" t="s">
        <v>205</v>
      </c>
      <c r="E297" s="21" t="str">
        <f aca="false">IF(D297="?OLD","!!!","")</f>
        <v/>
      </c>
      <c r="F297" s="22" t="str">
        <f aca="false">IF(OR(E297="",E297="!!!"),"",IF(NOT(ISNA(VLOOKUP(E297,E$1:E296,1,FALSE()))),"OLD",IF(AND(E297&lt;&gt;"",E297&lt;&gt;"!!!"),"NEW","")))</f>
        <v>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IF(OR(E297="",E297="!!!",F297="NEW"),"",INDEX(B296:B$2,-1+SUMPRODUCT(MAX(ROW(E296:E$2)*(E297=E296:E$2)))))</f>
        <v> </v>
      </c>
      <c r="J297" s="25" t="str">
        <f aca="true">IF(OR(E297="",E297="!!!",F297="NEW"),"",COUNTBLANK(OFFSET(A$1,,,SUMPRODUCT(MAX(ROW(E$2:E297)*(E297=E$2:E297)))))-COUNTBLANK(OFFSET(A$1,,,SUMPRODUCT(MAX(ROW(E$1:E296)*(E2=E$1:E296))))))</f>
        <v/>
      </c>
      <c r="K297" s="25" t="str">
        <f aca="false">IF(OR(E297="",E297="!!!",F297="NEW"),"",INDEX(J$1:J296,SUMPRODUCT(MAX(ROW(E$1:E296)*(E297=E$1:E296)))))</f>
        <v/>
      </c>
      <c r="L297" s="26"/>
    </row>
    <row r="298" customFormat="false" ht="15" hidden="false" customHeight="false" outlineLevel="0" collapsed="false">
      <c r="A298" s="20" t="s">
        <v>249</v>
      </c>
      <c r="B298" s="27" t="s">
        <v>250</v>
      </c>
      <c r="C298" s="27" t="s">
        <v>208</v>
      </c>
      <c r="D298" s="27" t="s">
        <v>209</v>
      </c>
      <c r="E298" s="21" t="str">
        <f aca="false">IF(D298="?OLD","!!!","")</f>
        <v>!!!</v>
      </c>
      <c r="F298" s="22" t="str">
        <f aca="false">IF(OR(E298="",E298="!!!"),"",IF(NOT(ISNA(VLOOKUP(E298,E$1:E297,1,FALSE()))),"OLD",IF(AND(E298&lt;&gt;"",E298&lt;&gt;"!!!"),"NEW","")))</f>
        <v> </v>
      </c>
      <c r="G298" s="23" t="str">
        <f aca="false">IF(OR(E298="",E298="!!!"),"",IF(OR(J298=0,AND(J298=1,K298=1),AND(J298=1,I298="SBJ"),AND(J298=1,I298=0)),"?IN_FOCUS",IF(J298&lt;=2,"?ACTIVATED",IF(J298&lt;&gt;"","?FAMILIAR",IF(F298="NEW",IF(ISNA(VLOOKUP(E298,#REF!,1,FALSE())),"?TYPE_IDENTIFIABLE","?REFERENTIAL"),"_")))))</f>
        <v/>
      </c>
      <c r="H298" s="24" t="str">
        <f aca="false">IF(J298&lt;&gt;1,"",IF(I298="SBJ","CB","?"))</f>
        <v/>
      </c>
      <c r="I298" s="25" t="str">
        <f aca="false">IF(OR(E298="",E298="!!!",F298="NEW"),"",INDEX(B297:B$2,-1+SUMPRODUCT(MAX(ROW(E297:E$2)*(E298=E297:E$2)))))</f>
        <v> </v>
      </c>
      <c r="J298" s="25" t="str">
        <f aca="true">IF(OR(E298="",E298="!!!",F298="NEW"),"",COUNTBLANK(OFFSET(A$1,,,SUMPRODUCT(MAX(ROW(E$2:E298)*(E298=E$2:E298)))))-COUNTBLANK(OFFSET(A$1,,,SUMPRODUCT(MAX(ROW(E$1:E297)*(E2=E$1:E297))))))</f>
        <v/>
      </c>
      <c r="K298" s="25" t="str">
        <f aca="false">IF(OR(E298="",E298="!!!",F298="NEW"),"",INDEX(J$1:J297,SUMPRODUCT(MAX(ROW(E$1:E297)*(E298=E$1:E297)))))</f>
        <v/>
      </c>
      <c r="L298" s="26"/>
    </row>
    <row r="299" customFormat="false" ht="15" hidden="false" customHeight="false" outlineLevel="0" collapsed="false">
      <c r="A299" s="20" t="s">
        <v>229</v>
      </c>
      <c r="E299" s="21" t="str">
        <f aca="false">IF(D299="?OLD","!!!","")</f>
        <v/>
      </c>
      <c r="F299" s="22" t="str">
        <f aca="false">IF(OR(E299="",E299="!!!"),"",IF(NOT(ISNA(VLOOKUP(E299,E$1:E298,1,FALSE()))),"OLD",IF(AND(E299&lt;&gt;"",E299&lt;&gt;"!!!"),"NEW","")))</f>
        <v>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IF(OR(E299="",E299="!!!",F299="NEW"),"",INDEX(B298:B$2,-1+SUMPRODUCT(MAX(ROW(E298:E$2)*(E299=E298:E$2)))))</f>
        <v> </v>
      </c>
      <c r="J299" s="25" t="str">
        <f aca="true">IF(OR(E299="",E299="!!!",F299="NEW"),"",COUNTBLANK(OFFSET(A$1,,,SUMPRODUCT(MAX(ROW(E$2:E299)*(E299=E$2:E299)))))-COUNTBLANK(OFFSET(A$1,,,SUMPRODUCT(MAX(ROW(E$1:E298)*(E2=E$1:E298))))))</f>
        <v/>
      </c>
      <c r="K299" s="25" t="str">
        <f aca="false">IF(OR(E299="",E299="!!!",F299="NEW"),"",INDEX(J$1:J298,SUMPRODUCT(MAX(ROW(E$1:E298)*(E299=E$1:E298)))))</f>
        <v/>
      </c>
      <c r="L299" s="26"/>
    </row>
    <row r="300" customFormat="false" ht="15" hidden="false" customHeight="false" outlineLevel="0" collapsed="false">
      <c r="A300" s="20"/>
    </row>
    <row r="301" customFormat="false" ht="15" hidden="false" customHeight="false" outlineLevel="0" collapsed="false">
      <c r="A301" s="20" t="s">
        <v>230</v>
      </c>
      <c r="E301" s="21" t="str">
        <f aca="false">IF(D301="?OLD","!!!","")</f>
        <v/>
      </c>
      <c r="F301" s="22" t="str">
        <f aca="false">IF(OR(E301="",E301="!!!"),"",IF(NOT(ISNA(VLOOKUP(E301,E$1:E300,1,FALSE()))),"OLD",IF(AND(E301&lt;&gt;"",E301&lt;&gt;"!!!"),"NEW","")))</f>
        <v> </v>
      </c>
      <c r="G301" s="23" t="str">
        <f aca="false">IF(OR(E301="",E301="!!!"),"",IF(OR(J301=0,AND(J301=1,K301=1),AND(J301=1,I301="SBJ"),AND(J301=1,I301=0)),"?IN_FOCUS",IF(J301&lt;=2,"?ACTIVATED",IF(J301&lt;&gt;"","?FAMILIAR",IF(F301="NEW",IF(ISNA(VLOOKUP(E301,#REF!,1,FALSE())),"?TYPE_IDENTIFIABLE","?REFERENTIAL"),"_")))))</f>
        <v/>
      </c>
      <c r="H301" s="24" t="str">
        <f aca="false">IF(J301&lt;&gt;1,"",IF(I301="SBJ","CB","?"))</f>
        <v/>
      </c>
      <c r="I301" s="25" t="str">
        <f aca="false">IF(OR(E301="",E301="!!!",F301="NEW"),"",INDEX(B300:B$2,-1+SUMPRODUCT(MAX(ROW(E300:E$2)*(E301=E300:E$2)))))</f>
        <v> </v>
      </c>
      <c r="J301" s="25" t="str">
        <f aca="true">IF(OR(E301="",E301="!!!",F301="NEW"),"",COUNTBLANK(OFFSET(A$1,,,SUMPRODUCT(MAX(ROW(E$2:E301)*(E301=E$2:E301)))))-COUNTBLANK(OFFSET(A$1,,,SUMPRODUCT(MAX(ROW(E$1:E300)*(E2=E$1:E300))))))</f>
        <v/>
      </c>
      <c r="K301" s="25" t="str">
        <f aca="false">IF(OR(E301="",E301="!!!",F301="NEW"),"",INDEX(J$1:J300,SUMPRODUCT(MAX(ROW(E$1:E300)*(E301=E$1:E300)))))</f>
        <v/>
      </c>
      <c r="L301" s="26"/>
    </row>
    <row r="302" customFormat="false" ht="15" hidden="false" customHeight="false" outlineLevel="0" collapsed="false">
      <c r="A302" s="20" t="s">
        <v>344</v>
      </c>
    </row>
    <row r="303" customFormat="false" ht="15" hidden="false" customHeight="false" outlineLevel="0" collapsed="false">
      <c r="A303" s="20" t="s">
        <v>223</v>
      </c>
      <c r="B303" s="27" t="s">
        <v>207</v>
      </c>
      <c r="C303" s="27" t="s">
        <v>225</v>
      </c>
      <c r="D303" s="27" t="s">
        <v>209</v>
      </c>
      <c r="E303" s="21" t="str">
        <f aca="false">IF(D303="?OLD","!!!","")</f>
        <v>!!!</v>
      </c>
      <c r="F303" s="22" t="str">
        <f aca="false">IF(OR(E303="",E303="!!!"),"",IF(NOT(ISNA(VLOOKUP(E303,E$1:E302,1,FALSE()))),"OLD",IF(AND(E303&lt;&gt;"",E303&lt;&gt;"!!!"),"NEW","")))</f>
        <v> </v>
      </c>
      <c r="G303" s="23" t="str">
        <f aca="false">IF(OR(E303="",E303="!!!"),"",IF(OR(J303=0,AND(J303=1,K303=1),AND(J303=1,I303="SBJ"),AND(J303=1,I303=0)),"?IN_FOCUS",IF(J303&lt;=2,"?ACTIVATED",IF(J303&lt;&gt;"","?FAMILIAR",IF(F303="NEW",IF(ISNA(VLOOKUP(E303,#REF!,1,FALSE())),"?TYPE_IDENTIFIABLE","?REFERENTIAL"),"_")))))</f>
        <v/>
      </c>
      <c r="H303" s="24" t="str">
        <f aca="false">IF(J303&lt;&gt;1,"",IF(I303="SBJ","CB","?"))</f>
        <v/>
      </c>
      <c r="I303" s="25" t="str">
        <f aca="false">IF(OR(E303="",E303="!!!",F303="NEW"),"",INDEX(B302:B$2,-1+SUMPRODUCT(MAX(ROW(E302:E$2)*(E303=E302:E$2)))))</f>
        <v> </v>
      </c>
      <c r="J303" s="25" t="str">
        <f aca="true">IF(OR(E303="",E303="!!!",F303="NEW"),"",COUNTBLANK(OFFSET(A$1,,,SUMPRODUCT(MAX(ROW(E$2:E303)*(E303=E$2:E303)))))-COUNTBLANK(OFFSET(A$1,,,SUMPRODUCT(MAX(ROW(E$1:E302)*(E2=E$1:E302))))))</f>
        <v/>
      </c>
      <c r="K303" s="25" t="str">
        <f aca="false">IF(OR(E303="",E303="!!!",F303="NEW"),"",INDEX(J$1:J302,SUMPRODUCT(MAX(ROW(E$1:E302)*(E303=E$1:E302)))))</f>
        <v/>
      </c>
      <c r="L303" s="26"/>
    </row>
    <row r="304" customFormat="false" ht="15" hidden="false" customHeight="false" outlineLevel="0" collapsed="false">
      <c r="A304" s="20" t="s">
        <v>226</v>
      </c>
      <c r="E304" s="21" t="str">
        <f aca="false">IF(D304="?OLD","!!!","")</f>
        <v/>
      </c>
      <c r="F304" s="22" t="str">
        <f aca="false">IF(OR(E304="",E304="!!!"),"",IF(NOT(ISNA(VLOOKUP(E304,E$1:E303,1,FALSE()))),"OLD",IF(AND(E304&lt;&gt;"",E304&lt;&gt;"!!!"),"NEW","")))</f>
        <v>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IF(OR(E304="",E304="!!!",F304="NEW"),"",INDEX(B303:B$2,-1+SUMPRODUCT(MAX(ROW(E303:E$2)*(E304=E303:E$2)))))</f>
        <v> </v>
      </c>
      <c r="J304" s="25" t="str">
        <f aca="true">IF(OR(E304="",E304="!!!",F304="NEW"),"",COUNTBLANK(OFFSET(A$1,,,SUMPRODUCT(MAX(ROW(E$2:E304)*(E304=E$2:E304)))))-COUNTBLANK(OFFSET(A$1,,,SUMPRODUCT(MAX(ROW(E$1:E303)*(E2=E$1:E303))))))</f>
        <v/>
      </c>
      <c r="K304" s="25" t="str">
        <f aca="false">IF(OR(E304="",E304="!!!",F304="NEW"),"",INDEX(J$1:J303,SUMPRODUCT(MAX(ROW(E$1:E303)*(E304=E$1:E303)))))</f>
        <v/>
      </c>
      <c r="L304" s="26"/>
    </row>
    <row r="305" customFormat="false" ht="15" hidden="false" customHeight="false" outlineLevel="0" collapsed="false">
      <c r="A305" s="20" t="s">
        <v>345</v>
      </c>
      <c r="E305" s="21" t="str">
        <f aca="false">IF(D305="?OLD","!!!","")</f>
        <v/>
      </c>
      <c r="F305" s="22" t="str">
        <f aca="false">IF(OR(E305="",E305="!!!"),"",IF(NOT(ISNA(VLOOKUP(E305,E$1:E304,1,FALSE()))),"OLD",IF(AND(E305&lt;&gt;"",E305&lt;&gt;"!!!"),"NEW","")))</f>
        <v> </v>
      </c>
      <c r="G305" s="23" t="str">
        <f aca="false">IF(OR(E305="",E305="!!!"),"",IF(OR(J305=0,AND(J305=1,K305=1),AND(J305=1,I305="SBJ"),AND(J305=1,I305=0)),"?IN_FOCUS",IF(J305&lt;=2,"?ACTIVATED",IF(J305&lt;&gt;"","?FAMILIAR",IF(F305="NEW",IF(ISNA(VLOOKUP(E305,#REF!,1,FALSE())),"?TYPE_IDENTIFIABLE","?REFERENTIAL"),"_")))))</f>
        <v/>
      </c>
      <c r="H305" s="24" t="str">
        <f aca="false">IF(J305&lt;&gt;1,"",IF(I305="SBJ","CB","?"))</f>
        <v/>
      </c>
      <c r="I305" s="25" t="str">
        <f aca="false">IF(OR(E305="",E305="!!!",F305="NEW"),"",INDEX(B304:B$2,-1+SUMPRODUCT(MAX(ROW(E304:E$2)*(E305=E304:E$2)))))</f>
        <v> </v>
      </c>
      <c r="J305" s="25" t="str">
        <f aca="true">IF(OR(E305="",E305="!!!",F305="NEW"),"",COUNTBLANK(OFFSET(A$1,,,SUMPRODUCT(MAX(ROW(E$2:E305)*(E305=E$2:E305)))))-COUNTBLANK(OFFSET(A$1,,,SUMPRODUCT(MAX(ROW(E$1:E304)*(E2=E$1:E304))))))</f>
        <v/>
      </c>
      <c r="K305" s="25" t="str">
        <f aca="false">IF(OR(E305="",E305="!!!",F305="NEW"),"",INDEX(J$1:J304,SUMPRODUCT(MAX(ROW(E$1:E304)*(E305=E$1:E304)))))</f>
        <v/>
      </c>
      <c r="L305" s="26"/>
    </row>
    <row r="306" customFormat="false" ht="15" hidden="false" customHeight="false" outlineLevel="0" collapsed="false">
      <c r="A306" s="20" t="s">
        <v>235</v>
      </c>
      <c r="E306" s="21" t="str">
        <f aca="false">IF(D306="?OLD","!!!","")</f>
        <v/>
      </c>
      <c r="F306" s="22" t="str">
        <f aca="false">IF(OR(E306="",E306="!!!"),"",IF(NOT(ISNA(VLOOKUP(E306,E$1:E305,1,FALSE()))),"OLD",IF(AND(E306&lt;&gt;"",E306&lt;&gt;"!!!"),"NEW","")))</f>
        <v> </v>
      </c>
      <c r="G306" s="23" t="str">
        <f aca="false">IF(OR(E306="",E306="!!!"),"",IF(OR(J306=0,AND(J306=1,K306=1),AND(J306=1,I306="SBJ"),AND(J306=1,I306=0)),"?IN_FOCUS",IF(J306&lt;=2,"?ACTIVATED",IF(J306&lt;&gt;"","?FAMILIAR",IF(F306="NEW",IF(ISNA(VLOOKUP(E306,#REF!,1,FALSE())),"?TYPE_IDENTIFIABLE","?REFERENTIAL"),"_")))))</f>
        <v/>
      </c>
      <c r="H306" s="24" t="str">
        <f aca="false">IF(J306&lt;&gt;1,"",IF(I306="SBJ","CB","?"))</f>
        <v/>
      </c>
      <c r="I306" s="25" t="str">
        <f aca="false">IF(OR(E306="",E306="!!!",F306="NEW"),"",INDEX(B305:B$2,-1+SUMPRODUCT(MAX(ROW(E305:E$2)*(E306=E305:E$2)))))</f>
        <v> </v>
      </c>
      <c r="J306" s="25" t="str">
        <f aca="true">IF(OR(E306="",E306="!!!",F306="NEW"),"",COUNTBLANK(OFFSET(A$1,,,SUMPRODUCT(MAX(ROW(E$2:E306)*(E306=E$2:E306)))))-COUNTBLANK(OFFSET(A$1,,,SUMPRODUCT(MAX(ROW(E$1:E305)*(E2=E$1:E305))))))</f>
        <v/>
      </c>
      <c r="K306" s="25" t="str">
        <f aca="false">IF(OR(E306="",E306="!!!",F306="NEW"),"",INDEX(J$1:J305,SUMPRODUCT(MAX(ROW(E$1:E305)*(E306=E$1:E305)))))</f>
        <v/>
      </c>
      <c r="L306" s="26"/>
    </row>
    <row r="307" customFormat="false" ht="15" hidden="false" customHeight="false" outlineLevel="0" collapsed="false">
      <c r="A307" s="20" t="s">
        <v>205</v>
      </c>
      <c r="E307" s="21" t="str">
        <f aca="false">IF(D307="?OLD","!!!","")</f>
        <v/>
      </c>
      <c r="F307" s="22" t="str">
        <f aca="false">IF(OR(E307="",E307="!!!"),"",IF(NOT(ISNA(VLOOKUP(E307,E$1:E306,1,FALSE()))),"OLD",IF(AND(E307&lt;&gt;"",E307&lt;&gt;"!!!"),"NEW","")))</f>
        <v> </v>
      </c>
      <c r="G307" s="23" t="str">
        <f aca="false">IF(OR(E307="",E307="!!!"),"",IF(OR(J307=0,AND(J307=1,K307=1),AND(J307=1,I307="SBJ"),AND(J307=1,I307=0)),"?IN_FOCUS",IF(J307&lt;=2,"?ACTIVATED",IF(J307&lt;&gt;"","?FAMILIAR",IF(F307="NEW",IF(ISNA(VLOOKUP(E307,#REF!,1,FALSE())),"?TYPE_IDENTIFIABLE","?REFERENTIAL"),"_")))))</f>
        <v/>
      </c>
      <c r="H307" s="24" t="str">
        <f aca="false">IF(J307&lt;&gt;1,"",IF(I307="SBJ","CB","?"))</f>
        <v/>
      </c>
      <c r="I307" s="25" t="str">
        <f aca="false">IF(OR(E307="",E307="!!!",F307="NEW"),"",INDEX(B306:B$2,-1+SUMPRODUCT(MAX(ROW(E306:E$2)*(E307=E306:E$2)))))</f>
        <v> </v>
      </c>
      <c r="J307" s="25" t="str">
        <f aca="true">IF(OR(E307="",E307="!!!",F307="NEW"),"",COUNTBLANK(OFFSET(A$1,,,SUMPRODUCT(MAX(ROW(E$2:E307)*(E307=E$2:E307)))))-COUNTBLANK(OFFSET(A$1,,,SUMPRODUCT(MAX(ROW(E$1:E306)*(E2=E$1:E306))))))</f>
        <v/>
      </c>
      <c r="K307" s="25" t="str">
        <f aca="false">IF(OR(E307="",E307="!!!",F307="NEW"),"",INDEX(J$1:J306,SUMPRODUCT(MAX(ROW(E$1:E306)*(E307=E$1:E306)))))</f>
        <v/>
      </c>
      <c r="L307" s="26"/>
    </row>
    <row r="308" customFormat="false" ht="15" hidden="false" customHeight="false" outlineLevel="0" collapsed="false">
      <c r="A308" s="20" t="s">
        <v>337</v>
      </c>
      <c r="B308" s="27" t="s">
        <v>216</v>
      </c>
      <c r="C308" s="27" t="s">
        <v>208</v>
      </c>
      <c r="D308" s="27" t="s">
        <v>209</v>
      </c>
      <c r="E308" s="21" t="str">
        <f aca="false">IF(D308="?OLD","!!!","")</f>
        <v>!!!</v>
      </c>
      <c r="F308" s="22" t="str">
        <f aca="false">IF(OR(E308="",E308="!!!"),"",IF(NOT(ISNA(VLOOKUP(E308,E$1:E307,1,FALSE()))),"OLD",IF(AND(E308&lt;&gt;"",E308&lt;&gt;"!!!"),"NEW","")))</f>
        <v> </v>
      </c>
      <c r="G308" s="23" t="str">
        <f aca="false">IF(OR(E308="",E308="!!!"),"",IF(OR(J308=0,AND(J308=1,K308=1),AND(J308=1,I308="SBJ"),AND(J308=1,I308=0)),"?IN_FOCUS",IF(J308&lt;=2,"?ACTIVATED",IF(J308&lt;&gt;"","?FAMILIAR",IF(F308="NEW",IF(ISNA(VLOOKUP(E308,#REF!,1,FALSE())),"?TYPE_IDENTIFIABLE","?REFERENTIAL"),"_")))))</f>
        <v/>
      </c>
      <c r="H308" s="24" t="str">
        <f aca="false">IF(J308&lt;&gt;1,"",IF(I308="SBJ","CB","?"))</f>
        <v/>
      </c>
      <c r="I308" s="25" t="str">
        <f aca="false">IF(OR(E308="",E308="!!!",F308="NEW"),"",INDEX(B307:B$2,-1+SUMPRODUCT(MAX(ROW(E307:E$2)*(E308=E307:E$2)))))</f>
        <v> </v>
      </c>
      <c r="J308" s="25" t="str">
        <f aca="true">IF(OR(E308="",E308="!!!",F308="NEW"),"",COUNTBLANK(OFFSET(A$1,,,SUMPRODUCT(MAX(ROW(E$2:E308)*(E308=E$2:E308)))))-COUNTBLANK(OFFSET(A$1,,,SUMPRODUCT(MAX(ROW(E$1:E307)*(E2=E$1:E307))))))</f>
        <v/>
      </c>
      <c r="K308" s="25" t="str">
        <f aca="false">IF(OR(E308="",E308="!!!",F308="NEW"),"",INDEX(J$1:J307,SUMPRODUCT(MAX(ROW(E$1:E307)*(E308=E$1:E307)))))</f>
        <v/>
      </c>
      <c r="L308" s="26"/>
    </row>
    <row r="309" customFormat="false" ht="15" hidden="false" customHeight="false" outlineLevel="0" collapsed="false">
      <c r="A309" s="20" t="s">
        <v>237</v>
      </c>
      <c r="E309" s="21" t="str">
        <f aca="false">IF(D309="?OLD","!!!","")</f>
        <v/>
      </c>
      <c r="F309" s="22" t="str">
        <f aca="false">IF(OR(E309="",E309="!!!"),"",IF(NOT(ISNA(VLOOKUP(E309,E$1:E308,1,FALSE()))),"OLD",IF(AND(E309&lt;&gt;"",E309&lt;&gt;"!!!"),"NEW","")))</f>
        <v>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IF(OR(E309="",E309="!!!",F309="NEW"),"",INDEX(B308:B$2,-1+SUMPRODUCT(MAX(ROW(E308:E$2)*(E309=E308:E$2)))))</f>
        <v> </v>
      </c>
      <c r="J309" s="25" t="str">
        <f aca="true">IF(OR(E309="",E309="!!!",F309="NEW"),"",COUNTBLANK(OFFSET(A$1,,,SUMPRODUCT(MAX(ROW(E$2:E309)*(E309=E$2:E309)))))-COUNTBLANK(OFFSET(A$1,,,SUMPRODUCT(MAX(ROW(E$1:E308)*(E2=E$1:E308))))))</f>
        <v/>
      </c>
      <c r="K309" s="25" t="str">
        <f aca="false">IF(OR(E309="",E309="!!!",F309="NEW"),"",INDEX(J$1:J308,SUMPRODUCT(MAX(ROW(E$1:E308)*(E309=E$1:E308)))))</f>
        <v/>
      </c>
      <c r="L309" s="26"/>
    </row>
    <row r="310" customFormat="false" ht="15" hidden="false" customHeight="false" outlineLevel="0" collapsed="false">
      <c r="A310" s="20" t="s">
        <v>288</v>
      </c>
      <c r="E310" s="21" t="str">
        <f aca="false">IF(D310="?OLD","!!!","")</f>
        <v/>
      </c>
      <c r="F310" s="22" t="str">
        <f aca="false">IF(OR(E310="",E310="!!!"),"",IF(NOT(ISNA(VLOOKUP(E310,E$1:E309,1,FALSE()))),"OLD",IF(AND(E310&lt;&gt;"",E310&lt;&gt;"!!!"),"NEW","")))</f>
        <v> </v>
      </c>
      <c r="G310" s="23" t="str">
        <f aca="false">IF(OR(E310="",E310="!!!"),"",IF(OR(J310=0,AND(J310=1,K310=1),AND(J310=1,I310="SBJ"),AND(J310=1,I310=0)),"?IN_FOCUS",IF(J310&lt;=2,"?ACTIVATED",IF(J310&lt;&gt;"","?FAMILIAR",IF(F310="NEW",IF(ISNA(VLOOKUP(E310,#REF!,1,FALSE())),"?TYPE_IDENTIFIABLE","?REFERENTIAL"),"_")))))</f>
        <v/>
      </c>
      <c r="H310" s="24" t="str">
        <f aca="false">IF(J310&lt;&gt;1,"",IF(I310="SBJ","CB","?"))</f>
        <v/>
      </c>
      <c r="I310" s="25" t="str">
        <f aca="false">IF(OR(E310="",E310="!!!",F310="NEW"),"",INDEX(B309:B$2,-1+SUMPRODUCT(MAX(ROW(E309:E$2)*(E310=E309:E$2)))))</f>
        <v> </v>
      </c>
      <c r="J310" s="25" t="str">
        <f aca="true">IF(OR(E310="",E310="!!!",F310="NEW"),"",COUNTBLANK(OFFSET(A$1,,,SUMPRODUCT(MAX(ROW(E$2:E310)*(E310=E$2:E310)))))-COUNTBLANK(OFFSET(A$1,,,SUMPRODUCT(MAX(ROW(E$1:E309)*(E2=E$1:E309))))))</f>
        <v/>
      </c>
      <c r="K310" s="25" t="str">
        <f aca="false">IF(OR(E310="",E310="!!!",F310="NEW"),"",INDEX(J$1:J309,SUMPRODUCT(MAX(ROW(E$1:E309)*(E310=E$1:E309)))))</f>
        <v/>
      </c>
      <c r="L310" s="26"/>
    </row>
    <row r="311" customFormat="false" ht="15" hidden="false" customHeight="false" outlineLevel="0" collapsed="false">
      <c r="A311" s="20" t="s">
        <v>234</v>
      </c>
      <c r="E311" s="21" t="str">
        <f aca="false">IF(D311="?OLD","!!!","")</f>
        <v/>
      </c>
      <c r="F311" s="22" t="str">
        <f aca="false">IF(OR(E311="",E311="!!!"),"",IF(NOT(ISNA(VLOOKUP(E311,E$1:E310,1,FALSE()))),"OLD",IF(AND(E311&lt;&gt;"",E311&lt;&gt;"!!!"),"NEW","")))</f>
        <v>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IF(OR(E311="",E311="!!!",F311="NEW"),"",INDEX(B310:B$2,-1+SUMPRODUCT(MAX(ROW(E310:E$2)*(E311=E310:E$2)))))</f>
        <v> </v>
      </c>
      <c r="J311" s="25" t="str">
        <f aca="true">IF(OR(E311="",E311="!!!",F311="NEW"),"",COUNTBLANK(OFFSET(A$1,,,SUMPRODUCT(MAX(ROW(E$2:E311)*(E311=E$2:E311)))))-COUNTBLANK(OFFSET(A$1,,,SUMPRODUCT(MAX(ROW(E$1:E310)*(E2=E$1:E310))))))</f>
        <v/>
      </c>
      <c r="K311" s="25" t="str">
        <f aca="false">IF(OR(E311="",E311="!!!",F311="NEW"),"",INDEX(J$1:J310,SUMPRODUCT(MAX(ROW(E$1:E310)*(E311=E$1:E310)))))</f>
        <v/>
      </c>
      <c r="L311" s="26"/>
    </row>
    <row r="312" customFormat="false" ht="15" hidden="false" customHeight="false" outlineLevel="0" collapsed="false">
      <c r="A312" s="20" t="s">
        <v>235</v>
      </c>
      <c r="E312" s="21" t="str">
        <f aca="false">IF(D312="?OLD","!!!","")</f>
        <v/>
      </c>
      <c r="F312" s="22" t="str">
        <f aca="false">IF(OR(E312="",E312="!!!"),"",IF(NOT(ISNA(VLOOKUP(E312,E$1:E311,1,FALSE()))),"OLD",IF(AND(E312&lt;&gt;"",E312&lt;&gt;"!!!"),"NEW","")))</f>
        <v>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IF(OR(E312="",E312="!!!",F312="NEW"),"",INDEX(B311:B$2,-1+SUMPRODUCT(MAX(ROW(E311:E$2)*(E312=E311:E$2)))))</f>
        <v> </v>
      </c>
      <c r="J312" s="25" t="str">
        <f aca="true">IF(OR(E312="",E312="!!!",F312="NEW"),"",COUNTBLANK(OFFSET(A$1,,,SUMPRODUCT(MAX(ROW(E$2:E312)*(E312=E$2:E312)))))-COUNTBLANK(OFFSET(A$1,,,SUMPRODUCT(MAX(ROW(E$1:E311)*(E2=E$1:E311))))))</f>
        <v/>
      </c>
      <c r="K312" s="25" t="str">
        <f aca="false">IF(OR(E312="",E312="!!!",F312="NEW"),"",INDEX(J$1:J311,SUMPRODUCT(MAX(ROW(E$1:E311)*(E312=E$1:E311)))))</f>
        <v/>
      </c>
      <c r="L312" s="26"/>
    </row>
    <row r="313" customFormat="false" ht="15" hidden="false" customHeight="false" outlineLevel="0" collapsed="false">
      <c r="A313" s="20" t="s">
        <v>346</v>
      </c>
      <c r="B313" s="27" t="s">
        <v>220</v>
      </c>
      <c r="C313" s="27" t="s">
        <v>233</v>
      </c>
      <c r="D313" s="27" t="s">
        <v>209</v>
      </c>
      <c r="E313" s="21" t="str">
        <f aca="false">IF(D313="?OLD","!!!","")</f>
        <v>!!!</v>
      </c>
      <c r="F313" s="22" t="str">
        <f aca="false">IF(OR(E313="",E313="!!!"),"",IF(NOT(ISNA(VLOOKUP(E313,E$1:E312,1,FALSE()))),"OLD",IF(AND(E313&lt;&gt;"",E313&lt;&gt;"!!!"),"NEW","")))</f>
        <v> </v>
      </c>
      <c r="G313" s="23" t="str">
        <f aca="false">IF(OR(E313="",E313="!!!"),"",IF(OR(J313=0,AND(J313=1,K313=1),AND(J313=1,I313="SBJ"),AND(J313=1,I313=0)),"?IN_FOCUS",IF(J313&lt;=2,"?ACTIVATED",IF(J313&lt;&gt;"","?FAMILIAR",IF(F313="NEW",IF(ISNA(VLOOKUP(E313,#REF!,1,FALSE())),"?TYPE_IDENTIFIABLE","?REFERENTIAL"),"_")))))</f>
        <v/>
      </c>
      <c r="H313" s="24" t="str">
        <f aca="false">IF(J313&lt;&gt;1,"",IF(I313="SBJ","CB","?"))</f>
        <v/>
      </c>
      <c r="I313" s="25" t="str">
        <f aca="false">IF(OR(E313="",E313="!!!",F313="NEW"),"",INDEX(B312:B$2,-1+SUMPRODUCT(MAX(ROW(E312:E$2)*(E313=E312:E$2)))))</f>
        <v> </v>
      </c>
      <c r="J313" s="25" t="str">
        <f aca="true">IF(OR(E313="",E313="!!!",F313="NEW"),"",COUNTBLANK(OFFSET(A$1,,,SUMPRODUCT(MAX(ROW(E$2:E313)*(E313=E$2:E313)))))-COUNTBLANK(OFFSET(A$1,,,SUMPRODUCT(MAX(ROW(E$1:E312)*(E2=E$1:E312))))))</f>
        <v/>
      </c>
      <c r="K313" s="25" t="str">
        <f aca="false">IF(OR(E313="",E313="!!!",F313="NEW"),"",INDEX(J$1:J312,SUMPRODUCT(MAX(ROW(E$1:E312)*(E313=E$1:E312)))))</f>
        <v/>
      </c>
      <c r="L313" s="26"/>
    </row>
    <row r="314" customFormat="false" ht="15" hidden="false" customHeight="false" outlineLevel="0" collapsed="false">
      <c r="A314" s="20" t="s">
        <v>237</v>
      </c>
      <c r="E314" s="21" t="str">
        <f aca="false">IF(D314="?OLD","!!!","")</f>
        <v/>
      </c>
      <c r="F314" s="22" t="str">
        <f aca="false">IF(OR(E314="",E314="!!!"),"",IF(NOT(ISNA(VLOOKUP(E314,E$1:E313,1,FALSE()))),"OLD",IF(AND(E314&lt;&gt;"",E314&lt;&gt;"!!!"),"NEW","")))</f>
        <v>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IF(OR(E314="",E314="!!!",F314="NEW"),"",INDEX(B313:B$2,-1+SUMPRODUCT(MAX(ROW(E313:E$2)*(E314=E313:E$2)))))</f>
        <v> </v>
      </c>
      <c r="J314" s="25" t="str">
        <f aca="true">IF(OR(E314="",E314="!!!",F314="NEW"),"",COUNTBLANK(OFFSET(A$1,,,SUMPRODUCT(MAX(ROW(E$2:E314)*(E314=E$2:E314)))))-COUNTBLANK(OFFSET(A$1,,,SUMPRODUCT(MAX(ROW(E$1:E313)*(E2=E$1:E313))))))</f>
        <v/>
      </c>
      <c r="K314" s="25" t="str">
        <f aca="false">IF(OR(E314="",E314="!!!",F314="NEW"),"",INDEX(J$1:J313,SUMPRODUCT(MAX(ROW(E$1:E313)*(E314=E$1:E313)))))</f>
        <v/>
      </c>
      <c r="L314" s="26"/>
    </row>
    <row r="315" customFormat="false" ht="15" hidden="false" customHeight="false" outlineLevel="0" collapsed="false">
      <c r="A315" s="20" t="s">
        <v>238</v>
      </c>
      <c r="E315" s="21" t="str">
        <f aca="false">IF(D315="?OLD","!!!","")</f>
        <v/>
      </c>
      <c r="F315" s="22" t="str">
        <f aca="false">IF(OR(E315="",E315="!!!"),"",IF(NOT(ISNA(VLOOKUP(E315,E$1:E314,1,FALSE()))),"OLD",IF(AND(E315&lt;&gt;"",E315&lt;&gt;"!!!"),"NEW","")))</f>
        <v>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IF(OR(E315="",E315="!!!",F315="NEW"),"",INDEX(B314:B$2,-1+SUMPRODUCT(MAX(ROW(E314:E$2)*(E315=E314:E$2)))))</f>
        <v> </v>
      </c>
      <c r="J315" s="25" t="str">
        <f aca="true">IF(OR(E315="",E315="!!!",F315="NEW"),"",COUNTBLANK(OFFSET(A$1,,,SUMPRODUCT(MAX(ROW(E$2:E315)*(E315=E$2:E315)))))-COUNTBLANK(OFFSET(A$1,,,SUMPRODUCT(MAX(ROW(E$1:E314)*(E2=E$1:E314))))))</f>
        <v/>
      </c>
      <c r="K315" s="25" t="str">
        <f aca="false">IF(OR(E315="",E315="!!!",F315="NEW"),"",INDEX(J$1:J314,SUMPRODUCT(MAX(ROW(E$1:E314)*(E315=E$1:E314)))))</f>
        <v/>
      </c>
      <c r="L315" s="26"/>
    </row>
    <row r="316" customFormat="false" ht="15" hidden="false" customHeight="false" outlineLevel="0" collapsed="false">
      <c r="A316" s="20" t="s">
        <v>347</v>
      </c>
      <c r="B316" s="27" t="s">
        <v>216</v>
      </c>
      <c r="C316" s="27" t="s">
        <v>348</v>
      </c>
      <c r="E316" s="21" t="str">
        <f aca="false">IF(D316="?OLD","!!!","")</f>
        <v/>
      </c>
      <c r="F316" s="22" t="str">
        <f aca="false">IF(OR(E316="",E316="!!!"),"",IF(NOT(ISNA(VLOOKUP(E316,E$1:E315,1,FALSE()))),"OLD",IF(AND(E316&lt;&gt;"",E316&lt;&gt;"!!!"),"NEW","")))</f>
        <v>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IF(OR(E316="",E316="!!!",F316="NEW"),"",INDEX(B315:B$2,-1+SUMPRODUCT(MAX(ROW(E315:E$2)*(E316=E315:E$2)))))</f>
        <v> </v>
      </c>
      <c r="J316" s="25" t="str">
        <f aca="true">IF(OR(E316="",E316="!!!",F316="NEW"),"",COUNTBLANK(OFFSET(A$1,,,SUMPRODUCT(MAX(ROW(E$2:E316)*(E316=E$2:E316)))))-COUNTBLANK(OFFSET(A$1,,,SUMPRODUCT(MAX(ROW(E$1:E315)*(E2=E$1:E315))))))</f>
        <v/>
      </c>
      <c r="K316" s="25" t="str">
        <f aca="false">IF(OR(E316="",E316="!!!",F316="NEW"),"",INDEX(J$1:J315,SUMPRODUCT(MAX(ROW(E$1:E315)*(E316=E$1:E315)))))</f>
        <v/>
      </c>
      <c r="L316" s="26"/>
    </row>
    <row r="317" customFormat="false" ht="15" hidden="false" customHeight="false" outlineLevel="0" collapsed="false">
      <c r="A317" s="20" t="s">
        <v>349</v>
      </c>
      <c r="E317" s="21" t="str">
        <f aca="false">IF(D317="?OLD","!!!","")</f>
        <v/>
      </c>
      <c r="F317" s="22" t="str">
        <f aca="false">IF(OR(E317="",E317="!!!"),"",IF(NOT(ISNA(VLOOKUP(E317,E$1:E316,1,FALSE()))),"OLD",IF(AND(E317&lt;&gt;"",E317&lt;&gt;"!!!"),"NEW","")))</f>
        <v>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IF(OR(E317="",E317="!!!",F317="NEW"),"",INDEX(B316:B$2,-1+SUMPRODUCT(MAX(ROW(E316:E$2)*(E317=E316:E$2)))))</f>
        <v> </v>
      </c>
      <c r="J317" s="25" t="str">
        <f aca="true">IF(OR(E317="",E317="!!!",F317="NEW"),"",COUNTBLANK(OFFSET(A$1,,,SUMPRODUCT(MAX(ROW(E$2:E317)*(E317=E$2:E317)))))-COUNTBLANK(OFFSET(A$1,,,SUMPRODUCT(MAX(ROW(E$1:E316)*(E2=E$1:E316))))))</f>
        <v/>
      </c>
      <c r="K317" s="25" t="str">
        <f aca="false">IF(OR(E317="",E317="!!!",F317="NEW"),"",INDEX(J$1:J316,SUMPRODUCT(MAX(ROW(E$1:E316)*(E317=E$1:E316)))))</f>
        <v/>
      </c>
      <c r="L317" s="26"/>
    </row>
    <row r="318" customFormat="false" ht="15" hidden="false" customHeight="false" outlineLevel="0" collapsed="false">
      <c r="A318" s="20" t="s">
        <v>266</v>
      </c>
      <c r="B318" s="27" t="s">
        <v>240</v>
      </c>
      <c r="C318" s="27" t="s">
        <v>233</v>
      </c>
      <c r="D318" s="27" t="s">
        <v>209</v>
      </c>
      <c r="E318" s="21" t="str">
        <f aca="false">IF(D318="?OLD","!!!","")</f>
        <v>!!!</v>
      </c>
      <c r="F318" s="22" t="str">
        <f aca="false">IF(OR(E318="",E318="!!!"),"",IF(NOT(ISNA(VLOOKUP(E318,E$1:E317,1,FALSE()))),"OLD",IF(AND(E318&lt;&gt;"",E318&lt;&gt;"!!!"),"NEW","")))</f>
        <v>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IF(OR(E318="",E318="!!!",F318="NEW"),"",INDEX(B317:B$2,-1+SUMPRODUCT(MAX(ROW(E317:E$2)*(E318=E317:E$2)))))</f>
        <v> </v>
      </c>
      <c r="J318" s="25" t="str">
        <f aca="true">IF(OR(E318="",E318="!!!",F318="NEW"),"",COUNTBLANK(OFFSET(A$1,,,SUMPRODUCT(MAX(ROW(E$2:E318)*(E318=E$2:E318)))))-COUNTBLANK(OFFSET(A$1,,,SUMPRODUCT(MAX(ROW(E$1:E317)*(E2=E$1:E317))))))</f>
        <v/>
      </c>
      <c r="K318" s="25" t="str">
        <f aca="false">IF(OR(E318="",E318="!!!",F318="NEW"),"",INDEX(J$1:J317,SUMPRODUCT(MAX(ROW(E$1:E317)*(E318=E$1:E317)))))</f>
        <v/>
      </c>
      <c r="L318" s="26"/>
    </row>
    <row r="319" customFormat="false" ht="15" hidden="false" customHeight="false" outlineLevel="0" collapsed="false">
      <c r="A319" s="20" t="s">
        <v>251</v>
      </c>
      <c r="E319" s="21" t="str">
        <f aca="false">IF(D319="?OLD","!!!","")</f>
        <v/>
      </c>
      <c r="F319" s="22" t="str">
        <f aca="false">IF(OR(E319="",E319="!!!"),"",IF(NOT(ISNA(VLOOKUP(E319,E$1:E318,1,FALSE()))),"OLD",IF(AND(E319&lt;&gt;"",E319&lt;&gt;"!!!"),"NEW","")))</f>
        <v>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IF(OR(E319="",E319="!!!",F319="NEW"),"",INDEX(B318:B$2,-1+SUMPRODUCT(MAX(ROW(E318:E$2)*(E319=E318:E$2)))))</f>
        <v> </v>
      </c>
      <c r="J319" s="25" t="str">
        <f aca="true">IF(OR(E319="",E319="!!!",F319="NEW"),"",COUNTBLANK(OFFSET(A$1,,,SUMPRODUCT(MAX(ROW(E$2:E319)*(E319=E$2:E319)))))-COUNTBLANK(OFFSET(A$1,,,SUMPRODUCT(MAX(ROW(E$1:E318)*(E2=E$1:E318))))))</f>
        <v/>
      </c>
      <c r="K319" s="25" t="str">
        <f aca="false">IF(OR(E319="",E319="!!!",F319="NEW"),"",INDEX(J$1:J318,SUMPRODUCT(MAX(ROW(E$1:E318)*(E319=E$1:E318)))))</f>
        <v/>
      </c>
      <c r="L319" s="26"/>
    </row>
    <row r="320" customFormat="false" ht="15" hidden="false" customHeight="false" outlineLevel="0" collapsed="false">
      <c r="A320" s="20" t="s">
        <v>238</v>
      </c>
      <c r="E320" s="21" t="str">
        <f aca="false">IF(D320="?OLD","!!!","")</f>
        <v/>
      </c>
      <c r="F320" s="22" t="str">
        <f aca="false">IF(OR(E320="",E320="!!!"),"",IF(NOT(ISNA(VLOOKUP(E320,E$1:E319,1,FALSE()))),"OLD",IF(AND(E320&lt;&gt;"",E320&lt;&gt;"!!!"),"NEW","")))</f>
        <v>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IF(OR(E320="",E320="!!!",F320="NEW"),"",INDEX(B319:B$2,-1+SUMPRODUCT(MAX(ROW(E319:E$2)*(E320=E319:E$2)))))</f>
        <v> </v>
      </c>
      <c r="J320" s="25" t="str">
        <f aca="true">IF(OR(E320="",E320="!!!",F320="NEW"),"",COUNTBLANK(OFFSET(A$1,,,SUMPRODUCT(MAX(ROW(E$2:E320)*(E320=E$2:E320)))))-COUNTBLANK(OFFSET(A$1,,,SUMPRODUCT(MAX(ROW(E$1:E319)*(E2=E$1:E319))))))</f>
        <v/>
      </c>
      <c r="K320" s="25" t="str">
        <f aca="false">IF(OR(E320="",E320="!!!",F320="NEW"),"",INDEX(J$1:J319,SUMPRODUCT(MAX(ROW(E$1:E319)*(E320=E$1:E319)))))</f>
        <v/>
      </c>
      <c r="L320" s="26"/>
    </row>
    <row r="321" customFormat="false" ht="15" hidden="false" customHeight="false" outlineLevel="0" collapsed="false">
      <c r="A321" s="20"/>
    </row>
    <row r="322" customFormat="false" ht="15" hidden="false" customHeight="false" outlineLevel="0" collapsed="false">
      <c r="A322" s="20" t="s">
        <v>230</v>
      </c>
      <c r="E322" s="21" t="str">
        <f aca="false">IF(D322="?OLD","!!!","")</f>
        <v/>
      </c>
      <c r="F322" s="22" t="str">
        <f aca="false">IF(OR(E322="",E322="!!!"),"",IF(NOT(ISNA(VLOOKUP(E322,E$1:E321,1,FALSE()))),"OLD",IF(AND(E322&lt;&gt;"",E322&lt;&gt;"!!!"),"NEW","")))</f>
        <v> </v>
      </c>
      <c r="G322" s="23" t="str">
        <f aca="false">IF(OR(E322="",E322="!!!"),"",IF(OR(J322=0,AND(J322=1,K322=1),AND(J322=1,I322="SBJ"),AND(J322=1,I322=0)),"?IN_FOCUS",IF(J322&lt;=2,"?ACTIVATED",IF(J322&lt;&gt;"","?FAMILIAR",IF(F322="NEW",IF(ISNA(VLOOKUP(E322,#REF!,1,FALSE())),"?TYPE_IDENTIFIABLE","?REFERENTIAL"),"_")))))</f>
        <v/>
      </c>
      <c r="H322" s="24" t="str">
        <f aca="false">IF(J322&lt;&gt;1,"",IF(I322="SBJ","CB","?"))</f>
        <v/>
      </c>
      <c r="I322" s="25" t="str">
        <f aca="false">IF(OR(E322="",E322="!!!",F322="NEW"),"",INDEX(B321:B$2,-1+SUMPRODUCT(MAX(ROW(E321:E$2)*(E322=E321:E$2)))))</f>
        <v> </v>
      </c>
      <c r="J322" s="25" t="str">
        <f aca="true">IF(OR(E322="",E322="!!!",F322="NEW"),"",COUNTBLANK(OFFSET(A$1,,,SUMPRODUCT(MAX(ROW(E$2:E322)*(E322=E$2:E322)))))-COUNTBLANK(OFFSET(A$1,,,SUMPRODUCT(MAX(ROW(E$1:E321)*(E2=E$1:E321))))))</f>
        <v/>
      </c>
      <c r="K322" s="25" t="str">
        <f aca="false">IF(OR(E322="",E322="!!!",F322="NEW"),"",INDEX(J$1:J321,SUMPRODUCT(MAX(ROW(E$1:E321)*(E322=E$1:E321)))))</f>
        <v/>
      </c>
      <c r="L322" s="26"/>
    </row>
    <row r="323" customFormat="false" ht="15" hidden="false" customHeight="false" outlineLevel="0" collapsed="false">
      <c r="A323" s="20" t="s">
        <v>350</v>
      </c>
    </row>
    <row r="324" customFormat="false" ht="15" hidden="false" customHeight="false" outlineLevel="0" collapsed="false">
      <c r="A324" s="20" t="s">
        <v>253</v>
      </c>
      <c r="E324" s="21" t="str">
        <f aca="false">IF(D324="?OLD","!!!","")</f>
        <v/>
      </c>
      <c r="F324" s="22" t="str">
        <f aca="false">IF(OR(E324="",E324="!!!"),"",IF(NOT(ISNA(VLOOKUP(E324,E$1:E323,1,FALSE()))),"OLD",IF(AND(E324&lt;&gt;"",E324&lt;&gt;"!!!"),"NEW","")))</f>
        <v> </v>
      </c>
      <c r="G324" s="23" t="str">
        <f aca="false">IF(OR(E324="",E324="!!!"),"",IF(OR(J324=0,AND(J324=1,K324=1),AND(J324=1,I324="SBJ"),AND(J324=1,I324=0)),"?IN_FOCUS",IF(J324&lt;=2,"?ACTIVATED",IF(J324&lt;&gt;"","?FAMILIAR",IF(F324="NEW",IF(ISNA(VLOOKUP(E324,#REF!,1,FALSE())),"?TYPE_IDENTIFIABLE","?REFERENTIAL"),"_")))))</f>
        <v/>
      </c>
      <c r="H324" s="24" t="str">
        <f aca="false">IF(J324&lt;&gt;1,"",IF(I324="SBJ","CB","?"))</f>
        <v/>
      </c>
      <c r="I324" s="25" t="str">
        <f aca="false">IF(OR(E324="",E324="!!!",F324="NEW"),"",INDEX(B323:B$2,-1+SUMPRODUCT(MAX(ROW(E323:E$2)*(E324=E323:E$2)))))</f>
        <v> </v>
      </c>
      <c r="J324" s="25" t="str">
        <f aca="true">IF(OR(E324="",E324="!!!",F324="NEW"),"",COUNTBLANK(OFFSET(A$1,,,SUMPRODUCT(MAX(ROW(E$2:E324)*(E324=E$2:E324)))))-COUNTBLANK(OFFSET(A$1,,,SUMPRODUCT(MAX(ROW(E$1:E323)*(E2=E$1:E323))))))</f>
        <v/>
      </c>
      <c r="K324" s="25" t="str">
        <f aca="false">IF(OR(E324="",E324="!!!",F324="NEW"),"",INDEX(J$1:J323,SUMPRODUCT(MAX(ROW(E$1:E323)*(E324=E$1:E323)))))</f>
        <v/>
      </c>
      <c r="L324" s="26"/>
    </row>
    <row r="325" customFormat="false" ht="15" hidden="false" customHeight="false" outlineLevel="0" collapsed="false">
      <c r="A325" s="20" t="s">
        <v>337</v>
      </c>
      <c r="B325" s="27" t="s">
        <v>207</v>
      </c>
      <c r="C325" s="27" t="s">
        <v>208</v>
      </c>
      <c r="D325" s="27" t="s">
        <v>209</v>
      </c>
      <c r="E325" s="21" t="str">
        <f aca="false">IF(D325="?OLD","!!!","")</f>
        <v>!!!</v>
      </c>
      <c r="F325" s="22" t="str">
        <f aca="false">IF(OR(E325="",E325="!!!"),"",IF(NOT(ISNA(VLOOKUP(E325,E$1:E324,1,FALSE()))),"OLD",IF(AND(E325&lt;&gt;"",E325&lt;&gt;"!!!"),"NEW","")))</f>
        <v>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IF(OR(E325="",E325="!!!",F325="NEW"),"",INDEX(B324:B$2,-1+SUMPRODUCT(MAX(ROW(E324:E$2)*(E325=E324:E$2)))))</f>
        <v> </v>
      </c>
      <c r="J325" s="25" t="str">
        <f aca="true">IF(OR(E325="",E325="!!!",F325="NEW"),"",COUNTBLANK(OFFSET(A$1,,,SUMPRODUCT(MAX(ROW(E$2:E325)*(E325=E$2:E325)))))-COUNTBLANK(OFFSET(A$1,,,SUMPRODUCT(MAX(ROW(E$1:E324)*(E2=E$1:E324))))))</f>
        <v/>
      </c>
      <c r="K325" s="25" t="str">
        <f aca="false">IF(OR(E325="",E325="!!!",F325="NEW"),"",INDEX(J$1:J324,SUMPRODUCT(MAX(ROW(E$1:E324)*(E325=E$1:E324)))))</f>
        <v/>
      </c>
      <c r="L325" s="26"/>
    </row>
    <row r="326" customFormat="false" ht="15" hidden="false" customHeight="false" outlineLevel="0" collapsed="false">
      <c r="A326" s="20" t="s">
        <v>234</v>
      </c>
      <c r="E326" s="21" t="str">
        <f aca="false">IF(D326="?OLD","!!!","")</f>
        <v/>
      </c>
      <c r="F326" s="22" t="str">
        <f aca="false">IF(OR(E326="",E326="!!!"),"",IF(NOT(ISNA(VLOOKUP(E326,E$1:E325,1,FALSE()))),"OLD",IF(AND(E326&lt;&gt;"",E326&lt;&gt;"!!!"),"NEW","")))</f>
        <v>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IF(OR(E326="",E326="!!!",F326="NEW"),"",INDEX(B325:B$2,-1+SUMPRODUCT(MAX(ROW(E325:E$2)*(E326=E325:E$2)))))</f>
        <v> </v>
      </c>
      <c r="J326" s="25" t="str">
        <f aca="true">IF(OR(E326="",E326="!!!",F326="NEW"),"",COUNTBLANK(OFFSET(A$1,,,SUMPRODUCT(MAX(ROW(E$2:E326)*(E326=E$2:E326)))))-COUNTBLANK(OFFSET(A$1,,,SUMPRODUCT(MAX(ROW(E$1:E325)*(E2=E$1:E325))))))</f>
        <v/>
      </c>
      <c r="K326" s="25" t="str">
        <f aca="false">IF(OR(E326="",E326="!!!",F326="NEW"),"",INDEX(J$1:J325,SUMPRODUCT(MAX(ROW(E$1:E325)*(E326=E$1:E325)))))</f>
        <v/>
      </c>
      <c r="L326" s="26"/>
    </row>
    <row r="327" customFormat="false" ht="15" hidden="false" customHeight="false" outlineLevel="0" collapsed="false">
      <c r="A327" s="20" t="s">
        <v>237</v>
      </c>
      <c r="E327" s="21" t="str">
        <f aca="false">IF(D327="?OLD","!!!","")</f>
        <v/>
      </c>
      <c r="F327" s="22" t="str">
        <f aca="false">IF(OR(E327="",E327="!!!"),"",IF(NOT(ISNA(VLOOKUP(E327,E$1:E326,1,FALSE()))),"OLD",IF(AND(E327&lt;&gt;"",E327&lt;&gt;"!!!"),"NEW","")))</f>
        <v>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IF(OR(E327="",E327="!!!",F327="NEW"),"",INDEX(B326:B$2,-1+SUMPRODUCT(MAX(ROW(E326:E$2)*(E327=E326:E$2)))))</f>
        <v> </v>
      </c>
      <c r="J327" s="25" t="str">
        <f aca="true">IF(OR(E327="",E327="!!!",F327="NEW"),"",COUNTBLANK(OFFSET(A$1,,,SUMPRODUCT(MAX(ROW(E$2:E327)*(E327=E$2:E327)))))-COUNTBLANK(OFFSET(A$1,,,SUMPRODUCT(MAX(ROW(E$1:E326)*(E2=E$1:E326))))))</f>
        <v/>
      </c>
      <c r="K327" s="25" t="str">
        <f aca="false">IF(OR(E327="",E327="!!!",F327="NEW"),"",INDEX(J$1:J326,SUMPRODUCT(MAX(ROW(E$1:E326)*(E327=E$1:E326)))))</f>
        <v/>
      </c>
      <c r="L327" s="26"/>
    </row>
    <row r="328" customFormat="false" ht="15" hidden="false" customHeight="false" outlineLevel="0" collapsed="false">
      <c r="A328" s="20" t="s">
        <v>238</v>
      </c>
      <c r="E328" s="21" t="str">
        <f aca="false">IF(D328="?OLD","!!!","")</f>
        <v/>
      </c>
      <c r="F328" s="22" t="str">
        <f aca="false">IF(OR(E328="",E328="!!!"),"",IF(NOT(ISNA(VLOOKUP(E328,E$1:E327,1,FALSE()))),"OLD",IF(AND(E328&lt;&gt;"",E328&lt;&gt;"!!!"),"NEW","")))</f>
        <v>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IF(OR(E328="",E328="!!!",F328="NEW"),"",INDEX(B327:B$2,-1+SUMPRODUCT(MAX(ROW(E327:E$2)*(E328=E327:E$2)))))</f>
        <v> </v>
      </c>
      <c r="J328" s="25" t="str">
        <f aca="true">IF(OR(E328="",E328="!!!",F328="NEW"),"",COUNTBLANK(OFFSET(A$1,,,SUMPRODUCT(MAX(ROW(E$2:E328)*(E328=E$2:E328)))))-COUNTBLANK(OFFSET(A$1,,,SUMPRODUCT(MAX(ROW(E$1:E327)*(E2=E$1:E327))))))</f>
        <v/>
      </c>
      <c r="K328" s="25" t="str">
        <f aca="false">IF(OR(E328="",E328="!!!",F328="NEW"),"",INDEX(J$1:J327,SUMPRODUCT(MAX(ROW(E$1:E327)*(E328=E$1:E327)))))</f>
        <v/>
      </c>
      <c r="L328" s="26"/>
    </row>
    <row r="329" customFormat="false" ht="15" hidden="false" customHeight="false" outlineLevel="0" collapsed="false">
      <c r="A329" s="20" t="s">
        <v>351</v>
      </c>
      <c r="B329" s="27" t="s">
        <v>240</v>
      </c>
      <c r="C329" s="27" t="s">
        <v>233</v>
      </c>
      <c r="D329" s="27" t="s">
        <v>209</v>
      </c>
      <c r="E329" s="21" t="str">
        <f aca="false">IF(D329="?OLD","!!!","")</f>
        <v>!!!</v>
      </c>
      <c r="F329" s="22" t="str">
        <f aca="false">IF(OR(E329="",E329="!!!"),"",IF(NOT(ISNA(VLOOKUP(E329,E$1:E328,1,FALSE()))),"OLD",IF(AND(E329&lt;&gt;"",E329&lt;&gt;"!!!"),"NEW","")))</f>
        <v>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IF(OR(E329="",E329="!!!",F329="NEW"),"",INDEX(B328:B$2,-1+SUMPRODUCT(MAX(ROW(E328:E$2)*(E329=E328:E$2)))))</f>
        <v> </v>
      </c>
      <c r="J329" s="25" t="str">
        <f aca="true">IF(OR(E329="",E329="!!!",F329="NEW"),"",COUNTBLANK(OFFSET(A$1,,,SUMPRODUCT(MAX(ROW(E$2:E329)*(E329=E$2:E329)))))-COUNTBLANK(OFFSET(A$1,,,SUMPRODUCT(MAX(ROW(E$1:E328)*(E2=E$1:E328))))))</f>
        <v/>
      </c>
      <c r="K329" s="25" t="str">
        <f aca="false">IF(OR(E329="",E329="!!!",F329="NEW"),"",INDEX(J$1:J328,SUMPRODUCT(MAX(ROW(E$1:E328)*(E329=E$1:E328)))))</f>
        <v/>
      </c>
      <c r="L329" s="26"/>
    </row>
    <row r="330" customFormat="false" ht="15" hidden="false" customHeight="false" outlineLevel="0" collapsed="false">
      <c r="A330" s="20" t="s">
        <v>333</v>
      </c>
      <c r="E330" s="21" t="str">
        <f aca="false">IF(D330="?OLD","!!!","")</f>
        <v/>
      </c>
      <c r="F330" s="22" t="str">
        <f aca="false">IF(OR(E330="",E330="!!!"),"",IF(NOT(ISNA(VLOOKUP(E330,E$1:E329,1,FALSE()))),"OLD",IF(AND(E330&lt;&gt;"",E330&lt;&gt;"!!!"),"NEW","")))</f>
        <v> </v>
      </c>
      <c r="G330" s="23" t="str">
        <f aca="false">IF(OR(E330="",E330="!!!"),"",IF(OR(J330=0,AND(J330=1,K330=1),AND(J330=1,I330="SBJ"),AND(J330=1,I330=0)),"?IN_FOCUS",IF(J330&lt;=2,"?ACTIVATED",IF(J330&lt;&gt;"","?FAMILIAR",IF(F330="NEW",IF(ISNA(VLOOKUP(E330,#REF!,1,FALSE())),"?TYPE_IDENTIFIABLE","?REFERENTIAL"),"_")))))</f>
        <v/>
      </c>
      <c r="H330" s="24" t="str">
        <f aca="false">IF(J330&lt;&gt;1,"",IF(I330="SBJ","CB","?"))</f>
        <v/>
      </c>
      <c r="I330" s="25" t="str">
        <f aca="false">IF(OR(E330="",E330="!!!",F330="NEW"),"",INDEX(B329:B$2,-1+SUMPRODUCT(MAX(ROW(E329:E$2)*(E330=E329:E$2)))))</f>
        <v> </v>
      </c>
      <c r="J330" s="25" t="str">
        <f aca="true">IF(OR(E330="",E330="!!!",F330="NEW"),"",COUNTBLANK(OFFSET(A$1,,,SUMPRODUCT(MAX(ROW(E$2:E330)*(E330=E$2:E330)))))-COUNTBLANK(OFFSET(A$1,,,SUMPRODUCT(MAX(ROW(E$1:E329)*(E2=E$1:E329))))))</f>
        <v/>
      </c>
      <c r="K330" s="25" t="str">
        <f aca="false">IF(OR(E330="",E330="!!!",F330="NEW"),"",INDEX(J$1:J329,SUMPRODUCT(MAX(ROW(E$1:E329)*(E330=E$1:E329)))))</f>
        <v/>
      </c>
      <c r="L330" s="26"/>
    </row>
    <row r="331" customFormat="false" ht="15" hidden="false" customHeight="false" outlineLevel="0" collapsed="false">
      <c r="A331" s="20" t="s">
        <v>281</v>
      </c>
      <c r="B331" s="27" t="s">
        <v>248</v>
      </c>
      <c r="C331" s="27" t="s">
        <v>282</v>
      </c>
      <c r="D331" s="27" t="s">
        <v>209</v>
      </c>
      <c r="E331" s="21" t="str">
        <f aca="false">IF(D331="?OLD","!!!","")</f>
        <v>!!!</v>
      </c>
      <c r="F331" s="22" t="str">
        <f aca="false">IF(OR(E331="",E331="!!!"),"",IF(NOT(ISNA(VLOOKUP(E331,E$1:E330,1,FALSE()))),"OLD",IF(AND(E331&lt;&gt;"",E331&lt;&gt;"!!!"),"NEW","")))</f>
        <v>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IF(OR(E331="",E331="!!!",F331="NEW"),"",INDEX(B330:B$2,-1+SUMPRODUCT(MAX(ROW(E330:E$2)*(E331=E330:E$2)))))</f>
        <v> </v>
      </c>
      <c r="J331" s="25" t="str">
        <f aca="true">IF(OR(E331="",E331="!!!",F331="NEW"),"",COUNTBLANK(OFFSET(A$1,,,SUMPRODUCT(MAX(ROW(E$2:E331)*(E331=E$2:E331)))))-COUNTBLANK(OFFSET(A$1,,,SUMPRODUCT(MAX(ROW(E$1:E330)*(E2=E$1:E330))))))</f>
        <v/>
      </c>
      <c r="K331" s="25" t="str">
        <f aca="false">IF(OR(E331="",E331="!!!",F331="NEW"),"",INDEX(J$1:J330,SUMPRODUCT(MAX(ROW(E$1:E330)*(E331=E$1:E330)))))</f>
        <v/>
      </c>
      <c r="L331" s="26"/>
    </row>
    <row r="332" customFormat="false" ht="15" hidden="false" customHeight="false" outlineLevel="0" collapsed="false">
      <c r="A332" s="20" t="s">
        <v>334</v>
      </c>
      <c r="B332" s="27" t="s">
        <v>311</v>
      </c>
      <c r="C332" s="27" t="s">
        <v>284</v>
      </c>
      <c r="D332" s="27" t="s">
        <v>209</v>
      </c>
      <c r="E332" s="21" t="str">
        <f aca="false">IF(D332="?OLD","!!!","")</f>
        <v>!!!</v>
      </c>
      <c r="F332" s="22" t="str">
        <f aca="false">IF(OR(E332="",E332="!!!"),"",IF(NOT(ISNA(VLOOKUP(E332,E$1:E331,1,FALSE()))),"OLD",IF(AND(E332&lt;&gt;"",E332&lt;&gt;"!!!"),"NEW","")))</f>
        <v> </v>
      </c>
      <c r="G332" s="23" t="str">
        <f aca="false">IF(OR(E332="",E332="!!!"),"",IF(OR(J332=0,AND(J332=1,K332=1),AND(J332=1,I332="SBJ"),AND(J332=1,I332=0)),"?IN_FOCUS",IF(J332&lt;=2,"?ACTIVATED",IF(J332&lt;&gt;"","?FAMILIAR",IF(F332="NEW",IF(ISNA(VLOOKUP(E332,#REF!,1,FALSE())),"?TYPE_IDENTIFIABLE","?REFERENTIAL"),"_")))))</f>
        <v/>
      </c>
      <c r="H332" s="24" t="str">
        <f aca="false">IF(J332&lt;&gt;1,"",IF(I332="SBJ","CB","?"))</f>
        <v/>
      </c>
      <c r="I332" s="25" t="str">
        <f aca="false">IF(OR(E332="",E332="!!!",F332="NEW"),"",INDEX(B331:B$2,-1+SUMPRODUCT(MAX(ROW(E331:E$2)*(E332=E331:E$2)))))</f>
        <v> </v>
      </c>
      <c r="J332" s="25" t="str">
        <f aca="true">IF(OR(E332="",E332="!!!",F332="NEW"),"",COUNTBLANK(OFFSET(A$1,,,SUMPRODUCT(MAX(ROW(E$2:E332)*(E332=E$2:E332)))))-COUNTBLANK(OFFSET(A$1,,,SUMPRODUCT(MAX(ROW(E$1:E331)*(E2=E$1:E331))))))</f>
        <v/>
      </c>
      <c r="K332" s="25" t="str">
        <f aca="false">IF(OR(E332="",E332="!!!",F332="NEW"),"",INDEX(J$1:J331,SUMPRODUCT(MAX(ROW(E$1:E331)*(E332=E$1:E331)))))</f>
        <v/>
      </c>
      <c r="L332" s="26"/>
    </row>
    <row r="333" customFormat="false" ht="15" hidden="false" customHeight="false" outlineLevel="0" collapsed="false">
      <c r="A333" s="20" t="s">
        <v>261</v>
      </c>
      <c r="E333" s="21" t="str">
        <f aca="false">IF(D333="?OLD","!!!","")</f>
        <v/>
      </c>
      <c r="F333" s="22" t="str">
        <f aca="false">IF(OR(E333="",E333="!!!"),"",IF(NOT(ISNA(VLOOKUP(E333,E$1:E332,1,FALSE()))),"OLD",IF(AND(E333&lt;&gt;"",E333&lt;&gt;"!!!"),"NEW","")))</f>
        <v>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IF(OR(E333="",E333="!!!",F333="NEW"),"",INDEX(B332:B$2,-1+SUMPRODUCT(MAX(ROW(E332:E$2)*(E333=E332:E$2)))))</f>
        <v> </v>
      </c>
      <c r="J333" s="25" t="str">
        <f aca="true">IF(OR(E333="",E333="!!!",F333="NEW"),"",COUNTBLANK(OFFSET(A$1,,,SUMPRODUCT(MAX(ROW(E$2:E333)*(E333=E$2:E333)))))-COUNTBLANK(OFFSET(A$1,,,SUMPRODUCT(MAX(ROW(E$1:E332)*(E2=E$1:E332))))))</f>
        <v/>
      </c>
      <c r="K333" s="25" t="str">
        <f aca="false">IF(OR(E333="",E333="!!!",F333="NEW"),"",INDEX(J$1:J332,SUMPRODUCT(MAX(ROW(E$1:E332)*(E333=E$1:E332)))))</f>
        <v/>
      </c>
      <c r="L333" s="26"/>
    </row>
    <row r="334" customFormat="false" ht="15" hidden="false" customHeight="false" outlineLevel="0" collapsed="false">
      <c r="A334" s="20" t="s">
        <v>205</v>
      </c>
      <c r="E334" s="21" t="str">
        <f aca="false">IF(D334="?OLD","!!!","")</f>
        <v/>
      </c>
      <c r="F334" s="22" t="str">
        <f aca="false">IF(OR(E334="",E334="!!!"),"",IF(NOT(ISNA(VLOOKUP(E334,E$1:E333,1,FALSE()))),"OLD",IF(AND(E334&lt;&gt;"",E334&lt;&gt;"!!!"),"NEW","")))</f>
        <v> </v>
      </c>
      <c r="G334" s="23" t="str">
        <f aca="false">IF(OR(E334="",E334="!!!"),"",IF(OR(J334=0,AND(J334=1,K334=1),AND(J334=1,I334="SBJ"),AND(J334=1,I334=0)),"?IN_FOCUS",IF(J334&lt;=2,"?ACTIVATED",IF(J334&lt;&gt;"","?FAMILIAR",IF(F334="NEW",IF(ISNA(VLOOKUP(E334,#REF!,1,FALSE())),"?TYPE_IDENTIFIABLE","?REFERENTIAL"),"_")))))</f>
        <v/>
      </c>
      <c r="H334" s="24" t="str">
        <f aca="false">IF(J334&lt;&gt;1,"",IF(I334="SBJ","CB","?"))</f>
        <v/>
      </c>
      <c r="I334" s="25" t="str">
        <f aca="false">IF(OR(E334="",E334="!!!",F334="NEW"),"",INDEX(B333:B$2,-1+SUMPRODUCT(MAX(ROW(E333:E$2)*(E334=E333:E$2)))))</f>
        <v> </v>
      </c>
      <c r="J334" s="25" t="str">
        <f aca="true">IF(OR(E334="",E334="!!!",F334="NEW"),"",COUNTBLANK(OFFSET(A$1,,,SUMPRODUCT(MAX(ROW(E$2:E334)*(E334=E$2:E334)))))-COUNTBLANK(OFFSET(A$1,,,SUMPRODUCT(MAX(ROW(E$1:E333)*(E2=E$1:E333))))))</f>
        <v/>
      </c>
      <c r="K334" s="25" t="str">
        <f aca="false">IF(OR(E334="",E334="!!!",F334="NEW"),"",INDEX(J$1:J333,SUMPRODUCT(MAX(ROW(E$1:E333)*(E334=E$1:E333)))))</f>
        <v/>
      </c>
      <c r="L334" s="26"/>
    </row>
    <row r="335" customFormat="false" ht="15" hidden="false" customHeight="false" outlineLevel="0" collapsed="false">
      <c r="A335" s="20" t="s">
        <v>249</v>
      </c>
      <c r="B335" s="27" t="s">
        <v>220</v>
      </c>
      <c r="C335" s="27" t="s">
        <v>208</v>
      </c>
      <c r="D335" s="27" t="s">
        <v>209</v>
      </c>
      <c r="E335" s="21" t="str">
        <f aca="false">IF(D335="?OLD","!!!","")</f>
        <v>!!!</v>
      </c>
      <c r="F335" s="22" t="str">
        <f aca="false">IF(OR(E335="",E335="!!!"),"",IF(NOT(ISNA(VLOOKUP(E335,E$1:E334,1,FALSE()))),"OLD",IF(AND(E335&lt;&gt;"",E335&lt;&gt;"!!!"),"NEW","")))</f>
        <v> </v>
      </c>
      <c r="G335" s="23" t="str">
        <f aca="false">IF(OR(E335="",E335="!!!"),"",IF(OR(J335=0,AND(J335=1,K335=1),AND(J335=1,I335="SBJ"),AND(J335=1,I335=0)),"?IN_FOCUS",IF(J335&lt;=2,"?ACTIVATED",IF(J335&lt;&gt;"","?FAMILIAR",IF(F335="NEW",IF(ISNA(VLOOKUP(E335,#REF!,1,FALSE())),"?TYPE_IDENTIFIABLE","?REFERENTIAL"),"_")))))</f>
        <v/>
      </c>
      <c r="H335" s="24" t="str">
        <f aca="false">IF(J335&lt;&gt;1,"",IF(I335="SBJ","CB","?"))</f>
        <v/>
      </c>
      <c r="I335" s="25" t="str">
        <f aca="false">IF(OR(E335="",E335="!!!",F335="NEW"),"",INDEX(B334:B$2,-1+SUMPRODUCT(MAX(ROW(E334:E$2)*(E335=E334:E$2)))))</f>
        <v> </v>
      </c>
      <c r="J335" s="25" t="str">
        <f aca="true">IF(OR(E335="",E335="!!!",F335="NEW"),"",COUNTBLANK(OFFSET(A$1,,,SUMPRODUCT(MAX(ROW(E$2:E335)*(E335=E$2:E335)))))-COUNTBLANK(OFFSET(A$1,,,SUMPRODUCT(MAX(ROW(E$1:E334)*(E2=E$1:E334))))))</f>
        <v/>
      </c>
      <c r="K335" s="25" t="str">
        <f aca="false">IF(OR(E335="",E335="!!!",F335="NEW"),"",INDEX(J$1:J334,SUMPRODUCT(MAX(ROW(E$1:E334)*(E335=E$1:E334)))))</f>
        <v/>
      </c>
      <c r="L335" s="26"/>
    </row>
    <row r="336" customFormat="false" ht="15" hidden="false" customHeight="false" outlineLevel="0" collapsed="false">
      <c r="A336" s="20" t="s">
        <v>237</v>
      </c>
      <c r="E336" s="21" t="str">
        <f aca="false">IF(D336="?OLD","!!!","")</f>
        <v/>
      </c>
      <c r="F336" s="22" t="str">
        <f aca="false">IF(OR(E336="",E336="!!!"),"",IF(NOT(ISNA(VLOOKUP(E336,E$1:E335,1,FALSE()))),"OLD",IF(AND(E336&lt;&gt;"",E336&lt;&gt;"!!!"),"NEW","")))</f>
        <v> </v>
      </c>
      <c r="G336" s="23" t="str">
        <f aca="false">IF(OR(E336="",E336="!!!"),"",IF(OR(J336=0,AND(J336=1,K336=1),AND(J336=1,I336="SBJ"),AND(J336=1,I336=0)),"?IN_FOCUS",IF(J336&lt;=2,"?ACTIVATED",IF(J336&lt;&gt;"","?FAMILIAR",IF(F336="NEW",IF(ISNA(VLOOKUP(E336,#REF!,1,FALSE())),"?TYPE_IDENTIFIABLE","?REFERENTIAL"),"_")))))</f>
        <v/>
      </c>
      <c r="H336" s="24" t="str">
        <f aca="false">IF(J336&lt;&gt;1,"",IF(I336="SBJ","CB","?"))</f>
        <v/>
      </c>
      <c r="I336" s="25" t="str">
        <f aca="false">IF(OR(E336="",E336="!!!",F336="NEW"),"",INDEX(B335:B$2,-1+SUMPRODUCT(MAX(ROW(E335:E$2)*(E336=E335:E$2)))))</f>
        <v> </v>
      </c>
      <c r="J336" s="25" t="str">
        <f aca="true">IF(OR(E336="",E336="!!!",F336="NEW"),"",COUNTBLANK(OFFSET(A$1,,,SUMPRODUCT(MAX(ROW(E$2:E336)*(E336=E$2:E336)))))-COUNTBLANK(OFFSET(A$1,,,SUMPRODUCT(MAX(ROW(E$1:E335)*(E2=E$1:E335))))))</f>
        <v/>
      </c>
      <c r="K336" s="25" t="str">
        <f aca="false">IF(OR(E336="",E336="!!!",F336="NEW"),"",INDEX(J$1:J335,SUMPRODUCT(MAX(ROW(E$1:E335)*(E336=E$1:E335)))))</f>
        <v/>
      </c>
      <c r="L336" s="26"/>
    </row>
    <row r="337" customFormat="false" ht="15" hidden="false" customHeight="false" outlineLevel="0" collapsed="false">
      <c r="A337" s="20" t="s">
        <v>288</v>
      </c>
      <c r="E337" s="21" t="str">
        <f aca="false">IF(D337="?OLD","!!!","")</f>
        <v/>
      </c>
      <c r="F337" s="22" t="str">
        <f aca="false">IF(OR(E337="",E337="!!!"),"",IF(NOT(ISNA(VLOOKUP(E337,E$1:E336,1,FALSE()))),"OLD",IF(AND(E337&lt;&gt;"",E337&lt;&gt;"!!!"),"NEW","")))</f>
        <v> </v>
      </c>
      <c r="G337" s="23" t="str">
        <f aca="false">IF(OR(E337="",E337="!!!"),"",IF(OR(J337=0,AND(J337=1,K337=1),AND(J337=1,I337="SBJ"),AND(J337=1,I337=0)),"?IN_FOCUS",IF(J337&lt;=2,"?ACTIVATED",IF(J337&lt;&gt;"","?FAMILIAR",IF(F337="NEW",IF(ISNA(VLOOKUP(E337,#REF!,1,FALSE())),"?TYPE_IDENTIFIABLE","?REFERENTIAL"),"_")))))</f>
        <v/>
      </c>
      <c r="H337" s="24" t="str">
        <f aca="false">IF(J337&lt;&gt;1,"",IF(I337="SBJ","CB","?"))</f>
        <v/>
      </c>
      <c r="I337" s="25" t="str">
        <f aca="false">IF(OR(E337="",E337="!!!",F337="NEW"),"",INDEX(B336:B$2,-1+SUMPRODUCT(MAX(ROW(E336:E$2)*(E337=E336:E$2)))))</f>
        <v> </v>
      </c>
      <c r="J337" s="25" t="str">
        <f aca="true">IF(OR(E337="",E337="!!!",F337="NEW"),"",COUNTBLANK(OFFSET(A$1,,,SUMPRODUCT(MAX(ROW(E$2:E337)*(E337=E$2:E337)))))-COUNTBLANK(OFFSET(A$1,,,SUMPRODUCT(MAX(ROW(E$1:E336)*(E2=E$1:E336))))))</f>
        <v/>
      </c>
      <c r="K337" s="25" t="str">
        <f aca="false">IF(OR(E337="",E337="!!!",F337="NEW"),"",INDEX(J$1:J336,SUMPRODUCT(MAX(ROW(E$1:E336)*(E337=E$1:E336)))))</f>
        <v/>
      </c>
      <c r="L337" s="26"/>
    </row>
    <row r="338" customFormat="false" ht="15" hidden="false" customHeight="false" outlineLevel="0" collapsed="false">
      <c r="A338" s="20" t="s">
        <v>351</v>
      </c>
      <c r="B338" s="27" t="s">
        <v>244</v>
      </c>
      <c r="C338" s="27" t="s">
        <v>233</v>
      </c>
      <c r="D338" s="27" t="s">
        <v>209</v>
      </c>
      <c r="E338" s="21" t="str">
        <f aca="false">IF(D338="?OLD","!!!","")</f>
        <v>!!!</v>
      </c>
      <c r="F338" s="22" t="str">
        <f aca="false">IF(OR(E338="",E338="!!!"),"",IF(NOT(ISNA(VLOOKUP(E338,E$1:E337,1,FALSE()))),"OLD",IF(AND(E338&lt;&gt;"",E338&lt;&gt;"!!!"),"NEW","")))</f>
        <v>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IF(OR(E338="",E338="!!!",F338="NEW"),"",INDEX(B337:B$2,-1+SUMPRODUCT(MAX(ROW(E337:E$2)*(E338=E337:E$2)))))</f>
        <v> </v>
      </c>
      <c r="J338" s="25" t="str">
        <f aca="true">IF(OR(E338="",E338="!!!",F338="NEW"),"",COUNTBLANK(OFFSET(A$1,,,SUMPRODUCT(MAX(ROW(E$2:E338)*(E338=E$2:E338)))))-COUNTBLANK(OFFSET(A$1,,,SUMPRODUCT(MAX(ROW(E$1:E337)*(E2=E$1:E337))))))</f>
        <v/>
      </c>
      <c r="K338" s="25" t="str">
        <f aca="false">IF(OR(E338="",E338="!!!",F338="NEW"),"",INDEX(J$1:J337,SUMPRODUCT(MAX(ROW(E$1:E337)*(E338=E$1:E337)))))</f>
        <v/>
      </c>
      <c r="L338" s="26"/>
    </row>
    <row r="339" customFormat="false" ht="15" hidden="false" customHeight="false" outlineLevel="0" collapsed="false">
      <c r="A339" s="20" t="s">
        <v>210</v>
      </c>
      <c r="E339" s="21" t="str">
        <f aca="false">IF(D339="?OLD","!!!","")</f>
        <v/>
      </c>
      <c r="F339" s="22" t="str">
        <f aca="false">IF(OR(E339="",E339="!!!"),"",IF(NOT(ISNA(VLOOKUP(E339,E$1:E338,1,FALSE()))),"OLD",IF(AND(E339&lt;&gt;"",E339&lt;&gt;"!!!"),"NEW","")))</f>
        <v>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IF(OR(E339="",E339="!!!",F339="NEW"),"",INDEX(B338:B$2,-1+SUMPRODUCT(MAX(ROW(E338:E$2)*(E339=E338:E$2)))))</f>
        <v> </v>
      </c>
      <c r="J339" s="25" t="str">
        <f aca="true">IF(OR(E339="",E339="!!!",F339="NEW"),"",COUNTBLANK(OFFSET(A$1,,,SUMPRODUCT(MAX(ROW(E$2:E339)*(E339=E$2:E339)))))-COUNTBLANK(OFFSET(A$1,,,SUMPRODUCT(MAX(ROW(E$1:E338)*(E2=E$1:E338))))))</f>
        <v/>
      </c>
      <c r="K339" s="25" t="str">
        <f aca="false">IF(OR(E339="",E339="!!!",F339="NEW"),"",INDEX(J$1:J338,SUMPRODUCT(MAX(ROW(E$1:E338)*(E339=E$1:E338)))))</f>
        <v/>
      </c>
      <c r="L339" s="26"/>
    </row>
    <row r="340" customFormat="false" ht="15" hidden="false" customHeight="false" outlineLevel="0" collapsed="false">
      <c r="A340" s="20" t="s">
        <v>352</v>
      </c>
      <c r="E340" s="21" t="str">
        <f aca="false">IF(D340="?OLD","!!!","")</f>
        <v/>
      </c>
      <c r="F340" s="22" t="str">
        <f aca="false">IF(OR(E340="",E340="!!!"),"",IF(NOT(ISNA(VLOOKUP(E340,E$1:E339,1,FALSE()))),"OLD",IF(AND(E340&lt;&gt;"",E340&lt;&gt;"!!!"),"NEW","")))</f>
        <v> </v>
      </c>
      <c r="G340" s="23" t="str">
        <f aca="false">IF(OR(E340="",E340="!!!"),"",IF(OR(J340=0,AND(J340=1,K340=1),AND(J340=1,I340="SBJ"),AND(J340=1,I340=0)),"?IN_FOCUS",IF(J340&lt;=2,"?ACTIVATED",IF(J340&lt;&gt;"","?FAMILIAR",IF(F340="NEW",IF(ISNA(VLOOKUP(E340,#REF!,1,FALSE())),"?TYPE_IDENTIFIABLE","?REFERENTIAL"),"_")))))</f>
        <v/>
      </c>
      <c r="H340" s="24" t="str">
        <f aca="false">IF(J340&lt;&gt;1,"",IF(I340="SBJ","CB","?"))</f>
        <v/>
      </c>
      <c r="I340" s="25" t="str">
        <f aca="false">IF(OR(E340="",E340="!!!",F340="NEW"),"",INDEX(B339:B$2,-1+SUMPRODUCT(MAX(ROW(E339:E$2)*(E340=E339:E$2)))))</f>
        <v> </v>
      </c>
      <c r="J340" s="25" t="str">
        <f aca="true">IF(OR(E340="",E340="!!!",F340="NEW"),"",COUNTBLANK(OFFSET(A$1,,,SUMPRODUCT(MAX(ROW(E$2:E340)*(E340=E$2:E340)))))-COUNTBLANK(OFFSET(A$1,,,SUMPRODUCT(MAX(ROW(E$1:E339)*(E2=E$1:E339))))))</f>
        <v/>
      </c>
      <c r="K340" s="25" t="str">
        <f aca="false">IF(OR(E340="",E340="!!!",F340="NEW"),"",INDEX(J$1:J339,SUMPRODUCT(MAX(ROW(E$1:E339)*(E340=E$1:E339)))))</f>
        <v/>
      </c>
      <c r="L340" s="26"/>
    </row>
    <row r="341" customFormat="false" ht="15" hidden="false" customHeight="false" outlineLevel="0" collapsed="false">
      <c r="A341" s="20" t="s">
        <v>237</v>
      </c>
      <c r="E341" s="21" t="str">
        <f aca="false">IF(D341="?OLD","!!!","")</f>
        <v/>
      </c>
      <c r="F341" s="22" t="str">
        <f aca="false">IF(OR(E341="",E341="!!!"),"",IF(NOT(ISNA(VLOOKUP(E341,E$1:E340,1,FALSE()))),"OLD",IF(AND(E341&lt;&gt;"",E341&lt;&gt;"!!!"),"NEW","")))</f>
        <v>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IF(OR(E341="",E341="!!!",F341="NEW"),"",INDEX(B340:B$2,-1+SUMPRODUCT(MAX(ROW(E340:E$2)*(E341=E340:E$2)))))</f>
        <v> </v>
      </c>
      <c r="J341" s="25" t="str">
        <f aca="true">IF(OR(E341="",E341="!!!",F341="NEW"),"",COUNTBLANK(OFFSET(A$1,,,SUMPRODUCT(MAX(ROW(E$2:E341)*(E341=E$2:E341)))))-COUNTBLANK(OFFSET(A$1,,,SUMPRODUCT(MAX(ROW(E$1:E340)*(E2=E$1:E340))))))</f>
        <v/>
      </c>
      <c r="K341" s="25" t="str">
        <f aca="false">IF(OR(E341="",E341="!!!",F341="NEW"),"",INDEX(J$1:J340,SUMPRODUCT(MAX(ROW(E$1:E340)*(E341=E$1:E340)))))</f>
        <v/>
      </c>
      <c r="L341" s="26"/>
    </row>
    <row r="342" customFormat="false" ht="15" hidden="false" customHeight="false" outlineLevel="0" collapsed="false">
      <c r="A342" s="20" t="s">
        <v>353</v>
      </c>
      <c r="E342" s="21" t="str">
        <f aca="false">IF(D342="?OLD","!!!","")</f>
        <v/>
      </c>
      <c r="F342" s="22" t="str">
        <f aca="false">IF(OR(E342="",E342="!!!"),"",IF(NOT(ISNA(VLOOKUP(E342,E$1:E341,1,FALSE()))),"OLD",IF(AND(E342&lt;&gt;"",E342&lt;&gt;"!!!"),"NEW","")))</f>
        <v>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IF(OR(E342="",E342="!!!",F342="NEW"),"",INDEX(B341:B$2,-1+SUMPRODUCT(MAX(ROW(E341:E$2)*(E342=E341:E$2)))))</f>
        <v> </v>
      </c>
      <c r="J342" s="25" t="str">
        <f aca="true">IF(OR(E342="",E342="!!!",F342="NEW"),"",COUNTBLANK(OFFSET(A$1,,,SUMPRODUCT(MAX(ROW(E$2:E342)*(E342=E$2:E342)))))-COUNTBLANK(OFFSET(A$1,,,SUMPRODUCT(MAX(ROW(E$1:E341)*(E2=E$1:E341))))))</f>
        <v/>
      </c>
      <c r="K342" s="25" t="str">
        <f aca="false">IF(OR(E342="",E342="!!!",F342="NEW"),"",INDEX(J$1:J341,SUMPRODUCT(MAX(ROW(E$1:E341)*(E342=E$1:E341)))))</f>
        <v/>
      </c>
      <c r="L342" s="26"/>
    </row>
    <row r="343" customFormat="false" ht="15" hidden="false" customHeight="false" outlineLevel="0" collapsed="false">
      <c r="A343" s="20" t="s">
        <v>351</v>
      </c>
      <c r="B343" s="27" t="s">
        <v>244</v>
      </c>
      <c r="C343" s="27" t="s">
        <v>233</v>
      </c>
      <c r="D343" s="27" t="s">
        <v>209</v>
      </c>
      <c r="E343" s="21" t="str">
        <f aca="false">IF(D343="?OLD","!!!","")</f>
        <v>!!!</v>
      </c>
      <c r="F343" s="22" t="str">
        <f aca="false">IF(OR(E343="",E343="!!!"),"",IF(NOT(ISNA(VLOOKUP(E343,E$1:E342,1,FALSE()))),"OLD",IF(AND(E343&lt;&gt;"",E343&lt;&gt;"!!!"),"NEW","")))</f>
        <v> </v>
      </c>
      <c r="G343" s="23" t="str">
        <f aca="false">IF(OR(E343="",E343="!!!"),"",IF(OR(J343=0,AND(J343=1,K343=1),AND(J343=1,I343="SBJ"),AND(J343=1,I343=0)),"?IN_FOCUS",IF(J343&lt;=2,"?ACTIVATED",IF(J343&lt;&gt;"","?FAMILIAR",IF(F343="NEW",IF(ISNA(VLOOKUP(E343,#REF!,1,FALSE())),"?TYPE_IDENTIFIABLE","?REFERENTIAL"),"_")))))</f>
        <v/>
      </c>
      <c r="H343" s="24" t="str">
        <f aca="false">IF(J343&lt;&gt;1,"",IF(I343="SBJ","CB","?"))</f>
        <v/>
      </c>
      <c r="I343" s="25" t="str">
        <f aca="false">IF(OR(E343="",E343="!!!",F343="NEW"),"",INDEX(B342:B$2,-1+SUMPRODUCT(MAX(ROW(E342:E$2)*(E343=E342:E$2)))))</f>
        <v> </v>
      </c>
      <c r="J343" s="25" t="str">
        <f aca="true">IF(OR(E343="",E343="!!!",F343="NEW"),"",COUNTBLANK(OFFSET(A$1,,,SUMPRODUCT(MAX(ROW(E$2:E343)*(E343=E$2:E343)))))-COUNTBLANK(OFFSET(A$1,,,SUMPRODUCT(MAX(ROW(E$1:E342)*(E2=E$1:E342))))))</f>
        <v/>
      </c>
      <c r="K343" s="25" t="str">
        <f aca="false">IF(OR(E343="",E343="!!!",F343="NEW"),"",INDEX(J$1:J342,SUMPRODUCT(MAX(ROW(E$1:E342)*(E343=E$1:E342)))))</f>
        <v/>
      </c>
      <c r="L343" s="26"/>
    </row>
    <row r="344" customFormat="false" ht="15" hidden="false" customHeight="false" outlineLevel="0" collapsed="false">
      <c r="A344" s="20" t="s">
        <v>210</v>
      </c>
      <c r="E344" s="21" t="str">
        <f aca="false">IF(D344="?OLD","!!!","")</f>
        <v/>
      </c>
      <c r="F344" s="22" t="str">
        <f aca="false">IF(OR(E344="",E344="!!!"),"",IF(NOT(ISNA(VLOOKUP(E344,E$1:E343,1,FALSE()))),"OLD",IF(AND(E344&lt;&gt;"",E344&lt;&gt;"!!!"),"NEW","")))</f>
        <v>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IF(OR(E344="",E344="!!!",F344="NEW"),"",INDEX(B343:B$2,-1+SUMPRODUCT(MAX(ROW(E343:E$2)*(E344=E343:E$2)))))</f>
        <v> </v>
      </c>
      <c r="J344" s="25" t="str">
        <f aca="true">IF(OR(E344="",E344="!!!",F344="NEW"),"",COUNTBLANK(OFFSET(A$1,,,SUMPRODUCT(MAX(ROW(E$2:E344)*(E344=E$2:E344)))))-COUNTBLANK(OFFSET(A$1,,,SUMPRODUCT(MAX(ROW(E$1:E343)*(E2=E$1:E343))))))</f>
        <v/>
      </c>
      <c r="K344" s="25" t="str">
        <f aca="false">IF(OR(E344="",E344="!!!",F344="NEW"),"",INDEX(J$1:J343,SUMPRODUCT(MAX(ROW(E$1:E343)*(E344=E$1:E343)))))</f>
        <v/>
      </c>
      <c r="L344" s="26"/>
    </row>
    <row r="345" customFormat="false" ht="15" hidden="false" customHeight="false" outlineLevel="0" collapsed="false">
      <c r="A345" s="20" t="s">
        <v>323</v>
      </c>
      <c r="E345" s="21" t="str">
        <f aca="false">IF(D345="?OLD","!!!","")</f>
        <v/>
      </c>
      <c r="F345" s="22" t="str">
        <f aca="false">IF(OR(E345="",E345="!!!"),"",IF(NOT(ISNA(VLOOKUP(E345,E$1:E344,1,FALSE()))),"OLD",IF(AND(E345&lt;&gt;"",E345&lt;&gt;"!!!"),"NEW","")))</f>
        <v>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IF(OR(E345="",E345="!!!",F345="NEW"),"",INDEX(B344:B$2,-1+SUMPRODUCT(MAX(ROW(E344:E$2)*(E345=E344:E$2)))))</f>
        <v> </v>
      </c>
      <c r="J345" s="25" t="str">
        <f aca="true">IF(OR(E345="",E345="!!!",F345="NEW"),"",COUNTBLANK(OFFSET(A$1,,,SUMPRODUCT(MAX(ROW(E$2:E345)*(E345=E$2:E345)))))-COUNTBLANK(OFFSET(A$1,,,SUMPRODUCT(MAX(ROW(E$1:E344)*(E2=E$1:E344))))))</f>
        <v/>
      </c>
      <c r="K345" s="25" t="str">
        <f aca="false">IF(OR(E345="",E345="!!!",F345="NEW"),"",INDEX(J$1:J344,SUMPRODUCT(MAX(ROW(E$1:E344)*(E345=E$1:E344)))))</f>
        <v/>
      </c>
      <c r="L345" s="26"/>
    </row>
    <row r="346" customFormat="false" ht="15" hidden="false" customHeight="false" outlineLevel="0" collapsed="false">
      <c r="A346" s="20" t="s">
        <v>308</v>
      </c>
      <c r="E346" s="21" t="str">
        <f aca="false">IF(D346="?OLD","!!!","")</f>
        <v/>
      </c>
      <c r="F346" s="22" t="str">
        <f aca="false">IF(OR(E346="",E346="!!!"),"",IF(NOT(ISNA(VLOOKUP(E346,E$1:E345,1,FALSE()))),"OLD",IF(AND(E346&lt;&gt;"",E346&lt;&gt;"!!!"),"NEW","")))</f>
        <v> </v>
      </c>
      <c r="G346" s="23" t="str">
        <f aca="false">IF(OR(E346="",E346="!!!"),"",IF(OR(J346=0,AND(J346=1,K346=1),AND(J346=1,I346="SBJ"),AND(J346=1,I346=0)),"?IN_FOCUS",IF(J346&lt;=2,"?ACTIVATED",IF(J346&lt;&gt;"","?FAMILIAR",IF(F346="NEW",IF(ISNA(VLOOKUP(E346,#REF!,1,FALSE())),"?TYPE_IDENTIFIABLE","?REFERENTIAL"),"_")))))</f>
        <v/>
      </c>
      <c r="H346" s="24" t="str">
        <f aca="false">IF(J346&lt;&gt;1,"",IF(I346="SBJ","CB","?"))</f>
        <v/>
      </c>
      <c r="I346" s="25" t="str">
        <f aca="false">IF(OR(E346="",E346="!!!",F346="NEW"),"",INDEX(B345:B$2,-1+SUMPRODUCT(MAX(ROW(E345:E$2)*(E346=E345:E$2)))))</f>
        <v> </v>
      </c>
      <c r="J346" s="25" t="str">
        <f aca="true">IF(OR(E346="",E346="!!!",F346="NEW"),"",COUNTBLANK(OFFSET(A$1,,,SUMPRODUCT(MAX(ROW(E$2:E346)*(E346=E$2:E346)))))-COUNTBLANK(OFFSET(A$1,,,SUMPRODUCT(MAX(ROW(E$1:E345)*(E2=E$1:E345))))))</f>
        <v/>
      </c>
      <c r="K346" s="25" t="str">
        <f aca="false">IF(OR(E346="",E346="!!!",F346="NEW"),"",INDEX(J$1:J345,SUMPRODUCT(MAX(ROW(E$1:E345)*(E346=E$1:E345)))))</f>
        <v/>
      </c>
      <c r="L346" s="26"/>
    </row>
    <row r="347" customFormat="false" ht="15" hidden="false" customHeight="false" outlineLevel="0" collapsed="false">
      <c r="A347" s="20" t="s">
        <v>288</v>
      </c>
      <c r="E347" s="21" t="str">
        <f aca="false">IF(D347="?OLD","!!!","")</f>
        <v/>
      </c>
      <c r="F347" s="22" t="str">
        <f aca="false">IF(OR(E347="",E347="!!!"),"",IF(NOT(ISNA(VLOOKUP(E347,E$1:E346,1,FALSE()))),"OLD",IF(AND(E347&lt;&gt;"",E347&lt;&gt;"!!!"),"NEW","")))</f>
        <v>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IF(OR(E347="",E347="!!!",F347="NEW"),"",INDEX(B346:B$2,-1+SUMPRODUCT(MAX(ROW(E346:E$2)*(E347=E346:E$2)))))</f>
        <v> </v>
      </c>
      <c r="J347" s="25" t="str">
        <f aca="true">IF(OR(E347="",E347="!!!",F347="NEW"),"",COUNTBLANK(OFFSET(A$1,,,SUMPRODUCT(MAX(ROW(E$2:E347)*(E347=E$2:E347)))))-COUNTBLANK(OFFSET(A$1,,,SUMPRODUCT(MAX(ROW(E$1:E346)*(E2=E$1:E346))))))</f>
        <v/>
      </c>
      <c r="K347" s="25" t="str">
        <f aca="false">IF(OR(E347="",E347="!!!",F347="NEW"),"",INDEX(J$1:J346,SUMPRODUCT(MAX(ROW(E$1:E346)*(E347=E$1:E346)))))</f>
        <v/>
      </c>
      <c r="L347" s="26"/>
    </row>
    <row r="348" customFormat="false" ht="15" hidden="false" customHeight="false" outlineLevel="0" collapsed="false">
      <c r="A348" s="20" t="s">
        <v>351</v>
      </c>
      <c r="B348" s="27" t="s">
        <v>240</v>
      </c>
      <c r="C348" s="27" t="s">
        <v>233</v>
      </c>
      <c r="D348" s="27" t="s">
        <v>209</v>
      </c>
      <c r="E348" s="21" t="str">
        <f aca="false">IF(D348="?OLD","!!!","")</f>
        <v>!!!</v>
      </c>
      <c r="F348" s="22" t="str">
        <f aca="false">IF(OR(E348="",E348="!!!"),"",IF(NOT(ISNA(VLOOKUP(E348,E$1:E347,1,FALSE()))),"OLD",IF(AND(E348&lt;&gt;"",E348&lt;&gt;"!!!"),"NEW","")))</f>
        <v>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IF(OR(E348="",E348="!!!",F348="NEW"),"",INDEX(B347:B$2,-1+SUMPRODUCT(MAX(ROW(E347:E$2)*(E348=E347:E$2)))))</f>
        <v> </v>
      </c>
      <c r="J348" s="25" t="str">
        <f aca="true">IF(OR(E348="",E348="!!!",F348="NEW"),"",COUNTBLANK(OFFSET(A$1,,,SUMPRODUCT(MAX(ROW(E$2:E348)*(E348=E$2:E348)))))-COUNTBLANK(OFFSET(A$1,,,SUMPRODUCT(MAX(ROW(E$1:E347)*(E2=E$1:E347))))))</f>
        <v/>
      </c>
      <c r="K348" s="25" t="str">
        <f aca="false">IF(OR(E348="",E348="!!!",F348="NEW"),"",INDEX(J$1:J347,SUMPRODUCT(MAX(ROW(E$1:E347)*(E348=E$1:E347)))))</f>
        <v/>
      </c>
      <c r="L348" s="26"/>
    </row>
    <row r="349" customFormat="false" ht="15" hidden="false" customHeight="false" outlineLevel="0" collapsed="false">
      <c r="A349" s="20" t="s">
        <v>340</v>
      </c>
      <c r="E349" s="21" t="str">
        <f aca="false">IF(D349="?OLD","!!!","")</f>
        <v/>
      </c>
      <c r="F349" s="22" t="str">
        <f aca="false">IF(OR(E349="",E349="!!!"),"",IF(NOT(ISNA(VLOOKUP(E349,E$1:E348,1,FALSE()))),"OLD",IF(AND(E349&lt;&gt;"",E349&lt;&gt;"!!!"),"NEW","")))</f>
        <v>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IF(OR(E349="",E349="!!!",F349="NEW"),"",INDEX(B348:B$2,-1+SUMPRODUCT(MAX(ROW(E348:E$2)*(E349=E348:E$2)))))</f>
        <v> </v>
      </c>
      <c r="J349" s="25" t="str">
        <f aca="true">IF(OR(E349="",E349="!!!",F349="NEW"),"",COUNTBLANK(OFFSET(A$1,,,SUMPRODUCT(MAX(ROW(E$2:E349)*(E349=E$2:E349)))))-COUNTBLANK(OFFSET(A$1,,,SUMPRODUCT(MAX(ROW(E$1:E348)*(E2=E$1:E348))))))</f>
        <v/>
      </c>
      <c r="K349" s="25" t="str">
        <f aca="false">IF(OR(E349="",E349="!!!",F349="NEW"),"",INDEX(J$1:J348,SUMPRODUCT(MAX(ROW(E$1:E348)*(E349=E$1:E348)))))</f>
        <v/>
      </c>
      <c r="L349" s="26"/>
    </row>
    <row r="350" customFormat="false" ht="15" hidden="false" customHeight="false" outlineLevel="0" collapsed="false">
      <c r="A350" s="20" t="s">
        <v>354</v>
      </c>
      <c r="B350" s="27" t="s">
        <v>311</v>
      </c>
      <c r="E350" s="21" t="str">
        <f aca="false">IF(D350="?OLD","!!!","")</f>
        <v/>
      </c>
      <c r="F350" s="22" t="str">
        <f aca="false">IF(OR(E350="",E350="!!!"),"",IF(NOT(ISNA(VLOOKUP(E350,E$1:E349,1,FALSE()))),"OLD",IF(AND(E350&lt;&gt;"",E350&lt;&gt;"!!!"),"NEW","")))</f>
        <v>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IF(OR(E350="",E350="!!!",F350="NEW"),"",INDEX(B349:B$2,-1+SUMPRODUCT(MAX(ROW(E349:E$2)*(E350=E349:E$2)))))</f>
        <v> </v>
      </c>
      <c r="J350" s="25" t="str">
        <f aca="true">IF(OR(E350="",E350="!!!",F350="NEW"),"",COUNTBLANK(OFFSET(A$1,,,SUMPRODUCT(MAX(ROW(E$2:E350)*(E350=E$2:E350)))))-COUNTBLANK(OFFSET(A$1,,,SUMPRODUCT(MAX(ROW(E$1:E349)*(E2=E$1:E349))))))</f>
        <v/>
      </c>
      <c r="K350" s="25" t="str">
        <f aca="false">IF(OR(E350="",E350="!!!",F350="NEW"),"",INDEX(J$1:J349,SUMPRODUCT(MAX(ROW(E$1:E349)*(E350=E$1:E349)))))</f>
        <v/>
      </c>
      <c r="L350" s="26"/>
    </row>
    <row r="351" customFormat="false" ht="15" hidden="false" customHeight="false" outlineLevel="0" collapsed="false">
      <c r="A351" s="20" t="s">
        <v>229</v>
      </c>
      <c r="E351" s="21" t="str">
        <f aca="false">IF(D351="?OLD","!!!","")</f>
        <v/>
      </c>
      <c r="F351" s="22" t="str">
        <f aca="false">IF(OR(E351="",E351="!!!"),"",IF(NOT(ISNA(VLOOKUP(E351,E$1:E350,1,FALSE()))),"OLD",IF(AND(E351&lt;&gt;"",E351&lt;&gt;"!!!"),"NEW","")))</f>
        <v>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IF(OR(E351="",E351="!!!",F351="NEW"),"",INDEX(B350:B$2,-1+SUMPRODUCT(MAX(ROW(E350:E$2)*(E351=E350:E$2)))))</f>
        <v> </v>
      </c>
      <c r="J351" s="25" t="str">
        <f aca="true">IF(OR(E351="",E351="!!!",F351="NEW"),"",COUNTBLANK(OFFSET(A$1,,,SUMPRODUCT(MAX(ROW(E$2:E351)*(E351=E$2:E351)))))-COUNTBLANK(OFFSET(A$1,,,SUMPRODUCT(MAX(ROW(E$1:E350)*(E2=E$1:E350))))))</f>
        <v/>
      </c>
      <c r="K351" s="25" t="str">
        <f aca="false">IF(OR(E351="",E351="!!!",F351="NEW"),"",INDEX(J$1:J350,SUMPRODUCT(MAX(ROW(E$1:E350)*(E351=E$1:E350)))))</f>
        <v/>
      </c>
      <c r="L351" s="26"/>
    </row>
    <row r="352" customFormat="false" ht="15" hidden="false" customHeight="false" outlineLevel="0" collapsed="false">
      <c r="A352" s="20" t="s">
        <v>238</v>
      </c>
      <c r="E352" s="21" t="str">
        <f aca="false">IF(D352="?OLD","!!!","")</f>
        <v/>
      </c>
      <c r="F352" s="22" t="str">
        <f aca="false">IF(OR(E352="",E352="!!!"),"",IF(NOT(ISNA(VLOOKUP(E352,E$1:E351,1,FALSE()))),"OLD",IF(AND(E352&lt;&gt;"",E352&lt;&gt;"!!!"),"NEW","")))</f>
        <v> </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IF(OR(E352="",E352="!!!",F352="NEW"),"",INDEX(B351:B$2,-1+SUMPRODUCT(MAX(ROW(E351:E$2)*(E352=E351:E$2)))))</f>
        <v> </v>
      </c>
      <c r="J352" s="25" t="str">
        <f aca="true">IF(OR(E352="",E352="!!!",F352="NEW"),"",COUNTBLANK(OFFSET(A$1,,,SUMPRODUCT(MAX(ROW(E$2:E352)*(E352=E$2:E352)))))-COUNTBLANK(OFFSET(A$1,,,SUMPRODUCT(MAX(ROW(E$1:E351)*(E2=E$1:E351))))))</f>
        <v/>
      </c>
      <c r="K352" s="25" t="str">
        <f aca="false">IF(OR(E352="",E352="!!!",F352="NEW"),"",INDEX(J$1:J351,SUMPRODUCT(MAX(ROW(E$1:E351)*(E352=E$1:E351)))))</f>
        <v/>
      </c>
      <c r="L352" s="26"/>
    </row>
    <row r="353" customFormat="false" ht="15" hidden="false" customHeight="false" outlineLevel="0" collapsed="false">
      <c r="A353" s="20"/>
    </row>
    <row r="354" customFormat="false" ht="15" hidden="false" customHeight="false" outlineLevel="0" collapsed="false">
      <c r="A354" s="20" t="s">
        <v>230</v>
      </c>
      <c r="E354" s="21" t="str">
        <f aca="false">IF(D354="?OLD","!!!","")</f>
        <v/>
      </c>
      <c r="F354" s="22" t="str">
        <f aca="false">IF(OR(E354="",E354="!!!"),"",IF(NOT(ISNA(VLOOKUP(E354,E$1:E353,1,FALSE()))),"OLD",IF(AND(E354&lt;&gt;"",E354&lt;&gt;"!!!"),"NEW","")))</f>
        <v>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IF(OR(E354="",E354="!!!",F354="NEW"),"",INDEX(B353:B$2,-1+SUMPRODUCT(MAX(ROW(E353:E$2)*(E354=E353:E$2)))))</f>
        <v> </v>
      </c>
      <c r="J354" s="25" t="str">
        <f aca="true">IF(OR(E354="",E354="!!!",F354="NEW"),"",COUNTBLANK(OFFSET(A$1,,,SUMPRODUCT(MAX(ROW(E$2:E354)*(E354=E$2:E354)))))-COUNTBLANK(OFFSET(A$1,,,SUMPRODUCT(MAX(ROW(E$1:E353)*(E2=E$1:E353))))))</f>
        <v/>
      </c>
      <c r="K354" s="25" t="str">
        <f aca="false">IF(OR(E354="",E354="!!!",F354="NEW"),"",INDEX(J$1:J353,SUMPRODUCT(MAX(ROW(E$1:E353)*(E354=E$1:E353)))))</f>
        <v/>
      </c>
      <c r="L354" s="26"/>
    </row>
    <row r="355" customFormat="false" ht="15" hidden="false" customHeight="false" outlineLevel="0" collapsed="false">
      <c r="A355" s="20" t="s">
        <v>355</v>
      </c>
    </row>
    <row r="356" customFormat="false" ht="15" hidden="false" customHeight="false" outlineLevel="0" collapsed="false">
      <c r="A356" s="20" t="s">
        <v>226</v>
      </c>
      <c r="B356" s="27" t="s">
        <v>207</v>
      </c>
      <c r="C356" s="27" t="s">
        <v>225</v>
      </c>
      <c r="D356" s="27" t="s">
        <v>209</v>
      </c>
      <c r="E356" s="21" t="str">
        <f aca="false">IF(D356="?OLD","!!!","")</f>
        <v>!!!</v>
      </c>
      <c r="F356" s="22" t="str">
        <f aca="false">IF(OR(E356="",E356="!!!"),"",IF(NOT(ISNA(VLOOKUP(E356,E$1:E355,1,FALSE()))),"OLD",IF(AND(E356&lt;&gt;"",E356&lt;&gt;"!!!"),"NEW","")))</f>
        <v>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IF(OR(E356="",E356="!!!",F356="NEW"),"",INDEX(B355:B$2,-1+SUMPRODUCT(MAX(ROW(E355:E$2)*(E356=E355:E$2)))))</f>
        <v> </v>
      </c>
      <c r="J356" s="25" t="str">
        <f aca="true">IF(OR(E356="",E356="!!!",F356="NEW"),"",COUNTBLANK(OFFSET(A$1,,,SUMPRODUCT(MAX(ROW(E$2:E356)*(E356=E$2:E356)))))-COUNTBLANK(OFFSET(A$1,,,SUMPRODUCT(MAX(ROW(E$1:E355)*(E2=E$1:E355))))))</f>
        <v/>
      </c>
      <c r="K356" s="25" t="str">
        <f aca="false">IF(OR(E356="",E356="!!!",F356="NEW"),"",INDEX(J$1:J355,SUMPRODUCT(MAX(ROW(E$1:E355)*(E356=E$1:E355)))))</f>
        <v/>
      </c>
      <c r="L356" s="26"/>
    </row>
    <row r="357" customFormat="false" ht="15" hidden="false" customHeight="false" outlineLevel="0" collapsed="false">
      <c r="A357" s="20" t="s">
        <v>234</v>
      </c>
      <c r="E357" s="21" t="str">
        <f aca="false">IF(D357="?OLD","!!!","")</f>
        <v/>
      </c>
      <c r="F357" s="22" t="str">
        <f aca="false">IF(OR(E357="",E357="!!!"),"",IF(NOT(ISNA(VLOOKUP(E357,E$1:E356,1,FALSE()))),"OLD",IF(AND(E357&lt;&gt;"",E357&lt;&gt;"!!!"),"NEW","")))</f>
        <v> </v>
      </c>
      <c r="G357" s="23" t="str">
        <f aca="false">IF(OR(E357="",E357="!!!"),"",IF(OR(J357=0,AND(J357=1,K357=1),AND(J357=1,I357="SBJ"),AND(J357=1,I357=0)),"?IN_FOCUS",IF(J357&lt;=2,"?ACTIVATED",IF(J357&lt;&gt;"","?FAMILIAR",IF(F357="NEW",IF(ISNA(VLOOKUP(E357,#REF!,1,FALSE())),"?TYPE_IDENTIFIABLE","?REFERENTIAL"),"_")))))</f>
        <v/>
      </c>
      <c r="H357" s="24" t="str">
        <f aca="false">IF(J357&lt;&gt;1,"",IF(I357="SBJ","CB","?"))</f>
        <v/>
      </c>
      <c r="I357" s="25" t="str">
        <f aca="false">IF(OR(E357="",E357="!!!",F357="NEW"),"",INDEX(B356:B$2,-1+SUMPRODUCT(MAX(ROW(E356:E$2)*(E357=E356:E$2)))))</f>
        <v> </v>
      </c>
      <c r="J357" s="25" t="str">
        <f aca="true">IF(OR(E357="",E357="!!!",F357="NEW"),"",COUNTBLANK(OFFSET(A$1,,,SUMPRODUCT(MAX(ROW(E$2:E357)*(E357=E$2:E357)))))-COUNTBLANK(OFFSET(A$1,,,SUMPRODUCT(MAX(ROW(E$1:E356)*(E2=E$1:E356))))))</f>
        <v/>
      </c>
      <c r="K357" s="25" t="str">
        <f aca="false">IF(OR(E357="",E357="!!!",F357="NEW"),"",INDEX(J$1:J356,SUMPRODUCT(MAX(ROW(E$1:E356)*(E357=E$1:E356)))))</f>
        <v/>
      </c>
      <c r="L357" s="26"/>
    </row>
    <row r="358" customFormat="false" ht="15" hidden="false" customHeight="false" outlineLevel="0" collapsed="false">
      <c r="A358" s="20" t="s">
        <v>237</v>
      </c>
      <c r="E358" s="21" t="str">
        <f aca="false">IF(D358="?OLD","!!!","")</f>
        <v/>
      </c>
      <c r="F358" s="22" t="str">
        <f aca="false">IF(OR(E358="",E358="!!!"),"",IF(NOT(ISNA(VLOOKUP(E358,E$1:E357,1,FALSE()))),"OLD",IF(AND(E358&lt;&gt;"",E358&lt;&gt;"!!!"),"NEW","")))</f>
        <v> </v>
      </c>
      <c r="G358" s="23" t="str">
        <f aca="false">IF(OR(E358="",E358="!!!"),"",IF(OR(J358=0,AND(J358=1,K358=1),AND(J358=1,I358="SBJ"),AND(J358=1,I358=0)),"?IN_FOCUS",IF(J358&lt;=2,"?ACTIVATED",IF(J358&lt;&gt;"","?FAMILIAR",IF(F358="NEW",IF(ISNA(VLOOKUP(E358,#REF!,1,FALSE())),"?TYPE_IDENTIFIABLE","?REFERENTIAL"),"_")))))</f>
        <v/>
      </c>
      <c r="H358" s="24" t="str">
        <f aca="false">IF(J358&lt;&gt;1,"",IF(I358="SBJ","CB","?"))</f>
        <v/>
      </c>
      <c r="I358" s="25" t="str">
        <f aca="false">IF(OR(E358="",E358="!!!",F358="NEW"),"",INDEX(B357:B$2,-1+SUMPRODUCT(MAX(ROW(E357:E$2)*(E358=E357:E$2)))))</f>
        <v> </v>
      </c>
      <c r="J358" s="25" t="str">
        <f aca="true">IF(OR(E358="",E358="!!!",F358="NEW"),"",COUNTBLANK(OFFSET(A$1,,,SUMPRODUCT(MAX(ROW(E$2:E358)*(E358=E$2:E358)))))-COUNTBLANK(OFFSET(A$1,,,SUMPRODUCT(MAX(ROW(E$1:E357)*(E2=E$1:E357))))))</f>
        <v/>
      </c>
      <c r="K358" s="25" t="str">
        <f aca="false">IF(OR(E358="",E358="!!!",F358="NEW"),"",INDEX(J$1:J357,SUMPRODUCT(MAX(ROW(E$1:E357)*(E358=E$1:E357)))))</f>
        <v/>
      </c>
      <c r="L358" s="26"/>
    </row>
    <row r="359" customFormat="false" ht="15" hidden="false" customHeight="false" outlineLevel="0" collapsed="false">
      <c r="A359" s="20" t="s">
        <v>238</v>
      </c>
      <c r="E359" s="21" t="str">
        <f aca="false">IF(D359="?OLD","!!!","")</f>
        <v/>
      </c>
      <c r="F359" s="22" t="str">
        <f aca="false">IF(OR(E359="",E359="!!!"),"",IF(NOT(ISNA(VLOOKUP(E359,E$1:E358,1,FALSE()))),"OLD",IF(AND(E359&lt;&gt;"",E359&lt;&gt;"!!!"),"NEW","")))</f>
        <v> </v>
      </c>
      <c r="G359" s="23" t="str">
        <f aca="false">IF(OR(E359="",E359="!!!"),"",IF(OR(J359=0,AND(J359=1,K359=1),AND(J359=1,I359="SBJ"),AND(J359=1,I359=0)),"?IN_FOCUS",IF(J359&lt;=2,"?ACTIVATED",IF(J359&lt;&gt;"","?FAMILIAR",IF(F359="NEW",IF(ISNA(VLOOKUP(E359,#REF!,1,FALSE())),"?TYPE_IDENTIFIABLE","?REFERENTIAL"),"_")))))</f>
        <v/>
      </c>
      <c r="H359" s="24" t="str">
        <f aca="false">IF(J359&lt;&gt;1,"",IF(I359="SBJ","CB","?"))</f>
        <v/>
      </c>
      <c r="I359" s="25" t="str">
        <f aca="false">IF(OR(E359="",E359="!!!",F359="NEW"),"",INDEX(B358:B$2,-1+SUMPRODUCT(MAX(ROW(E358:E$2)*(E359=E358:E$2)))))</f>
        <v> </v>
      </c>
      <c r="J359" s="25" t="str">
        <f aca="true">IF(OR(E359="",E359="!!!",F359="NEW"),"",COUNTBLANK(OFFSET(A$1,,,SUMPRODUCT(MAX(ROW(E$2:E359)*(E359=E$2:E359)))))-COUNTBLANK(OFFSET(A$1,,,SUMPRODUCT(MAX(ROW(E$1:E358)*(E2=E$1:E358))))))</f>
        <v/>
      </c>
      <c r="K359" s="25" t="str">
        <f aca="false">IF(OR(E359="",E359="!!!",F359="NEW"),"",INDEX(J$1:J358,SUMPRODUCT(MAX(ROW(E$1:E358)*(E359=E$1:E358)))))</f>
        <v/>
      </c>
      <c r="L359" s="26"/>
    </row>
    <row r="360" customFormat="false" ht="15" hidden="false" customHeight="false" outlineLevel="0" collapsed="false">
      <c r="A360" s="20" t="s">
        <v>356</v>
      </c>
      <c r="B360" s="27" t="s">
        <v>240</v>
      </c>
      <c r="C360" s="27" t="s">
        <v>348</v>
      </c>
      <c r="E360" s="21" t="str">
        <f aca="false">IF(D360="?OLD","!!!","")</f>
        <v/>
      </c>
      <c r="F360" s="22" t="str">
        <f aca="false">IF(OR(E360="",E360="!!!"),"",IF(NOT(ISNA(VLOOKUP(E360,E$1:E359,1,FALSE()))),"OLD",IF(AND(E360&lt;&gt;"",E360&lt;&gt;"!!!"),"NEW","")))</f>
        <v> </v>
      </c>
      <c r="G360" s="23" t="str">
        <f aca="false">IF(OR(E360="",E360="!!!"),"",IF(OR(J360=0,AND(J360=1,K360=1),AND(J360=1,I360="SBJ"),AND(J360=1,I360=0)),"?IN_FOCUS",IF(J360&lt;=2,"?ACTIVATED",IF(J360&lt;&gt;"","?FAMILIAR",IF(F360="NEW",IF(ISNA(VLOOKUP(E360,#REF!,1,FALSE())),"?TYPE_IDENTIFIABLE","?REFERENTIAL"),"_")))))</f>
        <v/>
      </c>
      <c r="H360" s="24" t="str">
        <f aca="false">IF(J360&lt;&gt;1,"",IF(I360="SBJ","CB","?"))</f>
        <v/>
      </c>
      <c r="I360" s="25" t="str">
        <f aca="false">IF(OR(E360="",E360="!!!",F360="NEW"),"",INDEX(B359:B$2,-1+SUMPRODUCT(MAX(ROW(E359:E$2)*(E360=E359:E$2)))))</f>
        <v> </v>
      </c>
      <c r="J360" s="25" t="str">
        <f aca="true">IF(OR(E360="",E360="!!!",F360="NEW"),"",COUNTBLANK(OFFSET(A$1,,,SUMPRODUCT(MAX(ROW(E$2:E360)*(E360=E$2:E360)))))-COUNTBLANK(OFFSET(A$1,,,SUMPRODUCT(MAX(ROW(E$1:E359)*(E2=E$1:E359))))))</f>
        <v/>
      </c>
      <c r="K360" s="25" t="str">
        <f aca="false">IF(OR(E360="",E360="!!!",F360="NEW"),"",INDEX(J$1:J359,SUMPRODUCT(MAX(ROW(E$1:E359)*(E360=E$1:E359)))))</f>
        <v/>
      </c>
      <c r="L360" s="26"/>
    </row>
    <row r="361" customFormat="false" ht="15" hidden="false" customHeight="false" outlineLevel="0" collapsed="false">
      <c r="A361" s="20" t="s">
        <v>357</v>
      </c>
      <c r="E361" s="21" t="str">
        <f aca="false">IF(D361="?OLD","!!!","")</f>
        <v/>
      </c>
      <c r="F361" s="22" t="str">
        <f aca="false">IF(OR(E361="",E361="!!!"),"",IF(NOT(ISNA(VLOOKUP(E361,E$1:E360,1,FALSE()))),"OLD",IF(AND(E361&lt;&gt;"",E361&lt;&gt;"!!!"),"NEW","")))</f>
        <v>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IF(OR(E361="",E361="!!!",F361="NEW"),"",INDEX(B360:B$2,-1+SUMPRODUCT(MAX(ROW(E360:E$2)*(E361=E360:E$2)))))</f>
        <v> </v>
      </c>
      <c r="J361" s="25" t="str">
        <f aca="true">IF(OR(E361="",E361="!!!",F361="NEW"),"",COUNTBLANK(OFFSET(A$1,,,SUMPRODUCT(MAX(ROW(E$2:E361)*(E361=E$2:E361)))))-COUNTBLANK(OFFSET(A$1,,,SUMPRODUCT(MAX(ROW(E$1:E360)*(E2=E$1:E360))))))</f>
        <v/>
      </c>
      <c r="K361" s="25" t="str">
        <f aca="false">IF(OR(E361="",E361="!!!",F361="NEW"),"",INDEX(J$1:J360,SUMPRODUCT(MAX(ROW(E$1:E360)*(E361=E$1:E360)))))</f>
        <v/>
      </c>
      <c r="L361" s="26"/>
    </row>
    <row r="362" customFormat="false" ht="15" hidden="false" customHeight="false" outlineLevel="0" collapsed="false">
      <c r="A362" s="20" t="s">
        <v>266</v>
      </c>
      <c r="B362" s="27" t="s">
        <v>311</v>
      </c>
      <c r="C362" s="27" t="s">
        <v>233</v>
      </c>
      <c r="D362" s="27" t="s">
        <v>209</v>
      </c>
      <c r="E362" s="21" t="str">
        <f aca="false">IF(D362="?OLD","!!!","")</f>
        <v>!!!</v>
      </c>
      <c r="F362" s="22" t="str">
        <f aca="false">IF(OR(E362="",E362="!!!"),"",IF(NOT(ISNA(VLOOKUP(E362,E$1:E361,1,FALSE()))),"OLD",IF(AND(E362&lt;&gt;"",E362&lt;&gt;"!!!"),"NEW","")))</f>
        <v>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IF(OR(E362="",E362="!!!",F362="NEW"),"",INDEX(B361:B$2,-1+SUMPRODUCT(MAX(ROW(E361:E$2)*(E362=E361:E$2)))))</f>
        <v> </v>
      </c>
      <c r="J362" s="25" t="str">
        <f aca="true">IF(OR(E362="",E362="!!!",F362="NEW"),"",COUNTBLANK(OFFSET(A$1,,,SUMPRODUCT(MAX(ROW(E$2:E362)*(E362=E$2:E362)))))-COUNTBLANK(OFFSET(A$1,,,SUMPRODUCT(MAX(ROW(E$1:E361)*(E2=E$1:E361))))))</f>
        <v/>
      </c>
      <c r="K362" s="25" t="str">
        <f aca="false">IF(OR(E362="",E362="!!!",F362="NEW"),"",INDEX(J$1:J361,SUMPRODUCT(MAX(ROW(E$1:E361)*(E362=E$1:E361)))))</f>
        <v/>
      </c>
      <c r="L362" s="26"/>
    </row>
    <row r="363" customFormat="false" ht="15" hidden="false" customHeight="false" outlineLevel="0" collapsed="false">
      <c r="A363" s="20" t="s">
        <v>277</v>
      </c>
      <c r="E363" s="21" t="str">
        <f aca="false">IF(D363="?OLD","!!!","")</f>
        <v/>
      </c>
      <c r="F363" s="22" t="str">
        <f aca="false">IF(OR(E363="",E363="!!!"),"",IF(NOT(ISNA(VLOOKUP(E363,E$1:E362,1,FALSE()))),"OLD",IF(AND(E363&lt;&gt;"",E363&lt;&gt;"!!!"),"NEW","")))</f>
        <v> </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IF(OR(E363="",E363="!!!",F363="NEW"),"",INDEX(B362:B$2,-1+SUMPRODUCT(MAX(ROW(E362:E$2)*(E363=E362:E$2)))))</f>
        <v> </v>
      </c>
      <c r="J363" s="25" t="str">
        <f aca="true">IF(OR(E363="",E363="!!!",F363="NEW"),"",COUNTBLANK(OFFSET(A$1,,,SUMPRODUCT(MAX(ROW(E$2:E363)*(E363=E$2:E363)))))-COUNTBLANK(OFFSET(A$1,,,SUMPRODUCT(MAX(ROW(E$1:E362)*(E2=E$1:E362))))))</f>
        <v/>
      </c>
      <c r="K363" s="25" t="str">
        <f aca="false">IF(OR(E363="",E363="!!!",F363="NEW"),"",INDEX(J$1:J362,SUMPRODUCT(MAX(ROW(E$1:E362)*(E363=E$1:E362)))))</f>
        <v/>
      </c>
      <c r="L363" s="26"/>
    </row>
    <row r="364" customFormat="false" ht="15" hidden="false" customHeight="false" outlineLevel="0" collapsed="false">
      <c r="A364" s="20" t="s">
        <v>266</v>
      </c>
      <c r="B364" s="27" t="s">
        <v>244</v>
      </c>
      <c r="C364" s="27" t="s">
        <v>233</v>
      </c>
      <c r="D364" s="27" t="s">
        <v>209</v>
      </c>
      <c r="E364" s="21" t="str">
        <f aca="false">IF(D364="?OLD","!!!","")</f>
        <v>!!!</v>
      </c>
      <c r="F364" s="22" t="str">
        <f aca="false">IF(OR(E364="",E364="!!!"),"",IF(NOT(ISNA(VLOOKUP(E364,E$1:E363,1,FALSE()))),"OLD",IF(AND(E364&lt;&gt;"",E364&lt;&gt;"!!!"),"NEW","")))</f>
        <v> </v>
      </c>
      <c r="G364" s="23" t="str">
        <f aca="false">IF(OR(E364="",E364="!!!"),"",IF(OR(J364=0,AND(J364=1,K364=1),AND(J364=1,I364="SBJ"),AND(J364=1,I364=0)),"?IN_FOCUS",IF(J364&lt;=2,"?ACTIVATED",IF(J364&lt;&gt;"","?FAMILIAR",IF(F364="NEW",IF(ISNA(VLOOKUP(E364,#REF!,1,FALSE())),"?TYPE_IDENTIFIABLE","?REFERENTIAL"),"_")))))</f>
        <v/>
      </c>
      <c r="H364" s="24" t="str">
        <f aca="false">IF(J364&lt;&gt;1,"",IF(I364="SBJ","CB","?"))</f>
        <v/>
      </c>
      <c r="I364" s="25" t="str">
        <f aca="false">IF(OR(E364="",E364="!!!",F364="NEW"),"",INDEX(B363:B$2,-1+SUMPRODUCT(MAX(ROW(E363:E$2)*(E364=E363:E$2)))))</f>
        <v> </v>
      </c>
      <c r="J364" s="25" t="str">
        <f aca="true">IF(OR(E364="",E364="!!!",F364="NEW"),"",COUNTBLANK(OFFSET(A$1,,,SUMPRODUCT(MAX(ROW(E$2:E364)*(E364=E$2:E364)))))-COUNTBLANK(OFFSET(A$1,,,SUMPRODUCT(MAX(ROW(E$1:E363)*(E2=E$1:E363))))))</f>
        <v/>
      </c>
      <c r="K364" s="25" t="str">
        <f aca="false">IF(OR(E364="",E364="!!!",F364="NEW"),"",INDEX(J$1:J363,SUMPRODUCT(MAX(ROW(E$1:E363)*(E364=E$1:E363)))))</f>
        <v/>
      </c>
      <c r="L364" s="26"/>
    </row>
    <row r="365" customFormat="false" ht="15" hidden="false" customHeight="false" outlineLevel="0" collapsed="false">
      <c r="A365" s="20" t="s">
        <v>320</v>
      </c>
      <c r="E365" s="21" t="str">
        <f aca="false">IF(D365="?OLD","!!!","")</f>
        <v/>
      </c>
      <c r="F365" s="22" t="str">
        <f aca="false">IF(OR(E365="",E365="!!!"),"",IF(NOT(ISNA(VLOOKUP(E365,E$1:E364,1,FALSE()))),"OLD",IF(AND(E365&lt;&gt;"",E365&lt;&gt;"!!!"),"NEW","")))</f>
        <v>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IF(OR(E365="",E365="!!!",F365="NEW"),"",INDEX(B364:B$2,-1+SUMPRODUCT(MAX(ROW(E364:E$2)*(E365=E364:E$2)))))</f>
        <v> </v>
      </c>
      <c r="J365" s="25" t="str">
        <f aca="true">IF(OR(E365="",E365="!!!",F365="NEW"),"",COUNTBLANK(OFFSET(A$1,,,SUMPRODUCT(MAX(ROW(E$2:E365)*(E365=E$2:E365)))))-COUNTBLANK(OFFSET(A$1,,,SUMPRODUCT(MAX(ROW(E$1:E364)*(E2=E$1:E364))))))</f>
        <v/>
      </c>
      <c r="K365" s="25" t="str">
        <f aca="false">IF(OR(E365="",E365="!!!",F365="NEW"),"",INDEX(J$1:J364,SUMPRODUCT(MAX(ROW(E$1:E364)*(E365=E$1:E364)))))</f>
        <v/>
      </c>
      <c r="L365" s="26"/>
    </row>
    <row r="366" customFormat="false" ht="15" hidden="false" customHeight="false" outlineLevel="0" collapsed="false">
      <c r="A366" s="20" t="s">
        <v>323</v>
      </c>
      <c r="E366" s="21" t="str">
        <f aca="false">IF(D366="?OLD","!!!","")</f>
        <v/>
      </c>
      <c r="F366" s="22" t="str">
        <f aca="false">IF(OR(E366="",E366="!!!"),"",IF(NOT(ISNA(VLOOKUP(E366,E$1:E365,1,FALSE()))),"OLD",IF(AND(E366&lt;&gt;"",E366&lt;&gt;"!!!"),"NEW","")))</f>
        <v>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IF(OR(E366="",E366="!!!",F366="NEW"),"",INDEX(B365:B$2,-1+SUMPRODUCT(MAX(ROW(E365:E$2)*(E366=E365:E$2)))))</f>
        <v> </v>
      </c>
      <c r="J366" s="25" t="str">
        <f aca="true">IF(OR(E366="",E366="!!!",F366="NEW"),"",COUNTBLANK(OFFSET(A$1,,,SUMPRODUCT(MAX(ROW(E$2:E366)*(E366=E$2:E366)))))-COUNTBLANK(OFFSET(A$1,,,SUMPRODUCT(MAX(ROW(E$1:E365)*(E2=E$1:E365))))))</f>
        <v/>
      </c>
      <c r="K366" s="25" t="str">
        <f aca="false">IF(OR(E366="",E366="!!!",F366="NEW"),"",INDEX(J$1:J365,SUMPRODUCT(MAX(ROW(E$1:E365)*(E366=E$1:E365)))))</f>
        <v/>
      </c>
      <c r="L366" s="26"/>
    </row>
    <row r="367" customFormat="false" ht="15" hidden="false" customHeight="false" outlineLevel="0" collapsed="false">
      <c r="A367" s="20" t="s">
        <v>251</v>
      </c>
      <c r="E367" s="21" t="str">
        <f aca="false">IF(D367="?OLD","!!!","")</f>
        <v/>
      </c>
      <c r="F367" s="22" t="str">
        <f aca="false">IF(OR(E367="",E367="!!!"),"",IF(NOT(ISNA(VLOOKUP(E367,E$1:E366,1,FALSE()))),"OLD",IF(AND(E367&lt;&gt;"",E367&lt;&gt;"!!!"),"NEW","")))</f>
        <v>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IF(OR(E367="",E367="!!!",F367="NEW"),"",INDEX(B366:B$2,-1+SUMPRODUCT(MAX(ROW(E366:E$2)*(E367=E366:E$2)))))</f>
        <v> </v>
      </c>
      <c r="J367" s="25" t="str">
        <f aca="true">IF(OR(E367="",E367="!!!",F367="NEW"),"",COUNTBLANK(OFFSET(A$1,,,SUMPRODUCT(MAX(ROW(E$2:E367)*(E367=E$2:E367)))))-COUNTBLANK(OFFSET(A$1,,,SUMPRODUCT(MAX(ROW(E$1:E366)*(E2=E$1:E366))))))</f>
        <v/>
      </c>
      <c r="K367" s="25" t="str">
        <f aca="false">IF(OR(E367="",E367="!!!",F367="NEW"),"",INDEX(J$1:J366,SUMPRODUCT(MAX(ROW(E$1:E366)*(E367=E$1:E366)))))</f>
        <v/>
      </c>
      <c r="L367" s="26"/>
    </row>
    <row r="368" customFormat="false" ht="15" hidden="false" customHeight="false" outlineLevel="0" collapsed="false">
      <c r="A368" s="20"/>
    </row>
    <row r="369" customFormat="false" ht="15" hidden="false" customHeight="false" outlineLevel="0" collapsed="false">
      <c r="A369" s="20" t="s">
        <v>230</v>
      </c>
      <c r="E369" s="21" t="str">
        <f aca="false">IF(D369="?OLD","!!!","")</f>
        <v/>
      </c>
      <c r="F369" s="22" t="str">
        <f aca="false">IF(OR(E369="",E369="!!!"),"",IF(NOT(ISNA(VLOOKUP(E369,E$1:E368,1,FALSE()))),"OLD",IF(AND(E369&lt;&gt;"",E369&lt;&gt;"!!!"),"NEW","")))</f>
        <v>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IF(OR(E369="",E369="!!!",F369="NEW"),"",INDEX(B368:B$2,-1+SUMPRODUCT(MAX(ROW(E368:E$2)*(E369=E368:E$2)))))</f>
        <v> </v>
      </c>
      <c r="J369" s="25" t="str">
        <f aca="true">IF(OR(E369="",E369="!!!",F369="NEW"),"",COUNTBLANK(OFFSET(A$1,,,SUMPRODUCT(MAX(ROW(E$2:E369)*(E369=E$2:E369)))))-COUNTBLANK(OFFSET(A$1,,,SUMPRODUCT(MAX(ROW(E$1:E368)*(E2=E$1:E368))))))</f>
        <v/>
      </c>
      <c r="K369" s="25" t="str">
        <f aca="false">IF(OR(E369="",E369="!!!",F369="NEW"),"",INDEX(J$1:J368,SUMPRODUCT(MAX(ROW(E$1:E368)*(E369=E$1:E368)))))</f>
        <v/>
      </c>
      <c r="L369" s="26"/>
    </row>
    <row r="370" customFormat="false" ht="15" hidden="false" customHeight="false" outlineLevel="0" collapsed="false">
      <c r="A370" s="20" t="s">
        <v>358</v>
      </c>
    </row>
    <row r="371" customFormat="false" ht="15" hidden="false" customHeight="false" outlineLevel="0" collapsed="false">
      <c r="A371" s="20" t="s">
        <v>359</v>
      </c>
      <c r="E371" s="21" t="str">
        <f aca="false">IF(D371="?OLD","!!!","")</f>
        <v/>
      </c>
      <c r="F371" s="22" t="str">
        <f aca="false">IF(OR(E371="",E371="!!!"),"",IF(NOT(ISNA(VLOOKUP(E371,E$1:E370,1,FALSE()))),"OLD",IF(AND(E371&lt;&gt;"",E371&lt;&gt;"!!!"),"NEW","")))</f>
        <v>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IF(OR(E371="",E371="!!!",F371="NEW"),"",INDEX(B370:B$2,-1+SUMPRODUCT(MAX(ROW(E370:E$2)*(E371=E370:E$2)))))</f>
        <v> </v>
      </c>
      <c r="J371" s="25" t="str">
        <f aca="true">IF(OR(E371="",E371="!!!",F371="NEW"),"",COUNTBLANK(OFFSET(A$1,,,SUMPRODUCT(MAX(ROW(E$2:E371)*(E371=E$2:E371)))))-COUNTBLANK(OFFSET(A$1,,,SUMPRODUCT(MAX(ROW(E$1:E370)*(E2=E$1:E370))))))</f>
        <v/>
      </c>
      <c r="K371" s="25" t="str">
        <f aca="false">IF(OR(E371="",E371="!!!",F371="NEW"),"",INDEX(J$1:J370,SUMPRODUCT(MAX(ROW(E$1:E370)*(E371=E$1:E370)))))</f>
        <v/>
      </c>
      <c r="L371" s="26"/>
    </row>
    <row r="372" customFormat="false" ht="15" hidden="false" customHeight="false" outlineLevel="0" collapsed="false">
      <c r="A372" s="20" t="s">
        <v>266</v>
      </c>
      <c r="B372" s="27" t="s">
        <v>207</v>
      </c>
      <c r="C372" s="27" t="s">
        <v>233</v>
      </c>
      <c r="D372" s="27" t="s">
        <v>209</v>
      </c>
      <c r="E372" s="21" t="str">
        <f aca="false">IF(D372="?OLD","!!!","")</f>
        <v>!!!</v>
      </c>
      <c r="F372" s="22" t="str">
        <f aca="false">IF(OR(E372="",E372="!!!"),"",IF(NOT(ISNA(VLOOKUP(E372,E$1:E371,1,FALSE()))),"OLD",IF(AND(E372&lt;&gt;"",E372&lt;&gt;"!!!"),"NEW","")))</f>
        <v>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IF(OR(E372="",E372="!!!",F372="NEW"),"",INDEX(B371:B$2,-1+SUMPRODUCT(MAX(ROW(E371:E$2)*(E372=E371:E$2)))))</f>
        <v> </v>
      </c>
      <c r="J372" s="25" t="str">
        <f aca="true">IF(OR(E372="",E372="!!!",F372="NEW"),"",COUNTBLANK(OFFSET(A$1,,,SUMPRODUCT(MAX(ROW(E$2:E372)*(E372=E$2:E372)))))-COUNTBLANK(OFFSET(A$1,,,SUMPRODUCT(MAX(ROW(E$1:E371)*(E2=E$1:E371))))))</f>
        <v/>
      </c>
      <c r="K372" s="25" t="str">
        <f aca="false">IF(OR(E372="",E372="!!!",F372="NEW"),"",INDEX(J$1:J371,SUMPRODUCT(MAX(ROW(E$1:E371)*(E372=E$1:E371)))))</f>
        <v/>
      </c>
      <c r="L372" s="26"/>
    </row>
    <row r="373" customFormat="false" ht="15" hidden="false" customHeight="false" outlineLevel="0" collapsed="false">
      <c r="A373" s="20" t="s">
        <v>360</v>
      </c>
      <c r="E373" s="21" t="str">
        <f aca="false">IF(D373="?OLD","!!!","")</f>
        <v/>
      </c>
      <c r="F373" s="22" t="str">
        <f aca="false">IF(OR(E373="",E373="!!!"),"",IF(NOT(ISNA(VLOOKUP(E373,E$1:E372,1,FALSE()))),"OLD",IF(AND(E373&lt;&gt;"",E373&lt;&gt;"!!!"),"NEW","")))</f>
        <v>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IF(OR(E373="",E373="!!!",F373="NEW"),"",INDEX(B372:B$2,-1+SUMPRODUCT(MAX(ROW(E372:E$2)*(E373=E372:E$2)))))</f>
        <v> </v>
      </c>
      <c r="J373" s="25" t="str">
        <f aca="true">IF(OR(E373="",E373="!!!",F373="NEW"),"",COUNTBLANK(OFFSET(A$1,,,SUMPRODUCT(MAX(ROW(E$2:E373)*(E373=E$2:E373)))))-COUNTBLANK(OFFSET(A$1,,,SUMPRODUCT(MAX(ROW(E$1:E372)*(E2=E$1:E372))))))</f>
        <v/>
      </c>
      <c r="K373" s="25" t="str">
        <f aca="false">IF(OR(E373="",E373="!!!",F373="NEW"),"",INDEX(J$1:J372,SUMPRODUCT(MAX(ROW(E$1:E372)*(E373=E$1:E372)))))</f>
        <v/>
      </c>
      <c r="L373" s="26"/>
    </row>
    <row r="374" customFormat="false" ht="15" hidden="false" customHeight="false" outlineLevel="0" collapsed="false">
      <c r="A374" s="20" t="s">
        <v>341</v>
      </c>
      <c r="E374" s="21" t="str">
        <f aca="false">IF(D374="?OLD","!!!","")</f>
        <v/>
      </c>
      <c r="F374" s="22" t="str">
        <f aca="false">IF(OR(E374="",E374="!!!"),"",IF(NOT(ISNA(VLOOKUP(E374,E$1:E373,1,FALSE()))),"OLD",IF(AND(E374&lt;&gt;"",E374&lt;&gt;"!!!"),"NEW","")))</f>
        <v> </v>
      </c>
      <c r="G374" s="23" t="str">
        <f aca="false">IF(OR(E374="",E374="!!!"),"",IF(OR(J374=0,AND(J374=1,K374=1),AND(J374=1,I374="SBJ"),AND(J374=1,I374=0)),"?IN_FOCUS",IF(J374&lt;=2,"?ACTIVATED",IF(J374&lt;&gt;"","?FAMILIAR",IF(F374="NEW",IF(ISNA(VLOOKUP(E374,#REF!,1,FALSE())),"?TYPE_IDENTIFIABLE","?REFERENTIAL"),"_")))))</f>
        <v/>
      </c>
      <c r="H374" s="24" t="str">
        <f aca="false">IF(J374&lt;&gt;1,"",IF(I374="SBJ","CB","?"))</f>
        <v/>
      </c>
      <c r="I374" s="25" t="str">
        <f aca="false">IF(OR(E374="",E374="!!!",F374="NEW"),"",INDEX(B373:B$2,-1+SUMPRODUCT(MAX(ROW(E373:E$2)*(E374=E373:E$2)))))</f>
        <v> </v>
      </c>
      <c r="J374" s="25" t="str">
        <f aca="true">IF(OR(E374="",E374="!!!",F374="NEW"),"",COUNTBLANK(OFFSET(A$1,,,SUMPRODUCT(MAX(ROW(E$2:E374)*(E374=E$2:E374)))))-COUNTBLANK(OFFSET(A$1,,,SUMPRODUCT(MAX(ROW(E$1:E373)*(E2=E$1:E373))))))</f>
        <v/>
      </c>
      <c r="K374" s="25" t="str">
        <f aca="false">IF(OR(E374="",E374="!!!",F374="NEW"),"",INDEX(J$1:J373,SUMPRODUCT(MAX(ROW(E$1:E373)*(E374=E$1:E373)))))</f>
        <v/>
      </c>
      <c r="L374" s="26"/>
    </row>
    <row r="375" customFormat="false" ht="15" hidden="false" customHeight="false" outlineLevel="0" collapsed="false">
      <c r="A375" s="20" t="s">
        <v>205</v>
      </c>
      <c r="E375" s="21" t="str">
        <f aca="false">IF(D375="?OLD","!!!","")</f>
        <v/>
      </c>
      <c r="F375" s="22" t="str">
        <f aca="false">IF(OR(E375="",E375="!!!"),"",IF(NOT(ISNA(VLOOKUP(E375,E$1:E374,1,FALSE()))),"OLD",IF(AND(E375&lt;&gt;"",E375&lt;&gt;"!!!"),"NEW","")))</f>
        <v> </v>
      </c>
      <c r="G375" s="23" t="str">
        <f aca="false">IF(OR(E375="",E375="!!!"),"",IF(OR(J375=0,AND(J375=1,K375=1),AND(J375=1,I375="SBJ"),AND(J375=1,I375=0)),"?IN_FOCUS",IF(J375&lt;=2,"?ACTIVATED",IF(J375&lt;&gt;"","?FAMILIAR",IF(F375="NEW",IF(ISNA(VLOOKUP(E375,#REF!,1,FALSE())),"?TYPE_IDENTIFIABLE","?REFERENTIAL"),"_")))))</f>
        <v/>
      </c>
      <c r="H375" s="24" t="str">
        <f aca="false">IF(J375&lt;&gt;1,"",IF(I375="SBJ","CB","?"))</f>
        <v/>
      </c>
      <c r="I375" s="25" t="str">
        <f aca="false">IF(OR(E375="",E375="!!!",F375="NEW"),"",INDEX(B374:B$2,-1+SUMPRODUCT(MAX(ROW(E374:E$2)*(E375=E374:E$2)))))</f>
        <v> </v>
      </c>
      <c r="J375" s="25" t="str">
        <f aca="true">IF(OR(E375="",E375="!!!",F375="NEW"),"",COUNTBLANK(OFFSET(A$1,,,SUMPRODUCT(MAX(ROW(E$2:E375)*(E375=E$2:E375)))))-COUNTBLANK(OFFSET(A$1,,,SUMPRODUCT(MAX(ROW(E$1:E374)*(E2=E$1:E374))))))</f>
        <v/>
      </c>
      <c r="K375" s="25" t="str">
        <f aca="false">IF(OR(E375="",E375="!!!",F375="NEW"),"",INDEX(J$1:J374,SUMPRODUCT(MAX(ROW(E$1:E374)*(E375=E$1:E374)))))</f>
        <v/>
      </c>
      <c r="L375" s="26"/>
    </row>
    <row r="376" customFormat="false" ht="15" hidden="false" customHeight="false" outlineLevel="0" collapsed="false">
      <c r="A376" s="20" t="s">
        <v>247</v>
      </c>
      <c r="B376" s="27" t="s">
        <v>216</v>
      </c>
      <c r="C376" s="27" t="s">
        <v>208</v>
      </c>
      <c r="D376" s="27" t="s">
        <v>209</v>
      </c>
      <c r="E376" s="21" t="str">
        <f aca="false">IF(D376="?OLD","!!!","")</f>
        <v>!!!</v>
      </c>
      <c r="F376" s="22" t="str">
        <f aca="false">IF(OR(E376="",E376="!!!"),"",IF(NOT(ISNA(VLOOKUP(E376,E$1:E375,1,FALSE()))),"OLD",IF(AND(E376&lt;&gt;"",E376&lt;&gt;"!!!"),"NEW","")))</f>
        <v>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IF(OR(E376="",E376="!!!",F376="NEW"),"",INDEX(B375:B$2,-1+SUMPRODUCT(MAX(ROW(E375:E$2)*(E376=E375:E$2)))))</f>
        <v> </v>
      </c>
      <c r="J376" s="25" t="str">
        <f aca="true">IF(OR(E376="",E376="!!!",F376="NEW"),"",COUNTBLANK(OFFSET(A$1,,,SUMPRODUCT(MAX(ROW(E$2:E376)*(E376=E$2:E376)))))-COUNTBLANK(OFFSET(A$1,,,SUMPRODUCT(MAX(ROW(E$1:E375)*(E2=E$1:E375))))))</f>
        <v/>
      </c>
      <c r="K376" s="25" t="str">
        <f aca="false">IF(OR(E376="",E376="!!!",F376="NEW"),"",INDEX(J$1:J375,SUMPRODUCT(MAX(ROW(E$1:E375)*(E376=E$1:E375)))))</f>
        <v/>
      </c>
      <c r="L376" s="26"/>
    </row>
    <row r="377" customFormat="false" ht="15" hidden="false" customHeight="false" outlineLevel="0" collapsed="false">
      <c r="A377" s="20" t="s">
        <v>277</v>
      </c>
      <c r="B377" s="27" t="s">
        <v>268</v>
      </c>
      <c r="E377" s="21" t="str">
        <f aca="false">IF(D377="?OLD","!!!","")</f>
        <v/>
      </c>
      <c r="F377" s="22" t="str">
        <f aca="false">IF(OR(E377="",E377="!!!"),"",IF(NOT(ISNA(VLOOKUP(E377,E$1:E376,1,FALSE()))),"OLD",IF(AND(E377&lt;&gt;"",E377&lt;&gt;"!!!"),"NEW","")))</f>
        <v>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IF(OR(E377="",E377="!!!",F377="NEW"),"",INDEX(B376:B$2,-1+SUMPRODUCT(MAX(ROW(E376:E$2)*(E377=E376:E$2)))))</f>
        <v> </v>
      </c>
      <c r="J377" s="25" t="str">
        <f aca="true">IF(OR(E377="",E377="!!!",F377="NEW"),"",COUNTBLANK(OFFSET(A$1,,,SUMPRODUCT(MAX(ROW(E$2:E377)*(E377=E$2:E377)))))-COUNTBLANK(OFFSET(A$1,,,SUMPRODUCT(MAX(ROW(E$1:E376)*(E2=E$1:E376))))))</f>
        <v/>
      </c>
      <c r="K377" s="25" t="str">
        <f aca="false">IF(OR(E377="",E377="!!!",F377="NEW"),"",INDEX(J$1:J376,SUMPRODUCT(MAX(ROW(E$1:E376)*(E377=E$1:E376)))))</f>
        <v/>
      </c>
      <c r="L377" s="26"/>
    </row>
    <row r="378" customFormat="false" ht="15" hidden="false" customHeight="false" outlineLevel="0" collapsed="false">
      <c r="A378" s="20" t="s">
        <v>351</v>
      </c>
      <c r="B378" s="27" t="s">
        <v>244</v>
      </c>
      <c r="C378" s="27" t="s">
        <v>233</v>
      </c>
      <c r="D378" s="27" t="s">
        <v>209</v>
      </c>
      <c r="E378" s="21" t="str">
        <f aca="false">IF(D378="?OLD","!!!","")</f>
        <v>!!!</v>
      </c>
      <c r="F378" s="22" t="str">
        <f aca="false">IF(OR(E378="",E378="!!!"),"",IF(NOT(ISNA(VLOOKUP(E378,E$1:E377,1,FALSE()))),"OLD",IF(AND(E378&lt;&gt;"",E378&lt;&gt;"!!!"),"NEW","")))</f>
        <v>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IF(OR(E378="",E378="!!!",F378="NEW"),"",INDEX(B377:B$2,-1+SUMPRODUCT(MAX(ROW(E377:E$2)*(E378=E377:E$2)))))</f>
        <v> </v>
      </c>
      <c r="J378" s="25" t="str">
        <f aca="true">IF(OR(E378="",E378="!!!",F378="NEW"),"",COUNTBLANK(OFFSET(A$1,,,SUMPRODUCT(MAX(ROW(E$2:E378)*(E378=E$2:E378)))))-COUNTBLANK(OFFSET(A$1,,,SUMPRODUCT(MAX(ROW(E$1:E377)*(E2=E$1:E377))))))</f>
        <v/>
      </c>
      <c r="K378" s="25" t="str">
        <f aca="false">IF(OR(E378="",E378="!!!",F378="NEW"),"",INDEX(J$1:J377,SUMPRODUCT(MAX(ROW(E$1:E377)*(E378=E$1:E377)))))</f>
        <v/>
      </c>
      <c r="L378" s="26"/>
    </row>
    <row r="379" customFormat="false" ht="15" hidden="false" customHeight="false" outlineLevel="0" collapsed="false">
      <c r="A379" s="20" t="s">
        <v>361</v>
      </c>
      <c r="E379" s="21" t="str">
        <f aca="false">IF(D379="?OLD","!!!","")</f>
        <v/>
      </c>
      <c r="F379" s="22" t="str">
        <f aca="false">IF(OR(E379="",E379="!!!"),"",IF(NOT(ISNA(VLOOKUP(E379,E$1:E378,1,FALSE()))),"OLD",IF(AND(E379&lt;&gt;"",E379&lt;&gt;"!!!"),"NEW","")))</f>
        <v>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IF(OR(E379="",E379="!!!",F379="NEW"),"",INDEX(B378:B$2,-1+SUMPRODUCT(MAX(ROW(E378:E$2)*(E379=E378:E$2)))))</f>
        <v> </v>
      </c>
      <c r="J379" s="25" t="str">
        <f aca="true">IF(OR(E379="",E379="!!!",F379="NEW"),"",COUNTBLANK(OFFSET(A$1,,,SUMPRODUCT(MAX(ROW(E$2:E379)*(E379=E$2:E379)))))-COUNTBLANK(OFFSET(A$1,,,SUMPRODUCT(MAX(ROW(E$1:E378)*(E2=E$1:E378))))))</f>
        <v/>
      </c>
      <c r="K379" s="25" t="str">
        <f aca="false">IF(OR(E379="",E379="!!!",F379="NEW"),"",INDEX(J$1:J378,SUMPRODUCT(MAX(ROW(E$1:E378)*(E379=E$1:E378)))))</f>
        <v/>
      </c>
      <c r="L379" s="26"/>
    </row>
    <row r="380" customFormat="false" ht="15" hidden="false" customHeight="false" outlineLevel="0" collapsed="false">
      <c r="A380" s="20" t="s">
        <v>266</v>
      </c>
      <c r="B380" s="27" t="s">
        <v>268</v>
      </c>
      <c r="C380" s="27" t="s">
        <v>233</v>
      </c>
      <c r="D380" s="27" t="s">
        <v>209</v>
      </c>
      <c r="E380" s="21" t="str">
        <f aca="false">IF(D380="?OLD","!!!","")</f>
        <v>!!!</v>
      </c>
      <c r="F380" s="22" t="str">
        <f aca="false">IF(OR(E380="",E380="!!!"),"",IF(NOT(ISNA(VLOOKUP(E380,E$1:E379,1,FALSE()))),"OLD",IF(AND(E380&lt;&gt;"",E380&lt;&gt;"!!!"),"NEW","")))</f>
        <v> </v>
      </c>
      <c r="G380" s="23" t="str">
        <f aca="false">IF(OR(E380="",E380="!!!"),"",IF(OR(J380=0,AND(J380=1,K380=1),AND(J380=1,I380="SBJ"),AND(J380=1,I380=0)),"?IN_FOCUS",IF(J380&lt;=2,"?ACTIVATED",IF(J380&lt;&gt;"","?FAMILIAR",IF(F380="NEW",IF(ISNA(VLOOKUP(E380,#REF!,1,FALSE())),"?TYPE_IDENTIFIABLE","?REFERENTIAL"),"_")))))</f>
        <v/>
      </c>
      <c r="H380" s="24" t="str">
        <f aca="false">IF(J380&lt;&gt;1,"",IF(I380="SBJ","CB","?"))</f>
        <v/>
      </c>
      <c r="I380" s="25" t="str">
        <f aca="false">IF(OR(E380="",E380="!!!",F380="NEW"),"",INDEX(B379:B$2,-1+SUMPRODUCT(MAX(ROW(E379:E$2)*(E380=E379:E$2)))))</f>
        <v> </v>
      </c>
      <c r="J380" s="25" t="str">
        <f aca="true">IF(OR(E380="",E380="!!!",F380="NEW"),"",COUNTBLANK(OFFSET(A$1,,,SUMPRODUCT(MAX(ROW(E$2:E380)*(E380=E$2:E380)))))-COUNTBLANK(OFFSET(A$1,,,SUMPRODUCT(MAX(ROW(E$1:E379)*(E2=E$1:E379))))))</f>
        <v/>
      </c>
      <c r="K380" s="25" t="str">
        <f aca="false">IF(OR(E380="",E380="!!!",F380="NEW"),"",INDEX(J$1:J379,SUMPRODUCT(MAX(ROW(E$1:E379)*(E380=E$1:E379)))))</f>
        <v/>
      </c>
      <c r="L380" s="26"/>
    </row>
    <row r="381" customFormat="false" ht="15" hidden="false" customHeight="false" outlineLevel="0" collapsed="false">
      <c r="A381" s="20" t="s">
        <v>246</v>
      </c>
      <c r="E381" s="21" t="str">
        <f aca="false">IF(D381="?OLD","!!!","")</f>
        <v/>
      </c>
      <c r="F381" s="22" t="str">
        <f aca="false">IF(OR(E381="",E381="!!!"),"",IF(NOT(ISNA(VLOOKUP(E381,E$1:E380,1,FALSE()))),"OLD",IF(AND(E381&lt;&gt;"",E381&lt;&gt;"!!!"),"NEW","")))</f>
        <v>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IF(OR(E381="",E381="!!!",F381="NEW"),"",INDEX(B380:B$2,-1+SUMPRODUCT(MAX(ROW(E380:E$2)*(E381=E380:E$2)))))</f>
        <v> </v>
      </c>
      <c r="J381" s="25" t="str">
        <f aca="true">IF(OR(E381="",E381="!!!",F381="NEW"),"",COUNTBLANK(OFFSET(A$1,,,SUMPRODUCT(MAX(ROW(E$2:E381)*(E381=E$2:E381)))))-COUNTBLANK(OFFSET(A$1,,,SUMPRODUCT(MAX(ROW(E$1:E380)*(E2=E$1:E380))))))</f>
        <v/>
      </c>
      <c r="K381" s="25" t="str">
        <f aca="false">IF(OR(E381="",E381="!!!",F381="NEW"),"",INDEX(J$1:J380,SUMPRODUCT(MAX(ROW(E$1:E380)*(E381=E$1:E380)))))</f>
        <v/>
      </c>
      <c r="L381" s="26"/>
    </row>
    <row r="382" customFormat="false" ht="15" hidden="false" customHeight="false" outlineLevel="0" collapsed="false">
      <c r="A382" s="20" t="s">
        <v>235</v>
      </c>
      <c r="E382" s="21" t="str">
        <f aca="false">IF(D382="?OLD","!!!","")</f>
        <v/>
      </c>
      <c r="F382" s="22" t="str">
        <f aca="false">IF(OR(E382="",E382="!!!"),"",IF(NOT(ISNA(VLOOKUP(E382,E$1:E381,1,FALSE()))),"OLD",IF(AND(E382&lt;&gt;"",E382&lt;&gt;"!!!"),"NEW","")))</f>
        <v>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IF(OR(E382="",E382="!!!",F382="NEW"),"",INDEX(B381:B$2,-1+SUMPRODUCT(MAX(ROW(E381:E$2)*(E382=E381:E$2)))))</f>
        <v> </v>
      </c>
      <c r="J382" s="25" t="str">
        <f aca="true">IF(OR(E382="",E382="!!!",F382="NEW"),"",COUNTBLANK(OFFSET(A$1,,,SUMPRODUCT(MAX(ROW(E$2:E382)*(E382=E$2:E382)))))-COUNTBLANK(OFFSET(A$1,,,SUMPRODUCT(MAX(ROW(E$1:E381)*(E2=E$1:E381))))))</f>
        <v/>
      </c>
      <c r="K382" s="25" t="str">
        <f aca="false">IF(OR(E382="",E382="!!!",F382="NEW"),"",INDEX(J$1:J381,SUMPRODUCT(MAX(ROW(E$1:E381)*(E382=E$1:E381)))))</f>
        <v/>
      </c>
      <c r="L382" s="26"/>
    </row>
    <row r="383" customFormat="false" ht="15" hidden="false" customHeight="false" outlineLevel="0" collapsed="false">
      <c r="A383" s="20" t="s">
        <v>89</v>
      </c>
      <c r="E383" s="21" t="str">
        <f aca="false">IF(D383="?OLD","!!!","")</f>
        <v/>
      </c>
      <c r="F383" s="22" t="str">
        <f aca="false">IF(OR(E383="",E383="!!!"),"",IF(NOT(ISNA(VLOOKUP(E383,E$1:E382,1,FALSE()))),"OLD",IF(AND(E383&lt;&gt;"",E383&lt;&gt;"!!!"),"NEW","")))</f>
        <v>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IF(OR(E383="",E383="!!!",F383="NEW"),"",INDEX(B382:B$2,-1+SUMPRODUCT(MAX(ROW(E382:E$2)*(E383=E382:E$2)))))</f>
        <v> </v>
      </c>
      <c r="J383" s="25" t="str">
        <f aca="true">IF(OR(E383="",E383="!!!",F383="NEW"),"",COUNTBLANK(OFFSET(A$1,,,SUMPRODUCT(MAX(ROW(E$2:E383)*(E383=E$2:E383)))))-COUNTBLANK(OFFSET(A$1,,,SUMPRODUCT(MAX(ROW(E$1:E382)*(E2=E$1:E382))))))</f>
        <v/>
      </c>
      <c r="K383" s="25" t="str">
        <f aca="false">IF(OR(E383="",E383="!!!",F383="NEW"),"",INDEX(J$1:J382,SUMPRODUCT(MAX(ROW(E$1:E382)*(E383=E$1:E382)))))</f>
        <v/>
      </c>
      <c r="L383" s="26"/>
    </row>
    <row r="384" customFormat="false" ht="15" hidden="false" customHeight="false" outlineLevel="0" collapsed="false">
      <c r="A384" s="20" t="s">
        <v>341</v>
      </c>
      <c r="E384" s="21" t="str">
        <f aca="false">IF(D384="?OLD","!!!","")</f>
        <v/>
      </c>
      <c r="F384" s="22" t="str">
        <f aca="false">IF(OR(E384="",E384="!!!"),"",IF(NOT(ISNA(VLOOKUP(E384,E$1:E383,1,FALSE()))),"OLD",IF(AND(E384&lt;&gt;"",E384&lt;&gt;"!!!"),"NEW","")))</f>
        <v> </v>
      </c>
      <c r="G384" s="23" t="str">
        <f aca="false">IF(OR(E384="",E384="!!!"),"",IF(OR(J384=0,AND(J384=1,K384=1),AND(J384=1,I384="SBJ"),AND(J384=1,I384=0)),"?IN_FOCUS",IF(J384&lt;=2,"?ACTIVATED",IF(J384&lt;&gt;"","?FAMILIAR",IF(F384="NEW",IF(ISNA(VLOOKUP(E384,#REF!,1,FALSE())),"?TYPE_IDENTIFIABLE","?REFERENTIAL"),"_")))))</f>
        <v/>
      </c>
      <c r="H384" s="24" t="str">
        <f aca="false">IF(J384&lt;&gt;1,"",IF(I384="SBJ","CB","?"))</f>
        <v/>
      </c>
      <c r="I384" s="25" t="str">
        <f aca="false">IF(OR(E384="",E384="!!!",F384="NEW"),"",INDEX(B383:B$2,-1+SUMPRODUCT(MAX(ROW(E383:E$2)*(E384=E383:E$2)))))</f>
        <v> </v>
      </c>
      <c r="J384" s="25" t="str">
        <f aca="true">IF(OR(E384="",E384="!!!",F384="NEW"),"",COUNTBLANK(OFFSET(A$1,,,SUMPRODUCT(MAX(ROW(E$2:E384)*(E384=E$2:E384)))))-COUNTBLANK(OFFSET(A$1,,,SUMPRODUCT(MAX(ROW(E$1:E383)*(E2=E$1:E383))))))</f>
        <v/>
      </c>
      <c r="K384" s="25" t="str">
        <f aca="false">IF(OR(E384="",E384="!!!",F384="NEW"),"",INDEX(J$1:J383,SUMPRODUCT(MAX(ROW(E$1:E383)*(E384=E$1:E383)))))</f>
        <v/>
      </c>
      <c r="L384" s="26"/>
    </row>
    <row r="385" customFormat="false" ht="15" hidden="false" customHeight="false" outlineLevel="0" collapsed="false">
      <c r="A385" s="20" t="s">
        <v>251</v>
      </c>
      <c r="E385" s="21" t="str">
        <f aca="false">IF(D385="?OLD","!!!","")</f>
        <v/>
      </c>
      <c r="F385" s="22" t="str">
        <f aca="false">IF(OR(E385="",E385="!!!"),"",IF(NOT(ISNA(VLOOKUP(E385,E$1:E384,1,FALSE()))),"OLD",IF(AND(E385&lt;&gt;"",E385&lt;&gt;"!!!"),"NEW","")))</f>
        <v>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IF(OR(E385="",E385="!!!",F385="NEW"),"",INDEX(B384:B$2,-1+SUMPRODUCT(MAX(ROW(E384:E$2)*(E385=E384:E$2)))))</f>
        <v> </v>
      </c>
      <c r="J385" s="25" t="str">
        <f aca="true">IF(OR(E385="",E385="!!!",F385="NEW"),"",COUNTBLANK(OFFSET(A$1,,,SUMPRODUCT(MAX(ROW(E$2:E385)*(E385=E$2:E385)))))-COUNTBLANK(OFFSET(A$1,,,SUMPRODUCT(MAX(ROW(E$1:E384)*(E2=E$1:E384))))))</f>
        <v/>
      </c>
      <c r="K385" s="25" t="str">
        <f aca="false">IF(OR(E385="",E385="!!!",F385="NEW"),"",INDEX(J$1:J384,SUMPRODUCT(MAX(ROW(E$1:E384)*(E385=E$1:E384)))))</f>
        <v/>
      </c>
      <c r="L385" s="26"/>
    </row>
    <row r="386" customFormat="false" ht="15" hidden="false" customHeight="false" outlineLevel="0" collapsed="false">
      <c r="A386" s="20" t="s">
        <v>238</v>
      </c>
      <c r="E386" s="21" t="str">
        <f aca="false">IF(D386="?OLD","!!!","")</f>
        <v/>
      </c>
      <c r="F386" s="22" t="str">
        <f aca="false">IF(OR(E386="",E386="!!!"),"",IF(NOT(ISNA(VLOOKUP(E386,E$1:E385,1,FALSE()))),"OLD",IF(AND(E386&lt;&gt;"",E386&lt;&gt;"!!!"),"NEW","")))</f>
        <v>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IF(OR(E386="",E386="!!!",F386="NEW"),"",INDEX(B385:B$2,-1+SUMPRODUCT(MAX(ROW(E385:E$2)*(E386=E385:E$2)))))</f>
        <v> </v>
      </c>
      <c r="J386" s="25" t="str">
        <f aca="true">IF(OR(E386="",E386="!!!",F386="NEW"),"",COUNTBLANK(OFFSET(A$1,,,SUMPRODUCT(MAX(ROW(E$2:E386)*(E386=E$2:E386)))))-COUNTBLANK(OFFSET(A$1,,,SUMPRODUCT(MAX(ROW(E$1:E385)*(E2=E$1:E385))))))</f>
        <v/>
      </c>
      <c r="K386" s="25" t="str">
        <f aca="false">IF(OR(E386="",E386="!!!",F386="NEW"),"",INDEX(J$1:J385,SUMPRODUCT(MAX(ROW(E$1:E385)*(E386=E$1:E385)))))</f>
        <v/>
      </c>
      <c r="L386" s="26"/>
    </row>
    <row r="387" customFormat="false" ht="15" hidden="false" customHeight="false" outlineLevel="0" collapsed="false">
      <c r="A387" s="20"/>
    </row>
    <row r="388" customFormat="false" ht="15" hidden="false" customHeight="false" outlineLevel="0" collapsed="false">
      <c r="A388" s="20" t="s">
        <v>230</v>
      </c>
      <c r="E388" s="21" t="str">
        <f aca="false">IF(D388="?OLD","!!!","")</f>
        <v/>
      </c>
      <c r="F388" s="22" t="str">
        <f aca="false">IF(OR(E388="",E388="!!!"),"",IF(NOT(ISNA(VLOOKUP(E388,E$1:E387,1,FALSE()))),"OLD",IF(AND(E388&lt;&gt;"",E388&lt;&gt;"!!!"),"NEW","")))</f>
        <v>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IF(OR(E388="",E388="!!!",F388="NEW"),"",INDEX(B387:B$2,-1+SUMPRODUCT(MAX(ROW(E387:E$2)*(E388=E387:E$2)))))</f>
        <v> </v>
      </c>
      <c r="J388" s="25" t="str">
        <f aca="true">IF(OR(E388="",E388="!!!",F388="NEW"),"",COUNTBLANK(OFFSET(A$1,,,SUMPRODUCT(MAX(ROW(E$2:E388)*(E388=E$2:E388)))))-COUNTBLANK(OFFSET(A$1,,,SUMPRODUCT(MAX(ROW(E$1:E387)*(E2=E$1:E387))))))</f>
        <v/>
      </c>
      <c r="K388" s="25" t="str">
        <f aca="false">IF(OR(E388="",E388="!!!",F388="NEW"),"",INDEX(J$1:J387,SUMPRODUCT(MAX(ROW(E$1:E387)*(E388=E$1:E387)))))</f>
        <v/>
      </c>
      <c r="L388" s="26"/>
    </row>
    <row r="389" customFormat="false" ht="15" hidden="false" customHeight="false" outlineLevel="0" collapsed="false">
      <c r="A389" s="20" t="s">
        <v>362</v>
      </c>
    </row>
    <row r="390" customFormat="false" ht="15" hidden="false" customHeight="false" outlineLevel="0" collapsed="false">
      <c r="A390" s="20" t="s">
        <v>253</v>
      </c>
      <c r="E390" s="21" t="str">
        <f aca="false">IF(D390="?OLD","!!!","")</f>
        <v/>
      </c>
      <c r="F390" s="22" t="str">
        <f aca="false">IF(OR(E390="",E390="!!!"),"",IF(NOT(ISNA(VLOOKUP(E390,E$1:E389,1,FALSE()))),"OLD",IF(AND(E390&lt;&gt;"",E390&lt;&gt;"!!!"),"NEW","")))</f>
        <v> </v>
      </c>
      <c r="G390" s="23" t="str">
        <f aca="false">IF(OR(E390="",E390="!!!"),"",IF(OR(J390=0,AND(J390=1,K390=1),AND(J390=1,I390="SBJ"),AND(J390=1,I390=0)),"?IN_FOCUS",IF(J390&lt;=2,"?ACTIVATED",IF(J390&lt;&gt;"","?FAMILIAR",IF(F390="NEW",IF(ISNA(VLOOKUP(E390,#REF!,1,FALSE())),"?TYPE_IDENTIFIABLE","?REFERENTIAL"),"_")))))</f>
        <v/>
      </c>
      <c r="H390" s="24" t="str">
        <f aca="false">IF(J390&lt;&gt;1,"",IF(I390="SBJ","CB","?"))</f>
        <v/>
      </c>
      <c r="I390" s="25" t="str">
        <f aca="false">IF(OR(E390="",E390="!!!",F390="NEW"),"",INDEX(B389:B$2,-1+SUMPRODUCT(MAX(ROW(E389:E$2)*(E390=E389:E$2)))))</f>
        <v> </v>
      </c>
      <c r="J390" s="25" t="str">
        <f aca="true">IF(OR(E390="",E390="!!!",F390="NEW"),"",COUNTBLANK(OFFSET(A$1,,,SUMPRODUCT(MAX(ROW(E$2:E390)*(E390=E$2:E390)))))-COUNTBLANK(OFFSET(A$1,,,SUMPRODUCT(MAX(ROW(E$1:E389)*(E2=E$1:E389))))))</f>
        <v/>
      </c>
      <c r="K390" s="25" t="str">
        <f aca="false">IF(OR(E390="",E390="!!!",F390="NEW"),"",INDEX(J$1:J389,SUMPRODUCT(MAX(ROW(E$1:E389)*(E390=E$1:E389)))))</f>
        <v/>
      </c>
      <c r="L390" s="26"/>
    </row>
    <row r="391" customFormat="false" ht="15" hidden="false" customHeight="false" outlineLevel="0" collapsed="false">
      <c r="A391" s="20" t="s">
        <v>337</v>
      </c>
      <c r="B391" s="27" t="s">
        <v>207</v>
      </c>
      <c r="C391" s="27" t="s">
        <v>208</v>
      </c>
      <c r="D391" s="27" t="s">
        <v>209</v>
      </c>
      <c r="E391" s="21" t="str">
        <f aca="false">IF(D391="?OLD","!!!","")</f>
        <v>!!!</v>
      </c>
      <c r="F391" s="22" t="str">
        <f aca="false">IF(OR(E391="",E391="!!!"),"",IF(NOT(ISNA(VLOOKUP(E391,E$1:E390,1,FALSE()))),"OLD",IF(AND(E391&lt;&gt;"",E391&lt;&gt;"!!!"),"NEW","")))</f>
        <v>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IF(OR(E391="",E391="!!!",F391="NEW"),"",INDEX(B390:B$2,-1+SUMPRODUCT(MAX(ROW(E390:E$2)*(E391=E390:E$2)))))</f>
        <v> </v>
      </c>
      <c r="J391" s="25" t="str">
        <f aca="true">IF(OR(E391="",E391="!!!",F391="NEW"),"",COUNTBLANK(OFFSET(A$1,,,SUMPRODUCT(MAX(ROW(E$2:E391)*(E391=E$2:E391)))))-COUNTBLANK(OFFSET(A$1,,,SUMPRODUCT(MAX(ROW(E$1:E390)*(E2=E$1:E390))))))</f>
        <v/>
      </c>
      <c r="K391" s="25" t="str">
        <f aca="false">IF(OR(E391="",E391="!!!",F391="NEW"),"",INDEX(J$1:J390,SUMPRODUCT(MAX(ROW(E$1:E390)*(E391=E$1:E390)))))</f>
        <v/>
      </c>
      <c r="L391" s="26"/>
    </row>
    <row r="392" customFormat="false" ht="15" hidden="false" customHeight="false" outlineLevel="0" collapsed="false">
      <c r="A392" s="20" t="s">
        <v>234</v>
      </c>
      <c r="E392" s="21" t="str">
        <f aca="false">IF(D392="?OLD","!!!","")</f>
        <v/>
      </c>
      <c r="F392" s="22" t="str">
        <f aca="false">IF(OR(E392="",E392="!!!"),"",IF(NOT(ISNA(VLOOKUP(E392,E$1:E391,1,FALSE()))),"OLD",IF(AND(E392&lt;&gt;"",E392&lt;&gt;"!!!"),"NEW","")))</f>
        <v>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IF(OR(E392="",E392="!!!",F392="NEW"),"",INDEX(B391:B$2,-1+SUMPRODUCT(MAX(ROW(E391:E$2)*(E392=E391:E$2)))))</f>
        <v> </v>
      </c>
      <c r="J392" s="25" t="str">
        <f aca="true">IF(OR(E392="",E392="!!!",F392="NEW"),"",COUNTBLANK(OFFSET(A$1,,,SUMPRODUCT(MAX(ROW(E$2:E392)*(E392=E$2:E392)))))-COUNTBLANK(OFFSET(A$1,,,SUMPRODUCT(MAX(ROW(E$1:E391)*(E2=E$1:E391))))))</f>
        <v/>
      </c>
      <c r="K392" s="25" t="str">
        <f aca="false">IF(OR(E392="",E392="!!!",F392="NEW"),"",INDEX(J$1:J391,SUMPRODUCT(MAX(ROW(E$1:E391)*(E392=E$1:E391)))))</f>
        <v/>
      </c>
      <c r="L392" s="26"/>
    </row>
    <row r="393" customFormat="false" ht="15" hidden="false" customHeight="false" outlineLevel="0" collapsed="false">
      <c r="A393" s="20" t="s">
        <v>237</v>
      </c>
      <c r="E393" s="21" t="str">
        <f aca="false">IF(D393="?OLD","!!!","")</f>
        <v/>
      </c>
      <c r="F393" s="22" t="str">
        <f aca="false">IF(OR(E393="",E393="!!!"),"",IF(NOT(ISNA(VLOOKUP(E393,E$1:E392,1,FALSE()))),"OLD",IF(AND(E393&lt;&gt;"",E393&lt;&gt;"!!!"),"NEW","")))</f>
        <v> </v>
      </c>
      <c r="G393" s="23" t="str">
        <f aca="false">IF(OR(E393="",E393="!!!"),"",IF(OR(J393=0,AND(J393=1,K393=1),AND(J393=1,I393="SBJ"),AND(J393=1,I393=0)),"?IN_FOCUS",IF(J393&lt;=2,"?ACTIVATED",IF(J393&lt;&gt;"","?FAMILIAR",IF(F393="NEW",IF(ISNA(VLOOKUP(E393,#REF!,1,FALSE())),"?TYPE_IDENTIFIABLE","?REFERENTIAL"),"_")))))</f>
        <v/>
      </c>
      <c r="H393" s="24" t="str">
        <f aca="false">IF(J393&lt;&gt;1,"",IF(I393="SBJ","CB","?"))</f>
        <v/>
      </c>
      <c r="I393" s="25" t="str">
        <f aca="false">IF(OR(E393="",E393="!!!",F393="NEW"),"",INDEX(B392:B$2,-1+SUMPRODUCT(MAX(ROW(E392:E$2)*(E393=E392:E$2)))))</f>
        <v> </v>
      </c>
      <c r="J393" s="25" t="str">
        <f aca="true">IF(OR(E393="",E393="!!!",F393="NEW"),"",COUNTBLANK(OFFSET(A$1,,,SUMPRODUCT(MAX(ROW(E$2:E393)*(E393=E$2:E393)))))-COUNTBLANK(OFFSET(A$1,,,SUMPRODUCT(MAX(ROW(E$1:E392)*(E2=E$1:E392))))))</f>
        <v/>
      </c>
      <c r="K393" s="25" t="str">
        <f aca="false">IF(OR(E393="",E393="!!!",F393="NEW"),"",INDEX(J$1:J392,SUMPRODUCT(MAX(ROW(E$1:E392)*(E393=E$1:E392)))))</f>
        <v/>
      </c>
      <c r="L393" s="26"/>
    </row>
    <row r="394" customFormat="false" ht="15" hidden="false" customHeight="false" outlineLevel="0" collapsed="false">
      <c r="A394" s="20" t="s">
        <v>238</v>
      </c>
      <c r="E394" s="21" t="str">
        <f aca="false">IF(D394="?OLD","!!!","")</f>
        <v/>
      </c>
      <c r="F394" s="22" t="str">
        <f aca="false">IF(OR(E394="",E394="!!!"),"",IF(NOT(ISNA(VLOOKUP(E394,E$1:E393,1,FALSE()))),"OLD",IF(AND(E394&lt;&gt;"",E394&lt;&gt;"!!!"),"NEW","")))</f>
        <v>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IF(OR(E394="",E394="!!!",F394="NEW"),"",INDEX(B393:B$2,-1+SUMPRODUCT(MAX(ROW(E393:E$2)*(E394=E393:E$2)))))</f>
        <v> </v>
      </c>
      <c r="J394" s="25" t="str">
        <f aca="true">IF(OR(E394="",E394="!!!",F394="NEW"),"",COUNTBLANK(OFFSET(A$1,,,SUMPRODUCT(MAX(ROW(E$2:E394)*(E394=E$2:E394)))))-COUNTBLANK(OFFSET(A$1,,,SUMPRODUCT(MAX(ROW(E$1:E393)*(E2=E$1:E393))))))</f>
        <v/>
      </c>
      <c r="K394" s="25" t="str">
        <f aca="false">IF(OR(E394="",E394="!!!",F394="NEW"),"",INDEX(J$1:J393,SUMPRODUCT(MAX(ROW(E$1:E393)*(E394=E$1:E393)))))</f>
        <v/>
      </c>
      <c r="L394" s="26"/>
    </row>
    <row r="395" customFormat="false" ht="15" hidden="false" customHeight="false" outlineLevel="0" collapsed="false">
      <c r="A395" s="20" t="s">
        <v>253</v>
      </c>
      <c r="E395" s="21" t="str">
        <f aca="false">IF(D395="?OLD","!!!","")</f>
        <v/>
      </c>
      <c r="F395" s="22" t="str">
        <f aca="false">IF(OR(E395="",E395="!!!"),"",IF(NOT(ISNA(VLOOKUP(E395,E$1:E394,1,FALSE()))),"OLD",IF(AND(E395&lt;&gt;"",E395&lt;&gt;"!!!"),"NEW","")))</f>
        <v> </v>
      </c>
      <c r="G395" s="23" t="str">
        <f aca="false">IF(OR(E395="",E395="!!!"),"",IF(OR(J395=0,AND(J395=1,K395=1),AND(J395=1,I395="SBJ"),AND(J395=1,I395=0)),"?IN_FOCUS",IF(J395&lt;=2,"?ACTIVATED",IF(J395&lt;&gt;"","?FAMILIAR",IF(F395="NEW",IF(ISNA(VLOOKUP(E395,#REF!,1,FALSE())),"?TYPE_IDENTIFIABLE","?REFERENTIAL"),"_")))))</f>
        <v/>
      </c>
      <c r="H395" s="24" t="str">
        <f aca="false">IF(J395&lt;&gt;1,"",IF(I395="SBJ","CB","?"))</f>
        <v/>
      </c>
      <c r="I395" s="25" t="str">
        <f aca="false">IF(OR(E395="",E395="!!!",F395="NEW"),"",INDEX(B394:B$2,-1+SUMPRODUCT(MAX(ROW(E394:E$2)*(E395=E394:E$2)))))</f>
        <v> </v>
      </c>
      <c r="J395" s="25" t="str">
        <f aca="true">IF(OR(E395="",E395="!!!",F395="NEW"),"",COUNTBLANK(OFFSET(A$1,,,SUMPRODUCT(MAX(ROW(E$2:E395)*(E395=E$2:E395)))))-COUNTBLANK(OFFSET(A$1,,,SUMPRODUCT(MAX(ROW(E$1:E394)*(E2=E$1:E394))))))</f>
        <v/>
      </c>
      <c r="K395" s="25" t="str">
        <f aca="false">IF(OR(E395="",E395="!!!",F395="NEW"),"",INDEX(J$1:J394,SUMPRODUCT(MAX(ROW(E$1:E394)*(E395=E$1:E394)))))</f>
        <v/>
      </c>
      <c r="L395" s="26"/>
    </row>
    <row r="396" customFormat="false" ht="15" hidden="false" customHeight="false" outlineLevel="0" collapsed="false">
      <c r="A396" s="20" t="s">
        <v>236</v>
      </c>
      <c r="B396" s="27" t="s">
        <v>240</v>
      </c>
      <c r="C396" s="27" t="s">
        <v>208</v>
      </c>
      <c r="D396" s="27" t="s">
        <v>209</v>
      </c>
      <c r="E396" s="21" t="str">
        <f aca="false">IF(D396="?OLD","!!!","")</f>
        <v>!!!</v>
      </c>
      <c r="F396" s="22" t="str">
        <f aca="false">IF(OR(E396="",E396="!!!"),"",IF(NOT(ISNA(VLOOKUP(E396,E$1:E395,1,FALSE()))),"OLD",IF(AND(E396&lt;&gt;"",E396&lt;&gt;"!!!"),"NEW","")))</f>
        <v>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IF(OR(E396="",E396="!!!",F396="NEW"),"",INDEX(B395:B$2,-1+SUMPRODUCT(MAX(ROW(E395:E$2)*(E396=E395:E$2)))))</f>
        <v> </v>
      </c>
      <c r="J396" s="25" t="str">
        <f aca="true">IF(OR(E396="",E396="!!!",F396="NEW"),"",COUNTBLANK(OFFSET(A$1,,,SUMPRODUCT(MAX(ROW(E$2:E396)*(E396=E$2:E396)))))-COUNTBLANK(OFFSET(A$1,,,SUMPRODUCT(MAX(ROW(E$1:E395)*(E2=E$1:E395))))))</f>
        <v/>
      </c>
      <c r="K396" s="25" t="str">
        <f aca="false">IF(OR(E396="",E396="!!!",F396="NEW"),"",INDEX(J$1:J395,SUMPRODUCT(MAX(ROW(E$1:E395)*(E396=E$1:E395)))))</f>
        <v/>
      </c>
      <c r="L396" s="26"/>
    </row>
    <row r="397" customFormat="false" ht="15" hidden="false" customHeight="false" outlineLevel="0" collapsed="false">
      <c r="A397" s="20" t="s">
        <v>363</v>
      </c>
      <c r="B397" s="27" t="s">
        <v>222</v>
      </c>
      <c r="E397" s="21" t="str">
        <f aca="false">IF(D397="?OLD","!!!","")</f>
        <v/>
      </c>
      <c r="F397" s="22" t="str">
        <f aca="false">IF(OR(E397="",E397="!!!"),"",IF(NOT(ISNA(VLOOKUP(E397,E$1:E396,1,FALSE()))),"OLD",IF(AND(E397&lt;&gt;"",E397&lt;&gt;"!!!"),"NEW","")))</f>
        <v> </v>
      </c>
      <c r="G397" s="23" t="str">
        <f aca="false">IF(OR(E397="",E397="!!!"),"",IF(OR(J397=0,AND(J397=1,K397=1),AND(J397=1,I397="SBJ"),AND(J397=1,I397=0)),"?IN_FOCUS",IF(J397&lt;=2,"?ACTIVATED",IF(J397&lt;&gt;"","?FAMILIAR",IF(F397="NEW",IF(ISNA(VLOOKUP(E397,#REF!,1,FALSE())),"?TYPE_IDENTIFIABLE","?REFERENTIAL"),"_")))))</f>
        <v/>
      </c>
      <c r="H397" s="24" t="str">
        <f aca="false">IF(J397&lt;&gt;1,"",IF(I397="SBJ","CB","?"))</f>
        <v/>
      </c>
      <c r="I397" s="25" t="str">
        <f aca="false">IF(OR(E397="",E397="!!!",F397="NEW"),"",INDEX(B396:B$2,-1+SUMPRODUCT(MAX(ROW(E396:E$2)*(E397=E396:E$2)))))</f>
        <v> </v>
      </c>
      <c r="J397" s="25" t="str">
        <f aca="true">IF(OR(E397="",E397="!!!",F397="NEW"),"",COUNTBLANK(OFFSET(A$1,,,SUMPRODUCT(MAX(ROW(E$2:E397)*(E397=E$2:E397)))))-COUNTBLANK(OFFSET(A$1,,,SUMPRODUCT(MAX(ROW(E$1:E396)*(E2=E$1:E396))))))</f>
        <v/>
      </c>
      <c r="K397" s="25" t="str">
        <f aca="false">IF(OR(E397="",E397="!!!",F397="NEW"),"",INDEX(J$1:J396,SUMPRODUCT(MAX(ROW(E$1:E396)*(E397=E$1:E396)))))</f>
        <v/>
      </c>
      <c r="L397" s="26"/>
    </row>
    <row r="398" customFormat="false" ht="15" hidden="false" customHeight="false" outlineLevel="0" collapsed="false">
      <c r="A398" s="20" t="s">
        <v>266</v>
      </c>
      <c r="B398" s="27" t="s">
        <v>224</v>
      </c>
      <c r="C398" s="27" t="s">
        <v>233</v>
      </c>
      <c r="D398" s="27" t="s">
        <v>209</v>
      </c>
      <c r="E398" s="21" t="str">
        <f aca="false">IF(D398="?OLD","!!!","")</f>
        <v>!!!</v>
      </c>
      <c r="F398" s="22" t="str">
        <f aca="false">IF(OR(E398="",E398="!!!"),"",IF(NOT(ISNA(VLOOKUP(E398,E$1:E397,1,FALSE()))),"OLD",IF(AND(E398&lt;&gt;"",E398&lt;&gt;"!!!"),"NEW","")))</f>
        <v>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IF(OR(E398="",E398="!!!",F398="NEW"),"",INDEX(B397:B$2,-1+SUMPRODUCT(MAX(ROW(E397:E$2)*(E398=E397:E$2)))))</f>
        <v> </v>
      </c>
      <c r="J398" s="25" t="str">
        <f aca="true">IF(OR(E398="",E398="!!!",F398="NEW"),"",COUNTBLANK(OFFSET(A$1,,,SUMPRODUCT(MAX(ROW(E$2:E398)*(E398=E$2:E398)))))-COUNTBLANK(OFFSET(A$1,,,SUMPRODUCT(MAX(ROW(E$1:E397)*(E2=E$1:E397))))))</f>
        <v/>
      </c>
      <c r="K398" s="25" t="str">
        <f aca="false">IF(OR(E398="",E398="!!!",F398="NEW"),"",INDEX(J$1:J397,SUMPRODUCT(MAX(ROW(E$1:E397)*(E398=E$1:E397)))))</f>
        <v/>
      </c>
      <c r="L398" s="26"/>
    </row>
    <row r="399" customFormat="false" ht="15" hidden="false" customHeight="false" outlineLevel="0" collapsed="false">
      <c r="A399" s="20" t="s">
        <v>309</v>
      </c>
      <c r="E399" s="21" t="str">
        <f aca="false">IF(D399="?OLD","!!!","")</f>
        <v/>
      </c>
      <c r="F399" s="22" t="str">
        <f aca="false">IF(OR(E399="",E399="!!!"),"",IF(NOT(ISNA(VLOOKUP(E399,E$1:E398,1,FALSE()))),"OLD",IF(AND(E399&lt;&gt;"",E399&lt;&gt;"!!!"),"NEW","")))</f>
        <v>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IF(OR(E399="",E399="!!!",F399="NEW"),"",INDEX(B398:B$2,-1+SUMPRODUCT(MAX(ROW(E398:E$2)*(E399=E398:E$2)))))</f>
        <v> </v>
      </c>
      <c r="J399" s="25" t="str">
        <f aca="true">IF(OR(E399="",E399="!!!",F399="NEW"),"",COUNTBLANK(OFFSET(A$1,,,SUMPRODUCT(MAX(ROW(E$2:E399)*(E399=E$2:E399)))))-COUNTBLANK(OFFSET(A$1,,,SUMPRODUCT(MAX(ROW(E$1:E398)*(E2=E$1:E398))))))</f>
        <v/>
      </c>
      <c r="K399" s="25" t="str">
        <f aca="false">IF(OR(E399="",E399="!!!",F399="NEW"),"",INDEX(J$1:J398,SUMPRODUCT(MAX(ROW(E$1:E398)*(E399=E$1:E398)))))</f>
        <v/>
      </c>
      <c r="L399" s="26"/>
    </row>
    <row r="400" customFormat="false" ht="15" hidden="false" customHeight="false" outlineLevel="0" collapsed="false">
      <c r="A400" s="20" t="s">
        <v>235</v>
      </c>
      <c r="E400" s="21" t="str">
        <f aca="false">IF(D400="?OLD","!!!","")</f>
        <v/>
      </c>
      <c r="F400" s="22" t="str">
        <f aca="false">IF(OR(E400="",E400="!!!"),"",IF(NOT(ISNA(VLOOKUP(E400,E$1:E399,1,FALSE()))),"OLD",IF(AND(E400&lt;&gt;"",E400&lt;&gt;"!!!"),"NEW","")))</f>
        <v>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IF(OR(E400="",E400="!!!",F400="NEW"),"",INDEX(B399:B$2,-1+SUMPRODUCT(MAX(ROW(E399:E$2)*(E400=E399:E$2)))))</f>
        <v> </v>
      </c>
      <c r="J400" s="25" t="str">
        <f aca="true">IF(OR(E400="",E400="!!!",F400="NEW"),"",COUNTBLANK(OFFSET(A$1,,,SUMPRODUCT(MAX(ROW(E$2:E400)*(E400=E$2:E400)))))-COUNTBLANK(OFFSET(A$1,,,SUMPRODUCT(MAX(ROW(E$1:E399)*(E2=E$1:E399))))))</f>
        <v/>
      </c>
      <c r="K400" s="25" t="str">
        <f aca="false">IF(OR(E400="",E400="!!!",F400="NEW"),"",INDEX(J$1:J399,SUMPRODUCT(MAX(ROW(E$1:E399)*(E400=E$1:E399)))))</f>
        <v/>
      </c>
      <c r="L400" s="26"/>
    </row>
    <row r="401" customFormat="false" ht="15" hidden="false" customHeight="false" outlineLevel="0" collapsed="false">
      <c r="A401" s="20" t="s">
        <v>286</v>
      </c>
      <c r="E401" s="21" t="str">
        <f aca="false">IF(D401="?OLD","!!!","")</f>
        <v/>
      </c>
      <c r="F401" s="22" t="str">
        <f aca="false">IF(OR(E401="",E401="!!!"),"",IF(NOT(ISNA(VLOOKUP(E401,E$1:E400,1,FALSE()))),"OLD",IF(AND(E401&lt;&gt;"",E401&lt;&gt;"!!!"),"NEW","")))</f>
        <v>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IF(OR(E401="",E401="!!!",F401="NEW"),"",INDEX(B400:B$2,-1+SUMPRODUCT(MAX(ROW(E400:E$2)*(E401=E400:E$2)))))</f>
        <v> </v>
      </c>
      <c r="J401" s="25" t="str">
        <f aca="true">IF(OR(E401="",E401="!!!",F401="NEW"),"",COUNTBLANK(OFFSET(A$1,,,SUMPRODUCT(MAX(ROW(E$2:E401)*(E401=E$2:E401)))))-COUNTBLANK(OFFSET(A$1,,,SUMPRODUCT(MAX(ROW(E$1:E400)*(E2=E$1:E400))))))</f>
        <v/>
      </c>
      <c r="K401" s="25" t="str">
        <f aca="false">IF(OR(E401="",E401="!!!",F401="NEW"),"",INDEX(J$1:J400,SUMPRODUCT(MAX(ROW(E$1:E400)*(E401=E$1:E400)))))</f>
        <v/>
      </c>
      <c r="L401" s="26"/>
    </row>
    <row r="402" customFormat="false" ht="15" hidden="false" customHeight="false" outlineLevel="0" collapsed="false">
      <c r="A402" s="20" t="s">
        <v>314</v>
      </c>
      <c r="E402" s="21" t="str">
        <f aca="false">IF(D402="?OLD","!!!","")</f>
        <v/>
      </c>
      <c r="F402" s="22" t="str">
        <f aca="false">IF(OR(E402="",E402="!!!"),"",IF(NOT(ISNA(VLOOKUP(E402,E$1:E401,1,FALSE()))),"OLD",IF(AND(E402&lt;&gt;"",E402&lt;&gt;"!!!"),"NEW","")))</f>
        <v>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IF(OR(E402="",E402="!!!",F402="NEW"),"",INDEX(B401:B$2,-1+SUMPRODUCT(MAX(ROW(E401:E$2)*(E402=E401:E$2)))))</f>
        <v> </v>
      </c>
      <c r="J402" s="25" t="str">
        <f aca="true">IF(OR(E402="",E402="!!!",F402="NEW"),"",COUNTBLANK(OFFSET(A$1,,,SUMPRODUCT(MAX(ROW(E$2:E402)*(E402=E$2:E402)))))-COUNTBLANK(OFFSET(A$1,,,SUMPRODUCT(MAX(ROW(E$1:E401)*(E2=E$1:E401))))))</f>
        <v/>
      </c>
      <c r="K402" s="25" t="str">
        <f aca="false">IF(OR(E402="",E402="!!!",F402="NEW"),"",INDEX(J$1:J401,SUMPRODUCT(MAX(ROW(E$1:E401)*(E402=E$1:E401)))))</f>
        <v/>
      </c>
      <c r="L402" s="26"/>
    </row>
    <row r="403" customFormat="false" ht="15" hidden="false" customHeight="false" outlineLevel="0" collapsed="false">
      <c r="A403" s="20" t="s">
        <v>364</v>
      </c>
      <c r="B403" s="27" t="s">
        <v>250</v>
      </c>
      <c r="C403" s="27" t="s">
        <v>233</v>
      </c>
      <c r="D403" s="27" t="s">
        <v>209</v>
      </c>
      <c r="E403" s="21" t="str">
        <f aca="false">IF(D403="?OLD","!!!","")</f>
        <v>!!!</v>
      </c>
      <c r="F403" s="22" t="str">
        <f aca="false">IF(OR(E403="",E403="!!!"),"",IF(NOT(ISNA(VLOOKUP(E403,E$1:E402,1,FALSE()))),"OLD",IF(AND(E403&lt;&gt;"",E403&lt;&gt;"!!!"),"NEW","")))</f>
        <v> </v>
      </c>
      <c r="G403" s="23" t="str">
        <f aca="false">IF(OR(E403="",E403="!!!"),"",IF(OR(J403=0,AND(J403=1,K403=1),AND(J403=1,I403="SBJ"),AND(J403=1,I403=0)),"?IN_FOCUS",IF(J403&lt;=2,"?ACTIVATED",IF(J403&lt;&gt;"","?FAMILIAR",IF(F403="NEW",IF(ISNA(VLOOKUP(E403,#REF!,1,FALSE())),"?TYPE_IDENTIFIABLE","?REFERENTIAL"),"_")))))</f>
        <v/>
      </c>
      <c r="H403" s="24" t="str">
        <f aca="false">IF(J403&lt;&gt;1,"",IF(I403="SBJ","CB","?"))</f>
        <v/>
      </c>
      <c r="I403" s="25" t="str">
        <f aca="false">IF(OR(E403="",E403="!!!",F403="NEW"),"",INDEX(B402:B$2,-1+SUMPRODUCT(MAX(ROW(E402:E$2)*(E403=E402:E$2)))))</f>
        <v> </v>
      </c>
      <c r="J403" s="25" t="str">
        <f aca="true">IF(OR(E403="",E403="!!!",F403="NEW"),"",COUNTBLANK(OFFSET(A$1,,,SUMPRODUCT(MAX(ROW(E$2:E403)*(E403=E$2:E403)))))-COUNTBLANK(OFFSET(A$1,,,SUMPRODUCT(MAX(ROW(E$1:E402)*(E2=E$1:E402))))))</f>
        <v/>
      </c>
      <c r="K403" s="25" t="str">
        <f aca="false">IF(OR(E403="",E403="!!!",F403="NEW"),"",INDEX(J$1:J402,SUMPRODUCT(MAX(ROW(E$1:E402)*(E403=E$1:E402)))))</f>
        <v/>
      </c>
      <c r="L403" s="26"/>
    </row>
    <row r="404" customFormat="false" ht="15" hidden="false" customHeight="false" outlineLevel="0" collapsed="false">
      <c r="A404" s="20" t="s">
        <v>237</v>
      </c>
      <c r="E404" s="21" t="str">
        <f aca="false">IF(D404="?OLD","!!!","")</f>
        <v/>
      </c>
      <c r="F404" s="22" t="str">
        <f aca="false">IF(OR(E404="",E404="!!!"),"",IF(NOT(ISNA(VLOOKUP(E404,E$1:E403,1,FALSE()))),"OLD",IF(AND(E404&lt;&gt;"",E404&lt;&gt;"!!!"),"NEW","")))</f>
        <v>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IF(OR(E404="",E404="!!!",F404="NEW"),"",INDEX(B403:B$2,-1+SUMPRODUCT(MAX(ROW(E403:E$2)*(E404=E403:E$2)))))</f>
        <v> </v>
      </c>
      <c r="J404" s="25" t="str">
        <f aca="true">IF(OR(E404="",E404="!!!",F404="NEW"),"",COUNTBLANK(OFFSET(A$1,,,SUMPRODUCT(MAX(ROW(E$2:E404)*(E404=E$2:E404)))))-COUNTBLANK(OFFSET(A$1,,,SUMPRODUCT(MAX(ROW(E$1:E403)*(E2=E$1:E403))))))</f>
        <v/>
      </c>
      <c r="K404" s="25" t="str">
        <f aca="false">IF(OR(E404="",E404="!!!",F404="NEW"),"",INDEX(J$1:J403,SUMPRODUCT(MAX(ROW(E$1:E403)*(E404=E$1:E403)))))</f>
        <v/>
      </c>
      <c r="L404" s="26"/>
    </row>
    <row r="405" customFormat="false" ht="15" hidden="false" customHeight="false" outlineLevel="0" collapsed="false">
      <c r="A405" s="20" t="s">
        <v>304</v>
      </c>
      <c r="B405" s="27" t="s">
        <v>224</v>
      </c>
      <c r="C405" s="27" t="s">
        <v>233</v>
      </c>
      <c r="D405" s="27" t="s">
        <v>209</v>
      </c>
      <c r="E405" s="21" t="str">
        <f aca="false">IF(D405="?OLD","!!!","")</f>
        <v>!!!</v>
      </c>
      <c r="F405" s="22" t="str">
        <f aca="false">IF(OR(E405="",E405="!!!"),"",IF(NOT(ISNA(VLOOKUP(E405,E$1:E404,1,FALSE()))),"OLD",IF(AND(E405&lt;&gt;"",E405&lt;&gt;"!!!"),"NEW","")))</f>
        <v>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IF(OR(E405="",E405="!!!",F405="NEW"),"",INDEX(B404:B$2,-1+SUMPRODUCT(MAX(ROW(E404:E$2)*(E405=E404:E$2)))))</f>
        <v> </v>
      </c>
      <c r="J405" s="25" t="str">
        <f aca="true">IF(OR(E405="",E405="!!!",F405="NEW"),"",COUNTBLANK(OFFSET(A$1,,,SUMPRODUCT(MAX(ROW(E$2:E405)*(E405=E$2:E405)))))-COUNTBLANK(OFFSET(A$1,,,SUMPRODUCT(MAX(ROW(E$1:E404)*(E2=E$1:E404))))))</f>
        <v/>
      </c>
      <c r="K405" s="25" t="str">
        <f aca="false">IF(OR(E405="",E405="!!!",F405="NEW"),"",INDEX(J$1:J404,SUMPRODUCT(MAX(ROW(E$1:E404)*(E405=E$1:E404)))))</f>
        <v/>
      </c>
      <c r="L405" s="26"/>
    </row>
    <row r="406" customFormat="false" ht="15" hidden="false" customHeight="false" outlineLevel="0" collapsed="false">
      <c r="A406" s="20" t="s">
        <v>309</v>
      </c>
      <c r="E406" s="21" t="str">
        <f aca="false">IF(D406="?OLD","!!!","")</f>
        <v/>
      </c>
      <c r="F406" s="22" t="str">
        <f aca="false">IF(OR(E406="",E406="!!!"),"",IF(NOT(ISNA(VLOOKUP(E406,E$1:E405,1,FALSE()))),"OLD",IF(AND(E406&lt;&gt;"",E406&lt;&gt;"!!!"),"NEW","")))</f>
        <v>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IF(OR(E406="",E406="!!!",F406="NEW"),"",INDEX(B405:B$2,-1+SUMPRODUCT(MAX(ROW(E405:E$2)*(E406=E405:E$2)))))</f>
        <v> </v>
      </c>
      <c r="J406" s="25" t="str">
        <f aca="true">IF(OR(E406="",E406="!!!",F406="NEW"),"",COUNTBLANK(OFFSET(A$1,,,SUMPRODUCT(MAX(ROW(E$2:E406)*(E406=E$2:E406)))))-COUNTBLANK(OFFSET(A$1,,,SUMPRODUCT(MAX(ROW(E$1:E405)*(E2=E$1:E405))))))</f>
        <v/>
      </c>
      <c r="K406" s="25" t="str">
        <f aca="false">IF(OR(E406="",E406="!!!",F406="NEW"),"",INDEX(J$1:J405,SUMPRODUCT(MAX(ROW(E$1:E405)*(E406=E$1:E405)))))</f>
        <v/>
      </c>
      <c r="L406" s="26"/>
    </row>
    <row r="407" customFormat="false" ht="15" hidden="false" customHeight="false" outlineLevel="0" collapsed="false">
      <c r="A407" s="20" t="s">
        <v>364</v>
      </c>
      <c r="B407" s="27" t="s">
        <v>222</v>
      </c>
      <c r="C407" s="27" t="s">
        <v>233</v>
      </c>
      <c r="D407" s="27" t="s">
        <v>209</v>
      </c>
      <c r="E407" s="21" t="str">
        <f aca="false">IF(D407="?OLD","!!!","")</f>
        <v>!!!</v>
      </c>
      <c r="F407" s="22" t="str">
        <f aca="false">IF(OR(E407="",E407="!!!"),"",IF(NOT(ISNA(VLOOKUP(E407,E$1:E406,1,FALSE()))),"OLD",IF(AND(E407&lt;&gt;"",E407&lt;&gt;"!!!"),"NEW","")))</f>
        <v>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IF(OR(E407="",E407="!!!",F407="NEW"),"",INDEX(B406:B$2,-1+SUMPRODUCT(MAX(ROW(E406:E$2)*(E407=E406:E$2)))))</f>
        <v> </v>
      </c>
      <c r="J407" s="25" t="str">
        <f aca="true">IF(OR(E407="",E407="!!!",F407="NEW"),"",COUNTBLANK(OFFSET(A$1,,,SUMPRODUCT(MAX(ROW(E$2:E407)*(E407=E$2:E407)))))-COUNTBLANK(OFFSET(A$1,,,SUMPRODUCT(MAX(ROW(E$1:E406)*(E2=E$1:E406))))))</f>
        <v/>
      </c>
      <c r="K407" s="25" t="str">
        <f aca="false">IF(OR(E407="",E407="!!!",F407="NEW"),"",INDEX(J$1:J406,SUMPRODUCT(MAX(ROW(E$1:E406)*(E407=E$1:E406)))))</f>
        <v/>
      </c>
      <c r="L407" s="26"/>
    </row>
    <row r="408" customFormat="false" ht="15" hidden="false" customHeight="false" outlineLevel="0" collapsed="false">
      <c r="A408" s="20" t="s">
        <v>218</v>
      </c>
      <c r="E408" s="21" t="str">
        <f aca="false">IF(D408="?OLD","!!!","")</f>
        <v/>
      </c>
      <c r="F408" s="22" t="str">
        <f aca="false">IF(OR(E408="",E408="!!!"),"",IF(NOT(ISNA(VLOOKUP(E408,E$1:E407,1,FALSE()))),"OLD",IF(AND(E408&lt;&gt;"",E408&lt;&gt;"!!!"),"NEW","")))</f>
        <v> </v>
      </c>
      <c r="G408" s="23" t="str">
        <f aca="false">IF(OR(E408="",E408="!!!"),"",IF(OR(J408=0,AND(J408=1,K408=1),AND(J408=1,I408="SBJ"),AND(J408=1,I408=0)),"?IN_FOCUS",IF(J408&lt;=2,"?ACTIVATED",IF(J408&lt;&gt;"","?FAMILIAR",IF(F408="NEW",IF(ISNA(VLOOKUP(E408,#REF!,1,FALSE())),"?TYPE_IDENTIFIABLE","?REFERENTIAL"),"_")))))</f>
        <v/>
      </c>
      <c r="H408" s="24" t="str">
        <f aca="false">IF(J408&lt;&gt;1,"",IF(I408="SBJ","CB","?"))</f>
        <v/>
      </c>
      <c r="I408" s="25" t="str">
        <f aca="false">IF(OR(E408="",E408="!!!",F408="NEW"),"",INDEX(B407:B$2,-1+SUMPRODUCT(MAX(ROW(E407:E$2)*(E408=E407:E$2)))))</f>
        <v> </v>
      </c>
      <c r="J408" s="25" t="str">
        <f aca="true">IF(OR(E408="",E408="!!!",F408="NEW"),"",COUNTBLANK(OFFSET(A$1,,,SUMPRODUCT(MAX(ROW(E$2:E408)*(E408=E$2:E408)))))-COUNTBLANK(OFFSET(A$1,,,SUMPRODUCT(MAX(ROW(E$1:E407)*(E2=E$1:E407))))))</f>
        <v/>
      </c>
      <c r="K408" s="25" t="str">
        <f aca="false">IF(OR(E408="",E408="!!!",F408="NEW"),"",INDEX(J$1:J407,SUMPRODUCT(MAX(ROW(E$1:E407)*(E408=E$1:E407)))))</f>
        <v/>
      </c>
      <c r="L408" s="26"/>
    </row>
    <row r="409" customFormat="false" ht="15" hidden="false" customHeight="false" outlineLevel="0" collapsed="false">
      <c r="A409" s="20" t="s">
        <v>205</v>
      </c>
      <c r="E409" s="21" t="str">
        <f aca="false">IF(D409="?OLD","!!!","")</f>
        <v/>
      </c>
      <c r="F409" s="22" t="str">
        <f aca="false">IF(OR(E409="",E409="!!!"),"",IF(NOT(ISNA(VLOOKUP(E409,E$1:E408,1,FALSE()))),"OLD",IF(AND(E409&lt;&gt;"",E409&lt;&gt;"!!!"),"NEW","")))</f>
        <v>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IF(OR(E409="",E409="!!!",F409="NEW"),"",INDEX(B408:B$2,-1+SUMPRODUCT(MAX(ROW(E408:E$2)*(E409=E408:E$2)))))</f>
        <v> </v>
      </c>
      <c r="J409" s="25" t="str">
        <f aca="true">IF(OR(E409="",E409="!!!",F409="NEW"),"",COUNTBLANK(OFFSET(A$1,,,SUMPRODUCT(MAX(ROW(E$2:E409)*(E409=E$2:E409)))))-COUNTBLANK(OFFSET(A$1,,,SUMPRODUCT(MAX(ROW(E$1:E408)*(E2=E$1:E408))))))</f>
        <v/>
      </c>
      <c r="K409" s="25" t="str">
        <f aca="false">IF(OR(E409="",E409="!!!",F409="NEW"),"",INDEX(J$1:J408,SUMPRODUCT(MAX(ROW(E$1:E408)*(E409=E$1:E408)))))</f>
        <v/>
      </c>
      <c r="L409" s="26"/>
    </row>
    <row r="410" customFormat="false" ht="15" hidden="false" customHeight="false" outlineLevel="0" collapsed="false">
      <c r="A410" s="20" t="s">
        <v>247</v>
      </c>
      <c r="B410" s="27" t="s">
        <v>250</v>
      </c>
      <c r="C410" s="27" t="s">
        <v>208</v>
      </c>
      <c r="D410" s="27" t="s">
        <v>209</v>
      </c>
      <c r="E410" s="21" t="str">
        <f aca="false">IF(D410="?OLD","!!!","")</f>
        <v>!!!</v>
      </c>
      <c r="F410" s="22" t="str">
        <f aca="false">IF(OR(E410="",E410="!!!"),"",IF(NOT(ISNA(VLOOKUP(E410,E$1:E409,1,FALSE()))),"OLD",IF(AND(E410&lt;&gt;"",E410&lt;&gt;"!!!"),"NEW","")))</f>
        <v>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IF(OR(E410="",E410="!!!",F410="NEW"),"",INDEX(B409:B$2,-1+SUMPRODUCT(MAX(ROW(E409:E$2)*(E410=E409:E$2)))))</f>
        <v> </v>
      </c>
      <c r="J410" s="25" t="str">
        <f aca="true">IF(OR(E410="",E410="!!!",F410="NEW"),"",COUNTBLANK(OFFSET(A$1,,,SUMPRODUCT(MAX(ROW(E$2:E410)*(E410=E$2:E410)))))-COUNTBLANK(OFFSET(A$1,,,SUMPRODUCT(MAX(ROW(E$1:E409)*(E2=E$1:E409))))))</f>
        <v/>
      </c>
      <c r="K410" s="25" t="str">
        <f aca="false">IF(OR(E410="",E410="!!!",F410="NEW"),"",INDEX(J$1:J409,SUMPRODUCT(MAX(ROW(E$1:E409)*(E410=E$1:E409)))))</f>
        <v/>
      </c>
      <c r="L410" s="26"/>
    </row>
    <row r="411" customFormat="false" ht="15" hidden="false" customHeight="false" outlineLevel="0" collapsed="false">
      <c r="A411" s="20" t="s">
        <v>237</v>
      </c>
      <c r="E411" s="21" t="str">
        <f aca="false">IF(D411="?OLD","!!!","")</f>
        <v/>
      </c>
      <c r="F411" s="22" t="str">
        <f aca="false">IF(OR(E411="",E411="!!!"),"",IF(NOT(ISNA(VLOOKUP(E411,E$1:E410,1,FALSE()))),"OLD",IF(AND(E411&lt;&gt;"",E411&lt;&gt;"!!!"),"NEW","")))</f>
        <v>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IF(OR(E411="",E411="!!!",F411="NEW"),"",INDEX(B410:B$2,-1+SUMPRODUCT(MAX(ROW(E410:E$2)*(E411=E410:E$2)))))</f>
        <v> </v>
      </c>
      <c r="J411" s="25" t="str">
        <f aca="true">IF(OR(E411="",E411="!!!",F411="NEW"),"",COUNTBLANK(OFFSET(A$1,,,SUMPRODUCT(MAX(ROW(E$2:E411)*(E411=E$2:E411)))))-COUNTBLANK(OFFSET(A$1,,,SUMPRODUCT(MAX(ROW(E$1:E410)*(E2=E$1:E410))))))</f>
        <v/>
      </c>
      <c r="K411" s="25" t="str">
        <f aca="false">IF(OR(E411="",E411="!!!",F411="NEW"),"",INDEX(J$1:J410,SUMPRODUCT(MAX(ROW(E$1:E410)*(E411=E$1:E410)))))</f>
        <v/>
      </c>
      <c r="L411" s="26"/>
    </row>
    <row r="412" customFormat="false" ht="15" hidden="false" customHeight="false" outlineLevel="0" collapsed="false">
      <c r="A412" s="20" t="s">
        <v>288</v>
      </c>
      <c r="E412" s="21" t="str">
        <f aca="false">IF(D412="?OLD","!!!","")</f>
        <v/>
      </c>
      <c r="F412" s="22" t="str">
        <f aca="false">IF(OR(E412="",E412="!!!"),"",IF(NOT(ISNA(VLOOKUP(E412,E$1:E411,1,FALSE()))),"OLD",IF(AND(E412&lt;&gt;"",E412&lt;&gt;"!!!"),"NEW","")))</f>
        <v> </v>
      </c>
      <c r="G412" s="23" t="str">
        <f aca="false">IF(OR(E412="",E412="!!!"),"",IF(OR(J412=0,AND(J412=1,K412=1),AND(J412=1,I412="SBJ"),AND(J412=1,I412=0)),"?IN_FOCUS",IF(J412&lt;=2,"?ACTIVATED",IF(J412&lt;&gt;"","?FAMILIAR",IF(F412="NEW",IF(ISNA(VLOOKUP(E412,#REF!,1,FALSE())),"?TYPE_IDENTIFIABLE","?REFERENTIAL"),"_")))))</f>
        <v/>
      </c>
      <c r="H412" s="24" t="str">
        <f aca="false">IF(J412&lt;&gt;1,"",IF(I412="SBJ","CB","?"))</f>
        <v/>
      </c>
      <c r="I412" s="25" t="str">
        <f aca="false">IF(OR(E412="",E412="!!!",F412="NEW"),"",INDEX(B411:B$2,-1+SUMPRODUCT(MAX(ROW(E411:E$2)*(E412=E411:E$2)))))</f>
        <v> </v>
      </c>
      <c r="J412" s="25" t="str">
        <f aca="true">IF(OR(E412="",E412="!!!",F412="NEW"),"",COUNTBLANK(OFFSET(A$1,,,SUMPRODUCT(MAX(ROW(E$2:E412)*(E412=E$2:E412)))))-COUNTBLANK(OFFSET(A$1,,,SUMPRODUCT(MAX(ROW(E$1:E411)*(E2=E$1:E411))))))</f>
        <v/>
      </c>
      <c r="K412" s="25" t="str">
        <f aca="false">IF(OR(E412="",E412="!!!",F412="NEW"),"",INDEX(J$1:J411,SUMPRODUCT(MAX(ROW(E$1:E411)*(E412=E$1:E411)))))</f>
        <v/>
      </c>
      <c r="L412" s="26"/>
    </row>
    <row r="413" customFormat="false" ht="15" hidden="false" customHeight="false" outlineLevel="0" collapsed="false">
      <c r="A413" s="20" t="s">
        <v>351</v>
      </c>
      <c r="B413" s="27" t="s">
        <v>240</v>
      </c>
      <c r="C413" s="27" t="s">
        <v>233</v>
      </c>
      <c r="D413" s="27" t="s">
        <v>209</v>
      </c>
      <c r="E413" s="21" t="str">
        <f aca="false">IF(D413="?OLD","!!!","")</f>
        <v>!!!</v>
      </c>
      <c r="F413" s="22" t="str">
        <f aca="false">IF(OR(E413="",E413="!!!"),"",IF(NOT(ISNA(VLOOKUP(E413,E$1:E412,1,FALSE()))),"OLD",IF(AND(E413&lt;&gt;"",E413&lt;&gt;"!!!"),"NEW","")))</f>
        <v> </v>
      </c>
      <c r="G413" s="23" t="str">
        <f aca="false">IF(OR(E413="",E413="!!!"),"",IF(OR(J413=0,AND(J413=1,K413=1),AND(J413=1,I413="SBJ"),AND(J413=1,I413=0)),"?IN_FOCUS",IF(J413&lt;=2,"?ACTIVATED",IF(J413&lt;&gt;"","?FAMILIAR",IF(F413="NEW",IF(ISNA(VLOOKUP(E413,#REF!,1,FALSE())),"?TYPE_IDENTIFIABLE","?REFERENTIAL"),"_")))))</f>
        <v/>
      </c>
      <c r="H413" s="24" t="str">
        <f aca="false">IF(J413&lt;&gt;1,"",IF(I413="SBJ","CB","?"))</f>
        <v/>
      </c>
      <c r="I413" s="25" t="str">
        <f aca="false">IF(OR(E413="",E413="!!!",F413="NEW"),"",INDEX(B412:B$2,-1+SUMPRODUCT(MAX(ROW(E412:E$2)*(E413=E412:E$2)))))</f>
        <v> </v>
      </c>
      <c r="J413" s="25" t="str">
        <f aca="true">IF(OR(E413="",E413="!!!",F413="NEW"),"",COUNTBLANK(OFFSET(A$1,,,SUMPRODUCT(MAX(ROW(E$2:E413)*(E413=E$2:E413)))))-COUNTBLANK(OFFSET(A$1,,,SUMPRODUCT(MAX(ROW(E$1:E412)*(E2=E$1:E412))))))</f>
        <v/>
      </c>
      <c r="K413" s="25" t="str">
        <f aca="false">IF(OR(E413="",E413="!!!",F413="NEW"),"",INDEX(J$1:J412,SUMPRODUCT(MAX(ROW(E$1:E412)*(E413=E$1:E412)))))</f>
        <v/>
      </c>
      <c r="L413" s="26"/>
    </row>
    <row r="414" customFormat="false" ht="15" hidden="false" customHeight="false" outlineLevel="0" collapsed="false">
      <c r="A414" s="20" t="s">
        <v>307</v>
      </c>
      <c r="E414" s="21" t="str">
        <f aca="false">IF(D414="?OLD","!!!","")</f>
        <v/>
      </c>
      <c r="F414" s="22" t="str">
        <f aca="false">IF(OR(E414="",E414="!!!"),"",IF(NOT(ISNA(VLOOKUP(E414,E$1:E413,1,FALSE()))),"OLD",IF(AND(E414&lt;&gt;"",E414&lt;&gt;"!!!"),"NEW","")))</f>
        <v> </v>
      </c>
      <c r="G414" s="23" t="str">
        <f aca="false">IF(OR(E414="",E414="!!!"),"",IF(OR(J414=0,AND(J414=1,K414=1),AND(J414=1,I414="SBJ"),AND(J414=1,I414=0)),"?IN_FOCUS",IF(J414&lt;=2,"?ACTIVATED",IF(J414&lt;&gt;"","?FAMILIAR",IF(F414="NEW",IF(ISNA(VLOOKUP(E414,#REF!,1,FALSE())),"?TYPE_IDENTIFIABLE","?REFERENTIAL"),"_")))))</f>
        <v/>
      </c>
      <c r="H414" s="24" t="str">
        <f aca="false">IF(J414&lt;&gt;1,"",IF(I414="SBJ","CB","?"))</f>
        <v/>
      </c>
      <c r="I414" s="25" t="str">
        <f aca="false">IF(OR(E414="",E414="!!!",F414="NEW"),"",INDEX(B413:B$2,-1+SUMPRODUCT(MAX(ROW(E413:E$2)*(E414=E413:E$2)))))</f>
        <v> </v>
      </c>
      <c r="J414" s="25" t="str">
        <f aca="true">IF(OR(E414="",E414="!!!",F414="NEW"),"",COUNTBLANK(OFFSET(A$1,,,SUMPRODUCT(MAX(ROW(E$2:E414)*(E414=E$2:E414)))))-COUNTBLANK(OFFSET(A$1,,,SUMPRODUCT(MAX(ROW(E$1:E413)*(E2=E$1:E413))))))</f>
        <v/>
      </c>
      <c r="K414" s="25" t="str">
        <f aca="false">IF(OR(E414="",E414="!!!",F414="NEW"),"",INDEX(J$1:J413,SUMPRODUCT(MAX(ROW(E$1:E413)*(E414=E$1:E413)))))</f>
        <v/>
      </c>
      <c r="L414" s="26"/>
    </row>
    <row r="415" customFormat="false" ht="15" hidden="false" customHeight="false" outlineLevel="0" collapsed="false">
      <c r="A415" s="20" t="s">
        <v>229</v>
      </c>
      <c r="E415" s="21" t="str">
        <f aca="false">IF(D415="?OLD","!!!","")</f>
        <v/>
      </c>
      <c r="F415" s="22" t="str">
        <f aca="false">IF(OR(E415="",E415="!!!"),"",IF(NOT(ISNA(VLOOKUP(E415,E$1:E414,1,FALSE()))),"OLD",IF(AND(E415&lt;&gt;"",E415&lt;&gt;"!!!"),"NEW","")))</f>
        <v>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IF(OR(E415="",E415="!!!",F415="NEW"),"",INDEX(B414:B$2,-1+SUMPRODUCT(MAX(ROW(E414:E$2)*(E415=E414:E$2)))))</f>
        <v> </v>
      </c>
      <c r="J415" s="25" t="str">
        <f aca="true">IF(OR(E415="",E415="!!!",F415="NEW"),"",COUNTBLANK(OFFSET(A$1,,,SUMPRODUCT(MAX(ROW(E$2:E415)*(E415=E$2:E415)))))-COUNTBLANK(OFFSET(A$1,,,SUMPRODUCT(MAX(ROW(E$1:E414)*(E2=E$1:E414))))))</f>
        <v/>
      </c>
      <c r="K415" s="25" t="str">
        <f aca="false">IF(OR(E415="",E415="!!!",F415="NEW"),"",INDEX(J$1:J414,SUMPRODUCT(MAX(ROW(E$1:E414)*(E415=E$1:E414)))))</f>
        <v/>
      </c>
      <c r="L415" s="26"/>
    </row>
    <row r="416" customFormat="false" ht="15" hidden="false" customHeight="false" outlineLevel="0" collapsed="false">
      <c r="A416" s="20" t="s">
        <v>238</v>
      </c>
      <c r="E416" s="21" t="str">
        <f aca="false">IF(D416="?OLD","!!!","")</f>
        <v/>
      </c>
      <c r="F416" s="22" t="str">
        <f aca="false">IF(OR(E416="",E416="!!!"),"",IF(NOT(ISNA(VLOOKUP(E416,E$1:E415,1,FALSE()))),"OLD",IF(AND(E416&lt;&gt;"",E416&lt;&gt;"!!!"),"NEW","")))</f>
        <v>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IF(OR(E416="",E416="!!!",F416="NEW"),"",INDEX(B415:B$2,-1+SUMPRODUCT(MAX(ROW(E415:E$2)*(E416=E415:E$2)))))</f>
        <v> </v>
      </c>
      <c r="J416" s="25" t="str">
        <f aca="true">IF(OR(E416="",E416="!!!",F416="NEW"),"",COUNTBLANK(OFFSET(A$1,,,SUMPRODUCT(MAX(ROW(E$2:E416)*(E416=E$2:E416)))))-COUNTBLANK(OFFSET(A$1,,,SUMPRODUCT(MAX(ROW(E$1:E415)*(E2=E$1:E415))))))</f>
        <v/>
      </c>
      <c r="K416" s="25" t="str">
        <f aca="false">IF(OR(E416="",E416="!!!",F416="NEW"),"",INDEX(J$1:J415,SUMPRODUCT(MAX(ROW(E$1:E415)*(E416=E$1:E415)))))</f>
        <v/>
      </c>
      <c r="L416" s="26"/>
    </row>
    <row r="417" customFormat="false" ht="15" hidden="false" customHeight="false" outlineLevel="0" collapsed="false">
      <c r="A417" s="20"/>
    </row>
    <row r="418" customFormat="false" ht="15" hidden="false" customHeight="false" outlineLevel="0" collapsed="false">
      <c r="A418" s="20" t="s">
        <v>230</v>
      </c>
      <c r="E418" s="21" t="str">
        <f aca="false">IF(D418="?OLD","!!!","")</f>
        <v/>
      </c>
      <c r="F418" s="22" t="str">
        <f aca="false">IF(OR(E418="",E418="!!!"),"",IF(NOT(ISNA(VLOOKUP(E418,E$1:E417,1,FALSE()))),"OLD",IF(AND(E418&lt;&gt;"",E418&lt;&gt;"!!!"),"NEW","")))</f>
        <v> </v>
      </c>
      <c r="G418" s="23" t="str">
        <f aca="false">IF(OR(E418="",E418="!!!"),"",IF(OR(J418=0,AND(J418=1,K418=1),AND(J418=1,I418="SBJ"),AND(J418=1,I418=0)),"?IN_FOCUS",IF(J418&lt;=2,"?ACTIVATED",IF(J418&lt;&gt;"","?FAMILIAR",IF(F418="NEW",IF(ISNA(VLOOKUP(E418,#REF!,1,FALSE())),"?TYPE_IDENTIFIABLE","?REFERENTIAL"),"_")))))</f>
        <v/>
      </c>
      <c r="H418" s="24" t="str">
        <f aca="false">IF(J418&lt;&gt;1,"",IF(I418="SBJ","CB","?"))</f>
        <v/>
      </c>
      <c r="I418" s="25" t="str">
        <f aca="false">IF(OR(E418="",E418="!!!",F418="NEW"),"",INDEX(B417:B$2,-1+SUMPRODUCT(MAX(ROW(E417:E$2)*(E418=E417:E$2)))))</f>
        <v> </v>
      </c>
      <c r="J418" s="25" t="str">
        <f aca="true">IF(OR(E418="",E418="!!!",F418="NEW"),"",COUNTBLANK(OFFSET(A$1,,,SUMPRODUCT(MAX(ROW(E$2:E418)*(E418=E$2:E418)))))-COUNTBLANK(OFFSET(A$1,,,SUMPRODUCT(MAX(ROW(E$1:E417)*(E2=E$1:E417))))))</f>
        <v/>
      </c>
      <c r="K418" s="25" t="str">
        <f aca="false">IF(OR(E418="",E418="!!!",F418="NEW"),"",INDEX(J$1:J417,SUMPRODUCT(MAX(ROW(E$1:E417)*(E418=E$1:E417)))))</f>
        <v/>
      </c>
      <c r="L418" s="26"/>
    </row>
    <row r="419" customFormat="false" ht="15" hidden="false" customHeight="false" outlineLevel="0" collapsed="false">
      <c r="A419" s="20" t="s">
        <v>365</v>
      </c>
    </row>
    <row r="420" customFormat="false" ht="15" hidden="false" customHeight="false" outlineLevel="0" collapsed="false">
      <c r="A420" s="20" t="s">
        <v>223</v>
      </c>
      <c r="B420" s="27" t="s">
        <v>207</v>
      </c>
      <c r="C420" s="27" t="s">
        <v>225</v>
      </c>
      <c r="D420" s="27" t="s">
        <v>209</v>
      </c>
      <c r="E420" s="21" t="str">
        <f aca="false">IF(D420="?OLD","!!!","")</f>
        <v>!!!</v>
      </c>
      <c r="F420" s="22" t="str">
        <f aca="false">IF(OR(E420="",E420="!!!"),"",IF(NOT(ISNA(VLOOKUP(E420,E$1:E419,1,FALSE()))),"OLD",IF(AND(E420&lt;&gt;"",E420&lt;&gt;"!!!"),"NEW","")))</f>
        <v>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IF(OR(E420="",E420="!!!",F420="NEW"),"",INDEX(B419:B$2,-1+SUMPRODUCT(MAX(ROW(E419:E$2)*(E420=E419:E$2)))))</f>
        <v> </v>
      </c>
      <c r="J420" s="25" t="str">
        <f aca="true">IF(OR(E420="",E420="!!!",F420="NEW"),"",COUNTBLANK(OFFSET(A$1,,,SUMPRODUCT(MAX(ROW(E$2:E420)*(E420=E$2:E420)))))-COUNTBLANK(OFFSET(A$1,,,SUMPRODUCT(MAX(ROW(E$1:E419)*(E2=E$1:E419))))))</f>
        <v/>
      </c>
      <c r="K420" s="25" t="str">
        <f aca="false">IF(OR(E420="",E420="!!!",F420="NEW"),"",INDEX(J$1:J419,SUMPRODUCT(MAX(ROW(E$1:E419)*(E420=E$1:E419)))))</f>
        <v/>
      </c>
      <c r="L420" s="26"/>
    </row>
    <row r="421" customFormat="false" ht="15" hidden="false" customHeight="false" outlineLevel="0" collapsed="false">
      <c r="A421" s="20" t="s">
        <v>226</v>
      </c>
      <c r="E421" s="21" t="str">
        <f aca="false">IF(D421="?OLD","!!!","")</f>
        <v/>
      </c>
      <c r="F421" s="22" t="str">
        <f aca="false">IF(OR(E421="",E421="!!!"),"",IF(NOT(ISNA(VLOOKUP(E421,E$1:E420,1,FALSE()))),"OLD",IF(AND(E421&lt;&gt;"",E421&lt;&gt;"!!!"),"NEW","")))</f>
        <v> </v>
      </c>
      <c r="G421" s="23" t="str">
        <f aca="false">IF(OR(E421="",E421="!!!"),"",IF(OR(J421=0,AND(J421=1,K421=1),AND(J421=1,I421="SBJ"),AND(J421=1,I421=0)),"?IN_FOCUS",IF(J421&lt;=2,"?ACTIVATED",IF(J421&lt;&gt;"","?FAMILIAR",IF(F421="NEW",IF(ISNA(VLOOKUP(E421,#REF!,1,FALSE())),"?TYPE_IDENTIFIABLE","?REFERENTIAL"),"_")))))</f>
        <v/>
      </c>
      <c r="H421" s="24" t="str">
        <f aca="false">IF(J421&lt;&gt;1,"",IF(I421="SBJ","CB","?"))</f>
        <v/>
      </c>
      <c r="I421" s="25" t="str">
        <f aca="false">IF(OR(E421="",E421="!!!",F421="NEW"),"",INDEX(B420:B$2,-1+SUMPRODUCT(MAX(ROW(E420:E$2)*(E421=E420:E$2)))))</f>
        <v> </v>
      </c>
      <c r="J421" s="25" t="str">
        <f aca="true">IF(OR(E421="",E421="!!!",F421="NEW"),"",COUNTBLANK(OFFSET(A$1,,,SUMPRODUCT(MAX(ROW(E$2:E421)*(E421=E$2:E421)))))-COUNTBLANK(OFFSET(A$1,,,SUMPRODUCT(MAX(ROW(E$1:E420)*(E2=E$1:E420))))))</f>
        <v/>
      </c>
      <c r="K421" s="25" t="str">
        <f aca="false">IF(OR(E421="",E421="!!!",F421="NEW"),"",INDEX(J$1:J420,SUMPRODUCT(MAX(ROW(E$1:E420)*(E421=E$1:E420)))))</f>
        <v/>
      </c>
      <c r="L421" s="26"/>
    </row>
    <row r="422" customFormat="false" ht="15" hidden="false" customHeight="false" outlineLevel="0" collapsed="false">
      <c r="A422" s="20" t="s">
        <v>234</v>
      </c>
      <c r="E422" s="21" t="str">
        <f aca="false">IF(D422="?OLD","!!!","")</f>
        <v/>
      </c>
      <c r="F422" s="22" t="str">
        <f aca="false">IF(OR(E422="",E422="!!!"),"",IF(NOT(ISNA(VLOOKUP(E422,E$1:E421,1,FALSE()))),"OLD",IF(AND(E422&lt;&gt;"",E422&lt;&gt;"!!!"),"NEW","")))</f>
        <v>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IF(OR(E422="",E422="!!!",F422="NEW"),"",INDEX(B421:B$2,-1+SUMPRODUCT(MAX(ROW(E421:E$2)*(E422=E421:E$2)))))</f>
        <v> </v>
      </c>
      <c r="J422" s="25" t="str">
        <f aca="true">IF(OR(E422="",E422="!!!",F422="NEW"),"",COUNTBLANK(OFFSET(A$1,,,SUMPRODUCT(MAX(ROW(E$2:E422)*(E422=E$2:E422)))))-COUNTBLANK(OFFSET(A$1,,,SUMPRODUCT(MAX(ROW(E$1:E421)*(E2=E$1:E421))))))</f>
        <v/>
      </c>
      <c r="K422" s="25" t="str">
        <f aca="false">IF(OR(E422="",E422="!!!",F422="NEW"),"",INDEX(J$1:J421,SUMPRODUCT(MAX(ROW(E$1:E421)*(E422=E$1:E421)))))</f>
        <v/>
      </c>
      <c r="L422" s="26"/>
    </row>
    <row r="423" customFormat="false" ht="15" hidden="false" customHeight="false" outlineLevel="0" collapsed="false">
      <c r="A423" s="20" t="s">
        <v>235</v>
      </c>
      <c r="E423" s="21" t="str">
        <f aca="false">IF(D423="?OLD","!!!","")</f>
        <v/>
      </c>
      <c r="F423" s="22" t="str">
        <f aca="false">IF(OR(E423="",E423="!!!"),"",IF(NOT(ISNA(VLOOKUP(E423,E$1:E422,1,FALSE()))),"OLD",IF(AND(E423&lt;&gt;"",E423&lt;&gt;"!!!"),"NEW","")))</f>
        <v>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IF(OR(E423="",E423="!!!",F423="NEW"),"",INDEX(B422:B$2,-1+SUMPRODUCT(MAX(ROW(E422:E$2)*(E423=E422:E$2)))))</f>
        <v> </v>
      </c>
      <c r="J423" s="25" t="str">
        <f aca="true">IF(OR(E423="",E423="!!!",F423="NEW"),"",COUNTBLANK(OFFSET(A$1,,,SUMPRODUCT(MAX(ROW(E$2:E423)*(E423=E$2:E423)))))-COUNTBLANK(OFFSET(A$1,,,SUMPRODUCT(MAX(ROW(E$1:E422)*(E2=E$1:E422))))))</f>
        <v/>
      </c>
      <c r="K423" s="25" t="str">
        <f aca="false">IF(OR(E423="",E423="!!!",F423="NEW"),"",INDEX(J$1:J422,SUMPRODUCT(MAX(ROW(E$1:E422)*(E423=E$1:E422)))))</f>
        <v/>
      </c>
      <c r="L423" s="26"/>
    </row>
    <row r="424" customFormat="false" ht="15" hidden="false" customHeight="false" outlineLevel="0" collapsed="false">
      <c r="A424" s="20" t="s">
        <v>205</v>
      </c>
      <c r="E424" s="21" t="str">
        <f aca="false">IF(D424="?OLD","!!!","")</f>
        <v/>
      </c>
      <c r="F424" s="22" t="str">
        <f aca="false">IF(OR(E424="",E424="!!!"),"",IF(NOT(ISNA(VLOOKUP(E424,E$1:E423,1,FALSE()))),"OLD",IF(AND(E424&lt;&gt;"",E424&lt;&gt;"!!!"),"NEW","")))</f>
        <v>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IF(OR(E424="",E424="!!!",F424="NEW"),"",INDEX(B423:B$2,-1+SUMPRODUCT(MAX(ROW(E423:E$2)*(E424=E423:E$2)))))</f>
        <v> </v>
      </c>
      <c r="J424" s="25" t="str">
        <f aca="true">IF(OR(E424="",E424="!!!",F424="NEW"),"",COUNTBLANK(OFFSET(A$1,,,SUMPRODUCT(MAX(ROW(E$2:E424)*(E424=E$2:E424)))))-COUNTBLANK(OFFSET(A$1,,,SUMPRODUCT(MAX(ROW(E$1:E423)*(E2=E$1:E423))))))</f>
        <v/>
      </c>
      <c r="K424" s="25" t="str">
        <f aca="false">IF(OR(E424="",E424="!!!",F424="NEW"),"",INDEX(J$1:J423,SUMPRODUCT(MAX(ROW(E$1:E423)*(E424=E$1:E423)))))</f>
        <v/>
      </c>
      <c r="L424" s="26"/>
    </row>
    <row r="425" customFormat="false" ht="15" hidden="false" customHeight="false" outlineLevel="0" collapsed="false">
      <c r="A425" s="20" t="s">
        <v>236</v>
      </c>
      <c r="B425" s="27" t="s">
        <v>216</v>
      </c>
      <c r="C425" s="27" t="s">
        <v>208</v>
      </c>
      <c r="D425" s="27" t="s">
        <v>209</v>
      </c>
      <c r="E425" s="21" t="str">
        <f aca="false">IF(D425="?OLD","!!!","")</f>
        <v>!!!</v>
      </c>
      <c r="F425" s="22" t="str">
        <f aca="false">IF(OR(E425="",E425="!!!"),"",IF(NOT(ISNA(VLOOKUP(E425,E$1:E424,1,FALSE()))),"OLD",IF(AND(E425&lt;&gt;"",E425&lt;&gt;"!!!"),"NEW","")))</f>
        <v>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IF(OR(E425="",E425="!!!",F425="NEW"),"",INDEX(B424:B$2,-1+SUMPRODUCT(MAX(ROW(E424:E$2)*(E425=E424:E$2)))))</f>
        <v> </v>
      </c>
      <c r="J425" s="25" t="str">
        <f aca="true">IF(OR(E425="",E425="!!!",F425="NEW"),"",COUNTBLANK(OFFSET(A$1,,,SUMPRODUCT(MAX(ROW(E$2:E425)*(E425=E$2:E425)))))-COUNTBLANK(OFFSET(A$1,,,SUMPRODUCT(MAX(ROW(E$1:E424)*(E2=E$1:E424))))))</f>
        <v/>
      </c>
      <c r="K425" s="25" t="str">
        <f aca="false">IF(OR(E425="",E425="!!!",F425="NEW"),"",INDEX(J$1:J424,SUMPRODUCT(MAX(ROW(E$1:E424)*(E425=E$1:E424)))))</f>
        <v/>
      </c>
      <c r="L425" s="26"/>
    </row>
    <row r="426" customFormat="false" ht="15" hidden="false" customHeight="false" outlineLevel="0" collapsed="false">
      <c r="A426" s="20" t="s">
        <v>237</v>
      </c>
      <c r="E426" s="21" t="str">
        <f aca="false">IF(D426="?OLD","!!!","")</f>
        <v/>
      </c>
      <c r="F426" s="22" t="str">
        <f aca="false">IF(OR(E426="",E426="!!!"),"",IF(NOT(ISNA(VLOOKUP(E426,E$1:E425,1,FALSE()))),"OLD",IF(AND(E426&lt;&gt;"",E426&lt;&gt;"!!!"),"NEW","")))</f>
        <v>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IF(OR(E426="",E426="!!!",F426="NEW"),"",INDEX(B425:B$2,-1+SUMPRODUCT(MAX(ROW(E425:E$2)*(E426=E425:E$2)))))</f>
        <v> </v>
      </c>
      <c r="J426" s="25" t="str">
        <f aca="true">IF(OR(E426="",E426="!!!",F426="NEW"),"",COUNTBLANK(OFFSET(A$1,,,SUMPRODUCT(MAX(ROW(E$2:E426)*(E426=E$2:E426)))))-COUNTBLANK(OFFSET(A$1,,,SUMPRODUCT(MAX(ROW(E$1:E425)*(E2=E$1:E425))))))</f>
        <v/>
      </c>
      <c r="K426" s="25" t="str">
        <f aca="false">IF(OR(E426="",E426="!!!",F426="NEW"),"",INDEX(J$1:J425,SUMPRODUCT(MAX(ROW(E$1:E425)*(E426=E$1:E425)))))</f>
        <v/>
      </c>
      <c r="L426" s="26"/>
    </row>
    <row r="427" customFormat="false" ht="15" hidden="false" customHeight="false" outlineLevel="0" collapsed="false">
      <c r="A427" s="20" t="s">
        <v>238</v>
      </c>
      <c r="E427" s="21" t="str">
        <f aca="false">IF(D427="?OLD","!!!","")</f>
        <v/>
      </c>
      <c r="F427" s="22" t="str">
        <f aca="false">IF(OR(E427="",E427="!!!"),"",IF(NOT(ISNA(VLOOKUP(E427,E$1:E426,1,FALSE()))),"OLD",IF(AND(E427&lt;&gt;"",E427&lt;&gt;"!!!"),"NEW","")))</f>
        <v>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IF(OR(E427="",E427="!!!",F427="NEW"),"",INDEX(B426:B$2,-1+SUMPRODUCT(MAX(ROW(E426:E$2)*(E427=E426:E$2)))))</f>
        <v> </v>
      </c>
      <c r="J427" s="25" t="str">
        <f aca="true">IF(OR(E427="",E427="!!!",F427="NEW"),"",COUNTBLANK(OFFSET(A$1,,,SUMPRODUCT(MAX(ROW(E$2:E427)*(E427=E$2:E427)))))-COUNTBLANK(OFFSET(A$1,,,SUMPRODUCT(MAX(ROW(E$1:E426)*(E2=E$1:E426))))))</f>
        <v/>
      </c>
      <c r="K427" s="25" t="str">
        <f aca="false">IF(OR(E427="",E427="!!!",F427="NEW"),"",INDEX(J$1:J426,SUMPRODUCT(MAX(ROW(E$1:E426)*(E427=E$1:E426)))))</f>
        <v/>
      </c>
      <c r="L427" s="26"/>
    </row>
    <row r="428" customFormat="false" ht="15" hidden="false" customHeight="false" outlineLevel="0" collapsed="false">
      <c r="A428" s="20" t="s">
        <v>366</v>
      </c>
      <c r="B428" s="27" t="s">
        <v>216</v>
      </c>
      <c r="C428" s="27" t="s">
        <v>348</v>
      </c>
      <c r="E428" s="21" t="str">
        <f aca="false">IF(D428="?OLD","!!!","")</f>
        <v/>
      </c>
      <c r="F428" s="22" t="str">
        <f aca="false">IF(OR(E428="",E428="!!!"),"",IF(NOT(ISNA(VLOOKUP(E428,E$1:E427,1,FALSE()))),"OLD",IF(AND(E428&lt;&gt;"",E428&lt;&gt;"!!!"),"NEW","")))</f>
        <v>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IF(OR(E428="",E428="!!!",F428="NEW"),"",INDEX(B427:B$2,-1+SUMPRODUCT(MAX(ROW(E427:E$2)*(E428=E427:E$2)))))</f>
        <v> </v>
      </c>
      <c r="J428" s="25" t="str">
        <f aca="true">IF(OR(E428="",E428="!!!",F428="NEW"),"",COUNTBLANK(OFFSET(A$1,,,SUMPRODUCT(MAX(ROW(E$2:E428)*(E428=E$2:E428)))))-COUNTBLANK(OFFSET(A$1,,,SUMPRODUCT(MAX(ROW(E$1:E427)*(E2=E$1:E427))))))</f>
        <v/>
      </c>
      <c r="K428" s="25" t="str">
        <f aca="false">IF(OR(E428="",E428="!!!",F428="NEW"),"",INDEX(J$1:J427,SUMPRODUCT(MAX(ROW(E$1:E427)*(E428=E$1:E427)))))</f>
        <v/>
      </c>
      <c r="L428" s="26"/>
    </row>
    <row r="429" customFormat="false" ht="15" hidden="false" customHeight="false" outlineLevel="0" collapsed="false">
      <c r="A429" s="20" t="s">
        <v>260</v>
      </c>
      <c r="E429" s="21" t="str">
        <f aca="false">IF(D429="?OLD","!!!","")</f>
        <v/>
      </c>
      <c r="F429" s="22" t="str">
        <f aca="false">IF(OR(E429="",E429="!!!"),"",IF(NOT(ISNA(VLOOKUP(E429,E$1:E428,1,FALSE()))),"OLD",IF(AND(E429&lt;&gt;"",E429&lt;&gt;"!!!"),"NEW","")))</f>
        <v>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IF(OR(E429="",E429="!!!",F429="NEW"),"",INDEX(B428:B$2,-1+SUMPRODUCT(MAX(ROW(E428:E$2)*(E429=E428:E$2)))))</f>
        <v> </v>
      </c>
      <c r="J429" s="25" t="str">
        <f aca="true">IF(OR(E429="",E429="!!!",F429="NEW"),"",COUNTBLANK(OFFSET(A$1,,,SUMPRODUCT(MAX(ROW(E$2:E429)*(E429=E$2:E429)))))-COUNTBLANK(OFFSET(A$1,,,SUMPRODUCT(MAX(ROW(E$1:E428)*(E2=E$1:E428))))))</f>
        <v/>
      </c>
      <c r="K429" s="25" t="str">
        <f aca="false">IF(OR(E429="",E429="!!!",F429="NEW"),"",INDEX(J$1:J428,SUMPRODUCT(MAX(ROW(E$1:E428)*(E429=E$1:E428)))))</f>
        <v/>
      </c>
      <c r="L429" s="26"/>
    </row>
    <row r="430" customFormat="false" ht="15" hidden="false" customHeight="false" outlineLevel="0" collapsed="false">
      <c r="A430" s="20" t="s">
        <v>367</v>
      </c>
      <c r="B430" s="27" t="s">
        <v>240</v>
      </c>
      <c r="C430" s="27" t="s">
        <v>279</v>
      </c>
      <c r="D430" s="27" t="s">
        <v>209</v>
      </c>
      <c r="E430" s="21" t="str">
        <f aca="false">IF(D430="?OLD","!!!","")</f>
        <v>!!!</v>
      </c>
      <c r="F430" s="22" t="str">
        <f aca="false">IF(OR(E430="",E430="!!!"),"",IF(NOT(ISNA(VLOOKUP(E430,E$1:E429,1,FALSE()))),"OLD",IF(AND(E430&lt;&gt;"",E430&lt;&gt;"!!!"),"NEW","")))</f>
        <v>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IF(OR(E430="",E430="!!!",F430="NEW"),"",INDEX(B429:B$2,-1+SUMPRODUCT(MAX(ROW(E429:E$2)*(E430=E429:E$2)))))</f>
        <v> </v>
      </c>
      <c r="J430" s="25" t="str">
        <f aca="true">IF(OR(E430="",E430="!!!",F430="NEW"),"",COUNTBLANK(OFFSET(A$1,,,SUMPRODUCT(MAX(ROW(E$2:E430)*(E430=E$2:E430)))))-COUNTBLANK(OFFSET(A$1,,,SUMPRODUCT(MAX(ROW(E$1:E429)*(E2=E$1:E429))))))</f>
        <v/>
      </c>
      <c r="K430" s="25" t="str">
        <f aca="false">IF(OR(E430="",E430="!!!",F430="NEW"),"",INDEX(J$1:J429,SUMPRODUCT(MAX(ROW(E$1:E429)*(E430=E$1:E429)))))</f>
        <v/>
      </c>
      <c r="L430" s="26"/>
    </row>
    <row r="431" customFormat="false" ht="15" hidden="false" customHeight="false" outlineLevel="0" collapsed="false">
      <c r="A431" s="20" t="s">
        <v>266</v>
      </c>
      <c r="B431" s="27" t="s">
        <v>224</v>
      </c>
      <c r="C431" s="27" t="s">
        <v>233</v>
      </c>
      <c r="D431" s="27" t="s">
        <v>209</v>
      </c>
      <c r="E431" s="21" t="str">
        <f aca="false">IF(D431="?OLD","!!!","")</f>
        <v>!!!</v>
      </c>
      <c r="F431" s="22" t="str">
        <f aca="false">IF(OR(E431="",E431="!!!"),"",IF(NOT(ISNA(VLOOKUP(E431,E$1:E430,1,FALSE()))),"OLD",IF(AND(E431&lt;&gt;"",E431&lt;&gt;"!!!"),"NEW","")))</f>
        <v>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IF(OR(E431="",E431="!!!",F431="NEW"),"",INDEX(B430:B$2,-1+SUMPRODUCT(MAX(ROW(E430:E$2)*(E431=E430:E$2)))))</f>
        <v> </v>
      </c>
      <c r="J431" s="25" t="str">
        <f aca="true">IF(OR(E431="",E431="!!!",F431="NEW"),"",COUNTBLANK(OFFSET(A$1,,,SUMPRODUCT(MAX(ROW(E$2:E431)*(E431=E$2:E431)))))-COUNTBLANK(OFFSET(A$1,,,SUMPRODUCT(MAX(ROW(E$1:E430)*(E2=E$1:E430))))))</f>
        <v/>
      </c>
      <c r="K431" s="25" t="str">
        <f aca="false">IF(OR(E431="",E431="!!!",F431="NEW"),"",INDEX(J$1:J430,SUMPRODUCT(MAX(ROW(E$1:E430)*(E431=E$1:E430)))))</f>
        <v/>
      </c>
      <c r="L431" s="26"/>
    </row>
    <row r="432" customFormat="false" ht="15" hidden="false" customHeight="false" outlineLevel="0" collapsed="false">
      <c r="A432" s="20" t="s">
        <v>368</v>
      </c>
      <c r="E432" s="21" t="str">
        <f aca="false">IF(D432="?OLD","!!!","")</f>
        <v/>
      </c>
      <c r="F432" s="22" t="str">
        <f aca="false">IF(OR(E432="",E432="!!!"),"",IF(NOT(ISNA(VLOOKUP(E432,E$1:E431,1,FALSE()))),"OLD",IF(AND(E432&lt;&gt;"",E432&lt;&gt;"!!!"),"NEW","")))</f>
        <v>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IF(OR(E432="",E432="!!!",F432="NEW"),"",INDEX(B431:B$2,-1+SUMPRODUCT(MAX(ROW(E431:E$2)*(E432=E431:E$2)))))</f>
        <v> </v>
      </c>
      <c r="J432" s="25" t="str">
        <f aca="true">IF(OR(E432="",E432="!!!",F432="NEW"),"",COUNTBLANK(OFFSET(A$1,,,SUMPRODUCT(MAX(ROW(E$2:E432)*(E432=E$2:E432)))))-COUNTBLANK(OFFSET(A$1,,,SUMPRODUCT(MAX(ROW(E$1:E431)*(E2=E$1:E431))))))</f>
        <v/>
      </c>
      <c r="K432" s="25" t="str">
        <f aca="false">IF(OR(E432="",E432="!!!",F432="NEW"),"",INDEX(J$1:J431,SUMPRODUCT(MAX(ROW(E$1:E431)*(E432=E$1:E431)))))</f>
        <v/>
      </c>
      <c r="L432" s="26"/>
    </row>
    <row r="433" customFormat="false" ht="15" hidden="false" customHeight="false" outlineLevel="0" collapsed="false">
      <c r="A433" s="20" t="s">
        <v>369</v>
      </c>
      <c r="E433" s="21" t="str">
        <f aca="false">IF(D433="?OLD","!!!","")</f>
        <v/>
      </c>
      <c r="F433" s="22" t="str">
        <f aca="false">IF(OR(E433="",E433="!!!"),"",IF(NOT(ISNA(VLOOKUP(E433,E$1:E432,1,FALSE()))),"OLD",IF(AND(E433&lt;&gt;"",E433&lt;&gt;"!!!"),"NEW","")))</f>
        <v>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IF(OR(E433="",E433="!!!",F433="NEW"),"",INDEX(B432:B$2,-1+SUMPRODUCT(MAX(ROW(E432:E$2)*(E433=E432:E$2)))))</f>
        <v> </v>
      </c>
      <c r="J433" s="25" t="str">
        <f aca="true">IF(OR(E433="",E433="!!!",F433="NEW"),"",COUNTBLANK(OFFSET(A$1,,,SUMPRODUCT(MAX(ROW(E$2:E433)*(E433=E$2:E433)))))-COUNTBLANK(OFFSET(A$1,,,SUMPRODUCT(MAX(ROW(E$1:E432)*(E2=E$1:E432))))))</f>
        <v/>
      </c>
      <c r="K433" s="25" t="str">
        <f aca="false">IF(OR(E433="",E433="!!!",F433="NEW"),"",INDEX(J$1:J432,SUMPRODUCT(MAX(ROW(E$1:E432)*(E433=E$1:E432)))))</f>
        <v/>
      </c>
      <c r="L433" s="26"/>
    </row>
    <row r="434" customFormat="false" ht="15" hidden="false" customHeight="false" outlineLevel="0" collapsed="false">
      <c r="A434" s="20" t="s">
        <v>251</v>
      </c>
      <c r="E434" s="21" t="str">
        <f aca="false">IF(D434="?OLD","!!!","")</f>
        <v/>
      </c>
      <c r="F434" s="22" t="str">
        <f aca="false">IF(OR(E434="",E434="!!!"),"",IF(NOT(ISNA(VLOOKUP(E434,E$1:E433,1,FALSE()))),"OLD",IF(AND(E434&lt;&gt;"",E434&lt;&gt;"!!!"),"NEW","")))</f>
        <v> </v>
      </c>
      <c r="G434" s="23" t="str">
        <f aca="false">IF(OR(E434="",E434="!!!"),"",IF(OR(J434=0,AND(J434=1,K434=1),AND(J434=1,I434="SBJ"),AND(J434=1,I434=0)),"?IN_FOCUS",IF(J434&lt;=2,"?ACTIVATED",IF(J434&lt;&gt;"","?FAMILIAR",IF(F434="NEW",IF(ISNA(VLOOKUP(E434,#REF!,1,FALSE())),"?TYPE_IDENTIFIABLE","?REFERENTIAL"),"_")))))</f>
        <v/>
      </c>
      <c r="H434" s="24" t="str">
        <f aca="false">IF(J434&lt;&gt;1,"",IF(I434="SBJ","CB","?"))</f>
        <v/>
      </c>
      <c r="I434" s="25" t="str">
        <f aca="false">IF(OR(E434="",E434="!!!",F434="NEW"),"",INDEX(B433:B$2,-1+SUMPRODUCT(MAX(ROW(E433:E$2)*(E434=E433:E$2)))))</f>
        <v> </v>
      </c>
      <c r="J434" s="25" t="str">
        <f aca="true">IF(OR(E434="",E434="!!!",F434="NEW"),"",COUNTBLANK(OFFSET(A$1,,,SUMPRODUCT(MAX(ROW(E$2:E434)*(E434=E$2:E434)))))-COUNTBLANK(OFFSET(A$1,,,SUMPRODUCT(MAX(ROW(E$1:E433)*(E2=E$1:E433))))))</f>
        <v/>
      </c>
      <c r="K434" s="25" t="str">
        <f aca="false">IF(OR(E434="",E434="!!!",F434="NEW"),"",INDEX(J$1:J433,SUMPRODUCT(MAX(ROW(E$1:E433)*(E434=E$1:E433)))))</f>
        <v/>
      </c>
      <c r="L434" s="26"/>
    </row>
    <row r="435" customFormat="false" ht="15" hidden="false" customHeight="false" outlineLevel="0" collapsed="false">
      <c r="A435" s="20" t="s">
        <v>238</v>
      </c>
      <c r="E435" s="21" t="str">
        <f aca="false">IF(D435="?OLD","!!!","")</f>
        <v/>
      </c>
      <c r="F435" s="22" t="str">
        <f aca="false">IF(OR(E435="",E435="!!!"),"",IF(NOT(ISNA(VLOOKUP(E435,E$1:E434,1,FALSE()))),"OLD",IF(AND(E435&lt;&gt;"",E435&lt;&gt;"!!!"),"NEW","")))</f>
        <v>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IF(OR(E435="",E435="!!!",F435="NEW"),"",INDEX(B434:B$2,-1+SUMPRODUCT(MAX(ROW(E434:E$2)*(E435=E434:E$2)))))</f>
        <v> </v>
      </c>
      <c r="J435" s="25" t="str">
        <f aca="true">IF(OR(E435="",E435="!!!",F435="NEW"),"",COUNTBLANK(OFFSET(A$1,,,SUMPRODUCT(MAX(ROW(E$2:E435)*(E435=E$2:E435)))))-COUNTBLANK(OFFSET(A$1,,,SUMPRODUCT(MAX(ROW(E$1:E434)*(E2=E$1:E434))))))</f>
        <v/>
      </c>
      <c r="K435" s="25" t="str">
        <f aca="false">IF(OR(E435="",E435="!!!",F435="NEW"),"",INDEX(J$1:J434,SUMPRODUCT(MAX(ROW(E$1:E434)*(E435=E$1:E434)))))</f>
        <v/>
      </c>
      <c r="L435" s="26"/>
    </row>
    <row r="436" customFormat="false" ht="15" hidden="false" customHeight="false" outlineLevel="0" collapsed="false">
      <c r="A436" s="20"/>
    </row>
    <row r="437" customFormat="false" ht="15" hidden="false" customHeight="false" outlineLevel="0" collapsed="false">
      <c r="A437" s="20" t="s">
        <v>230</v>
      </c>
      <c r="E437" s="21" t="str">
        <f aca="false">IF(D437="?OLD","!!!","")</f>
        <v/>
      </c>
      <c r="F437" s="22" t="str">
        <f aca="false">IF(OR(E437="",E437="!!!"),"",IF(NOT(ISNA(VLOOKUP(E437,E$1:E436,1,FALSE()))),"OLD",IF(AND(E437&lt;&gt;"",E437&lt;&gt;"!!!"),"NEW","")))</f>
        <v>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IF(OR(E437="",E437="!!!",F437="NEW"),"",INDEX(B436:B$2,-1+SUMPRODUCT(MAX(ROW(E436:E$2)*(E437=E436:E$2)))))</f>
        <v> </v>
      </c>
      <c r="J437" s="25" t="str">
        <f aca="true">IF(OR(E437="",E437="!!!",F437="NEW"),"",COUNTBLANK(OFFSET(A$1,,,SUMPRODUCT(MAX(ROW(E$2:E437)*(E437=E$2:E437)))))-COUNTBLANK(OFFSET(A$1,,,SUMPRODUCT(MAX(ROW(E$1:E436)*(E2=E$1:E436))))))</f>
        <v/>
      </c>
      <c r="K437" s="25" t="str">
        <f aca="false">IF(OR(E437="",E437="!!!",F437="NEW"),"",INDEX(J$1:J436,SUMPRODUCT(MAX(ROW(E$1:E436)*(E437=E$1:E436)))))</f>
        <v/>
      </c>
      <c r="L437" s="26"/>
    </row>
    <row r="438" customFormat="false" ht="15" hidden="false" customHeight="false" outlineLevel="0" collapsed="false">
      <c r="A438" s="20" t="s">
        <v>370</v>
      </c>
    </row>
    <row r="439" customFormat="false" ht="15" hidden="false" customHeight="false" outlineLevel="0" collapsed="false">
      <c r="A439" s="20" t="s">
        <v>253</v>
      </c>
      <c r="E439" s="21" t="str">
        <f aca="false">IF(D439="?OLD","!!!","")</f>
        <v/>
      </c>
      <c r="F439" s="22" t="str">
        <f aca="false">IF(OR(E439="",E439="!!!"),"",IF(NOT(ISNA(VLOOKUP(E439,E$1:E438,1,FALSE()))),"OLD",IF(AND(E439&lt;&gt;"",E439&lt;&gt;"!!!"),"NEW","")))</f>
        <v> </v>
      </c>
      <c r="G439" s="23" t="str">
        <f aca="false">IF(OR(E439="",E439="!!!"),"",IF(OR(J439=0,AND(J439=1,K439=1),AND(J439=1,I439="SBJ"),AND(J439=1,I439=0)),"?IN_FOCUS",IF(J439&lt;=2,"?ACTIVATED",IF(J439&lt;&gt;"","?FAMILIAR",IF(F439="NEW",IF(ISNA(VLOOKUP(E439,#REF!,1,FALSE())),"?TYPE_IDENTIFIABLE","?REFERENTIAL"),"_")))))</f>
        <v/>
      </c>
      <c r="H439" s="24" t="str">
        <f aca="false">IF(J439&lt;&gt;1,"",IF(I439="SBJ","CB","?"))</f>
        <v/>
      </c>
      <c r="I439" s="25" t="str">
        <f aca="false">IF(OR(E439="",E439="!!!",F439="NEW"),"",INDEX(B438:B$2,-1+SUMPRODUCT(MAX(ROW(E438:E$2)*(E439=E438:E$2)))))</f>
        <v> </v>
      </c>
      <c r="J439" s="25" t="str">
        <f aca="true">IF(OR(E439="",E439="!!!",F439="NEW"),"",COUNTBLANK(OFFSET(A$1,,,SUMPRODUCT(MAX(ROW(E$2:E439)*(E439=E$2:E439)))))-COUNTBLANK(OFFSET(A$1,,,SUMPRODUCT(MAX(ROW(E$1:E438)*(E2=E$1:E438))))))</f>
        <v/>
      </c>
      <c r="K439" s="25" t="str">
        <f aca="false">IF(OR(E439="",E439="!!!",F439="NEW"),"",INDEX(J$1:J438,SUMPRODUCT(MAX(ROW(E$1:E438)*(E439=E$1:E438)))))</f>
        <v/>
      </c>
      <c r="L439" s="26"/>
    </row>
    <row r="440" customFormat="false" ht="15" hidden="false" customHeight="false" outlineLevel="0" collapsed="false">
      <c r="A440" s="20" t="s">
        <v>236</v>
      </c>
      <c r="B440" s="27" t="s">
        <v>207</v>
      </c>
      <c r="C440" s="27" t="s">
        <v>208</v>
      </c>
      <c r="D440" s="27" t="s">
        <v>209</v>
      </c>
      <c r="E440" s="21" t="str">
        <f aca="false">IF(D440="?OLD","!!!","")</f>
        <v>!!!</v>
      </c>
      <c r="F440" s="22" t="str">
        <f aca="false">IF(OR(E440="",E440="!!!"),"",IF(NOT(ISNA(VLOOKUP(E440,E$1:E439,1,FALSE()))),"OLD",IF(AND(E440&lt;&gt;"",E440&lt;&gt;"!!!"),"NEW","")))</f>
        <v>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IF(OR(E440="",E440="!!!",F440="NEW"),"",INDEX(B439:B$2,-1+SUMPRODUCT(MAX(ROW(E439:E$2)*(E440=E439:E$2)))))</f>
        <v> </v>
      </c>
      <c r="J440" s="25" t="str">
        <f aca="true">IF(OR(E440="",E440="!!!",F440="NEW"),"",COUNTBLANK(OFFSET(A$1,,,SUMPRODUCT(MAX(ROW(E$2:E440)*(E440=E$2:E440)))))-COUNTBLANK(OFFSET(A$1,,,SUMPRODUCT(MAX(ROW(E$1:E439)*(E2=E$1:E439))))))</f>
        <v/>
      </c>
      <c r="K440" s="25" t="str">
        <f aca="false">IF(OR(E440="",E440="!!!",F440="NEW"),"",INDEX(J$1:J439,SUMPRODUCT(MAX(ROW(E$1:E439)*(E440=E$1:E439)))))</f>
        <v/>
      </c>
      <c r="L440" s="26"/>
    </row>
    <row r="441" customFormat="false" ht="15" hidden="false" customHeight="false" outlineLevel="0" collapsed="false">
      <c r="A441" s="20" t="s">
        <v>234</v>
      </c>
      <c r="E441" s="21" t="str">
        <f aca="false">IF(D441="?OLD","!!!","")</f>
        <v/>
      </c>
      <c r="F441" s="22" t="str">
        <f aca="false">IF(OR(E441="",E441="!!!"),"",IF(NOT(ISNA(VLOOKUP(E441,E$1:E440,1,FALSE()))),"OLD",IF(AND(E441&lt;&gt;"",E441&lt;&gt;"!!!"),"NEW","")))</f>
        <v> </v>
      </c>
      <c r="G441" s="23" t="str">
        <f aca="false">IF(OR(E441="",E441="!!!"),"",IF(OR(J441=0,AND(J441=1,K441=1),AND(J441=1,I441="SBJ"),AND(J441=1,I441=0)),"?IN_FOCUS",IF(J441&lt;=2,"?ACTIVATED",IF(J441&lt;&gt;"","?FAMILIAR",IF(F441="NEW",IF(ISNA(VLOOKUP(E441,#REF!,1,FALSE())),"?TYPE_IDENTIFIABLE","?REFERENTIAL"),"_")))))</f>
        <v/>
      </c>
      <c r="H441" s="24" t="str">
        <f aca="false">IF(J441&lt;&gt;1,"",IF(I441="SBJ","CB","?"))</f>
        <v/>
      </c>
      <c r="I441" s="25" t="str">
        <f aca="false">IF(OR(E441="",E441="!!!",F441="NEW"),"",INDEX(B440:B$2,-1+SUMPRODUCT(MAX(ROW(E440:E$2)*(E441=E440:E$2)))))</f>
        <v> </v>
      </c>
      <c r="J441" s="25" t="str">
        <f aca="true">IF(OR(E441="",E441="!!!",F441="NEW"),"",COUNTBLANK(OFFSET(A$1,,,SUMPRODUCT(MAX(ROW(E$2:E441)*(E441=E$2:E441)))))-COUNTBLANK(OFFSET(A$1,,,SUMPRODUCT(MAX(ROW(E$1:E440)*(E2=E$1:E440))))))</f>
        <v/>
      </c>
      <c r="K441" s="25" t="str">
        <f aca="false">IF(OR(E441="",E441="!!!",F441="NEW"),"",INDEX(J$1:J440,SUMPRODUCT(MAX(ROW(E$1:E440)*(E441=E$1:E440)))))</f>
        <v/>
      </c>
      <c r="L441" s="26"/>
    </row>
    <row r="442" customFormat="false" ht="15" hidden="false" customHeight="false" outlineLevel="0" collapsed="false">
      <c r="A442" s="20" t="s">
        <v>237</v>
      </c>
      <c r="E442" s="21" t="str">
        <f aca="false">IF(D442="?OLD","!!!","")</f>
        <v/>
      </c>
      <c r="F442" s="22" t="str">
        <f aca="false">IF(OR(E442="",E442="!!!"),"",IF(NOT(ISNA(VLOOKUP(E442,E$1:E441,1,FALSE()))),"OLD",IF(AND(E442&lt;&gt;"",E442&lt;&gt;"!!!"),"NEW","")))</f>
        <v> </v>
      </c>
      <c r="G442" s="23" t="str">
        <f aca="false">IF(OR(E442="",E442="!!!"),"",IF(OR(J442=0,AND(J442=1,K442=1),AND(J442=1,I442="SBJ"),AND(J442=1,I442=0)),"?IN_FOCUS",IF(J442&lt;=2,"?ACTIVATED",IF(J442&lt;&gt;"","?FAMILIAR",IF(F442="NEW",IF(ISNA(VLOOKUP(E442,#REF!,1,FALSE())),"?TYPE_IDENTIFIABLE","?REFERENTIAL"),"_")))))</f>
        <v/>
      </c>
      <c r="H442" s="24" t="str">
        <f aca="false">IF(J442&lt;&gt;1,"",IF(I442="SBJ","CB","?"))</f>
        <v/>
      </c>
      <c r="I442" s="25" t="str">
        <f aca="false">IF(OR(E442="",E442="!!!",F442="NEW"),"",INDEX(B441:B$2,-1+SUMPRODUCT(MAX(ROW(E441:E$2)*(E442=E441:E$2)))))</f>
        <v> </v>
      </c>
      <c r="J442" s="25" t="str">
        <f aca="true">IF(OR(E442="",E442="!!!",F442="NEW"),"",COUNTBLANK(OFFSET(A$1,,,SUMPRODUCT(MAX(ROW(E$2:E442)*(E442=E$2:E442)))))-COUNTBLANK(OFFSET(A$1,,,SUMPRODUCT(MAX(ROW(E$1:E441)*(E2=E$1:E441))))))</f>
        <v/>
      </c>
      <c r="K442" s="25" t="str">
        <f aca="false">IF(OR(E442="",E442="!!!",F442="NEW"),"",INDEX(J$1:J441,SUMPRODUCT(MAX(ROW(E$1:E441)*(E442=E$1:E441)))))</f>
        <v/>
      </c>
      <c r="L442" s="26"/>
    </row>
    <row r="443" customFormat="false" ht="15" hidden="false" customHeight="false" outlineLevel="0" collapsed="false">
      <c r="A443" s="20" t="s">
        <v>238</v>
      </c>
      <c r="E443" s="21" t="str">
        <f aca="false">IF(D443="?OLD","!!!","")</f>
        <v/>
      </c>
      <c r="F443" s="22" t="str">
        <f aca="false">IF(OR(E443="",E443="!!!"),"",IF(NOT(ISNA(VLOOKUP(E443,E$1:E442,1,FALSE()))),"OLD",IF(AND(E443&lt;&gt;"",E443&lt;&gt;"!!!"),"NEW","")))</f>
        <v>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IF(OR(E443="",E443="!!!",F443="NEW"),"",INDEX(B442:B$2,-1+SUMPRODUCT(MAX(ROW(E442:E$2)*(E443=E442:E$2)))))</f>
        <v> </v>
      </c>
      <c r="J443" s="25" t="str">
        <f aca="true">IF(OR(E443="",E443="!!!",F443="NEW"),"",COUNTBLANK(OFFSET(A$1,,,SUMPRODUCT(MAX(ROW(E$2:E443)*(E443=E$2:E443)))))-COUNTBLANK(OFFSET(A$1,,,SUMPRODUCT(MAX(ROW(E$1:E442)*(E2=E$1:E442))))))</f>
        <v/>
      </c>
      <c r="K443" s="25" t="str">
        <f aca="false">IF(OR(E443="",E443="!!!",F443="NEW"),"",INDEX(J$1:J442,SUMPRODUCT(MAX(ROW(E$1:E442)*(E443=E$1:E442)))))</f>
        <v/>
      </c>
      <c r="L443" s="26"/>
    </row>
    <row r="444" customFormat="false" ht="15" hidden="false" customHeight="false" outlineLevel="0" collapsed="false">
      <c r="A444" s="20" t="s">
        <v>253</v>
      </c>
      <c r="E444" s="21" t="str">
        <f aca="false">IF(D444="?OLD","!!!","")</f>
        <v/>
      </c>
      <c r="F444" s="22" t="str">
        <f aca="false">IF(OR(E444="",E444="!!!"),"",IF(NOT(ISNA(VLOOKUP(E444,E$1:E443,1,FALSE()))),"OLD",IF(AND(E444&lt;&gt;"",E444&lt;&gt;"!!!"),"NEW","")))</f>
        <v> </v>
      </c>
      <c r="G444" s="23" t="str">
        <f aca="false">IF(OR(E444="",E444="!!!"),"",IF(OR(J444=0,AND(J444=1,K444=1),AND(J444=1,I444="SBJ"),AND(J444=1,I444=0)),"?IN_FOCUS",IF(J444&lt;=2,"?ACTIVATED",IF(J444&lt;&gt;"","?FAMILIAR",IF(F444="NEW",IF(ISNA(VLOOKUP(E444,#REF!,1,FALSE())),"?TYPE_IDENTIFIABLE","?REFERENTIAL"),"_")))))</f>
        <v/>
      </c>
      <c r="H444" s="24" t="str">
        <f aca="false">IF(J444&lt;&gt;1,"",IF(I444="SBJ","CB","?"))</f>
        <v/>
      </c>
      <c r="I444" s="25" t="str">
        <f aca="false">IF(OR(E444="",E444="!!!",F444="NEW"),"",INDEX(B443:B$2,-1+SUMPRODUCT(MAX(ROW(E443:E$2)*(E444=E443:E$2)))))</f>
        <v> </v>
      </c>
      <c r="J444" s="25" t="str">
        <f aca="true">IF(OR(E444="",E444="!!!",F444="NEW"),"",COUNTBLANK(OFFSET(A$1,,,SUMPRODUCT(MAX(ROW(E$2:E444)*(E444=E$2:E444)))))-COUNTBLANK(OFFSET(A$1,,,SUMPRODUCT(MAX(ROW(E$1:E443)*(E2=E$1:E443))))))</f>
        <v/>
      </c>
      <c r="K444" s="25" t="str">
        <f aca="false">IF(OR(E444="",E444="!!!",F444="NEW"),"",INDEX(J$1:J443,SUMPRODUCT(MAX(ROW(E$1:E443)*(E444=E$1:E443)))))</f>
        <v/>
      </c>
      <c r="L444" s="26"/>
    </row>
    <row r="445" customFormat="false" ht="15" hidden="false" customHeight="false" outlineLevel="0" collapsed="false">
      <c r="A445" s="20" t="s">
        <v>206</v>
      </c>
      <c r="B445" s="27" t="s">
        <v>240</v>
      </c>
      <c r="C445" s="27" t="s">
        <v>208</v>
      </c>
      <c r="D445" s="27" t="s">
        <v>209</v>
      </c>
      <c r="E445" s="21" t="str">
        <f aca="false">IF(D445="?OLD","!!!","")</f>
        <v>!!!</v>
      </c>
      <c r="F445" s="22" t="str">
        <f aca="false">IF(OR(E445="",E445="!!!"),"",IF(NOT(ISNA(VLOOKUP(E445,E$1:E444,1,FALSE()))),"OLD",IF(AND(E445&lt;&gt;"",E445&lt;&gt;"!!!"),"NEW","")))</f>
        <v> </v>
      </c>
      <c r="G445" s="23" t="str">
        <f aca="false">IF(OR(E445="",E445="!!!"),"",IF(OR(J445=0,AND(J445=1,K445=1),AND(J445=1,I445="SBJ"),AND(J445=1,I445=0)),"?IN_FOCUS",IF(J445&lt;=2,"?ACTIVATED",IF(J445&lt;&gt;"","?FAMILIAR",IF(F445="NEW",IF(ISNA(VLOOKUP(E445,#REF!,1,FALSE())),"?TYPE_IDENTIFIABLE","?REFERENTIAL"),"_")))))</f>
        <v/>
      </c>
      <c r="H445" s="24" t="str">
        <f aca="false">IF(J445&lt;&gt;1,"",IF(I445="SBJ","CB","?"))</f>
        <v/>
      </c>
      <c r="I445" s="25" t="str">
        <f aca="false">IF(OR(E445="",E445="!!!",F445="NEW"),"",INDEX(B444:B$2,-1+SUMPRODUCT(MAX(ROW(E444:E$2)*(E445=E444:E$2)))))</f>
        <v> </v>
      </c>
      <c r="J445" s="25" t="str">
        <f aca="true">IF(OR(E445="",E445="!!!",F445="NEW"),"",COUNTBLANK(OFFSET(A$1,,,SUMPRODUCT(MAX(ROW(E$2:E445)*(E445=E$2:E445)))))-COUNTBLANK(OFFSET(A$1,,,SUMPRODUCT(MAX(ROW(E$1:E444)*(E2=E$1:E444))))))</f>
        <v/>
      </c>
      <c r="K445" s="25" t="str">
        <f aca="false">IF(OR(E445="",E445="!!!",F445="NEW"),"",INDEX(J$1:J444,SUMPRODUCT(MAX(ROW(E$1:E444)*(E445=E$1:E444)))))</f>
        <v/>
      </c>
      <c r="L445" s="26"/>
    </row>
    <row r="446" customFormat="false" ht="15" hidden="false" customHeight="false" outlineLevel="0" collapsed="false">
      <c r="A446" s="20" t="s">
        <v>371</v>
      </c>
      <c r="E446" s="21" t="str">
        <f aca="false">IF(D446="?OLD","!!!","")</f>
        <v/>
      </c>
      <c r="F446" s="22" t="str">
        <f aca="false">IF(OR(E446="",E446="!!!"),"",IF(NOT(ISNA(VLOOKUP(E446,E$1:E445,1,FALSE()))),"OLD",IF(AND(E446&lt;&gt;"",E446&lt;&gt;"!!!"),"NEW","")))</f>
        <v> </v>
      </c>
      <c r="G446" s="23" t="str">
        <f aca="false">IF(OR(E446="",E446="!!!"),"",IF(OR(J446=0,AND(J446=1,K446=1),AND(J446=1,I446="SBJ"),AND(J446=1,I446=0)),"?IN_FOCUS",IF(J446&lt;=2,"?ACTIVATED",IF(J446&lt;&gt;"","?FAMILIAR",IF(F446="NEW",IF(ISNA(VLOOKUP(E446,#REF!,1,FALSE())),"?TYPE_IDENTIFIABLE","?REFERENTIAL"),"_")))))</f>
        <v/>
      </c>
      <c r="H446" s="24" t="str">
        <f aca="false">IF(J446&lt;&gt;1,"",IF(I446="SBJ","CB","?"))</f>
        <v/>
      </c>
      <c r="I446" s="25" t="str">
        <f aca="false">IF(OR(E446="",E446="!!!",F446="NEW"),"",INDEX(B445:B$2,-1+SUMPRODUCT(MAX(ROW(E445:E$2)*(E446=E445:E$2)))))</f>
        <v> </v>
      </c>
      <c r="J446" s="25" t="str">
        <f aca="true">IF(OR(E446="",E446="!!!",F446="NEW"),"",COUNTBLANK(OFFSET(A$1,,,SUMPRODUCT(MAX(ROW(E$2:E446)*(E446=E$2:E446)))))-COUNTBLANK(OFFSET(A$1,,,SUMPRODUCT(MAX(ROW(E$1:E445)*(E2=E$1:E445))))))</f>
        <v/>
      </c>
      <c r="K446" s="25" t="str">
        <f aca="false">IF(OR(E446="",E446="!!!",F446="NEW"),"",INDEX(J$1:J445,SUMPRODUCT(MAX(ROW(E$1:E445)*(E446=E$1:E445)))))</f>
        <v/>
      </c>
      <c r="L446" s="26"/>
    </row>
    <row r="447" customFormat="false" ht="15" hidden="false" customHeight="false" outlineLevel="0" collapsed="false">
      <c r="A447" s="20" t="s">
        <v>364</v>
      </c>
      <c r="B447" s="27" t="s">
        <v>311</v>
      </c>
      <c r="C447" s="27" t="s">
        <v>233</v>
      </c>
      <c r="D447" s="27" t="s">
        <v>209</v>
      </c>
      <c r="E447" s="21" t="str">
        <f aca="false">IF(D447="?OLD","!!!","")</f>
        <v>!!!</v>
      </c>
      <c r="F447" s="22" t="str">
        <f aca="false">IF(OR(E447="",E447="!!!"),"",IF(NOT(ISNA(VLOOKUP(E447,E$1:E446,1,FALSE()))),"OLD",IF(AND(E447&lt;&gt;"",E447&lt;&gt;"!!!"),"NEW","")))</f>
        <v>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IF(OR(E447="",E447="!!!",F447="NEW"),"",INDEX(B446:B$2,-1+SUMPRODUCT(MAX(ROW(E446:E$2)*(E447=E446:E$2)))))</f>
        <v> </v>
      </c>
      <c r="J447" s="25" t="str">
        <f aca="true">IF(OR(E447="",E447="!!!",F447="NEW"),"",COUNTBLANK(OFFSET(A$1,,,SUMPRODUCT(MAX(ROW(E$2:E447)*(E447=E$2:E447)))))-COUNTBLANK(OFFSET(A$1,,,SUMPRODUCT(MAX(ROW(E$1:E446)*(E2=E$1:E446))))))</f>
        <v/>
      </c>
      <c r="K447" s="25" t="str">
        <f aca="false">IF(OR(E447="",E447="!!!",F447="NEW"),"",INDEX(J$1:J446,SUMPRODUCT(MAX(ROW(E$1:E446)*(E447=E$1:E446)))))</f>
        <v/>
      </c>
      <c r="L447" s="26"/>
    </row>
    <row r="448" customFormat="false" ht="15" hidden="false" customHeight="false" outlineLevel="0" collapsed="false">
      <c r="A448" s="20" t="s">
        <v>237</v>
      </c>
      <c r="E448" s="21" t="str">
        <f aca="false">IF(D448="?OLD","!!!","")</f>
        <v/>
      </c>
      <c r="F448" s="22" t="str">
        <f aca="false">IF(OR(E448="",E448="!!!"),"",IF(NOT(ISNA(VLOOKUP(E448,E$1:E447,1,FALSE()))),"OLD",IF(AND(E448&lt;&gt;"",E448&lt;&gt;"!!!"),"NEW","")))</f>
        <v> </v>
      </c>
      <c r="G448" s="23" t="str">
        <f aca="false">IF(OR(E448="",E448="!!!"),"",IF(OR(J448=0,AND(J448=1,K448=1),AND(J448=1,I448="SBJ"),AND(J448=1,I448=0)),"?IN_FOCUS",IF(J448&lt;=2,"?ACTIVATED",IF(J448&lt;&gt;"","?FAMILIAR",IF(F448="NEW",IF(ISNA(VLOOKUP(E448,#REF!,1,FALSE())),"?TYPE_IDENTIFIABLE","?REFERENTIAL"),"_")))))</f>
        <v/>
      </c>
      <c r="H448" s="24" t="str">
        <f aca="false">IF(J448&lt;&gt;1,"",IF(I448="SBJ","CB","?"))</f>
        <v/>
      </c>
      <c r="I448" s="25" t="str">
        <f aca="false">IF(OR(E448="",E448="!!!",F448="NEW"),"",INDEX(B447:B$2,-1+SUMPRODUCT(MAX(ROW(E447:E$2)*(E448=E447:E$2)))))</f>
        <v> </v>
      </c>
      <c r="J448" s="25" t="str">
        <f aca="true">IF(OR(E448="",E448="!!!",F448="NEW"),"",COUNTBLANK(OFFSET(A$1,,,SUMPRODUCT(MAX(ROW(E$2:E448)*(E448=E$2:E448)))))-COUNTBLANK(OFFSET(A$1,,,SUMPRODUCT(MAX(ROW(E$1:E447)*(E2=E$1:E447))))))</f>
        <v/>
      </c>
      <c r="K448" s="25" t="str">
        <f aca="false">IF(OR(E448="",E448="!!!",F448="NEW"),"",INDEX(J$1:J447,SUMPRODUCT(MAX(ROW(E$1:E447)*(E448=E$1:E447)))))</f>
        <v/>
      </c>
      <c r="L448" s="26"/>
    </row>
    <row r="449" customFormat="false" ht="15" hidden="false" customHeight="false" outlineLevel="0" collapsed="false">
      <c r="A449" s="20" t="s">
        <v>288</v>
      </c>
      <c r="E449" s="21" t="str">
        <f aca="false">IF(D449="?OLD","!!!","")</f>
        <v/>
      </c>
      <c r="F449" s="22" t="str">
        <f aca="false">IF(OR(E449="",E449="!!!"),"",IF(NOT(ISNA(VLOOKUP(E449,E$1:E448,1,FALSE()))),"OLD",IF(AND(E449&lt;&gt;"",E449&lt;&gt;"!!!"),"NEW","")))</f>
        <v> </v>
      </c>
      <c r="G449" s="23" t="str">
        <f aca="false">IF(OR(E449="",E449="!!!"),"",IF(OR(J449=0,AND(J449=1,K449=1),AND(J449=1,I449="SBJ"),AND(J449=1,I449=0)),"?IN_FOCUS",IF(J449&lt;=2,"?ACTIVATED",IF(J449&lt;&gt;"","?FAMILIAR",IF(F449="NEW",IF(ISNA(VLOOKUP(E449,#REF!,1,FALSE())),"?TYPE_IDENTIFIABLE","?REFERENTIAL"),"_")))))</f>
        <v/>
      </c>
      <c r="H449" s="24" t="str">
        <f aca="false">IF(J449&lt;&gt;1,"",IF(I449="SBJ","CB","?"))</f>
        <v/>
      </c>
      <c r="I449" s="25" t="str">
        <f aca="false">IF(OR(E449="",E449="!!!",F449="NEW"),"",INDEX(B448:B$2,-1+SUMPRODUCT(MAX(ROW(E448:E$2)*(E449=E448:E$2)))))</f>
        <v> </v>
      </c>
      <c r="J449" s="25" t="str">
        <f aca="true">IF(OR(E449="",E449="!!!",F449="NEW"),"",COUNTBLANK(OFFSET(A$1,,,SUMPRODUCT(MAX(ROW(E$2:E449)*(E449=E$2:E449)))))-COUNTBLANK(OFFSET(A$1,,,SUMPRODUCT(MAX(ROW(E$1:E448)*(E2=E$1:E448))))))</f>
        <v/>
      </c>
      <c r="K449" s="25" t="str">
        <f aca="false">IF(OR(E449="",E449="!!!",F449="NEW"),"",INDEX(J$1:J448,SUMPRODUCT(MAX(ROW(E$1:E448)*(E449=E$1:E448)))))</f>
        <v/>
      </c>
      <c r="L449" s="26"/>
    </row>
    <row r="450" customFormat="false" ht="15" hidden="false" customHeight="false" outlineLevel="0" collapsed="false">
      <c r="A450" s="20" t="s">
        <v>351</v>
      </c>
      <c r="B450" s="27" t="s">
        <v>244</v>
      </c>
      <c r="C450" s="27" t="s">
        <v>233</v>
      </c>
      <c r="D450" s="27" t="s">
        <v>209</v>
      </c>
      <c r="E450" s="21" t="str">
        <f aca="false">IF(D450="?OLD","!!!","")</f>
        <v>!!!</v>
      </c>
      <c r="F450" s="22" t="str">
        <f aca="false">IF(OR(E450="",E450="!!!"),"",IF(NOT(ISNA(VLOOKUP(E450,E$1:E449,1,FALSE()))),"OLD",IF(AND(E450&lt;&gt;"",E450&lt;&gt;"!!!"),"NEW","")))</f>
        <v> </v>
      </c>
      <c r="G450" s="23" t="str">
        <f aca="false">IF(OR(E450="",E450="!!!"),"",IF(OR(J450=0,AND(J450=1,K450=1),AND(J450=1,I450="SBJ"),AND(J450=1,I450=0)),"?IN_FOCUS",IF(J450&lt;=2,"?ACTIVATED",IF(J450&lt;&gt;"","?FAMILIAR",IF(F450="NEW",IF(ISNA(VLOOKUP(E450,#REF!,1,FALSE())),"?TYPE_IDENTIFIABLE","?REFERENTIAL"),"_")))))</f>
        <v/>
      </c>
      <c r="H450" s="24" t="str">
        <f aca="false">IF(J450&lt;&gt;1,"",IF(I450="SBJ","CB","?"))</f>
        <v/>
      </c>
      <c r="I450" s="25" t="str">
        <f aca="false">IF(OR(E450="",E450="!!!",F450="NEW"),"",INDEX(B449:B$2,-1+SUMPRODUCT(MAX(ROW(E449:E$2)*(E450=E449:E$2)))))</f>
        <v> </v>
      </c>
      <c r="J450" s="25" t="str">
        <f aca="true">IF(OR(E450="",E450="!!!",F450="NEW"),"",COUNTBLANK(OFFSET(A$1,,,SUMPRODUCT(MAX(ROW(E$2:E450)*(E450=E$2:E450)))))-COUNTBLANK(OFFSET(A$1,,,SUMPRODUCT(MAX(ROW(E$1:E449)*(E2=E$1:E449))))))</f>
        <v/>
      </c>
      <c r="K450" s="25" t="str">
        <f aca="false">IF(OR(E450="",E450="!!!",F450="NEW"),"",INDEX(J$1:J449,SUMPRODUCT(MAX(ROW(E$1:E449)*(E450=E$1:E449)))))</f>
        <v/>
      </c>
      <c r="L450" s="26"/>
    </row>
    <row r="451" customFormat="false" ht="15" hidden="false" customHeight="false" outlineLevel="0" collapsed="false">
      <c r="A451" s="20" t="s">
        <v>307</v>
      </c>
      <c r="E451" s="21" t="str">
        <f aca="false">IF(D451="?OLD","!!!","")</f>
        <v/>
      </c>
      <c r="F451" s="22" t="str">
        <f aca="false">IF(OR(E451="",E451="!!!"),"",IF(NOT(ISNA(VLOOKUP(E451,E$1:E450,1,FALSE()))),"OLD",IF(AND(E451&lt;&gt;"",E451&lt;&gt;"!!!"),"NEW","")))</f>
        <v>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IF(OR(E451="",E451="!!!",F451="NEW"),"",INDEX(B450:B$2,-1+SUMPRODUCT(MAX(ROW(E450:E$2)*(E451=E450:E$2)))))</f>
        <v> </v>
      </c>
      <c r="J451" s="25" t="str">
        <f aca="true">IF(OR(E451="",E451="!!!",F451="NEW"),"",COUNTBLANK(OFFSET(A$1,,,SUMPRODUCT(MAX(ROW(E$2:E451)*(E451=E$2:E451)))))-COUNTBLANK(OFFSET(A$1,,,SUMPRODUCT(MAX(ROW(E$1:E450)*(E2=E$1:E450))))))</f>
        <v/>
      </c>
      <c r="K451" s="25" t="str">
        <f aca="false">IF(OR(E451="",E451="!!!",F451="NEW"),"",INDEX(J$1:J450,SUMPRODUCT(MAX(ROW(E$1:E450)*(E451=E$1:E450)))))</f>
        <v/>
      </c>
      <c r="L451" s="26"/>
    </row>
    <row r="452" customFormat="false" ht="15" hidden="false" customHeight="false" outlineLevel="0" collapsed="false">
      <c r="A452" s="20" t="s">
        <v>229</v>
      </c>
      <c r="E452" s="21" t="str">
        <f aca="false">IF(D452="?OLD","!!!","")</f>
        <v/>
      </c>
      <c r="F452" s="22" t="str">
        <f aca="false">IF(OR(E452="",E452="!!!"),"",IF(NOT(ISNA(VLOOKUP(E452,E$1:E451,1,FALSE()))),"OLD",IF(AND(E452&lt;&gt;"",E452&lt;&gt;"!!!"),"NEW","")))</f>
        <v> </v>
      </c>
      <c r="G452" s="23" t="str">
        <f aca="false">IF(OR(E452="",E452="!!!"),"",IF(OR(J452=0,AND(J452=1,K452=1),AND(J452=1,I452="SBJ"),AND(J452=1,I452=0)),"?IN_FOCUS",IF(J452&lt;=2,"?ACTIVATED",IF(J452&lt;&gt;"","?FAMILIAR",IF(F452="NEW",IF(ISNA(VLOOKUP(E452,#REF!,1,FALSE())),"?TYPE_IDENTIFIABLE","?REFERENTIAL"),"_")))))</f>
        <v/>
      </c>
      <c r="H452" s="24" t="str">
        <f aca="false">IF(J452&lt;&gt;1,"",IF(I452="SBJ","CB","?"))</f>
        <v/>
      </c>
      <c r="I452" s="25" t="str">
        <f aca="false">IF(OR(E452="",E452="!!!",F452="NEW"),"",INDEX(B451:B$2,-1+SUMPRODUCT(MAX(ROW(E451:E$2)*(E452=E451:E$2)))))</f>
        <v> </v>
      </c>
      <c r="J452" s="25" t="str">
        <f aca="true">IF(OR(E452="",E452="!!!",F452="NEW"),"",COUNTBLANK(OFFSET(A$1,,,SUMPRODUCT(MAX(ROW(E$2:E452)*(E452=E$2:E452)))))-COUNTBLANK(OFFSET(A$1,,,SUMPRODUCT(MAX(ROW(E$1:E451)*(E2=E$1:E451))))))</f>
        <v/>
      </c>
      <c r="K452" s="25" t="str">
        <f aca="false">IF(OR(E452="",E452="!!!",F452="NEW"),"",INDEX(J$1:J451,SUMPRODUCT(MAX(ROW(E$1:E451)*(E452=E$1:E451)))))</f>
        <v/>
      </c>
      <c r="L452" s="26"/>
    </row>
    <row r="453" customFormat="false" ht="15" hidden="false" customHeight="false" outlineLevel="0" collapsed="false">
      <c r="A453" s="20" t="s">
        <v>238</v>
      </c>
      <c r="E453" s="21" t="str">
        <f aca="false">IF(D453="?OLD","!!!","")</f>
        <v/>
      </c>
      <c r="F453" s="22" t="str">
        <f aca="false">IF(OR(E453="",E453="!!!"),"",IF(NOT(ISNA(VLOOKUP(E453,E$1:E452,1,FALSE()))),"OLD",IF(AND(E453&lt;&gt;"",E453&lt;&gt;"!!!"),"NEW","")))</f>
        <v>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IF(OR(E453="",E453="!!!",F453="NEW"),"",INDEX(B452:B$2,-1+SUMPRODUCT(MAX(ROW(E452:E$2)*(E453=E452:E$2)))))</f>
        <v> </v>
      </c>
      <c r="J453" s="25" t="str">
        <f aca="true">IF(OR(E453="",E453="!!!",F453="NEW"),"",COUNTBLANK(OFFSET(A$1,,,SUMPRODUCT(MAX(ROW(E$2:E453)*(E453=E$2:E453)))))-COUNTBLANK(OFFSET(A$1,,,SUMPRODUCT(MAX(ROW(E$1:E452)*(E2=E$1:E452))))))</f>
        <v/>
      </c>
      <c r="K453" s="25" t="str">
        <f aca="false">IF(OR(E453="",E453="!!!",F453="NEW"),"",INDEX(J$1:J452,SUMPRODUCT(MAX(ROW(E$1:E452)*(E453=E$1:E452)))))</f>
        <v/>
      </c>
      <c r="L453" s="26"/>
    </row>
    <row r="454" customFormat="false" ht="15" hidden="false" customHeight="false" outlineLevel="0" collapsed="false">
      <c r="A454" s="20"/>
    </row>
    <row r="455" customFormat="false" ht="15" hidden="false" customHeight="false" outlineLevel="0" collapsed="false">
      <c r="A455" s="20" t="s">
        <v>230</v>
      </c>
      <c r="E455" s="21" t="str">
        <f aca="false">IF(D455="?OLD","!!!","")</f>
        <v/>
      </c>
      <c r="F455" s="22" t="str">
        <f aca="false">IF(OR(E455="",E455="!!!"),"",IF(NOT(ISNA(VLOOKUP(E455,E$1:E454,1,FALSE()))),"OLD",IF(AND(E455&lt;&gt;"",E455&lt;&gt;"!!!"),"NEW","")))</f>
        <v>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IF(OR(E455="",E455="!!!",F455="NEW"),"",INDEX(B454:B$2,-1+SUMPRODUCT(MAX(ROW(E454:E$2)*(E455=E454:E$2)))))</f>
        <v> </v>
      </c>
      <c r="J455" s="25" t="str">
        <f aca="true">IF(OR(E455="",E455="!!!",F455="NEW"),"",COUNTBLANK(OFFSET(A$1,,,SUMPRODUCT(MAX(ROW(E$2:E455)*(E455=E$2:E455)))))-COUNTBLANK(OFFSET(A$1,,,SUMPRODUCT(MAX(ROW(E$1:E454)*(E2=E$1:E454))))))</f>
        <v/>
      </c>
      <c r="K455" s="25" t="str">
        <f aca="false">IF(OR(E455="",E455="!!!",F455="NEW"),"",INDEX(J$1:J454,SUMPRODUCT(MAX(ROW(E$1:E454)*(E455=E$1:E454)))))</f>
        <v/>
      </c>
      <c r="L455" s="26"/>
    </row>
    <row r="456" customFormat="false" ht="15" hidden="false" customHeight="false" outlineLevel="0" collapsed="false">
      <c r="A456" s="20" t="s">
        <v>372</v>
      </c>
    </row>
    <row r="457" customFormat="false" ht="15" hidden="false" customHeight="false" outlineLevel="0" collapsed="false">
      <c r="A457" s="20" t="s">
        <v>223</v>
      </c>
      <c r="B457" s="27" t="s">
        <v>207</v>
      </c>
      <c r="C457" s="27" t="s">
        <v>225</v>
      </c>
      <c r="D457" s="27" t="s">
        <v>209</v>
      </c>
      <c r="E457" s="21" t="str">
        <f aca="false">IF(D457="?OLD","!!!","")</f>
        <v>!!!</v>
      </c>
      <c r="F457" s="22" t="str">
        <f aca="false">IF(OR(E457="",E457="!!!"),"",IF(NOT(ISNA(VLOOKUP(E457,E$1:E456,1,FALSE()))),"OLD",IF(AND(E457&lt;&gt;"",E457&lt;&gt;"!!!"),"NEW","")))</f>
        <v> </v>
      </c>
      <c r="G457" s="23" t="str">
        <f aca="false">IF(OR(E457="",E457="!!!"),"",IF(OR(J457=0,AND(J457=1,K457=1),AND(J457=1,I457="SBJ"),AND(J457=1,I457=0)),"?IN_FOCUS",IF(J457&lt;=2,"?ACTIVATED",IF(J457&lt;&gt;"","?FAMILIAR",IF(F457="NEW",IF(ISNA(VLOOKUP(E457,#REF!,1,FALSE())),"?TYPE_IDENTIFIABLE","?REFERENTIAL"),"_")))))</f>
        <v/>
      </c>
      <c r="H457" s="24" t="str">
        <f aca="false">IF(J457&lt;&gt;1,"",IF(I457="SBJ","CB","?"))</f>
        <v/>
      </c>
      <c r="I457" s="25" t="str">
        <f aca="false">IF(OR(E457="",E457="!!!",F457="NEW"),"",INDEX(B456:B$2,-1+SUMPRODUCT(MAX(ROW(E456:E$2)*(E457=E456:E$2)))))</f>
        <v> </v>
      </c>
      <c r="J457" s="25" t="str">
        <f aca="true">IF(OR(E457="",E457="!!!",F457="NEW"),"",COUNTBLANK(OFFSET(A$1,,,SUMPRODUCT(MAX(ROW(E$2:E457)*(E457=E$2:E457)))))-COUNTBLANK(OFFSET(A$1,,,SUMPRODUCT(MAX(ROW(E$1:E456)*(E2=E$1:E456))))))</f>
        <v/>
      </c>
      <c r="K457" s="25" t="str">
        <f aca="false">IF(OR(E457="",E457="!!!",F457="NEW"),"",INDEX(J$1:J456,SUMPRODUCT(MAX(ROW(E$1:E456)*(E457=E$1:E456)))))</f>
        <v/>
      </c>
      <c r="L457" s="26"/>
    </row>
    <row r="458" customFormat="false" ht="15" hidden="false" customHeight="false" outlineLevel="0" collapsed="false">
      <c r="A458" s="20" t="s">
        <v>226</v>
      </c>
      <c r="E458" s="21" t="str">
        <f aca="false">IF(D458="?OLD","!!!","")</f>
        <v/>
      </c>
      <c r="F458" s="22" t="str">
        <f aca="false">IF(OR(E458="",E458="!!!"),"",IF(NOT(ISNA(VLOOKUP(E458,E$1:E457,1,FALSE()))),"OLD",IF(AND(E458&lt;&gt;"",E458&lt;&gt;"!!!"),"NEW","")))</f>
        <v> </v>
      </c>
      <c r="G458" s="23" t="str">
        <f aca="false">IF(OR(E458="",E458="!!!"),"",IF(OR(J458=0,AND(J458=1,K458=1),AND(J458=1,I458="SBJ"),AND(J458=1,I458=0)),"?IN_FOCUS",IF(J458&lt;=2,"?ACTIVATED",IF(J458&lt;&gt;"","?FAMILIAR",IF(F458="NEW",IF(ISNA(VLOOKUP(E458,#REF!,1,FALSE())),"?TYPE_IDENTIFIABLE","?REFERENTIAL"),"_")))))</f>
        <v/>
      </c>
      <c r="H458" s="24" t="str">
        <f aca="false">IF(J458&lt;&gt;1,"",IF(I458="SBJ","CB","?"))</f>
        <v/>
      </c>
      <c r="I458" s="25" t="str">
        <f aca="false">IF(OR(E458="",E458="!!!",F458="NEW"),"",INDEX(B457:B$2,-1+SUMPRODUCT(MAX(ROW(E457:E$2)*(E458=E457:E$2)))))</f>
        <v> </v>
      </c>
      <c r="J458" s="25" t="str">
        <f aca="true">IF(OR(E458="",E458="!!!",F458="NEW"),"",COUNTBLANK(OFFSET(A$1,,,SUMPRODUCT(MAX(ROW(E$2:E458)*(E458=E$2:E458)))))-COUNTBLANK(OFFSET(A$1,,,SUMPRODUCT(MAX(ROW(E$1:E457)*(E2=E$1:E457))))))</f>
        <v/>
      </c>
      <c r="K458" s="25" t="str">
        <f aca="false">IF(OR(E458="",E458="!!!",F458="NEW"),"",INDEX(J$1:J457,SUMPRODUCT(MAX(ROW(E$1:E457)*(E458=E$1:E457)))))</f>
        <v/>
      </c>
      <c r="L458" s="26"/>
    </row>
    <row r="459" customFormat="false" ht="15" hidden="false" customHeight="false" outlineLevel="0" collapsed="false">
      <c r="A459" s="20" t="s">
        <v>234</v>
      </c>
      <c r="E459" s="21" t="str">
        <f aca="false">IF(D459="?OLD","!!!","")</f>
        <v/>
      </c>
      <c r="F459" s="22" t="str">
        <f aca="false">IF(OR(E459="",E459="!!!"),"",IF(NOT(ISNA(VLOOKUP(E459,E$1:E458,1,FALSE()))),"OLD",IF(AND(E459&lt;&gt;"",E459&lt;&gt;"!!!"),"NEW","")))</f>
        <v> </v>
      </c>
      <c r="G459" s="23" t="str">
        <f aca="false">IF(OR(E459="",E459="!!!"),"",IF(OR(J459=0,AND(J459=1,K459=1),AND(J459=1,I459="SBJ"),AND(J459=1,I459=0)),"?IN_FOCUS",IF(J459&lt;=2,"?ACTIVATED",IF(J459&lt;&gt;"","?FAMILIAR",IF(F459="NEW",IF(ISNA(VLOOKUP(E459,#REF!,1,FALSE())),"?TYPE_IDENTIFIABLE","?REFERENTIAL"),"_")))))</f>
        <v/>
      </c>
      <c r="H459" s="24" t="str">
        <f aca="false">IF(J459&lt;&gt;1,"",IF(I459="SBJ","CB","?"))</f>
        <v/>
      </c>
      <c r="I459" s="25" t="str">
        <f aca="false">IF(OR(E459="",E459="!!!",F459="NEW"),"",INDEX(B458:B$2,-1+SUMPRODUCT(MAX(ROW(E458:E$2)*(E459=E458:E$2)))))</f>
        <v> </v>
      </c>
      <c r="J459" s="25" t="str">
        <f aca="true">IF(OR(E459="",E459="!!!",F459="NEW"),"",COUNTBLANK(OFFSET(A$1,,,SUMPRODUCT(MAX(ROW(E$2:E459)*(E459=E$2:E459)))))-COUNTBLANK(OFFSET(A$1,,,SUMPRODUCT(MAX(ROW(E$1:E458)*(E2=E$1:E458))))))</f>
        <v/>
      </c>
      <c r="K459" s="25" t="str">
        <f aca="false">IF(OR(E459="",E459="!!!",F459="NEW"),"",INDEX(J$1:J458,SUMPRODUCT(MAX(ROW(E$1:E458)*(E459=E$1:E458)))))</f>
        <v/>
      </c>
      <c r="L459" s="26"/>
    </row>
    <row r="460" customFormat="false" ht="15" hidden="false" customHeight="false" outlineLevel="0" collapsed="false">
      <c r="A460" s="20" t="s">
        <v>235</v>
      </c>
      <c r="E460" s="21" t="str">
        <f aca="false">IF(D460="?OLD","!!!","")</f>
        <v/>
      </c>
      <c r="F460" s="22" t="str">
        <f aca="false">IF(OR(E460="",E460="!!!"),"",IF(NOT(ISNA(VLOOKUP(E460,E$1:E459,1,FALSE()))),"OLD",IF(AND(E460&lt;&gt;"",E460&lt;&gt;"!!!"),"NEW","")))</f>
        <v>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IF(OR(E460="",E460="!!!",F460="NEW"),"",INDEX(B459:B$2,-1+SUMPRODUCT(MAX(ROW(E459:E$2)*(E460=E459:E$2)))))</f>
        <v> </v>
      </c>
      <c r="J460" s="25" t="str">
        <f aca="true">IF(OR(E460="",E460="!!!",F460="NEW"),"",COUNTBLANK(OFFSET(A$1,,,SUMPRODUCT(MAX(ROW(E$2:E460)*(E460=E$2:E460)))))-COUNTBLANK(OFFSET(A$1,,,SUMPRODUCT(MAX(ROW(E$1:E459)*(E2=E$1:E459))))))</f>
        <v/>
      </c>
      <c r="K460" s="25" t="str">
        <f aca="false">IF(OR(E460="",E460="!!!",F460="NEW"),"",INDEX(J$1:J459,SUMPRODUCT(MAX(ROW(E$1:E459)*(E460=E$1:E459)))))</f>
        <v/>
      </c>
      <c r="L460" s="26"/>
    </row>
    <row r="461" customFormat="false" ht="15" hidden="false" customHeight="false" outlineLevel="0" collapsed="false">
      <c r="A461" s="20" t="s">
        <v>205</v>
      </c>
      <c r="E461" s="21" t="str">
        <f aca="false">IF(D461="?OLD","!!!","")</f>
        <v/>
      </c>
      <c r="F461" s="22" t="str">
        <f aca="false">IF(OR(E461="",E461="!!!"),"",IF(NOT(ISNA(VLOOKUP(E461,E$1:E460,1,FALSE()))),"OLD",IF(AND(E461&lt;&gt;"",E461&lt;&gt;"!!!"),"NEW","")))</f>
        <v> </v>
      </c>
      <c r="G461" s="23" t="str">
        <f aca="false">IF(OR(E461="",E461="!!!"),"",IF(OR(J461=0,AND(J461=1,K461=1),AND(J461=1,I461="SBJ"),AND(J461=1,I461=0)),"?IN_FOCUS",IF(J461&lt;=2,"?ACTIVATED",IF(J461&lt;&gt;"","?FAMILIAR",IF(F461="NEW",IF(ISNA(VLOOKUP(E461,#REF!,1,FALSE())),"?TYPE_IDENTIFIABLE","?REFERENTIAL"),"_")))))</f>
        <v/>
      </c>
      <c r="H461" s="24" t="str">
        <f aca="false">IF(J461&lt;&gt;1,"",IF(I461="SBJ","CB","?"))</f>
        <v/>
      </c>
      <c r="I461" s="25" t="str">
        <f aca="false">IF(OR(E461="",E461="!!!",F461="NEW"),"",INDEX(B460:B$2,-1+SUMPRODUCT(MAX(ROW(E460:E$2)*(E461=E460:E$2)))))</f>
        <v> </v>
      </c>
      <c r="J461" s="25" t="str">
        <f aca="true">IF(OR(E461="",E461="!!!",F461="NEW"),"",COUNTBLANK(OFFSET(A$1,,,SUMPRODUCT(MAX(ROW(E$2:E461)*(E461=E$2:E461)))))-COUNTBLANK(OFFSET(A$1,,,SUMPRODUCT(MAX(ROW(E$1:E460)*(E2=E$1:E460))))))</f>
        <v/>
      </c>
      <c r="K461" s="25" t="str">
        <f aca="false">IF(OR(E461="",E461="!!!",F461="NEW"),"",INDEX(J$1:J460,SUMPRODUCT(MAX(ROW(E$1:E460)*(E461=E$1:E460)))))</f>
        <v/>
      </c>
      <c r="L461" s="26"/>
    </row>
    <row r="462" customFormat="false" ht="15" hidden="false" customHeight="false" outlineLevel="0" collapsed="false">
      <c r="A462" s="20" t="s">
        <v>206</v>
      </c>
      <c r="B462" s="27" t="s">
        <v>216</v>
      </c>
      <c r="C462" s="27" t="s">
        <v>208</v>
      </c>
      <c r="D462" s="27" t="s">
        <v>209</v>
      </c>
      <c r="E462" s="21" t="str">
        <f aca="false">IF(D462="?OLD","!!!","")</f>
        <v>!!!</v>
      </c>
      <c r="F462" s="22" t="str">
        <f aca="false">IF(OR(E462="",E462="!!!"),"",IF(NOT(ISNA(VLOOKUP(E462,E$1:E461,1,FALSE()))),"OLD",IF(AND(E462&lt;&gt;"",E462&lt;&gt;"!!!"),"NEW","")))</f>
        <v> </v>
      </c>
      <c r="G462" s="23" t="str">
        <f aca="false">IF(OR(E462="",E462="!!!"),"",IF(OR(J462=0,AND(J462=1,K462=1),AND(J462=1,I462="SBJ"),AND(J462=1,I462=0)),"?IN_FOCUS",IF(J462&lt;=2,"?ACTIVATED",IF(J462&lt;&gt;"","?FAMILIAR",IF(F462="NEW",IF(ISNA(VLOOKUP(E462,#REF!,1,FALSE())),"?TYPE_IDENTIFIABLE","?REFERENTIAL"),"_")))))</f>
        <v/>
      </c>
      <c r="H462" s="24" t="str">
        <f aca="false">IF(J462&lt;&gt;1,"",IF(I462="SBJ","CB","?"))</f>
        <v/>
      </c>
      <c r="I462" s="25" t="str">
        <f aca="false">IF(OR(E462="",E462="!!!",F462="NEW"),"",INDEX(B461:B$2,-1+SUMPRODUCT(MAX(ROW(E461:E$2)*(E462=E461:E$2)))))</f>
        <v> </v>
      </c>
      <c r="J462" s="25" t="str">
        <f aca="true">IF(OR(E462="",E462="!!!",F462="NEW"),"",COUNTBLANK(OFFSET(A$1,,,SUMPRODUCT(MAX(ROW(E$2:E462)*(E462=E$2:E462)))))-COUNTBLANK(OFFSET(A$1,,,SUMPRODUCT(MAX(ROW(E$1:E461)*(E2=E$1:E461))))))</f>
        <v/>
      </c>
      <c r="K462" s="25" t="str">
        <f aca="false">IF(OR(E462="",E462="!!!",F462="NEW"),"",INDEX(J$1:J461,SUMPRODUCT(MAX(ROW(E$1:E461)*(E462=E$1:E461)))))</f>
        <v/>
      </c>
      <c r="L462" s="26"/>
    </row>
    <row r="463" customFormat="false" ht="15" hidden="false" customHeight="false" outlineLevel="0" collapsed="false">
      <c r="A463" s="20" t="s">
        <v>237</v>
      </c>
      <c r="E463" s="21" t="str">
        <f aca="false">IF(D463="?OLD","!!!","")</f>
        <v/>
      </c>
      <c r="F463" s="22" t="str">
        <f aca="false">IF(OR(E463="",E463="!!!"),"",IF(NOT(ISNA(VLOOKUP(E463,E$1:E462,1,FALSE()))),"OLD",IF(AND(E463&lt;&gt;"",E463&lt;&gt;"!!!"),"NEW","")))</f>
        <v>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IF(OR(E463="",E463="!!!",F463="NEW"),"",INDEX(B462:B$2,-1+SUMPRODUCT(MAX(ROW(E462:E$2)*(E463=E462:E$2)))))</f>
        <v> </v>
      </c>
      <c r="J463" s="25" t="str">
        <f aca="true">IF(OR(E463="",E463="!!!",F463="NEW"),"",COUNTBLANK(OFFSET(A$1,,,SUMPRODUCT(MAX(ROW(E$2:E463)*(E463=E$2:E463)))))-COUNTBLANK(OFFSET(A$1,,,SUMPRODUCT(MAX(ROW(E$1:E462)*(E2=E$1:E462))))))</f>
        <v/>
      </c>
      <c r="K463" s="25" t="str">
        <f aca="false">IF(OR(E463="",E463="!!!",F463="NEW"),"",INDEX(J$1:J462,SUMPRODUCT(MAX(ROW(E$1:E462)*(E463=E$1:E462)))))</f>
        <v/>
      </c>
      <c r="L463" s="26"/>
    </row>
    <row r="464" customFormat="false" ht="15" hidden="false" customHeight="false" outlineLevel="0" collapsed="false">
      <c r="A464" s="20" t="s">
        <v>238</v>
      </c>
      <c r="E464" s="21" t="str">
        <f aca="false">IF(D464="?OLD","!!!","")</f>
        <v/>
      </c>
      <c r="F464" s="22" t="str">
        <f aca="false">IF(OR(E464="",E464="!!!"),"",IF(NOT(ISNA(VLOOKUP(E464,E$1:E463,1,FALSE()))),"OLD",IF(AND(E464&lt;&gt;"",E464&lt;&gt;"!!!"),"NEW","")))</f>
        <v> </v>
      </c>
      <c r="G464" s="23" t="str">
        <f aca="false">IF(OR(E464="",E464="!!!"),"",IF(OR(J464=0,AND(J464=1,K464=1),AND(J464=1,I464="SBJ"),AND(J464=1,I464=0)),"?IN_FOCUS",IF(J464&lt;=2,"?ACTIVATED",IF(J464&lt;&gt;"","?FAMILIAR",IF(F464="NEW",IF(ISNA(VLOOKUP(E464,#REF!,1,FALSE())),"?TYPE_IDENTIFIABLE","?REFERENTIAL"),"_")))))</f>
        <v/>
      </c>
      <c r="H464" s="24" t="str">
        <f aca="false">IF(J464&lt;&gt;1,"",IF(I464="SBJ","CB","?"))</f>
        <v/>
      </c>
      <c r="I464" s="25" t="str">
        <f aca="false">IF(OR(E464="",E464="!!!",F464="NEW"),"",INDEX(B463:B$2,-1+SUMPRODUCT(MAX(ROW(E463:E$2)*(E464=E463:E$2)))))</f>
        <v> </v>
      </c>
      <c r="J464" s="25" t="str">
        <f aca="true">IF(OR(E464="",E464="!!!",F464="NEW"),"",COUNTBLANK(OFFSET(A$1,,,SUMPRODUCT(MAX(ROW(E$2:E464)*(E464=E$2:E464)))))-COUNTBLANK(OFFSET(A$1,,,SUMPRODUCT(MAX(ROW(E$1:E463)*(E2=E$1:E463))))))</f>
        <v/>
      </c>
      <c r="K464" s="25" t="str">
        <f aca="false">IF(OR(E464="",E464="!!!",F464="NEW"),"",INDEX(J$1:J463,SUMPRODUCT(MAX(ROW(E$1:E463)*(E464=E$1:E463)))))</f>
        <v/>
      </c>
      <c r="L464" s="26"/>
    </row>
    <row r="465" customFormat="false" ht="15" hidden="false" customHeight="false" outlineLevel="0" collapsed="false">
      <c r="A465" s="20" t="s">
        <v>373</v>
      </c>
      <c r="E465" s="21" t="str">
        <f aca="false">IF(D465="?OLD","!!!","")</f>
        <v/>
      </c>
      <c r="F465" s="22" t="str">
        <f aca="false">IF(OR(E465="",E465="!!!"),"",IF(NOT(ISNA(VLOOKUP(E465,E$1:E464,1,FALSE()))),"OLD",IF(AND(E465&lt;&gt;"",E465&lt;&gt;"!!!"),"NEW","")))</f>
        <v> </v>
      </c>
      <c r="G465" s="23" t="str">
        <f aca="false">IF(OR(E465="",E465="!!!"),"",IF(OR(J465=0,AND(J465=1,K465=1),AND(J465=1,I465="SBJ"),AND(J465=1,I465=0)),"?IN_FOCUS",IF(J465&lt;=2,"?ACTIVATED",IF(J465&lt;&gt;"","?FAMILIAR",IF(F465="NEW",IF(ISNA(VLOOKUP(E465,#REF!,1,FALSE())),"?TYPE_IDENTIFIABLE","?REFERENTIAL"),"_")))))</f>
        <v/>
      </c>
      <c r="H465" s="24" t="str">
        <f aca="false">IF(J465&lt;&gt;1,"",IF(I465="SBJ","CB","?"))</f>
        <v/>
      </c>
      <c r="I465" s="25" t="str">
        <f aca="false">IF(OR(E465="",E465="!!!",F465="NEW"),"",INDEX(B464:B$2,-1+SUMPRODUCT(MAX(ROW(E464:E$2)*(E465=E464:E$2)))))</f>
        <v> </v>
      </c>
      <c r="J465" s="25" t="str">
        <f aca="true">IF(OR(E465="",E465="!!!",F465="NEW"),"",COUNTBLANK(OFFSET(A$1,,,SUMPRODUCT(MAX(ROW(E$2:E465)*(E465=E$2:E465)))))-COUNTBLANK(OFFSET(A$1,,,SUMPRODUCT(MAX(ROW(E$1:E464)*(E2=E$1:E464))))))</f>
        <v/>
      </c>
      <c r="K465" s="25" t="str">
        <f aca="false">IF(OR(E465="",E465="!!!",F465="NEW"),"",INDEX(J$1:J464,SUMPRODUCT(MAX(ROW(E$1:E464)*(E465=E$1:E464)))))</f>
        <v/>
      </c>
      <c r="L465" s="26"/>
    </row>
    <row r="466" customFormat="false" ht="15" hidden="false" customHeight="false" outlineLevel="0" collapsed="false">
      <c r="A466" s="20" t="s">
        <v>266</v>
      </c>
      <c r="B466" s="27" t="s">
        <v>244</v>
      </c>
      <c r="C466" s="27" t="s">
        <v>233</v>
      </c>
      <c r="D466" s="27" t="s">
        <v>209</v>
      </c>
      <c r="E466" s="21" t="str">
        <f aca="false">IF(D466="?OLD","!!!","")</f>
        <v>!!!</v>
      </c>
      <c r="F466" s="22" t="str">
        <f aca="false">IF(OR(E466="",E466="!!!"),"",IF(NOT(ISNA(VLOOKUP(E466,E$1:E465,1,FALSE()))),"OLD",IF(AND(E466&lt;&gt;"",E466&lt;&gt;"!!!"),"NEW","")))</f>
        <v>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IF(OR(E466="",E466="!!!",F466="NEW"),"",INDEX(B465:B$2,-1+SUMPRODUCT(MAX(ROW(E465:E$2)*(E466=E465:E$2)))))</f>
        <v> </v>
      </c>
      <c r="J466" s="25" t="str">
        <f aca="true">IF(OR(E466="",E466="!!!",F466="NEW"),"",COUNTBLANK(OFFSET(A$1,,,SUMPRODUCT(MAX(ROW(E$2:E466)*(E466=E$2:E466)))))-COUNTBLANK(OFFSET(A$1,,,SUMPRODUCT(MAX(ROW(E$1:E465)*(E2=E$1:E465))))))</f>
        <v/>
      </c>
      <c r="K466" s="25" t="str">
        <f aca="false">IF(OR(E466="",E466="!!!",F466="NEW"),"",INDEX(J$1:J465,SUMPRODUCT(MAX(ROW(E$1:E465)*(E466=E$1:E465)))))</f>
        <v/>
      </c>
      <c r="L466" s="26"/>
    </row>
    <row r="467" customFormat="false" ht="15" hidden="false" customHeight="false" outlineLevel="0" collapsed="false">
      <c r="A467" s="20" t="s">
        <v>368</v>
      </c>
      <c r="E467" s="21" t="str">
        <f aca="false">IF(D467="?OLD","!!!","")</f>
        <v/>
      </c>
      <c r="F467" s="22" t="str">
        <f aca="false">IF(OR(E467="",E467="!!!"),"",IF(NOT(ISNA(VLOOKUP(E467,E$1:E466,1,FALSE()))),"OLD",IF(AND(E467&lt;&gt;"",E467&lt;&gt;"!!!"),"NEW","")))</f>
        <v> </v>
      </c>
      <c r="G467" s="23" t="str">
        <f aca="false">IF(OR(E467="",E467="!!!"),"",IF(OR(J467=0,AND(J467=1,K467=1),AND(J467=1,I467="SBJ"),AND(J467=1,I467=0)),"?IN_FOCUS",IF(J467&lt;=2,"?ACTIVATED",IF(J467&lt;&gt;"","?FAMILIAR",IF(F467="NEW",IF(ISNA(VLOOKUP(E467,#REF!,1,FALSE())),"?TYPE_IDENTIFIABLE","?REFERENTIAL"),"_")))))</f>
        <v/>
      </c>
      <c r="H467" s="24" t="str">
        <f aca="false">IF(J467&lt;&gt;1,"",IF(I467="SBJ","CB","?"))</f>
        <v/>
      </c>
      <c r="I467" s="25" t="str">
        <f aca="false">IF(OR(E467="",E467="!!!",F467="NEW"),"",INDEX(B466:B$2,-1+SUMPRODUCT(MAX(ROW(E466:E$2)*(E467=E466:E$2)))))</f>
        <v> </v>
      </c>
      <c r="J467" s="25" t="str">
        <f aca="true">IF(OR(E467="",E467="!!!",F467="NEW"),"",COUNTBLANK(OFFSET(A$1,,,SUMPRODUCT(MAX(ROW(E$2:E467)*(E467=E$2:E467)))))-COUNTBLANK(OFFSET(A$1,,,SUMPRODUCT(MAX(ROW(E$1:E466)*(E2=E$1:E466))))))</f>
        <v/>
      </c>
      <c r="K467" s="25" t="str">
        <f aca="false">IF(OR(E467="",E467="!!!",F467="NEW"),"",INDEX(J$1:J466,SUMPRODUCT(MAX(ROW(E$1:E466)*(E467=E$1:E466)))))</f>
        <v/>
      </c>
      <c r="L467" s="26"/>
    </row>
    <row r="468" customFormat="false" ht="15" hidden="false" customHeight="false" outlineLevel="0" collapsed="false">
      <c r="A468" s="20" t="s">
        <v>369</v>
      </c>
      <c r="E468" s="21" t="str">
        <f aca="false">IF(D468="?OLD","!!!","")</f>
        <v/>
      </c>
      <c r="F468" s="22" t="str">
        <f aca="false">IF(OR(E468="",E468="!!!"),"",IF(NOT(ISNA(VLOOKUP(E468,E$1:E467,1,FALSE()))),"OLD",IF(AND(E468&lt;&gt;"",E468&lt;&gt;"!!!"),"NEW","")))</f>
        <v> </v>
      </c>
      <c r="G468" s="23" t="str">
        <f aca="false">IF(OR(E468="",E468="!!!"),"",IF(OR(J468=0,AND(J468=1,K468=1),AND(J468=1,I468="SBJ"),AND(J468=1,I468=0)),"?IN_FOCUS",IF(J468&lt;=2,"?ACTIVATED",IF(J468&lt;&gt;"","?FAMILIAR",IF(F468="NEW",IF(ISNA(VLOOKUP(E468,#REF!,1,FALSE())),"?TYPE_IDENTIFIABLE","?REFERENTIAL"),"_")))))</f>
        <v/>
      </c>
      <c r="H468" s="24" t="str">
        <f aca="false">IF(J468&lt;&gt;1,"",IF(I468="SBJ","CB","?"))</f>
        <v/>
      </c>
      <c r="I468" s="25" t="str">
        <f aca="false">IF(OR(E468="",E468="!!!",F468="NEW"),"",INDEX(B467:B$2,-1+SUMPRODUCT(MAX(ROW(E467:E$2)*(E468=E467:E$2)))))</f>
        <v> </v>
      </c>
      <c r="J468" s="25" t="str">
        <f aca="true">IF(OR(E468="",E468="!!!",F468="NEW"),"",COUNTBLANK(OFFSET(A$1,,,SUMPRODUCT(MAX(ROW(E$2:E468)*(E468=E$2:E468)))))-COUNTBLANK(OFFSET(A$1,,,SUMPRODUCT(MAX(ROW(E$1:E467)*(E2=E$1:E467))))))</f>
        <v/>
      </c>
      <c r="K468" s="25" t="str">
        <f aca="false">IF(OR(E468="",E468="!!!",F468="NEW"),"",INDEX(J$1:J467,SUMPRODUCT(MAX(ROW(E$1:E467)*(E468=E$1:E467)))))</f>
        <v/>
      </c>
      <c r="L468" s="26"/>
    </row>
    <row r="469" customFormat="false" ht="15" hidden="false" customHeight="false" outlineLevel="0" collapsed="false">
      <c r="A469" s="20" t="s">
        <v>367</v>
      </c>
      <c r="B469" s="27" t="s">
        <v>268</v>
      </c>
      <c r="C469" s="27" t="s">
        <v>279</v>
      </c>
      <c r="D469" s="27" t="s">
        <v>209</v>
      </c>
      <c r="E469" s="21" t="str">
        <f aca="false">IF(D469="?OLD","!!!","")</f>
        <v>!!!</v>
      </c>
      <c r="F469" s="22" t="str">
        <f aca="false">IF(OR(E469="",E469="!!!"),"",IF(NOT(ISNA(VLOOKUP(E469,E$1:E468,1,FALSE()))),"OLD",IF(AND(E469&lt;&gt;"",E469&lt;&gt;"!!!"),"NEW","")))</f>
        <v> </v>
      </c>
      <c r="G469" s="23" t="str">
        <f aca="false">IF(OR(E469="",E469="!!!"),"",IF(OR(J469=0,AND(J469=1,K469=1),AND(J469=1,I469="SBJ"),AND(J469=1,I469=0)),"?IN_FOCUS",IF(J469&lt;=2,"?ACTIVATED",IF(J469&lt;&gt;"","?FAMILIAR",IF(F469="NEW",IF(ISNA(VLOOKUP(E469,#REF!,1,FALSE())),"?TYPE_IDENTIFIABLE","?REFERENTIAL"),"_")))))</f>
        <v/>
      </c>
      <c r="H469" s="24" t="str">
        <f aca="false">IF(J469&lt;&gt;1,"",IF(I469="SBJ","CB","?"))</f>
        <v/>
      </c>
      <c r="I469" s="25" t="str">
        <f aca="false">IF(OR(E469="",E469="!!!",F469="NEW"),"",INDEX(B468:B$2,-1+SUMPRODUCT(MAX(ROW(E468:E$2)*(E469=E468:E$2)))))</f>
        <v> </v>
      </c>
      <c r="J469" s="25" t="str">
        <f aca="true">IF(OR(E469="",E469="!!!",F469="NEW"),"",COUNTBLANK(OFFSET(A$1,,,SUMPRODUCT(MAX(ROW(E$2:E469)*(E469=E$2:E469)))))-COUNTBLANK(OFFSET(A$1,,,SUMPRODUCT(MAX(ROW(E$1:E468)*(E2=E$1:E468))))))</f>
        <v/>
      </c>
      <c r="K469" s="25" t="str">
        <f aca="false">IF(OR(E469="",E469="!!!",F469="NEW"),"",INDEX(J$1:J468,SUMPRODUCT(MAX(ROW(E$1:E468)*(E469=E$1:E468)))))</f>
        <v/>
      </c>
      <c r="L469" s="26"/>
    </row>
    <row r="470" customFormat="false" ht="15" hidden="false" customHeight="false" outlineLevel="0" collapsed="false">
      <c r="A470" s="20" t="s">
        <v>237</v>
      </c>
      <c r="E470" s="21" t="str">
        <f aca="false">IF(D470="?OLD","!!!","")</f>
        <v/>
      </c>
      <c r="F470" s="22" t="str">
        <f aca="false">IF(OR(E470="",E470="!!!"),"",IF(NOT(ISNA(VLOOKUP(E470,E$1:E469,1,FALSE()))),"OLD",IF(AND(E470&lt;&gt;"",E470&lt;&gt;"!!!"),"NEW","")))</f>
        <v>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IF(OR(E470="",E470="!!!",F470="NEW"),"",INDEX(B469:B$2,-1+SUMPRODUCT(MAX(ROW(E469:E$2)*(E470=E469:E$2)))))</f>
        <v> </v>
      </c>
      <c r="J470" s="25" t="str">
        <f aca="true">IF(OR(E470="",E470="!!!",F470="NEW"),"",COUNTBLANK(OFFSET(A$1,,,SUMPRODUCT(MAX(ROW(E$2:E470)*(E470=E$2:E470)))))-COUNTBLANK(OFFSET(A$1,,,SUMPRODUCT(MAX(ROW(E$1:E469)*(E2=E$1:E469))))))</f>
        <v/>
      </c>
      <c r="K470" s="25" t="str">
        <f aca="false">IF(OR(E470="",E470="!!!",F470="NEW"),"",INDEX(J$1:J469,SUMPRODUCT(MAX(ROW(E$1:E469)*(E470=E$1:E469)))))</f>
        <v/>
      </c>
      <c r="L470" s="26"/>
    </row>
    <row r="471" customFormat="false" ht="15" hidden="false" customHeight="false" outlineLevel="0" collapsed="false">
      <c r="A471" s="20" t="s">
        <v>266</v>
      </c>
      <c r="B471" s="27" t="s">
        <v>240</v>
      </c>
      <c r="C471" s="27" t="s">
        <v>233</v>
      </c>
      <c r="D471" s="27" t="s">
        <v>209</v>
      </c>
      <c r="E471" s="21" t="str">
        <f aca="false">IF(D471="?OLD","!!!","")</f>
        <v>!!!</v>
      </c>
      <c r="F471" s="22" t="str">
        <f aca="false">IF(OR(E471="",E471="!!!"),"",IF(NOT(ISNA(VLOOKUP(E471,E$1:E470,1,FALSE()))),"OLD",IF(AND(E471&lt;&gt;"",E471&lt;&gt;"!!!"),"NEW","")))</f>
        <v>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IF(OR(E471="",E471="!!!",F471="NEW"),"",INDEX(B470:B$2,-1+SUMPRODUCT(MAX(ROW(E470:E$2)*(E471=E470:E$2)))))</f>
        <v> </v>
      </c>
      <c r="J471" s="25" t="str">
        <f aca="true">IF(OR(E471="",E471="!!!",F471="NEW"),"",COUNTBLANK(OFFSET(A$1,,,SUMPRODUCT(MAX(ROW(E$2:E471)*(E471=E$2:E471)))))-COUNTBLANK(OFFSET(A$1,,,SUMPRODUCT(MAX(ROW(E$1:E470)*(E2=E$1:E470))))))</f>
        <v/>
      </c>
      <c r="K471" s="25" t="str">
        <f aca="false">IF(OR(E471="",E471="!!!",F471="NEW"),"",INDEX(J$1:J470,SUMPRODUCT(MAX(ROW(E$1:E470)*(E471=E$1:E470)))))</f>
        <v/>
      </c>
      <c r="L471" s="26"/>
    </row>
    <row r="472" customFormat="false" ht="15" hidden="false" customHeight="false" outlineLevel="0" collapsed="false">
      <c r="A472" s="20" t="s">
        <v>349</v>
      </c>
      <c r="E472" s="21" t="str">
        <f aca="false">IF(D472="?OLD","!!!","")</f>
        <v/>
      </c>
      <c r="F472" s="22" t="str">
        <f aca="false">IF(OR(E472="",E472="!!!"),"",IF(NOT(ISNA(VLOOKUP(E472,E$1:E471,1,FALSE()))),"OLD",IF(AND(E472&lt;&gt;"",E472&lt;&gt;"!!!"),"NEW","")))</f>
        <v>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IF(OR(E472="",E472="!!!",F472="NEW"),"",INDEX(B471:B$2,-1+SUMPRODUCT(MAX(ROW(E471:E$2)*(E472=E471:E$2)))))</f>
        <v> </v>
      </c>
      <c r="J472" s="25" t="str">
        <f aca="true">IF(OR(E472="",E472="!!!",F472="NEW"),"",COUNTBLANK(OFFSET(A$1,,,SUMPRODUCT(MAX(ROW(E$2:E472)*(E472=E$2:E472)))))-COUNTBLANK(OFFSET(A$1,,,SUMPRODUCT(MAX(ROW(E$1:E471)*(E2=E$1:E471))))))</f>
        <v/>
      </c>
      <c r="K472" s="25" t="str">
        <f aca="false">IF(OR(E472="",E472="!!!",F472="NEW"),"",INDEX(J$1:J471,SUMPRODUCT(MAX(ROW(E$1:E471)*(E472=E$1:E471)))))</f>
        <v/>
      </c>
      <c r="L472" s="26"/>
    </row>
    <row r="473" customFormat="false" ht="15" hidden="false" customHeight="false" outlineLevel="0" collapsed="false">
      <c r="A473" s="20" t="s">
        <v>374</v>
      </c>
      <c r="E473" s="21" t="str">
        <f aca="false">IF(D473="?OLD","!!!","")</f>
        <v/>
      </c>
      <c r="F473" s="22" t="str">
        <f aca="false">IF(OR(E473="",E473="!!!"),"",IF(NOT(ISNA(VLOOKUP(E473,E$1:E472,1,FALSE()))),"OLD",IF(AND(E473&lt;&gt;"",E473&lt;&gt;"!!!"),"NEW","")))</f>
        <v> </v>
      </c>
      <c r="G473" s="23" t="str">
        <f aca="false">IF(OR(E473="",E473="!!!"),"",IF(OR(J473=0,AND(J473=1,K473=1),AND(J473=1,I473="SBJ"),AND(J473=1,I473=0)),"?IN_FOCUS",IF(J473&lt;=2,"?ACTIVATED",IF(J473&lt;&gt;"","?FAMILIAR",IF(F473="NEW",IF(ISNA(VLOOKUP(E473,#REF!,1,FALSE())),"?TYPE_IDENTIFIABLE","?REFERENTIAL"),"_")))))</f>
        <v/>
      </c>
      <c r="H473" s="24" t="str">
        <f aca="false">IF(J473&lt;&gt;1,"",IF(I473="SBJ","CB","?"))</f>
        <v/>
      </c>
      <c r="I473" s="25" t="str">
        <f aca="false">IF(OR(E473="",E473="!!!",F473="NEW"),"",INDEX(B472:B$2,-1+SUMPRODUCT(MAX(ROW(E472:E$2)*(E473=E472:E$2)))))</f>
        <v> </v>
      </c>
      <c r="J473" s="25" t="str">
        <f aca="true">IF(OR(E473="",E473="!!!",F473="NEW"),"",COUNTBLANK(OFFSET(A$1,,,SUMPRODUCT(MAX(ROW(E$2:E473)*(E473=E$2:E473)))))-COUNTBLANK(OFFSET(A$1,,,SUMPRODUCT(MAX(ROW(E$1:E472)*(E2=E$1:E472))))))</f>
        <v/>
      </c>
      <c r="K473" s="25" t="str">
        <f aca="false">IF(OR(E473="",E473="!!!",F473="NEW"),"",INDEX(J$1:J472,SUMPRODUCT(MAX(ROW(E$1:E472)*(E473=E$1:E472)))))</f>
        <v/>
      </c>
      <c r="L473" s="26"/>
    </row>
    <row r="474" customFormat="false" ht="15" hidden="false" customHeight="false" outlineLevel="0" collapsed="false">
      <c r="A474" s="20" t="s">
        <v>375</v>
      </c>
      <c r="E474" s="21" t="str">
        <f aca="false">IF(D474="?OLD","!!!","")</f>
        <v/>
      </c>
      <c r="F474" s="22" t="str">
        <f aca="false">IF(OR(E474="",E474="!!!"),"",IF(NOT(ISNA(VLOOKUP(E474,E$1:E473,1,FALSE()))),"OLD",IF(AND(E474&lt;&gt;"",E474&lt;&gt;"!!!"),"NEW","")))</f>
        <v>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IF(OR(E474="",E474="!!!",F474="NEW"),"",INDEX(B473:B$2,-1+SUMPRODUCT(MAX(ROW(E473:E$2)*(E474=E473:E$2)))))</f>
        <v> </v>
      </c>
      <c r="J474" s="25" t="str">
        <f aca="true">IF(OR(E474="",E474="!!!",F474="NEW"),"",COUNTBLANK(OFFSET(A$1,,,SUMPRODUCT(MAX(ROW(E$2:E474)*(E474=E$2:E474)))))-COUNTBLANK(OFFSET(A$1,,,SUMPRODUCT(MAX(ROW(E$1:E473)*(E2=E$1:E473))))))</f>
        <v/>
      </c>
      <c r="K474" s="25" t="str">
        <f aca="false">IF(OR(E474="",E474="!!!",F474="NEW"),"",INDEX(J$1:J473,SUMPRODUCT(MAX(ROW(E$1:E473)*(E474=E$1:E473)))))</f>
        <v/>
      </c>
      <c r="L474" s="26"/>
    </row>
    <row r="475" customFormat="false" ht="15" hidden="false" customHeight="false" outlineLevel="0" collapsed="false">
      <c r="A475" s="20" t="s">
        <v>376</v>
      </c>
      <c r="E475" s="21" t="str">
        <f aca="false">IF(D475="?OLD","!!!","")</f>
        <v/>
      </c>
      <c r="F475" s="22" t="str">
        <f aca="false">IF(OR(E475="",E475="!!!"),"",IF(NOT(ISNA(VLOOKUP(E475,E$1:E474,1,FALSE()))),"OLD",IF(AND(E475&lt;&gt;"",E475&lt;&gt;"!!!"),"NEW","")))</f>
        <v> </v>
      </c>
      <c r="G475" s="23" t="str">
        <f aca="false">IF(OR(E475="",E475="!!!"),"",IF(OR(J475=0,AND(J475=1,K475=1),AND(J475=1,I475="SBJ"),AND(J475=1,I475=0)),"?IN_FOCUS",IF(J475&lt;=2,"?ACTIVATED",IF(J475&lt;&gt;"","?FAMILIAR",IF(F475="NEW",IF(ISNA(VLOOKUP(E475,#REF!,1,FALSE())),"?TYPE_IDENTIFIABLE","?REFERENTIAL"),"_")))))</f>
        <v/>
      </c>
      <c r="H475" s="24" t="str">
        <f aca="false">IF(J475&lt;&gt;1,"",IF(I475="SBJ","CB","?"))</f>
        <v/>
      </c>
      <c r="I475" s="25" t="str">
        <f aca="false">IF(OR(E475="",E475="!!!",F475="NEW"),"",INDEX(B474:B$2,-1+SUMPRODUCT(MAX(ROW(E474:E$2)*(E475=E474:E$2)))))</f>
        <v> </v>
      </c>
      <c r="J475" s="25" t="str">
        <f aca="true">IF(OR(E475="",E475="!!!",F475="NEW"),"",COUNTBLANK(OFFSET(A$1,,,SUMPRODUCT(MAX(ROW(E$2:E475)*(E475=E$2:E475)))))-COUNTBLANK(OFFSET(A$1,,,SUMPRODUCT(MAX(ROW(E$1:E474)*(E2=E$1:E474))))))</f>
        <v/>
      </c>
      <c r="K475" s="25" t="str">
        <f aca="false">IF(OR(E475="",E475="!!!",F475="NEW"),"",INDEX(J$1:J474,SUMPRODUCT(MAX(ROW(E$1:E474)*(E475=E$1:E474)))))</f>
        <v/>
      </c>
      <c r="L475" s="26"/>
    </row>
    <row r="476" customFormat="false" ht="15" hidden="false" customHeight="false" outlineLevel="0" collapsed="false">
      <c r="A476" s="20" t="s">
        <v>377</v>
      </c>
      <c r="B476" s="27" t="s">
        <v>220</v>
      </c>
      <c r="C476" s="27" t="s">
        <v>217</v>
      </c>
      <c r="E476" s="21" t="str">
        <f aca="false">IF(D476="?OLD","!!!","")</f>
        <v/>
      </c>
      <c r="F476" s="22" t="str">
        <f aca="false">IF(OR(E476="",E476="!!!"),"",IF(NOT(ISNA(VLOOKUP(E476,E$1:E475,1,FALSE()))),"OLD",IF(AND(E476&lt;&gt;"",E476&lt;&gt;"!!!"),"NEW","")))</f>
        <v> </v>
      </c>
      <c r="G476" s="23" t="str">
        <f aca="false">IF(OR(E476="",E476="!!!"),"",IF(OR(J476=0,AND(J476=1,K476=1),AND(J476=1,I476="SBJ"),AND(J476=1,I476=0)),"?IN_FOCUS",IF(J476&lt;=2,"?ACTIVATED",IF(J476&lt;&gt;"","?FAMILIAR",IF(F476="NEW",IF(ISNA(VLOOKUP(E476,#REF!,1,FALSE())),"?TYPE_IDENTIFIABLE","?REFERENTIAL"),"_")))))</f>
        <v/>
      </c>
      <c r="H476" s="24" t="str">
        <f aca="false">IF(J476&lt;&gt;1,"",IF(I476="SBJ","CB","?"))</f>
        <v/>
      </c>
      <c r="I476" s="25" t="str">
        <f aca="false">IF(OR(E476="",E476="!!!",F476="NEW"),"",INDEX(B475:B$2,-1+SUMPRODUCT(MAX(ROW(E475:E$2)*(E476=E475:E$2)))))</f>
        <v> </v>
      </c>
      <c r="J476" s="25" t="str">
        <f aca="true">IF(OR(E476="",E476="!!!",F476="NEW"),"",COUNTBLANK(OFFSET(A$1,,,SUMPRODUCT(MAX(ROW(E$2:E476)*(E476=E$2:E476)))))-COUNTBLANK(OFFSET(A$1,,,SUMPRODUCT(MAX(ROW(E$1:E475)*(E2=E$1:E475))))))</f>
        <v/>
      </c>
      <c r="K476" s="25" t="str">
        <f aca="false">IF(OR(E476="",E476="!!!",F476="NEW"),"",INDEX(J$1:J475,SUMPRODUCT(MAX(ROW(E$1:E475)*(E476=E$1:E475)))))</f>
        <v/>
      </c>
      <c r="L476" s="26"/>
    </row>
    <row r="477" customFormat="false" ht="15" hidden="false" customHeight="false" outlineLevel="0" collapsed="false">
      <c r="A477" s="20" t="s">
        <v>237</v>
      </c>
      <c r="E477" s="21" t="str">
        <f aca="false">IF(D477="?OLD","!!!","")</f>
        <v/>
      </c>
      <c r="F477" s="22" t="str">
        <f aca="false">IF(OR(E477="",E477="!!!"),"",IF(NOT(ISNA(VLOOKUP(E477,E$1:E476,1,FALSE()))),"OLD",IF(AND(E477&lt;&gt;"",E477&lt;&gt;"!!!"),"NEW","")))</f>
        <v> </v>
      </c>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IF(OR(E477="",E477="!!!",F477="NEW"),"",INDEX(B476:B$2,-1+SUMPRODUCT(MAX(ROW(E476:E$2)*(E477=E476:E$2)))))</f>
        <v> </v>
      </c>
      <c r="J477" s="25" t="str">
        <f aca="true">IF(OR(E477="",E477="!!!",F477="NEW"),"",COUNTBLANK(OFFSET(A$1,,,SUMPRODUCT(MAX(ROW(E$2:E477)*(E477=E$2:E477)))))-COUNTBLANK(OFFSET(A$1,,,SUMPRODUCT(MAX(ROW(E$1:E476)*(E2=E$1:E476))))))</f>
        <v/>
      </c>
      <c r="K477" s="25" t="str">
        <f aca="false">IF(OR(E477="",E477="!!!",F477="NEW"),"",INDEX(J$1:J476,SUMPRODUCT(MAX(ROW(E$1:E476)*(E477=E$1:E476)))))</f>
        <v/>
      </c>
      <c r="L477" s="26"/>
    </row>
    <row r="478" customFormat="false" ht="15" hidden="false" customHeight="false" outlineLevel="0" collapsed="false">
      <c r="A478" s="20" t="s">
        <v>288</v>
      </c>
      <c r="E478" s="21" t="str">
        <f aca="false">IF(D478="?OLD","!!!","")</f>
        <v/>
      </c>
      <c r="F478" s="22" t="str">
        <f aca="false">IF(OR(E478="",E478="!!!"),"",IF(NOT(ISNA(VLOOKUP(E478,E$1:E477,1,FALSE()))),"OLD",IF(AND(E478&lt;&gt;"",E478&lt;&gt;"!!!"),"NEW","")))</f>
        <v> </v>
      </c>
      <c r="G478" s="23" t="str">
        <f aca="false">IF(OR(E478="",E478="!!!"),"",IF(OR(J478=0,AND(J478=1,K478=1),AND(J478=1,I478="SBJ"),AND(J478=1,I478=0)),"?IN_FOCUS",IF(J478&lt;=2,"?ACTIVATED",IF(J478&lt;&gt;"","?FAMILIAR",IF(F478="NEW",IF(ISNA(VLOOKUP(E478,#REF!,1,FALSE())),"?TYPE_IDENTIFIABLE","?REFERENTIAL"),"_")))))</f>
        <v/>
      </c>
      <c r="H478" s="24" t="str">
        <f aca="false">IF(J478&lt;&gt;1,"",IF(I478="SBJ","CB","?"))</f>
        <v/>
      </c>
      <c r="I478" s="25" t="str">
        <f aca="false">IF(OR(E478="",E478="!!!",F478="NEW"),"",INDEX(B477:B$2,-1+SUMPRODUCT(MAX(ROW(E477:E$2)*(E478=E477:E$2)))))</f>
        <v> </v>
      </c>
      <c r="J478" s="25" t="str">
        <f aca="true">IF(OR(E478="",E478="!!!",F478="NEW"),"",COUNTBLANK(OFFSET(A$1,,,SUMPRODUCT(MAX(ROW(E$2:E478)*(E478=E$2:E478)))))-COUNTBLANK(OFFSET(A$1,,,SUMPRODUCT(MAX(ROW(E$1:E477)*(E2=E$1:E477))))))</f>
        <v/>
      </c>
      <c r="K478" s="25" t="str">
        <f aca="false">IF(OR(E478="",E478="!!!",F478="NEW"),"",INDEX(J$1:J477,SUMPRODUCT(MAX(ROW(E$1:E477)*(E478=E$1:E477)))))</f>
        <v/>
      </c>
      <c r="L478" s="26"/>
    </row>
    <row r="479" customFormat="false" ht="15" hidden="false" customHeight="false" outlineLevel="0" collapsed="false">
      <c r="A479" s="20" t="s">
        <v>375</v>
      </c>
      <c r="E479" s="21" t="str">
        <f aca="false">IF(D479="?OLD","!!!","")</f>
        <v/>
      </c>
      <c r="F479" s="22" t="str">
        <f aca="false">IF(OR(E479="",E479="!!!"),"",IF(NOT(ISNA(VLOOKUP(E479,E$1:E478,1,FALSE()))),"OLD",IF(AND(E479&lt;&gt;"",E479&lt;&gt;"!!!"),"NEW","")))</f>
        <v> </v>
      </c>
      <c r="G479" s="23" t="str">
        <f aca="false">IF(OR(E479="",E479="!!!"),"",IF(OR(J479=0,AND(J479=1,K479=1),AND(J479=1,I479="SBJ"),AND(J479=1,I479=0)),"?IN_FOCUS",IF(J479&lt;=2,"?ACTIVATED",IF(J479&lt;&gt;"","?FAMILIAR",IF(F479="NEW",IF(ISNA(VLOOKUP(E479,#REF!,1,FALSE())),"?TYPE_IDENTIFIABLE","?REFERENTIAL"),"_")))))</f>
        <v/>
      </c>
      <c r="H479" s="24" t="str">
        <f aca="false">IF(J479&lt;&gt;1,"",IF(I479="SBJ","CB","?"))</f>
        <v/>
      </c>
      <c r="I479" s="25" t="str">
        <f aca="false">IF(OR(E479="",E479="!!!",F479="NEW"),"",INDEX(B478:B$2,-1+SUMPRODUCT(MAX(ROW(E478:E$2)*(E479=E478:E$2)))))</f>
        <v> </v>
      </c>
      <c r="J479" s="25" t="str">
        <f aca="true">IF(OR(E479="",E479="!!!",F479="NEW"),"",COUNTBLANK(OFFSET(A$1,,,SUMPRODUCT(MAX(ROW(E$2:E479)*(E479=E$2:E479)))))-COUNTBLANK(OFFSET(A$1,,,SUMPRODUCT(MAX(ROW(E$1:E478)*(E2=E$1:E478))))))</f>
        <v/>
      </c>
      <c r="K479" s="25" t="str">
        <f aca="false">IF(OR(E479="",E479="!!!",F479="NEW"),"",INDEX(J$1:J478,SUMPRODUCT(MAX(ROW(E$1:E478)*(E479=E$1:E478)))))</f>
        <v/>
      </c>
      <c r="L479" s="26"/>
    </row>
    <row r="480" customFormat="false" ht="15" hidden="false" customHeight="false" outlineLevel="0" collapsed="false">
      <c r="A480" s="20" t="s">
        <v>378</v>
      </c>
      <c r="E480" s="21" t="str">
        <f aca="false">IF(D480="?OLD","!!!","")</f>
        <v/>
      </c>
      <c r="F480" s="22" t="str">
        <f aca="false">IF(OR(E480="",E480="!!!"),"",IF(NOT(ISNA(VLOOKUP(E480,E$1:E479,1,FALSE()))),"OLD",IF(AND(E480&lt;&gt;"",E480&lt;&gt;"!!!"),"NEW","")))</f>
        <v>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IF(OR(E480="",E480="!!!",F480="NEW"),"",INDEX(B479:B$2,-1+SUMPRODUCT(MAX(ROW(E479:E$2)*(E480=E479:E$2)))))</f>
        <v> </v>
      </c>
      <c r="J480" s="25" t="str">
        <f aca="true">IF(OR(E480="",E480="!!!",F480="NEW"),"",COUNTBLANK(OFFSET(A$1,,,SUMPRODUCT(MAX(ROW(E$2:E480)*(E480=E$2:E480)))))-COUNTBLANK(OFFSET(A$1,,,SUMPRODUCT(MAX(ROW(E$1:E479)*(E2=E$1:E479))))))</f>
        <v/>
      </c>
      <c r="K480" s="25" t="str">
        <f aca="false">IF(OR(E480="",E480="!!!",F480="NEW"),"",INDEX(J$1:J479,SUMPRODUCT(MAX(ROW(E$1:E479)*(E480=E$1:E479)))))</f>
        <v/>
      </c>
      <c r="L480" s="26"/>
    </row>
    <row r="481" customFormat="false" ht="15" hidden="false" customHeight="false" outlineLevel="0" collapsed="false">
      <c r="A481" s="20" t="s">
        <v>215</v>
      </c>
      <c r="B481" s="27" t="s">
        <v>248</v>
      </c>
      <c r="C481" s="27" t="s">
        <v>379</v>
      </c>
      <c r="E481" s="21" t="str">
        <f aca="false">IF(D481="?OLD","!!!","")</f>
        <v/>
      </c>
      <c r="F481" s="22" t="str">
        <f aca="false">IF(OR(E481="",E481="!!!"),"",IF(NOT(ISNA(VLOOKUP(E481,E$1:E480,1,FALSE()))),"OLD",IF(AND(E481&lt;&gt;"",E481&lt;&gt;"!!!"),"NEW","")))</f>
        <v>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IF(OR(E481="",E481="!!!",F481="NEW"),"",INDEX(B480:B$2,-1+SUMPRODUCT(MAX(ROW(E480:E$2)*(E481=E480:E$2)))))</f>
        <v> </v>
      </c>
      <c r="J481" s="25" t="str">
        <f aca="true">IF(OR(E481="",E481="!!!",F481="NEW"),"",COUNTBLANK(OFFSET(A$1,,,SUMPRODUCT(MAX(ROW(E$2:E481)*(E481=E$2:E481)))))-COUNTBLANK(OFFSET(A$1,,,SUMPRODUCT(MAX(ROW(E$1:E480)*(E2=E$1:E480))))))</f>
        <v/>
      </c>
      <c r="K481" s="25" t="str">
        <f aca="false">IF(OR(E481="",E481="!!!",F481="NEW"),"",INDEX(J$1:J480,SUMPRODUCT(MAX(ROW(E$1:E480)*(E481=E$1:E480)))))</f>
        <v/>
      </c>
      <c r="L481" s="26"/>
    </row>
    <row r="482" customFormat="false" ht="15" hidden="false" customHeight="false" outlineLevel="0" collapsed="false">
      <c r="A482" s="20" t="s">
        <v>218</v>
      </c>
      <c r="E482" s="21" t="str">
        <f aca="false">IF(D482="?OLD","!!!","")</f>
        <v/>
      </c>
      <c r="F482" s="22" t="str">
        <f aca="false">IF(OR(E482="",E482="!!!"),"",IF(NOT(ISNA(VLOOKUP(E482,E$1:E481,1,FALSE()))),"OLD",IF(AND(E482&lt;&gt;"",E482&lt;&gt;"!!!"),"NEW","")))</f>
        <v> </v>
      </c>
      <c r="G482" s="23" t="str">
        <f aca="false">IF(OR(E482="",E482="!!!"),"",IF(OR(J482=0,AND(J482=1,K482=1),AND(J482=1,I482="SBJ"),AND(J482=1,I482=0)),"?IN_FOCUS",IF(J482&lt;=2,"?ACTIVATED",IF(J482&lt;&gt;"","?FAMILIAR",IF(F482="NEW",IF(ISNA(VLOOKUP(E482,#REF!,1,FALSE())),"?TYPE_IDENTIFIABLE","?REFERENTIAL"),"_")))))</f>
        <v/>
      </c>
      <c r="H482" s="24" t="str">
        <f aca="false">IF(J482&lt;&gt;1,"",IF(I482="SBJ","CB","?"))</f>
        <v/>
      </c>
      <c r="I482" s="25" t="str">
        <f aca="false">IF(OR(E482="",E482="!!!",F482="NEW"),"",INDEX(B481:B$2,-1+SUMPRODUCT(MAX(ROW(E481:E$2)*(E482=E481:E$2)))))</f>
        <v> </v>
      </c>
      <c r="J482" s="25" t="str">
        <f aca="true">IF(OR(E482="",E482="!!!",F482="NEW"),"",COUNTBLANK(OFFSET(A$1,,,SUMPRODUCT(MAX(ROW(E$2:E482)*(E482=E$2:E482)))))-COUNTBLANK(OFFSET(A$1,,,SUMPRODUCT(MAX(ROW(E$1:E481)*(E2=E$1:E481))))))</f>
        <v/>
      </c>
      <c r="K482" s="25" t="str">
        <f aca="false">IF(OR(E482="",E482="!!!",F482="NEW"),"",INDEX(J$1:J481,SUMPRODUCT(MAX(ROW(E$1:E481)*(E482=E$1:E481)))))</f>
        <v/>
      </c>
      <c r="L482" s="26"/>
    </row>
    <row r="483" customFormat="false" ht="15" hidden="false" customHeight="false" outlineLevel="0" collapsed="false">
      <c r="A483" s="20" t="s">
        <v>205</v>
      </c>
      <c r="E483" s="21" t="str">
        <f aca="false">IF(D483="?OLD","!!!","")</f>
        <v/>
      </c>
      <c r="F483" s="22" t="str">
        <f aca="false">IF(OR(E483="",E483="!!!"),"",IF(NOT(ISNA(VLOOKUP(E483,E$1:E482,1,FALSE()))),"OLD",IF(AND(E483&lt;&gt;"",E483&lt;&gt;"!!!"),"NEW","")))</f>
        <v> </v>
      </c>
      <c r="G483" s="23" t="str">
        <f aca="false">IF(OR(E483="",E483="!!!"),"",IF(OR(J483=0,AND(J483=1,K483=1),AND(J483=1,I483="SBJ"),AND(J483=1,I483=0)),"?IN_FOCUS",IF(J483&lt;=2,"?ACTIVATED",IF(J483&lt;&gt;"","?FAMILIAR",IF(F483="NEW",IF(ISNA(VLOOKUP(E483,#REF!,1,FALSE())),"?TYPE_IDENTIFIABLE","?REFERENTIAL"),"_")))))</f>
        <v/>
      </c>
      <c r="H483" s="24" t="str">
        <f aca="false">IF(J483&lt;&gt;1,"",IF(I483="SBJ","CB","?"))</f>
        <v/>
      </c>
      <c r="I483" s="25" t="str">
        <f aca="false">IF(OR(E483="",E483="!!!",F483="NEW"),"",INDEX(B482:B$2,-1+SUMPRODUCT(MAX(ROW(E482:E$2)*(E483=E482:E$2)))))</f>
        <v> </v>
      </c>
      <c r="J483" s="25" t="str">
        <f aca="true">IF(OR(E483="",E483="!!!",F483="NEW"),"",COUNTBLANK(OFFSET(A$1,,,SUMPRODUCT(MAX(ROW(E$2:E483)*(E483=E$2:E483)))))-COUNTBLANK(OFFSET(A$1,,,SUMPRODUCT(MAX(ROW(E$1:E482)*(E2=E$1:E482))))))</f>
        <v/>
      </c>
      <c r="K483" s="25" t="str">
        <f aca="false">IF(OR(E483="",E483="!!!",F483="NEW"),"",INDEX(J$1:J482,SUMPRODUCT(MAX(ROW(E$1:E482)*(E483=E$1:E482)))))</f>
        <v/>
      </c>
      <c r="L483" s="26"/>
    </row>
    <row r="484" customFormat="false" ht="15" hidden="false" customHeight="false" outlineLevel="0" collapsed="false">
      <c r="A484" s="20" t="s">
        <v>219</v>
      </c>
      <c r="B484" s="27" t="s">
        <v>250</v>
      </c>
      <c r="C484" s="27" t="s">
        <v>208</v>
      </c>
      <c r="D484" s="27" t="s">
        <v>209</v>
      </c>
      <c r="E484" s="21" t="str">
        <f aca="false">IF(D484="?OLD","!!!","")</f>
        <v>!!!</v>
      </c>
      <c r="F484" s="22" t="str">
        <f aca="false">IF(OR(E484="",E484="!!!"),"",IF(NOT(ISNA(VLOOKUP(E484,E$1:E483,1,FALSE()))),"OLD",IF(AND(E484&lt;&gt;"",E484&lt;&gt;"!!!"),"NEW","")))</f>
        <v> </v>
      </c>
      <c r="G484" s="23" t="str">
        <f aca="false">IF(OR(E484="",E484="!!!"),"",IF(OR(J484=0,AND(J484=1,K484=1),AND(J484=1,I484="SBJ"),AND(J484=1,I484=0)),"?IN_FOCUS",IF(J484&lt;=2,"?ACTIVATED",IF(J484&lt;&gt;"","?FAMILIAR",IF(F484="NEW",IF(ISNA(VLOOKUP(E484,#REF!,1,FALSE())),"?TYPE_IDENTIFIABLE","?REFERENTIAL"),"_")))))</f>
        <v/>
      </c>
      <c r="H484" s="24" t="str">
        <f aca="false">IF(J484&lt;&gt;1,"",IF(I484="SBJ","CB","?"))</f>
        <v/>
      </c>
      <c r="I484" s="25" t="str">
        <f aca="false">IF(OR(E484="",E484="!!!",F484="NEW"),"",INDEX(B483:B$2,-1+SUMPRODUCT(MAX(ROW(E483:E$2)*(E484=E483:E$2)))))</f>
        <v> </v>
      </c>
      <c r="J484" s="25" t="str">
        <f aca="true">IF(OR(E484="",E484="!!!",F484="NEW"),"",COUNTBLANK(OFFSET(A$1,,,SUMPRODUCT(MAX(ROW(E$2:E484)*(E484=E$2:E484)))))-COUNTBLANK(OFFSET(A$1,,,SUMPRODUCT(MAX(ROW(E$1:E483)*(E2=E$1:E483))))))</f>
        <v/>
      </c>
      <c r="K484" s="25" t="str">
        <f aca="false">IF(OR(E484="",E484="!!!",F484="NEW"),"",INDEX(J$1:J483,SUMPRODUCT(MAX(ROW(E$1:E483)*(E484=E$1:E483)))))</f>
        <v/>
      </c>
      <c r="L484" s="26"/>
    </row>
    <row r="485" customFormat="false" ht="15" hidden="false" customHeight="false" outlineLevel="0" collapsed="false">
      <c r="A485" s="20" t="s">
        <v>229</v>
      </c>
      <c r="E485" s="21" t="str">
        <f aca="false">IF(D485="?OLD","!!!","")</f>
        <v/>
      </c>
      <c r="F485" s="22" t="str">
        <f aca="false">IF(OR(E485="",E485="!!!"),"",IF(NOT(ISNA(VLOOKUP(E485,E$1:E484,1,FALSE()))),"OLD",IF(AND(E485&lt;&gt;"",E485&lt;&gt;"!!!"),"NEW","")))</f>
        <v>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IF(OR(E485="",E485="!!!",F485="NEW"),"",INDEX(B484:B$2,-1+SUMPRODUCT(MAX(ROW(E484:E$2)*(E485=E484:E$2)))))</f>
        <v> </v>
      </c>
      <c r="J485" s="25" t="str">
        <f aca="true">IF(OR(E485="",E485="!!!",F485="NEW"),"",COUNTBLANK(OFFSET(A$1,,,SUMPRODUCT(MAX(ROW(E$2:E485)*(E485=E$2:E485)))))-COUNTBLANK(OFFSET(A$1,,,SUMPRODUCT(MAX(ROW(E$1:E484)*(E2=E$1:E484))))))</f>
        <v/>
      </c>
      <c r="K485" s="25" t="str">
        <f aca="false">IF(OR(E485="",E485="!!!",F485="NEW"),"",INDEX(J$1:J484,SUMPRODUCT(MAX(ROW(E$1:E484)*(E485=E$1:E484)))))</f>
        <v/>
      </c>
      <c r="L485" s="26"/>
    </row>
    <row r="486" customFormat="false" ht="15" hidden="false" customHeight="false" outlineLevel="0" collapsed="false">
      <c r="A486" s="20"/>
    </row>
    <row r="487" customFormat="false" ht="15" hidden="false" customHeight="false" outlineLevel="0" collapsed="false">
      <c r="A487" s="20" t="s">
        <v>380</v>
      </c>
    </row>
    <row r="488" customFormat="false" ht="15" hidden="false" customHeight="false" outlineLevel="0" collapsed="false">
      <c r="A488" s="20" t="s">
        <v>381</v>
      </c>
      <c r="E488" s="21" t="str">
        <f aca="false">IF(D488="?OLD","!!!","")</f>
        <v/>
      </c>
      <c r="F488" s="22" t="str">
        <f aca="false">IF(OR(E488="",E488="!!!"),"",IF(NOT(ISNA(VLOOKUP(E488,E$1:E487,1,FALSE()))),"OLD",IF(AND(E488&lt;&gt;"",E488&lt;&gt;"!!!"),"NEW","")))</f>
        <v>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IF(OR(E488="",E488="!!!",F488="NEW"),"",INDEX(B487:B$2,-1+SUMPRODUCT(MAX(ROW(E487:E$2)*(E488=E487:E$2)))))</f>
        <v> </v>
      </c>
      <c r="J488" s="25" t="str">
        <f aca="true">IF(OR(E488="",E488="!!!",F488="NEW"),"",COUNTBLANK(OFFSET(A$1,,,SUMPRODUCT(MAX(ROW(E$2:E488)*(E488=E$2:E488)))))-COUNTBLANK(OFFSET(A$1,,,SUMPRODUCT(MAX(ROW(E$1:E487)*(E2=E$1:E487))))))</f>
        <v/>
      </c>
      <c r="K488" s="25" t="str">
        <f aca="false">IF(OR(E488="",E488="!!!",F488="NEW"),"",INDEX(J$1:J487,SUMPRODUCT(MAX(ROW(E$1:E487)*(E488=E$1:E487)))))</f>
        <v/>
      </c>
      <c r="L488" s="26"/>
    </row>
    <row r="489" customFormat="false" ht="15" hidden="false" customHeight="false" outlineLevel="0" collapsed="false">
      <c r="A489" s="20" t="s">
        <v>281</v>
      </c>
      <c r="B489" s="27" t="s">
        <v>220</v>
      </c>
      <c r="C489" s="27" t="s">
        <v>282</v>
      </c>
      <c r="D489" s="27" t="s">
        <v>209</v>
      </c>
      <c r="E489" s="21" t="str">
        <f aca="false">IF(D489="?OLD","!!!","")</f>
        <v>!!!</v>
      </c>
      <c r="F489" s="22" t="str">
        <f aca="false">IF(OR(E489="",E489="!!!"),"",IF(NOT(ISNA(VLOOKUP(E489,E$1:E488,1,FALSE()))),"OLD",IF(AND(E489&lt;&gt;"",E489&lt;&gt;"!!!"),"NEW","")))</f>
        <v>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IF(OR(E489="",E489="!!!",F489="NEW"),"",INDEX(B488:B$2,-1+SUMPRODUCT(MAX(ROW(E488:E$2)*(E489=E488:E$2)))))</f>
        <v> </v>
      </c>
      <c r="J489" s="25" t="str">
        <f aca="true">IF(OR(E489="",E489="!!!",F489="NEW"),"",COUNTBLANK(OFFSET(A$1,,,SUMPRODUCT(MAX(ROW(E$2:E489)*(E489=E$2:E489)))))-COUNTBLANK(OFFSET(A$1,,,SUMPRODUCT(MAX(ROW(E$1:E488)*(E2=E$1:E488))))))</f>
        <v/>
      </c>
      <c r="K489" s="25" t="str">
        <f aca="false">IF(OR(E489="",E489="!!!",F489="NEW"),"",INDEX(J$1:J488,SUMPRODUCT(MAX(ROW(E$1:E488)*(E489=E$1:E488)))))</f>
        <v/>
      </c>
      <c r="L489" s="26"/>
    </row>
    <row r="490" customFormat="false" ht="15" hidden="false" customHeight="false" outlineLevel="0" collapsed="false">
      <c r="A490" s="20" t="s">
        <v>382</v>
      </c>
      <c r="E490" s="21" t="str">
        <f aca="false">IF(D490="?OLD","!!!","")</f>
        <v/>
      </c>
      <c r="F490" s="22" t="str">
        <f aca="false">IF(OR(E490="",E490="!!!"),"",IF(NOT(ISNA(VLOOKUP(E490,E$1:E489,1,FALSE()))),"OLD",IF(AND(E490&lt;&gt;"",E490&lt;&gt;"!!!"),"NEW","")))</f>
        <v> </v>
      </c>
      <c r="G490" s="23" t="str">
        <f aca="false">IF(OR(E490="",E490="!!!"),"",IF(OR(J490=0,AND(J490=1,K490=1),AND(J490=1,I490="SBJ"),AND(J490=1,I490=0)),"?IN_FOCUS",IF(J490&lt;=2,"?ACTIVATED",IF(J490&lt;&gt;"","?FAMILIAR",IF(F490="NEW",IF(ISNA(VLOOKUP(E490,#REF!,1,FALSE())),"?TYPE_IDENTIFIABLE","?REFERENTIAL"),"_")))))</f>
        <v/>
      </c>
      <c r="H490" s="24" t="str">
        <f aca="false">IF(J490&lt;&gt;1,"",IF(I490="SBJ","CB","?"))</f>
        <v/>
      </c>
      <c r="I490" s="25" t="str">
        <f aca="false">IF(OR(E490="",E490="!!!",F490="NEW"),"",INDEX(B489:B$2,-1+SUMPRODUCT(MAX(ROW(E489:E$2)*(E490=E489:E$2)))))</f>
        <v> </v>
      </c>
      <c r="J490" s="25" t="str">
        <f aca="true">IF(OR(E490="",E490="!!!",F490="NEW"),"",COUNTBLANK(OFFSET(A$1,,,SUMPRODUCT(MAX(ROW(E$2:E490)*(E490=E$2:E490)))))-COUNTBLANK(OFFSET(A$1,,,SUMPRODUCT(MAX(ROW(E$1:E489)*(E2=E$1:E489))))))</f>
        <v/>
      </c>
      <c r="K490" s="25" t="str">
        <f aca="false">IF(OR(E490="",E490="!!!",F490="NEW"),"",INDEX(J$1:J489,SUMPRODUCT(MAX(ROW(E$1:E489)*(E490=E$1:E489)))))</f>
        <v/>
      </c>
      <c r="L490" s="26"/>
    </row>
    <row r="491" customFormat="false" ht="15" hidden="false" customHeight="false" outlineLevel="0" collapsed="false">
      <c r="A491" s="20" t="s">
        <v>266</v>
      </c>
      <c r="B491" s="27" t="s">
        <v>207</v>
      </c>
      <c r="C491" s="27" t="s">
        <v>233</v>
      </c>
      <c r="D491" s="27" t="s">
        <v>209</v>
      </c>
      <c r="E491" s="21" t="str">
        <f aca="false">IF(D491="?OLD","!!!","")</f>
        <v>!!!</v>
      </c>
      <c r="F491" s="22" t="str">
        <f aca="false">IF(OR(E491="",E491="!!!"),"",IF(NOT(ISNA(VLOOKUP(E491,E$1:E490,1,FALSE()))),"OLD",IF(AND(E491&lt;&gt;"",E491&lt;&gt;"!!!"),"NEW","")))</f>
        <v> </v>
      </c>
      <c r="G491" s="23" t="str">
        <f aca="false">IF(OR(E491="",E491="!!!"),"",IF(OR(J491=0,AND(J491=1,K491=1),AND(J491=1,I491="SBJ"),AND(J491=1,I491=0)),"?IN_FOCUS",IF(J491&lt;=2,"?ACTIVATED",IF(J491&lt;&gt;"","?FAMILIAR",IF(F491="NEW",IF(ISNA(VLOOKUP(E491,#REF!,1,FALSE())),"?TYPE_IDENTIFIABLE","?REFERENTIAL"),"_")))))</f>
        <v/>
      </c>
      <c r="H491" s="24" t="str">
        <f aca="false">IF(J491&lt;&gt;1,"",IF(I491="SBJ","CB","?"))</f>
        <v/>
      </c>
      <c r="I491" s="25" t="str">
        <f aca="false">IF(OR(E491="",E491="!!!",F491="NEW"),"",INDEX(B490:B$2,-1+SUMPRODUCT(MAX(ROW(E490:E$2)*(E491=E490:E$2)))))</f>
        <v> </v>
      </c>
      <c r="J491" s="25" t="str">
        <f aca="true">IF(OR(E491="",E491="!!!",F491="NEW"),"",COUNTBLANK(OFFSET(A$1,,,SUMPRODUCT(MAX(ROW(E$2:E491)*(E491=E$2:E491)))))-COUNTBLANK(OFFSET(A$1,,,SUMPRODUCT(MAX(ROW(E$1:E490)*(E2=E$1:E490))))))</f>
        <v/>
      </c>
      <c r="K491" s="25" t="str">
        <f aca="false">IF(OR(E491="",E491="!!!",F491="NEW"),"",INDEX(J$1:J490,SUMPRODUCT(MAX(ROW(E$1:E490)*(E491=E$1:E490)))))</f>
        <v/>
      </c>
      <c r="L491" s="26"/>
    </row>
    <row r="492" customFormat="false" ht="15" hidden="false" customHeight="false" outlineLevel="0" collapsed="false">
      <c r="A492" s="20" t="s">
        <v>245</v>
      </c>
      <c r="E492" s="21" t="str">
        <f aca="false">IF(D492="?OLD","!!!","")</f>
        <v/>
      </c>
      <c r="F492" s="22" t="str">
        <f aca="false">IF(OR(E492="",E492="!!!"),"",IF(NOT(ISNA(VLOOKUP(E492,E$1:E491,1,FALSE()))),"OLD",IF(AND(E492&lt;&gt;"",E492&lt;&gt;"!!!"),"NEW","")))</f>
        <v> </v>
      </c>
      <c r="G492" s="23" t="str">
        <f aca="false">IF(OR(E492="",E492="!!!"),"",IF(OR(J492=0,AND(J492=1,K492=1),AND(J492=1,I492="SBJ"),AND(J492=1,I492=0)),"?IN_FOCUS",IF(J492&lt;=2,"?ACTIVATED",IF(J492&lt;&gt;"","?FAMILIAR",IF(F492="NEW",IF(ISNA(VLOOKUP(E492,#REF!,1,FALSE())),"?TYPE_IDENTIFIABLE","?REFERENTIAL"),"_")))))</f>
        <v/>
      </c>
      <c r="H492" s="24" t="str">
        <f aca="false">IF(J492&lt;&gt;1,"",IF(I492="SBJ","CB","?"))</f>
        <v/>
      </c>
      <c r="I492" s="25" t="str">
        <f aca="false">IF(OR(E492="",E492="!!!",F492="NEW"),"",INDEX(B491:B$2,-1+SUMPRODUCT(MAX(ROW(E491:E$2)*(E492=E491:E$2)))))</f>
        <v> </v>
      </c>
      <c r="J492" s="25" t="str">
        <f aca="true">IF(OR(E492="",E492="!!!",F492="NEW"),"",COUNTBLANK(OFFSET(A$1,,,SUMPRODUCT(MAX(ROW(E$2:E492)*(E492=E$2:E492)))))-COUNTBLANK(OFFSET(A$1,,,SUMPRODUCT(MAX(ROW(E$1:E491)*(E2=E$1:E491))))))</f>
        <v/>
      </c>
      <c r="K492" s="25" t="str">
        <f aca="false">IF(OR(E492="",E492="!!!",F492="NEW"),"",INDEX(J$1:J491,SUMPRODUCT(MAX(ROW(E$1:E491)*(E492=E$1:E491)))))</f>
        <v/>
      </c>
      <c r="L492" s="26"/>
    </row>
    <row r="493" customFormat="false" ht="15" hidden="false" customHeight="false" outlineLevel="0" collapsed="false">
      <c r="A493" s="20" t="s">
        <v>110</v>
      </c>
      <c r="E493" s="21" t="str">
        <f aca="false">IF(D493="?OLD","!!!","")</f>
        <v/>
      </c>
      <c r="F493" s="22" t="str">
        <f aca="false">IF(OR(E493="",E493="!!!"),"",IF(NOT(ISNA(VLOOKUP(E493,E$1:E492,1,FALSE()))),"OLD",IF(AND(E493&lt;&gt;"",E493&lt;&gt;"!!!"),"NEW","")))</f>
        <v> </v>
      </c>
      <c r="G493" s="23" t="str">
        <f aca="false">IF(OR(E493="",E493="!!!"),"",IF(OR(J493=0,AND(J493=1,K493=1),AND(J493=1,I493="SBJ"),AND(J493=1,I493=0)),"?IN_FOCUS",IF(J493&lt;=2,"?ACTIVATED",IF(J493&lt;&gt;"","?FAMILIAR",IF(F493="NEW",IF(ISNA(VLOOKUP(E493,#REF!,1,FALSE())),"?TYPE_IDENTIFIABLE","?REFERENTIAL"),"_")))))</f>
        <v/>
      </c>
      <c r="H493" s="24" t="str">
        <f aca="false">IF(J493&lt;&gt;1,"",IF(I493="SBJ","CB","?"))</f>
        <v/>
      </c>
      <c r="I493" s="25" t="str">
        <f aca="false">IF(OR(E493="",E493="!!!",F493="NEW"),"",INDEX(B492:B$2,-1+SUMPRODUCT(MAX(ROW(E492:E$2)*(E493=E492:E$2)))))</f>
        <v> </v>
      </c>
      <c r="J493" s="25" t="str">
        <f aca="true">IF(OR(E493="",E493="!!!",F493="NEW"),"",COUNTBLANK(OFFSET(A$1,,,SUMPRODUCT(MAX(ROW(E$2:E493)*(E493=E$2:E493)))))-COUNTBLANK(OFFSET(A$1,,,SUMPRODUCT(MAX(ROW(E$1:E492)*(E2=E$1:E492))))))</f>
        <v/>
      </c>
      <c r="K493" s="25" t="str">
        <f aca="false">IF(OR(E493="",E493="!!!",F493="NEW"),"",INDEX(J$1:J492,SUMPRODUCT(MAX(ROW(E$1:E492)*(E493=E$1:E492)))))</f>
        <v/>
      </c>
      <c r="L493" s="26"/>
    </row>
    <row r="494" customFormat="false" ht="15" hidden="false" customHeight="false" outlineLevel="0" collapsed="false">
      <c r="A494" s="20" t="s">
        <v>237</v>
      </c>
      <c r="E494" s="21" t="str">
        <f aca="false">IF(D494="?OLD","!!!","")</f>
        <v/>
      </c>
      <c r="F494" s="22" t="str">
        <f aca="false">IF(OR(E494="",E494="!!!"),"",IF(NOT(ISNA(VLOOKUP(E494,E$1:E493,1,FALSE()))),"OLD",IF(AND(E494&lt;&gt;"",E494&lt;&gt;"!!!"),"NEW","")))</f>
        <v>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IF(OR(E494="",E494="!!!",F494="NEW"),"",INDEX(B493:B$2,-1+SUMPRODUCT(MAX(ROW(E493:E$2)*(E494=E493:E$2)))))</f>
        <v> </v>
      </c>
      <c r="J494" s="25" t="str">
        <f aca="true">IF(OR(E494="",E494="!!!",F494="NEW"),"",COUNTBLANK(OFFSET(A$1,,,SUMPRODUCT(MAX(ROW(E$2:E494)*(E494=E$2:E494)))))-COUNTBLANK(OFFSET(A$1,,,SUMPRODUCT(MAX(ROW(E$1:E493)*(E2=E$1:E493))))))</f>
        <v/>
      </c>
      <c r="K494" s="25" t="str">
        <f aca="false">IF(OR(E494="",E494="!!!",F494="NEW"),"",INDEX(J$1:J493,SUMPRODUCT(MAX(ROW(E$1:E493)*(E494=E$1:E493)))))</f>
        <v/>
      </c>
      <c r="L494" s="26"/>
    </row>
    <row r="495" customFormat="false" ht="15" hidden="false" customHeight="false" outlineLevel="0" collapsed="false">
      <c r="A495" s="20" t="s">
        <v>288</v>
      </c>
      <c r="E495" s="21" t="str">
        <f aca="false">IF(D495="?OLD","!!!","")</f>
        <v/>
      </c>
      <c r="F495" s="22" t="str">
        <f aca="false">IF(OR(E495="",E495="!!!"),"",IF(NOT(ISNA(VLOOKUP(E495,E$1:E494,1,FALSE()))),"OLD",IF(AND(E495&lt;&gt;"",E495&lt;&gt;"!!!"),"NEW","")))</f>
        <v> </v>
      </c>
      <c r="G495" s="23" t="str">
        <f aca="false">IF(OR(E495="",E495="!!!"),"",IF(OR(J495=0,AND(J495=1,K495=1),AND(J495=1,I495="SBJ"),AND(J495=1,I495=0)),"?IN_FOCUS",IF(J495&lt;=2,"?ACTIVATED",IF(J495&lt;&gt;"","?FAMILIAR",IF(F495="NEW",IF(ISNA(VLOOKUP(E495,#REF!,1,FALSE())),"?TYPE_IDENTIFIABLE","?REFERENTIAL"),"_")))))</f>
        <v/>
      </c>
      <c r="H495" s="24" t="str">
        <f aca="false">IF(J495&lt;&gt;1,"",IF(I495="SBJ","CB","?"))</f>
        <v/>
      </c>
      <c r="I495" s="25" t="str">
        <f aca="false">IF(OR(E495="",E495="!!!",F495="NEW"),"",INDEX(B494:B$2,-1+SUMPRODUCT(MAX(ROW(E494:E$2)*(E495=E494:E$2)))))</f>
        <v> </v>
      </c>
      <c r="J495" s="25" t="str">
        <f aca="true">IF(OR(E495="",E495="!!!",F495="NEW"),"",COUNTBLANK(OFFSET(A$1,,,SUMPRODUCT(MAX(ROW(E$2:E495)*(E495=E$2:E495)))))-COUNTBLANK(OFFSET(A$1,,,SUMPRODUCT(MAX(ROW(E$1:E494)*(E2=E$1:E494))))))</f>
        <v/>
      </c>
      <c r="K495" s="25" t="str">
        <f aca="false">IF(OR(E495="",E495="!!!",F495="NEW"),"",INDEX(J$1:J494,SUMPRODUCT(MAX(ROW(E$1:E494)*(E495=E$1:E494)))))</f>
        <v/>
      </c>
      <c r="L495" s="26"/>
    </row>
    <row r="496" customFormat="false" ht="15" hidden="false" customHeight="false" outlineLevel="0" collapsed="false">
      <c r="A496" s="20" t="s">
        <v>266</v>
      </c>
      <c r="B496" s="27" t="s">
        <v>240</v>
      </c>
      <c r="C496" s="27" t="s">
        <v>233</v>
      </c>
      <c r="D496" s="27" t="s">
        <v>209</v>
      </c>
      <c r="E496" s="21" t="str">
        <f aca="false">IF(D496="?OLD","!!!","")</f>
        <v>!!!</v>
      </c>
      <c r="F496" s="22" t="str">
        <f aca="false">IF(OR(E496="",E496="!!!"),"",IF(NOT(ISNA(VLOOKUP(E496,E$1:E495,1,FALSE()))),"OLD",IF(AND(E496&lt;&gt;"",E496&lt;&gt;"!!!"),"NEW","")))</f>
        <v> </v>
      </c>
      <c r="G496" s="23" t="str">
        <f aca="false">IF(OR(E496="",E496="!!!"),"",IF(OR(J496=0,AND(J496=1,K496=1),AND(J496=1,I496="SBJ"),AND(J496=1,I496=0)),"?IN_FOCUS",IF(J496&lt;=2,"?ACTIVATED",IF(J496&lt;&gt;"","?FAMILIAR",IF(F496="NEW",IF(ISNA(VLOOKUP(E496,#REF!,1,FALSE())),"?TYPE_IDENTIFIABLE","?REFERENTIAL"),"_")))))</f>
        <v/>
      </c>
      <c r="H496" s="24" t="str">
        <f aca="false">IF(J496&lt;&gt;1,"",IF(I496="SBJ","CB","?"))</f>
        <v/>
      </c>
      <c r="I496" s="25" t="str">
        <f aca="false">IF(OR(E496="",E496="!!!",F496="NEW"),"",INDEX(B495:B$2,-1+SUMPRODUCT(MAX(ROW(E495:E$2)*(E496=E495:E$2)))))</f>
        <v> </v>
      </c>
      <c r="J496" s="25" t="str">
        <f aca="true">IF(OR(E496="",E496="!!!",F496="NEW"),"",COUNTBLANK(OFFSET(A$1,,,SUMPRODUCT(MAX(ROW(E$2:E496)*(E496=E$2:E496)))))-COUNTBLANK(OFFSET(A$1,,,SUMPRODUCT(MAX(ROW(E$1:E495)*(E2=E$1:E495))))))</f>
        <v/>
      </c>
      <c r="K496" s="25" t="str">
        <f aca="false">IF(OR(E496="",E496="!!!",F496="NEW"),"",INDEX(J$1:J495,SUMPRODUCT(MAX(ROW(E$1:E495)*(E496=E$1:E495)))))</f>
        <v/>
      </c>
      <c r="L496" s="26"/>
    </row>
    <row r="497" customFormat="false" ht="15" hidden="false" customHeight="false" outlineLevel="0" collapsed="false">
      <c r="A497" s="20" t="s">
        <v>245</v>
      </c>
      <c r="E497" s="21" t="str">
        <f aca="false">IF(D497="?OLD","!!!","")</f>
        <v/>
      </c>
      <c r="F497" s="22" t="str">
        <f aca="false">IF(OR(E497="",E497="!!!"),"",IF(NOT(ISNA(VLOOKUP(E497,E$1:E496,1,FALSE()))),"OLD",IF(AND(E497&lt;&gt;"",E497&lt;&gt;"!!!"),"NEW","")))</f>
        <v> </v>
      </c>
      <c r="G497" s="23" t="str">
        <f aca="false">IF(OR(E497="",E497="!!!"),"",IF(OR(J497=0,AND(J497=1,K497=1),AND(J497=1,I497="SBJ"),AND(J497=1,I497=0)),"?IN_FOCUS",IF(J497&lt;=2,"?ACTIVATED",IF(J497&lt;&gt;"","?FAMILIAR",IF(F497="NEW",IF(ISNA(VLOOKUP(E497,#REF!,1,FALSE())),"?TYPE_IDENTIFIABLE","?REFERENTIAL"),"_")))))</f>
        <v/>
      </c>
      <c r="H497" s="24" t="str">
        <f aca="false">IF(J497&lt;&gt;1,"",IF(I497="SBJ","CB","?"))</f>
        <v/>
      </c>
      <c r="I497" s="25" t="str">
        <f aca="false">IF(OR(E497="",E497="!!!",F497="NEW"),"",INDEX(B496:B$2,-1+SUMPRODUCT(MAX(ROW(E496:E$2)*(E497=E496:E$2)))))</f>
        <v> </v>
      </c>
      <c r="J497" s="25" t="str">
        <f aca="true">IF(OR(E497="",E497="!!!",F497="NEW"),"",COUNTBLANK(OFFSET(A$1,,,SUMPRODUCT(MAX(ROW(E$2:E497)*(E497=E$2:E497)))))-COUNTBLANK(OFFSET(A$1,,,SUMPRODUCT(MAX(ROW(E$1:E496)*(E2=E$1:E496))))))</f>
        <v/>
      </c>
      <c r="K497" s="25" t="str">
        <f aca="false">IF(OR(E497="",E497="!!!",F497="NEW"),"",INDEX(J$1:J496,SUMPRODUCT(MAX(ROW(E$1:E496)*(E497=E$1:E496)))))</f>
        <v/>
      </c>
      <c r="L497" s="26"/>
    </row>
    <row r="498" customFormat="false" ht="15" hidden="false" customHeight="false" outlineLevel="0" collapsed="false">
      <c r="A498" s="20" t="s">
        <v>89</v>
      </c>
      <c r="E498" s="21" t="str">
        <f aca="false">IF(D498="?OLD","!!!","")</f>
        <v/>
      </c>
      <c r="F498" s="22" t="str">
        <f aca="false">IF(OR(E498="",E498="!!!"),"",IF(NOT(ISNA(VLOOKUP(E498,E$1:E497,1,FALSE()))),"OLD",IF(AND(E498&lt;&gt;"",E498&lt;&gt;"!!!"),"NEW","")))</f>
        <v> </v>
      </c>
      <c r="G498" s="23" t="str">
        <f aca="false">IF(OR(E498="",E498="!!!"),"",IF(OR(J498=0,AND(J498=1,K498=1),AND(J498=1,I498="SBJ"),AND(J498=1,I498=0)),"?IN_FOCUS",IF(J498&lt;=2,"?ACTIVATED",IF(J498&lt;&gt;"","?FAMILIAR",IF(F498="NEW",IF(ISNA(VLOOKUP(E498,#REF!,1,FALSE())),"?TYPE_IDENTIFIABLE","?REFERENTIAL"),"_")))))</f>
        <v/>
      </c>
      <c r="H498" s="24" t="str">
        <f aca="false">IF(J498&lt;&gt;1,"",IF(I498="SBJ","CB","?"))</f>
        <v/>
      </c>
      <c r="I498" s="25" t="str">
        <f aca="false">IF(OR(E498="",E498="!!!",F498="NEW"),"",INDEX(B497:B$2,-1+SUMPRODUCT(MAX(ROW(E497:E$2)*(E498=E497:E$2)))))</f>
        <v> </v>
      </c>
      <c r="J498" s="25" t="str">
        <f aca="true">IF(OR(E498="",E498="!!!",F498="NEW"),"",COUNTBLANK(OFFSET(A$1,,,SUMPRODUCT(MAX(ROW(E$2:E498)*(E498=E$2:E498)))))-COUNTBLANK(OFFSET(A$1,,,SUMPRODUCT(MAX(ROW(E$1:E497)*(E2=E$1:E497))))))</f>
        <v/>
      </c>
      <c r="K498" s="25" t="str">
        <f aca="false">IF(OR(E498="",E498="!!!",F498="NEW"),"",INDEX(J$1:J497,SUMPRODUCT(MAX(ROW(E$1:E497)*(E498=E$1:E497)))))</f>
        <v/>
      </c>
      <c r="L498" s="26"/>
    </row>
    <row r="499" customFormat="false" ht="15" hidden="false" customHeight="false" outlineLevel="0" collapsed="false">
      <c r="A499" s="20" t="s">
        <v>383</v>
      </c>
      <c r="E499" s="21" t="str">
        <f aca="false">IF(D499="?OLD","!!!","")</f>
        <v/>
      </c>
      <c r="F499" s="22" t="str">
        <f aca="false">IF(OR(E499="",E499="!!!"),"",IF(NOT(ISNA(VLOOKUP(E499,E$1:E498,1,FALSE()))),"OLD",IF(AND(E499&lt;&gt;"",E499&lt;&gt;"!!!"),"NEW","")))</f>
        <v> </v>
      </c>
      <c r="G499" s="23" t="str">
        <f aca="false">IF(OR(E499="",E499="!!!"),"",IF(OR(J499=0,AND(J499=1,K499=1),AND(J499=1,I499="SBJ"),AND(J499=1,I499=0)),"?IN_FOCUS",IF(J499&lt;=2,"?ACTIVATED",IF(J499&lt;&gt;"","?FAMILIAR",IF(F499="NEW",IF(ISNA(VLOOKUP(E499,#REF!,1,FALSE())),"?TYPE_IDENTIFIABLE","?REFERENTIAL"),"_")))))</f>
        <v/>
      </c>
      <c r="H499" s="24" t="str">
        <f aca="false">IF(J499&lt;&gt;1,"",IF(I499="SBJ","CB","?"))</f>
        <v/>
      </c>
      <c r="I499" s="25" t="str">
        <f aca="false">IF(OR(E499="",E499="!!!",F499="NEW"),"",INDEX(B498:B$2,-1+SUMPRODUCT(MAX(ROW(E498:E$2)*(E499=E498:E$2)))))</f>
        <v> </v>
      </c>
      <c r="J499" s="25" t="str">
        <f aca="true">IF(OR(E499="",E499="!!!",F499="NEW"),"",COUNTBLANK(OFFSET(A$1,,,SUMPRODUCT(MAX(ROW(E$2:E499)*(E499=E$2:E499)))))-COUNTBLANK(OFFSET(A$1,,,SUMPRODUCT(MAX(ROW(E$1:E498)*(E2=E$1:E498))))))</f>
        <v/>
      </c>
      <c r="K499" s="25" t="str">
        <f aca="false">IF(OR(E499="",E499="!!!",F499="NEW"),"",INDEX(J$1:J498,SUMPRODUCT(MAX(ROW(E$1:E498)*(E499=E$1:E498)))))</f>
        <v/>
      </c>
      <c r="L499" s="26"/>
    </row>
    <row r="500" customFormat="false" ht="15" hidden="false" customHeight="false" outlineLevel="0" collapsed="false">
      <c r="A500" s="20" t="s">
        <v>376</v>
      </c>
      <c r="E500" s="21" t="str">
        <f aca="false">IF(D500="?OLD","!!!","")</f>
        <v/>
      </c>
      <c r="F500" s="22" t="str">
        <f aca="false">IF(OR(E500="",E500="!!!"),"",IF(NOT(ISNA(VLOOKUP(E500,E$1:E499,1,FALSE()))),"OLD",IF(AND(E500&lt;&gt;"",E500&lt;&gt;"!!!"),"NEW","")))</f>
        <v> </v>
      </c>
      <c r="G500" s="23" t="str">
        <f aca="false">IF(OR(E500="",E500="!!!"),"",IF(OR(J500=0,AND(J500=1,K500=1),AND(J500=1,I500="SBJ"),AND(J500=1,I500=0)),"?IN_FOCUS",IF(J500&lt;=2,"?ACTIVATED",IF(J500&lt;&gt;"","?FAMILIAR",IF(F500="NEW",IF(ISNA(VLOOKUP(E500,#REF!,1,FALSE())),"?TYPE_IDENTIFIABLE","?REFERENTIAL"),"_")))))</f>
        <v/>
      </c>
      <c r="H500" s="24" t="str">
        <f aca="false">IF(J500&lt;&gt;1,"",IF(I500="SBJ","CB","?"))</f>
        <v/>
      </c>
      <c r="I500" s="25" t="str">
        <f aca="false">IF(OR(E500="",E500="!!!",F500="NEW"),"",INDEX(B499:B$2,-1+SUMPRODUCT(MAX(ROW(E499:E$2)*(E500=E499:E$2)))))</f>
        <v> </v>
      </c>
      <c r="J500" s="25" t="str">
        <f aca="true">IF(OR(E500="",E500="!!!",F500="NEW"),"",COUNTBLANK(OFFSET(A$1,,,SUMPRODUCT(MAX(ROW(E$2:E500)*(E500=E$2:E500)))))-COUNTBLANK(OFFSET(A$1,,,SUMPRODUCT(MAX(ROW(E$1:E499)*(E2=E$1:E499))))))</f>
        <v/>
      </c>
      <c r="K500" s="25" t="str">
        <f aca="false">IF(OR(E500="",E500="!!!",F500="NEW"),"",INDEX(J$1:J499,SUMPRODUCT(MAX(ROW(E$1:E499)*(E500=E$1:E499)))))</f>
        <v/>
      </c>
      <c r="L500" s="26"/>
    </row>
    <row r="501" customFormat="false" ht="15" hidden="false" customHeight="false" outlineLevel="0" collapsed="false">
      <c r="A501" s="20" t="s">
        <v>205</v>
      </c>
      <c r="E501" s="21" t="str">
        <f aca="false">IF(D501="?OLD","!!!","")</f>
        <v/>
      </c>
      <c r="F501" s="22" t="str">
        <f aca="false">IF(OR(E501="",E501="!!!"),"",IF(NOT(ISNA(VLOOKUP(E501,E$1:E500,1,FALSE()))),"OLD",IF(AND(E501&lt;&gt;"",E501&lt;&gt;"!!!"),"NEW","")))</f>
        <v> </v>
      </c>
      <c r="G501" s="23" t="str">
        <f aca="false">IF(OR(E501="",E501="!!!"),"",IF(OR(J501=0,AND(J501=1,K501=1),AND(J501=1,I501="SBJ"),AND(J501=1,I501=0)),"?IN_FOCUS",IF(J501&lt;=2,"?ACTIVATED",IF(J501&lt;&gt;"","?FAMILIAR",IF(F501="NEW",IF(ISNA(VLOOKUP(E501,#REF!,1,FALSE())),"?TYPE_IDENTIFIABLE","?REFERENTIAL"),"_")))))</f>
        <v/>
      </c>
      <c r="H501" s="24" t="str">
        <f aca="false">IF(J501&lt;&gt;1,"",IF(I501="SBJ","CB","?"))</f>
        <v/>
      </c>
      <c r="I501" s="25" t="str">
        <f aca="false">IF(OR(E501="",E501="!!!",F501="NEW"),"",INDEX(B500:B$2,-1+SUMPRODUCT(MAX(ROW(E500:E$2)*(E501=E500:E$2)))))</f>
        <v> </v>
      </c>
      <c r="J501" s="25" t="str">
        <f aca="true">IF(OR(E501="",E501="!!!",F501="NEW"),"",COUNTBLANK(OFFSET(A$1,,,SUMPRODUCT(MAX(ROW(E$2:E501)*(E501=E$2:E501)))))-COUNTBLANK(OFFSET(A$1,,,SUMPRODUCT(MAX(ROW(E$1:E500)*(E2=E$1:E500))))))</f>
        <v/>
      </c>
      <c r="K501" s="25" t="str">
        <f aca="false">IF(OR(E501="",E501="!!!",F501="NEW"),"",INDEX(J$1:J500,SUMPRODUCT(MAX(ROW(E$1:E500)*(E501=E$1:E500)))))</f>
        <v/>
      </c>
      <c r="L501" s="26"/>
    </row>
    <row r="502" customFormat="false" ht="15" hidden="false" customHeight="false" outlineLevel="0" collapsed="false">
      <c r="A502" s="20" t="s">
        <v>384</v>
      </c>
      <c r="B502" s="27" t="s">
        <v>311</v>
      </c>
      <c r="C502" s="27" t="s">
        <v>284</v>
      </c>
      <c r="D502" s="27" t="s">
        <v>209</v>
      </c>
      <c r="E502" s="21" t="str">
        <f aca="false">IF(D502="?OLD","!!!","")</f>
        <v>!!!</v>
      </c>
      <c r="F502" s="22" t="str">
        <f aca="false">IF(OR(E502="",E502="!!!"),"",IF(NOT(ISNA(VLOOKUP(E502,E$1:E501,1,FALSE()))),"OLD",IF(AND(E502&lt;&gt;"",E502&lt;&gt;"!!!"),"NEW","")))</f>
        <v> </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IF(OR(E502="",E502="!!!",F502="NEW"),"",INDEX(B501:B$2,-1+SUMPRODUCT(MAX(ROW(E501:E$2)*(E502=E501:E$2)))))</f>
        <v> </v>
      </c>
      <c r="J502" s="25" t="str">
        <f aca="true">IF(OR(E502="",E502="!!!",F502="NEW"),"",COUNTBLANK(OFFSET(A$1,,,SUMPRODUCT(MAX(ROW(E$2:E502)*(E502=E$2:E502)))))-COUNTBLANK(OFFSET(A$1,,,SUMPRODUCT(MAX(ROW(E$1:E501)*(E2=E$1:E501))))))</f>
        <v/>
      </c>
      <c r="K502" s="25" t="str">
        <f aca="false">IF(OR(E502="",E502="!!!",F502="NEW"),"",INDEX(J$1:J501,SUMPRODUCT(MAX(ROW(E$1:E501)*(E502=E$1:E501)))))</f>
        <v/>
      </c>
      <c r="L502" s="26"/>
    </row>
    <row r="503" customFormat="false" ht="15" hidden="false" customHeight="false" outlineLevel="0" collapsed="false">
      <c r="A503" s="20" t="s">
        <v>218</v>
      </c>
      <c r="E503" s="21" t="str">
        <f aca="false">IF(D503="?OLD","!!!","")</f>
        <v/>
      </c>
      <c r="F503" s="22" t="str">
        <f aca="false">IF(OR(E503="",E503="!!!"),"",IF(NOT(ISNA(VLOOKUP(E503,E$1:E502,1,FALSE()))),"OLD",IF(AND(E503&lt;&gt;"",E503&lt;&gt;"!!!"),"NEW","")))</f>
        <v> </v>
      </c>
      <c r="G503" s="23" t="str">
        <f aca="false">IF(OR(E503="",E503="!!!"),"",IF(OR(J503=0,AND(J503=1,K503=1),AND(J503=1,I503="SBJ"),AND(J503=1,I503=0)),"?IN_FOCUS",IF(J503&lt;=2,"?ACTIVATED",IF(J503&lt;&gt;"","?FAMILIAR",IF(F503="NEW",IF(ISNA(VLOOKUP(E503,#REF!,1,FALSE())),"?TYPE_IDENTIFIABLE","?REFERENTIAL"),"_")))))</f>
        <v/>
      </c>
      <c r="H503" s="24" t="str">
        <f aca="false">IF(J503&lt;&gt;1,"",IF(I503="SBJ","CB","?"))</f>
        <v/>
      </c>
      <c r="I503" s="25" t="str">
        <f aca="false">IF(OR(E503="",E503="!!!",F503="NEW"),"",INDEX(B502:B$2,-1+SUMPRODUCT(MAX(ROW(E502:E$2)*(E503=E502:E$2)))))</f>
        <v> </v>
      </c>
      <c r="J503" s="25" t="str">
        <f aca="true">IF(OR(E503="",E503="!!!",F503="NEW"),"",COUNTBLANK(OFFSET(A$1,,,SUMPRODUCT(MAX(ROW(E$2:E503)*(E503=E$2:E503)))))-COUNTBLANK(OFFSET(A$1,,,SUMPRODUCT(MAX(ROW(E$1:E502)*(E2=E$1:E502))))))</f>
        <v/>
      </c>
      <c r="K503" s="25" t="str">
        <f aca="false">IF(OR(E503="",E503="!!!",F503="NEW"),"",INDEX(J$1:J502,SUMPRODUCT(MAX(ROW(E$1:E502)*(E503=E$1:E502)))))</f>
        <v/>
      </c>
      <c r="L503" s="26"/>
    </row>
    <row r="504" customFormat="false" ht="15" hidden="false" customHeight="false" outlineLevel="0" collapsed="false">
      <c r="A504" s="20" t="s">
        <v>281</v>
      </c>
      <c r="B504" s="27" t="s">
        <v>250</v>
      </c>
      <c r="C504" s="27" t="s">
        <v>282</v>
      </c>
      <c r="D504" s="27" t="s">
        <v>209</v>
      </c>
      <c r="E504" s="21" t="str">
        <f aca="false">IF(D504="?OLD","!!!","")</f>
        <v>!!!</v>
      </c>
      <c r="F504" s="22" t="str">
        <f aca="false">IF(OR(E504="",E504="!!!"),"",IF(NOT(ISNA(VLOOKUP(E504,E$1:E503,1,FALSE()))),"OLD",IF(AND(E504&lt;&gt;"",E504&lt;&gt;"!!!"),"NEW","")))</f>
        <v> </v>
      </c>
      <c r="G504" s="23" t="str">
        <f aca="false">IF(OR(E504="",E504="!!!"),"",IF(OR(J504=0,AND(J504=1,K504=1),AND(J504=1,I504="SBJ"),AND(J504=1,I504=0)),"?IN_FOCUS",IF(J504&lt;=2,"?ACTIVATED",IF(J504&lt;&gt;"","?FAMILIAR",IF(F504="NEW",IF(ISNA(VLOOKUP(E504,#REF!,1,FALSE())),"?TYPE_IDENTIFIABLE","?REFERENTIAL"),"_")))))</f>
        <v/>
      </c>
      <c r="H504" s="24" t="str">
        <f aca="false">IF(J504&lt;&gt;1,"",IF(I504="SBJ","CB","?"))</f>
        <v/>
      </c>
      <c r="I504" s="25" t="str">
        <f aca="false">IF(OR(E504="",E504="!!!",F504="NEW"),"",INDEX(B503:B$2,-1+SUMPRODUCT(MAX(ROW(E503:E$2)*(E504=E503:E$2)))))</f>
        <v> </v>
      </c>
      <c r="J504" s="25" t="str">
        <f aca="true">IF(OR(E504="",E504="!!!",F504="NEW"),"",COUNTBLANK(OFFSET(A$1,,,SUMPRODUCT(MAX(ROW(E$2:E504)*(E504=E$2:E504)))))-COUNTBLANK(OFFSET(A$1,,,SUMPRODUCT(MAX(ROW(E$1:E503)*(E2=E$1:E503))))))</f>
        <v/>
      </c>
      <c r="K504" s="25" t="str">
        <f aca="false">IF(OR(E504="",E504="!!!",F504="NEW"),"",INDEX(J$1:J503,SUMPRODUCT(MAX(ROW(E$1:E503)*(E504=E$1:E503)))))</f>
        <v/>
      </c>
      <c r="L504" s="26"/>
    </row>
    <row r="505" customFormat="false" ht="15" hidden="false" customHeight="false" outlineLevel="0" collapsed="false">
      <c r="A505" s="20" t="s">
        <v>385</v>
      </c>
      <c r="B505" s="27" t="s">
        <v>248</v>
      </c>
      <c r="C505" s="27" t="s">
        <v>284</v>
      </c>
      <c r="D505" s="27" t="s">
        <v>209</v>
      </c>
      <c r="E505" s="21" t="str">
        <f aca="false">IF(D505="?OLD","!!!","")</f>
        <v>!!!</v>
      </c>
      <c r="F505" s="22" t="str">
        <f aca="false">IF(OR(E505="",E505="!!!"),"",IF(NOT(ISNA(VLOOKUP(E505,E$1:E504,1,FALSE()))),"OLD",IF(AND(E505&lt;&gt;"",E505&lt;&gt;"!!!"),"NEW","")))</f>
        <v>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IF(OR(E505="",E505="!!!",F505="NEW"),"",INDEX(B504:B$2,-1+SUMPRODUCT(MAX(ROW(E504:E$2)*(E505=E504:E$2)))))</f>
        <v> </v>
      </c>
      <c r="J505" s="25" t="str">
        <f aca="true">IF(OR(E505="",E505="!!!",F505="NEW"),"",COUNTBLANK(OFFSET(A$1,,,SUMPRODUCT(MAX(ROW(E$2:E505)*(E505=E$2:E505)))))-COUNTBLANK(OFFSET(A$1,,,SUMPRODUCT(MAX(ROW(E$1:E504)*(E2=E$1:E504))))))</f>
        <v/>
      </c>
      <c r="K505" s="25" t="str">
        <f aca="false">IF(OR(E505="",E505="!!!",F505="NEW"),"",INDEX(J$1:J504,SUMPRODUCT(MAX(ROW(E$1:E504)*(E505=E$1:E504)))))</f>
        <v/>
      </c>
      <c r="L505" s="26"/>
    </row>
    <row r="506" customFormat="false" ht="15" hidden="false" customHeight="false" outlineLevel="0" collapsed="false">
      <c r="A506" s="20" t="s">
        <v>229</v>
      </c>
      <c r="E506" s="21" t="str">
        <f aca="false">IF(D506="?OLD","!!!","")</f>
        <v/>
      </c>
      <c r="F506" s="22" t="str">
        <f aca="false">IF(OR(E506="",E506="!!!"),"",IF(NOT(ISNA(VLOOKUP(E506,E$1:E505,1,FALSE()))),"OLD",IF(AND(E506&lt;&gt;"",E506&lt;&gt;"!!!"),"NEW","")))</f>
        <v> </v>
      </c>
      <c r="G506" s="23" t="str">
        <f aca="false">IF(OR(E506="",E506="!!!"),"",IF(OR(J506=0,AND(J506=1,K506=1),AND(J506=1,I506="SBJ"),AND(J506=1,I506=0)),"?IN_FOCUS",IF(J506&lt;=2,"?ACTIVATED",IF(J506&lt;&gt;"","?FAMILIAR",IF(F506="NEW",IF(ISNA(VLOOKUP(E506,#REF!,1,FALSE())),"?TYPE_IDENTIFIABLE","?REFERENTIAL"),"_")))))</f>
        <v/>
      </c>
      <c r="H506" s="24" t="str">
        <f aca="false">IF(J506&lt;&gt;1,"",IF(I506="SBJ","CB","?"))</f>
        <v/>
      </c>
      <c r="I506" s="25" t="str">
        <f aca="false">IF(OR(E506="",E506="!!!",F506="NEW"),"",INDEX(B505:B$2,-1+SUMPRODUCT(MAX(ROW(E505:E$2)*(E506=E505:E$2)))))</f>
        <v> </v>
      </c>
      <c r="J506" s="25" t="str">
        <f aca="true">IF(OR(E506="",E506="!!!",F506="NEW"),"",COUNTBLANK(OFFSET(A$1,,,SUMPRODUCT(MAX(ROW(E$2:E506)*(E506=E$2:E506)))))-COUNTBLANK(OFFSET(A$1,,,SUMPRODUCT(MAX(ROW(E$1:E505)*(E2=E$1:E505))))))</f>
        <v/>
      </c>
      <c r="K506" s="25" t="str">
        <f aca="false">IF(OR(E506="",E506="!!!",F506="NEW"),"",INDEX(J$1:J505,SUMPRODUCT(MAX(ROW(E$1:E505)*(E506=E$1:E505)))))</f>
        <v/>
      </c>
      <c r="L506" s="26"/>
    </row>
    <row r="507" customFormat="false" ht="15" hidden="false" customHeight="false" outlineLevel="0" collapsed="false">
      <c r="A507" s="20"/>
    </row>
    <row r="508" customFormat="false" ht="15" hidden="false" customHeight="false" outlineLevel="0" collapsed="false">
      <c r="A508" s="20" t="s">
        <v>386</v>
      </c>
    </row>
    <row r="509" customFormat="false" ht="15" hidden="false" customHeight="false" outlineLevel="0" collapsed="false">
      <c r="A509" s="20" t="s">
        <v>351</v>
      </c>
      <c r="B509" s="27" t="s">
        <v>207</v>
      </c>
      <c r="C509" s="27" t="s">
        <v>233</v>
      </c>
      <c r="D509" s="27" t="s">
        <v>209</v>
      </c>
      <c r="E509" s="21" t="str">
        <f aca="false">IF(D509="?OLD","!!!","")</f>
        <v>!!!</v>
      </c>
      <c r="F509" s="22" t="str">
        <f aca="false">IF(OR(E509="",E509="!!!"),"",IF(NOT(ISNA(VLOOKUP(E509,E$1:E508,1,FALSE()))),"OLD",IF(AND(E509&lt;&gt;"",E509&lt;&gt;"!!!"),"NEW","")))</f>
        <v> </v>
      </c>
      <c r="G509" s="23" t="str">
        <f aca="false">IF(OR(E509="",E509="!!!"),"",IF(OR(J509=0,AND(J509=1,K509=1),AND(J509=1,I509="SBJ"),AND(J509=1,I509=0)),"?IN_FOCUS",IF(J509&lt;=2,"?ACTIVATED",IF(J509&lt;&gt;"","?FAMILIAR",IF(F509="NEW",IF(ISNA(VLOOKUP(E509,#REF!,1,FALSE())),"?TYPE_IDENTIFIABLE","?REFERENTIAL"),"_")))))</f>
        <v/>
      </c>
      <c r="H509" s="24" t="str">
        <f aca="false">IF(J509&lt;&gt;1,"",IF(I509="SBJ","CB","?"))</f>
        <v/>
      </c>
      <c r="I509" s="25" t="str">
        <f aca="false">IF(OR(E509="",E509="!!!",F509="NEW"),"",INDEX(B508:B$2,-1+SUMPRODUCT(MAX(ROW(E508:E$2)*(E509=E508:E$2)))))</f>
        <v> </v>
      </c>
      <c r="J509" s="25" t="str">
        <f aca="true">IF(OR(E509="",E509="!!!",F509="NEW"),"",COUNTBLANK(OFFSET(A$1,,,SUMPRODUCT(MAX(ROW(E$2:E509)*(E509=E$2:E509)))))-COUNTBLANK(OFFSET(A$1,,,SUMPRODUCT(MAX(ROW(E$1:E508)*(E2=E$1:E508))))))</f>
        <v/>
      </c>
      <c r="K509" s="25" t="str">
        <f aca="false">IF(OR(E509="",E509="!!!",F509="NEW"),"",INDEX(J$1:J508,SUMPRODUCT(MAX(ROW(E$1:E508)*(E509=E$1:E508)))))</f>
        <v/>
      </c>
      <c r="L509" s="26"/>
    </row>
    <row r="510" customFormat="false" ht="15" hidden="false" customHeight="false" outlineLevel="0" collapsed="false">
      <c r="A510" s="20" t="s">
        <v>285</v>
      </c>
      <c r="E510" s="21" t="str">
        <f aca="false">IF(D510="?OLD","!!!","")</f>
        <v/>
      </c>
      <c r="F510" s="22" t="str">
        <f aca="false">IF(OR(E510="",E510="!!!"),"",IF(NOT(ISNA(VLOOKUP(E510,E$1:E509,1,FALSE()))),"OLD",IF(AND(E510&lt;&gt;"",E510&lt;&gt;"!!!"),"NEW","")))</f>
        <v> </v>
      </c>
      <c r="G510" s="23" t="str">
        <f aca="false">IF(OR(E510="",E510="!!!"),"",IF(OR(J510=0,AND(J510=1,K510=1),AND(J510=1,I510="SBJ"),AND(J510=1,I510=0)),"?IN_FOCUS",IF(J510&lt;=2,"?ACTIVATED",IF(J510&lt;&gt;"","?FAMILIAR",IF(F510="NEW",IF(ISNA(VLOOKUP(E510,#REF!,1,FALSE())),"?TYPE_IDENTIFIABLE","?REFERENTIAL"),"_")))))</f>
        <v/>
      </c>
      <c r="H510" s="24" t="str">
        <f aca="false">IF(J510&lt;&gt;1,"",IF(I510="SBJ","CB","?"))</f>
        <v/>
      </c>
      <c r="I510" s="25" t="str">
        <f aca="false">IF(OR(E510="",E510="!!!",F510="NEW"),"",INDEX(B509:B$2,-1+SUMPRODUCT(MAX(ROW(E509:E$2)*(E510=E509:E$2)))))</f>
        <v> </v>
      </c>
      <c r="J510" s="25" t="str">
        <f aca="true">IF(OR(E510="",E510="!!!",F510="NEW"),"",COUNTBLANK(OFFSET(A$1,,,SUMPRODUCT(MAX(ROW(E$2:E510)*(E510=E$2:E510)))))-COUNTBLANK(OFFSET(A$1,,,SUMPRODUCT(MAX(ROW(E$1:E509)*(E2=E$1:E509))))))</f>
        <v/>
      </c>
      <c r="K510" s="25" t="str">
        <f aca="false">IF(OR(E510="",E510="!!!",F510="NEW"),"",INDEX(J$1:J509,SUMPRODUCT(MAX(ROW(E$1:E509)*(E510=E$1:E509)))))</f>
        <v/>
      </c>
      <c r="L510" s="26"/>
    </row>
    <row r="511" customFormat="false" ht="15" hidden="false" customHeight="false" outlineLevel="0" collapsed="false">
      <c r="A511" s="20" t="s">
        <v>116</v>
      </c>
      <c r="E511" s="21" t="str">
        <f aca="false">IF(D511="?OLD","!!!","")</f>
        <v/>
      </c>
      <c r="F511" s="22" t="str">
        <f aca="false">IF(OR(E511="",E511="!!!"),"",IF(NOT(ISNA(VLOOKUP(E511,E$1:E510,1,FALSE()))),"OLD",IF(AND(E511&lt;&gt;"",E511&lt;&gt;"!!!"),"NEW","")))</f>
        <v>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IF(OR(E511="",E511="!!!",F511="NEW"),"",INDEX(B510:B$2,-1+SUMPRODUCT(MAX(ROW(E510:E$2)*(E511=E510:E$2)))))</f>
        <v> </v>
      </c>
      <c r="J511" s="25" t="str">
        <f aca="true">IF(OR(E511="",E511="!!!",F511="NEW"),"",COUNTBLANK(OFFSET(A$1,,,SUMPRODUCT(MAX(ROW(E$2:E511)*(E511=E$2:E511)))))-COUNTBLANK(OFFSET(A$1,,,SUMPRODUCT(MAX(ROW(E$1:E510)*(E2=E$1:E510))))))</f>
        <v/>
      </c>
      <c r="K511" s="25" t="str">
        <f aca="false">IF(OR(E511="",E511="!!!",F511="NEW"),"",INDEX(J$1:J510,SUMPRODUCT(MAX(ROW(E$1:E510)*(E511=E$1:E510)))))</f>
        <v/>
      </c>
      <c r="L511" s="26"/>
    </row>
    <row r="512" customFormat="false" ht="15" hidden="false" customHeight="false" outlineLevel="0" collapsed="false">
      <c r="A512" s="20" t="s">
        <v>387</v>
      </c>
      <c r="B512" s="27" t="s">
        <v>278</v>
      </c>
      <c r="C512" s="27" t="s">
        <v>297</v>
      </c>
      <c r="E512" s="21" t="str">
        <f aca="false">IF(D512="?OLD","!!!","")</f>
        <v/>
      </c>
      <c r="F512" s="22" t="str">
        <f aca="false">IF(OR(E512="",E512="!!!"),"",IF(NOT(ISNA(VLOOKUP(E512,E$1:E511,1,FALSE()))),"OLD",IF(AND(E512&lt;&gt;"",E512&lt;&gt;"!!!"),"NEW","")))</f>
        <v> </v>
      </c>
      <c r="G512" s="23" t="str">
        <f aca="false">IF(OR(E512="",E512="!!!"),"",IF(OR(J512=0,AND(J512=1,K512=1),AND(J512=1,I512="SBJ"),AND(J512=1,I512=0)),"?IN_FOCUS",IF(J512&lt;=2,"?ACTIVATED",IF(J512&lt;&gt;"","?FAMILIAR",IF(F512="NEW",IF(ISNA(VLOOKUP(E512,#REF!,1,FALSE())),"?TYPE_IDENTIFIABLE","?REFERENTIAL"),"_")))))</f>
        <v/>
      </c>
      <c r="H512" s="24" t="str">
        <f aca="false">IF(J512&lt;&gt;1,"",IF(I512="SBJ","CB","?"))</f>
        <v/>
      </c>
      <c r="I512" s="25" t="str">
        <f aca="false">IF(OR(E512="",E512="!!!",F512="NEW"),"",INDEX(B511:B$2,-1+SUMPRODUCT(MAX(ROW(E511:E$2)*(E512=E511:E$2)))))</f>
        <v> </v>
      </c>
      <c r="J512" s="25" t="str">
        <f aca="true">IF(OR(E512="",E512="!!!",F512="NEW"),"",COUNTBLANK(OFFSET(A$1,,,SUMPRODUCT(MAX(ROW(E$2:E512)*(E512=E$2:E512)))))-COUNTBLANK(OFFSET(A$1,,,SUMPRODUCT(MAX(ROW(E$1:E511)*(E2=E$1:E511))))))</f>
        <v/>
      </c>
      <c r="K512" s="25" t="str">
        <f aca="false">IF(OR(E512="",E512="!!!",F512="NEW"),"",INDEX(J$1:J511,SUMPRODUCT(MAX(ROW(E$1:E511)*(E512=E$1:E511)))))</f>
        <v/>
      </c>
      <c r="L512" s="26"/>
    </row>
    <row r="513" customFormat="false" ht="15" hidden="false" customHeight="false" outlineLevel="0" collapsed="false">
      <c r="A513" s="20" t="s">
        <v>388</v>
      </c>
      <c r="E513" s="21" t="str">
        <f aca="false">IF(D513="?OLD","!!!","")</f>
        <v/>
      </c>
      <c r="F513" s="22" t="str">
        <f aca="false">IF(OR(E513="",E513="!!!"),"",IF(NOT(ISNA(VLOOKUP(E513,E$1:E512,1,FALSE()))),"OLD",IF(AND(E513&lt;&gt;"",E513&lt;&gt;"!!!"),"NEW","")))</f>
        <v>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IF(OR(E513="",E513="!!!",F513="NEW"),"",INDEX(B512:B$2,-1+SUMPRODUCT(MAX(ROW(E512:E$2)*(E513=E512:E$2)))))</f>
        <v> </v>
      </c>
      <c r="J513" s="25" t="str">
        <f aca="true">IF(OR(E513="",E513="!!!",F513="NEW"),"",COUNTBLANK(OFFSET(A$1,,,SUMPRODUCT(MAX(ROW(E$2:E513)*(E513=E$2:E513)))))-COUNTBLANK(OFFSET(A$1,,,SUMPRODUCT(MAX(ROW(E$1:E512)*(E2=E$1:E512))))))</f>
        <v/>
      </c>
      <c r="K513" s="25" t="str">
        <f aca="false">IF(OR(E513="",E513="!!!",F513="NEW"),"",INDEX(J$1:J512,SUMPRODUCT(MAX(ROW(E$1:E512)*(E513=E$1:E512)))))</f>
        <v/>
      </c>
      <c r="L513" s="26"/>
    </row>
    <row r="514" customFormat="false" ht="15" hidden="false" customHeight="false" outlineLevel="0" collapsed="false">
      <c r="A514" s="20" t="s">
        <v>266</v>
      </c>
      <c r="B514" s="27" t="s">
        <v>216</v>
      </c>
      <c r="C514" s="27" t="s">
        <v>233</v>
      </c>
      <c r="D514" s="27" t="s">
        <v>209</v>
      </c>
      <c r="E514" s="21" t="str">
        <f aca="false">IF(D514="?OLD","!!!","")</f>
        <v>!!!</v>
      </c>
      <c r="F514" s="22" t="str">
        <f aca="false">IF(OR(E514="",E514="!!!"),"",IF(NOT(ISNA(VLOOKUP(E514,E$1:E513,1,FALSE()))),"OLD",IF(AND(E514&lt;&gt;"",E514&lt;&gt;"!!!"),"NEW","")))</f>
        <v> </v>
      </c>
      <c r="G514" s="23" t="str">
        <f aca="false">IF(OR(E514="",E514="!!!"),"",IF(OR(J514=0,AND(J514=1,K514=1),AND(J514=1,I514="SBJ"),AND(J514=1,I514=0)),"?IN_FOCUS",IF(J514&lt;=2,"?ACTIVATED",IF(J514&lt;&gt;"","?FAMILIAR",IF(F514="NEW",IF(ISNA(VLOOKUP(E514,#REF!,1,FALSE())),"?TYPE_IDENTIFIABLE","?REFERENTIAL"),"_")))))</f>
        <v/>
      </c>
      <c r="H514" s="24" t="str">
        <f aca="false">IF(J514&lt;&gt;1,"",IF(I514="SBJ","CB","?"))</f>
        <v/>
      </c>
      <c r="I514" s="25" t="str">
        <f aca="false">IF(OR(E514="",E514="!!!",F514="NEW"),"",INDEX(B513:B$2,-1+SUMPRODUCT(MAX(ROW(E513:E$2)*(E514=E513:E$2)))))</f>
        <v> </v>
      </c>
      <c r="J514" s="25" t="str">
        <f aca="true">IF(OR(E514="",E514="!!!",F514="NEW"),"",COUNTBLANK(OFFSET(A$1,,,SUMPRODUCT(MAX(ROW(E$2:E514)*(E514=E$2:E514)))))-COUNTBLANK(OFFSET(A$1,,,SUMPRODUCT(MAX(ROW(E$1:E513)*(E2=E$1:E513))))))</f>
        <v/>
      </c>
      <c r="K514" s="25" t="str">
        <f aca="false">IF(OR(E514="",E514="!!!",F514="NEW"),"",INDEX(J$1:J513,SUMPRODUCT(MAX(ROW(E$1:E513)*(E514=E$1:E513)))))</f>
        <v/>
      </c>
      <c r="L514" s="26"/>
    </row>
    <row r="515" customFormat="false" ht="15" hidden="false" customHeight="false" outlineLevel="0" collapsed="false">
      <c r="A515" s="20" t="s">
        <v>288</v>
      </c>
      <c r="E515" s="21" t="str">
        <f aca="false">IF(D515="?OLD","!!!","")</f>
        <v/>
      </c>
      <c r="F515" s="22" t="str">
        <f aca="false">IF(OR(E515="",E515="!!!"),"",IF(NOT(ISNA(VLOOKUP(E515,E$1:E514,1,FALSE()))),"OLD",IF(AND(E515&lt;&gt;"",E515&lt;&gt;"!!!"),"NEW","")))</f>
        <v> </v>
      </c>
      <c r="G515" s="23" t="str">
        <f aca="false">IF(OR(E515="",E515="!!!"),"",IF(OR(J515=0,AND(J515=1,K515=1),AND(J515=1,I515="SBJ"),AND(J515=1,I515=0)),"?IN_FOCUS",IF(J515&lt;=2,"?ACTIVATED",IF(J515&lt;&gt;"","?FAMILIAR",IF(F515="NEW",IF(ISNA(VLOOKUP(E515,#REF!,1,FALSE())),"?TYPE_IDENTIFIABLE","?REFERENTIAL"),"_")))))</f>
        <v/>
      </c>
      <c r="H515" s="24" t="str">
        <f aca="false">IF(J515&lt;&gt;1,"",IF(I515="SBJ","CB","?"))</f>
        <v/>
      </c>
      <c r="I515" s="25" t="str">
        <f aca="false">IF(OR(E515="",E515="!!!",F515="NEW"),"",INDEX(B514:B$2,-1+SUMPRODUCT(MAX(ROW(E514:E$2)*(E515=E514:E$2)))))</f>
        <v> </v>
      </c>
      <c r="J515" s="25" t="str">
        <f aca="true">IF(OR(E515="",E515="!!!",F515="NEW"),"",COUNTBLANK(OFFSET(A$1,,,SUMPRODUCT(MAX(ROW(E$2:E515)*(E515=E$2:E515)))))-COUNTBLANK(OFFSET(A$1,,,SUMPRODUCT(MAX(ROW(E$1:E514)*(E2=E$1:E514))))))</f>
        <v/>
      </c>
      <c r="K515" s="25" t="str">
        <f aca="false">IF(OR(E515="",E515="!!!",F515="NEW"),"",INDEX(J$1:J514,SUMPRODUCT(MAX(ROW(E$1:E514)*(E515=E$1:E514)))))</f>
        <v/>
      </c>
      <c r="L515" s="26"/>
    </row>
    <row r="516" customFormat="false" ht="15" hidden="false" customHeight="false" outlineLevel="0" collapsed="false">
      <c r="A516" s="20" t="s">
        <v>205</v>
      </c>
      <c r="E516" s="21" t="str">
        <f aca="false">IF(D516="?OLD","!!!","")</f>
        <v/>
      </c>
      <c r="F516" s="22" t="str">
        <f aca="false">IF(OR(E516="",E516="!!!"),"",IF(NOT(ISNA(VLOOKUP(E516,E$1:E515,1,FALSE()))),"OLD",IF(AND(E516&lt;&gt;"",E516&lt;&gt;"!!!"),"NEW","")))</f>
        <v> </v>
      </c>
      <c r="G516" s="23" t="str">
        <f aca="false">IF(OR(E516="",E516="!!!"),"",IF(OR(J516=0,AND(J516=1,K516=1),AND(J516=1,I516="SBJ"),AND(J516=1,I516=0)),"?IN_FOCUS",IF(J516&lt;=2,"?ACTIVATED",IF(J516&lt;&gt;"","?FAMILIAR",IF(F516="NEW",IF(ISNA(VLOOKUP(E516,#REF!,1,FALSE())),"?TYPE_IDENTIFIABLE","?REFERENTIAL"),"_")))))</f>
        <v/>
      </c>
      <c r="H516" s="24" t="str">
        <f aca="false">IF(J516&lt;&gt;1,"",IF(I516="SBJ","CB","?"))</f>
        <v/>
      </c>
      <c r="I516" s="25" t="str">
        <f aca="false">IF(OR(E516="",E516="!!!",F516="NEW"),"",INDEX(B515:B$2,-1+SUMPRODUCT(MAX(ROW(E515:E$2)*(E516=E515:E$2)))))</f>
        <v> </v>
      </c>
      <c r="J516" s="25" t="str">
        <f aca="true">IF(OR(E516="",E516="!!!",F516="NEW"),"",COUNTBLANK(OFFSET(A$1,,,SUMPRODUCT(MAX(ROW(E$2:E516)*(E516=E$2:E516)))))-COUNTBLANK(OFFSET(A$1,,,SUMPRODUCT(MAX(ROW(E$1:E515)*(E2=E$1:E515))))))</f>
        <v/>
      </c>
      <c r="K516" s="25" t="str">
        <f aca="false">IF(OR(E516="",E516="!!!",F516="NEW"),"",INDEX(J$1:J515,SUMPRODUCT(MAX(ROW(E$1:E515)*(E516=E$1:E515)))))</f>
        <v/>
      </c>
      <c r="L516" s="26"/>
    </row>
    <row r="517" customFormat="false" ht="15" hidden="false" customHeight="false" outlineLevel="0" collapsed="false">
      <c r="A517" s="20" t="s">
        <v>236</v>
      </c>
      <c r="B517" s="27" t="s">
        <v>220</v>
      </c>
      <c r="C517" s="27" t="s">
        <v>208</v>
      </c>
      <c r="D517" s="27" t="s">
        <v>209</v>
      </c>
      <c r="E517" s="21" t="str">
        <f aca="false">IF(D517="?OLD","!!!","")</f>
        <v>!!!</v>
      </c>
      <c r="F517" s="22" t="str">
        <f aca="false">IF(OR(E517="",E517="!!!"),"",IF(NOT(ISNA(VLOOKUP(E517,E$1:E516,1,FALSE()))),"OLD",IF(AND(E517&lt;&gt;"",E517&lt;&gt;"!!!"),"NEW","")))</f>
        <v> </v>
      </c>
      <c r="G517" s="23" t="str">
        <f aca="false">IF(OR(E517="",E517="!!!"),"",IF(OR(J517=0,AND(J517=1,K517=1),AND(J517=1,I517="SBJ"),AND(J517=1,I517=0)),"?IN_FOCUS",IF(J517&lt;=2,"?ACTIVATED",IF(J517&lt;&gt;"","?FAMILIAR",IF(F517="NEW",IF(ISNA(VLOOKUP(E517,#REF!,1,FALSE())),"?TYPE_IDENTIFIABLE","?REFERENTIAL"),"_")))))</f>
        <v/>
      </c>
      <c r="H517" s="24" t="str">
        <f aca="false">IF(J517&lt;&gt;1,"",IF(I517="SBJ","CB","?"))</f>
        <v/>
      </c>
      <c r="I517" s="25" t="str">
        <f aca="false">IF(OR(E517="",E517="!!!",F517="NEW"),"",INDEX(B516:B$2,-1+SUMPRODUCT(MAX(ROW(E516:E$2)*(E517=E516:E$2)))))</f>
        <v> </v>
      </c>
      <c r="J517" s="25" t="str">
        <f aca="true">IF(OR(E517="",E517="!!!",F517="NEW"),"",COUNTBLANK(OFFSET(A$1,,,SUMPRODUCT(MAX(ROW(E$2:E517)*(E517=E$2:E517)))))-COUNTBLANK(OFFSET(A$1,,,SUMPRODUCT(MAX(ROW(E$1:E516)*(E2=E$1:E516))))))</f>
        <v/>
      </c>
      <c r="K517" s="25" t="str">
        <f aca="false">IF(OR(E517="",E517="!!!",F517="NEW"),"",INDEX(J$1:J516,SUMPRODUCT(MAX(ROW(E$1:E516)*(E517=E$1:E516)))))</f>
        <v/>
      </c>
      <c r="L517" s="26"/>
    </row>
    <row r="518" customFormat="false" ht="15" hidden="false" customHeight="false" outlineLevel="0" collapsed="false">
      <c r="A518" s="20" t="s">
        <v>237</v>
      </c>
      <c r="E518" s="21" t="str">
        <f aca="false">IF(D518="?OLD","!!!","")</f>
        <v/>
      </c>
      <c r="F518" s="22" t="str">
        <f aca="false">IF(OR(E518="",E518="!!!"),"",IF(NOT(ISNA(VLOOKUP(E518,E$1:E517,1,FALSE()))),"OLD",IF(AND(E518&lt;&gt;"",E518&lt;&gt;"!!!"),"NEW","")))</f>
        <v>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IF(OR(E518="",E518="!!!",F518="NEW"),"",INDEX(B517:B$2,-1+SUMPRODUCT(MAX(ROW(E517:E$2)*(E518=E517:E$2)))))</f>
        <v> </v>
      </c>
      <c r="J518" s="25" t="str">
        <f aca="true">IF(OR(E518="",E518="!!!",F518="NEW"),"",COUNTBLANK(OFFSET(A$1,,,SUMPRODUCT(MAX(ROW(E$2:E518)*(E518=E$2:E518)))))-COUNTBLANK(OFFSET(A$1,,,SUMPRODUCT(MAX(ROW(E$1:E517)*(E2=E$1:E517))))))</f>
        <v/>
      </c>
      <c r="K518" s="25" t="str">
        <f aca="false">IF(OR(E518="",E518="!!!",F518="NEW"),"",INDEX(J$1:J517,SUMPRODUCT(MAX(ROW(E$1:E517)*(E518=E$1:E517)))))</f>
        <v/>
      </c>
      <c r="L518" s="26"/>
    </row>
    <row r="519" customFormat="false" ht="15" hidden="false" customHeight="false" outlineLevel="0" collapsed="false">
      <c r="A519" s="20" t="s">
        <v>288</v>
      </c>
      <c r="E519" s="21" t="str">
        <f aca="false">IF(D519="?OLD","!!!","")</f>
        <v/>
      </c>
      <c r="F519" s="22" t="str">
        <f aca="false">IF(OR(E519="",E519="!!!"),"",IF(NOT(ISNA(VLOOKUP(E519,E$1:E518,1,FALSE()))),"OLD",IF(AND(E519&lt;&gt;"",E519&lt;&gt;"!!!"),"NEW","")))</f>
        <v> </v>
      </c>
      <c r="G519" s="23" t="str">
        <f aca="false">IF(OR(E519="",E519="!!!"),"",IF(OR(J519=0,AND(J519=1,K519=1),AND(J519=1,I519="SBJ"),AND(J519=1,I519=0)),"?IN_FOCUS",IF(J519&lt;=2,"?ACTIVATED",IF(J519&lt;&gt;"","?FAMILIAR",IF(F519="NEW",IF(ISNA(VLOOKUP(E519,#REF!,1,FALSE())),"?TYPE_IDENTIFIABLE","?REFERENTIAL"),"_")))))</f>
        <v/>
      </c>
      <c r="H519" s="24" t="str">
        <f aca="false">IF(J519&lt;&gt;1,"",IF(I519="SBJ","CB","?"))</f>
        <v/>
      </c>
      <c r="I519" s="25" t="str">
        <f aca="false">IF(OR(E519="",E519="!!!",F519="NEW"),"",INDEX(B518:B$2,-1+SUMPRODUCT(MAX(ROW(E518:E$2)*(E519=E518:E$2)))))</f>
        <v> </v>
      </c>
      <c r="J519" s="25" t="str">
        <f aca="true">IF(OR(E519="",E519="!!!",F519="NEW"),"",COUNTBLANK(OFFSET(A$1,,,SUMPRODUCT(MAX(ROW(E$2:E519)*(E519=E$2:E519)))))-COUNTBLANK(OFFSET(A$1,,,SUMPRODUCT(MAX(ROW(E$1:E518)*(E2=E$1:E518))))))</f>
        <v/>
      </c>
      <c r="K519" s="25" t="str">
        <f aca="false">IF(OR(E519="",E519="!!!",F519="NEW"),"",INDEX(J$1:J518,SUMPRODUCT(MAX(ROW(E$1:E518)*(E519=E$1:E518)))))</f>
        <v/>
      </c>
      <c r="L519" s="26"/>
    </row>
    <row r="520" customFormat="false" ht="15" hidden="false" customHeight="false" outlineLevel="0" collapsed="false">
      <c r="A520" s="20" t="s">
        <v>388</v>
      </c>
      <c r="E520" s="21" t="str">
        <f aca="false">IF(D520="?OLD","!!!","")</f>
        <v/>
      </c>
      <c r="F520" s="22" t="str">
        <f aca="false">IF(OR(E520="",E520="!!!"),"",IF(NOT(ISNA(VLOOKUP(E520,E$1:E519,1,FALSE()))),"OLD",IF(AND(E520&lt;&gt;"",E520&lt;&gt;"!!!"),"NEW","")))</f>
        <v> </v>
      </c>
      <c r="G520" s="23" t="str">
        <f aca="false">IF(OR(E520="",E520="!!!"),"",IF(OR(J520=0,AND(J520=1,K520=1),AND(J520=1,I520="SBJ"),AND(J520=1,I520=0)),"?IN_FOCUS",IF(J520&lt;=2,"?ACTIVATED",IF(J520&lt;&gt;"","?FAMILIAR",IF(F520="NEW",IF(ISNA(VLOOKUP(E520,#REF!,1,FALSE())),"?TYPE_IDENTIFIABLE","?REFERENTIAL"),"_")))))</f>
        <v/>
      </c>
      <c r="H520" s="24" t="str">
        <f aca="false">IF(J520&lt;&gt;1,"",IF(I520="SBJ","CB","?"))</f>
        <v/>
      </c>
      <c r="I520" s="25" t="str">
        <f aca="false">IF(OR(E520="",E520="!!!",F520="NEW"),"",INDEX(B519:B$2,-1+SUMPRODUCT(MAX(ROW(E519:E$2)*(E520=E519:E$2)))))</f>
        <v> </v>
      </c>
      <c r="J520" s="25" t="str">
        <f aca="true">IF(OR(E520="",E520="!!!",F520="NEW"),"",COUNTBLANK(OFFSET(A$1,,,SUMPRODUCT(MAX(ROW(E$2:E520)*(E520=E$2:E520)))))-COUNTBLANK(OFFSET(A$1,,,SUMPRODUCT(MAX(ROW(E$1:E519)*(E2=E$1:E519))))))</f>
        <v/>
      </c>
      <c r="K520" s="25" t="str">
        <f aca="false">IF(OR(E520="",E520="!!!",F520="NEW"),"",INDEX(J$1:J519,SUMPRODUCT(MAX(ROW(E$1:E519)*(E520=E$1:E519)))))</f>
        <v/>
      </c>
      <c r="L520" s="26"/>
    </row>
    <row r="521" customFormat="false" ht="15" hidden="false" customHeight="false" outlineLevel="0" collapsed="false">
      <c r="A521" s="20" t="s">
        <v>281</v>
      </c>
      <c r="B521" s="27" t="s">
        <v>220</v>
      </c>
      <c r="C521" s="27" t="s">
        <v>282</v>
      </c>
      <c r="D521" s="27" t="s">
        <v>209</v>
      </c>
      <c r="E521" s="21" t="str">
        <f aca="false">IF(D521="?OLD","!!!","")</f>
        <v>!!!</v>
      </c>
      <c r="F521" s="22" t="str">
        <f aca="false">IF(OR(E521="",E521="!!!"),"",IF(NOT(ISNA(VLOOKUP(E521,E$1:E520,1,FALSE()))),"OLD",IF(AND(E521&lt;&gt;"",E521&lt;&gt;"!!!"),"NEW","")))</f>
        <v> </v>
      </c>
      <c r="G521" s="23" t="str">
        <f aca="false">IF(OR(E521="",E521="!!!"),"",IF(OR(J521=0,AND(J521=1,K521=1),AND(J521=1,I521="SBJ"),AND(J521=1,I521=0)),"?IN_FOCUS",IF(J521&lt;=2,"?ACTIVATED",IF(J521&lt;&gt;"","?FAMILIAR",IF(F521="NEW",IF(ISNA(VLOOKUP(E521,#REF!,1,FALSE())),"?TYPE_IDENTIFIABLE","?REFERENTIAL"),"_")))))</f>
        <v/>
      </c>
      <c r="H521" s="24" t="str">
        <f aca="false">IF(J521&lt;&gt;1,"",IF(I521="SBJ","CB","?"))</f>
        <v/>
      </c>
      <c r="I521" s="25" t="str">
        <f aca="false">IF(OR(E521="",E521="!!!",F521="NEW"),"",INDEX(B520:B$2,-1+SUMPRODUCT(MAX(ROW(E520:E$2)*(E521=E520:E$2)))))</f>
        <v> </v>
      </c>
      <c r="J521" s="25" t="str">
        <f aca="true">IF(OR(E521="",E521="!!!",F521="NEW"),"",COUNTBLANK(OFFSET(A$1,,,SUMPRODUCT(MAX(ROW(E$2:E521)*(E521=E$2:E521)))))-COUNTBLANK(OFFSET(A$1,,,SUMPRODUCT(MAX(ROW(E$1:E520)*(E2=E$1:E520))))))</f>
        <v/>
      </c>
      <c r="K521" s="25" t="str">
        <f aca="false">IF(OR(E521="",E521="!!!",F521="NEW"),"",INDEX(J$1:J520,SUMPRODUCT(MAX(ROW(E$1:E520)*(E521=E$1:E520)))))</f>
        <v/>
      </c>
      <c r="L521" s="26"/>
    </row>
    <row r="522" customFormat="false" ht="15" hidden="false" customHeight="false" outlineLevel="0" collapsed="false">
      <c r="A522" s="20" t="s">
        <v>389</v>
      </c>
      <c r="B522" s="27" t="s">
        <v>216</v>
      </c>
      <c r="C522" s="27" t="s">
        <v>284</v>
      </c>
      <c r="D522" s="27" t="s">
        <v>209</v>
      </c>
      <c r="E522" s="21" t="str">
        <f aca="false">IF(D522="?OLD","!!!","")</f>
        <v>!!!</v>
      </c>
      <c r="F522" s="22" t="str">
        <f aca="false">IF(OR(E522="",E522="!!!"),"",IF(NOT(ISNA(VLOOKUP(E522,E$1:E521,1,FALSE()))),"OLD",IF(AND(E522&lt;&gt;"",E522&lt;&gt;"!!!"),"NEW","")))</f>
        <v> </v>
      </c>
      <c r="G522" s="23" t="str">
        <f aca="false">IF(OR(E522="",E522="!!!"),"",IF(OR(J522=0,AND(J522=1,K522=1),AND(J522=1,I522="SBJ"),AND(J522=1,I522=0)),"?IN_FOCUS",IF(J522&lt;=2,"?ACTIVATED",IF(J522&lt;&gt;"","?FAMILIAR",IF(F522="NEW",IF(ISNA(VLOOKUP(E522,#REF!,1,FALSE())),"?TYPE_IDENTIFIABLE","?REFERENTIAL"),"_")))))</f>
        <v/>
      </c>
      <c r="H522" s="24" t="str">
        <f aca="false">IF(J522&lt;&gt;1,"",IF(I522="SBJ","CB","?"))</f>
        <v/>
      </c>
      <c r="I522" s="25" t="str">
        <f aca="false">IF(OR(E522="",E522="!!!",F522="NEW"),"",INDEX(B521:B$2,-1+SUMPRODUCT(MAX(ROW(E521:E$2)*(E522=E521:E$2)))))</f>
        <v> </v>
      </c>
      <c r="J522" s="25" t="str">
        <f aca="true">IF(OR(E522="",E522="!!!",F522="NEW"),"",COUNTBLANK(OFFSET(A$1,,,SUMPRODUCT(MAX(ROW(E$2:E522)*(E522=E$2:E522)))))-COUNTBLANK(OFFSET(A$1,,,SUMPRODUCT(MAX(ROW(E$1:E521)*(E2=E$1:E521))))))</f>
        <v/>
      </c>
      <c r="K522" s="25" t="str">
        <f aca="false">IF(OR(E522="",E522="!!!",F522="NEW"),"",INDEX(J$1:J521,SUMPRODUCT(MAX(ROW(E$1:E521)*(E522=E$1:E521)))))</f>
        <v/>
      </c>
      <c r="L522" s="26"/>
    </row>
    <row r="523" customFormat="false" ht="15" hidden="false" customHeight="false" outlineLevel="0" collapsed="false">
      <c r="A523" s="20" t="s">
        <v>288</v>
      </c>
      <c r="E523" s="21" t="str">
        <f aca="false">IF(D523="?OLD","!!!","")</f>
        <v/>
      </c>
      <c r="F523" s="22" t="str">
        <f aca="false">IF(OR(E523="",E523="!!!"),"",IF(NOT(ISNA(VLOOKUP(E523,E$1:E522,1,FALSE()))),"OLD",IF(AND(E523&lt;&gt;"",E523&lt;&gt;"!!!"),"NEW","")))</f>
        <v> </v>
      </c>
      <c r="G523" s="23" t="str">
        <f aca="false">IF(OR(E523="",E523="!!!"),"",IF(OR(J523=0,AND(J523=1,K523=1),AND(J523=1,I523="SBJ"),AND(J523=1,I523=0)),"?IN_FOCUS",IF(J523&lt;=2,"?ACTIVATED",IF(J523&lt;&gt;"","?FAMILIAR",IF(F523="NEW",IF(ISNA(VLOOKUP(E523,#REF!,1,FALSE())),"?TYPE_IDENTIFIABLE","?REFERENTIAL"),"_")))))</f>
        <v/>
      </c>
      <c r="H523" s="24" t="str">
        <f aca="false">IF(J523&lt;&gt;1,"",IF(I523="SBJ","CB","?"))</f>
        <v/>
      </c>
      <c r="I523" s="25" t="str">
        <f aca="false">IF(OR(E523="",E523="!!!",F523="NEW"),"",INDEX(B522:B$2,-1+SUMPRODUCT(MAX(ROW(E522:E$2)*(E523=E522:E$2)))))</f>
        <v> </v>
      </c>
      <c r="J523" s="25" t="str">
        <f aca="true">IF(OR(E523="",E523="!!!",F523="NEW"),"",COUNTBLANK(OFFSET(A$1,,,SUMPRODUCT(MAX(ROW(E$2:E523)*(E523=E$2:E523)))))-COUNTBLANK(OFFSET(A$1,,,SUMPRODUCT(MAX(ROW(E$1:E522)*(E2=E$1:E522))))))</f>
        <v/>
      </c>
      <c r="K523" s="25" t="str">
        <f aca="false">IF(OR(E523="",E523="!!!",F523="NEW"),"",INDEX(J$1:J522,SUMPRODUCT(MAX(ROW(E$1:E522)*(E523=E$1:E522)))))</f>
        <v/>
      </c>
      <c r="L523" s="26"/>
    </row>
    <row r="524" customFormat="false" ht="15" hidden="false" customHeight="false" outlineLevel="0" collapsed="false">
      <c r="A524" s="20" t="s">
        <v>312</v>
      </c>
      <c r="B524" s="27" t="s">
        <v>248</v>
      </c>
      <c r="C524" s="27" t="s">
        <v>282</v>
      </c>
      <c r="D524" s="27" t="s">
        <v>209</v>
      </c>
      <c r="E524" s="21" t="str">
        <f aca="false">IF(D524="?OLD","!!!","")</f>
        <v>!!!</v>
      </c>
      <c r="F524" s="22" t="str">
        <f aca="false">IF(OR(E524="",E524="!!!"),"",IF(NOT(ISNA(VLOOKUP(E524,E$1:E523,1,FALSE()))),"OLD",IF(AND(E524&lt;&gt;"",E524&lt;&gt;"!!!"),"NEW","")))</f>
        <v> </v>
      </c>
      <c r="G524" s="23" t="str">
        <f aca="false">IF(OR(E524="",E524="!!!"),"",IF(OR(J524=0,AND(J524=1,K524=1),AND(J524=1,I524="SBJ"),AND(J524=1,I524=0)),"?IN_FOCUS",IF(J524&lt;=2,"?ACTIVATED",IF(J524&lt;&gt;"","?FAMILIAR",IF(F524="NEW",IF(ISNA(VLOOKUP(E524,#REF!,1,FALSE())),"?TYPE_IDENTIFIABLE","?REFERENTIAL"),"_")))))</f>
        <v/>
      </c>
      <c r="H524" s="24" t="str">
        <f aca="false">IF(J524&lt;&gt;1,"",IF(I524="SBJ","CB","?"))</f>
        <v/>
      </c>
      <c r="I524" s="25" t="str">
        <f aca="false">IF(OR(E524="",E524="!!!",F524="NEW"),"",INDEX(B523:B$2,-1+SUMPRODUCT(MAX(ROW(E523:E$2)*(E524=E523:E$2)))))</f>
        <v> </v>
      </c>
      <c r="J524" s="25" t="str">
        <f aca="true">IF(OR(E524="",E524="!!!",F524="NEW"),"",COUNTBLANK(OFFSET(A$1,,,SUMPRODUCT(MAX(ROW(E$2:E524)*(E524=E$2:E524)))))-COUNTBLANK(OFFSET(A$1,,,SUMPRODUCT(MAX(ROW(E$1:E523)*(E2=E$1:E523))))))</f>
        <v/>
      </c>
      <c r="K524" s="25" t="str">
        <f aca="false">IF(OR(E524="",E524="!!!",F524="NEW"),"",INDEX(J$1:J523,SUMPRODUCT(MAX(ROW(E$1:E523)*(E524=E$1:E523)))))</f>
        <v/>
      </c>
      <c r="L524" s="26"/>
    </row>
    <row r="525" customFormat="false" ht="15" hidden="false" customHeight="false" outlineLevel="0" collapsed="false">
      <c r="A525" s="20" t="s">
        <v>389</v>
      </c>
      <c r="B525" s="27" t="s">
        <v>220</v>
      </c>
      <c r="C525" s="27" t="s">
        <v>284</v>
      </c>
      <c r="D525" s="27" t="s">
        <v>209</v>
      </c>
      <c r="E525" s="21" t="str">
        <f aca="false">IF(D525="?OLD","!!!","")</f>
        <v>!!!</v>
      </c>
      <c r="F525" s="22" t="str">
        <f aca="false">IF(OR(E525="",E525="!!!"),"",IF(NOT(ISNA(VLOOKUP(E525,E$1:E524,1,FALSE()))),"OLD",IF(AND(E525&lt;&gt;"",E525&lt;&gt;"!!!"),"NEW","")))</f>
        <v> </v>
      </c>
      <c r="G525" s="23" t="str">
        <f aca="false">IF(OR(E525="",E525="!!!"),"",IF(OR(J525=0,AND(J525=1,K525=1),AND(J525=1,I525="SBJ"),AND(J525=1,I525=0)),"?IN_FOCUS",IF(J525&lt;=2,"?ACTIVATED",IF(J525&lt;&gt;"","?FAMILIAR",IF(F525="NEW",IF(ISNA(VLOOKUP(E525,#REF!,1,FALSE())),"?TYPE_IDENTIFIABLE","?REFERENTIAL"),"_")))))</f>
        <v/>
      </c>
      <c r="H525" s="24" t="str">
        <f aca="false">IF(J525&lt;&gt;1,"",IF(I525="SBJ","CB","?"))</f>
        <v/>
      </c>
      <c r="I525" s="25" t="str">
        <f aca="false">IF(OR(E525="",E525="!!!",F525="NEW"),"",INDEX(B524:B$2,-1+SUMPRODUCT(MAX(ROW(E524:E$2)*(E525=E524:E$2)))))</f>
        <v> </v>
      </c>
      <c r="J525" s="25" t="str">
        <f aca="true">IF(OR(E525="",E525="!!!",F525="NEW"),"",COUNTBLANK(OFFSET(A$1,,,SUMPRODUCT(MAX(ROW(E$2:E525)*(E525=E$2:E525)))))-COUNTBLANK(OFFSET(A$1,,,SUMPRODUCT(MAX(ROW(E$1:E524)*(E2=E$1:E524))))))</f>
        <v/>
      </c>
      <c r="K525" s="25" t="str">
        <f aca="false">IF(OR(E525="",E525="!!!",F525="NEW"),"",INDEX(J$1:J524,SUMPRODUCT(MAX(ROW(E$1:E524)*(E525=E$1:E524)))))</f>
        <v/>
      </c>
      <c r="L525" s="26"/>
    </row>
    <row r="526" customFormat="false" ht="15" hidden="false" customHeight="false" outlineLevel="0" collapsed="false">
      <c r="A526" s="20" t="s">
        <v>229</v>
      </c>
      <c r="E526" s="21" t="str">
        <f aca="false">IF(D526="?OLD","!!!","")</f>
        <v/>
      </c>
      <c r="F526" s="22" t="str">
        <f aca="false">IF(OR(E526="",E526="!!!"),"",IF(NOT(ISNA(VLOOKUP(E526,E$1:E525,1,FALSE()))),"OLD",IF(AND(E526&lt;&gt;"",E526&lt;&gt;"!!!"),"NEW","")))</f>
        <v> </v>
      </c>
      <c r="G526" s="23" t="str">
        <f aca="false">IF(OR(E526="",E526="!!!"),"",IF(OR(J526=0,AND(J526=1,K526=1),AND(J526=1,I526="SBJ"),AND(J526=1,I526=0)),"?IN_FOCUS",IF(J526&lt;=2,"?ACTIVATED",IF(J526&lt;&gt;"","?FAMILIAR",IF(F526="NEW",IF(ISNA(VLOOKUP(E526,#REF!,1,FALSE())),"?TYPE_IDENTIFIABLE","?REFERENTIAL"),"_")))))</f>
        <v/>
      </c>
      <c r="H526" s="24" t="str">
        <f aca="false">IF(J526&lt;&gt;1,"",IF(I526="SBJ","CB","?"))</f>
        <v/>
      </c>
      <c r="I526" s="25" t="str">
        <f aca="false">IF(OR(E526="",E526="!!!",F526="NEW"),"",INDEX(B525:B$2,-1+SUMPRODUCT(MAX(ROW(E525:E$2)*(E526=E525:E$2)))))</f>
        <v> </v>
      </c>
      <c r="J526" s="25" t="str">
        <f aca="true">IF(OR(E526="",E526="!!!",F526="NEW"),"",COUNTBLANK(OFFSET(A$1,,,SUMPRODUCT(MAX(ROW(E$2:E526)*(E526=E$2:E526)))))-COUNTBLANK(OFFSET(A$1,,,SUMPRODUCT(MAX(ROW(E$1:E525)*(E2=E$1:E525))))))</f>
        <v/>
      </c>
      <c r="K526" s="25" t="str">
        <f aca="false">IF(OR(E526="",E526="!!!",F526="NEW"),"",INDEX(J$1:J525,SUMPRODUCT(MAX(ROW(E$1:E525)*(E526=E$1:E525)))))</f>
        <v/>
      </c>
      <c r="L526" s="26"/>
    </row>
    <row r="527" customFormat="false" ht="15" hidden="false" customHeight="false" outlineLevel="0" collapsed="false">
      <c r="A527" s="20"/>
    </row>
    <row r="528" customFormat="false" ht="15" hidden="false" customHeight="false" outlineLevel="0" collapsed="false">
      <c r="A528" s="20" t="s">
        <v>230</v>
      </c>
      <c r="E528" s="21" t="str">
        <f aca="false">IF(D528="?OLD","!!!","")</f>
        <v/>
      </c>
      <c r="F528" s="22" t="str">
        <f aca="false">IF(OR(E528="",E528="!!!"),"",IF(NOT(ISNA(VLOOKUP(E528,E$1:E527,1,FALSE()))),"OLD",IF(AND(E528&lt;&gt;"",E528&lt;&gt;"!!!"),"NEW","")))</f>
        <v>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IF(OR(E528="",E528="!!!",F528="NEW"),"",INDEX(B527:B$2,-1+SUMPRODUCT(MAX(ROW(E527:E$2)*(E528=E527:E$2)))))</f>
        <v> </v>
      </c>
      <c r="J528" s="25" t="str">
        <f aca="true">IF(OR(E528="",E528="!!!",F528="NEW"),"",COUNTBLANK(OFFSET(A$1,,,SUMPRODUCT(MAX(ROW(E$2:E528)*(E528=E$2:E528)))))-COUNTBLANK(OFFSET(A$1,,,SUMPRODUCT(MAX(ROW(E$1:E527)*(E2=E$1:E527))))))</f>
        <v/>
      </c>
      <c r="K528" s="25" t="str">
        <f aca="false">IF(OR(E528="",E528="!!!",F528="NEW"),"",INDEX(J$1:J527,SUMPRODUCT(MAX(ROW(E$1:E527)*(E528=E$1:E527)))))</f>
        <v/>
      </c>
      <c r="L528" s="26"/>
    </row>
    <row r="529" customFormat="false" ht="15" hidden="false" customHeight="false" outlineLevel="0" collapsed="false">
      <c r="A529" s="20" t="s">
        <v>390</v>
      </c>
    </row>
    <row r="530" customFormat="false" ht="15" hidden="false" customHeight="false" outlineLevel="0" collapsed="false">
      <c r="A530" s="20" t="s">
        <v>232</v>
      </c>
      <c r="B530" s="27" t="s">
        <v>207</v>
      </c>
      <c r="C530" s="27" t="s">
        <v>233</v>
      </c>
      <c r="D530" s="27" t="s">
        <v>209</v>
      </c>
      <c r="E530" s="21" t="str">
        <f aca="false">IF(D530="?OLD","!!!","")</f>
        <v>!!!</v>
      </c>
      <c r="F530" s="22" t="str">
        <f aca="false">IF(OR(E530="",E530="!!!"),"",IF(NOT(ISNA(VLOOKUP(E530,E$1:E529,1,FALSE()))),"OLD",IF(AND(E530&lt;&gt;"",E530&lt;&gt;"!!!"),"NEW","")))</f>
        <v>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IF(OR(E530="",E530="!!!",F530="NEW"),"",INDEX(B529:B$2,-1+SUMPRODUCT(MAX(ROW(E529:E$2)*(E530=E529:E$2)))))</f>
        <v> </v>
      </c>
      <c r="J530" s="25" t="str">
        <f aca="true">IF(OR(E530="",E530="!!!",F530="NEW"),"",COUNTBLANK(OFFSET(A$1,,,SUMPRODUCT(MAX(ROW(E$2:E530)*(E530=E$2:E530)))))-COUNTBLANK(OFFSET(A$1,,,SUMPRODUCT(MAX(ROW(E$1:E529)*(E2=E$1:E529))))))</f>
        <v/>
      </c>
      <c r="K530" s="25" t="str">
        <f aca="false">IF(OR(E530="",E530="!!!",F530="NEW"),"",INDEX(J$1:J529,SUMPRODUCT(MAX(ROW(E$1:E529)*(E530=E$1:E529)))))</f>
        <v/>
      </c>
      <c r="L530" s="26"/>
    </row>
    <row r="531" customFormat="false" ht="15" hidden="false" customHeight="false" outlineLevel="0" collapsed="false">
      <c r="A531" s="20" t="s">
        <v>285</v>
      </c>
      <c r="E531" s="21" t="str">
        <f aca="false">IF(D531="?OLD","!!!","")</f>
        <v/>
      </c>
      <c r="F531" s="22" t="str">
        <f aca="false">IF(OR(E531="",E531="!!!"),"",IF(NOT(ISNA(VLOOKUP(E531,E$1:E530,1,FALSE()))),"OLD",IF(AND(E531&lt;&gt;"",E531&lt;&gt;"!!!"),"NEW","")))</f>
        <v> </v>
      </c>
      <c r="G531" s="23" t="str">
        <f aca="false">IF(OR(E531="",E531="!!!"),"",IF(OR(J531=0,AND(J531=1,K531=1),AND(J531=1,I531="SBJ"),AND(J531=1,I531=0)),"?IN_FOCUS",IF(J531&lt;=2,"?ACTIVATED",IF(J531&lt;&gt;"","?FAMILIAR",IF(F531="NEW",IF(ISNA(VLOOKUP(E531,#REF!,1,FALSE())),"?TYPE_IDENTIFIABLE","?REFERENTIAL"),"_")))))</f>
        <v/>
      </c>
      <c r="H531" s="24" t="str">
        <f aca="false">IF(J531&lt;&gt;1,"",IF(I531="SBJ","CB","?"))</f>
        <v/>
      </c>
      <c r="I531" s="25" t="str">
        <f aca="false">IF(OR(E531="",E531="!!!",F531="NEW"),"",INDEX(B530:B$2,-1+SUMPRODUCT(MAX(ROW(E530:E$2)*(E531=E530:E$2)))))</f>
        <v> </v>
      </c>
      <c r="J531" s="25" t="str">
        <f aca="true">IF(OR(E531="",E531="!!!",F531="NEW"),"",COUNTBLANK(OFFSET(A$1,,,SUMPRODUCT(MAX(ROW(E$2:E531)*(E531=E$2:E531)))))-COUNTBLANK(OFFSET(A$1,,,SUMPRODUCT(MAX(ROW(E$1:E530)*(E2=E$1:E530))))))</f>
        <v/>
      </c>
      <c r="K531" s="25" t="str">
        <f aca="false">IF(OR(E531="",E531="!!!",F531="NEW"),"",INDEX(J$1:J530,SUMPRODUCT(MAX(ROW(E$1:E530)*(E531=E$1:E530)))))</f>
        <v/>
      </c>
      <c r="L531" s="26"/>
    </row>
    <row r="532" customFormat="false" ht="15" hidden="false" customHeight="false" outlineLevel="0" collapsed="false">
      <c r="A532" s="20" t="s">
        <v>120</v>
      </c>
      <c r="E532" s="21" t="str">
        <f aca="false">IF(D532="?OLD","!!!","")</f>
        <v/>
      </c>
      <c r="F532" s="22" t="str">
        <f aca="false">IF(OR(E532="",E532="!!!"),"",IF(NOT(ISNA(VLOOKUP(E532,E$1:E531,1,FALSE()))),"OLD",IF(AND(E532&lt;&gt;"",E532&lt;&gt;"!!!"),"NEW","")))</f>
        <v> </v>
      </c>
      <c r="G532" s="23" t="str">
        <f aca="false">IF(OR(E532="",E532="!!!"),"",IF(OR(J532=0,AND(J532=1,K532=1),AND(J532=1,I532="SBJ"),AND(J532=1,I532=0)),"?IN_FOCUS",IF(J532&lt;=2,"?ACTIVATED",IF(J532&lt;&gt;"","?FAMILIAR",IF(F532="NEW",IF(ISNA(VLOOKUP(E532,#REF!,1,FALSE())),"?TYPE_IDENTIFIABLE","?REFERENTIAL"),"_")))))</f>
        <v/>
      </c>
      <c r="H532" s="24" t="str">
        <f aca="false">IF(J532&lt;&gt;1,"",IF(I532="SBJ","CB","?"))</f>
        <v/>
      </c>
      <c r="I532" s="25" t="str">
        <f aca="false">IF(OR(E532="",E532="!!!",F532="NEW"),"",INDEX(B531:B$2,-1+SUMPRODUCT(MAX(ROW(E531:E$2)*(E532=E531:E$2)))))</f>
        <v> </v>
      </c>
      <c r="J532" s="25" t="str">
        <f aca="true">IF(OR(E532="",E532="!!!",F532="NEW"),"",COUNTBLANK(OFFSET(A$1,,,SUMPRODUCT(MAX(ROW(E$2:E532)*(E532=E$2:E532)))))-COUNTBLANK(OFFSET(A$1,,,SUMPRODUCT(MAX(ROW(E$1:E531)*(E2=E$1:E531))))))</f>
        <v/>
      </c>
      <c r="K532" s="25" t="str">
        <f aca="false">IF(OR(E532="",E532="!!!",F532="NEW"),"",INDEX(J$1:J531,SUMPRODUCT(MAX(ROW(E$1:E531)*(E532=E$1:E531)))))</f>
        <v/>
      </c>
      <c r="L532" s="26"/>
    </row>
    <row r="533" customFormat="false" ht="15" hidden="false" customHeight="false" outlineLevel="0" collapsed="false">
      <c r="A533" s="20" t="s">
        <v>281</v>
      </c>
      <c r="B533" s="27" t="s">
        <v>220</v>
      </c>
      <c r="C533" s="27" t="s">
        <v>282</v>
      </c>
      <c r="D533" s="27" t="s">
        <v>209</v>
      </c>
      <c r="E533" s="21" t="str">
        <f aca="false">IF(D533="?OLD","!!!","")</f>
        <v>!!!</v>
      </c>
      <c r="F533" s="22" t="str">
        <f aca="false">IF(OR(E533="",E533="!!!"),"",IF(NOT(ISNA(VLOOKUP(E533,E$1:E532,1,FALSE()))),"OLD",IF(AND(E533&lt;&gt;"",E533&lt;&gt;"!!!"),"NEW","")))</f>
        <v> </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IF(OR(E533="",E533="!!!",F533="NEW"),"",INDEX(B532:B$2,-1+SUMPRODUCT(MAX(ROW(E532:E$2)*(E533=E532:E$2)))))</f>
        <v> </v>
      </c>
      <c r="J533" s="25" t="str">
        <f aca="true">IF(OR(E533="",E533="!!!",F533="NEW"),"",COUNTBLANK(OFFSET(A$1,,,SUMPRODUCT(MAX(ROW(E$2:E533)*(E533=E$2:E533)))))-COUNTBLANK(OFFSET(A$1,,,SUMPRODUCT(MAX(ROW(E$1:E532)*(E2=E$1:E532))))))</f>
        <v/>
      </c>
      <c r="K533" s="25" t="str">
        <f aca="false">IF(OR(E533="",E533="!!!",F533="NEW"),"",INDEX(J$1:J532,SUMPRODUCT(MAX(ROW(E$1:E532)*(E533=E$1:E532)))))</f>
        <v/>
      </c>
      <c r="L533" s="26"/>
    </row>
    <row r="534" customFormat="false" ht="15" hidden="false" customHeight="false" outlineLevel="0" collapsed="false">
      <c r="A534" s="20" t="s">
        <v>391</v>
      </c>
      <c r="B534" s="27" t="s">
        <v>278</v>
      </c>
      <c r="C534" s="27" t="s">
        <v>284</v>
      </c>
      <c r="D534" s="27" t="s">
        <v>209</v>
      </c>
      <c r="E534" s="21" t="str">
        <f aca="false">IF(D534="?OLD","!!!","")</f>
        <v>!!!</v>
      </c>
      <c r="F534" s="22" t="str">
        <f aca="false">IF(OR(E534="",E534="!!!"),"",IF(NOT(ISNA(VLOOKUP(E534,E$1:E533,1,FALSE()))),"OLD",IF(AND(E534&lt;&gt;"",E534&lt;&gt;"!!!"),"NEW","")))</f>
        <v> </v>
      </c>
      <c r="G534" s="23" t="str">
        <f aca="false">IF(OR(E534="",E534="!!!"),"",IF(OR(J534=0,AND(J534=1,K534=1),AND(J534=1,I534="SBJ"),AND(J534=1,I534=0)),"?IN_FOCUS",IF(J534&lt;=2,"?ACTIVATED",IF(J534&lt;&gt;"","?FAMILIAR",IF(F534="NEW",IF(ISNA(VLOOKUP(E534,#REF!,1,FALSE())),"?TYPE_IDENTIFIABLE","?REFERENTIAL"),"_")))))</f>
        <v/>
      </c>
      <c r="H534" s="24" t="str">
        <f aca="false">IF(J534&lt;&gt;1,"",IF(I534="SBJ","CB","?"))</f>
        <v/>
      </c>
      <c r="I534" s="25" t="str">
        <f aca="false">IF(OR(E534="",E534="!!!",F534="NEW"),"",INDEX(B533:B$2,-1+SUMPRODUCT(MAX(ROW(E533:E$2)*(E534=E533:E$2)))))</f>
        <v> </v>
      </c>
      <c r="J534" s="25" t="str">
        <f aca="true">IF(OR(E534="",E534="!!!",F534="NEW"),"",COUNTBLANK(OFFSET(A$1,,,SUMPRODUCT(MAX(ROW(E$2:E534)*(E534=E$2:E534)))))-COUNTBLANK(OFFSET(A$1,,,SUMPRODUCT(MAX(ROW(E$1:E533)*(E2=E$1:E533))))))</f>
        <v/>
      </c>
      <c r="K534" s="25" t="str">
        <f aca="false">IF(OR(E534="",E534="!!!",F534="NEW"),"",INDEX(J$1:J533,SUMPRODUCT(MAX(ROW(E$1:E533)*(E534=E$1:E533)))))</f>
        <v/>
      </c>
      <c r="L534" s="26"/>
    </row>
    <row r="535" customFormat="false" ht="15" hidden="false" customHeight="false" outlineLevel="0" collapsed="false">
      <c r="A535" s="20" t="s">
        <v>237</v>
      </c>
      <c r="E535" s="21" t="str">
        <f aca="false">IF(D535="?OLD","!!!","")</f>
        <v/>
      </c>
      <c r="F535" s="22" t="str">
        <f aca="false">IF(OR(E535="",E535="!!!"),"",IF(NOT(ISNA(VLOOKUP(E535,E$1:E534,1,FALSE()))),"OLD",IF(AND(E535&lt;&gt;"",E535&lt;&gt;"!!!"),"NEW","")))</f>
        <v> </v>
      </c>
      <c r="G535" s="23" t="str">
        <f aca="false">IF(OR(E535="",E535="!!!"),"",IF(OR(J535=0,AND(J535=1,K535=1),AND(J535=1,I535="SBJ"),AND(J535=1,I535=0)),"?IN_FOCUS",IF(J535&lt;=2,"?ACTIVATED",IF(J535&lt;&gt;"","?FAMILIAR",IF(F535="NEW",IF(ISNA(VLOOKUP(E535,#REF!,1,FALSE())),"?TYPE_IDENTIFIABLE","?REFERENTIAL"),"_")))))</f>
        <v/>
      </c>
      <c r="H535" s="24" t="str">
        <f aca="false">IF(J535&lt;&gt;1,"",IF(I535="SBJ","CB","?"))</f>
        <v/>
      </c>
      <c r="I535" s="25" t="str">
        <f aca="false">IF(OR(E535="",E535="!!!",F535="NEW"),"",INDEX(B534:B$2,-1+SUMPRODUCT(MAX(ROW(E534:E$2)*(E535=E534:E$2)))))</f>
        <v> </v>
      </c>
      <c r="J535" s="25" t="str">
        <f aca="true">IF(OR(E535="",E535="!!!",F535="NEW"),"",COUNTBLANK(OFFSET(A$1,,,SUMPRODUCT(MAX(ROW(E$2:E535)*(E535=E$2:E535)))))-COUNTBLANK(OFFSET(A$1,,,SUMPRODUCT(MAX(ROW(E$1:E534)*(E2=E$1:E534))))))</f>
        <v/>
      </c>
      <c r="K535" s="25" t="str">
        <f aca="false">IF(OR(E535="",E535="!!!",F535="NEW"),"",INDEX(J$1:J534,SUMPRODUCT(MAX(ROW(E$1:E534)*(E535=E$1:E534)))))</f>
        <v/>
      </c>
      <c r="L535" s="26"/>
    </row>
    <row r="536" customFormat="false" ht="15" hidden="false" customHeight="false" outlineLevel="0" collapsed="false">
      <c r="A536" s="20" t="s">
        <v>288</v>
      </c>
      <c r="E536" s="21" t="str">
        <f aca="false">IF(D536="?OLD","!!!","")</f>
        <v/>
      </c>
      <c r="F536" s="22" t="str">
        <f aca="false">IF(OR(E536="",E536="!!!"),"",IF(NOT(ISNA(VLOOKUP(E536,E$1:E535,1,FALSE()))),"OLD",IF(AND(E536&lt;&gt;"",E536&lt;&gt;"!!!"),"NEW","")))</f>
        <v>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IF(OR(E536="",E536="!!!",F536="NEW"),"",INDEX(B535:B$2,-1+SUMPRODUCT(MAX(ROW(E535:E$2)*(E536=E535:E$2)))))</f>
        <v> </v>
      </c>
      <c r="J536" s="25" t="str">
        <f aca="true">IF(OR(E536="",E536="!!!",F536="NEW"),"",COUNTBLANK(OFFSET(A$1,,,SUMPRODUCT(MAX(ROW(E$2:E536)*(E536=E$2:E536)))))-COUNTBLANK(OFFSET(A$1,,,SUMPRODUCT(MAX(ROW(E$1:E535)*(E2=E$1:E535))))))</f>
        <v/>
      </c>
      <c r="K536" s="25" t="str">
        <f aca="false">IF(OR(E536="",E536="!!!",F536="NEW"),"",INDEX(J$1:J535,SUMPRODUCT(MAX(ROW(E$1:E535)*(E536=E$1:E535)))))</f>
        <v/>
      </c>
      <c r="L536" s="26"/>
    </row>
    <row r="537" customFormat="false" ht="15" hidden="false" customHeight="false" outlineLevel="0" collapsed="false">
      <c r="A537" s="20" t="s">
        <v>266</v>
      </c>
      <c r="B537" s="27" t="s">
        <v>240</v>
      </c>
      <c r="C537" s="27" t="s">
        <v>233</v>
      </c>
      <c r="D537" s="27" t="s">
        <v>209</v>
      </c>
      <c r="E537" s="21" t="str">
        <f aca="false">IF(D537="?OLD","!!!","")</f>
        <v>!!!</v>
      </c>
      <c r="F537" s="22" t="str">
        <f aca="false">IF(OR(E537="",E537="!!!"),"",IF(NOT(ISNA(VLOOKUP(E537,E$1:E536,1,FALSE()))),"OLD",IF(AND(E537&lt;&gt;"",E537&lt;&gt;"!!!"),"NEW","")))</f>
        <v> </v>
      </c>
      <c r="G537" s="23" t="str">
        <f aca="false">IF(OR(E537="",E537="!!!"),"",IF(OR(J537=0,AND(J537=1,K537=1),AND(J537=1,I537="SBJ"),AND(J537=1,I537=0)),"?IN_FOCUS",IF(J537&lt;=2,"?ACTIVATED",IF(J537&lt;&gt;"","?FAMILIAR",IF(F537="NEW",IF(ISNA(VLOOKUP(E537,#REF!,1,FALSE())),"?TYPE_IDENTIFIABLE","?REFERENTIAL"),"_")))))</f>
        <v/>
      </c>
      <c r="H537" s="24" t="str">
        <f aca="false">IF(J537&lt;&gt;1,"",IF(I537="SBJ","CB","?"))</f>
        <v/>
      </c>
      <c r="I537" s="25" t="str">
        <f aca="false">IF(OR(E537="",E537="!!!",F537="NEW"),"",INDEX(B536:B$2,-1+SUMPRODUCT(MAX(ROW(E536:E$2)*(E537=E536:E$2)))))</f>
        <v> </v>
      </c>
      <c r="J537" s="25" t="str">
        <f aca="true">IF(OR(E537="",E537="!!!",F537="NEW"),"",COUNTBLANK(OFFSET(A$1,,,SUMPRODUCT(MAX(ROW(E$2:E537)*(E537=E$2:E537)))))-COUNTBLANK(OFFSET(A$1,,,SUMPRODUCT(MAX(ROW(E$1:E536)*(E2=E$1:E536))))))</f>
        <v/>
      </c>
      <c r="K537" s="25" t="str">
        <f aca="false">IF(OR(E537="",E537="!!!",F537="NEW"),"",INDEX(J$1:J536,SUMPRODUCT(MAX(ROW(E$1:E536)*(E537=E$1:E536)))))</f>
        <v/>
      </c>
      <c r="L537" s="26"/>
    </row>
    <row r="538" customFormat="false" ht="15" hidden="false" customHeight="false" outlineLevel="0" collapsed="false">
      <c r="A538" s="20" t="s">
        <v>285</v>
      </c>
      <c r="E538" s="21" t="str">
        <f aca="false">IF(D538="?OLD","!!!","")</f>
        <v/>
      </c>
      <c r="F538" s="22" t="str">
        <f aca="false">IF(OR(E538="",E538="!!!"),"",IF(NOT(ISNA(VLOOKUP(E538,E$1:E537,1,FALSE()))),"OLD",IF(AND(E538&lt;&gt;"",E538&lt;&gt;"!!!"),"NEW","")))</f>
        <v>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IF(OR(E538="",E538="!!!",F538="NEW"),"",INDEX(B537:B$2,-1+SUMPRODUCT(MAX(ROW(E537:E$2)*(E538=E537:E$2)))))</f>
        <v> </v>
      </c>
      <c r="J538" s="25" t="str">
        <f aca="true">IF(OR(E538="",E538="!!!",F538="NEW"),"",COUNTBLANK(OFFSET(A$1,,,SUMPRODUCT(MAX(ROW(E$2:E538)*(E538=E$2:E538)))))-COUNTBLANK(OFFSET(A$1,,,SUMPRODUCT(MAX(ROW(E$1:E537)*(E2=E$1:E537))))))</f>
        <v/>
      </c>
      <c r="K538" s="25" t="str">
        <f aca="false">IF(OR(E538="",E538="!!!",F538="NEW"),"",INDEX(J$1:J537,SUMPRODUCT(MAX(ROW(E$1:E537)*(E538=E$1:E537)))))</f>
        <v/>
      </c>
      <c r="L538" s="26"/>
    </row>
    <row r="539" customFormat="false" ht="15" hidden="false" customHeight="false" outlineLevel="0" collapsed="false">
      <c r="A539" s="20" t="s">
        <v>120</v>
      </c>
      <c r="E539" s="21" t="str">
        <f aca="false">IF(D539="?OLD","!!!","")</f>
        <v/>
      </c>
      <c r="F539" s="22" t="str">
        <f aca="false">IF(OR(E539="",E539="!!!"),"",IF(NOT(ISNA(VLOOKUP(E539,E$1:E538,1,FALSE()))),"OLD",IF(AND(E539&lt;&gt;"",E539&lt;&gt;"!!!"),"NEW","")))</f>
        <v> </v>
      </c>
      <c r="G539" s="23" t="str">
        <f aca="false">IF(OR(E539="",E539="!!!"),"",IF(OR(J539=0,AND(J539=1,K539=1),AND(J539=1,I539="SBJ"),AND(J539=1,I539=0)),"?IN_FOCUS",IF(J539&lt;=2,"?ACTIVATED",IF(J539&lt;&gt;"","?FAMILIAR",IF(F539="NEW",IF(ISNA(VLOOKUP(E539,#REF!,1,FALSE())),"?TYPE_IDENTIFIABLE","?REFERENTIAL"),"_")))))</f>
        <v/>
      </c>
      <c r="H539" s="24" t="str">
        <f aca="false">IF(J539&lt;&gt;1,"",IF(I539="SBJ","CB","?"))</f>
        <v/>
      </c>
      <c r="I539" s="25" t="str">
        <f aca="false">IF(OR(E539="",E539="!!!",F539="NEW"),"",INDEX(B538:B$2,-1+SUMPRODUCT(MAX(ROW(E538:E$2)*(E539=E538:E$2)))))</f>
        <v> </v>
      </c>
      <c r="J539" s="25" t="str">
        <f aca="true">IF(OR(E539="",E539="!!!",F539="NEW"),"",COUNTBLANK(OFFSET(A$1,,,SUMPRODUCT(MAX(ROW(E$2:E539)*(E539=E$2:E539)))))-COUNTBLANK(OFFSET(A$1,,,SUMPRODUCT(MAX(ROW(E$1:E538)*(E2=E$1:E538))))))</f>
        <v/>
      </c>
      <c r="K539" s="25" t="str">
        <f aca="false">IF(OR(E539="",E539="!!!",F539="NEW"),"",INDEX(J$1:J538,SUMPRODUCT(MAX(ROW(E$1:E538)*(E539=E$1:E538)))))</f>
        <v/>
      </c>
      <c r="L539" s="26"/>
    </row>
    <row r="540" customFormat="false" ht="15" hidden="false" customHeight="false" outlineLevel="0" collapsed="false">
      <c r="A540" s="20" t="s">
        <v>338</v>
      </c>
      <c r="B540" s="27" t="s">
        <v>248</v>
      </c>
      <c r="C540" s="27" t="s">
        <v>282</v>
      </c>
      <c r="D540" s="27" t="s">
        <v>209</v>
      </c>
      <c r="E540" s="21" t="str">
        <f aca="false">IF(D540="?OLD","!!!","")</f>
        <v>!!!</v>
      </c>
      <c r="F540" s="22" t="str">
        <f aca="false">IF(OR(E540="",E540="!!!"),"",IF(NOT(ISNA(VLOOKUP(E540,E$1:E539,1,FALSE()))),"OLD",IF(AND(E540&lt;&gt;"",E540&lt;&gt;"!!!"),"NEW","")))</f>
        <v> </v>
      </c>
      <c r="G540" s="23" t="str">
        <f aca="false">IF(OR(E540="",E540="!!!"),"",IF(OR(J540=0,AND(J540=1,K540=1),AND(J540=1,I540="SBJ"),AND(J540=1,I540=0)),"?IN_FOCUS",IF(J540&lt;=2,"?ACTIVATED",IF(J540&lt;&gt;"","?FAMILIAR",IF(F540="NEW",IF(ISNA(VLOOKUP(E540,#REF!,1,FALSE())),"?TYPE_IDENTIFIABLE","?REFERENTIAL"),"_")))))</f>
        <v/>
      </c>
      <c r="H540" s="24" t="str">
        <f aca="false">IF(J540&lt;&gt;1,"",IF(I540="SBJ","CB","?"))</f>
        <v/>
      </c>
      <c r="I540" s="25" t="str">
        <f aca="false">IF(OR(E540="",E540="!!!",F540="NEW"),"",INDEX(B539:B$2,-1+SUMPRODUCT(MAX(ROW(E539:E$2)*(E540=E539:E$2)))))</f>
        <v> </v>
      </c>
      <c r="J540" s="25" t="str">
        <f aca="true">IF(OR(E540="",E540="!!!",F540="NEW"),"",COUNTBLANK(OFFSET(A$1,,,SUMPRODUCT(MAX(ROW(E$2:E540)*(E540=E$2:E540)))))-COUNTBLANK(OFFSET(A$1,,,SUMPRODUCT(MAX(ROW(E$1:E539)*(E2=E$1:E539))))))</f>
        <v/>
      </c>
      <c r="K540" s="25" t="str">
        <f aca="false">IF(OR(E540="",E540="!!!",F540="NEW"),"",INDEX(J$1:J539,SUMPRODUCT(MAX(ROW(E$1:E539)*(E540=E$1:E539)))))</f>
        <v/>
      </c>
      <c r="L540" s="26"/>
    </row>
    <row r="541" customFormat="false" ht="15" hidden="false" customHeight="false" outlineLevel="0" collapsed="false">
      <c r="A541" s="20" t="s">
        <v>392</v>
      </c>
      <c r="B541" s="27" t="s">
        <v>311</v>
      </c>
      <c r="C541" s="27" t="s">
        <v>284</v>
      </c>
      <c r="D541" s="27" t="s">
        <v>209</v>
      </c>
      <c r="E541" s="21" t="str">
        <f aca="false">IF(D541="?OLD","!!!","")</f>
        <v>!!!</v>
      </c>
      <c r="F541" s="22" t="str">
        <f aca="false">IF(OR(E541="",E541="!!!"),"",IF(NOT(ISNA(VLOOKUP(E541,E$1:E540,1,FALSE()))),"OLD",IF(AND(E541&lt;&gt;"",E541&lt;&gt;"!!!"),"NEW","")))</f>
        <v> </v>
      </c>
      <c r="G541" s="23" t="str">
        <f aca="false">IF(OR(E541="",E541="!!!"),"",IF(OR(J541=0,AND(J541=1,K541=1),AND(J541=1,I541="SBJ"),AND(J541=1,I541=0)),"?IN_FOCUS",IF(J541&lt;=2,"?ACTIVATED",IF(J541&lt;&gt;"","?FAMILIAR",IF(F541="NEW",IF(ISNA(VLOOKUP(E541,#REF!,1,FALSE())),"?TYPE_IDENTIFIABLE","?REFERENTIAL"),"_")))))</f>
        <v/>
      </c>
      <c r="H541" s="24" t="str">
        <f aca="false">IF(J541&lt;&gt;1,"",IF(I541="SBJ","CB","?"))</f>
        <v/>
      </c>
      <c r="I541" s="25" t="str">
        <f aca="false">IF(OR(E541="",E541="!!!",F541="NEW"),"",INDEX(B540:B$2,-1+SUMPRODUCT(MAX(ROW(E540:E$2)*(E541=E540:E$2)))))</f>
        <v> </v>
      </c>
      <c r="J541" s="25" t="str">
        <f aca="true">IF(OR(E541="",E541="!!!",F541="NEW"),"",COUNTBLANK(OFFSET(A$1,,,SUMPRODUCT(MAX(ROW(E$2:E541)*(E541=E$2:E541)))))-COUNTBLANK(OFFSET(A$1,,,SUMPRODUCT(MAX(ROW(E$1:E540)*(E2=E$1:E540))))))</f>
        <v/>
      </c>
      <c r="K541" s="25" t="str">
        <f aca="false">IF(OR(E541="",E541="!!!",F541="NEW"),"",INDEX(J$1:J540,SUMPRODUCT(MAX(ROW(E$1:E540)*(E541=E$1:E540)))))</f>
        <v/>
      </c>
      <c r="L541" s="26"/>
    </row>
    <row r="542" customFormat="false" ht="15" hidden="false" customHeight="false" outlineLevel="0" collapsed="false">
      <c r="A542" s="20" t="s">
        <v>229</v>
      </c>
      <c r="E542" s="21" t="str">
        <f aca="false">IF(D542="?OLD","!!!","")</f>
        <v/>
      </c>
      <c r="F542" s="22" t="str">
        <f aca="false">IF(OR(E542="",E542="!!!"),"",IF(NOT(ISNA(VLOOKUP(E542,E$1:E541,1,FALSE()))),"OLD",IF(AND(E542&lt;&gt;"",E542&lt;&gt;"!!!"),"NEW","")))</f>
        <v> </v>
      </c>
      <c r="G542" s="23" t="str">
        <f aca="false">IF(OR(E542="",E542="!!!"),"",IF(OR(J542=0,AND(J542=1,K542=1),AND(J542=1,I542="SBJ"),AND(J542=1,I542=0)),"?IN_FOCUS",IF(J542&lt;=2,"?ACTIVATED",IF(J542&lt;&gt;"","?FAMILIAR",IF(F542="NEW",IF(ISNA(VLOOKUP(E542,#REF!,1,FALSE())),"?TYPE_IDENTIFIABLE","?REFERENTIAL"),"_")))))</f>
        <v/>
      </c>
      <c r="H542" s="24" t="str">
        <f aca="false">IF(J542&lt;&gt;1,"",IF(I542="SBJ","CB","?"))</f>
        <v/>
      </c>
      <c r="I542" s="25" t="str">
        <f aca="false">IF(OR(E542="",E542="!!!",F542="NEW"),"",INDEX(B541:B$2,-1+SUMPRODUCT(MAX(ROW(E541:E$2)*(E542=E541:E$2)))))</f>
        <v> </v>
      </c>
      <c r="J542" s="25" t="str">
        <f aca="true">IF(OR(E542="",E542="!!!",F542="NEW"),"",COUNTBLANK(OFFSET(A$1,,,SUMPRODUCT(MAX(ROW(E$2:E542)*(E542=E$2:E542)))))-COUNTBLANK(OFFSET(A$1,,,SUMPRODUCT(MAX(ROW(E$1:E541)*(E2=E$1:E541))))))</f>
        <v/>
      </c>
      <c r="K542" s="25" t="str">
        <f aca="false">IF(OR(E542="",E542="!!!",F542="NEW"),"",INDEX(J$1:J541,SUMPRODUCT(MAX(ROW(E$1:E541)*(E542=E$1:E541)))))</f>
        <v/>
      </c>
      <c r="L542" s="26"/>
    </row>
    <row r="543" customFormat="false" ht="15" hidden="false" customHeight="false" outlineLevel="0" collapsed="false">
      <c r="A543" s="20" t="s">
        <v>238</v>
      </c>
      <c r="E543" s="21" t="str">
        <f aca="false">IF(D543="?OLD","!!!","")</f>
        <v/>
      </c>
      <c r="F543" s="22" t="str">
        <f aca="false">IF(OR(E543="",E543="!!!"),"",IF(NOT(ISNA(VLOOKUP(E543,E$1:E542,1,FALSE()))),"OLD",IF(AND(E543&lt;&gt;"",E543&lt;&gt;"!!!"),"NEW","")))</f>
        <v> </v>
      </c>
      <c r="G543" s="23" t="str">
        <f aca="false">IF(OR(E543="",E543="!!!"),"",IF(OR(J543=0,AND(J543=1,K543=1),AND(J543=1,I543="SBJ"),AND(J543=1,I543=0)),"?IN_FOCUS",IF(J543&lt;=2,"?ACTIVATED",IF(J543&lt;&gt;"","?FAMILIAR",IF(F543="NEW",IF(ISNA(VLOOKUP(E543,#REF!,1,FALSE())),"?TYPE_IDENTIFIABLE","?REFERENTIAL"),"_")))))</f>
        <v/>
      </c>
      <c r="H543" s="24" t="str">
        <f aca="false">IF(J543&lt;&gt;1,"",IF(I543="SBJ","CB","?"))</f>
        <v/>
      </c>
      <c r="I543" s="25" t="str">
        <f aca="false">IF(OR(E543="",E543="!!!",F543="NEW"),"",INDEX(B542:B$2,-1+SUMPRODUCT(MAX(ROW(E542:E$2)*(E543=E542:E$2)))))</f>
        <v> </v>
      </c>
      <c r="J543" s="25" t="str">
        <f aca="true">IF(OR(E543="",E543="!!!",F543="NEW"),"",COUNTBLANK(OFFSET(A$1,,,SUMPRODUCT(MAX(ROW(E$2:E543)*(E543=E$2:E543)))))-COUNTBLANK(OFFSET(A$1,,,SUMPRODUCT(MAX(ROW(E$1:E542)*(E2=E$1:E542))))))</f>
        <v/>
      </c>
      <c r="K543" s="25" t="str">
        <f aca="false">IF(OR(E543="",E543="!!!",F543="NEW"),"",INDEX(J$1:J542,SUMPRODUCT(MAX(ROW(E$1:E542)*(E543=E$1:E542)))))</f>
        <v/>
      </c>
      <c r="L543" s="26"/>
    </row>
    <row r="544" customFormat="false" ht="15" hidden="false" customHeight="false" outlineLevel="0" collapsed="false">
      <c r="A544" s="20"/>
    </row>
    <row r="545" customFormat="false" ht="15" hidden="false" customHeight="false" outlineLevel="0" collapsed="false">
      <c r="A545" s="20" t="s">
        <v>230</v>
      </c>
      <c r="E545" s="21" t="str">
        <f aca="false">IF(D545="?OLD","!!!","")</f>
        <v/>
      </c>
      <c r="F545" s="22" t="str">
        <f aca="false">IF(OR(E545="",E545="!!!"),"",IF(NOT(ISNA(VLOOKUP(E545,E$1:E544,1,FALSE()))),"OLD",IF(AND(E545&lt;&gt;"",E545&lt;&gt;"!!!"),"NEW","")))</f>
        <v>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IF(OR(E545="",E545="!!!",F545="NEW"),"",INDEX(B544:B$2,-1+SUMPRODUCT(MAX(ROW(E544:E$2)*(E545=E544:E$2)))))</f>
        <v> </v>
      </c>
      <c r="J545" s="25" t="str">
        <f aca="true">IF(OR(E545="",E545="!!!",F545="NEW"),"",COUNTBLANK(OFFSET(A$1,,,SUMPRODUCT(MAX(ROW(E$2:E545)*(E545=E$2:E545)))))-COUNTBLANK(OFFSET(A$1,,,SUMPRODUCT(MAX(ROW(E$1:E544)*(E2=E$1:E544))))))</f>
        <v/>
      </c>
      <c r="K545" s="25" t="str">
        <f aca="false">IF(OR(E545="",E545="!!!",F545="NEW"),"",INDEX(J$1:J544,SUMPRODUCT(MAX(ROW(E$1:E544)*(E545=E$1:E544)))))</f>
        <v/>
      </c>
      <c r="L545" s="26"/>
    </row>
    <row r="546" customFormat="false" ht="15" hidden="false" customHeight="false" outlineLevel="0" collapsed="false">
      <c r="A546" s="20" t="s">
        <v>393</v>
      </c>
    </row>
    <row r="547" customFormat="false" ht="15" hidden="false" customHeight="false" outlineLevel="0" collapsed="false">
      <c r="A547" s="20" t="s">
        <v>394</v>
      </c>
      <c r="E547" s="21" t="str">
        <f aca="false">IF(D547="?OLD","!!!","")</f>
        <v/>
      </c>
      <c r="F547" s="22" t="str">
        <f aca="false">IF(OR(E547="",E547="!!!"),"",IF(NOT(ISNA(VLOOKUP(E547,E$1:E546,1,FALSE()))),"OLD",IF(AND(E547&lt;&gt;"",E547&lt;&gt;"!!!"),"NEW","")))</f>
        <v> </v>
      </c>
      <c r="G547" s="23" t="str">
        <f aca="false">IF(OR(E547="",E547="!!!"),"",IF(OR(J547=0,AND(J547=1,K547=1),AND(J547=1,I547="SBJ"),AND(J547=1,I547=0)),"?IN_FOCUS",IF(J547&lt;=2,"?ACTIVATED",IF(J547&lt;&gt;"","?FAMILIAR",IF(F547="NEW",IF(ISNA(VLOOKUP(E547,#REF!,1,FALSE())),"?TYPE_IDENTIFIABLE","?REFERENTIAL"),"_")))))</f>
        <v/>
      </c>
      <c r="H547" s="24" t="str">
        <f aca="false">IF(J547&lt;&gt;1,"",IF(I547="SBJ","CB","?"))</f>
        <v/>
      </c>
      <c r="I547" s="25" t="str">
        <f aca="false">IF(OR(E547="",E547="!!!",F547="NEW"),"",INDEX(B546:B$2,-1+SUMPRODUCT(MAX(ROW(E546:E$2)*(E547=E546:E$2)))))</f>
        <v> </v>
      </c>
      <c r="J547" s="25" t="str">
        <f aca="true">IF(OR(E547="",E547="!!!",F547="NEW"),"",COUNTBLANK(OFFSET(A$1,,,SUMPRODUCT(MAX(ROW(E$2:E547)*(E547=E$2:E547)))))-COUNTBLANK(OFFSET(A$1,,,SUMPRODUCT(MAX(ROW(E$1:E546)*(E2=E$1:E546))))))</f>
        <v/>
      </c>
      <c r="K547" s="25" t="str">
        <f aca="false">IF(OR(E547="",E547="!!!",F547="NEW"),"",INDEX(J$1:J546,SUMPRODUCT(MAX(ROW(E$1:E546)*(E547=E$1:E546)))))</f>
        <v/>
      </c>
      <c r="L547" s="26"/>
    </row>
    <row r="548" customFormat="false" ht="15" hidden="false" customHeight="false" outlineLevel="0" collapsed="false">
      <c r="A548" s="20" t="s">
        <v>205</v>
      </c>
      <c r="E548" s="21" t="str">
        <f aca="false">IF(D548="?OLD","!!!","")</f>
        <v/>
      </c>
      <c r="F548" s="22" t="str">
        <f aca="false">IF(OR(E548="",E548="!!!"),"",IF(NOT(ISNA(VLOOKUP(E548,E$1:E547,1,FALSE()))),"OLD",IF(AND(E548&lt;&gt;"",E548&lt;&gt;"!!!"),"NEW","")))</f>
        <v> </v>
      </c>
      <c r="G548" s="23" t="str">
        <f aca="false">IF(OR(E548="",E548="!!!"),"",IF(OR(J548=0,AND(J548=1,K548=1),AND(J548=1,I548="SBJ"),AND(J548=1,I548=0)),"?IN_FOCUS",IF(J548&lt;=2,"?ACTIVATED",IF(J548&lt;&gt;"","?FAMILIAR",IF(F548="NEW",IF(ISNA(VLOOKUP(E548,#REF!,1,FALSE())),"?TYPE_IDENTIFIABLE","?REFERENTIAL"),"_")))))</f>
        <v/>
      </c>
      <c r="H548" s="24" t="str">
        <f aca="false">IF(J548&lt;&gt;1,"",IF(I548="SBJ","CB","?"))</f>
        <v/>
      </c>
      <c r="I548" s="25" t="str">
        <f aca="false">IF(OR(E548="",E548="!!!",F548="NEW"),"",INDEX(B547:B$2,-1+SUMPRODUCT(MAX(ROW(E547:E$2)*(E548=E547:E$2)))))</f>
        <v> </v>
      </c>
      <c r="J548" s="25" t="str">
        <f aca="true">IF(OR(E548="",E548="!!!",F548="NEW"),"",COUNTBLANK(OFFSET(A$1,,,SUMPRODUCT(MAX(ROW(E$2:E548)*(E548=E$2:E548)))))-COUNTBLANK(OFFSET(A$1,,,SUMPRODUCT(MAX(ROW(E$1:E547)*(E2=E$1:E547))))))</f>
        <v/>
      </c>
      <c r="K548" s="25" t="str">
        <f aca="false">IF(OR(E548="",E548="!!!",F548="NEW"),"",INDEX(J$1:J547,SUMPRODUCT(MAX(ROW(E$1:E547)*(E548=E$1:E547)))))</f>
        <v/>
      </c>
      <c r="L548" s="26"/>
    </row>
    <row r="549" customFormat="false" ht="15" hidden="false" customHeight="false" outlineLevel="0" collapsed="false">
      <c r="A549" s="20" t="s">
        <v>236</v>
      </c>
      <c r="B549" s="27" t="s">
        <v>216</v>
      </c>
      <c r="C549" s="27" t="s">
        <v>208</v>
      </c>
      <c r="D549" s="27" t="s">
        <v>209</v>
      </c>
      <c r="E549" s="21" t="str">
        <f aca="false">IF(D549="?OLD","!!!","")</f>
        <v>!!!</v>
      </c>
      <c r="F549" s="22" t="str">
        <f aca="false">IF(OR(E549="",E549="!!!"),"",IF(NOT(ISNA(VLOOKUP(E549,E$1:E548,1,FALSE()))),"OLD",IF(AND(E549&lt;&gt;"",E549&lt;&gt;"!!!"),"NEW","")))</f>
        <v>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IF(OR(E549="",E549="!!!",F549="NEW"),"",INDEX(B548:B$2,-1+SUMPRODUCT(MAX(ROW(E548:E$2)*(E549=E548:E$2)))))</f>
        <v> </v>
      </c>
      <c r="J549" s="25" t="str">
        <f aca="true">IF(OR(E549="",E549="!!!",F549="NEW"),"",COUNTBLANK(OFFSET(A$1,,,SUMPRODUCT(MAX(ROW(E$2:E549)*(E549=E$2:E549)))))-COUNTBLANK(OFFSET(A$1,,,SUMPRODUCT(MAX(ROW(E$1:E548)*(E2=E$1:E548))))))</f>
        <v/>
      </c>
      <c r="K549" s="25" t="str">
        <f aca="false">IF(OR(E549="",E549="!!!",F549="NEW"),"",INDEX(J$1:J548,SUMPRODUCT(MAX(ROW(E$1:E548)*(E549=E$1:E548)))))</f>
        <v/>
      </c>
      <c r="L549" s="26"/>
    </row>
    <row r="550" customFormat="false" ht="15" hidden="false" customHeight="false" outlineLevel="0" collapsed="false">
      <c r="A550" s="20" t="s">
        <v>315</v>
      </c>
      <c r="B550" s="27" t="s">
        <v>244</v>
      </c>
      <c r="C550" s="27" t="s">
        <v>233</v>
      </c>
      <c r="D550" s="27" t="s">
        <v>209</v>
      </c>
      <c r="E550" s="21" t="str">
        <f aca="false">IF(D550="?OLD","!!!","")</f>
        <v>!!!</v>
      </c>
      <c r="F550" s="22" t="str">
        <f aca="false">IF(OR(E550="",E550="!!!"),"",IF(NOT(ISNA(VLOOKUP(E550,E$1:E549,1,FALSE()))),"OLD",IF(AND(E550&lt;&gt;"",E550&lt;&gt;"!!!"),"NEW","")))</f>
        <v>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IF(OR(E550="",E550="!!!",F550="NEW"),"",INDEX(B549:B$2,-1+SUMPRODUCT(MAX(ROW(E549:E$2)*(E550=E549:E$2)))))</f>
        <v> </v>
      </c>
      <c r="J550" s="25" t="str">
        <f aca="true">IF(OR(E550="",E550="!!!",F550="NEW"),"",COUNTBLANK(OFFSET(A$1,,,SUMPRODUCT(MAX(ROW(E$2:E550)*(E550=E$2:E550)))))-COUNTBLANK(OFFSET(A$1,,,SUMPRODUCT(MAX(ROW(E$1:E549)*(E2=E$1:E549))))))</f>
        <v/>
      </c>
      <c r="K550" s="25" t="str">
        <f aca="false">IF(OR(E550="",E550="!!!",F550="NEW"),"",INDEX(J$1:J549,SUMPRODUCT(MAX(ROW(E$1:E549)*(E550=E$1:E549)))))</f>
        <v/>
      </c>
      <c r="L550" s="26"/>
    </row>
    <row r="551" customFormat="false" ht="15" hidden="false" customHeight="false" outlineLevel="0" collapsed="false">
      <c r="A551" s="20" t="s">
        <v>234</v>
      </c>
      <c r="E551" s="21" t="str">
        <f aca="false">IF(D551="?OLD","!!!","")</f>
        <v/>
      </c>
      <c r="F551" s="22" t="str">
        <f aca="false">IF(OR(E551="",E551="!!!"),"",IF(NOT(ISNA(VLOOKUP(E551,E$1:E550,1,FALSE()))),"OLD",IF(AND(E551&lt;&gt;"",E551&lt;&gt;"!!!"),"NEW","")))</f>
        <v> </v>
      </c>
      <c r="G551" s="23" t="str">
        <f aca="false">IF(OR(E551="",E551="!!!"),"",IF(OR(J551=0,AND(J551=1,K551=1),AND(J551=1,I551="SBJ"),AND(J551=1,I551=0)),"?IN_FOCUS",IF(J551&lt;=2,"?ACTIVATED",IF(J551&lt;&gt;"","?FAMILIAR",IF(F551="NEW",IF(ISNA(VLOOKUP(E551,#REF!,1,FALSE())),"?TYPE_IDENTIFIABLE","?REFERENTIAL"),"_")))))</f>
        <v/>
      </c>
      <c r="H551" s="24" t="str">
        <f aca="false">IF(J551&lt;&gt;1,"",IF(I551="SBJ","CB","?"))</f>
        <v/>
      </c>
      <c r="I551" s="25" t="str">
        <f aca="false">IF(OR(E551="",E551="!!!",F551="NEW"),"",INDEX(B550:B$2,-1+SUMPRODUCT(MAX(ROW(E550:E$2)*(E551=E550:E$2)))))</f>
        <v> </v>
      </c>
      <c r="J551" s="25" t="str">
        <f aca="true">IF(OR(E551="",E551="!!!",F551="NEW"),"",COUNTBLANK(OFFSET(A$1,,,SUMPRODUCT(MAX(ROW(E$2:E551)*(E551=E$2:E551)))))-COUNTBLANK(OFFSET(A$1,,,SUMPRODUCT(MAX(ROW(E$1:E550)*(E2=E$1:E550))))))</f>
        <v/>
      </c>
      <c r="K551" s="25" t="str">
        <f aca="false">IF(OR(E551="",E551="!!!",F551="NEW"),"",INDEX(J$1:J550,SUMPRODUCT(MAX(ROW(E$1:E550)*(E551=E$1:E550)))))</f>
        <v/>
      </c>
      <c r="L551" s="26"/>
    </row>
    <row r="552" customFormat="false" ht="15" hidden="false" customHeight="false" outlineLevel="0" collapsed="false">
      <c r="A552" s="20" t="s">
        <v>237</v>
      </c>
      <c r="E552" s="21" t="str">
        <f aca="false">IF(D552="?OLD","!!!","")</f>
        <v/>
      </c>
      <c r="F552" s="22" t="str">
        <f aca="false">IF(OR(E552="",E552="!!!"),"",IF(NOT(ISNA(VLOOKUP(E552,E$1:E551,1,FALSE()))),"OLD",IF(AND(E552&lt;&gt;"",E552&lt;&gt;"!!!"),"NEW","")))</f>
        <v> </v>
      </c>
      <c r="G552" s="23" t="str">
        <f aca="false">IF(OR(E552="",E552="!!!"),"",IF(OR(J552=0,AND(J552=1,K552=1),AND(J552=1,I552="SBJ"),AND(J552=1,I552=0)),"?IN_FOCUS",IF(J552&lt;=2,"?ACTIVATED",IF(J552&lt;&gt;"","?FAMILIAR",IF(F552="NEW",IF(ISNA(VLOOKUP(E552,#REF!,1,FALSE())),"?TYPE_IDENTIFIABLE","?REFERENTIAL"),"_")))))</f>
        <v/>
      </c>
      <c r="H552" s="24" t="str">
        <f aca="false">IF(J552&lt;&gt;1,"",IF(I552="SBJ","CB","?"))</f>
        <v/>
      </c>
      <c r="I552" s="25" t="str">
        <f aca="false">IF(OR(E552="",E552="!!!",F552="NEW"),"",INDEX(B551:B$2,-1+SUMPRODUCT(MAX(ROW(E551:E$2)*(E552=E551:E$2)))))</f>
        <v> </v>
      </c>
      <c r="J552" s="25" t="str">
        <f aca="true">IF(OR(E552="",E552="!!!",F552="NEW"),"",COUNTBLANK(OFFSET(A$1,,,SUMPRODUCT(MAX(ROW(E$2:E552)*(E552=E$2:E552)))))-COUNTBLANK(OFFSET(A$1,,,SUMPRODUCT(MAX(ROW(E$1:E551)*(E2=E$1:E551))))))</f>
        <v/>
      </c>
      <c r="K552" s="25" t="str">
        <f aca="false">IF(OR(E552="",E552="!!!",F552="NEW"),"",INDEX(J$1:J551,SUMPRODUCT(MAX(ROW(E$1:E551)*(E552=E$1:E551)))))</f>
        <v/>
      </c>
      <c r="L552" s="26"/>
    </row>
    <row r="553" customFormat="false" ht="15" hidden="false" customHeight="false" outlineLevel="0" collapsed="false">
      <c r="A553" s="20" t="s">
        <v>238</v>
      </c>
      <c r="E553" s="21" t="str">
        <f aca="false">IF(D553="?OLD","!!!","")</f>
        <v/>
      </c>
      <c r="F553" s="22" t="str">
        <f aca="false">IF(OR(E553="",E553="!!!"),"",IF(NOT(ISNA(VLOOKUP(E553,E$1:E552,1,FALSE()))),"OLD",IF(AND(E553&lt;&gt;"",E553&lt;&gt;"!!!"),"NEW","")))</f>
        <v>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IF(OR(E553="",E553="!!!",F553="NEW"),"",INDEX(B552:B$2,-1+SUMPRODUCT(MAX(ROW(E552:E$2)*(E553=E552:E$2)))))</f>
        <v> </v>
      </c>
      <c r="J553" s="25" t="str">
        <f aca="true">IF(OR(E553="",E553="!!!",F553="NEW"),"",COUNTBLANK(OFFSET(A$1,,,SUMPRODUCT(MAX(ROW(E$2:E553)*(E553=E$2:E553)))))-COUNTBLANK(OFFSET(A$1,,,SUMPRODUCT(MAX(ROW(E$1:E552)*(E2=E$1:E552))))))</f>
        <v/>
      </c>
      <c r="K553" s="25" t="str">
        <f aca="false">IF(OR(E553="",E553="!!!",F553="NEW"),"",INDEX(J$1:J552,SUMPRODUCT(MAX(ROW(E$1:E552)*(E553=E$1:E552)))))</f>
        <v/>
      </c>
      <c r="L553" s="26"/>
    </row>
    <row r="554" customFormat="false" ht="15" hidden="false" customHeight="false" outlineLevel="0" collapsed="false">
      <c r="A554" s="20" t="s">
        <v>351</v>
      </c>
      <c r="B554" s="27" t="s">
        <v>207</v>
      </c>
      <c r="C554" s="27" t="s">
        <v>233</v>
      </c>
      <c r="D554" s="27" t="s">
        <v>209</v>
      </c>
      <c r="E554" s="21" t="str">
        <f aca="false">IF(D554="?OLD","!!!","")</f>
        <v>!!!</v>
      </c>
      <c r="F554" s="22" t="str">
        <f aca="false">IF(OR(E554="",E554="!!!"),"",IF(NOT(ISNA(VLOOKUP(E554,E$1:E553,1,FALSE()))),"OLD",IF(AND(E554&lt;&gt;"",E554&lt;&gt;"!!!"),"NEW","")))</f>
        <v>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IF(OR(E554="",E554="!!!",F554="NEW"),"",INDEX(B553:B$2,-1+SUMPRODUCT(MAX(ROW(E553:E$2)*(E554=E553:E$2)))))</f>
        <v> </v>
      </c>
      <c r="J554" s="25" t="str">
        <f aca="true">IF(OR(E554="",E554="!!!",F554="NEW"),"",COUNTBLANK(OFFSET(A$1,,,SUMPRODUCT(MAX(ROW(E$2:E554)*(E554=E$2:E554)))))-COUNTBLANK(OFFSET(A$1,,,SUMPRODUCT(MAX(ROW(E$1:E553)*(E2=E$1:E553))))))</f>
        <v/>
      </c>
      <c r="K554" s="25" t="str">
        <f aca="false">IF(OR(E554="",E554="!!!",F554="NEW"),"",INDEX(J$1:J553,SUMPRODUCT(MAX(ROW(E$1:E553)*(E554=E$1:E553)))))</f>
        <v/>
      </c>
      <c r="L554" s="26"/>
    </row>
    <row r="555" customFormat="false" ht="15" hidden="false" customHeight="false" outlineLevel="0" collapsed="false">
      <c r="A555" s="20" t="s">
        <v>285</v>
      </c>
      <c r="E555" s="21" t="str">
        <f aca="false">IF(D555="?OLD","!!!","")</f>
        <v/>
      </c>
      <c r="F555" s="22" t="str">
        <f aca="false">IF(OR(E555="",E555="!!!"),"",IF(NOT(ISNA(VLOOKUP(E555,E$1:E554,1,FALSE()))),"OLD",IF(AND(E555&lt;&gt;"",E555&lt;&gt;"!!!"),"NEW","")))</f>
        <v>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IF(OR(E555="",E555="!!!",F555="NEW"),"",INDEX(B554:B$2,-1+SUMPRODUCT(MAX(ROW(E554:E$2)*(E555=E554:E$2)))))</f>
        <v> </v>
      </c>
      <c r="J555" s="25" t="str">
        <f aca="true">IF(OR(E555="",E555="!!!",F555="NEW"),"",COUNTBLANK(OFFSET(A$1,,,SUMPRODUCT(MAX(ROW(E$2:E555)*(E555=E$2:E555)))))-COUNTBLANK(OFFSET(A$1,,,SUMPRODUCT(MAX(ROW(E$1:E554)*(E2=E$1:E554))))))</f>
        <v/>
      </c>
      <c r="K555" s="25" t="str">
        <f aca="false">IF(OR(E555="",E555="!!!",F555="NEW"),"",INDEX(J$1:J554,SUMPRODUCT(MAX(ROW(E$1:E554)*(E555=E$1:E554)))))</f>
        <v/>
      </c>
      <c r="L555" s="26"/>
    </row>
    <row r="556" customFormat="false" ht="15" hidden="false" customHeight="false" outlineLevel="0" collapsed="false">
      <c r="A556" s="20" t="s">
        <v>395</v>
      </c>
      <c r="E556" s="21" t="str">
        <f aca="false">IF(D556="?OLD","!!!","")</f>
        <v/>
      </c>
      <c r="F556" s="22" t="str">
        <f aca="false">IF(OR(E556="",E556="!!!"),"",IF(NOT(ISNA(VLOOKUP(E556,E$1:E555,1,FALSE()))),"OLD",IF(AND(E556&lt;&gt;"",E556&lt;&gt;"!!!"),"NEW","")))</f>
        <v> </v>
      </c>
      <c r="G556" s="23" t="str">
        <f aca="false">IF(OR(E556="",E556="!!!"),"",IF(OR(J556=0,AND(J556=1,K556=1),AND(J556=1,I556="SBJ"),AND(J556=1,I556=0)),"?IN_FOCUS",IF(J556&lt;=2,"?ACTIVATED",IF(J556&lt;&gt;"","?FAMILIAR",IF(F556="NEW",IF(ISNA(VLOOKUP(E556,#REF!,1,FALSE())),"?TYPE_IDENTIFIABLE","?REFERENTIAL"),"_")))))</f>
        <v/>
      </c>
      <c r="H556" s="24" t="str">
        <f aca="false">IF(J556&lt;&gt;1,"",IF(I556="SBJ","CB","?"))</f>
        <v/>
      </c>
      <c r="I556" s="25" t="str">
        <f aca="false">IF(OR(E556="",E556="!!!",F556="NEW"),"",INDEX(B555:B$2,-1+SUMPRODUCT(MAX(ROW(E555:E$2)*(E556=E555:E$2)))))</f>
        <v> </v>
      </c>
      <c r="J556" s="25" t="str">
        <f aca="true">IF(OR(E556="",E556="!!!",F556="NEW"),"",COUNTBLANK(OFFSET(A$1,,,SUMPRODUCT(MAX(ROW(E$2:E556)*(E556=E$2:E556)))))-COUNTBLANK(OFFSET(A$1,,,SUMPRODUCT(MAX(ROW(E$1:E555)*(E2=E$1:E555))))))</f>
        <v/>
      </c>
      <c r="K556" s="25" t="str">
        <f aca="false">IF(OR(E556="",E556="!!!",F556="NEW"),"",INDEX(J$1:J555,SUMPRODUCT(MAX(ROW(E$1:E555)*(E556=E$1:E555)))))</f>
        <v/>
      </c>
      <c r="L556" s="26"/>
    </row>
    <row r="557" customFormat="false" ht="15" hidden="false" customHeight="false" outlineLevel="0" collapsed="false">
      <c r="A557" s="20" t="s">
        <v>124</v>
      </c>
      <c r="E557" s="21" t="str">
        <f aca="false">IF(D557="?OLD","!!!","")</f>
        <v/>
      </c>
      <c r="F557" s="22" t="str">
        <f aca="false">IF(OR(E557="",E557="!!!"),"",IF(NOT(ISNA(VLOOKUP(E557,E$1:E556,1,FALSE()))),"OLD",IF(AND(E557&lt;&gt;"",E557&lt;&gt;"!!!"),"NEW","")))</f>
        <v> </v>
      </c>
      <c r="G557" s="23" t="str">
        <f aca="false">IF(OR(E557="",E557="!!!"),"",IF(OR(J557=0,AND(J557=1,K557=1),AND(J557=1,I557="SBJ"),AND(J557=1,I557=0)),"?IN_FOCUS",IF(J557&lt;=2,"?ACTIVATED",IF(J557&lt;&gt;"","?FAMILIAR",IF(F557="NEW",IF(ISNA(VLOOKUP(E557,#REF!,1,FALSE())),"?TYPE_IDENTIFIABLE","?REFERENTIAL"),"_")))))</f>
        <v/>
      </c>
      <c r="H557" s="24" t="str">
        <f aca="false">IF(J557&lt;&gt;1,"",IF(I557="SBJ","CB","?"))</f>
        <v/>
      </c>
      <c r="I557" s="25" t="str">
        <f aca="false">IF(OR(E557="",E557="!!!",F557="NEW"),"",INDEX(B556:B$2,-1+SUMPRODUCT(MAX(ROW(E556:E$2)*(E557=E556:E$2)))))</f>
        <v> </v>
      </c>
      <c r="J557" s="25" t="str">
        <f aca="true">IF(OR(E557="",E557="!!!",F557="NEW"),"",COUNTBLANK(OFFSET(A$1,,,SUMPRODUCT(MAX(ROW(E$2:E557)*(E557=E$2:E557)))))-COUNTBLANK(OFFSET(A$1,,,SUMPRODUCT(MAX(ROW(E$1:E556)*(E2=E$1:E556))))))</f>
        <v/>
      </c>
      <c r="K557" s="25" t="str">
        <f aca="false">IF(OR(E557="",E557="!!!",F557="NEW"),"",INDEX(J$1:J556,SUMPRODUCT(MAX(ROW(E$1:E556)*(E557=E$1:E556)))))</f>
        <v/>
      </c>
      <c r="L557" s="26"/>
    </row>
    <row r="558" customFormat="false" ht="15" hidden="false" customHeight="false" outlineLevel="0" collapsed="false">
      <c r="A558" s="20" t="s">
        <v>281</v>
      </c>
      <c r="B558" s="27" t="s">
        <v>220</v>
      </c>
      <c r="C558" s="27" t="s">
        <v>282</v>
      </c>
      <c r="D558" s="27" t="s">
        <v>209</v>
      </c>
      <c r="E558" s="21" t="str">
        <f aca="false">IF(D558="?OLD","!!!","")</f>
        <v>!!!</v>
      </c>
      <c r="F558" s="22" t="str">
        <f aca="false">IF(OR(E558="",E558="!!!"),"",IF(NOT(ISNA(VLOOKUP(E558,E$1:E557,1,FALSE()))),"OLD",IF(AND(E558&lt;&gt;"",E558&lt;&gt;"!!!"),"NEW","")))</f>
        <v>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IF(OR(E558="",E558="!!!",F558="NEW"),"",INDEX(B557:B$2,-1+SUMPRODUCT(MAX(ROW(E557:E$2)*(E558=E557:E$2)))))</f>
        <v> </v>
      </c>
      <c r="J558" s="25" t="str">
        <f aca="true">IF(OR(E558="",E558="!!!",F558="NEW"),"",COUNTBLANK(OFFSET(A$1,,,SUMPRODUCT(MAX(ROW(E$2:E558)*(E558=E$2:E558)))))-COUNTBLANK(OFFSET(A$1,,,SUMPRODUCT(MAX(ROW(E$1:E557)*(E2=E$1:E557))))))</f>
        <v/>
      </c>
      <c r="K558" s="25" t="str">
        <f aca="false">IF(OR(E558="",E558="!!!",F558="NEW"),"",INDEX(J$1:J557,SUMPRODUCT(MAX(ROW(E$1:E557)*(E558=E$1:E557)))))</f>
        <v/>
      </c>
      <c r="L558" s="26"/>
    </row>
    <row r="559" customFormat="false" ht="15" hidden="false" customHeight="false" outlineLevel="0" collapsed="false">
      <c r="A559" s="20" t="s">
        <v>396</v>
      </c>
      <c r="B559" s="27" t="s">
        <v>278</v>
      </c>
      <c r="C559" s="27" t="s">
        <v>284</v>
      </c>
      <c r="D559" s="27" t="s">
        <v>209</v>
      </c>
      <c r="E559" s="21" t="str">
        <f aca="false">IF(D559="?OLD","!!!","")</f>
        <v>!!!</v>
      </c>
      <c r="F559" s="22" t="str">
        <f aca="false">IF(OR(E559="",E559="!!!"),"",IF(NOT(ISNA(VLOOKUP(E559,E$1:E558,1,FALSE()))),"OLD",IF(AND(E559&lt;&gt;"",E559&lt;&gt;"!!!"),"NEW","")))</f>
        <v> </v>
      </c>
      <c r="G559" s="23" t="str">
        <f aca="false">IF(OR(E559="",E559="!!!"),"",IF(OR(J559=0,AND(J559=1,K559=1),AND(J559=1,I559="SBJ"),AND(J559=1,I559=0)),"?IN_FOCUS",IF(J559&lt;=2,"?ACTIVATED",IF(J559&lt;&gt;"","?FAMILIAR",IF(F559="NEW",IF(ISNA(VLOOKUP(E559,#REF!,1,FALSE())),"?TYPE_IDENTIFIABLE","?REFERENTIAL"),"_")))))</f>
        <v/>
      </c>
      <c r="H559" s="24" t="str">
        <f aca="false">IF(J559&lt;&gt;1,"",IF(I559="SBJ","CB","?"))</f>
        <v/>
      </c>
      <c r="I559" s="25" t="str">
        <f aca="false">IF(OR(E559="",E559="!!!",F559="NEW"),"",INDEX(B558:B$2,-1+SUMPRODUCT(MAX(ROW(E558:E$2)*(E559=E558:E$2)))))</f>
        <v> </v>
      </c>
      <c r="J559" s="25" t="str">
        <f aca="true">IF(OR(E559="",E559="!!!",F559="NEW"),"",COUNTBLANK(OFFSET(A$1,,,SUMPRODUCT(MAX(ROW(E$2:E559)*(E559=E$2:E559)))))-COUNTBLANK(OFFSET(A$1,,,SUMPRODUCT(MAX(ROW(E$1:E558)*(E2=E$1:E558))))))</f>
        <v/>
      </c>
      <c r="K559" s="25" t="str">
        <f aca="false">IF(OR(E559="",E559="!!!",F559="NEW"),"",INDEX(J$1:J558,SUMPRODUCT(MAX(ROW(E$1:E558)*(E559=E$1:E558)))))</f>
        <v/>
      </c>
      <c r="L559" s="26"/>
    </row>
    <row r="560" customFormat="false" ht="15" hidden="false" customHeight="false" outlineLevel="0" collapsed="false">
      <c r="A560" s="20" t="s">
        <v>261</v>
      </c>
      <c r="E560" s="21" t="str">
        <f aca="false">IF(D560="?OLD","!!!","")</f>
        <v/>
      </c>
      <c r="F560" s="22" t="str">
        <f aca="false">IF(OR(E560="",E560="!!!"),"",IF(NOT(ISNA(VLOOKUP(E560,E$1:E559,1,FALSE()))),"OLD",IF(AND(E560&lt;&gt;"",E560&lt;&gt;"!!!"),"NEW","")))</f>
        <v> </v>
      </c>
      <c r="G560" s="23" t="str">
        <f aca="false">IF(OR(E560="",E560="!!!"),"",IF(OR(J560=0,AND(J560=1,K560=1),AND(J560=1,I560="SBJ"),AND(J560=1,I560=0)),"?IN_FOCUS",IF(J560&lt;=2,"?ACTIVATED",IF(J560&lt;&gt;"","?FAMILIAR",IF(F560="NEW",IF(ISNA(VLOOKUP(E560,#REF!,1,FALSE())),"?TYPE_IDENTIFIABLE","?REFERENTIAL"),"_")))))</f>
        <v/>
      </c>
      <c r="H560" s="24" t="str">
        <f aca="false">IF(J560&lt;&gt;1,"",IF(I560="SBJ","CB","?"))</f>
        <v/>
      </c>
      <c r="I560" s="25" t="str">
        <f aca="false">IF(OR(E560="",E560="!!!",F560="NEW"),"",INDEX(B559:B$2,-1+SUMPRODUCT(MAX(ROW(E559:E$2)*(E560=E559:E$2)))))</f>
        <v> </v>
      </c>
      <c r="J560" s="25" t="str">
        <f aca="true">IF(OR(E560="",E560="!!!",F560="NEW"),"",COUNTBLANK(OFFSET(A$1,,,SUMPRODUCT(MAX(ROW(E$2:E560)*(E560=E$2:E560)))))-COUNTBLANK(OFFSET(A$1,,,SUMPRODUCT(MAX(ROW(E$1:E559)*(E2=E$1:E559))))))</f>
        <v/>
      </c>
      <c r="K560" s="25" t="str">
        <f aca="false">IF(OR(E560="",E560="!!!",F560="NEW"),"",INDEX(J$1:J559,SUMPRODUCT(MAX(ROW(E$1:E559)*(E560=E$1:E559)))))</f>
        <v/>
      </c>
      <c r="L560" s="26"/>
    </row>
    <row r="561" customFormat="false" ht="15" hidden="false" customHeight="false" outlineLevel="0" collapsed="false">
      <c r="A561" s="20" t="s">
        <v>397</v>
      </c>
      <c r="B561" s="27" t="s">
        <v>216</v>
      </c>
      <c r="C561" s="27" t="s">
        <v>297</v>
      </c>
      <c r="E561" s="21" t="str">
        <f aca="false">IF(D561="?OLD","!!!","")</f>
        <v/>
      </c>
      <c r="F561" s="22" t="str">
        <f aca="false">IF(OR(E561="",E561="!!!"),"",IF(NOT(ISNA(VLOOKUP(E561,E$1:E560,1,FALSE()))),"OLD",IF(AND(E561&lt;&gt;"",E561&lt;&gt;"!!!"),"NEW","")))</f>
        <v> </v>
      </c>
      <c r="G561" s="23" t="str">
        <f aca="false">IF(OR(E561="",E561="!!!"),"",IF(OR(J561=0,AND(J561=1,K561=1),AND(J561=1,I561="SBJ"),AND(J561=1,I561=0)),"?IN_FOCUS",IF(J561&lt;=2,"?ACTIVATED",IF(J561&lt;&gt;"","?FAMILIAR",IF(F561="NEW",IF(ISNA(VLOOKUP(E561,#REF!,1,FALSE())),"?TYPE_IDENTIFIABLE","?REFERENTIAL"),"_")))))</f>
        <v/>
      </c>
      <c r="H561" s="24" t="str">
        <f aca="false">IF(J561&lt;&gt;1,"",IF(I561="SBJ","CB","?"))</f>
        <v/>
      </c>
      <c r="I561" s="25" t="str">
        <f aca="false">IF(OR(E561="",E561="!!!",F561="NEW"),"",INDEX(B560:B$2,-1+SUMPRODUCT(MAX(ROW(E560:E$2)*(E561=E560:E$2)))))</f>
        <v> </v>
      </c>
      <c r="J561" s="25" t="str">
        <f aca="true">IF(OR(E561="",E561="!!!",F561="NEW"),"",COUNTBLANK(OFFSET(A$1,,,SUMPRODUCT(MAX(ROW(E$2:E561)*(E561=E$2:E561)))))-COUNTBLANK(OFFSET(A$1,,,SUMPRODUCT(MAX(ROW(E$1:E560)*(E2=E$1:E560))))))</f>
        <v/>
      </c>
      <c r="K561" s="25" t="str">
        <f aca="false">IF(OR(E561="",E561="!!!",F561="NEW"),"",INDEX(J$1:J560,SUMPRODUCT(MAX(ROW(E$1:E560)*(E561=E$1:E560)))))</f>
        <v/>
      </c>
      <c r="L561" s="26"/>
    </row>
    <row r="562" customFormat="false" ht="15" hidden="false" customHeight="false" outlineLevel="0" collapsed="false">
      <c r="A562" s="20" t="s">
        <v>229</v>
      </c>
      <c r="E562" s="21" t="str">
        <f aca="false">IF(D562="?OLD","!!!","")</f>
        <v/>
      </c>
      <c r="F562" s="22" t="str">
        <f aca="false">IF(OR(E562="",E562="!!!"),"",IF(NOT(ISNA(VLOOKUP(E562,E$1:E561,1,FALSE()))),"OLD",IF(AND(E562&lt;&gt;"",E562&lt;&gt;"!!!"),"NEW","")))</f>
        <v> </v>
      </c>
      <c r="G562" s="23" t="str">
        <f aca="false">IF(OR(E562="",E562="!!!"),"",IF(OR(J562=0,AND(J562=1,K562=1),AND(J562=1,I562="SBJ"),AND(J562=1,I562=0)),"?IN_FOCUS",IF(J562&lt;=2,"?ACTIVATED",IF(J562&lt;&gt;"","?FAMILIAR",IF(F562="NEW",IF(ISNA(VLOOKUP(E562,#REF!,1,FALSE())),"?TYPE_IDENTIFIABLE","?REFERENTIAL"),"_")))))</f>
        <v/>
      </c>
      <c r="H562" s="24" t="str">
        <f aca="false">IF(J562&lt;&gt;1,"",IF(I562="SBJ","CB","?"))</f>
        <v/>
      </c>
      <c r="I562" s="25" t="str">
        <f aca="false">IF(OR(E562="",E562="!!!",F562="NEW"),"",INDEX(B561:B$2,-1+SUMPRODUCT(MAX(ROW(E561:E$2)*(E562=E561:E$2)))))</f>
        <v> </v>
      </c>
      <c r="J562" s="25" t="str">
        <f aca="true">IF(OR(E562="",E562="!!!",F562="NEW"),"",COUNTBLANK(OFFSET(A$1,,,SUMPRODUCT(MAX(ROW(E$2:E562)*(E562=E$2:E562)))))-COUNTBLANK(OFFSET(A$1,,,SUMPRODUCT(MAX(ROW(E$1:E561)*(E2=E$1:E561))))))</f>
        <v/>
      </c>
      <c r="K562" s="25" t="str">
        <f aca="false">IF(OR(E562="",E562="!!!",F562="NEW"),"",INDEX(J$1:J561,SUMPRODUCT(MAX(ROW(E$1:E561)*(E562=E$1:E561)))))</f>
        <v/>
      </c>
      <c r="L562" s="26"/>
    </row>
    <row r="563" customFormat="false" ht="15" hidden="false" customHeight="false" outlineLevel="0" collapsed="false">
      <c r="A563" s="20"/>
    </row>
    <row r="564" customFormat="false" ht="15" hidden="false" customHeight="false" outlineLevel="0" collapsed="false">
      <c r="A564" s="20" t="s">
        <v>398</v>
      </c>
    </row>
    <row r="565" customFormat="false" ht="15" hidden="false" customHeight="false" outlineLevel="0" collapsed="false">
      <c r="A565" s="20" t="s">
        <v>399</v>
      </c>
      <c r="E565" s="21" t="str">
        <f aca="false">IF(D565="?OLD","!!!","")</f>
        <v/>
      </c>
      <c r="F565" s="22" t="str">
        <f aca="false">IF(OR(E565="",E565="!!!"),"",IF(NOT(ISNA(VLOOKUP(E565,E$1:E564,1,FALSE()))),"OLD",IF(AND(E565&lt;&gt;"",E565&lt;&gt;"!!!"),"NEW","")))</f>
        <v> </v>
      </c>
      <c r="G565" s="23" t="str">
        <f aca="false">IF(OR(E565="",E565="!!!"),"",IF(OR(J565=0,AND(J565=1,K565=1),AND(J565=1,I565="SBJ"),AND(J565=1,I565=0)),"?IN_FOCUS",IF(J565&lt;=2,"?ACTIVATED",IF(J565&lt;&gt;"","?FAMILIAR",IF(F565="NEW",IF(ISNA(VLOOKUP(E565,#REF!,1,FALSE())),"?TYPE_IDENTIFIABLE","?REFERENTIAL"),"_")))))</f>
        <v/>
      </c>
      <c r="H565" s="24" t="str">
        <f aca="false">IF(J565&lt;&gt;1,"",IF(I565="SBJ","CB","?"))</f>
        <v/>
      </c>
      <c r="I565" s="25" t="str">
        <f aca="false">IF(OR(E565="",E565="!!!",F565="NEW"),"",INDEX(B564:B$2,-1+SUMPRODUCT(MAX(ROW(E564:E$2)*(E565=E564:E$2)))))</f>
        <v> </v>
      </c>
      <c r="J565" s="25" t="str">
        <f aca="true">IF(OR(E565="",E565="!!!",F565="NEW"),"",COUNTBLANK(OFFSET(A$1,,,SUMPRODUCT(MAX(ROW(E$2:E565)*(E565=E$2:E565)))))-COUNTBLANK(OFFSET(A$1,,,SUMPRODUCT(MAX(ROW(E$1:E564)*(E2=E$1:E564))))))</f>
        <v/>
      </c>
      <c r="K565" s="25" t="str">
        <f aca="false">IF(OR(E565="",E565="!!!",F565="NEW"),"",INDEX(J$1:J564,SUMPRODUCT(MAX(ROW(E$1:E564)*(E565=E$1:E564)))))</f>
        <v/>
      </c>
      <c r="L565" s="26"/>
    </row>
    <row r="566" customFormat="false" ht="15" hidden="false" customHeight="false" outlineLevel="0" collapsed="false">
      <c r="A566" s="20" t="s">
        <v>396</v>
      </c>
      <c r="B566" s="27" t="s">
        <v>216</v>
      </c>
      <c r="C566" s="27" t="s">
        <v>297</v>
      </c>
      <c r="E566" s="21" t="str">
        <f aca="false">IF(D566="?OLD","!!!","")</f>
        <v/>
      </c>
      <c r="F566" s="22" t="str">
        <f aca="false">IF(OR(E566="",E566="!!!"),"",IF(NOT(ISNA(VLOOKUP(E566,E$1:E565,1,FALSE()))),"OLD",IF(AND(E566&lt;&gt;"",E566&lt;&gt;"!!!"),"NEW","")))</f>
        <v> </v>
      </c>
      <c r="G566" s="23" t="str">
        <f aca="false">IF(OR(E566="",E566="!!!"),"",IF(OR(J566=0,AND(J566=1,K566=1),AND(J566=1,I566="SBJ"),AND(J566=1,I566=0)),"?IN_FOCUS",IF(J566&lt;=2,"?ACTIVATED",IF(J566&lt;&gt;"","?FAMILIAR",IF(F566="NEW",IF(ISNA(VLOOKUP(E566,#REF!,1,FALSE())),"?TYPE_IDENTIFIABLE","?REFERENTIAL"),"_")))))</f>
        <v/>
      </c>
      <c r="H566" s="24" t="str">
        <f aca="false">IF(J566&lt;&gt;1,"",IF(I566="SBJ","CB","?"))</f>
        <v/>
      </c>
      <c r="I566" s="25" t="str">
        <f aca="false">IF(OR(E566="",E566="!!!",F566="NEW"),"",INDEX(B565:B$2,-1+SUMPRODUCT(MAX(ROW(E565:E$2)*(E566=E565:E$2)))))</f>
        <v> </v>
      </c>
      <c r="J566" s="25" t="str">
        <f aca="true">IF(OR(E566="",E566="!!!",F566="NEW"),"",COUNTBLANK(OFFSET(A$1,,,SUMPRODUCT(MAX(ROW(E$2:E566)*(E566=E$2:E566)))))-COUNTBLANK(OFFSET(A$1,,,SUMPRODUCT(MAX(ROW(E$1:E565)*(E2=E$1:E565))))))</f>
        <v/>
      </c>
      <c r="K566" s="25" t="str">
        <f aca="false">IF(OR(E566="",E566="!!!",F566="NEW"),"",INDEX(J$1:J565,SUMPRODUCT(MAX(ROW(E$1:E565)*(E566=E$1:E565)))))</f>
        <v/>
      </c>
      <c r="L566" s="26"/>
    </row>
    <row r="567" customFormat="false" ht="15" hidden="false" customHeight="false" outlineLevel="0" collapsed="false">
      <c r="A567" s="20" t="s">
        <v>266</v>
      </c>
      <c r="B567" s="27" t="s">
        <v>207</v>
      </c>
      <c r="C567" s="27" t="s">
        <v>233</v>
      </c>
      <c r="D567" s="27" t="s">
        <v>209</v>
      </c>
      <c r="E567" s="21" t="str">
        <f aca="false">IF(D567="?OLD","!!!","")</f>
        <v>!!!</v>
      </c>
      <c r="F567" s="22" t="str">
        <f aca="false">IF(OR(E567="",E567="!!!"),"",IF(NOT(ISNA(VLOOKUP(E567,E$1:E566,1,FALSE()))),"OLD",IF(AND(E567&lt;&gt;"",E567&lt;&gt;"!!!"),"NEW","")))</f>
        <v> </v>
      </c>
      <c r="G567" s="23" t="str">
        <f aca="false">IF(OR(E567="",E567="!!!"),"",IF(OR(J567=0,AND(J567=1,K567=1),AND(J567=1,I567="SBJ"),AND(J567=1,I567=0)),"?IN_FOCUS",IF(J567&lt;=2,"?ACTIVATED",IF(J567&lt;&gt;"","?FAMILIAR",IF(F567="NEW",IF(ISNA(VLOOKUP(E567,#REF!,1,FALSE())),"?TYPE_IDENTIFIABLE","?REFERENTIAL"),"_")))))</f>
        <v/>
      </c>
      <c r="H567" s="24" t="str">
        <f aca="false">IF(J567&lt;&gt;1,"",IF(I567="SBJ","CB","?"))</f>
        <v/>
      </c>
      <c r="I567" s="25" t="str">
        <f aca="false">IF(OR(E567="",E567="!!!",F567="NEW"),"",INDEX(B566:B$2,-1+SUMPRODUCT(MAX(ROW(E566:E$2)*(E567=E566:E$2)))))</f>
        <v> </v>
      </c>
      <c r="J567" s="25" t="str">
        <f aca="true">IF(OR(E567="",E567="!!!",F567="NEW"),"",COUNTBLANK(OFFSET(A$1,,,SUMPRODUCT(MAX(ROW(E$2:E567)*(E567=E$2:E567)))))-COUNTBLANK(OFFSET(A$1,,,SUMPRODUCT(MAX(ROW(E$1:E566)*(E2=E$1:E566))))))</f>
        <v/>
      </c>
      <c r="K567" s="25" t="str">
        <f aca="false">IF(OR(E567="",E567="!!!",F567="NEW"),"",INDEX(J$1:J566,SUMPRODUCT(MAX(ROW(E$1:E566)*(E567=E$1:E566)))))</f>
        <v/>
      </c>
      <c r="L567" s="26"/>
    </row>
    <row r="568" customFormat="false" ht="15" hidden="false" customHeight="false" outlineLevel="0" collapsed="false">
      <c r="A568" s="20" t="s">
        <v>285</v>
      </c>
      <c r="E568" s="21" t="str">
        <f aca="false">IF(D568="?OLD","!!!","")</f>
        <v/>
      </c>
      <c r="F568" s="22" t="str">
        <f aca="false">IF(OR(E568="",E568="!!!"),"",IF(NOT(ISNA(VLOOKUP(E568,E$1:E567,1,FALSE()))),"OLD",IF(AND(E568&lt;&gt;"",E568&lt;&gt;"!!!"),"NEW","")))</f>
        <v> </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IF(OR(E568="",E568="!!!",F568="NEW"),"",INDEX(B567:B$2,-1+SUMPRODUCT(MAX(ROW(E567:E$2)*(E568=E567:E$2)))))</f>
        <v> </v>
      </c>
      <c r="J568" s="25" t="str">
        <f aca="true">IF(OR(E568="",E568="!!!",F568="NEW"),"",COUNTBLANK(OFFSET(A$1,,,SUMPRODUCT(MAX(ROW(E$2:E568)*(E568=E$2:E568)))))-COUNTBLANK(OFFSET(A$1,,,SUMPRODUCT(MAX(ROW(E$1:E567)*(E2=E$1:E567))))))</f>
        <v/>
      </c>
      <c r="K568" s="25" t="str">
        <f aca="false">IF(OR(E568="",E568="!!!",F568="NEW"),"",INDEX(J$1:J567,SUMPRODUCT(MAX(ROW(E$1:E567)*(E568=E$1:E567)))))</f>
        <v/>
      </c>
      <c r="L568" s="26"/>
    </row>
    <row r="569" customFormat="false" ht="15" hidden="false" customHeight="false" outlineLevel="0" collapsed="false">
      <c r="A569" s="20" t="s">
        <v>130</v>
      </c>
      <c r="E569" s="21" t="str">
        <f aca="false">IF(D569="?OLD","!!!","")</f>
        <v/>
      </c>
      <c r="F569" s="22" t="str">
        <f aca="false">IF(OR(E569="",E569="!!!"),"",IF(NOT(ISNA(VLOOKUP(E569,E$1:E568,1,FALSE()))),"OLD",IF(AND(E569&lt;&gt;"",E569&lt;&gt;"!!!"),"NEW","")))</f>
        <v> </v>
      </c>
      <c r="G569" s="23" t="str">
        <f aca="false">IF(OR(E569="",E569="!!!"),"",IF(OR(J569=0,AND(J569=1,K569=1),AND(J569=1,I569="SBJ"),AND(J569=1,I569=0)),"?IN_FOCUS",IF(J569&lt;=2,"?ACTIVATED",IF(J569&lt;&gt;"","?FAMILIAR",IF(F569="NEW",IF(ISNA(VLOOKUP(E569,#REF!,1,FALSE())),"?TYPE_IDENTIFIABLE","?REFERENTIAL"),"_")))))</f>
        <v/>
      </c>
      <c r="H569" s="24" t="str">
        <f aca="false">IF(J569&lt;&gt;1,"",IF(I569="SBJ","CB","?"))</f>
        <v/>
      </c>
      <c r="I569" s="25" t="str">
        <f aca="false">IF(OR(E569="",E569="!!!",F569="NEW"),"",INDEX(B568:B$2,-1+SUMPRODUCT(MAX(ROW(E568:E$2)*(E569=E568:E$2)))))</f>
        <v> </v>
      </c>
      <c r="J569" s="25" t="str">
        <f aca="true">IF(OR(E569="",E569="!!!",F569="NEW"),"",COUNTBLANK(OFFSET(A$1,,,SUMPRODUCT(MAX(ROW(E$2:E569)*(E569=E$2:E569)))))-COUNTBLANK(OFFSET(A$1,,,SUMPRODUCT(MAX(ROW(E$1:E568)*(E2=E$1:E568))))))</f>
        <v/>
      </c>
      <c r="K569" s="25" t="str">
        <f aca="false">IF(OR(E569="",E569="!!!",F569="NEW"),"",INDEX(J$1:J568,SUMPRODUCT(MAX(ROW(E$1:E568)*(E569=E$1:E568)))))</f>
        <v/>
      </c>
      <c r="L569" s="26"/>
    </row>
    <row r="570" customFormat="false" ht="15" hidden="false" customHeight="false" outlineLevel="0" collapsed="false">
      <c r="A570" s="20" t="s">
        <v>400</v>
      </c>
      <c r="E570" s="21" t="str">
        <f aca="false">IF(D570="?OLD","!!!","")</f>
        <v/>
      </c>
      <c r="F570" s="22" t="str">
        <f aca="false">IF(OR(E570="",E570="!!!"),"",IF(NOT(ISNA(VLOOKUP(E570,E$1:E569,1,FALSE()))),"OLD",IF(AND(E570&lt;&gt;"",E570&lt;&gt;"!!!"),"NEW","")))</f>
        <v> </v>
      </c>
      <c r="G570" s="23" t="str">
        <f aca="false">IF(OR(E570="",E570="!!!"),"",IF(OR(J570=0,AND(J570=1,K570=1),AND(J570=1,I570="SBJ"),AND(J570=1,I570=0)),"?IN_FOCUS",IF(J570&lt;=2,"?ACTIVATED",IF(J570&lt;&gt;"","?FAMILIAR",IF(F570="NEW",IF(ISNA(VLOOKUP(E570,#REF!,1,FALSE())),"?TYPE_IDENTIFIABLE","?REFERENTIAL"),"_")))))</f>
        <v/>
      </c>
      <c r="H570" s="24" t="str">
        <f aca="false">IF(J570&lt;&gt;1,"",IF(I570="SBJ","CB","?"))</f>
        <v/>
      </c>
      <c r="I570" s="25" t="str">
        <f aca="false">IF(OR(E570="",E570="!!!",F570="NEW"),"",INDEX(B569:B$2,-1+SUMPRODUCT(MAX(ROW(E569:E$2)*(E570=E569:E$2)))))</f>
        <v> </v>
      </c>
      <c r="J570" s="25" t="str">
        <f aca="true">IF(OR(E570="",E570="!!!",F570="NEW"),"",COUNTBLANK(OFFSET(A$1,,,SUMPRODUCT(MAX(ROW(E$2:E570)*(E570=E$2:E570)))))-COUNTBLANK(OFFSET(A$1,,,SUMPRODUCT(MAX(ROW(E$1:E569)*(E2=E$1:E569))))))</f>
        <v/>
      </c>
      <c r="K570" s="25" t="str">
        <f aca="false">IF(OR(E570="",E570="!!!",F570="NEW"),"",INDEX(J$1:J569,SUMPRODUCT(MAX(ROW(E$1:E569)*(E570=E$1:E569)))))</f>
        <v/>
      </c>
      <c r="L570" s="26"/>
    </row>
    <row r="571" customFormat="false" ht="15" hidden="false" customHeight="false" outlineLevel="0" collapsed="false">
      <c r="A571" s="20" t="s">
        <v>401</v>
      </c>
      <c r="B571" s="27" t="s">
        <v>278</v>
      </c>
      <c r="C571" s="27" t="s">
        <v>297</v>
      </c>
      <c r="E571" s="21" t="str">
        <f aca="false">IF(D571="?OLD","!!!","")</f>
        <v/>
      </c>
      <c r="F571" s="22" t="str">
        <f aca="false">IF(OR(E571="",E571="!!!"),"",IF(NOT(ISNA(VLOOKUP(E571,E$1:E570,1,FALSE()))),"OLD",IF(AND(E571&lt;&gt;"",E571&lt;&gt;"!!!"),"NEW","")))</f>
        <v> </v>
      </c>
      <c r="G571" s="23" t="str">
        <f aca="false">IF(OR(E571="",E571="!!!"),"",IF(OR(J571=0,AND(J571=1,K571=1),AND(J571=1,I571="SBJ"),AND(J571=1,I571=0)),"?IN_FOCUS",IF(J571&lt;=2,"?ACTIVATED",IF(J571&lt;&gt;"","?FAMILIAR",IF(F571="NEW",IF(ISNA(VLOOKUP(E571,#REF!,1,FALSE())),"?TYPE_IDENTIFIABLE","?REFERENTIAL"),"_")))))</f>
        <v/>
      </c>
      <c r="H571" s="24" t="str">
        <f aca="false">IF(J571&lt;&gt;1,"",IF(I571="SBJ","CB","?"))</f>
        <v/>
      </c>
      <c r="I571" s="25" t="str">
        <f aca="false">IF(OR(E571="",E571="!!!",F571="NEW"),"",INDEX(B570:B$2,-1+SUMPRODUCT(MAX(ROW(E570:E$2)*(E571=E570:E$2)))))</f>
        <v> </v>
      </c>
      <c r="J571" s="25" t="str">
        <f aca="true">IF(OR(E571="",E571="!!!",F571="NEW"),"",COUNTBLANK(OFFSET(A$1,,,SUMPRODUCT(MAX(ROW(E$2:E571)*(E571=E$2:E571)))))-COUNTBLANK(OFFSET(A$1,,,SUMPRODUCT(MAX(ROW(E$1:E570)*(E2=E$1:E570))))))</f>
        <v/>
      </c>
      <c r="K571" s="25" t="str">
        <f aca="false">IF(OR(E571="",E571="!!!",F571="NEW"),"",INDEX(J$1:J570,SUMPRODUCT(MAX(ROW(E$1:E570)*(E571=E$1:E570)))))</f>
        <v/>
      </c>
      <c r="L571" s="26"/>
    </row>
    <row r="572" customFormat="false" ht="15" hidden="false" customHeight="false" outlineLevel="0" collapsed="false">
      <c r="A572" s="20" t="s">
        <v>229</v>
      </c>
      <c r="E572" s="21" t="str">
        <f aca="false">IF(D572="?OLD","!!!","")</f>
        <v/>
      </c>
      <c r="F572" s="22" t="str">
        <f aca="false">IF(OR(E572="",E572="!!!"),"",IF(NOT(ISNA(VLOOKUP(E572,E$1:E571,1,FALSE()))),"OLD",IF(AND(E572&lt;&gt;"",E572&lt;&gt;"!!!"),"NEW","")))</f>
        <v> </v>
      </c>
      <c r="G572" s="23" t="str">
        <f aca="false">IF(OR(E572="",E572="!!!"),"",IF(OR(J572=0,AND(J572=1,K572=1),AND(J572=1,I572="SBJ"),AND(J572=1,I572=0)),"?IN_FOCUS",IF(J572&lt;=2,"?ACTIVATED",IF(J572&lt;&gt;"","?FAMILIAR",IF(F572="NEW",IF(ISNA(VLOOKUP(E572,#REF!,1,FALSE())),"?TYPE_IDENTIFIABLE","?REFERENTIAL"),"_")))))</f>
        <v/>
      </c>
      <c r="H572" s="24" t="str">
        <f aca="false">IF(J572&lt;&gt;1,"",IF(I572="SBJ","CB","?"))</f>
        <v/>
      </c>
      <c r="I572" s="25" t="str">
        <f aca="false">IF(OR(E572="",E572="!!!",F572="NEW"),"",INDEX(B571:B$2,-1+SUMPRODUCT(MAX(ROW(E571:E$2)*(E572=E571:E$2)))))</f>
        <v> </v>
      </c>
      <c r="J572" s="25" t="str">
        <f aca="true">IF(OR(E572="",E572="!!!",F572="NEW"),"",COUNTBLANK(OFFSET(A$1,,,SUMPRODUCT(MAX(ROW(E$2:E572)*(E572=E$2:E572)))))-COUNTBLANK(OFFSET(A$1,,,SUMPRODUCT(MAX(ROW(E$1:E571)*(E2=E$1:E571))))))</f>
        <v/>
      </c>
      <c r="K572" s="25" t="str">
        <f aca="false">IF(OR(E572="",E572="!!!",F572="NEW"),"",INDEX(J$1:J571,SUMPRODUCT(MAX(ROW(E$1:E571)*(E572=E$1:E571)))))</f>
        <v/>
      </c>
      <c r="L572" s="26"/>
    </row>
    <row r="573" customFormat="false" ht="15" hidden="false" customHeight="false" outlineLevel="0" collapsed="false">
      <c r="A573" s="20"/>
    </row>
    <row r="574" customFormat="false" ht="15" hidden="false" customHeight="false" outlineLevel="0" collapsed="false">
      <c r="A574" s="20" t="s">
        <v>230</v>
      </c>
      <c r="E574" s="21" t="str">
        <f aca="false">IF(D574="?OLD","!!!","")</f>
        <v/>
      </c>
      <c r="F574" s="22" t="str">
        <f aca="false">IF(OR(E574="",E574="!!!"),"",IF(NOT(ISNA(VLOOKUP(E574,E$1:E573,1,FALSE()))),"OLD",IF(AND(E574&lt;&gt;"",E574&lt;&gt;"!!!"),"NEW","")))</f>
        <v> </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IF(OR(E574="",E574="!!!",F574="NEW"),"",INDEX(B573:B$2,-1+SUMPRODUCT(MAX(ROW(E573:E$2)*(E574=E573:E$2)))))</f>
        <v> </v>
      </c>
      <c r="J574" s="25" t="str">
        <f aca="true">IF(OR(E574="",E574="!!!",F574="NEW"),"",COUNTBLANK(OFFSET(A$1,,,SUMPRODUCT(MAX(ROW(E$2:E574)*(E574=E$2:E574)))))-COUNTBLANK(OFFSET(A$1,,,SUMPRODUCT(MAX(ROW(E$1:E573)*(E2=E$1:E573))))))</f>
        <v/>
      </c>
      <c r="K574" s="25" t="str">
        <f aca="false">IF(OR(E574="",E574="!!!",F574="NEW"),"",INDEX(J$1:J573,SUMPRODUCT(MAX(ROW(E$1:E573)*(E574=E$1:E573)))))</f>
        <v/>
      </c>
      <c r="L574" s="26"/>
    </row>
    <row r="575" customFormat="false" ht="15" hidden="false" customHeight="false" outlineLevel="0" collapsed="false">
      <c r="A575" s="20" t="s">
        <v>402</v>
      </c>
    </row>
    <row r="576" customFormat="false" ht="15" hidden="false" customHeight="false" outlineLevel="0" collapsed="false">
      <c r="A576" s="20" t="s">
        <v>403</v>
      </c>
      <c r="B576" s="27" t="s">
        <v>220</v>
      </c>
      <c r="C576" s="27" t="s">
        <v>282</v>
      </c>
      <c r="D576" s="27" t="s">
        <v>209</v>
      </c>
      <c r="E576" s="21" t="str">
        <f aca="false">IF(D576="?OLD","!!!","")</f>
        <v>!!!</v>
      </c>
      <c r="F576" s="22" t="str">
        <f aca="false">IF(OR(E576="",E576="!!!"),"",IF(NOT(ISNA(VLOOKUP(E576,E$1:E575,1,FALSE()))),"OLD",IF(AND(E576&lt;&gt;"",E576&lt;&gt;"!!!"),"NEW","")))</f>
        <v> </v>
      </c>
      <c r="G576" s="23" t="str">
        <f aca="false">IF(OR(E576="",E576="!!!"),"",IF(OR(J576=0,AND(J576=1,K576=1),AND(J576=1,I576="SBJ"),AND(J576=1,I576=0)),"?IN_FOCUS",IF(J576&lt;=2,"?ACTIVATED",IF(J576&lt;&gt;"","?FAMILIAR",IF(F576="NEW",IF(ISNA(VLOOKUP(E576,#REF!,1,FALSE())),"?TYPE_IDENTIFIABLE","?REFERENTIAL"),"_")))))</f>
        <v/>
      </c>
      <c r="H576" s="24" t="str">
        <f aca="false">IF(J576&lt;&gt;1,"",IF(I576="SBJ","CB","?"))</f>
        <v/>
      </c>
      <c r="I576" s="25" t="str">
        <f aca="false">IF(OR(E576="",E576="!!!",F576="NEW"),"",INDEX(B575:B$2,-1+SUMPRODUCT(MAX(ROW(E575:E$2)*(E576=E575:E$2)))))</f>
        <v> </v>
      </c>
      <c r="J576" s="25" t="str">
        <f aca="true">IF(OR(E576="",E576="!!!",F576="NEW"),"",COUNTBLANK(OFFSET(A$1,,,SUMPRODUCT(MAX(ROW(E$2:E576)*(E576=E$2:E576)))))-COUNTBLANK(OFFSET(A$1,,,SUMPRODUCT(MAX(ROW(E$1:E575)*(E2=E$1:E575))))))</f>
        <v/>
      </c>
      <c r="K576" s="25" t="str">
        <f aca="false">IF(OR(E576="",E576="!!!",F576="NEW"),"",INDEX(J$1:J575,SUMPRODUCT(MAX(ROW(E$1:E575)*(E576=E$1:E575)))))</f>
        <v/>
      </c>
      <c r="L576" s="26"/>
    </row>
    <row r="577" customFormat="false" ht="15" hidden="false" customHeight="false" outlineLevel="0" collapsed="false">
      <c r="A577" s="20" t="s">
        <v>404</v>
      </c>
      <c r="B577" s="27" t="s">
        <v>207</v>
      </c>
      <c r="C577" s="27" t="s">
        <v>284</v>
      </c>
      <c r="D577" s="27" t="s">
        <v>209</v>
      </c>
      <c r="E577" s="21" t="str">
        <f aca="false">IF(D577="?OLD","!!!","")</f>
        <v>!!!</v>
      </c>
      <c r="F577" s="22" t="str">
        <f aca="false">IF(OR(E577="",E577="!!!"),"",IF(NOT(ISNA(VLOOKUP(E577,E$1:E576,1,FALSE()))),"OLD",IF(AND(E577&lt;&gt;"",E577&lt;&gt;"!!!"),"NEW","")))</f>
        <v> </v>
      </c>
      <c r="G577" s="23" t="str">
        <f aca="false">IF(OR(E577="",E577="!!!"),"",IF(OR(J577=0,AND(J577=1,K577=1),AND(J577=1,I577="SBJ"),AND(J577=1,I577=0)),"?IN_FOCUS",IF(J577&lt;=2,"?ACTIVATED",IF(J577&lt;&gt;"","?FAMILIAR",IF(F577="NEW",IF(ISNA(VLOOKUP(E577,#REF!,1,FALSE())),"?TYPE_IDENTIFIABLE","?REFERENTIAL"),"_")))))</f>
        <v/>
      </c>
      <c r="H577" s="24" t="str">
        <f aca="false">IF(J577&lt;&gt;1,"",IF(I577="SBJ","CB","?"))</f>
        <v/>
      </c>
      <c r="I577" s="25" t="str">
        <f aca="false">IF(OR(E577="",E577="!!!",F577="NEW"),"",INDEX(B576:B$2,-1+SUMPRODUCT(MAX(ROW(E576:E$2)*(E577=E576:E$2)))))</f>
        <v> </v>
      </c>
      <c r="J577" s="25" t="str">
        <f aca="true">IF(OR(E577="",E577="!!!",F577="NEW"),"",COUNTBLANK(OFFSET(A$1,,,SUMPRODUCT(MAX(ROW(E$2:E577)*(E577=E$2:E577)))))-COUNTBLANK(OFFSET(A$1,,,SUMPRODUCT(MAX(ROW(E$1:E576)*(E2=E$1:E576))))))</f>
        <v/>
      </c>
      <c r="K577" s="25" t="str">
        <f aca="false">IF(OR(E577="",E577="!!!",F577="NEW"),"",INDEX(J$1:J576,SUMPRODUCT(MAX(ROW(E$1:E576)*(E577=E$1:E576)))))</f>
        <v/>
      </c>
      <c r="L577" s="26"/>
    </row>
    <row r="578" customFormat="false" ht="15" hidden="false" customHeight="false" outlineLevel="0" collapsed="false">
      <c r="A578" s="20" t="s">
        <v>285</v>
      </c>
      <c r="E578" s="21" t="str">
        <f aca="false">IF(D578="?OLD","!!!","")</f>
        <v/>
      </c>
      <c r="F578" s="22" t="str">
        <f aca="false">IF(OR(E578="",E578="!!!"),"",IF(NOT(ISNA(VLOOKUP(E578,E$1:E577,1,FALSE()))),"OLD",IF(AND(E578&lt;&gt;"",E578&lt;&gt;"!!!"),"NEW","")))</f>
        <v> </v>
      </c>
      <c r="G578" s="23" t="str">
        <f aca="false">IF(OR(E578="",E578="!!!"),"",IF(OR(J578=0,AND(J578=1,K578=1),AND(J578=1,I578="SBJ"),AND(J578=1,I578=0)),"?IN_FOCUS",IF(J578&lt;=2,"?ACTIVATED",IF(J578&lt;&gt;"","?FAMILIAR",IF(F578="NEW",IF(ISNA(VLOOKUP(E578,#REF!,1,FALSE())),"?TYPE_IDENTIFIABLE","?REFERENTIAL"),"_")))))</f>
        <v/>
      </c>
      <c r="H578" s="24" t="str">
        <f aca="false">IF(J578&lt;&gt;1,"",IF(I578="SBJ","CB","?"))</f>
        <v/>
      </c>
      <c r="I578" s="25" t="str">
        <f aca="false">IF(OR(E578="",E578="!!!",F578="NEW"),"",INDEX(B577:B$2,-1+SUMPRODUCT(MAX(ROW(E577:E$2)*(E578=E577:E$2)))))</f>
        <v> </v>
      </c>
      <c r="J578" s="25" t="str">
        <f aca="true">IF(OR(E578="",E578="!!!",F578="NEW"),"",COUNTBLANK(OFFSET(A$1,,,SUMPRODUCT(MAX(ROW(E$2:E578)*(E578=E$2:E578)))))-COUNTBLANK(OFFSET(A$1,,,SUMPRODUCT(MAX(ROW(E$1:E577)*(E2=E$1:E577))))))</f>
        <v/>
      </c>
      <c r="K578" s="25" t="str">
        <f aca="false">IF(OR(E578="",E578="!!!",F578="NEW"),"",INDEX(J$1:J577,SUMPRODUCT(MAX(ROW(E$1:E577)*(E578=E$1:E577)))))</f>
        <v/>
      </c>
      <c r="L578" s="26"/>
    </row>
    <row r="579" customFormat="false" ht="15" hidden="false" customHeight="false" outlineLevel="0" collapsed="false">
      <c r="A579" s="20" t="s">
        <v>286</v>
      </c>
      <c r="E579" s="21" t="str">
        <f aca="false">IF(D579="?OLD","!!!","")</f>
        <v/>
      </c>
      <c r="F579" s="22" t="str">
        <f aca="false">IF(OR(E579="",E579="!!!"),"",IF(NOT(ISNA(VLOOKUP(E579,E$1:E578,1,FALSE()))),"OLD",IF(AND(E579&lt;&gt;"",E579&lt;&gt;"!!!"),"NEW","")))</f>
        <v>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IF(OR(E579="",E579="!!!",F579="NEW"),"",INDEX(B578:B$2,-1+SUMPRODUCT(MAX(ROW(E578:E$2)*(E579=E578:E$2)))))</f>
        <v> </v>
      </c>
      <c r="J579" s="25" t="str">
        <f aca="true">IF(OR(E579="",E579="!!!",F579="NEW"),"",COUNTBLANK(OFFSET(A$1,,,SUMPRODUCT(MAX(ROW(E$2:E579)*(E579=E$2:E579)))))-COUNTBLANK(OFFSET(A$1,,,SUMPRODUCT(MAX(ROW(E$1:E578)*(E2=E$1:E578))))))</f>
        <v/>
      </c>
      <c r="K579" s="25" t="str">
        <f aca="false">IF(OR(E579="",E579="!!!",F579="NEW"),"",INDEX(J$1:J578,SUMPRODUCT(MAX(ROW(E$1:E578)*(E579=E$1:E578)))))</f>
        <v/>
      </c>
      <c r="L579" s="26"/>
    </row>
    <row r="580" customFormat="false" ht="15" hidden="false" customHeight="false" outlineLevel="0" collapsed="false">
      <c r="A580" s="20" t="s">
        <v>49</v>
      </c>
      <c r="E580" s="21" t="str">
        <f aca="false">IF(D580="?OLD","!!!","")</f>
        <v/>
      </c>
      <c r="F580" s="22" t="str">
        <f aca="false">IF(OR(E580="",E580="!!!"),"",IF(NOT(ISNA(VLOOKUP(E580,E$1:E579,1,FALSE()))),"OLD",IF(AND(E580&lt;&gt;"",E580&lt;&gt;"!!!"),"NEW","")))</f>
        <v>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IF(OR(E580="",E580="!!!",F580="NEW"),"",INDEX(B579:B$2,-1+SUMPRODUCT(MAX(ROW(E579:E$2)*(E580=E579:E$2)))))</f>
        <v> </v>
      </c>
      <c r="J580" s="25" t="str">
        <f aca="true">IF(OR(E580="",E580="!!!",F580="NEW"),"",COUNTBLANK(OFFSET(A$1,,,SUMPRODUCT(MAX(ROW(E$2:E580)*(E580=E$2:E580)))))-COUNTBLANK(OFFSET(A$1,,,SUMPRODUCT(MAX(ROW(E$1:E579)*(E2=E$1:E579))))))</f>
        <v/>
      </c>
      <c r="K580" s="25" t="str">
        <f aca="false">IF(OR(E580="",E580="!!!",F580="NEW"),"",INDEX(J$1:J579,SUMPRODUCT(MAX(ROW(E$1:E579)*(E580=E$1:E579)))))</f>
        <v/>
      </c>
      <c r="L580" s="26"/>
    </row>
    <row r="581" customFormat="false" ht="15" hidden="false" customHeight="false" outlineLevel="0" collapsed="false">
      <c r="A581" s="20" t="s">
        <v>281</v>
      </c>
      <c r="B581" s="27" t="s">
        <v>216</v>
      </c>
      <c r="C581" s="27" t="s">
        <v>282</v>
      </c>
      <c r="D581" s="27" t="s">
        <v>209</v>
      </c>
      <c r="E581" s="21" t="str">
        <f aca="false">IF(D581="?OLD","!!!","")</f>
        <v>!!!</v>
      </c>
      <c r="F581" s="22" t="str">
        <f aca="false">IF(OR(E581="",E581="!!!"),"",IF(NOT(ISNA(VLOOKUP(E581,E$1:E580,1,FALSE()))),"OLD",IF(AND(E581&lt;&gt;"",E581&lt;&gt;"!!!"),"NEW","")))</f>
        <v> </v>
      </c>
      <c r="G581" s="23" t="str">
        <f aca="false">IF(OR(E581="",E581="!!!"),"",IF(OR(J581=0,AND(J581=1,K581=1),AND(J581=1,I581="SBJ"),AND(J581=1,I581=0)),"?IN_FOCUS",IF(J581&lt;=2,"?ACTIVATED",IF(J581&lt;&gt;"","?FAMILIAR",IF(F581="NEW",IF(ISNA(VLOOKUP(E581,#REF!,1,FALSE())),"?TYPE_IDENTIFIABLE","?REFERENTIAL"),"_")))))</f>
        <v/>
      </c>
      <c r="H581" s="24" t="str">
        <f aca="false">IF(J581&lt;&gt;1,"",IF(I581="SBJ","CB","?"))</f>
        <v/>
      </c>
      <c r="I581" s="25" t="str">
        <f aca="false">IF(OR(E581="",E581="!!!",F581="NEW"),"",INDEX(B580:B$2,-1+SUMPRODUCT(MAX(ROW(E580:E$2)*(E581=E580:E$2)))))</f>
        <v> </v>
      </c>
      <c r="J581" s="25" t="str">
        <f aca="true">IF(OR(E581="",E581="!!!",F581="NEW"),"",COUNTBLANK(OFFSET(A$1,,,SUMPRODUCT(MAX(ROW(E$2:E581)*(E581=E$2:E581)))))-COUNTBLANK(OFFSET(A$1,,,SUMPRODUCT(MAX(ROW(E$1:E580)*(E2=E$1:E580))))))</f>
        <v/>
      </c>
      <c r="K581" s="25" t="str">
        <f aca="false">IF(OR(E581="",E581="!!!",F581="NEW"),"",INDEX(J$1:J580,SUMPRODUCT(MAX(ROW(E$1:E580)*(E581=E$1:E580)))))</f>
        <v/>
      </c>
      <c r="L581" s="26"/>
    </row>
    <row r="582" customFormat="false" ht="15" hidden="false" customHeight="false" outlineLevel="0" collapsed="false">
      <c r="A582" s="20" t="s">
        <v>313</v>
      </c>
      <c r="B582" s="27" t="s">
        <v>216</v>
      </c>
      <c r="C582" s="27" t="s">
        <v>284</v>
      </c>
      <c r="D582" s="27" t="s">
        <v>209</v>
      </c>
      <c r="E582" s="21" t="str">
        <f aca="false">IF(D582="?OLD","!!!","")</f>
        <v>!!!</v>
      </c>
      <c r="F582" s="22" t="str">
        <f aca="false">IF(OR(E582="",E582="!!!"),"",IF(NOT(ISNA(VLOOKUP(E582,E$1:E581,1,FALSE()))),"OLD",IF(AND(E582&lt;&gt;"",E582&lt;&gt;"!!!"),"NEW","")))</f>
        <v>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IF(OR(E582="",E582="!!!",F582="NEW"),"",INDEX(B581:B$2,-1+SUMPRODUCT(MAX(ROW(E581:E$2)*(E582=E581:E$2)))))</f>
        <v> </v>
      </c>
      <c r="J582" s="25" t="str">
        <f aca="true">IF(OR(E582="",E582="!!!",F582="NEW"),"",COUNTBLANK(OFFSET(A$1,,,SUMPRODUCT(MAX(ROW(E$2:E582)*(E582=E$2:E582)))))-COUNTBLANK(OFFSET(A$1,,,SUMPRODUCT(MAX(ROW(E$1:E581)*(E2=E$1:E581))))))</f>
        <v/>
      </c>
      <c r="K582" s="25" t="str">
        <f aca="false">IF(OR(E582="",E582="!!!",F582="NEW"),"",INDEX(J$1:J581,SUMPRODUCT(MAX(ROW(E$1:E581)*(E582=E$1:E581)))))</f>
        <v/>
      </c>
      <c r="L582" s="26"/>
    </row>
    <row r="583" customFormat="false" ht="15" hidden="false" customHeight="false" outlineLevel="0" collapsed="false">
      <c r="A583" s="20" t="s">
        <v>237</v>
      </c>
      <c r="E583" s="21" t="str">
        <f aca="false">IF(D583="?OLD","!!!","")</f>
        <v/>
      </c>
      <c r="F583" s="22" t="str">
        <f aca="false">IF(OR(E583="",E583="!!!"),"",IF(NOT(ISNA(VLOOKUP(E583,E$1:E582,1,FALSE()))),"OLD",IF(AND(E583&lt;&gt;"",E583&lt;&gt;"!!!"),"NEW","")))</f>
        <v> </v>
      </c>
      <c r="G583" s="23" t="str">
        <f aca="false">IF(OR(E583="",E583="!!!"),"",IF(OR(J583=0,AND(J583=1,K583=1),AND(J583=1,I583="SBJ"),AND(J583=1,I583=0)),"?IN_FOCUS",IF(J583&lt;=2,"?ACTIVATED",IF(J583&lt;&gt;"","?FAMILIAR",IF(F583="NEW",IF(ISNA(VLOOKUP(E583,#REF!,1,FALSE())),"?TYPE_IDENTIFIABLE","?REFERENTIAL"),"_")))))</f>
        <v/>
      </c>
      <c r="H583" s="24" t="str">
        <f aca="false">IF(J583&lt;&gt;1,"",IF(I583="SBJ","CB","?"))</f>
        <v/>
      </c>
      <c r="I583" s="25" t="str">
        <f aca="false">IF(OR(E583="",E583="!!!",F583="NEW"),"",INDEX(B582:B$2,-1+SUMPRODUCT(MAX(ROW(E582:E$2)*(E583=E582:E$2)))))</f>
        <v> </v>
      </c>
      <c r="J583" s="25" t="str">
        <f aca="true">IF(OR(E583="",E583="!!!",F583="NEW"),"",COUNTBLANK(OFFSET(A$1,,,SUMPRODUCT(MAX(ROW(E$2:E583)*(E583=E$2:E583)))))-COUNTBLANK(OFFSET(A$1,,,SUMPRODUCT(MAX(ROW(E$1:E582)*(E2=E$1:E582))))))</f>
        <v/>
      </c>
      <c r="K583" s="25" t="str">
        <f aca="false">IF(OR(E583="",E583="!!!",F583="NEW"),"",INDEX(J$1:J582,SUMPRODUCT(MAX(ROW(E$1:E582)*(E583=E$1:E582)))))</f>
        <v/>
      </c>
      <c r="L583" s="26"/>
    </row>
    <row r="584" customFormat="false" ht="15" hidden="false" customHeight="false" outlineLevel="0" collapsed="false">
      <c r="A584" s="20" t="s">
        <v>288</v>
      </c>
      <c r="E584" s="21" t="str">
        <f aca="false">IF(D584="?OLD","!!!","")</f>
        <v/>
      </c>
      <c r="F584" s="22" t="str">
        <f aca="false">IF(OR(E584="",E584="!!!"),"",IF(NOT(ISNA(VLOOKUP(E584,E$1:E583,1,FALSE()))),"OLD",IF(AND(E584&lt;&gt;"",E584&lt;&gt;"!!!"),"NEW","")))</f>
        <v>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IF(OR(E584="",E584="!!!",F584="NEW"),"",INDEX(B583:B$2,-1+SUMPRODUCT(MAX(ROW(E583:E$2)*(E584=E583:E$2)))))</f>
        <v> </v>
      </c>
      <c r="J584" s="25" t="str">
        <f aca="true">IF(OR(E584="",E584="!!!",F584="NEW"),"",COUNTBLANK(OFFSET(A$1,,,SUMPRODUCT(MAX(ROW(E$2:E584)*(E584=E$2:E584)))))-COUNTBLANK(OFFSET(A$1,,,SUMPRODUCT(MAX(ROW(E$1:E583)*(E2=E$1:E583))))))</f>
        <v/>
      </c>
      <c r="K584" s="25" t="str">
        <f aca="false">IF(OR(E584="",E584="!!!",F584="NEW"),"",INDEX(J$1:J583,SUMPRODUCT(MAX(ROW(E$1:E583)*(E584=E$1:E583)))))</f>
        <v/>
      </c>
      <c r="L584" s="26"/>
    </row>
    <row r="585" customFormat="false" ht="15" hidden="false" customHeight="false" outlineLevel="0" collapsed="false">
      <c r="A585" s="20" t="s">
        <v>315</v>
      </c>
      <c r="B585" s="27" t="s">
        <v>240</v>
      </c>
      <c r="C585" s="27" t="s">
        <v>233</v>
      </c>
      <c r="D585" s="27" t="s">
        <v>209</v>
      </c>
      <c r="E585" s="21" t="str">
        <f aca="false">IF(D585="?OLD","!!!","")</f>
        <v>!!!</v>
      </c>
      <c r="F585" s="22" t="str">
        <f aca="false">IF(OR(E585="",E585="!!!"),"",IF(NOT(ISNA(VLOOKUP(E585,E$1:E584,1,FALSE()))),"OLD",IF(AND(E585&lt;&gt;"",E585&lt;&gt;"!!!"),"NEW","")))</f>
        <v> </v>
      </c>
      <c r="G585" s="23" t="str">
        <f aca="false">IF(OR(E585="",E585="!!!"),"",IF(OR(J585=0,AND(J585=1,K585=1),AND(J585=1,I585="SBJ"),AND(J585=1,I585=0)),"?IN_FOCUS",IF(J585&lt;=2,"?ACTIVATED",IF(J585&lt;&gt;"","?FAMILIAR",IF(F585="NEW",IF(ISNA(VLOOKUP(E585,#REF!,1,FALSE())),"?TYPE_IDENTIFIABLE","?REFERENTIAL"),"_")))))</f>
        <v/>
      </c>
      <c r="H585" s="24" t="str">
        <f aca="false">IF(J585&lt;&gt;1,"",IF(I585="SBJ","CB","?"))</f>
        <v/>
      </c>
      <c r="I585" s="25" t="str">
        <f aca="false">IF(OR(E585="",E585="!!!",F585="NEW"),"",INDEX(B584:B$2,-1+SUMPRODUCT(MAX(ROW(E584:E$2)*(E585=E584:E$2)))))</f>
        <v> </v>
      </c>
      <c r="J585" s="25" t="str">
        <f aca="true">IF(OR(E585="",E585="!!!",F585="NEW"),"",COUNTBLANK(OFFSET(A$1,,,SUMPRODUCT(MAX(ROW(E$2:E585)*(E585=E$2:E585)))))-COUNTBLANK(OFFSET(A$1,,,SUMPRODUCT(MAX(ROW(E$1:E584)*(E2=E$1:E584))))))</f>
        <v/>
      </c>
      <c r="K585" s="25" t="str">
        <f aca="false">IF(OR(E585="",E585="!!!",F585="NEW"),"",INDEX(J$1:J584,SUMPRODUCT(MAX(ROW(E$1:E584)*(E585=E$1:E584)))))</f>
        <v/>
      </c>
      <c r="L585" s="26"/>
    </row>
    <row r="586" customFormat="false" ht="15" hidden="false" customHeight="false" outlineLevel="0" collapsed="false">
      <c r="A586" s="20" t="s">
        <v>285</v>
      </c>
      <c r="E586" s="21" t="str">
        <f aca="false">IF(D586="?OLD","!!!","")</f>
        <v/>
      </c>
      <c r="F586" s="22" t="str">
        <f aca="false">IF(OR(E586="",E586="!!!"),"",IF(NOT(ISNA(VLOOKUP(E586,E$1:E585,1,FALSE()))),"OLD",IF(AND(E586&lt;&gt;"",E586&lt;&gt;"!!!"),"NEW","")))</f>
        <v> </v>
      </c>
      <c r="G586" s="23" t="str">
        <f aca="false">IF(OR(E586="",E586="!!!"),"",IF(OR(J586=0,AND(J586=1,K586=1),AND(J586=1,I586="SBJ"),AND(J586=1,I586=0)),"?IN_FOCUS",IF(J586&lt;=2,"?ACTIVATED",IF(J586&lt;&gt;"","?FAMILIAR",IF(F586="NEW",IF(ISNA(VLOOKUP(E586,#REF!,1,FALSE())),"?TYPE_IDENTIFIABLE","?REFERENTIAL"),"_")))))</f>
        <v/>
      </c>
      <c r="H586" s="24" t="str">
        <f aca="false">IF(J586&lt;&gt;1,"",IF(I586="SBJ","CB","?"))</f>
        <v/>
      </c>
      <c r="I586" s="25" t="str">
        <f aca="false">IF(OR(E586="",E586="!!!",F586="NEW"),"",INDEX(B585:B$2,-1+SUMPRODUCT(MAX(ROW(E585:E$2)*(E586=E585:E$2)))))</f>
        <v> </v>
      </c>
      <c r="J586" s="25" t="str">
        <f aca="true">IF(OR(E586="",E586="!!!",F586="NEW"),"",COUNTBLANK(OFFSET(A$1,,,SUMPRODUCT(MAX(ROW(E$2:E586)*(E586=E$2:E586)))))-COUNTBLANK(OFFSET(A$1,,,SUMPRODUCT(MAX(ROW(E$1:E585)*(E2=E$1:E585))))))</f>
        <v/>
      </c>
      <c r="K586" s="25" t="str">
        <f aca="false">IF(OR(E586="",E586="!!!",F586="NEW"),"",INDEX(J$1:J585,SUMPRODUCT(MAX(ROW(E$1:E585)*(E586=E$1:E585)))))</f>
        <v/>
      </c>
      <c r="L586" s="26"/>
    </row>
    <row r="587" customFormat="false" ht="15" hidden="false" customHeight="false" outlineLevel="0" collapsed="false">
      <c r="A587" s="20" t="s">
        <v>405</v>
      </c>
      <c r="E587" s="21" t="str">
        <f aca="false">IF(D587="?OLD","!!!","")</f>
        <v/>
      </c>
      <c r="F587" s="22" t="str">
        <f aca="false">IF(OR(E587="",E587="!!!"),"",IF(NOT(ISNA(VLOOKUP(E587,E$1:E586,1,FALSE()))),"OLD",IF(AND(E587&lt;&gt;"",E587&lt;&gt;"!!!"),"NEW","")))</f>
        <v>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IF(OR(E587="",E587="!!!",F587="NEW"),"",INDEX(B586:B$2,-1+SUMPRODUCT(MAX(ROW(E586:E$2)*(E587=E586:E$2)))))</f>
        <v> </v>
      </c>
      <c r="J587" s="25" t="str">
        <f aca="true">IF(OR(E587="",E587="!!!",F587="NEW"),"",COUNTBLANK(OFFSET(A$1,,,SUMPRODUCT(MAX(ROW(E$2:E587)*(E587=E$2:E587)))))-COUNTBLANK(OFFSET(A$1,,,SUMPRODUCT(MAX(ROW(E$1:E586)*(E2=E$1:E586))))))</f>
        <v/>
      </c>
      <c r="K587" s="25" t="str">
        <f aca="false">IF(OR(E587="",E587="!!!",F587="NEW"),"",INDEX(J$1:J586,SUMPRODUCT(MAX(ROW(E$1:E586)*(E587=E$1:E586)))))</f>
        <v/>
      </c>
      <c r="L587" s="26"/>
    </row>
    <row r="588" customFormat="false" ht="15" hidden="false" customHeight="false" outlineLevel="0" collapsed="false">
      <c r="A588" s="20" t="s">
        <v>406</v>
      </c>
      <c r="E588" s="21" t="str">
        <f aca="false">IF(D588="?OLD","!!!","")</f>
        <v/>
      </c>
      <c r="F588" s="22" t="str">
        <f aca="false">IF(OR(E588="",E588="!!!"),"",IF(NOT(ISNA(VLOOKUP(E588,E$1:E587,1,FALSE()))),"OLD",IF(AND(E588&lt;&gt;"",E588&lt;&gt;"!!!"),"NEW","")))</f>
        <v> </v>
      </c>
      <c r="G588" s="23" t="str">
        <f aca="false">IF(OR(E588="",E588="!!!"),"",IF(OR(J588=0,AND(J588=1,K588=1),AND(J588=1,I588="SBJ"),AND(J588=1,I588=0)),"?IN_FOCUS",IF(J588&lt;=2,"?ACTIVATED",IF(J588&lt;&gt;"","?FAMILIAR",IF(F588="NEW",IF(ISNA(VLOOKUP(E588,#REF!,1,FALSE())),"?TYPE_IDENTIFIABLE","?REFERENTIAL"),"_")))))</f>
        <v/>
      </c>
      <c r="H588" s="24" t="str">
        <f aca="false">IF(J588&lt;&gt;1,"",IF(I588="SBJ","CB","?"))</f>
        <v/>
      </c>
      <c r="I588" s="25" t="str">
        <f aca="false">IF(OR(E588="",E588="!!!",F588="NEW"),"",INDEX(B587:B$2,-1+SUMPRODUCT(MAX(ROW(E587:E$2)*(E588=E587:E$2)))))</f>
        <v> </v>
      </c>
      <c r="J588" s="25" t="str">
        <f aca="true">IF(OR(E588="",E588="!!!",F588="NEW"),"",COUNTBLANK(OFFSET(A$1,,,SUMPRODUCT(MAX(ROW(E$2:E588)*(E588=E$2:E588)))))-COUNTBLANK(OFFSET(A$1,,,SUMPRODUCT(MAX(ROW(E$1:E587)*(E2=E$1:E587))))))</f>
        <v/>
      </c>
      <c r="K588" s="25" t="str">
        <f aca="false">IF(OR(E588="",E588="!!!",F588="NEW"),"",INDEX(J$1:J587,SUMPRODUCT(MAX(ROW(E$1:E587)*(E588=E$1:E587)))))</f>
        <v/>
      </c>
      <c r="L588" s="26"/>
    </row>
    <row r="589" customFormat="false" ht="15" hidden="false" customHeight="false" outlineLevel="0" collapsed="false">
      <c r="A589" s="20" t="s">
        <v>266</v>
      </c>
      <c r="B589" s="27" t="s">
        <v>220</v>
      </c>
      <c r="C589" s="27" t="s">
        <v>233</v>
      </c>
      <c r="D589" s="27" t="s">
        <v>209</v>
      </c>
      <c r="E589" s="21" t="str">
        <f aca="false">IF(D589="?OLD","!!!","")</f>
        <v>!!!</v>
      </c>
      <c r="F589" s="22" t="str">
        <f aca="false">IF(OR(E589="",E589="!!!"),"",IF(NOT(ISNA(VLOOKUP(E589,E$1:E588,1,FALSE()))),"OLD",IF(AND(E589&lt;&gt;"",E589&lt;&gt;"!!!"),"NEW","")))</f>
        <v> </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IF(OR(E589="",E589="!!!",F589="NEW"),"",INDEX(B588:B$2,-1+SUMPRODUCT(MAX(ROW(E588:E$2)*(E589=E588:E$2)))))</f>
        <v> </v>
      </c>
      <c r="J589" s="25" t="str">
        <f aca="true">IF(OR(E589="",E589="!!!",F589="NEW"),"",COUNTBLANK(OFFSET(A$1,,,SUMPRODUCT(MAX(ROW(E$2:E589)*(E589=E$2:E589)))))-COUNTBLANK(OFFSET(A$1,,,SUMPRODUCT(MAX(ROW(E$1:E588)*(E2=E$1:E588))))))</f>
        <v/>
      </c>
      <c r="K589" s="25" t="str">
        <f aca="false">IF(OR(E589="",E589="!!!",F589="NEW"),"",INDEX(J$1:J588,SUMPRODUCT(MAX(ROW(E$1:E588)*(E589=E$1:E588)))))</f>
        <v/>
      </c>
      <c r="L589" s="26"/>
    </row>
    <row r="590" customFormat="false" ht="15" hidden="false" customHeight="false" outlineLevel="0" collapsed="false">
      <c r="A590" s="20" t="s">
        <v>229</v>
      </c>
      <c r="E590" s="21" t="str">
        <f aca="false">IF(D590="?OLD","!!!","")</f>
        <v/>
      </c>
      <c r="F590" s="22" t="str">
        <f aca="false">IF(OR(E590="",E590="!!!"),"",IF(NOT(ISNA(VLOOKUP(E590,E$1:E589,1,FALSE()))),"OLD",IF(AND(E590&lt;&gt;"",E590&lt;&gt;"!!!"),"NEW","")))</f>
        <v>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IF(OR(E590="",E590="!!!",F590="NEW"),"",INDEX(B589:B$2,-1+SUMPRODUCT(MAX(ROW(E589:E$2)*(E590=E589:E$2)))))</f>
        <v> </v>
      </c>
      <c r="J590" s="25" t="str">
        <f aca="true">IF(OR(E590="",E590="!!!",F590="NEW"),"",COUNTBLANK(OFFSET(A$1,,,SUMPRODUCT(MAX(ROW(E$2:E590)*(E590=E$2:E590)))))-COUNTBLANK(OFFSET(A$1,,,SUMPRODUCT(MAX(ROW(E$1:E589)*(E2=E$1:E589))))))</f>
        <v/>
      </c>
      <c r="K590" s="25" t="str">
        <f aca="false">IF(OR(E590="",E590="!!!",F590="NEW"),"",INDEX(J$1:J589,SUMPRODUCT(MAX(ROW(E$1:E589)*(E590=E$1:E589)))))</f>
        <v/>
      </c>
      <c r="L590" s="26"/>
    </row>
    <row r="591" customFormat="false" ht="15" hidden="false" customHeight="false" outlineLevel="0" collapsed="false">
      <c r="A591" s="20" t="s">
        <v>238</v>
      </c>
      <c r="E591" s="21" t="str">
        <f aca="false">IF(D591="?OLD","!!!","")</f>
        <v/>
      </c>
      <c r="F591" s="22" t="str">
        <f aca="false">IF(OR(E591="",E591="!!!"),"",IF(NOT(ISNA(VLOOKUP(E591,E$1:E590,1,FALSE()))),"OLD",IF(AND(E591&lt;&gt;"",E591&lt;&gt;"!!!"),"NEW","")))</f>
        <v> </v>
      </c>
      <c r="G591" s="23" t="str">
        <f aca="false">IF(OR(E591="",E591="!!!"),"",IF(OR(J591=0,AND(J591=1,K591=1),AND(J591=1,I591="SBJ"),AND(J591=1,I591=0)),"?IN_FOCUS",IF(J591&lt;=2,"?ACTIVATED",IF(J591&lt;&gt;"","?FAMILIAR",IF(F591="NEW",IF(ISNA(VLOOKUP(E591,#REF!,1,FALSE())),"?TYPE_IDENTIFIABLE","?REFERENTIAL"),"_")))))</f>
        <v/>
      </c>
      <c r="H591" s="24" t="str">
        <f aca="false">IF(J591&lt;&gt;1,"",IF(I591="SBJ","CB","?"))</f>
        <v/>
      </c>
      <c r="I591" s="25" t="str">
        <f aca="false">IF(OR(E591="",E591="!!!",F591="NEW"),"",INDEX(B590:B$2,-1+SUMPRODUCT(MAX(ROW(E590:E$2)*(E591=E590:E$2)))))</f>
        <v> </v>
      </c>
      <c r="J591" s="25" t="str">
        <f aca="true">IF(OR(E591="",E591="!!!",F591="NEW"),"",COUNTBLANK(OFFSET(A$1,,,SUMPRODUCT(MAX(ROW(E$2:E591)*(E591=E$2:E591)))))-COUNTBLANK(OFFSET(A$1,,,SUMPRODUCT(MAX(ROW(E$1:E590)*(E2=E$1:E590))))))</f>
        <v/>
      </c>
      <c r="K591" s="25" t="str">
        <f aca="false">IF(OR(E591="",E591="!!!",F591="NEW"),"",INDEX(J$1:J590,SUMPRODUCT(MAX(ROW(E$1:E590)*(E591=E$1:E590)))))</f>
        <v/>
      </c>
      <c r="L591" s="26"/>
    </row>
    <row r="592" customFormat="false" ht="15" hidden="false" customHeight="false" outlineLevel="0" collapsed="false">
      <c r="A592" s="20"/>
    </row>
    <row r="593" customFormat="false" ht="15" hidden="false" customHeight="false" outlineLevel="0" collapsed="false">
      <c r="A593" s="20" t="s">
        <v>230</v>
      </c>
      <c r="E593" s="21" t="str">
        <f aca="false">IF(D593="?OLD","!!!","")</f>
        <v/>
      </c>
      <c r="F593" s="22" t="str">
        <f aca="false">IF(OR(E593="",E593="!!!"),"",IF(NOT(ISNA(VLOOKUP(E593,E$1:E592,1,FALSE()))),"OLD",IF(AND(E593&lt;&gt;"",E593&lt;&gt;"!!!"),"NEW","")))</f>
        <v> </v>
      </c>
      <c r="G593" s="23" t="str">
        <f aca="false">IF(OR(E593="",E593="!!!"),"",IF(OR(J593=0,AND(J593=1,K593=1),AND(J593=1,I593="SBJ"),AND(J593=1,I593=0)),"?IN_FOCUS",IF(J593&lt;=2,"?ACTIVATED",IF(J593&lt;&gt;"","?FAMILIAR",IF(F593="NEW",IF(ISNA(VLOOKUP(E593,#REF!,1,FALSE())),"?TYPE_IDENTIFIABLE","?REFERENTIAL"),"_")))))</f>
        <v/>
      </c>
      <c r="H593" s="24" t="str">
        <f aca="false">IF(J593&lt;&gt;1,"",IF(I593="SBJ","CB","?"))</f>
        <v/>
      </c>
      <c r="I593" s="25" t="str">
        <f aca="false">IF(OR(E593="",E593="!!!",F593="NEW"),"",INDEX(B592:B$2,-1+SUMPRODUCT(MAX(ROW(E592:E$2)*(E593=E592:E$2)))))</f>
        <v> </v>
      </c>
      <c r="J593" s="25" t="str">
        <f aca="true">IF(OR(E593="",E593="!!!",F593="NEW"),"",COUNTBLANK(OFFSET(A$1,,,SUMPRODUCT(MAX(ROW(E$2:E593)*(E593=E$2:E593)))))-COUNTBLANK(OFFSET(A$1,,,SUMPRODUCT(MAX(ROW(E$1:E592)*(E2=E$1:E592))))))</f>
        <v/>
      </c>
      <c r="K593" s="25" t="str">
        <f aca="false">IF(OR(E593="",E593="!!!",F593="NEW"),"",INDEX(J$1:J592,SUMPRODUCT(MAX(ROW(E$1:E592)*(E593=E$1:E592)))))</f>
        <v/>
      </c>
      <c r="L593" s="26"/>
    </row>
    <row r="594" customFormat="false" ht="15" hidden="false" customHeight="false" outlineLevel="0" collapsed="false">
      <c r="A594" s="20" t="s">
        <v>407</v>
      </c>
    </row>
    <row r="595" customFormat="false" ht="15" hidden="false" customHeight="false" outlineLevel="0" collapsed="false">
      <c r="A595" s="20" t="s">
        <v>394</v>
      </c>
      <c r="E595" s="21" t="str">
        <f aca="false">IF(D595="?OLD","!!!","")</f>
        <v/>
      </c>
      <c r="F595" s="22" t="str">
        <f aca="false">IF(OR(E595="",E595="!!!"),"",IF(NOT(ISNA(VLOOKUP(E595,E$1:E594,1,FALSE()))),"OLD",IF(AND(E595&lt;&gt;"",E595&lt;&gt;"!!!"),"NEW","")))</f>
        <v> </v>
      </c>
      <c r="G595" s="23" t="str">
        <f aca="false">IF(OR(E595="",E595="!!!"),"",IF(OR(J595=0,AND(J595=1,K595=1),AND(J595=1,I595="SBJ"),AND(J595=1,I595=0)),"?IN_FOCUS",IF(J595&lt;=2,"?ACTIVATED",IF(J595&lt;&gt;"","?FAMILIAR",IF(F595="NEW",IF(ISNA(VLOOKUP(E595,#REF!,1,FALSE())),"?TYPE_IDENTIFIABLE","?REFERENTIAL"),"_")))))</f>
        <v/>
      </c>
      <c r="H595" s="24" t="str">
        <f aca="false">IF(J595&lt;&gt;1,"",IF(I595="SBJ","CB","?"))</f>
        <v/>
      </c>
      <c r="I595" s="25" t="str">
        <f aca="false">IF(OR(E595="",E595="!!!",F595="NEW"),"",INDEX(B594:B$2,-1+SUMPRODUCT(MAX(ROW(E594:E$2)*(E595=E594:E$2)))))</f>
        <v> </v>
      </c>
      <c r="J595" s="25" t="str">
        <f aca="true">IF(OR(E595="",E595="!!!",F595="NEW"),"",COUNTBLANK(OFFSET(A$1,,,SUMPRODUCT(MAX(ROW(E$2:E595)*(E595=E$2:E595)))))-COUNTBLANK(OFFSET(A$1,,,SUMPRODUCT(MAX(ROW(E$1:E594)*(E2=E$1:E594))))))</f>
        <v/>
      </c>
      <c r="K595" s="25" t="str">
        <f aca="false">IF(OR(E595="",E595="!!!",F595="NEW"),"",INDEX(J$1:J594,SUMPRODUCT(MAX(ROW(E$1:E594)*(E595=E$1:E594)))))</f>
        <v/>
      </c>
      <c r="L595" s="26"/>
    </row>
    <row r="596" customFormat="false" ht="15" hidden="false" customHeight="false" outlineLevel="0" collapsed="false">
      <c r="A596" s="20" t="s">
        <v>408</v>
      </c>
      <c r="B596" s="27" t="s">
        <v>216</v>
      </c>
      <c r="C596" s="27" t="s">
        <v>225</v>
      </c>
      <c r="D596" s="27" t="s">
        <v>209</v>
      </c>
      <c r="E596" s="21" t="str">
        <f aca="false">IF(D596="?OLD","!!!","")</f>
        <v>!!!</v>
      </c>
      <c r="F596" s="22" t="str">
        <f aca="false">IF(OR(E596="",E596="!!!"),"",IF(NOT(ISNA(VLOOKUP(E596,E$1:E595,1,FALSE()))),"OLD",IF(AND(E596&lt;&gt;"",E596&lt;&gt;"!!!"),"NEW","")))</f>
        <v> </v>
      </c>
      <c r="G596" s="23" t="str">
        <f aca="false">IF(OR(E596="",E596="!!!"),"",IF(OR(J596=0,AND(J596=1,K596=1),AND(J596=1,I596="SBJ"),AND(J596=1,I596=0)),"?IN_FOCUS",IF(J596&lt;=2,"?ACTIVATED",IF(J596&lt;&gt;"","?FAMILIAR",IF(F596="NEW",IF(ISNA(VLOOKUP(E596,#REF!,1,FALSE())),"?TYPE_IDENTIFIABLE","?REFERENTIAL"),"_")))))</f>
        <v/>
      </c>
      <c r="H596" s="24" t="str">
        <f aca="false">IF(J596&lt;&gt;1,"",IF(I596="SBJ","CB","?"))</f>
        <v/>
      </c>
      <c r="I596" s="25" t="str">
        <f aca="false">IF(OR(E596="",E596="!!!",F596="NEW"),"",INDEX(B595:B$2,-1+SUMPRODUCT(MAX(ROW(E595:E$2)*(E596=E595:E$2)))))</f>
        <v> </v>
      </c>
      <c r="J596" s="25" t="str">
        <f aca="true">IF(OR(E596="",E596="!!!",F596="NEW"),"",COUNTBLANK(OFFSET(A$1,,,SUMPRODUCT(MAX(ROW(E$2:E596)*(E596=E$2:E596)))))-COUNTBLANK(OFFSET(A$1,,,SUMPRODUCT(MAX(ROW(E$1:E595)*(E2=E$1:E595))))))</f>
        <v/>
      </c>
      <c r="K596" s="25" t="str">
        <f aca="false">IF(OR(E596="",E596="!!!",F596="NEW"),"",INDEX(J$1:J595,SUMPRODUCT(MAX(ROW(E$1:E595)*(E596=E$1:E595)))))</f>
        <v/>
      </c>
      <c r="L596" s="26"/>
    </row>
    <row r="597" customFormat="false" ht="15" hidden="false" customHeight="false" outlineLevel="0" collapsed="false">
      <c r="A597" s="20" t="s">
        <v>315</v>
      </c>
      <c r="B597" s="27" t="s">
        <v>207</v>
      </c>
      <c r="C597" s="27" t="s">
        <v>233</v>
      </c>
      <c r="D597" s="27" t="s">
        <v>209</v>
      </c>
      <c r="E597" s="21" t="str">
        <f aca="false">IF(D597="?OLD","!!!","")</f>
        <v>!!!</v>
      </c>
      <c r="F597" s="22" t="str">
        <f aca="false">IF(OR(E597="",E597="!!!"),"",IF(NOT(ISNA(VLOOKUP(E597,E$1:E596,1,FALSE()))),"OLD",IF(AND(E597&lt;&gt;"",E597&lt;&gt;"!!!"),"NEW","")))</f>
        <v>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IF(OR(E597="",E597="!!!",F597="NEW"),"",INDEX(B596:B$2,-1+SUMPRODUCT(MAX(ROW(E596:E$2)*(E597=E596:E$2)))))</f>
        <v> </v>
      </c>
      <c r="J597" s="25" t="str">
        <f aca="true">IF(OR(E597="",E597="!!!",F597="NEW"),"",COUNTBLANK(OFFSET(A$1,,,SUMPRODUCT(MAX(ROW(E$2:E597)*(E597=E$2:E597)))))-COUNTBLANK(OFFSET(A$1,,,SUMPRODUCT(MAX(ROW(E$1:E596)*(E2=E$1:E596))))))</f>
        <v/>
      </c>
      <c r="K597" s="25" t="str">
        <f aca="false">IF(OR(E597="",E597="!!!",F597="NEW"),"",INDEX(J$1:J596,SUMPRODUCT(MAX(ROW(E$1:E596)*(E597=E$1:E596)))))</f>
        <v/>
      </c>
      <c r="L597" s="26"/>
    </row>
    <row r="598" customFormat="false" ht="15" hidden="false" customHeight="false" outlineLevel="0" collapsed="false">
      <c r="A598" s="20" t="s">
        <v>234</v>
      </c>
      <c r="E598" s="21" t="str">
        <f aca="false">IF(D598="?OLD","!!!","")</f>
        <v/>
      </c>
      <c r="F598" s="22" t="str">
        <f aca="false">IF(OR(E598="",E598="!!!"),"",IF(NOT(ISNA(VLOOKUP(E598,E$1:E597,1,FALSE()))),"OLD",IF(AND(E598&lt;&gt;"",E598&lt;&gt;"!!!"),"NEW","")))</f>
        <v>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IF(OR(E598="",E598="!!!",F598="NEW"),"",INDEX(B597:B$2,-1+SUMPRODUCT(MAX(ROW(E597:E$2)*(E598=E597:E$2)))))</f>
        <v> </v>
      </c>
      <c r="J598" s="25" t="str">
        <f aca="true">IF(OR(E598="",E598="!!!",F598="NEW"),"",COUNTBLANK(OFFSET(A$1,,,SUMPRODUCT(MAX(ROW(E$2:E598)*(E598=E$2:E598)))))-COUNTBLANK(OFFSET(A$1,,,SUMPRODUCT(MAX(ROW(E$1:E597)*(E2=E$1:E597))))))</f>
        <v/>
      </c>
      <c r="K598" s="25" t="str">
        <f aca="false">IF(OR(E598="",E598="!!!",F598="NEW"),"",INDEX(J$1:J597,SUMPRODUCT(MAX(ROW(E$1:E597)*(E598=E$1:E597)))))</f>
        <v/>
      </c>
      <c r="L598" s="26"/>
    </row>
    <row r="599" customFormat="false" ht="15" hidden="false" customHeight="false" outlineLevel="0" collapsed="false">
      <c r="A599" s="20" t="s">
        <v>237</v>
      </c>
      <c r="E599" s="21" t="str">
        <f aca="false">IF(D599="?OLD","!!!","")</f>
        <v/>
      </c>
      <c r="F599" s="22" t="str">
        <f aca="false">IF(OR(E599="",E599="!!!"),"",IF(NOT(ISNA(VLOOKUP(E599,E$1:E598,1,FALSE()))),"OLD",IF(AND(E599&lt;&gt;"",E599&lt;&gt;"!!!"),"NEW","")))</f>
        <v>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IF(OR(E599="",E599="!!!",F599="NEW"),"",INDEX(B598:B$2,-1+SUMPRODUCT(MAX(ROW(E598:E$2)*(E599=E598:E$2)))))</f>
        <v> </v>
      </c>
      <c r="J599" s="25" t="str">
        <f aca="true">IF(OR(E599="",E599="!!!",F599="NEW"),"",COUNTBLANK(OFFSET(A$1,,,SUMPRODUCT(MAX(ROW(E$2:E599)*(E599=E$2:E599)))))-COUNTBLANK(OFFSET(A$1,,,SUMPRODUCT(MAX(ROW(E$1:E598)*(E2=E$1:E598))))))</f>
        <v/>
      </c>
      <c r="K599" s="25" t="str">
        <f aca="false">IF(OR(E599="",E599="!!!",F599="NEW"),"",INDEX(J$1:J598,SUMPRODUCT(MAX(ROW(E$1:E598)*(E599=E$1:E598)))))</f>
        <v/>
      </c>
      <c r="L599" s="26"/>
    </row>
    <row r="600" customFormat="false" ht="15" hidden="false" customHeight="false" outlineLevel="0" collapsed="false">
      <c r="A600" s="20" t="s">
        <v>238</v>
      </c>
      <c r="E600" s="21" t="str">
        <f aca="false">IF(D600="?OLD","!!!","")</f>
        <v/>
      </c>
      <c r="F600" s="22" t="str">
        <f aca="false">IF(OR(E600="",E600="!!!"),"",IF(NOT(ISNA(VLOOKUP(E600,E$1:E599,1,FALSE()))),"OLD",IF(AND(E600&lt;&gt;"",E600&lt;&gt;"!!!"),"NEW","")))</f>
        <v> </v>
      </c>
      <c r="G600" s="23" t="str">
        <f aca="false">IF(OR(E600="",E600="!!!"),"",IF(OR(J600=0,AND(J600=1,K600=1),AND(J600=1,I600="SBJ"),AND(J600=1,I600=0)),"?IN_FOCUS",IF(J600&lt;=2,"?ACTIVATED",IF(J600&lt;&gt;"","?FAMILIAR",IF(F600="NEW",IF(ISNA(VLOOKUP(E600,#REF!,1,FALSE())),"?TYPE_IDENTIFIABLE","?REFERENTIAL"),"_")))))</f>
        <v/>
      </c>
      <c r="H600" s="24" t="str">
        <f aca="false">IF(J600&lt;&gt;1,"",IF(I600="SBJ","CB","?"))</f>
        <v/>
      </c>
      <c r="I600" s="25" t="str">
        <f aca="false">IF(OR(E600="",E600="!!!",F600="NEW"),"",INDEX(B599:B$2,-1+SUMPRODUCT(MAX(ROW(E599:E$2)*(E600=E599:E$2)))))</f>
        <v> </v>
      </c>
      <c r="J600" s="25" t="str">
        <f aca="true">IF(OR(E600="",E600="!!!",F600="NEW"),"",COUNTBLANK(OFFSET(A$1,,,SUMPRODUCT(MAX(ROW(E$2:E600)*(E600=E$2:E600)))))-COUNTBLANK(OFFSET(A$1,,,SUMPRODUCT(MAX(ROW(E$1:E599)*(E2=E$1:E599))))))</f>
        <v/>
      </c>
      <c r="K600" s="25" t="str">
        <f aca="false">IF(OR(E600="",E600="!!!",F600="NEW"),"",INDEX(J$1:J599,SUMPRODUCT(MAX(ROW(E$1:E599)*(E600=E$1:E599)))))</f>
        <v/>
      </c>
      <c r="L600" s="26"/>
    </row>
    <row r="601" customFormat="false" ht="15" hidden="false" customHeight="false" outlineLevel="0" collapsed="false">
      <c r="A601" s="20" t="s">
        <v>373</v>
      </c>
      <c r="E601" s="21" t="str">
        <f aca="false">IF(D601="?OLD","!!!","")</f>
        <v/>
      </c>
      <c r="F601" s="22" t="str">
        <f aca="false">IF(OR(E601="",E601="!!!"),"",IF(NOT(ISNA(VLOOKUP(E601,E$1:E600,1,FALSE()))),"OLD",IF(AND(E601&lt;&gt;"",E601&lt;&gt;"!!!"),"NEW","")))</f>
        <v> </v>
      </c>
      <c r="G601" s="23" t="str">
        <f aca="false">IF(OR(E601="",E601="!!!"),"",IF(OR(J601=0,AND(J601=1,K601=1),AND(J601=1,I601="SBJ"),AND(J601=1,I601=0)),"?IN_FOCUS",IF(J601&lt;=2,"?ACTIVATED",IF(J601&lt;&gt;"","?FAMILIAR",IF(F601="NEW",IF(ISNA(VLOOKUP(E601,#REF!,1,FALSE())),"?TYPE_IDENTIFIABLE","?REFERENTIAL"),"_")))))</f>
        <v/>
      </c>
      <c r="H601" s="24" t="str">
        <f aca="false">IF(J601&lt;&gt;1,"",IF(I601="SBJ","CB","?"))</f>
        <v/>
      </c>
      <c r="I601" s="25" t="str">
        <f aca="false">IF(OR(E601="",E601="!!!",F601="NEW"),"",INDEX(B600:B$2,-1+SUMPRODUCT(MAX(ROW(E600:E$2)*(E601=E600:E$2)))))</f>
        <v> </v>
      </c>
      <c r="J601" s="25" t="str">
        <f aca="true">IF(OR(E601="",E601="!!!",F601="NEW"),"",COUNTBLANK(OFFSET(A$1,,,SUMPRODUCT(MAX(ROW(E$2:E601)*(E601=E$2:E601)))))-COUNTBLANK(OFFSET(A$1,,,SUMPRODUCT(MAX(ROW(E$1:E600)*(E2=E$1:E600))))))</f>
        <v/>
      </c>
      <c r="K601" s="25" t="str">
        <f aca="false">IF(OR(E601="",E601="!!!",F601="NEW"),"",INDEX(J$1:J600,SUMPRODUCT(MAX(ROW(E$1:E600)*(E601=E$1:E600)))))</f>
        <v/>
      </c>
      <c r="L601" s="26"/>
    </row>
    <row r="602" customFormat="false" ht="15" hidden="false" customHeight="false" outlineLevel="0" collapsed="false">
      <c r="A602" s="20" t="s">
        <v>266</v>
      </c>
      <c r="B602" s="27" t="s">
        <v>240</v>
      </c>
      <c r="C602" s="27" t="s">
        <v>233</v>
      </c>
      <c r="D602" s="27" t="s">
        <v>209</v>
      </c>
      <c r="E602" s="21" t="str">
        <f aca="false">IF(D602="?OLD","!!!","")</f>
        <v>!!!</v>
      </c>
      <c r="F602" s="22" t="str">
        <f aca="false">IF(OR(E602="",E602="!!!"),"",IF(NOT(ISNA(VLOOKUP(E602,E$1:E601,1,FALSE()))),"OLD",IF(AND(E602&lt;&gt;"",E602&lt;&gt;"!!!"),"NEW","")))</f>
        <v>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IF(OR(E602="",E602="!!!",F602="NEW"),"",INDEX(B601:B$2,-1+SUMPRODUCT(MAX(ROW(E601:E$2)*(E602=E601:E$2)))))</f>
        <v> </v>
      </c>
      <c r="J602" s="25" t="str">
        <f aca="true">IF(OR(E602="",E602="!!!",F602="NEW"),"",COUNTBLANK(OFFSET(A$1,,,SUMPRODUCT(MAX(ROW(E$2:E602)*(E602=E$2:E602)))))-COUNTBLANK(OFFSET(A$1,,,SUMPRODUCT(MAX(ROW(E$1:E601)*(E2=E$1:E601))))))</f>
        <v/>
      </c>
      <c r="K602" s="25" t="str">
        <f aca="false">IF(OR(E602="",E602="!!!",F602="NEW"),"",INDEX(J$1:J601,SUMPRODUCT(MAX(ROW(E$1:E601)*(E602=E$1:E601)))))</f>
        <v/>
      </c>
      <c r="L602" s="26"/>
    </row>
    <row r="603" customFormat="false" ht="15" hidden="false" customHeight="false" outlineLevel="0" collapsed="false">
      <c r="A603" s="20" t="s">
        <v>368</v>
      </c>
      <c r="E603" s="21" t="str">
        <f aca="false">IF(D603="?OLD","!!!","")</f>
        <v/>
      </c>
      <c r="F603" s="22" t="str">
        <f aca="false">IF(OR(E603="",E603="!!!"),"",IF(NOT(ISNA(VLOOKUP(E603,E$1:E602,1,FALSE()))),"OLD",IF(AND(E603&lt;&gt;"",E603&lt;&gt;"!!!"),"NEW","")))</f>
        <v> </v>
      </c>
      <c r="G603" s="23" t="str">
        <f aca="false">IF(OR(E603="",E603="!!!"),"",IF(OR(J603=0,AND(J603=1,K603=1),AND(J603=1,I603="SBJ"),AND(J603=1,I603=0)),"?IN_FOCUS",IF(J603&lt;=2,"?ACTIVATED",IF(J603&lt;&gt;"","?FAMILIAR",IF(F603="NEW",IF(ISNA(VLOOKUP(E603,#REF!,1,FALSE())),"?TYPE_IDENTIFIABLE","?REFERENTIAL"),"_")))))</f>
        <v/>
      </c>
      <c r="H603" s="24" t="str">
        <f aca="false">IF(J603&lt;&gt;1,"",IF(I603="SBJ","CB","?"))</f>
        <v/>
      </c>
      <c r="I603" s="25" t="str">
        <f aca="false">IF(OR(E603="",E603="!!!",F603="NEW"),"",INDEX(B602:B$2,-1+SUMPRODUCT(MAX(ROW(E602:E$2)*(E603=E602:E$2)))))</f>
        <v> </v>
      </c>
      <c r="J603" s="25" t="str">
        <f aca="true">IF(OR(E603="",E603="!!!",F603="NEW"),"",COUNTBLANK(OFFSET(A$1,,,SUMPRODUCT(MAX(ROW(E$2:E603)*(E603=E$2:E603)))))-COUNTBLANK(OFFSET(A$1,,,SUMPRODUCT(MAX(ROW(E$1:E602)*(E2=E$1:E602))))))</f>
        <v/>
      </c>
      <c r="K603" s="25" t="str">
        <f aca="false">IF(OR(E603="",E603="!!!",F603="NEW"),"",INDEX(J$1:J602,SUMPRODUCT(MAX(ROW(E$1:E602)*(E603=E$1:E602)))))</f>
        <v/>
      </c>
      <c r="L603" s="26"/>
    </row>
    <row r="604" customFormat="false" ht="15" hidden="false" customHeight="false" outlineLevel="0" collapsed="false">
      <c r="A604" s="20" t="s">
        <v>409</v>
      </c>
      <c r="E604" s="21" t="str">
        <f aca="false">IF(D604="?OLD","!!!","")</f>
        <v/>
      </c>
      <c r="F604" s="22" t="str">
        <f aca="false">IF(OR(E604="",E604="!!!"),"",IF(NOT(ISNA(VLOOKUP(E604,E$1:E603,1,FALSE()))),"OLD",IF(AND(E604&lt;&gt;"",E604&lt;&gt;"!!!"),"NEW","")))</f>
        <v> </v>
      </c>
      <c r="G604" s="23" t="str">
        <f aca="false">IF(OR(E604="",E604="!!!"),"",IF(OR(J604=0,AND(J604=1,K604=1),AND(J604=1,I604="SBJ"),AND(J604=1,I604=0)),"?IN_FOCUS",IF(J604&lt;=2,"?ACTIVATED",IF(J604&lt;&gt;"","?FAMILIAR",IF(F604="NEW",IF(ISNA(VLOOKUP(E604,#REF!,1,FALSE())),"?TYPE_IDENTIFIABLE","?REFERENTIAL"),"_")))))</f>
        <v/>
      </c>
      <c r="H604" s="24" t="str">
        <f aca="false">IF(J604&lt;&gt;1,"",IF(I604="SBJ","CB","?"))</f>
        <v/>
      </c>
      <c r="I604" s="25" t="str">
        <f aca="false">IF(OR(E604="",E604="!!!",F604="NEW"),"",INDEX(B603:B$2,-1+SUMPRODUCT(MAX(ROW(E603:E$2)*(E604=E603:E$2)))))</f>
        <v> </v>
      </c>
      <c r="J604" s="25" t="str">
        <f aca="true">IF(OR(E604="",E604="!!!",F604="NEW"),"",COUNTBLANK(OFFSET(A$1,,,SUMPRODUCT(MAX(ROW(E$2:E604)*(E604=E$2:E604)))))-COUNTBLANK(OFFSET(A$1,,,SUMPRODUCT(MAX(ROW(E$1:E603)*(E2=E$1:E603))))))</f>
        <v/>
      </c>
      <c r="K604" s="25" t="str">
        <f aca="false">IF(OR(E604="",E604="!!!",F604="NEW"),"",INDEX(J$1:J603,SUMPRODUCT(MAX(ROW(E$1:E603)*(E604=E$1:E603)))))</f>
        <v/>
      </c>
      <c r="L604" s="26"/>
    </row>
    <row r="605" customFormat="false" ht="15" hidden="false" customHeight="false" outlineLevel="0" collapsed="false">
      <c r="A605" s="20" t="s">
        <v>235</v>
      </c>
      <c r="E605" s="21" t="str">
        <f aca="false">IF(D605="?OLD","!!!","")</f>
        <v/>
      </c>
      <c r="F605" s="22" t="str">
        <f aca="false">IF(OR(E605="",E605="!!!"),"",IF(NOT(ISNA(VLOOKUP(E605,E$1:E604,1,FALSE()))),"OLD",IF(AND(E605&lt;&gt;"",E605&lt;&gt;"!!!"),"NEW","")))</f>
        <v> </v>
      </c>
      <c r="G605" s="23" t="str">
        <f aca="false">IF(OR(E605="",E605="!!!"),"",IF(OR(J605=0,AND(J605=1,K605=1),AND(J605=1,I605="SBJ"),AND(J605=1,I605=0)),"?IN_FOCUS",IF(J605&lt;=2,"?ACTIVATED",IF(J605&lt;&gt;"","?FAMILIAR",IF(F605="NEW",IF(ISNA(VLOOKUP(E605,#REF!,1,FALSE())),"?TYPE_IDENTIFIABLE","?REFERENTIAL"),"_")))))</f>
        <v/>
      </c>
      <c r="H605" s="24" t="str">
        <f aca="false">IF(J605&lt;&gt;1,"",IF(I605="SBJ","CB","?"))</f>
        <v/>
      </c>
      <c r="I605" s="25" t="str">
        <f aca="false">IF(OR(E605="",E605="!!!",F605="NEW"),"",INDEX(B604:B$2,-1+SUMPRODUCT(MAX(ROW(E604:E$2)*(E605=E604:E$2)))))</f>
        <v> </v>
      </c>
      <c r="J605" s="25" t="str">
        <f aca="true">IF(OR(E605="",E605="!!!",F605="NEW"),"",COUNTBLANK(OFFSET(A$1,,,SUMPRODUCT(MAX(ROW(E$2:E605)*(E605=E$2:E605)))))-COUNTBLANK(OFFSET(A$1,,,SUMPRODUCT(MAX(ROW(E$1:E604)*(E2=E$1:E604))))))</f>
        <v/>
      </c>
      <c r="K605" s="25" t="str">
        <f aca="false">IF(OR(E605="",E605="!!!",F605="NEW"),"",INDEX(J$1:J604,SUMPRODUCT(MAX(ROW(E$1:E604)*(E605=E$1:E604)))))</f>
        <v/>
      </c>
      <c r="L605" s="26"/>
    </row>
    <row r="606" customFormat="false" ht="15" hidden="false" customHeight="false" outlineLevel="0" collapsed="false">
      <c r="A606" s="20" t="s">
        <v>281</v>
      </c>
      <c r="B606" s="27" t="s">
        <v>250</v>
      </c>
      <c r="C606" s="27" t="s">
        <v>282</v>
      </c>
      <c r="D606" s="27" t="s">
        <v>209</v>
      </c>
      <c r="E606" s="21" t="str">
        <f aca="false">IF(D606="?OLD","!!!","")</f>
        <v>!!!</v>
      </c>
      <c r="F606" s="22" t="str">
        <f aca="false">IF(OR(E606="",E606="!!!"),"",IF(NOT(ISNA(VLOOKUP(E606,E$1:E605,1,FALSE()))),"OLD",IF(AND(E606&lt;&gt;"",E606&lt;&gt;"!!!"),"NEW","")))</f>
        <v> </v>
      </c>
      <c r="G606" s="23" t="str">
        <f aca="false">IF(OR(E606="",E606="!!!"),"",IF(OR(J606=0,AND(J606=1,K606=1),AND(J606=1,I606="SBJ"),AND(J606=1,I606=0)),"?IN_FOCUS",IF(J606&lt;=2,"?ACTIVATED",IF(J606&lt;&gt;"","?FAMILIAR",IF(F606="NEW",IF(ISNA(VLOOKUP(E606,#REF!,1,FALSE())),"?TYPE_IDENTIFIABLE","?REFERENTIAL"),"_")))))</f>
        <v/>
      </c>
      <c r="H606" s="24" t="str">
        <f aca="false">IF(J606&lt;&gt;1,"",IF(I606="SBJ","CB","?"))</f>
        <v/>
      </c>
      <c r="I606" s="25" t="str">
        <f aca="false">IF(OR(E606="",E606="!!!",F606="NEW"),"",INDEX(B605:B$2,-1+SUMPRODUCT(MAX(ROW(E605:E$2)*(E606=E605:E$2)))))</f>
        <v> </v>
      </c>
      <c r="J606" s="25" t="str">
        <f aca="true">IF(OR(E606="",E606="!!!",F606="NEW"),"",COUNTBLANK(OFFSET(A$1,,,SUMPRODUCT(MAX(ROW(E$2:E606)*(E606=E$2:E606)))))-COUNTBLANK(OFFSET(A$1,,,SUMPRODUCT(MAX(ROW(E$1:E605)*(E2=E$1:E605))))))</f>
        <v/>
      </c>
      <c r="K606" s="25" t="str">
        <f aca="false">IF(OR(E606="",E606="!!!",F606="NEW"),"",INDEX(J$1:J605,SUMPRODUCT(MAX(ROW(E$1:E605)*(E606=E$1:E605)))))</f>
        <v/>
      </c>
      <c r="L606" s="26"/>
    </row>
    <row r="607" customFormat="false" ht="15" hidden="false" customHeight="false" outlineLevel="0" collapsed="false">
      <c r="A607" s="20" t="s">
        <v>339</v>
      </c>
      <c r="B607" s="27" t="s">
        <v>248</v>
      </c>
      <c r="C607" s="27" t="s">
        <v>284</v>
      </c>
      <c r="D607" s="27" t="s">
        <v>209</v>
      </c>
      <c r="E607" s="21" t="str">
        <f aca="false">IF(D607="?OLD","!!!","")</f>
        <v>!!!</v>
      </c>
      <c r="F607" s="22" t="str">
        <f aca="false">IF(OR(E607="",E607="!!!"),"",IF(NOT(ISNA(VLOOKUP(E607,E$1:E606,1,FALSE()))),"OLD",IF(AND(E607&lt;&gt;"",E607&lt;&gt;"!!!"),"NEW","")))</f>
        <v>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IF(OR(E607="",E607="!!!",F607="NEW"),"",INDEX(B606:B$2,-1+SUMPRODUCT(MAX(ROW(E606:E$2)*(E607=E606:E$2)))))</f>
        <v> </v>
      </c>
      <c r="J607" s="25" t="str">
        <f aca="true">IF(OR(E607="",E607="!!!",F607="NEW"),"",COUNTBLANK(OFFSET(A$1,,,SUMPRODUCT(MAX(ROW(E$2:E607)*(E607=E$2:E607)))))-COUNTBLANK(OFFSET(A$1,,,SUMPRODUCT(MAX(ROW(E$1:E606)*(E2=E$1:E606))))))</f>
        <v/>
      </c>
      <c r="K607" s="25" t="str">
        <f aca="false">IF(OR(E607="",E607="!!!",F607="NEW"),"",INDEX(J$1:J606,SUMPRODUCT(MAX(ROW(E$1:E606)*(E607=E$1:E606)))))</f>
        <v/>
      </c>
      <c r="L607" s="26"/>
    </row>
    <row r="608" customFormat="false" ht="15" hidden="false" customHeight="false" outlineLevel="0" collapsed="false">
      <c r="A608" s="20" t="s">
        <v>410</v>
      </c>
      <c r="E608" s="21" t="str">
        <f aca="false">IF(D608="?OLD","!!!","")</f>
        <v/>
      </c>
      <c r="F608" s="22" t="str">
        <f aca="false">IF(OR(E608="",E608="!!!"),"",IF(NOT(ISNA(VLOOKUP(E608,E$1:E607,1,FALSE()))),"OLD",IF(AND(E608&lt;&gt;"",E608&lt;&gt;"!!!"),"NEW","")))</f>
        <v>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IF(OR(E608="",E608="!!!",F608="NEW"),"",INDEX(B607:B$2,-1+SUMPRODUCT(MAX(ROW(E607:E$2)*(E608=E607:E$2)))))</f>
        <v> </v>
      </c>
      <c r="J608" s="25" t="str">
        <f aca="true">IF(OR(E608="",E608="!!!",F608="NEW"),"",COUNTBLANK(OFFSET(A$1,,,SUMPRODUCT(MAX(ROW(E$2:E608)*(E608=E$2:E608)))))-COUNTBLANK(OFFSET(A$1,,,SUMPRODUCT(MAX(ROW(E$1:E607)*(E2=E$1:E607))))))</f>
        <v/>
      </c>
      <c r="K608" s="25" t="str">
        <f aca="false">IF(OR(E608="",E608="!!!",F608="NEW"),"",INDEX(J$1:J607,SUMPRODUCT(MAX(ROW(E$1:E607)*(E608=E$1:E607)))))</f>
        <v/>
      </c>
      <c r="L608" s="26"/>
    </row>
    <row r="609" customFormat="false" ht="15" hidden="false" customHeight="false" outlineLevel="0" collapsed="false">
      <c r="A609" s="20" t="s">
        <v>334</v>
      </c>
      <c r="B609" s="27" t="s">
        <v>220</v>
      </c>
      <c r="C609" s="27" t="s">
        <v>284</v>
      </c>
      <c r="D609" s="27" t="s">
        <v>209</v>
      </c>
      <c r="E609" s="21" t="str">
        <f aca="false">IF(D609="?OLD","!!!","")</f>
        <v>!!!</v>
      </c>
      <c r="F609" s="22" t="str">
        <f aca="false">IF(OR(E609="",E609="!!!"),"",IF(NOT(ISNA(VLOOKUP(E609,E$1:E608,1,FALSE()))),"OLD",IF(AND(E609&lt;&gt;"",E609&lt;&gt;"!!!"),"NEW","")))</f>
        <v>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IF(OR(E609="",E609="!!!",F609="NEW"),"",INDEX(B608:B$2,-1+SUMPRODUCT(MAX(ROW(E608:E$2)*(E609=E608:E$2)))))</f>
        <v> </v>
      </c>
      <c r="J609" s="25" t="str">
        <f aca="true">IF(OR(E609="",E609="!!!",F609="NEW"),"",COUNTBLANK(OFFSET(A$1,,,SUMPRODUCT(MAX(ROW(E$2:E609)*(E609=E$2:E609)))))-COUNTBLANK(OFFSET(A$1,,,SUMPRODUCT(MAX(ROW(E$1:E608)*(E2=E$1:E608))))))</f>
        <v/>
      </c>
      <c r="K609" s="25" t="str">
        <f aca="false">IF(OR(E609="",E609="!!!",F609="NEW"),"",INDEX(J$1:J608,SUMPRODUCT(MAX(ROW(E$1:E608)*(E609=E$1:E608)))))</f>
        <v/>
      </c>
      <c r="L609" s="26"/>
    </row>
    <row r="610" customFormat="false" ht="15" hidden="false" customHeight="false" outlineLevel="0" collapsed="false">
      <c r="A610" s="20" t="s">
        <v>237</v>
      </c>
      <c r="E610" s="21" t="str">
        <f aca="false">IF(D610="?OLD","!!!","")</f>
        <v/>
      </c>
      <c r="F610" s="22" t="str">
        <f aca="false">IF(OR(E610="",E610="!!!"),"",IF(NOT(ISNA(VLOOKUP(E610,E$1:E609,1,FALSE()))),"OLD",IF(AND(E610&lt;&gt;"",E610&lt;&gt;"!!!"),"NEW","")))</f>
        <v>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IF(OR(E610="",E610="!!!",F610="NEW"),"",INDEX(B609:B$2,-1+SUMPRODUCT(MAX(ROW(E609:E$2)*(E610=E609:E$2)))))</f>
        <v> </v>
      </c>
      <c r="J610" s="25" t="str">
        <f aca="true">IF(OR(E610="",E610="!!!",F610="NEW"),"",COUNTBLANK(OFFSET(A$1,,,SUMPRODUCT(MAX(ROW(E$2:E610)*(E610=E$2:E610)))))-COUNTBLANK(OFFSET(A$1,,,SUMPRODUCT(MAX(ROW(E$1:E609)*(E2=E$1:E609))))))</f>
        <v/>
      </c>
      <c r="K610" s="25" t="str">
        <f aca="false">IF(OR(E610="",E610="!!!",F610="NEW"),"",INDEX(J$1:J609,SUMPRODUCT(MAX(ROW(E$1:E609)*(E610=E$1:E609)))))</f>
        <v/>
      </c>
      <c r="L610" s="26"/>
    </row>
    <row r="611" customFormat="false" ht="15" hidden="false" customHeight="false" outlineLevel="0" collapsed="false">
      <c r="A611" s="20" t="s">
        <v>288</v>
      </c>
      <c r="E611" s="21" t="str">
        <f aca="false">IF(D611="?OLD","!!!","")</f>
        <v/>
      </c>
      <c r="F611" s="22" t="str">
        <f aca="false">IF(OR(E611="",E611="!!!"),"",IF(NOT(ISNA(VLOOKUP(E611,E$1:E610,1,FALSE()))),"OLD",IF(AND(E611&lt;&gt;"",E611&lt;&gt;"!!!"),"NEW","")))</f>
        <v> </v>
      </c>
      <c r="G611" s="23" t="str">
        <f aca="false">IF(OR(E611="",E611="!!!"),"",IF(OR(J611=0,AND(J611=1,K611=1),AND(J611=1,I611="SBJ"),AND(J611=1,I611=0)),"?IN_FOCUS",IF(J611&lt;=2,"?ACTIVATED",IF(J611&lt;&gt;"","?FAMILIAR",IF(F611="NEW",IF(ISNA(VLOOKUP(E611,#REF!,1,FALSE())),"?TYPE_IDENTIFIABLE","?REFERENTIAL"),"_")))))</f>
        <v/>
      </c>
      <c r="H611" s="24" t="str">
        <f aca="false">IF(J611&lt;&gt;1,"",IF(I611="SBJ","CB","?"))</f>
        <v/>
      </c>
      <c r="I611" s="25" t="str">
        <f aca="false">IF(OR(E611="",E611="!!!",F611="NEW"),"",INDEX(B610:B$2,-1+SUMPRODUCT(MAX(ROW(E610:E$2)*(E611=E610:E$2)))))</f>
        <v> </v>
      </c>
      <c r="J611" s="25" t="str">
        <f aca="true">IF(OR(E611="",E611="!!!",F611="NEW"),"",COUNTBLANK(OFFSET(A$1,,,SUMPRODUCT(MAX(ROW(E$2:E611)*(E611=E$2:E611)))))-COUNTBLANK(OFFSET(A$1,,,SUMPRODUCT(MAX(ROW(E$1:E610)*(E2=E$1:E610))))))</f>
        <v/>
      </c>
      <c r="K611" s="25" t="str">
        <f aca="false">IF(OR(E611="",E611="!!!",F611="NEW"),"",INDEX(J$1:J610,SUMPRODUCT(MAX(ROW(E$1:E610)*(E611=E$1:E610)))))</f>
        <v/>
      </c>
      <c r="L611" s="26"/>
    </row>
    <row r="612" customFormat="false" ht="15" hidden="false" customHeight="false" outlineLevel="0" collapsed="false">
      <c r="A612" s="20" t="s">
        <v>368</v>
      </c>
      <c r="E612" s="21" t="str">
        <f aca="false">IF(D612="?OLD","!!!","")</f>
        <v/>
      </c>
      <c r="F612" s="22" t="str">
        <f aca="false">IF(OR(E612="",E612="!!!"),"",IF(NOT(ISNA(VLOOKUP(E612,E$1:E611,1,FALSE()))),"OLD",IF(AND(E612&lt;&gt;"",E612&lt;&gt;"!!!"),"NEW","")))</f>
        <v> </v>
      </c>
      <c r="G612" s="23" t="str">
        <f aca="false">IF(OR(E612="",E612="!!!"),"",IF(OR(J612=0,AND(J612=1,K612=1),AND(J612=1,I612="SBJ"),AND(J612=1,I612=0)),"?IN_FOCUS",IF(J612&lt;=2,"?ACTIVATED",IF(J612&lt;&gt;"","?FAMILIAR",IF(F612="NEW",IF(ISNA(VLOOKUP(E612,#REF!,1,FALSE())),"?TYPE_IDENTIFIABLE","?REFERENTIAL"),"_")))))</f>
        <v/>
      </c>
      <c r="H612" s="24" t="str">
        <f aca="false">IF(J612&lt;&gt;1,"",IF(I612="SBJ","CB","?"))</f>
        <v/>
      </c>
      <c r="I612" s="25" t="str">
        <f aca="false">IF(OR(E612="",E612="!!!",F612="NEW"),"",INDEX(B611:B$2,-1+SUMPRODUCT(MAX(ROW(E611:E$2)*(E612=E611:E$2)))))</f>
        <v> </v>
      </c>
      <c r="J612" s="25" t="str">
        <f aca="true">IF(OR(E612="",E612="!!!",F612="NEW"),"",COUNTBLANK(OFFSET(A$1,,,SUMPRODUCT(MAX(ROW(E$2:E612)*(E612=E$2:E612)))))-COUNTBLANK(OFFSET(A$1,,,SUMPRODUCT(MAX(ROW(E$1:E611)*(E2=E$1:E611))))))</f>
        <v/>
      </c>
      <c r="K612" s="25" t="str">
        <f aca="false">IF(OR(E612="",E612="!!!",F612="NEW"),"",INDEX(J$1:J611,SUMPRODUCT(MAX(ROW(E$1:E611)*(E612=E$1:E611)))))</f>
        <v/>
      </c>
      <c r="L612" s="26"/>
    </row>
    <row r="613" customFormat="false" ht="15" hidden="false" customHeight="false" outlineLevel="0" collapsed="false">
      <c r="A613" s="20" t="s">
        <v>360</v>
      </c>
      <c r="E613" s="21" t="str">
        <f aca="false">IF(D613="?OLD","!!!","")</f>
        <v/>
      </c>
      <c r="F613" s="22" t="str">
        <f aca="false">IF(OR(E613="",E613="!!!"),"",IF(NOT(ISNA(VLOOKUP(E613,E$1:E612,1,FALSE()))),"OLD",IF(AND(E613&lt;&gt;"",E613&lt;&gt;"!!!"),"NEW","")))</f>
        <v> </v>
      </c>
      <c r="G613" s="23" t="str">
        <f aca="false">IF(OR(E613="",E613="!!!"),"",IF(OR(J613=0,AND(J613=1,K613=1),AND(J613=1,I613="SBJ"),AND(J613=1,I613=0)),"?IN_FOCUS",IF(J613&lt;=2,"?ACTIVATED",IF(J613&lt;&gt;"","?FAMILIAR",IF(F613="NEW",IF(ISNA(VLOOKUP(E613,#REF!,1,FALSE())),"?TYPE_IDENTIFIABLE","?REFERENTIAL"),"_")))))</f>
        <v/>
      </c>
      <c r="H613" s="24" t="str">
        <f aca="false">IF(J613&lt;&gt;1,"",IF(I613="SBJ","CB","?"))</f>
        <v/>
      </c>
      <c r="I613" s="25" t="str">
        <f aca="false">IF(OR(E613="",E613="!!!",F613="NEW"),"",INDEX(B612:B$2,-1+SUMPRODUCT(MAX(ROW(E612:E$2)*(E613=E612:E$2)))))</f>
        <v> </v>
      </c>
      <c r="J613" s="25" t="str">
        <f aca="true">IF(OR(E613="",E613="!!!",F613="NEW"),"",COUNTBLANK(OFFSET(A$1,,,SUMPRODUCT(MAX(ROW(E$2:E613)*(E613=E$2:E613)))))-COUNTBLANK(OFFSET(A$1,,,SUMPRODUCT(MAX(ROW(E$1:E612)*(E2=E$1:E612))))))</f>
        <v/>
      </c>
      <c r="K613" s="25" t="str">
        <f aca="false">IF(OR(E613="",E613="!!!",F613="NEW"),"",INDEX(J$1:J612,SUMPRODUCT(MAX(ROW(E$1:E612)*(E613=E$1:E612)))))</f>
        <v/>
      </c>
      <c r="L613" s="26"/>
    </row>
    <row r="614" customFormat="false" ht="15" hidden="false" customHeight="false" outlineLevel="0" collapsed="false">
      <c r="A614" s="20" t="s">
        <v>218</v>
      </c>
      <c r="E614" s="21" t="str">
        <f aca="false">IF(D614="?OLD","!!!","")</f>
        <v/>
      </c>
      <c r="F614" s="22" t="str">
        <f aca="false">IF(OR(E614="",E614="!!!"),"",IF(NOT(ISNA(VLOOKUP(E614,E$1:E613,1,FALSE()))),"OLD",IF(AND(E614&lt;&gt;"",E614&lt;&gt;"!!!"),"NEW","")))</f>
        <v> </v>
      </c>
      <c r="G614" s="23" t="str">
        <f aca="false">IF(OR(E614="",E614="!!!"),"",IF(OR(J614=0,AND(J614=1,K614=1),AND(J614=1,I614="SBJ"),AND(J614=1,I614=0)),"?IN_FOCUS",IF(J614&lt;=2,"?ACTIVATED",IF(J614&lt;&gt;"","?FAMILIAR",IF(F614="NEW",IF(ISNA(VLOOKUP(E614,#REF!,1,FALSE())),"?TYPE_IDENTIFIABLE","?REFERENTIAL"),"_")))))</f>
        <v/>
      </c>
      <c r="H614" s="24" t="str">
        <f aca="false">IF(J614&lt;&gt;1,"",IF(I614="SBJ","CB","?"))</f>
        <v/>
      </c>
      <c r="I614" s="25" t="str">
        <f aca="false">IF(OR(E614="",E614="!!!",F614="NEW"),"",INDEX(B613:B$2,-1+SUMPRODUCT(MAX(ROW(E613:E$2)*(E614=E613:E$2)))))</f>
        <v> </v>
      </c>
      <c r="J614" s="25" t="str">
        <f aca="true">IF(OR(E614="",E614="!!!",F614="NEW"),"",COUNTBLANK(OFFSET(A$1,,,SUMPRODUCT(MAX(ROW(E$2:E614)*(E614=E$2:E614)))))-COUNTBLANK(OFFSET(A$1,,,SUMPRODUCT(MAX(ROW(E$1:E613)*(E2=E$1:E613))))))</f>
        <v/>
      </c>
      <c r="K614" s="25" t="str">
        <f aca="false">IF(OR(E614="",E614="!!!",F614="NEW"),"",INDEX(J$1:J613,SUMPRODUCT(MAX(ROW(E$1:E613)*(E614=E$1:E613)))))</f>
        <v/>
      </c>
      <c r="L614" s="26"/>
    </row>
    <row r="615" customFormat="false" ht="15" hidden="false" customHeight="false" outlineLevel="0" collapsed="false">
      <c r="A615" s="20" t="s">
        <v>205</v>
      </c>
      <c r="E615" s="21" t="str">
        <f aca="false">IF(D615="?OLD","!!!","")</f>
        <v/>
      </c>
      <c r="F615" s="22" t="str">
        <f aca="false">IF(OR(E615="",E615="!!!"),"",IF(NOT(ISNA(VLOOKUP(E615,E$1:E614,1,FALSE()))),"OLD",IF(AND(E615&lt;&gt;"",E615&lt;&gt;"!!!"),"NEW","")))</f>
        <v> </v>
      </c>
      <c r="G615" s="23" t="str">
        <f aca="false">IF(OR(E615="",E615="!!!"),"",IF(OR(J615=0,AND(J615=1,K615=1),AND(J615=1,I615="SBJ"),AND(J615=1,I615=0)),"?IN_FOCUS",IF(J615&lt;=2,"?ACTIVATED",IF(J615&lt;&gt;"","?FAMILIAR",IF(F615="NEW",IF(ISNA(VLOOKUP(E615,#REF!,1,FALSE())),"?TYPE_IDENTIFIABLE","?REFERENTIAL"),"_")))))</f>
        <v/>
      </c>
      <c r="H615" s="24" t="str">
        <f aca="false">IF(J615&lt;&gt;1,"",IF(I615="SBJ","CB","?"))</f>
        <v/>
      </c>
      <c r="I615" s="25" t="str">
        <f aca="false">IF(OR(E615="",E615="!!!",F615="NEW"),"",INDEX(B614:B$2,-1+SUMPRODUCT(MAX(ROW(E614:E$2)*(E615=E614:E$2)))))</f>
        <v> </v>
      </c>
      <c r="J615" s="25" t="str">
        <f aca="true">IF(OR(E615="",E615="!!!",F615="NEW"),"",COUNTBLANK(OFFSET(A$1,,,SUMPRODUCT(MAX(ROW(E$2:E615)*(E615=E$2:E615)))))-COUNTBLANK(OFFSET(A$1,,,SUMPRODUCT(MAX(ROW(E$1:E614)*(E2=E$1:E614))))))</f>
        <v/>
      </c>
      <c r="K615" s="25" t="str">
        <f aca="false">IF(OR(E615="",E615="!!!",F615="NEW"),"",INDEX(J$1:J614,SUMPRODUCT(MAX(ROW(E$1:E614)*(E615=E$1:E614)))))</f>
        <v/>
      </c>
      <c r="L615" s="26"/>
    </row>
    <row r="616" customFormat="false" ht="15" hidden="false" customHeight="false" outlineLevel="0" collapsed="false">
      <c r="A616" s="20" t="s">
        <v>247</v>
      </c>
      <c r="B616" s="27" t="s">
        <v>248</v>
      </c>
      <c r="C616" s="27" t="s">
        <v>208</v>
      </c>
      <c r="D616" s="27" t="s">
        <v>209</v>
      </c>
      <c r="E616" s="21" t="str">
        <f aca="false">IF(D616="?OLD","!!!","")</f>
        <v>!!!</v>
      </c>
      <c r="F616" s="22" t="str">
        <f aca="false">IF(OR(E616="",E616="!!!"),"",IF(NOT(ISNA(VLOOKUP(E616,E$1:E615,1,FALSE()))),"OLD",IF(AND(E616&lt;&gt;"",E616&lt;&gt;"!!!"),"NEW","")))</f>
        <v> </v>
      </c>
      <c r="G616" s="23" t="str">
        <f aca="false">IF(OR(E616="",E616="!!!"),"",IF(OR(J616=0,AND(J616=1,K616=1),AND(J616=1,I616="SBJ"),AND(J616=1,I616=0)),"?IN_FOCUS",IF(J616&lt;=2,"?ACTIVATED",IF(J616&lt;&gt;"","?FAMILIAR",IF(F616="NEW",IF(ISNA(VLOOKUP(E616,#REF!,1,FALSE())),"?TYPE_IDENTIFIABLE","?REFERENTIAL"),"_")))))</f>
        <v/>
      </c>
      <c r="H616" s="24" t="str">
        <f aca="false">IF(J616&lt;&gt;1,"",IF(I616="SBJ","CB","?"))</f>
        <v/>
      </c>
      <c r="I616" s="25" t="str">
        <f aca="false">IF(OR(E616="",E616="!!!",F616="NEW"),"",INDEX(B615:B$2,-1+SUMPRODUCT(MAX(ROW(E615:E$2)*(E616=E615:E$2)))))</f>
        <v> </v>
      </c>
      <c r="J616" s="25" t="str">
        <f aca="true">IF(OR(E616="",E616="!!!",F616="NEW"),"",COUNTBLANK(OFFSET(A$1,,,SUMPRODUCT(MAX(ROW(E$2:E616)*(E616=E$2:E616)))))-COUNTBLANK(OFFSET(A$1,,,SUMPRODUCT(MAX(ROW(E$1:E615)*(E2=E$1:E615))))))</f>
        <v/>
      </c>
      <c r="K616" s="25" t="str">
        <f aca="false">IF(OR(E616="",E616="!!!",F616="NEW"),"",INDEX(J$1:J615,SUMPRODUCT(MAX(ROW(E$1:E615)*(E616=E$1:E615)))))</f>
        <v/>
      </c>
      <c r="L616" s="26"/>
    </row>
    <row r="617" customFormat="false" ht="15" hidden="false" customHeight="false" outlineLevel="0" collapsed="false">
      <c r="A617" s="20" t="s">
        <v>237</v>
      </c>
      <c r="E617" s="21" t="str">
        <f aca="false">IF(D617="?OLD","!!!","")</f>
        <v/>
      </c>
      <c r="F617" s="22" t="str">
        <f aca="false">IF(OR(E617="",E617="!!!"),"",IF(NOT(ISNA(VLOOKUP(E617,E$1:E616,1,FALSE()))),"OLD",IF(AND(E617&lt;&gt;"",E617&lt;&gt;"!!!"),"NEW","")))</f>
        <v> </v>
      </c>
      <c r="G617" s="23" t="str">
        <f aca="false">IF(OR(E617="",E617="!!!"),"",IF(OR(J617=0,AND(J617=1,K617=1),AND(J617=1,I617="SBJ"),AND(J617=1,I617=0)),"?IN_FOCUS",IF(J617&lt;=2,"?ACTIVATED",IF(J617&lt;&gt;"","?FAMILIAR",IF(F617="NEW",IF(ISNA(VLOOKUP(E617,#REF!,1,FALSE())),"?TYPE_IDENTIFIABLE","?REFERENTIAL"),"_")))))</f>
        <v/>
      </c>
      <c r="H617" s="24" t="str">
        <f aca="false">IF(J617&lt;&gt;1,"",IF(I617="SBJ","CB","?"))</f>
        <v/>
      </c>
      <c r="I617" s="25" t="str">
        <f aca="false">IF(OR(E617="",E617="!!!",F617="NEW"),"",INDEX(B616:B$2,-1+SUMPRODUCT(MAX(ROW(E616:E$2)*(E617=E616:E$2)))))</f>
        <v> </v>
      </c>
      <c r="J617" s="25" t="str">
        <f aca="true">IF(OR(E617="",E617="!!!",F617="NEW"),"",COUNTBLANK(OFFSET(A$1,,,SUMPRODUCT(MAX(ROW(E$2:E617)*(E617=E$2:E617)))))-COUNTBLANK(OFFSET(A$1,,,SUMPRODUCT(MAX(ROW(E$1:E616)*(E2=E$1:E616))))))</f>
        <v/>
      </c>
      <c r="K617" s="25" t="str">
        <f aca="false">IF(OR(E617="",E617="!!!",F617="NEW"),"",INDEX(J$1:J616,SUMPRODUCT(MAX(ROW(E$1:E616)*(E617=E$1:E616)))))</f>
        <v/>
      </c>
      <c r="L617" s="26"/>
    </row>
    <row r="618" customFormat="false" ht="15" hidden="false" customHeight="false" outlineLevel="0" collapsed="false">
      <c r="A618" s="20" t="s">
        <v>218</v>
      </c>
      <c r="E618" s="21" t="str">
        <f aca="false">IF(D618="?OLD","!!!","")</f>
        <v/>
      </c>
      <c r="F618" s="22" t="str">
        <f aca="false">IF(OR(E618="",E618="!!!"),"",IF(NOT(ISNA(VLOOKUP(E618,E$1:E617,1,FALSE()))),"OLD",IF(AND(E618&lt;&gt;"",E618&lt;&gt;"!!!"),"NEW","")))</f>
        <v> </v>
      </c>
      <c r="G618" s="23" t="str">
        <f aca="false">IF(OR(E618="",E618="!!!"),"",IF(OR(J618=0,AND(J618=1,K618=1),AND(J618=1,I618="SBJ"),AND(J618=1,I618=0)),"?IN_FOCUS",IF(J618&lt;=2,"?ACTIVATED",IF(J618&lt;&gt;"","?FAMILIAR",IF(F618="NEW",IF(ISNA(VLOOKUP(E618,#REF!,1,FALSE())),"?TYPE_IDENTIFIABLE","?REFERENTIAL"),"_")))))</f>
        <v/>
      </c>
      <c r="H618" s="24" t="str">
        <f aca="false">IF(J618&lt;&gt;1,"",IF(I618="SBJ","CB","?"))</f>
        <v/>
      </c>
      <c r="I618" s="25" t="str">
        <f aca="false">IF(OR(E618="",E618="!!!",F618="NEW"),"",INDEX(B617:B$2,-1+SUMPRODUCT(MAX(ROW(E617:E$2)*(E618=E617:E$2)))))</f>
        <v> </v>
      </c>
      <c r="J618" s="25" t="str">
        <f aca="true">IF(OR(E618="",E618="!!!",F618="NEW"),"",COUNTBLANK(OFFSET(A$1,,,SUMPRODUCT(MAX(ROW(E$2:E618)*(E618=E$2:E618)))))-COUNTBLANK(OFFSET(A$1,,,SUMPRODUCT(MAX(ROW(E$1:E617)*(E2=E$1:E617))))))</f>
        <v/>
      </c>
      <c r="K618" s="25" t="str">
        <f aca="false">IF(OR(E618="",E618="!!!",F618="NEW"),"",INDEX(J$1:J617,SUMPRODUCT(MAX(ROW(E$1:E617)*(E618=E$1:E617)))))</f>
        <v/>
      </c>
      <c r="L618" s="26"/>
    </row>
    <row r="619" customFormat="false" ht="15" hidden="false" customHeight="false" outlineLevel="0" collapsed="false">
      <c r="A619" s="20" t="s">
        <v>221</v>
      </c>
      <c r="E619" s="21" t="str">
        <f aca="false">IF(D619="?OLD","!!!","")</f>
        <v/>
      </c>
      <c r="F619" s="22" t="str">
        <f aca="false">IF(OR(E619="",E619="!!!"),"",IF(NOT(ISNA(VLOOKUP(E619,E$1:E618,1,FALSE()))),"OLD",IF(AND(E619&lt;&gt;"",E619&lt;&gt;"!!!"),"NEW","")))</f>
        <v> </v>
      </c>
      <c r="G619" s="23" t="str">
        <f aca="false">IF(OR(E619="",E619="!!!"),"",IF(OR(J619=0,AND(J619=1,K619=1),AND(J619=1,I619="SBJ"),AND(J619=1,I619=0)),"?IN_FOCUS",IF(J619&lt;=2,"?ACTIVATED",IF(J619&lt;&gt;"","?FAMILIAR",IF(F619="NEW",IF(ISNA(VLOOKUP(E619,#REF!,1,FALSE())),"?TYPE_IDENTIFIABLE","?REFERENTIAL"),"_")))))</f>
        <v/>
      </c>
      <c r="H619" s="24" t="str">
        <f aca="false">IF(J619&lt;&gt;1,"",IF(I619="SBJ","CB","?"))</f>
        <v/>
      </c>
      <c r="I619" s="25" t="str">
        <f aca="false">IF(OR(E619="",E619="!!!",F619="NEW"),"",INDEX(B618:B$2,-1+SUMPRODUCT(MAX(ROW(E618:E$2)*(E619=E618:E$2)))))</f>
        <v> </v>
      </c>
      <c r="J619" s="25" t="str">
        <f aca="true">IF(OR(E619="",E619="!!!",F619="NEW"),"",COUNTBLANK(OFFSET(A$1,,,SUMPRODUCT(MAX(ROW(E$2:E619)*(E619=E$2:E619)))))-COUNTBLANK(OFFSET(A$1,,,SUMPRODUCT(MAX(ROW(E$1:E618)*(E2=E$1:E618))))))</f>
        <v/>
      </c>
      <c r="K619" s="25" t="str">
        <f aca="false">IF(OR(E619="",E619="!!!",F619="NEW"),"",INDEX(J$1:J618,SUMPRODUCT(MAX(ROW(E$1:E618)*(E619=E$1:E618)))))</f>
        <v/>
      </c>
      <c r="L619" s="26"/>
    </row>
    <row r="620" customFormat="false" ht="15" hidden="false" customHeight="false" outlineLevel="0" collapsed="false">
      <c r="A620" s="20" t="s">
        <v>351</v>
      </c>
      <c r="B620" s="27" t="s">
        <v>244</v>
      </c>
      <c r="C620" s="27" t="s">
        <v>233</v>
      </c>
      <c r="D620" s="27" t="s">
        <v>209</v>
      </c>
      <c r="E620" s="21" t="str">
        <f aca="false">IF(D620="?OLD","!!!","")</f>
        <v>!!!</v>
      </c>
      <c r="F620" s="22" t="str">
        <f aca="false">IF(OR(E620="",E620="!!!"),"",IF(NOT(ISNA(VLOOKUP(E620,E$1:E619,1,FALSE()))),"OLD",IF(AND(E620&lt;&gt;"",E620&lt;&gt;"!!!"),"NEW","")))</f>
        <v> </v>
      </c>
      <c r="G620" s="23" t="str">
        <f aca="false">IF(OR(E620="",E620="!!!"),"",IF(OR(J620=0,AND(J620=1,K620=1),AND(J620=1,I620="SBJ"),AND(J620=1,I620=0)),"?IN_FOCUS",IF(J620&lt;=2,"?ACTIVATED",IF(J620&lt;&gt;"","?FAMILIAR",IF(F620="NEW",IF(ISNA(VLOOKUP(E620,#REF!,1,FALSE())),"?TYPE_IDENTIFIABLE","?REFERENTIAL"),"_")))))</f>
        <v/>
      </c>
      <c r="H620" s="24" t="str">
        <f aca="false">IF(J620&lt;&gt;1,"",IF(I620="SBJ","CB","?"))</f>
        <v/>
      </c>
      <c r="I620" s="25" t="str">
        <f aca="false">IF(OR(E620="",E620="!!!",F620="NEW"),"",INDEX(B619:B$2,-1+SUMPRODUCT(MAX(ROW(E619:E$2)*(E620=E619:E$2)))))</f>
        <v> </v>
      </c>
      <c r="J620" s="25" t="str">
        <f aca="true">IF(OR(E620="",E620="!!!",F620="NEW"),"",COUNTBLANK(OFFSET(A$1,,,SUMPRODUCT(MAX(ROW(E$2:E620)*(E620=E$2:E620)))))-COUNTBLANK(OFFSET(A$1,,,SUMPRODUCT(MAX(ROW(E$1:E619)*(E2=E$1:E619))))))</f>
        <v/>
      </c>
      <c r="K620" s="25" t="str">
        <f aca="false">IF(OR(E620="",E620="!!!",F620="NEW"),"",INDEX(J$1:J619,SUMPRODUCT(MAX(ROW(E$1:E619)*(E620=E$1:E619)))))</f>
        <v/>
      </c>
      <c r="L620" s="26"/>
    </row>
    <row r="621" customFormat="false" ht="15" hidden="false" customHeight="false" outlineLevel="0" collapsed="false">
      <c r="A621" s="20" t="s">
        <v>361</v>
      </c>
      <c r="E621" s="21" t="str">
        <f aca="false">IF(D621="?OLD","!!!","")</f>
        <v/>
      </c>
      <c r="F621" s="22" t="str">
        <f aca="false">IF(OR(E621="",E621="!!!"),"",IF(NOT(ISNA(VLOOKUP(E621,E$1:E620,1,FALSE()))),"OLD",IF(AND(E621&lt;&gt;"",E621&lt;&gt;"!!!"),"NEW","")))</f>
        <v> </v>
      </c>
      <c r="G621" s="23" t="str">
        <f aca="false">IF(OR(E621="",E621="!!!"),"",IF(OR(J621=0,AND(J621=1,K621=1),AND(J621=1,I621="SBJ"),AND(J621=1,I621=0)),"?IN_FOCUS",IF(J621&lt;=2,"?ACTIVATED",IF(J621&lt;&gt;"","?FAMILIAR",IF(F621="NEW",IF(ISNA(VLOOKUP(E621,#REF!,1,FALSE())),"?TYPE_IDENTIFIABLE","?REFERENTIAL"),"_")))))</f>
        <v/>
      </c>
      <c r="H621" s="24" t="str">
        <f aca="false">IF(J621&lt;&gt;1,"",IF(I621="SBJ","CB","?"))</f>
        <v/>
      </c>
      <c r="I621" s="25" t="str">
        <f aca="false">IF(OR(E621="",E621="!!!",F621="NEW"),"",INDEX(B620:B$2,-1+SUMPRODUCT(MAX(ROW(E620:E$2)*(E621=E620:E$2)))))</f>
        <v> </v>
      </c>
      <c r="J621" s="25" t="str">
        <f aca="true">IF(OR(E621="",E621="!!!",F621="NEW"),"",COUNTBLANK(OFFSET(A$1,,,SUMPRODUCT(MAX(ROW(E$2:E621)*(E621=E$2:E621)))))-COUNTBLANK(OFFSET(A$1,,,SUMPRODUCT(MAX(ROW(E$1:E620)*(E2=E$1:E620))))))</f>
        <v/>
      </c>
      <c r="K621" s="25" t="str">
        <f aca="false">IF(OR(E621="",E621="!!!",F621="NEW"),"",INDEX(J$1:J620,SUMPRODUCT(MAX(ROW(E$1:E620)*(E621=E$1:E620)))))</f>
        <v/>
      </c>
      <c r="L621" s="26"/>
    </row>
    <row r="622" customFormat="false" ht="15" hidden="false" customHeight="false" outlineLevel="0" collapsed="false">
      <c r="A622" s="20" t="s">
        <v>266</v>
      </c>
      <c r="B622" s="27" t="s">
        <v>268</v>
      </c>
      <c r="C622" s="27" t="s">
        <v>233</v>
      </c>
      <c r="D622" s="27" t="s">
        <v>209</v>
      </c>
      <c r="E622" s="21" t="str">
        <f aca="false">IF(D622="?OLD","!!!","")</f>
        <v>!!!</v>
      </c>
      <c r="F622" s="22" t="str">
        <f aca="false">IF(OR(E622="",E622="!!!"),"",IF(NOT(ISNA(VLOOKUP(E622,E$1:E621,1,FALSE()))),"OLD",IF(AND(E622&lt;&gt;"",E622&lt;&gt;"!!!"),"NEW","")))</f>
        <v> </v>
      </c>
      <c r="G622" s="23" t="str">
        <f aca="false">IF(OR(E622="",E622="!!!"),"",IF(OR(J622=0,AND(J622=1,K622=1),AND(J622=1,I622="SBJ"),AND(J622=1,I622=0)),"?IN_FOCUS",IF(J622&lt;=2,"?ACTIVATED",IF(J622&lt;&gt;"","?FAMILIAR",IF(F622="NEW",IF(ISNA(VLOOKUP(E622,#REF!,1,FALSE())),"?TYPE_IDENTIFIABLE","?REFERENTIAL"),"_")))))</f>
        <v/>
      </c>
      <c r="H622" s="24" t="str">
        <f aca="false">IF(J622&lt;&gt;1,"",IF(I622="SBJ","CB","?"))</f>
        <v/>
      </c>
      <c r="I622" s="25" t="str">
        <f aca="false">IF(OR(E622="",E622="!!!",F622="NEW"),"",INDEX(B621:B$2,-1+SUMPRODUCT(MAX(ROW(E621:E$2)*(E622=E621:E$2)))))</f>
        <v> </v>
      </c>
      <c r="J622" s="25" t="str">
        <f aca="true">IF(OR(E622="",E622="!!!",F622="NEW"),"",COUNTBLANK(OFFSET(A$1,,,SUMPRODUCT(MAX(ROW(E$2:E622)*(E622=E$2:E622)))))-COUNTBLANK(OFFSET(A$1,,,SUMPRODUCT(MAX(ROW(E$1:E621)*(E2=E$1:E621))))))</f>
        <v/>
      </c>
      <c r="K622" s="25" t="str">
        <f aca="false">IF(OR(E622="",E622="!!!",F622="NEW"),"",INDEX(J$1:J621,SUMPRODUCT(MAX(ROW(E$1:E621)*(E622=E$1:E621)))))</f>
        <v/>
      </c>
      <c r="L622" s="26"/>
    </row>
    <row r="623" customFormat="false" ht="15" hidden="false" customHeight="false" outlineLevel="0" collapsed="false">
      <c r="A623" s="20" t="s">
        <v>237</v>
      </c>
      <c r="E623" s="21" t="str">
        <f aca="false">IF(D623="?OLD","!!!","")</f>
        <v/>
      </c>
      <c r="F623" s="22" t="str">
        <f aca="false">IF(OR(E623="",E623="!!!"),"",IF(NOT(ISNA(VLOOKUP(E623,E$1:E622,1,FALSE()))),"OLD",IF(AND(E623&lt;&gt;"",E623&lt;&gt;"!!!"),"NEW","")))</f>
        <v> </v>
      </c>
      <c r="G623" s="23" t="str">
        <f aca="false">IF(OR(E623="",E623="!!!"),"",IF(OR(J623=0,AND(J623=1,K623=1),AND(J623=1,I623="SBJ"),AND(J623=1,I623=0)),"?IN_FOCUS",IF(J623&lt;=2,"?ACTIVATED",IF(J623&lt;&gt;"","?FAMILIAR",IF(F623="NEW",IF(ISNA(VLOOKUP(E623,#REF!,1,FALSE())),"?TYPE_IDENTIFIABLE","?REFERENTIAL"),"_")))))</f>
        <v/>
      </c>
      <c r="H623" s="24" t="str">
        <f aca="false">IF(J623&lt;&gt;1,"",IF(I623="SBJ","CB","?"))</f>
        <v/>
      </c>
      <c r="I623" s="25" t="str">
        <f aca="false">IF(OR(E623="",E623="!!!",F623="NEW"),"",INDEX(B622:B$2,-1+SUMPRODUCT(MAX(ROW(E622:E$2)*(E623=E622:E$2)))))</f>
        <v> </v>
      </c>
      <c r="J623" s="25" t="str">
        <f aca="true">IF(OR(E623="",E623="!!!",F623="NEW"),"",COUNTBLANK(OFFSET(A$1,,,SUMPRODUCT(MAX(ROW(E$2:E623)*(E623=E$2:E623)))))-COUNTBLANK(OFFSET(A$1,,,SUMPRODUCT(MAX(ROW(E$1:E622)*(E2=E$1:E622))))))</f>
        <v/>
      </c>
      <c r="K623" s="25" t="str">
        <f aca="false">IF(OR(E623="",E623="!!!",F623="NEW"),"",INDEX(J$1:J622,SUMPRODUCT(MAX(ROW(E$1:E622)*(E623=E$1:E622)))))</f>
        <v/>
      </c>
      <c r="L623" s="26"/>
    </row>
    <row r="624" customFormat="false" ht="15" hidden="false" customHeight="false" outlineLevel="0" collapsed="false">
      <c r="A624" s="20" t="s">
        <v>411</v>
      </c>
      <c r="E624" s="21" t="str">
        <f aca="false">IF(D624="?OLD","!!!","")</f>
        <v/>
      </c>
      <c r="F624" s="22" t="str">
        <f aca="false">IF(OR(E624="",E624="!!!"),"",IF(NOT(ISNA(VLOOKUP(E624,E$1:E623,1,FALSE()))),"OLD",IF(AND(E624&lt;&gt;"",E624&lt;&gt;"!!!"),"NEW","")))</f>
        <v> </v>
      </c>
      <c r="G624" s="23" t="str">
        <f aca="false">IF(OR(E624="",E624="!!!"),"",IF(OR(J624=0,AND(J624=1,K624=1),AND(J624=1,I624="SBJ"),AND(J624=1,I624=0)),"?IN_FOCUS",IF(J624&lt;=2,"?ACTIVATED",IF(J624&lt;&gt;"","?FAMILIAR",IF(F624="NEW",IF(ISNA(VLOOKUP(E624,#REF!,1,FALSE())),"?TYPE_IDENTIFIABLE","?REFERENTIAL"),"_")))))</f>
        <v/>
      </c>
      <c r="H624" s="24" t="str">
        <f aca="false">IF(J624&lt;&gt;1,"",IF(I624="SBJ","CB","?"))</f>
        <v/>
      </c>
      <c r="I624" s="25" t="str">
        <f aca="false">IF(OR(E624="",E624="!!!",F624="NEW"),"",INDEX(B623:B$2,-1+SUMPRODUCT(MAX(ROW(E623:E$2)*(E624=E623:E$2)))))</f>
        <v> </v>
      </c>
      <c r="J624" s="25" t="str">
        <f aca="true">IF(OR(E624="",E624="!!!",F624="NEW"),"",COUNTBLANK(OFFSET(A$1,,,SUMPRODUCT(MAX(ROW(E$2:E624)*(E624=E$2:E624)))))-COUNTBLANK(OFFSET(A$1,,,SUMPRODUCT(MAX(ROW(E$1:E623)*(E2=E$1:E623))))))</f>
        <v/>
      </c>
      <c r="K624" s="25" t="str">
        <f aca="false">IF(OR(E624="",E624="!!!",F624="NEW"),"",INDEX(J$1:J623,SUMPRODUCT(MAX(ROW(E$1:E623)*(E624=E$1:E623)))))</f>
        <v/>
      </c>
      <c r="L624" s="26"/>
    </row>
    <row r="625" customFormat="false" ht="15" hidden="false" customHeight="false" outlineLevel="0" collapsed="false">
      <c r="A625" s="20" t="s">
        <v>237</v>
      </c>
      <c r="E625" s="21" t="str">
        <f aca="false">IF(D625="?OLD","!!!","")</f>
        <v/>
      </c>
      <c r="F625" s="22" t="str">
        <f aca="false">IF(OR(E625="",E625="!!!"),"",IF(NOT(ISNA(VLOOKUP(E625,E$1:E624,1,FALSE()))),"OLD",IF(AND(E625&lt;&gt;"",E625&lt;&gt;"!!!"),"NEW","")))</f>
        <v> </v>
      </c>
      <c r="G625" s="23" t="str">
        <f aca="false">IF(OR(E625="",E625="!!!"),"",IF(OR(J625=0,AND(J625=1,K625=1),AND(J625=1,I625="SBJ"),AND(J625=1,I625=0)),"?IN_FOCUS",IF(J625&lt;=2,"?ACTIVATED",IF(J625&lt;&gt;"","?FAMILIAR",IF(F625="NEW",IF(ISNA(VLOOKUP(E625,#REF!,1,FALSE())),"?TYPE_IDENTIFIABLE","?REFERENTIAL"),"_")))))</f>
        <v/>
      </c>
      <c r="H625" s="24" t="str">
        <f aca="false">IF(J625&lt;&gt;1,"",IF(I625="SBJ","CB","?"))</f>
        <v/>
      </c>
      <c r="I625" s="25" t="str">
        <f aca="false">IF(OR(E625="",E625="!!!",F625="NEW"),"",INDEX(B624:B$2,-1+SUMPRODUCT(MAX(ROW(E624:E$2)*(E625=E624:E$2)))))</f>
        <v> </v>
      </c>
      <c r="J625" s="25" t="str">
        <f aca="true">IF(OR(E625="",E625="!!!",F625="NEW"),"",COUNTBLANK(OFFSET(A$1,,,SUMPRODUCT(MAX(ROW(E$2:E625)*(E625=E$2:E625)))))-COUNTBLANK(OFFSET(A$1,,,SUMPRODUCT(MAX(ROW(E$1:E624)*(E2=E$1:E624))))))</f>
        <v/>
      </c>
      <c r="K625" s="25" t="str">
        <f aca="false">IF(OR(E625="",E625="!!!",F625="NEW"),"",INDEX(J$1:J624,SUMPRODUCT(MAX(ROW(E$1:E624)*(E625=E$1:E624)))))</f>
        <v/>
      </c>
      <c r="L625" s="26"/>
    </row>
    <row r="626" customFormat="false" ht="15" hidden="false" customHeight="false" outlineLevel="0" collapsed="false">
      <c r="A626" s="20" t="s">
        <v>242</v>
      </c>
      <c r="E626" s="21" t="str">
        <f aca="false">IF(D626="?OLD","!!!","")</f>
        <v/>
      </c>
      <c r="F626" s="22" t="str">
        <f aca="false">IF(OR(E626="",E626="!!!"),"",IF(NOT(ISNA(VLOOKUP(E626,E$1:E625,1,FALSE()))),"OLD",IF(AND(E626&lt;&gt;"",E626&lt;&gt;"!!!"),"NEW","")))</f>
        <v> </v>
      </c>
      <c r="G626" s="23" t="str">
        <f aca="false">IF(OR(E626="",E626="!!!"),"",IF(OR(J626=0,AND(J626=1,K626=1),AND(J626=1,I626="SBJ"),AND(J626=1,I626=0)),"?IN_FOCUS",IF(J626&lt;=2,"?ACTIVATED",IF(J626&lt;&gt;"","?FAMILIAR",IF(F626="NEW",IF(ISNA(VLOOKUP(E626,#REF!,1,FALSE())),"?TYPE_IDENTIFIABLE","?REFERENTIAL"),"_")))))</f>
        <v/>
      </c>
      <c r="H626" s="24" t="str">
        <f aca="false">IF(J626&lt;&gt;1,"",IF(I626="SBJ","CB","?"))</f>
        <v/>
      </c>
      <c r="I626" s="25" t="str">
        <f aca="false">IF(OR(E626="",E626="!!!",F626="NEW"),"",INDEX(B625:B$2,-1+SUMPRODUCT(MAX(ROW(E625:E$2)*(E626=E625:E$2)))))</f>
        <v> </v>
      </c>
      <c r="J626" s="25" t="str">
        <f aca="true">IF(OR(E626="",E626="!!!",F626="NEW"),"",COUNTBLANK(OFFSET(A$1,,,SUMPRODUCT(MAX(ROW(E$2:E626)*(E626=E$2:E626)))))-COUNTBLANK(OFFSET(A$1,,,SUMPRODUCT(MAX(ROW(E$1:E625)*(E2=E$1:E625))))))</f>
        <v/>
      </c>
      <c r="K626" s="25" t="str">
        <f aca="false">IF(OR(E626="",E626="!!!",F626="NEW"),"",INDEX(J$1:J625,SUMPRODUCT(MAX(ROW(E$1:E625)*(E626=E$1:E625)))))</f>
        <v/>
      </c>
      <c r="L626" s="26"/>
    </row>
    <row r="627" customFormat="false" ht="15" hidden="false" customHeight="false" outlineLevel="0" collapsed="false">
      <c r="A627" s="20" t="s">
        <v>243</v>
      </c>
      <c r="B627" s="27" t="s">
        <v>269</v>
      </c>
      <c r="C627" s="27" t="s">
        <v>233</v>
      </c>
      <c r="D627" s="27" t="s">
        <v>209</v>
      </c>
      <c r="E627" s="21" t="str">
        <f aca="false">IF(D627="?OLD","!!!","")</f>
        <v>!!!</v>
      </c>
      <c r="F627" s="22" t="str">
        <f aca="false">IF(OR(E627="",E627="!!!"),"",IF(NOT(ISNA(VLOOKUP(E627,E$1:E626,1,FALSE()))),"OLD",IF(AND(E627&lt;&gt;"",E627&lt;&gt;"!!!"),"NEW","")))</f>
        <v> </v>
      </c>
      <c r="G627" s="23" t="str">
        <f aca="false">IF(OR(E627="",E627="!!!"),"",IF(OR(J627=0,AND(J627=1,K627=1),AND(J627=1,I627="SBJ"),AND(J627=1,I627=0)),"?IN_FOCUS",IF(J627&lt;=2,"?ACTIVATED",IF(J627&lt;&gt;"","?FAMILIAR",IF(F627="NEW",IF(ISNA(VLOOKUP(E627,#REF!,1,FALSE())),"?TYPE_IDENTIFIABLE","?REFERENTIAL"),"_")))))</f>
        <v/>
      </c>
      <c r="H627" s="24" t="str">
        <f aca="false">IF(J627&lt;&gt;1,"",IF(I627="SBJ","CB","?"))</f>
        <v/>
      </c>
      <c r="I627" s="25" t="str">
        <f aca="false">IF(OR(E627="",E627="!!!",F627="NEW"),"",INDEX(B626:B$2,-1+SUMPRODUCT(MAX(ROW(E626:E$2)*(E627=E626:E$2)))))</f>
        <v> </v>
      </c>
      <c r="J627" s="25" t="str">
        <f aca="true">IF(OR(E627="",E627="!!!",F627="NEW"),"",COUNTBLANK(OFFSET(A$1,,,SUMPRODUCT(MAX(ROW(E$2:E627)*(E627=E$2:E627)))))-COUNTBLANK(OFFSET(A$1,,,SUMPRODUCT(MAX(ROW(E$1:E626)*(E2=E$1:E626))))))</f>
        <v/>
      </c>
      <c r="K627" s="25" t="str">
        <f aca="false">IF(OR(E627="",E627="!!!",F627="NEW"),"",INDEX(J$1:J626,SUMPRODUCT(MAX(ROW(E$1:E626)*(E627=E$1:E626)))))</f>
        <v/>
      </c>
      <c r="L627" s="26"/>
    </row>
    <row r="628" customFormat="false" ht="15" hidden="false" customHeight="false" outlineLevel="0" collapsed="false">
      <c r="A628" s="20" t="s">
        <v>245</v>
      </c>
      <c r="E628" s="21" t="str">
        <f aca="false">IF(D628="?OLD","!!!","")</f>
        <v/>
      </c>
      <c r="F628" s="22" t="str">
        <f aca="false">IF(OR(E628="",E628="!!!"),"",IF(NOT(ISNA(VLOOKUP(E628,E$1:E627,1,FALSE()))),"OLD",IF(AND(E628&lt;&gt;"",E628&lt;&gt;"!!!"),"NEW","")))</f>
        <v> </v>
      </c>
      <c r="G628" s="23" t="str">
        <f aca="false">IF(OR(E628="",E628="!!!"),"",IF(OR(J628=0,AND(J628=1,K628=1),AND(J628=1,I628="SBJ"),AND(J628=1,I628=0)),"?IN_FOCUS",IF(J628&lt;=2,"?ACTIVATED",IF(J628&lt;&gt;"","?FAMILIAR",IF(F628="NEW",IF(ISNA(VLOOKUP(E628,#REF!,1,FALSE())),"?TYPE_IDENTIFIABLE","?REFERENTIAL"),"_")))))</f>
        <v/>
      </c>
      <c r="H628" s="24" t="str">
        <f aca="false">IF(J628&lt;&gt;1,"",IF(I628="SBJ","CB","?"))</f>
        <v/>
      </c>
      <c r="I628" s="25" t="str">
        <f aca="false">IF(OR(E628="",E628="!!!",F628="NEW"),"",INDEX(B627:B$2,-1+SUMPRODUCT(MAX(ROW(E627:E$2)*(E628=E627:E$2)))))</f>
        <v> </v>
      </c>
      <c r="J628" s="25" t="str">
        <f aca="true">IF(OR(E628="",E628="!!!",F628="NEW"),"",COUNTBLANK(OFFSET(A$1,,,SUMPRODUCT(MAX(ROW(E$2:E628)*(E628=E$2:E628)))))-COUNTBLANK(OFFSET(A$1,,,SUMPRODUCT(MAX(ROW(E$1:E627)*(E2=E$1:E627))))))</f>
        <v/>
      </c>
      <c r="K628" s="25" t="str">
        <f aca="false">IF(OR(E628="",E628="!!!",F628="NEW"),"",INDEX(J$1:J627,SUMPRODUCT(MAX(ROW(E$1:E627)*(E628=E$1:E627)))))</f>
        <v/>
      </c>
      <c r="L628" s="26"/>
    </row>
    <row r="629" customFormat="false" ht="15" hidden="false" customHeight="false" outlineLevel="0" collapsed="false">
      <c r="A629" s="20" t="s">
        <v>246</v>
      </c>
      <c r="E629" s="21" t="str">
        <f aca="false">IF(D629="?OLD","!!!","")</f>
        <v/>
      </c>
      <c r="F629" s="22" t="str">
        <f aca="false">IF(OR(E629="",E629="!!!"),"",IF(NOT(ISNA(VLOOKUP(E629,E$1:E628,1,FALSE()))),"OLD",IF(AND(E629&lt;&gt;"",E629&lt;&gt;"!!!"),"NEW","")))</f>
        <v> </v>
      </c>
      <c r="G629" s="23" t="str">
        <f aca="false">IF(OR(E629="",E629="!!!"),"",IF(OR(J629=0,AND(J629=1,K629=1),AND(J629=1,I629="SBJ"),AND(J629=1,I629=0)),"?IN_FOCUS",IF(J629&lt;=2,"?ACTIVATED",IF(J629&lt;&gt;"","?FAMILIAR",IF(F629="NEW",IF(ISNA(VLOOKUP(E629,#REF!,1,FALSE())),"?TYPE_IDENTIFIABLE","?REFERENTIAL"),"_")))))</f>
        <v/>
      </c>
      <c r="H629" s="24" t="str">
        <f aca="false">IF(J629&lt;&gt;1,"",IF(I629="SBJ","CB","?"))</f>
        <v/>
      </c>
      <c r="I629" s="25" t="str">
        <f aca="false">IF(OR(E629="",E629="!!!",F629="NEW"),"",INDEX(B628:B$2,-1+SUMPRODUCT(MAX(ROW(E628:E$2)*(E629=E628:E$2)))))</f>
        <v> </v>
      </c>
      <c r="J629" s="25" t="str">
        <f aca="true">IF(OR(E629="",E629="!!!",F629="NEW"),"",COUNTBLANK(OFFSET(A$1,,,SUMPRODUCT(MAX(ROW(E$2:E629)*(E629=E$2:E629)))))-COUNTBLANK(OFFSET(A$1,,,SUMPRODUCT(MAX(ROW(E$1:E628)*(E2=E$1:E628))))))</f>
        <v/>
      </c>
      <c r="K629" s="25" t="str">
        <f aca="false">IF(OR(E629="",E629="!!!",F629="NEW"),"",INDEX(J$1:J628,SUMPRODUCT(MAX(ROW(E$1:E628)*(E629=E$1:E628)))))</f>
        <v/>
      </c>
      <c r="L629" s="26"/>
    </row>
    <row r="630" customFormat="false" ht="15" hidden="false" customHeight="false" outlineLevel="0" collapsed="false">
      <c r="A630" s="20" t="s">
        <v>89</v>
      </c>
      <c r="E630" s="21" t="str">
        <f aca="false">IF(D630="?OLD","!!!","")</f>
        <v/>
      </c>
      <c r="F630" s="22" t="str">
        <f aca="false">IF(OR(E630="",E630="!!!"),"",IF(NOT(ISNA(VLOOKUP(E630,E$1:E629,1,FALSE()))),"OLD",IF(AND(E630&lt;&gt;"",E630&lt;&gt;"!!!"),"NEW","")))</f>
        <v> </v>
      </c>
      <c r="G630" s="23" t="str">
        <f aca="false">IF(OR(E630="",E630="!!!"),"",IF(OR(J630=0,AND(J630=1,K630=1),AND(J630=1,I630="SBJ"),AND(J630=1,I630=0)),"?IN_FOCUS",IF(J630&lt;=2,"?ACTIVATED",IF(J630&lt;&gt;"","?FAMILIAR",IF(F630="NEW",IF(ISNA(VLOOKUP(E630,#REF!,1,FALSE())),"?TYPE_IDENTIFIABLE","?REFERENTIAL"),"_")))))</f>
        <v/>
      </c>
      <c r="H630" s="24" t="str">
        <f aca="false">IF(J630&lt;&gt;1,"",IF(I630="SBJ","CB","?"))</f>
        <v/>
      </c>
      <c r="I630" s="25" t="str">
        <f aca="false">IF(OR(E630="",E630="!!!",F630="NEW"),"",INDEX(B629:B$2,-1+SUMPRODUCT(MAX(ROW(E629:E$2)*(E630=E629:E$2)))))</f>
        <v> </v>
      </c>
      <c r="J630" s="25" t="str">
        <f aca="true">IF(OR(E630="",E630="!!!",F630="NEW"),"",COUNTBLANK(OFFSET(A$1,,,SUMPRODUCT(MAX(ROW(E$2:E630)*(E630=E$2:E630)))))-COUNTBLANK(OFFSET(A$1,,,SUMPRODUCT(MAX(ROW(E$1:E629)*(E2=E$1:E629))))))</f>
        <v/>
      </c>
      <c r="K630" s="25" t="str">
        <f aca="false">IF(OR(E630="",E630="!!!",F630="NEW"),"",INDEX(J$1:J629,SUMPRODUCT(MAX(ROW(E$1:E629)*(E630=E$1:E629)))))</f>
        <v/>
      </c>
      <c r="L630" s="26"/>
    </row>
    <row r="631" customFormat="false" ht="15" hidden="false" customHeight="false" outlineLevel="0" collapsed="false">
      <c r="A631" s="20" t="s">
        <v>218</v>
      </c>
      <c r="E631" s="21" t="str">
        <f aca="false">IF(D631="?OLD","!!!","")</f>
        <v/>
      </c>
      <c r="F631" s="22" t="str">
        <f aca="false">IF(OR(E631="",E631="!!!"),"",IF(NOT(ISNA(VLOOKUP(E631,E$1:E630,1,FALSE()))),"OLD",IF(AND(E631&lt;&gt;"",E631&lt;&gt;"!!!"),"NEW","")))</f>
        <v> </v>
      </c>
      <c r="G631" s="23" t="str">
        <f aca="false">IF(OR(E631="",E631="!!!"),"",IF(OR(J631=0,AND(J631=1,K631=1),AND(J631=1,I631="SBJ"),AND(J631=1,I631=0)),"?IN_FOCUS",IF(J631&lt;=2,"?ACTIVATED",IF(J631&lt;&gt;"","?FAMILIAR",IF(F631="NEW",IF(ISNA(VLOOKUP(E631,#REF!,1,FALSE())),"?TYPE_IDENTIFIABLE","?REFERENTIAL"),"_")))))</f>
        <v/>
      </c>
      <c r="H631" s="24" t="str">
        <f aca="false">IF(J631&lt;&gt;1,"",IF(I631="SBJ","CB","?"))</f>
        <v/>
      </c>
      <c r="I631" s="25" t="str">
        <f aca="false">IF(OR(E631="",E631="!!!",F631="NEW"),"",INDEX(B630:B$2,-1+SUMPRODUCT(MAX(ROW(E630:E$2)*(E631=E630:E$2)))))</f>
        <v> </v>
      </c>
      <c r="J631" s="25" t="str">
        <f aca="true">IF(OR(E631="",E631="!!!",F631="NEW"),"",COUNTBLANK(OFFSET(A$1,,,SUMPRODUCT(MAX(ROW(E$2:E631)*(E631=E$2:E631)))))-COUNTBLANK(OFFSET(A$1,,,SUMPRODUCT(MAX(ROW(E$1:E630)*(E2=E$1:E630))))))</f>
        <v/>
      </c>
      <c r="K631" s="25" t="str">
        <f aca="false">IF(OR(E631="",E631="!!!",F631="NEW"),"",INDEX(J$1:J630,SUMPRODUCT(MAX(ROW(E$1:E630)*(E631=E$1:E630)))))</f>
        <v/>
      </c>
      <c r="L631" s="26"/>
    </row>
    <row r="632" customFormat="false" ht="15" hidden="false" customHeight="false" outlineLevel="0" collapsed="false">
      <c r="A632" s="20" t="s">
        <v>264</v>
      </c>
      <c r="B632" s="27" t="s">
        <v>412</v>
      </c>
      <c r="C632" s="27" t="s">
        <v>233</v>
      </c>
      <c r="D632" s="27" t="s">
        <v>209</v>
      </c>
      <c r="E632" s="21" t="str">
        <f aca="false">IF(D632="?OLD","!!!","")</f>
        <v>!!!</v>
      </c>
      <c r="F632" s="22" t="str">
        <f aca="false">IF(OR(E632="",E632="!!!"),"",IF(NOT(ISNA(VLOOKUP(E632,E$1:E631,1,FALSE()))),"OLD",IF(AND(E632&lt;&gt;"",E632&lt;&gt;"!!!"),"NEW","")))</f>
        <v> </v>
      </c>
      <c r="G632" s="23" t="str">
        <f aca="false">IF(OR(E632="",E632="!!!"),"",IF(OR(J632=0,AND(J632=1,K632=1),AND(J632=1,I632="SBJ"),AND(J632=1,I632=0)),"?IN_FOCUS",IF(J632&lt;=2,"?ACTIVATED",IF(J632&lt;&gt;"","?FAMILIAR",IF(F632="NEW",IF(ISNA(VLOOKUP(E632,#REF!,1,FALSE())),"?TYPE_IDENTIFIABLE","?REFERENTIAL"),"_")))))</f>
        <v/>
      </c>
      <c r="H632" s="24" t="str">
        <f aca="false">IF(J632&lt;&gt;1,"",IF(I632="SBJ","CB","?"))</f>
        <v/>
      </c>
      <c r="I632" s="25" t="str">
        <f aca="false">IF(OR(E632="",E632="!!!",F632="NEW"),"",INDEX(B631:B$2,-1+SUMPRODUCT(MAX(ROW(E631:E$2)*(E632=E631:E$2)))))</f>
        <v> </v>
      </c>
      <c r="J632" s="25" t="str">
        <f aca="true">IF(OR(E632="",E632="!!!",F632="NEW"),"",COUNTBLANK(OFFSET(A$1,,,SUMPRODUCT(MAX(ROW(E$2:E632)*(E632=E$2:E632)))))-COUNTBLANK(OFFSET(A$1,,,SUMPRODUCT(MAX(ROW(E$1:E631)*(E2=E$1:E631))))))</f>
        <v/>
      </c>
      <c r="K632" s="25" t="str">
        <f aca="false">IF(OR(E632="",E632="!!!",F632="NEW"),"",INDEX(J$1:J631,SUMPRODUCT(MAX(ROW(E$1:E631)*(E632=E$1:E631)))))</f>
        <v/>
      </c>
      <c r="L632" s="26"/>
    </row>
    <row r="633" customFormat="false" ht="15" hidden="false" customHeight="false" outlineLevel="0" collapsed="false">
      <c r="A633" s="20" t="s">
        <v>237</v>
      </c>
      <c r="E633" s="21" t="str">
        <f aca="false">IF(D633="?OLD","!!!","")</f>
        <v/>
      </c>
      <c r="F633" s="22" t="str">
        <f aca="false">IF(OR(E633="",E633="!!!"),"",IF(NOT(ISNA(VLOOKUP(E633,E$1:E632,1,FALSE()))),"OLD",IF(AND(E633&lt;&gt;"",E633&lt;&gt;"!!!"),"NEW","")))</f>
        <v> </v>
      </c>
      <c r="G633" s="23" t="str">
        <f aca="false">IF(OR(E633="",E633="!!!"),"",IF(OR(J633=0,AND(J633=1,K633=1),AND(J633=1,I633="SBJ"),AND(J633=1,I633=0)),"?IN_FOCUS",IF(J633&lt;=2,"?ACTIVATED",IF(J633&lt;&gt;"","?FAMILIAR",IF(F633="NEW",IF(ISNA(VLOOKUP(E633,#REF!,1,FALSE())),"?TYPE_IDENTIFIABLE","?REFERENTIAL"),"_")))))</f>
        <v/>
      </c>
      <c r="H633" s="24" t="str">
        <f aca="false">IF(J633&lt;&gt;1,"",IF(I633="SBJ","CB","?"))</f>
        <v/>
      </c>
      <c r="I633" s="25" t="str">
        <f aca="false">IF(OR(E633="",E633="!!!",F633="NEW"),"",INDEX(B632:B$2,-1+SUMPRODUCT(MAX(ROW(E632:E$2)*(E633=E632:E$2)))))</f>
        <v> </v>
      </c>
      <c r="J633" s="25" t="str">
        <f aca="true">IF(OR(E633="",E633="!!!",F633="NEW"),"",COUNTBLANK(OFFSET(A$1,,,SUMPRODUCT(MAX(ROW(E$2:E633)*(E633=E$2:E633)))))-COUNTBLANK(OFFSET(A$1,,,SUMPRODUCT(MAX(ROW(E$1:E632)*(E2=E$1:E632))))))</f>
        <v/>
      </c>
      <c r="K633" s="25" t="str">
        <f aca="false">IF(OR(E633="",E633="!!!",F633="NEW"),"",INDEX(J$1:J632,SUMPRODUCT(MAX(ROW(E$1:E632)*(E633=E$1:E632)))))</f>
        <v/>
      </c>
      <c r="L633" s="26"/>
    </row>
    <row r="634" customFormat="false" ht="15" hidden="false" customHeight="false" outlineLevel="0" collapsed="false">
      <c r="A634" s="20" t="s">
        <v>242</v>
      </c>
      <c r="E634" s="21" t="str">
        <f aca="false">IF(D634="?OLD","!!!","")</f>
        <v/>
      </c>
      <c r="F634" s="22" t="str">
        <f aca="false">IF(OR(E634="",E634="!!!"),"",IF(NOT(ISNA(VLOOKUP(E634,E$1:E633,1,FALSE()))),"OLD",IF(AND(E634&lt;&gt;"",E634&lt;&gt;"!!!"),"NEW","")))</f>
        <v> </v>
      </c>
      <c r="G634" s="23" t="str">
        <f aca="false">IF(OR(E634="",E634="!!!"),"",IF(OR(J634=0,AND(J634=1,K634=1),AND(J634=1,I634="SBJ"),AND(J634=1,I634=0)),"?IN_FOCUS",IF(J634&lt;=2,"?ACTIVATED",IF(J634&lt;&gt;"","?FAMILIAR",IF(F634="NEW",IF(ISNA(VLOOKUP(E634,#REF!,1,FALSE())),"?TYPE_IDENTIFIABLE","?REFERENTIAL"),"_")))))</f>
        <v/>
      </c>
      <c r="H634" s="24" t="str">
        <f aca="false">IF(J634&lt;&gt;1,"",IF(I634="SBJ","CB","?"))</f>
        <v/>
      </c>
      <c r="I634" s="25" t="str">
        <f aca="false">IF(OR(E634="",E634="!!!",F634="NEW"),"",INDEX(B633:B$2,-1+SUMPRODUCT(MAX(ROW(E633:E$2)*(E634=E633:E$2)))))</f>
        <v> </v>
      </c>
      <c r="J634" s="25" t="str">
        <f aca="true">IF(OR(E634="",E634="!!!",F634="NEW"),"",COUNTBLANK(OFFSET(A$1,,,SUMPRODUCT(MAX(ROW(E$2:E634)*(E634=E$2:E634)))))-COUNTBLANK(OFFSET(A$1,,,SUMPRODUCT(MAX(ROW(E$1:E633)*(E2=E$1:E633))))))</f>
        <v/>
      </c>
      <c r="K634" s="25" t="str">
        <f aca="false">IF(OR(E634="",E634="!!!",F634="NEW"),"",INDEX(J$1:J633,SUMPRODUCT(MAX(ROW(E$1:E633)*(E634=E$1:E633)))))</f>
        <v/>
      </c>
      <c r="L634" s="26"/>
    </row>
    <row r="635" customFormat="false" ht="15" hidden="false" customHeight="false" outlineLevel="0" collapsed="false">
      <c r="A635" s="20" t="s">
        <v>374</v>
      </c>
      <c r="B635" s="27" t="s">
        <v>413</v>
      </c>
      <c r="C635" s="27" t="s">
        <v>297</v>
      </c>
      <c r="E635" s="21" t="str">
        <f aca="false">IF(D635="?OLD","!!!","")</f>
        <v/>
      </c>
      <c r="F635" s="22" t="str">
        <f aca="false">IF(OR(E635="",E635="!!!"),"",IF(NOT(ISNA(VLOOKUP(E635,E$1:E634,1,FALSE()))),"OLD",IF(AND(E635&lt;&gt;"",E635&lt;&gt;"!!!"),"NEW","")))</f>
        <v> </v>
      </c>
      <c r="G635" s="23" t="str">
        <f aca="false">IF(OR(E635="",E635="!!!"),"",IF(OR(J635=0,AND(J635=1,K635=1),AND(J635=1,I635="SBJ"),AND(J635=1,I635=0)),"?IN_FOCUS",IF(J635&lt;=2,"?ACTIVATED",IF(J635&lt;&gt;"","?FAMILIAR",IF(F635="NEW",IF(ISNA(VLOOKUP(E635,#REF!,1,FALSE())),"?TYPE_IDENTIFIABLE","?REFERENTIAL"),"_")))))</f>
        <v/>
      </c>
      <c r="H635" s="24" t="str">
        <f aca="false">IF(J635&lt;&gt;1,"",IF(I635="SBJ","CB","?"))</f>
        <v/>
      </c>
      <c r="I635" s="25" t="str">
        <f aca="false">IF(OR(E635="",E635="!!!",F635="NEW"),"",INDEX(B634:B$2,-1+SUMPRODUCT(MAX(ROW(E634:E$2)*(E635=E634:E$2)))))</f>
        <v> </v>
      </c>
      <c r="J635" s="25" t="str">
        <f aca="true">IF(OR(E635="",E635="!!!",F635="NEW"),"",COUNTBLANK(OFFSET(A$1,,,SUMPRODUCT(MAX(ROW(E$2:E635)*(E635=E$2:E635)))))-COUNTBLANK(OFFSET(A$1,,,SUMPRODUCT(MAX(ROW(E$1:E634)*(E2=E$1:E634))))))</f>
        <v/>
      </c>
      <c r="K635" s="25" t="str">
        <f aca="false">IF(OR(E635="",E635="!!!",F635="NEW"),"",INDEX(J$1:J634,SUMPRODUCT(MAX(ROW(E$1:E634)*(E635=E$1:E634)))))</f>
        <v/>
      </c>
      <c r="L635" s="26"/>
    </row>
    <row r="636" customFormat="false" ht="15" hidden="false" customHeight="false" outlineLevel="0" collapsed="false">
      <c r="A636" s="20" t="s">
        <v>260</v>
      </c>
      <c r="E636" s="21" t="str">
        <f aca="false">IF(D636="?OLD","!!!","")</f>
        <v/>
      </c>
      <c r="F636" s="22" t="str">
        <f aca="false">IF(OR(E636="",E636="!!!"),"",IF(NOT(ISNA(VLOOKUP(E636,E$1:E635,1,FALSE()))),"OLD",IF(AND(E636&lt;&gt;"",E636&lt;&gt;"!!!"),"NEW","")))</f>
        <v> </v>
      </c>
      <c r="G636" s="23" t="str">
        <f aca="false">IF(OR(E636="",E636="!!!"),"",IF(OR(J636=0,AND(J636=1,K636=1),AND(J636=1,I636="SBJ"),AND(J636=1,I636=0)),"?IN_FOCUS",IF(J636&lt;=2,"?ACTIVATED",IF(J636&lt;&gt;"","?FAMILIAR",IF(F636="NEW",IF(ISNA(VLOOKUP(E636,#REF!,1,FALSE())),"?TYPE_IDENTIFIABLE","?REFERENTIAL"),"_")))))</f>
        <v/>
      </c>
      <c r="H636" s="24" t="str">
        <f aca="false">IF(J636&lt;&gt;1,"",IF(I636="SBJ","CB","?"))</f>
        <v/>
      </c>
      <c r="I636" s="25" t="str">
        <f aca="false">IF(OR(E636="",E636="!!!",F636="NEW"),"",INDEX(B635:B$2,-1+SUMPRODUCT(MAX(ROW(E635:E$2)*(E636=E635:E$2)))))</f>
        <v> </v>
      </c>
      <c r="J636" s="25" t="str">
        <f aca="true">IF(OR(E636="",E636="!!!",F636="NEW"),"",COUNTBLANK(OFFSET(A$1,,,SUMPRODUCT(MAX(ROW(E$2:E636)*(E636=E$2:E636)))))-COUNTBLANK(OFFSET(A$1,,,SUMPRODUCT(MAX(ROW(E$1:E635)*(E2=E$1:E635))))))</f>
        <v/>
      </c>
      <c r="K636" s="25" t="str">
        <f aca="false">IF(OR(E636="",E636="!!!",F636="NEW"),"",INDEX(J$1:J635,SUMPRODUCT(MAX(ROW(E$1:E635)*(E636=E$1:E635)))))</f>
        <v/>
      </c>
      <c r="L636" s="26"/>
    </row>
    <row r="637" customFormat="false" ht="15" hidden="false" customHeight="false" outlineLevel="0" collapsed="false">
      <c r="A637" s="20" t="s">
        <v>205</v>
      </c>
      <c r="E637" s="21" t="str">
        <f aca="false">IF(D637="?OLD","!!!","")</f>
        <v/>
      </c>
      <c r="F637" s="22" t="str">
        <f aca="false">IF(OR(E637="",E637="!!!"),"",IF(NOT(ISNA(VLOOKUP(E637,E$1:E636,1,FALSE()))),"OLD",IF(AND(E637&lt;&gt;"",E637&lt;&gt;"!!!"),"NEW","")))</f>
        <v> </v>
      </c>
      <c r="G637" s="23" t="str">
        <f aca="false">IF(OR(E637="",E637="!!!"),"",IF(OR(J637=0,AND(J637=1,K637=1),AND(J637=1,I637="SBJ"),AND(J637=1,I637=0)),"?IN_FOCUS",IF(J637&lt;=2,"?ACTIVATED",IF(J637&lt;&gt;"","?FAMILIAR",IF(F637="NEW",IF(ISNA(VLOOKUP(E637,#REF!,1,FALSE())),"?TYPE_IDENTIFIABLE","?REFERENTIAL"),"_")))))</f>
        <v/>
      </c>
      <c r="H637" s="24" t="str">
        <f aca="false">IF(J637&lt;&gt;1,"",IF(I637="SBJ","CB","?"))</f>
        <v/>
      </c>
      <c r="I637" s="25" t="str">
        <f aca="false">IF(OR(E637="",E637="!!!",F637="NEW"),"",INDEX(B636:B$2,-1+SUMPRODUCT(MAX(ROW(E636:E$2)*(E637=E636:E$2)))))</f>
        <v> </v>
      </c>
      <c r="J637" s="25" t="str">
        <f aca="true">IF(OR(E637="",E637="!!!",F637="NEW"),"",COUNTBLANK(OFFSET(A$1,,,SUMPRODUCT(MAX(ROW(E$2:E637)*(E637=E$2:E637)))))-COUNTBLANK(OFFSET(A$1,,,SUMPRODUCT(MAX(ROW(E$1:E636)*(E2=E$1:E636))))))</f>
        <v/>
      </c>
      <c r="K637" s="25" t="str">
        <f aca="false">IF(OR(E637="",E637="!!!",F637="NEW"),"",INDEX(J$1:J636,SUMPRODUCT(MAX(ROW(E$1:E636)*(E637=E$1:E636)))))</f>
        <v/>
      </c>
      <c r="L637" s="26"/>
    </row>
    <row r="638" customFormat="false" ht="15" hidden="false" customHeight="false" outlineLevel="0" collapsed="false">
      <c r="A638" s="20" t="s">
        <v>414</v>
      </c>
      <c r="B638" s="27" t="s">
        <v>412</v>
      </c>
      <c r="C638" s="27" t="s">
        <v>208</v>
      </c>
      <c r="D638" s="27" t="s">
        <v>209</v>
      </c>
      <c r="E638" s="21" t="str">
        <f aca="false">IF(D638="?OLD","!!!","")</f>
        <v>!!!</v>
      </c>
      <c r="F638" s="22" t="str">
        <f aca="false">IF(OR(E638="",E638="!!!"),"",IF(NOT(ISNA(VLOOKUP(E638,E$1:E637,1,FALSE()))),"OLD",IF(AND(E638&lt;&gt;"",E638&lt;&gt;"!!!"),"NEW","")))</f>
        <v> </v>
      </c>
      <c r="G638" s="23" t="str">
        <f aca="false">IF(OR(E638="",E638="!!!"),"",IF(OR(J638=0,AND(J638=1,K638=1),AND(J638=1,I638="SBJ"),AND(J638=1,I638=0)),"?IN_FOCUS",IF(J638&lt;=2,"?ACTIVATED",IF(J638&lt;&gt;"","?FAMILIAR",IF(F638="NEW",IF(ISNA(VLOOKUP(E638,#REF!,1,FALSE())),"?TYPE_IDENTIFIABLE","?REFERENTIAL"),"_")))))</f>
        <v/>
      </c>
      <c r="H638" s="24" t="str">
        <f aca="false">IF(J638&lt;&gt;1,"",IF(I638="SBJ","CB","?"))</f>
        <v/>
      </c>
      <c r="I638" s="25" t="str">
        <f aca="false">IF(OR(E638="",E638="!!!",F638="NEW"),"",INDEX(B637:B$2,-1+SUMPRODUCT(MAX(ROW(E637:E$2)*(E638=E637:E$2)))))</f>
        <v> </v>
      </c>
      <c r="J638" s="25" t="str">
        <f aca="true">IF(OR(E638="",E638="!!!",F638="NEW"),"",COUNTBLANK(OFFSET(A$1,,,SUMPRODUCT(MAX(ROW(E$2:E638)*(E638=E$2:E638)))))-COUNTBLANK(OFFSET(A$1,,,SUMPRODUCT(MAX(ROW(E$1:E637)*(E2=E$1:E637))))))</f>
        <v/>
      </c>
      <c r="K638" s="25" t="str">
        <f aca="false">IF(OR(E638="",E638="!!!",F638="NEW"),"",INDEX(J$1:J637,SUMPRODUCT(MAX(ROW(E$1:E637)*(E638=E$1:E637)))))</f>
        <v/>
      </c>
      <c r="L638" s="26"/>
    </row>
    <row r="639" customFormat="false" ht="15" hidden="false" customHeight="false" outlineLevel="0" collapsed="false">
      <c r="A639" s="20" t="s">
        <v>49</v>
      </c>
      <c r="E639" s="21" t="str">
        <f aca="false">IF(D639="?OLD","!!!","")</f>
        <v/>
      </c>
      <c r="F639" s="22" t="str">
        <f aca="false">IF(OR(E639="",E639="!!!"),"",IF(NOT(ISNA(VLOOKUP(E639,E$1:E638,1,FALSE()))),"OLD",IF(AND(E639&lt;&gt;"",E639&lt;&gt;"!!!"),"NEW","")))</f>
        <v> </v>
      </c>
      <c r="G639" s="23" t="str">
        <f aca="false">IF(OR(E639="",E639="!!!"),"",IF(OR(J639=0,AND(J639=1,K639=1),AND(J639=1,I639="SBJ"),AND(J639=1,I639=0)),"?IN_FOCUS",IF(J639&lt;=2,"?ACTIVATED",IF(J639&lt;&gt;"","?FAMILIAR",IF(F639="NEW",IF(ISNA(VLOOKUP(E639,#REF!,1,FALSE())),"?TYPE_IDENTIFIABLE","?REFERENTIAL"),"_")))))</f>
        <v/>
      </c>
      <c r="H639" s="24" t="str">
        <f aca="false">IF(J639&lt;&gt;1,"",IF(I639="SBJ","CB","?"))</f>
        <v/>
      </c>
      <c r="I639" s="25" t="str">
        <f aca="false">IF(OR(E639="",E639="!!!",F639="NEW"),"",INDEX(B638:B$2,-1+SUMPRODUCT(MAX(ROW(E638:E$2)*(E639=E638:E$2)))))</f>
        <v> </v>
      </c>
      <c r="J639" s="25" t="str">
        <f aca="true">IF(OR(E639="",E639="!!!",F639="NEW"),"",COUNTBLANK(OFFSET(A$1,,,SUMPRODUCT(MAX(ROW(E$2:E639)*(E639=E$2:E639)))))-COUNTBLANK(OFFSET(A$1,,,SUMPRODUCT(MAX(ROW(E$1:E638)*(E2=E$1:E638))))))</f>
        <v/>
      </c>
      <c r="K639" s="25" t="str">
        <f aca="false">IF(OR(E639="",E639="!!!",F639="NEW"),"",INDEX(J$1:J638,SUMPRODUCT(MAX(ROW(E$1:E638)*(E639=E$1:E638)))))</f>
        <v/>
      </c>
      <c r="L639" s="26"/>
    </row>
    <row r="640" customFormat="false" ht="15" hidden="false" customHeight="false" outlineLevel="0" collapsed="false">
      <c r="A640" s="20" t="s">
        <v>281</v>
      </c>
      <c r="B640" s="27" t="s">
        <v>415</v>
      </c>
      <c r="C640" s="27" t="s">
        <v>282</v>
      </c>
      <c r="D640" s="27" t="s">
        <v>209</v>
      </c>
      <c r="E640" s="21" t="str">
        <f aca="false">IF(D640="?OLD","!!!","")</f>
        <v>!!!</v>
      </c>
      <c r="F640" s="22" t="str">
        <f aca="false">IF(OR(E640="",E640="!!!"),"",IF(NOT(ISNA(VLOOKUP(E640,E$1:E639,1,FALSE()))),"OLD",IF(AND(E640&lt;&gt;"",E640&lt;&gt;"!!!"),"NEW","")))</f>
        <v> </v>
      </c>
      <c r="G640" s="23" t="str">
        <f aca="false">IF(OR(E640="",E640="!!!"),"",IF(OR(J640=0,AND(J640=1,K640=1),AND(J640=1,I640="SBJ"),AND(J640=1,I640=0)),"?IN_FOCUS",IF(J640&lt;=2,"?ACTIVATED",IF(J640&lt;&gt;"","?FAMILIAR",IF(F640="NEW",IF(ISNA(VLOOKUP(E640,#REF!,1,FALSE())),"?TYPE_IDENTIFIABLE","?REFERENTIAL"),"_")))))</f>
        <v/>
      </c>
      <c r="H640" s="24" t="str">
        <f aca="false">IF(J640&lt;&gt;1,"",IF(I640="SBJ","CB","?"))</f>
        <v/>
      </c>
      <c r="I640" s="25" t="str">
        <f aca="false">IF(OR(E640="",E640="!!!",F640="NEW"),"",INDEX(B639:B$2,-1+SUMPRODUCT(MAX(ROW(E639:E$2)*(E640=E639:E$2)))))</f>
        <v> </v>
      </c>
      <c r="J640" s="25" t="str">
        <f aca="true">IF(OR(E640="",E640="!!!",F640="NEW"),"",COUNTBLANK(OFFSET(A$1,,,SUMPRODUCT(MAX(ROW(E$2:E640)*(E640=E$2:E640)))))-COUNTBLANK(OFFSET(A$1,,,SUMPRODUCT(MAX(ROW(E$1:E639)*(E2=E$1:E639))))))</f>
        <v/>
      </c>
      <c r="K640" s="25" t="str">
        <f aca="false">IF(OR(E640="",E640="!!!",F640="NEW"),"",INDEX(J$1:J639,SUMPRODUCT(MAX(ROW(E$1:E639)*(E640=E$1:E639)))))</f>
        <v/>
      </c>
      <c r="L640" s="26"/>
    </row>
    <row r="641" customFormat="false" ht="15" hidden="false" customHeight="false" outlineLevel="0" collapsed="false">
      <c r="A641" s="20" t="s">
        <v>416</v>
      </c>
      <c r="B641" s="27" t="s">
        <v>417</v>
      </c>
      <c r="C641" s="27" t="s">
        <v>284</v>
      </c>
      <c r="D641" s="27" t="s">
        <v>209</v>
      </c>
      <c r="E641" s="21" t="str">
        <f aca="false">IF(D641="?OLD","!!!","")</f>
        <v>!!!</v>
      </c>
      <c r="F641" s="22" t="str">
        <f aca="false">IF(OR(E641="",E641="!!!"),"",IF(NOT(ISNA(VLOOKUP(E641,E$1:E640,1,FALSE()))),"OLD",IF(AND(E641&lt;&gt;"",E641&lt;&gt;"!!!"),"NEW","")))</f>
        <v> </v>
      </c>
      <c r="G641" s="23" t="str">
        <f aca="false">IF(OR(E641="",E641="!!!"),"",IF(OR(J641=0,AND(J641=1,K641=1),AND(J641=1,I641="SBJ"),AND(J641=1,I641=0)),"?IN_FOCUS",IF(J641&lt;=2,"?ACTIVATED",IF(J641&lt;&gt;"","?FAMILIAR",IF(F641="NEW",IF(ISNA(VLOOKUP(E641,#REF!,1,FALSE())),"?TYPE_IDENTIFIABLE","?REFERENTIAL"),"_")))))</f>
        <v/>
      </c>
      <c r="H641" s="24" t="str">
        <f aca="false">IF(J641&lt;&gt;1,"",IF(I641="SBJ","CB","?"))</f>
        <v/>
      </c>
      <c r="I641" s="25" t="str">
        <f aca="false">IF(OR(E641="",E641="!!!",F641="NEW"),"",INDEX(B640:B$2,-1+SUMPRODUCT(MAX(ROW(E640:E$2)*(E641=E640:E$2)))))</f>
        <v> </v>
      </c>
      <c r="J641" s="25" t="str">
        <f aca="true">IF(OR(E641="",E641="!!!",F641="NEW"),"",COUNTBLANK(OFFSET(A$1,,,SUMPRODUCT(MAX(ROW(E$2:E641)*(E641=E$2:E641)))))-COUNTBLANK(OFFSET(A$1,,,SUMPRODUCT(MAX(ROW(E$1:E640)*(E2=E$1:E640))))))</f>
        <v/>
      </c>
      <c r="K641" s="25" t="str">
        <f aca="false">IF(OR(E641="",E641="!!!",F641="NEW"),"",INDEX(J$1:J640,SUMPRODUCT(MAX(ROW(E$1:E640)*(E641=E$1:E640)))))</f>
        <v/>
      </c>
      <c r="L641" s="26"/>
    </row>
    <row r="642" customFormat="false" ht="15" hidden="false" customHeight="false" outlineLevel="0" collapsed="false">
      <c r="A642" s="20" t="s">
        <v>229</v>
      </c>
      <c r="E642" s="21" t="str">
        <f aca="false">IF(D642="?OLD","!!!","")</f>
        <v/>
      </c>
      <c r="F642" s="22" t="str">
        <f aca="false">IF(OR(E642="",E642="!!!"),"",IF(NOT(ISNA(VLOOKUP(E642,E$1:E641,1,FALSE()))),"OLD",IF(AND(E642&lt;&gt;"",E642&lt;&gt;"!!!"),"NEW","")))</f>
        <v> </v>
      </c>
      <c r="G642" s="23" t="str">
        <f aca="false">IF(OR(E642="",E642="!!!"),"",IF(OR(J642=0,AND(J642=1,K642=1),AND(J642=1,I642="SBJ"),AND(J642=1,I642=0)),"?IN_FOCUS",IF(J642&lt;=2,"?ACTIVATED",IF(J642&lt;&gt;"","?FAMILIAR",IF(F642="NEW",IF(ISNA(VLOOKUP(E642,#REF!,1,FALSE())),"?TYPE_IDENTIFIABLE","?REFERENTIAL"),"_")))))</f>
        <v/>
      </c>
      <c r="H642" s="24" t="str">
        <f aca="false">IF(J642&lt;&gt;1,"",IF(I642="SBJ","CB","?"))</f>
        <v/>
      </c>
      <c r="I642" s="25" t="str">
        <f aca="false">IF(OR(E642="",E642="!!!",F642="NEW"),"",INDEX(B641:B$2,-1+SUMPRODUCT(MAX(ROW(E641:E$2)*(E642=E641:E$2)))))</f>
        <v> </v>
      </c>
      <c r="J642" s="25" t="str">
        <f aca="true">IF(OR(E642="",E642="!!!",F642="NEW"),"",COUNTBLANK(OFFSET(A$1,,,SUMPRODUCT(MAX(ROW(E$2:E642)*(E642=E$2:E642)))))-COUNTBLANK(OFFSET(A$1,,,SUMPRODUCT(MAX(ROW(E$1:E641)*(E2=E$1:E641))))))</f>
        <v/>
      </c>
      <c r="K642" s="25" t="str">
        <f aca="false">IF(OR(E642="",E642="!!!",F642="NEW"),"",INDEX(J$1:J641,SUMPRODUCT(MAX(ROW(E$1:E641)*(E642=E$1:E641)))))</f>
        <v/>
      </c>
      <c r="L642" s="26"/>
    </row>
    <row r="643" customFormat="false" ht="15" hidden="false" customHeight="false" outlineLevel="0" collapsed="false">
      <c r="A643" s="20"/>
    </row>
    <row r="644" customFormat="false" ht="15" hidden="false" customHeight="false" outlineLevel="0" collapsed="false">
      <c r="A644" s="20" t="s">
        <v>418</v>
      </c>
    </row>
    <row r="645" customFormat="false" ht="15" hidden="false" customHeight="false" outlineLevel="0" collapsed="false">
      <c r="A645" s="20" t="s">
        <v>399</v>
      </c>
      <c r="E645" s="21" t="str">
        <f aca="false">IF(D645="?OLD","!!!","")</f>
        <v/>
      </c>
      <c r="F645" s="22" t="str">
        <f aca="false">IF(OR(E645="",E645="!!!"),"",IF(NOT(ISNA(VLOOKUP(E645,E$1:E644,1,FALSE()))),"OLD",IF(AND(E645&lt;&gt;"",E645&lt;&gt;"!!!"),"NEW","")))</f>
        <v> </v>
      </c>
      <c r="G645" s="23" t="str">
        <f aca="false">IF(OR(E645="",E645="!!!"),"",IF(OR(J645=0,AND(J645=1,K645=1),AND(J645=1,I645="SBJ"),AND(J645=1,I645=0)),"?IN_FOCUS",IF(J645&lt;=2,"?ACTIVATED",IF(J645&lt;&gt;"","?FAMILIAR",IF(F645="NEW",IF(ISNA(VLOOKUP(E645,#REF!,1,FALSE())),"?TYPE_IDENTIFIABLE","?REFERENTIAL"),"_")))))</f>
        <v/>
      </c>
      <c r="H645" s="24" t="str">
        <f aca="false">IF(J645&lt;&gt;1,"",IF(I645="SBJ","CB","?"))</f>
        <v/>
      </c>
      <c r="I645" s="25" t="str">
        <f aca="false">IF(OR(E645="",E645="!!!",F645="NEW"),"",INDEX(B644:B$2,-1+SUMPRODUCT(MAX(ROW(E644:E$2)*(E645=E644:E$2)))))</f>
        <v> </v>
      </c>
      <c r="J645" s="25" t="str">
        <f aca="true">IF(OR(E645="",E645="!!!",F645="NEW"),"",COUNTBLANK(OFFSET(A$1,,,SUMPRODUCT(MAX(ROW(E$2:E645)*(E645=E$2:E645)))))-COUNTBLANK(OFFSET(A$1,,,SUMPRODUCT(MAX(ROW(E$1:E644)*(E2=E$1:E644))))))</f>
        <v/>
      </c>
      <c r="K645" s="25" t="str">
        <f aca="false">IF(OR(E645="",E645="!!!",F645="NEW"),"",INDEX(J$1:J644,SUMPRODUCT(MAX(ROW(E$1:E644)*(E645=E$1:E644)))))</f>
        <v/>
      </c>
      <c r="L645" s="26"/>
    </row>
    <row r="646" customFormat="false" ht="15" hidden="false" customHeight="false" outlineLevel="0" collapsed="false">
      <c r="A646" s="20" t="s">
        <v>419</v>
      </c>
      <c r="B646" s="27" t="s">
        <v>216</v>
      </c>
      <c r="C646" s="27" t="s">
        <v>297</v>
      </c>
      <c r="E646" s="21" t="str">
        <f aca="false">IF(D646="?OLD","!!!","")</f>
        <v/>
      </c>
      <c r="F646" s="22" t="str">
        <f aca="false">IF(OR(E646="",E646="!!!"),"",IF(NOT(ISNA(VLOOKUP(E646,E$1:E645,1,FALSE()))),"OLD",IF(AND(E646&lt;&gt;"",E646&lt;&gt;"!!!"),"NEW","")))</f>
        <v> </v>
      </c>
      <c r="G646" s="23" t="str">
        <f aca="false">IF(OR(E646="",E646="!!!"),"",IF(OR(J646=0,AND(J646=1,K646=1),AND(J646=1,I646="SBJ"),AND(J646=1,I646=0)),"?IN_FOCUS",IF(J646&lt;=2,"?ACTIVATED",IF(J646&lt;&gt;"","?FAMILIAR",IF(F646="NEW",IF(ISNA(VLOOKUP(E646,#REF!,1,FALSE())),"?TYPE_IDENTIFIABLE","?REFERENTIAL"),"_")))))</f>
        <v/>
      </c>
      <c r="H646" s="24" t="str">
        <f aca="false">IF(J646&lt;&gt;1,"",IF(I646="SBJ","CB","?"))</f>
        <v/>
      </c>
      <c r="I646" s="25" t="str">
        <f aca="false">IF(OR(E646="",E646="!!!",F646="NEW"),"",INDEX(B645:B$2,-1+SUMPRODUCT(MAX(ROW(E645:E$2)*(E646=E645:E$2)))))</f>
        <v> </v>
      </c>
      <c r="J646" s="25" t="str">
        <f aca="true">IF(OR(E646="",E646="!!!",F646="NEW"),"",COUNTBLANK(OFFSET(A$1,,,SUMPRODUCT(MAX(ROW(E$2:E646)*(E646=E$2:E646)))))-COUNTBLANK(OFFSET(A$1,,,SUMPRODUCT(MAX(ROW(E$1:E645)*(E2=E$1:E645))))))</f>
        <v/>
      </c>
      <c r="K646" s="25" t="str">
        <f aca="false">IF(OR(E646="",E646="!!!",F646="NEW"),"",INDEX(J$1:J645,SUMPRODUCT(MAX(ROW(E$1:E645)*(E646=E$1:E645)))))</f>
        <v/>
      </c>
      <c r="L646" s="26"/>
    </row>
    <row r="647" customFormat="false" ht="15" hidden="false" customHeight="false" outlineLevel="0" collapsed="false">
      <c r="A647" s="20" t="s">
        <v>266</v>
      </c>
      <c r="B647" s="27" t="s">
        <v>207</v>
      </c>
      <c r="C647" s="27" t="s">
        <v>233</v>
      </c>
      <c r="D647" s="27" t="s">
        <v>209</v>
      </c>
      <c r="E647" s="21" t="str">
        <f aca="false">IF(D647="?OLD","!!!","")</f>
        <v>!!!</v>
      </c>
      <c r="F647" s="22" t="str">
        <f aca="false">IF(OR(E647="",E647="!!!"),"",IF(NOT(ISNA(VLOOKUP(E647,E$1:E646,1,FALSE()))),"OLD",IF(AND(E647&lt;&gt;"",E647&lt;&gt;"!!!"),"NEW","")))</f>
        <v> </v>
      </c>
      <c r="G647" s="23" t="str">
        <f aca="false">IF(OR(E647="",E647="!!!"),"",IF(OR(J647=0,AND(J647=1,K647=1),AND(J647=1,I647="SBJ"),AND(J647=1,I647=0)),"?IN_FOCUS",IF(J647&lt;=2,"?ACTIVATED",IF(J647&lt;&gt;"","?FAMILIAR",IF(F647="NEW",IF(ISNA(VLOOKUP(E647,#REF!,1,FALSE())),"?TYPE_IDENTIFIABLE","?REFERENTIAL"),"_")))))</f>
        <v/>
      </c>
      <c r="H647" s="24" t="str">
        <f aca="false">IF(J647&lt;&gt;1,"",IF(I647="SBJ","CB","?"))</f>
        <v/>
      </c>
      <c r="I647" s="25" t="str">
        <f aca="false">IF(OR(E647="",E647="!!!",F647="NEW"),"",INDEX(B646:B$2,-1+SUMPRODUCT(MAX(ROW(E646:E$2)*(E647=E646:E$2)))))</f>
        <v> </v>
      </c>
      <c r="J647" s="25" t="str">
        <f aca="true">IF(OR(E647="",E647="!!!",F647="NEW"),"",COUNTBLANK(OFFSET(A$1,,,SUMPRODUCT(MAX(ROW(E$2:E647)*(E647=E$2:E647)))))-COUNTBLANK(OFFSET(A$1,,,SUMPRODUCT(MAX(ROW(E$1:E646)*(E2=E$1:E646))))))</f>
        <v/>
      </c>
      <c r="K647" s="25" t="str">
        <f aca="false">IF(OR(E647="",E647="!!!",F647="NEW"),"",INDEX(J$1:J646,SUMPRODUCT(MAX(ROW(E$1:E646)*(E647=E$1:E646)))))</f>
        <v/>
      </c>
      <c r="L647" s="26"/>
    </row>
    <row r="648" customFormat="false" ht="15" hidden="false" customHeight="false" outlineLevel="0" collapsed="false">
      <c r="A648" s="20" t="s">
        <v>285</v>
      </c>
      <c r="E648" s="21" t="str">
        <f aca="false">IF(D648="?OLD","!!!","")</f>
        <v/>
      </c>
      <c r="F648" s="22" t="str">
        <f aca="false">IF(OR(E648="",E648="!!!"),"",IF(NOT(ISNA(VLOOKUP(E648,E$1:E647,1,FALSE()))),"OLD",IF(AND(E648&lt;&gt;"",E648&lt;&gt;"!!!"),"NEW","")))</f>
        <v> </v>
      </c>
      <c r="G648" s="23" t="str">
        <f aca="false">IF(OR(E648="",E648="!!!"),"",IF(OR(J648=0,AND(J648=1,K648=1),AND(J648=1,I648="SBJ"),AND(J648=1,I648=0)),"?IN_FOCUS",IF(J648&lt;=2,"?ACTIVATED",IF(J648&lt;&gt;"","?FAMILIAR",IF(F648="NEW",IF(ISNA(VLOOKUP(E648,#REF!,1,FALSE())),"?TYPE_IDENTIFIABLE","?REFERENTIAL"),"_")))))</f>
        <v/>
      </c>
      <c r="H648" s="24" t="str">
        <f aca="false">IF(J648&lt;&gt;1,"",IF(I648="SBJ","CB","?"))</f>
        <v/>
      </c>
      <c r="I648" s="25" t="str">
        <f aca="false">IF(OR(E648="",E648="!!!",F648="NEW"),"",INDEX(B647:B$2,-1+SUMPRODUCT(MAX(ROW(E647:E$2)*(E648=E647:E$2)))))</f>
        <v> </v>
      </c>
      <c r="J648" s="25" t="str">
        <f aca="true">IF(OR(E648="",E648="!!!",F648="NEW"),"",COUNTBLANK(OFFSET(A$1,,,SUMPRODUCT(MAX(ROW(E$2:E648)*(E648=E$2:E648)))))-COUNTBLANK(OFFSET(A$1,,,SUMPRODUCT(MAX(ROW(E$1:E647)*(E2=E$1:E647))))))</f>
        <v/>
      </c>
      <c r="K648" s="25" t="str">
        <f aca="false">IF(OR(E648="",E648="!!!",F648="NEW"),"",INDEX(J$1:J647,SUMPRODUCT(MAX(ROW(E$1:E647)*(E648=E$1:E647)))))</f>
        <v/>
      </c>
      <c r="L648" s="26"/>
    </row>
    <row r="649" customFormat="false" ht="15" hidden="false" customHeight="false" outlineLevel="0" collapsed="false">
      <c r="A649" s="20" t="s">
        <v>89</v>
      </c>
      <c r="E649" s="21" t="str">
        <f aca="false">IF(D649="?OLD","!!!","")</f>
        <v/>
      </c>
      <c r="F649" s="22" t="str">
        <f aca="false">IF(OR(E649="",E649="!!!"),"",IF(NOT(ISNA(VLOOKUP(E649,E$1:E648,1,FALSE()))),"OLD",IF(AND(E649&lt;&gt;"",E649&lt;&gt;"!!!"),"NEW","")))</f>
        <v> </v>
      </c>
      <c r="G649" s="23" t="str">
        <f aca="false">IF(OR(E649="",E649="!!!"),"",IF(OR(J649=0,AND(J649=1,K649=1),AND(J649=1,I649="SBJ"),AND(J649=1,I649=0)),"?IN_FOCUS",IF(J649&lt;=2,"?ACTIVATED",IF(J649&lt;&gt;"","?FAMILIAR",IF(F649="NEW",IF(ISNA(VLOOKUP(E649,#REF!,1,FALSE())),"?TYPE_IDENTIFIABLE","?REFERENTIAL"),"_")))))</f>
        <v/>
      </c>
      <c r="H649" s="24" t="str">
        <f aca="false">IF(J649&lt;&gt;1,"",IF(I649="SBJ","CB","?"))</f>
        <v/>
      </c>
      <c r="I649" s="25" t="str">
        <f aca="false">IF(OR(E649="",E649="!!!",F649="NEW"),"",INDEX(B648:B$2,-1+SUMPRODUCT(MAX(ROW(E648:E$2)*(E649=E648:E$2)))))</f>
        <v> </v>
      </c>
      <c r="J649" s="25" t="str">
        <f aca="true">IF(OR(E649="",E649="!!!",F649="NEW"),"",COUNTBLANK(OFFSET(A$1,,,SUMPRODUCT(MAX(ROW(E$2:E649)*(E649=E$2:E649)))))-COUNTBLANK(OFFSET(A$1,,,SUMPRODUCT(MAX(ROW(E$1:E648)*(E2=E$1:E648))))))</f>
        <v/>
      </c>
      <c r="K649" s="25" t="str">
        <f aca="false">IF(OR(E649="",E649="!!!",F649="NEW"),"",INDEX(J$1:J648,SUMPRODUCT(MAX(ROW(E$1:E648)*(E649=E$1:E648)))))</f>
        <v/>
      </c>
      <c r="L649" s="26"/>
    </row>
    <row r="650" customFormat="false" ht="15" hidden="false" customHeight="false" outlineLevel="0" collapsed="false">
      <c r="A650" s="20" t="s">
        <v>218</v>
      </c>
      <c r="E650" s="21" t="str">
        <f aca="false">IF(D650="?OLD","!!!","")</f>
        <v/>
      </c>
      <c r="F650" s="22" t="str">
        <f aca="false">IF(OR(E650="",E650="!!!"),"",IF(NOT(ISNA(VLOOKUP(E650,E$1:E649,1,FALSE()))),"OLD",IF(AND(E650&lt;&gt;"",E650&lt;&gt;"!!!"),"NEW","")))</f>
        <v> </v>
      </c>
      <c r="G650" s="23" t="str">
        <f aca="false">IF(OR(E650="",E650="!!!"),"",IF(OR(J650=0,AND(J650=1,K650=1),AND(J650=1,I650="SBJ"),AND(J650=1,I650=0)),"?IN_FOCUS",IF(J650&lt;=2,"?ACTIVATED",IF(J650&lt;&gt;"","?FAMILIAR",IF(F650="NEW",IF(ISNA(VLOOKUP(E650,#REF!,1,FALSE())),"?TYPE_IDENTIFIABLE","?REFERENTIAL"),"_")))))</f>
        <v/>
      </c>
      <c r="H650" s="24" t="str">
        <f aca="false">IF(J650&lt;&gt;1,"",IF(I650="SBJ","CB","?"))</f>
        <v/>
      </c>
      <c r="I650" s="25" t="str">
        <f aca="false">IF(OR(E650="",E650="!!!",F650="NEW"),"",INDEX(B649:B$2,-1+SUMPRODUCT(MAX(ROW(E649:E$2)*(E650=E649:E$2)))))</f>
        <v> </v>
      </c>
      <c r="J650" s="25" t="str">
        <f aca="true">IF(OR(E650="",E650="!!!",F650="NEW"),"",COUNTBLANK(OFFSET(A$1,,,SUMPRODUCT(MAX(ROW(E$2:E650)*(E650=E$2:E650)))))-COUNTBLANK(OFFSET(A$1,,,SUMPRODUCT(MAX(ROW(E$1:E649)*(E2=E$1:E649))))))</f>
        <v/>
      </c>
      <c r="K650" s="25" t="str">
        <f aca="false">IF(OR(E650="",E650="!!!",F650="NEW"),"",INDEX(J$1:J649,SUMPRODUCT(MAX(ROW(E$1:E649)*(E650=E$1:E649)))))</f>
        <v/>
      </c>
      <c r="L650" s="26"/>
    </row>
    <row r="651" customFormat="false" ht="15" hidden="false" customHeight="false" outlineLevel="0" collapsed="false">
      <c r="A651" s="20" t="s">
        <v>264</v>
      </c>
      <c r="B651" s="27" t="s">
        <v>216</v>
      </c>
      <c r="C651" s="27" t="s">
        <v>233</v>
      </c>
      <c r="D651" s="27" t="s">
        <v>209</v>
      </c>
      <c r="E651" s="21" t="str">
        <f aca="false">IF(D651="?OLD","!!!","")</f>
        <v>!!!</v>
      </c>
      <c r="F651" s="22" t="str">
        <f aca="false">IF(OR(E651="",E651="!!!"),"",IF(NOT(ISNA(VLOOKUP(E651,E$1:E650,1,FALSE()))),"OLD",IF(AND(E651&lt;&gt;"",E651&lt;&gt;"!!!"),"NEW","")))</f>
        <v> </v>
      </c>
      <c r="G651" s="23" t="str">
        <f aca="false">IF(OR(E651="",E651="!!!"),"",IF(OR(J651=0,AND(J651=1,K651=1),AND(J651=1,I651="SBJ"),AND(J651=1,I651=0)),"?IN_FOCUS",IF(J651&lt;=2,"?ACTIVATED",IF(J651&lt;&gt;"","?FAMILIAR",IF(F651="NEW",IF(ISNA(VLOOKUP(E651,#REF!,1,FALSE())),"?TYPE_IDENTIFIABLE","?REFERENTIAL"),"_")))))</f>
        <v/>
      </c>
      <c r="H651" s="24" t="str">
        <f aca="false">IF(J651&lt;&gt;1,"",IF(I651="SBJ","CB","?"))</f>
        <v/>
      </c>
      <c r="I651" s="25" t="str">
        <f aca="false">IF(OR(E651="",E651="!!!",F651="NEW"),"",INDEX(B650:B$2,-1+SUMPRODUCT(MAX(ROW(E650:E$2)*(E651=E650:E$2)))))</f>
        <v> </v>
      </c>
      <c r="J651" s="25" t="str">
        <f aca="true">IF(OR(E651="",E651="!!!",F651="NEW"),"",COUNTBLANK(OFFSET(A$1,,,SUMPRODUCT(MAX(ROW(E$2:E651)*(E651=E$2:E651)))))-COUNTBLANK(OFFSET(A$1,,,SUMPRODUCT(MAX(ROW(E$1:E650)*(E2=E$1:E650))))))</f>
        <v/>
      </c>
      <c r="K651" s="25" t="str">
        <f aca="false">IF(OR(E651="",E651="!!!",F651="NEW"),"",INDEX(J$1:J650,SUMPRODUCT(MAX(ROW(E$1:E650)*(E651=E$1:E650)))))</f>
        <v/>
      </c>
      <c r="L651" s="26"/>
    </row>
    <row r="652" customFormat="false" ht="15" hidden="false" customHeight="false" outlineLevel="0" collapsed="false">
      <c r="A652" s="20" t="s">
        <v>376</v>
      </c>
      <c r="E652" s="21" t="str">
        <f aca="false">IF(D652="?OLD","!!!","")</f>
        <v/>
      </c>
      <c r="F652" s="22" t="str">
        <f aca="false">IF(OR(E652="",E652="!!!"),"",IF(NOT(ISNA(VLOOKUP(E652,E$1:E651,1,FALSE()))),"OLD",IF(AND(E652&lt;&gt;"",E652&lt;&gt;"!!!"),"NEW","")))</f>
        <v> </v>
      </c>
      <c r="G652" s="23" t="str">
        <f aca="false">IF(OR(E652="",E652="!!!"),"",IF(OR(J652=0,AND(J652=1,K652=1),AND(J652=1,I652="SBJ"),AND(J652=1,I652=0)),"?IN_FOCUS",IF(J652&lt;=2,"?ACTIVATED",IF(J652&lt;&gt;"","?FAMILIAR",IF(F652="NEW",IF(ISNA(VLOOKUP(E652,#REF!,1,FALSE())),"?TYPE_IDENTIFIABLE","?REFERENTIAL"),"_")))))</f>
        <v/>
      </c>
      <c r="H652" s="24" t="str">
        <f aca="false">IF(J652&lt;&gt;1,"",IF(I652="SBJ","CB","?"))</f>
        <v/>
      </c>
      <c r="I652" s="25" t="str">
        <f aca="false">IF(OR(E652="",E652="!!!",F652="NEW"),"",INDEX(B651:B$2,-1+SUMPRODUCT(MAX(ROW(E651:E$2)*(E652=E651:E$2)))))</f>
        <v> </v>
      </c>
      <c r="J652" s="25" t="str">
        <f aca="true">IF(OR(E652="",E652="!!!",F652="NEW"),"",COUNTBLANK(OFFSET(A$1,,,SUMPRODUCT(MAX(ROW(E$2:E652)*(E652=E$2:E652)))))-COUNTBLANK(OFFSET(A$1,,,SUMPRODUCT(MAX(ROW(E$1:E651)*(E2=E$1:E651))))))</f>
        <v/>
      </c>
      <c r="K652" s="25" t="str">
        <f aca="false">IF(OR(E652="",E652="!!!",F652="NEW"),"",INDEX(J$1:J651,SUMPRODUCT(MAX(ROW(E$1:E651)*(E652=E$1:E651)))))</f>
        <v/>
      </c>
      <c r="L652" s="26"/>
    </row>
    <row r="653" customFormat="false" ht="15" hidden="false" customHeight="false" outlineLevel="0" collapsed="false">
      <c r="A653" s="20" t="s">
        <v>205</v>
      </c>
      <c r="E653" s="21" t="str">
        <f aca="false">IF(D653="?OLD","!!!","")</f>
        <v/>
      </c>
      <c r="F653" s="22" t="str">
        <f aca="false">IF(OR(E653="",E653="!!!"),"",IF(NOT(ISNA(VLOOKUP(E653,E$1:E652,1,FALSE()))),"OLD",IF(AND(E653&lt;&gt;"",E653&lt;&gt;"!!!"),"NEW","")))</f>
        <v> </v>
      </c>
      <c r="G653" s="23" t="str">
        <f aca="false">IF(OR(E653="",E653="!!!"),"",IF(OR(J653=0,AND(J653=1,K653=1),AND(J653=1,I653="SBJ"),AND(J653=1,I653=0)),"?IN_FOCUS",IF(J653&lt;=2,"?ACTIVATED",IF(J653&lt;&gt;"","?FAMILIAR",IF(F653="NEW",IF(ISNA(VLOOKUP(E653,#REF!,1,FALSE())),"?TYPE_IDENTIFIABLE","?REFERENTIAL"),"_")))))</f>
        <v/>
      </c>
      <c r="H653" s="24" t="str">
        <f aca="false">IF(J653&lt;&gt;1,"",IF(I653="SBJ","CB","?"))</f>
        <v/>
      </c>
      <c r="I653" s="25" t="str">
        <f aca="false">IF(OR(E653="",E653="!!!",F653="NEW"),"",INDEX(B652:B$2,-1+SUMPRODUCT(MAX(ROW(E652:E$2)*(E653=E652:E$2)))))</f>
        <v> </v>
      </c>
      <c r="J653" s="25" t="str">
        <f aca="true">IF(OR(E653="",E653="!!!",F653="NEW"),"",COUNTBLANK(OFFSET(A$1,,,SUMPRODUCT(MAX(ROW(E$2:E653)*(E653=E$2:E653)))))-COUNTBLANK(OFFSET(A$1,,,SUMPRODUCT(MAX(ROW(E$1:E652)*(E2=E$1:E652))))))</f>
        <v/>
      </c>
      <c r="K653" s="25" t="str">
        <f aca="false">IF(OR(E653="",E653="!!!",F653="NEW"),"",INDEX(J$1:J652,SUMPRODUCT(MAX(ROW(E$1:E652)*(E653=E$1:E652)))))</f>
        <v/>
      </c>
      <c r="L653" s="26"/>
    </row>
    <row r="654" customFormat="false" ht="15" hidden="false" customHeight="false" outlineLevel="0" collapsed="false">
      <c r="A654" s="20" t="s">
        <v>384</v>
      </c>
      <c r="B654" s="27" t="s">
        <v>216</v>
      </c>
      <c r="C654" s="27" t="s">
        <v>284</v>
      </c>
      <c r="D654" s="27" t="s">
        <v>209</v>
      </c>
      <c r="E654" s="21" t="str">
        <f aca="false">IF(D654="?OLD","!!!","")</f>
        <v>!!!</v>
      </c>
      <c r="F654" s="22" t="str">
        <f aca="false">IF(OR(E654="",E654="!!!"),"",IF(NOT(ISNA(VLOOKUP(E654,E$1:E653,1,FALSE()))),"OLD",IF(AND(E654&lt;&gt;"",E654&lt;&gt;"!!!"),"NEW","")))</f>
        <v> </v>
      </c>
      <c r="G654" s="23" t="str">
        <f aca="false">IF(OR(E654="",E654="!!!"),"",IF(OR(J654=0,AND(J654=1,K654=1),AND(J654=1,I654="SBJ"),AND(J654=1,I654=0)),"?IN_FOCUS",IF(J654&lt;=2,"?ACTIVATED",IF(J654&lt;&gt;"","?FAMILIAR",IF(F654="NEW",IF(ISNA(VLOOKUP(E654,#REF!,1,FALSE())),"?TYPE_IDENTIFIABLE","?REFERENTIAL"),"_")))))</f>
        <v/>
      </c>
      <c r="H654" s="24" t="str">
        <f aca="false">IF(J654&lt;&gt;1,"",IF(I654="SBJ","CB","?"))</f>
        <v/>
      </c>
      <c r="I654" s="25" t="str">
        <f aca="false">IF(OR(E654="",E654="!!!",F654="NEW"),"",INDEX(B653:B$2,-1+SUMPRODUCT(MAX(ROW(E653:E$2)*(E654=E653:E$2)))))</f>
        <v> </v>
      </c>
      <c r="J654" s="25" t="str">
        <f aca="true">IF(OR(E654="",E654="!!!",F654="NEW"),"",COUNTBLANK(OFFSET(A$1,,,SUMPRODUCT(MAX(ROW(E$2:E654)*(E654=E$2:E654)))))-COUNTBLANK(OFFSET(A$1,,,SUMPRODUCT(MAX(ROW(E$1:E653)*(E2=E$1:E653))))))</f>
        <v/>
      </c>
      <c r="K654" s="25" t="str">
        <f aca="false">IF(OR(E654="",E654="!!!",F654="NEW"),"",INDEX(J$1:J653,SUMPRODUCT(MAX(ROW(E$1:E653)*(E654=E$1:E653)))))</f>
        <v/>
      </c>
      <c r="L654" s="26"/>
    </row>
    <row r="655" customFormat="false" ht="15" hidden="false" customHeight="false" outlineLevel="0" collapsed="false">
      <c r="A655" s="20" t="s">
        <v>218</v>
      </c>
      <c r="E655" s="21" t="str">
        <f aca="false">IF(D655="?OLD","!!!","")</f>
        <v/>
      </c>
      <c r="F655" s="22" t="str">
        <f aca="false">IF(OR(E655="",E655="!!!"),"",IF(NOT(ISNA(VLOOKUP(E655,E$1:E654,1,FALSE()))),"OLD",IF(AND(E655&lt;&gt;"",E655&lt;&gt;"!!!"),"NEW","")))</f>
        <v> </v>
      </c>
      <c r="G655" s="23" t="str">
        <f aca="false">IF(OR(E655="",E655="!!!"),"",IF(OR(J655=0,AND(J655=1,K655=1),AND(J655=1,I655="SBJ"),AND(J655=1,I655=0)),"?IN_FOCUS",IF(J655&lt;=2,"?ACTIVATED",IF(J655&lt;&gt;"","?FAMILIAR",IF(F655="NEW",IF(ISNA(VLOOKUP(E655,#REF!,1,FALSE())),"?TYPE_IDENTIFIABLE","?REFERENTIAL"),"_")))))</f>
        <v/>
      </c>
      <c r="H655" s="24" t="str">
        <f aca="false">IF(J655&lt;&gt;1,"",IF(I655="SBJ","CB","?"))</f>
        <v/>
      </c>
      <c r="I655" s="25" t="str">
        <f aca="false">IF(OR(E655="",E655="!!!",F655="NEW"),"",INDEX(B654:B$2,-1+SUMPRODUCT(MAX(ROW(E654:E$2)*(E655=E654:E$2)))))</f>
        <v> </v>
      </c>
      <c r="J655" s="25" t="str">
        <f aca="true">IF(OR(E655="",E655="!!!",F655="NEW"),"",COUNTBLANK(OFFSET(A$1,,,SUMPRODUCT(MAX(ROW(E$2:E655)*(E655=E$2:E655)))))-COUNTBLANK(OFFSET(A$1,,,SUMPRODUCT(MAX(ROW(E$1:E654)*(E2=E$1:E654))))))</f>
        <v/>
      </c>
      <c r="K655" s="25" t="str">
        <f aca="false">IF(OR(E655="",E655="!!!",F655="NEW"),"",INDEX(J$1:J654,SUMPRODUCT(MAX(ROW(E$1:E654)*(E655=E$1:E654)))))</f>
        <v/>
      </c>
      <c r="L655" s="26"/>
    </row>
    <row r="656" customFormat="false" ht="15" hidden="false" customHeight="false" outlineLevel="0" collapsed="false">
      <c r="A656" s="20" t="s">
        <v>281</v>
      </c>
      <c r="B656" s="27" t="s">
        <v>248</v>
      </c>
      <c r="C656" s="27" t="s">
        <v>282</v>
      </c>
      <c r="D656" s="27" t="s">
        <v>209</v>
      </c>
      <c r="E656" s="21" t="str">
        <f aca="false">IF(D656="?OLD","!!!","")</f>
        <v>!!!</v>
      </c>
      <c r="F656" s="22" t="str">
        <f aca="false">IF(OR(E656="",E656="!!!"),"",IF(NOT(ISNA(VLOOKUP(E656,E$1:E655,1,FALSE()))),"OLD",IF(AND(E656&lt;&gt;"",E656&lt;&gt;"!!!"),"NEW","")))</f>
        <v> </v>
      </c>
      <c r="G656" s="23" t="str">
        <f aca="false">IF(OR(E656="",E656="!!!"),"",IF(OR(J656=0,AND(J656=1,K656=1),AND(J656=1,I656="SBJ"),AND(J656=1,I656=0)),"?IN_FOCUS",IF(J656&lt;=2,"?ACTIVATED",IF(J656&lt;&gt;"","?FAMILIAR",IF(F656="NEW",IF(ISNA(VLOOKUP(E656,#REF!,1,FALSE())),"?TYPE_IDENTIFIABLE","?REFERENTIAL"),"_")))))</f>
        <v/>
      </c>
      <c r="H656" s="24" t="str">
        <f aca="false">IF(J656&lt;&gt;1,"",IF(I656="SBJ","CB","?"))</f>
        <v/>
      </c>
      <c r="I656" s="25" t="str">
        <f aca="false">IF(OR(E656="",E656="!!!",F656="NEW"),"",INDEX(B655:B$2,-1+SUMPRODUCT(MAX(ROW(E655:E$2)*(E656=E655:E$2)))))</f>
        <v> </v>
      </c>
      <c r="J656" s="25" t="str">
        <f aca="true">IF(OR(E656="",E656="!!!",F656="NEW"),"",COUNTBLANK(OFFSET(A$1,,,SUMPRODUCT(MAX(ROW(E$2:E656)*(E656=E$2:E656)))))-COUNTBLANK(OFFSET(A$1,,,SUMPRODUCT(MAX(ROW(E$1:E655)*(E2=E$1:E655))))))</f>
        <v/>
      </c>
      <c r="K656" s="25" t="str">
        <f aca="false">IF(OR(E656="",E656="!!!",F656="NEW"),"",INDEX(J$1:J655,SUMPRODUCT(MAX(ROW(E$1:E655)*(E656=E$1:E655)))))</f>
        <v/>
      </c>
      <c r="L656" s="26"/>
    </row>
    <row r="657" customFormat="false" ht="15" hidden="false" customHeight="false" outlineLevel="0" collapsed="false">
      <c r="A657" s="20" t="s">
        <v>385</v>
      </c>
      <c r="B657" s="27" t="s">
        <v>220</v>
      </c>
      <c r="C657" s="27" t="s">
        <v>284</v>
      </c>
      <c r="D657" s="27" t="s">
        <v>209</v>
      </c>
      <c r="E657" s="21" t="str">
        <f aca="false">IF(D657="?OLD","!!!","")</f>
        <v>!!!</v>
      </c>
      <c r="F657" s="22" t="str">
        <f aca="false">IF(OR(E657="",E657="!!!"),"",IF(NOT(ISNA(VLOOKUP(E657,E$1:E656,1,FALSE()))),"OLD",IF(AND(E657&lt;&gt;"",E657&lt;&gt;"!!!"),"NEW","")))</f>
        <v> </v>
      </c>
      <c r="G657" s="23" t="str">
        <f aca="false">IF(OR(E657="",E657="!!!"),"",IF(OR(J657=0,AND(J657=1,K657=1),AND(J657=1,I657="SBJ"),AND(J657=1,I657=0)),"?IN_FOCUS",IF(J657&lt;=2,"?ACTIVATED",IF(J657&lt;&gt;"","?FAMILIAR",IF(F657="NEW",IF(ISNA(VLOOKUP(E657,#REF!,1,FALSE())),"?TYPE_IDENTIFIABLE","?REFERENTIAL"),"_")))))</f>
        <v/>
      </c>
      <c r="H657" s="24" t="str">
        <f aca="false">IF(J657&lt;&gt;1,"",IF(I657="SBJ","CB","?"))</f>
        <v/>
      </c>
      <c r="I657" s="25" t="str">
        <f aca="false">IF(OR(E657="",E657="!!!",F657="NEW"),"",INDEX(B656:B$2,-1+SUMPRODUCT(MAX(ROW(E656:E$2)*(E657=E656:E$2)))))</f>
        <v> </v>
      </c>
      <c r="J657" s="25" t="str">
        <f aca="true">IF(OR(E657="",E657="!!!",F657="NEW"),"",COUNTBLANK(OFFSET(A$1,,,SUMPRODUCT(MAX(ROW(E$2:E657)*(E657=E$2:E657)))))-COUNTBLANK(OFFSET(A$1,,,SUMPRODUCT(MAX(ROW(E$1:E656)*(E2=E$1:E656))))))</f>
        <v/>
      </c>
      <c r="K657" s="25" t="str">
        <f aca="false">IF(OR(E657="",E657="!!!",F657="NEW"),"",INDEX(J$1:J656,SUMPRODUCT(MAX(ROW(E$1:E656)*(E657=E$1:E656)))))</f>
        <v/>
      </c>
      <c r="L657" s="26"/>
    </row>
    <row r="658" customFormat="false" ht="15" hidden="false" customHeight="false" outlineLevel="0" collapsed="false">
      <c r="A658" s="20" t="s">
        <v>229</v>
      </c>
      <c r="E658" s="21" t="str">
        <f aca="false">IF(D658="?OLD","!!!","")</f>
        <v/>
      </c>
      <c r="F658" s="22" t="str">
        <f aca="false">IF(OR(E658="",E658="!!!"),"",IF(NOT(ISNA(VLOOKUP(E658,E$1:E657,1,FALSE()))),"OLD",IF(AND(E658&lt;&gt;"",E658&lt;&gt;"!!!"),"NEW","")))</f>
        <v> </v>
      </c>
      <c r="G658" s="23" t="str">
        <f aca="false">IF(OR(E658="",E658="!!!"),"",IF(OR(J658=0,AND(J658=1,K658=1),AND(J658=1,I658="SBJ"),AND(J658=1,I658=0)),"?IN_FOCUS",IF(J658&lt;=2,"?ACTIVATED",IF(J658&lt;&gt;"","?FAMILIAR",IF(F658="NEW",IF(ISNA(VLOOKUP(E658,#REF!,1,FALSE())),"?TYPE_IDENTIFIABLE","?REFERENTIAL"),"_")))))</f>
        <v/>
      </c>
      <c r="H658" s="24" t="str">
        <f aca="false">IF(J658&lt;&gt;1,"",IF(I658="SBJ","CB","?"))</f>
        <v/>
      </c>
      <c r="I658" s="25" t="str">
        <f aca="false">IF(OR(E658="",E658="!!!",F658="NEW"),"",INDEX(B657:B$2,-1+SUMPRODUCT(MAX(ROW(E657:E$2)*(E658=E657:E$2)))))</f>
        <v> </v>
      </c>
      <c r="J658" s="25" t="str">
        <f aca="true">IF(OR(E658="",E658="!!!",F658="NEW"),"",COUNTBLANK(OFFSET(A$1,,,SUMPRODUCT(MAX(ROW(E$2:E658)*(E658=E$2:E658)))))-COUNTBLANK(OFFSET(A$1,,,SUMPRODUCT(MAX(ROW(E$1:E657)*(E2=E$1:E657))))))</f>
        <v/>
      </c>
      <c r="K658" s="25" t="str">
        <f aca="false">IF(OR(E658="",E658="!!!",F658="NEW"),"",INDEX(J$1:J657,SUMPRODUCT(MAX(ROW(E$1:E657)*(E658=E$1:E657)))))</f>
        <v/>
      </c>
      <c r="L658" s="26"/>
    </row>
    <row r="659" customFormat="false" ht="15" hidden="false" customHeight="false" outlineLevel="0" collapsed="false">
      <c r="A659" s="20"/>
    </row>
    <row r="660" customFormat="false" ht="15" hidden="false" customHeight="false" outlineLevel="0" collapsed="false">
      <c r="A660" s="20" t="s">
        <v>420</v>
      </c>
    </row>
    <row r="661" customFormat="false" ht="15" hidden="false" customHeight="false" outlineLevel="0" collapsed="false">
      <c r="A661" s="20" t="s">
        <v>152</v>
      </c>
      <c r="B661" s="27" t="s">
        <v>216</v>
      </c>
      <c r="C661" s="27" t="s">
        <v>297</v>
      </c>
      <c r="E661" s="21" t="str">
        <f aca="false">IF(D661="?OLD","!!!","")</f>
        <v/>
      </c>
      <c r="F661" s="22" t="str">
        <f aca="false">IF(OR(E661="",E661="!!!"),"",IF(NOT(ISNA(VLOOKUP(E661,E$1:E660,1,FALSE()))),"OLD",IF(AND(E661&lt;&gt;"",E661&lt;&gt;"!!!"),"NEW","")))</f>
        <v> </v>
      </c>
      <c r="G661" s="23" t="str">
        <f aca="false">IF(OR(E661="",E661="!!!"),"",IF(OR(J661=0,AND(J661=1,K661=1),AND(J661=1,I661="SBJ"),AND(J661=1,I661=0)),"?IN_FOCUS",IF(J661&lt;=2,"?ACTIVATED",IF(J661&lt;&gt;"","?FAMILIAR",IF(F661="NEW",IF(ISNA(VLOOKUP(E661,#REF!,1,FALSE())),"?TYPE_IDENTIFIABLE","?REFERENTIAL"),"_")))))</f>
        <v/>
      </c>
      <c r="H661" s="24" t="str">
        <f aca="false">IF(J661&lt;&gt;1,"",IF(I661="SBJ","CB","?"))</f>
        <v/>
      </c>
      <c r="I661" s="25" t="str">
        <f aca="false">IF(OR(E661="",E661="!!!",F661="NEW"),"",INDEX(B660:B$2,-1+SUMPRODUCT(MAX(ROW(E660:E$2)*(E661=E660:E$2)))))</f>
        <v> </v>
      </c>
      <c r="J661" s="25" t="str">
        <f aca="true">IF(OR(E661="",E661="!!!",F661="NEW"),"",COUNTBLANK(OFFSET(A$1,,,SUMPRODUCT(MAX(ROW(E$2:E661)*(E661=E$2:E661)))))-COUNTBLANK(OFFSET(A$1,,,SUMPRODUCT(MAX(ROW(E$1:E660)*(E2=E$1:E660))))))</f>
        <v/>
      </c>
      <c r="K661" s="25" t="str">
        <f aca="false">IF(OR(E661="",E661="!!!",F661="NEW"),"",INDEX(J$1:J660,SUMPRODUCT(MAX(ROW(E$1:E660)*(E661=E$1:E660)))))</f>
        <v/>
      </c>
      <c r="L661" s="26"/>
    </row>
    <row r="662" customFormat="false" ht="15" hidden="false" customHeight="false" outlineLevel="0" collapsed="false">
      <c r="A662" s="20" t="s">
        <v>421</v>
      </c>
      <c r="E662" s="21" t="str">
        <f aca="false">IF(D662="?OLD","!!!","")</f>
        <v/>
      </c>
      <c r="F662" s="22" t="str">
        <f aca="false">IF(OR(E662="",E662="!!!"),"",IF(NOT(ISNA(VLOOKUP(E662,E$1:E661,1,FALSE()))),"OLD",IF(AND(E662&lt;&gt;"",E662&lt;&gt;"!!!"),"NEW","")))</f>
        <v> </v>
      </c>
      <c r="G662" s="23" t="str">
        <f aca="false">IF(OR(E662="",E662="!!!"),"",IF(OR(J662=0,AND(J662=1,K662=1),AND(J662=1,I662="SBJ"),AND(J662=1,I662=0)),"?IN_FOCUS",IF(J662&lt;=2,"?ACTIVATED",IF(J662&lt;&gt;"","?FAMILIAR",IF(F662="NEW",IF(ISNA(VLOOKUP(E662,#REF!,1,FALSE())),"?TYPE_IDENTIFIABLE","?REFERENTIAL"),"_")))))</f>
        <v/>
      </c>
      <c r="H662" s="24" t="str">
        <f aca="false">IF(J662&lt;&gt;1,"",IF(I662="SBJ","CB","?"))</f>
        <v/>
      </c>
      <c r="I662" s="25" t="str">
        <f aca="false">IF(OR(E662="",E662="!!!",F662="NEW"),"",INDEX(B661:B$2,-1+SUMPRODUCT(MAX(ROW(E661:E$2)*(E662=E661:E$2)))))</f>
        <v> </v>
      </c>
      <c r="J662" s="25" t="str">
        <f aca="true">IF(OR(E662="",E662="!!!",F662="NEW"),"",COUNTBLANK(OFFSET(A$1,,,SUMPRODUCT(MAX(ROW(E$2:E662)*(E662=E$2:E662)))))-COUNTBLANK(OFFSET(A$1,,,SUMPRODUCT(MAX(ROW(E$1:E661)*(E2=E$1:E661))))))</f>
        <v/>
      </c>
      <c r="K662" s="25" t="str">
        <f aca="false">IF(OR(E662="",E662="!!!",F662="NEW"),"",INDEX(J$1:J661,SUMPRODUCT(MAX(ROW(E$1:E661)*(E662=E$1:E661)))))</f>
        <v/>
      </c>
      <c r="L662" s="26"/>
    </row>
    <row r="663" customFormat="false" ht="15" hidden="false" customHeight="false" outlineLevel="0" collapsed="false">
      <c r="A663" s="20" t="s">
        <v>288</v>
      </c>
      <c r="E663" s="21" t="str">
        <f aca="false">IF(D663="?OLD","!!!","")</f>
        <v/>
      </c>
      <c r="F663" s="22" t="str">
        <f aca="false">IF(OR(E663="",E663="!!!"),"",IF(NOT(ISNA(VLOOKUP(E663,E$1:E662,1,FALSE()))),"OLD",IF(AND(E663&lt;&gt;"",E663&lt;&gt;"!!!"),"NEW","")))</f>
        <v> </v>
      </c>
      <c r="G663" s="23" t="str">
        <f aca="false">IF(OR(E663="",E663="!!!"),"",IF(OR(J663=0,AND(J663=1,K663=1),AND(J663=1,I663="SBJ"),AND(J663=1,I663=0)),"?IN_FOCUS",IF(J663&lt;=2,"?ACTIVATED",IF(J663&lt;&gt;"","?FAMILIAR",IF(F663="NEW",IF(ISNA(VLOOKUP(E663,#REF!,1,FALSE())),"?TYPE_IDENTIFIABLE","?REFERENTIAL"),"_")))))</f>
        <v/>
      </c>
      <c r="H663" s="24" t="str">
        <f aca="false">IF(J663&lt;&gt;1,"",IF(I663="SBJ","CB","?"))</f>
        <v/>
      </c>
      <c r="I663" s="25" t="str">
        <f aca="false">IF(OR(E663="",E663="!!!",F663="NEW"),"",INDEX(B662:B$2,-1+SUMPRODUCT(MAX(ROW(E662:E$2)*(E663=E662:E$2)))))</f>
        <v> </v>
      </c>
      <c r="J663" s="25" t="str">
        <f aca="true">IF(OR(E663="",E663="!!!",F663="NEW"),"",COUNTBLANK(OFFSET(A$1,,,SUMPRODUCT(MAX(ROW(E$2:E663)*(E663=E$2:E663)))))-COUNTBLANK(OFFSET(A$1,,,SUMPRODUCT(MAX(ROW(E$1:E662)*(E2=E$1:E662))))))</f>
        <v/>
      </c>
      <c r="K663" s="25" t="str">
        <f aca="false">IF(OR(E663="",E663="!!!",F663="NEW"),"",INDEX(J$1:J662,SUMPRODUCT(MAX(ROW(E$1:E662)*(E663=E$1:E662)))))</f>
        <v/>
      </c>
      <c r="L663" s="26"/>
    </row>
    <row r="664" customFormat="false" ht="15" hidden="false" customHeight="false" outlineLevel="0" collapsed="false">
      <c r="A664" s="20" t="s">
        <v>422</v>
      </c>
      <c r="B664" s="27" t="s">
        <v>216</v>
      </c>
      <c r="C664" s="27" t="s">
        <v>297</v>
      </c>
      <c r="E664" s="21" t="str">
        <f aca="false">IF(D664="?OLD","!!!","")</f>
        <v/>
      </c>
      <c r="F664" s="22" t="str">
        <f aca="false">IF(OR(E664="",E664="!!!"),"",IF(NOT(ISNA(VLOOKUP(E664,E$1:E663,1,FALSE()))),"OLD",IF(AND(E664&lt;&gt;"",E664&lt;&gt;"!!!"),"NEW","")))</f>
        <v> </v>
      </c>
      <c r="G664" s="23" t="str">
        <f aca="false">IF(OR(E664="",E664="!!!"),"",IF(OR(J664=0,AND(J664=1,K664=1),AND(J664=1,I664="SBJ"),AND(J664=1,I664=0)),"?IN_FOCUS",IF(J664&lt;=2,"?ACTIVATED",IF(J664&lt;&gt;"","?FAMILIAR",IF(F664="NEW",IF(ISNA(VLOOKUP(E664,#REF!,1,FALSE())),"?TYPE_IDENTIFIABLE","?REFERENTIAL"),"_")))))</f>
        <v/>
      </c>
      <c r="H664" s="24" t="str">
        <f aca="false">IF(J664&lt;&gt;1,"",IF(I664="SBJ","CB","?"))</f>
        <v/>
      </c>
      <c r="I664" s="25" t="str">
        <f aca="false">IF(OR(E664="",E664="!!!",F664="NEW"),"",INDEX(B663:B$2,-1+SUMPRODUCT(MAX(ROW(E663:E$2)*(E664=E663:E$2)))))</f>
        <v> </v>
      </c>
      <c r="J664" s="25" t="str">
        <f aca="true">IF(OR(E664="",E664="!!!",F664="NEW"),"",COUNTBLANK(OFFSET(A$1,,,SUMPRODUCT(MAX(ROW(E$2:E664)*(E664=E$2:E664)))))-COUNTBLANK(OFFSET(A$1,,,SUMPRODUCT(MAX(ROW(E$1:E663)*(E2=E$1:E663))))))</f>
        <v/>
      </c>
      <c r="K664" s="25" t="str">
        <f aca="false">IF(OR(E664="",E664="!!!",F664="NEW"),"",INDEX(J$1:J663,SUMPRODUCT(MAX(ROW(E$1:E663)*(E664=E$1:E663)))))</f>
        <v/>
      </c>
      <c r="L664" s="26"/>
    </row>
    <row r="665" customFormat="false" ht="15" hidden="false" customHeight="false" outlineLevel="0" collapsed="false">
      <c r="A665" s="20" t="s">
        <v>285</v>
      </c>
      <c r="E665" s="21" t="str">
        <f aca="false">IF(D665="?OLD","!!!","")</f>
        <v/>
      </c>
      <c r="F665" s="22" t="str">
        <f aca="false">IF(OR(E665="",E665="!!!"),"",IF(NOT(ISNA(VLOOKUP(E665,E$1:E664,1,FALSE()))),"OLD",IF(AND(E665&lt;&gt;"",E665&lt;&gt;"!!!"),"NEW","")))</f>
        <v> </v>
      </c>
      <c r="G665" s="23" t="str">
        <f aca="false">IF(OR(E665="",E665="!!!"),"",IF(OR(J665=0,AND(J665=1,K665=1),AND(J665=1,I665="SBJ"),AND(J665=1,I665=0)),"?IN_FOCUS",IF(J665&lt;=2,"?ACTIVATED",IF(J665&lt;&gt;"","?FAMILIAR",IF(F665="NEW",IF(ISNA(VLOOKUP(E665,#REF!,1,FALSE())),"?TYPE_IDENTIFIABLE","?REFERENTIAL"),"_")))))</f>
        <v/>
      </c>
      <c r="H665" s="24" t="str">
        <f aca="false">IF(J665&lt;&gt;1,"",IF(I665="SBJ","CB","?"))</f>
        <v/>
      </c>
      <c r="I665" s="25" t="str">
        <f aca="false">IF(OR(E665="",E665="!!!",F665="NEW"),"",INDEX(B664:B$2,-1+SUMPRODUCT(MAX(ROW(E664:E$2)*(E665=E664:E$2)))))</f>
        <v> </v>
      </c>
      <c r="J665" s="25" t="str">
        <f aca="true">IF(OR(E665="",E665="!!!",F665="NEW"),"",COUNTBLANK(OFFSET(A$1,,,SUMPRODUCT(MAX(ROW(E$2:E665)*(E665=E$2:E665)))))-COUNTBLANK(OFFSET(A$1,,,SUMPRODUCT(MAX(ROW(E$1:E664)*(E2=E$1:E664))))))</f>
        <v/>
      </c>
      <c r="K665" s="25" t="str">
        <f aca="false">IF(OR(E665="",E665="!!!",F665="NEW"),"",INDEX(J$1:J664,SUMPRODUCT(MAX(ROW(E$1:E664)*(E665=E$1:E664)))))</f>
        <v/>
      </c>
      <c r="L665" s="26"/>
    </row>
    <row r="666" customFormat="false" ht="15" hidden="false" customHeight="false" outlineLevel="0" collapsed="false">
      <c r="A666" s="20" t="s">
        <v>264</v>
      </c>
      <c r="B666" s="27" t="s">
        <v>240</v>
      </c>
      <c r="C666" s="27" t="s">
        <v>233</v>
      </c>
      <c r="D666" s="27" t="s">
        <v>209</v>
      </c>
      <c r="E666" s="21" t="str">
        <f aca="false">IF(D666="?OLD","!!!","")</f>
        <v>!!!</v>
      </c>
      <c r="F666" s="22" t="str">
        <f aca="false">IF(OR(E666="",E666="!!!"),"",IF(NOT(ISNA(VLOOKUP(E666,E$1:E665,1,FALSE()))),"OLD",IF(AND(E666&lt;&gt;"",E666&lt;&gt;"!!!"),"NEW","")))</f>
        <v> </v>
      </c>
      <c r="G666" s="23" t="str">
        <f aca="false">IF(OR(E666="",E666="!!!"),"",IF(OR(J666=0,AND(J666=1,K666=1),AND(J666=1,I666="SBJ"),AND(J666=1,I666=0)),"?IN_FOCUS",IF(J666&lt;=2,"?ACTIVATED",IF(J666&lt;&gt;"","?FAMILIAR",IF(F666="NEW",IF(ISNA(VLOOKUP(E666,#REF!,1,FALSE())),"?TYPE_IDENTIFIABLE","?REFERENTIAL"),"_")))))</f>
        <v/>
      </c>
      <c r="H666" s="24" t="str">
        <f aca="false">IF(J666&lt;&gt;1,"",IF(I666="SBJ","CB","?"))</f>
        <v/>
      </c>
      <c r="I666" s="25" t="str">
        <f aca="false">IF(OR(E666="",E666="!!!",F666="NEW"),"",INDEX(B665:B$2,-1+SUMPRODUCT(MAX(ROW(E665:E$2)*(E666=E665:E$2)))))</f>
        <v> </v>
      </c>
      <c r="J666" s="25" t="str">
        <f aca="true">IF(OR(E666="",E666="!!!",F666="NEW"),"",COUNTBLANK(OFFSET(A$1,,,SUMPRODUCT(MAX(ROW(E$2:E666)*(E666=E$2:E666)))))-COUNTBLANK(OFFSET(A$1,,,SUMPRODUCT(MAX(ROW(E$1:E665)*(E2=E$1:E665))))))</f>
        <v/>
      </c>
      <c r="K666" s="25" t="str">
        <f aca="false">IF(OR(E666="",E666="!!!",F666="NEW"),"",INDEX(J$1:J665,SUMPRODUCT(MAX(ROW(E$1:E665)*(E666=E$1:E665)))))</f>
        <v/>
      </c>
      <c r="L666" s="26"/>
    </row>
    <row r="667" customFormat="false" ht="15" hidden="false" customHeight="false" outlineLevel="0" collapsed="false">
      <c r="A667" s="20" t="s">
        <v>130</v>
      </c>
      <c r="E667" s="21" t="str">
        <f aca="false">IF(D667="?OLD","!!!","")</f>
        <v/>
      </c>
      <c r="F667" s="22" t="str">
        <f aca="false">IF(OR(E667="",E667="!!!"),"",IF(NOT(ISNA(VLOOKUP(E667,E$1:E666,1,FALSE()))),"OLD",IF(AND(E667&lt;&gt;"",E667&lt;&gt;"!!!"),"NEW","")))</f>
        <v> </v>
      </c>
      <c r="G667" s="23" t="str">
        <f aca="false">IF(OR(E667="",E667="!!!"),"",IF(OR(J667=0,AND(J667=1,K667=1),AND(J667=1,I667="SBJ"),AND(J667=1,I667=0)),"?IN_FOCUS",IF(J667&lt;=2,"?ACTIVATED",IF(J667&lt;&gt;"","?FAMILIAR",IF(F667="NEW",IF(ISNA(VLOOKUP(E667,#REF!,1,FALSE())),"?TYPE_IDENTIFIABLE","?REFERENTIAL"),"_")))))</f>
        <v/>
      </c>
      <c r="H667" s="24" t="str">
        <f aca="false">IF(J667&lt;&gt;1,"",IF(I667="SBJ","CB","?"))</f>
        <v/>
      </c>
      <c r="I667" s="25" t="str">
        <f aca="false">IF(OR(E667="",E667="!!!",F667="NEW"),"",INDEX(B666:B$2,-1+SUMPRODUCT(MAX(ROW(E666:E$2)*(E667=E666:E$2)))))</f>
        <v> </v>
      </c>
      <c r="J667" s="25" t="str">
        <f aca="true">IF(OR(E667="",E667="!!!",F667="NEW"),"",COUNTBLANK(OFFSET(A$1,,,SUMPRODUCT(MAX(ROW(E$2:E667)*(E667=E$2:E667)))))-COUNTBLANK(OFFSET(A$1,,,SUMPRODUCT(MAX(ROW(E$1:E666)*(E2=E$1:E666))))))</f>
        <v/>
      </c>
      <c r="K667" s="25" t="str">
        <f aca="false">IF(OR(E667="",E667="!!!",F667="NEW"),"",INDEX(J$1:J666,SUMPRODUCT(MAX(ROW(E$1:E666)*(E667=E$1:E666)))))</f>
        <v/>
      </c>
      <c r="L667" s="26"/>
    </row>
    <row r="668" customFormat="false" ht="15" hidden="false" customHeight="false" outlineLevel="0" collapsed="false">
      <c r="A668" s="20" t="s">
        <v>400</v>
      </c>
      <c r="E668" s="21" t="str">
        <f aca="false">IF(D668="?OLD","!!!","")</f>
        <v/>
      </c>
      <c r="F668" s="22" t="str">
        <f aca="false">IF(OR(E668="",E668="!!!"),"",IF(NOT(ISNA(VLOOKUP(E668,E$1:E667,1,FALSE()))),"OLD",IF(AND(E668&lt;&gt;"",E668&lt;&gt;"!!!"),"NEW","")))</f>
        <v> </v>
      </c>
      <c r="G668" s="23" t="str">
        <f aca="false">IF(OR(E668="",E668="!!!"),"",IF(OR(J668=0,AND(J668=1,K668=1),AND(J668=1,I668="SBJ"),AND(J668=1,I668=0)),"?IN_FOCUS",IF(J668&lt;=2,"?ACTIVATED",IF(J668&lt;&gt;"","?FAMILIAR",IF(F668="NEW",IF(ISNA(VLOOKUP(E668,#REF!,1,FALSE())),"?TYPE_IDENTIFIABLE","?REFERENTIAL"),"_")))))</f>
        <v/>
      </c>
      <c r="H668" s="24" t="str">
        <f aca="false">IF(J668&lt;&gt;1,"",IF(I668="SBJ","CB","?"))</f>
        <v/>
      </c>
      <c r="I668" s="25" t="str">
        <f aca="false">IF(OR(E668="",E668="!!!",F668="NEW"),"",INDEX(B667:B$2,-1+SUMPRODUCT(MAX(ROW(E667:E$2)*(E668=E667:E$2)))))</f>
        <v> </v>
      </c>
      <c r="J668" s="25" t="str">
        <f aca="true">IF(OR(E668="",E668="!!!",F668="NEW"),"",COUNTBLANK(OFFSET(A$1,,,SUMPRODUCT(MAX(ROW(E$2:E668)*(E668=E$2:E668)))))-COUNTBLANK(OFFSET(A$1,,,SUMPRODUCT(MAX(ROW(E$1:E667)*(E2=E$1:E667))))))</f>
        <v/>
      </c>
      <c r="K668" s="25" t="str">
        <f aca="false">IF(OR(E668="",E668="!!!",F668="NEW"),"",INDEX(J$1:J667,SUMPRODUCT(MAX(ROW(E$1:E667)*(E668=E$1:E667)))))</f>
        <v/>
      </c>
      <c r="L668" s="26"/>
    </row>
    <row r="669" customFormat="false" ht="15" hidden="false" customHeight="false" outlineLevel="0" collapsed="false">
      <c r="A669" s="20" t="s">
        <v>235</v>
      </c>
      <c r="E669" s="21" t="str">
        <f aca="false">IF(D669="?OLD","!!!","")</f>
        <v/>
      </c>
      <c r="F669" s="22" t="str">
        <f aca="false">IF(OR(E669="",E669="!!!"),"",IF(NOT(ISNA(VLOOKUP(E669,E$1:E668,1,FALSE()))),"OLD",IF(AND(E669&lt;&gt;"",E669&lt;&gt;"!!!"),"NEW","")))</f>
        <v> </v>
      </c>
      <c r="G669" s="23" t="str">
        <f aca="false">IF(OR(E669="",E669="!!!"),"",IF(OR(J669=0,AND(J669=1,K669=1),AND(J669=1,I669="SBJ"),AND(J669=1,I669=0)),"?IN_FOCUS",IF(J669&lt;=2,"?ACTIVATED",IF(J669&lt;&gt;"","?FAMILIAR",IF(F669="NEW",IF(ISNA(VLOOKUP(E669,#REF!,1,FALSE())),"?TYPE_IDENTIFIABLE","?REFERENTIAL"),"_")))))</f>
        <v/>
      </c>
      <c r="H669" s="24" t="str">
        <f aca="false">IF(J669&lt;&gt;1,"",IF(I669="SBJ","CB","?"))</f>
        <v/>
      </c>
      <c r="I669" s="25" t="str">
        <f aca="false">IF(OR(E669="",E669="!!!",F669="NEW"),"",INDEX(B668:B$2,-1+SUMPRODUCT(MAX(ROW(E668:E$2)*(E669=E668:E$2)))))</f>
        <v> </v>
      </c>
      <c r="J669" s="25" t="str">
        <f aca="true">IF(OR(E669="",E669="!!!",F669="NEW"),"",COUNTBLANK(OFFSET(A$1,,,SUMPRODUCT(MAX(ROW(E$2:E669)*(E669=E$2:E669)))))-COUNTBLANK(OFFSET(A$1,,,SUMPRODUCT(MAX(ROW(E$1:E668)*(E2=E$1:E668))))))</f>
        <v/>
      </c>
      <c r="K669" s="25" t="str">
        <f aca="false">IF(OR(E669="",E669="!!!",F669="NEW"),"",INDEX(J$1:J668,SUMPRODUCT(MAX(ROW(E$1:E668)*(E669=E$1:E668)))))</f>
        <v/>
      </c>
      <c r="L669" s="26"/>
    </row>
    <row r="670" customFormat="false" ht="15" hidden="false" customHeight="false" outlineLevel="0" collapsed="false">
      <c r="A670" s="20" t="s">
        <v>266</v>
      </c>
      <c r="B670" s="27" t="s">
        <v>220</v>
      </c>
      <c r="C670" s="27" t="s">
        <v>233</v>
      </c>
      <c r="D670" s="27" t="s">
        <v>209</v>
      </c>
      <c r="E670" s="21" t="str">
        <f aca="false">IF(D670="?OLD","!!!","")</f>
        <v>!!!</v>
      </c>
      <c r="F670" s="22" t="str">
        <f aca="false">IF(OR(E670="",E670="!!!"),"",IF(NOT(ISNA(VLOOKUP(E670,E$1:E669,1,FALSE()))),"OLD",IF(AND(E670&lt;&gt;"",E670&lt;&gt;"!!!"),"NEW","")))</f>
        <v> </v>
      </c>
      <c r="G670" s="23" t="str">
        <f aca="false">IF(OR(E670="",E670="!!!"),"",IF(OR(J670=0,AND(J670=1,K670=1),AND(J670=1,I670="SBJ"),AND(J670=1,I670=0)),"?IN_FOCUS",IF(J670&lt;=2,"?ACTIVATED",IF(J670&lt;&gt;"","?FAMILIAR",IF(F670="NEW",IF(ISNA(VLOOKUP(E670,#REF!,1,FALSE())),"?TYPE_IDENTIFIABLE","?REFERENTIAL"),"_")))))</f>
        <v/>
      </c>
      <c r="H670" s="24" t="str">
        <f aca="false">IF(J670&lt;&gt;1,"",IF(I670="SBJ","CB","?"))</f>
        <v/>
      </c>
      <c r="I670" s="25" t="str">
        <f aca="false">IF(OR(E670="",E670="!!!",F670="NEW"),"",INDEX(B669:B$2,-1+SUMPRODUCT(MAX(ROW(E669:E$2)*(E670=E669:E$2)))))</f>
        <v> </v>
      </c>
      <c r="J670" s="25" t="str">
        <f aca="true">IF(OR(E670="",E670="!!!",F670="NEW"),"",COUNTBLANK(OFFSET(A$1,,,SUMPRODUCT(MAX(ROW(E$2:E670)*(E670=E$2:E670)))))-COUNTBLANK(OFFSET(A$1,,,SUMPRODUCT(MAX(ROW(E$1:E669)*(E2=E$1:E669))))))</f>
        <v/>
      </c>
      <c r="K670" s="25" t="str">
        <f aca="false">IF(OR(E670="",E670="!!!",F670="NEW"),"",INDEX(J$1:J669,SUMPRODUCT(MAX(ROW(E$1:E669)*(E670=E$1:E669)))))</f>
        <v/>
      </c>
      <c r="L670" s="26"/>
    </row>
    <row r="671" customFormat="false" ht="15" hidden="false" customHeight="false" outlineLevel="0" collapsed="false">
      <c r="A671" s="20" t="s">
        <v>308</v>
      </c>
      <c r="E671" s="21" t="str">
        <f aca="false">IF(D671="?OLD","!!!","")</f>
        <v/>
      </c>
      <c r="F671" s="22" t="str">
        <f aca="false">IF(OR(E671="",E671="!!!"),"",IF(NOT(ISNA(VLOOKUP(E671,E$1:E670,1,FALSE()))),"OLD",IF(AND(E671&lt;&gt;"",E671&lt;&gt;"!!!"),"NEW","")))</f>
        <v> </v>
      </c>
      <c r="G671" s="23" t="str">
        <f aca="false">IF(OR(E671="",E671="!!!"),"",IF(OR(J671=0,AND(J671=1,K671=1),AND(J671=1,I671="SBJ"),AND(J671=1,I671=0)),"?IN_FOCUS",IF(J671&lt;=2,"?ACTIVATED",IF(J671&lt;&gt;"","?FAMILIAR",IF(F671="NEW",IF(ISNA(VLOOKUP(E671,#REF!,1,FALSE())),"?TYPE_IDENTIFIABLE","?REFERENTIAL"),"_")))))</f>
        <v/>
      </c>
      <c r="H671" s="24" t="str">
        <f aca="false">IF(J671&lt;&gt;1,"",IF(I671="SBJ","CB","?"))</f>
        <v/>
      </c>
      <c r="I671" s="25" t="str">
        <f aca="false">IF(OR(E671="",E671="!!!",F671="NEW"),"",INDEX(B670:B$2,-1+SUMPRODUCT(MAX(ROW(E670:E$2)*(E671=E670:E$2)))))</f>
        <v> </v>
      </c>
      <c r="J671" s="25" t="str">
        <f aca="true">IF(OR(E671="",E671="!!!",F671="NEW"),"",COUNTBLANK(OFFSET(A$1,,,SUMPRODUCT(MAX(ROW(E$2:E671)*(E671=E$2:E671)))))-COUNTBLANK(OFFSET(A$1,,,SUMPRODUCT(MAX(ROW(E$1:E670)*(E2=E$1:E670))))))</f>
        <v/>
      </c>
      <c r="K671" s="25" t="str">
        <f aca="false">IF(OR(E671="",E671="!!!",F671="NEW"),"",INDEX(J$1:J670,SUMPRODUCT(MAX(ROW(E$1:E670)*(E671=E$1:E670)))))</f>
        <v/>
      </c>
      <c r="L671" s="26"/>
    </row>
    <row r="672" customFormat="false" ht="15" hidden="false" customHeight="false" outlineLevel="0" collapsed="false">
      <c r="A672" s="20" t="s">
        <v>288</v>
      </c>
      <c r="E672" s="21" t="str">
        <f aca="false">IF(D672="?OLD","!!!","")</f>
        <v/>
      </c>
      <c r="F672" s="22" t="str">
        <f aca="false">IF(OR(E672="",E672="!!!"),"",IF(NOT(ISNA(VLOOKUP(E672,E$1:E671,1,FALSE()))),"OLD",IF(AND(E672&lt;&gt;"",E672&lt;&gt;"!!!"),"NEW","")))</f>
        <v> </v>
      </c>
      <c r="G672" s="23" t="str">
        <f aca="false">IF(OR(E672="",E672="!!!"),"",IF(OR(J672=0,AND(J672=1,K672=1),AND(J672=1,I672="SBJ"),AND(J672=1,I672=0)),"?IN_FOCUS",IF(J672&lt;=2,"?ACTIVATED",IF(J672&lt;&gt;"","?FAMILIAR",IF(F672="NEW",IF(ISNA(VLOOKUP(E672,#REF!,1,FALSE())),"?TYPE_IDENTIFIABLE","?REFERENTIAL"),"_")))))</f>
        <v/>
      </c>
      <c r="H672" s="24" t="str">
        <f aca="false">IF(J672&lt;&gt;1,"",IF(I672="SBJ","CB","?"))</f>
        <v/>
      </c>
      <c r="I672" s="25" t="str">
        <f aca="false">IF(OR(E672="",E672="!!!",F672="NEW"),"",INDEX(B671:B$2,-1+SUMPRODUCT(MAX(ROW(E671:E$2)*(E672=E671:E$2)))))</f>
        <v> </v>
      </c>
      <c r="J672" s="25" t="str">
        <f aca="true">IF(OR(E672="",E672="!!!",F672="NEW"),"",COUNTBLANK(OFFSET(A$1,,,SUMPRODUCT(MAX(ROW(E$2:E672)*(E672=E$2:E672)))))-COUNTBLANK(OFFSET(A$1,,,SUMPRODUCT(MAX(ROW(E$1:E671)*(E2=E$1:E671))))))</f>
        <v/>
      </c>
      <c r="K672" s="25" t="str">
        <f aca="false">IF(OR(E672="",E672="!!!",F672="NEW"),"",INDEX(J$1:J671,SUMPRODUCT(MAX(ROW(E$1:E671)*(E672=E$1:E671)))))</f>
        <v/>
      </c>
      <c r="L672" s="26"/>
    </row>
    <row r="673" customFormat="false" ht="15" hidden="false" customHeight="false" outlineLevel="0" collapsed="false">
      <c r="A673" s="20" t="s">
        <v>266</v>
      </c>
      <c r="B673" s="27" t="s">
        <v>244</v>
      </c>
      <c r="C673" s="27" t="s">
        <v>233</v>
      </c>
      <c r="D673" s="27" t="s">
        <v>209</v>
      </c>
      <c r="E673" s="21" t="str">
        <f aca="false">IF(D673="?OLD","!!!","")</f>
        <v>!!!</v>
      </c>
      <c r="F673" s="22" t="str">
        <f aca="false">IF(OR(E673="",E673="!!!"),"",IF(NOT(ISNA(VLOOKUP(E673,E$1:E672,1,FALSE()))),"OLD",IF(AND(E673&lt;&gt;"",E673&lt;&gt;"!!!"),"NEW","")))</f>
        <v> </v>
      </c>
      <c r="G673" s="23" t="str">
        <f aca="false">IF(OR(E673="",E673="!!!"),"",IF(OR(J673=0,AND(J673=1,K673=1),AND(J673=1,I673="SBJ"),AND(J673=1,I673=0)),"?IN_FOCUS",IF(J673&lt;=2,"?ACTIVATED",IF(J673&lt;&gt;"","?FAMILIAR",IF(F673="NEW",IF(ISNA(VLOOKUP(E673,#REF!,1,FALSE())),"?TYPE_IDENTIFIABLE","?REFERENTIAL"),"_")))))</f>
        <v/>
      </c>
      <c r="H673" s="24" t="str">
        <f aca="false">IF(J673&lt;&gt;1,"",IF(I673="SBJ","CB","?"))</f>
        <v/>
      </c>
      <c r="I673" s="25" t="str">
        <f aca="false">IF(OR(E673="",E673="!!!",F673="NEW"),"",INDEX(B672:B$2,-1+SUMPRODUCT(MAX(ROW(E672:E$2)*(E673=E672:E$2)))))</f>
        <v> </v>
      </c>
      <c r="J673" s="25" t="str">
        <f aca="true">IF(OR(E673="",E673="!!!",F673="NEW"),"",COUNTBLANK(OFFSET(A$1,,,SUMPRODUCT(MAX(ROW(E$2:E673)*(E673=E$2:E673)))))-COUNTBLANK(OFFSET(A$1,,,SUMPRODUCT(MAX(ROW(E$1:E672)*(E2=E$1:E672))))))</f>
        <v/>
      </c>
      <c r="K673" s="25" t="str">
        <f aca="false">IF(OR(E673="",E673="!!!",F673="NEW"),"",INDEX(J$1:J672,SUMPRODUCT(MAX(ROW(E$1:E672)*(E673=E$1:E672)))))</f>
        <v/>
      </c>
      <c r="L673" s="26"/>
    </row>
    <row r="674" customFormat="false" ht="15" hidden="false" customHeight="false" outlineLevel="0" collapsed="false">
      <c r="A674" s="20" t="s">
        <v>285</v>
      </c>
      <c r="E674" s="21" t="str">
        <f aca="false">IF(D674="?OLD","!!!","")</f>
        <v/>
      </c>
      <c r="F674" s="22" t="str">
        <f aca="false">IF(OR(E674="",E674="!!!"),"",IF(NOT(ISNA(VLOOKUP(E674,E$1:E673,1,FALSE()))),"OLD",IF(AND(E674&lt;&gt;"",E674&lt;&gt;"!!!"),"NEW","")))</f>
        <v> </v>
      </c>
      <c r="G674" s="23" t="str">
        <f aca="false">IF(OR(E674="",E674="!!!"),"",IF(OR(J674=0,AND(J674=1,K674=1),AND(J674=1,I674="SBJ"),AND(J674=1,I674=0)),"?IN_FOCUS",IF(J674&lt;=2,"?ACTIVATED",IF(J674&lt;&gt;"","?FAMILIAR",IF(F674="NEW",IF(ISNA(VLOOKUP(E674,#REF!,1,FALSE())),"?TYPE_IDENTIFIABLE","?REFERENTIAL"),"_")))))</f>
        <v/>
      </c>
      <c r="H674" s="24" t="str">
        <f aca="false">IF(J674&lt;&gt;1,"",IF(I674="SBJ","CB","?"))</f>
        <v/>
      </c>
      <c r="I674" s="25" t="str">
        <f aca="false">IF(OR(E674="",E674="!!!",F674="NEW"),"",INDEX(B673:B$2,-1+SUMPRODUCT(MAX(ROW(E673:E$2)*(E674=E673:E$2)))))</f>
        <v> </v>
      </c>
      <c r="J674" s="25" t="str">
        <f aca="true">IF(OR(E674="",E674="!!!",F674="NEW"),"",COUNTBLANK(OFFSET(A$1,,,SUMPRODUCT(MAX(ROW(E$2:E674)*(E674=E$2:E674)))))-COUNTBLANK(OFFSET(A$1,,,SUMPRODUCT(MAX(ROW(E$1:E673)*(E2=E$1:E673))))))</f>
        <v/>
      </c>
      <c r="K674" s="25" t="str">
        <f aca="false">IF(OR(E674="",E674="!!!",F674="NEW"),"",INDEX(J$1:J673,SUMPRODUCT(MAX(ROW(E$1:E673)*(E674=E$1:E673)))))</f>
        <v/>
      </c>
      <c r="L674" s="26"/>
    </row>
    <row r="675" customFormat="false" ht="15" hidden="false" customHeight="false" outlineLevel="0" collapsed="false">
      <c r="A675" s="20" t="s">
        <v>89</v>
      </c>
      <c r="E675" s="21" t="str">
        <f aca="false">IF(D675="?OLD","!!!","")</f>
        <v/>
      </c>
      <c r="F675" s="22" t="str">
        <f aca="false">IF(OR(E675="",E675="!!!"),"",IF(NOT(ISNA(VLOOKUP(E675,E$1:E674,1,FALSE()))),"OLD",IF(AND(E675&lt;&gt;"",E675&lt;&gt;"!!!"),"NEW","")))</f>
        <v> </v>
      </c>
      <c r="G675" s="23" t="str">
        <f aca="false">IF(OR(E675="",E675="!!!"),"",IF(OR(J675=0,AND(J675=1,K675=1),AND(J675=1,I675="SBJ"),AND(J675=1,I675=0)),"?IN_FOCUS",IF(J675&lt;=2,"?ACTIVATED",IF(J675&lt;&gt;"","?FAMILIAR",IF(F675="NEW",IF(ISNA(VLOOKUP(E675,#REF!,1,FALSE())),"?TYPE_IDENTIFIABLE","?REFERENTIAL"),"_")))))</f>
        <v/>
      </c>
      <c r="H675" s="24" t="str">
        <f aca="false">IF(J675&lt;&gt;1,"",IF(I675="SBJ","CB","?"))</f>
        <v/>
      </c>
      <c r="I675" s="25" t="str">
        <f aca="false">IF(OR(E675="",E675="!!!",F675="NEW"),"",INDEX(B674:B$2,-1+SUMPRODUCT(MAX(ROW(E674:E$2)*(E675=E674:E$2)))))</f>
        <v> </v>
      </c>
      <c r="J675" s="25" t="str">
        <f aca="true">IF(OR(E675="",E675="!!!",F675="NEW"),"",COUNTBLANK(OFFSET(A$1,,,SUMPRODUCT(MAX(ROW(E$2:E675)*(E675=E$2:E675)))))-COUNTBLANK(OFFSET(A$1,,,SUMPRODUCT(MAX(ROW(E$1:E674)*(E2=E$1:E674))))))</f>
        <v/>
      </c>
      <c r="K675" s="25" t="str">
        <f aca="false">IF(OR(E675="",E675="!!!",F675="NEW"),"",INDEX(J$1:J674,SUMPRODUCT(MAX(ROW(E$1:E674)*(E675=E$1:E674)))))</f>
        <v/>
      </c>
      <c r="L675" s="26"/>
    </row>
    <row r="676" customFormat="false" ht="15" hidden="false" customHeight="false" outlineLevel="0" collapsed="false">
      <c r="A676" s="20" t="s">
        <v>205</v>
      </c>
      <c r="E676" s="21" t="str">
        <f aca="false">IF(D676="?OLD","!!!","")</f>
        <v/>
      </c>
      <c r="F676" s="22" t="str">
        <f aca="false">IF(OR(E676="",E676="!!!"),"",IF(NOT(ISNA(VLOOKUP(E676,E$1:E675,1,FALSE()))),"OLD",IF(AND(E676&lt;&gt;"",E676&lt;&gt;"!!!"),"NEW","")))</f>
        <v> </v>
      </c>
      <c r="G676" s="23" t="str">
        <f aca="false">IF(OR(E676="",E676="!!!"),"",IF(OR(J676=0,AND(J676=1,K676=1),AND(J676=1,I676="SBJ"),AND(J676=1,I676=0)),"?IN_FOCUS",IF(J676&lt;=2,"?ACTIVATED",IF(J676&lt;&gt;"","?FAMILIAR",IF(F676="NEW",IF(ISNA(VLOOKUP(E676,#REF!,1,FALSE())),"?TYPE_IDENTIFIABLE","?REFERENTIAL"),"_")))))</f>
        <v/>
      </c>
      <c r="H676" s="24" t="str">
        <f aca="false">IF(J676&lt;&gt;1,"",IF(I676="SBJ","CB","?"))</f>
        <v/>
      </c>
      <c r="I676" s="25" t="str">
        <f aca="false">IF(OR(E676="",E676="!!!",F676="NEW"),"",INDEX(B675:B$2,-1+SUMPRODUCT(MAX(ROW(E675:E$2)*(E676=E675:E$2)))))</f>
        <v> </v>
      </c>
      <c r="J676" s="25" t="str">
        <f aca="true">IF(OR(E676="",E676="!!!",F676="NEW"),"",COUNTBLANK(OFFSET(A$1,,,SUMPRODUCT(MAX(ROW(E$2:E676)*(E676=E$2:E676)))))-COUNTBLANK(OFFSET(A$1,,,SUMPRODUCT(MAX(ROW(E$1:E675)*(E2=E$1:E675))))))</f>
        <v/>
      </c>
      <c r="K676" s="25" t="str">
        <f aca="false">IF(OR(E676="",E676="!!!",F676="NEW"),"",INDEX(J$1:J675,SUMPRODUCT(MAX(ROW(E$1:E675)*(E676=E$1:E675)))))</f>
        <v/>
      </c>
      <c r="L676" s="26"/>
    </row>
    <row r="677" customFormat="false" ht="15" hidden="false" customHeight="false" outlineLevel="0" collapsed="false">
      <c r="A677" s="20" t="s">
        <v>423</v>
      </c>
      <c r="B677" s="27" t="s">
        <v>268</v>
      </c>
      <c r="C677" s="27" t="s">
        <v>208</v>
      </c>
      <c r="D677" s="27" t="s">
        <v>209</v>
      </c>
      <c r="E677" s="21" t="str">
        <f aca="false">IF(D677="?OLD","!!!","")</f>
        <v>!!!</v>
      </c>
      <c r="F677" s="22" t="str">
        <f aca="false">IF(OR(E677="",E677="!!!"),"",IF(NOT(ISNA(VLOOKUP(E677,E$1:E676,1,FALSE()))),"OLD",IF(AND(E677&lt;&gt;"",E677&lt;&gt;"!!!"),"NEW","")))</f>
        <v> </v>
      </c>
      <c r="G677" s="23" t="str">
        <f aca="false">IF(OR(E677="",E677="!!!"),"",IF(OR(J677=0,AND(J677=1,K677=1),AND(J677=1,I677="SBJ"),AND(J677=1,I677=0)),"?IN_FOCUS",IF(J677&lt;=2,"?ACTIVATED",IF(J677&lt;&gt;"","?FAMILIAR",IF(F677="NEW",IF(ISNA(VLOOKUP(E677,#REF!,1,FALSE())),"?TYPE_IDENTIFIABLE","?REFERENTIAL"),"_")))))</f>
        <v/>
      </c>
      <c r="H677" s="24" t="str">
        <f aca="false">IF(J677&lt;&gt;1,"",IF(I677="SBJ","CB","?"))</f>
        <v/>
      </c>
      <c r="I677" s="25" t="str">
        <f aca="false">IF(OR(E677="",E677="!!!",F677="NEW"),"",INDEX(B676:B$2,-1+SUMPRODUCT(MAX(ROW(E676:E$2)*(E677=E676:E$2)))))</f>
        <v> </v>
      </c>
      <c r="J677" s="25" t="str">
        <f aca="true">IF(OR(E677="",E677="!!!",F677="NEW"),"",COUNTBLANK(OFFSET(A$1,,,SUMPRODUCT(MAX(ROW(E$2:E677)*(E677=E$2:E677)))))-COUNTBLANK(OFFSET(A$1,,,SUMPRODUCT(MAX(ROW(E$1:E676)*(E2=E$1:E676))))))</f>
        <v/>
      </c>
      <c r="K677" s="25" t="str">
        <f aca="false">IF(OR(E677="",E677="!!!",F677="NEW"),"",INDEX(J$1:J676,SUMPRODUCT(MAX(ROW(E$1:E676)*(E677=E$1:E676)))))</f>
        <v/>
      </c>
      <c r="L677" s="26"/>
    </row>
    <row r="678" customFormat="false" ht="15" hidden="false" customHeight="false" outlineLevel="0" collapsed="false">
      <c r="A678" s="20" t="s">
        <v>218</v>
      </c>
      <c r="E678" s="21" t="str">
        <f aca="false">IF(D678="?OLD","!!!","")</f>
        <v/>
      </c>
      <c r="F678" s="22" t="str">
        <f aca="false">IF(OR(E678="",E678="!!!"),"",IF(NOT(ISNA(VLOOKUP(E678,E$1:E677,1,FALSE()))),"OLD",IF(AND(E678&lt;&gt;"",E678&lt;&gt;"!!!"),"NEW","")))</f>
        <v> </v>
      </c>
      <c r="G678" s="23" t="str">
        <f aca="false">IF(OR(E678="",E678="!!!"),"",IF(OR(J678=0,AND(J678=1,K678=1),AND(J678=1,I678="SBJ"),AND(J678=1,I678=0)),"?IN_FOCUS",IF(J678&lt;=2,"?ACTIVATED",IF(J678&lt;&gt;"","?FAMILIAR",IF(F678="NEW",IF(ISNA(VLOOKUP(E678,#REF!,1,FALSE())),"?TYPE_IDENTIFIABLE","?REFERENTIAL"),"_")))))</f>
        <v/>
      </c>
      <c r="H678" s="24" t="str">
        <f aca="false">IF(J678&lt;&gt;1,"",IF(I678="SBJ","CB","?"))</f>
        <v/>
      </c>
      <c r="I678" s="25" t="str">
        <f aca="false">IF(OR(E678="",E678="!!!",F678="NEW"),"",INDEX(B677:B$2,-1+SUMPRODUCT(MAX(ROW(E677:E$2)*(E678=E677:E$2)))))</f>
        <v> </v>
      </c>
      <c r="J678" s="25" t="str">
        <f aca="true">IF(OR(E678="",E678="!!!",F678="NEW"),"",COUNTBLANK(OFFSET(A$1,,,SUMPRODUCT(MAX(ROW(E$2:E678)*(E678=E$2:E678)))))-COUNTBLANK(OFFSET(A$1,,,SUMPRODUCT(MAX(ROW(E$1:E677)*(E2=E$1:E677))))))</f>
        <v/>
      </c>
      <c r="K678" s="25" t="str">
        <f aca="false">IF(OR(E678="",E678="!!!",F678="NEW"),"",INDEX(J$1:J677,SUMPRODUCT(MAX(ROW(E$1:E677)*(E678=E$1:E677)))))</f>
        <v/>
      </c>
      <c r="L678" s="26"/>
    </row>
    <row r="679" customFormat="false" ht="15" hidden="false" customHeight="false" outlineLevel="0" collapsed="false">
      <c r="A679" s="20" t="s">
        <v>205</v>
      </c>
      <c r="E679" s="21" t="str">
        <f aca="false">IF(D679="?OLD","!!!","")</f>
        <v/>
      </c>
      <c r="F679" s="22" t="str">
        <f aca="false">IF(OR(E679="",E679="!!!"),"",IF(NOT(ISNA(VLOOKUP(E679,E$1:E678,1,FALSE()))),"OLD",IF(AND(E679&lt;&gt;"",E679&lt;&gt;"!!!"),"NEW","")))</f>
        <v> </v>
      </c>
      <c r="G679" s="23" t="str">
        <f aca="false">IF(OR(E679="",E679="!!!"),"",IF(OR(J679=0,AND(J679=1,K679=1),AND(J679=1,I679="SBJ"),AND(J679=1,I679=0)),"?IN_FOCUS",IF(J679&lt;=2,"?ACTIVATED",IF(J679&lt;&gt;"","?FAMILIAR",IF(F679="NEW",IF(ISNA(VLOOKUP(E679,#REF!,1,FALSE())),"?TYPE_IDENTIFIABLE","?REFERENTIAL"),"_")))))</f>
        <v/>
      </c>
      <c r="H679" s="24" t="str">
        <f aca="false">IF(J679&lt;&gt;1,"",IF(I679="SBJ","CB","?"))</f>
        <v/>
      </c>
      <c r="I679" s="25" t="str">
        <f aca="false">IF(OR(E679="",E679="!!!",F679="NEW"),"",INDEX(B678:B$2,-1+SUMPRODUCT(MAX(ROW(E678:E$2)*(E679=E678:E$2)))))</f>
        <v> </v>
      </c>
      <c r="J679" s="25" t="str">
        <f aca="true">IF(OR(E679="",E679="!!!",F679="NEW"),"",COUNTBLANK(OFFSET(A$1,,,SUMPRODUCT(MAX(ROW(E$2:E679)*(E679=E$2:E679)))))-COUNTBLANK(OFFSET(A$1,,,SUMPRODUCT(MAX(ROW(E$1:E678)*(E2=E$1:E678))))))</f>
        <v/>
      </c>
      <c r="K679" s="25" t="str">
        <f aca="false">IF(OR(E679="",E679="!!!",F679="NEW"),"",INDEX(J$1:J678,SUMPRODUCT(MAX(ROW(E$1:E678)*(E679=E$1:E678)))))</f>
        <v/>
      </c>
      <c r="L679" s="26"/>
    </row>
    <row r="680" customFormat="false" ht="15" hidden="false" customHeight="false" outlineLevel="0" collapsed="false">
      <c r="A680" s="20" t="s">
        <v>219</v>
      </c>
      <c r="B680" s="27" t="s">
        <v>250</v>
      </c>
      <c r="C680" s="27" t="s">
        <v>208</v>
      </c>
      <c r="D680" s="27" t="s">
        <v>209</v>
      </c>
      <c r="E680" s="21" t="str">
        <f aca="false">IF(D680="?OLD","!!!","")</f>
        <v>!!!</v>
      </c>
      <c r="F680" s="22" t="str">
        <f aca="false">IF(OR(E680="",E680="!!!"),"",IF(NOT(ISNA(VLOOKUP(E680,E$1:E679,1,FALSE()))),"OLD",IF(AND(E680&lt;&gt;"",E680&lt;&gt;"!!!"),"NEW","")))</f>
        <v> </v>
      </c>
      <c r="G680" s="23" t="str">
        <f aca="false">IF(OR(E680="",E680="!!!"),"",IF(OR(J680=0,AND(J680=1,K680=1),AND(J680=1,I680="SBJ"),AND(J680=1,I680=0)),"?IN_FOCUS",IF(J680&lt;=2,"?ACTIVATED",IF(J680&lt;&gt;"","?FAMILIAR",IF(F680="NEW",IF(ISNA(VLOOKUP(E680,#REF!,1,FALSE())),"?TYPE_IDENTIFIABLE","?REFERENTIAL"),"_")))))</f>
        <v/>
      </c>
      <c r="H680" s="24" t="str">
        <f aca="false">IF(J680&lt;&gt;1,"",IF(I680="SBJ","CB","?"))</f>
        <v/>
      </c>
      <c r="I680" s="25" t="str">
        <f aca="false">IF(OR(E680="",E680="!!!",F680="NEW"),"",INDEX(B679:B$2,-1+SUMPRODUCT(MAX(ROW(E679:E$2)*(E680=E679:E$2)))))</f>
        <v> </v>
      </c>
      <c r="J680" s="25" t="str">
        <f aca="true">IF(OR(E680="",E680="!!!",F680="NEW"),"",COUNTBLANK(OFFSET(A$1,,,SUMPRODUCT(MAX(ROW(E$2:E680)*(E680=E$2:E680)))))-COUNTBLANK(OFFSET(A$1,,,SUMPRODUCT(MAX(ROW(E$1:E679)*(E2=E$1:E679))))))</f>
        <v/>
      </c>
      <c r="K680" s="25" t="str">
        <f aca="false">IF(OR(E680="",E680="!!!",F680="NEW"),"",INDEX(J$1:J679,SUMPRODUCT(MAX(ROW(E$1:E679)*(E680=E$1:E679)))))</f>
        <v/>
      </c>
      <c r="L680" s="26"/>
    </row>
    <row r="681" customFormat="false" ht="15" hidden="false" customHeight="false" outlineLevel="0" collapsed="false">
      <c r="A681" s="20" t="s">
        <v>229</v>
      </c>
      <c r="E681" s="21" t="str">
        <f aca="false">IF(D681="?OLD","!!!","")</f>
        <v/>
      </c>
      <c r="F681" s="22" t="str">
        <f aca="false">IF(OR(E681="",E681="!!!"),"",IF(NOT(ISNA(VLOOKUP(E681,E$1:E680,1,FALSE()))),"OLD",IF(AND(E681&lt;&gt;"",E681&lt;&gt;"!!!"),"NEW","")))</f>
        <v> </v>
      </c>
      <c r="G681" s="23" t="str">
        <f aca="false">IF(OR(E681="",E681="!!!"),"",IF(OR(J681=0,AND(J681=1,K681=1),AND(J681=1,I681="SBJ"),AND(J681=1,I681=0)),"?IN_FOCUS",IF(J681&lt;=2,"?ACTIVATED",IF(J681&lt;&gt;"","?FAMILIAR",IF(F681="NEW",IF(ISNA(VLOOKUP(E681,#REF!,1,FALSE())),"?TYPE_IDENTIFIABLE","?REFERENTIAL"),"_")))))</f>
        <v/>
      </c>
      <c r="H681" s="24" t="str">
        <f aca="false">IF(J681&lt;&gt;1,"",IF(I681="SBJ","CB","?"))</f>
        <v/>
      </c>
      <c r="I681" s="25" t="str">
        <f aca="false">IF(OR(E681="",E681="!!!",F681="NEW"),"",INDEX(B680:B$2,-1+SUMPRODUCT(MAX(ROW(E680:E$2)*(E681=E680:E$2)))))</f>
        <v> </v>
      </c>
      <c r="J681" s="25" t="str">
        <f aca="true">IF(OR(E681="",E681="!!!",F681="NEW"),"",COUNTBLANK(OFFSET(A$1,,,SUMPRODUCT(MAX(ROW(E$2:E681)*(E681=E$2:E681)))))-COUNTBLANK(OFFSET(A$1,,,SUMPRODUCT(MAX(ROW(E$1:E680)*(E2=E$1:E680))))))</f>
        <v/>
      </c>
      <c r="K681" s="25" t="str">
        <f aca="false">IF(OR(E681="",E681="!!!",F681="NEW"),"",INDEX(J$1:J680,SUMPRODUCT(MAX(ROW(E$1:E680)*(E681=E$1:E680)))))</f>
        <v/>
      </c>
      <c r="L681" s="26"/>
    </row>
    <row r="682" customFormat="false" ht="15" hidden="false" customHeight="false" outlineLevel="0" collapsed="false">
      <c r="A682" s="20"/>
    </row>
    <row r="683" customFormat="false" ht="15" hidden="false" customHeight="false" outlineLevel="0" collapsed="false">
      <c r="A683" s="20" t="s">
        <v>424</v>
      </c>
    </row>
    <row r="684" customFormat="false" ht="15" hidden="false" customHeight="false" outlineLevel="0" collapsed="false">
      <c r="A684" s="20" t="s">
        <v>425</v>
      </c>
      <c r="E684" s="21" t="str">
        <f aca="false">IF(D684="?OLD","!!!","")</f>
        <v/>
      </c>
      <c r="F684" s="22" t="str">
        <f aca="false">IF(OR(E684="",E684="!!!"),"",IF(NOT(ISNA(VLOOKUP(E684,E$1:E683,1,FALSE()))),"OLD",IF(AND(E684&lt;&gt;"",E684&lt;&gt;"!!!"),"NEW","")))</f>
        <v> </v>
      </c>
      <c r="G684" s="23" t="str">
        <f aca="false">IF(OR(E684="",E684="!!!"),"",IF(OR(J684=0,AND(J684=1,K684=1),AND(J684=1,I684="SBJ"),AND(J684=1,I684=0)),"?IN_FOCUS",IF(J684&lt;=2,"?ACTIVATED",IF(J684&lt;&gt;"","?FAMILIAR",IF(F684="NEW",IF(ISNA(VLOOKUP(E684,#REF!,1,FALSE())),"?TYPE_IDENTIFIABLE","?REFERENTIAL"),"_")))))</f>
        <v/>
      </c>
      <c r="H684" s="24" t="str">
        <f aca="false">IF(J684&lt;&gt;1,"",IF(I684="SBJ","CB","?"))</f>
        <v/>
      </c>
      <c r="I684" s="25" t="str">
        <f aca="false">IF(OR(E684="",E684="!!!",F684="NEW"),"",INDEX(B683:B$2,-1+SUMPRODUCT(MAX(ROW(E683:E$2)*(E684=E683:E$2)))))</f>
        <v> </v>
      </c>
      <c r="J684" s="25" t="str">
        <f aca="true">IF(OR(E684="",E684="!!!",F684="NEW"),"",COUNTBLANK(OFFSET(A$1,,,SUMPRODUCT(MAX(ROW(E$2:E684)*(E684=E$2:E684)))))-COUNTBLANK(OFFSET(A$1,,,SUMPRODUCT(MAX(ROW(E$1:E683)*(E2=E$1:E683))))))</f>
        <v/>
      </c>
      <c r="K684" s="25" t="str">
        <f aca="false">IF(OR(E684="",E684="!!!",F684="NEW"),"",INDEX(J$1:J683,SUMPRODUCT(MAX(ROW(E$1:E683)*(E684=E$1:E683)))))</f>
        <v/>
      </c>
      <c r="L684" s="26"/>
    </row>
    <row r="685" customFormat="false" ht="15" hidden="false" customHeight="false" outlineLevel="0" collapsed="false">
      <c r="A685" s="20" t="s">
        <v>205</v>
      </c>
      <c r="E685" s="21" t="str">
        <f aca="false">IF(D685="?OLD","!!!","")</f>
        <v/>
      </c>
      <c r="F685" s="22" t="str">
        <f aca="false">IF(OR(E685="",E685="!!!"),"",IF(NOT(ISNA(VLOOKUP(E685,E$1:E684,1,FALSE()))),"OLD",IF(AND(E685&lt;&gt;"",E685&lt;&gt;"!!!"),"NEW","")))</f>
        <v> </v>
      </c>
      <c r="G685" s="23" t="str">
        <f aca="false">IF(OR(E685="",E685="!!!"),"",IF(OR(J685=0,AND(J685=1,K685=1),AND(J685=1,I685="SBJ"),AND(J685=1,I685=0)),"?IN_FOCUS",IF(J685&lt;=2,"?ACTIVATED",IF(J685&lt;&gt;"","?FAMILIAR",IF(F685="NEW",IF(ISNA(VLOOKUP(E685,#REF!,1,FALSE())),"?TYPE_IDENTIFIABLE","?REFERENTIAL"),"_")))))</f>
        <v/>
      </c>
      <c r="H685" s="24" t="str">
        <f aca="false">IF(J685&lt;&gt;1,"",IF(I685="SBJ","CB","?"))</f>
        <v/>
      </c>
      <c r="I685" s="25" t="str">
        <f aca="false">IF(OR(E685="",E685="!!!",F685="NEW"),"",INDEX(B684:B$2,-1+SUMPRODUCT(MAX(ROW(E684:E$2)*(E685=E684:E$2)))))</f>
        <v> </v>
      </c>
      <c r="J685" s="25" t="str">
        <f aca="true">IF(OR(E685="",E685="!!!",F685="NEW"),"",COUNTBLANK(OFFSET(A$1,,,SUMPRODUCT(MAX(ROW(E$2:E685)*(E685=E$2:E685)))))-COUNTBLANK(OFFSET(A$1,,,SUMPRODUCT(MAX(ROW(E$1:E684)*(E2=E$1:E684))))))</f>
        <v/>
      </c>
      <c r="K685" s="25" t="str">
        <f aca="false">IF(OR(E685="",E685="!!!",F685="NEW"),"",INDEX(J$1:J684,SUMPRODUCT(MAX(ROW(E$1:E684)*(E685=E$1:E684)))))</f>
        <v/>
      </c>
      <c r="L685" s="26"/>
    </row>
    <row r="686" customFormat="false" ht="15" hidden="false" customHeight="false" outlineLevel="0" collapsed="false">
      <c r="A686" s="20" t="s">
        <v>426</v>
      </c>
      <c r="B686" s="27" t="s">
        <v>216</v>
      </c>
      <c r="C686" s="27" t="s">
        <v>284</v>
      </c>
      <c r="D686" s="27" t="s">
        <v>209</v>
      </c>
      <c r="E686" s="21" t="str">
        <f aca="false">IF(D686="?OLD","!!!","")</f>
        <v>!!!</v>
      </c>
      <c r="F686" s="22" t="str">
        <f aca="false">IF(OR(E686="",E686="!!!"),"",IF(NOT(ISNA(VLOOKUP(E686,E$1:E685,1,FALSE()))),"OLD",IF(AND(E686&lt;&gt;"",E686&lt;&gt;"!!!"),"NEW","")))</f>
        <v> </v>
      </c>
      <c r="G686" s="23" t="str">
        <f aca="false">IF(OR(E686="",E686="!!!"),"",IF(OR(J686=0,AND(J686=1,K686=1),AND(J686=1,I686="SBJ"),AND(J686=1,I686=0)),"?IN_FOCUS",IF(J686&lt;=2,"?ACTIVATED",IF(J686&lt;&gt;"","?FAMILIAR",IF(F686="NEW",IF(ISNA(VLOOKUP(E686,#REF!,1,FALSE())),"?TYPE_IDENTIFIABLE","?REFERENTIAL"),"_")))))</f>
        <v/>
      </c>
      <c r="H686" s="24" t="str">
        <f aca="false">IF(J686&lt;&gt;1,"",IF(I686="SBJ","CB","?"))</f>
        <v/>
      </c>
      <c r="I686" s="25" t="str">
        <f aca="false">IF(OR(E686="",E686="!!!",F686="NEW"),"",INDEX(B685:B$2,-1+SUMPRODUCT(MAX(ROW(E685:E$2)*(E686=E685:E$2)))))</f>
        <v> </v>
      </c>
      <c r="J686" s="25" t="str">
        <f aca="true">IF(OR(E686="",E686="!!!",F686="NEW"),"",COUNTBLANK(OFFSET(A$1,,,SUMPRODUCT(MAX(ROW(E$2:E686)*(E686=E$2:E686)))))-COUNTBLANK(OFFSET(A$1,,,SUMPRODUCT(MAX(ROW(E$1:E685)*(E2=E$1:E685))))))</f>
        <v/>
      </c>
      <c r="K686" s="25" t="str">
        <f aca="false">IF(OR(E686="",E686="!!!",F686="NEW"),"",INDEX(J$1:J685,SUMPRODUCT(MAX(ROW(E$1:E685)*(E686=E$1:E685)))))</f>
        <v/>
      </c>
      <c r="L686" s="26"/>
    </row>
    <row r="687" customFormat="false" ht="15" hidden="false" customHeight="false" outlineLevel="0" collapsed="false">
      <c r="A687" s="20" t="s">
        <v>218</v>
      </c>
      <c r="E687" s="21" t="str">
        <f aca="false">IF(D687="?OLD","!!!","")</f>
        <v/>
      </c>
      <c r="F687" s="22" t="str">
        <f aca="false">IF(OR(E687="",E687="!!!"),"",IF(NOT(ISNA(VLOOKUP(E687,E$1:E686,1,FALSE()))),"OLD",IF(AND(E687&lt;&gt;"",E687&lt;&gt;"!!!"),"NEW","")))</f>
        <v> </v>
      </c>
      <c r="G687" s="23" t="str">
        <f aca="false">IF(OR(E687="",E687="!!!"),"",IF(OR(J687=0,AND(J687=1,K687=1),AND(J687=1,I687="SBJ"),AND(J687=1,I687=0)),"?IN_FOCUS",IF(J687&lt;=2,"?ACTIVATED",IF(J687&lt;&gt;"","?FAMILIAR",IF(F687="NEW",IF(ISNA(VLOOKUP(E687,#REF!,1,FALSE())),"?TYPE_IDENTIFIABLE","?REFERENTIAL"),"_")))))</f>
        <v/>
      </c>
      <c r="H687" s="24" t="str">
        <f aca="false">IF(J687&lt;&gt;1,"",IF(I687="SBJ","CB","?"))</f>
        <v/>
      </c>
      <c r="I687" s="25" t="str">
        <f aca="false">IF(OR(E687="",E687="!!!",F687="NEW"),"",INDEX(B686:B$2,-1+SUMPRODUCT(MAX(ROW(E686:E$2)*(E687=E686:E$2)))))</f>
        <v> </v>
      </c>
      <c r="J687" s="25" t="str">
        <f aca="true">IF(OR(E687="",E687="!!!",F687="NEW"),"",COUNTBLANK(OFFSET(A$1,,,SUMPRODUCT(MAX(ROW(E$2:E687)*(E687=E$2:E687)))))-COUNTBLANK(OFFSET(A$1,,,SUMPRODUCT(MAX(ROW(E$1:E686)*(E2=E$1:E686))))))</f>
        <v/>
      </c>
      <c r="K687" s="25" t="str">
        <f aca="false">IF(OR(E687="",E687="!!!",F687="NEW"),"",INDEX(J$1:J686,SUMPRODUCT(MAX(ROW(E$1:E686)*(E687=E$1:E686)))))</f>
        <v/>
      </c>
      <c r="L687" s="26"/>
    </row>
    <row r="688" customFormat="false" ht="15" hidden="false" customHeight="false" outlineLevel="0" collapsed="false">
      <c r="A688" s="20" t="s">
        <v>281</v>
      </c>
      <c r="B688" s="27" t="s">
        <v>248</v>
      </c>
      <c r="C688" s="27" t="s">
        <v>282</v>
      </c>
      <c r="D688" s="27" t="s">
        <v>209</v>
      </c>
      <c r="E688" s="21" t="str">
        <f aca="false">IF(D688="?OLD","!!!","")</f>
        <v>!!!</v>
      </c>
      <c r="F688" s="22" t="str">
        <f aca="false">IF(OR(E688="",E688="!!!"),"",IF(NOT(ISNA(VLOOKUP(E688,E$1:E687,1,FALSE()))),"OLD",IF(AND(E688&lt;&gt;"",E688&lt;&gt;"!!!"),"NEW","")))</f>
        <v> </v>
      </c>
      <c r="G688" s="23" t="str">
        <f aca="false">IF(OR(E688="",E688="!!!"),"",IF(OR(J688=0,AND(J688=1,K688=1),AND(J688=1,I688="SBJ"),AND(J688=1,I688=0)),"?IN_FOCUS",IF(J688&lt;=2,"?ACTIVATED",IF(J688&lt;&gt;"","?FAMILIAR",IF(F688="NEW",IF(ISNA(VLOOKUP(E688,#REF!,1,FALSE())),"?TYPE_IDENTIFIABLE","?REFERENTIAL"),"_")))))</f>
        <v/>
      </c>
      <c r="H688" s="24" t="str">
        <f aca="false">IF(J688&lt;&gt;1,"",IF(I688="SBJ","CB","?"))</f>
        <v/>
      </c>
      <c r="I688" s="25" t="str">
        <f aca="false">IF(OR(E688="",E688="!!!",F688="NEW"),"",INDEX(B687:B$2,-1+SUMPRODUCT(MAX(ROW(E687:E$2)*(E688=E687:E$2)))))</f>
        <v> </v>
      </c>
      <c r="J688" s="25" t="str">
        <f aca="true">IF(OR(E688="",E688="!!!",F688="NEW"),"",COUNTBLANK(OFFSET(A$1,,,SUMPRODUCT(MAX(ROW(E$2:E688)*(E688=E$2:E688)))))-COUNTBLANK(OFFSET(A$1,,,SUMPRODUCT(MAX(ROW(E$1:E687)*(E2=E$1:E687))))))</f>
        <v/>
      </c>
      <c r="K688" s="25" t="str">
        <f aca="false">IF(OR(E688="",E688="!!!",F688="NEW"),"",INDEX(J$1:J687,SUMPRODUCT(MAX(ROW(E$1:E687)*(E688=E$1:E687)))))</f>
        <v/>
      </c>
      <c r="L688" s="26"/>
    </row>
    <row r="689" customFormat="false" ht="15" hidden="false" customHeight="false" outlineLevel="0" collapsed="false">
      <c r="A689" s="20" t="s">
        <v>427</v>
      </c>
      <c r="B689" s="27" t="s">
        <v>220</v>
      </c>
      <c r="C689" s="27" t="s">
        <v>284</v>
      </c>
      <c r="D689" s="27" t="s">
        <v>209</v>
      </c>
      <c r="E689" s="21" t="str">
        <f aca="false">IF(D689="?OLD","!!!","")</f>
        <v>!!!</v>
      </c>
      <c r="F689" s="22" t="str">
        <f aca="false">IF(OR(E689="",E689="!!!"),"",IF(NOT(ISNA(VLOOKUP(E689,E$1:E688,1,FALSE()))),"OLD",IF(AND(E689&lt;&gt;"",E689&lt;&gt;"!!!"),"NEW","")))</f>
        <v> </v>
      </c>
      <c r="G689" s="23" t="str">
        <f aca="false">IF(OR(E689="",E689="!!!"),"",IF(OR(J689=0,AND(J689=1,K689=1),AND(J689=1,I689="SBJ"),AND(J689=1,I689=0)),"?IN_FOCUS",IF(J689&lt;=2,"?ACTIVATED",IF(J689&lt;&gt;"","?FAMILIAR",IF(F689="NEW",IF(ISNA(VLOOKUP(E689,#REF!,1,FALSE())),"?TYPE_IDENTIFIABLE","?REFERENTIAL"),"_")))))</f>
        <v/>
      </c>
      <c r="H689" s="24" t="str">
        <f aca="false">IF(J689&lt;&gt;1,"",IF(I689="SBJ","CB","?"))</f>
        <v/>
      </c>
      <c r="I689" s="25" t="str">
        <f aca="false">IF(OR(E689="",E689="!!!",F689="NEW"),"",INDEX(B688:B$2,-1+SUMPRODUCT(MAX(ROW(E688:E$2)*(E689=E688:E$2)))))</f>
        <v> </v>
      </c>
      <c r="J689" s="25" t="str">
        <f aca="true">IF(OR(E689="",E689="!!!",F689="NEW"),"",COUNTBLANK(OFFSET(A$1,,,SUMPRODUCT(MAX(ROW(E$2:E689)*(E689=E$2:E689)))))-COUNTBLANK(OFFSET(A$1,,,SUMPRODUCT(MAX(ROW(E$1:E688)*(E2=E$1:E688))))))</f>
        <v/>
      </c>
      <c r="K689" s="25" t="str">
        <f aca="false">IF(OR(E689="",E689="!!!",F689="NEW"),"",INDEX(J$1:J688,SUMPRODUCT(MAX(ROW(E$1:E688)*(E689=E$1:E688)))))</f>
        <v/>
      </c>
      <c r="L689" s="26"/>
    </row>
    <row r="690" customFormat="false" ht="15" hidden="false" customHeight="false" outlineLevel="0" collapsed="false">
      <c r="A690" s="20" t="s">
        <v>285</v>
      </c>
      <c r="E690" s="21" t="str">
        <f aca="false">IF(D690="?OLD","!!!","")</f>
        <v/>
      </c>
      <c r="F690" s="22" t="str">
        <f aca="false">IF(OR(E690="",E690="!!!"),"",IF(NOT(ISNA(VLOOKUP(E690,E$1:E689,1,FALSE()))),"OLD",IF(AND(E690&lt;&gt;"",E690&lt;&gt;"!!!"),"NEW","")))</f>
        <v> </v>
      </c>
      <c r="G690" s="23" t="str">
        <f aca="false">IF(OR(E690="",E690="!!!"),"",IF(OR(J690=0,AND(J690=1,K690=1),AND(J690=1,I690="SBJ"),AND(J690=1,I690=0)),"?IN_FOCUS",IF(J690&lt;=2,"?ACTIVATED",IF(J690&lt;&gt;"","?FAMILIAR",IF(F690="NEW",IF(ISNA(VLOOKUP(E690,#REF!,1,FALSE())),"?TYPE_IDENTIFIABLE","?REFERENTIAL"),"_")))))</f>
        <v/>
      </c>
      <c r="H690" s="24" t="str">
        <f aca="false">IF(J690&lt;&gt;1,"",IF(I690="SBJ","CB","?"))</f>
        <v/>
      </c>
      <c r="I690" s="25" t="str">
        <f aca="false">IF(OR(E690="",E690="!!!",F690="NEW"),"",INDEX(B689:B$2,-1+SUMPRODUCT(MAX(ROW(E689:E$2)*(E690=E689:E$2)))))</f>
        <v> </v>
      </c>
      <c r="J690" s="25" t="str">
        <f aca="true">IF(OR(E690="",E690="!!!",F690="NEW"),"",COUNTBLANK(OFFSET(A$1,,,SUMPRODUCT(MAX(ROW(E$2:E690)*(E690=E$2:E690)))))-COUNTBLANK(OFFSET(A$1,,,SUMPRODUCT(MAX(ROW(E$1:E689)*(E2=E$1:E689))))))</f>
        <v/>
      </c>
      <c r="K690" s="25" t="str">
        <f aca="false">IF(OR(E690="",E690="!!!",F690="NEW"),"",INDEX(J$1:J689,SUMPRODUCT(MAX(ROW(E$1:E689)*(E690=E$1:E689)))))</f>
        <v/>
      </c>
      <c r="L690" s="26"/>
    </row>
    <row r="691" customFormat="false" ht="15" hidden="false" customHeight="false" outlineLevel="0" collapsed="false">
      <c r="A691" s="20" t="s">
        <v>266</v>
      </c>
      <c r="B691" s="27" t="s">
        <v>207</v>
      </c>
      <c r="C691" s="27" t="s">
        <v>233</v>
      </c>
      <c r="D691" s="27" t="s">
        <v>209</v>
      </c>
      <c r="E691" s="21" t="str">
        <f aca="false">IF(D691="?OLD","!!!","")</f>
        <v>!!!</v>
      </c>
      <c r="F691" s="22" t="str">
        <f aca="false">IF(OR(E691="",E691="!!!"),"",IF(NOT(ISNA(VLOOKUP(E691,E$1:E690,1,FALSE()))),"OLD",IF(AND(E691&lt;&gt;"",E691&lt;&gt;"!!!"),"NEW","")))</f>
        <v> </v>
      </c>
      <c r="G691" s="23" t="str">
        <f aca="false">IF(OR(E691="",E691="!!!"),"",IF(OR(J691=0,AND(J691=1,K691=1),AND(J691=1,I691="SBJ"),AND(J691=1,I691=0)),"?IN_FOCUS",IF(J691&lt;=2,"?ACTIVATED",IF(J691&lt;&gt;"","?FAMILIAR",IF(F691="NEW",IF(ISNA(VLOOKUP(E691,#REF!,1,FALSE())),"?TYPE_IDENTIFIABLE","?REFERENTIAL"),"_")))))</f>
        <v/>
      </c>
      <c r="H691" s="24" t="str">
        <f aca="false">IF(J691&lt;&gt;1,"",IF(I691="SBJ","CB","?"))</f>
        <v/>
      </c>
      <c r="I691" s="25" t="str">
        <f aca="false">IF(OR(E691="",E691="!!!",F691="NEW"),"",INDEX(B690:B$2,-1+SUMPRODUCT(MAX(ROW(E690:E$2)*(E691=E690:E$2)))))</f>
        <v> </v>
      </c>
      <c r="J691" s="25" t="str">
        <f aca="true">IF(OR(E691="",E691="!!!",F691="NEW"),"",COUNTBLANK(OFFSET(A$1,,,SUMPRODUCT(MAX(ROW(E$2:E691)*(E691=E$2:E691)))))-COUNTBLANK(OFFSET(A$1,,,SUMPRODUCT(MAX(ROW(E$1:E690)*(E2=E$1:E690))))))</f>
        <v/>
      </c>
      <c r="K691" s="25" t="str">
        <f aca="false">IF(OR(E691="",E691="!!!",F691="NEW"),"",INDEX(J$1:J690,SUMPRODUCT(MAX(ROW(E$1:E690)*(E691=E$1:E690)))))</f>
        <v/>
      </c>
      <c r="L691" s="26"/>
    </row>
    <row r="692" customFormat="false" ht="15" hidden="false" customHeight="false" outlineLevel="0" collapsed="false">
      <c r="A692" s="20" t="s">
        <v>89</v>
      </c>
      <c r="E692" s="21" t="str">
        <f aca="false">IF(D692="?OLD","!!!","")</f>
        <v/>
      </c>
      <c r="F692" s="22" t="str">
        <f aca="false">IF(OR(E692="",E692="!!!"),"",IF(NOT(ISNA(VLOOKUP(E692,E$1:E691,1,FALSE()))),"OLD",IF(AND(E692&lt;&gt;"",E692&lt;&gt;"!!!"),"NEW","")))</f>
        <v> </v>
      </c>
      <c r="G692" s="23" t="str">
        <f aca="false">IF(OR(E692="",E692="!!!"),"",IF(OR(J692=0,AND(J692=1,K692=1),AND(J692=1,I692="SBJ"),AND(J692=1,I692=0)),"?IN_FOCUS",IF(J692&lt;=2,"?ACTIVATED",IF(J692&lt;&gt;"","?FAMILIAR",IF(F692="NEW",IF(ISNA(VLOOKUP(E692,#REF!,1,FALSE())),"?TYPE_IDENTIFIABLE","?REFERENTIAL"),"_")))))</f>
        <v/>
      </c>
      <c r="H692" s="24" t="str">
        <f aca="false">IF(J692&lt;&gt;1,"",IF(I692="SBJ","CB","?"))</f>
        <v/>
      </c>
      <c r="I692" s="25" t="str">
        <f aca="false">IF(OR(E692="",E692="!!!",F692="NEW"),"",INDEX(B691:B$2,-1+SUMPRODUCT(MAX(ROW(E691:E$2)*(E692=E691:E$2)))))</f>
        <v> </v>
      </c>
      <c r="J692" s="25" t="str">
        <f aca="true">IF(OR(E692="",E692="!!!",F692="NEW"),"",COUNTBLANK(OFFSET(A$1,,,SUMPRODUCT(MAX(ROW(E$2:E692)*(E692=E$2:E692)))))-COUNTBLANK(OFFSET(A$1,,,SUMPRODUCT(MAX(ROW(E$1:E691)*(E2=E$1:E691))))))</f>
        <v/>
      </c>
      <c r="K692" s="25" t="str">
        <f aca="false">IF(OR(E692="",E692="!!!",F692="NEW"),"",INDEX(J$1:J691,SUMPRODUCT(MAX(ROW(E$1:E691)*(E692=E$1:E691)))))</f>
        <v/>
      </c>
      <c r="L692" s="26"/>
    </row>
    <row r="693" customFormat="false" ht="15" hidden="false" customHeight="false" outlineLevel="0" collapsed="false">
      <c r="A693" s="20" t="s">
        <v>428</v>
      </c>
      <c r="B693" s="27" t="s">
        <v>278</v>
      </c>
      <c r="C693" s="27" t="s">
        <v>297</v>
      </c>
      <c r="E693" s="21" t="str">
        <f aca="false">IF(D693="?OLD","!!!","")</f>
        <v/>
      </c>
      <c r="F693" s="22" t="str">
        <f aca="false">IF(OR(E693="",E693="!!!"),"",IF(NOT(ISNA(VLOOKUP(E693,E$1:E692,1,FALSE()))),"OLD",IF(AND(E693&lt;&gt;"",E693&lt;&gt;"!!!"),"NEW","")))</f>
        <v> </v>
      </c>
      <c r="G693" s="23" t="str">
        <f aca="false">IF(OR(E693="",E693="!!!"),"",IF(OR(J693=0,AND(J693=1,K693=1),AND(J693=1,I693="SBJ"),AND(J693=1,I693=0)),"?IN_FOCUS",IF(J693&lt;=2,"?ACTIVATED",IF(J693&lt;&gt;"","?FAMILIAR",IF(F693="NEW",IF(ISNA(VLOOKUP(E693,#REF!,1,FALSE())),"?TYPE_IDENTIFIABLE","?REFERENTIAL"),"_")))))</f>
        <v/>
      </c>
      <c r="H693" s="24" t="str">
        <f aca="false">IF(J693&lt;&gt;1,"",IF(I693="SBJ","CB","?"))</f>
        <v/>
      </c>
      <c r="I693" s="25" t="str">
        <f aca="false">IF(OR(E693="",E693="!!!",F693="NEW"),"",INDEX(B692:B$2,-1+SUMPRODUCT(MAX(ROW(E692:E$2)*(E693=E692:E$2)))))</f>
        <v> </v>
      </c>
      <c r="J693" s="25" t="str">
        <f aca="true">IF(OR(E693="",E693="!!!",F693="NEW"),"",COUNTBLANK(OFFSET(A$1,,,SUMPRODUCT(MAX(ROW(E$2:E693)*(E693=E$2:E693)))))-COUNTBLANK(OFFSET(A$1,,,SUMPRODUCT(MAX(ROW(E$1:E692)*(E2=E$1:E692))))))</f>
        <v/>
      </c>
      <c r="K693" s="25" t="str">
        <f aca="false">IF(OR(E693="",E693="!!!",F693="NEW"),"",INDEX(J$1:J692,SUMPRODUCT(MAX(ROW(E$1:E692)*(E693=E$1:E692)))))</f>
        <v/>
      </c>
      <c r="L693" s="26"/>
    </row>
    <row r="694" customFormat="false" ht="15" hidden="false" customHeight="false" outlineLevel="0" collapsed="false">
      <c r="A694" s="20" t="s">
        <v>429</v>
      </c>
      <c r="E694" s="21" t="str">
        <f aca="false">IF(D694="?OLD","!!!","")</f>
        <v/>
      </c>
      <c r="F694" s="22" t="str">
        <f aca="false">IF(OR(E694="",E694="!!!"),"",IF(NOT(ISNA(VLOOKUP(E694,E$1:E693,1,FALSE()))),"OLD",IF(AND(E694&lt;&gt;"",E694&lt;&gt;"!!!"),"NEW","")))</f>
        <v> </v>
      </c>
      <c r="G694" s="23" t="str">
        <f aca="false">IF(OR(E694="",E694="!!!"),"",IF(OR(J694=0,AND(J694=1,K694=1),AND(J694=1,I694="SBJ"),AND(J694=1,I694=0)),"?IN_FOCUS",IF(J694&lt;=2,"?ACTIVATED",IF(J694&lt;&gt;"","?FAMILIAR",IF(F694="NEW",IF(ISNA(VLOOKUP(E694,#REF!,1,FALSE())),"?TYPE_IDENTIFIABLE","?REFERENTIAL"),"_")))))</f>
        <v/>
      </c>
      <c r="H694" s="24" t="str">
        <f aca="false">IF(J694&lt;&gt;1,"",IF(I694="SBJ","CB","?"))</f>
        <v/>
      </c>
      <c r="I694" s="25" t="str">
        <f aca="false">IF(OR(E694="",E694="!!!",F694="NEW"),"",INDEX(B693:B$2,-1+SUMPRODUCT(MAX(ROW(E693:E$2)*(E694=E693:E$2)))))</f>
        <v> </v>
      </c>
      <c r="J694" s="25" t="str">
        <f aca="true">IF(OR(E694="",E694="!!!",F694="NEW"),"",COUNTBLANK(OFFSET(A$1,,,SUMPRODUCT(MAX(ROW(E$2:E694)*(E694=E$2:E694)))))-COUNTBLANK(OFFSET(A$1,,,SUMPRODUCT(MAX(ROW(E$1:E693)*(E2=E$1:E693))))))</f>
        <v/>
      </c>
      <c r="K694" s="25" t="str">
        <f aca="false">IF(OR(E694="",E694="!!!",F694="NEW"),"",INDEX(J$1:J693,SUMPRODUCT(MAX(ROW(E$1:E693)*(E694=E$1:E693)))))</f>
        <v/>
      </c>
      <c r="L694" s="26"/>
    </row>
    <row r="695" customFormat="false" ht="15" hidden="false" customHeight="false" outlineLevel="0" collapsed="false">
      <c r="A695" s="20" t="s">
        <v>266</v>
      </c>
      <c r="B695" s="27" t="s">
        <v>240</v>
      </c>
      <c r="C695" s="27" t="s">
        <v>233</v>
      </c>
      <c r="D695" s="27" t="s">
        <v>209</v>
      </c>
      <c r="E695" s="21" t="str">
        <f aca="false">IF(D695="?OLD","!!!","")</f>
        <v>!!!</v>
      </c>
      <c r="F695" s="22" t="str">
        <f aca="false">IF(OR(E695="",E695="!!!"),"",IF(NOT(ISNA(VLOOKUP(E695,E$1:E694,1,FALSE()))),"OLD",IF(AND(E695&lt;&gt;"",E695&lt;&gt;"!!!"),"NEW","")))</f>
        <v> </v>
      </c>
      <c r="G695" s="23" t="str">
        <f aca="false">IF(OR(E695="",E695="!!!"),"",IF(OR(J695=0,AND(J695=1,K695=1),AND(J695=1,I695="SBJ"),AND(J695=1,I695=0)),"?IN_FOCUS",IF(J695&lt;=2,"?ACTIVATED",IF(J695&lt;&gt;"","?FAMILIAR",IF(F695="NEW",IF(ISNA(VLOOKUP(E695,#REF!,1,FALSE())),"?TYPE_IDENTIFIABLE","?REFERENTIAL"),"_")))))</f>
        <v/>
      </c>
      <c r="H695" s="24" t="str">
        <f aca="false">IF(J695&lt;&gt;1,"",IF(I695="SBJ","CB","?"))</f>
        <v/>
      </c>
      <c r="I695" s="25" t="str">
        <f aca="false">IF(OR(E695="",E695="!!!",F695="NEW"),"",INDEX(B694:B$2,-1+SUMPRODUCT(MAX(ROW(E694:E$2)*(E695=E694:E$2)))))</f>
        <v> </v>
      </c>
      <c r="J695" s="25" t="str">
        <f aca="true">IF(OR(E695="",E695="!!!",F695="NEW"),"",COUNTBLANK(OFFSET(A$1,,,SUMPRODUCT(MAX(ROW(E$2:E695)*(E695=E$2:E695)))))-COUNTBLANK(OFFSET(A$1,,,SUMPRODUCT(MAX(ROW(E$1:E694)*(E2=E$1:E694))))))</f>
        <v/>
      </c>
      <c r="K695" s="25" t="str">
        <f aca="false">IF(OR(E695="",E695="!!!",F695="NEW"),"",INDEX(J$1:J694,SUMPRODUCT(MAX(ROW(E$1:E694)*(E695=E$1:E694)))))</f>
        <v/>
      </c>
      <c r="L695" s="26"/>
    </row>
    <row r="696" customFormat="false" ht="15" hidden="false" customHeight="false" outlineLevel="0" collapsed="false">
      <c r="A696" s="20" t="s">
        <v>430</v>
      </c>
      <c r="E696" s="21" t="str">
        <f aca="false">IF(D696="?OLD","!!!","")</f>
        <v/>
      </c>
      <c r="F696" s="22" t="str">
        <f aca="false">IF(OR(E696="",E696="!!!"),"",IF(NOT(ISNA(VLOOKUP(E696,E$1:E695,1,FALSE()))),"OLD",IF(AND(E696&lt;&gt;"",E696&lt;&gt;"!!!"),"NEW","")))</f>
        <v> </v>
      </c>
      <c r="G696" s="23" t="str">
        <f aca="false">IF(OR(E696="",E696="!!!"),"",IF(OR(J696=0,AND(J696=1,K696=1),AND(J696=1,I696="SBJ"),AND(J696=1,I696=0)),"?IN_FOCUS",IF(J696&lt;=2,"?ACTIVATED",IF(J696&lt;&gt;"","?FAMILIAR",IF(F696="NEW",IF(ISNA(VLOOKUP(E696,#REF!,1,FALSE())),"?TYPE_IDENTIFIABLE","?REFERENTIAL"),"_")))))</f>
        <v/>
      </c>
      <c r="H696" s="24" t="str">
        <f aca="false">IF(J696&lt;&gt;1,"",IF(I696="SBJ","CB","?"))</f>
        <v/>
      </c>
      <c r="I696" s="25" t="str">
        <f aca="false">IF(OR(E696="",E696="!!!",F696="NEW"),"",INDEX(B695:B$2,-1+SUMPRODUCT(MAX(ROW(E695:E$2)*(E696=E695:E$2)))))</f>
        <v> </v>
      </c>
      <c r="J696" s="25" t="str">
        <f aca="true">IF(OR(E696="",E696="!!!",F696="NEW"),"",COUNTBLANK(OFFSET(A$1,,,SUMPRODUCT(MAX(ROW(E$2:E696)*(E696=E$2:E696)))))-COUNTBLANK(OFFSET(A$1,,,SUMPRODUCT(MAX(ROW(E$1:E695)*(E2=E$1:E695))))))</f>
        <v/>
      </c>
      <c r="K696" s="25" t="str">
        <f aca="false">IF(OR(E696="",E696="!!!",F696="NEW"),"",INDEX(J$1:J695,SUMPRODUCT(MAX(ROW(E$1:E695)*(E696=E$1:E695)))))</f>
        <v/>
      </c>
      <c r="L696" s="26"/>
    </row>
    <row r="697" customFormat="false" ht="15" hidden="false" customHeight="false" outlineLevel="0" collapsed="false">
      <c r="A697" s="20" t="s">
        <v>235</v>
      </c>
      <c r="E697" s="21" t="str">
        <f aca="false">IF(D697="?OLD","!!!","")</f>
        <v/>
      </c>
      <c r="F697" s="22" t="str">
        <f aca="false">IF(OR(E697="",E697="!!!"),"",IF(NOT(ISNA(VLOOKUP(E697,E$1:E696,1,FALSE()))),"OLD",IF(AND(E697&lt;&gt;"",E697&lt;&gt;"!!!"),"NEW","")))</f>
        <v> </v>
      </c>
      <c r="G697" s="23" t="str">
        <f aca="false">IF(OR(E697="",E697="!!!"),"",IF(OR(J697=0,AND(J697=1,K697=1),AND(J697=1,I697="SBJ"),AND(J697=1,I697=0)),"?IN_FOCUS",IF(J697&lt;=2,"?ACTIVATED",IF(J697&lt;&gt;"","?FAMILIAR",IF(F697="NEW",IF(ISNA(VLOOKUP(E697,#REF!,1,FALSE())),"?TYPE_IDENTIFIABLE","?REFERENTIAL"),"_")))))</f>
        <v/>
      </c>
      <c r="H697" s="24" t="str">
        <f aca="false">IF(J697&lt;&gt;1,"",IF(I697="SBJ","CB","?"))</f>
        <v/>
      </c>
      <c r="I697" s="25" t="str">
        <f aca="false">IF(OR(E697="",E697="!!!",F697="NEW"),"",INDEX(B696:B$2,-1+SUMPRODUCT(MAX(ROW(E696:E$2)*(E697=E696:E$2)))))</f>
        <v> </v>
      </c>
      <c r="J697" s="25" t="str">
        <f aca="true">IF(OR(E697="",E697="!!!",F697="NEW"),"",COUNTBLANK(OFFSET(A$1,,,SUMPRODUCT(MAX(ROW(E$2:E697)*(E697=E$2:E697)))))-COUNTBLANK(OFFSET(A$1,,,SUMPRODUCT(MAX(ROW(E$1:E696)*(E2=E$1:E696))))))</f>
        <v/>
      </c>
      <c r="K697" s="25" t="str">
        <f aca="false">IF(OR(E697="",E697="!!!",F697="NEW"),"",INDEX(J$1:J696,SUMPRODUCT(MAX(ROW(E$1:E696)*(E697=E$1:E696)))))</f>
        <v/>
      </c>
      <c r="L697" s="26"/>
    </row>
    <row r="698" customFormat="false" ht="15" hidden="false" customHeight="false" outlineLevel="0" collapsed="false">
      <c r="A698" s="20" t="s">
        <v>205</v>
      </c>
      <c r="E698" s="21" t="str">
        <f aca="false">IF(D698="?OLD","!!!","")</f>
        <v/>
      </c>
      <c r="F698" s="22" t="str">
        <f aca="false">IF(OR(E698="",E698="!!!"),"",IF(NOT(ISNA(VLOOKUP(E698,E$1:E697,1,FALSE()))),"OLD",IF(AND(E698&lt;&gt;"",E698&lt;&gt;"!!!"),"NEW","")))</f>
        <v> </v>
      </c>
      <c r="G698" s="23" t="str">
        <f aca="false">IF(OR(E698="",E698="!!!"),"",IF(OR(J698=0,AND(J698=1,K698=1),AND(J698=1,I698="SBJ"),AND(J698=1,I698=0)),"?IN_FOCUS",IF(J698&lt;=2,"?ACTIVATED",IF(J698&lt;&gt;"","?FAMILIAR",IF(F698="NEW",IF(ISNA(VLOOKUP(E698,#REF!,1,FALSE())),"?TYPE_IDENTIFIABLE","?REFERENTIAL"),"_")))))</f>
        <v/>
      </c>
      <c r="H698" s="24" t="str">
        <f aca="false">IF(J698&lt;&gt;1,"",IF(I698="SBJ","CB","?"))</f>
        <v/>
      </c>
      <c r="I698" s="25" t="str">
        <f aca="false">IF(OR(E698="",E698="!!!",F698="NEW"),"",INDEX(B697:B$2,-1+SUMPRODUCT(MAX(ROW(E697:E$2)*(E698=E697:E$2)))))</f>
        <v> </v>
      </c>
      <c r="J698" s="25" t="str">
        <f aca="true">IF(OR(E698="",E698="!!!",F698="NEW"),"",COUNTBLANK(OFFSET(A$1,,,SUMPRODUCT(MAX(ROW(E$2:E698)*(E698=E$2:E698)))))-COUNTBLANK(OFFSET(A$1,,,SUMPRODUCT(MAX(ROW(E$1:E697)*(E2=E$1:E697))))))</f>
        <v/>
      </c>
      <c r="K698" s="25" t="str">
        <f aca="false">IF(OR(E698="",E698="!!!",F698="NEW"),"",INDEX(J$1:J697,SUMPRODUCT(MAX(ROW(E$1:E697)*(E698=E$1:E697)))))</f>
        <v/>
      </c>
      <c r="L698" s="26"/>
    </row>
    <row r="699" customFormat="false" ht="15" hidden="false" customHeight="false" outlineLevel="0" collapsed="false">
      <c r="A699" s="20" t="s">
        <v>414</v>
      </c>
      <c r="B699" s="27" t="s">
        <v>220</v>
      </c>
      <c r="C699" s="27" t="s">
        <v>208</v>
      </c>
      <c r="D699" s="27" t="s">
        <v>209</v>
      </c>
      <c r="E699" s="21" t="str">
        <f aca="false">IF(D699="?OLD","!!!","")</f>
        <v>!!!</v>
      </c>
      <c r="F699" s="22" t="str">
        <f aca="false">IF(OR(E699="",E699="!!!"),"",IF(NOT(ISNA(VLOOKUP(E699,E$1:E698,1,FALSE()))),"OLD",IF(AND(E699&lt;&gt;"",E699&lt;&gt;"!!!"),"NEW","")))</f>
        <v> </v>
      </c>
      <c r="G699" s="23" t="str">
        <f aca="false">IF(OR(E699="",E699="!!!"),"",IF(OR(J699=0,AND(J699=1,K699=1),AND(J699=1,I699="SBJ"),AND(J699=1,I699=0)),"?IN_FOCUS",IF(J699&lt;=2,"?ACTIVATED",IF(J699&lt;&gt;"","?FAMILIAR",IF(F699="NEW",IF(ISNA(VLOOKUP(E699,#REF!,1,FALSE())),"?TYPE_IDENTIFIABLE","?REFERENTIAL"),"_")))))</f>
        <v/>
      </c>
      <c r="H699" s="24" t="str">
        <f aca="false">IF(J699&lt;&gt;1,"",IF(I699="SBJ","CB","?"))</f>
        <v/>
      </c>
      <c r="I699" s="25" t="str">
        <f aca="false">IF(OR(E699="",E699="!!!",F699="NEW"),"",INDEX(B698:B$2,-1+SUMPRODUCT(MAX(ROW(E698:E$2)*(E699=E698:E$2)))))</f>
        <v> </v>
      </c>
      <c r="J699" s="25" t="str">
        <f aca="true">IF(OR(E699="",E699="!!!",F699="NEW"),"",COUNTBLANK(OFFSET(A$1,,,SUMPRODUCT(MAX(ROW(E$2:E699)*(E699=E$2:E699)))))-COUNTBLANK(OFFSET(A$1,,,SUMPRODUCT(MAX(ROW(E$1:E698)*(E2=E$1:E698))))))</f>
        <v/>
      </c>
      <c r="K699" s="25" t="str">
        <f aca="false">IF(OR(E699="",E699="!!!",F699="NEW"),"",INDEX(J$1:J698,SUMPRODUCT(MAX(ROW(E$1:E698)*(E699=E$1:E698)))))</f>
        <v/>
      </c>
      <c r="L699" s="26"/>
    </row>
    <row r="700" customFormat="false" ht="15" hidden="false" customHeight="false" outlineLevel="0" collapsed="false">
      <c r="A700" s="20" t="s">
        <v>237</v>
      </c>
      <c r="E700" s="21" t="str">
        <f aca="false">IF(D700="?OLD","!!!","")</f>
        <v/>
      </c>
      <c r="F700" s="22" t="str">
        <f aca="false">IF(OR(E700="",E700="!!!"),"",IF(NOT(ISNA(VLOOKUP(E700,E$1:E699,1,FALSE()))),"OLD",IF(AND(E700&lt;&gt;"",E700&lt;&gt;"!!!"),"NEW","")))</f>
        <v> </v>
      </c>
      <c r="G700" s="23" t="str">
        <f aca="false">IF(OR(E700="",E700="!!!"),"",IF(OR(J700=0,AND(J700=1,K700=1),AND(J700=1,I700="SBJ"),AND(J700=1,I700=0)),"?IN_FOCUS",IF(J700&lt;=2,"?ACTIVATED",IF(J700&lt;&gt;"","?FAMILIAR",IF(F700="NEW",IF(ISNA(VLOOKUP(E700,#REF!,1,FALSE())),"?TYPE_IDENTIFIABLE","?REFERENTIAL"),"_")))))</f>
        <v/>
      </c>
      <c r="H700" s="24" t="str">
        <f aca="false">IF(J700&lt;&gt;1,"",IF(I700="SBJ","CB","?"))</f>
        <v/>
      </c>
      <c r="I700" s="25" t="str">
        <f aca="false">IF(OR(E700="",E700="!!!",F700="NEW"),"",INDEX(B699:B$2,-1+SUMPRODUCT(MAX(ROW(E699:E$2)*(E700=E699:E$2)))))</f>
        <v> </v>
      </c>
      <c r="J700" s="25" t="str">
        <f aca="true">IF(OR(E700="",E700="!!!",F700="NEW"),"",COUNTBLANK(OFFSET(A$1,,,SUMPRODUCT(MAX(ROW(E$2:E700)*(E700=E$2:E700)))))-COUNTBLANK(OFFSET(A$1,,,SUMPRODUCT(MAX(ROW(E$1:E699)*(E2=E$1:E699))))))</f>
        <v/>
      </c>
      <c r="K700" s="25" t="str">
        <f aca="false">IF(OR(E700="",E700="!!!",F700="NEW"),"",INDEX(J$1:J699,SUMPRODUCT(MAX(ROW(E$1:E699)*(E700=E$1:E699)))))</f>
        <v/>
      </c>
      <c r="L700" s="26"/>
    </row>
    <row r="701" customFormat="false" ht="15" hidden="false" customHeight="false" outlineLevel="0" collapsed="false">
      <c r="A701" s="20" t="s">
        <v>49</v>
      </c>
      <c r="E701" s="21" t="str">
        <f aca="false">IF(D701="?OLD","!!!","")</f>
        <v/>
      </c>
      <c r="F701" s="22" t="str">
        <f aca="false">IF(OR(E701="",E701="!!!"),"",IF(NOT(ISNA(VLOOKUP(E701,E$1:E700,1,FALSE()))),"OLD",IF(AND(E701&lt;&gt;"",E701&lt;&gt;"!!!"),"NEW","")))</f>
        <v> </v>
      </c>
      <c r="G701" s="23" t="str">
        <f aca="false">IF(OR(E701="",E701="!!!"),"",IF(OR(J701=0,AND(J701=1,K701=1),AND(J701=1,I701="SBJ"),AND(J701=1,I701=0)),"?IN_FOCUS",IF(J701&lt;=2,"?ACTIVATED",IF(J701&lt;&gt;"","?FAMILIAR",IF(F701="NEW",IF(ISNA(VLOOKUP(E701,#REF!,1,FALSE())),"?TYPE_IDENTIFIABLE","?REFERENTIAL"),"_")))))</f>
        <v/>
      </c>
      <c r="H701" s="24" t="str">
        <f aca="false">IF(J701&lt;&gt;1,"",IF(I701="SBJ","CB","?"))</f>
        <v/>
      </c>
      <c r="I701" s="25" t="str">
        <f aca="false">IF(OR(E701="",E701="!!!",F701="NEW"),"",INDEX(B700:B$2,-1+SUMPRODUCT(MAX(ROW(E700:E$2)*(E701=E700:E$2)))))</f>
        <v> </v>
      </c>
      <c r="J701" s="25" t="str">
        <f aca="true">IF(OR(E701="",E701="!!!",F701="NEW"),"",COUNTBLANK(OFFSET(A$1,,,SUMPRODUCT(MAX(ROW(E$2:E701)*(E701=E$2:E701)))))-COUNTBLANK(OFFSET(A$1,,,SUMPRODUCT(MAX(ROW(E$1:E700)*(E2=E$1:E700))))))</f>
        <v/>
      </c>
      <c r="K701" s="25" t="str">
        <f aca="false">IF(OR(E701="",E701="!!!",F701="NEW"),"",INDEX(J$1:J700,SUMPRODUCT(MAX(ROW(E$1:E700)*(E701=E$1:E700)))))</f>
        <v/>
      </c>
      <c r="L701" s="26"/>
    </row>
    <row r="702" customFormat="false" ht="15" hidden="false" customHeight="false" outlineLevel="0" collapsed="false">
      <c r="A702" s="20" t="s">
        <v>431</v>
      </c>
      <c r="E702" s="21" t="str">
        <f aca="false">IF(D702="?OLD","!!!","")</f>
        <v/>
      </c>
      <c r="F702" s="22" t="str">
        <f aca="false">IF(OR(E702="",E702="!!!"),"",IF(NOT(ISNA(VLOOKUP(E702,E$1:E701,1,FALSE()))),"OLD",IF(AND(E702&lt;&gt;"",E702&lt;&gt;"!!!"),"NEW","")))</f>
        <v> </v>
      </c>
      <c r="G702" s="23" t="str">
        <f aca="false">IF(OR(E702="",E702="!!!"),"",IF(OR(J702=0,AND(J702=1,K702=1),AND(J702=1,I702="SBJ"),AND(J702=1,I702=0)),"?IN_FOCUS",IF(J702&lt;=2,"?ACTIVATED",IF(J702&lt;&gt;"","?FAMILIAR",IF(F702="NEW",IF(ISNA(VLOOKUP(E702,#REF!,1,FALSE())),"?TYPE_IDENTIFIABLE","?REFERENTIAL"),"_")))))</f>
        <v/>
      </c>
      <c r="H702" s="24" t="str">
        <f aca="false">IF(J702&lt;&gt;1,"",IF(I702="SBJ","CB","?"))</f>
        <v/>
      </c>
      <c r="I702" s="25" t="str">
        <f aca="false">IF(OR(E702="",E702="!!!",F702="NEW"),"",INDEX(B701:B$2,-1+SUMPRODUCT(MAX(ROW(E701:E$2)*(E702=E701:E$2)))))</f>
        <v> </v>
      </c>
      <c r="J702" s="25" t="str">
        <f aca="true">IF(OR(E702="",E702="!!!",F702="NEW"),"",COUNTBLANK(OFFSET(A$1,,,SUMPRODUCT(MAX(ROW(E$2:E702)*(E702=E$2:E702)))))-COUNTBLANK(OFFSET(A$1,,,SUMPRODUCT(MAX(ROW(E$1:E701)*(E2=E$1:E701))))))</f>
        <v/>
      </c>
      <c r="K702" s="25" t="str">
        <f aca="false">IF(OR(E702="",E702="!!!",F702="NEW"),"",INDEX(J$1:J701,SUMPRODUCT(MAX(ROW(E$1:E701)*(E702=E$1:E701)))))</f>
        <v/>
      </c>
      <c r="L702" s="26"/>
    </row>
    <row r="703" customFormat="false" ht="15" hidden="false" customHeight="false" outlineLevel="0" collapsed="false">
      <c r="A703" s="20" t="s">
        <v>218</v>
      </c>
      <c r="E703" s="21" t="str">
        <f aca="false">IF(D703="?OLD","!!!","")</f>
        <v/>
      </c>
      <c r="F703" s="22" t="str">
        <f aca="false">IF(OR(E703="",E703="!!!"),"",IF(NOT(ISNA(VLOOKUP(E703,E$1:E702,1,FALSE()))),"OLD",IF(AND(E703&lt;&gt;"",E703&lt;&gt;"!!!"),"NEW","")))</f>
        <v> </v>
      </c>
      <c r="G703" s="23" t="str">
        <f aca="false">IF(OR(E703="",E703="!!!"),"",IF(OR(J703=0,AND(J703=1,K703=1),AND(J703=1,I703="SBJ"),AND(J703=1,I703=0)),"?IN_FOCUS",IF(J703&lt;=2,"?ACTIVATED",IF(J703&lt;&gt;"","?FAMILIAR",IF(F703="NEW",IF(ISNA(VLOOKUP(E703,#REF!,1,FALSE())),"?TYPE_IDENTIFIABLE","?REFERENTIAL"),"_")))))</f>
        <v/>
      </c>
      <c r="H703" s="24" t="str">
        <f aca="false">IF(J703&lt;&gt;1,"",IF(I703="SBJ","CB","?"))</f>
        <v/>
      </c>
      <c r="I703" s="25" t="str">
        <f aca="false">IF(OR(E703="",E703="!!!",F703="NEW"),"",INDEX(B702:B$2,-1+SUMPRODUCT(MAX(ROW(E702:E$2)*(E703=E702:E$2)))))</f>
        <v> </v>
      </c>
      <c r="J703" s="25" t="str">
        <f aca="true">IF(OR(E703="",E703="!!!",F703="NEW"),"",COUNTBLANK(OFFSET(A$1,,,SUMPRODUCT(MAX(ROW(E$2:E703)*(E703=E$2:E703)))))-COUNTBLANK(OFFSET(A$1,,,SUMPRODUCT(MAX(ROW(E$1:E702)*(E2=E$1:E702))))))</f>
        <v/>
      </c>
      <c r="K703" s="25" t="str">
        <f aca="false">IF(OR(E703="",E703="!!!",F703="NEW"),"",INDEX(J$1:J702,SUMPRODUCT(MAX(ROW(E$1:E702)*(E703=E$1:E702)))))</f>
        <v/>
      </c>
      <c r="L703" s="26"/>
    </row>
    <row r="704" customFormat="false" ht="15" hidden="false" customHeight="false" outlineLevel="0" collapsed="false">
      <c r="A704" s="20" t="s">
        <v>264</v>
      </c>
      <c r="B704" s="27" t="s">
        <v>220</v>
      </c>
      <c r="C704" s="27" t="s">
        <v>233</v>
      </c>
      <c r="D704" s="27" t="s">
        <v>209</v>
      </c>
      <c r="E704" s="21" t="str">
        <f aca="false">IF(D704="?OLD","!!!","")</f>
        <v>!!!</v>
      </c>
      <c r="F704" s="22" t="str">
        <f aca="false">IF(OR(E704="",E704="!!!"),"",IF(NOT(ISNA(VLOOKUP(E704,E$1:E703,1,FALSE()))),"OLD",IF(AND(E704&lt;&gt;"",E704&lt;&gt;"!!!"),"NEW","")))</f>
        <v> </v>
      </c>
      <c r="G704" s="23" t="str">
        <f aca="false">IF(OR(E704="",E704="!!!"),"",IF(OR(J704=0,AND(J704=1,K704=1),AND(J704=1,I704="SBJ"),AND(J704=1,I704=0)),"?IN_FOCUS",IF(J704&lt;=2,"?ACTIVATED",IF(J704&lt;&gt;"","?FAMILIAR",IF(F704="NEW",IF(ISNA(VLOOKUP(E704,#REF!,1,FALSE())),"?TYPE_IDENTIFIABLE","?REFERENTIAL"),"_")))))</f>
        <v/>
      </c>
      <c r="H704" s="24" t="str">
        <f aca="false">IF(J704&lt;&gt;1,"",IF(I704="SBJ","CB","?"))</f>
        <v/>
      </c>
      <c r="I704" s="25" t="str">
        <f aca="false">IF(OR(E704="",E704="!!!",F704="NEW"),"",INDEX(B703:B$2,-1+SUMPRODUCT(MAX(ROW(E703:E$2)*(E704=E703:E$2)))))</f>
        <v> </v>
      </c>
      <c r="J704" s="25" t="str">
        <f aca="true">IF(OR(E704="",E704="!!!",F704="NEW"),"",COUNTBLANK(OFFSET(A$1,,,SUMPRODUCT(MAX(ROW(E$2:E704)*(E704=E$2:E704)))))-COUNTBLANK(OFFSET(A$1,,,SUMPRODUCT(MAX(ROW(E$1:E703)*(E2=E$1:E703))))))</f>
        <v/>
      </c>
      <c r="K704" s="25" t="str">
        <f aca="false">IF(OR(E704="",E704="!!!",F704="NEW"),"",INDEX(J$1:J703,SUMPRODUCT(MAX(ROW(E$1:E703)*(E704=E$1:E703)))))</f>
        <v/>
      </c>
      <c r="L704" s="26"/>
    </row>
    <row r="705" customFormat="false" ht="15" hidden="false" customHeight="false" outlineLevel="0" collapsed="false">
      <c r="A705" s="20" t="s">
        <v>266</v>
      </c>
      <c r="B705" s="27" t="s">
        <v>240</v>
      </c>
      <c r="C705" s="27" t="s">
        <v>233</v>
      </c>
      <c r="D705" s="27" t="s">
        <v>209</v>
      </c>
      <c r="E705" s="21" t="str">
        <f aca="false">IF(D705="?OLD","!!!","")</f>
        <v>!!!</v>
      </c>
      <c r="F705" s="22" t="str">
        <f aca="false">IF(OR(E705="",E705="!!!"),"",IF(NOT(ISNA(VLOOKUP(E705,E$1:E704,1,FALSE()))),"OLD",IF(AND(E705&lt;&gt;"",E705&lt;&gt;"!!!"),"NEW","")))</f>
        <v> </v>
      </c>
      <c r="G705" s="23" t="str">
        <f aca="false">IF(OR(E705="",E705="!!!"),"",IF(OR(J705=0,AND(J705=1,K705=1),AND(J705=1,I705="SBJ"),AND(J705=1,I705=0)),"?IN_FOCUS",IF(J705&lt;=2,"?ACTIVATED",IF(J705&lt;&gt;"","?FAMILIAR",IF(F705="NEW",IF(ISNA(VLOOKUP(E705,#REF!,1,FALSE())),"?TYPE_IDENTIFIABLE","?REFERENTIAL"),"_")))))</f>
        <v/>
      </c>
      <c r="H705" s="24" t="str">
        <f aca="false">IF(J705&lt;&gt;1,"",IF(I705="SBJ","CB","?"))</f>
        <v/>
      </c>
      <c r="I705" s="25" t="str">
        <f aca="false">IF(OR(E705="",E705="!!!",F705="NEW"),"",INDEX(B704:B$2,-1+SUMPRODUCT(MAX(ROW(E704:E$2)*(E705=E704:E$2)))))</f>
        <v> </v>
      </c>
      <c r="J705" s="25" t="str">
        <f aca="true">IF(OR(E705="",E705="!!!",F705="NEW"),"",COUNTBLANK(OFFSET(A$1,,,SUMPRODUCT(MAX(ROW(E$2:E705)*(E705=E$2:E705)))))-COUNTBLANK(OFFSET(A$1,,,SUMPRODUCT(MAX(ROW(E$1:E704)*(E2=E$1:E704))))))</f>
        <v/>
      </c>
      <c r="K705" s="25" t="str">
        <f aca="false">IF(OR(E705="",E705="!!!",F705="NEW"),"",INDEX(J$1:J704,SUMPRODUCT(MAX(ROW(E$1:E704)*(E705=E$1:E704)))))</f>
        <v/>
      </c>
      <c r="L705" s="26"/>
    </row>
    <row r="706" customFormat="false" ht="15" hidden="false" customHeight="false" outlineLevel="0" collapsed="false">
      <c r="A706" s="20" t="s">
        <v>320</v>
      </c>
      <c r="E706" s="21" t="str">
        <f aca="false">IF(D706="?OLD","!!!","")</f>
        <v/>
      </c>
      <c r="F706" s="22" t="str">
        <f aca="false">IF(OR(E706="",E706="!!!"),"",IF(NOT(ISNA(VLOOKUP(E706,E$1:E705,1,FALSE()))),"OLD",IF(AND(E706&lt;&gt;"",E706&lt;&gt;"!!!"),"NEW","")))</f>
        <v> </v>
      </c>
      <c r="G706" s="23" t="str">
        <f aca="false">IF(OR(E706="",E706="!!!"),"",IF(OR(J706=0,AND(J706=1,K706=1),AND(J706=1,I706="SBJ"),AND(J706=1,I706=0)),"?IN_FOCUS",IF(J706&lt;=2,"?ACTIVATED",IF(J706&lt;&gt;"","?FAMILIAR",IF(F706="NEW",IF(ISNA(VLOOKUP(E706,#REF!,1,FALSE())),"?TYPE_IDENTIFIABLE","?REFERENTIAL"),"_")))))</f>
        <v/>
      </c>
      <c r="H706" s="24" t="str">
        <f aca="false">IF(J706&lt;&gt;1,"",IF(I706="SBJ","CB","?"))</f>
        <v/>
      </c>
      <c r="I706" s="25" t="str">
        <f aca="false">IF(OR(E706="",E706="!!!",F706="NEW"),"",INDEX(B705:B$2,-1+SUMPRODUCT(MAX(ROW(E705:E$2)*(E706=E705:E$2)))))</f>
        <v> </v>
      </c>
      <c r="J706" s="25" t="str">
        <f aca="true">IF(OR(E706="",E706="!!!",F706="NEW"),"",COUNTBLANK(OFFSET(A$1,,,SUMPRODUCT(MAX(ROW(E$2:E706)*(E706=E$2:E706)))))-COUNTBLANK(OFFSET(A$1,,,SUMPRODUCT(MAX(ROW(E$1:E705)*(E2=E$1:E705))))))</f>
        <v/>
      </c>
      <c r="K706" s="25" t="str">
        <f aca="false">IF(OR(E706="",E706="!!!",F706="NEW"),"",INDEX(J$1:J705,SUMPRODUCT(MAX(ROW(E$1:E705)*(E706=E$1:E705)))))</f>
        <v/>
      </c>
      <c r="L706" s="26"/>
    </row>
    <row r="707" customFormat="false" ht="15" hidden="false" customHeight="false" outlineLevel="0" collapsed="false">
      <c r="A707" s="20" t="s">
        <v>432</v>
      </c>
      <c r="E707" s="21" t="str">
        <f aca="false">IF(D707="?OLD","!!!","")</f>
        <v/>
      </c>
      <c r="F707" s="22" t="str">
        <f aca="false">IF(OR(E707="",E707="!!!"),"",IF(NOT(ISNA(VLOOKUP(E707,E$1:E706,1,FALSE()))),"OLD",IF(AND(E707&lt;&gt;"",E707&lt;&gt;"!!!"),"NEW","")))</f>
        <v> </v>
      </c>
      <c r="G707" s="23" t="str">
        <f aca="false">IF(OR(E707="",E707="!!!"),"",IF(OR(J707=0,AND(J707=1,K707=1),AND(J707=1,I707="SBJ"),AND(J707=1,I707=0)),"?IN_FOCUS",IF(J707&lt;=2,"?ACTIVATED",IF(J707&lt;&gt;"","?FAMILIAR",IF(F707="NEW",IF(ISNA(VLOOKUP(E707,#REF!,1,FALSE())),"?TYPE_IDENTIFIABLE","?REFERENTIAL"),"_")))))</f>
        <v/>
      </c>
      <c r="H707" s="24" t="str">
        <f aca="false">IF(J707&lt;&gt;1,"",IF(I707="SBJ","CB","?"))</f>
        <v/>
      </c>
      <c r="I707" s="25" t="str">
        <f aca="false">IF(OR(E707="",E707="!!!",F707="NEW"),"",INDEX(B706:B$2,-1+SUMPRODUCT(MAX(ROW(E706:E$2)*(E707=E706:E$2)))))</f>
        <v> </v>
      </c>
      <c r="J707" s="25" t="str">
        <f aca="true">IF(OR(E707="",E707="!!!",F707="NEW"),"",COUNTBLANK(OFFSET(A$1,,,SUMPRODUCT(MAX(ROW(E$2:E707)*(E707=E$2:E707)))))-COUNTBLANK(OFFSET(A$1,,,SUMPRODUCT(MAX(ROW(E$1:E706)*(E2=E$1:E706))))))</f>
        <v/>
      </c>
      <c r="K707" s="25" t="str">
        <f aca="false">IF(OR(E707="",E707="!!!",F707="NEW"),"",INDEX(J$1:J706,SUMPRODUCT(MAX(ROW(E$1:E706)*(E707=E$1:E706)))))</f>
        <v/>
      </c>
      <c r="L707" s="26"/>
    </row>
    <row r="708" customFormat="false" ht="15" hidden="false" customHeight="false" outlineLevel="0" collapsed="false">
      <c r="A708" s="20" t="s">
        <v>229</v>
      </c>
      <c r="E708" s="21" t="str">
        <f aca="false">IF(D708="?OLD","!!!","")</f>
        <v/>
      </c>
      <c r="F708" s="22" t="str">
        <f aca="false">IF(OR(E708="",E708="!!!"),"",IF(NOT(ISNA(VLOOKUP(E708,E$1:E707,1,FALSE()))),"OLD",IF(AND(E708&lt;&gt;"",E708&lt;&gt;"!!!"),"NEW","")))</f>
        <v> </v>
      </c>
      <c r="G708" s="23" t="str">
        <f aca="false">IF(OR(E708="",E708="!!!"),"",IF(OR(J708=0,AND(J708=1,K708=1),AND(J708=1,I708="SBJ"),AND(J708=1,I708=0)),"?IN_FOCUS",IF(J708&lt;=2,"?ACTIVATED",IF(J708&lt;&gt;"","?FAMILIAR",IF(F708="NEW",IF(ISNA(VLOOKUP(E708,#REF!,1,FALSE())),"?TYPE_IDENTIFIABLE","?REFERENTIAL"),"_")))))</f>
        <v/>
      </c>
      <c r="H708" s="24" t="str">
        <f aca="false">IF(J708&lt;&gt;1,"",IF(I708="SBJ","CB","?"))</f>
        <v/>
      </c>
      <c r="I708" s="25" t="str">
        <f aca="false">IF(OR(E708="",E708="!!!",F708="NEW"),"",INDEX(B707:B$2,-1+SUMPRODUCT(MAX(ROW(E707:E$2)*(E708=E707:E$2)))))</f>
        <v> </v>
      </c>
      <c r="J708" s="25" t="str">
        <f aca="true">IF(OR(E708="",E708="!!!",F708="NEW"),"",COUNTBLANK(OFFSET(A$1,,,SUMPRODUCT(MAX(ROW(E$2:E708)*(E708=E$2:E708)))))-COUNTBLANK(OFFSET(A$1,,,SUMPRODUCT(MAX(ROW(E$1:E707)*(E2=E$1:E707))))))</f>
        <v/>
      </c>
      <c r="K708" s="25" t="str">
        <f aca="false">IF(OR(E708="",E708="!!!",F708="NEW"),"",INDEX(J$1:J707,SUMPRODUCT(MAX(ROW(E$1:E707)*(E708=E$1:E707)))))</f>
        <v/>
      </c>
      <c r="L708" s="26"/>
    </row>
    <row r="709" customFormat="false" ht="15" hidden="false" customHeight="false" outlineLevel="0" collapsed="false">
      <c r="A709" s="20"/>
    </row>
    <row r="710" customFormat="false" ht="15" hidden="false" customHeight="false" outlineLevel="0" collapsed="false">
      <c r="A710" s="20" t="s">
        <v>230</v>
      </c>
      <c r="E710" s="21" t="str">
        <f aca="false">IF(D710="?OLD","!!!","")</f>
        <v/>
      </c>
      <c r="F710" s="22" t="str">
        <f aca="false">IF(OR(E710="",E710="!!!"),"",IF(NOT(ISNA(VLOOKUP(E710,E$1:E709,1,FALSE()))),"OLD",IF(AND(E710&lt;&gt;"",E710&lt;&gt;"!!!"),"NEW","")))</f>
        <v> </v>
      </c>
      <c r="G710" s="23" t="str">
        <f aca="false">IF(OR(E710="",E710="!!!"),"",IF(OR(J710=0,AND(J710=1,K710=1),AND(J710=1,I710="SBJ"),AND(J710=1,I710=0)),"?IN_FOCUS",IF(J710&lt;=2,"?ACTIVATED",IF(J710&lt;&gt;"","?FAMILIAR",IF(F710="NEW",IF(ISNA(VLOOKUP(E710,#REF!,1,FALSE())),"?TYPE_IDENTIFIABLE","?REFERENTIAL"),"_")))))</f>
        <v/>
      </c>
      <c r="H710" s="24" t="str">
        <f aca="false">IF(J710&lt;&gt;1,"",IF(I710="SBJ","CB","?"))</f>
        <v/>
      </c>
      <c r="I710" s="25" t="str">
        <f aca="false">IF(OR(E710="",E710="!!!",F710="NEW"),"",INDEX(B709:B$2,-1+SUMPRODUCT(MAX(ROW(E709:E$2)*(E710=E709:E$2)))))</f>
        <v> </v>
      </c>
      <c r="J710" s="25" t="str">
        <f aca="true">IF(OR(E710="",E710="!!!",F710="NEW"),"",COUNTBLANK(OFFSET(A$1,,,SUMPRODUCT(MAX(ROW(E$2:E710)*(E710=E$2:E710)))))-COUNTBLANK(OFFSET(A$1,,,SUMPRODUCT(MAX(ROW(E$1:E709)*(E2=E$1:E709))))))</f>
        <v/>
      </c>
      <c r="K710" s="25" t="str">
        <f aca="false">IF(OR(E710="",E710="!!!",F710="NEW"),"",INDEX(J$1:J709,SUMPRODUCT(MAX(ROW(E$1:E709)*(E710=E$1:E709)))))</f>
        <v/>
      </c>
      <c r="L710" s="26"/>
    </row>
    <row r="711" customFormat="false" ht="15" hidden="false" customHeight="false" outlineLevel="0" collapsed="false">
      <c r="A711" s="20" t="s">
        <v>433</v>
      </c>
    </row>
    <row r="712" customFormat="false" ht="15" hidden="false" customHeight="false" outlineLevel="0" collapsed="false">
      <c r="A712" s="20" t="s">
        <v>434</v>
      </c>
      <c r="E712" s="21" t="str">
        <f aca="false">IF(D712="?OLD","!!!","")</f>
        <v/>
      </c>
      <c r="F712" s="22" t="str">
        <f aca="false">IF(OR(E712="",E712="!!!"),"",IF(NOT(ISNA(VLOOKUP(E712,E$1:E711,1,FALSE()))),"OLD",IF(AND(E712&lt;&gt;"",E712&lt;&gt;"!!!"),"NEW","")))</f>
        <v> </v>
      </c>
      <c r="G712" s="23" t="str">
        <f aca="false">IF(OR(E712="",E712="!!!"),"",IF(OR(J712=0,AND(J712=1,K712=1),AND(J712=1,I712="SBJ"),AND(J712=1,I712=0)),"?IN_FOCUS",IF(J712&lt;=2,"?ACTIVATED",IF(J712&lt;&gt;"","?FAMILIAR",IF(F712="NEW",IF(ISNA(VLOOKUP(E712,#REF!,1,FALSE())),"?TYPE_IDENTIFIABLE","?REFERENTIAL"),"_")))))</f>
        <v/>
      </c>
      <c r="H712" s="24" t="str">
        <f aca="false">IF(J712&lt;&gt;1,"",IF(I712="SBJ","CB","?"))</f>
        <v/>
      </c>
      <c r="I712" s="25" t="str">
        <f aca="false">IF(OR(E712="",E712="!!!",F712="NEW"),"",INDEX(B711:B$2,-1+SUMPRODUCT(MAX(ROW(E711:E$2)*(E712=E711:E$2)))))</f>
        <v> </v>
      </c>
      <c r="J712" s="25" t="str">
        <f aca="true">IF(OR(E712="",E712="!!!",F712="NEW"),"",COUNTBLANK(OFFSET(A$1,,,SUMPRODUCT(MAX(ROW(E$2:E712)*(E712=E$2:E712)))))-COUNTBLANK(OFFSET(A$1,,,SUMPRODUCT(MAX(ROW(E$1:E711)*(E2=E$1:E711))))))</f>
        <v/>
      </c>
      <c r="K712" s="25" t="str">
        <f aca="false">IF(OR(E712="",E712="!!!",F712="NEW"),"",INDEX(J$1:J711,SUMPRODUCT(MAX(ROW(E$1:E711)*(E712=E$1:E711)))))</f>
        <v/>
      </c>
      <c r="L712" s="26"/>
    </row>
    <row r="713" customFormat="false" ht="15" hidden="false" customHeight="false" outlineLevel="0" collapsed="false">
      <c r="A713" s="20" t="s">
        <v>266</v>
      </c>
      <c r="B713" s="27" t="s">
        <v>207</v>
      </c>
      <c r="C713" s="27" t="s">
        <v>233</v>
      </c>
      <c r="D713" s="27" t="s">
        <v>209</v>
      </c>
      <c r="E713" s="21" t="str">
        <f aca="false">IF(D713="?OLD","!!!","")</f>
        <v>!!!</v>
      </c>
      <c r="F713" s="22" t="str">
        <f aca="false">IF(OR(E713="",E713="!!!"),"",IF(NOT(ISNA(VLOOKUP(E713,E$1:E712,1,FALSE()))),"OLD",IF(AND(E713&lt;&gt;"",E713&lt;&gt;"!!!"),"NEW","")))</f>
        <v> </v>
      </c>
      <c r="G713" s="23" t="str">
        <f aca="false">IF(OR(E713="",E713="!!!"),"",IF(OR(J713=0,AND(J713=1,K713=1),AND(J713=1,I713="SBJ"),AND(J713=1,I713=0)),"?IN_FOCUS",IF(J713&lt;=2,"?ACTIVATED",IF(J713&lt;&gt;"","?FAMILIAR",IF(F713="NEW",IF(ISNA(VLOOKUP(E713,#REF!,1,FALSE())),"?TYPE_IDENTIFIABLE","?REFERENTIAL"),"_")))))</f>
        <v/>
      </c>
      <c r="H713" s="24" t="str">
        <f aca="false">IF(J713&lt;&gt;1,"",IF(I713="SBJ","CB","?"))</f>
        <v/>
      </c>
      <c r="I713" s="25" t="str">
        <f aca="false">IF(OR(E713="",E713="!!!",F713="NEW"),"",INDEX(B712:B$2,-1+SUMPRODUCT(MAX(ROW(E712:E$2)*(E713=E712:E$2)))))</f>
        <v> </v>
      </c>
      <c r="J713" s="25" t="str">
        <f aca="true">IF(OR(E713="",E713="!!!",F713="NEW"),"",COUNTBLANK(OFFSET(A$1,,,SUMPRODUCT(MAX(ROW(E$2:E713)*(E713=E$2:E713)))))-COUNTBLANK(OFFSET(A$1,,,SUMPRODUCT(MAX(ROW(E$1:E712)*(E2=E$1:E712))))))</f>
        <v/>
      </c>
      <c r="K713" s="25" t="str">
        <f aca="false">IF(OR(E713="",E713="!!!",F713="NEW"),"",INDEX(J$1:J712,SUMPRODUCT(MAX(ROW(E$1:E712)*(E713=E$1:E712)))))</f>
        <v/>
      </c>
      <c r="L713" s="26"/>
    </row>
    <row r="714" customFormat="false" ht="15" hidden="false" customHeight="false" outlineLevel="0" collapsed="false">
      <c r="A714" s="20" t="s">
        <v>349</v>
      </c>
      <c r="E714" s="21" t="str">
        <f aca="false">IF(D714="?OLD","!!!","")</f>
        <v/>
      </c>
      <c r="F714" s="22" t="str">
        <f aca="false">IF(OR(E714="",E714="!!!"),"",IF(NOT(ISNA(VLOOKUP(E714,E$1:E713,1,FALSE()))),"OLD",IF(AND(E714&lt;&gt;"",E714&lt;&gt;"!!!"),"NEW","")))</f>
        <v> </v>
      </c>
      <c r="G714" s="23" t="str">
        <f aca="false">IF(OR(E714="",E714="!!!"),"",IF(OR(J714=0,AND(J714=1,K714=1),AND(J714=1,I714="SBJ"),AND(J714=1,I714=0)),"?IN_FOCUS",IF(J714&lt;=2,"?ACTIVATED",IF(J714&lt;&gt;"","?FAMILIAR",IF(F714="NEW",IF(ISNA(VLOOKUP(E714,#REF!,1,FALSE())),"?TYPE_IDENTIFIABLE","?REFERENTIAL"),"_")))))</f>
        <v/>
      </c>
      <c r="H714" s="24" t="str">
        <f aca="false">IF(J714&lt;&gt;1,"",IF(I714="SBJ","CB","?"))</f>
        <v/>
      </c>
      <c r="I714" s="25" t="str">
        <f aca="false">IF(OR(E714="",E714="!!!",F714="NEW"),"",INDEX(B713:B$2,-1+SUMPRODUCT(MAX(ROW(E713:E$2)*(E714=E713:E$2)))))</f>
        <v> </v>
      </c>
      <c r="J714" s="25" t="str">
        <f aca="true">IF(OR(E714="",E714="!!!",F714="NEW"),"",COUNTBLANK(OFFSET(A$1,,,SUMPRODUCT(MAX(ROW(E$2:E714)*(E714=E$2:E714)))))-COUNTBLANK(OFFSET(A$1,,,SUMPRODUCT(MAX(ROW(E$1:E713)*(E2=E$1:E713))))))</f>
        <v/>
      </c>
      <c r="K714" s="25" t="str">
        <f aca="false">IF(OR(E714="",E714="!!!",F714="NEW"),"",INDEX(J$1:J713,SUMPRODUCT(MAX(ROW(E$1:E713)*(E714=E$1:E713)))))</f>
        <v/>
      </c>
      <c r="L714" s="26"/>
    </row>
    <row r="715" customFormat="false" ht="15" hidden="false" customHeight="false" outlineLevel="0" collapsed="false">
      <c r="A715" s="20" t="s">
        <v>383</v>
      </c>
      <c r="E715" s="21" t="str">
        <f aca="false">IF(D715="?OLD","!!!","")</f>
        <v/>
      </c>
      <c r="F715" s="22" t="str">
        <f aca="false">IF(OR(E715="",E715="!!!"),"",IF(NOT(ISNA(VLOOKUP(E715,E$1:E714,1,FALSE()))),"OLD",IF(AND(E715&lt;&gt;"",E715&lt;&gt;"!!!"),"NEW","")))</f>
        <v> </v>
      </c>
      <c r="G715" s="23" t="str">
        <f aca="false">IF(OR(E715="",E715="!!!"),"",IF(OR(J715=0,AND(J715=1,K715=1),AND(J715=1,I715="SBJ"),AND(J715=1,I715=0)),"?IN_FOCUS",IF(J715&lt;=2,"?ACTIVATED",IF(J715&lt;&gt;"","?FAMILIAR",IF(F715="NEW",IF(ISNA(VLOOKUP(E715,#REF!,1,FALSE())),"?TYPE_IDENTIFIABLE","?REFERENTIAL"),"_")))))</f>
        <v/>
      </c>
      <c r="H715" s="24" t="str">
        <f aca="false">IF(J715&lt;&gt;1,"",IF(I715="SBJ","CB","?"))</f>
        <v/>
      </c>
      <c r="I715" s="25" t="str">
        <f aca="false">IF(OR(E715="",E715="!!!",F715="NEW"),"",INDEX(B714:B$2,-1+SUMPRODUCT(MAX(ROW(E714:E$2)*(E715=E714:E$2)))))</f>
        <v> </v>
      </c>
      <c r="J715" s="25" t="str">
        <f aca="true">IF(OR(E715="",E715="!!!",F715="NEW"),"",COUNTBLANK(OFFSET(A$1,,,SUMPRODUCT(MAX(ROW(E$2:E715)*(E715=E$2:E715)))))-COUNTBLANK(OFFSET(A$1,,,SUMPRODUCT(MAX(ROW(E$1:E714)*(E2=E$1:E714))))))</f>
        <v/>
      </c>
      <c r="K715" s="25" t="str">
        <f aca="false">IF(OR(E715="",E715="!!!",F715="NEW"),"",INDEX(J$1:J714,SUMPRODUCT(MAX(ROW(E$1:E714)*(E715=E$1:E714)))))</f>
        <v/>
      </c>
      <c r="L715" s="26"/>
    </row>
    <row r="716" customFormat="false" ht="15" hidden="false" customHeight="false" outlineLevel="0" collapsed="false">
      <c r="A716" s="20" t="s">
        <v>237</v>
      </c>
      <c r="E716" s="21" t="str">
        <f aca="false">IF(D716="?OLD","!!!","")</f>
        <v/>
      </c>
      <c r="F716" s="22" t="str">
        <f aca="false">IF(OR(E716="",E716="!!!"),"",IF(NOT(ISNA(VLOOKUP(E716,E$1:E715,1,FALSE()))),"OLD",IF(AND(E716&lt;&gt;"",E716&lt;&gt;"!!!"),"NEW","")))</f>
        <v> </v>
      </c>
      <c r="G716" s="23" t="str">
        <f aca="false">IF(OR(E716="",E716="!!!"),"",IF(OR(J716=0,AND(J716=1,K716=1),AND(J716=1,I716="SBJ"),AND(J716=1,I716=0)),"?IN_FOCUS",IF(J716&lt;=2,"?ACTIVATED",IF(J716&lt;&gt;"","?FAMILIAR",IF(F716="NEW",IF(ISNA(VLOOKUP(E716,#REF!,1,FALSE())),"?TYPE_IDENTIFIABLE","?REFERENTIAL"),"_")))))</f>
        <v/>
      </c>
      <c r="H716" s="24" t="str">
        <f aca="false">IF(J716&lt;&gt;1,"",IF(I716="SBJ","CB","?"))</f>
        <v/>
      </c>
      <c r="I716" s="25" t="str">
        <f aca="false">IF(OR(E716="",E716="!!!",F716="NEW"),"",INDEX(B715:B$2,-1+SUMPRODUCT(MAX(ROW(E715:E$2)*(E716=E715:E$2)))))</f>
        <v> </v>
      </c>
      <c r="J716" s="25" t="str">
        <f aca="true">IF(OR(E716="",E716="!!!",F716="NEW"),"",COUNTBLANK(OFFSET(A$1,,,SUMPRODUCT(MAX(ROW(E$2:E716)*(E716=E$2:E716)))))-COUNTBLANK(OFFSET(A$1,,,SUMPRODUCT(MAX(ROW(E$1:E715)*(E2=E$1:E715))))))</f>
        <v/>
      </c>
      <c r="K716" s="25" t="str">
        <f aca="false">IF(OR(E716="",E716="!!!",F716="NEW"),"",INDEX(J$1:J715,SUMPRODUCT(MAX(ROW(E$1:E715)*(E716=E$1:E715)))))</f>
        <v/>
      </c>
      <c r="L716" s="26"/>
    </row>
    <row r="717" customFormat="false" ht="15" hidden="false" customHeight="false" outlineLevel="0" collapsed="false">
      <c r="A717" s="20" t="s">
        <v>288</v>
      </c>
      <c r="E717" s="21" t="str">
        <f aca="false">IF(D717="?OLD","!!!","")</f>
        <v/>
      </c>
      <c r="F717" s="22" t="str">
        <f aca="false">IF(OR(E717="",E717="!!!"),"",IF(NOT(ISNA(VLOOKUP(E717,E$1:E716,1,FALSE()))),"OLD",IF(AND(E717&lt;&gt;"",E717&lt;&gt;"!!!"),"NEW","")))</f>
        <v> </v>
      </c>
      <c r="G717" s="23" t="str">
        <f aca="false">IF(OR(E717="",E717="!!!"),"",IF(OR(J717=0,AND(J717=1,K717=1),AND(J717=1,I717="SBJ"),AND(J717=1,I717=0)),"?IN_FOCUS",IF(J717&lt;=2,"?ACTIVATED",IF(J717&lt;&gt;"","?FAMILIAR",IF(F717="NEW",IF(ISNA(VLOOKUP(E717,#REF!,1,FALSE())),"?TYPE_IDENTIFIABLE","?REFERENTIAL"),"_")))))</f>
        <v/>
      </c>
      <c r="H717" s="24" t="str">
        <f aca="false">IF(J717&lt;&gt;1,"",IF(I717="SBJ","CB","?"))</f>
        <v/>
      </c>
      <c r="I717" s="25" t="str">
        <f aca="false">IF(OR(E717="",E717="!!!",F717="NEW"),"",INDEX(B716:B$2,-1+SUMPRODUCT(MAX(ROW(E716:E$2)*(E717=E716:E$2)))))</f>
        <v> </v>
      </c>
      <c r="J717" s="25" t="str">
        <f aca="true">IF(OR(E717="",E717="!!!",F717="NEW"),"",COUNTBLANK(OFFSET(A$1,,,SUMPRODUCT(MAX(ROW(E$2:E717)*(E717=E$2:E717)))))-COUNTBLANK(OFFSET(A$1,,,SUMPRODUCT(MAX(ROW(E$1:E716)*(E2=E$1:E716))))))</f>
        <v/>
      </c>
      <c r="K717" s="25" t="str">
        <f aca="false">IF(OR(E717="",E717="!!!",F717="NEW"),"",INDEX(J$1:J716,SUMPRODUCT(MAX(ROW(E$1:E716)*(E717=E$1:E716)))))</f>
        <v/>
      </c>
      <c r="L717" s="26"/>
    </row>
    <row r="718" customFormat="false" ht="15" hidden="false" customHeight="false" outlineLevel="0" collapsed="false">
      <c r="A718" s="20" t="s">
        <v>235</v>
      </c>
      <c r="E718" s="21" t="str">
        <f aca="false">IF(D718="?OLD","!!!","")</f>
        <v/>
      </c>
      <c r="F718" s="22" t="str">
        <f aca="false">IF(OR(E718="",E718="!!!"),"",IF(NOT(ISNA(VLOOKUP(E718,E$1:E717,1,FALSE()))),"OLD",IF(AND(E718&lt;&gt;"",E718&lt;&gt;"!!!"),"NEW","")))</f>
        <v> </v>
      </c>
      <c r="G718" s="23" t="str">
        <f aca="false">IF(OR(E718="",E718="!!!"),"",IF(OR(J718=0,AND(J718=1,K718=1),AND(J718=1,I718="SBJ"),AND(J718=1,I718=0)),"?IN_FOCUS",IF(J718&lt;=2,"?ACTIVATED",IF(J718&lt;&gt;"","?FAMILIAR",IF(F718="NEW",IF(ISNA(VLOOKUP(E718,#REF!,1,FALSE())),"?TYPE_IDENTIFIABLE","?REFERENTIAL"),"_")))))</f>
        <v/>
      </c>
      <c r="H718" s="24" t="str">
        <f aca="false">IF(J718&lt;&gt;1,"",IF(I718="SBJ","CB","?"))</f>
        <v/>
      </c>
      <c r="I718" s="25" t="str">
        <f aca="false">IF(OR(E718="",E718="!!!",F718="NEW"),"",INDEX(B717:B$2,-1+SUMPRODUCT(MAX(ROW(E717:E$2)*(E718=E717:E$2)))))</f>
        <v> </v>
      </c>
      <c r="J718" s="25" t="str">
        <f aca="true">IF(OR(E718="",E718="!!!",F718="NEW"),"",COUNTBLANK(OFFSET(A$1,,,SUMPRODUCT(MAX(ROW(E$2:E718)*(E718=E$2:E718)))))-COUNTBLANK(OFFSET(A$1,,,SUMPRODUCT(MAX(ROW(E$1:E717)*(E2=E$1:E717))))))</f>
        <v/>
      </c>
      <c r="K718" s="25" t="str">
        <f aca="false">IF(OR(E718="",E718="!!!",F718="NEW"),"",INDEX(J$1:J717,SUMPRODUCT(MAX(ROW(E$1:E717)*(E718=E$1:E717)))))</f>
        <v/>
      </c>
      <c r="L718" s="26"/>
    </row>
    <row r="719" customFormat="false" ht="15" hidden="false" customHeight="false" outlineLevel="0" collapsed="false">
      <c r="A719" s="20" t="s">
        <v>383</v>
      </c>
      <c r="E719" s="21" t="str">
        <f aca="false">IF(D719="?OLD","!!!","")</f>
        <v/>
      </c>
      <c r="F719" s="22" t="str">
        <f aca="false">IF(OR(E719="",E719="!!!"),"",IF(NOT(ISNA(VLOOKUP(E719,E$1:E718,1,FALSE()))),"OLD",IF(AND(E719&lt;&gt;"",E719&lt;&gt;"!!!"),"NEW","")))</f>
        <v> </v>
      </c>
      <c r="G719" s="23" t="str">
        <f aca="false">IF(OR(E719="",E719="!!!"),"",IF(OR(J719=0,AND(J719=1,K719=1),AND(J719=1,I719="SBJ"),AND(J719=1,I719=0)),"?IN_FOCUS",IF(J719&lt;=2,"?ACTIVATED",IF(J719&lt;&gt;"","?FAMILIAR",IF(F719="NEW",IF(ISNA(VLOOKUP(E719,#REF!,1,FALSE())),"?TYPE_IDENTIFIABLE","?REFERENTIAL"),"_")))))</f>
        <v/>
      </c>
      <c r="H719" s="24" t="str">
        <f aca="false">IF(J719&lt;&gt;1,"",IF(I719="SBJ","CB","?"))</f>
        <v/>
      </c>
      <c r="I719" s="25" t="str">
        <f aca="false">IF(OR(E719="",E719="!!!",F719="NEW"),"",INDEX(B718:B$2,-1+SUMPRODUCT(MAX(ROW(E718:E$2)*(E719=E718:E$2)))))</f>
        <v> </v>
      </c>
      <c r="J719" s="25" t="str">
        <f aca="true">IF(OR(E719="",E719="!!!",F719="NEW"),"",COUNTBLANK(OFFSET(A$1,,,SUMPRODUCT(MAX(ROW(E$2:E719)*(E719=E$2:E719)))))-COUNTBLANK(OFFSET(A$1,,,SUMPRODUCT(MAX(ROW(E$1:E718)*(E2=E$1:E718))))))</f>
        <v/>
      </c>
      <c r="K719" s="25" t="str">
        <f aca="false">IF(OR(E719="",E719="!!!",F719="NEW"),"",INDEX(J$1:J718,SUMPRODUCT(MAX(ROW(E$1:E718)*(E719=E$1:E718)))))</f>
        <v/>
      </c>
      <c r="L719" s="26"/>
    </row>
    <row r="720" customFormat="false" ht="15" hidden="false" customHeight="false" outlineLevel="0" collapsed="false">
      <c r="A720" s="20" t="s">
        <v>266</v>
      </c>
      <c r="B720" s="27" t="s">
        <v>244</v>
      </c>
      <c r="C720" s="27" t="s">
        <v>233</v>
      </c>
      <c r="D720" s="27" t="s">
        <v>209</v>
      </c>
      <c r="E720" s="21" t="str">
        <f aca="false">IF(D720="?OLD","!!!","")</f>
        <v>!!!</v>
      </c>
      <c r="F720" s="22" t="str">
        <f aca="false">IF(OR(E720="",E720="!!!"),"",IF(NOT(ISNA(VLOOKUP(E720,E$1:E719,1,FALSE()))),"OLD",IF(AND(E720&lt;&gt;"",E720&lt;&gt;"!!!"),"NEW","")))</f>
        <v> </v>
      </c>
      <c r="G720" s="23" t="str">
        <f aca="false">IF(OR(E720="",E720="!!!"),"",IF(OR(J720=0,AND(J720=1,K720=1),AND(J720=1,I720="SBJ"),AND(J720=1,I720=0)),"?IN_FOCUS",IF(J720&lt;=2,"?ACTIVATED",IF(J720&lt;&gt;"","?FAMILIAR",IF(F720="NEW",IF(ISNA(VLOOKUP(E720,#REF!,1,FALSE())),"?TYPE_IDENTIFIABLE","?REFERENTIAL"),"_")))))</f>
        <v/>
      </c>
      <c r="H720" s="24" t="str">
        <f aca="false">IF(J720&lt;&gt;1,"",IF(I720="SBJ","CB","?"))</f>
        <v/>
      </c>
      <c r="I720" s="25" t="str">
        <f aca="false">IF(OR(E720="",E720="!!!",F720="NEW"),"",INDEX(B719:B$2,-1+SUMPRODUCT(MAX(ROW(E719:E$2)*(E720=E719:E$2)))))</f>
        <v> </v>
      </c>
      <c r="J720" s="25" t="str">
        <f aca="true">IF(OR(E720="",E720="!!!",F720="NEW"),"",COUNTBLANK(OFFSET(A$1,,,SUMPRODUCT(MAX(ROW(E$2:E720)*(E720=E$2:E720)))))-COUNTBLANK(OFFSET(A$1,,,SUMPRODUCT(MAX(ROW(E$1:E719)*(E2=E$1:E719))))))</f>
        <v/>
      </c>
      <c r="K720" s="25" t="str">
        <f aca="false">IF(OR(E720="",E720="!!!",F720="NEW"),"",INDEX(J$1:J719,SUMPRODUCT(MAX(ROW(E$1:E719)*(E720=E$1:E719)))))</f>
        <v/>
      </c>
      <c r="L720" s="26"/>
    </row>
    <row r="721" customFormat="false" ht="15" hidden="false" customHeight="false" outlineLevel="0" collapsed="false">
      <c r="A721" s="20" t="s">
        <v>245</v>
      </c>
      <c r="E721" s="21" t="str">
        <f aca="false">IF(D721="?OLD","!!!","")</f>
        <v/>
      </c>
      <c r="F721" s="22" t="str">
        <f aca="false">IF(OR(E721="",E721="!!!"),"",IF(NOT(ISNA(VLOOKUP(E721,E$1:E720,1,FALSE()))),"OLD",IF(AND(E721&lt;&gt;"",E721&lt;&gt;"!!!"),"NEW","")))</f>
        <v> </v>
      </c>
      <c r="G721" s="23" t="str">
        <f aca="false">IF(OR(E721="",E721="!!!"),"",IF(OR(J721=0,AND(J721=1,K721=1),AND(J721=1,I721="SBJ"),AND(J721=1,I721=0)),"?IN_FOCUS",IF(J721&lt;=2,"?ACTIVATED",IF(J721&lt;&gt;"","?FAMILIAR",IF(F721="NEW",IF(ISNA(VLOOKUP(E721,#REF!,1,FALSE())),"?TYPE_IDENTIFIABLE","?REFERENTIAL"),"_")))))</f>
        <v/>
      </c>
      <c r="H721" s="24" t="str">
        <f aca="false">IF(J721&lt;&gt;1,"",IF(I721="SBJ","CB","?"))</f>
        <v/>
      </c>
      <c r="I721" s="25" t="str">
        <f aca="false">IF(OR(E721="",E721="!!!",F721="NEW"),"",INDEX(B720:B$2,-1+SUMPRODUCT(MAX(ROW(E720:E$2)*(E721=E720:E$2)))))</f>
        <v> </v>
      </c>
      <c r="J721" s="25" t="str">
        <f aca="true">IF(OR(E721="",E721="!!!",F721="NEW"),"",COUNTBLANK(OFFSET(A$1,,,SUMPRODUCT(MAX(ROW(E$2:E721)*(E721=E$2:E721)))))-COUNTBLANK(OFFSET(A$1,,,SUMPRODUCT(MAX(ROW(E$1:E720)*(E2=E$1:E720))))))</f>
        <v/>
      </c>
      <c r="K721" s="25" t="str">
        <f aca="false">IF(OR(E721="",E721="!!!",F721="NEW"),"",INDEX(J$1:J720,SUMPRODUCT(MAX(ROW(E$1:E720)*(E721=E$1:E720)))))</f>
        <v/>
      </c>
      <c r="L721" s="26"/>
    </row>
    <row r="722" customFormat="false" ht="15" hidden="false" customHeight="false" outlineLevel="0" collapsed="false">
      <c r="A722" s="20" t="s">
        <v>430</v>
      </c>
      <c r="E722" s="21" t="str">
        <f aca="false">IF(D722="?OLD","!!!","")</f>
        <v/>
      </c>
      <c r="F722" s="22" t="str">
        <f aca="false">IF(OR(E722="",E722="!!!"),"",IF(NOT(ISNA(VLOOKUP(E722,E$1:E721,1,FALSE()))),"OLD",IF(AND(E722&lt;&gt;"",E722&lt;&gt;"!!!"),"NEW","")))</f>
        <v> </v>
      </c>
      <c r="G722" s="23" t="str">
        <f aca="false">IF(OR(E722="",E722="!!!"),"",IF(OR(J722=0,AND(J722=1,K722=1),AND(J722=1,I722="SBJ"),AND(J722=1,I722=0)),"?IN_FOCUS",IF(J722&lt;=2,"?ACTIVATED",IF(J722&lt;&gt;"","?FAMILIAR",IF(F722="NEW",IF(ISNA(VLOOKUP(E722,#REF!,1,FALSE())),"?TYPE_IDENTIFIABLE","?REFERENTIAL"),"_")))))</f>
        <v/>
      </c>
      <c r="H722" s="24" t="str">
        <f aca="false">IF(J722&lt;&gt;1,"",IF(I722="SBJ","CB","?"))</f>
        <v/>
      </c>
      <c r="I722" s="25" t="str">
        <f aca="false">IF(OR(E722="",E722="!!!",F722="NEW"),"",INDEX(B721:B$2,-1+SUMPRODUCT(MAX(ROW(E721:E$2)*(E722=E721:E$2)))))</f>
        <v> </v>
      </c>
      <c r="J722" s="25" t="str">
        <f aca="true">IF(OR(E722="",E722="!!!",F722="NEW"),"",COUNTBLANK(OFFSET(A$1,,,SUMPRODUCT(MAX(ROW(E$2:E722)*(E722=E$2:E722)))))-COUNTBLANK(OFFSET(A$1,,,SUMPRODUCT(MAX(ROW(E$1:E721)*(E2=E$1:E721))))))</f>
        <v/>
      </c>
      <c r="K722" s="25" t="str">
        <f aca="false">IF(OR(E722="",E722="!!!",F722="NEW"),"",INDEX(J$1:J721,SUMPRODUCT(MAX(ROW(E$1:E721)*(E722=E$1:E721)))))</f>
        <v/>
      </c>
      <c r="L722" s="26"/>
    </row>
    <row r="723" customFormat="false" ht="15" hidden="false" customHeight="false" outlineLevel="0" collapsed="false">
      <c r="A723" s="20" t="s">
        <v>229</v>
      </c>
      <c r="E723" s="21" t="str">
        <f aca="false">IF(D723="?OLD","!!!","")</f>
        <v/>
      </c>
      <c r="F723" s="22" t="str">
        <f aca="false">IF(OR(E723="",E723="!!!"),"",IF(NOT(ISNA(VLOOKUP(E723,E$1:E722,1,FALSE()))),"OLD",IF(AND(E723&lt;&gt;"",E723&lt;&gt;"!!!"),"NEW","")))</f>
        <v> </v>
      </c>
      <c r="G723" s="23" t="str">
        <f aca="false">IF(OR(E723="",E723="!!!"),"",IF(OR(J723=0,AND(J723=1,K723=1),AND(J723=1,I723="SBJ"),AND(J723=1,I723=0)),"?IN_FOCUS",IF(J723&lt;=2,"?ACTIVATED",IF(J723&lt;&gt;"","?FAMILIAR",IF(F723="NEW",IF(ISNA(VLOOKUP(E723,#REF!,1,FALSE())),"?TYPE_IDENTIFIABLE","?REFERENTIAL"),"_")))))</f>
        <v/>
      </c>
      <c r="H723" s="24" t="str">
        <f aca="false">IF(J723&lt;&gt;1,"",IF(I723="SBJ","CB","?"))</f>
        <v/>
      </c>
      <c r="I723" s="25" t="str">
        <f aca="false">IF(OR(E723="",E723="!!!",F723="NEW"),"",INDEX(B722:B$2,-1+SUMPRODUCT(MAX(ROW(E722:E$2)*(E723=E722:E$2)))))</f>
        <v> </v>
      </c>
      <c r="J723" s="25" t="str">
        <f aca="true">IF(OR(E723="",E723="!!!",F723="NEW"),"",COUNTBLANK(OFFSET(A$1,,,SUMPRODUCT(MAX(ROW(E$2:E723)*(E723=E$2:E723)))))-COUNTBLANK(OFFSET(A$1,,,SUMPRODUCT(MAX(ROW(E$1:E722)*(E2=E$1:E722))))))</f>
        <v/>
      </c>
      <c r="K723" s="25" t="str">
        <f aca="false">IF(OR(E723="",E723="!!!",F723="NEW"),"",INDEX(J$1:J722,SUMPRODUCT(MAX(ROW(E$1:E722)*(E723=E$1:E722)))))</f>
        <v/>
      </c>
      <c r="L723" s="26"/>
    </row>
    <row r="724" customFormat="false" ht="15" hidden="false" customHeight="false" outlineLevel="0" collapsed="false">
      <c r="A724" s="20" t="s">
        <v>238</v>
      </c>
      <c r="E724" s="21" t="str">
        <f aca="false">IF(D724="?OLD","!!!","")</f>
        <v/>
      </c>
      <c r="F724" s="22" t="str">
        <f aca="false">IF(OR(E724="",E724="!!!"),"",IF(NOT(ISNA(VLOOKUP(E724,E$1:E723,1,FALSE()))),"OLD",IF(AND(E724&lt;&gt;"",E724&lt;&gt;"!!!"),"NEW","")))</f>
        <v> </v>
      </c>
      <c r="G724" s="23" t="str">
        <f aca="false">IF(OR(E724="",E724="!!!"),"",IF(OR(J724=0,AND(J724=1,K724=1),AND(J724=1,I724="SBJ"),AND(J724=1,I724=0)),"?IN_FOCUS",IF(J724&lt;=2,"?ACTIVATED",IF(J724&lt;&gt;"","?FAMILIAR",IF(F724="NEW",IF(ISNA(VLOOKUP(E724,#REF!,1,FALSE())),"?TYPE_IDENTIFIABLE","?REFERENTIAL"),"_")))))</f>
        <v/>
      </c>
      <c r="H724" s="24" t="str">
        <f aca="false">IF(J724&lt;&gt;1,"",IF(I724="SBJ","CB","?"))</f>
        <v/>
      </c>
      <c r="I724" s="25" t="str">
        <f aca="false">IF(OR(E724="",E724="!!!",F724="NEW"),"",INDEX(B723:B$2,-1+SUMPRODUCT(MAX(ROW(E723:E$2)*(E724=E723:E$2)))))</f>
        <v> </v>
      </c>
      <c r="J724" s="25" t="str">
        <f aca="true">IF(OR(E724="",E724="!!!",F724="NEW"),"",COUNTBLANK(OFFSET(A$1,,,SUMPRODUCT(MAX(ROW(E$2:E724)*(E724=E$2:E724)))))-COUNTBLANK(OFFSET(A$1,,,SUMPRODUCT(MAX(ROW(E$1:E723)*(E2=E$1:E723))))))</f>
        <v/>
      </c>
      <c r="K724" s="25" t="str">
        <f aca="false">IF(OR(E724="",E724="!!!",F724="NEW"),"",INDEX(J$1:J723,SUMPRODUCT(MAX(ROW(E$1:E723)*(E724=E$1:E723)))))</f>
        <v/>
      </c>
      <c r="L724" s="26"/>
    </row>
    <row r="725" customFormat="false" ht="15" hidden="false" customHeight="false" outlineLevel="0" collapsed="false">
      <c r="A725" s="20"/>
    </row>
    <row r="726" customFormat="false" ht="15" hidden="false" customHeight="false" outlineLevel="0" collapsed="false">
      <c r="A726" s="20" t="s">
        <v>435</v>
      </c>
    </row>
    <row r="727" customFormat="false" ht="15" hidden="false" customHeight="false" outlineLevel="0" collapsed="false">
      <c r="A727" s="20" t="s">
        <v>253</v>
      </c>
      <c r="E727" s="21" t="str">
        <f aca="false">IF(D727="?OLD","!!!","")</f>
        <v/>
      </c>
      <c r="F727" s="22" t="str">
        <f aca="false">IF(OR(E727="",E727="!!!"),"",IF(NOT(ISNA(VLOOKUP(E727,E$1:E726,1,FALSE()))),"OLD",IF(AND(E727&lt;&gt;"",E727&lt;&gt;"!!!"),"NEW","")))</f>
        <v> </v>
      </c>
      <c r="G727" s="23" t="str">
        <f aca="false">IF(OR(E727="",E727="!!!"),"",IF(OR(J727=0,AND(J727=1,K727=1),AND(J727=1,I727="SBJ"),AND(J727=1,I727=0)),"?IN_FOCUS",IF(J727&lt;=2,"?ACTIVATED",IF(J727&lt;&gt;"","?FAMILIAR",IF(F727="NEW",IF(ISNA(VLOOKUP(E727,#REF!,1,FALSE())),"?TYPE_IDENTIFIABLE","?REFERENTIAL"),"_")))))</f>
        <v/>
      </c>
      <c r="H727" s="24" t="str">
        <f aca="false">IF(J727&lt;&gt;1,"",IF(I727="SBJ","CB","?"))</f>
        <v/>
      </c>
      <c r="I727" s="25" t="str">
        <f aca="false">IF(OR(E727="",E727="!!!",F727="NEW"),"",INDEX(B726:B$2,-1+SUMPRODUCT(MAX(ROW(E726:E$2)*(E727=E726:E$2)))))</f>
        <v> </v>
      </c>
      <c r="J727" s="25" t="str">
        <f aca="true">IF(OR(E727="",E727="!!!",F727="NEW"),"",COUNTBLANK(OFFSET(A$1,,,SUMPRODUCT(MAX(ROW(E$2:E727)*(E727=E$2:E727)))))-COUNTBLANK(OFFSET(A$1,,,SUMPRODUCT(MAX(ROW(E$1:E726)*(E2=E$1:E726))))))</f>
        <v/>
      </c>
      <c r="K727" s="25" t="str">
        <f aca="false">IF(OR(E727="",E727="!!!",F727="NEW"),"",INDEX(J$1:J726,SUMPRODUCT(MAX(ROW(E$1:E726)*(E727=E$1:E726)))))</f>
        <v/>
      </c>
      <c r="L727" s="26"/>
    </row>
    <row r="728" customFormat="false" ht="15" hidden="false" customHeight="false" outlineLevel="0" collapsed="false">
      <c r="A728" s="20" t="s">
        <v>337</v>
      </c>
      <c r="B728" s="27" t="s">
        <v>207</v>
      </c>
      <c r="C728" s="27" t="s">
        <v>208</v>
      </c>
      <c r="D728" s="27" t="s">
        <v>209</v>
      </c>
      <c r="E728" s="21" t="str">
        <f aca="false">IF(D728="?OLD","!!!","")</f>
        <v>!!!</v>
      </c>
      <c r="F728" s="22" t="str">
        <f aca="false">IF(OR(E728="",E728="!!!"),"",IF(NOT(ISNA(VLOOKUP(E728,E$1:E727,1,FALSE()))),"OLD",IF(AND(E728&lt;&gt;"",E728&lt;&gt;"!!!"),"NEW","")))</f>
        <v> </v>
      </c>
      <c r="G728" s="23" t="str">
        <f aca="false">IF(OR(E728="",E728="!!!"),"",IF(OR(J728=0,AND(J728=1,K728=1),AND(J728=1,I728="SBJ"),AND(J728=1,I728=0)),"?IN_FOCUS",IF(J728&lt;=2,"?ACTIVATED",IF(J728&lt;&gt;"","?FAMILIAR",IF(F728="NEW",IF(ISNA(VLOOKUP(E728,#REF!,1,FALSE())),"?TYPE_IDENTIFIABLE","?REFERENTIAL"),"_")))))</f>
        <v/>
      </c>
      <c r="H728" s="24" t="str">
        <f aca="false">IF(J728&lt;&gt;1,"",IF(I728="SBJ","CB","?"))</f>
        <v/>
      </c>
      <c r="I728" s="25" t="str">
        <f aca="false">IF(OR(E728="",E728="!!!",F728="NEW"),"",INDEX(B727:B$2,-1+SUMPRODUCT(MAX(ROW(E727:E$2)*(E728=E727:E$2)))))</f>
        <v> </v>
      </c>
      <c r="J728" s="25" t="str">
        <f aca="true">IF(OR(E728="",E728="!!!",F728="NEW"),"",COUNTBLANK(OFFSET(A$1,,,SUMPRODUCT(MAX(ROW(E$2:E728)*(E728=E$2:E728)))))-COUNTBLANK(OFFSET(A$1,,,SUMPRODUCT(MAX(ROW(E$1:E727)*(E2=E$1:E727))))))</f>
        <v/>
      </c>
      <c r="K728" s="25" t="str">
        <f aca="false">IF(OR(E728="",E728="!!!",F728="NEW"),"",INDEX(J$1:J727,SUMPRODUCT(MAX(ROW(E$1:E727)*(E728=E$1:E727)))))</f>
        <v/>
      </c>
      <c r="L728" s="26"/>
    </row>
    <row r="729" customFormat="false" ht="15" hidden="false" customHeight="false" outlineLevel="0" collapsed="false">
      <c r="A729" s="20" t="s">
        <v>345</v>
      </c>
      <c r="E729" s="21" t="str">
        <f aca="false">IF(D729="?OLD","!!!","")</f>
        <v/>
      </c>
      <c r="F729" s="22" t="str">
        <f aca="false">IF(OR(E729="",E729="!!!"),"",IF(NOT(ISNA(VLOOKUP(E729,E$1:E728,1,FALSE()))),"OLD",IF(AND(E729&lt;&gt;"",E729&lt;&gt;"!!!"),"NEW","")))</f>
        <v> </v>
      </c>
      <c r="G729" s="23" t="str">
        <f aca="false">IF(OR(E729="",E729="!!!"),"",IF(OR(J729=0,AND(J729=1,K729=1),AND(J729=1,I729="SBJ"),AND(J729=1,I729=0)),"?IN_FOCUS",IF(J729&lt;=2,"?ACTIVATED",IF(J729&lt;&gt;"","?FAMILIAR",IF(F729="NEW",IF(ISNA(VLOOKUP(E729,#REF!,1,FALSE())),"?TYPE_IDENTIFIABLE","?REFERENTIAL"),"_")))))</f>
        <v/>
      </c>
      <c r="H729" s="24" t="str">
        <f aca="false">IF(J729&lt;&gt;1,"",IF(I729="SBJ","CB","?"))</f>
        <v/>
      </c>
      <c r="I729" s="25" t="str">
        <f aca="false">IF(OR(E729="",E729="!!!",F729="NEW"),"",INDEX(B728:B$2,-1+SUMPRODUCT(MAX(ROW(E728:E$2)*(E729=E728:E$2)))))</f>
        <v> </v>
      </c>
      <c r="J729" s="25" t="str">
        <f aca="true">IF(OR(E729="",E729="!!!",F729="NEW"),"",COUNTBLANK(OFFSET(A$1,,,SUMPRODUCT(MAX(ROW(E$2:E729)*(E729=E$2:E729)))))-COUNTBLANK(OFFSET(A$1,,,SUMPRODUCT(MAX(ROW(E$1:E728)*(E2=E$1:E728))))))</f>
        <v/>
      </c>
      <c r="K729" s="25" t="str">
        <f aca="false">IF(OR(E729="",E729="!!!",F729="NEW"),"",INDEX(J$1:J728,SUMPRODUCT(MAX(ROW(E$1:E728)*(E729=E$1:E728)))))</f>
        <v/>
      </c>
      <c r="L729" s="26"/>
    </row>
    <row r="730" customFormat="false" ht="15" hidden="false" customHeight="false" outlineLevel="0" collapsed="false">
      <c r="A730" s="20" t="s">
        <v>338</v>
      </c>
      <c r="B730" s="27" t="s">
        <v>220</v>
      </c>
      <c r="C730" s="27" t="s">
        <v>282</v>
      </c>
      <c r="D730" s="27" t="s">
        <v>209</v>
      </c>
      <c r="E730" s="21" t="str">
        <f aca="false">IF(D730="?OLD","!!!","")</f>
        <v>!!!</v>
      </c>
      <c r="F730" s="22" t="str">
        <f aca="false">IF(OR(E730="",E730="!!!"),"",IF(NOT(ISNA(VLOOKUP(E730,E$1:E729,1,FALSE()))),"OLD",IF(AND(E730&lt;&gt;"",E730&lt;&gt;"!!!"),"NEW","")))</f>
        <v> </v>
      </c>
      <c r="G730" s="23" t="str">
        <f aca="false">IF(OR(E730="",E730="!!!"),"",IF(OR(J730=0,AND(J730=1,K730=1),AND(J730=1,I730="SBJ"),AND(J730=1,I730=0)),"?IN_FOCUS",IF(J730&lt;=2,"?ACTIVATED",IF(J730&lt;&gt;"","?FAMILIAR",IF(F730="NEW",IF(ISNA(VLOOKUP(E730,#REF!,1,FALSE())),"?TYPE_IDENTIFIABLE","?REFERENTIAL"),"_")))))</f>
        <v/>
      </c>
      <c r="H730" s="24" t="str">
        <f aca="false">IF(J730&lt;&gt;1,"",IF(I730="SBJ","CB","?"))</f>
        <v/>
      </c>
      <c r="I730" s="25" t="str">
        <f aca="false">IF(OR(E730="",E730="!!!",F730="NEW"),"",INDEX(B729:B$2,-1+SUMPRODUCT(MAX(ROW(E729:E$2)*(E730=E729:E$2)))))</f>
        <v> </v>
      </c>
      <c r="J730" s="25" t="str">
        <f aca="true">IF(OR(E730="",E730="!!!",F730="NEW"),"",COUNTBLANK(OFFSET(A$1,,,SUMPRODUCT(MAX(ROW(E$2:E730)*(E730=E$2:E730)))))-COUNTBLANK(OFFSET(A$1,,,SUMPRODUCT(MAX(ROW(E$1:E729)*(E2=E$1:E729))))))</f>
        <v/>
      </c>
      <c r="K730" s="25" t="str">
        <f aca="false">IF(OR(E730="",E730="!!!",F730="NEW"),"",INDEX(J$1:J729,SUMPRODUCT(MAX(ROW(E$1:E729)*(E730=E$1:E729)))))</f>
        <v/>
      </c>
      <c r="L730" s="26"/>
    </row>
    <row r="731" customFormat="false" ht="15" hidden="false" customHeight="false" outlineLevel="0" collapsed="false">
      <c r="A731" s="20" t="s">
        <v>339</v>
      </c>
      <c r="B731" s="27" t="s">
        <v>278</v>
      </c>
      <c r="C731" s="27" t="s">
        <v>284</v>
      </c>
      <c r="D731" s="27" t="s">
        <v>209</v>
      </c>
      <c r="E731" s="21" t="str">
        <f aca="false">IF(D731="?OLD","!!!","")</f>
        <v>!!!</v>
      </c>
      <c r="F731" s="22" t="str">
        <f aca="false">IF(OR(E731="",E731="!!!"),"",IF(NOT(ISNA(VLOOKUP(E731,E$1:E730,1,FALSE()))),"OLD",IF(AND(E731&lt;&gt;"",E731&lt;&gt;"!!!"),"NEW","")))</f>
        <v> </v>
      </c>
      <c r="G731" s="23" t="str">
        <f aca="false">IF(OR(E731="",E731="!!!"),"",IF(OR(J731=0,AND(J731=1,K731=1),AND(J731=1,I731="SBJ"),AND(J731=1,I731=0)),"?IN_FOCUS",IF(J731&lt;=2,"?ACTIVATED",IF(J731&lt;&gt;"","?FAMILIAR",IF(F731="NEW",IF(ISNA(VLOOKUP(E731,#REF!,1,FALSE())),"?TYPE_IDENTIFIABLE","?REFERENTIAL"),"_")))))</f>
        <v/>
      </c>
      <c r="H731" s="24" t="str">
        <f aca="false">IF(J731&lt;&gt;1,"",IF(I731="SBJ","CB","?"))</f>
        <v/>
      </c>
      <c r="I731" s="25" t="str">
        <f aca="false">IF(OR(E731="",E731="!!!",F731="NEW"),"",INDEX(B730:B$2,-1+SUMPRODUCT(MAX(ROW(E730:E$2)*(E731=E730:E$2)))))</f>
        <v> </v>
      </c>
      <c r="J731" s="25" t="str">
        <f aca="true">IF(OR(E731="",E731="!!!",F731="NEW"),"",COUNTBLANK(OFFSET(A$1,,,SUMPRODUCT(MAX(ROW(E$2:E731)*(E731=E$2:E731)))))-COUNTBLANK(OFFSET(A$1,,,SUMPRODUCT(MAX(ROW(E$1:E730)*(E2=E$1:E730))))))</f>
        <v/>
      </c>
      <c r="K731" s="25" t="str">
        <f aca="false">IF(OR(E731="",E731="!!!",F731="NEW"),"",INDEX(J$1:J730,SUMPRODUCT(MAX(ROW(E$1:E730)*(E731=E$1:E730)))))</f>
        <v/>
      </c>
      <c r="L731" s="26"/>
    </row>
    <row r="732" customFormat="false" ht="15" hidden="false" customHeight="false" outlineLevel="0" collapsed="false">
      <c r="A732" s="20" t="s">
        <v>436</v>
      </c>
      <c r="E732" s="21" t="str">
        <f aca="false">IF(D732="?OLD","!!!","")</f>
        <v/>
      </c>
      <c r="F732" s="22" t="str">
        <f aca="false">IF(OR(E732="",E732="!!!"),"",IF(NOT(ISNA(VLOOKUP(E732,E$1:E731,1,FALSE()))),"OLD",IF(AND(E732&lt;&gt;"",E732&lt;&gt;"!!!"),"NEW","")))</f>
        <v> </v>
      </c>
      <c r="G732" s="23" t="str">
        <f aca="false">IF(OR(E732="",E732="!!!"),"",IF(OR(J732=0,AND(J732=1,K732=1),AND(J732=1,I732="SBJ"),AND(J732=1,I732=0)),"?IN_FOCUS",IF(J732&lt;=2,"?ACTIVATED",IF(J732&lt;&gt;"","?FAMILIAR",IF(F732="NEW",IF(ISNA(VLOOKUP(E732,#REF!,1,FALSE())),"?TYPE_IDENTIFIABLE","?REFERENTIAL"),"_")))))</f>
        <v/>
      </c>
      <c r="H732" s="24" t="str">
        <f aca="false">IF(J732&lt;&gt;1,"",IF(I732="SBJ","CB","?"))</f>
        <v/>
      </c>
      <c r="I732" s="25" t="str">
        <f aca="false">IF(OR(E732="",E732="!!!",F732="NEW"),"",INDEX(B731:B$2,-1+SUMPRODUCT(MAX(ROW(E731:E$2)*(E732=E731:E$2)))))</f>
        <v> </v>
      </c>
      <c r="J732" s="25" t="str">
        <f aca="true">IF(OR(E732="",E732="!!!",F732="NEW"),"",COUNTBLANK(OFFSET(A$1,,,SUMPRODUCT(MAX(ROW(E$2:E732)*(E732=E$2:E732)))))-COUNTBLANK(OFFSET(A$1,,,SUMPRODUCT(MAX(ROW(E$1:E731)*(E2=E$1:E731))))))</f>
        <v/>
      </c>
      <c r="K732" s="25" t="str">
        <f aca="false">IF(OR(E732="",E732="!!!",F732="NEW"),"",INDEX(J$1:J731,SUMPRODUCT(MAX(ROW(E$1:E731)*(E732=E$1:E731)))))</f>
        <v/>
      </c>
      <c r="L732" s="26"/>
    </row>
    <row r="733" customFormat="false" ht="15" hidden="false" customHeight="false" outlineLevel="0" collapsed="false">
      <c r="A733" s="20" t="s">
        <v>237</v>
      </c>
      <c r="E733" s="21" t="str">
        <f aca="false">IF(D733="?OLD","!!!","")</f>
        <v/>
      </c>
      <c r="F733" s="22" t="str">
        <f aca="false">IF(OR(E733="",E733="!!!"),"",IF(NOT(ISNA(VLOOKUP(E733,E$1:E732,1,FALSE()))),"OLD",IF(AND(E733&lt;&gt;"",E733&lt;&gt;"!!!"),"NEW","")))</f>
        <v> </v>
      </c>
      <c r="G733" s="23" t="str">
        <f aca="false">IF(OR(E733="",E733="!!!"),"",IF(OR(J733=0,AND(J733=1,K733=1),AND(J733=1,I733="SBJ"),AND(J733=1,I733=0)),"?IN_FOCUS",IF(J733&lt;=2,"?ACTIVATED",IF(J733&lt;&gt;"","?FAMILIAR",IF(F733="NEW",IF(ISNA(VLOOKUP(E733,#REF!,1,FALSE())),"?TYPE_IDENTIFIABLE","?REFERENTIAL"),"_")))))</f>
        <v/>
      </c>
      <c r="H733" s="24" t="str">
        <f aca="false">IF(J733&lt;&gt;1,"",IF(I733="SBJ","CB","?"))</f>
        <v/>
      </c>
      <c r="I733" s="25" t="str">
        <f aca="false">IF(OR(E733="",E733="!!!",F733="NEW"),"",INDEX(B732:B$2,-1+SUMPRODUCT(MAX(ROW(E732:E$2)*(E733=E732:E$2)))))</f>
        <v> </v>
      </c>
      <c r="J733" s="25" t="str">
        <f aca="true">IF(OR(E733="",E733="!!!",F733="NEW"),"",COUNTBLANK(OFFSET(A$1,,,SUMPRODUCT(MAX(ROW(E$2:E733)*(E733=E$2:E733)))))-COUNTBLANK(OFFSET(A$1,,,SUMPRODUCT(MAX(ROW(E$1:E732)*(E2=E$1:E732))))))</f>
        <v/>
      </c>
      <c r="K733" s="25" t="str">
        <f aca="false">IF(OR(E733="",E733="!!!",F733="NEW"),"",INDEX(J$1:J732,SUMPRODUCT(MAX(ROW(E$1:E732)*(E733=E$1:E732)))))</f>
        <v/>
      </c>
      <c r="L733" s="26"/>
    </row>
    <row r="734" customFormat="false" ht="15" hidden="false" customHeight="false" outlineLevel="0" collapsed="false">
      <c r="A734" s="20" t="s">
        <v>353</v>
      </c>
      <c r="E734" s="21" t="str">
        <f aca="false">IF(D734="?OLD","!!!","")</f>
        <v/>
      </c>
      <c r="F734" s="22" t="str">
        <f aca="false">IF(OR(E734="",E734="!!!"),"",IF(NOT(ISNA(VLOOKUP(E734,E$1:E733,1,FALSE()))),"OLD",IF(AND(E734&lt;&gt;"",E734&lt;&gt;"!!!"),"NEW","")))</f>
        <v> </v>
      </c>
      <c r="G734" s="23" t="str">
        <f aca="false">IF(OR(E734="",E734="!!!"),"",IF(OR(J734=0,AND(J734=1,K734=1),AND(J734=1,I734="SBJ"),AND(J734=1,I734=0)),"?IN_FOCUS",IF(J734&lt;=2,"?ACTIVATED",IF(J734&lt;&gt;"","?FAMILIAR",IF(F734="NEW",IF(ISNA(VLOOKUP(E734,#REF!,1,FALSE())),"?TYPE_IDENTIFIABLE","?REFERENTIAL"),"_")))))</f>
        <v/>
      </c>
      <c r="H734" s="24" t="str">
        <f aca="false">IF(J734&lt;&gt;1,"",IF(I734="SBJ","CB","?"))</f>
        <v/>
      </c>
      <c r="I734" s="25" t="str">
        <f aca="false">IF(OR(E734="",E734="!!!",F734="NEW"),"",INDEX(B733:B$2,-1+SUMPRODUCT(MAX(ROW(E733:E$2)*(E734=E733:E$2)))))</f>
        <v> </v>
      </c>
      <c r="J734" s="25" t="str">
        <f aca="true">IF(OR(E734="",E734="!!!",F734="NEW"),"",COUNTBLANK(OFFSET(A$1,,,SUMPRODUCT(MAX(ROW(E$2:E734)*(E734=E$2:E734)))))-COUNTBLANK(OFFSET(A$1,,,SUMPRODUCT(MAX(ROW(E$1:E733)*(E2=E$1:E733))))))</f>
        <v/>
      </c>
      <c r="K734" s="25" t="str">
        <f aca="false">IF(OR(E734="",E734="!!!",F734="NEW"),"",INDEX(J$1:J733,SUMPRODUCT(MAX(ROW(E$1:E733)*(E734=E$1:E733)))))</f>
        <v/>
      </c>
      <c r="L734" s="26"/>
    </row>
    <row r="735" customFormat="false" ht="15" hidden="false" customHeight="false" outlineLevel="0" collapsed="false">
      <c r="A735" s="20" t="s">
        <v>304</v>
      </c>
      <c r="B735" s="27" t="s">
        <v>240</v>
      </c>
      <c r="C735" s="27" t="s">
        <v>233</v>
      </c>
      <c r="D735" s="27" t="s">
        <v>209</v>
      </c>
      <c r="E735" s="21" t="str">
        <f aca="false">IF(D735="?OLD","!!!","")</f>
        <v>!!!</v>
      </c>
      <c r="F735" s="22" t="str">
        <f aca="false">IF(OR(E735="",E735="!!!"),"",IF(NOT(ISNA(VLOOKUP(E735,E$1:E734,1,FALSE()))),"OLD",IF(AND(E735&lt;&gt;"",E735&lt;&gt;"!!!"),"NEW","")))</f>
        <v> </v>
      </c>
      <c r="G735" s="23" t="str">
        <f aca="false">IF(OR(E735="",E735="!!!"),"",IF(OR(J735=0,AND(J735=1,K735=1),AND(J735=1,I735="SBJ"),AND(J735=1,I735=0)),"?IN_FOCUS",IF(J735&lt;=2,"?ACTIVATED",IF(J735&lt;&gt;"","?FAMILIAR",IF(F735="NEW",IF(ISNA(VLOOKUP(E735,#REF!,1,FALSE())),"?TYPE_IDENTIFIABLE","?REFERENTIAL"),"_")))))</f>
        <v/>
      </c>
      <c r="H735" s="24" t="str">
        <f aca="false">IF(J735&lt;&gt;1,"",IF(I735="SBJ","CB","?"))</f>
        <v/>
      </c>
      <c r="I735" s="25" t="str">
        <f aca="false">IF(OR(E735="",E735="!!!",F735="NEW"),"",INDEX(B734:B$2,-1+SUMPRODUCT(MAX(ROW(E734:E$2)*(E735=E734:E$2)))))</f>
        <v> </v>
      </c>
      <c r="J735" s="25" t="str">
        <f aca="true">IF(OR(E735="",E735="!!!",F735="NEW"),"",COUNTBLANK(OFFSET(A$1,,,SUMPRODUCT(MAX(ROW(E$2:E735)*(E735=E$2:E735)))))-COUNTBLANK(OFFSET(A$1,,,SUMPRODUCT(MAX(ROW(E$1:E734)*(E2=E$1:E734))))))</f>
        <v/>
      </c>
      <c r="K735" s="25" t="str">
        <f aca="false">IF(OR(E735="",E735="!!!",F735="NEW"),"",INDEX(J$1:J734,SUMPRODUCT(MAX(ROW(E$1:E734)*(E735=E$1:E734)))))</f>
        <v/>
      </c>
      <c r="L735" s="26"/>
    </row>
    <row r="736" customFormat="false" ht="15" hidden="false" customHeight="false" outlineLevel="0" collapsed="false">
      <c r="A736" s="20" t="s">
        <v>210</v>
      </c>
      <c r="E736" s="21" t="str">
        <f aca="false">IF(D736="?OLD","!!!","")</f>
        <v/>
      </c>
      <c r="F736" s="22" t="str">
        <f aca="false">IF(OR(E736="",E736="!!!"),"",IF(NOT(ISNA(VLOOKUP(E736,E$1:E735,1,FALSE()))),"OLD",IF(AND(E736&lt;&gt;"",E736&lt;&gt;"!!!"),"NEW","")))</f>
        <v> </v>
      </c>
      <c r="G736" s="23" t="str">
        <f aca="false">IF(OR(E736="",E736="!!!"),"",IF(OR(J736=0,AND(J736=1,K736=1),AND(J736=1,I736="SBJ"),AND(J736=1,I736=0)),"?IN_FOCUS",IF(J736&lt;=2,"?ACTIVATED",IF(J736&lt;&gt;"","?FAMILIAR",IF(F736="NEW",IF(ISNA(VLOOKUP(E736,#REF!,1,FALSE())),"?TYPE_IDENTIFIABLE","?REFERENTIAL"),"_")))))</f>
        <v/>
      </c>
      <c r="H736" s="24" t="str">
        <f aca="false">IF(J736&lt;&gt;1,"",IF(I736="SBJ","CB","?"))</f>
        <v/>
      </c>
      <c r="I736" s="25" t="str">
        <f aca="false">IF(OR(E736="",E736="!!!",F736="NEW"),"",INDEX(B735:B$2,-1+SUMPRODUCT(MAX(ROW(E735:E$2)*(E736=E735:E$2)))))</f>
        <v> </v>
      </c>
      <c r="J736" s="25" t="str">
        <f aca="true">IF(OR(E736="",E736="!!!",F736="NEW"),"",COUNTBLANK(OFFSET(A$1,,,SUMPRODUCT(MAX(ROW(E$2:E736)*(E736=E$2:E736)))))-COUNTBLANK(OFFSET(A$1,,,SUMPRODUCT(MAX(ROW(E$1:E735)*(E2=E$1:E735))))))</f>
        <v/>
      </c>
      <c r="K736" s="25" t="str">
        <f aca="false">IF(OR(E736="",E736="!!!",F736="NEW"),"",INDEX(J$1:J735,SUMPRODUCT(MAX(ROW(E$1:E735)*(E736=E$1:E735)))))</f>
        <v/>
      </c>
      <c r="L736" s="26"/>
    </row>
    <row r="737" customFormat="false" ht="15" hidden="false" customHeight="false" outlineLevel="0" collapsed="false">
      <c r="A737" s="20" t="s">
        <v>205</v>
      </c>
      <c r="E737" s="21" t="str">
        <f aca="false">IF(D737="?OLD","!!!","")</f>
        <v/>
      </c>
      <c r="F737" s="22" t="str">
        <f aca="false">IF(OR(E737="",E737="!!!"),"",IF(NOT(ISNA(VLOOKUP(E737,E$1:E736,1,FALSE()))),"OLD",IF(AND(E737&lt;&gt;"",E737&lt;&gt;"!!!"),"NEW","")))</f>
        <v> </v>
      </c>
      <c r="G737" s="23" t="str">
        <f aca="false">IF(OR(E737="",E737="!!!"),"",IF(OR(J737=0,AND(J737=1,K737=1),AND(J737=1,I737="SBJ"),AND(J737=1,I737=0)),"?IN_FOCUS",IF(J737&lt;=2,"?ACTIVATED",IF(J737&lt;&gt;"","?FAMILIAR",IF(F737="NEW",IF(ISNA(VLOOKUP(E737,#REF!,1,FALSE())),"?TYPE_IDENTIFIABLE","?REFERENTIAL"),"_")))))</f>
        <v/>
      </c>
      <c r="H737" s="24" t="str">
        <f aca="false">IF(J737&lt;&gt;1,"",IF(I737="SBJ","CB","?"))</f>
        <v/>
      </c>
      <c r="I737" s="25" t="str">
        <f aca="false">IF(OR(E737="",E737="!!!",F737="NEW"),"",INDEX(B736:B$2,-1+SUMPRODUCT(MAX(ROW(E736:E$2)*(E737=E736:E$2)))))</f>
        <v> </v>
      </c>
      <c r="J737" s="25" t="str">
        <f aca="true">IF(OR(E737="",E737="!!!",F737="NEW"),"",COUNTBLANK(OFFSET(A$1,,,SUMPRODUCT(MAX(ROW(E$2:E737)*(E737=E$2:E737)))))-COUNTBLANK(OFFSET(A$1,,,SUMPRODUCT(MAX(ROW(E$1:E736)*(E2=E$1:E736))))))</f>
        <v/>
      </c>
      <c r="K737" s="25" t="str">
        <f aca="false">IF(OR(E737="",E737="!!!",F737="NEW"),"",INDEX(J$1:J736,SUMPRODUCT(MAX(ROW(E$1:E736)*(E737=E$1:E736)))))</f>
        <v/>
      </c>
      <c r="L737" s="26"/>
    </row>
    <row r="738" customFormat="false" ht="15" hidden="false" customHeight="false" outlineLevel="0" collapsed="false">
      <c r="A738" s="20" t="s">
        <v>437</v>
      </c>
      <c r="B738" s="27" t="s">
        <v>216</v>
      </c>
      <c r="C738" s="27" t="s">
        <v>208</v>
      </c>
      <c r="D738" s="27" t="s">
        <v>209</v>
      </c>
      <c r="E738" s="21" t="str">
        <f aca="false">IF(D738="?OLD","!!!","")</f>
        <v>!!!</v>
      </c>
      <c r="F738" s="22" t="str">
        <f aca="false">IF(OR(E738="",E738="!!!"),"",IF(NOT(ISNA(VLOOKUP(E738,E$1:E737,1,FALSE()))),"OLD",IF(AND(E738&lt;&gt;"",E738&lt;&gt;"!!!"),"NEW","")))</f>
        <v> </v>
      </c>
      <c r="G738" s="23" t="str">
        <f aca="false">IF(OR(E738="",E738="!!!"),"",IF(OR(J738=0,AND(J738=1,K738=1),AND(J738=1,I738="SBJ"),AND(J738=1,I738=0)),"?IN_FOCUS",IF(J738&lt;=2,"?ACTIVATED",IF(J738&lt;&gt;"","?FAMILIAR",IF(F738="NEW",IF(ISNA(VLOOKUP(E738,#REF!,1,FALSE())),"?TYPE_IDENTIFIABLE","?REFERENTIAL"),"_")))))</f>
        <v/>
      </c>
      <c r="H738" s="24" t="str">
        <f aca="false">IF(J738&lt;&gt;1,"",IF(I738="SBJ","CB","?"))</f>
        <v/>
      </c>
      <c r="I738" s="25" t="str">
        <f aca="false">IF(OR(E738="",E738="!!!",F738="NEW"),"",INDEX(B737:B$2,-1+SUMPRODUCT(MAX(ROW(E737:E$2)*(E738=E737:E$2)))))</f>
        <v> </v>
      </c>
      <c r="J738" s="25" t="str">
        <f aca="true">IF(OR(E738="",E738="!!!",F738="NEW"),"",COUNTBLANK(OFFSET(A$1,,,SUMPRODUCT(MAX(ROW(E$2:E738)*(E738=E$2:E738)))))-COUNTBLANK(OFFSET(A$1,,,SUMPRODUCT(MAX(ROW(E$1:E737)*(E2=E$1:E737))))))</f>
        <v/>
      </c>
      <c r="K738" s="25" t="str">
        <f aca="false">IF(OR(E738="",E738="!!!",F738="NEW"),"",INDEX(J$1:J737,SUMPRODUCT(MAX(ROW(E$1:E737)*(E738=E$1:E737)))))</f>
        <v/>
      </c>
      <c r="L738" s="26"/>
    </row>
    <row r="739" customFormat="false" ht="15" hidden="false" customHeight="false" outlineLevel="0" collapsed="false">
      <c r="A739" s="20" t="s">
        <v>218</v>
      </c>
      <c r="E739" s="21" t="str">
        <f aca="false">IF(D739="?OLD","!!!","")</f>
        <v/>
      </c>
      <c r="F739" s="22" t="str">
        <f aca="false">IF(OR(E739="",E739="!!!"),"",IF(NOT(ISNA(VLOOKUP(E739,E$1:E738,1,FALSE()))),"OLD",IF(AND(E739&lt;&gt;"",E739&lt;&gt;"!!!"),"NEW","")))</f>
        <v> </v>
      </c>
      <c r="G739" s="23" t="str">
        <f aca="false">IF(OR(E739="",E739="!!!"),"",IF(OR(J739=0,AND(J739=1,K739=1),AND(J739=1,I739="SBJ"),AND(J739=1,I739=0)),"?IN_FOCUS",IF(J739&lt;=2,"?ACTIVATED",IF(J739&lt;&gt;"","?FAMILIAR",IF(F739="NEW",IF(ISNA(VLOOKUP(E739,#REF!,1,FALSE())),"?TYPE_IDENTIFIABLE","?REFERENTIAL"),"_")))))</f>
        <v/>
      </c>
      <c r="H739" s="24" t="str">
        <f aca="false">IF(J739&lt;&gt;1,"",IF(I739="SBJ","CB","?"))</f>
        <v/>
      </c>
      <c r="I739" s="25" t="str">
        <f aca="false">IF(OR(E739="",E739="!!!",F739="NEW"),"",INDEX(B738:B$2,-1+SUMPRODUCT(MAX(ROW(E738:E$2)*(E739=E738:E$2)))))</f>
        <v> </v>
      </c>
      <c r="J739" s="25" t="str">
        <f aca="true">IF(OR(E739="",E739="!!!",F739="NEW"),"",COUNTBLANK(OFFSET(A$1,,,SUMPRODUCT(MAX(ROW(E$2:E739)*(E739=E$2:E739)))))-COUNTBLANK(OFFSET(A$1,,,SUMPRODUCT(MAX(ROW(E$1:E738)*(E2=E$1:E738))))))</f>
        <v/>
      </c>
      <c r="K739" s="25" t="str">
        <f aca="false">IF(OR(E739="",E739="!!!",F739="NEW"),"",INDEX(J$1:J738,SUMPRODUCT(MAX(ROW(E$1:E738)*(E739=E$1:E738)))))</f>
        <v/>
      </c>
      <c r="L739" s="26"/>
    </row>
    <row r="740" customFormat="false" ht="15" hidden="false" customHeight="false" outlineLevel="0" collapsed="false">
      <c r="A740" s="20" t="s">
        <v>376</v>
      </c>
      <c r="E740" s="21" t="str">
        <f aca="false">IF(D740="?OLD","!!!","")</f>
        <v/>
      </c>
      <c r="F740" s="22" t="str">
        <f aca="false">IF(OR(E740="",E740="!!!"),"",IF(NOT(ISNA(VLOOKUP(E740,E$1:E739,1,FALSE()))),"OLD",IF(AND(E740&lt;&gt;"",E740&lt;&gt;"!!!"),"NEW","")))</f>
        <v> </v>
      </c>
      <c r="G740" s="23" t="str">
        <f aca="false">IF(OR(E740="",E740="!!!"),"",IF(OR(J740=0,AND(J740=1,K740=1),AND(J740=1,I740="SBJ"),AND(J740=1,I740=0)),"?IN_FOCUS",IF(J740&lt;=2,"?ACTIVATED",IF(J740&lt;&gt;"","?FAMILIAR",IF(F740="NEW",IF(ISNA(VLOOKUP(E740,#REF!,1,FALSE())),"?TYPE_IDENTIFIABLE","?REFERENTIAL"),"_")))))</f>
        <v/>
      </c>
      <c r="H740" s="24" t="str">
        <f aca="false">IF(J740&lt;&gt;1,"",IF(I740="SBJ","CB","?"))</f>
        <v/>
      </c>
      <c r="I740" s="25" t="str">
        <f aca="false">IF(OR(E740="",E740="!!!",F740="NEW"),"",INDEX(B739:B$2,-1+SUMPRODUCT(MAX(ROW(E739:E$2)*(E740=E739:E$2)))))</f>
        <v> </v>
      </c>
      <c r="J740" s="25" t="str">
        <f aca="true">IF(OR(E740="",E740="!!!",F740="NEW"),"",COUNTBLANK(OFFSET(A$1,,,SUMPRODUCT(MAX(ROW(E$2:E740)*(E740=E$2:E740)))))-COUNTBLANK(OFFSET(A$1,,,SUMPRODUCT(MAX(ROW(E$1:E739)*(E2=E$1:E739))))))</f>
        <v/>
      </c>
      <c r="K740" s="25" t="str">
        <f aca="false">IF(OR(E740="",E740="!!!",F740="NEW"),"",INDEX(J$1:J739,SUMPRODUCT(MAX(ROW(E$1:E739)*(E740=E$1:E739)))))</f>
        <v/>
      </c>
      <c r="L740" s="26"/>
    </row>
    <row r="741" customFormat="false" ht="15" hidden="false" customHeight="false" outlineLevel="0" collapsed="false">
      <c r="A741" s="20" t="s">
        <v>438</v>
      </c>
      <c r="B741" s="27" t="s">
        <v>220</v>
      </c>
      <c r="C741" s="27" t="s">
        <v>217</v>
      </c>
      <c r="E741" s="21" t="str">
        <f aca="false">IF(D741="?OLD","!!!","")</f>
        <v/>
      </c>
      <c r="F741" s="22" t="str">
        <f aca="false">IF(OR(E741="",E741="!!!"),"",IF(NOT(ISNA(VLOOKUP(E741,E$1:E740,1,FALSE()))),"OLD",IF(AND(E741&lt;&gt;"",E741&lt;&gt;"!!!"),"NEW","")))</f>
        <v> </v>
      </c>
      <c r="G741" s="23" t="str">
        <f aca="false">IF(OR(E741="",E741="!!!"),"",IF(OR(J741=0,AND(J741=1,K741=1),AND(J741=1,I741="SBJ"),AND(J741=1,I741=0)),"?IN_FOCUS",IF(J741&lt;=2,"?ACTIVATED",IF(J741&lt;&gt;"","?FAMILIAR",IF(F741="NEW",IF(ISNA(VLOOKUP(E741,#REF!,1,FALSE())),"?TYPE_IDENTIFIABLE","?REFERENTIAL"),"_")))))</f>
        <v/>
      </c>
      <c r="H741" s="24" t="str">
        <f aca="false">IF(J741&lt;&gt;1,"",IF(I741="SBJ","CB","?"))</f>
        <v/>
      </c>
      <c r="I741" s="25" t="str">
        <f aca="false">IF(OR(E741="",E741="!!!",F741="NEW"),"",INDEX(B740:B$2,-1+SUMPRODUCT(MAX(ROW(E740:E$2)*(E741=E740:E$2)))))</f>
        <v> </v>
      </c>
      <c r="J741" s="25" t="str">
        <f aca="true">IF(OR(E741="",E741="!!!",F741="NEW"),"",COUNTBLANK(OFFSET(A$1,,,SUMPRODUCT(MAX(ROW(E$2:E741)*(E741=E$2:E741)))))-COUNTBLANK(OFFSET(A$1,,,SUMPRODUCT(MAX(ROW(E$1:E740)*(E2=E$1:E740))))))</f>
        <v/>
      </c>
      <c r="K741" s="25" t="str">
        <f aca="false">IF(OR(E741="",E741="!!!",F741="NEW"),"",INDEX(J$1:J740,SUMPRODUCT(MAX(ROW(E$1:E740)*(E741=E$1:E740)))))</f>
        <v/>
      </c>
      <c r="L741" s="26"/>
    </row>
    <row r="742" customFormat="false" ht="15" hidden="false" customHeight="false" outlineLevel="0" collapsed="false">
      <c r="A742" s="20" t="s">
        <v>229</v>
      </c>
      <c r="E742" s="21" t="str">
        <f aca="false">IF(D742="?OLD","!!!","")</f>
        <v/>
      </c>
      <c r="F742" s="22" t="str">
        <f aca="false">IF(OR(E742="",E742="!!!"),"",IF(NOT(ISNA(VLOOKUP(E742,E$1:E741,1,FALSE()))),"OLD",IF(AND(E742&lt;&gt;"",E742&lt;&gt;"!!!"),"NEW","")))</f>
        <v> </v>
      </c>
      <c r="G742" s="23" t="str">
        <f aca="false">IF(OR(E742="",E742="!!!"),"",IF(OR(J742=0,AND(J742=1,K742=1),AND(J742=1,I742="SBJ"),AND(J742=1,I742=0)),"?IN_FOCUS",IF(J742&lt;=2,"?ACTIVATED",IF(J742&lt;&gt;"","?FAMILIAR",IF(F742="NEW",IF(ISNA(VLOOKUP(E742,#REF!,1,FALSE())),"?TYPE_IDENTIFIABLE","?REFERENTIAL"),"_")))))</f>
        <v/>
      </c>
      <c r="H742" s="24" t="str">
        <f aca="false">IF(J742&lt;&gt;1,"",IF(I742="SBJ","CB","?"))</f>
        <v/>
      </c>
      <c r="I742" s="25" t="str">
        <f aca="false">IF(OR(E742="",E742="!!!",F742="NEW"),"",INDEX(B741:B$2,-1+SUMPRODUCT(MAX(ROW(E741:E$2)*(E742=E741:E$2)))))</f>
        <v> </v>
      </c>
      <c r="J742" s="25" t="str">
        <f aca="true">IF(OR(E742="",E742="!!!",F742="NEW"),"",COUNTBLANK(OFFSET(A$1,,,SUMPRODUCT(MAX(ROW(E$2:E742)*(E742=E$2:E742)))))-COUNTBLANK(OFFSET(A$1,,,SUMPRODUCT(MAX(ROW(E$1:E741)*(E2=E$1:E741))))))</f>
        <v/>
      </c>
      <c r="K742" s="25" t="str">
        <f aca="false">IF(OR(E742="",E742="!!!",F742="NEW"),"",INDEX(J$1:J741,SUMPRODUCT(MAX(ROW(E$1:E741)*(E742=E$1:E741)))))</f>
        <v/>
      </c>
      <c r="L742" s="26"/>
    </row>
    <row r="743" customFormat="false" ht="15" hidden="false" customHeight="false" outlineLevel="0" collapsed="false">
      <c r="A743" s="20"/>
    </row>
    <row r="744" customFormat="false" ht="15" hidden="false" customHeight="false" outlineLevel="0" collapsed="false">
      <c r="A744" s="20" t="s">
        <v>439</v>
      </c>
    </row>
    <row r="745" customFormat="false" ht="15" hidden="false" customHeight="false" outlineLevel="0" collapsed="false">
      <c r="A745" s="20" t="s">
        <v>223</v>
      </c>
      <c r="B745" s="27" t="s">
        <v>207</v>
      </c>
      <c r="C745" s="27" t="s">
        <v>225</v>
      </c>
      <c r="D745" s="27" t="s">
        <v>209</v>
      </c>
      <c r="E745" s="21" t="str">
        <f aca="false">IF(D745="?OLD","!!!","")</f>
        <v>!!!</v>
      </c>
      <c r="F745" s="22" t="str">
        <f aca="false">IF(OR(E745="",E745="!!!"),"",IF(NOT(ISNA(VLOOKUP(E745,E$1:E744,1,FALSE()))),"OLD",IF(AND(E745&lt;&gt;"",E745&lt;&gt;"!!!"),"NEW","")))</f>
        <v> </v>
      </c>
      <c r="G745" s="23" t="str">
        <f aca="false">IF(OR(E745="",E745="!!!"),"",IF(OR(J745=0,AND(J745=1,K745=1),AND(J745=1,I745="SBJ"),AND(J745=1,I745=0)),"?IN_FOCUS",IF(J745&lt;=2,"?ACTIVATED",IF(J745&lt;&gt;"","?FAMILIAR",IF(F745="NEW",IF(ISNA(VLOOKUP(E745,#REF!,1,FALSE())),"?TYPE_IDENTIFIABLE","?REFERENTIAL"),"_")))))</f>
        <v/>
      </c>
      <c r="H745" s="24" t="str">
        <f aca="false">IF(J745&lt;&gt;1,"",IF(I745="SBJ","CB","?"))</f>
        <v/>
      </c>
      <c r="I745" s="25" t="str">
        <f aca="false">IF(OR(E745="",E745="!!!",F745="NEW"),"",INDEX(B744:B$2,-1+SUMPRODUCT(MAX(ROW(E744:E$2)*(E745=E744:E$2)))))</f>
        <v> </v>
      </c>
      <c r="J745" s="25" t="str">
        <f aca="true">IF(OR(E745="",E745="!!!",F745="NEW"),"",COUNTBLANK(OFFSET(A$1,,,SUMPRODUCT(MAX(ROW(E$2:E745)*(E745=E$2:E745)))))-COUNTBLANK(OFFSET(A$1,,,SUMPRODUCT(MAX(ROW(E$1:E744)*(E2=E$1:E744))))))</f>
        <v/>
      </c>
      <c r="K745" s="25" t="str">
        <f aca="false">IF(OR(E745="",E745="!!!",F745="NEW"),"",INDEX(J$1:J744,SUMPRODUCT(MAX(ROW(E$1:E744)*(E745=E$1:E744)))))</f>
        <v/>
      </c>
      <c r="L745" s="26"/>
    </row>
    <row r="746" customFormat="false" ht="15" hidden="false" customHeight="false" outlineLevel="0" collapsed="false">
      <c r="A746" s="20" t="s">
        <v>226</v>
      </c>
      <c r="E746" s="21" t="str">
        <f aca="false">IF(D746="?OLD","!!!","")</f>
        <v/>
      </c>
      <c r="F746" s="22" t="str">
        <f aca="false">IF(OR(E746="",E746="!!!"),"",IF(NOT(ISNA(VLOOKUP(E746,E$1:E745,1,FALSE()))),"OLD",IF(AND(E746&lt;&gt;"",E746&lt;&gt;"!!!"),"NEW","")))</f>
        <v> </v>
      </c>
      <c r="G746" s="23" t="str">
        <f aca="false">IF(OR(E746="",E746="!!!"),"",IF(OR(J746=0,AND(J746=1,K746=1),AND(J746=1,I746="SBJ"),AND(J746=1,I746=0)),"?IN_FOCUS",IF(J746&lt;=2,"?ACTIVATED",IF(J746&lt;&gt;"","?FAMILIAR",IF(F746="NEW",IF(ISNA(VLOOKUP(E746,#REF!,1,FALSE())),"?TYPE_IDENTIFIABLE","?REFERENTIAL"),"_")))))</f>
        <v/>
      </c>
      <c r="H746" s="24" t="str">
        <f aca="false">IF(J746&lt;&gt;1,"",IF(I746="SBJ","CB","?"))</f>
        <v/>
      </c>
      <c r="I746" s="25" t="str">
        <f aca="false">IF(OR(E746="",E746="!!!",F746="NEW"),"",INDEX(B745:B$2,-1+SUMPRODUCT(MAX(ROW(E745:E$2)*(E746=E745:E$2)))))</f>
        <v> </v>
      </c>
      <c r="J746" s="25" t="str">
        <f aca="true">IF(OR(E746="",E746="!!!",F746="NEW"),"",COUNTBLANK(OFFSET(A$1,,,SUMPRODUCT(MAX(ROW(E$2:E746)*(E746=E$2:E746)))))-COUNTBLANK(OFFSET(A$1,,,SUMPRODUCT(MAX(ROW(E$1:E745)*(E2=E$1:E745))))))</f>
        <v/>
      </c>
      <c r="K746" s="25" t="str">
        <f aca="false">IF(OR(E746="",E746="!!!",F746="NEW"),"",INDEX(J$1:J745,SUMPRODUCT(MAX(ROW(E$1:E745)*(E746=E$1:E745)))))</f>
        <v/>
      </c>
      <c r="L746" s="26"/>
    </row>
    <row r="747" customFormat="false" ht="15" hidden="false" customHeight="false" outlineLevel="0" collapsed="false">
      <c r="A747" s="20" t="s">
        <v>228</v>
      </c>
      <c r="E747" s="21" t="str">
        <f aca="false">IF(D747="?OLD","!!!","")</f>
        <v/>
      </c>
      <c r="F747" s="22" t="str">
        <f aca="false">IF(OR(E747="",E747="!!!"),"",IF(NOT(ISNA(VLOOKUP(E747,E$1:E746,1,FALSE()))),"OLD",IF(AND(E747&lt;&gt;"",E747&lt;&gt;"!!!"),"NEW","")))</f>
        <v> </v>
      </c>
      <c r="G747" s="23" t="str">
        <f aca="false">IF(OR(E747="",E747="!!!"),"",IF(OR(J747=0,AND(J747=1,K747=1),AND(J747=1,I747="SBJ"),AND(J747=1,I747=0)),"?IN_FOCUS",IF(J747&lt;=2,"?ACTIVATED",IF(J747&lt;&gt;"","?FAMILIAR",IF(F747="NEW",IF(ISNA(VLOOKUP(E747,#REF!,1,FALSE())),"?TYPE_IDENTIFIABLE","?REFERENTIAL"),"_")))))</f>
        <v/>
      </c>
      <c r="H747" s="24" t="str">
        <f aca="false">IF(J747&lt;&gt;1,"",IF(I747="SBJ","CB","?"))</f>
        <v/>
      </c>
      <c r="I747" s="25" t="str">
        <f aca="false">IF(OR(E747="",E747="!!!",F747="NEW"),"",INDEX(B746:B$2,-1+SUMPRODUCT(MAX(ROW(E746:E$2)*(E747=E746:E$2)))))</f>
        <v> </v>
      </c>
      <c r="J747" s="25" t="str">
        <f aca="true">IF(OR(E747="",E747="!!!",F747="NEW"),"",COUNTBLANK(OFFSET(A$1,,,SUMPRODUCT(MAX(ROW(E$2:E747)*(E747=E$2:E747)))))-COUNTBLANK(OFFSET(A$1,,,SUMPRODUCT(MAX(ROW(E$1:E746)*(E2=E$1:E746))))))</f>
        <v/>
      </c>
      <c r="K747" s="25" t="str">
        <f aca="false">IF(OR(E747="",E747="!!!",F747="NEW"),"",INDEX(J$1:J746,SUMPRODUCT(MAX(ROW(E$1:E746)*(E747=E$1:E746)))))</f>
        <v/>
      </c>
      <c r="L747" s="26"/>
    </row>
    <row r="748" customFormat="false" ht="15" hidden="false" customHeight="false" outlineLevel="0" collapsed="false">
      <c r="A748" s="20" t="s">
        <v>440</v>
      </c>
      <c r="B748" s="27" t="s">
        <v>278</v>
      </c>
      <c r="C748" s="27" t="s">
        <v>297</v>
      </c>
      <c r="E748" s="21" t="str">
        <f aca="false">IF(D748="?OLD","!!!","")</f>
        <v/>
      </c>
      <c r="F748" s="22" t="str">
        <f aca="false">IF(OR(E748="",E748="!!!"),"",IF(NOT(ISNA(VLOOKUP(E748,E$1:E747,1,FALSE()))),"OLD",IF(AND(E748&lt;&gt;"",E748&lt;&gt;"!!!"),"NEW","")))</f>
        <v> </v>
      </c>
      <c r="G748" s="23" t="str">
        <f aca="false">IF(OR(E748="",E748="!!!"),"",IF(OR(J748=0,AND(J748=1,K748=1),AND(J748=1,I748="SBJ"),AND(J748=1,I748=0)),"?IN_FOCUS",IF(J748&lt;=2,"?ACTIVATED",IF(J748&lt;&gt;"","?FAMILIAR",IF(F748="NEW",IF(ISNA(VLOOKUP(E748,#REF!,1,FALSE())),"?TYPE_IDENTIFIABLE","?REFERENTIAL"),"_")))))</f>
        <v/>
      </c>
      <c r="H748" s="24" t="str">
        <f aca="false">IF(J748&lt;&gt;1,"",IF(I748="SBJ","CB","?"))</f>
        <v/>
      </c>
      <c r="I748" s="25" t="str">
        <f aca="false">IF(OR(E748="",E748="!!!",F748="NEW"),"",INDEX(B747:B$2,-1+SUMPRODUCT(MAX(ROW(E747:E$2)*(E748=E747:E$2)))))</f>
        <v> </v>
      </c>
      <c r="J748" s="25" t="str">
        <f aca="true">IF(OR(E748="",E748="!!!",F748="NEW"),"",COUNTBLANK(OFFSET(A$1,,,SUMPRODUCT(MAX(ROW(E$2:E748)*(E748=E$2:E748)))))-COUNTBLANK(OFFSET(A$1,,,SUMPRODUCT(MAX(ROW(E$1:E747)*(E2=E$1:E747))))))</f>
        <v/>
      </c>
      <c r="K748" s="25" t="str">
        <f aca="false">IF(OR(E748="",E748="!!!",F748="NEW"),"",INDEX(J$1:J747,SUMPRODUCT(MAX(ROW(E$1:E747)*(E748=E$1:E747)))))</f>
        <v/>
      </c>
      <c r="L748" s="26"/>
    </row>
    <row r="749" customFormat="false" ht="15" hidden="false" customHeight="false" outlineLevel="0" collapsed="false">
      <c r="A749" s="20" t="s">
        <v>218</v>
      </c>
      <c r="E749" s="21" t="str">
        <f aca="false">IF(D749="?OLD","!!!","")</f>
        <v/>
      </c>
      <c r="F749" s="22" t="str">
        <f aca="false">IF(OR(E749="",E749="!!!"),"",IF(NOT(ISNA(VLOOKUP(E749,E$1:E748,1,FALSE()))),"OLD",IF(AND(E749&lt;&gt;"",E749&lt;&gt;"!!!"),"NEW","")))</f>
        <v> </v>
      </c>
      <c r="G749" s="23" t="str">
        <f aca="false">IF(OR(E749="",E749="!!!"),"",IF(OR(J749=0,AND(J749=1,K749=1),AND(J749=1,I749="SBJ"),AND(J749=1,I749=0)),"?IN_FOCUS",IF(J749&lt;=2,"?ACTIVATED",IF(J749&lt;&gt;"","?FAMILIAR",IF(F749="NEW",IF(ISNA(VLOOKUP(E749,#REF!,1,FALSE())),"?TYPE_IDENTIFIABLE","?REFERENTIAL"),"_")))))</f>
        <v/>
      </c>
      <c r="H749" s="24" t="str">
        <f aca="false">IF(J749&lt;&gt;1,"",IF(I749="SBJ","CB","?"))</f>
        <v/>
      </c>
      <c r="I749" s="25" t="str">
        <f aca="false">IF(OR(E749="",E749="!!!",F749="NEW"),"",INDEX(B748:B$2,-1+SUMPRODUCT(MAX(ROW(E748:E$2)*(E749=E748:E$2)))))</f>
        <v> </v>
      </c>
      <c r="J749" s="25" t="str">
        <f aca="true">IF(OR(E749="",E749="!!!",F749="NEW"),"",COUNTBLANK(OFFSET(A$1,,,SUMPRODUCT(MAX(ROW(E$2:E749)*(E749=E$2:E749)))))-COUNTBLANK(OFFSET(A$1,,,SUMPRODUCT(MAX(ROW(E$1:E748)*(E2=E$1:E748))))))</f>
        <v/>
      </c>
      <c r="K749" s="25" t="str">
        <f aca="false">IF(OR(E749="",E749="!!!",F749="NEW"),"",INDEX(J$1:J748,SUMPRODUCT(MAX(ROW(E$1:E748)*(E749=E$1:E748)))))</f>
        <v/>
      </c>
      <c r="L749" s="26"/>
    </row>
    <row r="750" customFormat="false" ht="15" hidden="false" customHeight="false" outlineLevel="0" collapsed="false">
      <c r="A750" s="20" t="s">
        <v>441</v>
      </c>
      <c r="B750" s="27" t="s">
        <v>220</v>
      </c>
      <c r="C750" s="27" t="s">
        <v>297</v>
      </c>
      <c r="E750" s="21" t="str">
        <f aca="false">IF(D750="?OLD","!!!","")</f>
        <v/>
      </c>
      <c r="F750" s="22" t="str">
        <f aca="false">IF(OR(E750="",E750="!!!"),"",IF(NOT(ISNA(VLOOKUP(E750,E$1:E749,1,FALSE()))),"OLD",IF(AND(E750&lt;&gt;"",E750&lt;&gt;"!!!"),"NEW","")))</f>
        <v> </v>
      </c>
      <c r="G750" s="23" t="str">
        <f aca="false">IF(OR(E750="",E750="!!!"),"",IF(OR(J750=0,AND(J750=1,K750=1),AND(J750=1,I750="SBJ"),AND(J750=1,I750=0)),"?IN_FOCUS",IF(J750&lt;=2,"?ACTIVATED",IF(J750&lt;&gt;"","?FAMILIAR",IF(F750="NEW",IF(ISNA(VLOOKUP(E750,#REF!,1,FALSE())),"?TYPE_IDENTIFIABLE","?REFERENTIAL"),"_")))))</f>
        <v/>
      </c>
      <c r="H750" s="24" t="str">
        <f aca="false">IF(J750&lt;&gt;1,"",IF(I750="SBJ","CB","?"))</f>
        <v/>
      </c>
      <c r="I750" s="25" t="str">
        <f aca="false">IF(OR(E750="",E750="!!!",F750="NEW"),"",INDEX(B749:B$2,-1+SUMPRODUCT(MAX(ROW(E749:E$2)*(E750=E749:E$2)))))</f>
        <v> </v>
      </c>
      <c r="J750" s="25" t="str">
        <f aca="true">IF(OR(E750="",E750="!!!",F750="NEW"),"",COUNTBLANK(OFFSET(A$1,,,SUMPRODUCT(MAX(ROW(E$2:E750)*(E750=E$2:E750)))))-COUNTBLANK(OFFSET(A$1,,,SUMPRODUCT(MAX(ROW(E$1:E749)*(E2=E$1:E749))))))</f>
        <v/>
      </c>
      <c r="K750" s="25" t="str">
        <f aca="false">IF(OR(E750="",E750="!!!",F750="NEW"),"",INDEX(J$1:J749,SUMPRODUCT(MAX(ROW(E$1:E749)*(E750=E$1:E749)))))</f>
        <v/>
      </c>
      <c r="L750" s="26"/>
    </row>
    <row r="751" customFormat="false" ht="15" hidden="false" customHeight="false" outlineLevel="0" collapsed="false">
      <c r="A751" s="20" t="s">
        <v>49</v>
      </c>
      <c r="E751" s="21" t="str">
        <f aca="false">IF(D751="?OLD","!!!","")</f>
        <v/>
      </c>
      <c r="F751" s="22" t="str">
        <f aca="false">IF(OR(E751="",E751="!!!"),"",IF(NOT(ISNA(VLOOKUP(E751,E$1:E750,1,FALSE()))),"OLD",IF(AND(E751&lt;&gt;"",E751&lt;&gt;"!!!"),"NEW","")))</f>
        <v> </v>
      </c>
      <c r="G751" s="23" t="str">
        <f aca="false">IF(OR(E751="",E751="!!!"),"",IF(OR(J751=0,AND(J751=1,K751=1),AND(J751=1,I751="SBJ"),AND(J751=1,I751=0)),"?IN_FOCUS",IF(J751&lt;=2,"?ACTIVATED",IF(J751&lt;&gt;"","?FAMILIAR",IF(F751="NEW",IF(ISNA(VLOOKUP(E751,#REF!,1,FALSE())),"?TYPE_IDENTIFIABLE","?REFERENTIAL"),"_")))))</f>
        <v/>
      </c>
      <c r="H751" s="24" t="str">
        <f aca="false">IF(J751&lt;&gt;1,"",IF(I751="SBJ","CB","?"))</f>
        <v/>
      </c>
      <c r="I751" s="25" t="str">
        <f aca="false">IF(OR(E751="",E751="!!!",F751="NEW"),"",INDEX(B750:B$2,-1+SUMPRODUCT(MAX(ROW(E750:E$2)*(E751=E750:E$2)))))</f>
        <v> </v>
      </c>
      <c r="J751" s="25" t="str">
        <f aca="true">IF(OR(E751="",E751="!!!",F751="NEW"),"",COUNTBLANK(OFFSET(A$1,,,SUMPRODUCT(MAX(ROW(E$2:E751)*(E751=E$2:E751)))))-COUNTBLANK(OFFSET(A$1,,,SUMPRODUCT(MAX(ROW(E$1:E750)*(E2=E$1:E750))))))</f>
        <v/>
      </c>
      <c r="K751" s="25" t="str">
        <f aca="false">IF(OR(E751="",E751="!!!",F751="NEW"),"",INDEX(J$1:J750,SUMPRODUCT(MAX(ROW(E$1:E750)*(E751=E$1:E750)))))</f>
        <v/>
      </c>
      <c r="L751" s="26"/>
    </row>
    <row r="752" customFormat="false" ht="15" hidden="false" customHeight="false" outlineLevel="0" collapsed="false">
      <c r="A752" s="20" t="s">
        <v>408</v>
      </c>
      <c r="B752" s="27" t="s">
        <v>248</v>
      </c>
      <c r="C752" s="27" t="s">
        <v>225</v>
      </c>
      <c r="D752" s="27" t="s">
        <v>209</v>
      </c>
      <c r="E752" s="21" t="str">
        <f aca="false">IF(D752="?OLD","!!!","")</f>
        <v>!!!</v>
      </c>
      <c r="F752" s="22" t="str">
        <f aca="false">IF(OR(E752="",E752="!!!"),"",IF(NOT(ISNA(VLOOKUP(E752,E$1:E751,1,FALSE()))),"OLD",IF(AND(E752&lt;&gt;"",E752&lt;&gt;"!!!"),"NEW","")))</f>
        <v> </v>
      </c>
      <c r="G752" s="23" t="str">
        <f aca="false">IF(OR(E752="",E752="!!!"),"",IF(OR(J752=0,AND(J752=1,K752=1),AND(J752=1,I752="SBJ"),AND(J752=1,I752=0)),"?IN_FOCUS",IF(J752&lt;=2,"?ACTIVATED",IF(J752&lt;&gt;"","?FAMILIAR",IF(F752="NEW",IF(ISNA(VLOOKUP(E752,#REF!,1,FALSE())),"?TYPE_IDENTIFIABLE","?REFERENTIAL"),"_")))))</f>
        <v/>
      </c>
      <c r="H752" s="24" t="str">
        <f aca="false">IF(J752&lt;&gt;1,"",IF(I752="SBJ","CB","?"))</f>
        <v/>
      </c>
      <c r="I752" s="25" t="str">
        <f aca="false">IF(OR(E752="",E752="!!!",F752="NEW"),"",INDEX(B751:B$2,-1+SUMPRODUCT(MAX(ROW(E751:E$2)*(E752=E751:E$2)))))</f>
        <v> </v>
      </c>
      <c r="J752" s="25" t="str">
        <f aca="true">IF(OR(E752="",E752="!!!",F752="NEW"),"",COUNTBLANK(OFFSET(A$1,,,SUMPRODUCT(MAX(ROW(E$2:E752)*(E752=E$2:E752)))))-COUNTBLANK(OFFSET(A$1,,,SUMPRODUCT(MAX(ROW(E$1:E751)*(E2=E$1:E751))))))</f>
        <v/>
      </c>
      <c r="K752" s="25" t="str">
        <f aca="false">IF(OR(E752="",E752="!!!",F752="NEW"),"",INDEX(J$1:J751,SUMPRODUCT(MAX(ROW(E$1:E751)*(E752=E$1:E751)))))</f>
        <v/>
      </c>
      <c r="L752" s="26"/>
    </row>
    <row r="753" customFormat="false" ht="15" hidden="false" customHeight="false" outlineLevel="0" collapsed="false">
      <c r="A753" s="20" t="s">
        <v>288</v>
      </c>
      <c r="E753" s="21" t="str">
        <f aca="false">IF(D753="?OLD","!!!","")</f>
        <v/>
      </c>
      <c r="F753" s="22" t="str">
        <f aca="false">IF(OR(E753="",E753="!!!"),"",IF(NOT(ISNA(VLOOKUP(E753,E$1:E752,1,FALSE()))),"OLD",IF(AND(E753&lt;&gt;"",E753&lt;&gt;"!!!"),"NEW","")))</f>
        <v> </v>
      </c>
      <c r="G753" s="23" t="str">
        <f aca="false">IF(OR(E753="",E753="!!!"),"",IF(OR(J753=0,AND(J753=1,K753=1),AND(J753=1,I753="SBJ"),AND(J753=1,I753=0)),"?IN_FOCUS",IF(J753&lt;=2,"?ACTIVATED",IF(J753&lt;&gt;"","?FAMILIAR",IF(F753="NEW",IF(ISNA(VLOOKUP(E753,#REF!,1,FALSE())),"?TYPE_IDENTIFIABLE","?REFERENTIAL"),"_")))))</f>
        <v/>
      </c>
      <c r="H753" s="24" t="str">
        <f aca="false">IF(J753&lt;&gt;1,"",IF(I753="SBJ","CB","?"))</f>
        <v/>
      </c>
      <c r="I753" s="25" t="str">
        <f aca="false">IF(OR(E753="",E753="!!!",F753="NEW"),"",INDEX(B752:B$2,-1+SUMPRODUCT(MAX(ROW(E752:E$2)*(E753=E752:E$2)))))</f>
        <v> </v>
      </c>
      <c r="J753" s="25" t="str">
        <f aca="true">IF(OR(E753="",E753="!!!",F753="NEW"),"",COUNTBLANK(OFFSET(A$1,,,SUMPRODUCT(MAX(ROW(E$2:E753)*(E753=E$2:E753)))))-COUNTBLANK(OFFSET(A$1,,,SUMPRODUCT(MAX(ROW(E$1:E752)*(E2=E$1:E752))))))</f>
        <v/>
      </c>
      <c r="K753" s="25" t="str">
        <f aca="false">IF(OR(E753="",E753="!!!",F753="NEW"),"",INDEX(J$1:J752,SUMPRODUCT(MAX(ROW(E$1:E752)*(E753=E$1:E752)))))</f>
        <v/>
      </c>
      <c r="L753" s="26"/>
    </row>
    <row r="754" customFormat="false" ht="15" hidden="false" customHeight="false" outlineLevel="0" collapsed="false">
      <c r="A754" s="20" t="s">
        <v>49</v>
      </c>
      <c r="E754" s="21" t="str">
        <f aca="false">IF(D754="?OLD","!!!","")</f>
        <v/>
      </c>
      <c r="F754" s="22" t="str">
        <f aca="false">IF(OR(E754="",E754="!!!"),"",IF(NOT(ISNA(VLOOKUP(E754,E$1:E753,1,FALSE()))),"OLD",IF(AND(E754&lt;&gt;"",E754&lt;&gt;"!!!"),"NEW","")))</f>
        <v> </v>
      </c>
      <c r="G754" s="23" t="str">
        <f aca="false">IF(OR(E754="",E754="!!!"),"",IF(OR(J754=0,AND(J754=1,K754=1),AND(J754=1,I754="SBJ"),AND(J754=1,I754=0)),"?IN_FOCUS",IF(J754&lt;=2,"?ACTIVATED",IF(J754&lt;&gt;"","?FAMILIAR",IF(F754="NEW",IF(ISNA(VLOOKUP(E754,#REF!,1,FALSE())),"?TYPE_IDENTIFIABLE","?REFERENTIAL"),"_")))))</f>
        <v/>
      </c>
      <c r="H754" s="24" t="str">
        <f aca="false">IF(J754&lt;&gt;1,"",IF(I754="SBJ","CB","?"))</f>
        <v/>
      </c>
      <c r="I754" s="25" t="str">
        <f aca="false">IF(OR(E754="",E754="!!!",F754="NEW"),"",INDEX(B753:B$2,-1+SUMPRODUCT(MAX(ROW(E753:E$2)*(E754=E753:E$2)))))</f>
        <v> </v>
      </c>
      <c r="J754" s="25" t="str">
        <f aca="true">IF(OR(E754="",E754="!!!",F754="NEW"),"",COUNTBLANK(OFFSET(A$1,,,SUMPRODUCT(MAX(ROW(E$2:E754)*(E754=E$2:E754)))))-COUNTBLANK(OFFSET(A$1,,,SUMPRODUCT(MAX(ROW(E$1:E753)*(E2=E$1:E753))))))</f>
        <v/>
      </c>
      <c r="K754" s="25" t="str">
        <f aca="false">IF(OR(E754="",E754="!!!",F754="NEW"),"",INDEX(J$1:J753,SUMPRODUCT(MAX(ROW(E$1:E753)*(E754=E$1:E753)))))</f>
        <v/>
      </c>
      <c r="L754" s="26"/>
    </row>
    <row r="755" customFormat="false" ht="15" hidden="false" customHeight="false" outlineLevel="0" collapsed="false">
      <c r="A755" s="20" t="s">
        <v>338</v>
      </c>
      <c r="B755" s="27" t="s">
        <v>412</v>
      </c>
      <c r="C755" s="27" t="s">
        <v>282</v>
      </c>
      <c r="D755" s="27" t="s">
        <v>209</v>
      </c>
      <c r="E755" s="21" t="str">
        <f aca="false">IF(D755="?OLD","!!!","")</f>
        <v>!!!</v>
      </c>
      <c r="F755" s="22" t="str">
        <f aca="false">IF(OR(E755="",E755="!!!"),"",IF(NOT(ISNA(VLOOKUP(E755,E$1:E754,1,FALSE()))),"OLD",IF(AND(E755&lt;&gt;"",E755&lt;&gt;"!!!"),"NEW","")))</f>
        <v> </v>
      </c>
      <c r="G755" s="23" t="str">
        <f aca="false">IF(OR(E755="",E755="!!!"),"",IF(OR(J755=0,AND(J755=1,K755=1),AND(J755=1,I755="SBJ"),AND(J755=1,I755=0)),"?IN_FOCUS",IF(J755&lt;=2,"?ACTIVATED",IF(J755&lt;&gt;"","?FAMILIAR",IF(F755="NEW",IF(ISNA(VLOOKUP(E755,#REF!,1,FALSE())),"?TYPE_IDENTIFIABLE","?REFERENTIAL"),"_")))))</f>
        <v/>
      </c>
      <c r="H755" s="24" t="str">
        <f aca="false">IF(J755&lt;&gt;1,"",IF(I755="SBJ","CB","?"))</f>
        <v/>
      </c>
      <c r="I755" s="25" t="str">
        <f aca="false">IF(OR(E755="",E755="!!!",F755="NEW"),"",INDEX(B754:B$2,-1+SUMPRODUCT(MAX(ROW(E754:E$2)*(E755=E754:E$2)))))</f>
        <v> </v>
      </c>
      <c r="J755" s="25" t="str">
        <f aca="true">IF(OR(E755="",E755="!!!",F755="NEW"),"",COUNTBLANK(OFFSET(A$1,,,SUMPRODUCT(MAX(ROW(E$2:E755)*(E755=E$2:E755)))))-COUNTBLANK(OFFSET(A$1,,,SUMPRODUCT(MAX(ROW(E$1:E754)*(E2=E$1:E754))))))</f>
        <v/>
      </c>
      <c r="K755" s="25" t="str">
        <f aca="false">IF(OR(E755="",E755="!!!",F755="NEW"),"",INDEX(J$1:J754,SUMPRODUCT(MAX(ROW(E$1:E754)*(E755=E$1:E754)))))</f>
        <v/>
      </c>
      <c r="L755" s="26"/>
    </row>
    <row r="756" customFormat="false" ht="15" hidden="false" customHeight="false" outlineLevel="0" collapsed="false">
      <c r="A756" s="20" t="s">
        <v>339</v>
      </c>
      <c r="B756" s="27" t="s">
        <v>250</v>
      </c>
      <c r="C756" s="27" t="s">
        <v>284</v>
      </c>
      <c r="D756" s="27" t="s">
        <v>209</v>
      </c>
      <c r="E756" s="21" t="str">
        <f aca="false">IF(D756="?OLD","!!!","")</f>
        <v>!!!</v>
      </c>
      <c r="F756" s="22" t="str">
        <f aca="false">IF(OR(E756="",E756="!!!"),"",IF(NOT(ISNA(VLOOKUP(E756,E$1:E755,1,FALSE()))),"OLD",IF(AND(E756&lt;&gt;"",E756&lt;&gt;"!!!"),"NEW","")))</f>
        <v> </v>
      </c>
      <c r="G756" s="23" t="str">
        <f aca="false">IF(OR(E756="",E756="!!!"),"",IF(OR(J756=0,AND(J756=1,K756=1),AND(J756=1,I756="SBJ"),AND(J756=1,I756=0)),"?IN_FOCUS",IF(J756&lt;=2,"?ACTIVATED",IF(J756&lt;&gt;"","?FAMILIAR",IF(F756="NEW",IF(ISNA(VLOOKUP(E756,#REF!,1,FALSE())),"?TYPE_IDENTIFIABLE","?REFERENTIAL"),"_")))))</f>
        <v/>
      </c>
      <c r="H756" s="24" t="str">
        <f aca="false">IF(J756&lt;&gt;1,"",IF(I756="SBJ","CB","?"))</f>
        <v/>
      </c>
      <c r="I756" s="25" t="str">
        <f aca="false">IF(OR(E756="",E756="!!!",F756="NEW"),"",INDEX(B755:B$2,-1+SUMPRODUCT(MAX(ROW(E755:E$2)*(E756=E755:E$2)))))</f>
        <v> </v>
      </c>
      <c r="J756" s="25" t="str">
        <f aca="true">IF(OR(E756="",E756="!!!",F756="NEW"),"",COUNTBLANK(OFFSET(A$1,,,SUMPRODUCT(MAX(ROW(E$2:E756)*(E756=E$2:E756)))))-COUNTBLANK(OFFSET(A$1,,,SUMPRODUCT(MAX(ROW(E$1:E755)*(E2=E$1:E755))))))</f>
        <v/>
      </c>
      <c r="K756" s="25" t="str">
        <f aca="false">IF(OR(E756="",E756="!!!",F756="NEW"),"",INDEX(J$1:J755,SUMPRODUCT(MAX(ROW(E$1:E755)*(E756=E$1:E755)))))</f>
        <v/>
      </c>
      <c r="L756" s="26"/>
    </row>
    <row r="757" customFormat="false" ht="15" hidden="false" customHeight="false" outlineLevel="0" collapsed="false">
      <c r="A757" s="20" t="s">
        <v>237</v>
      </c>
      <c r="E757" s="21" t="str">
        <f aca="false">IF(D757="?OLD","!!!","")</f>
        <v/>
      </c>
      <c r="F757" s="22" t="str">
        <f aca="false">IF(OR(E757="",E757="!!!"),"",IF(NOT(ISNA(VLOOKUP(E757,E$1:E756,1,FALSE()))),"OLD",IF(AND(E757&lt;&gt;"",E757&lt;&gt;"!!!"),"NEW","")))</f>
        <v> </v>
      </c>
      <c r="G757" s="23" t="str">
        <f aca="false">IF(OR(E757="",E757="!!!"),"",IF(OR(J757=0,AND(J757=1,K757=1),AND(J757=1,I757="SBJ"),AND(J757=1,I757=0)),"?IN_FOCUS",IF(J757&lt;=2,"?ACTIVATED",IF(J757&lt;&gt;"","?FAMILIAR",IF(F757="NEW",IF(ISNA(VLOOKUP(E757,#REF!,1,FALSE())),"?TYPE_IDENTIFIABLE","?REFERENTIAL"),"_")))))</f>
        <v/>
      </c>
      <c r="H757" s="24" t="str">
        <f aca="false">IF(J757&lt;&gt;1,"",IF(I757="SBJ","CB","?"))</f>
        <v/>
      </c>
      <c r="I757" s="25" t="str">
        <f aca="false">IF(OR(E757="",E757="!!!",F757="NEW"),"",INDEX(B756:B$2,-1+SUMPRODUCT(MAX(ROW(E756:E$2)*(E757=E756:E$2)))))</f>
        <v> </v>
      </c>
      <c r="J757" s="25" t="str">
        <f aca="true">IF(OR(E757="",E757="!!!",F757="NEW"),"",COUNTBLANK(OFFSET(A$1,,,SUMPRODUCT(MAX(ROW(E$2:E757)*(E757=E$2:E757)))))-COUNTBLANK(OFFSET(A$1,,,SUMPRODUCT(MAX(ROW(E$1:E756)*(E2=E$1:E756))))))</f>
        <v/>
      </c>
      <c r="K757" s="25" t="str">
        <f aca="false">IF(OR(E757="",E757="!!!",F757="NEW"),"",INDEX(J$1:J756,SUMPRODUCT(MAX(ROW(E$1:E756)*(E757=E$1:E756)))))</f>
        <v/>
      </c>
      <c r="L757" s="26"/>
    </row>
    <row r="758" customFormat="false" ht="15" hidden="false" customHeight="false" outlineLevel="0" collapsed="false">
      <c r="A758" s="20" t="s">
        <v>288</v>
      </c>
      <c r="E758" s="21" t="str">
        <f aca="false">IF(D758="?OLD","!!!","")</f>
        <v/>
      </c>
      <c r="F758" s="22" t="str">
        <f aca="false">IF(OR(E758="",E758="!!!"),"",IF(NOT(ISNA(VLOOKUP(E758,E$1:E757,1,FALSE()))),"OLD",IF(AND(E758&lt;&gt;"",E758&lt;&gt;"!!!"),"NEW","")))</f>
        <v> </v>
      </c>
      <c r="G758" s="23" t="str">
        <f aca="false">IF(OR(E758="",E758="!!!"),"",IF(OR(J758=0,AND(J758=1,K758=1),AND(J758=1,I758="SBJ"),AND(J758=1,I758=0)),"?IN_FOCUS",IF(J758&lt;=2,"?ACTIVATED",IF(J758&lt;&gt;"","?FAMILIAR",IF(F758="NEW",IF(ISNA(VLOOKUP(E758,#REF!,1,FALSE())),"?TYPE_IDENTIFIABLE","?REFERENTIAL"),"_")))))</f>
        <v/>
      </c>
      <c r="H758" s="24" t="str">
        <f aca="false">IF(J758&lt;&gt;1,"",IF(I758="SBJ","CB","?"))</f>
        <v/>
      </c>
      <c r="I758" s="25" t="str">
        <f aca="false">IF(OR(E758="",E758="!!!",F758="NEW"),"",INDEX(B757:B$2,-1+SUMPRODUCT(MAX(ROW(E757:E$2)*(E758=E757:E$2)))))</f>
        <v> </v>
      </c>
      <c r="J758" s="25" t="str">
        <f aca="true">IF(OR(E758="",E758="!!!",F758="NEW"),"",COUNTBLANK(OFFSET(A$1,,,SUMPRODUCT(MAX(ROW(E$2:E758)*(E758=E$2:E758)))))-COUNTBLANK(OFFSET(A$1,,,SUMPRODUCT(MAX(ROW(E$1:E757)*(E2=E$1:E757))))))</f>
        <v/>
      </c>
      <c r="K758" s="25" t="str">
        <f aca="false">IF(OR(E758="",E758="!!!",F758="NEW"),"",INDEX(J$1:J757,SUMPRODUCT(MAX(ROW(E$1:E757)*(E758=E$1:E757)))))</f>
        <v/>
      </c>
      <c r="L758" s="26"/>
    </row>
    <row r="759" customFormat="false" ht="15" hidden="false" customHeight="false" outlineLevel="0" collapsed="false">
      <c r="A759" s="20" t="s">
        <v>442</v>
      </c>
      <c r="E759" s="21" t="str">
        <f aca="false">IF(D759="?OLD","!!!","")</f>
        <v/>
      </c>
      <c r="F759" s="22" t="str">
        <f aca="false">IF(OR(E759="",E759="!!!"),"",IF(NOT(ISNA(VLOOKUP(E759,E$1:E758,1,FALSE()))),"OLD",IF(AND(E759&lt;&gt;"",E759&lt;&gt;"!!!"),"NEW","")))</f>
        <v> </v>
      </c>
      <c r="G759" s="23" t="str">
        <f aca="false">IF(OR(E759="",E759="!!!"),"",IF(OR(J759=0,AND(J759=1,K759=1),AND(J759=1,I759="SBJ"),AND(J759=1,I759=0)),"?IN_FOCUS",IF(J759&lt;=2,"?ACTIVATED",IF(J759&lt;&gt;"","?FAMILIAR",IF(F759="NEW",IF(ISNA(VLOOKUP(E759,#REF!,1,FALSE())),"?TYPE_IDENTIFIABLE","?REFERENTIAL"),"_")))))</f>
        <v/>
      </c>
      <c r="H759" s="24" t="str">
        <f aca="false">IF(J759&lt;&gt;1,"",IF(I759="SBJ","CB","?"))</f>
        <v/>
      </c>
      <c r="I759" s="25" t="str">
        <f aca="false">IF(OR(E759="",E759="!!!",F759="NEW"),"",INDEX(B758:B$2,-1+SUMPRODUCT(MAX(ROW(E758:E$2)*(E759=E758:E$2)))))</f>
        <v> </v>
      </c>
      <c r="J759" s="25" t="str">
        <f aca="true">IF(OR(E759="",E759="!!!",F759="NEW"),"",COUNTBLANK(OFFSET(A$1,,,SUMPRODUCT(MAX(ROW(E$2:E759)*(E759=E$2:E759)))))-COUNTBLANK(OFFSET(A$1,,,SUMPRODUCT(MAX(ROW(E$1:E758)*(E2=E$1:E758))))))</f>
        <v/>
      </c>
      <c r="K759" s="25" t="str">
        <f aca="false">IF(OR(E759="",E759="!!!",F759="NEW"),"",INDEX(J$1:J758,SUMPRODUCT(MAX(ROW(E$1:E758)*(E759=E$1:E758)))))</f>
        <v/>
      </c>
      <c r="L759" s="26"/>
    </row>
    <row r="760" customFormat="false" ht="15" hidden="false" customHeight="false" outlineLevel="0" collapsed="false">
      <c r="A760" s="20" t="s">
        <v>319</v>
      </c>
      <c r="B760" s="27" t="s">
        <v>311</v>
      </c>
      <c r="C760" s="27" t="s">
        <v>233</v>
      </c>
      <c r="D760" s="27" t="s">
        <v>209</v>
      </c>
      <c r="E760" s="21" t="str">
        <f aca="false">IF(D760="?OLD","!!!","")</f>
        <v>!!!</v>
      </c>
      <c r="F760" s="22" t="str">
        <f aca="false">IF(OR(E760="",E760="!!!"),"",IF(NOT(ISNA(VLOOKUP(E760,E$1:E759,1,FALSE()))),"OLD",IF(AND(E760&lt;&gt;"",E760&lt;&gt;"!!!"),"NEW","")))</f>
        <v> </v>
      </c>
      <c r="G760" s="23" t="str">
        <f aca="false">IF(OR(E760="",E760="!!!"),"",IF(OR(J760=0,AND(J760=1,K760=1),AND(J760=1,I760="SBJ"),AND(J760=1,I760=0)),"?IN_FOCUS",IF(J760&lt;=2,"?ACTIVATED",IF(J760&lt;&gt;"","?FAMILIAR",IF(F760="NEW",IF(ISNA(VLOOKUP(E760,#REF!,1,FALSE())),"?TYPE_IDENTIFIABLE","?REFERENTIAL"),"_")))))</f>
        <v/>
      </c>
      <c r="H760" s="24" t="str">
        <f aca="false">IF(J760&lt;&gt;1,"",IF(I760="SBJ","CB","?"))</f>
        <v/>
      </c>
      <c r="I760" s="25" t="str">
        <f aca="false">IF(OR(E760="",E760="!!!",F760="NEW"),"",INDEX(B759:B$2,-1+SUMPRODUCT(MAX(ROW(E759:E$2)*(E760=E759:E$2)))))</f>
        <v> </v>
      </c>
      <c r="J760" s="25" t="str">
        <f aca="true">IF(OR(E760="",E760="!!!",F760="NEW"),"",COUNTBLANK(OFFSET(A$1,,,SUMPRODUCT(MAX(ROW(E$2:E760)*(E760=E$2:E760)))))-COUNTBLANK(OFFSET(A$1,,,SUMPRODUCT(MAX(ROW(E$1:E759)*(E2=E$1:E759))))))</f>
        <v/>
      </c>
      <c r="K760" s="25" t="str">
        <f aca="false">IF(OR(E760="",E760="!!!",F760="NEW"),"",INDEX(J$1:J759,SUMPRODUCT(MAX(ROW(E$1:E759)*(E760=E$1:E759)))))</f>
        <v/>
      </c>
      <c r="L760" s="26"/>
    </row>
    <row r="761" customFormat="false" ht="15" hidden="false" customHeight="false" outlineLevel="0" collapsed="false">
      <c r="A761" s="20" t="s">
        <v>229</v>
      </c>
      <c r="E761" s="21" t="str">
        <f aca="false">IF(D761="?OLD","!!!","")</f>
        <v/>
      </c>
      <c r="F761" s="22" t="str">
        <f aca="false">IF(OR(E761="",E761="!!!"),"",IF(NOT(ISNA(VLOOKUP(E761,E$1:E760,1,FALSE()))),"OLD",IF(AND(E761&lt;&gt;"",E761&lt;&gt;"!!!"),"NEW","")))</f>
        <v> </v>
      </c>
      <c r="G761" s="23" t="str">
        <f aca="false">IF(OR(E761="",E761="!!!"),"",IF(OR(J761=0,AND(J761=1,K761=1),AND(J761=1,I761="SBJ"),AND(J761=1,I761=0)),"?IN_FOCUS",IF(J761&lt;=2,"?ACTIVATED",IF(J761&lt;&gt;"","?FAMILIAR",IF(F761="NEW",IF(ISNA(VLOOKUP(E761,#REF!,1,FALSE())),"?TYPE_IDENTIFIABLE","?REFERENTIAL"),"_")))))</f>
        <v/>
      </c>
      <c r="H761" s="24" t="str">
        <f aca="false">IF(J761&lt;&gt;1,"",IF(I761="SBJ","CB","?"))</f>
        <v/>
      </c>
      <c r="I761" s="25" t="str">
        <f aca="false">IF(OR(E761="",E761="!!!",F761="NEW"),"",INDEX(B760:B$2,-1+SUMPRODUCT(MAX(ROW(E760:E$2)*(E761=E760:E$2)))))</f>
        <v> </v>
      </c>
      <c r="J761" s="25" t="str">
        <f aca="true">IF(OR(E761="",E761="!!!",F761="NEW"),"",COUNTBLANK(OFFSET(A$1,,,SUMPRODUCT(MAX(ROW(E$2:E761)*(E761=E$2:E761)))))-COUNTBLANK(OFFSET(A$1,,,SUMPRODUCT(MAX(ROW(E$1:E760)*(E2=E$1:E760))))))</f>
        <v/>
      </c>
      <c r="K761" s="25" t="str">
        <f aca="false">IF(OR(E761="",E761="!!!",F761="NEW"),"",INDEX(J$1:J760,SUMPRODUCT(MAX(ROW(E$1:E760)*(E761=E$1:E760)))))</f>
        <v/>
      </c>
      <c r="L761" s="26"/>
    </row>
    <row r="762" customFormat="false" ht="15" hidden="false" customHeight="false" outlineLevel="0" collapsed="false">
      <c r="A762" s="20"/>
    </row>
    <row r="763" customFormat="false" ht="15" hidden="false" customHeight="false" outlineLevel="0" collapsed="false">
      <c r="A763" s="20" t="s">
        <v>230</v>
      </c>
      <c r="E763" s="21" t="str">
        <f aca="false">IF(D763="?OLD","!!!","")</f>
        <v/>
      </c>
      <c r="F763" s="22" t="str">
        <f aca="false">IF(OR(E763="",E763="!!!"),"",IF(NOT(ISNA(VLOOKUP(E763,E$1:E762,1,FALSE()))),"OLD",IF(AND(E763&lt;&gt;"",E763&lt;&gt;"!!!"),"NEW","")))</f>
        <v> </v>
      </c>
      <c r="G763" s="23" t="str">
        <f aca="false">IF(OR(E763="",E763="!!!"),"",IF(OR(J763=0,AND(J763=1,K763=1),AND(J763=1,I763="SBJ"),AND(J763=1,I763=0)),"?IN_FOCUS",IF(J763&lt;=2,"?ACTIVATED",IF(J763&lt;&gt;"","?FAMILIAR",IF(F763="NEW",IF(ISNA(VLOOKUP(E763,#REF!,1,FALSE())),"?TYPE_IDENTIFIABLE","?REFERENTIAL"),"_")))))</f>
        <v/>
      </c>
      <c r="H763" s="24" t="str">
        <f aca="false">IF(J763&lt;&gt;1,"",IF(I763="SBJ","CB","?"))</f>
        <v/>
      </c>
      <c r="I763" s="25" t="str">
        <f aca="false">IF(OR(E763="",E763="!!!",F763="NEW"),"",INDEX(B762:B$2,-1+SUMPRODUCT(MAX(ROW(E762:E$2)*(E763=E762:E$2)))))</f>
        <v> </v>
      </c>
      <c r="J763" s="25" t="str">
        <f aca="true">IF(OR(E763="",E763="!!!",F763="NEW"),"",COUNTBLANK(OFFSET(A$1,,,SUMPRODUCT(MAX(ROW(E$2:E763)*(E763=E$2:E763)))))-COUNTBLANK(OFFSET(A$1,,,SUMPRODUCT(MAX(ROW(E$1:E762)*(E2=E$1:E762))))))</f>
        <v/>
      </c>
      <c r="K763" s="25" t="str">
        <f aca="false">IF(OR(E763="",E763="!!!",F763="NEW"),"",INDEX(J$1:J762,SUMPRODUCT(MAX(ROW(E$1:E762)*(E763=E$1:E762)))))</f>
        <v/>
      </c>
      <c r="L763" s="26"/>
    </row>
    <row r="764" customFormat="false" ht="15" hidden="false" customHeight="false" outlineLevel="0" collapsed="false">
      <c r="A764" s="20" t="s">
        <v>443</v>
      </c>
    </row>
    <row r="765" customFormat="false" ht="15" hidden="false" customHeight="false" outlineLevel="0" collapsed="false">
      <c r="A765" s="20" t="s">
        <v>223</v>
      </c>
      <c r="B765" s="27" t="s">
        <v>207</v>
      </c>
      <c r="C765" s="27" t="s">
        <v>225</v>
      </c>
      <c r="D765" s="27" t="s">
        <v>209</v>
      </c>
      <c r="E765" s="21" t="str">
        <f aca="false">IF(D765="?OLD","!!!","")</f>
        <v>!!!</v>
      </c>
      <c r="F765" s="22" t="str">
        <f aca="false">IF(OR(E765="",E765="!!!"),"",IF(NOT(ISNA(VLOOKUP(E765,E$1:E764,1,FALSE()))),"OLD",IF(AND(E765&lt;&gt;"",E765&lt;&gt;"!!!"),"NEW","")))</f>
        <v> </v>
      </c>
      <c r="G765" s="23" t="str">
        <f aca="false">IF(OR(E765="",E765="!!!"),"",IF(OR(J765=0,AND(J765=1,K765=1),AND(J765=1,I765="SBJ"),AND(J765=1,I765=0)),"?IN_FOCUS",IF(J765&lt;=2,"?ACTIVATED",IF(J765&lt;&gt;"","?FAMILIAR",IF(F765="NEW",IF(ISNA(VLOOKUP(E765,#REF!,1,FALSE())),"?TYPE_IDENTIFIABLE","?REFERENTIAL"),"_")))))</f>
        <v/>
      </c>
      <c r="H765" s="24" t="str">
        <f aca="false">IF(J765&lt;&gt;1,"",IF(I765="SBJ","CB","?"))</f>
        <v/>
      </c>
      <c r="I765" s="25" t="str">
        <f aca="false">IF(OR(E765="",E765="!!!",F765="NEW"),"",INDEX(B764:B$2,-1+SUMPRODUCT(MAX(ROW(E764:E$2)*(E765=E764:E$2)))))</f>
        <v> </v>
      </c>
      <c r="J765" s="25" t="str">
        <f aca="true">IF(OR(E765="",E765="!!!",F765="NEW"),"",COUNTBLANK(OFFSET(A$1,,,SUMPRODUCT(MAX(ROW(E$2:E765)*(E765=E$2:E765)))))-COUNTBLANK(OFFSET(A$1,,,SUMPRODUCT(MAX(ROW(E$1:E764)*(E2=E$1:E764))))))</f>
        <v/>
      </c>
      <c r="K765" s="25" t="str">
        <f aca="false">IF(OR(E765="",E765="!!!",F765="NEW"),"",INDEX(J$1:J764,SUMPRODUCT(MAX(ROW(E$1:E764)*(E765=E$1:E764)))))</f>
        <v/>
      </c>
      <c r="L765" s="26"/>
    </row>
    <row r="766" customFormat="false" ht="15" hidden="false" customHeight="false" outlineLevel="0" collapsed="false">
      <c r="A766" s="20" t="s">
        <v>226</v>
      </c>
      <c r="E766" s="21" t="str">
        <f aca="false">IF(D766="?OLD","!!!","")</f>
        <v/>
      </c>
      <c r="F766" s="22" t="str">
        <f aca="false">IF(OR(E766="",E766="!!!"),"",IF(NOT(ISNA(VLOOKUP(E766,E$1:E765,1,FALSE()))),"OLD",IF(AND(E766&lt;&gt;"",E766&lt;&gt;"!!!"),"NEW","")))</f>
        <v> </v>
      </c>
      <c r="G766" s="23" t="str">
        <f aca="false">IF(OR(E766="",E766="!!!"),"",IF(OR(J766=0,AND(J766=1,K766=1),AND(J766=1,I766="SBJ"),AND(J766=1,I766=0)),"?IN_FOCUS",IF(J766&lt;=2,"?ACTIVATED",IF(J766&lt;&gt;"","?FAMILIAR",IF(F766="NEW",IF(ISNA(VLOOKUP(E766,#REF!,1,FALSE())),"?TYPE_IDENTIFIABLE","?REFERENTIAL"),"_")))))</f>
        <v/>
      </c>
      <c r="H766" s="24" t="str">
        <f aca="false">IF(J766&lt;&gt;1,"",IF(I766="SBJ","CB","?"))</f>
        <v/>
      </c>
      <c r="I766" s="25" t="str">
        <f aca="false">IF(OR(E766="",E766="!!!",F766="NEW"),"",INDEX(B765:B$2,-1+SUMPRODUCT(MAX(ROW(E765:E$2)*(E766=E765:E$2)))))</f>
        <v> </v>
      </c>
      <c r="J766" s="25" t="str">
        <f aca="true">IF(OR(E766="",E766="!!!",F766="NEW"),"",COUNTBLANK(OFFSET(A$1,,,SUMPRODUCT(MAX(ROW(E$2:E766)*(E766=E$2:E766)))))-COUNTBLANK(OFFSET(A$1,,,SUMPRODUCT(MAX(ROW(E$1:E765)*(E2=E$1:E765))))))</f>
        <v/>
      </c>
      <c r="K766" s="25" t="str">
        <f aca="false">IF(OR(E766="",E766="!!!",F766="NEW"),"",INDEX(J$1:J765,SUMPRODUCT(MAX(ROW(E$1:E765)*(E766=E$1:E765)))))</f>
        <v/>
      </c>
      <c r="L766" s="26"/>
    </row>
    <row r="767" customFormat="false" ht="15" hidden="false" customHeight="false" outlineLevel="0" collapsed="false">
      <c r="A767" s="20" t="s">
        <v>234</v>
      </c>
      <c r="E767" s="21" t="str">
        <f aca="false">IF(D767="?OLD","!!!","")</f>
        <v/>
      </c>
      <c r="F767" s="22" t="str">
        <f aca="false">IF(OR(E767="",E767="!!!"),"",IF(NOT(ISNA(VLOOKUP(E767,E$1:E766,1,FALSE()))),"OLD",IF(AND(E767&lt;&gt;"",E767&lt;&gt;"!!!"),"NEW","")))</f>
        <v> </v>
      </c>
      <c r="G767" s="23" t="str">
        <f aca="false">IF(OR(E767="",E767="!!!"),"",IF(OR(J767=0,AND(J767=1,K767=1),AND(J767=1,I767="SBJ"),AND(J767=1,I767=0)),"?IN_FOCUS",IF(J767&lt;=2,"?ACTIVATED",IF(J767&lt;&gt;"","?FAMILIAR",IF(F767="NEW",IF(ISNA(VLOOKUP(E767,#REF!,1,FALSE())),"?TYPE_IDENTIFIABLE","?REFERENTIAL"),"_")))))</f>
        <v/>
      </c>
      <c r="H767" s="24" t="str">
        <f aca="false">IF(J767&lt;&gt;1,"",IF(I767="SBJ","CB","?"))</f>
        <v/>
      </c>
      <c r="I767" s="25" t="str">
        <f aca="false">IF(OR(E767="",E767="!!!",F767="NEW"),"",INDEX(B766:B$2,-1+SUMPRODUCT(MAX(ROW(E766:E$2)*(E767=E766:E$2)))))</f>
        <v> </v>
      </c>
      <c r="J767" s="25" t="str">
        <f aca="true">IF(OR(E767="",E767="!!!",F767="NEW"),"",COUNTBLANK(OFFSET(A$1,,,SUMPRODUCT(MAX(ROW(E$2:E767)*(E767=E$2:E767)))))-COUNTBLANK(OFFSET(A$1,,,SUMPRODUCT(MAX(ROW(E$1:E766)*(E2=E$1:E766))))))</f>
        <v/>
      </c>
      <c r="K767" s="25" t="str">
        <f aca="false">IF(OR(E767="",E767="!!!",F767="NEW"),"",INDEX(J$1:J766,SUMPRODUCT(MAX(ROW(E$1:E766)*(E767=E$1:E766)))))</f>
        <v/>
      </c>
      <c r="L767" s="26"/>
    </row>
    <row r="768" customFormat="false" ht="15" hidden="false" customHeight="false" outlineLevel="0" collapsed="false">
      <c r="A768" s="20" t="s">
        <v>237</v>
      </c>
      <c r="E768" s="21" t="str">
        <f aca="false">IF(D768="?OLD","!!!","")</f>
        <v/>
      </c>
      <c r="F768" s="22" t="str">
        <f aca="false">IF(OR(E768="",E768="!!!"),"",IF(NOT(ISNA(VLOOKUP(E768,E$1:E767,1,FALSE()))),"OLD",IF(AND(E768&lt;&gt;"",E768&lt;&gt;"!!!"),"NEW","")))</f>
        <v> </v>
      </c>
      <c r="G768" s="23" t="str">
        <f aca="false">IF(OR(E768="",E768="!!!"),"",IF(OR(J768=0,AND(J768=1,K768=1),AND(J768=1,I768="SBJ"),AND(J768=1,I768=0)),"?IN_FOCUS",IF(J768&lt;=2,"?ACTIVATED",IF(J768&lt;&gt;"","?FAMILIAR",IF(F768="NEW",IF(ISNA(VLOOKUP(E768,#REF!,1,FALSE())),"?TYPE_IDENTIFIABLE","?REFERENTIAL"),"_")))))</f>
        <v/>
      </c>
      <c r="H768" s="24" t="str">
        <f aca="false">IF(J768&lt;&gt;1,"",IF(I768="SBJ","CB","?"))</f>
        <v/>
      </c>
      <c r="I768" s="25" t="str">
        <f aca="false">IF(OR(E768="",E768="!!!",F768="NEW"),"",INDEX(B767:B$2,-1+SUMPRODUCT(MAX(ROW(E767:E$2)*(E768=E767:E$2)))))</f>
        <v> </v>
      </c>
      <c r="J768" s="25" t="str">
        <f aca="true">IF(OR(E768="",E768="!!!",F768="NEW"),"",COUNTBLANK(OFFSET(A$1,,,SUMPRODUCT(MAX(ROW(E$2:E768)*(E768=E$2:E768)))))-COUNTBLANK(OFFSET(A$1,,,SUMPRODUCT(MAX(ROW(E$1:E767)*(E2=E$1:E767))))))</f>
        <v/>
      </c>
      <c r="K768" s="25" t="str">
        <f aca="false">IF(OR(E768="",E768="!!!",F768="NEW"),"",INDEX(J$1:J767,SUMPRODUCT(MAX(ROW(E$1:E767)*(E768=E$1:E767)))))</f>
        <v/>
      </c>
      <c r="L768" s="26"/>
    </row>
    <row r="769" customFormat="false" ht="15" hidden="false" customHeight="false" outlineLevel="0" collapsed="false">
      <c r="A769" s="20" t="s">
        <v>238</v>
      </c>
      <c r="E769" s="21" t="str">
        <f aca="false">IF(D769="?OLD","!!!","")</f>
        <v/>
      </c>
      <c r="F769" s="22" t="str">
        <f aca="false">IF(OR(E769="",E769="!!!"),"",IF(NOT(ISNA(VLOOKUP(E769,E$1:E768,1,FALSE()))),"OLD",IF(AND(E769&lt;&gt;"",E769&lt;&gt;"!!!"),"NEW","")))</f>
        <v> </v>
      </c>
      <c r="G769" s="23" t="str">
        <f aca="false">IF(OR(E769="",E769="!!!"),"",IF(OR(J769=0,AND(J769=1,K769=1),AND(J769=1,I769="SBJ"),AND(J769=1,I769=0)),"?IN_FOCUS",IF(J769&lt;=2,"?ACTIVATED",IF(J769&lt;&gt;"","?FAMILIAR",IF(F769="NEW",IF(ISNA(VLOOKUP(E769,#REF!,1,FALSE())),"?TYPE_IDENTIFIABLE","?REFERENTIAL"),"_")))))</f>
        <v/>
      </c>
      <c r="H769" s="24" t="str">
        <f aca="false">IF(J769&lt;&gt;1,"",IF(I769="SBJ","CB","?"))</f>
        <v/>
      </c>
      <c r="I769" s="25" t="str">
        <f aca="false">IF(OR(E769="",E769="!!!",F769="NEW"),"",INDEX(B768:B$2,-1+SUMPRODUCT(MAX(ROW(E768:E$2)*(E769=E768:E$2)))))</f>
        <v> </v>
      </c>
      <c r="J769" s="25" t="str">
        <f aca="true">IF(OR(E769="",E769="!!!",F769="NEW"),"",COUNTBLANK(OFFSET(A$1,,,SUMPRODUCT(MAX(ROW(E$2:E769)*(E769=E$2:E769)))))-COUNTBLANK(OFFSET(A$1,,,SUMPRODUCT(MAX(ROW(E$1:E768)*(E2=E$1:E768))))))</f>
        <v/>
      </c>
      <c r="K769" s="25" t="str">
        <f aca="false">IF(OR(E769="",E769="!!!",F769="NEW"),"",INDEX(J$1:J768,SUMPRODUCT(MAX(ROW(E$1:E768)*(E769=E$1:E768)))))</f>
        <v/>
      </c>
      <c r="L769" s="26"/>
    </row>
    <row r="770" customFormat="false" ht="15" hidden="false" customHeight="false" outlineLevel="0" collapsed="false">
      <c r="A770" s="20" t="s">
        <v>444</v>
      </c>
      <c r="E770" s="21" t="str">
        <f aca="false">IF(D770="?OLD","!!!","")</f>
        <v/>
      </c>
      <c r="F770" s="22" t="str">
        <f aca="false">IF(OR(E770="",E770="!!!"),"",IF(NOT(ISNA(VLOOKUP(E770,E$1:E769,1,FALSE()))),"OLD",IF(AND(E770&lt;&gt;"",E770&lt;&gt;"!!!"),"NEW","")))</f>
        <v> </v>
      </c>
      <c r="G770" s="23" t="str">
        <f aca="false">IF(OR(E770="",E770="!!!"),"",IF(OR(J770=0,AND(J770=1,K770=1),AND(J770=1,I770="SBJ"),AND(J770=1,I770=0)),"?IN_FOCUS",IF(J770&lt;=2,"?ACTIVATED",IF(J770&lt;&gt;"","?FAMILIAR",IF(F770="NEW",IF(ISNA(VLOOKUP(E770,#REF!,1,FALSE())),"?TYPE_IDENTIFIABLE","?REFERENTIAL"),"_")))))</f>
        <v/>
      </c>
      <c r="H770" s="24" t="str">
        <f aca="false">IF(J770&lt;&gt;1,"",IF(I770="SBJ","CB","?"))</f>
        <v/>
      </c>
      <c r="I770" s="25" t="str">
        <f aca="false">IF(OR(E770="",E770="!!!",F770="NEW"),"",INDEX(B769:B$2,-1+SUMPRODUCT(MAX(ROW(E769:E$2)*(E770=E769:E$2)))))</f>
        <v> </v>
      </c>
      <c r="J770" s="25" t="str">
        <f aca="true">IF(OR(E770="",E770="!!!",F770="NEW"),"",COUNTBLANK(OFFSET(A$1,,,SUMPRODUCT(MAX(ROW(E$2:E770)*(E770=E$2:E770)))))-COUNTBLANK(OFFSET(A$1,,,SUMPRODUCT(MAX(ROW(E$1:E769)*(E2=E$1:E769))))))</f>
        <v/>
      </c>
      <c r="K770" s="25" t="str">
        <f aca="false">IF(OR(E770="",E770="!!!",F770="NEW"),"",INDEX(J$1:J769,SUMPRODUCT(MAX(ROW(E$1:E769)*(E770=E$1:E769)))))</f>
        <v/>
      </c>
      <c r="L770" s="26"/>
    </row>
    <row r="771" customFormat="false" ht="15" hidden="false" customHeight="false" outlineLevel="0" collapsed="false">
      <c r="A771" s="20" t="s">
        <v>237</v>
      </c>
      <c r="E771" s="21" t="str">
        <f aca="false">IF(D771="?OLD","!!!","")</f>
        <v/>
      </c>
      <c r="F771" s="22" t="str">
        <f aca="false">IF(OR(E771="",E771="!!!"),"",IF(NOT(ISNA(VLOOKUP(E771,E$1:E770,1,FALSE()))),"OLD",IF(AND(E771&lt;&gt;"",E771&lt;&gt;"!!!"),"NEW","")))</f>
        <v> </v>
      </c>
      <c r="G771" s="23" t="str">
        <f aca="false">IF(OR(E771="",E771="!!!"),"",IF(OR(J771=0,AND(J771=1,K771=1),AND(J771=1,I771="SBJ"),AND(J771=1,I771=0)),"?IN_FOCUS",IF(J771&lt;=2,"?ACTIVATED",IF(J771&lt;&gt;"","?FAMILIAR",IF(F771="NEW",IF(ISNA(VLOOKUP(E771,#REF!,1,FALSE())),"?TYPE_IDENTIFIABLE","?REFERENTIAL"),"_")))))</f>
        <v/>
      </c>
      <c r="H771" s="24" t="str">
        <f aca="false">IF(J771&lt;&gt;1,"",IF(I771="SBJ","CB","?"))</f>
        <v/>
      </c>
      <c r="I771" s="25" t="str">
        <f aca="false">IF(OR(E771="",E771="!!!",F771="NEW"),"",INDEX(B770:B$2,-1+SUMPRODUCT(MAX(ROW(E770:E$2)*(E771=E770:E$2)))))</f>
        <v> </v>
      </c>
      <c r="J771" s="25" t="str">
        <f aca="true">IF(OR(E771="",E771="!!!",F771="NEW"),"",COUNTBLANK(OFFSET(A$1,,,SUMPRODUCT(MAX(ROW(E$2:E771)*(E771=E$2:E771)))))-COUNTBLANK(OFFSET(A$1,,,SUMPRODUCT(MAX(ROW(E$1:E770)*(E2=E$1:E770))))))</f>
        <v/>
      </c>
      <c r="K771" s="25" t="str">
        <f aca="false">IF(OR(E771="",E771="!!!",F771="NEW"),"",INDEX(J$1:J770,SUMPRODUCT(MAX(ROW(E$1:E770)*(E771=E$1:E770)))))</f>
        <v/>
      </c>
      <c r="L771" s="26"/>
    </row>
    <row r="772" customFormat="false" ht="15" hidden="false" customHeight="false" outlineLevel="0" collapsed="false">
      <c r="A772" s="20" t="s">
        <v>205</v>
      </c>
      <c r="E772" s="21" t="str">
        <f aca="false">IF(D772="?OLD","!!!","")</f>
        <v/>
      </c>
      <c r="F772" s="22" t="str">
        <f aca="false">IF(OR(E772="",E772="!!!"),"",IF(NOT(ISNA(VLOOKUP(E772,E$1:E771,1,FALSE()))),"OLD",IF(AND(E772&lt;&gt;"",E772&lt;&gt;"!!!"),"NEW","")))</f>
        <v> </v>
      </c>
      <c r="G772" s="23" t="str">
        <f aca="false">IF(OR(E772="",E772="!!!"),"",IF(OR(J772=0,AND(J772=1,K772=1),AND(J772=1,I772="SBJ"),AND(J772=1,I772=0)),"?IN_FOCUS",IF(J772&lt;=2,"?ACTIVATED",IF(J772&lt;&gt;"","?FAMILIAR",IF(F772="NEW",IF(ISNA(VLOOKUP(E772,#REF!,1,FALSE())),"?TYPE_IDENTIFIABLE","?REFERENTIAL"),"_")))))</f>
        <v/>
      </c>
      <c r="H772" s="24" t="str">
        <f aca="false">IF(J772&lt;&gt;1,"",IF(I772="SBJ","CB","?"))</f>
        <v/>
      </c>
      <c r="I772" s="25" t="str">
        <f aca="false">IF(OR(E772="",E772="!!!",F772="NEW"),"",INDEX(B771:B$2,-1+SUMPRODUCT(MAX(ROW(E771:E$2)*(E772=E771:E$2)))))</f>
        <v> </v>
      </c>
      <c r="J772" s="25" t="str">
        <f aca="true">IF(OR(E772="",E772="!!!",F772="NEW"),"",COUNTBLANK(OFFSET(A$1,,,SUMPRODUCT(MAX(ROW(E$2:E772)*(E772=E$2:E772)))))-COUNTBLANK(OFFSET(A$1,,,SUMPRODUCT(MAX(ROW(E$1:E771)*(E2=E$1:E771))))))</f>
        <v/>
      </c>
      <c r="K772" s="25" t="str">
        <f aca="false">IF(OR(E772="",E772="!!!",F772="NEW"),"",INDEX(J$1:J771,SUMPRODUCT(MAX(ROW(E$1:E771)*(E772=E$1:E771)))))</f>
        <v/>
      </c>
      <c r="L772" s="26"/>
    </row>
    <row r="773" customFormat="false" ht="15" hidden="false" customHeight="false" outlineLevel="0" collapsed="false">
      <c r="A773" s="20" t="s">
        <v>337</v>
      </c>
      <c r="B773" s="27" t="s">
        <v>240</v>
      </c>
      <c r="C773" s="27" t="s">
        <v>208</v>
      </c>
      <c r="D773" s="27" t="s">
        <v>209</v>
      </c>
      <c r="E773" s="21" t="str">
        <f aca="false">IF(D773="?OLD","!!!","")</f>
        <v>!!!</v>
      </c>
      <c r="F773" s="22" t="str">
        <f aca="false">IF(OR(E773="",E773="!!!"),"",IF(NOT(ISNA(VLOOKUP(E773,E$1:E772,1,FALSE()))),"OLD",IF(AND(E773&lt;&gt;"",E773&lt;&gt;"!!!"),"NEW","")))</f>
        <v> </v>
      </c>
      <c r="G773" s="23" t="str">
        <f aca="false">IF(OR(E773="",E773="!!!"),"",IF(OR(J773=0,AND(J773=1,K773=1),AND(J773=1,I773="SBJ"),AND(J773=1,I773=0)),"?IN_FOCUS",IF(J773&lt;=2,"?ACTIVATED",IF(J773&lt;&gt;"","?FAMILIAR",IF(F773="NEW",IF(ISNA(VLOOKUP(E773,#REF!,1,FALSE())),"?TYPE_IDENTIFIABLE","?REFERENTIAL"),"_")))))</f>
        <v/>
      </c>
      <c r="H773" s="24" t="str">
        <f aca="false">IF(J773&lt;&gt;1,"",IF(I773="SBJ","CB","?"))</f>
        <v/>
      </c>
      <c r="I773" s="25" t="str">
        <f aca="false">IF(OR(E773="",E773="!!!",F773="NEW"),"",INDEX(B772:B$2,-1+SUMPRODUCT(MAX(ROW(E772:E$2)*(E773=E772:E$2)))))</f>
        <v> </v>
      </c>
      <c r="J773" s="25" t="str">
        <f aca="true">IF(OR(E773="",E773="!!!",F773="NEW"),"",COUNTBLANK(OFFSET(A$1,,,SUMPRODUCT(MAX(ROW(E$2:E773)*(E773=E$2:E773)))))-COUNTBLANK(OFFSET(A$1,,,SUMPRODUCT(MAX(ROW(E$1:E772)*(E2=E$1:E772))))))</f>
        <v/>
      </c>
      <c r="K773" s="25" t="str">
        <f aca="false">IF(OR(E773="",E773="!!!",F773="NEW"),"",INDEX(J$1:J772,SUMPRODUCT(MAX(ROW(E$1:E772)*(E773=E$1:E772)))))</f>
        <v/>
      </c>
      <c r="L773" s="26"/>
    </row>
    <row r="774" customFormat="false" ht="15" hidden="false" customHeight="false" outlineLevel="0" collapsed="false">
      <c r="A774" s="20" t="s">
        <v>263</v>
      </c>
      <c r="E774" s="21" t="str">
        <f aca="false">IF(D774="?OLD","!!!","")</f>
        <v/>
      </c>
      <c r="F774" s="22" t="str">
        <f aca="false">IF(OR(E774="",E774="!!!"),"",IF(NOT(ISNA(VLOOKUP(E774,E$1:E773,1,FALSE()))),"OLD",IF(AND(E774&lt;&gt;"",E774&lt;&gt;"!!!"),"NEW","")))</f>
        <v> </v>
      </c>
      <c r="G774" s="23" t="str">
        <f aca="false">IF(OR(E774="",E774="!!!"),"",IF(OR(J774=0,AND(J774=1,K774=1),AND(J774=1,I774="SBJ"),AND(J774=1,I774=0)),"?IN_FOCUS",IF(J774&lt;=2,"?ACTIVATED",IF(J774&lt;&gt;"","?FAMILIAR",IF(F774="NEW",IF(ISNA(VLOOKUP(E774,#REF!,1,FALSE())),"?TYPE_IDENTIFIABLE","?REFERENTIAL"),"_")))))</f>
        <v/>
      </c>
      <c r="H774" s="24" t="str">
        <f aca="false">IF(J774&lt;&gt;1,"",IF(I774="SBJ","CB","?"))</f>
        <v/>
      </c>
      <c r="I774" s="25" t="str">
        <f aca="false">IF(OR(E774="",E774="!!!",F774="NEW"),"",INDEX(B773:B$2,-1+SUMPRODUCT(MAX(ROW(E773:E$2)*(E774=E773:E$2)))))</f>
        <v> </v>
      </c>
      <c r="J774" s="25" t="str">
        <f aca="true">IF(OR(E774="",E774="!!!",F774="NEW"),"",COUNTBLANK(OFFSET(A$1,,,SUMPRODUCT(MAX(ROW(E$2:E774)*(E774=E$2:E774)))))-COUNTBLANK(OFFSET(A$1,,,SUMPRODUCT(MAX(ROW(E$1:E773)*(E2=E$1:E773))))))</f>
        <v/>
      </c>
      <c r="K774" s="25" t="str">
        <f aca="false">IF(OR(E774="",E774="!!!",F774="NEW"),"",INDEX(J$1:J773,SUMPRODUCT(MAX(ROW(E$1:E773)*(E774=E$1:E773)))))</f>
        <v/>
      </c>
      <c r="L774" s="26"/>
    </row>
    <row r="775" customFormat="false" ht="15" hidden="false" customHeight="false" outlineLevel="0" collapsed="false">
      <c r="A775" s="20" t="s">
        <v>445</v>
      </c>
      <c r="E775" s="21" t="str">
        <f aca="false">IF(D775="?OLD","!!!","")</f>
        <v/>
      </c>
      <c r="F775" s="22" t="str">
        <f aca="false">IF(OR(E775="",E775="!!!"),"",IF(NOT(ISNA(VLOOKUP(E775,E$1:E774,1,FALSE()))),"OLD",IF(AND(E775&lt;&gt;"",E775&lt;&gt;"!!!"),"NEW","")))</f>
        <v> </v>
      </c>
      <c r="G775" s="23" t="str">
        <f aca="false">IF(OR(E775="",E775="!!!"),"",IF(OR(J775=0,AND(J775=1,K775=1),AND(J775=1,I775="SBJ"),AND(J775=1,I775=0)),"?IN_FOCUS",IF(J775&lt;=2,"?ACTIVATED",IF(J775&lt;&gt;"","?FAMILIAR",IF(F775="NEW",IF(ISNA(VLOOKUP(E775,#REF!,1,FALSE())),"?TYPE_IDENTIFIABLE","?REFERENTIAL"),"_")))))</f>
        <v/>
      </c>
      <c r="H775" s="24" t="str">
        <f aca="false">IF(J775&lt;&gt;1,"",IF(I775="SBJ","CB","?"))</f>
        <v/>
      </c>
      <c r="I775" s="25" t="str">
        <f aca="false">IF(OR(E775="",E775="!!!",F775="NEW"),"",INDEX(B774:B$2,-1+SUMPRODUCT(MAX(ROW(E774:E$2)*(E775=E774:E$2)))))</f>
        <v> </v>
      </c>
      <c r="J775" s="25" t="str">
        <f aca="true">IF(OR(E775="",E775="!!!",F775="NEW"),"",COUNTBLANK(OFFSET(A$1,,,SUMPRODUCT(MAX(ROW(E$2:E775)*(E775=E$2:E775)))))-COUNTBLANK(OFFSET(A$1,,,SUMPRODUCT(MAX(ROW(E$1:E774)*(E2=E$1:E774))))))</f>
        <v/>
      </c>
      <c r="K775" s="25" t="str">
        <f aca="false">IF(OR(E775="",E775="!!!",F775="NEW"),"",INDEX(J$1:J774,SUMPRODUCT(MAX(ROW(E$1:E774)*(E775=E$1:E774)))))</f>
        <v/>
      </c>
      <c r="L775" s="26"/>
    </row>
    <row r="776" customFormat="false" ht="15" hidden="false" customHeight="false" outlineLevel="0" collapsed="false">
      <c r="A776" s="20" t="s">
        <v>289</v>
      </c>
      <c r="E776" s="21" t="str">
        <f aca="false">IF(D776="?OLD","!!!","")</f>
        <v/>
      </c>
      <c r="F776" s="22" t="str">
        <f aca="false">IF(OR(E776="",E776="!!!"),"",IF(NOT(ISNA(VLOOKUP(E776,E$1:E775,1,FALSE()))),"OLD",IF(AND(E776&lt;&gt;"",E776&lt;&gt;"!!!"),"NEW","")))</f>
        <v> </v>
      </c>
      <c r="G776" s="23" t="str">
        <f aca="false">IF(OR(E776="",E776="!!!"),"",IF(OR(J776=0,AND(J776=1,K776=1),AND(J776=1,I776="SBJ"),AND(J776=1,I776=0)),"?IN_FOCUS",IF(J776&lt;=2,"?ACTIVATED",IF(J776&lt;&gt;"","?FAMILIAR",IF(F776="NEW",IF(ISNA(VLOOKUP(E776,#REF!,1,FALSE())),"?TYPE_IDENTIFIABLE","?REFERENTIAL"),"_")))))</f>
        <v/>
      </c>
      <c r="H776" s="24" t="str">
        <f aca="false">IF(J776&lt;&gt;1,"",IF(I776="SBJ","CB","?"))</f>
        <v/>
      </c>
      <c r="I776" s="25" t="str">
        <f aca="false">IF(OR(E776="",E776="!!!",F776="NEW"),"",INDEX(B775:B$2,-1+SUMPRODUCT(MAX(ROW(E775:E$2)*(E776=E775:E$2)))))</f>
        <v> </v>
      </c>
      <c r="J776" s="25" t="str">
        <f aca="true">IF(OR(E776="",E776="!!!",F776="NEW"),"",COUNTBLANK(OFFSET(A$1,,,SUMPRODUCT(MAX(ROW(E$2:E776)*(E776=E$2:E776)))))-COUNTBLANK(OFFSET(A$1,,,SUMPRODUCT(MAX(ROW(E$1:E775)*(E2=E$1:E775))))))</f>
        <v/>
      </c>
      <c r="K776" s="25" t="str">
        <f aca="false">IF(OR(E776="",E776="!!!",F776="NEW"),"",INDEX(J$1:J775,SUMPRODUCT(MAX(ROW(E$1:E775)*(E776=E$1:E775)))))</f>
        <v/>
      </c>
      <c r="L776" s="26"/>
    </row>
    <row r="777" customFormat="false" ht="15" hidden="false" customHeight="false" outlineLevel="0" collapsed="false">
      <c r="A777" s="20" t="s">
        <v>301</v>
      </c>
      <c r="B777" s="27" t="s">
        <v>220</v>
      </c>
      <c r="C777" s="27" t="s">
        <v>284</v>
      </c>
      <c r="D777" s="27" t="s">
        <v>209</v>
      </c>
      <c r="E777" s="21" t="str">
        <f aca="false">IF(D777="?OLD","!!!","")</f>
        <v>!!!</v>
      </c>
      <c r="F777" s="22" t="str">
        <f aca="false">IF(OR(E777="",E777="!!!"),"",IF(NOT(ISNA(VLOOKUP(E777,E$1:E776,1,FALSE()))),"OLD",IF(AND(E777&lt;&gt;"",E777&lt;&gt;"!!!"),"NEW","")))</f>
        <v> </v>
      </c>
      <c r="G777" s="23" t="str">
        <f aca="false">IF(OR(E777="",E777="!!!"),"",IF(OR(J777=0,AND(J777=1,K777=1),AND(J777=1,I777="SBJ"),AND(J777=1,I777=0)),"?IN_FOCUS",IF(J777&lt;=2,"?ACTIVATED",IF(J777&lt;&gt;"","?FAMILIAR",IF(F777="NEW",IF(ISNA(VLOOKUP(E777,#REF!,1,FALSE())),"?TYPE_IDENTIFIABLE","?REFERENTIAL"),"_")))))</f>
        <v/>
      </c>
      <c r="H777" s="24" t="str">
        <f aca="false">IF(J777&lt;&gt;1,"",IF(I777="SBJ","CB","?"))</f>
        <v/>
      </c>
      <c r="I777" s="25" t="str">
        <f aca="false">IF(OR(E777="",E777="!!!",F777="NEW"),"",INDEX(B776:B$2,-1+SUMPRODUCT(MAX(ROW(E776:E$2)*(E777=E776:E$2)))))</f>
        <v> </v>
      </c>
      <c r="J777" s="25" t="str">
        <f aca="true">IF(OR(E777="",E777="!!!",F777="NEW"),"",COUNTBLANK(OFFSET(A$1,,,SUMPRODUCT(MAX(ROW(E$2:E777)*(E777=E$2:E777)))))-COUNTBLANK(OFFSET(A$1,,,SUMPRODUCT(MAX(ROW(E$1:E776)*(E2=E$1:E776))))))</f>
        <v/>
      </c>
      <c r="K777" s="25" t="str">
        <f aca="false">IF(OR(E777="",E777="!!!",F777="NEW"),"",INDEX(J$1:J776,SUMPRODUCT(MAX(ROW(E$1:E776)*(E777=E$1:E776)))))</f>
        <v/>
      </c>
      <c r="L777" s="26"/>
    </row>
    <row r="778" customFormat="false" ht="15" hidden="false" customHeight="false" outlineLevel="0" collapsed="false">
      <c r="A778" s="20" t="s">
        <v>218</v>
      </c>
      <c r="E778" s="21" t="str">
        <f aca="false">IF(D778="?OLD","!!!","")</f>
        <v/>
      </c>
      <c r="F778" s="22" t="str">
        <f aca="false">IF(OR(E778="",E778="!!!"),"",IF(NOT(ISNA(VLOOKUP(E778,E$1:E777,1,FALSE()))),"OLD",IF(AND(E778&lt;&gt;"",E778&lt;&gt;"!!!"),"NEW","")))</f>
        <v> </v>
      </c>
      <c r="G778" s="23" t="str">
        <f aca="false">IF(OR(E778="",E778="!!!"),"",IF(OR(J778=0,AND(J778=1,K778=1),AND(J778=1,I778="SBJ"),AND(J778=1,I778=0)),"?IN_FOCUS",IF(J778&lt;=2,"?ACTIVATED",IF(J778&lt;&gt;"","?FAMILIAR",IF(F778="NEW",IF(ISNA(VLOOKUP(E778,#REF!,1,FALSE())),"?TYPE_IDENTIFIABLE","?REFERENTIAL"),"_")))))</f>
        <v/>
      </c>
      <c r="H778" s="24" t="str">
        <f aca="false">IF(J778&lt;&gt;1,"",IF(I778="SBJ","CB","?"))</f>
        <v/>
      </c>
      <c r="I778" s="25" t="str">
        <f aca="false">IF(OR(E778="",E778="!!!",F778="NEW"),"",INDEX(B777:B$2,-1+SUMPRODUCT(MAX(ROW(E777:E$2)*(E778=E777:E$2)))))</f>
        <v> </v>
      </c>
      <c r="J778" s="25" t="str">
        <f aca="true">IF(OR(E778="",E778="!!!",F778="NEW"),"",COUNTBLANK(OFFSET(A$1,,,SUMPRODUCT(MAX(ROW(E$2:E778)*(E778=E$2:E778)))))-COUNTBLANK(OFFSET(A$1,,,SUMPRODUCT(MAX(ROW(E$1:E777)*(E2=E$1:E777))))))</f>
        <v/>
      </c>
      <c r="K778" s="25" t="str">
        <f aca="false">IF(OR(E778="",E778="!!!",F778="NEW"),"",INDEX(J$1:J777,SUMPRODUCT(MAX(ROW(E$1:E777)*(E778=E$1:E777)))))</f>
        <v/>
      </c>
      <c r="L778" s="26"/>
    </row>
    <row r="779" customFormat="false" ht="15" hidden="false" customHeight="false" outlineLevel="0" collapsed="false">
      <c r="A779" s="20" t="s">
        <v>446</v>
      </c>
      <c r="B779" s="27" t="s">
        <v>248</v>
      </c>
      <c r="C779" s="27" t="s">
        <v>233</v>
      </c>
      <c r="D779" s="27" t="s">
        <v>209</v>
      </c>
      <c r="E779" s="21" t="str">
        <f aca="false">IF(D779="?OLD","!!!","")</f>
        <v>!!!</v>
      </c>
      <c r="F779" s="22" t="str">
        <f aca="false">IF(OR(E779="",E779="!!!"),"",IF(NOT(ISNA(VLOOKUP(E779,E$1:E778,1,FALSE()))),"OLD",IF(AND(E779&lt;&gt;"",E779&lt;&gt;"!!!"),"NEW","")))</f>
        <v> </v>
      </c>
      <c r="G779" s="23" t="str">
        <f aca="false">IF(OR(E779="",E779="!!!"),"",IF(OR(J779=0,AND(J779=1,K779=1),AND(J779=1,I779="SBJ"),AND(J779=1,I779=0)),"?IN_FOCUS",IF(J779&lt;=2,"?ACTIVATED",IF(J779&lt;&gt;"","?FAMILIAR",IF(F779="NEW",IF(ISNA(VLOOKUP(E779,#REF!,1,FALSE())),"?TYPE_IDENTIFIABLE","?REFERENTIAL"),"_")))))</f>
        <v/>
      </c>
      <c r="H779" s="24" t="str">
        <f aca="false">IF(J779&lt;&gt;1,"",IF(I779="SBJ","CB","?"))</f>
        <v/>
      </c>
      <c r="I779" s="25" t="str">
        <f aca="false">IF(OR(E779="",E779="!!!",F779="NEW"),"",INDEX(B778:B$2,-1+SUMPRODUCT(MAX(ROW(E778:E$2)*(E779=E778:E$2)))))</f>
        <v> </v>
      </c>
      <c r="J779" s="25" t="str">
        <f aca="true">IF(OR(E779="",E779="!!!",F779="NEW"),"",COUNTBLANK(OFFSET(A$1,,,SUMPRODUCT(MAX(ROW(E$2:E779)*(E779=E$2:E779)))))-COUNTBLANK(OFFSET(A$1,,,SUMPRODUCT(MAX(ROW(E$1:E778)*(E2=E$1:E778))))))</f>
        <v/>
      </c>
      <c r="K779" s="25" t="str">
        <f aca="false">IF(OR(E779="",E779="!!!",F779="NEW"),"",INDEX(J$1:J778,SUMPRODUCT(MAX(ROW(E$1:E778)*(E779=E$1:E778)))))</f>
        <v/>
      </c>
      <c r="L779" s="26"/>
    </row>
    <row r="780" customFormat="false" ht="15" hidden="false" customHeight="false" outlineLevel="0" collapsed="false">
      <c r="A780" s="20" t="s">
        <v>237</v>
      </c>
      <c r="E780" s="21" t="str">
        <f aca="false">IF(D780="?OLD","!!!","")</f>
        <v/>
      </c>
      <c r="F780" s="22" t="str">
        <f aca="false">IF(OR(E780="",E780="!!!"),"",IF(NOT(ISNA(VLOOKUP(E780,E$1:E779,1,FALSE()))),"OLD",IF(AND(E780&lt;&gt;"",E780&lt;&gt;"!!!"),"NEW","")))</f>
        <v> </v>
      </c>
      <c r="G780" s="23" t="str">
        <f aca="false">IF(OR(E780="",E780="!!!"),"",IF(OR(J780=0,AND(J780=1,K780=1),AND(J780=1,I780="SBJ"),AND(J780=1,I780=0)),"?IN_FOCUS",IF(J780&lt;=2,"?ACTIVATED",IF(J780&lt;&gt;"","?FAMILIAR",IF(F780="NEW",IF(ISNA(VLOOKUP(E780,#REF!,1,FALSE())),"?TYPE_IDENTIFIABLE","?REFERENTIAL"),"_")))))</f>
        <v/>
      </c>
      <c r="H780" s="24" t="str">
        <f aca="false">IF(J780&lt;&gt;1,"",IF(I780="SBJ","CB","?"))</f>
        <v/>
      </c>
      <c r="I780" s="25" t="str">
        <f aca="false">IF(OR(E780="",E780="!!!",F780="NEW"),"",INDEX(B779:B$2,-1+SUMPRODUCT(MAX(ROW(E779:E$2)*(E780=E779:E$2)))))</f>
        <v> </v>
      </c>
      <c r="J780" s="25" t="str">
        <f aca="true">IF(OR(E780="",E780="!!!",F780="NEW"),"",COUNTBLANK(OFFSET(A$1,,,SUMPRODUCT(MAX(ROW(E$2:E780)*(E780=E$2:E780)))))-COUNTBLANK(OFFSET(A$1,,,SUMPRODUCT(MAX(ROW(E$1:E779)*(E2=E$1:E779))))))</f>
        <v/>
      </c>
      <c r="K780" s="25" t="str">
        <f aca="false">IF(OR(E780="",E780="!!!",F780="NEW"),"",INDEX(J$1:J779,SUMPRODUCT(MAX(ROW(E$1:E779)*(E780=E$1:E779)))))</f>
        <v/>
      </c>
      <c r="L780" s="26"/>
    </row>
    <row r="781" customFormat="false" ht="15" hidden="false" customHeight="false" outlineLevel="0" collapsed="false">
      <c r="A781" s="20" t="s">
        <v>290</v>
      </c>
      <c r="E781" s="21" t="str">
        <f aca="false">IF(D781="?OLD","!!!","")</f>
        <v/>
      </c>
      <c r="F781" s="22" t="str">
        <f aca="false">IF(OR(E781="",E781="!!!"),"",IF(NOT(ISNA(VLOOKUP(E781,E$1:E780,1,FALSE()))),"OLD",IF(AND(E781&lt;&gt;"",E781&lt;&gt;"!!!"),"NEW","")))</f>
        <v> </v>
      </c>
      <c r="G781" s="23" t="str">
        <f aca="false">IF(OR(E781="",E781="!!!"),"",IF(OR(J781=0,AND(J781=1,K781=1),AND(J781=1,I781="SBJ"),AND(J781=1,I781=0)),"?IN_FOCUS",IF(J781&lt;=2,"?ACTIVATED",IF(J781&lt;&gt;"","?FAMILIAR",IF(F781="NEW",IF(ISNA(VLOOKUP(E781,#REF!,1,FALSE())),"?TYPE_IDENTIFIABLE","?REFERENTIAL"),"_")))))</f>
        <v/>
      </c>
      <c r="H781" s="24" t="str">
        <f aca="false">IF(J781&lt;&gt;1,"",IF(I781="SBJ","CB","?"))</f>
        <v/>
      </c>
      <c r="I781" s="25" t="str">
        <f aca="false">IF(OR(E781="",E781="!!!",F781="NEW"),"",INDEX(B780:B$2,-1+SUMPRODUCT(MAX(ROW(E780:E$2)*(E781=E780:E$2)))))</f>
        <v> </v>
      </c>
      <c r="J781" s="25" t="str">
        <f aca="true">IF(OR(E781="",E781="!!!",F781="NEW"),"",COUNTBLANK(OFFSET(A$1,,,SUMPRODUCT(MAX(ROW(E$2:E781)*(E781=E$2:E781)))))-COUNTBLANK(OFFSET(A$1,,,SUMPRODUCT(MAX(ROW(E$1:E780)*(E2=E$1:E780))))))</f>
        <v/>
      </c>
      <c r="K781" s="25" t="str">
        <f aca="false">IF(OR(E781="",E781="!!!",F781="NEW"),"",INDEX(J$1:J780,SUMPRODUCT(MAX(ROW(E$1:E780)*(E781=E$1:E780)))))</f>
        <v/>
      </c>
      <c r="L781" s="26"/>
    </row>
    <row r="782" customFormat="false" ht="15" hidden="false" customHeight="false" outlineLevel="0" collapsed="false">
      <c r="A782" s="20" t="s">
        <v>291</v>
      </c>
      <c r="E782" s="21" t="str">
        <f aca="false">IF(D782="?OLD","!!!","")</f>
        <v/>
      </c>
      <c r="F782" s="22" t="str">
        <f aca="false">IF(OR(E782="",E782="!!!"),"",IF(NOT(ISNA(VLOOKUP(E782,E$1:E781,1,FALSE()))),"OLD",IF(AND(E782&lt;&gt;"",E782&lt;&gt;"!!!"),"NEW","")))</f>
        <v> </v>
      </c>
      <c r="G782" s="23" t="str">
        <f aca="false">IF(OR(E782="",E782="!!!"),"",IF(OR(J782=0,AND(J782=1,K782=1),AND(J782=1,I782="SBJ"),AND(J782=1,I782=0)),"?IN_FOCUS",IF(J782&lt;=2,"?ACTIVATED",IF(J782&lt;&gt;"","?FAMILIAR",IF(F782="NEW",IF(ISNA(VLOOKUP(E782,#REF!,1,FALSE())),"?TYPE_IDENTIFIABLE","?REFERENTIAL"),"_")))))</f>
        <v/>
      </c>
      <c r="H782" s="24" t="str">
        <f aca="false">IF(J782&lt;&gt;1,"",IF(I782="SBJ","CB","?"))</f>
        <v/>
      </c>
      <c r="I782" s="25" t="str">
        <f aca="false">IF(OR(E782="",E782="!!!",F782="NEW"),"",INDEX(B781:B$2,-1+SUMPRODUCT(MAX(ROW(E781:E$2)*(E782=E781:E$2)))))</f>
        <v> </v>
      </c>
      <c r="J782" s="25" t="str">
        <f aca="true">IF(OR(E782="",E782="!!!",F782="NEW"),"",COUNTBLANK(OFFSET(A$1,,,SUMPRODUCT(MAX(ROW(E$2:E782)*(E782=E$2:E782)))))-COUNTBLANK(OFFSET(A$1,,,SUMPRODUCT(MAX(ROW(E$1:E781)*(E2=E$1:E781))))))</f>
        <v/>
      </c>
      <c r="K782" s="25" t="str">
        <f aca="false">IF(OR(E782="",E782="!!!",F782="NEW"),"",INDEX(J$1:J781,SUMPRODUCT(MAX(ROW(E$1:E781)*(E782=E$1:E781)))))</f>
        <v/>
      </c>
      <c r="L782" s="26"/>
    </row>
    <row r="783" customFormat="false" ht="15" hidden="false" customHeight="false" outlineLevel="0" collapsed="false">
      <c r="A783" s="20" t="s">
        <v>288</v>
      </c>
      <c r="E783" s="21" t="str">
        <f aca="false">IF(D783="?OLD","!!!","")</f>
        <v/>
      </c>
      <c r="F783" s="22" t="str">
        <f aca="false">IF(OR(E783="",E783="!!!"),"",IF(NOT(ISNA(VLOOKUP(E783,E$1:E782,1,FALSE()))),"OLD",IF(AND(E783&lt;&gt;"",E783&lt;&gt;"!!!"),"NEW","")))</f>
        <v> </v>
      </c>
      <c r="G783" s="23" t="str">
        <f aca="false">IF(OR(E783="",E783="!!!"),"",IF(OR(J783=0,AND(J783=1,K783=1),AND(J783=1,I783="SBJ"),AND(J783=1,I783=0)),"?IN_FOCUS",IF(J783&lt;=2,"?ACTIVATED",IF(J783&lt;&gt;"","?FAMILIAR",IF(F783="NEW",IF(ISNA(VLOOKUP(E783,#REF!,1,FALSE())),"?TYPE_IDENTIFIABLE","?REFERENTIAL"),"_")))))</f>
        <v/>
      </c>
      <c r="H783" s="24" t="str">
        <f aca="false">IF(J783&lt;&gt;1,"",IF(I783="SBJ","CB","?"))</f>
        <v/>
      </c>
      <c r="I783" s="25" t="str">
        <f aca="false">IF(OR(E783="",E783="!!!",F783="NEW"),"",INDEX(B782:B$2,-1+SUMPRODUCT(MAX(ROW(E782:E$2)*(E783=E782:E$2)))))</f>
        <v> </v>
      </c>
      <c r="J783" s="25" t="str">
        <f aca="true">IF(OR(E783="",E783="!!!",F783="NEW"),"",COUNTBLANK(OFFSET(A$1,,,SUMPRODUCT(MAX(ROW(E$2:E783)*(E783=E$2:E783)))))-COUNTBLANK(OFFSET(A$1,,,SUMPRODUCT(MAX(ROW(E$1:E782)*(E2=E$1:E782))))))</f>
        <v/>
      </c>
      <c r="K783" s="25" t="str">
        <f aca="false">IF(OR(E783="",E783="!!!",F783="NEW"),"",INDEX(J$1:J782,SUMPRODUCT(MAX(ROW(E$1:E782)*(E783=E$1:E782)))))</f>
        <v/>
      </c>
      <c r="L783" s="26"/>
    </row>
    <row r="784" customFormat="false" ht="15" hidden="false" customHeight="false" outlineLevel="0" collapsed="false">
      <c r="A784" s="20" t="s">
        <v>292</v>
      </c>
      <c r="E784" s="21" t="str">
        <f aca="false">IF(D784="?OLD","!!!","")</f>
        <v/>
      </c>
      <c r="F784" s="22" t="str">
        <f aca="false">IF(OR(E784="",E784="!!!"),"",IF(NOT(ISNA(VLOOKUP(E784,E$1:E783,1,FALSE()))),"OLD",IF(AND(E784&lt;&gt;"",E784&lt;&gt;"!!!"),"NEW","")))</f>
        <v> </v>
      </c>
      <c r="G784" s="23" t="str">
        <f aca="false">IF(OR(E784="",E784="!!!"),"",IF(OR(J784=0,AND(J784=1,K784=1),AND(J784=1,I784="SBJ"),AND(J784=1,I784=0)),"?IN_FOCUS",IF(J784&lt;=2,"?ACTIVATED",IF(J784&lt;&gt;"","?FAMILIAR",IF(F784="NEW",IF(ISNA(VLOOKUP(E784,#REF!,1,FALSE())),"?TYPE_IDENTIFIABLE","?REFERENTIAL"),"_")))))</f>
        <v/>
      </c>
      <c r="H784" s="24" t="str">
        <f aca="false">IF(J784&lt;&gt;1,"",IF(I784="SBJ","CB","?"))</f>
        <v/>
      </c>
      <c r="I784" s="25" t="str">
        <f aca="false">IF(OR(E784="",E784="!!!",F784="NEW"),"",INDEX(B783:B$2,-1+SUMPRODUCT(MAX(ROW(E783:E$2)*(E784=E783:E$2)))))</f>
        <v> </v>
      </c>
      <c r="J784" s="25" t="str">
        <f aca="true">IF(OR(E784="",E784="!!!",F784="NEW"),"",COUNTBLANK(OFFSET(A$1,,,SUMPRODUCT(MAX(ROW(E$2:E784)*(E784=E$2:E784)))))-COUNTBLANK(OFFSET(A$1,,,SUMPRODUCT(MAX(ROW(E$1:E783)*(E2=E$1:E783))))))</f>
        <v/>
      </c>
      <c r="K784" s="25" t="str">
        <f aca="false">IF(OR(E784="",E784="!!!",F784="NEW"),"",INDEX(J$1:J783,SUMPRODUCT(MAX(ROW(E$1:E783)*(E784=E$1:E783)))))</f>
        <v/>
      </c>
      <c r="L784" s="26"/>
    </row>
    <row r="785" customFormat="false" ht="15" hidden="false" customHeight="false" outlineLevel="0" collapsed="false">
      <c r="A785" s="20" t="s">
        <v>229</v>
      </c>
      <c r="E785" s="21" t="str">
        <f aca="false">IF(D785="?OLD","!!!","")</f>
        <v/>
      </c>
      <c r="F785" s="22" t="str">
        <f aca="false">IF(OR(E785="",E785="!!!"),"",IF(NOT(ISNA(VLOOKUP(E785,E$1:E784,1,FALSE()))),"OLD",IF(AND(E785&lt;&gt;"",E785&lt;&gt;"!!!"),"NEW","")))</f>
        <v> </v>
      </c>
      <c r="G785" s="23" t="str">
        <f aca="false">IF(OR(E785="",E785="!!!"),"",IF(OR(J785=0,AND(J785=1,K785=1),AND(J785=1,I785="SBJ"),AND(J785=1,I785=0)),"?IN_FOCUS",IF(J785&lt;=2,"?ACTIVATED",IF(J785&lt;&gt;"","?FAMILIAR",IF(F785="NEW",IF(ISNA(VLOOKUP(E785,#REF!,1,FALSE())),"?TYPE_IDENTIFIABLE","?REFERENTIAL"),"_")))))</f>
        <v/>
      </c>
      <c r="H785" s="24" t="str">
        <f aca="false">IF(J785&lt;&gt;1,"",IF(I785="SBJ","CB","?"))</f>
        <v/>
      </c>
      <c r="I785" s="25" t="str">
        <f aca="false">IF(OR(E785="",E785="!!!",F785="NEW"),"",INDEX(B784:B$2,-1+SUMPRODUCT(MAX(ROW(E784:E$2)*(E785=E784:E$2)))))</f>
        <v> </v>
      </c>
      <c r="J785" s="25" t="str">
        <f aca="true">IF(OR(E785="",E785="!!!",F785="NEW"),"",COUNTBLANK(OFFSET(A$1,,,SUMPRODUCT(MAX(ROW(E$2:E785)*(E785=E$2:E785)))))-COUNTBLANK(OFFSET(A$1,,,SUMPRODUCT(MAX(ROW(E$1:E784)*(E2=E$1:E784))))))</f>
        <v/>
      </c>
      <c r="K785" s="25" t="str">
        <f aca="false">IF(OR(E785="",E785="!!!",F785="NEW"),"",INDEX(J$1:J784,SUMPRODUCT(MAX(ROW(E$1:E784)*(E785=E$1:E784)))))</f>
        <v/>
      </c>
      <c r="L785" s="26"/>
    </row>
    <row r="786" customFormat="false" ht="15" hidden="false" customHeight="false" outlineLevel="0" collapsed="false">
      <c r="A786" s="20"/>
    </row>
    <row r="787" customFormat="false" ht="15" hidden="false" customHeight="false" outlineLevel="0" collapsed="false">
      <c r="A787" s="20" t="s">
        <v>230</v>
      </c>
      <c r="E787" s="21" t="str">
        <f aca="false">IF(D787="?OLD","!!!","")</f>
        <v/>
      </c>
      <c r="F787" s="22" t="str">
        <f aca="false">IF(OR(E787="",E787="!!!"),"",IF(NOT(ISNA(VLOOKUP(E787,E$1:E786,1,FALSE()))),"OLD",IF(AND(E787&lt;&gt;"",E787&lt;&gt;"!!!"),"NEW","")))</f>
        <v> </v>
      </c>
      <c r="G787" s="23" t="str">
        <f aca="false">IF(OR(E787="",E787="!!!"),"",IF(OR(J787=0,AND(J787=1,K787=1),AND(J787=1,I787="SBJ"),AND(J787=1,I787=0)),"?IN_FOCUS",IF(J787&lt;=2,"?ACTIVATED",IF(J787&lt;&gt;"","?FAMILIAR",IF(F787="NEW",IF(ISNA(VLOOKUP(E787,#REF!,1,FALSE())),"?TYPE_IDENTIFIABLE","?REFERENTIAL"),"_")))))</f>
        <v/>
      </c>
      <c r="H787" s="24" t="str">
        <f aca="false">IF(J787&lt;&gt;1,"",IF(I787="SBJ","CB","?"))</f>
        <v/>
      </c>
      <c r="I787" s="25" t="str">
        <f aca="false">IF(OR(E787="",E787="!!!",F787="NEW"),"",INDEX(B786:B$2,-1+SUMPRODUCT(MAX(ROW(E786:E$2)*(E787=E786:E$2)))))</f>
        <v> </v>
      </c>
      <c r="J787" s="25" t="str">
        <f aca="true">IF(OR(E787="",E787="!!!",F787="NEW"),"",COUNTBLANK(OFFSET(A$1,,,SUMPRODUCT(MAX(ROW(E$2:E787)*(E787=E$2:E787)))))-COUNTBLANK(OFFSET(A$1,,,SUMPRODUCT(MAX(ROW(E$1:E786)*(E2=E$1:E786))))))</f>
        <v/>
      </c>
      <c r="K787" s="25" t="str">
        <f aca="false">IF(OR(E787="",E787="!!!",F787="NEW"),"",INDEX(J$1:J786,SUMPRODUCT(MAX(ROW(E$1:E786)*(E787=E$1:E786)))))</f>
        <v/>
      </c>
      <c r="L787" s="26"/>
    </row>
    <row r="788" customFormat="false" ht="15" hidden="false" customHeight="false" outlineLevel="0" collapsed="false">
      <c r="A788" s="20" t="s">
        <v>447</v>
      </c>
    </row>
    <row r="789" customFormat="false" ht="15" hidden="false" customHeight="false" outlineLevel="0" collapsed="false">
      <c r="A789" s="20" t="s">
        <v>204</v>
      </c>
      <c r="E789" s="21" t="str">
        <f aca="false">IF(D789="?OLD","!!!","")</f>
        <v/>
      </c>
      <c r="F789" s="22" t="str">
        <f aca="false">IF(OR(E789="",E789="!!!"),"",IF(NOT(ISNA(VLOOKUP(E789,E$1:E788,1,FALSE()))),"OLD",IF(AND(E789&lt;&gt;"",E789&lt;&gt;"!!!"),"NEW","")))</f>
        <v> </v>
      </c>
      <c r="G789" s="23" t="str">
        <f aca="false">IF(OR(E789="",E789="!!!"),"",IF(OR(J789=0,AND(J789=1,K789=1),AND(J789=1,I789="SBJ"),AND(J789=1,I789=0)),"?IN_FOCUS",IF(J789&lt;=2,"?ACTIVATED",IF(J789&lt;&gt;"","?FAMILIAR",IF(F789="NEW",IF(ISNA(VLOOKUP(E789,#REF!,1,FALSE())),"?TYPE_IDENTIFIABLE","?REFERENTIAL"),"_")))))</f>
        <v/>
      </c>
      <c r="H789" s="24" t="str">
        <f aca="false">IF(J789&lt;&gt;1,"",IF(I789="SBJ","CB","?"))</f>
        <v/>
      </c>
      <c r="I789" s="25" t="str">
        <f aca="false">IF(OR(E789="",E789="!!!",F789="NEW"),"",INDEX(B788:B$2,-1+SUMPRODUCT(MAX(ROW(E788:E$2)*(E789=E788:E$2)))))</f>
        <v> </v>
      </c>
      <c r="J789" s="25" t="str">
        <f aca="true">IF(OR(E789="",E789="!!!",F789="NEW"),"",COUNTBLANK(OFFSET(A$1,,,SUMPRODUCT(MAX(ROW(E$2:E789)*(E789=E$2:E789)))))-COUNTBLANK(OFFSET(A$1,,,SUMPRODUCT(MAX(ROW(E$1:E788)*(E2=E$1:E788))))))</f>
        <v/>
      </c>
      <c r="K789" s="25" t="str">
        <f aca="false">IF(OR(E789="",E789="!!!",F789="NEW"),"",INDEX(J$1:J788,SUMPRODUCT(MAX(ROW(E$1:E788)*(E789=E$1:E788)))))</f>
        <v/>
      </c>
      <c r="L789" s="26"/>
    </row>
    <row r="790" customFormat="false" ht="15" hidden="false" customHeight="false" outlineLevel="0" collapsed="false">
      <c r="A790" s="20" t="s">
        <v>237</v>
      </c>
      <c r="E790" s="21" t="str">
        <f aca="false">IF(D790="?OLD","!!!","")</f>
        <v/>
      </c>
      <c r="F790" s="22" t="str">
        <f aca="false">IF(OR(E790="",E790="!!!"),"",IF(NOT(ISNA(VLOOKUP(E790,E$1:E789,1,FALSE()))),"OLD",IF(AND(E790&lt;&gt;"",E790&lt;&gt;"!!!"),"NEW","")))</f>
        <v> </v>
      </c>
      <c r="G790" s="23" t="str">
        <f aca="false">IF(OR(E790="",E790="!!!"),"",IF(OR(J790=0,AND(J790=1,K790=1),AND(J790=1,I790="SBJ"),AND(J790=1,I790=0)),"?IN_FOCUS",IF(J790&lt;=2,"?ACTIVATED",IF(J790&lt;&gt;"","?FAMILIAR",IF(F790="NEW",IF(ISNA(VLOOKUP(E790,#REF!,1,FALSE())),"?TYPE_IDENTIFIABLE","?REFERENTIAL"),"_")))))</f>
        <v/>
      </c>
      <c r="H790" s="24" t="str">
        <f aca="false">IF(J790&lt;&gt;1,"",IF(I790="SBJ","CB","?"))</f>
        <v/>
      </c>
      <c r="I790" s="25" t="str">
        <f aca="false">IF(OR(E790="",E790="!!!",F790="NEW"),"",INDEX(B789:B$2,-1+SUMPRODUCT(MAX(ROW(E789:E$2)*(E790=E789:E$2)))))</f>
        <v> </v>
      </c>
      <c r="J790" s="25" t="str">
        <f aca="true">IF(OR(E790="",E790="!!!",F790="NEW"),"",COUNTBLANK(OFFSET(A$1,,,SUMPRODUCT(MAX(ROW(E$2:E790)*(E790=E$2:E790)))))-COUNTBLANK(OFFSET(A$1,,,SUMPRODUCT(MAX(ROW(E$1:E789)*(E2=E$1:E789))))))</f>
        <v/>
      </c>
      <c r="K790" s="25" t="str">
        <f aca="false">IF(OR(E790="",E790="!!!",F790="NEW"),"",INDEX(J$1:J789,SUMPRODUCT(MAX(ROW(E$1:E789)*(E790=E$1:E789)))))</f>
        <v/>
      </c>
      <c r="L790" s="26"/>
    </row>
    <row r="791" customFormat="false" ht="15" hidden="false" customHeight="false" outlineLevel="0" collapsed="false">
      <c r="A791" s="20" t="s">
        <v>176</v>
      </c>
      <c r="E791" s="21" t="str">
        <f aca="false">IF(D791="?OLD","!!!","")</f>
        <v/>
      </c>
      <c r="F791" s="22" t="str">
        <f aca="false">IF(OR(E791="",E791="!!!"),"",IF(NOT(ISNA(VLOOKUP(E791,E$1:E790,1,FALSE()))),"OLD",IF(AND(E791&lt;&gt;"",E791&lt;&gt;"!!!"),"NEW","")))</f>
        <v> </v>
      </c>
      <c r="G791" s="23" t="str">
        <f aca="false">IF(OR(E791="",E791="!!!"),"",IF(OR(J791=0,AND(J791=1,K791=1),AND(J791=1,I791="SBJ"),AND(J791=1,I791=0)),"?IN_FOCUS",IF(J791&lt;=2,"?ACTIVATED",IF(J791&lt;&gt;"","?FAMILIAR",IF(F791="NEW",IF(ISNA(VLOOKUP(E791,#REF!,1,FALSE())),"?TYPE_IDENTIFIABLE","?REFERENTIAL"),"_")))))</f>
        <v/>
      </c>
      <c r="H791" s="24" t="str">
        <f aca="false">IF(J791&lt;&gt;1,"",IF(I791="SBJ","CB","?"))</f>
        <v/>
      </c>
      <c r="I791" s="25" t="str">
        <f aca="false">IF(OR(E791="",E791="!!!",F791="NEW"),"",INDEX(B790:B$2,-1+SUMPRODUCT(MAX(ROW(E790:E$2)*(E791=E790:E$2)))))</f>
        <v> </v>
      </c>
      <c r="J791" s="25" t="str">
        <f aca="true">IF(OR(E791="",E791="!!!",F791="NEW"),"",COUNTBLANK(OFFSET(A$1,,,SUMPRODUCT(MAX(ROW(E$2:E791)*(E791=E$2:E791)))))-COUNTBLANK(OFFSET(A$1,,,SUMPRODUCT(MAX(ROW(E$1:E790)*(E2=E$1:E790))))))</f>
        <v/>
      </c>
      <c r="K791" s="25" t="str">
        <f aca="false">IF(OR(E791="",E791="!!!",F791="NEW"),"",INDEX(J$1:J790,SUMPRODUCT(MAX(ROW(E$1:E790)*(E791=E$1:E790)))))</f>
        <v/>
      </c>
      <c r="L791" s="26"/>
    </row>
    <row r="792" customFormat="false" ht="15" hidden="false" customHeight="false" outlineLevel="0" collapsed="false">
      <c r="A792" s="20" t="s">
        <v>315</v>
      </c>
      <c r="B792" s="27" t="s">
        <v>240</v>
      </c>
      <c r="C792" s="27" t="s">
        <v>233</v>
      </c>
      <c r="D792" s="27" t="s">
        <v>209</v>
      </c>
      <c r="E792" s="21" t="str">
        <f aca="false">IF(D792="?OLD","!!!","")</f>
        <v>!!!</v>
      </c>
      <c r="F792" s="22" t="str">
        <f aca="false">IF(OR(E792="",E792="!!!"),"",IF(NOT(ISNA(VLOOKUP(E792,E$1:E791,1,FALSE()))),"OLD",IF(AND(E792&lt;&gt;"",E792&lt;&gt;"!!!"),"NEW","")))</f>
        <v> </v>
      </c>
      <c r="G792" s="23" t="str">
        <f aca="false">IF(OR(E792="",E792="!!!"),"",IF(OR(J792=0,AND(J792=1,K792=1),AND(J792=1,I792="SBJ"),AND(J792=1,I792=0)),"?IN_FOCUS",IF(J792&lt;=2,"?ACTIVATED",IF(J792&lt;&gt;"","?FAMILIAR",IF(F792="NEW",IF(ISNA(VLOOKUP(E792,#REF!,1,FALSE())),"?TYPE_IDENTIFIABLE","?REFERENTIAL"),"_")))))</f>
        <v/>
      </c>
      <c r="H792" s="24" t="str">
        <f aca="false">IF(J792&lt;&gt;1,"",IF(I792="SBJ","CB","?"))</f>
        <v/>
      </c>
      <c r="I792" s="25" t="str">
        <f aca="false">IF(OR(E792="",E792="!!!",F792="NEW"),"",INDEX(B791:B$2,-1+SUMPRODUCT(MAX(ROW(E791:E$2)*(E792=E791:E$2)))))</f>
        <v> </v>
      </c>
      <c r="J792" s="25" t="str">
        <f aca="true">IF(OR(E792="",E792="!!!",F792="NEW"),"",COUNTBLANK(OFFSET(A$1,,,SUMPRODUCT(MAX(ROW(E$2:E792)*(E792=E$2:E792)))))-COUNTBLANK(OFFSET(A$1,,,SUMPRODUCT(MAX(ROW(E$1:E791)*(E2=E$1:E791))))))</f>
        <v/>
      </c>
      <c r="K792" s="25" t="str">
        <f aca="false">IF(OR(E792="",E792="!!!",F792="NEW"),"",INDEX(J$1:J791,SUMPRODUCT(MAX(ROW(E$1:E791)*(E792=E$1:E791)))))</f>
        <v/>
      </c>
      <c r="L792" s="26"/>
    </row>
    <row r="793" customFormat="false" ht="15" hidden="false" customHeight="false" outlineLevel="0" collapsed="false">
      <c r="A793" s="20" t="s">
        <v>116</v>
      </c>
      <c r="E793" s="21" t="str">
        <f aca="false">IF(D793="?OLD","!!!","")</f>
        <v/>
      </c>
      <c r="F793" s="22" t="str">
        <f aca="false">IF(OR(E793="",E793="!!!"),"",IF(NOT(ISNA(VLOOKUP(E793,E$1:E792,1,FALSE()))),"OLD",IF(AND(E793&lt;&gt;"",E793&lt;&gt;"!!!"),"NEW","")))</f>
        <v> </v>
      </c>
      <c r="G793" s="23" t="str">
        <f aca="false">IF(OR(E793="",E793="!!!"),"",IF(OR(J793=0,AND(J793=1,K793=1),AND(J793=1,I793="SBJ"),AND(J793=1,I793=0)),"?IN_FOCUS",IF(J793&lt;=2,"?ACTIVATED",IF(J793&lt;&gt;"","?FAMILIAR",IF(F793="NEW",IF(ISNA(VLOOKUP(E793,#REF!,1,FALSE())),"?TYPE_IDENTIFIABLE","?REFERENTIAL"),"_")))))</f>
        <v/>
      </c>
      <c r="H793" s="24" t="str">
        <f aca="false">IF(J793&lt;&gt;1,"",IF(I793="SBJ","CB","?"))</f>
        <v/>
      </c>
      <c r="I793" s="25" t="str">
        <f aca="false">IF(OR(E793="",E793="!!!",F793="NEW"),"",INDEX(B792:B$2,-1+SUMPRODUCT(MAX(ROW(E792:E$2)*(E793=E792:E$2)))))</f>
        <v> </v>
      </c>
      <c r="J793" s="25" t="str">
        <f aca="true">IF(OR(E793="",E793="!!!",F793="NEW"),"",COUNTBLANK(OFFSET(A$1,,,SUMPRODUCT(MAX(ROW(E$2:E793)*(E793=E$2:E793)))))-COUNTBLANK(OFFSET(A$1,,,SUMPRODUCT(MAX(ROW(E$1:E792)*(E2=E$1:E792))))))</f>
        <v/>
      </c>
      <c r="K793" s="25" t="str">
        <f aca="false">IF(OR(E793="",E793="!!!",F793="NEW"),"",INDEX(J$1:J792,SUMPRODUCT(MAX(ROW(E$1:E792)*(E793=E$1:E792)))))</f>
        <v/>
      </c>
      <c r="L793" s="26"/>
    </row>
    <row r="794" customFormat="false" ht="15" hidden="false" customHeight="false" outlineLevel="0" collapsed="false">
      <c r="A794" s="20" t="s">
        <v>400</v>
      </c>
      <c r="E794" s="21" t="str">
        <f aca="false">IF(D794="?OLD","!!!","")</f>
        <v/>
      </c>
      <c r="F794" s="22" t="str">
        <f aca="false">IF(OR(E794="",E794="!!!"),"",IF(NOT(ISNA(VLOOKUP(E794,E$1:E793,1,FALSE()))),"OLD",IF(AND(E794&lt;&gt;"",E794&lt;&gt;"!!!"),"NEW","")))</f>
        <v> </v>
      </c>
      <c r="G794" s="23" t="str">
        <f aca="false">IF(OR(E794="",E794="!!!"),"",IF(OR(J794=0,AND(J794=1,K794=1),AND(J794=1,I794="SBJ"),AND(J794=1,I794=0)),"?IN_FOCUS",IF(J794&lt;=2,"?ACTIVATED",IF(J794&lt;&gt;"","?FAMILIAR",IF(F794="NEW",IF(ISNA(VLOOKUP(E794,#REF!,1,FALSE())),"?TYPE_IDENTIFIABLE","?REFERENTIAL"),"_")))))</f>
        <v/>
      </c>
      <c r="H794" s="24" t="str">
        <f aca="false">IF(J794&lt;&gt;1,"",IF(I794="SBJ","CB","?"))</f>
        <v/>
      </c>
      <c r="I794" s="25" t="str">
        <f aca="false">IF(OR(E794="",E794="!!!",F794="NEW"),"",INDEX(B793:B$2,-1+SUMPRODUCT(MAX(ROW(E793:E$2)*(E794=E793:E$2)))))</f>
        <v> </v>
      </c>
      <c r="J794" s="25" t="str">
        <f aca="true">IF(OR(E794="",E794="!!!",F794="NEW"),"",COUNTBLANK(OFFSET(A$1,,,SUMPRODUCT(MAX(ROW(E$2:E794)*(E794=E$2:E794)))))-COUNTBLANK(OFFSET(A$1,,,SUMPRODUCT(MAX(ROW(E$1:E793)*(E2=E$1:E793))))))</f>
        <v/>
      </c>
      <c r="K794" s="25" t="str">
        <f aca="false">IF(OR(E794="",E794="!!!",F794="NEW"),"",INDEX(J$1:J793,SUMPRODUCT(MAX(ROW(E$1:E793)*(E794=E$1:E793)))))</f>
        <v/>
      </c>
      <c r="L794" s="26"/>
    </row>
    <row r="795" customFormat="false" ht="15" hidden="false" customHeight="false" outlineLevel="0" collapsed="false">
      <c r="A795" s="20" t="s">
        <v>338</v>
      </c>
      <c r="B795" s="27" t="s">
        <v>248</v>
      </c>
      <c r="C795" s="27" t="s">
        <v>282</v>
      </c>
      <c r="D795" s="27" t="s">
        <v>209</v>
      </c>
      <c r="E795" s="21" t="str">
        <f aca="false">IF(D795="?OLD","!!!","")</f>
        <v>!!!</v>
      </c>
      <c r="F795" s="22" t="str">
        <f aca="false">IF(OR(E795="",E795="!!!"),"",IF(NOT(ISNA(VLOOKUP(E795,E$1:E794,1,FALSE()))),"OLD",IF(AND(E795&lt;&gt;"",E795&lt;&gt;"!!!"),"NEW","")))</f>
        <v> </v>
      </c>
      <c r="G795" s="23" t="str">
        <f aca="false">IF(OR(E795="",E795="!!!"),"",IF(OR(J795=0,AND(J795=1,K795=1),AND(J795=1,I795="SBJ"),AND(J795=1,I795=0)),"?IN_FOCUS",IF(J795&lt;=2,"?ACTIVATED",IF(J795&lt;&gt;"","?FAMILIAR",IF(F795="NEW",IF(ISNA(VLOOKUP(E795,#REF!,1,FALSE())),"?TYPE_IDENTIFIABLE","?REFERENTIAL"),"_")))))</f>
        <v/>
      </c>
      <c r="H795" s="24" t="str">
        <f aca="false">IF(J795&lt;&gt;1,"",IF(I795="SBJ","CB","?"))</f>
        <v/>
      </c>
      <c r="I795" s="25" t="str">
        <f aca="false">IF(OR(E795="",E795="!!!",F795="NEW"),"",INDEX(B794:B$2,-1+SUMPRODUCT(MAX(ROW(E794:E$2)*(E795=E794:E$2)))))</f>
        <v> </v>
      </c>
      <c r="J795" s="25" t="str">
        <f aca="true">IF(OR(E795="",E795="!!!",F795="NEW"),"",COUNTBLANK(OFFSET(A$1,,,SUMPRODUCT(MAX(ROW(E$2:E795)*(E795=E$2:E795)))))-COUNTBLANK(OFFSET(A$1,,,SUMPRODUCT(MAX(ROW(E$1:E794)*(E2=E$1:E794))))))</f>
        <v/>
      </c>
      <c r="K795" s="25" t="str">
        <f aca="false">IF(OR(E795="",E795="!!!",F795="NEW"),"",INDEX(J$1:J794,SUMPRODUCT(MAX(ROW(E$1:E794)*(E795=E$1:E794)))))</f>
        <v/>
      </c>
      <c r="L795" s="26"/>
    </row>
    <row r="796" customFormat="false" ht="15" hidden="false" customHeight="false" outlineLevel="0" collapsed="false">
      <c r="A796" s="20" t="s">
        <v>448</v>
      </c>
      <c r="B796" s="27" t="s">
        <v>311</v>
      </c>
      <c r="C796" s="27" t="s">
        <v>284</v>
      </c>
      <c r="D796" s="27" t="s">
        <v>209</v>
      </c>
      <c r="E796" s="21" t="str">
        <f aca="false">IF(D796="?OLD","!!!","")</f>
        <v>!!!</v>
      </c>
      <c r="F796" s="22" t="str">
        <f aca="false">IF(OR(E796="",E796="!!!"),"",IF(NOT(ISNA(VLOOKUP(E796,E$1:E795,1,FALSE()))),"OLD",IF(AND(E796&lt;&gt;"",E796&lt;&gt;"!!!"),"NEW","")))</f>
        <v> </v>
      </c>
      <c r="G796" s="23" t="str">
        <f aca="false">IF(OR(E796="",E796="!!!"),"",IF(OR(J796=0,AND(J796=1,K796=1),AND(J796=1,I796="SBJ"),AND(J796=1,I796=0)),"?IN_FOCUS",IF(J796&lt;=2,"?ACTIVATED",IF(J796&lt;&gt;"","?FAMILIAR",IF(F796="NEW",IF(ISNA(VLOOKUP(E796,#REF!,1,FALSE())),"?TYPE_IDENTIFIABLE","?REFERENTIAL"),"_")))))</f>
        <v/>
      </c>
      <c r="H796" s="24" t="str">
        <f aca="false">IF(J796&lt;&gt;1,"",IF(I796="SBJ","CB","?"))</f>
        <v/>
      </c>
      <c r="I796" s="25" t="str">
        <f aca="false">IF(OR(E796="",E796="!!!",F796="NEW"),"",INDEX(B795:B$2,-1+SUMPRODUCT(MAX(ROW(E795:E$2)*(E796=E795:E$2)))))</f>
        <v> </v>
      </c>
      <c r="J796" s="25" t="str">
        <f aca="true">IF(OR(E796="",E796="!!!",F796="NEW"),"",COUNTBLANK(OFFSET(A$1,,,SUMPRODUCT(MAX(ROW(E$2:E796)*(E796=E$2:E796)))))-COUNTBLANK(OFFSET(A$1,,,SUMPRODUCT(MAX(ROW(E$1:E795)*(E2=E$1:E795))))))</f>
        <v/>
      </c>
      <c r="K796" s="25" t="str">
        <f aca="false">IF(OR(E796="",E796="!!!",F796="NEW"),"",INDEX(J$1:J795,SUMPRODUCT(MAX(ROW(E$1:E795)*(E796=E$1:E795)))))</f>
        <v/>
      </c>
      <c r="L796" s="26"/>
    </row>
    <row r="797" customFormat="false" ht="15" hidden="false" customHeight="false" outlineLevel="0" collapsed="false">
      <c r="A797" s="20" t="s">
        <v>237</v>
      </c>
      <c r="E797" s="21" t="str">
        <f aca="false">IF(D797="?OLD","!!!","")</f>
        <v/>
      </c>
      <c r="F797" s="22" t="str">
        <f aca="false">IF(OR(E797="",E797="!!!"),"",IF(NOT(ISNA(VLOOKUP(E797,E$1:E796,1,FALSE()))),"OLD",IF(AND(E797&lt;&gt;"",E797&lt;&gt;"!!!"),"NEW","")))</f>
        <v> </v>
      </c>
      <c r="G797" s="23" t="str">
        <f aca="false">IF(OR(E797="",E797="!!!"),"",IF(OR(J797=0,AND(J797=1,K797=1),AND(J797=1,I797="SBJ"),AND(J797=1,I797=0)),"?IN_FOCUS",IF(J797&lt;=2,"?ACTIVATED",IF(J797&lt;&gt;"","?FAMILIAR",IF(F797="NEW",IF(ISNA(VLOOKUP(E797,#REF!,1,FALSE())),"?TYPE_IDENTIFIABLE","?REFERENTIAL"),"_")))))</f>
        <v/>
      </c>
      <c r="H797" s="24" t="str">
        <f aca="false">IF(J797&lt;&gt;1,"",IF(I797="SBJ","CB","?"))</f>
        <v/>
      </c>
      <c r="I797" s="25" t="str">
        <f aca="false">IF(OR(E797="",E797="!!!",F797="NEW"),"",INDEX(B796:B$2,-1+SUMPRODUCT(MAX(ROW(E796:E$2)*(E797=E796:E$2)))))</f>
        <v> </v>
      </c>
      <c r="J797" s="25" t="str">
        <f aca="true">IF(OR(E797="",E797="!!!",F797="NEW"),"",COUNTBLANK(OFFSET(A$1,,,SUMPRODUCT(MAX(ROW(E$2:E797)*(E797=E$2:E797)))))-COUNTBLANK(OFFSET(A$1,,,SUMPRODUCT(MAX(ROW(E$1:E796)*(E2=E$1:E796))))))</f>
        <v/>
      </c>
      <c r="K797" s="25" t="str">
        <f aca="false">IF(OR(E797="",E797="!!!",F797="NEW"),"",INDEX(J$1:J796,SUMPRODUCT(MAX(ROW(E$1:E796)*(E797=E$1:E796)))))</f>
        <v/>
      </c>
      <c r="L797" s="26"/>
    </row>
    <row r="798" customFormat="false" ht="15" hidden="false" customHeight="false" outlineLevel="0" collapsed="false">
      <c r="A798" s="20" t="s">
        <v>288</v>
      </c>
      <c r="E798" s="21" t="str">
        <f aca="false">IF(D798="?OLD","!!!","")</f>
        <v/>
      </c>
      <c r="F798" s="22" t="str">
        <f aca="false">IF(OR(E798="",E798="!!!"),"",IF(NOT(ISNA(VLOOKUP(E798,E$1:E797,1,FALSE()))),"OLD",IF(AND(E798&lt;&gt;"",E798&lt;&gt;"!!!"),"NEW","")))</f>
        <v> </v>
      </c>
      <c r="G798" s="23" t="str">
        <f aca="false">IF(OR(E798="",E798="!!!"),"",IF(OR(J798=0,AND(J798=1,K798=1),AND(J798=1,I798="SBJ"),AND(J798=1,I798=0)),"?IN_FOCUS",IF(J798&lt;=2,"?ACTIVATED",IF(J798&lt;&gt;"","?FAMILIAR",IF(F798="NEW",IF(ISNA(VLOOKUP(E798,#REF!,1,FALSE())),"?TYPE_IDENTIFIABLE","?REFERENTIAL"),"_")))))</f>
        <v/>
      </c>
      <c r="H798" s="24" t="str">
        <f aca="false">IF(J798&lt;&gt;1,"",IF(I798="SBJ","CB","?"))</f>
        <v/>
      </c>
      <c r="I798" s="25" t="str">
        <f aca="false">IF(OR(E798="",E798="!!!",F798="NEW"),"",INDEX(B797:B$2,-1+SUMPRODUCT(MAX(ROW(E797:E$2)*(E798=E797:E$2)))))</f>
        <v> </v>
      </c>
      <c r="J798" s="25" t="str">
        <f aca="true">IF(OR(E798="",E798="!!!",F798="NEW"),"",COUNTBLANK(OFFSET(A$1,,,SUMPRODUCT(MAX(ROW(E$2:E798)*(E798=E$2:E798)))))-COUNTBLANK(OFFSET(A$1,,,SUMPRODUCT(MAX(ROW(E$1:E797)*(E2=E$1:E797))))))</f>
        <v/>
      </c>
      <c r="K798" s="25" t="str">
        <f aca="false">IF(OR(E798="",E798="!!!",F798="NEW"),"",INDEX(J$1:J797,SUMPRODUCT(MAX(ROW(E$1:E797)*(E798=E$1:E797)))))</f>
        <v/>
      </c>
      <c r="L798" s="26"/>
    </row>
    <row r="799" customFormat="false" ht="15" hidden="false" customHeight="false" outlineLevel="0" collapsed="false">
      <c r="A799" s="20" t="s">
        <v>421</v>
      </c>
      <c r="E799" s="21" t="str">
        <f aca="false">IF(D799="?OLD","!!!","")</f>
        <v/>
      </c>
      <c r="F799" s="22" t="str">
        <f aca="false">IF(OR(E799="",E799="!!!"),"",IF(NOT(ISNA(VLOOKUP(E799,E$1:E798,1,FALSE()))),"OLD",IF(AND(E799&lt;&gt;"",E799&lt;&gt;"!!!"),"NEW","")))</f>
        <v> </v>
      </c>
      <c r="G799" s="23" t="str">
        <f aca="false">IF(OR(E799="",E799="!!!"),"",IF(OR(J799=0,AND(J799=1,K799=1),AND(J799=1,I799="SBJ"),AND(J799=1,I799=0)),"?IN_FOCUS",IF(J799&lt;=2,"?ACTIVATED",IF(J799&lt;&gt;"","?FAMILIAR",IF(F799="NEW",IF(ISNA(VLOOKUP(E799,#REF!,1,FALSE())),"?TYPE_IDENTIFIABLE","?REFERENTIAL"),"_")))))</f>
        <v/>
      </c>
      <c r="H799" s="24" t="str">
        <f aca="false">IF(J799&lt;&gt;1,"",IF(I799="SBJ","CB","?"))</f>
        <v/>
      </c>
      <c r="I799" s="25" t="str">
        <f aca="false">IF(OR(E799="",E799="!!!",F799="NEW"),"",INDEX(B798:B$2,-1+SUMPRODUCT(MAX(ROW(E798:E$2)*(E799=E798:E$2)))))</f>
        <v> </v>
      </c>
      <c r="J799" s="25" t="str">
        <f aca="true">IF(OR(E799="",E799="!!!",F799="NEW"),"",COUNTBLANK(OFFSET(A$1,,,SUMPRODUCT(MAX(ROW(E$2:E799)*(E799=E$2:E799)))))-COUNTBLANK(OFFSET(A$1,,,SUMPRODUCT(MAX(ROW(E$1:E798)*(E2=E$1:E798))))))</f>
        <v/>
      </c>
      <c r="K799" s="25" t="str">
        <f aca="false">IF(OR(E799="",E799="!!!",F799="NEW"),"",INDEX(J$1:J798,SUMPRODUCT(MAX(ROW(E$1:E798)*(E799=E$1:E798)))))</f>
        <v/>
      </c>
      <c r="L799" s="26"/>
    </row>
    <row r="800" customFormat="false" ht="15" hidden="false" customHeight="false" outlineLevel="0" collapsed="false">
      <c r="A800" s="20" t="s">
        <v>54</v>
      </c>
      <c r="B800" s="27" t="s">
        <v>220</v>
      </c>
      <c r="C800" s="27" t="s">
        <v>297</v>
      </c>
      <c r="E800" s="21" t="str">
        <f aca="false">IF(D800="?OLD","!!!","")</f>
        <v/>
      </c>
      <c r="F800" s="22" t="str">
        <f aca="false">IF(OR(E800="",E800="!!!"),"",IF(NOT(ISNA(VLOOKUP(E800,E$1:E799,1,FALSE()))),"OLD",IF(AND(E800&lt;&gt;"",E800&lt;&gt;"!!!"),"NEW","")))</f>
        <v> </v>
      </c>
      <c r="G800" s="23" t="str">
        <f aca="false">IF(OR(E800="",E800="!!!"),"",IF(OR(J800=0,AND(J800=1,K800=1),AND(J800=1,I800="SBJ"),AND(J800=1,I800=0)),"?IN_FOCUS",IF(J800&lt;=2,"?ACTIVATED",IF(J800&lt;&gt;"","?FAMILIAR",IF(F800="NEW",IF(ISNA(VLOOKUP(E800,#REF!,1,FALSE())),"?TYPE_IDENTIFIABLE","?REFERENTIAL"),"_")))))</f>
        <v/>
      </c>
      <c r="H800" s="24" t="str">
        <f aca="false">IF(J800&lt;&gt;1,"",IF(I800="SBJ","CB","?"))</f>
        <v/>
      </c>
      <c r="I800" s="25" t="str">
        <f aca="false">IF(OR(E800="",E800="!!!",F800="NEW"),"",INDEX(B799:B$2,-1+SUMPRODUCT(MAX(ROW(E799:E$2)*(E800=E799:E$2)))))</f>
        <v> </v>
      </c>
      <c r="J800" s="25" t="str">
        <f aca="true">IF(OR(E800="",E800="!!!",F800="NEW"),"",COUNTBLANK(OFFSET(A$1,,,SUMPRODUCT(MAX(ROW(E$2:E800)*(E800=E$2:E800)))))-COUNTBLANK(OFFSET(A$1,,,SUMPRODUCT(MAX(ROW(E$1:E799)*(E2=E$1:E799))))))</f>
        <v/>
      </c>
      <c r="K800" s="25" t="str">
        <f aca="false">IF(OR(E800="",E800="!!!",F800="NEW"),"",INDEX(J$1:J799,SUMPRODUCT(MAX(ROW(E$1:E799)*(E800=E$1:E799)))))</f>
        <v/>
      </c>
      <c r="L800" s="26"/>
    </row>
    <row r="801" customFormat="false" ht="15" hidden="false" customHeight="false" outlineLevel="0" collapsed="false">
      <c r="A801" s="20" t="s">
        <v>218</v>
      </c>
      <c r="E801" s="21" t="str">
        <f aca="false">IF(D801="?OLD","!!!","")</f>
        <v/>
      </c>
      <c r="F801" s="22" t="str">
        <f aca="false">IF(OR(E801="",E801="!!!"),"",IF(NOT(ISNA(VLOOKUP(E801,E$1:E800,1,FALSE()))),"OLD",IF(AND(E801&lt;&gt;"",E801&lt;&gt;"!!!"),"NEW","")))</f>
        <v> </v>
      </c>
      <c r="G801" s="23" t="str">
        <f aca="false">IF(OR(E801="",E801="!!!"),"",IF(OR(J801=0,AND(J801=1,K801=1),AND(J801=1,I801="SBJ"),AND(J801=1,I801=0)),"?IN_FOCUS",IF(J801&lt;=2,"?ACTIVATED",IF(J801&lt;&gt;"","?FAMILIAR",IF(F801="NEW",IF(ISNA(VLOOKUP(E801,#REF!,1,FALSE())),"?TYPE_IDENTIFIABLE","?REFERENTIAL"),"_")))))</f>
        <v/>
      </c>
      <c r="H801" s="24" t="str">
        <f aca="false">IF(J801&lt;&gt;1,"",IF(I801="SBJ","CB","?"))</f>
        <v/>
      </c>
      <c r="I801" s="25" t="str">
        <f aca="false">IF(OR(E801="",E801="!!!",F801="NEW"),"",INDEX(B800:B$2,-1+SUMPRODUCT(MAX(ROW(E800:E$2)*(E801=E800:E$2)))))</f>
        <v> </v>
      </c>
      <c r="J801" s="25" t="str">
        <f aca="true">IF(OR(E801="",E801="!!!",F801="NEW"),"",COUNTBLANK(OFFSET(A$1,,,SUMPRODUCT(MAX(ROW(E$2:E801)*(E801=E$2:E801)))))-COUNTBLANK(OFFSET(A$1,,,SUMPRODUCT(MAX(ROW(E$1:E800)*(E2=E$1:E800))))))</f>
        <v/>
      </c>
      <c r="K801" s="25" t="str">
        <f aca="false">IF(OR(E801="",E801="!!!",F801="NEW"),"",INDEX(J$1:J800,SUMPRODUCT(MAX(ROW(E$1:E800)*(E801=E$1:E800)))))</f>
        <v/>
      </c>
      <c r="L801" s="26"/>
    </row>
    <row r="802" customFormat="false" ht="15" hidden="false" customHeight="false" outlineLevel="0" collapsed="false">
      <c r="A802" s="20" t="s">
        <v>205</v>
      </c>
      <c r="E802" s="21" t="str">
        <f aca="false">IF(D802="?OLD","!!!","")</f>
        <v/>
      </c>
      <c r="F802" s="22" t="str">
        <f aca="false">IF(OR(E802="",E802="!!!"),"",IF(NOT(ISNA(VLOOKUP(E802,E$1:E801,1,FALSE()))),"OLD",IF(AND(E802&lt;&gt;"",E802&lt;&gt;"!!!"),"NEW","")))</f>
        <v> </v>
      </c>
      <c r="G802" s="23" t="str">
        <f aca="false">IF(OR(E802="",E802="!!!"),"",IF(OR(J802=0,AND(J802=1,K802=1),AND(J802=1,I802="SBJ"),AND(J802=1,I802=0)),"?IN_FOCUS",IF(J802&lt;=2,"?ACTIVATED",IF(J802&lt;&gt;"","?FAMILIAR",IF(F802="NEW",IF(ISNA(VLOOKUP(E802,#REF!,1,FALSE())),"?TYPE_IDENTIFIABLE","?REFERENTIAL"),"_")))))</f>
        <v/>
      </c>
      <c r="H802" s="24" t="str">
        <f aca="false">IF(J802&lt;&gt;1,"",IF(I802="SBJ","CB","?"))</f>
        <v/>
      </c>
      <c r="I802" s="25" t="str">
        <f aca="false">IF(OR(E802="",E802="!!!",F802="NEW"),"",INDEX(B801:B$2,-1+SUMPRODUCT(MAX(ROW(E801:E$2)*(E802=E801:E$2)))))</f>
        <v> </v>
      </c>
      <c r="J802" s="25" t="str">
        <f aca="true">IF(OR(E802="",E802="!!!",F802="NEW"),"",COUNTBLANK(OFFSET(A$1,,,SUMPRODUCT(MAX(ROW(E$2:E802)*(E802=E$2:E802)))))-COUNTBLANK(OFFSET(A$1,,,SUMPRODUCT(MAX(ROW(E$1:E801)*(E2=E$1:E801))))))</f>
        <v/>
      </c>
      <c r="K802" s="25" t="str">
        <f aca="false">IF(OR(E802="",E802="!!!",F802="NEW"),"",INDEX(J$1:J801,SUMPRODUCT(MAX(ROW(E$1:E801)*(E802=E$1:E801)))))</f>
        <v/>
      </c>
      <c r="L802" s="26"/>
    </row>
    <row r="803" customFormat="false" ht="15" hidden="false" customHeight="false" outlineLevel="0" collapsed="false">
      <c r="A803" s="20" t="s">
        <v>247</v>
      </c>
      <c r="B803" s="27" t="s">
        <v>248</v>
      </c>
      <c r="C803" s="27" t="s">
        <v>208</v>
      </c>
      <c r="D803" s="27" t="s">
        <v>209</v>
      </c>
      <c r="E803" s="21" t="str">
        <f aca="false">IF(D803="?OLD","!!!","")</f>
        <v>!!!</v>
      </c>
      <c r="F803" s="22" t="str">
        <f aca="false">IF(OR(E803="",E803="!!!"),"",IF(NOT(ISNA(VLOOKUP(E803,E$1:E802,1,FALSE()))),"OLD",IF(AND(E803&lt;&gt;"",E803&lt;&gt;"!!!"),"NEW","")))</f>
        <v> </v>
      </c>
      <c r="G803" s="23" t="str">
        <f aca="false">IF(OR(E803="",E803="!!!"),"",IF(OR(J803=0,AND(J803=1,K803=1),AND(J803=1,I803="SBJ"),AND(J803=1,I803=0)),"?IN_FOCUS",IF(J803&lt;=2,"?ACTIVATED",IF(J803&lt;&gt;"","?FAMILIAR",IF(F803="NEW",IF(ISNA(VLOOKUP(E803,#REF!,1,FALSE())),"?TYPE_IDENTIFIABLE","?REFERENTIAL"),"_")))))</f>
        <v/>
      </c>
      <c r="H803" s="24" t="str">
        <f aca="false">IF(J803&lt;&gt;1,"",IF(I803="SBJ","CB","?"))</f>
        <v/>
      </c>
      <c r="I803" s="25" t="str">
        <f aca="false">IF(OR(E803="",E803="!!!",F803="NEW"),"",INDEX(B802:B$2,-1+SUMPRODUCT(MAX(ROW(E802:E$2)*(E803=E802:E$2)))))</f>
        <v> </v>
      </c>
      <c r="J803" s="25" t="str">
        <f aca="true">IF(OR(E803="",E803="!!!",F803="NEW"),"",COUNTBLANK(OFFSET(A$1,,,SUMPRODUCT(MAX(ROW(E$2:E803)*(E803=E$2:E803)))))-COUNTBLANK(OFFSET(A$1,,,SUMPRODUCT(MAX(ROW(E$1:E802)*(E2=E$1:E802))))))</f>
        <v/>
      </c>
      <c r="K803" s="25" t="str">
        <f aca="false">IF(OR(E803="",E803="!!!",F803="NEW"),"",INDEX(J$1:J802,SUMPRODUCT(MAX(ROW(E$1:E802)*(E803=E$1:E802)))))</f>
        <v/>
      </c>
      <c r="L803" s="26"/>
    </row>
    <row r="804" customFormat="false" ht="15" hidden="false" customHeight="false" outlineLevel="0" collapsed="false">
      <c r="A804" s="20" t="s">
        <v>218</v>
      </c>
      <c r="E804" s="21" t="str">
        <f aca="false">IF(D804="?OLD","!!!","")</f>
        <v/>
      </c>
      <c r="F804" s="22" t="str">
        <f aca="false">IF(OR(E804="",E804="!!!"),"",IF(NOT(ISNA(VLOOKUP(E804,E$1:E803,1,FALSE()))),"OLD",IF(AND(E804&lt;&gt;"",E804&lt;&gt;"!!!"),"NEW","")))</f>
        <v> </v>
      </c>
      <c r="G804" s="23" t="str">
        <f aca="false">IF(OR(E804="",E804="!!!"),"",IF(OR(J804=0,AND(J804=1,K804=1),AND(J804=1,I804="SBJ"),AND(J804=1,I804=0)),"?IN_FOCUS",IF(J804&lt;=2,"?ACTIVATED",IF(J804&lt;&gt;"","?FAMILIAR",IF(F804="NEW",IF(ISNA(VLOOKUP(E804,#REF!,1,FALSE())),"?TYPE_IDENTIFIABLE","?REFERENTIAL"),"_")))))</f>
        <v/>
      </c>
      <c r="H804" s="24" t="str">
        <f aca="false">IF(J804&lt;&gt;1,"",IF(I804="SBJ","CB","?"))</f>
        <v/>
      </c>
      <c r="I804" s="25" t="str">
        <f aca="false">IF(OR(E804="",E804="!!!",F804="NEW"),"",INDEX(B803:B$2,-1+SUMPRODUCT(MAX(ROW(E803:E$2)*(E804=E803:E$2)))))</f>
        <v> </v>
      </c>
      <c r="J804" s="25" t="str">
        <f aca="true">IF(OR(E804="",E804="!!!",F804="NEW"),"",COUNTBLANK(OFFSET(A$1,,,SUMPRODUCT(MAX(ROW(E$2:E804)*(E804=E$2:E804)))))-COUNTBLANK(OFFSET(A$1,,,SUMPRODUCT(MAX(ROW(E$1:E803)*(E2=E$1:E803))))))</f>
        <v/>
      </c>
      <c r="K804" s="25" t="str">
        <f aca="false">IF(OR(E804="",E804="!!!",F804="NEW"),"",INDEX(J$1:J803,SUMPRODUCT(MAX(ROW(E$1:E803)*(E804=E$1:E803)))))</f>
        <v/>
      </c>
      <c r="L804" s="26"/>
    </row>
    <row r="805" customFormat="false" ht="15" hidden="false" customHeight="false" outlineLevel="0" collapsed="false">
      <c r="A805" s="20" t="s">
        <v>385</v>
      </c>
      <c r="B805" s="27" t="s">
        <v>250</v>
      </c>
      <c r="C805" s="27" t="s">
        <v>297</v>
      </c>
      <c r="E805" s="21" t="str">
        <f aca="false">IF(D805="?OLD","!!!","")</f>
        <v/>
      </c>
      <c r="F805" s="22" t="str">
        <f aca="false">IF(OR(E805="",E805="!!!"),"",IF(NOT(ISNA(VLOOKUP(E805,E$1:E804,1,FALSE()))),"OLD",IF(AND(E805&lt;&gt;"",E805&lt;&gt;"!!!"),"NEW","")))</f>
        <v> </v>
      </c>
      <c r="G805" s="23" t="str">
        <f aca="false">IF(OR(E805="",E805="!!!"),"",IF(OR(J805=0,AND(J805=1,K805=1),AND(J805=1,I805="SBJ"),AND(J805=1,I805=0)),"?IN_FOCUS",IF(J805&lt;=2,"?ACTIVATED",IF(J805&lt;&gt;"","?FAMILIAR",IF(F805="NEW",IF(ISNA(VLOOKUP(E805,#REF!,1,FALSE())),"?TYPE_IDENTIFIABLE","?REFERENTIAL"),"_")))))</f>
        <v/>
      </c>
      <c r="H805" s="24" t="str">
        <f aca="false">IF(J805&lt;&gt;1,"",IF(I805="SBJ","CB","?"))</f>
        <v/>
      </c>
      <c r="I805" s="25" t="str">
        <f aca="false">IF(OR(E805="",E805="!!!",F805="NEW"),"",INDEX(B804:B$2,-1+SUMPRODUCT(MAX(ROW(E804:E$2)*(E805=E804:E$2)))))</f>
        <v> </v>
      </c>
      <c r="J805" s="25" t="str">
        <f aca="true">IF(OR(E805="",E805="!!!",F805="NEW"),"",COUNTBLANK(OFFSET(A$1,,,SUMPRODUCT(MAX(ROW(E$2:E805)*(E805=E$2:E805)))))-COUNTBLANK(OFFSET(A$1,,,SUMPRODUCT(MAX(ROW(E$1:E804)*(E2=E$1:E804))))))</f>
        <v/>
      </c>
      <c r="K805" s="25" t="str">
        <f aca="false">IF(OR(E805="",E805="!!!",F805="NEW"),"",INDEX(J$1:J804,SUMPRODUCT(MAX(ROW(E$1:E804)*(E805=E$1:E804)))))</f>
        <v/>
      </c>
      <c r="L805" s="26"/>
    </row>
    <row r="806" customFormat="false" ht="15" hidden="false" customHeight="false" outlineLevel="0" collapsed="false">
      <c r="A806" s="20" t="s">
        <v>237</v>
      </c>
      <c r="E806" s="21" t="str">
        <f aca="false">IF(D806="?OLD","!!!","")</f>
        <v/>
      </c>
      <c r="F806" s="22" t="str">
        <f aca="false">IF(OR(E806="",E806="!!!"),"",IF(NOT(ISNA(VLOOKUP(E806,E$1:E805,1,FALSE()))),"OLD",IF(AND(E806&lt;&gt;"",E806&lt;&gt;"!!!"),"NEW","")))</f>
        <v> </v>
      </c>
      <c r="G806" s="23" t="str">
        <f aca="false">IF(OR(E806="",E806="!!!"),"",IF(OR(J806=0,AND(J806=1,K806=1),AND(J806=1,I806="SBJ"),AND(J806=1,I806=0)),"?IN_FOCUS",IF(J806&lt;=2,"?ACTIVATED",IF(J806&lt;&gt;"","?FAMILIAR",IF(F806="NEW",IF(ISNA(VLOOKUP(E806,#REF!,1,FALSE())),"?TYPE_IDENTIFIABLE","?REFERENTIAL"),"_")))))</f>
        <v/>
      </c>
      <c r="H806" s="24" t="str">
        <f aca="false">IF(J806&lt;&gt;1,"",IF(I806="SBJ","CB","?"))</f>
        <v/>
      </c>
      <c r="I806" s="25" t="str">
        <f aca="false">IF(OR(E806="",E806="!!!",F806="NEW"),"",INDEX(B805:B$2,-1+SUMPRODUCT(MAX(ROW(E805:E$2)*(E806=E805:E$2)))))</f>
        <v> </v>
      </c>
      <c r="J806" s="25" t="str">
        <f aca="true">IF(OR(E806="",E806="!!!",F806="NEW"),"",COUNTBLANK(OFFSET(A$1,,,SUMPRODUCT(MAX(ROW(E$2:E806)*(E806=E$2:E806)))))-COUNTBLANK(OFFSET(A$1,,,SUMPRODUCT(MAX(ROW(E$1:E805)*(E2=E$1:E805))))))</f>
        <v/>
      </c>
      <c r="K806" s="25" t="str">
        <f aca="false">IF(OR(E806="",E806="!!!",F806="NEW"),"",INDEX(J$1:J805,SUMPRODUCT(MAX(ROW(E$1:E805)*(E806=E$1:E805)))))</f>
        <v/>
      </c>
      <c r="L806" s="26"/>
    </row>
    <row r="807" customFormat="false" ht="15" hidden="false" customHeight="false" outlineLevel="0" collapsed="false">
      <c r="A807" s="20" t="s">
        <v>288</v>
      </c>
      <c r="E807" s="21" t="str">
        <f aca="false">IF(D807="?OLD","!!!","")</f>
        <v/>
      </c>
      <c r="F807" s="22" t="str">
        <f aca="false">IF(OR(E807="",E807="!!!"),"",IF(NOT(ISNA(VLOOKUP(E807,E$1:E806,1,FALSE()))),"OLD",IF(AND(E807&lt;&gt;"",E807&lt;&gt;"!!!"),"NEW","")))</f>
        <v> </v>
      </c>
      <c r="G807" s="23" t="str">
        <f aca="false">IF(OR(E807="",E807="!!!"),"",IF(OR(J807=0,AND(J807=1,K807=1),AND(J807=1,I807="SBJ"),AND(J807=1,I807=0)),"?IN_FOCUS",IF(J807&lt;=2,"?ACTIVATED",IF(J807&lt;&gt;"","?FAMILIAR",IF(F807="NEW",IF(ISNA(VLOOKUP(E807,#REF!,1,FALSE())),"?TYPE_IDENTIFIABLE","?REFERENTIAL"),"_")))))</f>
        <v/>
      </c>
      <c r="H807" s="24" t="str">
        <f aca="false">IF(J807&lt;&gt;1,"",IF(I807="SBJ","CB","?"))</f>
        <v/>
      </c>
      <c r="I807" s="25" t="str">
        <f aca="false">IF(OR(E807="",E807="!!!",F807="NEW"),"",INDEX(B806:B$2,-1+SUMPRODUCT(MAX(ROW(E806:E$2)*(E807=E806:E$2)))))</f>
        <v> </v>
      </c>
      <c r="J807" s="25" t="str">
        <f aca="true">IF(OR(E807="",E807="!!!",F807="NEW"),"",COUNTBLANK(OFFSET(A$1,,,SUMPRODUCT(MAX(ROW(E$2:E807)*(E807=E$2:E807)))))-COUNTBLANK(OFFSET(A$1,,,SUMPRODUCT(MAX(ROW(E$1:E806)*(E2=E$1:E806))))))</f>
        <v/>
      </c>
      <c r="K807" s="25" t="str">
        <f aca="false">IF(OR(E807="",E807="!!!",F807="NEW"),"",INDEX(J$1:J806,SUMPRODUCT(MAX(ROW(E$1:E806)*(E807=E$1:E806)))))</f>
        <v/>
      </c>
      <c r="L807" s="26"/>
    </row>
    <row r="808" customFormat="false" ht="15" hidden="false" customHeight="false" outlineLevel="0" collapsed="false">
      <c r="A808" s="20" t="s">
        <v>89</v>
      </c>
      <c r="B808" s="27" t="s">
        <v>220</v>
      </c>
      <c r="C808" s="27" t="s">
        <v>297</v>
      </c>
      <c r="E808" s="21" t="str">
        <f aca="false">IF(D808="?OLD","!!!","")</f>
        <v/>
      </c>
      <c r="F808" s="22" t="str">
        <f aca="false">IF(OR(E808="",E808="!!!"),"",IF(NOT(ISNA(VLOOKUP(E808,E$1:E807,1,FALSE()))),"OLD",IF(AND(E808&lt;&gt;"",E808&lt;&gt;"!!!"),"NEW","")))</f>
        <v> </v>
      </c>
      <c r="G808" s="23" t="str">
        <f aca="false">IF(OR(E808="",E808="!!!"),"",IF(OR(J808=0,AND(J808=1,K808=1),AND(J808=1,I808="SBJ"),AND(J808=1,I808=0)),"?IN_FOCUS",IF(J808&lt;=2,"?ACTIVATED",IF(J808&lt;&gt;"","?FAMILIAR",IF(F808="NEW",IF(ISNA(VLOOKUP(E808,#REF!,1,FALSE())),"?TYPE_IDENTIFIABLE","?REFERENTIAL"),"_")))))</f>
        <v/>
      </c>
      <c r="H808" s="24" t="str">
        <f aca="false">IF(J808&lt;&gt;1,"",IF(I808="SBJ","CB","?"))</f>
        <v/>
      </c>
      <c r="I808" s="25" t="str">
        <f aca="false">IF(OR(E808="",E808="!!!",F808="NEW"),"",INDEX(B807:B$2,-1+SUMPRODUCT(MAX(ROW(E807:E$2)*(E808=E807:E$2)))))</f>
        <v> </v>
      </c>
      <c r="J808" s="25" t="str">
        <f aca="true">IF(OR(E808="",E808="!!!",F808="NEW"),"",COUNTBLANK(OFFSET(A$1,,,SUMPRODUCT(MAX(ROW(E$2:E808)*(E808=E$2:E808)))))-COUNTBLANK(OFFSET(A$1,,,SUMPRODUCT(MAX(ROW(E$1:E807)*(E2=E$1:E807))))))</f>
        <v/>
      </c>
      <c r="K808" s="25" t="str">
        <f aca="false">IF(OR(E808="",E808="!!!",F808="NEW"),"",INDEX(J$1:J807,SUMPRODUCT(MAX(ROW(E$1:E807)*(E808=E$1:E807)))))</f>
        <v/>
      </c>
      <c r="L808" s="26"/>
    </row>
    <row r="809" customFormat="false" ht="15" hidden="false" customHeight="false" outlineLevel="0" collapsed="false">
      <c r="A809" s="20" t="s">
        <v>237</v>
      </c>
      <c r="E809" s="21" t="str">
        <f aca="false">IF(D809="?OLD","!!!","")</f>
        <v/>
      </c>
      <c r="F809" s="22" t="str">
        <f aca="false">IF(OR(E809="",E809="!!!"),"",IF(NOT(ISNA(VLOOKUP(E809,E$1:E808,1,FALSE()))),"OLD",IF(AND(E809&lt;&gt;"",E809&lt;&gt;"!!!"),"NEW","")))</f>
        <v> </v>
      </c>
      <c r="G809" s="23" t="str">
        <f aca="false">IF(OR(E809="",E809="!!!"),"",IF(OR(J809=0,AND(J809=1,K809=1),AND(J809=1,I809="SBJ"),AND(J809=1,I809=0)),"?IN_FOCUS",IF(J809&lt;=2,"?ACTIVATED",IF(J809&lt;&gt;"","?FAMILIAR",IF(F809="NEW",IF(ISNA(VLOOKUP(E809,#REF!,1,FALSE())),"?TYPE_IDENTIFIABLE","?REFERENTIAL"),"_")))))</f>
        <v/>
      </c>
      <c r="H809" s="24" t="str">
        <f aca="false">IF(J809&lt;&gt;1,"",IF(I809="SBJ","CB","?"))</f>
        <v/>
      </c>
      <c r="I809" s="25" t="str">
        <f aca="false">IF(OR(E809="",E809="!!!",F809="NEW"),"",INDEX(B808:B$2,-1+SUMPRODUCT(MAX(ROW(E808:E$2)*(E809=E808:E$2)))))</f>
        <v> </v>
      </c>
      <c r="J809" s="25" t="str">
        <f aca="true">IF(OR(E809="",E809="!!!",F809="NEW"),"",COUNTBLANK(OFFSET(A$1,,,SUMPRODUCT(MAX(ROW(E$2:E809)*(E809=E$2:E809)))))-COUNTBLANK(OFFSET(A$1,,,SUMPRODUCT(MAX(ROW(E$1:E808)*(E2=E$1:E808))))))</f>
        <v/>
      </c>
      <c r="K809" s="25" t="str">
        <f aca="false">IF(OR(E809="",E809="!!!",F809="NEW"),"",INDEX(J$1:J808,SUMPRODUCT(MAX(ROW(E$1:E808)*(E809=E$1:E808)))))</f>
        <v/>
      </c>
      <c r="L809" s="26"/>
    </row>
    <row r="810" customFormat="false" ht="15" hidden="false" customHeight="false" outlineLevel="0" collapsed="false">
      <c r="A810" s="20" t="s">
        <v>288</v>
      </c>
      <c r="E810" s="21" t="str">
        <f aca="false">IF(D810="?OLD","!!!","")</f>
        <v/>
      </c>
      <c r="F810" s="22" t="str">
        <f aca="false">IF(OR(E810="",E810="!!!"),"",IF(NOT(ISNA(VLOOKUP(E810,E$1:E809,1,FALSE()))),"OLD",IF(AND(E810&lt;&gt;"",E810&lt;&gt;"!!!"),"NEW","")))</f>
        <v> </v>
      </c>
      <c r="G810" s="23" t="str">
        <f aca="false">IF(OR(E810="",E810="!!!"),"",IF(OR(J810=0,AND(J810=1,K810=1),AND(J810=1,I810="SBJ"),AND(J810=1,I810=0)),"?IN_FOCUS",IF(J810&lt;=2,"?ACTIVATED",IF(J810&lt;&gt;"","?FAMILIAR",IF(F810="NEW",IF(ISNA(VLOOKUP(E810,#REF!,1,FALSE())),"?TYPE_IDENTIFIABLE","?REFERENTIAL"),"_")))))</f>
        <v/>
      </c>
      <c r="H810" s="24" t="str">
        <f aca="false">IF(J810&lt;&gt;1,"",IF(I810="SBJ","CB","?"))</f>
        <v/>
      </c>
      <c r="I810" s="25" t="str">
        <f aca="false">IF(OR(E810="",E810="!!!",F810="NEW"),"",INDEX(B809:B$2,-1+SUMPRODUCT(MAX(ROW(E809:E$2)*(E810=E809:E$2)))))</f>
        <v> </v>
      </c>
      <c r="J810" s="25" t="str">
        <f aca="true">IF(OR(E810="",E810="!!!",F810="NEW"),"",COUNTBLANK(OFFSET(A$1,,,SUMPRODUCT(MAX(ROW(E$2:E810)*(E810=E$2:E810)))))-COUNTBLANK(OFFSET(A$1,,,SUMPRODUCT(MAX(ROW(E$1:E809)*(E2=E$1:E809))))))</f>
        <v/>
      </c>
      <c r="K810" s="25" t="str">
        <f aca="false">IF(OR(E810="",E810="!!!",F810="NEW"),"",INDEX(J$1:J809,SUMPRODUCT(MAX(ROW(E$1:E809)*(E810=E$1:E809)))))</f>
        <v/>
      </c>
      <c r="L810" s="26"/>
    </row>
    <row r="811" customFormat="false" ht="15" hidden="false" customHeight="false" outlineLevel="0" collapsed="false">
      <c r="A811" s="20" t="s">
        <v>449</v>
      </c>
      <c r="E811" s="21" t="str">
        <f aca="false">IF(D811="?OLD","!!!","")</f>
        <v/>
      </c>
      <c r="F811" s="22" t="str">
        <f aca="false">IF(OR(E811="",E811="!!!"),"",IF(NOT(ISNA(VLOOKUP(E811,E$1:E810,1,FALSE()))),"OLD",IF(AND(E811&lt;&gt;"",E811&lt;&gt;"!!!"),"NEW","")))</f>
        <v> </v>
      </c>
      <c r="G811" s="23" t="str">
        <f aca="false">IF(OR(E811="",E811="!!!"),"",IF(OR(J811=0,AND(J811=1,K811=1),AND(J811=1,I811="SBJ"),AND(J811=1,I811=0)),"?IN_FOCUS",IF(J811&lt;=2,"?ACTIVATED",IF(J811&lt;&gt;"","?FAMILIAR",IF(F811="NEW",IF(ISNA(VLOOKUP(E811,#REF!,1,FALSE())),"?TYPE_IDENTIFIABLE","?REFERENTIAL"),"_")))))</f>
        <v/>
      </c>
      <c r="H811" s="24" t="str">
        <f aca="false">IF(J811&lt;&gt;1,"",IF(I811="SBJ","CB","?"))</f>
        <v/>
      </c>
      <c r="I811" s="25" t="str">
        <f aca="false">IF(OR(E811="",E811="!!!",F811="NEW"),"",INDEX(B810:B$2,-1+SUMPRODUCT(MAX(ROW(E810:E$2)*(E811=E810:E$2)))))</f>
        <v> </v>
      </c>
      <c r="J811" s="25" t="str">
        <f aca="true">IF(OR(E811="",E811="!!!",F811="NEW"),"",COUNTBLANK(OFFSET(A$1,,,SUMPRODUCT(MAX(ROW(E$2:E811)*(E811=E$2:E811)))))-COUNTBLANK(OFFSET(A$1,,,SUMPRODUCT(MAX(ROW(E$1:E810)*(E2=E$1:E810))))))</f>
        <v/>
      </c>
      <c r="K811" s="25" t="str">
        <f aca="false">IF(OR(E811="",E811="!!!",F811="NEW"),"",INDEX(J$1:J810,SUMPRODUCT(MAX(ROW(E$1:E810)*(E811=E$1:E810)))))</f>
        <v/>
      </c>
      <c r="L811" s="26"/>
    </row>
    <row r="812" customFormat="false" ht="15" hidden="false" customHeight="false" outlineLevel="0" collapsed="false">
      <c r="A812" s="20" t="s">
        <v>450</v>
      </c>
      <c r="E812" s="21" t="str">
        <f aca="false">IF(D812="?OLD","!!!","")</f>
        <v/>
      </c>
      <c r="F812" s="22" t="str">
        <f aca="false">IF(OR(E812="",E812="!!!"),"",IF(NOT(ISNA(VLOOKUP(E812,E$1:E811,1,FALSE()))),"OLD",IF(AND(E812&lt;&gt;"",E812&lt;&gt;"!!!"),"NEW","")))</f>
        <v> </v>
      </c>
      <c r="G812" s="23" t="str">
        <f aca="false">IF(OR(E812="",E812="!!!"),"",IF(OR(J812=0,AND(J812=1,K812=1),AND(J812=1,I812="SBJ"),AND(J812=1,I812=0)),"?IN_FOCUS",IF(J812&lt;=2,"?ACTIVATED",IF(J812&lt;&gt;"","?FAMILIAR",IF(F812="NEW",IF(ISNA(VLOOKUP(E812,#REF!,1,FALSE())),"?TYPE_IDENTIFIABLE","?REFERENTIAL"),"_")))))</f>
        <v/>
      </c>
      <c r="H812" s="24" t="str">
        <f aca="false">IF(J812&lt;&gt;1,"",IF(I812="SBJ","CB","?"))</f>
        <v/>
      </c>
      <c r="I812" s="25" t="str">
        <f aca="false">IF(OR(E812="",E812="!!!",F812="NEW"),"",INDEX(B811:B$2,-1+SUMPRODUCT(MAX(ROW(E811:E$2)*(E812=E811:E$2)))))</f>
        <v> </v>
      </c>
      <c r="J812" s="25" t="str">
        <f aca="true">IF(OR(E812="",E812="!!!",F812="NEW"),"",COUNTBLANK(OFFSET(A$1,,,SUMPRODUCT(MAX(ROW(E$2:E812)*(E812=E$2:E812)))))-COUNTBLANK(OFFSET(A$1,,,SUMPRODUCT(MAX(ROW(E$1:E811)*(E2=E$1:E811))))))</f>
        <v/>
      </c>
      <c r="K812" s="25" t="str">
        <f aca="false">IF(OR(E812="",E812="!!!",F812="NEW"),"",INDEX(J$1:J811,SUMPRODUCT(MAX(ROW(E$1:E811)*(E812=E$1:E811)))))</f>
        <v/>
      </c>
      <c r="L812" s="26"/>
    </row>
    <row r="813" customFormat="false" ht="15" hidden="false" customHeight="false" outlineLevel="0" collapsed="false">
      <c r="A813" s="20" t="s">
        <v>451</v>
      </c>
      <c r="E813" s="21" t="str">
        <f aca="false">IF(D813="?OLD","!!!","")</f>
        <v/>
      </c>
      <c r="F813" s="22" t="str">
        <f aca="false">IF(OR(E813="",E813="!!!"),"",IF(NOT(ISNA(VLOOKUP(E813,E$1:E812,1,FALSE()))),"OLD",IF(AND(E813&lt;&gt;"",E813&lt;&gt;"!!!"),"NEW","")))</f>
        <v> </v>
      </c>
      <c r="G813" s="23" t="str">
        <f aca="false">IF(OR(E813="",E813="!!!"),"",IF(OR(J813=0,AND(J813=1,K813=1),AND(J813=1,I813="SBJ"),AND(J813=1,I813=0)),"?IN_FOCUS",IF(J813&lt;=2,"?ACTIVATED",IF(J813&lt;&gt;"","?FAMILIAR",IF(F813="NEW",IF(ISNA(VLOOKUP(E813,#REF!,1,FALSE())),"?TYPE_IDENTIFIABLE","?REFERENTIAL"),"_")))))</f>
        <v/>
      </c>
      <c r="H813" s="24" t="str">
        <f aca="false">IF(J813&lt;&gt;1,"",IF(I813="SBJ","CB","?"))</f>
        <v/>
      </c>
      <c r="I813" s="25" t="str">
        <f aca="false">IF(OR(E813="",E813="!!!",F813="NEW"),"",INDEX(B812:B$2,-1+SUMPRODUCT(MAX(ROW(E812:E$2)*(E813=E812:E$2)))))</f>
        <v> </v>
      </c>
      <c r="J813" s="25" t="str">
        <f aca="true">IF(OR(E813="",E813="!!!",F813="NEW"),"",COUNTBLANK(OFFSET(A$1,,,SUMPRODUCT(MAX(ROW(E$2:E813)*(E813=E$2:E813)))))-COUNTBLANK(OFFSET(A$1,,,SUMPRODUCT(MAX(ROW(E$1:E812)*(E2=E$1:E812))))))</f>
        <v/>
      </c>
      <c r="K813" s="25" t="str">
        <f aca="false">IF(OR(E813="",E813="!!!",F813="NEW"),"",INDEX(J$1:J812,SUMPRODUCT(MAX(ROW(E$1:E812)*(E813=E$1:E812)))))</f>
        <v/>
      </c>
      <c r="L813" s="26"/>
    </row>
    <row r="814" customFormat="false" ht="15" hidden="false" customHeight="false" outlineLevel="0" collapsed="false">
      <c r="A814" s="20" t="s">
        <v>238</v>
      </c>
      <c r="E814" s="21" t="str">
        <f aca="false">IF(D814="?OLD","!!!","")</f>
        <v/>
      </c>
      <c r="F814" s="22" t="str">
        <f aca="false">IF(OR(E814="",E814="!!!"),"",IF(NOT(ISNA(VLOOKUP(E814,E$1:E813,1,FALSE()))),"OLD",IF(AND(E814&lt;&gt;"",E814&lt;&gt;"!!!"),"NEW","")))</f>
        <v> </v>
      </c>
      <c r="G814" s="23" t="str">
        <f aca="false">IF(OR(E814="",E814="!!!"),"",IF(OR(J814=0,AND(J814=1,K814=1),AND(J814=1,I814="SBJ"),AND(J814=1,I814=0)),"?IN_FOCUS",IF(J814&lt;=2,"?ACTIVATED",IF(J814&lt;&gt;"","?FAMILIAR",IF(F814="NEW",IF(ISNA(VLOOKUP(E814,#REF!,1,FALSE())),"?TYPE_IDENTIFIABLE","?REFERENTIAL"),"_")))))</f>
        <v/>
      </c>
      <c r="H814" s="24" t="str">
        <f aca="false">IF(J814&lt;&gt;1,"",IF(I814="SBJ","CB","?"))</f>
        <v/>
      </c>
      <c r="I814" s="25" t="str">
        <f aca="false">IF(OR(E814="",E814="!!!",F814="NEW"),"",INDEX(B813:B$2,-1+SUMPRODUCT(MAX(ROW(E813:E$2)*(E814=E813:E$2)))))</f>
        <v> </v>
      </c>
      <c r="J814" s="25" t="str">
        <f aca="true">IF(OR(E814="",E814="!!!",F814="NEW"),"",COUNTBLANK(OFFSET(A$1,,,SUMPRODUCT(MAX(ROW(E$2:E814)*(E814=E$2:E814)))))-COUNTBLANK(OFFSET(A$1,,,SUMPRODUCT(MAX(ROW(E$1:E813)*(E2=E$1:E813))))))</f>
        <v/>
      </c>
      <c r="K814" s="25" t="str">
        <f aca="false">IF(OR(E814="",E814="!!!",F814="NEW"),"",INDEX(J$1:J813,SUMPRODUCT(MAX(ROW(E$1:E813)*(E814=E$1:E813)))))</f>
        <v/>
      </c>
      <c r="L814" s="26"/>
    </row>
    <row r="815" customFormat="false" ht="15" hidden="false" customHeight="false" outlineLevel="0" collapsed="false">
      <c r="A815" s="20"/>
    </row>
    <row r="816" customFormat="false" ht="15" hidden="false" customHeight="false" outlineLevel="0" collapsed="false">
      <c r="A816" s="20" t="s">
        <v>452</v>
      </c>
    </row>
    <row r="817" customFormat="false" ht="15" hidden="false" customHeight="false" outlineLevel="0" collapsed="false">
      <c r="A817" s="20" t="s">
        <v>453</v>
      </c>
      <c r="E817" s="21" t="str">
        <f aca="false">IF(D817="?OLD","!!!","")</f>
        <v/>
      </c>
      <c r="F817" s="22" t="str">
        <f aca="false">IF(OR(E817="",E817="!!!"),"",IF(NOT(ISNA(VLOOKUP(E817,E$1:E816,1,FALSE()))),"OLD",IF(AND(E817&lt;&gt;"",E817&lt;&gt;"!!!"),"NEW","")))</f>
        <v> </v>
      </c>
      <c r="G817" s="23" t="str">
        <f aca="false">IF(OR(E817="",E817="!!!"),"",IF(OR(J817=0,AND(J817=1,K817=1),AND(J817=1,I817="SBJ"),AND(J817=1,I817=0)),"?IN_FOCUS",IF(J817&lt;=2,"?ACTIVATED",IF(J817&lt;&gt;"","?FAMILIAR",IF(F817="NEW",IF(ISNA(VLOOKUP(E817,#REF!,1,FALSE())),"?TYPE_IDENTIFIABLE","?REFERENTIAL"),"_")))))</f>
        <v/>
      </c>
      <c r="H817" s="24" t="str">
        <f aca="false">IF(J817&lt;&gt;1,"",IF(I817="SBJ","CB","?"))</f>
        <v/>
      </c>
      <c r="I817" s="25" t="str">
        <f aca="false">IF(OR(E817="",E817="!!!",F817="NEW"),"",INDEX(B816:B$2,-1+SUMPRODUCT(MAX(ROW(E816:E$2)*(E817=E816:E$2)))))</f>
        <v> </v>
      </c>
      <c r="J817" s="25" t="str">
        <f aca="true">IF(OR(E817="",E817="!!!",F817="NEW"),"",COUNTBLANK(OFFSET(A$1,,,SUMPRODUCT(MAX(ROW(E$2:E817)*(E817=E$2:E817)))))-COUNTBLANK(OFFSET(A$1,,,SUMPRODUCT(MAX(ROW(E$1:E816)*(E2=E$1:E816))))))</f>
        <v/>
      </c>
      <c r="K817" s="25" t="str">
        <f aca="false">IF(OR(E817="",E817="!!!",F817="NEW"),"",INDEX(J$1:J816,SUMPRODUCT(MAX(ROW(E$1:E816)*(E817=E$1:E816)))))</f>
        <v/>
      </c>
      <c r="L817" s="26"/>
    </row>
    <row r="818" customFormat="false" ht="15" hidden="false" customHeight="false" outlineLevel="0" collapsed="false">
      <c r="A818" s="20" t="s">
        <v>223</v>
      </c>
      <c r="B818" s="27" t="s">
        <v>207</v>
      </c>
      <c r="C818" s="27" t="s">
        <v>225</v>
      </c>
      <c r="D818" s="27" t="s">
        <v>209</v>
      </c>
      <c r="E818" s="21" t="str">
        <f aca="false">IF(D818="?OLD","!!!","")</f>
        <v>!!!</v>
      </c>
      <c r="F818" s="22" t="str">
        <f aca="false">IF(OR(E818="",E818="!!!"),"",IF(NOT(ISNA(VLOOKUP(E818,E$1:E817,1,FALSE()))),"OLD",IF(AND(E818&lt;&gt;"",E818&lt;&gt;"!!!"),"NEW","")))</f>
        <v> </v>
      </c>
      <c r="G818" s="23" t="str">
        <f aca="false">IF(OR(E818="",E818="!!!"),"",IF(OR(J818=0,AND(J818=1,K818=1),AND(J818=1,I818="SBJ"),AND(J818=1,I818=0)),"?IN_FOCUS",IF(J818&lt;=2,"?ACTIVATED",IF(J818&lt;&gt;"","?FAMILIAR",IF(F818="NEW",IF(ISNA(VLOOKUP(E818,#REF!,1,FALSE())),"?TYPE_IDENTIFIABLE","?REFERENTIAL"),"_")))))</f>
        <v/>
      </c>
      <c r="H818" s="24" t="str">
        <f aca="false">IF(J818&lt;&gt;1,"",IF(I818="SBJ","CB","?"))</f>
        <v/>
      </c>
      <c r="I818" s="25" t="str">
        <f aca="false">IF(OR(E818="",E818="!!!",F818="NEW"),"",INDEX(B817:B$2,-1+SUMPRODUCT(MAX(ROW(E817:E$2)*(E818=E817:E$2)))))</f>
        <v> </v>
      </c>
      <c r="J818" s="25" t="str">
        <f aca="true">IF(OR(E818="",E818="!!!",F818="NEW"),"",COUNTBLANK(OFFSET(A$1,,,SUMPRODUCT(MAX(ROW(E$2:E818)*(E818=E$2:E818)))))-COUNTBLANK(OFFSET(A$1,,,SUMPRODUCT(MAX(ROW(E$1:E817)*(E2=E$1:E817))))))</f>
        <v/>
      </c>
      <c r="K818" s="25" t="str">
        <f aca="false">IF(OR(E818="",E818="!!!",F818="NEW"),"",INDEX(J$1:J817,SUMPRODUCT(MAX(ROW(E$1:E817)*(E818=E$1:E817)))))</f>
        <v/>
      </c>
      <c r="L818" s="26"/>
    </row>
    <row r="819" customFormat="false" ht="15" hidden="false" customHeight="false" outlineLevel="0" collapsed="false">
      <c r="A819" s="20" t="s">
        <v>226</v>
      </c>
      <c r="E819" s="21" t="str">
        <f aca="false">IF(D819="?OLD","!!!","")</f>
        <v/>
      </c>
      <c r="F819" s="22" t="str">
        <f aca="false">IF(OR(E819="",E819="!!!"),"",IF(NOT(ISNA(VLOOKUP(E819,E$1:E818,1,FALSE()))),"OLD",IF(AND(E819&lt;&gt;"",E819&lt;&gt;"!!!"),"NEW","")))</f>
        <v> </v>
      </c>
      <c r="G819" s="23" t="str">
        <f aca="false">IF(OR(E819="",E819="!!!"),"",IF(OR(J819=0,AND(J819=1,K819=1),AND(J819=1,I819="SBJ"),AND(J819=1,I819=0)),"?IN_FOCUS",IF(J819&lt;=2,"?ACTIVATED",IF(J819&lt;&gt;"","?FAMILIAR",IF(F819="NEW",IF(ISNA(VLOOKUP(E819,#REF!,1,FALSE())),"?TYPE_IDENTIFIABLE","?REFERENTIAL"),"_")))))</f>
        <v/>
      </c>
      <c r="H819" s="24" t="str">
        <f aca="false">IF(J819&lt;&gt;1,"",IF(I819="SBJ","CB","?"))</f>
        <v/>
      </c>
      <c r="I819" s="25" t="str">
        <f aca="false">IF(OR(E819="",E819="!!!",F819="NEW"),"",INDEX(B818:B$2,-1+SUMPRODUCT(MAX(ROW(E818:E$2)*(E819=E818:E$2)))))</f>
        <v> </v>
      </c>
      <c r="J819" s="25" t="str">
        <f aca="true">IF(OR(E819="",E819="!!!",F819="NEW"),"",COUNTBLANK(OFFSET(A$1,,,SUMPRODUCT(MAX(ROW(E$2:E819)*(E819=E$2:E819)))))-COUNTBLANK(OFFSET(A$1,,,SUMPRODUCT(MAX(ROW(E$1:E818)*(E2=E$1:E818))))))</f>
        <v/>
      </c>
      <c r="K819" s="25" t="str">
        <f aca="false">IF(OR(E819="",E819="!!!",F819="NEW"),"",INDEX(J$1:J818,SUMPRODUCT(MAX(ROW(E$1:E818)*(E819=E$1:E818)))))</f>
        <v/>
      </c>
      <c r="L819" s="26"/>
    </row>
    <row r="820" customFormat="false" ht="15" hidden="false" customHeight="false" outlineLevel="0" collapsed="false">
      <c r="A820" s="20" t="s">
        <v>454</v>
      </c>
      <c r="E820" s="21" t="str">
        <f aca="false">IF(D820="?OLD","!!!","")</f>
        <v/>
      </c>
      <c r="F820" s="22" t="str">
        <f aca="false">IF(OR(E820="",E820="!!!"),"",IF(NOT(ISNA(VLOOKUP(E820,E$1:E819,1,FALSE()))),"OLD",IF(AND(E820&lt;&gt;"",E820&lt;&gt;"!!!"),"NEW","")))</f>
        <v> </v>
      </c>
      <c r="G820" s="23" t="str">
        <f aca="false">IF(OR(E820="",E820="!!!"),"",IF(OR(J820=0,AND(J820=1,K820=1),AND(J820=1,I820="SBJ"),AND(J820=1,I820=0)),"?IN_FOCUS",IF(J820&lt;=2,"?ACTIVATED",IF(J820&lt;&gt;"","?FAMILIAR",IF(F820="NEW",IF(ISNA(VLOOKUP(E820,#REF!,1,FALSE())),"?TYPE_IDENTIFIABLE","?REFERENTIAL"),"_")))))</f>
        <v/>
      </c>
      <c r="H820" s="24" t="str">
        <f aca="false">IF(J820&lt;&gt;1,"",IF(I820="SBJ","CB","?"))</f>
        <v/>
      </c>
      <c r="I820" s="25" t="str">
        <f aca="false">IF(OR(E820="",E820="!!!",F820="NEW"),"",INDEX(B819:B$2,-1+SUMPRODUCT(MAX(ROW(E819:E$2)*(E820=E819:E$2)))))</f>
        <v> </v>
      </c>
      <c r="J820" s="25" t="str">
        <f aca="true">IF(OR(E820="",E820="!!!",F820="NEW"),"",COUNTBLANK(OFFSET(A$1,,,SUMPRODUCT(MAX(ROW(E$2:E820)*(E820=E$2:E820)))))-COUNTBLANK(OFFSET(A$1,,,SUMPRODUCT(MAX(ROW(E$1:E819)*(E2=E$1:E819))))))</f>
        <v/>
      </c>
      <c r="K820" s="25" t="str">
        <f aca="false">IF(OR(E820="",E820="!!!",F820="NEW"),"",INDEX(J$1:J819,SUMPRODUCT(MAX(ROW(E$1:E819)*(E820=E$1:E819)))))</f>
        <v/>
      </c>
      <c r="L820" s="26"/>
    </row>
    <row r="821" customFormat="false" ht="15" hidden="false" customHeight="false" outlineLevel="0" collapsed="false">
      <c r="A821" s="20" t="s">
        <v>346</v>
      </c>
      <c r="B821" s="27" t="s">
        <v>278</v>
      </c>
      <c r="C821" s="27" t="s">
        <v>233</v>
      </c>
      <c r="D821" s="27" t="s">
        <v>209</v>
      </c>
      <c r="E821" s="21" t="str">
        <f aca="false">IF(D821="?OLD","!!!","")</f>
        <v>!!!</v>
      </c>
      <c r="F821" s="22" t="str">
        <f aca="false">IF(OR(E821="",E821="!!!"),"",IF(NOT(ISNA(VLOOKUP(E821,E$1:E820,1,FALSE()))),"OLD",IF(AND(E821&lt;&gt;"",E821&lt;&gt;"!!!"),"NEW","")))</f>
        <v> </v>
      </c>
      <c r="G821" s="23" t="str">
        <f aca="false">IF(OR(E821="",E821="!!!"),"",IF(OR(J821=0,AND(J821=1,K821=1),AND(J821=1,I821="SBJ"),AND(J821=1,I821=0)),"?IN_FOCUS",IF(J821&lt;=2,"?ACTIVATED",IF(J821&lt;&gt;"","?FAMILIAR",IF(F821="NEW",IF(ISNA(VLOOKUP(E821,#REF!,1,FALSE())),"?TYPE_IDENTIFIABLE","?REFERENTIAL"),"_")))))</f>
        <v/>
      </c>
      <c r="H821" s="24" t="str">
        <f aca="false">IF(J821&lt;&gt;1,"",IF(I821="SBJ","CB","?"))</f>
        <v/>
      </c>
      <c r="I821" s="25" t="str">
        <f aca="false">IF(OR(E821="",E821="!!!",F821="NEW"),"",INDEX(B820:B$2,-1+SUMPRODUCT(MAX(ROW(E820:E$2)*(E821=E820:E$2)))))</f>
        <v> </v>
      </c>
      <c r="J821" s="25" t="str">
        <f aca="true">IF(OR(E821="",E821="!!!",F821="NEW"),"",COUNTBLANK(OFFSET(A$1,,,SUMPRODUCT(MAX(ROW(E$2:E821)*(E821=E$2:E821)))))-COUNTBLANK(OFFSET(A$1,,,SUMPRODUCT(MAX(ROW(E$1:E820)*(E2=E$1:E820))))))</f>
        <v/>
      </c>
      <c r="K821" s="25" t="str">
        <f aca="false">IF(OR(E821="",E821="!!!",F821="NEW"),"",INDEX(J$1:J820,SUMPRODUCT(MAX(ROW(E$1:E820)*(E821=E$1:E820)))))</f>
        <v/>
      </c>
      <c r="L821" s="26"/>
    </row>
    <row r="822" customFormat="false" ht="15" hidden="false" customHeight="false" outlineLevel="0" collapsed="false">
      <c r="A822" s="20" t="s">
        <v>400</v>
      </c>
      <c r="E822" s="21" t="str">
        <f aca="false">IF(D822="?OLD","!!!","")</f>
        <v/>
      </c>
      <c r="F822" s="22" t="str">
        <f aca="false">IF(OR(E822="",E822="!!!"),"",IF(NOT(ISNA(VLOOKUP(E822,E$1:E821,1,FALSE()))),"OLD",IF(AND(E822&lt;&gt;"",E822&lt;&gt;"!!!"),"NEW","")))</f>
        <v> </v>
      </c>
      <c r="G822" s="23" t="str">
        <f aca="false">IF(OR(E822="",E822="!!!"),"",IF(OR(J822=0,AND(J822=1,K822=1),AND(J822=1,I822="SBJ"),AND(J822=1,I822=0)),"?IN_FOCUS",IF(J822&lt;=2,"?ACTIVATED",IF(J822&lt;&gt;"","?FAMILIAR",IF(F822="NEW",IF(ISNA(VLOOKUP(E822,#REF!,1,FALSE())),"?TYPE_IDENTIFIABLE","?REFERENTIAL"),"_")))))</f>
        <v/>
      </c>
      <c r="H822" s="24" t="str">
        <f aca="false">IF(J822&lt;&gt;1,"",IF(I822="SBJ","CB","?"))</f>
        <v/>
      </c>
      <c r="I822" s="25" t="str">
        <f aca="false">IF(OR(E822="",E822="!!!",F822="NEW"),"",INDEX(B821:B$2,-1+SUMPRODUCT(MAX(ROW(E821:E$2)*(E822=E821:E$2)))))</f>
        <v> </v>
      </c>
      <c r="J822" s="25" t="str">
        <f aca="true">IF(OR(E822="",E822="!!!",F822="NEW"),"",COUNTBLANK(OFFSET(A$1,,,SUMPRODUCT(MAX(ROW(E$2:E822)*(E822=E$2:E822)))))-COUNTBLANK(OFFSET(A$1,,,SUMPRODUCT(MAX(ROW(E$1:E821)*(E2=E$1:E821))))))</f>
        <v/>
      </c>
      <c r="K822" s="25" t="str">
        <f aca="false">IF(OR(E822="",E822="!!!",F822="NEW"),"",INDEX(J$1:J821,SUMPRODUCT(MAX(ROW(E$1:E821)*(E822=E$1:E821)))))</f>
        <v/>
      </c>
      <c r="L822" s="26"/>
    </row>
    <row r="823" customFormat="false" ht="15" hidden="false" customHeight="false" outlineLevel="0" collapsed="false">
      <c r="A823" s="20" t="s">
        <v>341</v>
      </c>
      <c r="E823" s="21" t="str">
        <f aca="false">IF(D823="?OLD","!!!","")</f>
        <v/>
      </c>
      <c r="F823" s="22" t="str">
        <f aca="false">IF(OR(E823="",E823="!!!"),"",IF(NOT(ISNA(VLOOKUP(E823,E$1:E822,1,FALSE()))),"OLD",IF(AND(E823&lt;&gt;"",E823&lt;&gt;"!!!"),"NEW","")))</f>
        <v> </v>
      </c>
      <c r="G823" s="23" t="str">
        <f aca="false">IF(OR(E823="",E823="!!!"),"",IF(OR(J823=0,AND(J823=1,K823=1),AND(J823=1,I823="SBJ"),AND(J823=1,I823=0)),"?IN_FOCUS",IF(J823&lt;=2,"?ACTIVATED",IF(J823&lt;&gt;"","?FAMILIAR",IF(F823="NEW",IF(ISNA(VLOOKUP(E823,#REF!,1,FALSE())),"?TYPE_IDENTIFIABLE","?REFERENTIAL"),"_")))))</f>
        <v/>
      </c>
      <c r="H823" s="24" t="str">
        <f aca="false">IF(J823&lt;&gt;1,"",IF(I823="SBJ","CB","?"))</f>
        <v/>
      </c>
      <c r="I823" s="25" t="str">
        <f aca="false">IF(OR(E823="",E823="!!!",F823="NEW"),"",INDEX(B822:B$2,-1+SUMPRODUCT(MAX(ROW(E822:E$2)*(E823=E822:E$2)))))</f>
        <v> </v>
      </c>
      <c r="J823" s="25" t="str">
        <f aca="true">IF(OR(E823="",E823="!!!",F823="NEW"),"",COUNTBLANK(OFFSET(A$1,,,SUMPRODUCT(MAX(ROW(E$2:E823)*(E823=E$2:E823)))))-COUNTBLANK(OFFSET(A$1,,,SUMPRODUCT(MAX(ROW(E$1:E822)*(E2=E$1:E822))))))</f>
        <v/>
      </c>
      <c r="K823" s="25" t="str">
        <f aca="false">IF(OR(E823="",E823="!!!",F823="NEW"),"",INDEX(J$1:J822,SUMPRODUCT(MAX(ROW(E$1:E822)*(E823=E$1:E822)))))</f>
        <v/>
      </c>
      <c r="L823" s="26"/>
    </row>
    <row r="824" customFormat="false" ht="15" hidden="false" customHeight="false" outlineLevel="0" collapsed="false">
      <c r="A824" s="20" t="s">
        <v>205</v>
      </c>
      <c r="E824" s="21" t="str">
        <f aca="false">IF(D824="?OLD","!!!","")</f>
        <v/>
      </c>
      <c r="F824" s="22" t="str">
        <f aca="false">IF(OR(E824="",E824="!!!"),"",IF(NOT(ISNA(VLOOKUP(E824,E$1:E823,1,FALSE()))),"OLD",IF(AND(E824&lt;&gt;"",E824&lt;&gt;"!!!"),"NEW","")))</f>
        <v> </v>
      </c>
      <c r="G824" s="23" t="str">
        <f aca="false">IF(OR(E824="",E824="!!!"),"",IF(OR(J824=0,AND(J824=1,K824=1),AND(J824=1,I824="SBJ"),AND(J824=1,I824=0)),"?IN_FOCUS",IF(J824&lt;=2,"?ACTIVATED",IF(J824&lt;&gt;"","?FAMILIAR",IF(F824="NEW",IF(ISNA(VLOOKUP(E824,#REF!,1,FALSE())),"?TYPE_IDENTIFIABLE","?REFERENTIAL"),"_")))))</f>
        <v/>
      </c>
      <c r="H824" s="24" t="str">
        <f aca="false">IF(J824&lt;&gt;1,"",IF(I824="SBJ","CB","?"))</f>
        <v/>
      </c>
      <c r="I824" s="25" t="str">
        <f aca="false">IF(OR(E824="",E824="!!!",F824="NEW"),"",INDEX(B823:B$2,-1+SUMPRODUCT(MAX(ROW(E823:E$2)*(E824=E823:E$2)))))</f>
        <v> </v>
      </c>
      <c r="J824" s="25" t="str">
        <f aca="true">IF(OR(E824="",E824="!!!",F824="NEW"),"",COUNTBLANK(OFFSET(A$1,,,SUMPRODUCT(MAX(ROW(E$2:E824)*(E824=E$2:E824)))))-COUNTBLANK(OFFSET(A$1,,,SUMPRODUCT(MAX(ROW(E$1:E823)*(E2=E$1:E823))))))</f>
        <v/>
      </c>
      <c r="K824" s="25" t="str">
        <f aca="false">IF(OR(E824="",E824="!!!",F824="NEW"),"",INDEX(J$1:J823,SUMPRODUCT(MAX(ROW(E$1:E823)*(E824=E$1:E823)))))</f>
        <v/>
      </c>
      <c r="L824" s="26"/>
    </row>
    <row r="825" customFormat="false" ht="15" hidden="false" customHeight="false" outlineLevel="0" collapsed="false">
      <c r="A825" s="20" t="s">
        <v>249</v>
      </c>
      <c r="B825" s="27" t="s">
        <v>216</v>
      </c>
      <c r="C825" s="27" t="s">
        <v>284</v>
      </c>
      <c r="D825" s="27" t="s">
        <v>209</v>
      </c>
      <c r="E825" s="21" t="str">
        <f aca="false">IF(D825="?OLD","!!!","")</f>
        <v>!!!</v>
      </c>
      <c r="F825" s="22" t="str">
        <f aca="false">IF(OR(E825="",E825="!!!"),"",IF(NOT(ISNA(VLOOKUP(E825,E$1:E824,1,FALSE()))),"OLD",IF(AND(E825&lt;&gt;"",E825&lt;&gt;"!!!"),"NEW","")))</f>
        <v> </v>
      </c>
      <c r="G825" s="23" t="str">
        <f aca="false">IF(OR(E825="",E825="!!!"),"",IF(OR(J825=0,AND(J825=1,K825=1),AND(J825=1,I825="SBJ"),AND(J825=1,I825=0)),"?IN_FOCUS",IF(J825&lt;=2,"?ACTIVATED",IF(J825&lt;&gt;"","?FAMILIAR",IF(F825="NEW",IF(ISNA(VLOOKUP(E825,#REF!,1,FALSE())),"?TYPE_IDENTIFIABLE","?REFERENTIAL"),"_")))))</f>
        <v/>
      </c>
      <c r="H825" s="24" t="str">
        <f aca="false">IF(J825&lt;&gt;1,"",IF(I825="SBJ","CB","?"))</f>
        <v/>
      </c>
      <c r="I825" s="25" t="str">
        <f aca="false">IF(OR(E825="",E825="!!!",F825="NEW"),"",INDEX(B824:B$2,-1+SUMPRODUCT(MAX(ROW(E824:E$2)*(E825=E824:E$2)))))</f>
        <v> </v>
      </c>
      <c r="J825" s="25" t="str">
        <f aca="true">IF(OR(E825="",E825="!!!",F825="NEW"),"",COUNTBLANK(OFFSET(A$1,,,SUMPRODUCT(MAX(ROW(E$2:E825)*(E825=E$2:E825)))))-COUNTBLANK(OFFSET(A$1,,,SUMPRODUCT(MAX(ROW(E$1:E824)*(E2=E$1:E824))))))</f>
        <v/>
      </c>
      <c r="K825" s="25" t="str">
        <f aca="false">IF(OR(E825="",E825="!!!",F825="NEW"),"",INDEX(J$1:J824,SUMPRODUCT(MAX(ROW(E$1:E824)*(E825=E$1:E824)))))</f>
        <v/>
      </c>
      <c r="L825" s="26"/>
    </row>
    <row r="826" customFormat="false" ht="15" hidden="false" customHeight="false" outlineLevel="0" collapsed="false">
      <c r="A826" s="20" t="s">
        <v>218</v>
      </c>
      <c r="E826" s="21" t="str">
        <f aca="false">IF(D826="?OLD","!!!","")</f>
        <v/>
      </c>
      <c r="F826" s="22" t="str">
        <f aca="false">IF(OR(E826="",E826="!!!"),"",IF(NOT(ISNA(VLOOKUP(E826,E$1:E825,1,FALSE()))),"OLD",IF(AND(E826&lt;&gt;"",E826&lt;&gt;"!!!"),"NEW","")))</f>
        <v> </v>
      </c>
      <c r="G826" s="23" t="str">
        <f aca="false">IF(OR(E826="",E826="!!!"),"",IF(OR(J826=0,AND(J826=1,K826=1),AND(J826=1,I826="SBJ"),AND(J826=1,I826=0)),"?IN_FOCUS",IF(J826&lt;=2,"?ACTIVATED",IF(J826&lt;&gt;"","?FAMILIAR",IF(F826="NEW",IF(ISNA(VLOOKUP(E826,#REF!,1,FALSE())),"?TYPE_IDENTIFIABLE","?REFERENTIAL"),"_")))))</f>
        <v/>
      </c>
      <c r="H826" s="24" t="str">
        <f aca="false">IF(J826&lt;&gt;1,"",IF(I826="SBJ","CB","?"))</f>
        <v/>
      </c>
      <c r="I826" s="25" t="str">
        <f aca="false">IF(OR(E826="",E826="!!!",F826="NEW"),"",INDEX(B825:B$2,-1+SUMPRODUCT(MAX(ROW(E825:E$2)*(E826=E825:E$2)))))</f>
        <v> </v>
      </c>
      <c r="J826" s="25" t="str">
        <f aca="true">IF(OR(E826="",E826="!!!",F826="NEW"),"",COUNTBLANK(OFFSET(A$1,,,SUMPRODUCT(MAX(ROW(E$2:E826)*(E826=E$2:E826)))))-COUNTBLANK(OFFSET(A$1,,,SUMPRODUCT(MAX(ROW(E$1:E825)*(E2=E$1:E825))))))</f>
        <v/>
      </c>
      <c r="K826" s="25" t="str">
        <f aca="false">IF(OR(E826="",E826="!!!",F826="NEW"),"",INDEX(J$1:J825,SUMPRODUCT(MAX(ROW(E$1:E825)*(E826=E$1:E825)))))</f>
        <v/>
      </c>
      <c r="L826" s="26"/>
    </row>
    <row r="827" customFormat="false" ht="15" hidden="false" customHeight="false" outlineLevel="0" collapsed="false">
      <c r="A827" s="20" t="s">
        <v>455</v>
      </c>
      <c r="B827" s="27" t="s">
        <v>220</v>
      </c>
      <c r="C827" s="27" t="s">
        <v>225</v>
      </c>
      <c r="D827" s="27" t="s">
        <v>209</v>
      </c>
      <c r="E827" s="21" t="str">
        <f aca="false">IF(D827="?OLD","!!!","")</f>
        <v>!!!</v>
      </c>
      <c r="F827" s="22" t="str">
        <f aca="false">IF(OR(E827="",E827="!!!"),"",IF(NOT(ISNA(VLOOKUP(E827,E$1:E826,1,FALSE()))),"OLD",IF(AND(E827&lt;&gt;"",E827&lt;&gt;"!!!"),"NEW","")))</f>
        <v> </v>
      </c>
      <c r="G827" s="23" t="str">
        <f aca="false">IF(OR(E827="",E827="!!!"),"",IF(OR(J827=0,AND(J827=1,K827=1),AND(J827=1,I827="SBJ"),AND(J827=1,I827=0)),"?IN_FOCUS",IF(J827&lt;=2,"?ACTIVATED",IF(J827&lt;&gt;"","?FAMILIAR",IF(F827="NEW",IF(ISNA(VLOOKUP(E827,#REF!,1,FALSE())),"?TYPE_IDENTIFIABLE","?REFERENTIAL"),"_")))))</f>
        <v/>
      </c>
      <c r="H827" s="24" t="str">
        <f aca="false">IF(J827&lt;&gt;1,"",IF(I827="SBJ","CB","?"))</f>
        <v/>
      </c>
      <c r="I827" s="25" t="str">
        <f aca="false">IF(OR(E827="",E827="!!!",F827="NEW"),"",INDEX(B826:B$2,-1+SUMPRODUCT(MAX(ROW(E826:E$2)*(E827=E826:E$2)))))</f>
        <v> </v>
      </c>
      <c r="J827" s="25" t="str">
        <f aca="true">IF(OR(E827="",E827="!!!",F827="NEW"),"",COUNTBLANK(OFFSET(A$1,,,SUMPRODUCT(MAX(ROW(E$2:E827)*(E827=E$2:E827)))))-COUNTBLANK(OFFSET(A$1,,,SUMPRODUCT(MAX(ROW(E$1:E826)*(E2=E$1:E826))))))</f>
        <v/>
      </c>
      <c r="K827" s="25" t="str">
        <f aca="false">IF(OR(E827="",E827="!!!",F827="NEW"),"",INDEX(J$1:J826,SUMPRODUCT(MAX(ROW(E$1:E826)*(E827=E$1:E826)))))</f>
        <v/>
      </c>
      <c r="L827" s="26"/>
    </row>
    <row r="828" customFormat="false" ht="15" hidden="false" customHeight="false" outlineLevel="0" collapsed="false">
      <c r="A828" s="20" t="s">
        <v>237</v>
      </c>
      <c r="E828" s="21" t="str">
        <f aca="false">IF(D828="?OLD","!!!","")</f>
        <v/>
      </c>
      <c r="F828" s="22" t="str">
        <f aca="false">IF(OR(E828="",E828="!!!"),"",IF(NOT(ISNA(VLOOKUP(E828,E$1:E827,1,FALSE()))),"OLD",IF(AND(E828&lt;&gt;"",E828&lt;&gt;"!!!"),"NEW","")))</f>
        <v> </v>
      </c>
      <c r="G828" s="23" t="str">
        <f aca="false">IF(OR(E828="",E828="!!!"),"",IF(OR(J828=0,AND(J828=1,K828=1),AND(J828=1,I828="SBJ"),AND(J828=1,I828=0)),"?IN_FOCUS",IF(J828&lt;=2,"?ACTIVATED",IF(J828&lt;&gt;"","?FAMILIAR",IF(F828="NEW",IF(ISNA(VLOOKUP(E828,#REF!,1,FALSE())),"?TYPE_IDENTIFIABLE","?REFERENTIAL"),"_")))))</f>
        <v/>
      </c>
      <c r="H828" s="24" t="str">
        <f aca="false">IF(J828&lt;&gt;1,"",IF(I828="SBJ","CB","?"))</f>
        <v/>
      </c>
      <c r="I828" s="25" t="str">
        <f aca="false">IF(OR(E828="",E828="!!!",F828="NEW"),"",INDEX(B827:B$2,-1+SUMPRODUCT(MAX(ROW(E827:E$2)*(E828=E827:E$2)))))</f>
        <v> </v>
      </c>
      <c r="J828" s="25" t="str">
        <f aca="true">IF(OR(E828="",E828="!!!",F828="NEW"),"",COUNTBLANK(OFFSET(A$1,,,SUMPRODUCT(MAX(ROW(E$2:E828)*(E828=E$2:E828)))))-COUNTBLANK(OFFSET(A$1,,,SUMPRODUCT(MAX(ROW(E$1:E827)*(E2=E$1:E827))))))</f>
        <v/>
      </c>
      <c r="K828" s="25" t="str">
        <f aca="false">IF(OR(E828="",E828="!!!",F828="NEW"),"",INDEX(J$1:J827,SUMPRODUCT(MAX(ROW(E$1:E827)*(E828=E$1:E827)))))</f>
        <v/>
      </c>
      <c r="L828" s="26"/>
    </row>
    <row r="829" customFormat="false" ht="15" hidden="false" customHeight="false" outlineLevel="0" collapsed="false">
      <c r="A829" s="20" t="s">
        <v>235</v>
      </c>
      <c r="E829" s="21" t="str">
        <f aca="false">IF(D829="?OLD","!!!","")</f>
        <v/>
      </c>
      <c r="F829" s="22" t="str">
        <f aca="false">IF(OR(E829="",E829="!!!"),"",IF(NOT(ISNA(VLOOKUP(E829,E$1:E828,1,FALSE()))),"OLD",IF(AND(E829&lt;&gt;"",E829&lt;&gt;"!!!"),"NEW","")))</f>
        <v> </v>
      </c>
      <c r="G829" s="23" t="str">
        <f aca="false">IF(OR(E829="",E829="!!!"),"",IF(OR(J829=0,AND(J829=1,K829=1),AND(J829=1,I829="SBJ"),AND(J829=1,I829=0)),"?IN_FOCUS",IF(J829&lt;=2,"?ACTIVATED",IF(J829&lt;&gt;"","?FAMILIAR",IF(F829="NEW",IF(ISNA(VLOOKUP(E829,#REF!,1,FALSE())),"?TYPE_IDENTIFIABLE","?REFERENTIAL"),"_")))))</f>
        <v/>
      </c>
      <c r="H829" s="24" t="str">
        <f aca="false">IF(J829&lt;&gt;1,"",IF(I829="SBJ","CB","?"))</f>
        <v/>
      </c>
      <c r="I829" s="25" t="str">
        <f aca="false">IF(OR(E829="",E829="!!!",F829="NEW"),"",INDEX(B828:B$2,-1+SUMPRODUCT(MAX(ROW(E828:E$2)*(E829=E828:E$2)))))</f>
        <v> </v>
      </c>
      <c r="J829" s="25" t="str">
        <f aca="true">IF(OR(E829="",E829="!!!",F829="NEW"),"",COUNTBLANK(OFFSET(A$1,,,SUMPRODUCT(MAX(ROW(E$2:E829)*(E829=E$2:E829)))))-COUNTBLANK(OFFSET(A$1,,,SUMPRODUCT(MAX(ROW(E$1:E828)*(E2=E$1:E828))))))</f>
        <v/>
      </c>
      <c r="K829" s="25" t="str">
        <f aca="false">IF(OR(E829="",E829="!!!",F829="NEW"),"",INDEX(J$1:J828,SUMPRODUCT(MAX(ROW(E$1:E828)*(E829=E$1:E828)))))</f>
        <v/>
      </c>
      <c r="L829" s="26"/>
    </row>
    <row r="830" customFormat="false" ht="15" hidden="false" customHeight="false" outlineLevel="0" collapsed="false">
      <c r="A830" s="20" t="s">
        <v>456</v>
      </c>
      <c r="E830" s="21" t="str">
        <f aca="false">IF(D830="?OLD","!!!","")</f>
        <v/>
      </c>
      <c r="F830" s="22" t="str">
        <f aca="false">IF(OR(E830="",E830="!!!"),"",IF(NOT(ISNA(VLOOKUP(E830,E$1:E829,1,FALSE()))),"OLD",IF(AND(E830&lt;&gt;"",E830&lt;&gt;"!!!"),"NEW","")))</f>
        <v> </v>
      </c>
      <c r="G830" s="23" t="str">
        <f aca="false">IF(OR(E830="",E830="!!!"),"",IF(OR(J830=0,AND(J830=1,K830=1),AND(J830=1,I830="SBJ"),AND(J830=1,I830=0)),"?IN_FOCUS",IF(J830&lt;=2,"?ACTIVATED",IF(J830&lt;&gt;"","?FAMILIAR",IF(F830="NEW",IF(ISNA(VLOOKUP(E830,#REF!,1,FALSE())),"?TYPE_IDENTIFIABLE","?REFERENTIAL"),"_")))))</f>
        <v/>
      </c>
      <c r="H830" s="24" t="str">
        <f aca="false">IF(J830&lt;&gt;1,"",IF(I830="SBJ","CB","?"))</f>
        <v/>
      </c>
      <c r="I830" s="25" t="str">
        <f aca="false">IF(OR(E830="",E830="!!!",F830="NEW"),"",INDEX(B829:B$2,-1+SUMPRODUCT(MAX(ROW(E829:E$2)*(E830=E829:E$2)))))</f>
        <v> </v>
      </c>
      <c r="J830" s="25" t="str">
        <f aca="true">IF(OR(E830="",E830="!!!",F830="NEW"),"",COUNTBLANK(OFFSET(A$1,,,SUMPRODUCT(MAX(ROW(E$2:E830)*(E830=E$2:E830)))))-COUNTBLANK(OFFSET(A$1,,,SUMPRODUCT(MAX(ROW(E$1:E829)*(E2=E$1:E829))))))</f>
        <v/>
      </c>
      <c r="K830" s="25" t="str">
        <f aca="false">IF(OR(E830="",E830="!!!",F830="NEW"),"",INDEX(J$1:J829,SUMPRODUCT(MAX(ROW(E$1:E829)*(E830=E$1:E829)))))</f>
        <v/>
      </c>
      <c r="L830" s="26"/>
    </row>
    <row r="831" customFormat="false" ht="15" hidden="false" customHeight="false" outlineLevel="0" collapsed="false">
      <c r="A831" s="20" t="s">
        <v>205</v>
      </c>
      <c r="E831" s="21" t="str">
        <f aca="false">IF(D831="?OLD","!!!","")</f>
        <v/>
      </c>
      <c r="F831" s="22" t="str">
        <f aca="false">IF(OR(E831="",E831="!!!"),"",IF(NOT(ISNA(VLOOKUP(E831,E$1:E830,1,FALSE()))),"OLD",IF(AND(E831&lt;&gt;"",E831&lt;&gt;"!!!"),"NEW","")))</f>
        <v> </v>
      </c>
      <c r="G831" s="23" t="str">
        <f aca="false">IF(OR(E831="",E831="!!!"),"",IF(OR(J831=0,AND(J831=1,K831=1),AND(J831=1,I831="SBJ"),AND(J831=1,I831=0)),"?IN_FOCUS",IF(J831&lt;=2,"?ACTIVATED",IF(J831&lt;&gt;"","?FAMILIAR",IF(F831="NEW",IF(ISNA(VLOOKUP(E831,#REF!,1,FALSE())),"?TYPE_IDENTIFIABLE","?REFERENTIAL"),"_")))))</f>
        <v/>
      </c>
      <c r="H831" s="24" t="str">
        <f aca="false">IF(J831&lt;&gt;1,"",IF(I831="SBJ","CB","?"))</f>
        <v/>
      </c>
      <c r="I831" s="25" t="str">
        <f aca="false">IF(OR(E831="",E831="!!!",F831="NEW"),"",INDEX(B830:B$2,-1+SUMPRODUCT(MAX(ROW(E830:E$2)*(E831=E830:E$2)))))</f>
        <v> </v>
      </c>
      <c r="J831" s="25" t="str">
        <f aca="true">IF(OR(E831="",E831="!!!",F831="NEW"),"",COUNTBLANK(OFFSET(A$1,,,SUMPRODUCT(MAX(ROW(E$2:E831)*(E831=E$2:E831)))))-COUNTBLANK(OFFSET(A$1,,,SUMPRODUCT(MAX(ROW(E$1:E830)*(E2=E$1:E830))))))</f>
        <v/>
      </c>
      <c r="K831" s="25" t="str">
        <f aca="false">IF(OR(E831="",E831="!!!",F831="NEW"),"",INDEX(J$1:J830,SUMPRODUCT(MAX(ROW(E$1:E830)*(E831=E$1:E830)))))</f>
        <v/>
      </c>
      <c r="L831" s="26"/>
    </row>
    <row r="832" customFormat="false" ht="15" hidden="false" customHeight="false" outlineLevel="0" collapsed="false">
      <c r="A832" s="20" t="s">
        <v>414</v>
      </c>
      <c r="B832" s="27" t="s">
        <v>311</v>
      </c>
      <c r="C832" s="27" t="s">
        <v>208</v>
      </c>
      <c r="D832" s="27" t="s">
        <v>209</v>
      </c>
      <c r="E832" s="21" t="str">
        <f aca="false">IF(D832="?OLD","!!!","")</f>
        <v>!!!</v>
      </c>
      <c r="F832" s="22" t="str">
        <f aca="false">IF(OR(E832="",E832="!!!"),"",IF(NOT(ISNA(VLOOKUP(E832,E$1:E831,1,FALSE()))),"OLD",IF(AND(E832&lt;&gt;"",E832&lt;&gt;"!!!"),"NEW","")))</f>
        <v> </v>
      </c>
      <c r="G832" s="23" t="str">
        <f aca="false">IF(OR(E832="",E832="!!!"),"",IF(OR(J832=0,AND(J832=1,K832=1),AND(J832=1,I832="SBJ"),AND(J832=1,I832=0)),"?IN_FOCUS",IF(J832&lt;=2,"?ACTIVATED",IF(J832&lt;&gt;"","?FAMILIAR",IF(F832="NEW",IF(ISNA(VLOOKUP(E832,#REF!,1,FALSE())),"?TYPE_IDENTIFIABLE","?REFERENTIAL"),"_")))))</f>
        <v/>
      </c>
      <c r="H832" s="24" t="str">
        <f aca="false">IF(J832&lt;&gt;1,"",IF(I832="SBJ","CB","?"))</f>
        <v/>
      </c>
      <c r="I832" s="25" t="str">
        <f aca="false">IF(OR(E832="",E832="!!!",F832="NEW"),"",INDEX(B831:B$2,-1+SUMPRODUCT(MAX(ROW(E831:E$2)*(E832=E831:E$2)))))</f>
        <v> </v>
      </c>
      <c r="J832" s="25" t="str">
        <f aca="true">IF(OR(E832="",E832="!!!",F832="NEW"),"",COUNTBLANK(OFFSET(A$1,,,SUMPRODUCT(MAX(ROW(E$2:E832)*(E832=E$2:E832)))))-COUNTBLANK(OFFSET(A$1,,,SUMPRODUCT(MAX(ROW(E$1:E831)*(E2=E$1:E831))))))</f>
        <v/>
      </c>
      <c r="K832" s="25" t="str">
        <f aca="false">IF(OR(E832="",E832="!!!",F832="NEW"),"",INDEX(J$1:J831,SUMPRODUCT(MAX(ROW(E$1:E831)*(E832=E$1:E831)))))</f>
        <v/>
      </c>
      <c r="L832" s="26"/>
    </row>
    <row r="833" customFormat="false" ht="15" hidden="false" customHeight="false" outlineLevel="0" collapsed="false">
      <c r="A833" s="20" t="s">
        <v>341</v>
      </c>
      <c r="E833" s="21" t="str">
        <f aca="false">IF(D833="?OLD","!!!","")</f>
        <v/>
      </c>
      <c r="F833" s="22" t="str">
        <f aca="false">IF(OR(E833="",E833="!!!"),"",IF(NOT(ISNA(VLOOKUP(E833,E$1:E832,1,FALSE()))),"OLD",IF(AND(E833&lt;&gt;"",E833&lt;&gt;"!!!"),"NEW","")))</f>
        <v> </v>
      </c>
      <c r="G833" s="23" t="str">
        <f aca="false">IF(OR(E833="",E833="!!!"),"",IF(OR(J833=0,AND(J833=1,K833=1),AND(J833=1,I833="SBJ"),AND(J833=1,I833=0)),"?IN_FOCUS",IF(J833&lt;=2,"?ACTIVATED",IF(J833&lt;&gt;"","?FAMILIAR",IF(F833="NEW",IF(ISNA(VLOOKUP(E833,#REF!,1,FALSE())),"?TYPE_IDENTIFIABLE","?REFERENTIAL"),"_")))))</f>
        <v/>
      </c>
      <c r="H833" s="24" t="str">
        <f aca="false">IF(J833&lt;&gt;1,"",IF(I833="SBJ","CB","?"))</f>
        <v/>
      </c>
      <c r="I833" s="25" t="str">
        <f aca="false">IF(OR(E833="",E833="!!!",F833="NEW"),"",INDEX(B832:B$2,-1+SUMPRODUCT(MAX(ROW(E832:E$2)*(E833=E832:E$2)))))</f>
        <v> </v>
      </c>
      <c r="J833" s="25" t="str">
        <f aca="true">IF(OR(E833="",E833="!!!",F833="NEW"),"",COUNTBLANK(OFFSET(A$1,,,SUMPRODUCT(MAX(ROW(E$2:E833)*(E833=E$2:E833)))))-COUNTBLANK(OFFSET(A$1,,,SUMPRODUCT(MAX(ROW(E$1:E832)*(E2=E$1:E832))))))</f>
        <v/>
      </c>
      <c r="K833" s="25" t="str">
        <f aca="false">IF(OR(E833="",E833="!!!",F833="NEW"),"",INDEX(J$1:J832,SUMPRODUCT(MAX(ROW(E$1:E832)*(E833=E$1:E832)))))</f>
        <v/>
      </c>
      <c r="L833" s="26"/>
    </row>
    <row r="834" customFormat="false" ht="15" hidden="false" customHeight="false" outlineLevel="0" collapsed="false">
      <c r="A834" s="20" t="s">
        <v>221</v>
      </c>
      <c r="E834" s="21" t="str">
        <f aca="false">IF(D834="?OLD","!!!","")</f>
        <v/>
      </c>
      <c r="F834" s="22" t="str">
        <f aca="false">IF(OR(E834="",E834="!!!"),"",IF(NOT(ISNA(VLOOKUP(E834,E$1:E833,1,FALSE()))),"OLD",IF(AND(E834&lt;&gt;"",E834&lt;&gt;"!!!"),"NEW","")))</f>
        <v> </v>
      </c>
      <c r="G834" s="23" t="str">
        <f aca="false">IF(OR(E834="",E834="!!!"),"",IF(OR(J834=0,AND(J834=1,K834=1),AND(J834=1,I834="SBJ"),AND(J834=1,I834=0)),"?IN_FOCUS",IF(J834&lt;=2,"?ACTIVATED",IF(J834&lt;&gt;"","?FAMILIAR",IF(F834="NEW",IF(ISNA(VLOOKUP(E834,#REF!,1,FALSE())),"?TYPE_IDENTIFIABLE","?REFERENTIAL"),"_")))))</f>
        <v/>
      </c>
      <c r="H834" s="24" t="str">
        <f aca="false">IF(J834&lt;&gt;1,"",IF(I834="SBJ","CB","?"))</f>
        <v/>
      </c>
      <c r="I834" s="25" t="str">
        <f aca="false">IF(OR(E834="",E834="!!!",F834="NEW"),"",INDEX(B833:B$2,-1+SUMPRODUCT(MAX(ROW(E833:E$2)*(E834=E833:E$2)))))</f>
        <v> </v>
      </c>
      <c r="J834" s="25" t="str">
        <f aca="true">IF(OR(E834="",E834="!!!",F834="NEW"),"",COUNTBLANK(OFFSET(A$1,,,SUMPRODUCT(MAX(ROW(E$2:E834)*(E834=E$2:E834)))))-COUNTBLANK(OFFSET(A$1,,,SUMPRODUCT(MAX(ROW(E$1:E833)*(E2=E$1:E833))))))</f>
        <v/>
      </c>
      <c r="K834" s="25" t="str">
        <f aca="false">IF(OR(E834="",E834="!!!",F834="NEW"),"",INDEX(J$1:J833,SUMPRODUCT(MAX(ROW(E$1:E833)*(E834=E$1:E833)))))</f>
        <v/>
      </c>
      <c r="L834" s="26"/>
    </row>
    <row r="835" customFormat="false" ht="15" hidden="false" customHeight="false" outlineLevel="0" collapsed="false">
      <c r="A835" s="20" t="s">
        <v>315</v>
      </c>
      <c r="B835" s="27" t="s">
        <v>244</v>
      </c>
      <c r="C835" s="27" t="s">
        <v>233</v>
      </c>
      <c r="D835" s="27" t="s">
        <v>209</v>
      </c>
      <c r="E835" s="21" t="str">
        <f aca="false">IF(D835="?OLD","!!!","")</f>
        <v>!!!</v>
      </c>
      <c r="F835" s="22" t="str">
        <f aca="false">IF(OR(E835="",E835="!!!"),"",IF(NOT(ISNA(VLOOKUP(E835,E$1:E834,1,FALSE()))),"OLD",IF(AND(E835&lt;&gt;"",E835&lt;&gt;"!!!"),"NEW","")))</f>
        <v> </v>
      </c>
      <c r="G835" s="23" t="str">
        <f aca="false">IF(OR(E835="",E835="!!!"),"",IF(OR(J835=0,AND(J835=1,K835=1),AND(J835=1,I835="SBJ"),AND(J835=1,I835=0)),"?IN_FOCUS",IF(J835&lt;=2,"?ACTIVATED",IF(J835&lt;&gt;"","?FAMILIAR",IF(F835="NEW",IF(ISNA(VLOOKUP(E835,#REF!,1,FALSE())),"?TYPE_IDENTIFIABLE","?REFERENTIAL"),"_")))))</f>
        <v/>
      </c>
      <c r="H835" s="24" t="str">
        <f aca="false">IF(J835&lt;&gt;1,"",IF(I835="SBJ","CB","?"))</f>
        <v/>
      </c>
      <c r="I835" s="25" t="str">
        <f aca="false">IF(OR(E835="",E835="!!!",F835="NEW"),"",INDEX(B834:B$2,-1+SUMPRODUCT(MAX(ROW(E834:E$2)*(E835=E834:E$2)))))</f>
        <v> </v>
      </c>
      <c r="J835" s="25" t="str">
        <f aca="true">IF(OR(E835="",E835="!!!",F835="NEW"),"",COUNTBLANK(OFFSET(A$1,,,SUMPRODUCT(MAX(ROW(E$2:E835)*(E835=E$2:E835)))))-COUNTBLANK(OFFSET(A$1,,,SUMPRODUCT(MAX(ROW(E$1:E834)*(E2=E$1:E834))))))</f>
        <v/>
      </c>
      <c r="K835" s="25" t="str">
        <f aca="false">IF(OR(E835="",E835="!!!",F835="NEW"),"",INDEX(J$1:J834,SUMPRODUCT(MAX(ROW(E$1:E834)*(E835=E$1:E834)))))</f>
        <v/>
      </c>
      <c r="L835" s="26"/>
    </row>
    <row r="836" customFormat="false" ht="15" hidden="false" customHeight="false" outlineLevel="0" collapsed="false">
      <c r="A836" s="20" t="s">
        <v>210</v>
      </c>
      <c r="E836" s="21" t="str">
        <f aca="false">IF(D836="?OLD","!!!","")</f>
        <v/>
      </c>
      <c r="F836" s="22" t="str">
        <f aca="false">IF(OR(E836="",E836="!!!"),"",IF(NOT(ISNA(VLOOKUP(E836,E$1:E835,1,FALSE()))),"OLD",IF(AND(E836&lt;&gt;"",E836&lt;&gt;"!!!"),"NEW","")))</f>
        <v> </v>
      </c>
      <c r="G836" s="23" t="str">
        <f aca="false">IF(OR(E836="",E836="!!!"),"",IF(OR(J836=0,AND(J836=1,K836=1),AND(J836=1,I836="SBJ"),AND(J836=1,I836=0)),"?IN_FOCUS",IF(J836&lt;=2,"?ACTIVATED",IF(J836&lt;&gt;"","?FAMILIAR",IF(F836="NEW",IF(ISNA(VLOOKUP(E836,#REF!,1,FALSE())),"?TYPE_IDENTIFIABLE","?REFERENTIAL"),"_")))))</f>
        <v/>
      </c>
      <c r="H836" s="24" t="str">
        <f aca="false">IF(J836&lt;&gt;1,"",IF(I836="SBJ","CB","?"))</f>
        <v/>
      </c>
      <c r="I836" s="25" t="str">
        <f aca="false">IF(OR(E836="",E836="!!!",F836="NEW"),"",INDEX(B835:B$2,-1+SUMPRODUCT(MAX(ROW(E835:E$2)*(E836=E835:E$2)))))</f>
        <v> </v>
      </c>
      <c r="J836" s="25" t="str">
        <f aca="true">IF(OR(E836="",E836="!!!",F836="NEW"),"",COUNTBLANK(OFFSET(A$1,,,SUMPRODUCT(MAX(ROW(E$2:E836)*(E836=E$2:E836)))))-COUNTBLANK(OFFSET(A$1,,,SUMPRODUCT(MAX(ROW(E$1:E835)*(E2=E$1:E835))))))</f>
        <v/>
      </c>
      <c r="K836" s="25" t="str">
        <f aca="false">IF(OR(E836="",E836="!!!",F836="NEW"),"",INDEX(J$1:J835,SUMPRODUCT(MAX(ROW(E$1:E835)*(E836=E$1:E835)))))</f>
        <v/>
      </c>
      <c r="L836" s="26"/>
    </row>
    <row r="837" customFormat="false" ht="15" hidden="false" customHeight="false" outlineLevel="0" collapsed="false">
      <c r="A837" s="20" t="s">
        <v>432</v>
      </c>
      <c r="E837" s="21" t="str">
        <f aca="false">IF(D837="?OLD","!!!","")</f>
        <v/>
      </c>
      <c r="F837" s="22" t="str">
        <f aca="false">IF(OR(E837="",E837="!!!"),"",IF(NOT(ISNA(VLOOKUP(E837,E$1:E836,1,FALSE()))),"OLD",IF(AND(E837&lt;&gt;"",E837&lt;&gt;"!!!"),"NEW","")))</f>
        <v> </v>
      </c>
      <c r="G837" s="23" t="str">
        <f aca="false">IF(OR(E837="",E837="!!!"),"",IF(OR(J837=0,AND(J837=1,K837=1),AND(J837=1,I837="SBJ"),AND(J837=1,I837=0)),"?IN_FOCUS",IF(J837&lt;=2,"?ACTIVATED",IF(J837&lt;&gt;"","?FAMILIAR",IF(F837="NEW",IF(ISNA(VLOOKUP(E837,#REF!,1,FALSE())),"?TYPE_IDENTIFIABLE","?REFERENTIAL"),"_")))))</f>
        <v/>
      </c>
      <c r="H837" s="24" t="str">
        <f aca="false">IF(J837&lt;&gt;1,"",IF(I837="SBJ","CB","?"))</f>
        <v/>
      </c>
      <c r="I837" s="25" t="str">
        <f aca="false">IF(OR(E837="",E837="!!!",F837="NEW"),"",INDEX(B836:B$2,-1+SUMPRODUCT(MAX(ROW(E836:E$2)*(E837=E836:E$2)))))</f>
        <v> </v>
      </c>
      <c r="J837" s="25" t="str">
        <f aca="true">IF(OR(E837="",E837="!!!",F837="NEW"),"",COUNTBLANK(OFFSET(A$1,,,SUMPRODUCT(MAX(ROW(E$2:E837)*(E837=E$2:E837)))))-COUNTBLANK(OFFSET(A$1,,,SUMPRODUCT(MAX(ROW(E$1:E836)*(E2=E$1:E836))))))</f>
        <v/>
      </c>
      <c r="K837" s="25" t="str">
        <f aca="false">IF(OR(E837="",E837="!!!",F837="NEW"),"",INDEX(J$1:J836,SUMPRODUCT(MAX(ROW(E$1:E836)*(E837=E$1:E836)))))</f>
        <v/>
      </c>
      <c r="L837" s="26"/>
    </row>
    <row r="838" customFormat="false" ht="15" hidden="false" customHeight="false" outlineLevel="0" collapsed="false">
      <c r="A838" s="20" t="s">
        <v>229</v>
      </c>
      <c r="E838" s="21" t="str">
        <f aca="false">IF(D838="?OLD","!!!","")</f>
        <v/>
      </c>
      <c r="F838" s="22" t="str">
        <f aca="false">IF(OR(E838="",E838="!!!"),"",IF(NOT(ISNA(VLOOKUP(E838,E$1:E837,1,FALSE()))),"OLD",IF(AND(E838&lt;&gt;"",E838&lt;&gt;"!!!"),"NEW","")))</f>
        <v> </v>
      </c>
      <c r="G838" s="23" t="str">
        <f aca="false">IF(OR(E838="",E838="!!!"),"",IF(OR(J838=0,AND(J838=1,K838=1),AND(J838=1,I838="SBJ"),AND(J838=1,I838=0)),"?IN_FOCUS",IF(J838&lt;=2,"?ACTIVATED",IF(J838&lt;&gt;"","?FAMILIAR",IF(F838="NEW",IF(ISNA(VLOOKUP(E838,#REF!,1,FALSE())),"?TYPE_IDENTIFIABLE","?REFERENTIAL"),"_")))))</f>
        <v/>
      </c>
      <c r="H838" s="24" t="str">
        <f aca="false">IF(J838&lt;&gt;1,"",IF(I838="SBJ","CB","?"))</f>
        <v/>
      </c>
      <c r="I838" s="25" t="str">
        <f aca="false">IF(OR(E838="",E838="!!!",F838="NEW"),"",INDEX(B837:B$2,-1+SUMPRODUCT(MAX(ROW(E837:E$2)*(E838=E837:E$2)))))</f>
        <v> </v>
      </c>
      <c r="J838" s="25" t="str">
        <f aca="true">IF(OR(E838="",E838="!!!",F838="NEW"),"",COUNTBLANK(OFFSET(A$1,,,SUMPRODUCT(MAX(ROW(E$2:E838)*(E838=E$2:E838)))))-COUNTBLANK(OFFSET(A$1,,,SUMPRODUCT(MAX(ROW(E$1:E837)*(E2=E$1:E837))))))</f>
        <v/>
      </c>
      <c r="K838" s="25" t="str">
        <f aca="false">IF(OR(E838="",E838="!!!",F838="NEW"),"",INDEX(J$1:J837,SUMPRODUCT(MAX(ROW(E$1:E837)*(E838=E$1:E837)))))</f>
        <v/>
      </c>
      <c r="L838" s="26"/>
    </row>
    <row r="839" customFormat="false" ht="15" hidden="false" customHeight="false" outlineLevel="0" collapsed="false">
      <c r="A839" s="20"/>
    </row>
    <row r="840" customFormat="false" ht="15" hidden="false" customHeight="false" outlineLevel="0" collapsed="false">
      <c r="A840" s="20" t="s">
        <v>457</v>
      </c>
    </row>
    <row r="841" customFormat="false" ht="15" hidden="false" customHeight="false" outlineLevel="0" collapsed="false">
      <c r="A841" s="20" t="s">
        <v>458</v>
      </c>
      <c r="E841" s="21" t="str">
        <f aca="false">IF(D841="?OLD","!!!","")</f>
        <v/>
      </c>
      <c r="F841" s="22" t="str">
        <f aca="false">IF(OR(E841="",E841="!!!"),"",IF(NOT(ISNA(VLOOKUP(E841,E$1:E840,1,FALSE()))),"OLD",IF(AND(E841&lt;&gt;"",E841&lt;&gt;"!!!"),"NEW","")))</f>
        <v> </v>
      </c>
      <c r="G841" s="23" t="str">
        <f aca="false">IF(OR(E841="",E841="!!!"),"",IF(OR(J841=0,AND(J841=1,K841=1),AND(J841=1,I841="SBJ"),AND(J841=1,I841=0)),"?IN_FOCUS",IF(J841&lt;=2,"?ACTIVATED",IF(J841&lt;&gt;"","?FAMILIAR",IF(F841="NEW",IF(ISNA(VLOOKUP(E841,#REF!,1,FALSE())),"?TYPE_IDENTIFIABLE","?REFERENTIAL"),"_")))))</f>
        <v/>
      </c>
      <c r="H841" s="24" t="str">
        <f aca="false">IF(J841&lt;&gt;1,"",IF(I841="SBJ","CB","?"))</f>
        <v/>
      </c>
      <c r="I841" s="25" t="str">
        <f aca="false">IF(OR(E841="",E841="!!!",F841="NEW"),"",INDEX(B840:B$2,-1+SUMPRODUCT(MAX(ROW(E840:E$2)*(E841=E840:E$2)))))</f>
        <v> </v>
      </c>
      <c r="J841" s="25" t="str">
        <f aca="true">IF(OR(E841="",E841="!!!",F841="NEW"),"",COUNTBLANK(OFFSET(A$1,,,SUMPRODUCT(MAX(ROW(E$2:E841)*(E841=E$2:E841)))))-COUNTBLANK(OFFSET(A$1,,,SUMPRODUCT(MAX(ROW(E$1:E840)*(E2=E$1:E840))))))</f>
        <v/>
      </c>
      <c r="K841" s="25" t="str">
        <f aca="false">IF(OR(E841="",E841="!!!",F841="NEW"),"",INDEX(J$1:J840,SUMPRODUCT(MAX(ROW(E$1:E840)*(E841=E$1:E840)))))</f>
        <v/>
      </c>
      <c r="L841" s="26"/>
    </row>
    <row r="842" customFormat="false" ht="15" hidden="false" customHeight="false" outlineLevel="0" collapsed="false">
      <c r="A842" s="20" t="s">
        <v>315</v>
      </c>
      <c r="B842" s="27" t="s">
        <v>207</v>
      </c>
      <c r="C842" s="27" t="s">
        <v>233</v>
      </c>
      <c r="D842" s="27" t="s">
        <v>209</v>
      </c>
      <c r="E842" s="21" t="str">
        <f aca="false">IF(D842="?OLD","!!!","")</f>
        <v>!!!</v>
      </c>
      <c r="F842" s="22" t="str">
        <f aca="false">IF(OR(E842="",E842="!!!"),"",IF(NOT(ISNA(VLOOKUP(E842,E$1:E841,1,FALSE()))),"OLD",IF(AND(E842&lt;&gt;"",E842&lt;&gt;"!!!"),"NEW","")))</f>
        <v> </v>
      </c>
      <c r="G842" s="23" t="str">
        <f aca="false">IF(OR(E842="",E842="!!!"),"",IF(OR(J842=0,AND(J842=1,K842=1),AND(J842=1,I842="SBJ"),AND(J842=1,I842=0)),"?IN_FOCUS",IF(J842&lt;=2,"?ACTIVATED",IF(J842&lt;&gt;"","?FAMILIAR",IF(F842="NEW",IF(ISNA(VLOOKUP(E842,#REF!,1,FALSE())),"?TYPE_IDENTIFIABLE","?REFERENTIAL"),"_")))))</f>
        <v/>
      </c>
      <c r="H842" s="24" t="str">
        <f aca="false">IF(J842&lt;&gt;1,"",IF(I842="SBJ","CB","?"))</f>
        <v/>
      </c>
      <c r="I842" s="25" t="str">
        <f aca="false">IF(OR(E842="",E842="!!!",F842="NEW"),"",INDEX(B841:B$2,-1+SUMPRODUCT(MAX(ROW(E841:E$2)*(E842=E841:E$2)))))</f>
        <v> </v>
      </c>
      <c r="J842" s="25" t="str">
        <f aca="true">IF(OR(E842="",E842="!!!",F842="NEW"),"",COUNTBLANK(OFFSET(A$1,,,SUMPRODUCT(MAX(ROW(E$2:E842)*(E842=E$2:E842)))))-COUNTBLANK(OFFSET(A$1,,,SUMPRODUCT(MAX(ROW(E$1:E841)*(E2=E$1:E841))))))</f>
        <v/>
      </c>
      <c r="K842" s="25" t="str">
        <f aca="false">IF(OR(E842="",E842="!!!",F842="NEW"),"",INDEX(J$1:J841,SUMPRODUCT(MAX(ROW(E$1:E841)*(E842=E$1:E841)))))</f>
        <v/>
      </c>
      <c r="L842" s="26"/>
    </row>
    <row r="843" customFormat="false" ht="15" hidden="false" customHeight="false" outlineLevel="0" collapsed="false">
      <c r="A843" s="20" t="s">
        <v>459</v>
      </c>
      <c r="E843" s="21" t="str">
        <f aca="false">IF(D843="?OLD","!!!","")</f>
        <v/>
      </c>
      <c r="F843" s="22" t="str">
        <f aca="false">IF(OR(E843="",E843="!!!"),"",IF(NOT(ISNA(VLOOKUP(E843,E$1:E842,1,FALSE()))),"OLD",IF(AND(E843&lt;&gt;"",E843&lt;&gt;"!!!"),"NEW","")))</f>
        <v> </v>
      </c>
      <c r="G843" s="23" t="str">
        <f aca="false">IF(OR(E843="",E843="!!!"),"",IF(OR(J843=0,AND(J843=1,K843=1),AND(J843=1,I843="SBJ"),AND(J843=1,I843=0)),"?IN_FOCUS",IF(J843&lt;=2,"?ACTIVATED",IF(J843&lt;&gt;"","?FAMILIAR",IF(F843="NEW",IF(ISNA(VLOOKUP(E843,#REF!,1,FALSE())),"?TYPE_IDENTIFIABLE","?REFERENTIAL"),"_")))))</f>
        <v/>
      </c>
      <c r="H843" s="24" t="str">
        <f aca="false">IF(J843&lt;&gt;1,"",IF(I843="SBJ","CB","?"))</f>
        <v/>
      </c>
      <c r="I843" s="25" t="str">
        <f aca="false">IF(OR(E843="",E843="!!!",F843="NEW"),"",INDEX(B842:B$2,-1+SUMPRODUCT(MAX(ROW(E842:E$2)*(E843=E842:E$2)))))</f>
        <v> </v>
      </c>
      <c r="J843" s="25" t="str">
        <f aca="true">IF(OR(E843="",E843="!!!",F843="NEW"),"",COUNTBLANK(OFFSET(A$1,,,SUMPRODUCT(MAX(ROW(E$2:E843)*(E843=E$2:E843)))))-COUNTBLANK(OFFSET(A$1,,,SUMPRODUCT(MAX(ROW(E$1:E842)*(E2=E$1:E842))))))</f>
        <v/>
      </c>
      <c r="K843" s="25" t="str">
        <f aca="false">IF(OR(E843="",E843="!!!",F843="NEW"),"",INDEX(J$1:J842,SUMPRODUCT(MAX(ROW(E$1:E842)*(E843=E$1:E842)))))</f>
        <v/>
      </c>
      <c r="L843" s="26"/>
    </row>
    <row r="844" customFormat="false" ht="15" hidden="false" customHeight="false" outlineLevel="0" collapsed="false">
      <c r="A844" s="20" t="s">
        <v>431</v>
      </c>
      <c r="E844" s="21" t="str">
        <f aca="false">IF(D844="?OLD","!!!","")</f>
        <v/>
      </c>
      <c r="F844" s="22" t="str">
        <f aca="false">IF(OR(E844="",E844="!!!"),"",IF(NOT(ISNA(VLOOKUP(E844,E$1:E843,1,FALSE()))),"OLD",IF(AND(E844&lt;&gt;"",E844&lt;&gt;"!!!"),"NEW","")))</f>
        <v> </v>
      </c>
      <c r="G844" s="23" t="str">
        <f aca="false">IF(OR(E844="",E844="!!!"),"",IF(OR(J844=0,AND(J844=1,K844=1),AND(J844=1,I844="SBJ"),AND(J844=1,I844=0)),"?IN_FOCUS",IF(J844&lt;=2,"?ACTIVATED",IF(J844&lt;&gt;"","?FAMILIAR",IF(F844="NEW",IF(ISNA(VLOOKUP(E844,#REF!,1,FALSE())),"?TYPE_IDENTIFIABLE","?REFERENTIAL"),"_")))))</f>
        <v/>
      </c>
      <c r="H844" s="24" t="str">
        <f aca="false">IF(J844&lt;&gt;1,"",IF(I844="SBJ","CB","?"))</f>
        <v/>
      </c>
      <c r="I844" s="25" t="str">
        <f aca="false">IF(OR(E844="",E844="!!!",F844="NEW"),"",INDEX(B843:B$2,-1+SUMPRODUCT(MAX(ROW(E843:E$2)*(E844=E843:E$2)))))</f>
        <v> </v>
      </c>
      <c r="J844" s="25" t="str">
        <f aca="true">IF(OR(E844="",E844="!!!",F844="NEW"),"",COUNTBLANK(OFFSET(A$1,,,SUMPRODUCT(MAX(ROW(E$2:E844)*(E844=E$2:E844)))))-COUNTBLANK(OFFSET(A$1,,,SUMPRODUCT(MAX(ROW(E$1:E843)*(E2=E$1:E843))))))</f>
        <v/>
      </c>
      <c r="K844" s="25" t="str">
        <f aca="false">IF(OR(E844="",E844="!!!",F844="NEW"),"",INDEX(J$1:J843,SUMPRODUCT(MAX(ROW(E$1:E843)*(E844=E$1:E843)))))</f>
        <v/>
      </c>
      <c r="L844" s="26"/>
    </row>
    <row r="845" customFormat="false" ht="15" hidden="false" customHeight="false" outlineLevel="0" collapsed="false">
      <c r="A845" s="20" t="s">
        <v>205</v>
      </c>
      <c r="E845" s="21" t="str">
        <f aca="false">IF(D845="?OLD","!!!","")</f>
        <v/>
      </c>
      <c r="F845" s="22" t="str">
        <f aca="false">IF(OR(E845="",E845="!!!"),"",IF(NOT(ISNA(VLOOKUP(E845,E$1:E844,1,FALSE()))),"OLD",IF(AND(E845&lt;&gt;"",E845&lt;&gt;"!!!"),"NEW","")))</f>
        <v> </v>
      </c>
      <c r="G845" s="23" t="str">
        <f aca="false">IF(OR(E845="",E845="!!!"),"",IF(OR(J845=0,AND(J845=1,K845=1),AND(J845=1,I845="SBJ"),AND(J845=1,I845=0)),"?IN_FOCUS",IF(J845&lt;=2,"?ACTIVATED",IF(J845&lt;&gt;"","?FAMILIAR",IF(F845="NEW",IF(ISNA(VLOOKUP(E845,#REF!,1,FALSE())),"?TYPE_IDENTIFIABLE","?REFERENTIAL"),"_")))))</f>
        <v/>
      </c>
      <c r="H845" s="24" t="str">
        <f aca="false">IF(J845&lt;&gt;1,"",IF(I845="SBJ","CB","?"))</f>
        <v/>
      </c>
      <c r="I845" s="25" t="str">
        <f aca="false">IF(OR(E845="",E845="!!!",F845="NEW"),"",INDEX(B844:B$2,-1+SUMPRODUCT(MAX(ROW(E844:E$2)*(E845=E844:E$2)))))</f>
        <v> </v>
      </c>
      <c r="J845" s="25" t="str">
        <f aca="true">IF(OR(E845="",E845="!!!",F845="NEW"),"",COUNTBLANK(OFFSET(A$1,,,SUMPRODUCT(MAX(ROW(E$2:E845)*(E845=E$2:E845)))))-COUNTBLANK(OFFSET(A$1,,,SUMPRODUCT(MAX(ROW(E$1:E844)*(E2=E$1:E844))))))</f>
        <v/>
      </c>
      <c r="K845" s="25" t="str">
        <f aca="false">IF(OR(E845="",E845="!!!",F845="NEW"),"",INDEX(J$1:J844,SUMPRODUCT(MAX(ROW(E$1:E844)*(E845=E$1:E844)))))</f>
        <v/>
      </c>
      <c r="L845" s="26"/>
    </row>
    <row r="846" customFormat="false" ht="15" hidden="false" customHeight="false" outlineLevel="0" collapsed="false">
      <c r="A846" s="20" t="s">
        <v>337</v>
      </c>
      <c r="B846" s="27" t="s">
        <v>278</v>
      </c>
      <c r="C846" s="27" t="s">
        <v>208</v>
      </c>
      <c r="D846" s="27" t="s">
        <v>209</v>
      </c>
      <c r="E846" s="21" t="str">
        <f aca="false">IF(D846="?OLD","!!!","")</f>
        <v>!!!</v>
      </c>
      <c r="F846" s="22" t="str">
        <f aca="false">IF(OR(E846="",E846="!!!"),"",IF(NOT(ISNA(VLOOKUP(E846,E$1:E845,1,FALSE()))),"OLD",IF(AND(E846&lt;&gt;"",E846&lt;&gt;"!!!"),"NEW","")))</f>
        <v> </v>
      </c>
      <c r="G846" s="23" t="str">
        <f aca="false">IF(OR(E846="",E846="!!!"),"",IF(OR(J846=0,AND(J846=1,K846=1),AND(J846=1,I846="SBJ"),AND(J846=1,I846=0)),"?IN_FOCUS",IF(J846&lt;=2,"?ACTIVATED",IF(J846&lt;&gt;"","?FAMILIAR",IF(F846="NEW",IF(ISNA(VLOOKUP(E846,#REF!,1,FALSE())),"?TYPE_IDENTIFIABLE","?REFERENTIAL"),"_")))))</f>
        <v/>
      </c>
      <c r="H846" s="24" t="str">
        <f aca="false">IF(J846&lt;&gt;1,"",IF(I846="SBJ","CB","?"))</f>
        <v/>
      </c>
      <c r="I846" s="25" t="str">
        <f aca="false">IF(OR(E846="",E846="!!!",F846="NEW"),"",INDEX(B845:B$2,-1+SUMPRODUCT(MAX(ROW(E845:E$2)*(E846=E845:E$2)))))</f>
        <v> </v>
      </c>
      <c r="J846" s="25" t="str">
        <f aca="true">IF(OR(E846="",E846="!!!",F846="NEW"),"",COUNTBLANK(OFFSET(A$1,,,SUMPRODUCT(MAX(ROW(E$2:E846)*(E846=E$2:E846)))))-COUNTBLANK(OFFSET(A$1,,,SUMPRODUCT(MAX(ROW(E$1:E845)*(E2=E$1:E845))))))</f>
        <v/>
      </c>
      <c r="K846" s="25" t="str">
        <f aca="false">IF(OR(E846="",E846="!!!",F846="NEW"),"",INDEX(J$1:J845,SUMPRODUCT(MAX(ROW(E$1:E845)*(E846=E$1:E845)))))</f>
        <v/>
      </c>
      <c r="L846" s="26"/>
    </row>
    <row r="847" customFormat="false" ht="15" hidden="false" customHeight="false" outlineLevel="0" collapsed="false">
      <c r="A847" s="20" t="s">
        <v>308</v>
      </c>
      <c r="E847" s="21" t="str">
        <f aca="false">IF(D847="?OLD","!!!","")</f>
        <v/>
      </c>
      <c r="F847" s="22" t="str">
        <f aca="false">IF(OR(E847="",E847="!!!"),"",IF(NOT(ISNA(VLOOKUP(E847,E$1:E846,1,FALSE()))),"OLD",IF(AND(E847&lt;&gt;"",E847&lt;&gt;"!!!"),"NEW","")))</f>
        <v> </v>
      </c>
      <c r="G847" s="23" t="str">
        <f aca="false">IF(OR(E847="",E847="!!!"),"",IF(OR(J847=0,AND(J847=1,K847=1),AND(J847=1,I847="SBJ"),AND(J847=1,I847=0)),"?IN_FOCUS",IF(J847&lt;=2,"?ACTIVATED",IF(J847&lt;&gt;"","?FAMILIAR",IF(F847="NEW",IF(ISNA(VLOOKUP(E847,#REF!,1,FALSE())),"?TYPE_IDENTIFIABLE","?REFERENTIAL"),"_")))))</f>
        <v/>
      </c>
      <c r="H847" s="24" t="str">
        <f aca="false">IF(J847&lt;&gt;1,"",IF(I847="SBJ","CB","?"))</f>
        <v/>
      </c>
      <c r="I847" s="25" t="str">
        <f aca="false">IF(OR(E847="",E847="!!!",F847="NEW"),"",INDEX(B846:B$2,-1+SUMPRODUCT(MAX(ROW(E846:E$2)*(E847=E846:E$2)))))</f>
        <v> </v>
      </c>
      <c r="J847" s="25" t="str">
        <f aca="true">IF(OR(E847="",E847="!!!",F847="NEW"),"",COUNTBLANK(OFFSET(A$1,,,SUMPRODUCT(MAX(ROW(E$2:E847)*(E847=E$2:E847)))))-COUNTBLANK(OFFSET(A$1,,,SUMPRODUCT(MAX(ROW(E$1:E846)*(E2=E$1:E846))))))</f>
        <v/>
      </c>
      <c r="K847" s="25" t="str">
        <f aca="false">IF(OR(E847="",E847="!!!",F847="NEW"),"",INDEX(J$1:J846,SUMPRODUCT(MAX(ROW(E$1:E846)*(E847=E$1:E846)))))</f>
        <v/>
      </c>
      <c r="L847" s="26"/>
    </row>
    <row r="848" customFormat="false" ht="15" hidden="false" customHeight="false" outlineLevel="0" collapsed="false">
      <c r="A848" s="20" t="s">
        <v>288</v>
      </c>
      <c r="E848" s="21" t="str">
        <f aca="false">IF(D848="?OLD","!!!","")</f>
        <v/>
      </c>
      <c r="F848" s="22" t="str">
        <f aca="false">IF(OR(E848="",E848="!!!"),"",IF(NOT(ISNA(VLOOKUP(E848,E$1:E847,1,FALSE()))),"OLD",IF(AND(E848&lt;&gt;"",E848&lt;&gt;"!!!"),"NEW","")))</f>
        <v> </v>
      </c>
      <c r="G848" s="23" t="str">
        <f aca="false">IF(OR(E848="",E848="!!!"),"",IF(OR(J848=0,AND(J848=1,K848=1),AND(J848=1,I848="SBJ"),AND(J848=1,I848=0)),"?IN_FOCUS",IF(J848&lt;=2,"?ACTIVATED",IF(J848&lt;&gt;"","?FAMILIAR",IF(F848="NEW",IF(ISNA(VLOOKUP(E848,#REF!,1,FALSE())),"?TYPE_IDENTIFIABLE","?REFERENTIAL"),"_")))))</f>
        <v/>
      </c>
      <c r="H848" s="24" t="str">
        <f aca="false">IF(J848&lt;&gt;1,"",IF(I848="SBJ","CB","?"))</f>
        <v/>
      </c>
      <c r="I848" s="25" t="str">
        <f aca="false">IF(OR(E848="",E848="!!!",F848="NEW"),"",INDEX(B847:B$2,-1+SUMPRODUCT(MAX(ROW(E847:E$2)*(E848=E847:E$2)))))</f>
        <v> </v>
      </c>
      <c r="J848" s="25" t="str">
        <f aca="true">IF(OR(E848="",E848="!!!",F848="NEW"),"",COUNTBLANK(OFFSET(A$1,,,SUMPRODUCT(MAX(ROW(E$2:E848)*(E848=E$2:E848)))))-COUNTBLANK(OFFSET(A$1,,,SUMPRODUCT(MAX(ROW(E$1:E847)*(E2=E$1:E847))))))</f>
        <v/>
      </c>
      <c r="K848" s="25" t="str">
        <f aca="false">IF(OR(E848="",E848="!!!",F848="NEW"),"",INDEX(J$1:J847,SUMPRODUCT(MAX(ROW(E$1:E847)*(E848=E$1:E847)))))</f>
        <v/>
      </c>
      <c r="L848" s="26"/>
    </row>
    <row r="849" customFormat="false" ht="15" hidden="false" customHeight="false" outlineLevel="0" collapsed="false">
      <c r="A849" s="20" t="s">
        <v>315</v>
      </c>
      <c r="B849" s="27" t="s">
        <v>240</v>
      </c>
      <c r="C849" s="27" t="s">
        <v>233</v>
      </c>
      <c r="D849" s="27" t="s">
        <v>209</v>
      </c>
      <c r="E849" s="21" t="str">
        <f aca="false">IF(D849="?OLD","!!!","")</f>
        <v>!!!</v>
      </c>
      <c r="F849" s="22" t="str">
        <f aca="false">IF(OR(E849="",E849="!!!"),"",IF(NOT(ISNA(VLOOKUP(E849,E$1:E848,1,FALSE()))),"OLD",IF(AND(E849&lt;&gt;"",E849&lt;&gt;"!!!"),"NEW","")))</f>
        <v> </v>
      </c>
      <c r="G849" s="23" t="str">
        <f aca="false">IF(OR(E849="",E849="!!!"),"",IF(OR(J849=0,AND(J849=1,K849=1),AND(J849=1,I849="SBJ"),AND(J849=1,I849=0)),"?IN_FOCUS",IF(J849&lt;=2,"?ACTIVATED",IF(J849&lt;&gt;"","?FAMILIAR",IF(F849="NEW",IF(ISNA(VLOOKUP(E849,#REF!,1,FALSE())),"?TYPE_IDENTIFIABLE","?REFERENTIAL"),"_")))))</f>
        <v/>
      </c>
      <c r="H849" s="24" t="str">
        <f aca="false">IF(J849&lt;&gt;1,"",IF(I849="SBJ","CB","?"))</f>
        <v/>
      </c>
      <c r="I849" s="25" t="str">
        <f aca="false">IF(OR(E849="",E849="!!!",F849="NEW"),"",INDEX(B848:B$2,-1+SUMPRODUCT(MAX(ROW(E848:E$2)*(E849=E848:E$2)))))</f>
        <v> </v>
      </c>
      <c r="J849" s="25" t="str">
        <f aca="true">IF(OR(E849="",E849="!!!",F849="NEW"),"",COUNTBLANK(OFFSET(A$1,,,SUMPRODUCT(MAX(ROW(E$2:E849)*(E849=E$2:E849)))))-COUNTBLANK(OFFSET(A$1,,,SUMPRODUCT(MAX(ROW(E$1:E848)*(E2=E$1:E848))))))</f>
        <v/>
      </c>
      <c r="K849" s="25" t="str">
        <f aca="false">IF(OR(E849="",E849="!!!",F849="NEW"),"",INDEX(J$1:J848,SUMPRODUCT(MAX(ROW(E$1:E848)*(E849=E$1:E848)))))</f>
        <v/>
      </c>
      <c r="L849" s="26"/>
    </row>
    <row r="850" customFormat="false" ht="15" hidden="false" customHeight="false" outlineLevel="0" collapsed="false">
      <c r="A850" s="20" t="s">
        <v>460</v>
      </c>
      <c r="E850" s="21" t="str">
        <f aca="false">IF(D850="?OLD","!!!","")</f>
        <v/>
      </c>
      <c r="F850" s="22" t="str">
        <f aca="false">IF(OR(E850="",E850="!!!"),"",IF(NOT(ISNA(VLOOKUP(E850,E$1:E849,1,FALSE()))),"OLD",IF(AND(E850&lt;&gt;"",E850&lt;&gt;"!!!"),"NEW","")))</f>
        <v> </v>
      </c>
      <c r="G850" s="23" t="str">
        <f aca="false">IF(OR(E850="",E850="!!!"),"",IF(OR(J850=0,AND(J850=1,K850=1),AND(J850=1,I850="SBJ"),AND(J850=1,I850=0)),"?IN_FOCUS",IF(J850&lt;=2,"?ACTIVATED",IF(J850&lt;&gt;"","?FAMILIAR",IF(F850="NEW",IF(ISNA(VLOOKUP(E850,#REF!,1,FALSE())),"?TYPE_IDENTIFIABLE","?REFERENTIAL"),"_")))))</f>
        <v/>
      </c>
      <c r="H850" s="24" t="str">
        <f aca="false">IF(J850&lt;&gt;1,"",IF(I850="SBJ","CB","?"))</f>
        <v/>
      </c>
      <c r="I850" s="25" t="str">
        <f aca="false">IF(OR(E850="",E850="!!!",F850="NEW"),"",INDEX(B849:B$2,-1+SUMPRODUCT(MAX(ROW(E849:E$2)*(E850=E849:E$2)))))</f>
        <v> </v>
      </c>
      <c r="J850" s="25" t="str">
        <f aca="true">IF(OR(E850="",E850="!!!",F850="NEW"),"",COUNTBLANK(OFFSET(A$1,,,SUMPRODUCT(MAX(ROW(E$2:E850)*(E850=E$2:E850)))))-COUNTBLANK(OFFSET(A$1,,,SUMPRODUCT(MAX(ROW(E$1:E849)*(E2=E$1:E849))))))</f>
        <v/>
      </c>
      <c r="K850" s="25" t="str">
        <f aca="false">IF(OR(E850="",E850="!!!",F850="NEW"),"",INDEX(J$1:J849,SUMPRODUCT(MAX(ROW(E$1:E849)*(E850=E$1:E849)))))</f>
        <v/>
      </c>
      <c r="L850" s="26"/>
    </row>
    <row r="851" customFormat="false" ht="15" hidden="false" customHeight="false" outlineLevel="0" collapsed="false">
      <c r="A851" s="20" t="s">
        <v>461</v>
      </c>
      <c r="B851" s="27" t="s">
        <v>311</v>
      </c>
      <c r="C851" s="27" t="s">
        <v>225</v>
      </c>
      <c r="D851" s="27" t="s">
        <v>209</v>
      </c>
      <c r="E851" s="21" t="str">
        <f aca="false">IF(D851="?OLD","!!!","")</f>
        <v>!!!</v>
      </c>
      <c r="F851" s="22" t="str">
        <f aca="false">IF(OR(E851="",E851="!!!"),"",IF(NOT(ISNA(VLOOKUP(E851,E$1:E850,1,FALSE()))),"OLD",IF(AND(E851&lt;&gt;"",E851&lt;&gt;"!!!"),"NEW","")))</f>
        <v> </v>
      </c>
      <c r="G851" s="23" t="str">
        <f aca="false">IF(OR(E851="",E851="!!!"),"",IF(OR(J851=0,AND(J851=1,K851=1),AND(J851=1,I851="SBJ"),AND(J851=1,I851=0)),"?IN_FOCUS",IF(J851&lt;=2,"?ACTIVATED",IF(J851&lt;&gt;"","?FAMILIAR",IF(F851="NEW",IF(ISNA(VLOOKUP(E851,#REF!,1,FALSE())),"?TYPE_IDENTIFIABLE","?REFERENTIAL"),"_")))))</f>
        <v/>
      </c>
      <c r="H851" s="24" t="str">
        <f aca="false">IF(J851&lt;&gt;1,"",IF(I851="SBJ","CB","?"))</f>
        <v/>
      </c>
      <c r="I851" s="25" t="str">
        <f aca="false">IF(OR(E851="",E851="!!!",F851="NEW"),"",INDEX(B850:B$2,-1+SUMPRODUCT(MAX(ROW(E850:E$2)*(E851=E850:E$2)))))</f>
        <v> </v>
      </c>
      <c r="J851" s="25" t="str">
        <f aca="true">IF(OR(E851="",E851="!!!",F851="NEW"),"",COUNTBLANK(OFFSET(A$1,,,SUMPRODUCT(MAX(ROW(E$2:E851)*(E851=E$2:E851)))))-COUNTBLANK(OFFSET(A$1,,,SUMPRODUCT(MAX(ROW(E$1:E850)*(E2=E$1:E850))))))</f>
        <v/>
      </c>
      <c r="K851" s="25" t="str">
        <f aca="false">IF(OR(E851="",E851="!!!",F851="NEW"),"",INDEX(J$1:J850,SUMPRODUCT(MAX(ROW(E$1:E850)*(E851=E$1:E850)))))</f>
        <v/>
      </c>
      <c r="L851" s="26"/>
    </row>
    <row r="852" customFormat="false" ht="15" hidden="false" customHeight="false" outlineLevel="0" collapsed="false">
      <c r="A852" s="20" t="s">
        <v>462</v>
      </c>
      <c r="E852" s="21" t="str">
        <f aca="false">IF(D852="?OLD","!!!","")</f>
        <v/>
      </c>
      <c r="F852" s="22" t="str">
        <f aca="false">IF(OR(E852="",E852="!!!"),"",IF(NOT(ISNA(VLOOKUP(E852,E$1:E851,1,FALSE()))),"OLD",IF(AND(E852&lt;&gt;"",E852&lt;&gt;"!!!"),"NEW","")))</f>
        <v> </v>
      </c>
      <c r="G852" s="23" t="str">
        <f aca="false">IF(OR(E852="",E852="!!!"),"",IF(OR(J852=0,AND(J852=1,K852=1),AND(J852=1,I852="SBJ"),AND(J852=1,I852=0)),"?IN_FOCUS",IF(J852&lt;=2,"?ACTIVATED",IF(J852&lt;&gt;"","?FAMILIAR",IF(F852="NEW",IF(ISNA(VLOOKUP(E852,#REF!,1,FALSE())),"?TYPE_IDENTIFIABLE","?REFERENTIAL"),"_")))))</f>
        <v/>
      </c>
      <c r="H852" s="24" t="str">
        <f aca="false">IF(J852&lt;&gt;1,"",IF(I852="SBJ","CB","?"))</f>
        <v/>
      </c>
      <c r="I852" s="25" t="str">
        <f aca="false">IF(OR(E852="",E852="!!!",F852="NEW"),"",INDEX(B851:B$2,-1+SUMPRODUCT(MAX(ROW(E851:E$2)*(E852=E851:E$2)))))</f>
        <v> </v>
      </c>
      <c r="J852" s="25" t="str">
        <f aca="true">IF(OR(E852="",E852="!!!",F852="NEW"),"",COUNTBLANK(OFFSET(A$1,,,SUMPRODUCT(MAX(ROW(E$2:E852)*(E852=E$2:E852)))))-COUNTBLANK(OFFSET(A$1,,,SUMPRODUCT(MAX(ROW(E$1:E851)*(E2=E$1:E851))))))</f>
        <v/>
      </c>
      <c r="K852" s="25" t="str">
        <f aca="false">IF(OR(E852="",E852="!!!",F852="NEW"),"",INDEX(J$1:J851,SUMPRODUCT(MAX(ROW(E$1:E851)*(E852=E$1:E851)))))</f>
        <v/>
      </c>
      <c r="L852" s="26"/>
    </row>
    <row r="853" customFormat="false" ht="15" hidden="false" customHeight="false" outlineLevel="0" collapsed="false">
      <c r="A853" s="20" t="s">
        <v>205</v>
      </c>
      <c r="E853" s="21" t="str">
        <f aca="false">IF(D853="?OLD","!!!","")</f>
        <v/>
      </c>
      <c r="F853" s="22" t="str">
        <f aca="false">IF(OR(E853="",E853="!!!"),"",IF(NOT(ISNA(VLOOKUP(E853,E$1:E852,1,FALSE()))),"OLD",IF(AND(E853&lt;&gt;"",E853&lt;&gt;"!!!"),"NEW","")))</f>
        <v> </v>
      </c>
      <c r="G853" s="23" t="str">
        <f aca="false">IF(OR(E853="",E853="!!!"),"",IF(OR(J853=0,AND(J853=1,K853=1),AND(J853=1,I853="SBJ"),AND(J853=1,I853=0)),"?IN_FOCUS",IF(J853&lt;=2,"?ACTIVATED",IF(J853&lt;&gt;"","?FAMILIAR",IF(F853="NEW",IF(ISNA(VLOOKUP(E853,#REF!,1,FALSE())),"?TYPE_IDENTIFIABLE","?REFERENTIAL"),"_")))))</f>
        <v/>
      </c>
      <c r="H853" s="24" t="str">
        <f aca="false">IF(J853&lt;&gt;1,"",IF(I853="SBJ","CB","?"))</f>
        <v/>
      </c>
      <c r="I853" s="25" t="str">
        <f aca="false">IF(OR(E853="",E853="!!!",F853="NEW"),"",INDEX(B852:B$2,-1+SUMPRODUCT(MAX(ROW(E852:E$2)*(E853=E852:E$2)))))</f>
        <v> </v>
      </c>
      <c r="J853" s="25" t="str">
        <f aca="true">IF(OR(E853="",E853="!!!",F853="NEW"),"",COUNTBLANK(OFFSET(A$1,,,SUMPRODUCT(MAX(ROW(E$2:E853)*(E853=E$2:E853)))))-COUNTBLANK(OFFSET(A$1,,,SUMPRODUCT(MAX(ROW(E$1:E852)*(E2=E$1:E852))))))</f>
        <v/>
      </c>
      <c r="K853" s="25" t="str">
        <f aca="false">IF(OR(E853="",E853="!!!",F853="NEW"),"",INDEX(J$1:J852,SUMPRODUCT(MAX(ROW(E$1:E852)*(E853=E$1:E852)))))</f>
        <v/>
      </c>
      <c r="L853" s="26"/>
    </row>
    <row r="854" customFormat="false" ht="15" hidden="false" customHeight="false" outlineLevel="0" collapsed="false">
      <c r="A854" s="20" t="s">
        <v>463</v>
      </c>
      <c r="B854" s="27" t="s">
        <v>220</v>
      </c>
      <c r="C854" s="27" t="s">
        <v>208</v>
      </c>
      <c r="D854" s="27" t="s">
        <v>209</v>
      </c>
      <c r="E854" s="21" t="str">
        <f aca="false">IF(D854="?OLD","!!!","")</f>
        <v>!!!</v>
      </c>
      <c r="F854" s="22" t="str">
        <f aca="false">IF(OR(E854="",E854="!!!"),"",IF(NOT(ISNA(VLOOKUP(E854,E$1:E853,1,FALSE()))),"OLD",IF(AND(E854&lt;&gt;"",E854&lt;&gt;"!!!"),"NEW","")))</f>
        <v> </v>
      </c>
      <c r="G854" s="23" t="str">
        <f aca="false">IF(OR(E854="",E854="!!!"),"",IF(OR(J854=0,AND(J854=1,K854=1),AND(J854=1,I854="SBJ"),AND(J854=1,I854=0)),"?IN_FOCUS",IF(J854&lt;=2,"?ACTIVATED",IF(J854&lt;&gt;"","?FAMILIAR",IF(F854="NEW",IF(ISNA(VLOOKUP(E854,#REF!,1,FALSE())),"?TYPE_IDENTIFIABLE","?REFERENTIAL"),"_")))))</f>
        <v/>
      </c>
      <c r="H854" s="24" t="str">
        <f aca="false">IF(J854&lt;&gt;1,"",IF(I854="SBJ","CB","?"))</f>
        <v/>
      </c>
      <c r="I854" s="25" t="str">
        <f aca="false">IF(OR(E854="",E854="!!!",F854="NEW"),"",INDEX(B853:B$2,-1+SUMPRODUCT(MAX(ROW(E853:E$2)*(E854=E853:E$2)))))</f>
        <v> </v>
      </c>
      <c r="J854" s="25" t="str">
        <f aca="true">IF(OR(E854="",E854="!!!",F854="NEW"),"",COUNTBLANK(OFFSET(A$1,,,SUMPRODUCT(MAX(ROW(E$2:E854)*(E854=E$2:E854)))))-COUNTBLANK(OFFSET(A$1,,,SUMPRODUCT(MAX(ROW(E$1:E853)*(E2=E$1:E853))))))</f>
        <v/>
      </c>
      <c r="K854" s="25" t="str">
        <f aca="false">IF(OR(E854="",E854="!!!",F854="NEW"),"",INDEX(J$1:J853,SUMPRODUCT(MAX(ROW(E$1:E853)*(E854=E$1:E853)))))</f>
        <v/>
      </c>
      <c r="L854" s="26"/>
    </row>
    <row r="855" customFormat="false" ht="15" hidden="false" customHeight="false" outlineLevel="0" collapsed="false">
      <c r="A855" s="20" t="s">
        <v>218</v>
      </c>
      <c r="E855" s="21" t="str">
        <f aca="false">IF(D855="?OLD","!!!","")</f>
        <v/>
      </c>
      <c r="F855" s="22" t="str">
        <f aca="false">IF(OR(E855="",E855="!!!"),"",IF(NOT(ISNA(VLOOKUP(E855,E$1:E854,1,FALSE()))),"OLD",IF(AND(E855&lt;&gt;"",E855&lt;&gt;"!!!"),"NEW","")))</f>
        <v> </v>
      </c>
      <c r="G855" s="23" t="str">
        <f aca="false">IF(OR(E855="",E855="!!!"),"",IF(OR(J855=0,AND(J855=1,K855=1),AND(J855=1,I855="SBJ"),AND(J855=1,I855=0)),"?IN_FOCUS",IF(J855&lt;=2,"?ACTIVATED",IF(J855&lt;&gt;"","?FAMILIAR",IF(F855="NEW",IF(ISNA(VLOOKUP(E855,#REF!,1,FALSE())),"?TYPE_IDENTIFIABLE","?REFERENTIAL"),"_")))))</f>
        <v/>
      </c>
      <c r="H855" s="24" t="str">
        <f aca="false">IF(J855&lt;&gt;1,"",IF(I855="SBJ","CB","?"))</f>
        <v/>
      </c>
      <c r="I855" s="25" t="str">
        <f aca="false">IF(OR(E855="",E855="!!!",F855="NEW"),"",INDEX(B854:B$2,-1+SUMPRODUCT(MAX(ROW(E854:E$2)*(E855=E854:E$2)))))</f>
        <v> </v>
      </c>
      <c r="J855" s="25" t="str">
        <f aca="true">IF(OR(E855="",E855="!!!",F855="NEW"),"",COUNTBLANK(OFFSET(A$1,,,SUMPRODUCT(MAX(ROW(E$2:E855)*(E855=E$2:E855)))))-COUNTBLANK(OFFSET(A$1,,,SUMPRODUCT(MAX(ROW(E$1:E854)*(E2=E$1:E854))))))</f>
        <v/>
      </c>
      <c r="K855" s="25" t="str">
        <f aca="false">IF(OR(E855="",E855="!!!",F855="NEW"),"",INDEX(J$1:J854,SUMPRODUCT(MAX(ROW(E$1:E854)*(E855=E$1:E854)))))</f>
        <v/>
      </c>
      <c r="L855" s="26"/>
    </row>
    <row r="856" customFormat="false" ht="15" hidden="false" customHeight="false" outlineLevel="0" collapsed="false">
      <c r="A856" s="20" t="s">
        <v>205</v>
      </c>
      <c r="E856" s="21" t="str">
        <f aca="false">IF(D856="?OLD","!!!","")</f>
        <v/>
      </c>
      <c r="F856" s="22" t="str">
        <f aca="false">IF(OR(E856="",E856="!!!"),"",IF(NOT(ISNA(VLOOKUP(E856,E$1:E855,1,FALSE()))),"OLD",IF(AND(E856&lt;&gt;"",E856&lt;&gt;"!!!"),"NEW","")))</f>
        <v> </v>
      </c>
      <c r="G856" s="23" t="str">
        <f aca="false">IF(OR(E856="",E856="!!!"),"",IF(OR(J856=0,AND(J856=1,K856=1),AND(J856=1,I856="SBJ"),AND(J856=1,I856=0)),"?IN_FOCUS",IF(J856&lt;=2,"?ACTIVATED",IF(J856&lt;&gt;"","?FAMILIAR",IF(F856="NEW",IF(ISNA(VLOOKUP(E856,#REF!,1,FALSE())),"?TYPE_IDENTIFIABLE","?REFERENTIAL"),"_")))))</f>
        <v/>
      </c>
      <c r="H856" s="24" t="str">
        <f aca="false">IF(J856&lt;&gt;1,"",IF(I856="SBJ","CB","?"))</f>
        <v/>
      </c>
      <c r="I856" s="25" t="str">
        <f aca="false">IF(OR(E856="",E856="!!!",F856="NEW"),"",INDEX(B855:B$2,-1+SUMPRODUCT(MAX(ROW(E855:E$2)*(E856=E855:E$2)))))</f>
        <v> </v>
      </c>
      <c r="J856" s="25" t="str">
        <f aca="true">IF(OR(E856="",E856="!!!",F856="NEW"),"",COUNTBLANK(OFFSET(A$1,,,SUMPRODUCT(MAX(ROW(E$2:E856)*(E856=E$2:E856)))))-COUNTBLANK(OFFSET(A$1,,,SUMPRODUCT(MAX(ROW(E$1:E855)*(E2=E$1:E855))))))</f>
        <v/>
      </c>
      <c r="K856" s="25" t="str">
        <f aca="false">IF(OR(E856="",E856="!!!",F856="NEW"),"",INDEX(J$1:J855,SUMPRODUCT(MAX(ROW(E$1:E855)*(E856=E$1:E855)))))</f>
        <v/>
      </c>
      <c r="L856" s="26"/>
    </row>
    <row r="857" customFormat="false" ht="15" hidden="false" customHeight="false" outlineLevel="0" collapsed="false">
      <c r="A857" s="20" t="s">
        <v>249</v>
      </c>
      <c r="B857" s="27" t="s">
        <v>248</v>
      </c>
      <c r="C857" s="27" t="s">
        <v>284</v>
      </c>
      <c r="D857" s="27" t="s">
        <v>209</v>
      </c>
      <c r="E857" s="21" t="str">
        <f aca="false">IF(D857="?OLD","!!!","")</f>
        <v>!!!</v>
      </c>
      <c r="F857" s="22" t="str">
        <f aca="false">IF(OR(E857="",E857="!!!"),"",IF(NOT(ISNA(VLOOKUP(E857,E$1:E856,1,FALSE()))),"OLD",IF(AND(E857&lt;&gt;"",E857&lt;&gt;"!!!"),"NEW","")))</f>
        <v> </v>
      </c>
      <c r="G857" s="23" t="str">
        <f aca="false">IF(OR(E857="",E857="!!!"),"",IF(OR(J857=0,AND(J857=1,K857=1),AND(J857=1,I857="SBJ"),AND(J857=1,I857=0)),"?IN_FOCUS",IF(J857&lt;=2,"?ACTIVATED",IF(J857&lt;&gt;"","?FAMILIAR",IF(F857="NEW",IF(ISNA(VLOOKUP(E857,#REF!,1,FALSE())),"?TYPE_IDENTIFIABLE","?REFERENTIAL"),"_")))))</f>
        <v/>
      </c>
      <c r="H857" s="24" t="str">
        <f aca="false">IF(J857&lt;&gt;1,"",IF(I857="SBJ","CB","?"))</f>
        <v/>
      </c>
      <c r="I857" s="25" t="str">
        <f aca="false">IF(OR(E857="",E857="!!!",F857="NEW"),"",INDEX(B856:B$2,-1+SUMPRODUCT(MAX(ROW(E856:E$2)*(E857=E856:E$2)))))</f>
        <v> </v>
      </c>
      <c r="J857" s="25" t="str">
        <f aca="true">IF(OR(E857="",E857="!!!",F857="NEW"),"",COUNTBLANK(OFFSET(A$1,,,SUMPRODUCT(MAX(ROW(E$2:E857)*(E857=E$2:E857)))))-COUNTBLANK(OFFSET(A$1,,,SUMPRODUCT(MAX(ROW(E$1:E856)*(E2=E$1:E856))))))</f>
        <v/>
      </c>
      <c r="K857" s="25" t="str">
        <f aca="false">IF(OR(E857="",E857="!!!",F857="NEW"),"",INDEX(J$1:J856,SUMPRODUCT(MAX(ROW(E$1:E856)*(E857=E$1:E856)))))</f>
        <v/>
      </c>
      <c r="L857" s="26"/>
    </row>
    <row r="858" customFormat="false" ht="15" hidden="false" customHeight="false" outlineLevel="0" collapsed="false">
      <c r="A858" s="20" t="s">
        <v>218</v>
      </c>
      <c r="E858" s="21" t="str">
        <f aca="false">IF(D858="?OLD","!!!","")</f>
        <v/>
      </c>
      <c r="F858" s="22" t="str">
        <f aca="false">IF(OR(E858="",E858="!!!"),"",IF(NOT(ISNA(VLOOKUP(E858,E$1:E857,1,FALSE()))),"OLD",IF(AND(E858&lt;&gt;"",E858&lt;&gt;"!!!"),"NEW","")))</f>
        <v> </v>
      </c>
      <c r="G858" s="23" t="str">
        <f aca="false">IF(OR(E858="",E858="!!!"),"",IF(OR(J858=0,AND(J858=1,K858=1),AND(J858=1,I858="SBJ"),AND(J858=1,I858=0)),"?IN_FOCUS",IF(J858&lt;=2,"?ACTIVATED",IF(J858&lt;&gt;"","?FAMILIAR",IF(F858="NEW",IF(ISNA(VLOOKUP(E858,#REF!,1,FALSE())),"?TYPE_IDENTIFIABLE","?REFERENTIAL"),"_")))))</f>
        <v/>
      </c>
      <c r="H858" s="24" t="str">
        <f aca="false">IF(J858&lt;&gt;1,"",IF(I858="SBJ","CB","?"))</f>
        <v/>
      </c>
      <c r="I858" s="25" t="str">
        <f aca="false">IF(OR(E858="",E858="!!!",F858="NEW"),"",INDEX(B857:B$2,-1+SUMPRODUCT(MAX(ROW(E857:E$2)*(E858=E857:E$2)))))</f>
        <v> </v>
      </c>
      <c r="J858" s="25" t="str">
        <f aca="true">IF(OR(E858="",E858="!!!",F858="NEW"),"",COUNTBLANK(OFFSET(A$1,,,SUMPRODUCT(MAX(ROW(E$2:E858)*(E858=E$2:E858)))))-COUNTBLANK(OFFSET(A$1,,,SUMPRODUCT(MAX(ROW(E$1:E857)*(E2=E$1:E857))))))</f>
        <v/>
      </c>
      <c r="K858" s="25" t="str">
        <f aca="false">IF(OR(E858="",E858="!!!",F858="NEW"),"",INDEX(J$1:J857,SUMPRODUCT(MAX(ROW(E$1:E857)*(E858=E$1:E857)))))</f>
        <v/>
      </c>
      <c r="L858" s="26"/>
    </row>
    <row r="859" customFormat="false" ht="15" hidden="false" customHeight="false" outlineLevel="0" collapsed="false">
      <c r="A859" s="20" t="s">
        <v>455</v>
      </c>
      <c r="B859" s="27" t="s">
        <v>250</v>
      </c>
      <c r="C859" s="27" t="s">
        <v>225</v>
      </c>
      <c r="D859" s="27" t="s">
        <v>209</v>
      </c>
      <c r="E859" s="21" t="str">
        <f aca="false">IF(D859="?OLD","!!!","")</f>
        <v>!!!</v>
      </c>
      <c r="F859" s="22" t="str">
        <f aca="false">IF(OR(E859="",E859="!!!"),"",IF(NOT(ISNA(VLOOKUP(E859,E$1:E858,1,FALSE()))),"OLD",IF(AND(E859&lt;&gt;"",E859&lt;&gt;"!!!"),"NEW","")))</f>
        <v> </v>
      </c>
      <c r="G859" s="23" t="str">
        <f aca="false">IF(OR(E859="",E859="!!!"),"",IF(OR(J859=0,AND(J859=1,K859=1),AND(J859=1,I859="SBJ"),AND(J859=1,I859=0)),"?IN_FOCUS",IF(J859&lt;=2,"?ACTIVATED",IF(J859&lt;&gt;"","?FAMILIAR",IF(F859="NEW",IF(ISNA(VLOOKUP(E859,#REF!,1,FALSE())),"?TYPE_IDENTIFIABLE","?REFERENTIAL"),"_")))))</f>
        <v/>
      </c>
      <c r="H859" s="24" t="str">
        <f aca="false">IF(J859&lt;&gt;1,"",IF(I859="SBJ","CB","?"))</f>
        <v/>
      </c>
      <c r="I859" s="25" t="str">
        <f aca="false">IF(OR(E859="",E859="!!!",F859="NEW"),"",INDEX(B858:B$2,-1+SUMPRODUCT(MAX(ROW(E858:E$2)*(E859=E858:E$2)))))</f>
        <v> </v>
      </c>
      <c r="J859" s="25" t="str">
        <f aca="true">IF(OR(E859="",E859="!!!",F859="NEW"),"",COUNTBLANK(OFFSET(A$1,,,SUMPRODUCT(MAX(ROW(E$2:E859)*(E859=E$2:E859)))))-COUNTBLANK(OFFSET(A$1,,,SUMPRODUCT(MAX(ROW(E$1:E858)*(E2=E$1:E858))))))</f>
        <v/>
      </c>
      <c r="K859" s="25" t="str">
        <f aca="false">IF(OR(E859="",E859="!!!",F859="NEW"),"",INDEX(J$1:J858,SUMPRODUCT(MAX(ROW(E$1:E858)*(E859=E$1:E858)))))</f>
        <v/>
      </c>
      <c r="L859" s="26"/>
    </row>
    <row r="860" customFormat="false" ht="15" hidden="false" customHeight="false" outlineLevel="0" collapsed="false">
      <c r="A860" s="20" t="s">
        <v>237</v>
      </c>
      <c r="E860" s="21" t="str">
        <f aca="false">IF(D860="?OLD","!!!","")</f>
        <v/>
      </c>
      <c r="F860" s="22" t="str">
        <f aca="false">IF(OR(E860="",E860="!!!"),"",IF(NOT(ISNA(VLOOKUP(E860,E$1:E859,1,FALSE()))),"OLD",IF(AND(E860&lt;&gt;"",E860&lt;&gt;"!!!"),"NEW","")))</f>
        <v> </v>
      </c>
      <c r="G860" s="23" t="str">
        <f aca="false">IF(OR(E860="",E860="!!!"),"",IF(OR(J860=0,AND(J860=1,K860=1),AND(J860=1,I860="SBJ"),AND(J860=1,I860=0)),"?IN_FOCUS",IF(J860&lt;=2,"?ACTIVATED",IF(J860&lt;&gt;"","?FAMILIAR",IF(F860="NEW",IF(ISNA(VLOOKUP(E860,#REF!,1,FALSE())),"?TYPE_IDENTIFIABLE","?REFERENTIAL"),"_")))))</f>
        <v/>
      </c>
      <c r="H860" s="24" t="str">
        <f aca="false">IF(J860&lt;&gt;1,"",IF(I860="SBJ","CB","?"))</f>
        <v/>
      </c>
      <c r="I860" s="25" t="str">
        <f aca="false">IF(OR(E860="",E860="!!!",F860="NEW"),"",INDEX(B859:B$2,-1+SUMPRODUCT(MAX(ROW(E859:E$2)*(E860=E859:E$2)))))</f>
        <v> </v>
      </c>
      <c r="J860" s="25" t="str">
        <f aca="true">IF(OR(E860="",E860="!!!",F860="NEW"),"",COUNTBLANK(OFFSET(A$1,,,SUMPRODUCT(MAX(ROW(E$2:E860)*(E860=E$2:E860)))))-COUNTBLANK(OFFSET(A$1,,,SUMPRODUCT(MAX(ROW(E$1:E859)*(E2=E$1:E859))))))</f>
        <v/>
      </c>
      <c r="K860" s="25" t="str">
        <f aca="false">IF(OR(E860="",E860="!!!",F860="NEW"),"",INDEX(J$1:J859,SUMPRODUCT(MAX(ROW(E$1:E859)*(E860=E$1:E859)))))</f>
        <v/>
      </c>
      <c r="L860" s="26"/>
    </row>
    <row r="861" customFormat="false" ht="15" hidden="false" customHeight="false" outlineLevel="0" collapsed="false">
      <c r="A861" s="20" t="s">
        <v>288</v>
      </c>
      <c r="E861" s="21" t="str">
        <f aca="false">IF(D861="?OLD","!!!","")</f>
        <v/>
      </c>
      <c r="F861" s="22" t="str">
        <f aca="false">IF(OR(E861="",E861="!!!"),"",IF(NOT(ISNA(VLOOKUP(E861,E$1:E860,1,FALSE()))),"OLD",IF(AND(E861&lt;&gt;"",E861&lt;&gt;"!!!"),"NEW","")))</f>
        <v> </v>
      </c>
      <c r="G861" s="23" t="str">
        <f aca="false">IF(OR(E861="",E861="!!!"),"",IF(OR(J861=0,AND(J861=1,K861=1),AND(J861=1,I861="SBJ"),AND(J861=1,I861=0)),"?IN_FOCUS",IF(J861&lt;=2,"?ACTIVATED",IF(J861&lt;&gt;"","?FAMILIAR",IF(F861="NEW",IF(ISNA(VLOOKUP(E861,#REF!,1,FALSE())),"?TYPE_IDENTIFIABLE","?REFERENTIAL"),"_")))))</f>
        <v/>
      </c>
      <c r="H861" s="24" t="str">
        <f aca="false">IF(J861&lt;&gt;1,"",IF(I861="SBJ","CB","?"))</f>
        <v/>
      </c>
      <c r="I861" s="25" t="str">
        <f aca="false">IF(OR(E861="",E861="!!!",F861="NEW"),"",INDEX(B860:B$2,-1+SUMPRODUCT(MAX(ROW(E860:E$2)*(E861=E860:E$2)))))</f>
        <v> </v>
      </c>
      <c r="J861" s="25" t="str">
        <f aca="true">IF(OR(E861="",E861="!!!",F861="NEW"),"",COUNTBLANK(OFFSET(A$1,,,SUMPRODUCT(MAX(ROW(E$2:E861)*(E861=E$2:E861)))))-COUNTBLANK(OFFSET(A$1,,,SUMPRODUCT(MAX(ROW(E$1:E860)*(E2=E$1:E860))))))</f>
        <v/>
      </c>
      <c r="K861" s="25" t="str">
        <f aca="false">IF(OR(E861="",E861="!!!",F861="NEW"),"",INDEX(J$1:J860,SUMPRODUCT(MAX(ROW(E$1:E860)*(E861=E$1:E860)))))</f>
        <v/>
      </c>
      <c r="L861" s="26"/>
    </row>
    <row r="862" customFormat="false" ht="15" hidden="false" customHeight="false" outlineLevel="0" collapsed="false">
      <c r="A862" s="20" t="s">
        <v>205</v>
      </c>
      <c r="E862" s="21" t="str">
        <f aca="false">IF(D862="?OLD","!!!","")</f>
        <v/>
      </c>
      <c r="F862" s="22" t="str">
        <f aca="false">IF(OR(E862="",E862="!!!"),"",IF(NOT(ISNA(VLOOKUP(E862,E$1:E861,1,FALSE()))),"OLD",IF(AND(E862&lt;&gt;"",E862&lt;&gt;"!!!"),"NEW","")))</f>
        <v> </v>
      </c>
      <c r="G862" s="23" t="str">
        <f aca="false">IF(OR(E862="",E862="!!!"),"",IF(OR(J862=0,AND(J862=1,K862=1),AND(J862=1,I862="SBJ"),AND(J862=1,I862=0)),"?IN_FOCUS",IF(J862&lt;=2,"?ACTIVATED",IF(J862&lt;&gt;"","?FAMILIAR",IF(F862="NEW",IF(ISNA(VLOOKUP(E862,#REF!,1,FALSE())),"?TYPE_IDENTIFIABLE","?REFERENTIAL"),"_")))))</f>
        <v/>
      </c>
      <c r="H862" s="24" t="str">
        <f aca="false">IF(J862&lt;&gt;1,"",IF(I862="SBJ","CB","?"))</f>
        <v/>
      </c>
      <c r="I862" s="25" t="str">
        <f aca="false">IF(OR(E862="",E862="!!!",F862="NEW"),"",INDEX(B861:B$2,-1+SUMPRODUCT(MAX(ROW(E861:E$2)*(E862=E861:E$2)))))</f>
        <v> </v>
      </c>
      <c r="J862" s="25" t="str">
        <f aca="true">IF(OR(E862="",E862="!!!",F862="NEW"),"",COUNTBLANK(OFFSET(A$1,,,SUMPRODUCT(MAX(ROW(E$2:E862)*(E862=E$2:E862)))))-COUNTBLANK(OFFSET(A$1,,,SUMPRODUCT(MAX(ROW(E$1:E861)*(E2=E$1:E861))))))</f>
        <v/>
      </c>
      <c r="K862" s="25" t="str">
        <f aca="false">IF(OR(E862="",E862="!!!",F862="NEW"),"",INDEX(J$1:J861,SUMPRODUCT(MAX(ROW(E$1:E861)*(E862=E$1:E861)))))</f>
        <v/>
      </c>
      <c r="L862" s="26"/>
    </row>
    <row r="863" customFormat="false" ht="15" hidden="false" customHeight="false" outlineLevel="0" collapsed="false">
      <c r="A863" s="20" t="s">
        <v>464</v>
      </c>
      <c r="B863" s="27" t="s">
        <v>216</v>
      </c>
      <c r="C863" s="27" t="s">
        <v>208</v>
      </c>
      <c r="D863" s="27" t="s">
        <v>209</v>
      </c>
      <c r="E863" s="21" t="str">
        <f aca="false">IF(D863="?OLD","!!!","")</f>
        <v>!!!</v>
      </c>
      <c r="F863" s="22" t="str">
        <f aca="false">IF(OR(E863="",E863="!!!"),"",IF(NOT(ISNA(VLOOKUP(E863,E$1:E862,1,FALSE()))),"OLD",IF(AND(E863&lt;&gt;"",E863&lt;&gt;"!!!"),"NEW","")))</f>
        <v> </v>
      </c>
      <c r="G863" s="23" t="str">
        <f aca="false">IF(OR(E863="",E863="!!!"),"",IF(OR(J863=0,AND(J863=1,K863=1),AND(J863=1,I863="SBJ"),AND(J863=1,I863=0)),"?IN_FOCUS",IF(J863&lt;=2,"?ACTIVATED",IF(J863&lt;&gt;"","?FAMILIAR",IF(F863="NEW",IF(ISNA(VLOOKUP(E863,#REF!,1,FALSE())),"?TYPE_IDENTIFIABLE","?REFERENTIAL"),"_")))))</f>
        <v/>
      </c>
      <c r="H863" s="24" t="str">
        <f aca="false">IF(J863&lt;&gt;1,"",IF(I863="SBJ","CB","?"))</f>
        <v/>
      </c>
      <c r="I863" s="25" t="str">
        <f aca="false">IF(OR(E863="",E863="!!!",F863="NEW"),"",INDEX(B862:B$2,-1+SUMPRODUCT(MAX(ROW(E862:E$2)*(E863=E862:E$2)))))</f>
        <v> </v>
      </c>
      <c r="J863" s="25" t="str">
        <f aca="true">IF(OR(E863="",E863="!!!",F863="NEW"),"",COUNTBLANK(OFFSET(A$1,,,SUMPRODUCT(MAX(ROW(E$2:E863)*(E863=E$2:E863)))))-COUNTBLANK(OFFSET(A$1,,,SUMPRODUCT(MAX(ROW(E$1:E862)*(E2=E$1:E862))))))</f>
        <v/>
      </c>
      <c r="K863" s="25" t="str">
        <f aca="false">IF(OR(E863="",E863="!!!",F863="NEW"),"",INDEX(J$1:J862,SUMPRODUCT(MAX(ROW(E$1:E862)*(E863=E$1:E862)))))</f>
        <v/>
      </c>
      <c r="L863" s="26"/>
    </row>
    <row r="864" customFormat="false" ht="15" hidden="false" customHeight="false" outlineLevel="0" collapsed="false">
      <c r="A864" s="20" t="s">
        <v>218</v>
      </c>
      <c r="E864" s="21" t="str">
        <f aca="false">IF(D864="?OLD","!!!","")</f>
        <v/>
      </c>
      <c r="F864" s="22" t="str">
        <f aca="false">IF(OR(E864="",E864="!!!"),"",IF(NOT(ISNA(VLOOKUP(E864,E$1:E863,1,FALSE()))),"OLD",IF(AND(E864&lt;&gt;"",E864&lt;&gt;"!!!"),"NEW","")))</f>
        <v> </v>
      </c>
      <c r="G864" s="23" t="str">
        <f aca="false">IF(OR(E864="",E864="!!!"),"",IF(OR(J864=0,AND(J864=1,K864=1),AND(J864=1,I864="SBJ"),AND(J864=1,I864=0)),"?IN_FOCUS",IF(J864&lt;=2,"?ACTIVATED",IF(J864&lt;&gt;"","?FAMILIAR",IF(F864="NEW",IF(ISNA(VLOOKUP(E864,#REF!,1,FALSE())),"?TYPE_IDENTIFIABLE","?REFERENTIAL"),"_")))))</f>
        <v/>
      </c>
      <c r="H864" s="24" t="str">
        <f aca="false">IF(J864&lt;&gt;1,"",IF(I864="SBJ","CB","?"))</f>
        <v/>
      </c>
      <c r="I864" s="25" t="str">
        <f aca="false">IF(OR(E864="",E864="!!!",F864="NEW"),"",INDEX(B863:B$2,-1+SUMPRODUCT(MAX(ROW(E863:E$2)*(E864=E863:E$2)))))</f>
        <v> </v>
      </c>
      <c r="J864" s="25" t="str">
        <f aca="true">IF(OR(E864="",E864="!!!",F864="NEW"),"",COUNTBLANK(OFFSET(A$1,,,SUMPRODUCT(MAX(ROW(E$2:E864)*(E864=E$2:E864)))))-COUNTBLANK(OFFSET(A$1,,,SUMPRODUCT(MAX(ROW(E$1:E863)*(E2=E$1:E863))))))</f>
        <v/>
      </c>
      <c r="K864" s="25" t="str">
        <f aca="false">IF(OR(E864="",E864="!!!",F864="NEW"),"",INDEX(J$1:J863,SUMPRODUCT(MAX(ROW(E$1:E863)*(E864=E$1:E863)))))</f>
        <v/>
      </c>
      <c r="L864" s="26"/>
    </row>
    <row r="865" customFormat="false" ht="15" hidden="false" customHeight="false" outlineLevel="0" collapsed="false">
      <c r="A865" s="20" t="s">
        <v>298</v>
      </c>
      <c r="E865" s="21" t="str">
        <f aca="false">IF(D865="?OLD","!!!","")</f>
        <v/>
      </c>
      <c r="F865" s="22" t="str">
        <f aca="false">IF(OR(E865="",E865="!!!"),"",IF(NOT(ISNA(VLOOKUP(E865,E$1:E864,1,FALSE()))),"OLD",IF(AND(E865&lt;&gt;"",E865&lt;&gt;"!!!"),"NEW","")))</f>
        <v> </v>
      </c>
      <c r="G865" s="23" t="str">
        <f aca="false">IF(OR(E865="",E865="!!!"),"",IF(OR(J865=0,AND(J865=1,K865=1),AND(J865=1,I865="SBJ"),AND(J865=1,I865=0)),"?IN_FOCUS",IF(J865&lt;=2,"?ACTIVATED",IF(J865&lt;&gt;"","?FAMILIAR",IF(F865="NEW",IF(ISNA(VLOOKUP(E865,#REF!,1,FALSE())),"?TYPE_IDENTIFIABLE","?REFERENTIAL"),"_")))))</f>
        <v/>
      </c>
      <c r="H865" s="24" t="str">
        <f aca="false">IF(J865&lt;&gt;1,"",IF(I865="SBJ","CB","?"))</f>
        <v/>
      </c>
      <c r="I865" s="25" t="str">
        <f aca="false">IF(OR(E865="",E865="!!!",F865="NEW"),"",INDEX(B864:B$2,-1+SUMPRODUCT(MAX(ROW(E864:E$2)*(E865=E864:E$2)))))</f>
        <v> </v>
      </c>
      <c r="J865" s="25" t="str">
        <f aca="true">IF(OR(E865="",E865="!!!",F865="NEW"),"",COUNTBLANK(OFFSET(A$1,,,SUMPRODUCT(MAX(ROW(E$2:E865)*(E865=E$2:E865)))))-COUNTBLANK(OFFSET(A$1,,,SUMPRODUCT(MAX(ROW(E$1:E864)*(E2=E$1:E864))))))</f>
        <v/>
      </c>
      <c r="K865" s="25" t="str">
        <f aca="false">IF(OR(E865="",E865="!!!",F865="NEW"),"",INDEX(J$1:J864,SUMPRODUCT(MAX(ROW(E$1:E864)*(E865=E$1:E864)))))</f>
        <v/>
      </c>
      <c r="L865" s="26"/>
    </row>
    <row r="866" customFormat="false" ht="15" hidden="false" customHeight="false" outlineLevel="0" collapsed="false">
      <c r="A866" s="20" t="s">
        <v>465</v>
      </c>
      <c r="B866" s="27" t="s">
        <v>220</v>
      </c>
      <c r="C866" s="27" t="s">
        <v>217</v>
      </c>
      <c r="E866" s="21" t="str">
        <f aca="false">IF(D866="?OLD","!!!","")</f>
        <v/>
      </c>
      <c r="F866" s="22" t="str">
        <f aca="false">IF(OR(E866="",E866="!!!"),"",IF(NOT(ISNA(VLOOKUP(E866,E$1:E865,1,FALSE()))),"OLD",IF(AND(E866&lt;&gt;"",E866&lt;&gt;"!!!"),"NEW","")))</f>
        <v> </v>
      </c>
      <c r="G866" s="23" t="str">
        <f aca="false">IF(OR(E866="",E866="!!!"),"",IF(OR(J866=0,AND(J866=1,K866=1),AND(J866=1,I866="SBJ"),AND(J866=1,I866=0)),"?IN_FOCUS",IF(J866&lt;=2,"?ACTIVATED",IF(J866&lt;&gt;"","?FAMILIAR",IF(F866="NEW",IF(ISNA(VLOOKUP(E866,#REF!,1,FALSE())),"?TYPE_IDENTIFIABLE","?REFERENTIAL"),"_")))))</f>
        <v/>
      </c>
      <c r="H866" s="24" t="str">
        <f aca="false">IF(J866&lt;&gt;1,"",IF(I866="SBJ","CB","?"))</f>
        <v/>
      </c>
      <c r="I866" s="25" t="str">
        <f aca="false">IF(OR(E866="",E866="!!!",F866="NEW"),"",INDEX(B865:B$2,-1+SUMPRODUCT(MAX(ROW(E865:E$2)*(E866=E865:E$2)))))</f>
        <v> </v>
      </c>
      <c r="J866" s="25" t="str">
        <f aca="true">IF(OR(E866="",E866="!!!",F866="NEW"),"",COUNTBLANK(OFFSET(A$1,,,SUMPRODUCT(MAX(ROW(E$2:E866)*(E866=E$2:E866)))))-COUNTBLANK(OFFSET(A$1,,,SUMPRODUCT(MAX(ROW(E$1:E865)*(E2=E$1:E865))))))</f>
        <v/>
      </c>
      <c r="K866" s="25" t="str">
        <f aca="false">IF(OR(E866="",E866="!!!",F866="NEW"),"",INDEX(J$1:J865,SUMPRODUCT(MAX(ROW(E$1:E865)*(E866=E$1:E865)))))</f>
        <v/>
      </c>
      <c r="L866" s="26"/>
    </row>
    <row r="867" customFormat="false" ht="15" hidden="false" customHeight="false" outlineLevel="0" collapsed="false">
      <c r="A867" s="20" t="s">
        <v>221</v>
      </c>
      <c r="B867" s="27" t="s">
        <v>224</v>
      </c>
      <c r="E867" s="21" t="str">
        <f aca="false">IF(D867="?OLD","!!!","")</f>
        <v/>
      </c>
      <c r="F867" s="22" t="str">
        <f aca="false">IF(OR(E867="",E867="!!!"),"",IF(NOT(ISNA(VLOOKUP(E867,E$1:E866,1,FALSE()))),"OLD",IF(AND(E867&lt;&gt;"",E867&lt;&gt;"!!!"),"NEW","")))</f>
        <v> </v>
      </c>
      <c r="G867" s="23" t="str">
        <f aca="false">IF(OR(E867="",E867="!!!"),"",IF(OR(J867=0,AND(J867=1,K867=1),AND(J867=1,I867="SBJ"),AND(J867=1,I867=0)),"?IN_FOCUS",IF(J867&lt;=2,"?ACTIVATED",IF(J867&lt;&gt;"","?FAMILIAR",IF(F867="NEW",IF(ISNA(VLOOKUP(E867,#REF!,1,FALSE())),"?TYPE_IDENTIFIABLE","?REFERENTIAL"),"_")))))</f>
        <v/>
      </c>
      <c r="H867" s="24" t="str">
        <f aca="false">IF(J867&lt;&gt;1,"",IF(I867="SBJ","CB","?"))</f>
        <v/>
      </c>
      <c r="I867" s="25" t="str">
        <f aca="false">IF(OR(E867="",E867="!!!",F867="NEW"),"",INDEX(B866:B$2,-1+SUMPRODUCT(MAX(ROW(E866:E$2)*(E867=E866:E$2)))))</f>
        <v> </v>
      </c>
      <c r="J867" s="25" t="str">
        <f aca="true">IF(OR(E867="",E867="!!!",F867="NEW"),"",COUNTBLANK(OFFSET(A$1,,,SUMPRODUCT(MAX(ROW(E$2:E867)*(E867=E$2:E867)))))-COUNTBLANK(OFFSET(A$1,,,SUMPRODUCT(MAX(ROW(E$1:E866)*(E2=E$1:E866))))))</f>
        <v/>
      </c>
      <c r="K867" s="25" t="str">
        <f aca="false">IF(OR(E867="",E867="!!!",F867="NEW"),"",INDEX(J$1:J866,SUMPRODUCT(MAX(ROW(E$1:E866)*(E867=E$1:E866)))))</f>
        <v/>
      </c>
      <c r="L867" s="26"/>
    </row>
    <row r="868" customFormat="false" ht="15" hidden="false" customHeight="false" outlineLevel="0" collapsed="false">
      <c r="A868" s="20" t="s">
        <v>466</v>
      </c>
      <c r="E868" s="21" t="str">
        <f aca="false">IF(D868="?OLD","!!!","")</f>
        <v/>
      </c>
      <c r="F868" s="22" t="str">
        <f aca="false">IF(OR(E868="",E868="!!!"),"",IF(NOT(ISNA(VLOOKUP(E868,E$1:E867,1,FALSE()))),"OLD",IF(AND(E868&lt;&gt;"",E868&lt;&gt;"!!!"),"NEW","")))</f>
        <v> </v>
      </c>
      <c r="G868" s="23" t="str">
        <f aca="false">IF(OR(E868="",E868="!!!"),"",IF(OR(J868=0,AND(J868=1,K868=1),AND(J868=1,I868="SBJ"),AND(J868=1,I868=0)),"?IN_FOCUS",IF(J868&lt;=2,"?ACTIVATED",IF(J868&lt;&gt;"","?FAMILIAR",IF(F868="NEW",IF(ISNA(VLOOKUP(E868,#REF!,1,FALSE())),"?TYPE_IDENTIFIABLE","?REFERENTIAL"),"_")))))</f>
        <v/>
      </c>
      <c r="H868" s="24" t="str">
        <f aca="false">IF(J868&lt;&gt;1,"",IF(I868="SBJ","CB","?"))</f>
        <v/>
      </c>
      <c r="I868" s="25" t="str">
        <f aca="false">IF(OR(E868="",E868="!!!",F868="NEW"),"",INDEX(B867:B$2,-1+SUMPRODUCT(MAX(ROW(E867:E$2)*(E868=E867:E$2)))))</f>
        <v> </v>
      </c>
      <c r="J868" s="25" t="str">
        <f aca="true">IF(OR(E868="",E868="!!!",F868="NEW"),"",COUNTBLANK(OFFSET(A$1,,,SUMPRODUCT(MAX(ROW(E$2:E868)*(E868=E$2:E868)))))-COUNTBLANK(OFFSET(A$1,,,SUMPRODUCT(MAX(ROW(E$1:E867)*(E2=E$1:E867))))))</f>
        <v/>
      </c>
      <c r="K868" s="25" t="str">
        <f aca="false">IF(OR(E868="",E868="!!!",F868="NEW"),"",INDEX(J$1:J867,SUMPRODUCT(MAX(ROW(E$1:E867)*(E868=E$1:E867)))))</f>
        <v/>
      </c>
      <c r="L868" s="26"/>
    </row>
    <row r="869" customFormat="false" ht="15" hidden="false" customHeight="false" outlineLevel="0" collapsed="false">
      <c r="A869" s="20" t="s">
        <v>378</v>
      </c>
      <c r="E869" s="21" t="str">
        <f aca="false">IF(D869="?OLD","!!!","")</f>
        <v/>
      </c>
      <c r="F869" s="22" t="str">
        <f aca="false">IF(OR(E869="",E869="!!!"),"",IF(NOT(ISNA(VLOOKUP(E869,E$1:E868,1,FALSE()))),"OLD",IF(AND(E869&lt;&gt;"",E869&lt;&gt;"!!!"),"NEW","")))</f>
        <v> </v>
      </c>
      <c r="G869" s="23" t="str">
        <f aca="false">IF(OR(E869="",E869="!!!"),"",IF(OR(J869=0,AND(J869=1,K869=1),AND(J869=1,I869="SBJ"),AND(J869=1,I869=0)),"?IN_FOCUS",IF(J869&lt;=2,"?ACTIVATED",IF(J869&lt;&gt;"","?FAMILIAR",IF(F869="NEW",IF(ISNA(VLOOKUP(E869,#REF!,1,FALSE())),"?TYPE_IDENTIFIABLE","?REFERENTIAL"),"_")))))</f>
        <v/>
      </c>
      <c r="H869" s="24" t="str">
        <f aca="false">IF(J869&lt;&gt;1,"",IF(I869="SBJ","CB","?"))</f>
        <v/>
      </c>
      <c r="I869" s="25" t="str">
        <f aca="false">IF(OR(E869="",E869="!!!",F869="NEW"),"",INDEX(B868:B$2,-1+SUMPRODUCT(MAX(ROW(E868:E$2)*(E869=E868:E$2)))))</f>
        <v> </v>
      </c>
      <c r="J869" s="25" t="str">
        <f aca="true">IF(OR(E869="",E869="!!!",F869="NEW"),"",COUNTBLANK(OFFSET(A$1,,,SUMPRODUCT(MAX(ROW(E$2:E869)*(E869=E$2:E869)))))-COUNTBLANK(OFFSET(A$1,,,SUMPRODUCT(MAX(ROW(E$1:E868)*(E2=E$1:E868))))))</f>
        <v/>
      </c>
      <c r="K869" s="25" t="str">
        <f aca="false">IF(OR(E869="",E869="!!!",F869="NEW"),"",INDEX(J$1:J868,SUMPRODUCT(MAX(ROW(E$1:E868)*(E869=E$1:E868)))))</f>
        <v/>
      </c>
      <c r="L869" s="26"/>
    </row>
    <row r="870" customFormat="false" ht="15" hidden="false" customHeight="false" outlineLevel="0" collapsed="false">
      <c r="A870" s="20" t="s">
        <v>467</v>
      </c>
      <c r="B870" s="27" t="s">
        <v>222</v>
      </c>
      <c r="C870" s="27" t="s">
        <v>379</v>
      </c>
      <c r="E870" s="21" t="str">
        <f aca="false">IF(D870="?OLD","!!!","")</f>
        <v/>
      </c>
      <c r="F870" s="22" t="str">
        <f aca="false">IF(OR(E870="",E870="!!!"),"",IF(NOT(ISNA(VLOOKUP(E870,E$1:E869,1,FALSE()))),"OLD",IF(AND(E870&lt;&gt;"",E870&lt;&gt;"!!!"),"NEW","")))</f>
        <v> </v>
      </c>
      <c r="G870" s="23" t="str">
        <f aca="false">IF(OR(E870="",E870="!!!"),"",IF(OR(J870=0,AND(J870=1,K870=1),AND(J870=1,I870="SBJ"),AND(J870=1,I870=0)),"?IN_FOCUS",IF(J870&lt;=2,"?ACTIVATED",IF(J870&lt;&gt;"","?FAMILIAR",IF(F870="NEW",IF(ISNA(VLOOKUP(E870,#REF!,1,FALSE())),"?TYPE_IDENTIFIABLE","?REFERENTIAL"),"_")))))</f>
        <v/>
      </c>
      <c r="H870" s="24" t="str">
        <f aca="false">IF(J870&lt;&gt;1,"",IF(I870="SBJ","CB","?"))</f>
        <v/>
      </c>
      <c r="I870" s="25" t="str">
        <f aca="false">IF(OR(E870="",E870="!!!",F870="NEW"),"",INDEX(B869:B$2,-1+SUMPRODUCT(MAX(ROW(E869:E$2)*(E870=E869:E$2)))))</f>
        <v> </v>
      </c>
      <c r="J870" s="25" t="str">
        <f aca="true">IF(OR(E870="",E870="!!!",F870="NEW"),"",COUNTBLANK(OFFSET(A$1,,,SUMPRODUCT(MAX(ROW(E$2:E870)*(E870=E$2:E870)))))-COUNTBLANK(OFFSET(A$1,,,SUMPRODUCT(MAX(ROW(E$1:E869)*(E2=E$1:E869))))))</f>
        <v/>
      </c>
      <c r="K870" s="25" t="str">
        <f aca="false">IF(OR(E870="",E870="!!!",F870="NEW"),"",INDEX(J$1:J869,SUMPRODUCT(MAX(ROW(E$1:E869)*(E870=E$1:E869)))))</f>
        <v/>
      </c>
      <c r="L870" s="26"/>
    </row>
    <row r="871" customFormat="false" ht="15" hidden="false" customHeight="false" outlineLevel="0" collapsed="false">
      <c r="A871" s="20" t="s">
        <v>237</v>
      </c>
      <c r="E871" s="21" t="str">
        <f aca="false">IF(D871="?OLD","!!!","")</f>
        <v/>
      </c>
      <c r="F871" s="22" t="str">
        <f aca="false">IF(OR(E871="",E871="!!!"),"",IF(NOT(ISNA(VLOOKUP(E871,E$1:E870,1,FALSE()))),"OLD",IF(AND(E871&lt;&gt;"",E871&lt;&gt;"!!!"),"NEW","")))</f>
        <v> </v>
      </c>
      <c r="G871" s="23" t="str">
        <f aca="false">IF(OR(E871="",E871="!!!"),"",IF(OR(J871=0,AND(J871=1,K871=1),AND(J871=1,I871="SBJ"),AND(J871=1,I871=0)),"?IN_FOCUS",IF(J871&lt;=2,"?ACTIVATED",IF(J871&lt;&gt;"","?FAMILIAR",IF(F871="NEW",IF(ISNA(VLOOKUP(E871,#REF!,1,FALSE())),"?TYPE_IDENTIFIABLE","?REFERENTIAL"),"_")))))</f>
        <v/>
      </c>
      <c r="H871" s="24" t="str">
        <f aca="false">IF(J871&lt;&gt;1,"",IF(I871="SBJ","CB","?"))</f>
        <v/>
      </c>
      <c r="I871" s="25" t="str">
        <f aca="false">IF(OR(E871="",E871="!!!",F871="NEW"),"",INDEX(B870:B$2,-1+SUMPRODUCT(MAX(ROW(E870:E$2)*(E871=E870:E$2)))))</f>
        <v> </v>
      </c>
      <c r="J871" s="25" t="str">
        <f aca="true">IF(OR(E871="",E871="!!!",F871="NEW"),"",COUNTBLANK(OFFSET(A$1,,,SUMPRODUCT(MAX(ROW(E$2:E871)*(E871=E$2:E871)))))-COUNTBLANK(OFFSET(A$1,,,SUMPRODUCT(MAX(ROW(E$1:E870)*(E2=E$1:E870))))))</f>
        <v/>
      </c>
      <c r="K871" s="25" t="str">
        <f aca="false">IF(OR(E871="",E871="!!!",F871="NEW"),"",INDEX(J$1:J870,SUMPRODUCT(MAX(ROW(E$1:E870)*(E871=E$1:E870)))))</f>
        <v/>
      </c>
      <c r="L871" s="26"/>
    </row>
    <row r="872" customFormat="false" ht="15" hidden="false" customHeight="false" outlineLevel="0" collapsed="false">
      <c r="A872" s="20" t="s">
        <v>235</v>
      </c>
      <c r="E872" s="21" t="str">
        <f aca="false">IF(D872="?OLD","!!!","")</f>
        <v/>
      </c>
      <c r="F872" s="22" t="str">
        <f aca="false">IF(OR(E872="",E872="!!!"),"",IF(NOT(ISNA(VLOOKUP(E872,E$1:E871,1,FALSE()))),"OLD",IF(AND(E872&lt;&gt;"",E872&lt;&gt;"!!!"),"NEW","")))</f>
        <v> </v>
      </c>
      <c r="G872" s="23" t="str">
        <f aca="false">IF(OR(E872="",E872="!!!"),"",IF(OR(J872=0,AND(J872=1,K872=1),AND(J872=1,I872="SBJ"),AND(J872=1,I872=0)),"?IN_FOCUS",IF(J872&lt;=2,"?ACTIVATED",IF(J872&lt;&gt;"","?FAMILIAR",IF(F872="NEW",IF(ISNA(VLOOKUP(E872,#REF!,1,FALSE())),"?TYPE_IDENTIFIABLE","?REFERENTIAL"),"_")))))</f>
        <v/>
      </c>
      <c r="H872" s="24" t="str">
        <f aca="false">IF(J872&lt;&gt;1,"",IF(I872="SBJ","CB","?"))</f>
        <v/>
      </c>
      <c r="I872" s="25" t="str">
        <f aca="false">IF(OR(E872="",E872="!!!",F872="NEW"),"",INDEX(B871:B$2,-1+SUMPRODUCT(MAX(ROW(E871:E$2)*(E872=E871:E$2)))))</f>
        <v> </v>
      </c>
      <c r="J872" s="25" t="str">
        <f aca="true">IF(OR(E872="",E872="!!!",F872="NEW"),"",COUNTBLANK(OFFSET(A$1,,,SUMPRODUCT(MAX(ROW(E$2:E872)*(E872=E$2:E872)))))-COUNTBLANK(OFFSET(A$1,,,SUMPRODUCT(MAX(ROW(E$1:E871)*(E2=E$1:E871))))))</f>
        <v/>
      </c>
      <c r="K872" s="25" t="str">
        <f aca="false">IF(OR(E872="",E872="!!!",F872="NEW"),"",INDEX(J$1:J871,SUMPRODUCT(MAX(ROW(E$1:E871)*(E872=E$1:E871)))))</f>
        <v/>
      </c>
      <c r="L872" s="26"/>
    </row>
    <row r="873" customFormat="false" ht="15" hidden="false" customHeight="false" outlineLevel="0" collapsed="false">
      <c r="A873" s="20" t="s">
        <v>468</v>
      </c>
      <c r="E873" s="21" t="str">
        <f aca="false">IF(D873="?OLD","!!!","")</f>
        <v/>
      </c>
      <c r="F873" s="22" t="str">
        <f aca="false">IF(OR(E873="",E873="!!!"),"",IF(NOT(ISNA(VLOOKUP(E873,E$1:E872,1,FALSE()))),"OLD",IF(AND(E873&lt;&gt;"",E873&lt;&gt;"!!!"),"NEW","")))</f>
        <v> </v>
      </c>
      <c r="G873" s="23" t="str">
        <f aca="false">IF(OR(E873="",E873="!!!"),"",IF(OR(J873=0,AND(J873=1,K873=1),AND(J873=1,I873="SBJ"),AND(J873=1,I873=0)),"?IN_FOCUS",IF(J873&lt;=2,"?ACTIVATED",IF(J873&lt;&gt;"","?FAMILIAR",IF(F873="NEW",IF(ISNA(VLOOKUP(E873,#REF!,1,FALSE())),"?TYPE_IDENTIFIABLE","?REFERENTIAL"),"_")))))</f>
        <v/>
      </c>
      <c r="H873" s="24" t="str">
        <f aca="false">IF(J873&lt;&gt;1,"",IF(I873="SBJ","CB","?"))</f>
        <v/>
      </c>
      <c r="I873" s="25" t="str">
        <f aca="false">IF(OR(E873="",E873="!!!",F873="NEW"),"",INDEX(B872:B$2,-1+SUMPRODUCT(MAX(ROW(E872:E$2)*(E873=E872:E$2)))))</f>
        <v> </v>
      </c>
      <c r="J873" s="25" t="str">
        <f aca="true">IF(OR(E873="",E873="!!!",F873="NEW"),"",COUNTBLANK(OFFSET(A$1,,,SUMPRODUCT(MAX(ROW(E$2:E873)*(E873=E$2:E873)))))-COUNTBLANK(OFFSET(A$1,,,SUMPRODUCT(MAX(ROW(E$1:E872)*(E2=E$1:E872))))))</f>
        <v/>
      </c>
      <c r="K873" s="25" t="str">
        <f aca="false">IF(OR(E873="",E873="!!!",F873="NEW"),"",INDEX(J$1:J872,SUMPRODUCT(MAX(ROW(E$1:E872)*(E873=E$1:E872)))))</f>
        <v/>
      </c>
      <c r="L873" s="26"/>
    </row>
    <row r="874" customFormat="false" ht="15" hidden="false" customHeight="false" outlineLevel="0" collapsed="false">
      <c r="A874" s="20" t="s">
        <v>205</v>
      </c>
      <c r="E874" s="21" t="str">
        <f aca="false">IF(D874="?OLD","!!!","")</f>
        <v/>
      </c>
      <c r="F874" s="22" t="str">
        <f aca="false">IF(OR(E874="",E874="!!!"),"",IF(NOT(ISNA(VLOOKUP(E874,E$1:E873,1,FALSE()))),"OLD",IF(AND(E874&lt;&gt;"",E874&lt;&gt;"!!!"),"NEW","")))</f>
        <v> </v>
      </c>
      <c r="G874" s="23" t="str">
        <f aca="false">IF(OR(E874="",E874="!!!"),"",IF(OR(J874=0,AND(J874=1,K874=1),AND(J874=1,I874="SBJ"),AND(J874=1,I874=0)),"?IN_FOCUS",IF(J874&lt;=2,"?ACTIVATED",IF(J874&lt;&gt;"","?FAMILIAR",IF(F874="NEW",IF(ISNA(VLOOKUP(E874,#REF!,1,FALSE())),"?TYPE_IDENTIFIABLE","?REFERENTIAL"),"_")))))</f>
        <v/>
      </c>
      <c r="H874" s="24" t="str">
        <f aca="false">IF(J874&lt;&gt;1,"",IF(I874="SBJ","CB","?"))</f>
        <v/>
      </c>
      <c r="I874" s="25" t="str">
        <f aca="false">IF(OR(E874="",E874="!!!",F874="NEW"),"",INDEX(B873:B$2,-1+SUMPRODUCT(MAX(ROW(E873:E$2)*(E874=E873:E$2)))))</f>
        <v> </v>
      </c>
      <c r="J874" s="25" t="str">
        <f aca="true">IF(OR(E874="",E874="!!!",F874="NEW"),"",COUNTBLANK(OFFSET(A$1,,,SUMPRODUCT(MAX(ROW(E$2:E874)*(E874=E$2:E874)))))-COUNTBLANK(OFFSET(A$1,,,SUMPRODUCT(MAX(ROW(E$1:E873)*(E2=E$1:E873))))))</f>
        <v/>
      </c>
      <c r="K874" s="25" t="str">
        <f aca="false">IF(OR(E874="",E874="!!!",F874="NEW"),"",INDEX(J$1:J873,SUMPRODUCT(MAX(ROW(E$1:E873)*(E874=E$1:E873)))))</f>
        <v/>
      </c>
      <c r="L874" s="26"/>
    </row>
    <row r="875" customFormat="false" ht="15" hidden="false" customHeight="false" outlineLevel="0" collapsed="false">
      <c r="A875" s="20" t="s">
        <v>467</v>
      </c>
      <c r="B875" s="27" t="s">
        <v>469</v>
      </c>
      <c r="C875" s="27" t="s">
        <v>208</v>
      </c>
      <c r="D875" s="27" t="s">
        <v>209</v>
      </c>
      <c r="E875" s="21" t="str">
        <f aca="false">IF(D875="?OLD","!!!","")</f>
        <v>!!!</v>
      </c>
      <c r="F875" s="22" t="str">
        <f aca="false">IF(OR(E875="",E875="!!!"),"",IF(NOT(ISNA(VLOOKUP(E875,E$1:E874,1,FALSE()))),"OLD",IF(AND(E875&lt;&gt;"",E875&lt;&gt;"!!!"),"NEW","")))</f>
        <v> </v>
      </c>
      <c r="G875" s="23" t="str">
        <f aca="false">IF(OR(E875="",E875="!!!"),"",IF(OR(J875=0,AND(J875=1,K875=1),AND(J875=1,I875="SBJ"),AND(J875=1,I875=0)),"?IN_FOCUS",IF(J875&lt;=2,"?ACTIVATED",IF(J875&lt;&gt;"","?FAMILIAR",IF(F875="NEW",IF(ISNA(VLOOKUP(E875,#REF!,1,FALSE())),"?TYPE_IDENTIFIABLE","?REFERENTIAL"),"_")))))</f>
        <v/>
      </c>
      <c r="H875" s="24" t="str">
        <f aca="false">IF(J875&lt;&gt;1,"",IF(I875="SBJ","CB","?"))</f>
        <v/>
      </c>
      <c r="I875" s="25" t="str">
        <f aca="false">IF(OR(E875="",E875="!!!",F875="NEW"),"",INDEX(B874:B$2,-1+SUMPRODUCT(MAX(ROW(E874:E$2)*(E875=E874:E$2)))))</f>
        <v> </v>
      </c>
      <c r="J875" s="25" t="str">
        <f aca="true">IF(OR(E875="",E875="!!!",F875="NEW"),"",COUNTBLANK(OFFSET(A$1,,,SUMPRODUCT(MAX(ROW(E$2:E875)*(E875=E$2:E875)))))-COUNTBLANK(OFFSET(A$1,,,SUMPRODUCT(MAX(ROW(E$1:E874)*(E2=E$1:E874))))))</f>
        <v/>
      </c>
      <c r="K875" s="25" t="str">
        <f aca="false">IF(OR(E875="",E875="!!!",F875="NEW"),"",INDEX(J$1:J874,SUMPRODUCT(MAX(ROW(E$1:E874)*(E875=E$1:E874)))))</f>
        <v/>
      </c>
      <c r="L875" s="26"/>
    </row>
    <row r="876" customFormat="false" ht="15" hidden="false" customHeight="false" outlineLevel="0" collapsed="false">
      <c r="A876" s="20" t="s">
        <v>235</v>
      </c>
      <c r="E876" s="21" t="str">
        <f aca="false">IF(D876="?OLD","!!!","")</f>
        <v/>
      </c>
      <c r="F876" s="22" t="str">
        <f aca="false">IF(OR(E876="",E876="!!!"),"",IF(NOT(ISNA(VLOOKUP(E876,E$1:E875,1,FALSE()))),"OLD",IF(AND(E876&lt;&gt;"",E876&lt;&gt;"!!!"),"NEW","")))</f>
        <v> </v>
      </c>
      <c r="G876" s="23" t="str">
        <f aca="false">IF(OR(E876="",E876="!!!"),"",IF(OR(J876=0,AND(J876=1,K876=1),AND(J876=1,I876="SBJ"),AND(J876=1,I876=0)),"?IN_FOCUS",IF(J876&lt;=2,"?ACTIVATED",IF(J876&lt;&gt;"","?FAMILIAR",IF(F876="NEW",IF(ISNA(VLOOKUP(E876,#REF!,1,FALSE())),"?TYPE_IDENTIFIABLE","?REFERENTIAL"),"_")))))</f>
        <v/>
      </c>
      <c r="H876" s="24" t="str">
        <f aca="false">IF(J876&lt;&gt;1,"",IF(I876="SBJ","CB","?"))</f>
        <v/>
      </c>
      <c r="I876" s="25" t="str">
        <f aca="false">IF(OR(E876="",E876="!!!",F876="NEW"),"",INDEX(B875:B$2,-1+SUMPRODUCT(MAX(ROW(E875:E$2)*(E876=E875:E$2)))))</f>
        <v> </v>
      </c>
      <c r="J876" s="25" t="str">
        <f aca="true">IF(OR(E876="",E876="!!!",F876="NEW"),"",COUNTBLANK(OFFSET(A$1,,,SUMPRODUCT(MAX(ROW(E$2:E876)*(E876=E$2:E876)))))-COUNTBLANK(OFFSET(A$1,,,SUMPRODUCT(MAX(ROW(E$1:E875)*(E2=E$1:E875))))))</f>
        <v/>
      </c>
      <c r="K876" s="25" t="str">
        <f aca="false">IF(OR(E876="",E876="!!!",F876="NEW"),"",INDEX(J$1:J875,SUMPRODUCT(MAX(ROW(E$1:E875)*(E876=E$1:E875)))))</f>
        <v/>
      </c>
      <c r="L876" s="26"/>
    </row>
    <row r="877" customFormat="false" ht="15" hidden="false" customHeight="false" outlineLevel="0" collapsed="false">
      <c r="A877" s="20" t="s">
        <v>205</v>
      </c>
      <c r="E877" s="21" t="str">
        <f aca="false">IF(D877="?OLD","!!!","")</f>
        <v/>
      </c>
      <c r="F877" s="22" t="str">
        <f aca="false">IF(OR(E877="",E877="!!!"),"",IF(NOT(ISNA(VLOOKUP(E877,E$1:E876,1,FALSE()))),"OLD",IF(AND(E877&lt;&gt;"",E877&lt;&gt;"!!!"),"NEW","")))</f>
        <v> </v>
      </c>
      <c r="G877" s="23" t="str">
        <f aca="false">IF(OR(E877="",E877="!!!"),"",IF(OR(J877=0,AND(J877=1,K877=1),AND(J877=1,I877="SBJ"),AND(J877=1,I877=0)),"?IN_FOCUS",IF(J877&lt;=2,"?ACTIVATED",IF(J877&lt;&gt;"","?FAMILIAR",IF(F877="NEW",IF(ISNA(VLOOKUP(E877,#REF!,1,FALSE())),"?TYPE_IDENTIFIABLE","?REFERENTIAL"),"_")))))</f>
        <v/>
      </c>
      <c r="H877" s="24" t="str">
        <f aca="false">IF(J877&lt;&gt;1,"",IF(I877="SBJ","CB","?"))</f>
        <v/>
      </c>
      <c r="I877" s="25" t="str">
        <f aca="false">IF(OR(E877="",E877="!!!",F877="NEW"),"",INDEX(B876:B$2,-1+SUMPRODUCT(MAX(ROW(E876:E$2)*(E877=E876:E$2)))))</f>
        <v> </v>
      </c>
      <c r="J877" s="25" t="str">
        <f aca="true">IF(OR(E877="",E877="!!!",F877="NEW"),"",COUNTBLANK(OFFSET(A$1,,,SUMPRODUCT(MAX(ROW(E$2:E877)*(E877=E$2:E877)))))-COUNTBLANK(OFFSET(A$1,,,SUMPRODUCT(MAX(ROW(E$1:E876)*(E2=E$1:E876))))))</f>
        <v/>
      </c>
      <c r="K877" s="25" t="str">
        <f aca="false">IF(OR(E877="",E877="!!!",F877="NEW"),"",INDEX(J$1:J876,SUMPRODUCT(MAX(ROW(E$1:E876)*(E877=E$1:E876)))))</f>
        <v/>
      </c>
      <c r="L877" s="26"/>
    </row>
    <row r="878" customFormat="false" ht="15" hidden="false" customHeight="false" outlineLevel="0" collapsed="false">
      <c r="A878" s="20" t="s">
        <v>247</v>
      </c>
      <c r="B878" s="27" t="s">
        <v>417</v>
      </c>
      <c r="C878" s="27" t="s">
        <v>208</v>
      </c>
      <c r="D878" s="27" t="s">
        <v>209</v>
      </c>
      <c r="E878" s="21" t="str">
        <f aca="false">IF(D878="?OLD","!!!","")</f>
        <v>!!!</v>
      </c>
      <c r="F878" s="22" t="str">
        <f aca="false">IF(OR(E878="",E878="!!!"),"",IF(NOT(ISNA(VLOOKUP(E878,E$1:E877,1,FALSE()))),"OLD",IF(AND(E878&lt;&gt;"",E878&lt;&gt;"!!!"),"NEW","")))</f>
        <v> </v>
      </c>
      <c r="G878" s="23" t="str">
        <f aca="false">IF(OR(E878="",E878="!!!"),"",IF(OR(J878=0,AND(J878=1,K878=1),AND(J878=1,I878="SBJ"),AND(J878=1,I878=0)),"?IN_FOCUS",IF(J878&lt;=2,"?ACTIVATED",IF(J878&lt;&gt;"","?FAMILIAR",IF(F878="NEW",IF(ISNA(VLOOKUP(E878,#REF!,1,FALSE())),"?TYPE_IDENTIFIABLE","?REFERENTIAL"),"_")))))</f>
        <v/>
      </c>
      <c r="H878" s="24" t="str">
        <f aca="false">IF(J878&lt;&gt;1,"",IF(I878="SBJ","CB","?"))</f>
        <v/>
      </c>
      <c r="I878" s="25" t="str">
        <f aca="false">IF(OR(E878="",E878="!!!",F878="NEW"),"",INDEX(B877:B$2,-1+SUMPRODUCT(MAX(ROW(E877:E$2)*(E878=E877:E$2)))))</f>
        <v> </v>
      </c>
      <c r="J878" s="25" t="str">
        <f aca="true">IF(OR(E878="",E878="!!!",F878="NEW"),"",COUNTBLANK(OFFSET(A$1,,,SUMPRODUCT(MAX(ROW(E$2:E878)*(E878=E$2:E878)))))-COUNTBLANK(OFFSET(A$1,,,SUMPRODUCT(MAX(ROW(E$1:E877)*(E2=E$1:E877))))))</f>
        <v/>
      </c>
      <c r="K878" s="25" t="str">
        <f aca="false">IF(OR(E878="",E878="!!!",F878="NEW"),"",INDEX(J$1:J877,SUMPRODUCT(MAX(ROW(E$1:E877)*(E878=E$1:E877)))))</f>
        <v/>
      </c>
      <c r="L878" s="26"/>
    </row>
    <row r="879" customFormat="false" ht="15" hidden="false" customHeight="false" outlineLevel="0" collapsed="false">
      <c r="A879" s="20" t="s">
        <v>218</v>
      </c>
      <c r="E879" s="21" t="str">
        <f aca="false">IF(D879="?OLD","!!!","")</f>
        <v/>
      </c>
      <c r="F879" s="22" t="str">
        <f aca="false">IF(OR(E879="",E879="!!!"),"",IF(NOT(ISNA(VLOOKUP(E879,E$1:E878,1,FALSE()))),"OLD",IF(AND(E879&lt;&gt;"",E879&lt;&gt;"!!!"),"NEW","")))</f>
        <v> </v>
      </c>
      <c r="G879" s="23" t="str">
        <f aca="false">IF(OR(E879="",E879="!!!"),"",IF(OR(J879=0,AND(J879=1,K879=1),AND(J879=1,I879="SBJ"),AND(J879=1,I879=0)),"?IN_FOCUS",IF(J879&lt;=2,"?ACTIVATED",IF(J879&lt;&gt;"","?FAMILIAR",IF(F879="NEW",IF(ISNA(VLOOKUP(E879,#REF!,1,FALSE())),"?TYPE_IDENTIFIABLE","?REFERENTIAL"),"_")))))</f>
        <v/>
      </c>
      <c r="H879" s="24" t="str">
        <f aca="false">IF(J879&lt;&gt;1,"",IF(I879="SBJ","CB","?"))</f>
        <v/>
      </c>
      <c r="I879" s="25" t="str">
        <f aca="false">IF(OR(E879="",E879="!!!",F879="NEW"),"",INDEX(B878:B$2,-1+SUMPRODUCT(MAX(ROW(E878:E$2)*(E879=E878:E$2)))))</f>
        <v> </v>
      </c>
      <c r="J879" s="25" t="str">
        <f aca="true">IF(OR(E879="",E879="!!!",F879="NEW"),"",COUNTBLANK(OFFSET(A$1,,,SUMPRODUCT(MAX(ROW(E$2:E879)*(E879=E$2:E879)))))-COUNTBLANK(OFFSET(A$1,,,SUMPRODUCT(MAX(ROW(E$1:E878)*(E2=E$1:E878))))))</f>
        <v/>
      </c>
      <c r="K879" s="25" t="str">
        <f aca="false">IF(OR(E879="",E879="!!!",F879="NEW"),"",INDEX(J$1:J878,SUMPRODUCT(MAX(ROW(E$1:E878)*(E879=E$1:E878)))))</f>
        <v/>
      </c>
      <c r="L879" s="26"/>
    </row>
    <row r="880" customFormat="false" ht="15" hidden="false" customHeight="false" outlineLevel="0" collapsed="false">
      <c r="A880" s="20" t="s">
        <v>385</v>
      </c>
      <c r="B880" s="27" t="s">
        <v>415</v>
      </c>
      <c r="C880" s="27" t="s">
        <v>297</v>
      </c>
      <c r="E880" s="21" t="str">
        <f aca="false">IF(D880="?OLD","!!!","")</f>
        <v/>
      </c>
      <c r="F880" s="22" t="str">
        <f aca="false">IF(OR(E880="",E880="!!!"),"",IF(NOT(ISNA(VLOOKUP(E880,E$1:E879,1,FALSE()))),"OLD",IF(AND(E880&lt;&gt;"",E880&lt;&gt;"!!!"),"NEW","")))</f>
        <v> </v>
      </c>
      <c r="G880" s="23" t="str">
        <f aca="false">IF(OR(E880="",E880="!!!"),"",IF(OR(J880=0,AND(J880=1,K880=1),AND(J880=1,I880="SBJ"),AND(J880=1,I880=0)),"?IN_FOCUS",IF(J880&lt;=2,"?ACTIVATED",IF(J880&lt;&gt;"","?FAMILIAR",IF(F880="NEW",IF(ISNA(VLOOKUP(E880,#REF!,1,FALSE())),"?TYPE_IDENTIFIABLE","?REFERENTIAL"),"_")))))</f>
        <v/>
      </c>
      <c r="H880" s="24" t="str">
        <f aca="false">IF(J880&lt;&gt;1,"",IF(I880="SBJ","CB","?"))</f>
        <v/>
      </c>
      <c r="I880" s="25" t="str">
        <f aca="false">IF(OR(E880="",E880="!!!",F880="NEW"),"",INDEX(B879:B$2,-1+SUMPRODUCT(MAX(ROW(E879:E$2)*(E880=E879:E$2)))))</f>
        <v> </v>
      </c>
      <c r="J880" s="25" t="str">
        <f aca="true">IF(OR(E880="",E880="!!!",F880="NEW"),"",COUNTBLANK(OFFSET(A$1,,,SUMPRODUCT(MAX(ROW(E$2:E880)*(E880=E$2:E880)))))-COUNTBLANK(OFFSET(A$1,,,SUMPRODUCT(MAX(ROW(E$1:E879)*(E2=E$1:E879))))))</f>
        <v/>
      </c>
      <c r="K880" s="25" t="str">
        <f aca="false">IF(OR(E880="",E880="!!!",F880="NEW"),"",INDEX(J$1:J879,SUMPRODUCT(MAX(ROW(E$1:E879)*(E880=E$1:E879)))))</f>
        <v/>
      </c>
      <c r="L880" s="26"/>
    </row>
    <row r="881" customFormat="false" ht="15" hidden="false" customHeight="false" outlineLevel="0" collapsed="false">
      <c r="A881" s="20" t="s">
        <v>229</v>
      </c>
      <c r="E881" s="21" t="str">
        <f aca="false">IF(D881="?OLD","!!!","")</f>
        <v/>
      </c>
      <c r="F881" s="22" t="str">
        <f aca="false">IF(OR(E881="",E881="!!!"),"",IF(NOT(ISNA(VLOOKUP(E881,E$1:E880,1,FALSE()))),"OLD",IF(AND(E881&lt;&gt;"",E881&lt;&gt;"!!!"),"NEW","")))</f>
        <v> </v>
      </c>
      <c r="G881" s="23" t="str">
        <f aca="false">IF(OR(E881="",E881="!!!"),"",IF(OR(J881=0,AND(J881=1,K881=1),AND(J881=1,I881="SBJ"),AND(J881=1,I881=0)),"?IN_FOCUS",IF(J881&lt;=2,"?ACTIVATED",IF(J881&lt;&gt;"","?FAMILIAR",IF(F881="NEW",IF(ISNA(VLOOKUP(E881,#REF!,1,FALSE())),"?TYPE_IDENTIFIABLE","?REFERENTIAL"),"_")))))</f>
        <v/>
      </c>
      <c r="H881" s="24" t="str">
        <f aca="false">IF(J881&lt;&gt;1,"",IF(I881="SBJ","CB","?"))</f>
        <v/>
      </c>
      <c r="I881" s="25" t="str">
        <f aca="false">IF(OR(E881="",E881="!!!",F881="NEW"),"",INDEX(B880:B$2,-1+SUMPRODUCT(MAX(ROW(E880:E$2)*(E881=E880:E$2)))))</f>
        <v> </v>
      </c>
      <c r="J881" s="25" t="str">
        <f aca="true">IF(OR(E881="",E881="!!!",F881="NEW"),"",COUNTBLANK(OFFSET(A$1,,,SUMPRODUCT(MAX(ROW(E$2:E881)*(E881=E$2:E881)))))-COUNTBLANK(OFFSET(A$1,,,SUMPRODUCT(MAX(ROW(E$1:E880)*(E2=E$1:E880))))))</f>
        <v/>
      </c>
      <c r="K881" s="25" t="str">
        <f aca="false">IF(OR(E881="",E881="!!!",F881="NEW"),"",INDEX(J$1:J880,SUMPRODUCT(MAX(ROW(E$1:E880)*(E881=E$1:E880)))))</f>
        <v/>
      </c>
      <c r="L881" s="26"/>
    </row>
    <row r="882" customFormat="false" ht="15" hidden="false" customHeight="false" outlineLevel="0" collapsed="false">
      <c r="A882" s="20"/>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2025-11-25T13:42:10Z</dcterms:created>
  <dc:creator/>
  <dc:description/>
  <dc:language>en-US</dc:language>
  <cp:lastModifiedBy/>
  <dcterms:modified xsi:type="dcterms:W3CDTF">2026-01-25T04:55:59Z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