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annotation!$A$1:$L$708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<sst xmlns="http://schemas.openxmlformats.org/spreadsheetml/2006/main" count="1632" uniqueCount="406">
  <si>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</si>
  <si>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</si>
  <si>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</si>
  <si>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</si>
  <si>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</si>
  <si>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</si>
  <si>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</si>
  <si>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</si>
  <si>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</si>
  <si>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</si>
  <si>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</si>
  <si>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</si>
  <si>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Then Jesus was led up by the Spirit into the wilderness to be tempted by the devil.</t>
  </si>
  <si>
    <t xml:space="preserve">Then</t>
  </si>
  <si>
    <t xml:space="preserve">Jesus</t>
  </si>
  <si>
    <t xml:space="preserve">SBJ</t>
  </si>
  <si>
    <t xml:space="preserve">ne</t>
  </si>
  <si>
    <t xml:space="preserve">?OLD</t>
  </si>
  <si>
    <t xml:space="preserve">jesus</t>
  </si>
  <si>
    <t xml:space="preserve">FAMILIAR</t>
  </si>
  <si>
    <t xml:space="preserve">by cultural knowledge (we ignore previous chapter)</t>
  </si>
  <si>
    <t xml:space="preserve">was</t>
  </si>
  <si>
    <t xml:space="preserve">led</t>
  </si>
  <si>
    <t xml:space="preserve">up</t>
  </si>
  <si>
    <t xml:space="preserve">by</t>
  </si>
  <si>
    <t xml:space="preserve">the</t>
  </si>
  <si>
    <t xml:space="preserve">Spirit</t>
  </si>
  <si>
    <t xml:space="preserve">other</t>
  </si>
  <si>
    <t xml:space="preserve">def-np.the</t>
  </si>
  <si>
    <t xml:space="preserve">holy_spirit</t>
  </si>
  <si>
    <t xml:space="preserve">in the original text, the spirit would be ACTIVATED</t>
  </si>
  <si>
    <t xml:space="preserve">into</t>
  </si>
  <si>
    <t xml:space="preserve">wilderness</t>
  </si>
  <si>
    <t xml:space="preserve">desert</t>
  </si>
  <si>
    <t xml:space="preserve">to</t>
  </si>
  <si>
    <t xml:space="preserve">be</t>
  </si>
  <si>
    <t xml:space="preserve">tempted</t>
  </si>
  <si>
    <t xml:space="preserve">devil</t>
  </si>
  <si>
    <t xml:space="preserve">other_3</t>
  </si>
  <si>
    <t xml:space="preserve">.</t>
  </si>
  <si>
    <t xml:space="preserve"># text = When he had fasted forty days and forty nights, he was hungry afterward.</t>
  </si>
  <si>
    <t xml:space="preserve">When</t>
  </si>
  <si>
    <t xml:space="preserve">he</t>
  </si>
  <si>
    <t xml:space="preserve">SBJ_2</t>
  </si>
  <si>
    <t xml:space="preserve">pron.pper</t>
  </si>
  <si>
    <t xml:space="preserve">IN_FOCUS</t>
  </si>
  <si>
    <t xml:space="preserve">had</t>
  </si>
  <si>
    <t xml:space="preserve">fasted</t>
  </si>
  <si>
    <t xml:space="preserve">forty</t>
  </si>
  <si>
    <t xml:space="preserve">days</t>
  </si>
  <si>
    <t xml:space="preserve">OBJ_2</t>
  </si>
  <si>
    <t xml:space="preserve">indef-np.quant</t>
  </si>
  <si>
    <t xml:space="preserve">and</t>
  </si>
  <si>
    <t xml:space="preserve">nights</t>
  </si>
  <si>
    <t xml:space="preserve">indef-np.bare</t>
  </si>
  <si>
    <t xml:space="preserve">,</t>
  </si>
  <si>
    <t xml:space="preserve">hungry</t>
  </si>
  <si>
    <t xml:space="preserve">afterward</t>
  </si>
  <si>
    <t xml:space="preserve">--</t>
  </si>
  <si>
    <t xml:space="preserve"># text = The tempter came and said to him, "If you are the Son of God, command that these stones become bread."</t>
  </si>
  <si>
    <t xml:space="preserve">The</t>
  </si>
  <si>
    <t xml:space="preserve">tempter</t>
  </si>
  <si>
    <t xml:space="preserve">ACTIVATED</t>
  </si>
  <si>
    <t xml:space="preserve">came</t>
  </si>
  <si>
    <t xml:space="preserve">said</t>
  </si>
  <si>
    <t xml:space="preserve">him</t>
  </si>
  <si>
    <t xml:space="preserve">other_2</t>
  </si>
  <si>
    <t xml:space="preserve">&amp;quot;</t>
  </si>
  <si>
    <t xml:space="preserve">If</t>
  </si>
  <si>
    <t xml:space="preserve">you</t>
  </si>
  <si>
    <t xml:space="preserve">SBJ_4</t>
  </si>
  <si>
    <t xml:space="preserve">are</t>
  </si>
  <si>
    <t xml:space="preserve">Son</t>
  </si>
  <si>
    <t xml:space="preserve">PRED</t>
  </si>
  <si>
    <t xml:space="preserve">of</t>
  </si>
  <si>
    <t xml:space="preserve">God</t>
  </si>
  <si>
    <t xml:space="preserve">other_4</t>
  </si>
  <si>
    <t xml:space="preserve">god</t>
  </si>
  <si>
    <t xml:space="preserve">command</t>
  </si>
  <si>
    <t xml:space="preserve">that</t>
  </si>
  <si>
    <t xml:space="preserve">these</t>
  </si>
  <si>
    <t xml:space="preserve">stones</t>
  </si>
  <si>
    <t xml:space="preserve">def-np.dem</t>
  </si>
  <si>
    <t xml:space="preserve">stones-at-temptation</t>
  </si>
  <si>
    <t xml:space="preserve">SIT</t>
  </si>
  <si>
    <t xml:space="preserve">reported deixis</t>
  </si>
  <si>
    <t xml:space="preserve">become</t>
  </si>
  <si>
    <t xml:space="preserve">bread</t>
  </si>
  <si>
    <t xml:space="preserve"># text = But he answered, \"It is written, 'Man shall not live by bread alone, but by every word that proceeds out of the mouth of God.'\"</t>
  </si>
  <si>
    <t xml:space="preserve">But</t>
  </si>
  <si>
    <t xml:space="preserve">answered</t>
  </si>
  <si>
    <t xml:space="preserve">It</t>
  </si>
  <si>
    <t xml:space="preserve">EXPL</t>
  </si>
  <si>
    <t xml:space="preserve">is</t>
  </si>
  <si>
    <t xml:space="preserve">written</t>
  </si>
  <si>
    <t xml:space="preserve">'</t>
  </si>
  <si>
    <t xml:space="preserve">Man</t>
  </si>
  <si>
    <t xml:space="preserve">SBJ_3</t>
  </si>
  <si>
    <t xml:space="preserve">shall</t>
  </si>
  <si>
    <t xml:space="preserve">not</t>
  </si>
  <si>
    <t xml:space="preserve">live</t>
  </si>
  <si>
    <t xml:space="preserve">alone</t>
  </si>
  <si>
    <t xml:space="preserve">but</t>
  </si>
  <si>
    <t xml:space="preserve">every</t>
  </si>
  <si>
    <t xml:space="preserve">word</t>
  </si>
  <si>
    <t xml:space="preserve">indef-np</t>
  </si>
  <si>
    <t xml:space="preserve">proceeds</t>
  </si>
  <si>
    <t xml:space="preserve">out</t>
  </si>
  <si>
    <t xml:space="preserve">mouth</t>
  </si>
  <si>
    <t xml:space="preserve">def-np.poss</t>
  </si>
  <si>
    <t xml:space="preserve">IDIOM</t>
  </si>
  <si>
    <t xml:space="preserve">~ “spoken by”</t>
  </si>
  <si>
    <t xml:space="preserve">other_5</t>
  </si>
  <si>
    <t xml:space="preserve"># text = Then the devil took him into the holy city.</t>
  </si>
  <si>
    <t xml:space="preserve">took</t>
  </si>
  <si>
    <t xml:space="preserve">OBJ</t>
  </si>
  <si>
    <t xml:space="preserve">holy</t>
  </si>
  <si>
    <t xml:space="preserve">city</t>
  </si>
  <si>
    <t xml:space="preserve">jerusalem</t>
  </si>
  <si>
    <t xml:space="preserve"># text = He set him on the pinnacle of the temple, and said to him, \"If you are the Son of God, throw yourself down, for it is written, 'He will put his angels in charge of you.' and,</t>
  </si>
  <si>
    <t xml:space="preserve">He</t>
  </si>
  <si>
    <t xml:space="preserve">set</t>
  </si>
  <si>
    <t xml:space="preserve">by multiple mention</t>
  </si>
  <si>
    <t xml:space="preserve">on</t>
  </si>
  <si>
    <t xml:space="preserve">pinnacle</t>
  </si>
  <si>
    <t xml:space="preserve">pinnacle-of-the-temple</t>
  </si>
  <si>
    <t xml:space="preserve">UNIQ</t>
  </si>
  <si>
    <t xml:space="preserve">via temple</t>
  </si>
  <si>
    <t xml:space="preserve">temple</t>
  </si>
  <si>
    <t xml:space="preserve">by cultural</t>
  </si>
  <si>
    <t xml:space="preserve">throw</t>
  </si>
  <si>
    <t xml:space="preserve">yourself</t>
  </si>
  <si>
    <t xml:space="preserve">OBJ_3</t>
  </si>
  <si>
    <t xml:space="preserve">down</t>
  </si>
  <si>
    <t xml:space="preserve">for</t>
  </si>
  <si>
    <t xml:space="preserve">it</t>
  </si>
  <si>
    <t xml:space="preserve">will</t>
  </si>
  <si>
    <t xml:space="preserve">put</t>
  </si>
  <si>
    <t xml:space="preserve">his</t>
  </si>
  <si>
    <t xml:space="preserve">pron.ppos</t>
  </si>
  <si>
    <t xml:space="preserve">angels</t>
  </si>
  <si>
    <t xml:space="preserve">gods_angels</t>
  </si>
  <si>
    <t xml:space="preserve">in</t>
  </si>
  <si>
    <t xml:space="preserve">charge</t>
  </si>
  <si>
    <t xml:space="preserve">~ “responsible for”</t>
  </si>
  <si>
    <t xml:space="preserve">OLD</t>
  </si>
  <si>
    <t xml:space="preserve">in the devil’s interpretation</t>
  </si>
  <si>
    <t xml:space="preserve"># text = 'On their hands they will bear you up, so that you don't dash your foot against a stone.'\"</t>
  </si>
  <si>
    <t xml:space="preserve">On</t>
  </si>
  <si>
    <t xml:space="preserve">their</t>
  </si>
  <si>
    <t xml:space="preserve">hands</t>
  </si>
  <si>
    <t xml:space="preserve">angels_hands</t>
  </si>
  <si>
    <t xml:space="preserve">via gods_angels</t>
  </si>
  <si>
    <t xml:space="preserve">they</t>
  </si>
  <si>
    <t xml:space="preserve">bear</t>
  </si>
  <si>
    <t xml:space="preserve">so</t>
  </si>
  <si>
    <t xml:space="preserve">do</t>
  </si>
  <si>
    <t xml:space="preserve">n't</t>
  </si>
  <si>
    <t xml:space="preserve">dash</t>
  </si>
  <si>
    <t xml:space="preserve">your</t>
  </si>
  <si>
    <t xml:space="preserve">foot</t>
  </si>
  <si>
    <t xml:space="preserve">jesus_foot</t>
  </si>
  <si>
    <t xml:space="preserve">TYPE</t>
  </si>
  <si>
    <t xml:space="preserve">not unambiguous, hence not UNIQ</t>
  </si>
  <si>
    <t xml:space="preserve">against</t>
  </si>
  <si>
    <t xml:space="preserve">a</t>
  </si>
  <si>
    <t xml:space="preserve">stone</t>
  </si>
  <si>
    <t xml:space="preserve">indef-np.a</t>
  </si>
  <si>
    <t xml:space="preserve"># text = Jesus said to him, \"Again, it is written, 'You shall not test the Lord, your God.'\"</t>
  </si>
  <si>
    <t xml:space="preserve">Again</t>
  </si>
  <si>
    <t xml:space="preserve">You</t>
  </si>
  <si>
    <t xml:space="preserve">in jesus’ interpretation</t>
  </si>
  <si>
    <t xml:space="preserve">test</t>
  </si>
  <si>
    <t xml:space="preserve">Lord</t>
  </si>
  <si>
    <t xml:space="preserve"># text = Again, the devil took him to an exceedingly high mountain, and showed him all the kingdoms of the world, and their glory.</t>
  </si>
  <si>
    <t xml:space="preserve">an</t>
  </si>
  <si>
    <t xml:space="preserve">exceedingly</t>
  </si>
  <si>
    <t xml:space="preserve">high</t>
  </si>
  <si>
    <t xml:space="preserve">mountain</t>
  </si>
  <si>
    <t xml:space="preserve">showed</t>
  </si>
  <si>
    <t xml:space="preserve">all</t>
  </si>
  <si>
    <t xml:space="preserve">kingdoms</t>
  </si>
  <si>
    <t xml:space="preserve">kingdoms-of-the-world</t>
  </si>
  <si>
    <t xml:space="preserve">world</t>
  </si>
  <si>
    <t xml:space="preserve">shared experience</t>
  </si>
  <si>
    <t xml:space="preserve">glory</t>
  </si>
  <si>
    <t xml:space="preserve">~ “how glorious they are”</t>
  </si>
  <si>
    <t xml:space="preserve"># text = He said to him, "I will give you all of these things, if you will fall down and worship me."</t>
  </si>
  <si>
    <t xml:space="preserve">I</t>
  </si>
  <si>
    <t xml:space="preserve">give</t>
  </si>
  <si>
    <t xml:space="preserve">~ “all these things”</t>
  </si>
  <si>
    <t xml:space="preserve">things</t>
  </si>
  <si>
    <t xml:space="preserve">if</t>
  </si>
  <si>
    <t xml:space="preserve">fall</t>
  </si>
  <si>
    <t xml:space="preserve">worship</t>
  </si>
  <si>
    <t xml:space="preserve">me</t>
  </si>
  <si>
    <t xml:space="preserve">OBJ_4</t>
  </si>
  <si>
    <t xml:space="preserve"># text = Then Jesus said to him, "Get behind me, Satan!</t>
  </si>
  <si>
    <t xml:space="preserve">Get</t>
  </si>
  <si>
    <t xml:space="preserve">behind</t>
  </si>
  <si>
    <t xml:space="preserve">Satan</t>
  </si>
  <si>
    <t xml:space="preserve">!</t>
  </si>
  <si>
    <t xml:space="preserve"># text = For it is written, 'You shall worship the Lord your God, and you shall serve him only.'"</t>
  </si>
  <si>
    <t xml:space="preserve">For</t>
  </si>
  <si>
    <t xml:space="preserve">mankind</t>
  </si>
  <si>
    <t xml:space="preserve">via cultural knowledge</t>
  </si>
  <si>
    <t xml:space="preserve">serve</t>
  </si>
  <si>
    <t xml:space="preserve">only</t>
  </si>
  <si>
    <t xml:space="preserve"># text = Then the devil left him, and behold, angels came and served him.</t>
  </si>
  <si>
    <t xml:space="preserve">left</t>
  </si>
  <si>
    <t xml:space="preserve">part of the preceding uttrerance (as speaker) and the one before</t>
  </si>
  <si>
    <t xml:space="preserve">behold</t>
  </si>
  <si>
    <r>
      <rPr>
        <sz val="10"/>
        <rFont val="Arial"/>
        <family val="2"/>
        <charset val="1"/>
      </rPr>
      <t xml:space="preserve">note that these are not </t>
    </r>
    <r>
      <rPr>
        <b val="true"/>
        <sz val="10"/>
        <rFont val="Arial"/>
        <family val="2"/>
        <charset val="1"/>
      </rPr>
      <t xml:space="preserve">all angels</t>
    </r>
    <r>
      <rPr>
        <sz val="10"/>
        <rFont val="Arial"/>
        <family val="2"/>
        <charset val="1"/>
      </rPr>
      <t xml:space="preserve">, but a subset</t>
    </r>
  </si>
  <si>
    <t xml:space="preserve">served</t>
  </si>
  <si>
    <t xml:space="preserve"># text = Now when Jesus heard that John was delivered up, he withdrew into Galilee.</t>
  </si>
  <si>
    <t xml:space="preserve">Now</t>
  </si>
  <si>
    <t xml:space="preserve">when</t>
  </si>
  <si>
    <t xml:space="preserve">heard</t>
  </si>
  <si>
    <t xml:space="preserve">John</t>
  </si>
  <si>
    <t xml:space="preserve">john-the-baptist</t>
  </si>
  <si>
    <t xml:space="preserve">delivered</t>
  </si>
  <si>
    <t xml:space="preserve">withdrew</t>
  </si>
  <si>
    <t xml:space="preserve">Galilee</t>
  </si>
  <si>
    <t xml:space="preserve">galilee</t>
  </si>
  <si>
    <t xml:space="preserve"># text = Leaving Nazareth, he came and lived in Capernaum, which is by the sea, in the region of Zebulun and Naphtali, that it might be fulfilled which was spoken through Isaiah the prophet, saying, "The land of Zebulun and the land of Naphtali, toward the sea, beyond the Jordan, Galilee of the Gentiles, the people who sat in darkness saw a great light, to those who sat in the region and shadow of death, to them light has dawned."</t>
  </si>
  <si>
    <t xml:space="preserve">Leaving</t>
  </si>
  <si>
    <t xml:space="preserve">Nazareth</t>
  </si>
  <si>
    <t xml:space="preserve">nazareth</t>
  </si>
  <si>
    <t xml:space="preserve">lived</t>
  </si>
  <si>
    <t xml:space="preserve">Capernaum</t>
  </si>
  <si>
    <t xml:space="preserve">capernaum</t>
  </si>
  <si>
    <t xml:space="preserve">names are always unique</t>
  </si>
  <si>
    <t xml:space="preserve">which</t>
  </si>
  <si>
    <t xml:space="preserve">sea</t>
  </si>
  <si>
    <t xml:space="preserve">sea_genezareth</t>
  </si>
  <si>
    <t xml:space="preserve">the only sea at at Capernaum</t>
  </si>
  <si>
    <t xml:space="preserve">region</t>
  </si>
  <si>
    <t xml:space="preserve">~ “near”</t>
  </si>
  <si>
    <t xml:space="preserve">Zebulun</t>
  </si>
  <si>
    <t xml:space="preserve">zebelun</t>
  </si>
  <si>
    <t xml:space="preserve">Naphtali</t>
  </si>
  <si>
    <t xml:space="preserve">other_6</t>
  </si>
  <si>
    <t xml:space="preserve">naphtali</t>
  </si>
  <si>
    <t xml:space="preserve">might</t>
  </si>
  <si>
    <t xml:space="preserve">fulfilled</t>
  </si>
  <si>
    <t xml:space="preserve">spoken</t>
  </si>
  <si>
    <t xml:space="preserve">through</t>
  </si>
  <si>
    <t xml:space="preserve">Isaiah</t>
  </si>
  <si>
    <t xml:space="preserve">isaiah</t>
  </si>
  <si>
    <t xml:space="preserve">prophet</t>
  </si>
  <si>
    <t xml:space="preserve">saying</t>
  </si>
  <si>
    <t xml:space="preserve">land</t>
  </si>
  <si>
    <t xml:space="preserve">~ “around”</t>
  </si>
  <si>
    <t xml:space="preserve">toward</t>
  </si>
  <si>
    <t xml:space="preserve">beyond</t>
  </si>
  <si>
    <t xml:space="preserve">Jordan</t>
  </si>
  <si>
    <t xml:space="preserve">jordan</t>
  </si>
  <si>
    <t xml:space="preserve">Gentiles</t>
  </si>
  <si>
    <t xml:space="preserve">gentiles</t>
  </si>
  <si>
    <t xml:space="preserve">this is generic, FAMILIAR via cultural knowledge</t>
  </si>
  <si>
    <t xml:space="preserve">people</t>
  </si>
  <si>
    <t xml:space="preserve">galileans</t>
  </si>
  <si>
    <t xml:space="preserve">NEW</t>
  </si>
  <si>
    <t xml:space="preserve">via Galilee</t>
  </si>
  <si>
    <t xml:space="preserve">who</t>
  </si>
  <si>
    <t xml:space="preserve">SBJ_5</t>
  </si>
  <si>
    <t xml:space="preserve">sat</t>
  </si>
  <si>
    <t xml:space="preserve">darkness</t>
  </si>
  <si>
    <t xml:space="preserve">saw</t>
  </si>
  <si>
    <t xml:space="preserve">great</t>
  </si>
  <si>
    <t xml:space="preserve">light</t>
  </si>
  <si>
    <t xml:space="preserve">those</t>
  </si>
  <si>
    <t xml:space="preserve">pron.pds</t>
  </si>
  <si>
    <t xml:space="preserve">shadow</t>
  </si>
  <si>
    <t xml:space="preserve">death</t>
  </si>
  <si>
    <t xml:space="preserve">them</t>
  </si>
  <si>
    <t xml:space="preserve">has</t>
  </si>
  <si>
    <t xml:space="preserve">dawned</t>
  </si>
  <si>
    <t xml:space="preserve"># text = From that time, Jesus began to preach, and to say, \"Repent!</t>
  </si>
  <si>
    <t xml:space="preserve">From</t>
  </si>
  <si>
    <t xml:space="preserve">time</t>
  </si>
  <si>
    <t xml:space="preserve">time_after_johns_arrest</t>
  </si>
  <si>
    <t xml:space="preserve">associated with last utterance</t>
  </si>
  <si>
    <t xml:space="preserve">began</t>
  </si>
  <si>
    <t xml:space="preserve">preach</t>
  </si>
  <si>
    <t xml:space="preserve">say</t>
  </si>
  <si>
    <t xml:space="preserve">Repent</t>
  </si>
  <si>
    <t xml:space="preserve"># text = For the Kingdom of Heaven is at hand.\"</t>
  </si>
  <si>
    <t xml:space="preserve">Kingdom</t>
  </si>
  <si>
    <t xml:space="preserve">kingdom-of-heaven</t>
  </si>
  <si>
    <t xml:space="preserve">Heaven</t>
  </si>
  <si>
    <t xml:space="preserve">heaven</t>
  </si>
  <si>
    <t xml:space="preserve">at</t>
  </si>
  <si>
    <t xml:space="preserve">hand</t>
  </si>
  <si>
    <t xml:space="preserve"># text = Walking by the sea of Galilee, he saw two brothers:</t>
  </si>
  <si>
    <t xml:space="preserve">Walking</t>
  </si>
  <si>
    <t xml:space="preserve">speaker of last utterance, but not mentioned =&gt; no CB</t>
  </si>
  <si>
    <t xml:space="preserve">two</t>
  </si>
  <si>
    <t xml:space="preserve">brothers</t>
  </si>
  <si>
    <t xml:space="preserve">peter+andrew</t>
  </si>
  <si>
    <t xml:space="preserve">REFERENTIAL</t>
  </si>
  <si>
    <t xml:space="preserve">:</t>
  </si>
  <si>
    <t xml:space="preserve"># text = Simon, who is called Peter, and Andrew, his brother, casting a net into the sea; for they were fishermen.</t>
  </si>
  <si>
    <t xml:space="preserve">Simon</t>
  </si>
  <si>
    <t xml:space="preserve">peter</t>
  </si>
  <si>
    <t xml:space="preserve">called</t>
  </si>
  <si>
    <t xml:space="preserve">Peter</t>
  </si>
  <si>
    <t xml:space="preserve">Andrew</t>
  </si>
  <si>
    <t xml:space="preserve">andrew</t>
  </si>
  <si>
    <t xml:space="preserve">brother</t>
  </si>
  <si>
    <t xml:space="preserve">casting</t>
  </si>
  <si>
    <t xml:space="preserve">net</t>
  </si>
  <si>
    <t xml:space="preserve">;</t>
  </si>
  <si>
    <t xml:space="preserve">were</t>
  </si>
  <si>
    <t xml:space="preserve">fishermen</t>
  </si>
  <si>
    <t xml:space="preserve"># text = He said to them, \"Come after me, and I will make you fishers for men.\"</t>
  </si>
  <si>
    <t xml:space="preserve">Come</t>
  </si>
  <si>
    <t xml:space="preserve">after</t>
  </si>
  <si>
    <t xml:space="preserve">make</t>
  </si>
  <si>
    <t xml:space="preserve">fishers</t>
  </si>
  <si>
    <t xml:space="preserve">men</t>
  </si>
  <si>
    <t xml:space="preserve"># text = They immediately left their nets and followed him.</t>
  </si>
  <si>
    <t xml:space="preserve">They</t>
  </si>
  <si>
    <t xml:space="preserve">immediately</t>
  </si>
  <si>
    <t xml:space="preserve">nets</t>
  </si>
  <si>
    <t xml:space="preserve">peter+andrews-nets</t>
  </si>
  <si>
    <t xml:space="preserve">all their nets, note that this is not the same net as cast into the sea, but it was one of them</t>
  </si>
  <si>
    <t xml:space="preserve">followed</t>
  </si>
  <si>
    <t xml:space="preserve"># text = Going on from there, he saw two other brothers, James the son of Zebedee, and John his brother, in the boat with Zebedee their father, mending their nets.</t>
  </si>
  <si>
    <t xml:space="preserve">Going</t>
  </si>
  <si>
    <t xml:space="preserve">from</t>
  </si>
  <si>
    <t xml:space="preserve">there</t>
  </si>
  <si>
    <t xml:space="preserve">pron.padv</t>
  </si>
  <si>
    <t xml:space="preserve">place-of-peter</t>
  </si>
  <si>
    <t xml:space="preserve">associated with the preceding utterance</t>
  </si>
  <si>
    <t xml:space="preserve">james+john</t>
  </si>
  <si>
    <t xml:space="preserve">note that there are several people named James and John, and they have been systematically conflated. standard Christian view is to identify them with each other</t>
  </si>
  <si>
    <t xml:space="preserve">James</t>
  </si>
  <si>
    <t xml:space="preserve">james</t>
  </si>
  <si>
    <t xml:space="preserve">son</t>
  </si>
  <si>
    <t xml:space="preserve">Zebedee</t>
  </si>
  <si>
    <t xml:space="preserve">zebedee</t>
  </si>
  <si>
    <t xml:space="preserve">john</t>
  </si>
  <si>
    <t xml:space="preserve">boat</t>
  </si>
  <si>
    <t xml:space="preserve">james+johns-boat</t>
  </si>
  <si>
    <t xml:space="preserve">I guess they have exactly one boat</t>
  </si>
  <si>
    <t xml:space="preserve">with</t>
  </si>
  <si>
    <t xml:space="preserve">father</t>
  </si>
  <si>
    <t xml:space="preserve">mending</t>
  </si>
  <si>
    <t xml:space="preserve">james+john+zebedee</t>
  </si>
  <si>
    <t xml:space="preserve">GROUP</t>
  </si>
  <si>
    <t xml:space="preserve">james+john+zebedees-nets</t>
  </si>
  <si>
    <t xml:space="preserve">I guess they have more nets</t>
  </si>
  <si>
    <t xml:space="preserve"># text = He called them.</t>
  </si>
  <si>
    <t xml:space="preserve">only james and john follow</t>
  </si>
  <si>
    <t xml:space="preserve"># text = They immediately left the boat and their father, and followed him.</t>
  </si>
  <si>
    <t xml:space="preserve"># text = Jesus went about in all Galilee, teaching in their synagogues, preaching the Good News of the Kingdom, and healing every disease and every sickness among the people.</t>
  </si>
  <si>
    <t xml:space="preserve">went</t>
  </si>
  <si>
    <t xml:space="preserve">about</t>
  </si>
  <si>
    <t xml:space="preserve">teaching</t>
  </si>
  <si>
    <t xml:space="preserve">synagogues</t>
  </si>
  <si>
    <t xml:space="preserve">galilean-synagogues</t>
  </si>
  <si>
    <t xml:space="preserve">I guess he might have missed one</t>
  </si>
  <si>
    <t xml:space="preserve">preaching</t>
  </si>
  <si>
    <t xml:space="preserve">Good</t>
  </si>
  <si>
    <t xml:space="preserve">News</t>
  </si>
  <si>
    <t xml:space="preserve">good-news-of-kingdom</t>
  </si>
  <si>
    <t xml:space="preserve">familiar to a christian</t>
  </si>
  <si>
    <t xml:space="preserve">healing</t>
  </si>
  <si>
    <t xml:space="preserve">disease</t>
  </si>
  <si>
    <t xml:space="preserve">sickness</t>
  </si>
  <si>
    <t xml:space="preserve">among</t>
  </si>
  <si>
    <t xml:space="preserve"># text = The report about him went out into all Syria.</t>
  </si>
  <si>
    <t xml:space="preserve">report</t>
  </si>
  <si>
    <t xml:space="preserve">early-rumors-about-jesus</t>
  </si>
  <si>
    <t xml:space="preserve">associated with the last utterance</t>
  </si>
  <si>
    <t xml:space="preserve">Syria</t>
  </si>
  <si>
    <t xml:space="preserve">syria</t>
  </si>
  <si>
    <t xml:space="preserve">cultural</t>
  </si>
  <si>
    <t xml:space="preserve"># text = They brought to him all who were sick, afflicted with various diseases and torments, possessed with demons, epileptics, and paralytics; and he healed them.</t>
  </si>
  <si>
    <t xml:space="preserve">GEN</t>
  </si>
  <si>
    <t xml:space="preserve">not clear who exactly, Syrians? Galileans? But only a subset</t>
  </si>
  <si>
    <t xml:space="preserve">brought</t>
  </si>
  <si>
    <t xml:space="preserve">sick_people</t>
  </si>
  <si>
    <t xml:space="preserve">as antecedent</t>
  </si>
  <si>
    <t xml:space="preserve">sick</t>
  </si>
  <si>
    <t xml:space="preserve">afflicted</t>
  </si>
  <si>
    <t xml:space="preserve">various</t>
  </si>
  <si>
    <t xml:space="preserve">diseases</t>
  </si>
  <si>
    <t xml:space="preserve">torments</t>
  </si>
  <si>
    <t xml:space="preserve">possessed</t>
  </si>
  <si>
    <t xml:space="preserve">demons</t>
  </si>
  <si>
    <t xml:space="preserve">epileptics</t>
  </si>
  <si>
    <t xml:space="preserve">paralytics</t>
  </si>
  <si>
    <t xml:space="preserve">healed</t>
  </si>
  <si>
    <t xml:space="preserve"># text = Great multitudes from Galilee, Decapolis, Jerusalem, Judea and from beyond the Jordan followed him.</t>
  </si>
  <si>
    <t xml:space="preserve">Great</t>
  </si>
  <si>
    <t xml:space="preserve">multitudes</t>
  </si>
  <si>
    <t xml:space="preserve">disciples</t>
  </si>
  <si>
    <t xml:space="preserve">a subset of the unspecified “them” before</t>
  </si>
  <si>
    <t xml:space="preserve">Decapolis</t>
  </si>
  <si>
    <t xml:space="preserve">decapolis</t>
  </si>
  <si>
    <t xml:space="preserve">part of Syria</t>
  </si>
  <si>
    <t xml:space="preserve">Jerusalem</t>
  </si>
  <si>
    <t xml:space="preserve">Judea</t>
  </si>
  <si>
    <t xml:space="preserve">judea</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</si>
</sst>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8984375" defaultRowHeight="12.8" zeroHeight="false" outlineLevelRow="0" outlineLevelCol="0"/>
  <cols>
    <col collapsed="false" customWidth="true" hidden="false" outlineLevel="0" max="5" min="5" style="1" width="16.11"/>
    <col collapsed="false" customWidth="true" hidden="false" outlineLevel="0" max="6" min="6" style="1" width="13.89"/>
    <col collapsed="false" customWidth="true" hidden="false" outlineLevel="0" max="7" min="7" style="1" width="9.28"/>
    <col collapsed="false" customWidth="false" hidden="true" outlineLevel="0" max="10" min="9" style="1" width="11.54"/>
    <col collapsed="false" customWidth="true" hidden="true" outlineLevel="0" max="11" min="11" style="1" width="18.89"/>
    <col collapsed="false" customWidth="true" hidden="false" outlineLevel="0" max="12" min="12" style="1" width="46.68"/>
  </cols>
  <sheetData>
    <row r="1" customFormat="false" ht="12.8"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8" hidden="false" customHeight="false" outlineLevel="0" collapsed="false">
      <c r="A2" s="1"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8" hidden="false" customHeight="false" outlineLevel="0" collapsed="false">
      <c r="A3" s="1"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8" hidden="false" customHeight="false" outlineLevel="0" collapsed="false">
      <c r="A4" s="1" t="s">
        <v>14</v>
      </c>
      <c r="B4" s="1" t="s">
        <v>15</v>
      </c>
      <c r="C4" s="1" t="s">
        <v>16</v>
      </c>
      <c r="D4" s="1" t="s">
        <v>17</v>
      </c>
      <c r="E4" s="10" t="s">
        <v>18</v>
      </c>
      <c r="F4" s="11" t="str">
        <f aca="false">IF(OR(E4="",E4="!!!"),"",IF(NOT(ISNA(VLOOKUP(E4,E$1:E3,1,FALSE()))),"OLD",IF(AND(E4&lt;&gt;"",E4&lt;&gt;"!!!"),"NEW","")))</f>
        <v>NEW</v>
      </c>
      <c r="G4" s="12" t="s">
        <v>19</v>
      </c>
      <c r="H4" s="13"/>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t="s">
        <v>20</v>
      </c>
    </row>
    <row r="5" customFormat="false" ht="12.8" hidden="false" customHeight="false" outlineLevel="0" collapsed="false">
      <c r="A5" s="1" t="s">
        <v>21</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8" hidden="false" customHeight="false" outlineLevel="0" collapsed="false">
      <c r="A6" s="1" t="s">
        <v>22</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8" hidden="false" customHeight="false" outlineLevel="0" collapsed="false">
      <c r="A7" s="1" t="s">
        <v>23</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8" hidden="false" customHeight="false" outlineLevel="0" collapsed="false">
      <c r="A8" s="1" t="s">
        <v>24</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8" hidden="false" customHeight="false" outlineLevel="0" collapsed="false">
      <c r="A9" s="1" t="s">
        <v>25</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23.85" hidden="false" customHeight="false" outlineLevel="0" collapsed="false">
      <c r="A10" s="1" t="s">
        <v>26</v>
      </c>
      <c r="B10" s="1" t="s">
        <v>27</v>
      </c>
      <c r="C10" s="1" t="s">
        <v>28</v>
      </c>
      <c r="D10" s="1" t="s">
        <v>17</v>
      </c>
      <c r="E10" s="10" t="s">
        <v>29</v>
      </c>
      <c r="F10" s="11" t="str">
        <f aca="false">IF(OR(E10="",E10="!!!"),"",IF(NOT(ISNA(VLOOKUP(E10,E$1:E9,1,FALSE()))),"OLD",IF(AND(E10&lt;&gt;"",E10&lt;&gt;"!!!"),"NEW","")))</f>
        <v>NEW</v>
      </c>
      <c r="G10" s="12" t="s">
        <v>19</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t="s">
        <v>30</v>
      </c>
    </row>
    <row r="11" customFormat="false" ht="12.8" hidden="false" customHeight="false" outlineLevel="0" collapsed="false">
      <c r="A11" s="1" t="s">
        <v>31</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8" hidden="false" customHeight="false" outlineLevel="0" collapsed="false">
      <c r="A12" s="1" t="s">
        <v>25</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8" hidden="false" customHeight="false" outlineLevel="0" collapsed="false">
      <c r="A13" s="1" t="s">
        <v>32</v>
      </c>
      <c r="B13" s="1" t="s">
        <v>27</v>
      </c>
      <c r="C13" s="1" t="s">
        <v>28</v>
      </c>
      <c r="D13" s="1" t="s">
        <v>17</v>
      </c>
      <c r="E13" s="10" t="s">
        <v>33</v>
      </c>
      <c r="F13" s="11" t="str">
        <f aca="false">IF(OR(E13="",E13="!!!"),"",IF(NOT(ISNA(VLOOKUP(E13,E$1:E12,1,FALSE()))),"OLD",IF(AND(E13&lt;&gt;"",E13&lt;&gt;"!!!"),"NEW","")))</f>
        <v>NEW</v>
      </c>
      <c r="G13" s="12" t="s">
        <v>19</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8" hidden="false" customHeight="false" outlineLevel="0" collapsed="false">
      <c r="A14" s="1" t="s">
        <v>34</v>
      </c>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8" hidden="false" customHeight="false" outlineLevel="0" collapsed="false">
      <c r="A15" s="1" t="s">
        <v>35</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8" hidden="false" customHeight="false" outlineLevel="0" collapsed="false">
      <c r="A16" s="1" t="s">
        <v>36</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8" hidden="false" customHeight="false" outlineLevel="0" collapsed="false">
      <c r="A17" s="1" t="s">
        <v>24</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8" hidden="false" customHeight="false" outlineLevel="0" collapsed="false">
      <c r="A18" s="1" t="s">
        <v>25</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8" hidden="false" customHeight="false" outlineLevel="0" collapsed="false">
      <c r="A19" s="1" t="s">
        <v>37</v>
      </c>
      <c r="B19" s="1" t="s">
        <v>38</v>
      </c>
      <c r="C19" s="1" t="s">
        <v>28</v>
      </c>
      <c r="D19" s="1" t="s">
        <v>17</v>
      </c>
      <c r="E19" s="10" t="s">
        <v>37</v>
      </c>
      <c r="F19" s="11" t="str">
        <f aca="false">IF(OR(E19="",E19="!!!"),"",IF(NOT(ISNA(VLOOKUP(E19,E$1:E18,1,FALSE()))),"OLD",IF(AND(E19&lt;&gt;"",E19&lt;&gt;"!!!"),"NEW","")))</f>
        <v>NEW</v>
      </c>
      <c r="G19" s="12" t="s">
        <v>19</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8" hidden="false" customHeight="false" outlineLevel="0" collapsed="false">
      <c r="A20" s="1" t="s">
        <v>39</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8" hidden="false" customHeight="false" outlineLevel="0" collapsed="false">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8" hidden="false" customHeight="false" outlineLevel="0" collapsed="false">
      <c r="A22" s="1" t="s">
        <v>40</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8" hidden="false" customHeight="false" outlineLevel="0" collapsed="false">
      <c r="A23" s="1" t="s">
        <v>41</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8" hidden="false" customHeight="false" outlineLevel="0" collapsed="false">
      <c r="A24" s="1" t="s">
        <v>42</v>
      </c>
      <c r="B24" s="1" t="s">
        <v>43</v>
      </c>
      <c r="C24" s="1" t="s">
        <v>44</v>
      </c>
      <c r="D24" s="1" t="s">
        <v>17</v>
      </c>
      <c r="E24" s="10" t="s">
        <v>18</v>
      </c>
      <c r="F24" s="11" t="str">
        <f aca="false">IF(OR(E24="",E24="!!!"),"",IF(NOT(ISNA(VLOOKUP(E24,E$1:E23,1,FALSE()))),"OLD",IF(AND(E24&lt;&gt;"",E24&lt;&gt;"!!!"),"NEW","")))</f>
        <v>OLD</v>
      </c>
      <c r="G24" s="12" t="s">
        <v>45</v>
      </c>
      <c r="H24" s="13" t="str">
        <f aca="false">IF(J24&lt;&gt;1,"",IF(I24="SBJ","CB","?"))</f>
        <v>CB</v>
      </c>
      <c r="I24" s="14" t="str">
        <f aca="false">IF(OR(E24="",E24="!!!",F24="NEW"),"",INDEX(B$2:B23,-1+SUMPRODUCT(MAX(ROW(E$2:E23)*(E24=E$2:E23)))))</f>
        <v>SBJ</v>
      </c>
      <c r="J24" s="15" t="n">
        <f aca="true">IF(OR(E24="",E24="!!!",F24="NEW"),"",COUNTBLANK(OFFSET(A$1,,,SUMPRODUCT(MAX(ROW(E$2:E24)*(E24=E$2:E24)))))-COUNTBLANK(OFFSET(A$1,,,SUMPRODUCT(MAX(ROW(E$1:E23)*(E24=E$1:E23))))))</f>
        <v>1</v>
      </c>
      <c r="K24" s="15" t="str">
        <f aca="false">IF(OR(E24="",E24="!!!",F24="NEW"),"",INDEX(J$1:J23,SUMPRODUCT(MAX(ROW(E$1:E23)*(E24=E$1:E23)))))</f>
        <v/>
      </c>
      <c r="L24" s="16"/>
    </row>
    <row r="25" customFormat="false" ht="12.8" hidden="false" customHeight="false" outlineLevel="0" collapsed="false">
      <c r="A25" s="1" t="s">
        <v>46</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8" hidden="false" customHeight="false" outlineLevel="0" collapsed="false">
      <c r="A26" s="1" t="s">
        <v>47</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8" hidden="false" customHeight="false" outlineLevel="0" collapsed="false">
      <c r="A27" s="1" t="s">
        <v>48</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8" hidden="false" customHeight="false" outlineLevel="0" collapsed="false">
      <c r="A28" s="1" t="s">
        <v>49</v>
      </c>
      <c r="B28" s="1" t="s">
        <v>50</v>
      </c>
      <c r="C28" s="1" t="s">
        <v>51</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8" hidden="false" customHeight="false" outlineLevel="0" collapsed="false">
      <c r="A29" s="1" t="s">
        <v>52</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8" hidden="false" customHeight="false" outlineLevel="0" collapsed="false">
      <c r="A30" s="1" t="s">
        <v>48</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8" hidden="false" customHeight="false" outlineLevel="0" collapsed="false">
      <c r="A31" s="1" t="s">
        <v>53</v>
      </c>
      <c r="B31" s="1" t="s">
        <v>38</v>
      </c>
      <c r="C31" s="1" t="s">
        <v>54</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8" hidden="false" customHeight="false" outlineLevel="0" collapsed="false">
      <c r="A32" s="1" t="s">
        <v>55</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8" hidden="false" customHeight="false" outlineLevel="0" collapsed="false">
      <c r="A33" s="1" t="s">
        <v>42</v>
      </c>
      <c r="B33" s="1" t="s">
        <v>15</v>
      </c>
      <c r="C33" s="1" t="s">
        <v>44</v>
      </c>
      <c r="D33" s="1" t="s">
        <v>17</v>
      </c>
      <c r="E33" s="10" t="s">
        <v>18</v>
      </c>
      <c r="F33" s="11" t="str">
        <f aca="false">IF(OR(E33="",E33="!!!"),"",IF(NOT(ISNA(VLOOKUP(E33,E$1:E32,1,FALSE()))),"OLD",IF(AND(E33&lt;&gt;"",E33&lt;&gt;"!!!"),"NEW","")))</f>
        <v>OLD</v>
      </c>
      <c r="G33" s="12" t="s">
        <v>45</v>
      </c>
      <c r="H33" s="13" t="str">
        <f aca="false">IF(J33&lt;&gt;1,"",IF(I33="SBJ","CB","?"))</f>
        <v/>
      </c>
      <c r="I33" s="14" t="str">
        <f aca="false">IF(OR(E33="",E33="!!!",F33="NEW"),"",INDEX(B$2:B32,-1+SUMPRODUCT(MAX(ROW(E$2:E32)*(E33=E$2:E32)))))</f>
        <v>SBJ_2</v>
      </c>
      <c r="J33" s="15" t="n">
        <f aca="true">IF(OR(E33="",E33="!!!",F33="NEW"),"",COUNTBLANK(OFFSET(A$1,,,SUMPRODUCT(MAX(ROW(E$2:E33)*(E33=E$2:E33)))))-COUNTBLANK(OFFSET(A$1,,,SUMPRODUCT(MAX(ROW(E$1:E32)*(E33=E$1:E32))))))</f>
        <v>0</v>
      </c>
      <c r="K33" s="15" t="n">
        <f aca="false">IF(OR(E33="",E33="!!!",F33="NEW"),"",INDEX(J$1:J32,SUMPRODUCT(MAX(ROW(E$1:E32)*(E33=E$1:E32)))))</f>
        <v>1</v>
      </c>
      <c r="L33" s="16"/>
    </row>
    <row r="34" customFormat="false" ht="12.8" hidden="false" customHeight="false" outlineLevel="0" collapsed="false">
      <c r="A34" s="1" t="s">
        <v>21</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8" hidden="false" customHeight="false" outlineLevel="0" collapsed="false">
      <c r="A35" s="1" t="s">
        <v>56</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8" hidden="false" customHeight="false" outlineLevel="0" collapsed="false">
      <c r="A36" s="1" t="s">
        <v>57</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8" hidden="false" customHeight="false" outlineLevel="0" collapsed="false">
      <c r="A37" s="1" t="s">
        <v>39</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8" hidden="false" customHeight="false" outlineLevel="0" collapsed="false">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8" hidden="false" customHeight="false" outlineLevel="0" collapsed="false">
      <c r="A39" s="1" t="s">
        <v>58</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8" hidden="false" customHeight="false" outlineLevel="0" collapsed="false">
      <c r="A40" s="1" t="s">
        <v>59</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8" hidden="false" customHeight="false" outlineLevel="0" collapsed="false">
      <c r="A41" s="1" t="s">
        <v>60</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8" hidden="false" customHeight="false" outlineLevel="0" collapsed="false">
      <c r="A42" s="1" t="s">
        <v>61</v>
      </c>
      <c r="B42" s="1" t="s">
        <v>15</v>
      </c>
      <c r="C42" s="1" t="s">
        <v>28</v>
      </c>
      <c r="D42" s="1" t="s">
        <v>17</v>
      </c>
      <c r="E42" s="10" t="s">
        <v>37</v>
      </c>
      <c r="F42" s="11" t="str">
        <f aca="false">IF(OR(E42="",E42="!!!"),"",IF(NOT(ISNA(VLOOKUP(E42,E$1:E41,1,FALSE()))),"OLD",IF(AND(E42&lt;&gt;"",E42&lt;&gt;"!!!"),"NEW","")))</f>
        <v>OLD</v>
      </c>
      <c r="G42" s="12" t="s">
        <v>62</v>
      </c>
      <c r="H42" s="13" t="str">
        <f aca="false">IF(J42&lt;&gt;1,"",IF(I42="SBJ","CB","?"))</f>
        <v/>
      </c>
      <c r="I42" s="14" t="str">
        <f aca="false">IF(OR(E42="",E42="!!!",F42="NEW"),"",INDEX(B$2:B41,-1+SUMPRODUCT(MAX(ROW(E$2:E41)*(E42=E$2:E41)))))</f>
        <v>other_3</v>
      </c>
      <c r="J42" s="15" t="n">
        <f aca="true">IF(OR(E42="",E42="!!!",F42="NEW"),"",COUNTBLANK(OFFSET(A$1,,,SUMPRODUCT(MAX(ROW(E$2:E42)*(E42=E$2:E42)))))-COUNTBLANK(OFFSET(A$1,,,SUMPRODUCT(MAX(ROW(E$1:E41)*(E42=E$1:E41))))))</f>
        <v>2</v>
      </c>
      <c r="K42" s="15" t="str">
        <f aca="false">IF(OR(E42="",E42="!!!",F42="NEW"),"",INDEX(J$1:J41,SUMPRODUCT(MAX(ROW(E$1:E41)*(E42=E$1:E41)))))</f>
        <v/>
      </c>
      <c r="L42" s="16"/>
    </row>
    <row r="43" customFormat="false" ht="12.8" hidden="false" customHeight="false" outlineLevel="0" collapsed="false">
      <c r="A43" s="1" t="s">
        <v>63</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8" hidden="false" customHeight="false" outlineLevel="0" collapsed="false">
      <c r="A44" s="1" t="s">
        <v>52</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8" hidden="false" customHeight="false" outlineLevel="0" collapsed="false">
      <c r="A45" s="1" t="s">
        <v>64</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8" hidden="false" customHeight="false" outlineLevel="0" collapsed="false">
      <c r="A46" s="1" t="s">
        <v>34</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8" hidden="false" customHeight="false" outlineLevel="0" collapsed="false">
      <c r="A47" s="1" t="s">
        <v>65</v>
      </c>
      <c r="B47" s="1" t="s">
        <v>66</v>
      </c>
      <c r="C47" s="1" t="s">
        <v>44</v>
      </c>
      <c r="D47" s="1" t="s">
        <v>17</v>
      </c>
      <c r="E47" s="10" t="s">
        <v>18</v>
      </c>
      <c r="F47" s="11" t="str">
        <f aca="false">IF(OR(E47="",E47="!!!"),"",IF(NOT(ISNA(VLOOKUP(E47,E$1:E46,1,FALSE()))),"OLD",IF(AND(E47&lt;&gt;"",E47&lt;&gt;"!!!"),"NEW","")))</f>
        <v>OLD</v>
      </c>
      <c r="G47" s="12" t="s">
        <v>45</v>
      </c>
      <c r="H47" s="13" t="str">
        <f aca="false">IF(J47&lt;&gt;1,"",IF(I47="SBJ","CB","?"))</f>
        <v>CB</v>
      </c>
      <c r="I47" s="14" t="str">
        <f aca="false">IF(OR(E47="",E47="!!!",F47="NEW"),"",INDEX(B$2:B46,-1+SUMPRODUCT(MAX(ROW(E$2:E46)*(E47=E$2:E46)))))</f>
        <v>SBJ</v>
      </c>
      <c r="J47" s="15" t="n">
        <f aca="true">IF(OR(E47="",E47="!!!",F47="NEW"),"",COUNTBLANK(OFFSET(A$1,,,SUMPRODUCT(MAX(ROW(E$2:E47)*(E47=E$2:E47)))))-COUNTBLANK(OFFSET(A$1,,,SUMPRODUCT(MAX(ROW(E$1:E46)*(E47=E$1:E46))))))</f>
        <v>1</v>
      </c>
      <c r="K47" s="15" t="n">
        <f aca="false">IF(OR(E47="",E47="!!!",F47="NEW"),"",INDEX(J$1:J46,SUMPRODUCT(MAX(ROW(E$1:E46)*(E47=E$1:E46)))))</f>
        <v>0</v>
      </c>
      <c r="L47" s="16"/>
    </row>
    <row r="48" customFormat="false" ht="12.8" hidden="false" customHeight="false" outlineLevel="0" collapsed="false">
      <c r="A48" s="1" t="s">
        <v>55</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8" hidden="false" customHeight="false" outlineLevel="0" collapsed="false">
      <c r="A49" s="1" t="s">
        <v>67</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8" hidden="false" customHeight="false" outlineLevel="0" collapsed="false">
      <c r="A50" s="1" t="s">
        <v>68</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8" hidden="false" customHeight="false" outlineLevel="0" collapsed="false">
      <c r="A51" s="1" t="s">
        <v>69</v>
      </c>
      <c r="B51" s="1" t="s">
        <v>70</v>
      </c>
      <c r="C51" s="1" t="s">
        <v>44</v>
      </c>
      <c r="D51" s="1" t="s">
        <v>17</v>
      </c>
      <c r="E51" s="10" t="s">
        <v>18</v>
      </c>
      <c r="F51" s="11" t="str">
        <f aca="false">IF(OR(E51="",E51="!!!"),"",IF(NOT(ISNA(VLOOKUP(E51,E$1:E50,1,FALSE()))),"OLD",IF(AND(E51&lt;&gt;"",E51&lt;&gt;"!!!"),"NEW","")))</f>
        <v>OLD</v>
      </c>
      <c r="G51" s="12" t="s">
        <v>45</v>
      </c>
      <c r="H51" s="13" t="str">
        <f aca="false">IF(J51&lt;&gt;1,"",IF(I51="SBJ","CB","?"))</f>
        <v/>
      </c>
      <c r="I51" s="14" t="str">
        <f aca="false">IF(OR(E51="",E51="!!!",F51="NEW"),"",INDEX(B$2:B50,-1+SUMPRODUCT(MAX(ROW(E$2:E50)*(E51=E$2:E50)))))</f>
        <v>other_2</v>
      </c>
      <c r="J51" s="15" t="n">
        <f aca="true">IF(OR(E51="",E51="!!!",F51="NEW"),"",COUNTBLANK(OFFSET(A$1,,,SUMPRODUCT(MAX(ROW(E$2:E51)*(E51=E$2:E51)))))-COUNTBLANK(OFFSET(A$1,,,SUMPRODUCT(MAX(ROW(E$1:E50)*(E51=E$1:E50))))))</f>
        <v>0</v>
      </c>
      <c r="K51" s="15" t="n">
        <f aca="false">IF(OR(E51="",E51="!!!",F51="NEW"),"",INDEX(J$1:J50,SUMPRODUCT(MAX(ROW(E$1:E50)*(E51=E$1:E50)))))</f>
        <v>1</v>
      </c>
      <c r="L51" s="16"/>
    </row>
    <row r="52" customFormat="false" ht="12.8" hidden="false" customHeight="false" outlineLevel="0" collapsed="false">
      <c r="A52" s="1" t="s">
        <v>71</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8" hidden="false" customHeight="false" outlineLevel="0" collapsed="false">
      <c r="A53" s="1" t="s">
        <v>25</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8" hidden="false" customHeight="false" outlineLevel="0" collapsed="false">
      <c r="A54" s="1" t="s">
        <v>72</v>
      </c>
      <c r="B54" s="1" t="s">
        <v>38</v>
      </c>
      <c r="C54" s="1" t="s">
        <v>16</v>
      </c>
      <c r="D54" s="1" t="s">
        <v>17</v>
      </c>
      <c r="E54" s="10"/>
      <c r="F54" s="11" t="s">
        <v>73</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8" hidden="false" customHeight="false" outlineLevel="0" collapsed="false">
      <c r="A55" s="1" t="s">
        <v>74</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8" hidden="false" customHeight="false" outlineLevel="0" collapsed="false">
      <c r="A56" s="1" t="s">
        <v>75</v>
      </c>
      <c r="B56" s="1" t="s">
        <v>76</v>
      </c>
      <c r="C56" s="1" t="s">
        <v>16</v>
      </c>
      <c r="D56" s="1" t="s">
        <v>17</v>
      </c>
      <c r="E56" s="10" t="s">
        <v>77</v>
      </c>
      <c r="F56" s="11" t="str">
        <f aca="false">IF(OR(E56="",E56="!!!"),"",IF(NOT(ISNA(VLOOKUP(E56,E$1:E55,1,FALSE()))),"OLD",IF(AND(E56&lt;&gt;"",E56&lt;&gt;"!!!"),"NEW","")))</f>
        <v>NEW</v>
      </c>
      <c r="G56" s="12" t="s">
        <v>19</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8" hidden="false" customHeight="false" outlineLevel="0" collapsed="false">
      <c r="A57" s="1" t="s">
        <v>55</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8" hidden="false" customHeight="false" outlineLevel="0" collapsed="false">
      <c r="A58" s="1" t="s">
        <v>78</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8" hidden="false" customHeight="false" outlineLevel="0" collapsed="false">
      <c r="A59" s="1" t="s">
        <v>79</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8" hidden="false" customHeight="false" outlineLevel="0" collapsed="false">
      <c r="A60" s="1" t="s">
        <v>80</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8" hidden="false" customHeight="false" outlineLevel="0" collapsed="false">
      <c r="A61" s="1" t="s">
        <v>81</v>
      </c>
      <c r="B61" s="1" t="s">
        <v>70</v>
      </c>
      <c r="C61" s="1" t="s">
        <v>82</v>
      </c>
      <c r="D61" s="1" t="s">
        <v>17</v>
      </c>
      <c r="E61" s="10" t="s">
        <v>83</v>
      </c>
      <c r="F61" s="11" t="s">
        <v>84</v>
      </c>
      <c r="G61" s="12" t="s">
        <v>62</v>
      </c>
      <c r="H61" s="13"/>
      <c r="I61" s="14" t="e">
        <f aca="false">IF(OR(E61="",E61="!!!",F61="NEW"),"",INDEX(B$2:B60,-1+SUMPRODUCT(MAX(ROW(E$2:E60)*(E61=E$2:E60)))))</f>
        <v>#VALUE!</v>
      </c>
      <c r="J61" s="15" t="e">
        <f aca="true">IF(OR(E61="",E61="!!!",F61="NEW"),"",COUNTBLANK(OFFSET(A$1,,,SUMPRODUCT(MAX(ROW(E$2:E61)*(E61=E$2:E61)))))-COUNTBLANK(OFFSET(A$1,,,SUMPRODUCT(MAX(ROW(E$1:E60)*(E61=E$1:E60))))))</f>
        <v>#VALUE!</v>
      </c>
      <c r="K61" s="15" t="e">
        <f aca="false">IF(OR(E61="",E61="!!!",F61="NEW"),"",INDEX(J$1:J60,SUMPRODUCT(MAX(ROW(E$1:E60)*(E61=E$1:E60)))))</f>
        <v>#VALUE!</v>
      </c>
      <c r="L61" s="16" t="s">
        <v>85</v>
      </c>
    </row>
    <row r="62" customFormat="false" ht="12.8" hidden="false" customHeight="false" outlineLevel="0" collapsed="false">
      <c r="A62" s="1" t="s">
        <v>86</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8" hidden="false" customHeight="false" outlineLevel="0" collapsed="false">
      <c r="A63" s="1" t="s">
        <v>87</v>
      </c>
      <c r="B63" s="1" t="s">
        <v>76</v>
      </c>
      <c r="C63" s="1" t="s">
        <v>54</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8" hidden="false" customHeight="false" outlineLevel="0" collapsed="false">
      <c r="A64" s="1" t="s">
        <v>39</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8" hidden="false" customHeight="false" outlineLevel="0" collapsed="false">
      <c r="A65" s="1" t="s">
        <v>67</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8" hidden="false" customHeight="false" outlineLevel="0" collapsed="false">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8" hidden="false" customHeight="false" outlineLevel="0" collapsed="false">
      <c r="A67" s="1" t="s">
        <v>58</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8" hidden="false" customHeight="false" outlineLevel="0" collapsed="false">
      <c r="A68" s="1" t="s">
        <v>88</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8" hidden="false" customHeight="false" outlineLevel="0" collapsed="false">
      <c r="A69" s="1" t="s">
        <v>89</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8" hidden="false" customHeight="false" outlineLevel="0" collapsed="false">
      <c r="A70" s="1" t="s">
        <v>42</v>
      </c>
      <c r="B70" s="1" t="s">
        <v>15</v>
      </c>
      <c r="C70" s="1" t="s">
        <v>44</v>
      </c>
      <c r="D70" s="1" t="s">
        <v>17</v>
      </c>
      <c r="E70" s="10" t="s">
        <v>18</v>
      </c>
      <c r="F70" s="11" t="str">
        <f aca="false">IF(OR(E70="",E70="!!!"),"",IF(NOT(ISNA(VLOOKUP(E70,E$1:E69,1,FALSE()))),"OLD",IF(AND(E70&lt;&gt;"",E70&lt;&gt;"!!!"),"NEW","")))</f>
        <v>OLD</v>
      </c>
      <c r="G70" s="12" t="s">
        <v>45</v>
      </c>
      <c r="H70" s="13" t="s">
        <v>7</v>
      </c>
      <c r="I70" s="14" t="str">
        <f aca="false">IF(OR(E70="",E70="!!!",F70="NEW"),"",INDEX(B$2:B69,-1+SUMPRODUCT(MAX(ROW(E$2:E69)*(E70=E$2:E69)))))</f>
        <v>SBJ_4</v>
      </c>
      <c r="J70" s="15" t="n">
        <f aca="true">IF(OR(E70="",E70="!!!",F70="NEW"),"",COUNTBLANK(OFFSET(A$1,,,SUMPRODUCT(MAX(ROW(E$2:E70)*(E70=E$2:E70)))))-COUNTBLANK(OFFSET(A$1,,,SUMPRODUCT(MAX(ROW(E$1:E69)*(E70=E$1:E69))))))</f>
        <v>1</v>
      </c>
      <c r="K70" s="15" t="n">
        <f aca="false">IF(OR(E70="",E70="!!!",F70="NEW"),"",INDEX(J$1:J69,SUMPRODUCT(MAX(ROW(E$1:E69)*(E70=E$1:E69)))))</f>
        <v>0</v>
      </c>
      <c r="L70" s="16"/>
    </row>
    <row r="71" customFormat="false" ht="12.8" hidden="false" customHeight="false" outlineLevel="0" collapsed="false">
      <c r="A71" s="1" t="s">
        <v>90</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8" hidden="false" customHeight="false" outlineLevel="0" collapsed="false">
      <c r="A72" s="1" t="s">
        <v>55</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8" hidden="false" customHeight="false" outlineLevel="0" collapsed="false">
      <c r="A73" s="1" t="s">
        <v>67</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8" hidden="false" customHeight="false" outlineLevel="0" collapsed="false">
      <c r="A74" s="1" t="s">
        <v>91</v>
      </c>
      <c r="B74" s="1" t="s">
        <v>43</v>
      </c>
      <c r="C74" s="1" t="s">
        <v>44</v>
      </c>
      <c r="D74" s="1" t="s">
        <v>17</v>
      </c>
      <c r="E74" s="10"/>
      <c r="F74" s="11" t="s">
        <v>92</v>
      </c>
      <c r="G74" s="12"/>
      <c r="H74" s="13"/>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8" hidden="false" customHeight="false" outlineLevel="0" collapsed="false">
      <c r="A75" s="1" t="s">
        <v>93</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8" hidden="false" customHeight="false" outlineLevel="0" collapsed="false">
      <c r="A76" s="1" t="s">
        <v>94</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8" hidden="false" customHeight="false" outlineLevel="0" collapsed="false">
      <c r="A77" s="1" t="s">
        <v>55</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8" hidden="false" customHeight="false" outlineLevel="0" collapsed="false">
      <c r="A78" s="1" t="s">
        <v>95</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8" hidden="false" customHeight="false" outlineLevel="0" collapsed="false">
      <c r="A79" s="1" t="s">
        <v>96</v>
      </c>
      <c r="B79" s="1" t="s">
        <v>97</v>
      </c>
      <c r="C79" s="1" t="s">
        <v>54</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8" hidden="false" customHeight="false" outlineLevel="0" collapsed="false">
      <c r="A80" s="1" t="s">
        <v>98</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8" hidden="false" customHeight="false" outlineLevel="0" collapsed="false">
      <c r="A81" s="1" t="s">
        <v>99</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8" hidden="false" customHeight="false" outlineLevel="0" collapsed="false">
      <c r="A82" s="1" t="s">
        <v>100</v>
      </c>
      <c r="E82" s="10"/>
      <c r="F82" s="11"/>
      <c r="G82" s="12"/>
      <c r="H82" s="13"/>
      <c r="I82" s="14"/>
      <c r="J82" s="15"/>
      <c r="K82" s="15"/>
      <c r="L82" s="16"/>
    </row>
    <row r="83" customFormat="false" ht="12.8" hidden="false" customHeight="false" outlineLevel="0" collapsed="false">
      <c r="A83" s="1" t="s">
        <v>24</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8" hidden="false" customHeight="false" outlineLevel="0" collapsed="false">
      <c r="A84" s="1" t="s">
        <v>87</v>
      </c>
      <c r="B84" s="1" t="s">
        <v>38</v>
      </c>
      <c r="C84" s="1" t="s">
        <v>54</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8" hidden="false" customHeight="false" outlineLevel="0" collapsed="false">
      <c r="A85" s="1" t="s">
        <v>101</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8" hidden="false" customHeight="false" outlineLevel="0" collapsed="false">
      <c r="A86" s="1" t="s">
        <v>55</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8" hidden="false" customHeight="false" outlineLevel="0" collapsed="false">
      <c r="A87" s="1" t="s">
        <v>102</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8" hidden="false" customHeight="false" outlineLevel="0" collapsed="false">
      <c r="A88" s="1" t="s">
        <v>24</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8" hidden="false" customHeight="false" outlineLevel="0" collapsed="false">
      <c r="A89" s="1" t="s">
        <v>103</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8" hidden="false" customHeight="false" outlineLevel="0" collapsed="false">
      <c r="A90" s="1" t="s">
        <v>104</v>
      </c>
      <c r="B90" s="1" t="s">
        <v>66</v>
      </c>
      <c r="C90" s="1" t="s">
        <v>105</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8" hidden="false" customHeight="false" outlineLevel="0" collapsed="false">
      <c r="A91" s="1" t="s">
        <v>79</v>
      </c>
      <c r="B91" s="1" t="s">
        <v>70</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8" hidden="false" customHeight="false" outlineLevel="0" collapsed="false">
      <c r="A92" s="1" t="s">
        <v>106</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8" hidden="false" customHeight="false" outlineLevel="0" collapsed="false">
      <c r="A93" s="1" t="s">
        <v>107</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8" hidden="false" customHeight="false" outlineLevel="0" collapsed="false">
      <c r="A94" s="1" t="s">
        <v>74</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8" hidden="false" customHeight="false" outlineLevel="0" collapsed="false">
      <c r="A95" s="1" t="s">
        <v>25</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8" hidden="false" customHeight="false" outlineLevel="0" collapsed="false">
      <c r="A96" s="1" t="s">
        <v>108</v>
      </c>
      <c r="B96" s="1" t="s">
        <v>76</v>
      </c>
      <c r="C96" s="1" t="s">
        <v>109</v>
      </c>
      <c r="D96" s="1" t="s">
        <v>17</v>
      </c>
      <c r="E96" s="10"/>
      <c r="F96" s="11" t="s">
        <v>110</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t="s">
        <v>111</v>
      </c>
    </row>
    <row r="97" customFormat="false" ht="12.8" hidden="false" customHeight="false" outlineLevel="0" collapsed="false">
      <c r="A97" s="1" t="s">
        <v>74</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8" hidden="false" customHeight="false" outlineLevel="0" collapsed="false">
      <c r="A98" s="1" t="s">
        <v>75</v>
      </c>
      <c r="B98" s="1" t="s">
        <v>112</v>
      </c>
      <c r="C98" s="1" t="s">
        <v>16</v>
      </c>
      <c r="D98" s="1" t="s">
        <v>17</v>
      </c>
      <c r="E98" s="10" t="s">
        <v>77</v>
      </c>
      <c r="F98" s="11" t="str">
        <f aca="false">IF(OR(E98="",E98="!!!"),"",IF(NOT(ISNA(VLOOKUP(E98,E$1:E97,1,FALSE()))),"OLD",IF(AND(E98&lt;&gt;"",E98&lt;&gt;"!!!"),"NEW","")))</f>
        <v>OLD</v>
      </c>
      <c r="G98" s="12" t="s">
        <v>62</v>
      </c>
      <c r="H98" s="13"/>
      <c r="I98" s="14" t="str">
        <f aca="false">IF(OR(E98="",E98="!!!",F98="NEW"),"",INDEX(B$2:B97,-1+SUMPRODUCT(MAX(ROW(E$2:E97)*(E98=E$2:E97)))))</f>
        <v>other_4</v>
      </c>
      <c r="J98" s="15" t="n">
        <f aca="true">IF(OR(E98="",E98="!!!",F98="NEW"),"",COUNTBLANK(OFFSET(A$1,,,SUMPRODUCT(MAX(ROW(E$2:E98)*(E98=E$2:E98)))))-COUNTBLANK(OFFSET(A$1,,,SUMPRODUCT(MAX(ROW(E$1:E97)*(E98=E$1:E97))))))</f>
        <v>1</v>
      </c>
      <c r="K98" s="15" t="str">
        <f aca="false">IF(OR(E98="",E98="!!!",F98="NEW"),"",INDEX(J$1:J97,SUMPRODUCT(MAX(ROW(E$1:E97)*(E98=E$1:E97)))))</f>
        <v/>
      </c>
      <c r="L98" s="16"/>
    </row>
    <row r="99" customFormat="false" ht="12.8" hidden="false" customHeight="false" outlineLevel="0" collapsed="false">
      <c r="A99" s="1" t="s">
        <v>39</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8" hidden="false" customHeight="false" outlineLevel="0" collapsed="false">
      <c r="A100" s="1" t="s">
        <v>95</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8" hidden="false" customHeight="false" outlineLevel="0" collapsed="false">
      <c r="A101" s="1" t="s">
        <v>67</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8" hidden="false" customHeight="false" outlineLevel="0" collapsed="false">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8" hidden="false" customHeight="false" outlineLevel="0" collapsed="false">
      <c r="A103" s="1" t="s">
        <v>113</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8" hidden="false" customHeight="false" outlineLevel="0" collapsed="false">
      <c r="A104" s="1" t="s">
        <v>13</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8" hidden="false" customHeight="false" outlineLevel="0" collapsed="false">
      <c r="A105" s="1" t="s">
        <v>25</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8" hidden="false" customHeight="false" outlineLevel="0" collapsed="false">
      <c r="A106" s="1" t="s">
        <v>37</v>
      </c>
      <c r="B106" s="1" t="s">
        <v>15</v>
      </c>
      <c r="C106" s="1" t="s">
        <v>16</v>
      </c>
      <c r="D106" s="1" t="s">
        <v>17</v>
      </c>
      <c r="E106" s="10" t="s">
        <v>37</v>
      </c>
      <c r="F106" s="11" t="str">
        <f aca="false">IF(OR(E106="",E106="!!!"),"",IF(NOT(ISNA(VLOOKUP(E106,E$1:E105,1,FALSE()))),"OLD",IF(AND(E106&lt;&gt;"",E106&lt;&gt;"!!!"),"NEW","")))</f>
        <v>OLD</v>
      </c>
      <c r="G106" s="12" t="s">
        <v>62</v>
      </c>
      <c r="H106" s="13" t="str">
        <f aca="false">IF(J106&lt;&gt;1,"",IF(I106="SBJ","CB","?"))</f>
        <v/>
      </c>
      <c r="I106" s="14" t="str">
        <f aca="false">IF(OR(E106="",E106="!!!",F106="NEW"),"",INDEX(B$2:B105,-1+SUMPRODUCT(MAX(ROW(E$2:E105)*(E106=E$2:E105)))))</f>
        <v>SBJ</v>
      </c>
      <c r="J106" s="15" t="n">
        <f aca="true">IF(OR(E106="",E106="!!!",F106="NEW"),"",COUNTBLANK(OFFSET(A$1,,,SUMPRODUCT(MAX(ROW(E$2:E106)*(E106=E$2:E106)))))-COUNTBLANK(OFFSET(A$1,,,SUMPRODUCT(MAX(ROW(E$1:E105)*(E106=E$1:E105))))))</f>
        <v>2</v>
      </c>
      <c r="K106" s="15" t="n">
        <f aca="false">IF(OR(E106="",E106="!!!",F106="NEW"),"",INDEX(J$1:J105,SUMPRODUCT(MAX(ROW(E$1:E105)*(E106=E$1:E105)))))</f>
        <v>2</v>
      </c>
      <c r="L106" s="16"/>
    </row>
    <row r="107" customFormat="false" ht="12.8" hidden="false" customHeight="false" outlineLevel="0" collapsed="false">
      <c r="A107" s="1" t="s">
        <v>114</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8" hidden="false" customHeight="false" outlineLevel="0" collapsed="false">
      <c r="A108" s="1" t="s">
        <v>65</v>
      </c>
      <c r="B108" s="1" t="s">
        <v>115</v>
      </c>
      <c r="C108" s="1" t="s">
        <v>44</v>
      </c>
      <c r="D108" s="1" t="s">
        <v>17</v>
      </c>
      <c r="E108" s="10" t="s">
        <v>18</v>
      </c>
      <c r="F108" s="11" t="str">
        <f aca="false">IF(OR(E108="",E108="!!!"),"",IF(NOT(ISNA(VLOOKUP(E108,E$1:E107,1,FALSE()))),"OLD",IF(AND(E108&lt;&gt;"",E108&lt;&gt;"!!!"),"NEW","")))</f>
        <v>OLD</v>
      </c>
      <c r="G108" s="12" t="s">
        <v>45</v>
      </c>
      <c r="H108" s="13" t="str">
        <f aca="false">IF(J108&lt;&gt;1,"",IF(I108="SBJ","CB","?"))</f>
        <v>CB</v>
      </c>
      <c r="I108" s="14" t="str">
        <f aca="false">IF(OR(E108="",E108="!!!",F108="NEW"),"",INDEX(B$2:B107,-1+SUMPRODUCT(MAX(ROW(E$2:E107)*(E108=E$2:E107)))))</f>
        <v>SBJ</v>
      </c>
      <c r="J108" s="15" t="n">
        <f aca="true">IF(OR(E108="",E108="!!!",F108="NEW"),"",COUNTBLANK(OFFSET(A$1,,,SUMPRODUCT(MAX(ROW(E$2:E108)*(E108=E$2:E108)))))-COUNTBLANK(OFFSET(A$1,,,SUMPRODUCT(MAX(ROW(E$1:E107)*(E108=E$1:E107))))))</f>
        <v>1</v>
      </c>
      <c r="K108" s="15" t="n">
        <f aca="false">IF(OR(E108="",E108="!!!",F108="NEW"),"",INDEX(J$1:J107,SUMPRODUCT(MAX(ROW(E$1:E107)*(E108=E$1:E107)))))</f>
        <v>1</v>
      </c>
      <c r="L108" s="16"/>
    </row>
    <row r="109" customFormat="false" ht="12.8" hidden="false" customHeight="false" outlineLevel="0" collapsed="false">
      <c r="A109" s="1" t="s">
        <v>31</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8" hidden="false" customHeight="false" outlineLevel="0" collapsed="false">
      <c r="A110" s="1" t="s">
        <v>25</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8" hidden="false" customHeight="false" outlineLevel="0" collapsed="false">
      <c r="A111" s="1" t="s">
        <v>116</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8" hidden="false" customHeight="false" outlineLevel="0" collapsed="false">
      <c r="A112" s="1" t="s">
        <v>117</v>
      </c>
      <c r="B112" s="1" t="s">
        <v>27</v>
      </c>
      <c r="C112" s="1" t="s">
        <v>28</v>
      </c>
      <c r="D112" s="1" t="s">
        <v>17</v>
      </c>
      <c r="E112" s="10" t="s">
        <v>118</v>
      </c>
      <c r="F112" s="11" t="str">
        <f aca="false">IF(OR(E112="",E112="!!!"),"",IF(NOT(ISNA(VLOOKUP(E112,E$1:E111,1,FALSE()))),"OLD",IF(AND(E112&lt;&gt;"",E112&lt;&gt;"!!!"),"NEW","")))</f>
        <v>NEW</v>
      </c>
      <c r="G112" s="12" t="s">
        <v>19</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8" hidden="false" customHeight="false" outlineLevel="0" collapsed="false">
      <c r="A113" s="1" t="s">
        <v>39</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8" hidden="false" customHeight="false" outlineLevel="0" collapsed="false">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8" hidden="false" customHeight="false" outlineLevel="0" collapsed="false">
      <c r="A115" s="1" t="s">
        <v>58</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8" hidden="false" customHeight="false" outlineLevel="0" collapsed="false">
      <c r="A116" s="1" t="s">
        <v>119</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8" hidden="false" customHeight="false" outlineLevel="0" collapsed="false">
      <c r="A117" s="1" t="s">
        <v>120</v>
      </c>
      <c r="B117" s="1" t="s">
        <v>15</v>
      </c>
      <c r="C117" s="1" t="s">
        <v>44</v>
      </c>
      <c r="D117" s="1" t="s">
        <v>17</v>
      </c>
      <c r="E117" s="10" t="s">
        <v>37</v>
      </c>
      <c r="F117" s="11" t="str">
        <f aca="false">IF(OR(E117="",E117="!!!"),"",IF(NOT(ISNA(VLOOKUP(E117,E$1:E116,1,FALSE()))),"OLD",IF(AND(E117&lt;&gt;"",E117&lt;&gt;"!!!"),"NEW","")))</f>
        <v>OLD</v>
      </c>
      <c r="G117" s="12" t="s">
        <v>45</v>
      </c>
      <c r="H117" s="13" t="str">
        <f aca="false">IF(J117&lt;&gt;1,"",IF(I117="SBJ","CB","?"))</f>
        <v>CB</v>
      </c>
      <c r="I117" s="14" t="str">
        <f aca="false">IF(OR(E117="",E117="!!!",F117="NEW"),"",INDEX(B$2:B116,-1+SUMPRODUCT(MAX(ROW(E$2:E116)*(E117=E$2:E116)))))</f>
        <v>SBJ</v>
      </c>
      <c r="J117" s="15" t="n">
        <f aca="true">IF(OR(E117="",E117="!!!",F117="NEW"),"",COUNTBLANK(OFFSET(A$1,,,SUMPRODUCT(MAX(ROW(E$2:E117)*(E117=E$2:E117)))))-COUNTBLANK(OFFSET(A$1,,,SUMPRODUCT(MAX(ROW(E$1:E116)*(E117=E$1:E116))))))</f>
        <v>1</v>
      </c>
      <c r="K117" s="15" t="n">
        <f aca="false">IF(OR(E117="",E117="!!!",F117="NEW"),"",INDEX(J$1:J116,SUMPRODUCT(MAX(ROW(E$1:E116)*(E117=E$1:E116)))))</f>
        <v>2</v>
      </c>
      <c r="L117" s="16"/>
    </row>
    <row r="118" customFormat="false" ht="12.8" hidden="false" customHeight="false" outlineLevel="0" collapsed="false">
      <c r="A118" s="1" t="s">
        <v>121</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8" hidden="false" customHeight="false" outlineLevel="0" collapsed="false">
      <c r="A119" s="1" t="s">
        <v>65</v>
      </c>
      <c r="B119" s="1" t="s">
        <v>115</v>
      </c>
      <c r="C119" s="1" t="s">
        <v>44</v>
      </c>
      <c r="D119" s="1" t="s">
        <v>17</v>
      </c>
      <c r="E119" s="10" t="s">
        <v>18</v>
      </c>
      <c r="F119" s="11" t="str">
        <f aca="false">IF(OR(E119="",E119="!!!"),"",IF(NOT(ISNA(VLOOKUP(E119,E$1:E118,1,FALSE()))),"OLD",IF(AND(E119&lt;&gt;"",E119&lt;&gt;"!!!"),"NEW","")))</f>
        <v>OLD</v>
      </c>
      <c r="G119" s="12" t="s">
        <v>45</v>
      </c>
      <c r="H119" s="13"/>
      <c r="I119" s="14" t="str">
        <f aca="false">IF(OR(E119="",E119="!!!",F119="NEW"),"",INDEX(B$2:B118,-1+SUMPRODUCT(MAX(ROW(E$2:E118)*(E119=E$2:E118)))))</f>
        <v>OBJ</v>
      </c>
      <c r="J119" s="15" t="n">
        <f aca="true">IF(OR(E119="",E119="!!!",F119="NEW"),"",COUNTBLANK(OFFSET(A$1,,,SUMPRODUCT(MAX(ROW(E$2:E119)*(E119=E$2:E119)))))-COUNTBLANK(OFFSET(A$1,,,SUMPRODUCT(MAX(ROW(E$1:E118)*(E119=E$1:E118))))))</f>
        <v>1</v>
      </c>
      <c r="K119" s="15" t="n">
        <f aca="false">IF(OR(E119="",E119="!!!",F119="NEW"),"",INDEX(J$1:J118,SUMPRODUCT(MAX(ROW(E$1:E118)*(E119=E$1:E118)))))</f>
        <v>1</v>
      </c>
      <c r="L119" s="16" t="s">
        <v>122</v>
      </c>
    </row>
    <row r="120" customFormat="false" ht="12.8" hidden="false" customHeight="false" outlineLevel="0" collapsed="false">
      <c r="A120" s="1" t="s">
        <v>123</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8" hidden="false" customHeight="false" outlineLevel="0" collapsed="false">
      <c r="A121" s="1" t="s">
        <v>25</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8" hidden="false" customHeight="false" outlineLevel="0" collapsed="false">
      <c r="A122" s="1" t="s">
        <v>124</v>
      </c>
      <c r="B122" s="1" t="s">
        <v>27</v>
      </c>
      <c r="C122" s="1" t="s">
        <v>28</v>
      </c>
      <c r="D122" s="1" t="s">
        <v>17</v>
      </c>
      <c r="E122" s="10" t="s">
        <v>125</v>
      </c>
      <c r="F122" s="11" t="str">
        <f aca="false">IF(OR(E122="",E122="!!!"),"",IF(NOT(ISNA(VLOOKUP(E122,E$1:E121,1,FALSE()))),"OLD",IF(AND(E122&lt;&gt;"",E122&lt;&gt;"!!!"),"NEW","")))</f>
        <v>NEW</v>
      </c>
      <c r="G122" s="12" t="s">
        <v>126</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t="s">
        <v>127</v>
      </c>
    </row>
    <row r="123" customFormat="false" ht="12.8" hidden="false" customHeight="false" outlineLevel="0" collapsed="false">
      <c r="A123" s="1" t="s">
        <v>74</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8" hidden="false" customHeight="false" outlineLevel="0" collapsed="false">
      <c r="A124" s="1" t="s">
        <v>25</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8" hidden="false" customHeight="false" outlineLevel="0" collapsed="false">
      <c r="A125" s="1" t="s">
        <v>128</v>
      </c>
      <c r="B125" s="1" t="s">
        <v>66</v>
      </c>
      <c r="C125" s="1" t="s">
        <v>28</v>
      </c>
      <c r="D125" s="1" t="s">
        <v>17</v>
      </c>
      <c r="E125" s="10" t="s">
        <v>128</v>
      </c>
      <c r="F125" s="11" t="str">
        <f aca="false">IF(OR(E125="",E125="!!!"),"",IF(NOT(ISNA(VLOOKUP(E125,E$1:E124,1,FALSE()))),"OLD",IF(AND(E125&lt;&gt;"",E125&lt;&gt;"!!!"),"NEW","")))</f>
        <v>NEW</v>
      </c>
      <c r="G125" s="12" t="s">
        <v>19</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t="s">
        <v>129</v>
      </c>
    </row>
    <row r="126" customFormat="false" ht="12.8" hidden="false" customHeight="false" outlineLevel="0" collapsed="false">
      <c r="A126" s="1" t="s">
        <v>55</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8" hidden="false" customHeight="false" outlineLevel="0" collapsed="false">
      <c r="A127" s="1" t="s">
        <v>52</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8" hidden="false" customHeight="false" outlineLevel="0" collapsed="false">
      <c r="A128" s="1" t="s">
        <v>64</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8" hidden="false" customHeight="false" outlineLevel="0" collapsed="false">
      <c r="A129" s="1" t="s">
        <v>34</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8" hidden="false" customHeight="false" outlineLevel="0" collapsed="false">
      <c r="A130" s="1" t="s">
        <v>65</v>
      </c>
      <c r="B130" s="1" t="s">
        <v>66</v>
      </c>
      <c r="C130" s="1" t="s">
        <v>44</v>
      </c>
      <c r="D130" s="1" t="s">
        <v>17</v>
      </c>
      <c r="E130" s="10" t="s">
        <v>18</v>
      </c>
      <c r="F130" s="11" t="str">
        <f aca="false">IF(OR(E130="",E130="!!!"),"",IF(NOT(ISNA(VLOOKUP(E130,E$1:E129,1,FALSE()))),"OLD",IF(AND(E130&lt;&gt;"",E130&lt;&gt;"!!!"),"NEW","")))</f>
        <v>OLD</v>
      </c>
      <c r="G130" s="12" t="s">
        <v>45</v>
      </c>
      <c r="H130" s="13" t="str">
        <f aca="false">IF(J130&lt;&gt;1,"",IF(I130="SBJ","CB","?"))</f>
        <v/>
      </c>
      <c r="I130" s="14" t="str">
        <f aca="false">IF(OR(E130="",E130="!!!",F130="NEW"),"",INDEX(B$2:B129,-1+SUMPRODUCT(MAX(ROW(E$2:E129)*(E130=E$2:E129)))))</f>
        <v>OBJ</v>
      </c>
      <c r="J130" s="15" t="n">
        <f aca="true">IF(OR(E130="",E130="!!!",F130="NEW"),"",COUNTBLANK(OFFSET(A$1,,,SUMPRODUCT(MAX(ROW(E$2:E130)*(E130=E$2:E130)))))-COUNTBLANK(OFFSET(A$1,,,SUMPRODUCT(MAX(ROW(E$1:E129)*(E130=E$1:E129))))))</f>
        <v>0</v>
      </c>
      <c r="K130" s="15" t="n">
        <f aca="false">IF(OR(E130="",E130="!!!",F130="NEW"),"",INDEX(J$1:J129,SUMPRODUCT(MAX(ROW(E$1:E129)*(E130=E$1:E129)))))</f>
        <v>1</v>
      </c>
      <c r="L130" s="16"/>
    </row>
    <row r="131" customFormat="false" ht="12.8" hidden="false" customHeight="false" outlineLevel="0" collapsed="false">
      <c r="A131" s="1" t="s">
        <v>55</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8" hidden="false" customHeight="false" outlineLevel="0" collapsed="false">
      <c r="A132" s="1" t="s">
        <v>67</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8" hidden="false" customHeight="false" outlineLevel="0" collapsed="false">
      <c r="A133" s="1" t="s">
        <v>68</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8" hidden="false" customHeight="false" outlineLevel="0" collapsed="false">
      <c r="A134" s="1" t="s">
        <v>69</v>
      </c>
      <c r="B134" s="1" t="s">
        <v>70</v>
      </c>
      <c r="C134" s="1" t="s">
        <v>44</v>
      </c>
      <c r="D134" s="1" t="s">
        <v>17</v>
      </c>
      <c r="E134" s="10" t="s">
        <v>18</v>
      </c>
      <c r="F134" s="11" t="str">
        <f aca="false">IF(OR(E134="",E134="!!!"),"",IF(NOT(ISNA(VLOOKUP(E134,E$1:E133,1,FALSE()))),"OLD",IF(AND(E134&lt;&gt;"",E134&lt;&gt;"!!!"),"NEW","")))</f>
        <v>OLD</v>
      </c>
      <c r="G134" s="12" t="s">
        <v>45</v>
      </c>
      <c r="H134" s="13" t="str">
        <f aca="false">IF(J134&lt;&gt;1,"",IF(I134="SBJ","CB","?"))</f>
        <v/>
      </c>
      <c r="I134" s="14" t="str">
        <f aca="false">IF(OR(E134="",E134="!!!",F134="NEW"),"",INDEX(B$2:B133,-1+SUMPRODUCT(MAX(ROW(E$2:E133)*(E134=E$2:E133)))))</f>
        <v>other_2</v>
      </c>
      <c r="J134" s="15" t="n">
        <f aca="true">IF(OR(E134="",E134="!!!",F134="NEW"),"",COUNTBLANK(OFFSET(A$1,,,SUMPRODUCT(MAX(ROW(E$2:E134)*(E134=E$2:E134)))))-COUNTBLANK(OFFSET(A$1,,,SUMPRODUCT(MAX(ROW(E$1:E133)*(E134=E$1:E133))))))</f>
        <v>0</v>
      </c>
      <c r="K134" s="15" t="n">
        <f aca="false">IF(OR(E134="",E134="!!!",F134="NEW"),"",INDEX(J$1:J133,SUMPRODUCT(MAX(ROW(E$1:E133)*(E134=E$1:E133)))))</f>
        <v>0</v>
      </c>
      <c r="L134" s="16"/>
    </row>
    <row r="135" customFormat="false" ht="12.8" hidden="false" customHeight="false" outlineLevel="0" collapsed="false">
      <c r="A135" s="1" t="s">
        <v>71</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8" hidden="false" customHeight="false" outlineLevel="0" collapsed="false">
      <c r="A136" s="1" t="s">
        <v>25</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8" hidden="false" customHeight="false" outlineLevel="0" collapsed="false">
      <c r="A137" s="1" t="s">
        <v>72</v>
      </c>
      <c r="B137" s="1" t="s">
        <v>38</v>
      </c>
      <c r="C137" s="1" t="s">
        <v>16</v>
      </c>
      <c r="D137" s="1" t="s">
        <v>17</v>
      </c>
      <c r="E137" s="10"/>
      <c r="F137" s="11" t="s">
        <v>73</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8" hidden="false" customHeight="false" outlineLevel="0" collapsed="false">
      <c r="A138" s="1" t="s">
        <v>74</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8" hidden="false" customHeight="false" outlineLevel="0" collapsed="false">
      <c r="A139" s="1" t="s">
        <v>75</v>
      </c>
      <c r="B139" s="1" t="s">
        <v>76</v>
      </c>
      <c r="C139" s="1" t="s">
        <v>16</v>
      </c>
      <c r="D139" s="1" t="s">
        <v>17</v>
      </c>
      <c r="E139" s="10" t="s">
        <v>77</v>
      </c>
      <c r="F139" s="11" t="str">
        <f aca="false">IF(OR(E139="",E139="!!!"),"",IF(NOT(ISNA(VLOOKUP(E139,E$1:E138,1,FALSE()))),"OLD",IF(AND(E139&lt;&gt;"",E139&lt;&gt;"!!!"),"NEW","")))</f>
        <v>OLD</v>
      </c>
      <c r="G139" s="12" t="s">
        <v>62</v>
      </c>
      <c r="H139" s="13" t="str">
        <f aca="false">IF(J139&lt;&gt;1,"",IF(I139="SBJ","CB","?"))</f>
        <v/>
      </c>
      <c r="I139" s="14" t="str">
        <f aca="false">IF(OR(E139="",E139="!!!",F139="NEW"),"",INDEX(B$2:B138,-1+SUMPRODUCT(MAX(ROW(E$2:E138)*(E139=E$2:E138)))))</f>
        <v>other_5</v>
      </c>
      <c r="J139" s="15" t="n">
        <f aca="true">IF(OR(E139="",E139="!!!",F139="NEW"),"",COUNTBLANK(OFFSET(A$1,,,SUMPRODUCT(MAX(ROW(E$2:E139)*(E139=E$2:E139)))))-COUNTBLANK(OFFSET(A$1,,,SUMPRODUCT(MAX(ROW(E$1:E138)*(E139=E$1:E138))))))</f>
        <v>2</v>
      </c>
      <c r="K139" s="15" t="n">
        <f aca="false">IF(OR(E139="",E139="!!!",F139="NEW"),"",INDEX(J$1:J138,SUMPRODUCT(MAX(ROW(E$1:E138)*(E139=E$1:E138)))))</f>
        <v>1</v>
      </c>
      <c r="L139" s="16"/>
    </row>
    <row r="140" customFormat="false" ht="12.8" hidden="false" customHeight="false" outlineLevel="0" collapsed="false">
      <c r="A140" s="1" t="s">
        <v>55</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8" hidden="false" customHeight="false" outlineLevel="0" collapsed="false">
      <c r="A141" s="1" t="s">
        <v>130</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8" hidden="false" customHeight="false" outlineLevel="0" collapsed="false">
      <c r="A142" s="1" t="s">
        <v>131</v>
      </c>
      <c r="B142" s="1" t="s">
        <v>132</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8" hidden="false" customHeight="false" outlineLevel="0" collapsed="false">
      <c r="A143" s="1" t="s">
        <v>133</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8" hidden="false" customHeight="false" outlineLevel="0" collapsed="false">
      <c r="A144" s="1" t="s">
        <v>55</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8" hidden="false" customHeight="false" outlineLevel="0" collapsed="false">
      <c r="A145" s="1" t="s">
        <v>134</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8" hidden="false" customHeight="false" outlineLevel="0" collapsed="false">
      <c r="A146" s="1" t="s">
        <v>135</v>
      </c>
      <c r="B146" s="1" t="s">
        <v>43</v>
      </c>
      <c r="C146" s="1" t="s">
        <v>44</v>
      </c>
      <c r="D146" s="1" t="s">
        <v>17</v>
      </c>
      <c r="E146" s="10"/>
      <c r="F146" s="11" t="s">
        <v>92</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8" hidden="false" customHeight="false" outlineLevel="0" collapsed="false">
      <c r="A147" s="1" t="s">
        <v>93</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8" hidden="false" customHeight="false" outlineLevel="0" collapsed="false">
      <c r="A148" s="1" t="s">
        <v>94</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8" hidden="false" customHeight="false" outlineLevel="0" collapsed="false">
      <c r="A149" s="1" t="s">
        <v>55</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8" hidden="false" customHeight="false" outlineLevel="0" collapsed="false">
      <c r="A150" s="1" t="s">
        <v>95</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8" hidden="false" customHeight="false" outlineLevel="0" collapsed="false">
      <c r="A151" s="1" t="s">
        <v>120</v>
      </c>
      <c r="B151" s="1" t="s">
        <v>43</v>
      </c>
      <c r="C151" s="1" t="s">
        <v>44</v>
      </c>
      <c r="D151" s="1" t="s">
        <v>17</v>
      </c>
      <c r="E151" s="10" t="s">
        <v>77</v>
      </c>
      <c r="F151" s="11" t="str">
        <f aca="false">IF(OR(E151="",E151="!!!"),"",IF(NOT(ISNA(VLOOKUP(E151,E$1:E150,1,FALSE()))),"OLD",IF(AND(E151&lt;&gt;"",E151&lt;&gt;"!!!"),"NEW","")))</f>
        <v>OLD</v>
      </c>
      <c r="G151" s="12" t="s">
        <v>62</v>
      </c>
      <c r="H151" s="13" t="str">
        <f aca="false">IF(J151&lt;&gt;1,"",IF(I151="SBJ","CB","?"))</f>
        <v/>
      </c>
      <c r="I151" s="14" t="str">
        <f aca="false">IF(OR(E151="",E151="!!!",F151="NEW"),"",INDEX(B$2:B150,-1+SUMPRODUCT(MAX(ROW(E$2:E150)*(E151=E$2:E150)))))</f>
        <v>other_4</v>
      </c>
      <c r="J151" s="15" t="n">
        <f aca="true">IF(OR(E151="",E151="!!!",F151="NEW"),"",COUNTBLANK(OFFSET(A$1,,,SUMPRODUCT(MAX(ROW(E$2:E151)*(E151=E$2:E151)))))-COUNTBLANK(OFFSET(A$1,,,SUMPRODUCT(MAX(ROW(E$1:E150)*(E151=E$1:E150))))))</f>
        <v>0</v>
      </c>
      <c r="K151" s="15" t="n">
        <f aca="false">IF(OR(E151="",E151="!!!",F151="NEW"),"",INDEX(J$1:J150,SUMPRODUCT(MAX(ROW(E$1:E150)*(E151=E$1:E150)))))</f>
        <v>2</v>
      </c>
      <c r="L151" s="16"/>
    </row>
    <row r="152" customFormat="false" ht="12.8" hidden="false" customHeight="false" outlineLevel="0" collapsed="false">
      <c r="A152" s="1" t="s">
        <v>136</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8" hidden="false" customHeight="false" outlineLevel="0" collapsed="false">
      <c r="A153" s="1" t="s">
        <v>137</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8" hidden="false" customHeight="false" outlineLevel="0" collapsed="false">
      <c r="A154" s="1" t="s">
        <v>138</v>
      </c>
      <c r="B154" s="1" t="s">
        <v>38</v>
      </c>
      <c r="C154" s="1" t="s">
        <v>139</v>
      </c>
      <c r="D154" s="1" t="s">
        <v>17</v>
      </c>
      <c r="E154" s="10" t="s">
        <v>77</v>
      </c>
      <c r="F154" s="11" t="str">
        <f aca="false">IF(OR(E154="",E154="!!!"),"",IF(NOT(ISNA(VLOOKUP(E154,E$1:E153,1,FALSE()))),"OLD",IF(AND(E154&lt;&gt;"",E154&lt;&gt;"!!!"),"NEW","")))</f>
        <v>OLD</v>
      </c>
      <c r="G154" s="12" t="s">
        <v>62</v>
      </c>
      <c r="H154" s="13" t="str">
        <f aca="false">IF(J154&lt;&gt;1,"",IF(I154="SBJ","CB","?"))</f>
        <v/>
      </c>
      <c r="I154" s="14" t="str">
        <f aca="false">IF(OR(E154="",E154="!!!",F154="NEW"),"",INDEX(B$2:B153,-1+SUMPRODUCT(MAX(ROW(E$2:E153)*(E154=E$2:E153)))))</f>
        <v>SBJ_2</v>
      </c>
      <c r="J154" s="15" t="n">
        <f aca="true">IF(OR(E154="",E154="!!!",F154="NEW"),"",COUNTBLANK(OFFSET(A$1,,,SUMPRODUCT(MAX(ROW(E$2:E154)*(E154=E$2:E154)))))-COUNTBLANK(OFFSET(A$1,,,SUMPRODUCT(MAX(ROW(E$1:E153)*(E154=E$1:E153))))))</f>
        <v>0</v>
      </c>
      <c r="K154" s="15" t="n">
        <f aca="false">IF(OR(E154="",E154="!!!",F154="NEW"),"",INDEX(J$1:J153,SUMPRODUCT(MAX(ROW(E$1:E153)*(E154=E$1:E153)))))</f>
        <v>0</v>
      </c>
      <c r="L154" s="16"/>
    </row>
    <row r="155" customFormat="false" ht="12.8" hidden="false" customHeight="false" outlineLevel="0" collapsed="false">
      <c r="A155" s="1" t="s">
        <v>140</v>
      </c>
      <c r="B155" s="1" t="s">
        <v>50</v>
      </c>
      <c r="C155" s="1" t="s">
        <v>109</v>
      </c>
      <c r="D155" s="1" t="s">
        <v>17</v>
      </c>
      <c r="E155" s="10" t="s">
        <v>141</v>
      </c>
      <c r="F155" s="11" t="str">
        <f aca="false">IF(OR(E155="",E155="!!!"),"",IF(NOT(ISNA(VLOOKUP(E155,E$1:E154,1,FALSE()))),"OLD",IF(AND(E155&lt;&gt;"",E155&lt;&gt;"!!!"),"NEW","")))</f>
        <v>NEW</v>
      </c>
      <c r="G155" s="12" t="s">
        <v>126</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8" hidden="false" customHeight="false" outlineLevel="0" collapsed="false">
      <c r="A156" s="1" t="s">
        <v>142</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8" hidden="false" customHeight="false" outlineLevel="0" collapsed="false">
      <c r="A157" s="1" t="s">
        <v>143</v>
      </c>
      <c r="B157" s="1" t="s">
        <v>66</v>
      </c>
      <c r="C157" s="1" t="s">
        <v>109</v>
      </c>
      <c r="D157" s="1" t="s">
        <v>17</v>
      </c>
      <c r="E157" s="10"/>
      <c r="F157" s="11" t="s">
        <v>110</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t="s">
        <v>144</v>
      </c>
    </row>
    <row r="158" customFormat="false" ht="12.8" hidden="false" customHeight="false" outlineLevel="0" collapsed="false">
      <c r="A158" s="1" t="s">
        <v>74</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8" hidden="false" customHeight="false" outlineLevel="0" collapsed="false">
      <c r="A159" s="1" t="s">
        <v>69</v>
      </c>
      <c r="B159" s="1" t="s">
        <v>38</v>
      </c>
      <c r="C159" s="1" t="s">
        <v>44</v>
      </c>
      <c r="D159" s="1" t="s">
        <v>17</v>
      </c>
      <c r="E159" s="10" t="s">
        <v>18</v>
      </c>
      <c r="F159" s="11" t="s">
        <v>145</v>
      </c>
      <c r="G159" s="12" t="s">
        <v>45</v>
      </c>
      <c r="H159" s="13"/>
      <c r="I159" s="14" t="str">
        <f aca="false">IF(OR(E159="",E159="!!!",F159="NEW"),"",INDEX(B$2:B158,-1+SUMPRODUCT(MAX(ROW(E$2:E158)*(E159=E$2:E158)))))</f>
        <v>SBJ_4</v>
      </c>
      <c r="J159" s="15" t="n">
        <f aca="true">IF(OR(E159="",E159="!!!",F159="NEW"),"",COUNTBLANK(OFFSET(A$1,,,SUMPRODUCT(MAX(ROW(E$2:E159)*(E159=E$2:E159)))))-COUNTBLANK(OFFSET(A$1,,,SUMPRODUCT(MAX(ROW(E$1:E158)*(E159=E$1:E158))))))</f>
        <v>0</v>
      </c>
      <c r="K159" s="15" t="n">
        <f aca="false">IF(OR(E159="",E159="!!!",F159="NEW"),"",INDEX(J$1:J158,SUMPRODUCT(MAX(ROW(E$1:E158)*(E159=E$1:E158)))))</f>
        <v>0</v>
      </c>
      <c r="L159" s="16" t="s">
        <v>146</v>
      </c>
    </row>
    <row r="160" customFormat="false" ht="12.8" hidden="false" customHeight="false" outlineLevel="0" collapsed="false">
      <c r="A160" s="1" t="s">
        <v>39</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8" hidden="false" customHeight="false" outlineLevel="0" collapsed="false">
      <c r="A161" s="1" t="s">
        <v>95</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8" hidden="false" customHeight="false" outlineLevel="0" collapsed="false">
      <c r="A162" s="1" t="s">
        <v>52</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8" hidden="false" customHeight="false" outlineLevel="0" collapsed="false">
      <c r="A163" s="1" t="s">
        <v>55</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8" hidden="false" customHeight="false" outlineLevel="0" collapsed="false">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8" hidden="false" customHeight="false" outlineLevel="0" collapsed="false">
      <c r="A165" s="1" t="s">
        <v>58</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8" hidden="false" customHeight="false" outlineLevel="0" collapsed="false">
      <c r="A166" s="1" t="s">
        <v>147</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8" hidden="false" customHeight="false" outlineLevel="0" collapsed="false">
      <c r="A167" s="1" t="s">
        <v>95</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8" hidden="false" customHeight="false" outlineLevel="0" collapsed="false">
      <c r="A168" s="1" t="s">
        <v>148</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8" hidden="false" customHeight="false" outlineLevel="0" collapsed="false">
      <c r="A169" s="1" t="s">
        <v>149</v>
      </c>
      <c r="B169" s="1" t="s">
        <v>66</v>
      </c>
      <c r="C169" s="1" t="s">
        <v>139</v>
      </c>
      <c r="D169" s="1" t="s">
        <v>17</v>
      </c>
      <c r="E169" s="10" t="s">
        <v>141</v>
      </c>
      <c r="F169" s="11" t="str">
        <f aca="false">IF(OR(E169="",E169="!!!"),"",IF(NOT(ISNA(VLOOKUP(E169,E$1:E168,1,FALSE()))),"OLD",IF(AND(E169&lt;&gt;"",E169&lt;&gt;"!!!"),"NEW","")))</f>
        <v>OLD</v>
      </c>
      <c r="G169" s="12" t="s">
        <v>62</v>
      </c>
      <c r="H169" s="13"/>
      <c r="I169" s="14" t="str">
        <f aca="false">IF(OR(E169="",E169="!!!",F169="NEW"),"",INDEX(B$2:B168,-1+SUMPRODUCT(MAX(ROW(E$2:E168)*(E169=E$2:E168)))))</f>
        <v>OBJ_2</v>
      </c>
      <c r="J169" s="15" t="n">
        <f aca="true">IF(OR(E169="",E169="!!!",F169="NEW"),"",COUNTBLANK(OFFSET(A$1,,,SUMPRODUCT(MAX(ROW(E$2:E169)*(E169=E$2:E169)))))-COUNTBLANK(OFFSET(A$1,,,SUMPRODUCT(MAX(ROW(E$1:E168)*(E169=E$1:E168))))))</f>
        <v>1</v>
      </c>
      <c r="K169" s="15" t="str">
        <f aca="false">IF(OR(E169="",E169="!!!",F169="NEW"),"",INDEX(J$1:J168,SUMPRODUCT(MAX(ROW(E$1:E168)*(E169=E$1:E168)))))</f>
        <v/>
      </c>
      <c r="L169" s="16"/>
    </row>
    <row r="170" customFormat="false" ht="12.8" hidden="false" customHeight="false" outlineLevel="0" collapsed="false">
      <c r="A170" s="1" t="s">
        <v>150</v>
      </c>
      <c r="B170" s="1" t="s">
        <v>27</v>
      </c>
      <c r="C170" s="1" t="s">
        <v>109</v>
      </c>
      <c r="D170" s="1" t="s">
        <v>17</v>
      </c>
      <c r="E170" s="10" t="s">
        <v>151</v>
      </c>
      <c r="F170" s="11" t="str">
        <f aca="false">IF(OR(E170="",E170="!!!"),"",IF(NOT(ISNA(VLOOKUP(E170,E$1:E169,1,FALSE()))),"OLD",IF(AND(E170&lt;&gt;"",E170&lt;&gt;"!!!"),"NEW","")))</f>
        <v>NEW</v>
      </c>
      <c r="G170" s="12" t="s">
        <v>126</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t="s">
        <v>152</v>
      </c>
    </row>
    <row r="171" customFormat="false" ht="12.8" hidden="false" customHeight="false" outlineLevel="0" collapsed="false">
      <c r="A171" s="1" t="s">
        <v>153</v>
      </c>
      <c r="B171" s="1" t="s">
        <v>15</v>
      </c>
      <c r="C171" s="1" t="s">
        <v>44</v>
      </c>
      <c r="D171" s="1" t="s">
        <v>17</v>
      </c>
      <c r="E171" s="10" t="s">
        <v>141</v>
      </c>
      <c r="F171" s="11" t="str">
        <f aca="false">IF(OR(E171="",E171="!!!"),"",IF(NOT(ISNA(VLOOKUP(E171,E$1:E170,1,FALSE()))),"OLD",IF(AND(E171&lt;&gt;"",E171&lt;&gt;"!!!"),"NEW","")))</f>
        <v>OLD</v>
      </c>
      <c r="G171" s="12" t="s">
        <v>45</v>
      </c>
      <c r="H171" s="13" t="str">
        <f aca="false">IF(J171&lt;&gt;1,"",IF(I171="SBJ","CB","?"))</f>
        <v/>
      </c>
      <c r="I171" s="14" t="str">
        <f aca="false">IF(OR(E171="",E171="!!!",F171="NEW"),"",INDEX(B$2:B170,-1+SUMPRODUCT(MAX(ROW(E$2:E170)*(E171=E$2:E170)))))</f>
        <v>other_2</v>
      </c>
      <c r="J171" s="15" t="n">
        <f aca="true">IF(OR(E171="",E171="!!!",F171="NEW"),"",COUNTBLANK(OFFSET(A$1,,,SUMPRODUCT(MAX(ROW(E$2:E171)*(E171=E$2:E171)))))-COUNTBLANK(OFFSET(A$1,,,SUMPRODUCT(MAX(ROW(E$1:E170)*(E171=E$1:E170))))))</f>
        <v>0</v>
      </c>
      <c r="K171" s="15" t="n">
        <f aca="false">IF(OR(E171="",E171="!!!",F171="NEW"),"",INDEX(J$1:J170,SUMPRODUCT(MAX(ROW(E$1:E170)*(E171=E$1:E170)))))</f>
        <v>1</v>
      </c>
      <c r="L171" s="16"/>
    </row>
    <row r="172" customFormat="false" ht="12.8" hidden="false" customHeight="false" outlineLevel="0" collapsed="false">
      <c r="A172" s="1" t="s">
        <v>136</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8" hidden="false" customHeight="false" outlineLevel="0" collapsed="false">
      <c r="A173" s="1" t="s">
        <v>154</v>
      </c>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8" hidden="false" customHeight="false" outlineLevel="0" collapsed="false">
      <c r="A174" s="1" t="s">
        <v>69</v>
      </c>
      <c r="B174" s="1" t="s">
        <v>115</v>
      </c>
      <c r="C174" s="1" t="s">
        <v>44</v>
      </c>
      <c r="D174" s="1" t="s">
        <v>17</v>
      </c>
      <c r="E174" s="10" t="s">
        <v>18</v>
      </c>
      <c r="F174" s="11" t="str">
        <f aca="false">IF(OR(E174="",E174="!!!"),"",IF(NOT(ISNA(VLOOKUP(E174,E$1:E173,1,FALSE()))),"OLD",IF(AND(E174&lt;&gt;"",E174&lt;&gt;"!!!"),"NEW","")))</f>
        <v>OLD</v>
      </c>
      <c r="G174" s="12" t="s">
        <v>45</v>
      </c>
      <c r="H174" s="13" t="s">
        <v>7</v>
      </c>
      <c r="I174" s="14" t="str">
        <f aca="false">IF(OR(E174="",E174="!!!",F174="NEW"),"",INDEX(B$2:B173,-1+SUMPRODUCT(MAX(ROW(E$2:E173)*(E174=E$2:E173)))))</f>
        <v>other_3</v>
      </c>
      <c r="J174" s="15" t="n">
        <f aca="true">IF(OR(E174="",E174="!!!",F174="NEW"),"",COUNTBLANK(OFFSET(A$1,,,SUMPRODUCT(MAX(ROW(E$2:E174)*(E174=E$2:E174)))))-COUNTBLANK(OFFSET(A$1,,,SUMPRODUCT(MAX(ROW(E$1:E173)*(E174=E$1:E173))))))</f>
        <v>1</v>
      </c>
      <c r="K174" s="15" t="n">
        <f aca="false">IF(OR(E174="",E174="!!!",F174="NEW"),"",INDEX(J$1:J173,SUMPRODUCT(MAX(ROW(E$1:E173)*(E174=E$1:E173)))))</f>
        <v>0</v>
      </c>
      <c r="L174" s="16"/>
    </row>
    <row r="175" customFormat="false" ht="12.8" hidden="false" customHeight="false" outlineLevel="0" collapsed="false">
      <c r="A175" s="1" t="s">
        <v>23</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8" hidden="false" customHeight="false" outlineLevel="0" collapsed="false">
      <c r="A176" s="1" t="s">
        <v>55</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8" hidden="false" customHeight="false" outlineLevel="0" collapsed="false">
      <c r="A177" s="1" t="s">
        <v>155</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8" hidden="false" customHeight="false" outlineLevel="0" collapsed="false">
      <c r="A178" s="1" t="s">
        <v>79</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8" hidden="false" customHeight="false" outlineLevel="0" collapsed="false">
      <c r="A179" s="1" t="s">
        <v>69</v>
      </c>
      <c r="B179" s="1" t="s">
        <v>43</v>
      </c>
      <c r="C179" s="1" t="s">
        <v>44</v>
      </c>
      <c r="D179" s="1" t="s">
        <v>17</v>
      </c>
      <c r="E179" s="10" t="s">
        <v>18</v>
      </c>
      <c r="F179" s="11" t="str">
        <f aca="false">IF(OR(E179="",E179="!!!"),"",IF(NOT(ISNA(VLOOKUP(E179,E$1:E178,1,FALSE()))),"OLD",IF(AND(E179&lt;&gt;"",E179&lt;&gt;"!!!"),"NEW","")))</f>
        <v>OLD</v>
      </c>
      <c r="G179" s="12" t="s">
        <v>45</v>
      </c>
      <c r="H179" s="13" t="str">
        <f aca="false">IF(J179&lt;&gt;1,"",IF(I179="SBJ","CB","?"))</f>
        <v/>
      </c>
      <c r="I179" s="14" t="str">
        <f aca="false">IF(OR(E179="",E179="!!!",F179="NEW"),"",INDEX(B$2:B178,-1+SUMPRODUCT(MAX(ROW(E$2:E178)*(E179=E$2:E178)))))</f>
        <v>OBJ</v>
      </c>
      <c r="J179" s="15" t="n">
        <f aca="true">IF(OR(E179="",E179="!!!",F179="NEW"),"",COUNTBLANK(OFFSET(A$1,,,SUMPRODUCT(MAX(ROW(E$2:E179)*(E179=E$2:E179)))))-COUNTBLANK(OFFSET(A$1,,,SUMPRODUCT(MAX(ROW(E$1:E178)*(E179=E$1:E178))))))</f>
        <v>0</v>
      </c>
      <c r="K179" s="15" t="n">
        <f aca="false">IF(OR(E179="",E179="!!!",F179="NEW"),"",INDEX(J$1:J178,SUMPRODUCT(MAX(ROW(E$1:E178)*(E179=E$1:E178)))))</f>
        <v>1</v>
      </c>
      <c r="L179" s="16"/>
    </row>
    <row r="180" customFormat="false" ht="12.8" hidden="false" customHeight="false" outlineLevel="0" collapsed="false">
      <c r="A180" s="1" t="s">
        <v>156</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8" hidden="false" customHeight="false" outlineLevel="0" collapsed="false">
      <c r="A181" s="1" t="s">
        <v>157</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8" hidden="false" customHeight="false" outlineLevel="0" collapsed="false">
      <c r="A182" s="1" t="s">
        <v>158</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8" hidden="false" customHeight="false" outlineLevel="0" collapsed="false">
      <c r="A183" s="1" t="s">
        <v>159</v>
      </c>
      <c r="B183" s="1" t="s">
        <v>38</v>
      </c>
      <c r="C183" s="1" t="s">
        <v>139</v>
      </c>
      <c r="D183" s="1" t="s">
        <v>17</v>
      </c>
      <c r="E183" s="10" t="s">
        <v>18</v>
      </c>
      <c r="F183" s="11" t="str">
        <f aca="false">IF(OR(E183="",E183="!!!"),"",IF(NOT(ISNA(VLOOKUP(E183,E$1:E182,1,FALSE()))),"OLD",IF(AND(E183&lt;&gt;"",E183&lt;&gt;"!!!"),"NEW","")))</f>
        <v>OLD</v>
      </c>
      <c r="G183" s="12" t="s">
        <v>45</v>
      </c>
      <c r="H183" s="13" t="str">
        <f aca="false">IF(J183&lt;&gt;1,"",IF(I183="SBJ","CB","?"))</f>
        <v/>
      </c>
      <c r="I183" s="14" t="str">
        <f aca="false">IF(OR(E183="",E183="!!!",F183="NEW"),"",INDEX(B$2:B182,-1+SUMPRODUCT(MAX(ROW(E$2:E182)*(E183=E$2:E182)))))</f>
        <v>SBJ_2</v>
      </c>
      <c r="J183" s="15" t="n">
        <f aca="true">IF(OR(E183="",E183="!!!",F183="NEW"),"",COUNTBLANK(OFFSET(A$1,,,SUMPRODUCT(MAX(ROW(E$2:E183)*(E183=E$2:E183)))))-COUNTBLANK(OFFSET(A$1,,,SUMPRODUCT(MAX(ROW(E$1:E182)*(E183=E$1:E182))))))</f>
        <v>0</v>
      </c>
      <c r="K183" s="15" t="n">
        <f aca="false">IF(OR(E183="",E183="!!!",F183="NEW"),"",INDEX(J$1:J182,SUMPRODUCT(MAX(ROW(E$1:E182)*(E183=E$1:E182)))))</f>
        <v>0</v>
      </c>
      <c r="L183" s="16"/>
    </row>
    <row r="184" customFormat="false" ht="12.8" hidden="false" customHeight="false" outlineLevel="0" collapsed="false">
      <c r="A184" s="1" t="s">
        <v>160</v>
      </c>
      <c r="B184" s="1" t="s">
        <v>50</v>
      </c>
      <c r="C184" s="1" t="s">
        <v>109</v>
      </c>
      <c r="D184" s="1" t="s">
        <v>17</v>
      </c>
      <c r="E184" s="10" t="s">
        <v>161</v>
      </c>
      <c r="F184" s="11" t="str">
        <f aca="false">IF(OR(E184="",E184="!!!"),"",IF(NOT(ISNA(VLOOKUP(E184,E$1:E183,1,FALSE()))),"OLD",IF(AND(E184&lt;&gt;"",E184&lt;&gt;"!!!"),"NEW","")))</f>
        <v>NEW</v>
      </c>
      <c r="G184" s="12" t="s">
        <v>162</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t="s">
        <v>163</v>
      </c>
    </row>
    <row r="185" customFormat="false" ht="12.8" hidden="false" customHeight="false" outlineLevel="0" collapsed="false">
      <c r="A185" s="1" t="s">
        <v>164</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8" hidden="false" customHeight="false" outlineLevel="0" collapsed="false">
      <c r="A186" s="1" t="s">
        <v>165</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8" hidden="false" customHeight="false" outlineLevel="0" collapsed="false">
      <c r="A187" s="1" t="s">
        <v>166</v>
      </c>
      <c r="B187" s="1" t="s">
        <v>66</v>
      </c>
      <c r="C187" s="1" t="s">
        <v>167</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8" hidden="false" customHeight="false" outlineLevel="0" collapsed="false">
      <c r="A188" s="1" t="s">
        <v>39</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8" hidden="false" customHeight="false" outlineLevel="0" collapsed="false">
      <c r="A189" s="1" t="s">
        <v>95</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8" hidden="false" customHeight="false" outlineLevel="0" collapsed="false">
      <c r="A190" s="1" t="s">
        <v>67</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8" hidden="false" customHeight="false" outlineLevel="0" collapsed="false">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8" hidden="false" customHeight="false" outlineLevel="0" collapsed="false">
      <c r="A192" s="1" t="s">
        <v>58</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8" hidden="false" customHeight="false" outlineLevel="0" collapsed="false">
      <c r="A193" s="1" t="s">
        <v>168</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8" hidden="false" customHeight="false" outlineLevel="0" collapsed="false">
      <c r="A194" s="1" t="s">
        <v>14</v>
      </c>
      <c r="B194" s="1" t="s">
        <v>15</v>
      </c>
      <c r="C194" s="1" t="s">
        <v>16</v>
      </c>
      <c r="D194" s="1" t="s">
        <v>17</v>
      </c>
      <c r="E194" s="10" t="s">
        <v>18</v>
      </c>
      <c r="F194" s="11" t="str">
        <f aca="false">IF(OR(E194="",E194="!!!"),"",IF(NOT(ISNA(VLOOKUP(E194,E$1:E193,1,FALSE()))),"OLD",IF(AND(E194&lt;&gt;"",E194&lt;&gt;"!!!"),"NEW","")))</f>
        <v>OLD</v>
      </c>
      <c r="G194" s="12" t="s">
        <v>45</v>
      </c>
      <c r="H194" s="13" t="s">
        <v>7</v>
      </c>
      <c r="I194" s="14" t="str">
        <f aca="false">IF(OR(E194="",E194="!!!",F194="NEW"),"",INDEX(B$2:B193,-1+SUMPRODUCT(MAX(ROW(E$2:E193)*(E194=E$2:E193)))))</f>
        <v>other_3</v>
      </c>
      <c r="J194" s="15" t="n">
        <f aca="true">IF(OR(E194="",E194="!!!",F194="NEW"),"",COUNTBLANK(OFFSET(A$1,,,SUMPRODUCT(MAX(ROW(E$2:E194)*(E194=E$2:E194)))))-COUNTBLANK(OFFSET(A$1,,,SUMPRODUCT(MAX(ROW(E$1:E193)*(E194=E$1:E193))))))</f>
        <v>1</v>
      </c>
      <c r="K194" s="15" t="n">
        <f aca="false">IF(OR(E194="",E194="!!!",F194="NEW"),"",INDEX(J$1:J193,SUMPRODUCT(MAX(ROW(E$1:E193)*(E194=E$1:E193)))))</f>
        <v>0</v>
      </c>
      <c r="L194" s="16"/>
    </row>
    <row r="195" customFormat="false" ht="12.8" hidden="false" customHeight="false" outlineLevel="0" collapsed="false">
      <c r="A195" s="1" t="s">
        <v>64</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8" hidden="false" customHeight="false" outlineLevel="0" collapsed="false">
      <c r="A196" s="1" t="s">
        <v>34</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8" hidden="false" customHeight="false" outlineLevel="0" collapsed="false">
      <c r="A197" s="1" t="s">
        <v>65</v>
      </c>
      <c r="B197" s="1" t="s">
        <v>27</v>
      </c>
      <c r="C197" s="1" t="s">
        <v>44</v>
      </c>
      <c r="D197" s="1" t="s">
        <v>17</v>
      </c>
      <c r="E197" s="10" t="s">
        <v>37</v>
      </c>
      <c r="F197" s="11" t="str">
        <f aca="false">IF(OR(E197="",E197="!!!"),"",IF(NOT(ISNA(VLOOKUP(E197,E$1:E196,1,FALSE()))),"OLD",IF(AND(E197&lt;&gt;"",E197&lt;&gt;"!!!"),"NEW","")))</f>
        <v>OLD</v>
      </c>
      <c r="G197" s="12" t="s">
        <v>62</v>
      </c>
      <c r="H197" s="13" t="str">
        <f aca="false">IF(J197&lt;&gt;1,"",IF(I197="SBJ","CB","?"))</f>
        <v/>
      </c>
      <c r="I197" s="14" t="str">
        <f aca="false">IF(OR(E197="",E197="!!!",F197="NEW"),"",INDEX(B$2:B196,-1+SUMPRODUCT(MAX(ROW(E$2:E196)*(E197=E$2:E196)))))</f>
        <v>SBJ</v>
      </c>
      <c r="J197" s="15" t="n">
        <f aca="true">IF(OR(E197="",E197="!!!",F197="NEW"),"",COUNTBLANK(OFFSET(A$1,,,SUMPRODUCT(MAX(ROW(E$2:E197)*(E197=E$2:E197)))))-COUNTBLANK(OFFSET(A$1,,,SUMPRODUCT(MAX(ROW(E$1:E196)*(E197=E$1:E196))))))</f>
        <v>2</v>
      </c>
      <c r="K197" s="15" t="n">
        <f aca="false">IF(OR(E197="",E197="!!!",F197="NEW"),"",INDEX(J$1:J196,SUMPRODUCT(MAX(ROW(E$1:E196)*(E197=E$1:E196)))))</f>
        <v>1</v>
      </c>
      <c r="L197" s="16"/>
    </row>
    <row r="198" customFormat="false" ht="12.8" hidden="false" customHeight="false" outlineLevel="0" collapsed="false">
      <c r="A198" s="1" t="s">
        <v>55</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8" hidden="false" customHeight="false" outlineLevel="0" collapsed="false">
      <c r="A199" s="1" t="s">
        <v>67</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8" hidden="false" customHeight="false" outlineLevel="0" collapsed="false">
      <c r="A200" s="1" t="s">
        <v>169</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8" hidden="false" customHeight="false" outlineLevel="0" collapsed="false">
      <c r="A201" s="1" t="s">
        <v>55</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8" hidden="false" customHeight="false" outlineLevel="0" collapsed="false">
      <c r="A202" s="1" t="s">
        <v>135</v>
      </c>
      <c r="B202" s="1" t="s">
        <v>43</v>
      </c>
      <c r="C202" s="1" t="s">
        <v>44</v>
      </c>
      <c r="D202" s="1" t="s">
        <v>17</v>
      </c>
      <c r="E202" s="10"/>
      <c r="F202" s="11" t="s">
        <v>92</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8" hidden="false" customHeight="false" outlineLevel="0" collapsed="false">
      <c r="A203" s="1" t="s">
        <v>93</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8" hidden="false" customHeight="false" outlineLevel="0" collapsed="false">
      <c r="A204" s="1" t="s">
        <v>94</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8" hidden="false" customHeight="false" outlineLevel="0" collapsed="false">
      <c r="A205" s="1" t="s">
        <v>55</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8" hidden="false" customHeight="false" outlineLevel="0" collapsed="false">
      <c r="A206" s="1" t="s">
        <v>95</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8" hidden="false" customHeight="false" outlineLevel="0" collapsed="false">
      <c r="A207" s="1" t="s">
        <v>170</v>
      </c>
      <c r="B207" s="1" t="s">
        <v>97</v>
      </c>
      <c r="C207" s="1" t="s">
        <v>44</v>
      </c>
      <c r="D207" s="1" t="s">
        <v>17</v>
      </c>
      <c r="E207" s="10" t="s">
        <v>37</v>
      </c>
      <c r="F207" s="11" t="str">
        <f aca="false">IF(OR(E207="",E207="!!!"),"",IF(NOT(ISNA(VLOOKUP(E207,E$1:E206,1,FALSE()))),"OLD",IF(AND(E207&lt;&gt;"",E207&lt;&gt;"!!!"),"NEW","")))</f>
        <v>OLD</v>
      </c>
      <c r="G207" s="12" t="s">
        <v>45</v>
      </c>
      <c r="H207" s="13" t="str">
        <f aca="false">IF(J207&lt;&gt;1,"",IF(I207="SBJ","CB","?"))</f>
        <v/>
      </c>
      <c r="I207" s="14" t="str">
        <f aca="false">IF(OR(E207="",E207="!!!",F207="NEW"),"",INDEX(B$2:B206,-1+SUMPRODUCT(MAX(ROW(E$2:E206)*(E207=E$2:E206)))))</f>
        <v>other</v>
      </c>
      <c r="J207" s="15" t="n">
        <f aca="true">IF(OR(E207="",E207="!!!",F207="NEW"),"",COUNTBLANK(OFFSET(A$1,,,SUMPRODUCT(MAX(ROW(E$2:E207)*(E207=E$2:E207)))))-COUNTBLANK(OFFSET(A$1,,,SUMPRODUCT(MAX(ROW(E$1:E206)*(E207=E$1:E206))))))</f>
        <v>0</v>
      </c>
      <c r="K207" s="15" t="n">
        <f aca="false">IF(OR(E207="",E207="!!!",F207="NEW"),"",INDEX(J$1:J206,SUMPRODUCT(MAX(ROW(E$1:E206)*(E207=E$1:E206)))))</f>
        <v>2</v>
      </c>
      <c r="L207" s="16" t="s">
        <v>171</v>
      </c>
    </row>
    <row r="208" customFormat="false" ht="12.8" hidden="false" customHeight="false" outlineLevel="0" collapsed="false">
      <c r="A208" s="1" t="s">
        <v>98</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8" hidden="false" customHeight="false" outlineLevel="0" collapsed="false">
      <c r="A209" s="1" t="s">
        <v>99</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8" hidden="false" customHeight="false" outlineLevel="0" collapsed="false">
      <c r="A210" s="1" t="s">
        <v>172</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8" hidden="false" customHeight="false" outlineLevel="0" collapsed="false">
      <c r="A211" s="1" t="s">
        <v>25</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8" hidden="false" customHeight="false" outlineLevel="0" collapsed="false">
      <c r="A212" s="1" t="s">
        <v>173</v>
      </c>
      <c r="B212" s="1" t="s">
        <v>132</v>
      </c>
      <c r="C212" s="1" t="s">
        <v>16</v>
      </c>
      <c r="D212" s="1" t="s">
        <v>17</v>
      </c>
      <c r="E212" s="10" t="s">
        <v>18</v>
      </c>
      <c r="F212" s="11" t="str">
        <f aca="false">IF(OR(E212="",E212="!!!"),"",IF(NOT(ISNA(VLOOKUP(E212,E$1:E211,1,FALSE()))),"OLD",IF(AND(E212&lt;&gt;"",E212&lt;&gt;"!!!"),"NEW","")))</f>
        <v>OLD</v>
      </c>
      <c r="G212" s="12" t="s">
        <v>62</v>
      </c>
      <c r="H212" s="13" t="str">
        <f aca="false">IF(J212&lt;&gt;1,"",IF(I212="SBJ","CB","?"))</f>
        <v/>
      </c>
      <c r="I212" s="14" t="str">
        <f aca="false">IF(OR(E212="",E212="!!!",F212="NEW"),"",INDEX(B$2:B211,-1+SUMPRODUCT(MAX(ROW(E$2:E211)*(E212=E$2:E211)))))</f>
        <v>SBJ</v>
      </c>
      <c r="J212" s="15" t="n">
        <f aca="true">IF(OR(E212="",E212="!!!",F212="NEW"),"",COUNTBLANK(OFFSET(A$1,,,SUMPRODUCT(MAX(ROW(E$2:E212)*(E212=E$2:E212)))))-COUNTBLANK(OFFSET(A$1,,,SUMPRODUCT(MAX(ROW(E$1:E211)*(E212=E$1:E211))))))</f>
        <v>0</v>
      </c>
      <c r="K212" s="15" t="n">
        <f aca="false">IF(OR(E212="",E212="!!!",F212="NEW"),"",INDEX(J$1:J211,SUMPRODUCT(MAX(ROW(E$1:E211)*(E212=E$1:E211)))))</f>
        <v>1</v>
      </c>
      <c r="L212" s="16"/>
    </row>
    <row r="213" customFormat="false" ht="12.8" hidden="false" customHeight="false" outlineLevel="0" collapsed="false">
      <c r="A213" s="1" t="s">
        <v>55</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8" hidden="false" customHeight="false" outlineLevel="0" collapsed="false">
      <c r="A214" s="1" t="s">
        <v>159</v>
      </c>
      <c r="B214" s="1" t="s">
        <v>38</v>
      </c>
      <c r="C214" s="1" t="s">
        <v>139</v>
      </c>
      <c r="D214" s="1" t="s">
        <v>17</v>
      </c>
      <c r="E214" s="10" t="s">
        <v>37</v>
      </c>
      <c r="F214" s="11" t="str">
        <f aca="false">IF(OR(E214="",E214="!!!"),"",IF(NOT(ISNA(VLOOKUP(E214,E$1:E213,1,FALSE()))),"OLD",IF(AND(E214&lt;&gt;"",E214&lt;&gt;"!!!"),"NEW","")))</f>
        <v>OLD</v>
      </c>
      <c r="G214" s="12" t="s">
        <v>45</v>
      </c>
      <c r="H214" s="13" t="str">
        <f aca="false">IF(J214&lt;&gt;1,"",IF(I214="SBJ","CB","?"))</f>
        <v/>
      </c>
      <c r="I214" s="14" t="str">
        <f aca="false">IF(OR(E214="",E214="!!!",F214="NEW"),"",INDEX(B$2:B213,-1+SUMPRODUCT(MAX(ROW(E$2:E213)*(E214=E$2:E213)))))</f>
        <v>SBJ_3</v>
      </c>
      <c r="J214" s="15" t="n">
        <f aca="true">IF(OR(E214="",E214="!!!",F214="NEW"),"",COUNTBLANK(OFFSET(A$1,,,SUMPRODUCT(MAX(ROW(E$2:E214)*(E214=E$2:E214)))))-COUNTBLANK(OFFSET(A$1,,,SUMPRODUCT(MAX(ROW(E$1:E213)*(E214=E$1:E213))))))</f>
        <v>0</v>
      </c>
      <c r="K214" s="15" t="n">
        <f aca="false">IF(OR(E214="",E214="!!!",F214="NEW"),"",INDEX(J$1:J213,SUMPRODUCT(MAX(ROW(E$1:E213)*(E214=E$1:E213)))))</f>
        <v>0</v>
      </c>
      <c r="L214" s="16"/>
    </row>
    <row r="215" customFormat="false" ht="12.8" hidden="false" customHeight="false" outlineLevel="0" collapsed="false">
      <c r="A215" s="1" t="s">
        <v>75</v>
      </c>
      <c r="B215" s="1" t="s">
        <v>66</v>
      </c>
      <c r="C215" s="1" t="s">
        <v>16</v>
      </c>
      <c r="D215" s="1" t="s">
        <v>17</v>
      </c>
      <c r="E215" s="10"/>
      <c r="F215" s="11" t="s">
        <v>73</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8" hidden="false" customHeight="false" outlineLevel="0" collapsed="false">
      <c r="A216" s="1" t="s">
        <v>39</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8" hidden="false" customHeight="false" outlineLevel="0" collapsed="false">
      <c r="A217" s="1" t="s">
        <v>95</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8" hidden="false" customHeight="false" outlineLevel="0" collapsed="false">
      <c r="A218" s="1" t="s">
        <v>67</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8" hidden="false" customHeight="false" outlineLevel="0" collapsed="false">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8" hidden="false" customHeight="false" outlineLevel="0" collapsed="false">
      <c r="A220" s="1" t="s">
        <v>174</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8" hidden="false" customHeight="false" outlineLevel="0" collapsed="false">
      <c r="A221" s="1" t="s">
        <v>169</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8" hidden="false" customHeight="false" outlineLevel="0" collapsed="false">
      <c r="A222" s="1" t="s">
        <v>55</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8" hidden="false" customHeight="false" outlineLevel="0" collapsed="false">
      <c r="A223" s="1" t="s">
        <v>25</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8" hidden="false" customHeight="false" outlineLevel="0" collapsed="false">
      <c r="A224" s="1" t="s">
        <v>37</v>
      </c>
      <c r="B224" s="1" t="s">
        <v>15</v>
      </c>
      <c r="C224" s="1" t="s">
        <v>16</v>
      </c>
      <c r="D224" s="1" t="s">
        <v>17</v>
      </c>
      <c r="E224" s="10" t="s">
        <v>37</v>
      </c>
      <c r="F224" s="11" t="str">
        <f aca="false">IF(OR(E224="",E224="!!!"),"",IF(NOT(ISNA(VLOOKUP(E224,E$1:E223,1,FALSE()))),"OLD",IF(AND(E224&lt;&gt;"",E224&lt;&gt;"!!!"),"NEW","")))</f>
        <v>OLD</v>
      </c>
      <c r="G224" s="12" t="s">
        <v>45</v>
      </c>
      <c r="H224" s="13"/>
      <c r="I224" s="14" t="str">
        <f aca="false">IF(OR(E224="",E224="!!!",F224="NEW"),"",INDEX(B$2:B223,-1+SUMPRODUCT(MAX(ROW(E$2:E223)*(E224=E$2:E223)))))</f>
        <v>other_3</v>
      </c>
      <c r="J224" s="15" t="n">
        <f aca="true">IF(OR(E224="",E224="!!!",F224="NEW"),"",COUNTBLANK(OFFSET(A$1,,,SUMPRODUCT(MAX(ROW(E$2:E224)*(E224=E$2:E224)))))-COUNTBLANK(OFFSET(A$1,,,SUMPRODUCT(MAX(ROW(E$1:E223)*(E224=E$1:E223))))))</f>
        <v>1</v>
      </c>
      <c r="K224" s="15" t="n">
        <f aca="false">IF(OR(E224="",E224="!!!",F224="NEW"),"",INDEX(J$1:J223,SUMPRODUCT(MAX(ROW(E$1:E223)*(E224=E$1:E223)))))</f>
        <v>0</v>
      </c>
      <c r="L224" s="16"/>
    </row>
    <row r="225" customFormat="false" ht="12.8" hidden="false" customHeight="false" outlineLevel="0" collapsed="false">
      <c r="A225" s="1" t="s">
        <v>114</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8" hidden="false" customHeight="false" outlineLevel="0" collapsed="false">
      <c r="A226" s="1" t="s">
        <v>65</v>
      </c>
      <c r="B226" s="1" t="s">
        <v>115</v>
      </c>
      <c r="C226" s="1" t="s">
        <v>44</v>
      </c>
      <c r="D226" s="1" t="s">
        <v>17</v>
      </c>
      <c r="E226" s="10" t="s">
        <v>18</v>
      </c>
      <c r="F226" s="11" t="str">
        <f aca="false">IF(OR(E226="",E226="!!!"),"",IF(NOT(ISNA(VLOOKUP(E226,E$1:E225,1,FALSE()))),"OLD",IF(AND(E226&lt;&gt;"",E226&lt;&gt;"!!!"),"NEW","")))</f>
        <v>OLD</v>
      </c>
      <c r="G226" s="12" t="s">
        <v>45</v>
      </c>
      <c r="H226" s="13" t="s">
        <v>7</v>
      </c>
      <c r="I226" s="14" t="str">
        <f aca="false">IF(OR(E226="",E226="!!!",F226="NEW"),"",INDEX(B$2:B225,-1+SUMPRODUCT(MAX(ROW(E$2:E225)*(E226=E$2:E225)))))</f>
        <v>OBJ_3</v>
      </c>
      <c r="J226" s="15" t="n">
        <f aca="true">IF(OR(E226="",E226="!!!",F226="NEW"),"",COUNTBLANK(OFFSET(A$1,,,SUMPRODUCT(MAX(ROW(E$2:E226)*(E226=E$2:E226)))))-COUNTBLANK(OFFSET(A$1,,,SUMPRODUCT(MAX(ROW(E$1:E225)*(E226=E$1:E225))))))</f>
        <v>1</v>
      </c>
      <c r="K226" s="15" t="n">
        <f aca="false">IF(OR(E226="",E226="!!!",F226="NEW"),"",INDEX(J$1:J225,SUMPRODUCT(MAX(ROW(E$1:E225)*(E226=E$1:E225)))))</f>
        <v>0</v>
      </c>
      <c r="L226" s="16"/>
    </row>
    <row r="227" customFormat="false" ht="12.8" hidden="false" customHeight="false" outlineLevel="0" collapsed="false">
      <c r="A227" s="1" t="s">
        <v>34</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8" hidden="false" customHeight="false" outlineLevel="0" collapsed="false">
      <c r="A228" s="1" t="s">
        <v>175</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8" hidden="false" customHeight="false" outlineLevel="0" collapsed="false">
      <c r="A229" s="1" t="s">
        <v>176</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8" hidden="false" customHeight="false" outlineLevel="0" collapsed="false">
      <c r="A230" s="1" t="s">
        <v>177</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8" hidden="false" customHeight="false" outlineLevel="0" collapsed="false">
      <c r="A231" s="1" t="s">
        <v>178</v>
      </c>
      <c r="B231" s="1" t="s">
        <v>27</v>
      </c>
      <c r="C231" s="1" t="s">
        <v>167</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8" hidden="false" customHeight="false" outlineLevel="0" collapsed="false">
      <c r="A232" s="1" t="s">
        <v>55</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8" hidden="false" customHeight="false" outlineLevel="0" collapsed="false">
      <c r="A233" s="1" t="s">
        <v>52</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8" hidden="false" customHeight="false" outlineLevel="0" collapsed="false">
      <c r="A234" s="1" t="s">
        <v>179</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8" hidden="false" customHeight="false" outlineLevel="0" collapsed="false">
      <c r="A235" s="1" t="s">
        <v>65</v>
      </c>
      <c r="B235" s="1" t="s">
        <v>97</v>
      </c>
      <c r="C235" s="1" t="s">
        <v>44</v>
      </c>
      <c r="D235" s="1" t="s">
        <v>17</v>
      </c>
      <c r="E235" s="10" t="s">
        <v>18</v>
      </c>
      <c r="F235" s="11" t="str">
        <f aca="false">IF(OR(E235="",E235="!!!"),"",IF(NOT(ISNA(VLOOKUP(E235,E$1:E234,1,FALSE()))),"OLD",IF(AND(E235&lt;&gt;"",E235&lt;&gt;"!!!"),"NEW","")))</f>
        <v>OLD</v>
      </c>
      <c r="G235" s="12" t="s">
        <v>45</v>
      </c>
      <c r="H235" s="13" t="str">
        <f aca="false">IF(J235&lt;&gt;1,"",IF(I235="SBJ","CB","?"))</f>
        <v/>
      </c>
      <c r="I235" s="14" t="str">
        <f aca="false">IF(OR(E235="",E235="!!!",F235="NEW"),"",INDEX(B$2:B234,-1+SUMPRODUCT(MAX(ROW(E$2:E234)*(E235=E$2:E234)))))</f>
        <v>OBJ</v>
      </c>
      <c r="J235" s="15" t="n">
        <f aca="true">IF(OR(E235="",E235="!!!",F235="NEW"),"",COUNTBLANK(OFFSET(A$1,,,SUMPRODUCT(MAX(ROW(E$2:E235)*(E235=E$2:E235)))))-COUNTBLANK(OFFSET(A$1,,,SUMPRODUCT(MAX(ROW(E$1:E234)*(E235=E$1:E234))))))</f>
        <v>0</v>
      </c>
      <c r="K235" s="15" t="n">
        <f aca="false">IF(OR(E235="",E235="!!!",F235="NEW"),"",INDEX(J$1:J234,SUMPRODUCT(MAX(ROW(E$1:E234)*(E235=E$1:E234)))))</f>
        <v>1</v>
      </c>
      <c r="L235" s="16"/>
    </row>
    <row r="236" customFormat="false" ht="12.8" hidden="false" customHeight="false" outlineLevel="0" collapsed="false">
      <c r="A236" s="1" t="s">
        <v>180</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8" hidden="false" customHeight="false" outlineLevel="0" collapsed="false">
      <c r="A237" s="1" t="s">
        <v>25</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8" hidden="false" customHeight="false" outlineLevel="0" collapsed="false">
      <c r="A238" s="1" t="s">
        <v>181</v>
      </c>
      <c r="B238" s="1" t="s">
        <v>66</v>
      </c>
      <c r="C238" s="1" t="s">
        <v>28</v>
      </c>
      <c r="D238" s="1" t="s">
        <v>17</v>
      </c>
      <c r="E238" s="10" t="s">
        <v>182</v>
      </c>
      <c r="F238" s="11" t="str">
        <f aca="false">IF(OR(E238="",E238="!!!"),"",IF(NOT(ISNA(VLOOKUP(E238,E$1:E237,1,FALSE()))),"OLD",IF(AND(E238&lt;&gt;"",E238&lt;&gt;"!!!"),"NEW","")))</f>
        <v>NEW</v>
      </c>
      <c r="G238" s="12" t="s">
        <v>126</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8" hidden="false" customHeight="false" outlineLevel="0" collapsed="false">
      <c r="A239" s="1" t="s">
        <v>74</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8" hidden="false" customHeight="false" outlineLevel="0" collapsed="false">
      <c r="A240" s="1" t="s">
        <v>25</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8" hidden="false" customHeight="false" outlineLevel="0" collapsed="false">
      <c r="A241" s="1" t="s">
        <v>183</v>
      </c>
      <c r="B241" s="1" t="s">
        <v>38</v>
      </c>
      <c r="C241" s="1" t="s">
        <v>28</v>
      </c>
      <c r="D241" s="1" t="s">
        <v>17</v>
      </c>
      <c r="E241" s="10" t="s">
        <v>183</v>
      </c>
      <c r="F241" s="11" t="s">
        <v>84</v>
      </c>
      <c r="G241" s="12" t="s">
        <v>19</v>
      </c>
      <c r="H241" s="13"/>
      <c r="I241" s="14" t="e">
        <f aca="false">IF(OR(E241="",E241="!!!",F241="NEW"),"",INDEX(B$2:B240,-1+SUMPRODUCT(MAX(ROW(E$2:E240)*(E241=E$2:E240)))))</f>
        <v>#VALUE!</v>
      </c>
      <c r="J241" s="15" t="e">
        <f aca="true">IF(OR(E241="",E241="!!!",F241="NEW"),"",COUNTBLANK(OFFSET(A$1,,,SUMPRODUCT(MAX(ROW(E$2:E241)*(E241=E$2:E241)))))-COUNTBLANK(OFFSET(A$1,,,SUMPRODUCT(MAX(ROW(E$1:E240)*(E241=E$1:E240))))))</f>
        <v>#VALUE!</v>
      </c>
      <c r="K241" s="15" t="e">
        <f aca="false">IF(OR(E241="",E241="!!!",F241="NEW"),"",INDEX(J$1:J240,SUMPRODUCT(MAX(ROW(E$1:E240)*(E241=E$1:E240)))))</f>
        <v>#VALUE!</v>
      </c>
      <c r="L241" s="16" t="s">
        <v>184</v>
      </c>
    </row>
    <row r="242" customFormat="false" ht="12.8" hidden="false" customHeight="false" outlineLevel="0" collapsed="false">
      <c r="A242" s="1" t="s">
        <v>55</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8" hidden="false" customHeight="false" outlineLevel="0" collapsed="false">
      <c r="A243" s="1" t="s">
        <v>52</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8" hidden="false" customHeight="false" outlineLevel="0" collapsed="false">
      <c r="A244" s="1" t="s">
        <v>149</v>
      </c>
      <c r="B244" s="1" t="s">
        <v>66</v>
      </c>
      <c r="C244" s="1" t="s">
        <v>139</v>
      </c>
      <c r="D244" s="1" t="s">
        <v>17</v>
      </c>
      <c r="E244" s="10" t="s">
        <v>182</v>
      </c>
      <c r="F244" s="11" t="str">
        <f aca="false">IF(OR(E244="",E244="!!!"),"",IF(NOT(ISNA(VLOOKUP(E244,E$1:E243,1,FALSE()))),"OLD",IF(AND(E244&lt;&gt;"",E244&lt;&gt;"!!!"),"NEW","")))</f>
        <v>OLD</v>
      </c>
      <c r="G244" s="12" t="s">
        <v>45</v>
      </c>
      <c r="H244" s="13" t="str">
        <f aca="false">IF(J244&lt;&gt;1,"",IF(I244="SBJ","CB","?"))</f>
        <v/>
      </c>
      <c r="I244" s="14" t="str">
        <f aca="false">IF(OR(E244="",E244="!!!",F244="NEW"),"",INDEX(B$2:B243,-1+SUMPRODUCT(MAX(ROW(E$2:E243)*(E244=E$2:E243)))))</f>
        <v>other_2</v>
      </c>
      <c r="J244" s="15" t="n">
        <f aca="true">IF(OR(E244="",E244="!!!",F244="NEW"),"",COUNTBLANK(OFFSET(A$1,,,SUMPRODUCT(MAX(ROW(E$2:E244)*(E244=E$2:E244)))))-COUNTBLANK(OFFSET(A$1,,,SUMPRODUCT(MAX(ROW(E$1:E243)*(E244=E$1:E243))))))</f>
        <v>0</v>
      </c>
      <c r="K244" s="15" t="str">
        <f aca="false">IF(OR(E244="",E244="!!!",F244="NEW"),"",INDEX(J$1:J243,SUMPRODUCT(MAX(ROW(E$1:E243)*(E244=E$1:E243)))))</f>
        <v/>
      </c>
      <c r="L244" s="16"/>
    </row>
    <row r="245" customFormat="false" ht="12.8" hidden="false" customHeight="false" outlineLevel="0" collapsed="false">
      <c r="A245" s="1" t="s">
        <v>185</v>
      </c>
      <c r="B245" s="1" t="s">
        <v>27</v>
      </c>
      <c r="C245" s="1" t="s">
        <v>109</v>
      </c>
      <c r="D245" s="1" t="s">
        <v>17</v>
      </c>
      <c r="E245" s="10"/>
      <c r="F245" s="11" t="s">
        <v>73</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t="s">
        <v>186</v>
      </c>
    </row>
    <row r="246" customFormat="false" ht="12.8" hidden="false" customHeight="false" outlineLevel="0" collapsed="false">
      <c r="A246" s="1" t="s">
        <v>39</v>
      </c>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8" hidden="false" customHeight="false" outlineLevel="0" collapsed="false">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8" hidden="false" customHeight="false" outlineLevel="0" collapsed="false">
      <c r="A248" s="1" t="s">
        <v>58</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8" hidden="false" customHeight="false" outlineLevel="0" collapsed="false">
      <c r="A249" s="1" t="s">
        <v>187</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8" hidden="false" customHeight="false" outlineLevel="0" collapsed="false">
      <c r="A250" s="1" t="s">
        <v>120</v>
      </c>
      <c r="B250" s="1" t="s">
        <v>15</v>
      </c>
      <c r="C250" s="1" t="s">
        <v>44</v>
      </c>
      <c r="D250" s="1" t="s">
        <v>17</v>
      </c>
      <c r="E250" s="10" t="s">
        <v>37</v>
      </c>
      <c r="F250" s="11" t="str">
        <f aca="false">IF(OR(E250="",E250="!!!"),"",IF(NOT(ISNA(VLOOKUP(E250,E$1:E249,1,FALSE()))),"OLD",IF(AND(E250&lt;&gt;"",E250&lt;&gt;"!!!"),"NEW","")))</f>
        <v>OLD</v>
      </c>
      <c r="G250" s="12" t="s">
        <v>45</v>
      </c>
      <c r="H250" s="13" t="str">
        <f aca="false">IF(J250&lt;&gt;1,"",IF(I250="SBJ","CB","?"))</f>
        <v>CB</v>
      </c>
      <c r="I250" s="14" t="str">
        <f aca="false">IF(OR(E250="",E250="!!!",F250="NEW"),"",INDEX(B$2:B249,-1+SUMPRODUCT(MAX(ROW(E$2:E249)*(E250=E$2:E249)))))</f>
        <v>SBJ</v>
      </c>
      <c r="J250" s="15" t="n">
        <f aca="true">IF(OR(E250="",E250="!!!",F250="NEW"),"",COUNTBLANK(OFFSET(A$1,,,SUMPRODUCT(MAX(ROW(E$2:E250)*(E250=E$2:E250)))))-COUNTBLANK(OFFSET(A$1,,,SUMPRODUCT(MAX(ROW(E$1:E249)*(E250=E$1:E249))))))</f>
        <v>1</v>
      </c>
      <c r="K250" s="15" t="n">
        <f aca="false">IF(OR(E250="",E250="!!!",F250="NEW"),"",INDEX(J$1:J249,SUMPRODUCT(MAX(ROW(E$1:E249)*(E250=E$1:E249)))))</f>
        <v>1</v>
      </c>
      <c r="L250" s="16"/>
    </row>
    <row r="251" customFormat="false" ht="12.8" hidden="false" customHeight="false" outlineLevel="0" collapsed="false">
      <c r="A251" s="1" t="s">
        <v>64</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8" hidden="false" customHeight="false" outlineLevel="0" collapsed="false">
      <c r="A252" s="1" t="s">
        <v>34</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8" hidden="false" customHeight="false" outlineLevel="0" collapsed="false">
      <c r="A253" s="1" t="s">
        <v>65</v>
      </c>
      <c r="B253" s="1" t="s">
        <v>27</v>
      </c>
      <c r="C253" s="1" t="s">
        <v>44</v>
      </c>
      <c r="D253" s="1" t="s">
        <v>17</v>
      </c>
      <c r="E253" s="10" t="s">
        <v>18</v>
      </c>
      <c r="F253" s="11" t="str">
        <f aca="false">IF(OR(E253="",E253="!!!"),"",IF(NOT(ISNA(VLOOKUP(E253,E$1:E252,1,FALSE()))),"OLD",IF(AND(E253&lt;&gt;"",E253&lt;&gt;"!!!"),"NEW","")))</f>
        <v>OLD</v>
      </c>
      <c r="G253" s="12" t="s">
        <v>45</v>
      </c>
      <c r="H253" s="13"/>
      <c r="I253" s="14" t="str">
        <f aca="false">IF(OR(E253="",E253="!!!",F253="NEW"),"",INDEX(B$2:B252,-1+SUMPRODUCT(MAX(ROW(E$2:E252)*(E253=E$2:E252)))))</f>
        <v>SBJ_3</v>
      </c>
      <c r="J253" s="15" t="n">
        <f aca="true">IF(OR(E253="",E253="!!!",F253="NEW"),"",COUNTBLANK(OFFSET(A$1,,,SUMPRODUCT(MAX(ROW(E$2:E253)*(E253=E$2:E253)))))-COUNTBLANK(OFFSET(A$1,,,SUMPRODUCT(MAX(ROW(E$1:E252)*(E253=E$1:E252))))))</f>
        <v>1</v>
      </c>
      <c r="K253" s="15" t="n">
        <f aca="false">IF(OR(E253="",E253="!!!",F253="NEW"),"",INDEX(J$1:J252,SUMPRODUCT(MAX(ROW(E$1:E252)*(E253=E$1:E252)))))</f>
        <v>0</v>
      </c>
      <c r="L253" s="16"/>
    </row>
    <row r="254" customFormat="false" ht="12.8" hidden="false" customHeight="false" outlineLevel="0" collapsed="false">
      <c r="A254" s="1" t="s">
        <v>55</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8" hidden="false" customHeight="false" outlineLevel="0" collapsed="false">
      <c r="A255" s="1" t="s">
        <v>67</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8" hidden="false" customHeight="false" outlineLevel="0" collapsed="false">
      <c r="A256" s="1" t="s">
        <v>188</v>
      </c>
      <c r="B256" s="1" t="s">
        <v>43</v>
      </c>
      <c r="C256" s="1" t="s">
        <v>44</v>
      </c>
      <c r="D256" s="1" t="s">
        <v>17</v>
      </c>
      <c r="E256" s="10" t="s">
        <v>37</v>
      </c>
      <c r="F256" s="11" t="str">
        <f aca="false">IF(OR(E256="",E256="!!!"),"",IF(NOT(ISNA(VLOOKUP(E256,E$1:E255,1,FALSE()))),"OLD",IF(AND(E256&lt;&gt;"",E256&lt;&gt;"!!!"),"NEW","")))</f>
        <v>OLD</v>
      </c>
      <c r="G256" s="12" t="s">
        <v>45</v>
      </c>
      <c r="H256" s="13" t="str">
        <f aca="false">IF(J256&lt;&gt;1,"",IF(I256="SBJ","CB","?"))</f>
        <v/>
      </c>
      <c r="I256" s="14" t="str">
        <f aca="false">IF(OR(E256="",E256="!!!",F256="NEW"),"",INDEX(B$2:B255,-1+SUMPRODUCT(MAX(ROW(E$2:E255)*(E256=E$2:E255)))))</f>
        <v>SBJ</v>
      </c>
      <c r="J256" s="15" t="n">
        <f aca="true">IF(OR(E256="",E256="!!!",F256="NEW"),"",COUNTBLANK(OFFSET(A$1,,,SUMPRODUCT(MAX(ROW(E$2:E256)*(E256=E$2:E256)))))-COUNTBLANK(OFFSET(A$1,,,SUMPRODUCT(MAX(ROW(E$1:E255)*(E256=E$1:E255))))))</f>
        <v>0</v>
      </c>
      <c r="K256" s="15" t="n">
        <f aca="false">IF(OR(E256="",E256="!!!",F256="NEW"),"",INDEX(J$1:J255,SUMPRODUCT(MAX(ROW(E$1:E255)*(E256=E$1:E255)))))</f>
        <v>1</v>
      </c>
      <c r="L256" s="16"/>
    </row>
    <row r="257" customFormat="false" ht="12.8" hidden="false" customHeight="false" outlineLevel="0" collapsed="false">
      <c r="A257" s="1" t="s">
        <v>136</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8" hidden="false" customHeight="false" outlineLevel="0" collapsed="false">
      <c r="A258" s="1" t="s">
        <v>189</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8" hidden="false" customHeight="false" outlineLevel="0" collapsed="false">
      <c r="A259" s="1" t="s">
        <v>69</v>
      </c>
      <c r="B259" s="1" t="s">
        <v>50</v>
      </c>
      <c r="C259" s="1" t="s">
        <v>44</v>
      </c>
      <c r="D259" s="1" t="s">
        <v>17</v>
      </c>
      <c r="E259" s="10" t="s">
        <v>18</v>
      </c>
      <c r="F259" s="11" t="str">
        <f aca="false">IF(OR(E259="",E259="!!!"),"",IF(NOT(ISNA(VLOOKUP(E259,E$1:E258,1,FALSE()))),"OLD",IF(AND(E259&lt;&gt;"",E259&lt;&gt;"!!!"),"NEW","")))</f>
        <v>OLD</v>
      </c>
      <c r="G259" s="12" t="s">
        <v>45</v>
      </c>
      <c r="H259" s="13" t="str">
        <f aca="false">IF(J259&lt;&gt;1,"",IF(I259="SBJ","CB","?"))</f>
        <v/>
      </c>
      <c r="I259" s="14" t="str">
        <f aca="false">IF(OR(E259="",E259="!!!",F259="NEW"),"",INDEX(B$2:B258,-1+SUMPRODUCT(MAX(ROW(E$2:E258)*(E259=E$2:E258)))))</f>
        <v>other</v>
      </c>
      <c r="J259" s="15" t="n">
        <f aca="true">IF(OR(E259="",E259="!!!",F259="NEW"),"",COUNTBLANK(OFFSET(A$1,,,SUMPRODUCT(MAX(ROW(E$2:E259)*(E259=E$2:E259)))))-COUNTBLANK(OFFSET(A$1,,,SUMPRODUCT(MAX(ROW(E$1:E258)*(E259=E$1:E258))))))</f>
        <v>0</v>
      </c>
      <c r="K259" s="15" t="n">
        <f aca="false">IF(OR(E259="",E259="!!!",F259="NEW"),"",INDEX(J$1:J258,SUMPRODUCT(MAX(ROW(E$1:E258)*(E259=E$1:E258)))))</f>
        <v>1</v>
      </c>
      <c r="L259" s="16"/>
    </row>
    <row r="260" customFormat="false" ht="12.8" hidden="false" customHeight="false" outlineLevel="0" collapsed="false">
      <c r="A260" s="1" t="s">
        <v>180</v>
      </c>
      <c r="B260" s="1" t="s">
        <v>50</v>
      </c>
      <c r="C260" s="1" t="s">
        <v>109</v>
      </c>
      <c r="D260" s="1" t="s">
        <v>17</v>
      </c>
      <c r="E260" s="10"/>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t="s">
        <v>190</v>
      </c>
    </row>
    <row r="261" customFormat="false" ht="12.8" hidden="false" customHeight="false" outlineLevel="0" collapsed="false">
      <c r="A261" s="1" t="s">
        <v>74</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8" hidden="false" customHeight="false" outlineLevel="0" collapsed="false">
      <c r="A262" s="1" t="s">
        <v>80</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8" hidden="false" customHeight="false" outlineLevel="0" collapsed="false">
      <c r="A263" s="1" t="s">
        <v>191</v>
      </c>
      <c r="B263" s="1" t="s">
        <v>38</v>
      </c>
      <c r="C263" s="1" t="s">
        <v>82</v>
      </c>
      <c r="D263" s="1" t="s">
        <v>17</v>
      </c>
      <c r="E263" s="10" t="s">
        <v>182</v>
      </c>
      <c r="F263" s="11" t="str">
        <f aca="false">IF(OR(E263="",E263="!!!"),"",IF(NOT(ISNA(VLOOKUP(E263,E$1:E262,1,FALSE()))),"OLD",IF(AND(E263&lt;&gt;"",E263&lt;&gt;"!!!"),"NEW","")))</f>
        <v>OLD</v>
      </c>
      <c r="G263" s="12" t="s">
        <v>62</v>
      </c>
      <c r="H263" s="13"/>
      <c r="I263" s="14" t="str">
        <f aca="false">IF(OR(E263="",E263="!!!",F263="NEW"),"",INDEX(B$2:B262,-1+SUMPRODUCT(MAX(ROW(E$2:E262)*(E263=E$2:E262)))))</f>
        <v>other_2</v>
      </c>
      <c r="J263" s="15" t="n">
        <f aca="true">IF(OR(E263="",E263="!!!",F263="NEW"),"",COUNTBLANK(OFFSET(A$1,,,SUMPRODUCT(MAX(ROW(E$2:E263)*(E263=E$2:E263)))))-COUNTBLANK(OFFSET(A$1,,,SUMPRODUCT(MAX(ROW(E$1:E262)*(E263=E$1:E262))))))</f>
        <v>1</v>
      </c>
      <c r="K263" s="15" t="n">
        <f aca="false">IF(OR(E263="",E263="!!!",F263="NEW"),"",INDEX(J$1:J262,SUMPRODUCT(MAX(ROW(E$1:E262)*(E263=E$1:E262)))))</f>
        <v>0</v>
      </c>
      <c r="L263" s="16"/>
    </row>
    <row r="264" customFormat="false" ht="12.8" hidden="false" customHeight="false" outlineLevel="0" collapsed="false">
      <c r="A264" s="1" t="s">
        <v>55</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8" hidden="false" customHeight="false" outlineLevel="0" collapsed="false">
      <c r="A265" s="1" t="s">
        <v>192</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8" hidden="false" customHeight="false" outlineLevel="0" collapsed="false">
      <c r="A266" s="1" t="s">
        <v>69</v>
      </c>
      <c r="B266" s="1" t="s">
        <v>97</v>
      </c>
      <c r="C266" s="1" t="s">
        <v>44</v>
      </c>
      <c r="D266" s="1" t="s">
        <v>17</v>
      </c>
      <c r="E266" s="10" t="s">
        <v>18</v>
      </c>
      <c r="F266" s="11" t="str">
        <f aca="false">IF(OR(E266="",E266="!!!"),"",IF(NOT(ISNA(VLOOKUP(E266,E$1:E265,1,FALSE()))),"OLD",IF(AND(E266&lt;&gt;"",E266&lt;&gt;"!!!"),"NEW","")))</f>
        <v>OLD</v>
      </c>
      <c r="G266" s="12" t="s">
        <v>45</v>
      </c>
      <c r="H266" s="13" t="str">
        <f aca="false">IF(J266&lt;&gt;1,"",IF(I266="SBJ","CB","?"))</f>
        <v/>
      </c>
      <c r="I266" s="14" t="str">
        <f aca="false">IF(OR(E266="",E266="!!!",F266="NEW"),"",INDEX(B$2:B265,-1+SUMPRODUCT(MAX(ROW(E$2:E265)*(E266=E$2:E265)))))</f>
        <v>OBJ_2</v>
      </c>
      <c r="J266" s="15" t="n">
        <f aca="true">IF(OR(E266="",E266="!!!",F266="NEW"),"",COUNTBLANK(OFFSET(A$1,,,SUMPRODUCT(MAX(ROW(E$2:E266)*(E266=E$2:E266)))))-COUNTBLANK(OFFSET(A$1,,,SUMPRODUCT(MAX(ROW(E$1:E265)*(E266=E$1:E265))))))</f>
        <v>0</v>
      </c>
      <c r="K266" s="15" t="n">
        <f aca="false">IF(OR(E266="",E266="!!!",F266="NEW"),"",INDEX(J$1:J265,SUMPRODUCT(MAX(ROW(E$1:E265)*(E266=E$1:E265)))))</f>
        <v>0</v>
      </c>
      <c r="L266" s="16"/>
    </row>
    <row r="267" customFormat="false" ht="12.8" hidden="false" customHeight="false" outlineLevel="0" collapsed="false">
      <c r="A267" s="1" t="s">
        <v>136</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8" hidden="false" customHeight="false" outlineLevel="0" collapsed="false">
      <c r="A268" s="1" t="s">
        <v>193</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8" hidden="false" customHeight="false" outlineLevel="0" collapsed="false">
      <c r="A269" s="1" t="s">
        <v>133</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8" hidden="false" customHeight="false" outlineLevel="0" collapsed="false">
      <c r="A270" s="1" t="s">
        <v>52</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8" hidden="false" customHeight="false" outlineLevel="0" collapsed="false">
      <c r="A271" s="1" t="s">
        <v>194</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8" hidden="false" customHeight="false" outlineLevel="0" collapsed="false">
      <c r="A272" s="1" t="s">
        <v>195</v>
      </c>
      <c r="B272" s="1" t="s">
        <v>196</v>
      </c>
      <c r="C272" s="1" t="s">
        <v>44</v>
      </c>
      <c r="D272" s="1" t="s">
        <v>17</v>
      </c>
      <c r="E272" s="10" t="s">
        <v>37</v>
      </c>
      <c r="F272" s="11" t="str">
        <f aca="false">IF(OR(E272="",E272="!!!"),"",IF(NOT(ISNA(VLOOKUP(E272,E$1:E271,1,FALSE()))),"OLD",IF(AND(E272&lt;&gt;"",E272&lt;&gt;"!!!"),"NEW","")))</f>
        <v>OLD</v>
      </c>
      <c r="G272" s="12" t="s">
        <v>45</v>
      </c>
      <c r="H272" s="13" t="str">
        <f aca="false">IF(J272&lt;&gt;1,"",IF(I272="SBJ","CB","?"))</f>
        <v/>
      </c>
      <c r="I272" s="14" t="str">
        <f aca="false">IF(OR(E272="",E272="!!!",F272="NEW"),"",INDEX(B$2:B271,-1+SUMPRODUCT(MAX(ROW(E$2:E271)*(E272=E$2:E271)))))</f>
        <v>SBJ_2</v>
      </c>
      <c r="J272" s="15" t="n">
        <f aca="true">IF(OR(E272="",E272="!!!",F272="NEW"),"",COUNTBLANK(OFFSET(A$1,,,SUMPRODUCT(MAX(ROW(E$2:E272)*(E272=E$2:E272)))))-COUNTBLANK(OFFSET(A$1,,,SUMPRODUCT(MAX(ROW(E$1:E271)*(E272=E$1:E271))))))</f>
        <v>0</v>
      </c>
      <c r="K272" s="15" t="n">
        <f aca="false">IF(OR(E272="",E272="!!!",F272="NEW"),"",INDEX(J$1:J271,SUMPRODUCT(MAX(ROW(E$1:E271)*(E272=E$1:E271)))))</f>
        <v>0</v>
      </c>
      <c r="L272" s="16"/>
    </row>
    <row r="273" customFormat="false" ht="12.8" hidden="false" customHeight="false" outlineLevel="0" collapsed="false">
      <c r="A273" s="1" t="s">
        <v>39</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8" hidden="false" customHeight="false" outlineLevel="0" collapsed="false">
      <c r="A274" s="1" t="s">
        <v>67</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8" hidden="false" customHeight="false" outlineLevel="0" collapsed="false">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8" hidden="false" customHeight="false" outlineLevel="0" collapsed="false">
      <c r="A276" s="1" t="s">
        <v>58</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8" hidden="false" customHeight="false" outlineLevel="0" collapsed="false">
      <c r="A277" s="1" t="s">
        <v>197</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8" hidden="false" customHeight="false" outlineLevel="0" collapsed="false">
      <c r="A278" s="1" t="s">
        <v>13</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8" hidden="false" customHeight="false" outlineLevel="0" collapsed="false">
      <c r="A279" s="1" t="s">
        <v>14</v>
      </c>
      <c r="B279" s="1" t="s">
        <v>15</v>
      </c>
      <c r="C279" s="1" t="s">
        <v>16</v>
      </c>
      <c r="D279" s="1" t="s">
        <v>17</v>
      </c>
      <c r="E279" s="10" t="s">
        <v>18</v>
      </c>
      <c r="F279" s="11" t="str">
        <f aca="false">IF(OR(E279="",E279="!!!"),"",IF(NOT(ISNA(VLOOKUP(E279,E$1:E278,1,FALSE()))),"OLD",IF(AND(E279&lt;&gt;"",E279&lt;&gt;"!!!"),"NEW","")))</f>
        <v>OLD</v>
      </c>
      <c r="G279" s="12" t="s">
        <v>45</v>
      </c>
      <c r="H279" s="13"/>
      <c r="I279" s="14" t="str">
        <f aca="false">IF(OR(E279="",E279="!!!",F279="NEW"),"",INDEX(B$2:B278,-1+SUMPRODUCT(MAX(ROW(E$2:E278)*(E279=E$2:E278)))))</f>
        <v>SBJ_3</v>
      </c>
      <c r="J279" s="15" t="n">
        <f aca="true">IF(OR(E279="",E279="!!!",F279="NEW"),"",COUNTBLANK(OFFSET(A$1,,,SUMPRODUCT(MAX(ROW(E$2:E279)*(E279=E$2:E279)))))-COUNTBLANK(OFFSET(A$1,,,SUMPRODUCT(MAX(ROW(E$1:E278)*(E279=E$1:E278))))))</f>
        <v>1</v>
      </c>
      <c r="K279" s="15" t="n">
        <f aca="false">IF(OR(E279="",E279="!!!",F279="NEW"),"",INDEX(J$1:J278,SUMPRODUCT(MAX(ROW(E$1:E278)*(E279=E$1:E278)))))</f>
        <v>0</v>
      </c>
      <c r="L279" s="16"/>
    </row>
    <row r="280" customFormat="false" ht="12.8" hidden="false" customHeight="false" outlineLevel="0" collapsed="false">
      <c r="A280" s="1" t="s">
        <v>64</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8" hidden="false" customHeight="false" outlineLevel="0" collapsed="false">
      <c r="A281" s="1" t="s">
        <v>34</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8" hidden="false" customHeight="false" outlineLevel="0" collapsed="false">
      <c r="A282" s="1" t="s">
        <v>65</v>
      </c>
      <c r="B282" s="1" t="s">
        <v>27</v>
      </c>
      <c r="C282" s="1" t="s">
        <v>44</v>
      </c>
      <c r="D282" s="1" t="s">
        <v>17</v>
      </c>
      <c r="E282" s="10" t="s">
        <v>37</v>
      </c>
      <c r="F282" s="11" t="str">
        <f aca="false">IF(OR(E282="",E282="!!!"),"",IF(NOT(ISNA(VLOOKUP(E282,E$1:E281,1,FALSE()))),"OLD",IF(AND(E282&lt;&gt;"",E282&lt;&gt;"!!!"),"NEW","")))</f>
        <v>OLD</v>
      </c>
      <c r="G282" s="12" t="s">
        <v>45</v>
      </c>
      <c r="H282" s="13" t="s">
        <v>7</v>
      </c>
      <c r="I282" s="14" t="str">
        <f aca="false">IF(OR(E282="",E282="!!!",F282="NEW"),"",INDEX(B$2:B281,-1+SUMPRODUCT(MAX(ROW(E$2:E281)*(E282=E$2:E281)))))</f>
        <v>OBJ_4</v>
      </c>
      <c r="J282" s="15" t="n">
        <f aca="true">IF(OR(E282="",E282="!!!",F282="NEW"),"",COUNTBLANK(OFFSET(A$1,,,SUMPRODUCT(MAX(ROW(E$2:E282)*(E282=E$2:E282)))))-COUNTBLANK(OFFSET(A$1,,,SUMPRODUCT(MAX(ROW(E$1:E281)*(E282=E$1:E281))))))</f>
        <v>1</v>
      </c>
      <c r="K282" s="15" t="n">
        <f aca="false">IF(OR(E282="",E282="!!!",F282="NEW"),"",INDEX(J$1:J281,SUMPRODUCT(MAX(ROW(E$1:E281)*(E282=E$1:E281)))))</f>
        <v>0</v>
      </c>
      <c r="L282" s="16"/>
    </row>
    <row r="283" customFormat="false" ht="12.8" hidden="false" customHeight="false" outlineLevel="0" collapsed="false">
      <c r="A283" s="1" t="s">
        <v>55</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8" hidden="false" customHeight="false" outlineLevel="0" collapsed="false">
      <c r="A284" s="1" t="s">
        <v>67</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8" hidden="false" customHeight="false" outlineLevel="0" collapsed="false">
      <c r="A285" s="1" t="s">
        <v>198</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8" hidden="false" customHeight="false" outlineLevel="0" collapsed="false">
      <c r="A286" s="1" t="s">
        <v>199</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8" hidden="false" customHeight="false" outlineLevel="0" collapsed="false">
      <c r="A287" s="1" t="s">
        <v>195</v>
      </c>
      <c r="B287" s="1" t="s">
        <v>66</v>
      </c>
      <c r="C287" s="1" t="s">
        <v>44</v>
      </c>
      <c r="D287" s="1" t="s">
        <v>17</v>
      </c>
      <c r="E287" s="10" t="s">
        <v>18</v>
      </c>
      <c r="F287" s="11" t="str">
        <f aca="false">IF(OR(E287="",E287="!!!"),"",IF(NOT(ISNA(VLOOKUP(E287,E$1:E286,1,FALSE()))),"OLD",IF(AND(E287&lt;&gt;"",E287&lt;&gt;"!!!"),"NEW","")))</f>
        <v>OLD</v>
      </c>
      <c r="G287" s="12" t="s">
        <v>45</v>
      </c>
      <c r="H287" s="13" t="str">
        <f aca="false">IF(J287&lt;&gt;1,"",IF(I287="SBJ","CB","?"))</f>
        <v/>
      </c>
      <c r="I287" s="14" t="str">
        <f aca="false">IF(OR(E287="",E287="!!!",F287="NEW"),"",INDEX(B$2:B286,-1+SUMPRODUCT(MAX(ROW(E$2:E286)*(E287=E$2:E286)))))</f>
        <v>SBJ</v>
      </c>
      <c r="J287" s="15" t="n">
        <f aca="true">IF(OR(E287="",E287="!!!",F287="NEW"),"",COUNTBLANK(OFFSET(A$1,,,SUMPRODUCT(MAX(ROW(E$2:E287)*(E287=E$2:E287)))))-COUNTBLANK(OFFSET(A$1,,,SUMPRODUCT(MAX(ROW(E$1:E286)*(E287=E$1:E286))))))</f>
        <v>0</v>
      </c>
      <c r="K287" s="15" t="n">
        <f aca="false">IF(OR(E287="",E287="!!!",F287="NEW"),"",INDEX(J$1:J286,SUMPRODUCT(MAX(ROW(E$1:E286)*(E287=E$1:E286)))))</f>
        <v>1</v>
      </c>
      <c r="L287" s="16"/>
    </row>
    <row r="288" customFormat="false" ht="12.8" hidden="false" customHeight="false" outlineLevel="0" collapsed="false">
      <c r="A288" s="1" t="s">
        <v>55</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8" hidden="false" customHeight="false" outlineLevel="0" collapsed="false">
      <c r="A289" s="1" t="s">
        <v>200</v>
      </c>
      <c r="B289" s="1" t="s">
        <v>38</v>
      </c>
      <c r="C289" s="1" t="s">
        <v>16</v>
      </c>
      <c r="D289" s="1" t="s">
        <v>17</v>
      </c>
      <c r="E289" s="10" t="s">
        <v>37</v>
      </c>
      <c r="F289" s="11" t="str">
        <f aca="false">IF(OR(E289="",E289="!!!"),"",IF(NOT(ISNA(VLOOKUP(E289,E$1:E288,1,FALSE()))),"OLD",IF(AND(E289&lt;&gt;"",E289&lt;&gt;"!!!"),"NEW","")))</f>
        <v>OLD</v>
      </c>
      <c r="G289" s="12" t="s">
        <v>45</v>
      </c>
      <c r="H289" s="13" t="str">
        <f aca="false">IF(J289&lt;&gt;1,"",IF(I289="SBJ","CB","?"))</f>
        <v/>
      </c>
      <c r="I289" s="14" t="str">
        <f aca="false">IF(OR(E289="",E289="!!!",F289="NEW"),"",INDEX(B$2:B288,-1+SUMPRODUCT(MAX(ROW(E$2:E288)*(E289=E$2:E288)))))</f>
        <v>other</v>
      </c>
      <c r="J289" s="15" t="n">
        <f aca="true">IF(OR(E289="",E289="!!!",F289="NEW"),"",COUNTBLANK(OFFSET(A$1,,,SUMPRODUCT(MAX(ROW(E$2:E289)*(E289=E$2:E289)))))-COUNTBLANK(OFFSET(A$1,,,SUMPRODUCT(MAX(ROW(E$1:E288)*(E289=E$1:E288))))))</f>
        <v>0</v>
      </c>
      <c r="K289" s="15" t="n">
        <f aca="false">IF(OR(E289="",E289="!!!",F289="NEW"),"",INDEX(J$1:J288,SUMPRODUCT(MAX(ROW(E$1:E288)*(E289=E$1:E288)))))</f>
        <v>1</v>
      </c>
      <c r="L289" s="16"/>
    </row>
    <row r="290" customFormat="false" ht="12.8" hidden="false" customHeight="false" outlineLevel="0" collapsed="false">
      <c r="A290" s="1" t="s">
        <v>201</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8" hidden="false" customHeight="false" outlineLevel="0" collapsed="false">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8" hidden="false" customHeight="false" outlineLevel="0" collapsed="false">
      <c r="A292" s="1" t="s">
        <v>58</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8" hidden="false" customHeight="false" outlineLevel="0" collapsed="false">
      <c r="A293" s="1" t="s">
        <v>202</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8" hidden="false" customHeight="false" outlineLevel="0" collapsed="false">
      <c r="A294" s="1" t="s">
        <v>203</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8" hidden="false" customHeight="false" outlineLevel="0" collapsed="false">
      <c r="A295" s="1" t="s">
        <v>135</v>
      </c>
      <c r="B295" s="1" t="s">
        <v>43</v>
      </c>
      <c r="C295" s="1" t="s">
        <v>44</v>
      </c>
      <c r="D295" s="1" t="s">
        <v>17</v>
      </c>
      <c r="E295" s="10"/>
      <c r="F295" s="11" t="s">
        <v>92</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8" hidden="false" customHeight="false" outlineLevel="0" collapsed="false">
      <c r="A296" s="1" t="s">
        <v>93</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8" hidden="false" customHeight="false" outlineLevel="0" collapsed="false">
      <c r="A297" s="1" t="s">
        <v>94</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8" hidden="false" customHeight="false" outlineLevel="0" collapsed="false">
      <c r="A298" s="1" t="s">
        <v>55</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8" hidden="false" customHeight="false" outlineLevel="0" collapsed="false">
      <c r="A299" s="1" t="s">
        <v>95</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8" hidden="false" customHeight="false" outlineLevel="0" collapsed="false">
      <c r="A300" s="1" t="s">
        <v>170</v>
      </c>
      <c r="B300" s="1" t="s">
        <v>15</v>
      </c>
      <c r="C300" s="1" t="s">
        <v>44</v>
      </c>
      <c r="D300" s="1" t="s">
        <v>17</v>
      </c>
      <c r="E300" s="10" t="s">
        <v>204</v>
      </c>
      <c r="F300" s="11" t="str">
        <f aca="false">IF(OR(E300="",E300="!!!"),"",IF(NOT(ISNA(VLOOKUP(E300,E$1:E299,1,FALSE()))),"OLD",IF(AND(E300&lt;&gt;"",E300&lt;&gt;"!!!"),"NEW","")))</f>
        <v>NEW</v>
      </c>
      <c r="G300" s="12" t="s">
        <v>19</v>
      </c>
      <c r="H300" s="13"/>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t="s">
        <v>205</v>
      </c>
    </row>
    <row r="301" customFormat="false" ht="12.8" hidden="false" customHeight="false" outlineLevel="0" collapsed="false">
      <c r="A301" s="1" t="s">
        <v>98</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8" hidden="false" customHeight="false" outlineLevel="0" collapsed="false">
      <c r="A302" s="1" t="s">
        <v>194</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8" hidden="false" customHeight="false" outlineLevel="0" collapsed="false">
      <c r="A303" s="1" t="s">
        <v>25</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8" hidden="false" customHeight="false" outlineLevel="0" collapsed="false">
      <c r="A304" s="1" t="s">
        <v>173</v>
      </c>
      <c r="B304" s="1" t="s">
        <v>115</v>
      </c>
      <c r="C304" s="1" t="s">
        <v>16</v>
      </c>
      <c r="D304" s="1" t="s">
        <v>17</v>
      </c>
      <c r="E304" s="10" t="s">
        <v>77</v>
      </c>
      <c r="F304" s="11" t="str">
        <f aca="false">IF(OR(E304="",E304="!!!"),"",IF(NOT(ISNA(VLOOKUP(E304,E$1:E303,1,FALSE()))),"OLD",IF(AND(E304&lt;&gt;"",E304&lt;&gt;"!!!"),"NEW","")))</f>
        <v>OLD</v>
      </c>
      <c r="G304" s="12" t="s">
        <v>19</v>
      </c>
      <c r="H304" s="13" t="str">
        <f aca="false">IF(J304&lt;&gt;1,"",IF(I304="SBJ","CB","?"))</f>
        <v/>
      </c>
      <c r="I304" s="14" t="str">
        <f aca="false">IF(OR(E304="",E304="!!!",F304="NEW"),"",INDEX(B$2:B303,-1+SUMPRODUCT(MAX(ROW(E$2:E303)*(E304=E$2:E303)))))</f>
        <v>other_3</v>
      </c>
      <c r="J304" s="15" t="n">
        <f aca="true">IF(OR(E304="",E304="!!!",F304="NEW"),"",COUNTBLANK(OFFSET(A$1,,,SUMPRODUCT(MAX(ROW(E$2:E304)*(E304=E$2:E304)))))-COUNTBLANK(OFFSET(A$1,,,SUMPRODUCT(MAX(ROW(E$1:E303)*(E304=E$1:E303))))))</f>
        <v>6</v>
      </c>
      <c r="K304" s="15" t="n">
        <f aca="false">IF(OR(E304="",E304="!!!",F304="NEW"),"",INDEX(J$1:J303,SUMPRODUCT(MAX(ROW(E$1:E303)*(E304=E$1:E303)))))</f>
        <v>0</v>
      </c>
      <c r="L304" s="16"/>
    </row>
    <row r="305" customFormat="false" ht="12.8" hidden="false" customHeight="false" outlineLevel="0" collapsed="false">
      <c r="A305" s="1" t="s">
        <v>159</v>
      </c>
      <c r="B305" s="1" t="s">
        <v>66</v>
      </c>
      <c r="C305" s="1" t="s">
        <v>139</v>
      </c>
      <c r="D305" s="1" t="s">
        <v>17</v>
      </c>
      <c r="E305" s="10" t="s">
        <v>204</v>
      </c>
      <c r="F305" s="11" t="str">
        <f aca="false">IF(OR(E305="",E305="!!!"),"",IF(NOT(ISNA(VLOOKUP(E305,E$1:E304,1,FALSE()))),"OLD",IF(AND(E305&lt;&gt;"",E305&lt;&gt;"!!!"),"NEW","")))</f>
        <v>OLD</v>
      </c>
      <c r="G305" s="12" t="s">
        <v>45</v>
      </c>
      <c r="H305" s="13" t="str">
        <f aca="false">IF(J305&lt;&gt;1,"",IF(I305="SBJ","CB","?"))</f>
        <v/>
      </c>
      <c r="I305" s="14" t="str">
        <f aca="false">IF(OR(E305="",E305="!!!",F305="NEW"),"",INDEX(B$2:B304,-1+SUMPRODUCT(MAX(ROW(E$2:E304)*(E305=E$2:E304)))))</f>
        <v>SBJ</v>
      </c>
      <c r="J305" s="15" t="n">
        <f aca="true">IF(OR(E305="",E305="!!!",F305="NEW"),"",COUNTBLANK(OFFSET(A$1,,,SUMPRODUCT(MAX(ROW(E$2:E305)*(E305=E$2:E305)))))-COUNTBLANK(OFFSET(A$1,,,SUMPRODUCT(MAX(ROW(E$1:E304)*(E305=E$1:E304))))))</f>
        <v>0</v>
      </c>
      <c r="K305" s="15" t="str">
        <f aca="false">IF(OR(E305="",E305="!!!",F305="NEW"),"",INDEX(J$1:J304,SUMPRODUCT(MAX(ROW(E$1:E304)*(E305=E$1:E304)))))</f>
        <v/>
      </c>
      <c r="L305" s="16"/>
    </row>
    <row r="306" customFormat="false" ht="12.8" hidden="false" customHeight="false" outlineLevel="0" collapsed="false">
      <c r="A306" s="1" t="s">
        <v>75</v>
      </c>
      <c r="B306" s="1" t="s">
        <v>115</v>
      </c>
      <c r="C306" s="1" t="s">
        <v>16</v>
      </c>
      <c r="D306" s="1" t="s">
        <v>17</v>
      </c>
      <c r="E306" s="10"/>
      <c r="F306" s="11" t="s">
        <v>73</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8" hidden="false" customHeight="false" outlineLevel="0" collapsed="false">
      <c r="A307" s="1" t="s">
        <v>55</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8" hidden="false" customHeight="false" outlineLevel="0" collapsed="false">
      <c r="A308" s="1" t="s">
        <v>52</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8" hidden="false" customHeight="false" outlineLevel="0" collapsed="false">
      <c r="A309" s="1" t="s">
        <v>69</v>
      </c>
      <c r="B309" s="1" t="s">
        <v>43</v>
      </c>
      <c r="C309" s="1" t="s">
        <v>44</v>
      </c>
      <c r="D309" s="1" t="s">
        <v>17</v>
      </c>
      <c r="E309" s="10" t="s">
        <v>204</v>
      </c>
      <c r="F309" s="11" t="str">
        <f aca="false">IF(OR(E309="",E309="!!!"),"",IF(NOT(ISNA(VLOOKUP(E309,E$1:E308,1,FALSE()))),"OLD",IF(AND(E309&lt;&gt;"",E309&lt;&gt;"!!!"),"NEW","")))</f>
        <v>OLD</v>
      </c>
      <c r="G309" s="12" t="s">
        <v>45</v>
      </c>
      <c r="H309" s="13" t="str">
        <f aca="false">IF(J309&lt;&gt;1,"",IF(I309="SBJ","CB","?"))</f>
        <v/>
      </c>
      <c r="I309" s="14" t="str">
        <f aca="false">IF(OR(E309="",E309="!!!",F309="NEW"),"",INDEX(B$2:B308,-1+SUMPRODUCT(MAX(ROW(E$2:E308)*(E309=E$2:E308)))))</f>
        <v>other_2</v>
      </c>
      <c r="J309" s="15" t="n">
        <f aca="true">IF(OR(E309="",E309="!!!",F309="NEW"),"",COUNTBLANK(OFFSET(A$1,,,SUMPRODUCT(MAX(ROW(E$2:E309)*(E309=E$2:E309)))))-COUNTBLANK(OFFSET(A$1,,,SUMPRODUCT(MAX(ROW(E$1:E308)*(E309=E$1:E308))))))</f>
        <v>0</v>
      </c>
      <c r="K309" s="15" t="n">
        <f aca="false">IF(OR(E309="",E309="!!!",F309="NEW"),"",INDEX(J$1:J308,SUMPRODUCT(MAX(ROW(E$1:E308)*(E309=E$1:E308)))))</f>
        <v>0</v>
      </c>
      <c r="L309" s="16"/>
    </row>
    <row r="310" customFormat="false" ht="12.8" hidden="false" customHeight="false" outlineLevel="0" collapsed="false">
      <c r="A310" s="1" t="s">
        <v>98</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8" hidden="false" customHeight="false" outlineLevel="0" collapsed="false">
      <c r="A311" s="1" t="s">
        <v>206</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8" hidden="false" customHeight="false" outlineLevel="0" collapsed="false">
      <c r="A312" s="1" t="s">
        <v>65</v>
      </c>
      <c r="B312" s="1" t="s">
        <v>50</v>
      </c>
      <c r="C312" s="1" t="s">
        <v>44</v>
      </c>
      <c r="D312" s="1" t="s">
        <v>17</v>
      </c>
      <c r="E312" s="10" t="s">
        <v>77</v>
      </c>
      <c r="F312" s="11" t="str">
        <f aca="false">IF(OR(E312="",E312="!!!"),"",IF(NOT(ISNA(VLOOKUP(E312,E$1:E311,1,FALSE()))),"OLD",IF(AND(E312&lt;&gt;"",E312&lt;&gt;"!!!"),"NEW","")))</f>
        <v>OLD</v>
      </c>
      <c r="G312" s="12" t="s">
        <v>45</v>
      </c>
      <c r="H312" s="13" t="str">
        <f aca="false">IF(J312&lt;&gt;1,"",IF(I312="SBJ","CB","?"))</f>
        <v/>
      </c>
      <c r="I312" s="14" t="str">
        <f aca="false">IF(OR(E312="",E312="!!!",F312="NEW"),"",INDEX(B$2:B311,-1+SUMPRODUCT(MAX(ROW(E$2:E311)*(E312=E$2:E311)))))</f>
        <v>OBJ</v>
      </c>
      <c r="J312" s="15" t="n">
        <f aca="true">IF(OR(E312="",E312="!!!",F312="NEW"),"",COUNTBLANK(OFFSET(A$1,,,SUMPRODUCT(MAX(ROW(E$2:E312)*(E312=E$2:E312)))))-COUNTBLANK(OFFSET(A$1,,,SUMPRODUCT(MAX(ROW(E$1:E311)*(E312=E$1:E311))))))</f>
        <v>0</v>
      </c>
      <c r="K312" s="15" t="n">
        <f aca="false">IF(OR(E312="",E312="!!!",F312="NEW"),"",INDEX(J$1:J311,SUMPRODUCT(MAX(ROW(E$1:E311)*(E312=E$1:E311)))))</f>
        <v>6</v>
      </c>
      <c r="L312" s="16"/>
    </row>
    <row r="313" customFormat="false" ht="12.8" hidden="false" customHeight="false" outlineLevel="0" collapsed="false">
      <c r="A313" s="1" t="s">
        <v>207</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8" hidden="false" customHeight="false" outlineLevel="0" collapsed="false">
      <c r="A314" s="1" t="s">
        <v>39</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8" hidden="false" customHeight="false" outlineLevel="0" collapsed="false">
      <c r="A315" s="1" t="s">
        <v>95</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8" hidden="false" customHeight="false" outlineLevel="0" collapsed="false">
      <c r="A316" s="1" t="s">
        <v>67</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8" hidden="false" customHeight="false" outlineLevel="0" collapsed="false">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8" hidden="false" customHeight="false" outlineLevel="0" collapsed="false">
      <c r="A318" s="1" t="s">
        <v>208</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8" hidden="false" customHeight="false" outlineLevel="0" collapsed="false">
      <c r="A319" s="1" t="s">
        <v>13</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8" hidden="false" customHeight="false" outlineLevel="0" collapsed="false">
      <c r="A320" s="1" t="s">
        <v>25</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8" hidden="false" customHeight="false" outlineLevel="0" collapsed="false">
      <c r="A321" s="1" t="s">
        <v>37</v>
      </c>
      <c r="B321" s="1" t="s">
        <v>15</v>
      </c>
      <c r="C321" s="1" t="s">
        <v>16</v>
      </c>
      <c r="D321" s="1" t="s">
        <v>17</v>
      </c>
      <c r="E321" s="10" t="s">
        <v>37</v>
      </c>
      <c r="F321" s="11" t="str">
        <f aca="false">IF(OR(E321="",E321="!!!"),"",IF(NOT(ISNA(VLOOKUP(E321,E$1:E320,1,FALSE()))),"OLD",IF(AND(E321&lt;&gt;"",E321&lt;&gt;"!!!"),"NEW","")))</f>
        <v>OLD</v>
      </c>
      <c r="G321" s="12" t="s">
        <v>62</v>
      </c>
      <c r="H321" s="13" t="str">
        <f aca="false">IF(J321&lt;&gt;1,"",IF(I321="SBJ","CB","?"))</f>
        <v/>
      </c>
      <c r="I321" s="14" t="str">
        <f aca="false">IF(OR(E321="",E321="!!!",F321="NEW"),"",INDEX(B$2:B320,-1+SUMPRODUCT(MAX(ROW(E$2:E320)*(E321=E$2:E320)))))</f>
        <v>other_3</v>
      </c>
      <c r="J321" s="15" t="n">
        <f aca="true">IF(OR(E321="",E321="!!!",F321="NEW"),"",COUNTBLANK(OFFSET(A$1,,,SUMPRODUCT(MAX(ROW(E$2:E321)*(E321=E$2:E321)))))-COUNTBLANK(OFFSET(A$1,,,SUMPRODUCT(MAX(ROW(E$1:E320)*(E321=E$1:E320))))))</f>
        <v>2</v>
      </c>
      <c r="K321" s="15" t="n">
        <f aca="false">IF(OR(E321="",E321="!!!",F321="NEW"),"",INDEX(J$1:J320,SUMPRODUCT(MAX(ROW(E$1:E320)*(E321=E$1:E320)))))</f>
        <v>0</v>
      </c>
      <c r="L321" s="16"/>
    </row>
    <row r="322" customFormat="false" ht="12.8" hidden="false" customHeight="false" outlineLevel="0" collapsed="false">
      <c r="A322" s="1" t="s">
        <v>209</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23.85" hidden="false" customHeight="false" outlineLevel="0" collapsed="false">
      <c r="A323" s="1" t="s">
        <v>65</v>
      </c>
      <c r="B323" s="1" t="s">
        <v>115</v>
      </c>
      <c r="C323" s="1" t="s">
        <v>44</v>
      </c>
      <c r="D323" s="1" t="s">
        <v>17</v>
      </c>
      <c r="E323" s="10" t="s">
        <v>18</v>
      </c>
      <c r="F323" s="11" t="str">
        <f aca="false">IF(OR(E323="",E323="!!!"),"",IF(NOT(ISNA(VLOOKUP(E323,E$1:E322,1,FALSE()))),"OLD",IF(AND(E323&lt;&gt;"",E323&lt;&gt;"!!!"),"NEW","")))</f>
        <v>OLD</v>
      </c>
      <c r="G323" s="12" t="s">
        <v>45</v>
      </c>
      <c r="H323" s="13" t="str">
        <f aca="false">IF(J323&lt;&gt;1,"",IF(I323="SBJ","CB","?"))</f>
        <v/>
      </c>
      <c r="I323" s="14" t="str">
        <f aca="false">IF(OR(E323="",E323="!!!",F323="NEW"),"",INDEX(B$2:B322,-1+SUMPRODUCT(MAX(ROW(E$2:E322)*(E323=E$2:E322)))))</f>
        <v>other_2</v>
      </c>
      <c r="J323" s="15" t="n">
        <f aca="true">IF(OR(E323="",E323="!!!",F323="NEW"),"",COUNTBLANK(OFFSET(A$1,,,SUMPRODUCT(MAX(ROW(E$2:E323)*(E323=E$2:E323)))))-COUNTBLANK(OFFSET(A$1,,,SUMPRODUCT(MAX(ROW(E$1:E322)*(E323=E$1:E322))))))</f>
        <v>2</v>
      </c>
      <c r="K323" s="15" t="n">
        <f aca="false">IF(OR(E323="",E323="!!!",F323="NEW"),"",INDEX(J$1:J322,SUMPRODUCT(MAX(ROW(E$1:E322)*(E323=E$1:E322)))))</f>
        <v>0</v>
      </c>
      <c r="L323" s="16" t="s">
        <v>210</v>
      </c>
    </row>
    <row r="324" customFormat="false" ht="12.8" hidden="false" customHeight="false" outlineLevel="0" collapsed="false">
      <c r="A324" s="1" t="s">
        <v>55</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8" hidden="false" customHeight="false" outlineLevel="0" collapsed="false">
      <c r="A325" s="1" t="s">
        <v>52</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8" hidden="false" customHeight="false" outlineLevel="0" collapsed="false">
      <c r="A326" s="1" t="s">
        <v>211</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8" hidden="false" customHeight="false" outlineLevel="0" collapsed="false">
      <c r="A327" s="1" t="s">
        <v>55</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8" hidden="false" customHeight="false" outlineLevel="0" collapsed="false">
      <c r="A328" s="1" t="s">
        <v>140</v>
      </c>
      <c r="B328" s="1" t="s">
        <v>43</v>
      </c>
      <c r="C328" s="1" t="s">
        <v>54</v>
      </c>
      <c r="E328" s="10" t="s">
        <v>140</v>
      </c>
      <c r="F328" s="11" t="str">
        <f aca="false">IF(OR(E328="",E328="!!!"),"",IF(NOT(ISNA(VLOOKUP(E328,E$1:E327,1,FALSE()))),"OLD",IF(AND(E328&lt;&gt;"",E328&lt;&gt;"!!!"),"NEW","")))</f>
        <v>NEW</v>
      </c>
      <c r="G328" s="12" t="s">
        <v>162</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t="s">
        <v>212</v>
      </c>
    </row>
    <row r="329" customFormat="false" ht="12.8" hidden="false" customHeight="false" outlineLevel="0" collapsed="false">
      <c r="A329" s="1" t="s">
        <v>63</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8" hidden="false" customHeight="false" outlineLevel="0" collapsed="false">
      <c r="A330" s="1" t="s">
        <v>52</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8" hidden="false" customHeight="false" outlineLevel="0" collapsed="false">
      <c r="A331" s="1" t="s">
        <v>213</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8" hidden="false" customHeight="false" outlineLevel="0" collapsed="false">
      <c r="A332" s="1" t="s">
        <v>65</v>
      </c>
      <c r="B332" s="1" t="s">
        <v>132</v>
      </c>
      <c r="C332" s="1" t="s">
        <v>44</v>
      </c>
      <c r="D332" s="1" t="s">
        <v>17</v>
      </c>
      <c r="E332" s="10" t="s">
        <v>18</v>
      </c>
      <c r="F332" s="11" t="str">
        <f aca="false">IF(OR(E332="",E332="!!!"),"",IF(NOT(ISNA(VLOOKUP(E332,E$1:E331,1,FALSE()))),"OLD",IF(AND(E332&lt;&gt;"",E332&lt;&gt;"!!!"),"NEW","")))</f>
        <v>OLD</v>
      </c>
      <c r="G332" s="12" t="s">
        <v>45</v>
      </c>
      <c r="H332" s="13" t="str">
        <f aca="false">IF(J332&lt;&gt;1,"",IF(I332="SBJ","CB","?"))</f>
        <v/>
      </c>
      <c r="I332" s="14" t="str">
        <f aca="false">IF(OR(E332="",E332="!!!",F332="NEW"),"",INDEX(B$2:B331,-1+SUMPRODUCT(MAX(ROW(E$2:E331)*(E332=E$2:E331)))))</f>
        <v>OBJ</v>
      </c>
      <c r="J332" s="15" t="n">
        <f aca="true">IF(OR(E332="",E332="!!!",F332="NEW"),"",COUNTBLANK(OFFSET(A$1,,,SUMPRODUCT(MAX(ROW(E$2:E332)*(E332=E$2:E332)))))-COUNTBLANK(OFFSET(A$1,,,SUMPRODUCT(MAX(ROW(E$1:E331)*(E332=E$1:E331))))))</f>
        <v>0</v>
      </c>
      <c r="K332" s="15" t="n">
        <f aca="false">IF(OR(E332="",E332="!!!",F332="NEW"),"",INDEX(J$1:J331,SUMPRODUCT(MAX(ROW(E$1:E331)*(E332=E$1:E331)))))</f>
        <v>2</v>
      </c>
      <c r="L332" s="16"/>
    </row>
    <row r="333" customFormat="false" ht="12.8" hidden="false" customHeight="false" outlineLevel="0" collapsed="false">
      <c r="A333" s="1" t="s">
        <v>39</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8" hidden="false" customHeight="false" outlineLevel="0" collapsed="false">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8" hidden="false" customHeight="false" outlineLevel="0" collapsed="false">
      <c r="A335" s="1" t="s">
        <v>214</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8" hidden="false" customHeight="false" outlineLevel="0" collapsed="false">
      <c r="A336" s="1" t="s">
        <v>215</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8" hidden="false" customHeight="false" outlineLevel="0" collapsed="false">
      <c r="A337" s="1" t="s">
        <v>216</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8" hidden="false" customHeight="false" outlineLevel="0" collapsed="false">
      <c r="A338" s="1" t="s">
        <v>14</v>
      </c>
      <c r="B338" s="1" t="s">
        <v>43</v>
      </c>
      <c r="C338" s="1" t="s">
        <v>16</v>
      </c>
      <c r="D338" s="1" t="s">
        <v>17</v>
      </c>
      <c r="E338" s="10" t="s">
        <v>18</v>
      </c>
      <c r="F338" s="11" t="str">
        <f aca="false">IF(OR(E338="",E338="!!!"),"",IF(NOT(ISNA(VLOOKUP(E338,E$1:E337,1,FALSE()))),"OLD",IF(AND(E338&lt;&gt;"",E338&lt;&gt;"!!!"),"NEW","")))</f>
        <v>OLD</v>
      </c>
      <c r="G338" s="12" t="s">
        <v>45</v>
      </c>
      <c r="H338" s="13" t="s">
        <v>7</v>
      </c>
      <c r="I338" s="14" t="str">
        <f aca="false">IF(OR(E338="",E338="!!!",F338="NEW"),"",INDEX(B$2:B337,-1+SUMPRODUCT(MAX(ROW(E$2:E337)*(E338=E$2:E337)))))</f>
        <v>OBJ_3</v>
      </c>
      <c r="J338" s="15" t="n">
        <f aca="true">IF(OR(E338="",E338="!!!",F338="NEW"),"",COUNTBLANK(OFFSET(A$1,,,SUMPRODUCT(MAX(ROW(E$2:E338)*(E338=E$2:E338)))))-COUNTBLANK(OFFSET(A$1,,,SUMPRODUCT(MAX(ROW(E$1:E337)*(E338=E$1:E337))))))</f>
        <v>1</v>
      </c>
      <c r="K338" s="15" t="n">
        <f aca="false">IF(OR(E338="",E338="!!!",F338="NEW"),"",INDEX(J$1:J337,SUMPRODUCT(MAX(ROW(E$1:E337)*(E338=E$1:E337)))))</f>
        <v>0</v>
      </c>
      <c r="L338" s="16"/>
    </row>
    <row r="339" customFormat="false" ht="12.8" hidden="false" customHeight="false" outlineLevel="0" collapsed="false">
      <c r="A339" s="1" t="s">
        <v>217</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8" hidden="false" customHeight="false" outlineLevel="0" collapsed="false">
      <c r="A340" s="1" t="s">
        <v>79</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8" hidden="false" customHeight="false" outlineLevel="0" collapsed="false">
      <c r="A341" s="1" t="s">
        <v>218</v>
      </c>
      <c r="B341" s="1" t="s">
        <v>97</v>
      </c>
      <c r="C341" s="1" t="s">
        <v>16</v>
      </c>
      <c r="D341" s="1" t="s">
        <v>17</v>
      </c>
      <c r="E341" s="10" t="s">
        <v>219</v>
      </c>
      <c r="F341" s="11" t="str">
        <f aca="false">IF(OR(E341="",E341="!!!"),"",IF(NOT(ISNA(VLOOKUP(E341,E$1:E340,1,FALSE()))),"OLD",IF(AND(E341&lt;&gt;"",E341&lt;&gt;"!!!"),"NEW","")))</f>
        <v>NEW</v>
      </c>
      <c r="G341" s="12" t="s">
        <v>19</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8" hidden="false" customHeight="false" outlineLevel="0" collapsed="false">
      <c r="A342" s="1" t="s">
        <v>21</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8" hidden="false" customHeight="false" outlineLevel="0" collapsed="false">
      <c r="A343" s="1" t="s">
        <v>220</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8" hidden="false" customHeight="false" outlineLevel="0" collapsed="false">
      <c r="A344" s="1" t="s">
        <v>23</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8" hidden="false" customHeight="false" outlineLevel="0" collapsed="false">
      <c r="A345" s="1" t="s">
        <v>55</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8" hidden="false" customHeight="false" outlineLevel="0" collapsed="false">
      <c r="A346" s="1" t="s">
        <v>42</v>
      </c>
      <c r="B346" s="1" t="s">
        <v>15</v>
      </c>
      <c r="C346" s="1" t="s">
        <v>44</v>
      </c>
      <c r="D346" s="1" t="s">
        <v>17</v>
      </c>
      <c r="E346" s="10" t="s">
        <v>18</v>
      </c>
      <c r="F346" s="11" t="str">
        <f aca="false">IF(OR(E346="",E346="!!!"),"",IF(NOT(ISNA(VLOOKUP(E346,E$1:E345,1,FALSE()))),"OLD",IF(AND(E346&lt;&gt;"",E346&lt;&gt;"!!!"),"NEW","")))</f>
        <v>OLD</v>
      </c>
      <c r="G346" s="12" t="s">
        <v>45</v>
      </c>
      <c r="H346" s="13" t="str">
        <f aca="false">IF(J346&lt;&gt;1,"",IF(I346="SBJ","CB","?"))</f>
        <v/>
      </c>
      <c r="I346" s="14" t="str">
        <f aca="false">IF(OR(E346="",E346="!!!",F346="NEW"),"",INDEX(B$2:B345,-1+SUMPRODUCT(MAX(ROW(E$2:E345)*(E346=E$2:E345)))))</f>
        <v>SBJ_2</v>
      </c>
      <c r="J346" s="15" t="n">
        <f aca="true">IF(OR(E346="",E346="!!!",F346="NEW"),"",COUNTBLANK(OFFSET(A$1,,,SUMPRODUCT(MAX(ROW(E$2:E346)*(E346=E$2:E346)))))-COUNTBLANK(OFFSET(A$1,,,SUMPRODUCT(MAX(ROW(E$1:E345)*(E346=E$1:E345))))))</f>
        <v>0</v>
      </c>
      <c r="K346" s="15" t="n">
        <f aca="false">IF(OR(E346="",E346="!!!",F346="NEW"),"",INDEX(J$1:J345,SUMPRODUCT(MAX(ROW(E$1:E345)*(E346=E$1:E345)))))</f>
        <v>1</v>
      </c>
      <c r="L346" s="16"/>
    </row>
    <row r="347" customFormat="false" ht="12.8" hidden="false" customHeight="false" outlineLevel="0" collapsed="false">
      <c r="A347" s="1" t="s">
        <v>221</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8" hidden="false" customHeight="false" outlineLevel="0" collapsed="false">
      <c r="A348" s="1" t="s">
        <v>31</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8" hidden="false" customHeight="false" outlineLevel="0" collapsed="false">
      <c r="A349" s="1" t="s">
        <v>222</v>
      </c>
      <c r="B349" s="1" t="s">
        <v>27</v>
      </c>
      <c r="C349" s="1" t="s">
        <v>16</v>
      </c>
      <c r="D349" s="1" t="s">
        <v>17</v>
      </c>
      <c r="E349" s="10" t="s">
        <v>223</v>
      </c>
      <c r="F349" s="11" t="str">
        <f aca="false">IF(OR(E349="",E349="!!!"),"",IF(NOT(ISNA(VLOOKUP(E349,E$1:E348,1,FALSE()))),"OLD",IF(AND(E349&lt;&gt;"",E349&lt;&gt;"!!!"),"NEW","")))</f>
        <v>NEW</v>
      </c>
      <c r="G349" s="12" t="s">
        <v>19</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8" hidden="false" customHeight="false" outlineLevel="0" collapsed="false">
      <c r="A350" s="1" t="s">
        <v>39</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8" hidden="false" customHeight="false" outlineLevel="0" collapsed="false">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8" hidden="false" customHeight="false" outlineLevel="0" collapsed="false">
      <c r="A352" s="1" t="s">
        <v>58</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8" hidden="false" customHeight="false" outlineLevel="0" collapsed="false">
      <c r="A353" s="1" t="s">
        <v>224</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8" hidden="false" customHeight="false" outlineLevel="0" collapsed="false">
      <c r="A354" s="1" t="s">
        <v>225</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8" hidden="false" customHeight="false" outlineLevel="0" collapsed="false">
      <c r="A355" s="1" t="s">
        <v>226</v>
      </c>
      <c r="B355" s="1" t="s">
        <v>50</v>
      </c>
      <c r="C355" s="1" t="s">
        <v>16</v>
      </c>
      <c r="D355" s="1" t="s">
        <v>17</v>
      </c>
      <c r="E355" s="10" t="s">
        <v>227</v>
      </c>
      <c r="F355" s="11" t="str">
        <f aca="false">IF(OR(E355="",E355="!!!"),"",IF(NOT(ISNA(VLOOKUP(E355,E$1:E354,1,FALSE()))),"OLD",IF(AND(E355&lt;&gt;"",E355&lt;&gt;"!!!"),"NEW","")))</f>
        <v>NEW</v>
      </c>
      <c r="G355" s="12" t="s">
        <v>19</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8" hidden="false" customHeight="false" outlineLevel="0" collapsed="false">
      <c r="A356" s="1" t="s">
        <v>55</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8" hidden="false" customHeight="false" outlineLevel="0" collapsed="false">
      <c r="A357" s="1" t="s">
        <v>42</v>
      </c>
      <c r="B357" s="1" t="s">
        <v>15</v>
      </c>
      <c r="C357" s="1" t="s">
        <v>44</v>
      </c>
      <c r="D357" s="1" t="s">
        <v>17</v>
      </c>
      <c r="E357" s="10" t="s">
        <v>18</v>
      </c>
      <c r="F357" s="11" t="str">
        <f aca="false">IF(OR(E357="",E357="!!!"),"",IF(NOT(ISNA(VLOOKUP(E357,E$1:E356,1,FALSE()))),"OLD",IF(AND(E357&lt;&gt;"",E357&lt;&gt;"!!!"),"NEW","")))</f>
        <v>OLD</v>
      </c>
      <c r="G357" s="12" t="s">
        <v>45</v>
      </c>
      <c r="H357" s="13" t="str">
        <f aca="false">IF(J357&lt;&gt;1,"",IF(I357="SBJ","CB","?"))</f>
        <v>CB</v>
      </c>
      <c r="I357" s="14" t="str">
        <f aca="false">IF(OR(E357="",E357="!!!",F357="NEW"),"",INDEX(B$2:B356,-1+SUMPRODUCT(MAX(ROW(E$2:E356)*(E357=E$2:E356)))))</f>
        <v>SBJ</v>
      </c>
      <c r="J357" s="15" t="n">
        <f aca="true">IF(OR(E357="",E357="!!!",F357="NEW"),"",COUNTBLANK(OFFSET(A$1,,,SUMPRODUCT(MAX(ROW(E$2:E357)*(E357=E$2:E357)))))-COUNTBLANK(OFFSET(A$1,,,SUMPRODUCT(MAX(ROW(E$1:E356)*(E357=E$1:E356))))))</f>
        <v>1</v>
      </c>
      <c r="K357" s="15" t="n">
        <f aca="false">IF(OR(E357="",E357="!!!",F357="NEW"),"",INDEX(J$1:J356,SUMPRODUCT(MAX(ROW(E$1:E356)*(E357=E$1:E356)))))</f>
        <v>0</v>
      </c>
      <c r="L357" s="16"/>
    </row>
    <row r="358" customFormat="false" ht="12.8" hidden="false" customHeight="false" outlineLevel="0" collapsed="false">
      <c r="A358" s="1" t="s">
        <v>63</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8" hidden="false" customHeight="false" outlineLevel="0" collapsed="false">
      <c r="A359" s="1" t="s">
        <v>52</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8" hidden="false" customHeight="false" outlineLevel="0" collapsed="false">
      <c r="A360" s="1" t="s">
        <v>228</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8" hidden="false" customHeight="false" outlineLevel="0" collapsed="false">
      <c r="A361" s="1" t="s">
        <v>142</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8" hidden="false" customHeight="false" outlineLevel="0" collapsed="false">
      <c r="A362" s="1" t="s">
        <v>229</v>
      </c>
      <c r="B362" s="1" t="s">
        <v>66</v>
      </c>
      <c r="C362" s="1" t="s">
        <v>16</v>
      </c>
      <c r="D362" s="1" t="s">
        <v>17</v>
      </c>
      <c r="E362" s="10" t="s">
        <v>230</v>
      </c>
      <c r="F362" s="11" t="str">
        <f aca="false">IF(OR(E362="",E362="!!!"),"",IF(NOT(ISNA(VLOOKUP(E362,E$1:E361,1,FALSE()))),"OLD",IF(AND(E362&lt;&gt;"",E362&lt;&gt;"!!!"),"NEW","")))</f>
        <v>NEW</v>
      </c>
      <c r="G362" s="12" t="s">
        <v>126</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t="s">
        <v>231</v>
      </c>
    </row>
    <row r="363" customFormat="false" ht="12.8" hidden="false" customHeight="false" outlineLevel="0" collapsed="false">
      <c r="A363" s="1" t="s">
        <v>55</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8" hidden="false" customHeight="false" outlineLevel="0" collapsed="false">
      <c r="A364" s="1" t="s">
        <v>232</v>
      </c>
      <c r="B364" s="1" t="s">
        <v>70</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8" hidden="false" customHeight="false" outlineLevel="0" collapsed="false">
      <c r="A365" s="1" t="s">
        <v>93</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8" hidden="false" customHeight="false" outlineLevel="0" collapsed="false">
      <c r="A366" s="1" t="s">
        <v>24</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8" hidden="false" customHeight="false" outlineLevel="0" collapsed="false">
      <c r="A367" s="1" t="s">
        <v>25</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8" hidden="false" customHeight="false" outlineLevel="0" collapsed="false">
      <c r="A368" s="1" t="s">
        <v>233</v>
      </c>
      <c r="B368" s="1" t="s">
        <v>38</v>
      </c>
      <c r="C368" s="1" t="s">
        <v>28</v>
      </c>
      <c r="D368" s="1" t="s">
        <v>17</v>
      </c>
      <c r="E368" s="10" t="s">
        <v>234</v>
      </c>
      <c r="F368" s="11" t="str">
        <f aca="false">IF(OR(E368="",E368="!!!"),"",IF(NOT(ISNA(VLOOKUP(E368,E$1:E367,1,FALSE()))),"OLD",IF(AND(E368&lt;&gt;"",E368&lt;&gt;"!!!"),"NEW","")))</f>
        <v>NEW</v>
      </c>
      <c r="G368" s="12" t="s">
        <v>126</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t="s">
        <v>235</v>
      </c>
    </row>
    <row r="369" customFormat="false" ht="12.8" hidden="false" customHeight="false" outlineLevel="0" collapsed="false">
      <c r="A369" s="1" t="s">
        <v>55</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8" hidden="false" customHeight="false" outlineLevel="0" collapsed="false">
      <c r="A370" s="1" t="s">
        <v>142</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8" hidden="false" customHeight="false" outlineLevel="0" collapsed="false">
      <c r="A371" s="1" t="s">
        <v>25</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8" hidden="false" customHeight="false" outlineLevel="0" collapsed="false">
      <c r="A372" s="1" t="s">
        <v>236</v>
      </c>
      <c r="B372" s="1" t="s">
        <v>76</v>
      </c>
      <c r="C372" s="1" t="s">
        <v>109</v>
      </c>
      <c r="D372" s="1" t="s">
        <v>17</v>
      </c>
      <c r="E372" s="10"/>
      <c r="F372" s="11" t="s">
        <v>110</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t="s">
        <v>237</v>
      </c>
    </row>
    <row r="373" customFormat="false" ht="12.8" hidden="false" customHeight="false" outlineLevel="0" collapsed="false">
      <c r="A373" s="1" t="s">
        <v>74</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8" hidden="false" customHeight="false" outlineLevel="0" collapsed="false">
      <c r="A374" s="1" t="s">
        <v>238</v>
      </c>
      <c r="B374" s="1" t="s">
        <v>112</v>
      </c>
      <c r="C374" s="1" t="s">
        <v>16</v>
      </c>
      <c r="D374" s="1" t="s">
        <v>17</v>
      </c>
      <c r="E374" s="10" t="s">
        <v>239</v>
      </c>
      <c r="F374" s="11" t="str">
        <f aca="false">IF(OR(E374="",E374="!!!"),"",IF(NOT(ISNA(VLOOKUP(E374,E$1:E373,1,FALSE()))),"OLD",IF(AND(E374&lt;&gt;"",E374&lt;&gt;"!!!"),"NEW","")))</f>
        <v>NEW</v>
      </c>
      <c r="G374" s="12" t="s">
        <v>126</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8" hidden="false" customHeight="false" outlineLevel="0" collapsed="false">
      <c r="A375" s="1" t="s">
        <v>52</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8" hidden="false" customHeight="false" outlineLevel="0" collapsed="false">
      <c r="A376" s="1" t="s">
        <v>240</v>
      </c>
      <c r="B376" s="1" t="s">
        <v>241</v>
      </c>
      <c r="C376" s="1" t="s">
        <v>16</v>
      </c>
      <c r="D376" s="1" t="s">
        <v>17</v>
      </c>
      <c r="E376" s="10" t="s">
        <v>242</v>
      </c>
      <c r="F376" s="11" t="str">
        <f aca="false">IF(OR(E376="",E376="!!!"),"",IF(NOT(ISNA(VLOOKUP(E376,E$1:E375,1,FALSE()))),"OLD",IF(AND(E376&lt;&gt;"",E376&lt;&gt;"!!!"),"NEW","")))</f>
        <v>NEW</v>
      </c>
      <c r="G376" s="12" t="s">
        <v>126</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8" hidden="false" customHeight="false" outlineLevel="0" collapsed="false">
      <c r="A377" s="1" t="s">
        <v>55</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8" hidden="false" customHeight="false" outlineLevel="0" collapsed="false">
      <c r="A378" s="1" t="s">
        <v>79</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8" hidden="false" customHeight="false" outlineLevel="0" collapsed="false">
      <c r="A379" s="1" t="s">
        <v>135</v>
      </c>
      <c r="B379" s="1" t="s">
        <v>97</v>
      </c>
      <c r="C379" s="1" t="s">
        <v>44</v>
      </c>
      <c r="D379" s="1" t="s">
        <v>17</v>
      </c>
      <c r="E379" s="10"/>
      <c r="F379" s="11" t="s">
        <v>92</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8" hidden="false" customHeight="false" outlineLevel="0" collapsed="false">
      <c r="A380" s="1" t="s">
        <v>243</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8" hidden="false" customHeight="false" outlineLevel="0" collapsed="false">
      <c r="A381" s="1" t="s">
        <v>35</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8" hidden="false" customHeight="false" outlineLevel="0" collapsed="false">
      <c r="A382" s="1" t="s">
        <v>244</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8" hidden="false" customHeight="false" outlineLevel="0" collapsed="false">
      <c r="A383" s="1" t="s">
        <v>232</v>
      </c>
      <c r="B383" s="1" t="s">
        <v>70</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8" hidden="false" customHeight="false" outlineLevel="0" collapsed="false">
      <c r="A384" s="1" t="s">
        <v>21</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8" hidden="false" customHeight="false" outlineLevel="0" collapsed="false">
      <c r="A385" s="1" t="s">
        <v>245</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8" hidden="false" customHeight="false" outlineLevel="0" collapsed="false">
      <c r="A386" s="1" t="s">
        <v>246</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8" hidden="false" customHeight="false" outlineLevel="0" collapsed="false">
      <c r="A387" s="1" t="s">
        <v>247</v>
      </c>
      <c r="B387" s="1" t="s">
        <v>76</v>
      </c>
      <c r="C387" s="1" t="s">
        <v>16</v>
      </c>
      <c r="D387" s="1" t="s">
        <v>17</v>
      </c>
      <c r="E387" s="10" t="s">
        <v>248</v>
      </c>
      <c r="F387" s="11" t="str">
        <f aca="false">IF(OR(E387="",E387="!!!"),"",IF(NOT(ISNA(VLOOKUP(E387,E$1:E386,1,FALSE()))),"OLD",IF(AND(E387&lt;&gt;"",E387&lt;&gt;"!!!"),"NEW","")))</f>
        <v>NEW</v>
      </c>
      <c r="G387" s="12" t="s">
        <v>19</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8" hidden="false" customHeight="false" outlineLevel="0" collapsed="false">
      <c r="A388" s="1" t="s">
        <v>25</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8" hidden="false" customHeight="false" outlineLevel="0" collapsed="false">
      <c r="A389" s="1" t="s">
        <v>249</v>
      </c>
      <c r="B389" s="1" t="s">
        <v>112</v>
      </c>
      <c r="C389" s="1" t="s">
        <v>28</v>
      </c>
      <c r="D389" s="1" t="s">
        <v>17</v>
      </c>
      <c r="E389" s="10"/>
      <c r="F389" s="11" t="s">
        <v>73</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8" hidden="false" customHeight="false" outlineLevel="0" collapsed="false">
      <c r="A390" s="1" t="s">
        <v>55</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8" hidden="false" customHeight="false" outlineLevel="0" collapsed="false">
      <c r="A391" s="1" t="s">
        <v>250</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8" hidden="false" customHeight="false" outlineLevel="0" collapsed="false">
      <c r="A392" s="1" t="s">
        <v>55</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8" hidden="false" customHeight="false" outlineLevel="0" collapsed="false">
      <c r="A393" s="1" t="s">
        <v>67</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8" hidden="false" customHeight="false" outlineLevel="0" collapsed="false">
      <c r="A394" s="1" t="s">
        <v>60</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8" hidden="false" customHeight="false" outlineLevel="0" collapsed="false">
      <c r="A395" s="1" t="s">
        <v>251</v>
      </c>
      <c r="B395" s="1" t="s">
        <v>97</v>
      </c>
      <c r="C395" s="1" t="s">
        <v>109</v>
      </c>
      <c r="D395" s="1" t="s">
        <v>17</v>
      </c>
      <c r="E395" s="10"/>
      <c r="F395" s="11" t="s">
        <v>110</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t="s">
        <v>252</v>
      </c>
    </row>
    <row r="396" customFormat="false" ht="12.8" hidden="false" customHeight="false" outlineLevel="0" collapsed="false">
      <c r="A396" s="1" t="s">
        <v>74</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8" hidden="false" customHeight="false" outlineLevel="0" collapsed="false">
      <c r="A397" s="1" t="s">
        <v>238</v>
      </c>
      <c r="B397" s="1" t="s">
        <v>76</v>
      </c>
      <c r="C397" s="1" t="s">
        <v>16</v>
      </c>
      <c r="D397" s="1" t="s">
        <v>17</v>
      </c>
      <c r="E397" s="10" t="s">
        <v>239</v>
      </c>
      <c r="F397" s="11" t="str">
        <f aca="false">IF(OR(E397="",E397="!!!"),"",IF(NOT(ISNA(VLOOKUP(E397,E$1:E396,1,FALSE()))),"OLD",IF(AND(E397&lt;&gt;"",E397&lt;&gt;"!!!"),"NEW","")))</f>
        <v>OLD</v>
      </c>
      <c r="G397" s="12" t="s">
        <v>45</v>
      </c>
      <c r="H397" s="13" t="str">
        <f aca="false">IF(J397&lt;&gt;1,"",IF(I397="SBJ","CB","?"))</f>
        <v/>
      </c>
      <c r="I397" s="14" t="str">
        <f aca="false">IF(OR(E397="",E397="!!!",F397="NEW"),"",INDEX(B$2:B396,-1+SUMPRODUCT(MAX(ROW(E$2:E396)*(E397=E$2:E396)))))</f>
        <v>other_5</v>
      </c>
      <c r="J397" s="15" t="n">
        <f aca="true">IF(OR(E397="",E397="!!!",F397="NEW"),"",COUNTBLANK(OFFSET(A$1,,,SUMPRODUCT(MAX(ROW(E$2:E397)*(E397=E$2:E397)))))-COUNTBLANK(OFFSET(A$1,,,SUMPRODUCT(MAX(ROW(E$1:E396)*(E397=E$1:E396))))))</f>
        <v>0</v>
      </c>
      <c r="K397" s="15" t="str">
        <f aca="false">IF(OR(E397="",E397="!!!",F397="NEW"),"",INDEX(J$1:J396,SUMPRODUCT(MAX(ROW(E$1:E396)*(E397=E$1:E396)))))</f>
        <v/>
      </c>
      <c r="L397" s="16"/>
    </row>
    <row r="398" customFormat="false" ht="12.8" hidden="false" customHeight="false" outlineLevel="0" collapsed="false">
      <c r="A398" s="1" t="s">
        <v>52</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8" hidden="false" customHeight="false" outlineLevel="0" collapsed="false">
      <c r="A399" s="1" t="s">
        <v>25</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8" hidden="false" customHeight="false" outlineLevel="0" collapsed="false">
      <c r="A400" s="1" t="s">
        <v>251</v>
      </c>
      <c r="B400" s="1" t="s">
        <v>112</v>
      </c>
      <c r="C400" s="1" t="s">
        <v>109</v>
      </c>
      <c r="D400" s="1" t="s">
        <v>17</v>
      </c>
      <c r="E400" s="10"/>
      <c r="F400" s="11" t="s">
        <v>110</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t="s">
        <v>252</v>
      </c>
    </row>
    <row r="401" customFormat="false" ht="12.8" hidden="false" customHeight="false" outlineLevel="0" collapsed="false">
      <c r="A401" s="1" t="s">
        <v>74</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8" hidden="false" customHeight="false" outlineLevel="0" collapsed="false">
      <c r="A402" s="1" t="s">
        <v>240</v>
      </c>
      <c r="B402" s="1" t="s">
        <v>241</v>
      </c>
      <c r="C402" s="1" t="s">
        <v>16</v>
      </c>
      <c r="D402" s="1" t="s">
        <v>17</v>
      </c>
      <c r="E402" s="10" t="s">
        <v>242</v>
      </c>
      <c r="F402" s="11" t="str">
        <f aca="false">IF(OR(E402="",E402="!!!"),"",IF(NOT(ISNA(VLOOKUP(E402,E$1:E401,1,FALSE()))),"OLD",IF(AND(E402&lt;&gt;"",E402&lt;&gt;"!!!"),"NEW","")))</f>
        <v>OLD</v>
      </c>
      <c r="G402" s="12" t="s">
        <v>45</v>
      </c>
      <c r="H402" s="13" t="str">
        <f aca="false">IF(J402&lt;&gt;1,"",IF(I402="SBJ","CB","?"))</f>
        <v/>
      </c>
      <c r="I402" s="14" t="str">
        <f aca="false">IF(OR(E402="",E402="!!!",F402="NEW"),"",INDEX(B$2:B401,-1+SUMPRODUCT(MAX(ROW(E$2:E401)*(E402=E$2:E401)))))</f>
        <v>other_6</v>
      </c>
      <c r="J402" s="15" t="n">
        <f aca="true">IF(OR(E402="",E402="!!!",F402="NEW"),"",COUNTBLANK(OFFSET(A$1,,,SUMPRODUCT(MAX(ROW(E$2:E402)*(E402=E$2:E402)))))-COUNTBLANK(OFFSET(A$1,,,SUMPRODUCT(MAX(ROW(E$1:E401)*(E402=E$1:E401))))))</f>
        <v>0</v>
      </c>
      <c r="K402" s="15" t="str">
        <f aca="false">IF(OR(E402="",E402="!!!",F402="NEW"),"",INDEX(J$1:J401,SUMPRODUCT(MAX(ROW(E$1:E401)*(E402=E$1:E401)))))</f>
        <v/>
      </c>
      <c r="L402" s="16"/>
    </row>
    <row r="403" customFormat="false" ht="12.8" hidden="false" customHeight="false" outlineLevel="0" collapsed="false">
      <c r="A403" s="1" t="s">
        <v>55</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8" hidden="false" customHeight="false" outlineLevel="0" collapsed="false">
      <c r="A404" s="1" t="s">
        <v>253</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8" hidden="false" customHeight="false" outlineLevel="0" collapsed="false">
      <c r="A405" s="1" t="s">
        <v>25</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8" hidden="false" customHeight="false" outlineLevel="0" collapsed="false">
      <c r="A406" s="1" t="s">
        <v>233</v>
      </c>
      <c r="B406" s="1" t="s">
        <v>76</v>
      </c>
      <c r="C406" s="1" t="s">
        <v>28</v>
      </c>
      <c r="D406" s="1" t="s">
        <v>17</v>
      </c>
      <c r="E406" s="10" t="s">
        <v>234</v>
      </c>
      <c r="F406" s="11" t="str">
        <f aca="false">IF(OR(E406="",E406="!!!"),"",IF(NOT(ISNA(VLOOKUP(E406,E$1:E405,1,FALSE()))),"OLD",IF(AND(E406&lt;&gt;"",E406&lt;&gt;"!!!"),"NEW","")))</f>
        <v>OLD</v>
      </c>
      <c r="G406" s="12" t="s">
        <v>45</v>
      </c>
      <c r="H406" s="13" t="str">
        <f aca="false">IF(J406&lt;&gt;1,"",IF(I406="SBJ","CB","?"))</f>
        <v/>
      </c>
      <c r="I406" s="14" t="str">
        <f aca="false">IF(OR(E406="",E406="!!!",F406="NEW"),"",INDEX(B$2:B405,-1+SUMPRODUCT(MAX(ROW(E$2:E405)*(E406=E$2:E405)))))</f>
        <v>other_3</v>
      </c>
      <c r="J406" s="15" t="n">
        <f aca="true">IF(OR(E406="",E406="!!!",F406="NEW"),"",COUNTBLANK(OFFSET(A$1,,,SUMPRODUCT(MAX(ROW(E$2:E406)*(E406=E$2:E406)))))-COUNTBLANK(OFFSET(A$1,,,SUMPRODUCT(MAX(ROW(E$1:E405)*(E406=E$1:E405))))))</f>
        <v>0</v>
      </c>
      <c r="K406" s="15" t="str">
        <f aca="false">IF(OR(E406="",E406="!!!",F406="NEW"),"",INDEX(J$1:J405,SUMPRODUCT(MAX(ROW(E$1:E405)*(E406=E$1:E405)))))</f>
        <v/>
      </c>
      <c r="L406" s="16"/>
    </row>
    <row r="407" customFormat="false" ht="12.8" hidden="false" customHeight="false" outlineLevel="0" collapsed="false">
      <c r="A407" s="1" t="s">
        <v>55</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8" hidden="false" customHeight="false" outlineLevel="0" collapsed="false">
      <c r="A408" s="1" t="s">
        <v>254</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8" hidden="false" customHeight="false" outlineLevel="0" collapsed="false">
      <c r="A409" s="1" t="s">
        <v>25</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8" hidden="false" customHeight="false" outlineLevel="0" collapsed="false">
      <c r="A410" s="1" t="s">
        <v>255</v>
      </c>
      <c r="B410" s="1" t="s">
        <v>76</v>
      </c>
      <c r="C410" s="1" t="s">
        <v>16</v>
      </c>
      <c r="D410" s="1" t="s">
        <v>17</v>
      </c>
      <c r="E410" s="10" t="s">
        <v>256</v>
      </c>
      <c r="F410" s="11" t="str">
        <f aca="false">IF(OR(E410="",E410="!!!"),"",IF(NOT(ISNA(VLOOKUP(E410,E$1:E409,1,FALSE()))),"OLD",IF(AND(E410&lt;&gt;"",E410&lt;&gt;"!!!"),"NEW","")))</f>
        <v>NEW</v>
      </c>
      <c r="G410" s="12" t="s">
        <v>19</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8" hidden="false" customHeight="false" outlineLevel="0" collapsed="false">
      <c r="A411" s="1" t="s">
        <v>55</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8" hidden="false" customHeight="false" outlineLevel="0" collapsed="false">
      <c r="A412" s="1" t="s">
        <v>222</v>
      </c>
      <c r="B412" s="1" t="s">
        <v>76</v>
      </c>
      <c r="C412" s="1" t="s">
        <v>16</v>
      </c>
      <c r="D412" s="1" t="s">
        <v>17</v>
      </c>
      <c r="E412" s="10" t="s">
        <v>223</v>
      </c>
      <c r="F412" s="11" t="str">
        <f aca="false">IF(OR(E412="",E412="!!!"),"",IF(NOT(ISNA(VLOOKUP(E412,E$1:E411,1,FALSE()))),"OLD",IF(AND(E412&lt;&gt;"",E412&lt;&gt;"!!!"),"NEW","")))</f>
        <v>OLD</v>
      </c>
      <c r="G412" s="12" t="s">
        <v>62</v>
      </c>
      <c r="H412" s="13"/>
      <c r="I412" s="14" t="str">
        <f aca="false">IF(OR(E412="",E412="!!!",F412="NEW"),"",INDEX(B$2:B411,-1+SUMPRODUCT(MAX(ROW(E$2:E411)*(E412=E$2:E411)))))</f>
        <v>other</v>
      </c>
      <c r="J412" s="15" t="n">
        <f aca="true">IF(OR(E412="",E412="!!!",F412="NEW"),"",COUNTBLANK(OFFSET(A$1,,,SUMPRODUCT(MAX(ROW(E$2:E412)*(E412=E$2:E412)))))-COUNTBLANK(OFFSET(A$1,,,SUMPRODUCT(MAX(ROW(E$1:E411)*(E412=E$1:E411))))))</f>
        <v>1</v>
      </c>
      <c r="K412" s="15" t="str">
        <f aca="false">IF(OR(E412="",E412="!!!",F412="NEW"),"",INDEX(J$1:J411,SUMPRODUCT(MAX(ROW(E$1:E411)*(E412=E$1:E411)))))</f>
        <v/>
      </c>
      <c r="L412" s="16"/>
    </row>
    <row r="413" customFormat="false" ht="12.8" hidden="false" customHeight="false" outlineLevel="0" collapsed="false">
      <c r="A413" s="1" t="s">
        <v>74</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8" hidden="false" customHeight="false" outlineLevel="0" collapsed="false">
      <c r="A414" s="1" t="s">
        <v>25</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8" hidden="false" customHeight="false" outlineLevel="0" collapsed="false">
      <c r="A415" s="1" t="s">
        <v>257</v>
      </c>
      <c r="B415" s="1" t="s">
        <v>112</v>
      </c>
      <c r="C415" s="1" t="s">
        <v>28</v>
      </c>
      <c r="D415" s="1" t="s">
        <v>17</v>
      </c>
      <c r="E415" s="10" t="s">
        <v>258</v>
      </c>
      <c r="F415" s="11" t="str">
        <f aca="false">IF(OR(E415="",E415="!!!"),"",IF(NOT(ISNA(VLOOKUP(E415,E$1:E414,1,FALSE()))),"OLD",IF(AND(E415&lt;&gt;"",E415&lt;&gt;"!!!"),"NEW","")))</f>
        <v>NEW</v>
      </c>
      <c r="G415" s="12" t="s">
        <v>19</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t="s">
        <v>259</v>
      </c>
    </row>
    <row r="416" customFormat="false" ht="12.8" hidden="false" customHeight="false" outlineLevel="0" collapsed="false">
      <c r="A416" s="1" t="s">
        <v>55</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8" hidden="false" customHeight="false" outlineLevel="0" collapsed="false">
      <c r="A417" s="1" t="s">
        <v>25</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8" hidden="false" customHeight="false" outlineLevel="0" collapsed="false">
      <c r="A418" s="1" t="s">
        <v>260</v>
      </c>
      <c r="B418" s="1" t="s">
        <v>97</v>
      </c>
      <c r="C418" s="1" t="s">
        <v>28</v>
      </c>
      <c r="D418" s="1" t="s">
        <v>17</v>
      </c>
      <c r="E418" s="10" t="s">
        <v>261</v>
      </c>
      <c r="F418" s="11" t="s">
        <v>262</v>
      </c>
      <c r="G418" s="12" t="s">
        <v>19</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t="s">
        <v>263</v>
      </c>
    </row>
    <row r="419" customFormat="false" ht="12.8" hidden="false" customHeight="false" outlineLevel="0" collapsed="false">
      <c r="A419" s="1" t="s">
        <v>264</v>
      </c>
      <c r="B419" s="1" t="s">
        <v>265</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8" hidden="false" customHeight="false" outlineLevel="0" collapsed="false">
      <c r="A420" s="1" t="s">
        <v>266</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8" hidden="false" customHeight="false" outlineLevel="0" collapsed="false">
      <c r="A421" s="1" t="s">
        <v>142</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8" hidden="false" customHeight="false" outlineLevel="0" collapsed="false">
      <c r="A422" s="1" t="s">
        <v>267</v>
      </c>
      <c r="B422" s="1" t="s">
        <v>112</v>
      </c>
      <c r="C422" s="1" t="s">
        <v>54</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8" hidden="false" customHeight="false" outlineLevel="0" collapsed="false">
      <c r="A423" s="1" t="s">
        <v>268</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8" hidden="false" customHeight="false" outlineLevel="0" collapsed="false">
      <c r="A424" s="1" t="s">
        <v>165</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8" hidden="false" customHeight="false" outlineLevel="0" collapsed="false">
      <c r="A425" s="1" t="s">
        <v>269</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8" hidden="false" customHeight="false" outlineLevel="0" collapsed="false">
      <c r="A426" s="1" t="s">
        <v>270</v>
      </c>
      <c r="B426" s="1" t="s">
        <v>132</v>
      </c>
      <c r="C426" s="1" t="s">
        <v>167</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8" hidden="false" customHeight="false" outlineLevel="0" collapsed="false">
      <c r="A427" s="1" t="s">
        <v>55</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8" hidden="false" customHeight="false" outlineLevel="0" collapsed="false">
      <c r="A428" s="1" t="s">
        <v>34</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8" hidden="false" customHeight="false" outlineLevel="0" collapsed="false">
      <c r="A429" s="1" t="s">
        <v>271</v>
      </c>
      <c r="B429" s="1" t="s">
        <v>38</v>
      </c>
      <c r="C429" s="1" t="s">
        <v>272</v>
      </c>
      <c r="D429" s="1" t="s">
        <v>17</v>
      </c>
      <c r="E429" s="10" t="s">
        <v>261</v>
      </c>
      <c r="F429" s="11" t="str">
        <f aca="false">IF(OR(E429="",E429="!!!"),"",IF(NOT(ISNA(VLOOKUP(E429,E$1:E428,1,FALSE()))),"OLD",IF(AND(E429&lt;&gt;"",E429&lt;&gt;"!!!"),"NEW","")))</f>
        <v>OLD</v>
      </c>
      <c r="G429" s="12" t="s">
        <v>45</v>
      </c>
      <c r="H429" s="13" t="str">
        <f aca="false">IF(J429&lt;&gt;1,"",IF(I429="SBJ","CB","?"))</f>
        <v/>
      </c>
      <c r="I429" s="14" t="str">
        <f aca="false">IF(OR(E429="",E429="!!!",F429="NEW"),"",INDEX(B$2:B428,-1+SUMPRODUCT(MAX(ROW(E$2:E428)*(E429=E$2:E428)))))</f>
        <v>SBJ_3</v>
      </c>
      <c r="J429" s="15" t="n">
        <f aca="true">IF(OR(E429="",E429="!!!",F429="NEW"),"",COUNTBLANK(OFFSET(A$1,,,SUMPRODUCT(MAX(ROW(E$2:E429)*(E429=E$2:E429)))))-COUNTBLANK(OFFSET(A$1,,,SUMPRODUCT(MAX(ROW(E$1:E428)*(E429=E$1:E428))))))</f>
        <v>0</v>
      </c>
      <c r="K429" s="15" t="str">
        <f aca="false">IF(OR(E429="",E429="!!!",F429="NEW"),"",INDEX(J$1:J428,SUMPRODUCT(MAX(ROW(E$1:E428)*(E429=E$1:E428)))))</f>
        <v/>
      </c>
      <c r="L429" s="16"/>
    </row>
    <row r="430" customFormat="false" ht="12.8" hidden="false" customHeight="false" outlineLevel="0" collapsed="false">
      <c r="A430" s="1" t="s">
        <v>264</v>
      </c>
      <c r="B430" s="1" t="s">
        <v>265</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8" hidden="false" customHeight="false" outlineLevel="0" collapsed="false">
      <c r="A431" s="1" t="s">
        <v>266</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8" hidden="false" customHeight="false" outlineLevel="0" collapsed="false">
      <c r="A432" s="1" t="s">
        <v>142</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8" hidden="false" customHeight="false" outlineLevel="0" collapsed="false">
      <c r="A433" s="1" t="s">
        <v>25</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8" hidden="false" customHeight="false" outlineLevel="0" collapsed="false">
      <c r="A434" s="1" t="s">
        <v>236</v>
      </c>
      <c r="B434" s="1" t="s">
        <v>112</v>
      </c>
      <c r="C434" s="1" t="s">
        <v>28</v>
      </c>
      <c r="D434" s="1" t="s">
        <v>17</v>
      </c>
      <c r="E434" s="10" t="s">
        <v>223</v>
      </c>
      <c r="F434" s="11" t="str">
        <f aca="false">IF(OR(E434="",E434="!!!"),"",IF(NOT(ISNA(VLOOKUP(E434,E$1:E433,1,FALSE()))),"OLD",IF(AND(E434&lt;&gt;"",E434&lt;&gt;"!!!"),"NEW","")))</f>
        <v>OLD</v>
      </c>
      <c r="G434" s="12" t="s">
        <v>45</v>
      </c>
      <c r="H434" s="13" t="str">
        <f aca="false">IF(J434&lt;&gt;1,"",IF(I434="SBJ","CB","?"))</f>
        <v/>
      </c>
      <c r="I434" s="14" t="str">
        <f aca="false">IF(OR(E434="",E434="!!!",F434="NEW"),"",INDEX(B$2:B433,-1+SUMPRODUCT(MAX(ROW(E$2:E433)*(E434=E$2:E433)))))</f>
        <v>other_4</v>
      </c>
      <c r="J434" s="15" t="n">
        <f aca="true">IF(OR(E434="",E434="!!!",F434="NEW"),"",COUNTBLANK(OFFSET(A$1,,,SUMPRODUCT(MAX(ROW(E$2:E434)*(E434=E$2:E434)))))-COUNTBLANK(OFFSET(A$1,,,SUMPRODUCT(MAX(ROW(E$1:E433)*(E434=E$1:E433))))))</f>
        <v>0</v>
      </c>
      <c r="K434" s="15" t="n">
        <f aca="false">IF(OR(E434="",E434="!!!",F434="NEW"),"",INDEX(J$1:J433,SUMPRODUCT(MAX(ROW(E$1:E433)*(E434=E$1:E433)))))</f>
        <v>1</v>
      </c>
      <c r="L434" s="16"/>
    </row>
    <row r="435" customFormat="false" ht="12.8" hidden="false" customHeight="false" outlineLevel="0" collapsed="false">
      <c r="A435" s="1" t="s">
        <v>52</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8" hidden="false" customHeight="false" outlineLevel="0" collapsed="false">
      <c r="A436" s="1" t="s">
        <v>273</v>
      </c>
      <c r="B436" s="1" t="s">
        <v>241</v>
      </c>
      <c r="C436" s="1" t="s">
        <v>54</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8" hidden="false" customHeight="false" outlineLevel="0" collapsed="false">
      <c r="A437" s="1" t="s">
        <v>74</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8" hidden="false" customHeight="false" outlineLevel="0" collapsed="false">
      <c r="A438" s="1" t="s">
        <v>274</v>
      </c>
      <c r="B438" s="1" t="s">
        <v>241</v>
      </c>
      <c r="C438" s="1" t="s">
        <v>54</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8" hidden="false" customHeight="false" outlineLevel="0" collapsed="false">
      <c r="A439" s="1" t="s">
        <v>55</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8" hidden="false" customHeight="false" outlineLevel="0" collapsed="false">
      <c r="A440" s="1" t="s">
        <v>34</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8" hidden="false" customHeight="false" outlineLevel="0" collapsed="false">
      <c r="A441" s="1" t="s">
        <v>275</v>
      </c>
      <c r="B441" s="1" t="s">
        <v>38</v>
      </c>
      <c r="C441" s="1" t="s">
        <v>44</v>
      </c>
      <c r="D441" s="1" t="s">
        <v>17</v>
      </c>
      <c r="E441" s="10" t="s">
        <v>261</v>
      </c>
      <c r="F441" s="11" t="str">
        <f aca="false">IF(OR(E441="",E441="!!!"),"",IF(NOT(ISNA(VLOOKUP(E441,E$1:E440,1,FALSE()))),"OLD",IF(AND(E441&lt;&gt;"",E441&lt;&gt;"!!!"),"NEW","")))</f>
        <v>OLD</v>
      </c>
      <c r="G441" s="12" t="s">
        <v>45</v>
      </c>
      <c r="H441" s="13" t="str">
        <f aca="false">IF(J441&lt;&gt;1,"",IF(I441="SBJ","CB","?"))</f>
        <v/>
      </c>
      <c r="I441" s="14" t="str">
        <f aca="false">IF(OR(E441="",E441="!!!",F441="NEW"),"",INDEX(B$2:B440,-1+SUMPRODUCT(MAX(ROW(E$2:E440)*(E441=E$2:E440)))))</f>
        <v>other_3</v>
      </c>
      <c r="J441" s="15" t="n">
        <f aca="true">IF(OR(E441="",E441="!!!",F441="NEW"),"",COUNTBLANK(OFFSET(A$1,,,SUMPRODUCT(MAX(ROW(E$2:E441)*(E441=E$2:E441)))))-COUNTBLANK(OFFSET(A$1,,,SUMPRODUCT(MAX(ROW(E$1:E440)*(E441=E$1:E440))))))</f>
        <v>0</v>
      </c>
      <c r="K441" s="15" t="n">
        <f aca="false">IF(OR(E441="",E441="!!!",F441="NEW"),"",INDEX(J$1:J440,SUMPRODUCT(MAX(ROW(E$1:E440)*(E441=E$1:E440)))))</f>
        <v>0</v>
      </c>
      <c r="L441" s="16"/>
    </row>
    <row r="442" customFormat="false" ht="12.8" hidden="false" customHeight="false" outlineLevel="0" collapsed="false">
      <c r="A442" s="1" t="s">
        <v>270</v>
      </c>
      <c r="B442" s="1" t="s">
        <v>70</v>
      </c>
      <c r="C442" s="1" t="s">
        <v>54</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8" hidden="false" customHeight="false" outlineLevel="0" collapsed="false">
      <c r="A443" s="1" t="s">
        <v>276</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8" hidden="false" customHeight="false" outlineLevel="0" collapsed="false">
      <c r="A444" s="1" t="s">
        <v>277</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8" hidden="false" customHeight="false" outlineLevel="0" collapsed="false">
      <c r="A445" s="1" t="s">
        <v>39</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8" hidden="false" customHeight="false" outlineLevel="0" collapsed="false">
      <c r="A446" s="1" t="s">
        <v>67</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8" hidden="false" customHeight="false" outlineLevel="0" collapsed="false">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8" hidden="false" customHeight="false" outlineLevel="0" collapsed="false">
      <c r="A448" s="1" t="s">
        <v>58</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8" hidden="false" customHeight="false" outlineLevel="0" collapsed="false">
      <c r="A449" s="1" t="s">
        <v>278</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8" hidden="false" customHeight="false" outlineLevel="0" collapsed="false">
      <c r="A450" s="1" t="s">
        <v>279</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8" hidden="false" customHeight="false" outlineLevel="0" collapsed="false">
      <c r="A451" s="1" t="s">
        <v>79</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8" hidden="false" customHeight="false" outlineLevel="0" collapsed="false">
      <c r="A452" s="1" t="s">
        <v>280</v>
      </c>
      <c r="B452" s="1" t="s">
        <v>27</v>
      </c>
      <c r="C452" s="1" t="s">
        <v>82</v>
      </c>
      <c r="D452" s="1" t="s">
        <v>17</v>
      </c>
      <c r="E452" s="10" t="s">
        <v>281</v>
      </c>
      <c r="F452" s="11" t="str">
        <f aca="false">IF(OR(E452="",E452="!!!"),"",IF(NOT(ISNA(VLOOKUP(E452,E$1:E451,1,FALSE()))),"OLD",IF(AND(E452&lt;&gt;"",E452&lt;&gt;"!!!"),"NEW","")))</f>
        <v>NEW</v>
      </c>
      <c r="G452" s="12" t="s">
        <v>62</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t="s">
        <v>282</v>
      </c>
    </row>
    <row r="453" customFormat="false" ht="12.8" hidden="false" customHeight="false" outlineLevel="0" collapsed="false">
      <c r="A453" s="1" t="s">
        <v>55</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8" hidden="false" customHeight="false" outlineLevel="0" collapsed="false">
      <c r="A454" s="1" t="s">
        <v>14</v>
      </c>
      <c r="B454" s="1" t="s">
        <v>15</v>
      </c>
      <c r="C454" s="1" t="s">
        <v>16</v>
      </c>
      <c r="D454" s="1" t="s">
        <v>17</v>
      </c>
      <c r="E454" s="10" t="s">
        <v>18</v>
      </c>
      <c r="F454" s="11" t="str">
        <f aca="false">IF(OR(E454="",E454="!!!"),"",IF(NOT(ISNA(VLOOKUP(E454,E$1:E453,1,FALSE()))),"OLD",IF(AND(E454&lt;&gt;"",E454&lt;&gt;"!!!"),"NEW","")))</f>
        <v>OLD</v>
      </c>
      <c r="G454" s="12" t="s">
        <v>45</v>
      </c>
      <c r="H454" s="13" t="str">
        <f aca="false">IF(J454&lt;&gt;1,"",IF(I454="SBJ","CB","?"))</f>
        <v>CB</v>
      </c>
      <c r="I454" s="14" t="str">
        <f aca="false">IF(OR(E454="",E454="!!!",F454="NEW"),"",INDEX(B$2:B453,-1+SUMPRODUCT(MAX(ROW(E$2:E453)*(E454=E$2:E453)))))</f>
        <v>SBJ</v>
      </c>
      <c r="J454" s="15" t="n">
        <f aca="true">IF(OR(E454="",E454="!!!",F454="NEW"),"",COUNTBLANK(OFFSET(A$1,,,SUMPRODUCT(MAX(ROW(E$2:E454)*(E454=E$2:E454)))))-COUNTBLANK(OFFSET(A$1,,,SUMPRODUCT(MAX(ROW(E$1:E453)*(E454=E$1:E453))))))</f>
        <v>1</v>
      </c>
      <c r="K454" s="15" t="n">
        <f aca="false">IF(OR(E454="",E454="!!!",F454="NEW"),"",INDEX(J$1:J453,SUMPRODUCT(MAX(ROW(E$1:E453)*(E454=E$1:E453)))))</f>
        <v>1</v>
      </c>
      <c r="L454" s="16"/>
    </row>
    <row r="455" customFormat="false" ht="12.8" hidden="false" customHeight="false" outlineLevel="0" collapsed="false">
      <c r="A455" s="1" t="s">
        <v>283</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8" hidden="false" customHeight="false" outlineLevel="0" collapsed="false">
      <c r="A456" s="1" t="s">
        <v>34</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8" hidden="false" customHeight="false" outlineLevel="0" collapsed="false">
      <c r="A457" s="1" t="s">
        <v>284</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8" hidden="false" customHeight="false" outlineLevel="0" collapsed="false">
      <c r="A458" s="1" t="s">
        <v>55</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8" hidden="false" customHeight="false" outlineLevel="0" collapsed="false">
      <c r="A459" s="1" t="s">
        <v>52</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8" hidden="false" customHeight="false" outlineLevel="0" collapsed="false">
      <c r="A460" s="1" t="s">
        <v>34</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8" hidden="false" customHeight="false" outlineLevel="0" collapsed="false">
      <c r="A461" s="1" t="s">
        <v>285</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8" hidden="false" customHeight="false" outlineLevel="0" collapsed="false">
      <c r="A462" s="1" t="s">
        <v>55</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8" hidden="false" customHeight="false" outlineLevel="0" collapsed="false">
      <c r="A463" s="1" t="s">
        <v>67</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8" hidden="false" customHeight="false" outlineLevel="0" collapsed="false">
      <c r="A464" s="1" t="s">
        <v>286</v>
      </c>
      <c r="B464" s="1" t="s">
        <v>50</v>
      </c>
      <c r="C464" s="1" t="s">
        <v>54</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8" hidden="false" customHeight="false" outlineLevel="0" collapsed="false">
      <c r="A465" s="1" t="s">
        <v>201</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8" hidden="false" customHeight="false" outlineLevel="0" collapsed="false">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8" hidden="false" customHeight="false" outlineLevel="0" collapsed="false">
      <c r="A467" s="1" t="s">
        <v>58</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8" hidden="false" customHeight="false" outlineLevel="0" collapsed="false">
      <c r="A468" s="1" t="s">
        <v>287</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8" hidden="false" customHeight="false" outlineLevel="0" collapsed="false">
      <c r="A469" s="1" t="s">
        <v>203</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8" hidden="false" customHeight="false" outlineLevel="0" collapsed="false">
      <c r="A470" s="1" t="s">
        <v>25</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8" hidden="false" customHeight="false" outlineLevel="0" collapsed="false">
      <c r="A471" s="1" t="s">
        <v>288</v>
      </c>
      <c r="B471" s="1" t="s">
        <v>15</v>
      </c>
      <c r="C471" s="1" t="s">
        <v>16</v>
      </c>
      <c r="D471" s="1" t="s">
        <v>17</v>
      </c>
      <c r="E471" s="10" t="s">
        <v>289</v>
      </c>
      <c r="F471" s="11" t="str">
        <f aca="false">IF(OR(E471="",E471="!!!"),"",IF(NOT(ISNA(VLOOKUP(E471,E$1:E470,1,FALSE()))),"OLD",IF(AND(E471&lt;&gt;"",E471&lt;&gt;"!!!"),"NEW","")))</f>
        <v>NEW</v>
      </c>
      <c r="G471" s="12" t="s">
        <v>19</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8" hidden="false" customHeight="false" outlineLevel="0" collapsed="false">
      <c r="A472" s="1" t="s">
        <v>74</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8" hidden="false" customHeight="false" outlineLevel="0" collapsed="false">
      <c r="A473" s="1" t="s">
        <v>290</v>
      </c>
      <c r="B473" s="1" t="s">
        <v>66</v>
      </c>
      <c r="C473" s="1" t="s">
        <v>16</v>
      </c>
      <c r="D473" s="1" t="s">
        <v>17</v>
      </c>
      <c r="E473" s="10" t="s">
        <v>291</v>
      </c>
      <c r="F473" s="11" t="str">
        <f aca="false">IF(OR(E473="",E473="!!!"),"",IF(NOT(ISNA(VLOOKUP(E473,E$1:E472,1,FALSE()))),"OLD",IF(AND(E473&lt;&gt;"",E473&lt;&gt;"!!!"),"NEW","")))</f>
        <v>NEW</v>
      </c>
      <c r="G473" s="12" t="s">
        <v>19</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8" hidden="false" customHeight="false" outlineLevel="0" collapsed="false">
      <c r="A474" s="1" t="s">
        <v>93</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8" hidden="false" customHeight="false" outlineLevel="0" collapsed="false">
      <c r="A475" s="1" t="s">
        <v>292</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8" hidden="false" customHeight="false" outlineLevel="0" collapsed="false">
      <c r="A476" s="1" t="s">
        <v>293</v>
      </c>
      <c r="B476" s="1" t="s">
        <v>27</v>
      </c>
      <c r="C476" s="1" t="s">
        <v>54</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8" hidden="false" customHeight="false" outlineLevel="0" collapsed="false">
      <c r="A477" s="1" t="s">
        <v>39</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8" hidden="false" customHeight="false" outlineLevel="0" collapsed="false">
      <c r="A478" s="1" t="s">
        <v>67</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8" hidden="false" customHeight="false" outlineLevel="0" collapsed="false">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8" hidden="false" customHeight="false" outlineLevel="0" collapsed="false">
      <c r="A480" s="1" t="s">
        <v>294</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8" hidden="false" customHeight="false" outlineLevel="0" collapsed="false">
      <c r="A481" s="1" t="s">
        <v>295</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8" hidden="false" customHeight="false" outlineLevel="0" collapsed="false">
      <c r="A482" s="1" t="s">
        <v>24</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8" hidden="false" customHeight="false" outlineLevel="0" collapsed="false">
      <c r="A483" s="1" t="s">
        <v>25</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8" hidden="false" customHeight="false" outlineLevel="0" collapsed="false">
      <c r="A484" s="1" t="s">
        <v>233</v>
      </c>
      <c r="B484" s="1" t="s">
        <v>66</v>
      </c>
      <c r="C484" s="1" t="s">
        <v>109</v>
      </c>
      <c r="D484" s="1" t="s">
        <v>17</v>
      </c>
      <c r="E484" s="10" t="s">
        <v>234</v>
      </c>
      <c r="F484" s="11" t="str">
        <f aca="false">IF(OR(E484="",E484="!!!"),"",IF(NOT(ISNA(VLOOKUP(E484,E$1:E483,1,FALSE()))),"OLD",IF(AND(E484&lt;&gt;"",E484&lt;&gt;"!!!"),"NEW","")))</f>
        <v>OLD</v>
      </c>
      <c r="G484" s="12" t="s">
        <v>19</v>
      </c>
      <c r="H484" s="13" t="str">
        <f aca="false">IF(J484&lt;&gt;1,"",IF(I484="SBJ","CB","?"))</f>
        <v/>
      </c>
      <c r="I484" s="14" t="str">
        <f aca="false">IF(OR(E484="",E484="!!!",F484="NEW"),"",INDEX(B$2:B483,-1+SUMPRODUCT(MAX(ROW(E$2:E483)*(E484=E$2:E483)))))</f>
        <v>other_4</v>
      </c>
      <c r="J484" s="15" t="n">
        <f aca="true">IF(OR(E484="",E484="!!!",F484="NEW"),"",COUNTBLANK(OFFSET(A$1,,,SUMPRODUCT(MAX(ROW(E$2:E484)*(E484=E$2:E484)))))-COUNTBLANK(OFFSET(A$1,,,SUMPRODUCT(MAX(ROW(E$1:E483)*(E484=E$1:E483))))))</f>
        <v>3</v>
      </c>
      <c r="K484" s="15" t="n">
        <f aca="false">IF(OR(E484="",E484="!!!",F484="NEW"),"",INDEX(J$1:J483,SUMPRODUCT(MAX(ROW(E$1:E483)*(E484=E$1:E483)))))</f>
        <v>0</v>
      </c>
      <c r="L484" s="16"/>
    </row>
    <row r="485" customFormat="false" ht="12.8" hidden="false" customHeight="false" outlineLevel="0" collapsed="false">
      <c r="A485" s="1" t="s">
        <v>74</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8" hidden="false" customHeight="false" outlineLevel="0" collapsed="false">
      <c r="A486" s="1" t="s">
        <v>222</v>
      </c>
      <c r="B486" s="1" t="s">
        <v>38</v>
      </c>
      <c r="C486" s="1" t="s">
        <v>16</v>
      </c>
      <c r="D486" s="1" t="s">
        <v>17</v>
      </c>
      <c r="E486" s="10" t="s">
        <v>223</v>
      </c>
      <c r="F486" s="11" t="str">
        <f aca="false">IF(OR(E486="",E486="!!!"),"",IF(NOT(ISNA(VLOOKUP(E486,E$1:E485,1,FALSE()))),"OLD",IF(AND(E486&lt;&gt;"",E486&lt;&gt;"!!!"),"NEW","")))</f>
        <v>OLD</v>
      </c>
      <c r="G486" s="12" t="s">
        <v>19</v>
      </c>
      <c r="H486" s="13" t="str">
        <f aca="false">IF(J486&lt;&gt;1,"",IF(I486="SBJ","CB","?"))</f>
        <v/>
      </c>
      <c r="I486" s="14" t="str">
        <f aca="false">IF(OR(E486="",E486="!!!",F486="NEW"),"",INDEX(B$2:B485,-1+SUMPRODUCT(MAX(ROW(E$2:E485)*(E486=E$2:E485)))))</f>
        <v>other_5</v>
      </c>
      <c r="J486" s="15" t="n">
        <f aca="true">IF(OR(E486="",E486="!!!",F486="NEW"),"",COUNTBLANK(OFFSET(A$1,,,SUMPRODUCT(MAX(ROW(E$2:E486)*(E486=E$2:E486)))))-COUNTBLANK(OFFSET(A$1,,,SUMPRODUCT(MAX(ROW(E$1:E485)*(E486=E$1:E485))))))</f>
        <v>3</v>
      </c>
      <c r="K486" s="15" t="n">
        <f aca="false">IF(OR(E486="",E486="!!!",F486="NEW"),"",INDEX(J$1:J485,SUMPRODUCT(MAX(ROW(E$1:E485)*(E486=E$1:E485)))))</f>
        <v>0</v>
      </c>
      <c r="L486" s="16"/>
    </row>
    <row r="487" customFormat="false" ht="12.8" hidden="false" customHeight="false" outlineLevel="0" collapsed="false">
      <c r="A487" s="1" t="s">
        <v>55</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8" hidden="false" customHeight="false" outlineLevel="0" collapsed="false">
      <c r="A488" s="1" t="s">
        <v>42</v>
      </c>
      <c r="B488" s="1" t="s">
        <v>15</v>
      </c>
      <c r="C488" s="1" t="s">
        <v>44</v>
      </c>
      <c r="D488" s="1" t="s">
        <v>17</v>
      </c>
      <c r="E488" s="10" t="s">
        <v>18</v>
      </c>
      <c r="F488" s="11" t="str">
        <f aca="false">IF(OR(E488="",E488="!!!"),"",IF(NOT(ISNA(VLOOKUP(E488,E$1:E487,1,FALSE()))),"OLD",IF(AND(E488&lt;&gt;"",E488&lt;&gt;"!!!"),"NEW","")))</f>
        <v>OLD</v>
      </c>
      <c r="G488" s="12" t="s">
        <v>45</v>
      </c>
      <c r="H488" s="13" t="str">
        <f aca="false">IF(J488&lt;&gt;1,"",IF(I488="SBJ","CB","?"))</f>
        <v/>
      </c>
      <c r="I488" s="14" t="str">
        <f aca="false">IF(OR(E488="",E488="!!!",F488="NEW"),"",INDEX(B$2:B487,-1+SUMPRODUCT(MAX(ROW(E$2:E487)*(E488=E$2:E487)))))</f>
        <v>SBJ</v>
      </c>
      <c r="J488" s="15" t="n">
        <f aca="true">IF(OR(E488="",E488="!!!",F488="NEW"),"",COUNTBLANK(OFFSET(A$1,,,SUMPRODUCT(MAX(ROW(E$2:E488)*(E488=E$2:E488)))))-COUNTBLANK(OFFSET(A$1,,,SUMPRODUCT(MAX(ROW(E$1:E487)*(E488=E$1:E487))))))</f>
        <v>2</v>
      </c>
      <c r="K488" s="15" t="n">
        <f aca="false">IF(OR(E488="",E488="!!!",F488="NEW"),"",INDEX(J$1:J487,SUMPRODUCT(MAX(ROW(E$1:E487)*(E488=E$1:E487)))))</f>
        <v>1</v>
      </c>
      <c r="L488" s="16" t="s">
        <v>296</v>
      </c>
    </row>
    <row r="489" customFormat="false" ht="12.8" hidden="false" customHeight="false" outlineLevel="0" collapsed="false">
      <c r="A489" s="1" t="s">
        <v>268</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8" hidden="false" customHeight="false" outlineLevel="0" collapsed="false">
      <c r="A490" s="1" t="s">
        <v>297</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8" hidden="false" customHeight="false" outlineLevel="0" collapsed="false">
      <c r="A491" s="1" t="s">
        <v>298</v>
      </c>
      <c r="B491" s="1" t="s">
        <v>115</v>
      </c>
      <c r="C491" s="1" t="s">
        <v>51</v>
      </c>
      <c r="E491" s="10" t="s">
        <v>299</v>
      </c>
      <c r="F491" s="11" t="s">
        <v>262</v>
      </c>
      <c r="G491" s="12" t="s">
        <v>300</v>
      </c>
      <c r="H491" s="13"/>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8" hidden="false" customHeight="false" outlineLevel="0" collapsed="false">
      <c r="A492" s="1" t="s">
        <v>301</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8" hidden="false" customHeight="false" outlineLevel="0" collapsed="false">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8" hidden="false" customHeight="false" outlineLevel="0" collapsed="false">
      <c r="A494" s="1" t="s">
        <v>302</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8" hidden="false" customHeight="false" outlineLevel="0" collapsed="false">
      <c r="A495" s="1" t="s">
        <v>303</v>
      </c>
      <c r="B495" s="1" t="s">
        <v>27</v>
      </c>
      <c r="C495" s="1" t="s">
        <v>16</v>
      </c>
      <c r="D495" s="1" t="s">
        <v>17</v>
      </c>
      <c r="E495" s="10" t="s">
        <v>304</v>
      </c>
      <c r="F495" s="11" t="str">
        <f aca="false">IF(OR(E495="",E495="!!!"),"",IF(NOT(ISNA(VLOOKUP(E495,E$1:E494,1,FALSE()))),"OLD",IF(AND(E495&lt;&gt;"",E495&lt;&gt;"!!!"),"NEW","")))</f>
        <v>NEW</v>
      </c>
      <c r="G495" s="12" t="s">
        <v>19</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t="s">
        <v>129</v>
      </c>
    </row>
    <row r="496" customFormat="false" ht="12.8" hidden="false" customHeight="false" outlineLevel="0" collapsed="false">
      <c r="A496" s="1" t="s">
        <v>55</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8" hidden="false" customHeight="false" outlineLevel="0" collapsed="false">
      <c r="A497" s="1" t="s">
        <v>264</v>
      </c>
      <c r="B497" s="1" t="s">
        <v>43</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8" hidden="false" customHeight="false" outlineLevel="0" collapsed="false">
      <c r="A498" s="1" t="s">
        <v>93</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8" hidden="false" customHeight="false" outlineLevel="0" collapsed="false">
      <c r="A499" s="1" t="s">
        <v>305</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8" hidden="false" customHeight="false" outlineLevel="0" collapsed="false">
      <c r="A500" s="1" t="s">
        <v>306</v>
      </c>
      <c r="B500" s="1" t="s">
        <v>50</v>
      </c>
      <c r="C500" s="1" t="s">
        <v>16</v>
      </c>
      <c r="D500" s="1" t="s">
        <v>17</v>
      </c>
      <c r="E500" s="10"/>
      <c r="F500" s="11" t="s">
        <v>73</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8" hidden="false" customHeight="false" outlineLevel="0" collapsed="false">
      <c r="A501" s="1" t="s">
        <v>55</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8" hidden="false" customHeight="false" outlineLevel="0" collapsed="false">
      <c r="A502" s="1" t="s">
        <v>52</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8" hidden="false" customHeight="false" outlineLevel="0" collapsed="false">
      <c r="A503" s="1" t="s">
        <v>307</v>
      </c>
      <c r="B503" s="1" t="s">
        <v>38</v>
      </c>
      <c r="C503" s="1" t="s">
        <v>16</v>
      </c>
      <c r="D503" s="1" t="s">
        <v>17</v>
      </c>
      <c r="E503" s="10" t="s">
        <v>308</v>
      </c>
      <c r="F503" s="11" t="str">
        <f aca="false">IF(OR(E503="",E503="!!!"),"",IF(NOT(ISNA(VLOOKUP(E503,E$1:E502,1,FALSE()))),"OLD",IF(AND(E503&lt;&gt;"",E503&lt;&gt;"!!!"),"NEW","")))</f>
        <v>NEW</v>
      </c>
      <c r="G503" s="12" t="s">
        <v>126</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8" hidden="false" customHeight="false" outlineLevel="0" collapsed="false">
      <c r="A504" s="1" t="s">
        <v>55</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8" hidden="false" customHeight="false" outlineLevel="0" collapsed="false">
      <c r="A505" s="1" t="s">
        <v>138</v>
      </c>
      <c r="B505" s="1" t="s">
        <v>76</v>
      </c>
      <c r="C505" s="1" t="s">
        <v>139</v>
      </c>
      <c r="D505" s="1" t="s">
        <v>17</v>
      </c>
      <c r="E505" s="10" t="s">
        <v>304</v>
      </c>
      <c r="F505" s="11" t="str">
        <f aca="false">IF(OR(E505="",E505="!!!"),"",IF(NOT(ISNA(VLOOKUP(E505,E$1:E504,1,FALSE()))),"OLD",IF(AND(E505&lt;&gt;"",E505&lt;&gt;"!!!"),"NEW","")))</f>
        <v>OLD</v>
      </c>
      <c r="G505" s="12" t="s">
        <v>45</v>
      </c>
      <c r="H505" s="13" t="str">
        <f aca="false">IF(J505&lt;&gt;1,"",IF(I505="SBJ","CB","?"))</f>
        <v/>
      </c>
      <c r="I505" s="14" t="str">
        <f aca="false">IF(OR(E505="",E505="!!!",F505="NEW"),"",INDEX(B$2:B504,-1+SUMPRODUCT(MAX(ROW(E$2:E504)*(E505=E$2:E504)))))</f>
        <v>other</v>
      </c>
      <c r="J505" s="15" t="n">
        <f aca="true">IF(OR(E505="",E505="!!!",F505="NEW"),"",COUNTBLANK(OFFSET(A$1,,,SUMPRODUCT(MAX(ROW(E$2:E505)*(E505=E$2:E505)))))-COUNTBLANK(OFFSET(A$1,,,SUMPRODUCT(MAX(ROW(E$1:E504)*(E505=E$1:E504))))))</f>
        <v>0</v>
      </c>
      <c r="K505" s="15" t="str">
        <f aca="false">IF(OR(E505="",E505="!!!",F505="NEW"),"",INDEX(J$1:J504,SUMPRODUCT(MAX(ROW(E$1:E504)*(E505=E$1:E504)))))</f>
        <v/>
      </c>
      <c r="L505" s="16"/>
    </row>
    <row r="506" customFormat="false" ht="12.8" hidden="false" customHeight="false" outlineLevel="0" collapsed="false">
      <c r="A506" s="1" t="s">
        <v>309</v>
      </c>
      <c r="B506" s="1" t="s">
        <v>38</v>
      </c>
      <c r="C506" s="1" t="s">
        <v>109</v>
      </c>
      <c r="D506" s="1" t="s">
        <v>17</v>
      </c>
      <c r="E506" s="10"/>
      <c r="F506" s="11" t="s">
        <v>73</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8" hidden="false" customHeight="false" outlineLevel="0" collapsed="false">
      <c r="A507" s="1" t="s">
        <v>55</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8" hidden="false" customHeight="false" outlineLevel="0" collapsed="false">
      <c r="A508" s="1" t="s">
        <v>310</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8" hidden="false" customHeight="false" outlineLevel="0" collapsed="false">
      <c r="A509" s="1" t="s">
        <v>165</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8" hidden="false" customHeight="false" outlineLevel="0" collapsed="false">
      <c r="A510" s="1" t="s">
        <v>311</v>
      </c>
      <c r="B510" s="1" t="s">
        <v>196</v>
      </c>
      <c r="C510" s="1" t="s">
        <v>167</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8" hidden="false" customHeight="false" outlineLevel="0" collapsed="false">
      <c r="A511" s="1" t="s">
        <v>31</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8" hidden="false" customHeight="false" outlineLevel="0" collapsed="false">
      <c r="A512" s="1" t="s">
        <v>25</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8" hidden="false" customHeight="false" outlineLevel="0" collapsed="false">
      <c r="A513" s="1" t="s">
        <v>233</v>
      </c>
      <c r="B513" s="1" t="s">
        <v>76</v>
      </c>
      <c r="C513" s="1" t="s">
        <v>28</v>
      </c>
      <c r="D513" s="1" t="s">
        <v>17</v>
      </c>
      <c r="E513" s="10" t="s">
        <v>234</v>
      </c>
      <c r="F513" s="11" t="str">
        <f aca="false">IF(OR(E513="",E513="!!!"),"",IF(NOT(ISNA(VLOOKUP(E513,E$1:E512,1,FALSE()))),"OLD",IF(AND(E513&lt;&gt;"",E513&lt;&gt;"!!!"),"NEW","")))</f>
        <v>OLD</v>
      </c>
      <c r="G513" s="12" t="s">
        <v>62</v>
      </c>
      <c r="H513" s="13"/>
      <c r="I513" s="14" t="str">
        <f aca="false">IF(OR(E513="",E513="!!!",F513="NEW"),"",INDEX(B$2:B512,-1+SUMPRODUCT(MAX(ROW(E$2:E512)*(E513=E$2:E512)))))</f>
        <v>other_2</v>
      </c>
      <c r="J513" s="15" t="n">
        <f aca="true">IF(OR(E513="",E513="!!!",F513="NEW"),"",COUNTBLANK(OFFSET(A$1,,,SUMPRODUCT(MAX(ROW(E$2:E513)*(E513=E$2:E513)))))-COUNTBLANK(OFFSET(A$1,,,SUMPRODUCT(MAX(ROW(E$1:E512)*(E513=E$1:E512))))))</f>
        <v>1</v>
      </c>
      <c r="K513" s="15" t="n">
        <f aca="false">IF(OR(E513="",E513="!!!",F513="NEW"),"",INDEX(J$1:J512,SUMPRODUCT(MAX(ROW(E$1:E512)*(E513=E$1:E512)))))</f>
        <v>3</v>
      </c>
      <c r="L513" s="16"/>
    </row>
    <row r="514" customFormat="false" ht="12.8" hidden="false" customHeight="false" outlineLevel="0" collapsed="false">
      <c r="A514" s="1" t="s">
        <v>312</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8" hidden="false" customHeight="false" outlineLevel="0" collapsed="false">
      <c r="A515" s="1" t="s">
        <v>134</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8" hidden="false" customHeight="false" outlineLevel="0" collapsed="false">
      <c r="A516" s="1" t="s">
        <v>153</v>
      </c>
      <c r="B516" s="1" t="s">
        <v>43</v>
      </c>
      <c r="C516" s="1" t="s">
        <v>44</v>
      </c>
      <c r="D516" s="1" t="s">
        <v>17</v>
      </c>
      <c r="E516" s="10" t="s">
        <v>299</v>
      </c>
      <c r="F516" s="11" t="str">
        <f aca="false">IF(OR(E516="",E516="!!!"),"",IF(NOT(ISNA(VLOOKUP(E516,E$1:E515,1,FALSE()))),"OLD",IF(AND(E516&lt;&gt;"",E516&lt;&gt;"!!!"),"NEW","")))</f>
        <v>OLD</v>
      </c>
      <c r="G516" s="12" t="s">
        <v>62</v>
      </c>
      <c r="H516" s="13" t="s">
        <v>7</v>
      </c>
      <c r="I516" s="14" t="str">
        <f aca="false">IF(OR(E516="",E516="!!!",F516="NEW"),"",INDEX(B$2:B515,-1+SUMPRODUCT(MAX(ROW(E$2:E515)*(E516=E$2:E515)))))</f>
        <v>OBJ</v>
      </c>
      <c r="J516" s="15" t="n">
        <f aca="true">IF(OR(E516="",E516="!!!",F516="NEW"),"",COUNTBLANK(OFFSET(A$1,,,SUMPRODUCT(MAX(ROW(E$2:E516)*(E516=E$2:E516)))))-COUNTBLANK(OFFSET(A$1,,,SUMPRODUCT(MAX(ROW(E$1:E515)*(E516=E$1:E515))))))</f>
        <v>1</v>
      </c>
      <c r="K516" s="15" t="str">
        <f aca="false">IF(OR(E516="",E516="!!!",F516="NEW"),"",INDEX(J$1:J515,SUMPRODUCT(MAX(ROW(E$1:E515)*(E516=E$1:E515)))))</f>
        <v/>
      </c>
      <c r="L516" s="16"/>
    </row>
    <row r="517" customFormat="false" ht="12.8" hidden="false" customHeight="false" outlineLevel="0" collapsed="false">
      <c r="A517" s="1" t="s">
        <v>313</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8" hidden="false" customHeight="false" outlineLevel="0" collapsed="false">
      <c r="A518" s="1" t="s">
        <v>314</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8" hidden="false" customHeight="false" outlineLevel="0" collapsed="false">
      <c r="A519" s="1" t="s">
        <v>39</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8" hidden="false" customHeight="false" outlineLevel="0" collapsed="false">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8" hidden="false" customHeight="false" outlineLevel="0" collapsed="false">
      <c r="A521" s="1" t="s">
        <v>58</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8" hidden="false" customHeight="false" outlineLevel="0" collapsed="false">
      <c r="A522" s="1" t="s">
        <v>315</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8" hidden="false" customHeight="false" outlineLevel="0" collapsed="false">
      <c r="A523" s="1" t="s">
        <v>120</v>
      </c>
      <c r="B523" s="1" t="s">
        <v>15</v>
      </c>
      <c r="C523" s="1" t="s">
        <v>44</v>
      </c>
      <c r="D523" s="1" t="s">
        <v>17</v>
      </c>
      <c r="E523" s="10" t="s">
        <v>18</v>
      </c>
      <c r="F523" s="11" t="str">
        <f aca="false">IF(OR(E523="",E523="!!!"),"",IF(NOT(ISNA(VLOOKUP(E523,E$1:E522,1,FALSE()))),"OLD",IF(AND(E523&lt;&gt;"",E523&lt;&gt;"!!!"),"NEW","")))</f>
        <v>OLD</v>
      </c>
      <c r="G523" s="12" t="s">
        <v>62</v>
      </c>
      <c r="H523" s="13" t="str">
        <f aca="false">IF(J523&lt;&gt;1,"",IF(I523="SBJ","CB","?"))</f>
        <v/>
      </c>
      <c r="I523" s="14" t="str">
        <f aca="false">IF(OR(E523="",E523="!!!",F523="NEW"),"",INDEX(B$2:B522,-1+SUMPRODUCT(MAX(ROW(E$2:E522)*(E523=E$2:E522)))))</f>
        <v>SBJ</v>
      </c>
      <c r="J523" s="15" t="n">
        <f aca="true">IF(OR(E523="",E523="!!!",F523="NEW"),"",COUNTBLANK(OFFSET(A$1,,,SUMPRODUCT(MAX(ROW(E$2:E523)*(E523=E$2:E523)))))-COUNTBLANK(OFFSET(A$1,,,SUMPRODUCT(MAX(ROW(E$1:E522)*(E523=E$1:E522))))))</f>
        <v>2</v>
      </c>
      <c r="K523" s="15" t="n">
        <f aca="false">IF(OR(E523="",E523="!!!",F523="NEW"),"",INDEX(J$1:J522,SUMPRODUCT(MAX(ROW(E$1:E522)*(E523=E$1:E522)))))</f>
        <v>2</v>
      </c>
      <c r="L523" s="16"/>
    </row>
    <row r="524" customFormat="false" ht="12.8" hidden="false" customHeight="false" outlineLevel="0" collapsed="false">
      <c r="A524" s="1" t="s">
        <v>64</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8" hidden="false" customHeight="false" outlineLevel="0" collapsed="false">
      <c r="A525" s="1" t="s">
        <v>34</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8" hidden="false" customHeight="false" outlineLevel="0" collapsed="false">
      <c r="A526" s="1" t="s">
        <v>275</v>
      </c>
      <c r="B526" s="1" t="s">
        <v>27</v>
      </c>
      <c r="C526" s="1" t="s">
        <v>44</v>
      </c>
      <c r="D526" s="1" t="s">
        <v>17</v>
      </c>
      <c r="E526" s="10" t="s">
        <v>299</v>
      </c>
      <c r="F526" s="11" t="str">
        <f aca="false">IF(OR(E526="",E526="!!!"),"",IF(NOT(ISNA(VLOOKUP(E526,E$1:E525,1,FALSE()))),"OLD",IF(AND(E526&lt;&gt;"",E526&lt;&gt;"!!!"),"NEW","")))</f>
        <v>OLD</v>
      </c>
      <c r="G526" s="12" t="s">
        <v>45</v>
      </c>
      <c r="H526" s="13" t="s">
        <v>7</v>
      </c>
      <c r="I526" s="14" t="str">
        <f aca="false">IF(OR(E526="",E526="!!!",F526="NEW"),"",INDEX(B$2:B525,-1+SUMPRODUCT(MAX(ROW(E$2:E525)*(E526=E$2:E525)))))</f>
        <v>SBJ_2</v>
      </c>
      <c r="J526" s="15" t="n">
        <f aca="true">IF(OR(E526="",E526="!!!",F526="NEW"),"",COUNTBLANK(OFFSET(A$1,,,SUMPRODUCT(MAX(ROW(E$2:E526)*(E526=E$2:E526)))))-COUNTBLANK(OFFSET(A$1,,,SUMPRODUCT(MAX(ROW(E$1:E525)*(E526=E$1:E525))))))</f>
        <v>1</v>
      </c>
      <c r="K526" s="15" t="n">
        <f aca="false">IF(OR(E526="",E526="!!!",F526="NEW"),"",INDEX(J$1:J525,SUMPRODUCT(MAX(ROW(E$1:E525)*(E526=E$1:E525)))))</f>
        <v>1</v>
      </c>
      <c r="L526" s="16"/>
    </row>
    <row r="527" customFormat="false" ht="12.8" hidden="false" customHeight="false" outlineLevel="0" collapsed="false">
      <c r="A527" s="1" t="s">
        <v>55</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8" hidden="false" customHeight="false" outlineLevel="0" collapsed="false">
      <c r="A528" s="1" t="s">
        <v>67</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8" hidden="false" customHeight="false" outlineLevel="0" collapsed="false">
      <c r="A529" s="1" t="s">
        <v>316</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8" hidden="false" customHeight="false" outlineLevel="0" collapsed="false">
      <c r="A530" s="1" t="s">
        <v>317</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8" hidden="false" customHeight="false" outlineLevel="0" collapsed="false">
      <c r="A531" s="1" t="s">
        <v>195</v>
      </c>
      <c r="B531" s="1" t="s">
        <v>66</v>
      </c>
      <c r="C531" s="1" t="s">
        <v>44</v>
      </c>
      <c r="D531" s="1" t="s">
        <v>17</v>
      </c>
      <c r="E531" s="10" t="s">
        <v>18</v>
      </c>
      <c r="F531" s="11" t="str">
        <f aca="false">IF(OR(E531="",E531="!!!"),"",IF(NOT(ISNA(VLOOKUP(E531,E$1:E530,1,FALSE()))),"OLD",IF(AND(E531&lt;&gt;"",E531&lt;&gt;"!!!"),"NEW","")))</f>
        <v>OLD</v>
      </c>
      <c r="G531" s="12" t="s">
        <v>45</v>
      </c>
      <c r="H531" s="13" t="str">
        <f aca="false">IF(J531&lt;&gt;1,"",IF(I531="SBJ","CB","?"))</f>
        <v/>
      </c>
      <c r="I531" s="14" t="str">
        <f aca="false">IF(OR(E531="",E531="!!!",F531="NEW"),"",INDEX(B$2:B530,-1+SUMPRODUCT(MAX(ROW(E$2:E530)*(E531=E$2:E530)))))</f>
        <v>SBJ</v>
      </c>
      <c r="J531" s="15" t="n">
        <f aca="true">IF(OR(E531="",E531="!!!",F531="NEW"),"",COUNTBLANK(OFFSET(A$1,,,SUMPRODUCT(MAX(ROW(E$2:E531)*(E531=E$2:E531)))))-COUNTBLANK(OFFSET(A$1,,,SUMPRODUCT(MAX(ROW(E$1:E530)*(E531=E$1:E530))))))</f>
        <v>0</v>
      </c>
      <c r="K531" s="15" t="n">
        <f aca="false">IF(OR(E531="",E531="!!!",F531="NEW"),"",INDEX(J$1:J530,SUMPRODUCT(MAX(ROW(E$1:E530)*(E531=E$1:E530)))))</f>
        <v>2</v>
      </c>
      <c r="L531" s="16"/>
    </row>
    <row r="532" customFormat="false" ht="12.8" hidden="false" customHeight="false" outlineLevel="0" collapsed="false">
      <c r="A532" s="1" t="s">
        <v>55</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8" hidden="false" customHeight="false" outlineLevel="0" collapsed="false">
      <c r="A533" s="1" t="s">
        <v>52</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8" hidden="false" customHeight="false" outlineLevel="0" collapsed="false">
      <c r="A534" s="1" t="s">
        <v>188</v>
      </c>
      <c r="B534" s="1" t="s">
        <v>97</v>
      </c>
      <c r="C534" s="1" t="s">
        <v>44</v>
      </c>
      <c r="D534" s="1" t="s">
        <v>17</v>
      </c>
      <c r="E534" s="10" t="s">
        <v>18</v>
      </c>
      <c r="F534" s="11" t="str">
        <f aca="false">IF(OR(E534="",E534="!!!"),"",IF(NOT(ISNA(VLOOKUP(E534,E$1:E533,1,FALSE()))),"OLD",IF(AND(E534&lt;&gt;"",E534&lt;&gt;"!!!"),"NEW","")))</f>
        <v>OLD</v>
      </c>
      <c r="G534" s="12" t="s">
        <v>45</v>
      </c>
      <c r="H534" s="13" t="str">
        <f aca="false">IF(J534&lt;&gt;1,"",IF(I534="SBJ","CB","?"))</f>
        <v/>
      </c>
      <c r="I534" s="14" t="str">
        <f aca="false">IF(OR(E534="",E534="!!!",F534="NEW"),"",INDEX(B$2:B533,-1+SUMPRODUCT(MAX(ROW(E$2:E533)*(E534=E$2:E533)))))</f>
        <v>other_2</v>
      </c>
      <c r="J534" s="15" t="n">
        <f aca="true">IF(OR(E534="",E534="!!!",F534="NEW"),"",COUNTBLANK(OFFSET(A$1,,,SUMPRODUCT(MAX(ROW(E$2:E534)*(E534=E$2:E534)))))-COUNTBLANK(OFFSET(A$1,,,SUMPRODUCT(MAX(ROW(E$1:E533)*(E534=E$1:E533))))))</f>
        <v>0</v>
      </c>
      <c r="K534" s="15" t="n">
        <f aca="false">IF(OR(E534="",E534="!!!",F534="NEW"),"",INDEX(J$1:J533,SUMPRODUCT(MAX(ROW(E$1:E533)*(E534=E$1:E533)))))</f>
        <v>0</v>
      </c>
      <c r="L534" s="16"/>
    </row>
    <row r="535" customFormat="false" ht="12.8" hidden="false" customHeight="false" outlineLevel="0" collapsed="false">
      <c r="A535" s="1" t="s">
        <v>136</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8" hidden="false" customHeight="false" outlineLevel="0" collapsed="false">
      <c r="A536" s="1" t="s">
        <v>318</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8" hidden="false" customHeight="false" outlineLevel="0" collapsed="false">
      <c r="A537" s="1" t="s">
        <v>69</v>
      </c>
      <c r="B537" s="1" t="s">
        <v>132</v>
      </c>
      <c r="C537" s="1" t="s">
        <v>44</v>
      </c>
      <c r="D537" s="1" t="s">
        <v>17</v>
      </c>
      <c r="E537" s="10" t="s">
        <v>299</v>
      </c>
      <c r="F537" s="11" t="str">
        <f aca="false">IF(OR(E537="",E537="!!!"),"",IF(NOT(ISNA(VLOOKUP(E537,E$1:E536,1,FALSE()))),"OLD",IF(AND(E537&lt;&gt;"",E537&lt;&gt;"!!!"),"NEW","")))</f>
        <v>OLD</v>
      </c>
      <c r="G537" s="12" t="s">
        <v>45</v>
      </c>
      <c r="H537" s="13" t="str">
        <f aca="false">IF(J537&lt;&gt;1,"",IF(I537="SBJ","CB","?"))</f>
        <v/>
      </c>
      <c r="I537" s="14" t="str">
        <f aca="false">IF(OR(E537="",E537="!!!",F537="NEW"),"",INDEX(B$2:B536,-1+SUMPRODUCT(MAX(ROW(E$2:E536)*(E537=E$2:E536)))))</f>
        <v>other</v>
      </c>
      <c r="J537" s="15" t="n">
        <f aca="true">IF(OR(E537="",E537="!!!",F537="NEW"),"",COUNTBLANK(OFFSET(A$1,,,SUMPRODUCT(MAX(ROW(E$2:E537)*(E537=E$2:E537)))))-COUNTBLANK(OFFSET(A$1,,,SUMPRODUCT(MAX(ROW(E$1:E536)*(E537=E$1:E536))))))</f>
        <v>0</v>
      </c>
      <c r="K537" s="15" t="n">
        <f aca="false">IF(OR(E537="",E537="!!!",F537="NEW"),"",INDEX(J$1:J536,SUMPRODUCT(MAX(ROW(E$1:E536)*(E537=E$1:E536)))))</f>
        <v>1</v>
      </c>
      <c r="L537" s="16"/>
    </row>
    <row r="538" customFormat="false" ht="12.8" hidden="false" customHeight="false" outlineLevel="0" collapsed="false">
      <c r="A538" s="1" t="s">
        <v>319</v>
      </c>
      <c r="B538" s="1" t="s">
        <v>132</v>
      </c>
      <c r="C538" s="1" t="s">
        <v>54</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8" hidden="false" customHeight="false" outlineLevel="0" collapsed="false">
      <c r="A539" s="1" t="s">
        <v>134</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8" hidden="false" customHeight="false" outlineLevel="0" collapsed="false">
      <c r="A540" s="1" t="s">
        <v>320</v>
      </c>
      <c r="B540" s="1" t="s">
        <v>76</v>
      </c>
      <c r="C540" s="1" t="s">
        <v>54</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8" hidden="false" customHeight="false" outlineLevel="0" collapsed="false">
      <c r="A541" s="1" t="s">
        <v>39</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8" hidden="false" customHeight="false" outlineLevel="0" collapsed="false">
      <c r="A542" s="1" t="s">
        <v>67</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8" hidden="false" customHeight="false" outlineLevel="0" collapsed="false">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8" hidden="false" customHeight="false" outlineLevel="0" collapsed="false">
      <c r="A544" s="1" t="s">
        <v>321</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8" hidden="false" customHeight="false" outlineLevel="0" collapsed="false">
      <c r="A545" s="1" t="s">
        <v>322</v>
      </c>
      <c r="B545" s="1" t="s">
        <v>15</v>
      </c>
      <c r="C545" s="1" t="s">
        <v>44</v>
      </c>
      <c r="D545" s="1" t="s">
        <v>17</v>
      </c>
      <c r="E545" s="10" t="s">
        <v>299</v>
      </c>
      <c r="F545" s="11" t="str">
        <f aca="false">IF(OR(E545="",E545="!!!"),"",IF(NOT(ISNA(VLOOKUP(E545,E$1:E544,1,FALSE()))),"OLD",IF(AND(E545&lt;&gt;"",E545&lt;&gt;"!!!"),"NEW","")))</f>
        <v>OLD</v>
      </c>
      <c r="G545" s="12" t="s">
        <v>45</v>
      </c>
      <c r="H545" s="13"/>
      <c r="I545" s="14" t="str">
        <f aca="false">IF(OR(E545="",E545="!!!",F545="NEW"),"",INDEX(B$2:B544,-1+SUMPRODUCT(MAX(ROW(E$2:E544)*(E545=E$2:E544)))))</f>
        <v>OBJ_3</v>
      </c>
      <c r="J545" s="15" t="n">
        <f aca="true">IF(OR(E545="",E545="!!!",F545="NEW"),"",COUNTBLANK(OFFSET(A$1,,,SUMPRODUCT(MAX(ROW(E$2:E545)*(E545=E$2:E545)))))-COUNTBLANK(OFFSET(A$1,,,SUMPRODUCT(MAX(ROW(E$1:E544)*(E545=E$1:E544))))))</f>
        <v>1</v>
      </c>
      <c r="K545" s="15" t="n">
        <f aca="false">IF(OR(E545="",E545="!!!",F545="NEW"),"",INDEX(J$1:J544,SUMPRODUCT(MAX(ROW(E$1:E544)*(E545=E$1:E544)))))</f>
        <v>0</v>
      </c>
      <c r="L545" s="16"/>
    </row>
    <row r="546" customFormat="false" ht="12.8" hidden="false" customHeight="false" outlineLevel="0" collapsed="false">
      <c r="A546" s="1" t="s">
        <v>323</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8" hidden="false" customHeight="false" outlineLevel="0" collapsed="false">
      <c r="A547" s="1" t="s">
        <v>209</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8" hidden="false" customHeight="false" outlineLevel="0" collapsed="false">
      <c r="A548" s="1" t="s">
        <v>149</v>
      </c>
      <c r="B548" s="1" t="s">
        <v>66</v>
      </c>
      <c r="C548" s="1" t="s">
        <v>139</v>
      </c>
      <c r="D548" s="1" t="s">
        <v>17</v>
      </c>
      <c r="E548" s="10" t="s">
        <v>299</v>
      </c>
      <c r="F548" s="11" t="str">
        <f aca="false">IF(OR(E548="",E548="!!!"),"",IF(NOT(ISNA(VLOOKUP(E548,E$1:E547,1,FALSE()))),"OLD",IF(AND(E548&lt;&gt;"",E548&lt;&gt;"!!!"),"NEW","")))</f>
        <v>OLD</v>
      </c>
      <c r="G548" s="12" t="s">
        <v>45</v>
      </c>
      <c r="H548" s="13" t="str">
        <f aca="false">IF(J548&lt;&gt;1,"",IF(I548="SBJ","CB","?"))</f>
        <v/>
      </c>
      <c r="I548" s="14" t="str">
        <f aca="false">IF(OR(E548="",E548="!!!",F548="NEW"),"",INDEX(B$2:B547,-1+SUMPRODUCT(MAX(ROW(E$2:E547)*(E548=E$2:E547)))))</f>
        <v>SBJ</v>
      </c>
      <c r="J548" s="15" t="n">
        <f aca="true">IF(OR(E548="",E548="!!!",F548="NEW"),"",COUNTBLANK(OFFSET(A$1,,,SUMPRODUCT(MAX(ROW(E$2:E548)*(E548=E$2:E548)))))-COUNTBLANK(OFFSET(A$1,,,SUMPRODUCT(MAX(ROW(E$1:E547)*(E548=E$1:E547))))))</f>
        <v>0</v>
      </c>
      <c r="K548" s="15" t="n">
        <f aca="false">IF(OR(E548="",E548="!!!",F548="NEW"),"",INDEX(J$1:J547,SUMPRODUCT(MAX(ROW(E$1:E547)*(E548=E$1:E547)))))</f>
        <v>1</v>
      </c>
      <c r="L548" s="16"/>
    </row>
    <row r="549" customFormat="false" ht="23.85" hidden="false" customHeight="false" outlineLevel="0" collapsed="false">
      <c r="A549" s="1" t="s">
        <v>324</v>
      </c>
      <c r="B549" s="1" t="s">
        <v>115</v>
      </c>
      <c r="C549" s="1" t="s">
        <v>109</v>
      </c>
      <c r="D549" s="1" t="s">
        <v>17</v>
      </c>
      <c r="E549" s="10" t="s">
        <v>325</v>
      </c>
      <c r="F549" s="11" t="str">
        <f aca="false">IF(OR(E549="",E549="!!!"),"",IF(NOT(ISNA(VLOOKUP(E549,E$1:E548,1,FALSE()))),"OLD",IF(AND(E549&lt;&gt;"",E549&lt;&gt;"!!!"),"NEW","")))</f>
        <v>NEW</v>
      </c>
      <c r="G549" s="12" t="s">
        <v>126</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t="s">
        <v>326</v>
      </c>
    </row>
    <row r="550" customFormat="false" ht="12.8" hidden="false" customHeight="false" outlineLevel="0" collapsed="false">
      <c r="A550" s="1" t="s">
        <v>52</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8" hidden="false" customHeight="false" outlineLevel="0" collapsed="false">
      <c r="A551" s="1" t="s">
        <v>327</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8" hidden="false" customHeight="false" outlineLevel="0" collapsed="false">
      <c r="A552" s="1" t="s">
        <v>65</v>
      </c>
      <c r="B552" s="1" t="s">
        <v>50</v>
      </c>
      <c r="C552" s="1" t="s">
        <v>44</v>
      </c>
      <c r="D552" s="1" t="s">
        <v>17</v>
      </c>
      <c r="E552" s="10" t="s">
        <v>18</v>
      </c>
      <c r="F552" s="11" t="str">
        <f aca="false">IF(OR(E552="",E552="!!!"),"",IF(NOT(ISNA(VLOOKUP(E552,E$1:E551,1,FALSE()))),"OLD",IF(AND(E552&lt;&gt;"",E552&lt;&gt;"!!!"),"NEW","")))</f>
        <v>OLD</v>
      </c>
      <c r="G552" s="12" t="s">
        <v>45</v>
      </c>
      <c r="H552" s="13" t="s">
        <v>7</v>
      </c>
      <c r="I552" s="14" t="str">
        <f aca="false">IF(OR(E552="",E552="!!!",F552="NEW"),"",INDEX(B$2:B551,-1+SUMPRODUCT(MAX(ROW(E$2:E551)*(E552=E$2:E551)))))</f>
        <v>SBJ_3</v>
      </c>
      <c r="J552" s="15" t="n">
        <f aca="true">IF(OR(E552="",E552="!!!",F552="NEW"),"",COUNTBLANK(OFFSET(A$1,,,SUMPRODUCT(MAX(ROW(E$2:E552)*(E552=E$2:E552)))))-COUNTBLANK(OFFSET(A$1,,,SUMPRODUCT(MAX(ROW(E$1:E551)*(E552=E$1:E551))))))</f>
        <v>1</v>
      </c>
      <c r="K552" s="15" t="n">
        <f aca="false">IF(OR(E552="",E552="!!!",F552="NEW"),"",INDEX(J$1:J551,SUMPRODUCT(MAX(ROW(E$1:E551)*(E552=E$1:E551)))))</f>
        <v>0</v>
      </c>
      <c r="L552" s="16"/>
    </row>
    <row r="553" customFormat="false" ht="12.8" hidden="false" customHeight="false" outlineLevel="0" collapsed="false">
      <c r="A553" s="1" t="s">
        <v>39</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8" hidden="false" customHeight="false" outlineLevel="0" collapsed="false">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8" hidden="false" customHeight="false" outlineLevel="0" collapsed="false">
      <c r="A555" s="1" t="s">
        <v>328</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8" hidden="false" customHeight="false" outlineLevel="0" collapsed="false">
      <c r="A556" s="1" t="s">
        <v>329</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8" hidden="false" customHeight="false" outlineLevel="0" collapsed="false">
      <c r="A557" s="1" t="s">
        <v>123</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8" hidden="false" customHeight="false" outlineLevel="0" collapsed="false">
      <c r="A558" s="1" t="s">
        <v>330</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8" hidden="false" customHeight="false" outlineLevel="0" collapsed="false">
      <c r="A559" s="1" t="s">
        <v>331</v>
      </c>
      <c r="B559" s="1" t="s">
        <v>66</v>
      </c>
      <c r="C559" s="1" t="s">
        <v>332</v>
      </c>
      <c r="D559" s="1" t="s">
        <v>17</v>
      </c>
      <c r="E559" s="10" t="s">
        <v>333</v>
      </c>
      <c r="F559" s="11" t="str">
        <f aca="false">IF(OR(E559="",E559="!!!"),"",IF(NOT(ISNA(VLOOKUP(E559,E$1:E558,1,FALSE()))),"OLD",IF(AND(E559&lt;&gt;"",E559&lt;&gt;"!!!"),"NEW","")))</f>
        <v>NEW</v>
      </c>
      <c r="G559" s="12" t="s">
        <v>62</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t="s">
        <v>334</v>
      </c>
    </row>
    <row r="560" customFormat="false" ht="12.8" hidden="false" customHeight="false" outlineLevel="0" collapsed="false">
      <c r="A560" s="1" t="s">
        <v>55</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8" hidden="false" customHeight="false" outlineLevel="0" collapsed="false">
      <c r="A561" s="1" t="s">
        <v>42</v>
      </c>
      <c r="B561" s="1" t="s">
        <v>15</v>
      </c>
      <c r="C561" s="1" t="s">
        <v>44</v>
      </c>
      <c r="D561" s="1" t="s">
        <v>17</v>
      </c>
      <c r="E561" s="10" t="s">
        <v>18</v>
      </c>
      <c r="F561" s="11" t="str">
        <f aca="false">IF(OR(E561="",E561="!!!"),"",IF(NOT(ISNA(VLOOKUP(E561,E$1:E560,1,FALSE()))),"OLD",IF(AND(E561&lt;&gt;"",E561&lt;&gt;"!!!"),"NEW","")))</f>
        <v>OLD</v>
      </c>
      <c r="G561" s="12" t="s">
        <v>45</v>
      </c>
      <c r="H561" s="13" t="s">
        <v>7</v>
      </c>
      <c r="I561" s="14" t="str">
        <f aca="false">IF(OR(E561="",E561="!!!",F561="NEW"),"",INDEX(B$2:B560,-1+SUMPRODUCT(MAX(ROW(E$2:E560)*(E561=E$2:E560)))))</f>
        <v>OBJ_2</v>
      </c>
      <c r="J561" s="15" t="n">
        <f aca="true">IF(OR(E561="",E561="!!!",F561="NEW"),"",COUNTBLANK(OFFSET(A$1,,,SUMPRODUCT(MAX(ROW(E$2:E561)*(E561=E$2:E561)))))-COUNTBLANK(OFFSET(A$1,,,SUMPRODUCT(MAX(ROW(E$1:E560)*(E561=E$1:E560))))))</f>
        <v>1</v>
      </c>
      <c r="K561" s="15" t="n">
        <f aca="false">IF(OR(E561="",E561="!!!",F561="NEW"),"",INDEX(J$1:J560,SUMPRODUCT(MAX(ROW(E$1:E560)*(E561=E$1:E560)))))</f>
        <v>1</v>
      </c>
      <c r="L561" s="16"/>
    </row>
    <row r="562" customFormat="false" ht="12.8" hidden="false" customHeight="false" outlineLevel="0" collapsed="false">
      <c r="A562" s="1" t="s">
        <v>268</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8" hidden="false" customHeight="false" outlineLevel="0" collapsed="false">
      <c r="A563" s="1" t="s">
        <v>297</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8" hidden="false" customHeight="false" outlineLevel="0" collapsed="false">
      <c r="A564" s="1" t="s">
        <v>27</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35.05" hidden="false" customHeight="false" outlineLevel="0" collapsed="false">
      <c r="A565" s="1" t="s">
        <v>298</v>
      </c>
      <c r="B565" s="1" t="s">
        <v>115</v>
      </c>
      <c r="C565" s="1" t="s">
        <v>51</v>
      </c>
      <c r="E565" s="10" t="s">
        <v>335</v>
      </c>
      <c r="F565" s="11" t="str">
        <f aca="false">IF(OR(E565="",E565="!!!"),"",IF(NOT(ISNA(VLOOKUP(E565,E$1:E564,1,FALSE()))),"OLD",IF(AND(E565&lt;&gt;"",E565&lt;&gt;"!!!"),"NEW","")))</f>
        <v>NEW</v>
      </c>
      <c r="G565" s="12" t="s">
        <v>300</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t="s">
        <v>336</v>
      </c>
    </row>
    <row r="566" customFormat="false" ht="12.8" hidden="false" customHeight="false" outlineLevel="0" collapsed="false">
      <c r="A566" s="1" t="s">
        <v>55</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8" hidden="false" customHeight="false" outlineLevel="0" collapsed="false">
      <c r="A567" s="1" t="s">
        <v>337</v>
      </c>
      <c r="B567" s="1" t="s">
        <v>27</v>
      </c>
      <c r="C567" s="1" t="s">
        <v>16</v>
      </c>
      <c r="D567" s="1" t="s">
        <v>17</v>
      </c>
      <c r="E567" s="10" t="s">
        <v>338</v>
      </c>
      <c r="F567" s="11" t="str">
        <f aca="false">IF(OR(E567="",E567="!!!"),"",IF(NOT(ISNA(VLOOKUP(E567,E$1:E566,1,FALSE()))),"OLD",IF(AND(E567&lt;&gt;"",E567&lt;&gt;"!!!"),"NEW","")))</f>
        <v>NEW</v>
      </c>
      <c r="G567" s="12" t="s">
        <v>126</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8" hidden="false" customHeight="false" outlineLevel="0" collapsed="false">
      <c r="A568" s="1" t="s">
        <v>25</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8" hidden="false" customHeight="false" outlineLevel="0" collapsed="false">
      <c r="A569" s="1" t="s">
        <v>339</v>
      </c>
      <c r="B569" s="1" t="s">
        <v>66</v>
      </c>
      <c r="C569" s="1" t="s">
        <v>109</v>
      </c>
      <c r="D569" s="1" t="s">
        <v>17</v>
      </c>
      <c r="E569" s="10"/>
      <c r="F569" s="11" t="s">
        <v>73</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8" hidden="false" customHeight="false" outlineLevel="0" collapsed="false">
      <c r="A570" s="1" t="s">
        <v>74</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8" hidden="false" customHeight="false" outlineLevel="0" collapsed="false">
      <c r="A571" s="1" t="s">
        <v>340</v>
      </c>
      <c r="B571" s="1" t="s">
        <v>38</v>
      </c>
      <c r="C571" s="1" t="s">
        <v>16</v>
      </c>
      <c r="D571" s="1" t="s">
        <v>17</v>
      </c>
      <c r="E571" s="10" t="s">
        <v>341</v>
      </c>
      <c r="F571" s="11" t="str">
        <f aca="false">IF(OR(E571="",E571="!!!"),"",IF(NOT(ISNA(VLOOKUP(E571,E$1:E570,1,FALSE()))),"OLD",IF(AND(E571&lt;&gt;"",E571&lt;&gt;"!!!"),"NEW","")))</f>
        <v>NEW</v>
      </c>
      <c r="G571" s="12" t="s">
        <v>126</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8" hidden="false" customHeight="false" outlineLevel="0" collapsed="false">
      <c r="A572" s="1" t="s">
        <v>55</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8" hidden="false" customHeight="false" outlineLevel="0" collapsed="false">
      <c r="A573" s="1" t="s">
        <v>52</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8" hidden="false" customHeight="false" outlineLevel="0" collapsed="false">
      <c r="A574" s="1" t="s">
        <v>218</v>
      </c>
      <c r="B574" s="1" t="s">
        <v>27</v>
      </c>
      <c r="C574" s="1" t="s">
        <v>16</v>
      </c>
      <c r="D574" s="1" t="s">
        <v>17</v>
      </c>
      <c r="E574" s="10" t="s">
        <v>342</v>
      </c>
      <c r="F574" s="11" t="str">
        <f aca="false">IF(OR(E574="",E574="!!!"),"",IF(NOT(ISNA(VLOOKUP(E574,E$1:E573,1,FALSE()))),"OLD",IF(AND(E574&lt;&gt;"",E574&lt;&gt;"!!!"),"NEW","")))</f>
        <v>NEW</v>
      </c>
      <c r="G574" s="12" t="s">
        <v>126</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8" hidden="false" customHeight="false" outlineLevel="0" collapsed="false">
      <c r="A575" s="1" t="s">
        <v>138</v>
      </c>
      <c r="B575" s="1" t="s">
        <v>38</v>
      </c>
      <c r="C575" s="1" t="s">
        <v>139</v>
      </c>
      <c r="D575" s="1" t="s">
        <v>17</v>
      </c>
      <c r="E575" s="10" t="s">
        <v>338</v>
      </c>
      <c r="F575" s="11" t="str">
        <f aca="false">IF(OR(E575="",E575="!!!"),"",IF(NOT(ISNA(VLOOKUP(E575,E$1:E574,1,FALSE()))),"OLD",IF(AND(E575&lt;&gt;"",E575&lt;&gt;"!!!"),"NEW","")))</f>
        <v>OLD</v>
      </c>
      <c r="G575" s="12" t="s">
        <v>45</v>
      </c>
      <c r="H575" s="13" t="str">
        <f aca="false">IF(J575&lt;&gt;1,"",IF(I575="SBJ","CB","?"))</f>
        <v/>
      </c>
      <c r="I575" s="14" t="str">
        <f aca="false">IF(OR(E575="",E575="!!!",F575="NEW"),"",INDEX(B$2:B574,-1+SUMPRODUCT(MAX(ROW(E$2:E574)*(E575=E$2:E574)))))</f>
        <v>other</v>
      </c>
      <c r="J575" s="15" t="n">
        <f aca="true">IF(OR(E575="",E575="!!!",F575="NEW"),"",COUNTBLANK(OFFSET(A$1,,,SUMPRODUCT(MAX(ROW(E$2:E575)*(E575=E$2:E575)))))-COUNTBLANK(OFFSET(A$1,,,SUMPRODUCT(MAX(ROW(E$1:E574)*(E575=E$1:E574))))))</f>
        <v>0</v>
      </c>
      <c r="K575" s="15" t="str">
        <f aca="false">IF(OR(E575="",E575="!!!",F575="NEW"),"",INDEX(J$1:J574,SUMPRODUCT(MAX(ROW(E$1:E574)*(E575=E$1:E574)))))</f>
        <v/>
      </c>
      <c r="L575" s="16"/>
    </row>
    <row r="576" customFormat="false" ht="12.8" hidden="false" customHeight="false" outlineLevel="0" collapsed="false">
      <c r="A576" s="1" t="s">
        <v>309</v>
      </c>
      <c r="B576" s="1" t="s">
        <v>66</v>
      </c>
      <c r="C576" s="1" t="s">
        <v>109</v>
      </c>
      <c r="D576" s="1" t="s">
        <v>17</v>
      </c>
      <c r="E576" s="10"/>
      <c r="F576" s="11" t="s">
        <v>73</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8" hidden="false" customHeight="false" outlineLevel="0" collapsed="false">
      <c r="A577" s="1" t="s">
        <v>55</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8" hidden="false" customHeight="false" outlineLevel="0" collapsed="false">
      <c r="A578" s="1" t="s">
        <v>142</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8" hidden="false" customHeight="false" outlineLevel="0" collapsed="false">
      <c r="A579" s="1" t="s">
        <v>25</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8" hidden="false" customHeight="false" outlineLevel="0" collapsed="false">
      <c r="A580" s="1" t="s">
        <v>343</v>
      </c>
      <c r="B580" s="1" t="s">
        <v>27</v>
      </c>
      <c r="C580" s="1" t="s">
        <v>28</v>
      </c>
      <c r="D580" s="1" t="s">
        <v>17</v>
      </c>
      <c r="E580" s="10" t="s">
        <v>344</v>
      </c>
      <c r="F580" s="11" t="str">
        <f aca="false">IF(OR(E580="",E580="!!!"),"",IF(NOT(ISNA(VLOOKUP(E580,E$1:E579,1,FALSE()))),"OLD",IF(AND(E580&lt;&gt;"",E580&lt;&gt;"!!!"),"NEW","")))</f>
        <v>NEW</v>
      </c>
      <c r="G580" s="12" t="s">
        <v>126</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t="s">
        <v>345</v>
      </c>
    </row>
    <row r="581" customFormat="false" ht="12.8" hidden="false" customHeight="false" outlineLevel="0" collapsed="false">
      <c r="A581" s="1" t="s">
        <v>346</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8" hidden="false" customHeight="false" outlineLevel="0" collapsed="false">
      <c r="A582" s="1" t="s">
        <v>340</v>
      </c>
      <c r="B582" s="1" t="s">
        <v>66</v>
      </c>
      <c r="C582" s="1" t="s">
        <v>16</v>
      </c>
      <c r="D582" s="1" t="s">
        <v>17</v>
      </c>
      <c r="E582" s="10" t="s">
        <v>341</v>
      </c>
      <c r="F582" s="11" t="str">
        <f aca="false">IF(OR(E582="",E582="!!!"),"",IF(NOT(ISNA(VLOOKUP(E582,E$1:E581,1,FALSE()))),"OLD",IF(AND(E582&lt;&gt;"",E582&lt;&gt;"!!!"),"NEW","")))</f>
        <v>OLD</v>
      </c>
      <c r="G582" s="12" t="s">
        <v>45</v>
      </c>
      <c r="H582" s="13" t="str">
        <f aca="false">IF(J582&lt;&gt;1,"",IF(I582="SBJ","CB","?"))</f>
        <v/>
      </c>
      <c r="I582" s="14" t="str">
        <f aca="false">IF(OR(E582="",E582="!!!",F582="NEW"),"",INDEX(B$2:B581,-1+SUMPRODUCT(MAX(ROW(E$2:E581)*(E582=E$2:E581)))))</f>
        <v>other_3</v>
      </c>
      <c r="J582" s="15" t="n">
        <f aca="true">IF(OR(E582="",E582="!!!",F582="NEW"),"",COUNTBLANK(OFFSET(A$1,,,SUMPRODUCT(MAX(ROW(E$2:E582)*(E582=E$2:E582)))))-COUNTBLANK(OFFSET(A$1,,,SUMPRODUCT(MAX(ROW(E$1:E581)*(E582=E$1:E581))))))</f>
        <v>0</v>
      </c>
      <c r="K582" s="15" t="str">
        <f aca="false">IF(OR(E582="",E582="!!!",F582="NEW"),"",INDEX(J$1:J581,SUMPRODUCT(MAX(ROW(E$1:E581)*(E582=E$1:E581)))))</f>
        <v/>
      </c>
      <c r="L582" s="16"/>
    </row>
    <row r="583" customFormat="false" ht="12.8" hidden="false" customHeight="false" outlineLevel="0" collapsed="false">
      <c r="A583" s="1" t="s">
        <v>149</v>
      </c>
      <c r="B583" s="1" t="s">
        <v>76</v>
      </c>
      <c r="C583" s="1" t="s">
        <v>139</v>
      </c>
      <c r="D583" s="1" t="s">
        <v>17</v>
      </c>
      <c r="E583" s="10" t="s">
        <v>335</v>
      </c>
      <c r="F583" s="11" t="str">
        <f aca="false">IF(OR(E583="",E583="!!!"),"",IF(NOT(ISNA(VLOOKUP(E583,E$1:E582,1,FALSE()))),"OLD",IF(AND(E583&lt;&gt;"",E583&lt;&gt;"!!!"),"NEW","")))</f>
        <v>OLD</v>
      </c>
      <c r="G583" s="12" t="s">
        <v>45</v>
      </c>
      <c r="H583" s="13" t="str">
        <f aca="false">IF(J583&lt;&gt;1,"",IF(I583="SBJ","CB","?"))</f>
        <v/>
      </c>
      <c r="I583" s="14" t="str">
        <f aca="false">IF(OR(E583="",E583="!!!",F583="NEW"),"",INDEX(B$2:B582,-1+SUMPRODUCT(MAX(ROW(E$2:E582)*(E583=E$2:E582)))))</f>
        <v>OBJ</v>
      </c>
      <c r="J583" s="15" t="n">
        <f aca="true">IF(OR(E583="",E583="!!!",F583="NEW"),"",COUNTBLANK(OFFSET(A$1,,,SUMPRODUCT(MAX(ROW(E$2:E583)*(E583=E$2:E583)))))-COUNTBLANK(OFFSET(A$1,,,SUMPRODUCT(MAX(ROW(E$1:E582)*(E583=E$1:E582))))))</f>
        <v>0</v>
      </c>
      <c r="K583" s="15" t="str">
        <f aca="false">IF(OR(E583="",E583="!!!",F583="NEW"),"",INDEX(J$1:J582,SUMPRODUCT(MAX(ROW(E$1:E582)*(E583=E$1:E582)))))</f>
        <v/>
      </c>
      <c r="L583" s="16"/>
    </row>
    <row r="584" customFormat="false" ht="12.8" hidden="false" customHeight="false" outlineLevel="0" collapsed="false">
      <c r="A584" s="1" t="s">
        <v>347</v>
      </c>
      <c r="E584" s="10" t="str">
        <f aca="false">IF(D584="?OLD","!!!","")</f>
        <v/>
      </c>
      <c r="F584" s="11" t="s">
        <v>73</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8" hidden="false" customHeight="false" outlineLevel="0" collapsed="false">
      <c r="A585" s="1" t="s">
        <v>55</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8" hidden="false" customHeight="false" outlineLevel="0" collapsed="false">
      <c r="A586" s="1" t="s">
        <v>348</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8" hidden="false" customHeight="false" outlineLevel="0" collapsed="false">
      <c r="A587" s="1" t="s">
        <v>149</v>
      </c>
      <c r="B587" s="1" t="s">
        <v>38</v>
      </c>
      <c r="C587" s="1" t="s">
        <v>139</v>
      </c>
      <c r="D587" s="1" t="s">
        <v>17</v>
      </c>
      <c r="E587" s="10" t="s">
        <v>349</v>
      </c>
      <c r="F587" s="11" t="s">
        <v>350</v>
      </c>
      <c r="G587" s="12" t="s">
        <v>45</v>
      </c>
      <c r="H587" s="13"/>
      <c r="I587" s="14" t="e">
        <f aca="false">IF(OR(E587="",E587="!!!",F587="NEW"),"",INDEX(B$2:B586,-1+SUMPRODUCT(MAX(ROW(E$2:E586)*(E587=E$2:E586)))))</f>
        <v>#VALUE!</v>
      </c>
      <c r="J587" s="15" t="e">
        <f aca="true">IF(OR(E587="",E587="!!!",F587="NEW"),"",COUNTBLANK(OFFSET(A$1,,,SUMPRODUCT(MAX(ROW(E$2:E587)*(E587=E$2:E587)))))-COUNTBLANK(OFFSET(A$1,,,SUMPRODUCT(MAX(ROW(E$1:E586)*(E587=E$1:E586))))))</f>
        <v>#VALUE!</v>
      </c>
      <c r="K587" s="15" t="e">
        <f aca="false">IF(OR(E587="",E587="!!!",F587="NEW"),"",INDEX(J$1:J586,SUMPRODUCT(MAX(ROW(E$1:E586)*(E587=E$1:E586)))))</f>
        <v>#VALUE!</v>
      </c>
      <c r="L587" s="16"/>
    </row>
    <row r="588" customFormat="false" ht="12.8" hidden="false" customHeight="false" outlineLevel="0" collapsed="false">
      <c r="A588" s="1" t="s">
        <v>324</v>
      </c>
      <c r="B588" s="1" t="s">
        <v>50</v>
      </c>
      <c r="C588" s="1" t="s">
        <v>109</v>
      </c>
      <c r="D588" s="1" t="s">
        <v>17</v>
      </c>
      <c r="E588" s="10" t="s">
        <v>351</v>
      </c>
      <c r="F588" s="11" t="str">
        <f aca="false">IF(OR(E588="",E588="!!!"),"",IF(NOT(ISNA(VLOOKUP(E588,E$1:E587,1,FALSE()))),"OLD",IF(AND(E588&lt;&gt;"",E588&lt;&gt;"!!!"),"NEW","")))</f>
        <v>NEW</v>
      </c>
      <c r="G588" s="12" t="s">
        <v>162</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t="s">
        <v>352</v>
      </c>
    </row>
    <row r="589" customFormat="false" ht="12.8" hidden="false" customHeight="false" outlineLevel="0" collapsed="false">
      <c r="A589" s="1" t="s">
        <v>39</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8" hidden="false" customHeight="false" outlineLevel="0" collapsed="false">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8" hidden="false" customHeight="false" outlineLevel="0" collapsed="false">
      <c r="A591" s="1" t="s">
        <v>353</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8" hidden="false" customHeight="false" outlineLevel="0" collapsed="false">
      <c r="A592" s="1" t="s">
        <v>120</v>
      </c>
      <c r="B592" s="1" t="s">
        <v>15</v>
      </c>
      <c r="C592" s="1" t="s">
        <v>44</v>
      </c>
      <c r="D592" s="1" t="s">
        <v>17</v>
      </c>
      <c r="E592" s="10" t="s">
        <v>18</v>
      </c>
      <c r="F592" s="11" t="str">
        <f aca="false">IF(OR(E592="",E592="!!!"),"",IF(NOT(ISNA(VLOOKUP(E592,E$1:E591,1,FALSE()))),"OLD",IF(AND(E592&lt;&gt;"",E592&lt;&gt;"!!!"),"NEW","")))</f>
        <v>OLD</v>
      </c>
      <c r="G592" s="12" t="s">
        <v>45</v>
      </c>
      <c r="H592" s="13" t="str">
        <f aca="false">IF(J592&lt;&gt;1,"",IF(I592="SBJ","CB","?"))</f>
        <v>CB</v>
      </c>
      <c r="I592" s="14" t="str">
        <f aca="false">IF(OR(E592="",E592="!!!",F592="NEW"),"",INDEX(B$2:B591,-1+SUMPRODUCT(MAX(ROW(E$2:E591)*(E592=E$2:E591)))))</f>
        <v>SBJ</v>
      </c>
      <c r="J592" s="15" t="n">
        <f aca="true">IF(OR(E592="",E592="!!!",F592="NEW"),"",COUNTBLANK(OFFSET(A$1,,,SUMPRODUCT(MAX(ROW(E$2:E592)*(E592=E$2:E592)))))-COUNTBLANK(OFFSET(A$1,,,SUMPRODUCT(MAX(ROW(E$1:E591)*(E592=E$1:E591))))))</f>
        <v>1</v>
      </c>
      <c r="K592" s="15" t="n">
        <f aca="false">IF(OR(E592="",E592="!!!",F592="NEW"),"",INDEX(J$1:J591,SUMPRODUCT(MAX(ROW(E$1:E591)*(E592=E$1:E591)))))</f>
        <v>1</v>
      </c>
      <c r="L592" s="16"/>
    </row>
    <row r="593" customFormat="false" ht="12.8" hidden="false" customHeight="false" outlineLevel="0" collapsed="false">
      <c r="A593" s="1" t="s">
        <v>305</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8" hidden="false" customHeight="false" outlineLevel="0" collapsed="false">
      <c r="A594" s="1" t="s">
        <v>275</v>
      </c>
      <c r="B594" s="1" t="s">
        <v>115</v>
      </c>
      <c r="C594" s="1" t="s">
        <v>44</v>
      </c>
      <c r="D594" s="1" t="s">
        <v>17</v>
      </c>
      <c r="E594" s="10" t="s">
        <v>335</v>
      </c>
      <c r="F594" s="11" t="str">
        <f aca="false">IF(OR(E594="",E594="!!!"),"",IF(NOT(ISNA(VLOOKUP(E594,E$1:E593,1,FALSE()))),"OLD",IF(AND(E594&lt;&gt;"",E594&lt;&gt;"!!!"),"NEW","")))</f>
        <v>OLD</v>
      </c>
      <c r="G594" s="12" t="s">
        <v>62</v>
      </c>
      <c r="H594" s="13"/>
      <c r="I594" s="14" t="str">
        <f aca="false">IF(OR(E594="",E594="!!!",F594="NEW"),"",INDEX(B$2:B593,-1+SUMPRODUCT(MAX(ROW(E$2:E593)*(E594=E$2:E593)))))</f>
        <v>other_4</v>
      </c>
      <c r="J594" s="15" t="n">
        <f aca="true">IF(OR(E594="",E594="!!!",F594="NEW"),"",COUNTBLANK(OFFSET(A$1,,,SUMPRODUCT(MAX(ROW(E$2:E594)*(E594=E$2:E594)))))-COUNTBLANK(OFFSET(A$1,,,SUMPRODUCT(MAX(ROW(E$1:E593)*(E594=E$1:E593))))))</f>
        <v>1</v>
      </c>
      <c r="K594" s="15" t="n">
        <f aca="false">IF(OR(E594="",E594="!!!",F594="NEW"),"",INDEX(J$1:J593,SUMPRODUCT(MAX(ROW(E$1:E593)*(E594=E$1:E593)))))</f>
        <v>0</v>
      </c>
      <c r="L594" s="16" t="s">
        <v>354</v>
      </c>
    </row>
    <row r="595" customFormat="false" ht="12.8" hidden="false" customHeight="false" outlineLevel="0" collapsed="false">
      <c r="A595" s="1" t="s">
        <v>39</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8" hidden="false" customHeight="false" outlineLevel="0" collapsed="false">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8" hidden="false" customHeight="false" outlineLevel="0" collapsed="false">
      <c r="A597" s="1" t="s">
        <v>355</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8" hidden="false" customHeight="false" outlineLevel="0" collapsed="false">
      <c r="A598" s="1" t="s">
        <v>322</v>
      </c>
      <c r="B598" s="1" t="s">
        <v>15</v>
      </c>
      <c r="C598" s="1" t="s">
        <v>44</v>
      </c>
      <c r="D598" s="1" t="s">
        <v>17</v>
      </c>
      <c r="E598" s="10" t="s">
        <v>335</v>
      </c>
      <c r="F598" s="11" t="str">
        <f aca="false">IF(OR(E598="",E598="!!!"),"",IF(NOT(ISNA(VLOOKUP(E598,E$1:E597,1,FALSE()))),"OLD",IF(AND(E598&lt;&gt;"",E598&lt;&gt;"!!!"),"NEW","")))</f>
        <v>OLD</v>
      </c>
      <c r="G598" s="12" t="s">
        <v>45</v>
      </c>
      <c r="H598" s="13"/>
      <c r="I598" s="14" t="str">
        <f aca="false">IF(OR(E598="",E598="!!!",F598="NEW"),"",INDEX(B$2:B597,-1+SUMPRODUCT(MAX(ROW(E$2:E597)*(E598=E$2:E597)))))</f>
        <v>OBJ</v>
      </c>
      <c r="J598" s="15" t="n">
        <f aca="true">IF(OR(E598="",E598="!!!",F598="NEW"),"",COUNTBLANK(OFFSET(A$1,,,SUMPRODUCT(MAX(ROW(E$2:E598)*(E598=E$2:E598)))))-COUNTBLANK(OFFSET(A$1,,,SUMPRODUCT(MAX(ROW(E$1:E597)*(E598=E$1:E597))))))</f>
        <v>1</v>
      </c>
      <c r="K598" s="15" t="n">
        <f aca="false">IF(OR(E598="",E598="!!!",F598="NEW"),"",INDEX(J$1:J597,SUMPRODUCT(MAX(ROW(E$1:E597)*(E598=E$1:E597)))))</f>
        <v>1</v>
      </c>
      <c r="L598" s="16"/>
    </row>
    <row r="599" customFormat="false" ht="12.8" hidden="false" customHeight="false" outlineLevel="0" collapsed="false">
      <c r="A599" s="1" t="s">
        <v>323</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8" hidden="false" customHeight="false" outlineLevel="0" collapsed="false">
      <c r="A600" s="1" t="s">
        <v>209</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8" hidden="false" customHeight="false" outlineLevel="0" collapsed="false">
      <c r="A601" s="1" t="s">
        <v>25</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8" hidden="false" customHeight="false" outlineLevel="0" collapsed="false">
      <c r="A602" s="1" t="s">
        <v>343</v>
      </c>
      <c r="B602" s="1" t="s">
        <v>115</v>
      </c>
      <c r="C602" s="1" t="s">
        <v>28</v>
      </c>
      <c r="D602" s="1" t="s">
        <v>17</v>
      </c>
      <c r="E602" s="10" t="s">
        <v>344</v>
      </c>
      <c r="F602" s="11" t="str">
        <f aca="false">IF(OR(E602="",E602="!!!"),"",IF(NOT(ISNA(VLOOKUP(E602,E$1:E601,1,FALSE()))),"OLD",IF(AND(E602&lt;&gt;"",E602&lt;&gt;"!!!"),"NEW","")))</f>
        <v>OLD</v>
      </c>
      <c r="G602" s="12" t="s">
        <v>62</v>
      </c>
      <c r="H602" s="13" t="str">
        <f aca="false">IF(J602&lt;&gt;1,"",IF(I602="SBJ","CB","?"))</f>
        <v/>
      </c>
      <c r="I602" s="14" t="str">
        <f aca="false">IF(OR(E602="",E602="!!!",F602="NEW"),"",INDEX(B$2:B601,-1+SUMPRODUCT(MAX(ROW(E$2:E601)*(E602=E$2:E601)))))</f>
        <v>other</v>
      </c>
      <c r="J602" s="15" t="n">
        <f aca="true">IF(OR(E602="",E602="!!!",F602="NEW"),"",COUNTBLANK(OFFSET(A$1,,,SUMPRODUCT(MAX(ROW(E$2:E602)*(E602=E$2:E602)))))-COUNTBLANK(OFFSET(A$1,,,SUMPRODUCT(MAX(ROW(E$1:E601)*(E602=E$1:E601))))))</f>
        <v>2</v>
      </c>
      <c r="K602" s="15" t="str">
        <f aca="false">IF(OR(E602="",E602="!!!",F602="NEW"),"",INDEX(J$1:J601,SUMPRODUCT(MAX(ROW(E$1:E601)*(E602=E$1:E601)))))</f>
        <v/>
      </c>
      <c r="L602" s="16"/>
    </row>
    <row r="603" customFormat="false" ht="12.8" hidden="false" customHeight="false" outlineLevel="0" collapsed="false">
      <c r="A603" s="1" t="s">
        <v>52</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8" hidden="false" customHeight="false" outlineLevel="0" collapsed="false">
      <c r="A604" s="1" t="s">
        <v>149</v>
      </c>
      <c r="B604" s="1" t="s">
        <v>66</v>
      </c>
      <c r="C604" s="1" t="s">
        <v>139</v>
      </c>
      <c r="D604" s="1" t="s">
        <v>17</v>
      </c>
      <c r="E604" s="10" t="s">
        <v>335</v>
      </c>
      <c r="F604" s="11" t="str">
        <f aca="false">IF(OR(E604="",E604="!!!"),"",IF(NOT(ISNA(VLOOKUP(E604,E$1:E603,1,FALSE()))),"OLD",IF(AND(E604&lt;&gt;"",E604&lt;&gt;"!!!"),"NEW","")))</f>
        <v>OLD</v>
      </c>
      <c r="G604" s="12" t="s">
        <v>45</v>
      </c>
      <c r="H604" s="13" t="str">
        <f aca="false">IF(J604&lt;&gt;1,"",IF(I604="SBJ","CB","?"))</f>
        <v/>
      </c>
      <c r="I604" s="14" t="str">
        <f aca="false">IF(OR(E604="",E604="!!!",F604="NEW"),"",INDEX(B$2:B603,-1+SUMPRODUCT(MAX(ROW(E$2:E603)*(E604=E$2:E603)))))</f>
        <v>SBJ</v>
      </c>
      <c r="J604" s="15" t="n">
        <f aca="true">IF(OR(E604="",E604="!!!",F604="NEW"),"",COUNTBLANK(OFFSET(A$1,,,SUMPRODUCT(MAX(ROW(E$2:E604)*(E604=E$2:E604)))))-COUNTBLANK(OFFSET(A$1,,,SUMPRODUCT(MAX(ROW(E$1:E603)*(E604=E$1:E603))))))</f>
        <v>0</v>
      </c>
      <c r="K604" s="15" t="n">
        <f aca="false">IF(OR(E604="",E604="!!!",F604="NEW"),"",INDEX(J$1:J603,SUMPRODUCT(MAX(ROW(E$1:E603)*(E604=E$1:E603)))))</f>
        <v>1</v>
      </c>
      <c r="L604" s="16"/>
    </row>
    <row r="605" customFormat="false" ht="12.8" hidden="false" customHeight="false" outlineLevel="0" collapsed="false">
      <c r="A605" s="1" t="s">
        <v>347</v>
      </c>
      <c r="B605" s="1" t="s">
        <v>27</v>
      </c>
      <c r="C605" s="1" t="s">
        <v>109</v>
      </c>
      <c r="D605" s="1" t="s">
        <v>17</v>
      </c>
      <c r="E605" s="10" t="s">
        <v>341</v>
      </c>
      <c r="F605" s="11" t="str">
        <f aca="false">IF(OR(E605="",E605="!!!"),"",IF(NOT(ISNA(VLOOKUP(E605,E$1:E604,1,FALSE()))),"OLD",IF(AND(E605&lt;&gt;"",E605&lt;&gt;"!!!"),"NEW","")))</f>
        <v>OLD</v>
      </c>
      <c r="G605" s="12" t="s">
        <v>62</v>
      </c>
      <c r="H605" s="13" t="str">
        <f aca="false">IF(J605&lt;&gt;1,"",IF(I605="SBJ","CB","?"))</f>
        <v/>
      </c>
      <c r="I605" s="14" t="str">
        <f aca="false">IF(OR(E605="",E605="!!!",F605="NEW"),"",INDEX(B$2:B604,-1+SUMPRODUCT(MAX(ROW(E$2:E604)*(E605=E$2:E604)))))</f>
        <v>other_2</v>
      </c>
      <c r="J605" s="15" t="n">
        <f aca="true">IF(OR(E605="",E605="!!!",F605="NEW"),"",COUNTBLANK(OFFSET(A$1,,,SUMPRODUCT(MAX(ROW(E$2:E605)*(E605=E$2:E605)))))-COUNTBLANK(OFFSET(A$1,,,SUMPRODUCT(MAX(ROW(E$1:E604)*(E605=E$1:E604))))))</f>
        <v>2</v>
      </c>
      <c r="K605" s="15" t="n">
        <f aca="false">IF(OR(E605="",E605="!!!",F605="NEW"),"",INDEX(J$1:J604,SUMPRODUCT(MAX(ROW(E$1:E604)*(E605=E$1:E604)))))</f>
        <v>0</v>
      </c>
      <c r="L605" s="16"/>
    </row>
    <row r="606" customFormat="false" ht="12.8" hidden="false" customHeight="false" outlineLevel="0" collapsed="false">
      <c r="A606" s="1" t="s">
        <v>55</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8" hidden="false" customHeight="false" outlineLevel="0" collapsed="false">
      <c r="A607" s="1" t="s">
        <v>52</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8" hidden="false" customHeight="false" outlineLevel="0" collapsed="false">
      <c r="A608" s="1" t="s">
        <v>327</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8" hidden="false" customHeight="false" outlineLevel="0" collapsed="false">
      <c r="A609" s="1" t="s">
        <v>65</v>
      </c>
      <c r="B609" s="1" t="s">
        <v>50</v>
      </c>
      <c r="C609" s="1" t="s">
        <v>44</v>
      </c>
      <c r="D609" s="1" t="s">
        <v>17</v>
      </c>
      <c r="E609" s="10" t="s">
        <v>18</v>
      </c>
      <c r="F609" s="11" t="str">
        <f aca="false">IF(OR(E609="",E609="!!!"),"",IF(NOT(ISNA(VLOOKUP(E609,E$1:E608,1,FALSE()))),"OLD",IF(AND(E609&lt;&gt;"",E609&lt;&gt;"!!!"),"NEW","")))</f>
        <v>OLD</v>
      </c>
      <c r="G609" s="12" t="s">
        <v>45</v>
      </c>
      <c r="H609" s="13" t="s">
        <v>7</v>
      </c>
      <c r="I609" s="14" t="str">
        <f aca="false">IF(OR(E609="",E609="!!!",F609="NEW"),"",INDEX(B$2:B608,-1+SUMPRODUCT(MAX(ROW(E$2:E608)*(E609=E$2:E608)))))</f>
        <v>SBJ</v>
      </c>
      <c r="J609" s="15" t="n">
        <f aca="true">IF(OR(E609="",E609="!!!",F609="NEW"),"",COUNTBLANK(OFFSET(A$1,,,SUMPRODUCT(MAX(ROW(E$2:E609)*(E609=E$2:E609)))))-COUNTBLANK(OFFSET(A$1,,,SUMPRODUCT(MAX(ROW(E$1:E608)*(E609=E$1:E608))))))</f>
        <v>1</v>
      </c>
      <c r="K609" s="15" t="n">
        <f aca="false">IF(OR(E609="",E609="!!!",F609="NEW"),"",INDEX(J$1:J608,SUMPRODUCT(MAX(ROW(E$1:E608)*(E609=E$1:E608)))))</f>
        <v>1</v>
      </c>
      <c r="L609" s="16"/>
    </row>
    <row r="610" customFormat="false" ht="12.8" hidden="false" customHeight="false" outlineLevel="0" collapsed="false">
      <c r="A610" s="1" t="s">
        <v>39</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8" hidden="false" customHeight="false" outlineLevel="0" collapsed="false">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8" hidden="false" customHeight="false" outlineLevel="0" collapsed="false">
      <c r="A612" s="1" t="s">
        <v>356</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8" hidden="false" customHeight="false" outlineLevel="0" collapsed="false">
      <c r="A613" s="1" t="s">
        <v>14</v>
      </c>
      <c r="B613" s="1" t="s">
        <v>15</v>
      </c>
      <c r="C613" s="1" t="s">
        <v>16</v>
      </c>
      <c r="D613" s="1" t="s">
        <v>17</v>
      </c>
      <c r="E613" s="10" t="s">
        <v>18</v>
      </c>
      <c r="F613" s="11" t="str">
        <f aca="false">IF(OR(E613="",E613="!!!"),"",IF(NOT(ISNA(VLOOKUP(E613,E$1:E612,1,FALSE()))),"OLD",IF(AND(E613&lt;&gt;"",E613&lt;&gt;"!!!"),"NEW","")))</f>
        <v>OLD</v>
      </c>
      <c r="G613" s="12" t="s">
        <v>45</v>
      </c>
      <c r="H613" s="13" t="s">
        <v>7</v>
      </c>
      <c r="I613" s="14" t="str">
        <f aca="false">IF(OR(E613="",E613="!!!",F613="NEW"),"",INDEX(B$2:B612,-1+SUMPRODUCT(MAX(ROW(E$2:E612)*(E613=E$2:E612)))))</f>
        <v>OBJ_2</v>
      </c>
      <c r="J613" s="15" t="n">
        <f aca="true">IF(OR(E613="",E613="!!!",F613="NEW"),"",COUNTBLANK(OFFSET(A$1,,,SUMPRODUCT(MAX(ROW(E$2:E613)*(E613=E$2:E613)))))-COUNTBLANK(OFFSET(A$1,,,SUMPRODUCT(MAX(ROW(E$1:E612)*(E613=E$1:E612))))))</f>
        <v>1</v>
      </c>
      <c r="K613" s="15" t="n">
        <f aca="false">IF(OR(E613="",E613="!!!",F613="NEW"),"",INDEX(J$1:J612,SUMPRODUCT(MAX(ROW(E$1:E612)*(E613=E$1:E612)))))</f>
        <v>1</v>
      </c>
      <c r="L613" s="16"/>
    </row>
    <row r="614" customFormat="false" ht="12.8" hidden="false" customHeight="false" outlineLevel="0" collapsed="false">
      <c r="A614" s="1" t="s">
        <v>357</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8" hidden="false" customHeight="false" outlineLevel="0" collapsed="false">
      <c r="A615" s="1" t="s">
        <v>358</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8" hidden="false" customHeight="false" outlineLevel="0" collapsed="false">
      <c r="A616" s="1" t="s">
        <v>142</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8" hidden="false" customHeight="false" outlineLevel="0" collapsed="false">
      <c r="A617" s="1" t="s">
        <v>180</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8" hidden="false" customHeight="false" outlineLevel="0" collapsed="false">
      <c r="A618" s="1" t="s">
        <v>222</v>
      </c>
      <c r="B618" s="1" t="s">
        <v>27</v>
      </c>
      <c r="C618" s="1" t="s">
        <v>16</v>
      </c>
      <c r="D618" s="1" t="s">
        <v>17</v>
      </c>
      <c r="E618" s="10" t="s">
        <v>223</v>
      </c>
      <c r="F618" s="11" t="str">
        <f aca="false">IF(OR(E618="",E618="!!!"),"",IF(NOT(ISNA(VLOOKUP(E618,E$1:E617,1,FALSE()))),"OLD",IF(AND(E618&lt;&gt;"",E618&lt;&gt;"!!!"),"NEW","")))</f>
        <v>OLD</v>
      </c>
      <c r="G618" s="12" t="s">
        <v>19</v>
      </c>
      <c r="H618" s="13" t="str">
        <f aca="false">IF(J618&lt;&gt;1,"",IF(I618="SBJ","CB","?"))</f>
        <v/>
      </c>
      <c r="I618" s="14" t="str">
        <f aca="false">IF(OR(E618="",E618="!!!",F618="NEW"),"",INDEX(B$2:B617,-1+SUMPRODUCT(MAX(ROW(E$2:E617)*(E618=E$2:E617)))))</f>
        <v>other_3</v>
      </c>
      <c r="J618" s="15" t="n">
        <f aca="true">IF(OR(E618="",E618="!!!",F618="NEW"),"",COUNTBLANK(OFFSET(A$1,,,SUMPRODUCT(MAX(ROW(E$2:E618)*(E618=E$2:E618)))))-COUNTBLANK(OFFSET(A$1,,,SUMPRODUCT(MAX(ROW(E$1:E617)*(E618=E$1:E617))))))</f>
        <v>7</v>
      </c>
      <c r="K618" s="15" t="n">
        <f aca="false">IF(OR(E618="",E618="!!!",F618="NEW"),"",INDEX(J$1:J617,SUMPRODUCT(MAX(ROW(E$1:E617)*(E618=E$1:E617)))))</f>
        <v>3</v>
      </c>
      <c r="L618" s="16"/>
    </row>
    <row r="619" customFormat="false" ht="12.8" hidden="false" customHeight="false" outlineLevel="0" collapsed="false">
      <c r="A619" s="1" t="s">
        <v>55</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8" hidden="false" customHeight="false" outlineLevel="0" collapsed="false">
      <c r="A620" s="1" t="s">
        <v>359</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8" hidden="false" customHeight="false" outlineLevel="0" collapsed="false">
      <c r="A621" s="1" t="s">
        <v>142</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8" hidden="false" customHeight="false" outlineLevel="0" collapsed="false">
      <c r="A622" s="1" t="s">
        <v>149</v>
      </c>
      <c r="B622" s="1" t="s">
        <v>38</v>
      </c>
      <c r="C622" s="1" t="s">
        <v>139</v>
      </c>
      <c r="D622" s="1" t="s">
        <v>17</v>
      </c>
      <c r="E622" s="10" t="s">
        <v>261</v>
      </c>
      <c r="F622" s="11" t="str">
        <f aca="false">IF(OR(E622="",E622="!!!"),"",IF(NOT(ISNA(VLOOKUP(E622,E$1:E621,1,FALSE()))),"OLD",IF(AND(E622&lt;&gt;"",E622&lt;&gt;"!!!"),"NEW","")))</f>
        <v>OLD</v>
      </c>
      <c r="G622" s="12" t="s">
        <v>19</v>
      </c>
      <c r="H622" s="13" t="str">
        <f aca="false">IF(J622&lt;&gt;1,"",IF(I622="SBJ","CB","?"))</f>
        <v/>
      </c>
      <c r="I622" s="14" t="str">
        <f aca="false">IF(OR(E622="",E622="!!!",F622="NEW"),"",INDEX(B$2:B621,-1+SUMPRODUCT(MAX(ROW(E$2:E621)*(E622=E$2:E621)))))</f>
        <v>other_3</v>
      </c>
      <c r="J622" s="15" t="n">
        <f aca="true">IF(OR(E622="",E622="!!!",F622="NEW"),"",COUNTBLANK(OFFSET(A$1,,,SUMPRODUCT(MAX(ROW(E$2:E622)*(E622=E$2:E622)))))-COUNTBLANK(OFFSET(A$1,,,SUMPRODUCT(MAX(ROW(E$1:E621)*(E622=E$1:E621))))))</f>
        <v>10</v>
      </c>
      <c r="K622" s="15" t="n">
        <f aca="false">IF(OR(E622="",E622="!!!",F622="NEW"),"",INDEX(J$1:J621,SUMPRODUCT(MAX(ROW(E$1:E621)*(E622=E$1:E621)))))</f>
        <v>0</v>
      </c>
      <c r="L622" s="16"/>
    </row>
    <row r="623" customFormat="false" ht="12.8" hidden="false" customHeight="false" outlineLevel="0" collapsed="false">
      <c r="A623" s="1" t="s">
        <v>360</v>
      </c>
      <c r="B623" s="1" t="s">
        <v>66</v>
      </c>
      <c r="C623" s="1" t="s">
        <v>109</v>
      </c>
      <c r="D623" s="1" t="s">
        <v>17</v>
      </c>
      <c r="E623" s="10" t="s">
        <v>361</v>
      </c>
      <c r="F623" s="11" t="str">
        <f aca="false">IF(OR(E623="",E623="!!!"),"",IF(NOT(ISNA(VLOOKUP(E623,E$1:E622,1,FALSE()))),"OLD",IF(AND(E623&lt;&gt;"",E623&lt;&gt;"!!!"),"NEW","")))</f>
        <v>NEW</v>
      </c>
      <c r="G623" s="12" t="s">
        <v>162</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t="s">
        <v>362</v>
      </c>
    </row>
    <row r="624" customFormat="false" ht="12.8" hidden="false" customHeight="false" outlineLevel="0" collapsed="false">
      <c r="A624" s="1" t="s">
        <v>55</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8" hidden="false" customHeight="false" outlineLevel="0" collapsed="false">
      <c r="A625" s="1" t="s">
        <v>363</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8" hidden="false" customHeight="false" outlineLevel="0" collapsed="false">
      <c r="A626" s="1" t="s">
        <v>25</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8" hidden="false" customHeight="false" outlineLevel="0" collapsed="false">
      <c r="A627" s="1" t="s">
        <v>364</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8" hidden="false" customHeight="false" outlineLevel="0" collapsed="false">
      <c r="A628" s="1" t="s">
        <v>365</v>
      </c>
      <c r="B628" s="1" t="s">
        <v>196</v>
      </c>
      <c r="C628" s="1" t="s">
        <v>109</v>
      </c>
      <c r="D628" s="1" t="s">
        <v>17</v>
      </c>
      <c r="E628" s="10" t="s">
        <v>366</v>
      </c>
      <c r="F628" s="11" t="str">
        <f aca="false">IF(OR(E628="",E628="!!!"),"",IF(NOT(ISNA(VLOOKUP(E628,E$1:E627,1,FALSE()))),"OLD",IF(AND(E628&lt;&gt;"",E628&lt;&gt;"!!!"),"NEW","")))</f>
        <v>NEW</v>
      </c>
      <c r="G628" s="12" t="s">
        <v>19</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t="s">
        <v>367</v>
      </c>
    </row>
    <row r="629" customFormat="false" ht="12.8" hidden="false" customHeight="false" outlineLevel="0" collapsed="false">
      <c r="A629" s="1" t="s">
        <v>74</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8" hidden="false" customHeight="false" outlineLevel="0" collapsed="false">
      <c r="A630" s="1" t="s">
        <v>25</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8" hidden="false" customHeight="false" outlineLevel="0" collapsed="false">
      <c r="A631" s="1" t="s">
        <v>288</v>
      </c>
      <c r="B631" s="1" t="s">
        <v>112</v>
      </c>
      <c r="C631" s="1" t="s">
        <v>16</v>
      </c>
      <c r="D631" s="1" t="s">
        <v>17</v>
      </c>
      <c r="E631" s="10" t="s">
        <v>289</v>
      </c>
      <c r="F631" s="11" t="str">
        <f aca="false">IF(OR(E631="",E631="!!!"),"",IF(NOT(ISNA(VLOOKUP(E631,E$1:E630,1,FALSE()))),"OLD",IF(AND(E631&lt;&gt;"",E631&lt;&gt;"!!!"),"NEW","")))</f>
        <v>OLD</v>
      </c>
      <c r="G631" s="12" t="s">
        <v>19</v>
      </c>
      <c r="H631" s="13" t="str">
        <f aca="false">IF(J631&lt;&gt;1,"",IF(I631="SBJ","CB","?"))</f>
        <v/>
      </c>
      <c r="I631" s="14" t="str">
        <f aca="false">IF(OR(E631="",E631="!!!",F631="NEW"),"",INDEX(B$2:B630,-1+SUMPRODUCT(MAX(ROW(E$2:E630)*(E631=E$2:E630)))))</f>
        <v>SBJ</v>
      </c>
      <c r="J631" s="15" t="n">
        <f aca="true">IF(OR(E631="",E631="!!!",F631="NEW"),"",COUNTBLANK(OFFSET(A$1,,,SUMPRODUCT(MAX(ROW(E$2:E631)*(E631=E$2:E631)))))-COUNTBLANK(OFFSET(A$1,,,SUMPRODUCT(MAX(ROW(E$1:E630)*(E631=E$1:E630))))))</f>
        <v>8</v>
      </c>
      <c r="K631" s="15" t="str">
        <f aca="false">IF(OR(E631="",E631="!!!",F631="NEW"),"",INDEX(J$1:J630,SUMPRODUCT(MAX(ROW(E$1:E630)*(E631=E$1:E630)))))</f>
        <v/>
      </c>
      <c r="L631" s="16"/>
    </row>
    <row r="632" customFormat="false" ht="12.8" hidden="false" customHeight="false" outlineLevel="0" collapsed="false">
      <c r="A632" s="1" t="s">
        <v>55</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8" hidden="false" customHeight="false" outlineLevel="0" collapsed="false">
      <c r="A633" s="1" t="s">
        <v>52</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8" hidden="false" customHeight="false" outlineLevel="0" collapsed="false">
      <c r="A634" s="1" t="s">
        <v>368</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8" hidden="false" customHeight="false" outlineLevel="0" collapsed="false">
      <c r="A635" s="1" t="s">
        <v>103</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8" hidden="false" customHeight="false" outlineLevel="0" collapsed="false">
      <c r="A636" s="1" t="s">
        <v>369</v>
      </c>
      <c r="B636" s="1" t="s">
        <v>50</v>
      </c>
      <c r="C636" s="1" t="s">
        <v>105</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8" hidden="false" customHeight="false" outlineLevel="0" collapsed="false">
      <c r="A637" s="1" t="s">
        <v>52</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8" hidden="false" customHeight="false" outlineLevel="0" collapsed="false">
      <c r="A638" s="1" t="s">
        <v>103</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8" hidden="false" customHeight="false" outlineLevel="0" collapsed="false">
      <c r="A639" s="1" t="s">
        <v>370</v>
      </c>
      <c r="B639" s="1" t="s">
        <v>38</v>
      </c>
      <c r="C639" s="1" t="s">
        <v>105</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8" hidden="false" customHeight="false" outlineLevel="0" collapsed="false">
      <c r="A640" s="1" t="s">
        <v>371</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8" hidden="false" customHeight="false" outlineLevel="0" collapsed="false">
      <c r="A641" s="1" t="s">
        <v>25</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8" hidden="false" customHeight="false" outlineLevel="0" collapsed="false">
      <c r="A642" s="1" t="s">
        <v>260</v>
      </c>
      <c r="B642" s="1" t="s">
        <v>76</v>
      </c>
      <c r="C642" s="1" t="s">
        <v>28</v>
      </c>
      <c r="D642" s="1" t="s">
        <v>17</v>
      </c>
      <c r="E642" s="10" t="s">
        <v>261</v>
      </c>
      <c r="F642" s="11" t="str">
        <f aca="false">IF(OR(E642="",E642="!!!"),"",IF(NOT(ISNA(VLOOKUP(E642,E$1:E641,1,FALSE()))),"OLD",IF(AND(E642&lt;&gt;"",E642&lt;&gt;"!!!"),"NEW","")))</f>
        <v>OLD</v>
      </c>
      <c r="G642" s="12" t="s">
        <v>45</v>
      </c>
      <c r="H642" s="13" t="str">
        <f aca="false">IF(J642&lt;&gt;1,"",IF(I642="SBJ","CB","?"))</f>
        <v/>
      </c>
      <c r="I642" s="14" t="str">
        <f aca="false">IF(OR(E642="",E642="!!!",F642="NEW"),"",INDEX(B$2:B641,-1+SUMPRODUCT(MAX(ROW(E$2:E641)*(E642=E$2:E641)))))</f>
        <v>other_3</v>
      </c>
      <c r="J642" s="15" t="n">
        <f aca="true">IF(OR(E642="",E642="!!!",F642="NEW"),"",COUNTBLANK(OFFSET(A$1,,,SUMPRODUCT(MAX(ROW(E$2:E642)*(E642=E$2:E642)))))-COUNTBLANK(OFFSET(A$1,,,SUMPRODUCT(MAX(ROW(E$1:E641)*(E642=E$1:E641))))))</f>
        <v>0</v>
      </c>
      <c r="K642" s="15" t="n">
        <f aca="false">IF(OR(E642="",E642="!!!",F642="NEW"),"",INDEX(J$1:J641,SUMPRODUCT(MAX(ROW(E$1:E641)*(E642=E$1:E641)))))</f>
        <v>10</v>
      </c>
      <c r="L642" s="16"/>
    </row>
    <row r="643" customFormat="false" ht="12.8" hidden="false" customHeight="false" outlineLevel="0" collapsed="false">
      <c r="A643" s="1" t="s">
        <v>39</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8" hidden="false" customHeight="false" outlineLevel="0" collapsed="false">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8" hidden="false" customHeight="false" outlineLevel="0" collapsed="false">
      <c r="A645" s="1" t="s">
        <v>372</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8" hidden="false" customHeight="false" outlineLevel="0" collapsed="false">
      <c r="A646" s="1" t="s">
        <v>60</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8" hidden="false" customHeight="false" outlineLevel="0" collapsed="false">
      <c r="A647" s="1" t="s">
        <v>373</v>
      </c>
      <c r="B647" s="1" t="s">
        <v>15</v>
      </c>
      <c r="C647" s="1" t="s">
        <v>28</v>
      </c>
      <c r="D647" s="1" t="s">
        <v>17</v>
      </c>
      <c r="E647" s="10" t="s">
        <v>374</v>
      </c>
      <c r="F647" s="11" t="str">
        <f aca="false">IF(OR(E647="",E647="!!!"),"",IF(NOT(ISNA(VLOOKUP(E647,E$1:E646,1,FALSE()))),"OLD",IF(AND(E647&lt;&gt;"",E647&lt;&gt;"!!!"),"NEW","")))</f>
        <v>NEW</v>
      </c>
      <c r="G647" s="12" t="s">
        <v>62</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t="s">
        <v>375</v>
      </c>
    </row>
    <row r="648" customFormat="false" ht="12.8" hidden="false" customHeight="false" outlineLevel="0" collapsed="false">
      <c r="A648" s="1" t="s">
        <v>358</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8" hidden="false" customHeight="false" outlineLevel="0" collapsed="false">
      <c r="A649" s="1" t="s">
        <v>65</v>
      </c>
      <c r="B649" s="1" t="s">
        <v>66</v>
      </c>
      <c r="C649" s="1" t="s">
        <v>44</v>
      </c>
      <c r="D649" s="1" t="s">
        <v>17</v>
      </c>
      <c r="E649" s="10" t="s">
        <v>18</v>
      </c>
      <c r="F649" s="11" t="str">
        <f aca="false">IF(OR(E649="",E649="!!!"),"",IF(NOT(ISNA(VLOOKUP(E649,E$1:E648,1,FALSE()))),"OLD",IF(AND(E649&lt;&gt;"",E649&lt;&gt;"!!!"),"NEW","")))</f>
        <v>OLD</v>
      </c>
      <c r="G649" s="12" t="s">
        <v>45</v>
      </c>
      <c r="H649" s="13" t="str">
        <f aca="false">IF(J649&lt;&gt;1,"",IF(I649="SBJ","CB","?"))</f>
        <v>CB</v>
      </c>
      <c r="I649" s="14" t="str">
        <f aca="false">IF(OR(E649="",E649="!!!",F649="NEW"),"",INDEX(B$2:B648,-1+SUMPRODUCT(MAX(ROW(E$2:E648)*(E649=E$2:E648)))))</f>
        <v>SBJ</v>
      </c>
      <c r="J649" s="15" t="n">
        <f aca="true">IF(OR(E649="",E649="!!!",F649="NEW"),"",COUNTBLANK(OFFSET(A$1,,,SUMPRODUCT(MAX(ROW(E$2:E649)*(E649=E$2:E649)))))-COUNTBLANK(OFFSET(A$1,,,SUMPRODUCT(MAX(ROW(E$1:E648)*(E649=E$1:E648))))))</f>
        <v>1</v>
      </c>
      <c r="K649" s="15" t="n">
        <f aca="false">IF(OR(E649="",E649="!!!",F649="NEW"),"",INDEX(J$1:J648,SUMPRODUCT(MAX(ROW(E$1:E648)*(E649=E$1:E648)))))</f>
        <v>1</v>
      </c>
      <c r="L649" s="16"/>
    </row>
    <row r="650" customFormat="false" ht="12.8" hidden="false" customHeight="false" outlineLevel="0" collapsed="false">
      <c r="A650" s="1" t="s">
        <v>357</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8" hidden="false" customHeight="false" outlineLevel="0" collapsed="false">
      <c r="A651" s="1" t="s">
        <v>107</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8" hidden="false" customHeight="false" outlineLevel="0" collapsed="false">
      <c r="A652" s="1" t="s">
        <v>31</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8" hidden="false" customHeight="false" outlineLevel="0" collapsed="false">
      <c r="A653" s="1" t="s">
        <v>180</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8" hidden="false" customHeight="false" outlineLevel="0" collapsed="false">
      <c r="A654" s="1" t="s">
        <v>376</v>
      </c>
      <c r="B654" s="1" t="s">
        <v>27</v>
      </c>
      <c r="C654" s="1" t="s">
        <v>16</v>
      </c>
      <c r="D654" s="1" t="s">
        <v>17</v>
      </c>
      <c r="E654" s="10" t="s">
        <v>377</v>
      </c>
      <c r="F654" s="11" t="str">
        <f aca="false">IF(OR(E654="",E654="!!!"),"",IF(NOT(ISNA(VLOOKUP(E654,E$1:E653,1,FALSE()))),"OLD",IF(AND(E654&lt;&gt;"",E654&lt;&gt;"!!!"),"NEW","")))</f>
        <v>NEW</v>
      </c>
      <c r="G654" s="12" t="s">
        <v>19</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t="s">
        <v>378</v>
      </c>
    </row>
    <row r="655" customFormat="false" ht="12.8" hidden="false" customHeight="false" outlineLevel="0" collapsed="false">
      <c r="A655" s="1" t="s">
        <v>39</v>
      </c>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8" hidden="false" customHeight="false" outlineLevel="0" collapsed="false">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8" hidden="false" customHeight="false" outlineLevel="0" collapsed="false">
      <c r="A657" s="1" t="s">
        <v>379</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23.85" hidden="false" customHeight="false" outlineLevel="0" collapsed="false">
      <c r="A658" s="1" t="s">
        <v>322</v>
      </c>
      <c r="B658" s="1" t="s">
        <v>15</v>
      </c>
      <c r="C658" s="1" t="s">
        <v>44</v>
      </c>
      <c r="D658" s="1" t="s">
        <v>17</v>
      </c>
      <c r="E658" s="10"/>
      <c r="F658" s="11" t="s">
        <v>380</v>
      </c>
      <c r="G658" s="12"/>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t="s">
        <v>381</v>
      </c>
    </row>
    <row r="659" customFormat="false" ht="12.8" hidden="false" customHeight="false" outlineLevel="0" collapsed="false">
      <c r="A659" s="1" t="s">
        <v>382</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8" hidden="false" customHeight="false" outlineLevel="0" collapsed="false">
      <c r="A660" s="1" t="s">
        <v>34</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8" hidden="false" customHeight="false" outlineLevel="0" collapsed="false">
      <c r="A661" s="1" t="s">
        <v>65</v>
      </c>
      <c r="B661" s="1" t="s">
        <v>27</v>
      </c>
      <c r="C661" s="1" t="s">
        <v>44</v>
      </c>
      <c r="D661" s="1" t="s">
        <v>17</v>
      </c>
      <c r="E661" s="10" t="s">
        <v>18</v>
      </c>
      <c r="F661" s="11" t="str">
        <f aca="false">IF(OR(E661="",E661="!!!"),"",IF(NOT(ISNA(VLOOKUP(E661,E$1:E660,1,FALSE()))),"OLD",IF(AND(E661&lt;&gt;"",E661&lt;&gt;"!!!"),"NEW","")))</f>
        <v>OLD</v>
      </c>
      <c r="G661" s="12" t="s">
        <v>45</v>
      </c>
      <c r="H661" s="13" t="s">
        <v>7</v>
      </c>
      <c r="I661" s="14" t="str">
        <f aca="false">IF(OR(E661="",E661="!!!",F661="NEW"),"",INDEX(B$2:B660,-1+SUMPRODUCT(MAX(ROW(E$2:E660)*(E661=E$2:E660)))))</f>
        <v>other_2</v>
      </c>
      <c r="J661" s="15" t="n">
        <f aca="true">IF(OR(E661="",E661="!!!",F661="NEW"),"",COUNTBLANK(OFFSET(A$1,,,SUMPRODUCT(MAX(ROW(E$2:E661)*(E661=E$2:E661)))))-COUNTBLANK(OFFSET(A$1,,,SUMPRODUCT(MAX(ROW(E$1:E660)*(E661=E$1:E660))))))</f>
        <v>1</v>
      </c>
      <c r="K661" s="15" t="n">
        <f aca="false">IF(OR(E661="",E661="!!!",F661="NEW"),"",INDEX(J$1:J660,SUMPRODUCT(MAX(ROW(E$1:E660)*(E661=E$1:E660)))))</f>
        <v>1</v>
      </c>
      <c r="L661" s="16"/>
    </row>
    <row r="662" customFormat="false" ht="12.8" hidden="false" customHeight="false" outlineLevel="0" collapsed="false">
      <c r="A662" s="1" t="s">
        <v>180</v>
      </c>
      <c r="E662" s="10" t="s">
        <v>383</v>
      </c>
      <c r="F662" s="11" t="str">
        <f aca="false">IF(OR(E662="",E662="!!!"),"",IF(NOT(ISNA(VLOOKUP(E662,E$1:E661,1,FALSE()))),"OLD",IF(AND(E662&lt;&gt;"",E662&lt;&gt;"!!!"),"NEW","")))</f>
        <v>NEW</v>
      </c>
      <c r="G662" s="12" t="s">
        <v>162</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t="s">
        <v>384</v>
      </c>
    </row>
    <row r="663" customFormat="false" ht="12.8" hidden="false" customHeight="false" outlineLevel="0" collapsed="false">
      <c r="A663" s="1" t="s">
        <v>264</v>
      </c>
      <c r="B663" s="1" t="s">
        <v>97</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8" hidden="false" customHeight="false" outlineLevel="0" collapsed="false">
      <c r="A664" s="1" t="s">
        <v>313</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8" hidden="false" customHeight="false" outlineLevel="0" collapsed="false">
      <c r="A665" s="1" t="s">
        <v>385</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8" hidden="false" customHeight="false" outlineLevel="0" collapsed="false">
      <c r="A666" s="1" t="s">
        <v>55</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8" hidden="false" customHeight="false" outlineLevel="0" collapsed="false">
      <c r="A667" s="1" t="s">
        <v>386</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8" hidden="false" customHeight="false" outlineLevel="0" collapsed="false">
      <c r="A668" s="1" t="s">
        <v>346</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8" hidden="false" customHeight="false" outlineLevel="0" collapsed="false">
      <c r="A669" s="1" t="s">
        <v>387</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8" hidden="false" customHeight="false" outlineLevel="0" collapsed="false">
      <c r="A670" s="1" t="s">
        <v>388</v>
      </c>
      <c r="B670" s="1" t="s">
        <v>66</v>
      </c>
      <c r="C670" s="1" t="s">
        <v>54</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8" hidden="false" customHeight="false" outlineLevel="0" collapsed="false">
      <c r="A671" s="1" t="s">
        <v>52</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8" hidden="false" customHeight="false" outlineLevel="0" collapsed="false">
      <c r="A672" s="1" t="s">
        <v>389</v>
      </c>
      <c r="B672" s="1" t="s">
        <v>38</v>
      </c>
      <c r="C672" s="1" t="s">
        <v>54</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8" hidden="false" customHeight="false" outlineLevel="0" collapsed="false">
      <c r="A673" s="1" t="s">
        <v>55</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8" hidden="false" customHeight="false" outlineLevel="0" collapsed="false">
      <c r="A674" s="1" t="s">
        <v>390</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8" hidden="false" customHeight="false" outlineLevel="0" collapsed="false">
      <c r="A675" s="1" t="s">
        <v>346</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8" hidden="false" customHeight="false" outlineLevel="0" collapsed="false">
      <c r="A676" s="1" t="s">
        <v>391</v>
      </c>
      <c r="B676" s="1" t="s">
        <v>76</v>
      </c>
      <c r="C676" s="1" t="s">
        <v>54</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8" hidden="false" customHeight="false" outlineLevel="0" collapsed="false">
      <c r="A677" s="1" t="s">
        <v>55</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8" hidden="false" customHeight="false" outlineLevel="0" collapsed="false">
      <c r="A678" s="1" t="s">
        <v>392</v>
      </c>
      <c r="B678" s="1" t="s">
        <v>112</v>
      </c>
      <c r="C678" s="1" t="s">
        <v>54</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8" hidden="false" customHeight="false" outlineLevel="0" collapsed="false">
      <c r="A679" s="1" t="s">
        <v>55</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8" hidden="false" customHeight="false" outlineLevel="0" collapsed="false">
      <c r="A680" s="1" t="s">
        <v>52</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8" hidden="false" customHeight="false" outlineLevel="0" collapsed="false">
      <c r="A681" s="1" t="s">
        <v>393</v>
      </c>
      <c r="B681" s="1" t="s">
        <v>112</v>
      </c>
      <c r="C681" s="1" t="s">
        <v>54</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8" hidden="false" customHeight="false" outlineLevel="0" collapsed="false">
      <c r="A682" s="1" t="s">
        <v>312</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8" hidden="false" customHeight="false" outlineLevel="0" collapsed="false">
      <c r="A683" s="1" t="s">
        <v>52</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8" hidden="false" customHeight="false" outlineLevel="0" collapsed="false">
      <c r="A684" s="1" t="s">
        <v>42</v>
      </c>
      <c r="B684" s="1" t="s">
        <v>43</v>
      </c>
      <c r="C684" s="1" t="s">
        <v>44</v>
      </c>
      <c r="D684" s="1" t="s">
        <v>17</v>
      </c>
      <c r="E684" s="10" t="s">
        <v>18</v>
      </c>
      <c r="F684" s="11" t="str">
        <f aca="false">IF(OR(E684="",E684="!!!"),"",IF(NOT(ISNA(VLOOKUP(E684,E$1:E683,1,FALSE()))),"OLD",IF(AND(E684&lt;&gt;"",E684&lt;&gt;"!!!"),"NEW","")))</f>
        <v>OLD</v>
      </c>
      <c r="G684" s="12" t="s">
        <v>45</v>
      </c>
      <c r="H684" s="13" t="str">
        <f aca="false">IF(J684&lt;&gt;1,"",IF(I684="SBJ","CB","?"))</f>
        <v/>
      </c>
      <c r="I684" s="14" t="str">
        <f aca="false">IF(OR(E684="",E684="!!!",F684="NEW"),"",INDEX(B$2:B683,-1+SUMPRODUCT(MAX(ROW(E$2:E683)*(E684=E$2:E683)))))</f>
        <v>other</v>
      </c>
      <c r="J684" s="15" t="n">
        <f aca="true">IF(OR(E684="",E684="!!!",F684="NEW"),"",COUNTBLANK(OFFSET(A$1,,,SUMPRODUCT(MAX(ROW(E$2:E684)*(E684=E$2:E684)))))-COUNTBLANK(OFFSET(A$1,,,SUMPRODUCT(MAX(ROW(E$1:E683)*(E684=E$1:E683))))))</f>
        <v>0</v>
      </c>
      <c r="K684" s="15" t="n">
        <f aca="false">IF(OR(E684="",E684="!!!",F684="NEW"),"",INDEX(J$1:J683,SUMPRODUCT(MAX(ROW(E$1:E683)*(E684=E$1:E683)))))</f>
        <v>1</v>
      </c>
      <c r="L684" s="16"/>
    </row>
    <row r="685" customFormat="false" ht="12.8" hidden="false" customHeight="false" outlineLevel="0" collapsed="false">
      <c r="A685" s="1" t="s">
        <v>394</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8" hidden="false" customHeight="false" outlineLevel="0" collapsed="false">
      <c r="A686" s="1" t="s">
        <v>275</v>
      </c>
      <c r="B686" s="1" t="s">
        <v>50</v>
      </c>
      <c r="C686" s="1" t="s">
        <v>44</v>
      </c>
      <c r="D686" s="1" t="s">
        <v>17</v>
      </c>
      <c r="E686" s="10" t="s">
        <v>383</v>
      </c>
      <c r="F686" s="11" t="str">
        <f aca="false">IF(OR(E686="",E686="!!!"),"",IF(NOT(ISNA(VLOOKUP(E686,E$1:E685,1,FALSE()))),"OLD",IF(AND(E686&lt;&gt;"",E686&lt;&gt;"!!!"),"NEW","")))</f>
        <v>OLD</v>
      </c>
      <c r="G686" s="12" t="s">
        <v>45</v>
      </c>
      <c r="H686" s="13" t="str">
        <f aca="false">IF(J686&lt;&gt;1,"",IF(I686="SBJ","CB","?"))</f>
        <v/>
      </c>
      <c r="I686" s="14" t="n">
        <f aca="false">IF(OR(E686="",E686="!!!",F686="NEW"),"",INDEX(B$2:B685,-1+SUMPRODUCT(MAX(ROW(E$2:E685)*(E686=E$2:E685)))))</f>
        <v>0</v>
      </c>
      <c r="J686" s="15" t="n">
        <f aca="true">IF(OR(E686="",E686="!!!",F686="NEW"),"",COUNTBLANK(OFFSET(A$1,,,SUMPRODUCT(MAX(ROW(E$2:E686)*(E686=E$2:E686)))))-COUNTBLANK(OFFSET(A$1,,,SUMPRODUCT(MAX(ROW(E$1:E685)*(E686=E$1:E685))))))</f>
        <v>0</v>
      </c>
      <c r="K686" s="15" t="str">
        <f aca="false">IF(OR(E686="",E686="!!!",F686="NEW"),"",INDEX(J$1:J685,SUMPRODUCT(MAX(ROW(E$1:E685)*(E686=E$1:E685)))))</f>
        <v/>
      </c>
      <c r="L686" s="16"/>
    </row>
    <row r="687" customFormat="false" ht="12.8" hidden="false" customHeight="false" outlineLevel="0" collapsed="false">
      <c r="A687" s="1" t="s">
        <v>39</v>
      </c>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8" hidden="false" customHeight="false" outlineLevel="0" collapsed="false">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8" hidden="false" customHeight="false" outlineLevel="0" collapsed="false">
      <c r="A689" s="1" t="s">
        <v>395</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8" hidden="false" customHeight="false" outlineLevel="0" collapsed="false">
      <c r="A690" s="1" t="s">
        <v>396</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8" hidden="false" customHeight="false" outlineLevel="0" collapsed="false">
      <c r="A691" s="1" t="s">
        <v>397</v>
      </c>
      <c r="B691" s="1" t="s">
        <v>15</v>
      </c>
      <c r="C691" s="1" t="s">
        <v>54</v>
      </c>
      <c r="E691" s="10" t="s">
        <v>398</v>
      </c>
      <c r="F691" s="11" t="str">
        <f aca="false">IF(OR(E691="",E691="!!!"),"",IF(NOT(ISNA(VLOOKUP(E691,E$1:E690,1,FALSE()))),"OLD",IF(AND(E691&lt;&gt;"",E691&lt;&gt;"!!!"),"NEW","")))</f>
        <v>NEW</v>
      </c>
      <c r="G691" s="12" t="s">
        <v>300</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t="s">
        <v>399</v>
      </c>
    </row>
    <row r="692" customFormat="false" ht="12.8" hidden="false" customHeight="false" outlineLevel="0" collapsed="false">
      <c r="A692" s="1" t="s">
        <v>330</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8" hidden="false" customHeight="false" outlineLevel="0" collapsed="false">
      <c r="A693" s="1" t="s">
        <v>222</v>
      </c>
      <c r="B693" s="1" t="s">
        <v>66</v>
      </c>
      <c r="C693" s="1" t="s">
        <v>16</v>
      </c>
      <c r="D693" s="1" t="s">
        <v>17</v>
      </c>
      <c r="E693" s="10" t="s">
        <v>223</v>
      </c>
      <c r="F693" s="11" t="str">
        <f aca="false">IF(OR(E693="",E693="!!!"),"",IF(NOT(ISNA(VLOOKUP(E693,E$1:E692,1,FALSE()))),"OLD",IF(AND(E693&lt;&gt;"",E693&lt;&gt;"!!!"),"NEW","")))</f>
        <v>OLD</v>
      </c>
      <c r="G693" s="12" t="s">
        <v>19</v>
      </c>
      <c r="H693" s="13" t="str">
        <f aca="false">IF(J693&lt;&gt;1,"",IF(I693="SBJ","CB","?"))</f>
        <v/>
      </c>
      <c r="I693" s="14" t="str">
        <f aca="false">IF(OR(E693="",E693="!!!",F693="NEW"),"",INDEX(B$2:B692,-1+SUMPRODUCT(MAX(ROW(E$2:E692)*(E693=E$2:E692)))))</f>
        <v>other</v>
      </c>
      <c r="J693" s="15" t="n">
        <f aca="true">IF(OR(E693="",E693="!!!",F693="NEW"),"",COUNTBLANK(OFFSET(A$1,,,SUMPRODUCT(MAX(ROW(E$2:E693)*(E693=E$2:E693)))))-COUNTBLANK(OFFSET(A$1,,,SUMPRODUCT(MAX(ROW(E$1:E692)*(E693=E$1:E692))))))</f>
        <v>3</v>
      </c>
      <c r="K693" s="15" t="n">
        <f aca="false">IF(OR(E693="",E693="!!!",F693="NEW"),"",INDEX(J$1:J692,SUMPRODUCT(MAX(ROW(E$1:E692)*(E693=E$1:E692)))))</f>
        <v>7</v>
      </c>
      <c r="L693" s="16"/>
    </row>
    <row r="694" customFormat="false" ht="12.8" hidden="false" customHeight="false" outlineLevel="0" collapsed="false">
      <c r="A694" s="1" t="s">
        <v>55</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8" hidden="false" customHeight="false" outlineLevel="0" collapsed="false">
      <c r="A695" s="1" t="s">
        <v>400</v>
      </c>
      <c r="B695" s="1" t="s">
        <v>38</v>
      </c>
      <c r="C695" s="1" t="s">
        <v>16</v>
      </c>
      <c r="D695" s="1" t="s">
        <v>17</v>
      </c>
      <c r="E695" s="10" t="s">
        <v>401</v>
      </c>
      <c r="F695" s="11" t="str">
        <f aca="false">IF(OR(E695="",E695="!!!"),"",IF(NOT(ISNA(VLOOKUP(E695,E$1:E694,1,FALSE()))),"OLD",IF(AND(E695&lt;&gt;"",E695&lt;&gt;"!!!"),"NEW","")))</f>
        <v>NEW</v>
      </c>
      <c r="G695" s="12" t="s">
        <v>126</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t="s">
        <v>402</v>
      </c>
    </row>
    <row r="696" customFormat="false" ht="12.8" hidden="false" customHeight="false" outlineLevel="0" collapsed="false">
      <c r="A696" s="1" t="s">
        <v>55</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8" hidden="false" customHeight="false" outlineLevel="0" collapsed="false">
      <c r="A697" s="1" t="s">
        <v>403</v>
      </c>
      <c r="B697" s="1" t="s">
        <v>38</v>
      </c>
      <c r="C697" s="1" t="s">
        <v>16</v>
      </c>
      <c r="D697" s="1" t="s">
        <v>17</v>
      </c>
      <c r="E697" s="10" t="s">
        <v>118</v>
      </c>
      <c r="F697" s="11" t="str">
        <f aca="false">IF(OR(E697="",E697="!!!"),"",IF(NOT(ISNA(VLOOKUP(E697,E$1:E696,1,FALSE()))),"OLD",IF(AND(E697&lt;&gt;"",E697&lt;&gt;"!!!"),"NEW","")))</f>
        <v>OLD</v>
      </c>
      <c r="G697" s="12" t="s">
        <v>19</v>
      </c>
      <c r="H697" s="13" t="str">
        <f aca="false">IF(J697&lt;&gt;1,"",IF(I697="SBJ","CB","?"))</f>
        <v/>
      </c>
      <c r="I697" s="14" t="str">
        <f aca="false">IF(OR(E697="",E697="!!!",F697="NEW"),"",INDEX(B$2:B696,-1+SUMPRODUCT(MAX(ROW(E$2:E696)*(E697=E$2:E696)))))</f>
        <v>other</v>
      </c>
      <c r="J697" s="15" t="n">
        <f aca="true">IF(OR(E697="",E697="!!!",F697="NEW"),"",COUNTBLANK(OFFSET(A$1,,,SUMPRODUCT(MAX(ROW(E$2:E697)*(E697=E$2:E697)))))-COUNTBLANK(OFFSET(A$1,,,SUMPRODUCT(MAX(ROW(E$1:E696)*(E697=E$1:E696))))))</f>
        <v>23</v>
      </c>
      <c r="K697" s="15" t="str">
        <f aca="false">IF(OR(E697="",E697="!!!",F697="NEW"),"",INDEX(J$1:J696,SUMPRODUCT(MAX(ROW(E$1:E696)*(E697=E$1:E696)))))</f>
        <v/>
      </c>
      <c r="L697" s="16"/>
    </row>
    <row r="698" customFormat="false" ht="12.8" hidden="false" customHeight="false" outlineLevel="0" collapsed="false">
      <c r="A698" s="1" t="s">
        <v>55</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8" hidden="false" customHeight="false" outlineLevel="0" collapsed="false">
      <c r="A699" s="1" t="s">
        <v>404</v>
      </c>
      <c r="B699" s="1" t="s">
        <v>38</v>
      </c>
      <c r="C699" s="1" t="s">
        <v>16</v>
      </c>
      <c r="D699" s="1" t="s">
        <v>17</v>
      </c>
      <c r="E699" s="10" t="s">
        <v>405</v>
      </c>
      <c r="F699" s="11" t="str">
        <f aca="false">IF(OR(E699="",E699="!!!"),"",IF(NOT(ISNA(VLOOKUP(E699,E$1:E698,1,FALSE()))),"OLD",IF(AND(E699&lt;&gt;"",E699&lt;&gt;"!!!"),"NEW","")))</f>
        <v>NEW</v>
      </c>
      <c r="G699" s="12" t="s">
        <v>19</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8" hidden="false" customHeight="false" outlineLevel="0" collapsed="false">
      <c r="A700" s="1" t="s">
        <v>52</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8" hidden="false" customHeight="false" outlineLevel="0" collapsed="false">
      <c r="A701" s="1" t="s">
        <v>330</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8" hidden="false" customHeight="false" outlineLevel="0" collapsed="false">
      <c r="A702" s="1" t="s">
        <v>254</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8" hidden="false" customHeight="false" outlineLevel="0" collapsed="false">
      <c r="A703" s="1" t="s">
        <v>25</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8" hidden="false" customHeight="false" outlineLevel="0" collapsed="false">
      <c r="A704" s="1" t="s">
        <v>255</v>
      </c>
      <c r="B704" s="1" t="s">
        <v>38</v>
      </c>
      <c r="C704" s="1" t="s">
        <v>16</v>
      </c>
      <c r="D704" s="1" t="s">
        <v>17</v>
      </c>
      <c r="E704" s="10" t="s">
        <v>256</v>
      </c>
      <c r="F704" s="11" t="str">
        <f aca="false">IF(OR(E704="",E704="!!!"),"",IF(NOT(ISNA(VLOOKUP(E704,E$1:E703,1,FALSE()))),"OLD",IF(AND(E704&lt;&gt;"",E704&lt;&gt;"!!!"),"NEW","")))</f>
        <v>OLD</v>
      </c>
      <c r="G704" s="12" t="s">
        <v>19</v>
      </c>
      <c r="H704" s="13" t="str">
        <f aca="false">IF(J704&lt;&gt;1,"",IF(I704="SBJ","CB","?"))</f>
        <v/>
      </c>
      <c r="I704" s="14" t="str">
        <f aca="false">IF(OR(E704="",E704="!!!",F704="NEW"),"",INDEX(B$2:B703,-1+SUMPRODUCT(MAX(ROW(E$2:E703)*(E704=E$2:E703)))))</f>
        <v>other_4</v>
      </c>
      <c r="J704" s="15" t="n">
        <f aca="true">IF(OR(E704="",E704="!!!",F704="NEW"),"",COUNTBLANK(OFFSET(A$1,,,SUMPRODUCT(MAX(ROW(E$2:E704)*(E704=E$2:E704)))))-COUNTBLANK(OFFSET(A$1,,,SUMPRODUCT(MAX(ROW(E$1:E703)*(E704=E$1:E703))))))</f>
        <v>13</v>
      </c>
      <c r="K704" s="15" t="str">
        <f aca="false">IF(OR(E704="",E704="!!!",F704="NEW"),"",INDEX(J$1:J703,SUMPRODUCT(MAX(ROW(E$1:E703)*(E704=E$1:E703)))))</f>
        <v/>
      </c>
      <c r="L704" s="16"/>
    </row>
    <row r="705" customFormat="false" ht="12.8" hidden="false" customHeight="false" outlineLevel="0" collapsed="false">
      <c r="A705" s="1" t="s">
        <v>327</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8" hidden="false" customHeight="false" outlineLevel="0" collapsed="false">
      <c r="A706" s="1" t="s">
        <v>65</v>
      </c>
      <c r="B706" s="1" t="s">
        <v>115</v>
      </c>
      <c r="C706" s="1" t="s">
        <v>44</v>
      </c>
      <c r="D706" s="1" t="s">
        <v>17</v>
      </c>
      <c r="E706" s="10" t="s">
        <v>18</v>
      </c>
      <c r="F706" s="11" t="str">
        <f aca="false">IF(OR(E706="",E706="!!!"),"",IF(NOT(ISNA(VLOOKUP(E706,E$1:E705,1,FALSE()))),"OLD",IF(AND(E706&lt;&gt;"",E706&lt;&gt;"!!!"),"NEW","")))</f>
        <v>OLD</v>
      </c>
      <c r="G706" s="12" t="s">
        <v>45</v>
      </c>
      <c r="H706" s="13" t="s">
        <v>7</v>
      </c>
      <c r="I706" s="14" t="str">
        <f aca="false">IF(OR(E706="",E706="!!!",F706="NEW"),"",INDEX(B$2:B705,-1+SUMPRODUCT(MAX(ROW(E$2:E705)*(E706=E$2:E705)))))</f>
        <v>SBJ_2</v>
      </c>
      <c r="J706" s="15" t="n">
        <f aca="true">IF(OR(E706="",E706="!!!",F706="NEW"),"",COUNTBLANK(OFFSET(A$1,,,SUMPRODUCT(MAX(ROW(E$2:E706)*(E706=E$2:E706)))))-COUNTBLANK(OFFSET(A$1,,,SUMPRODUCT(MAX(ROW(E$1:E705)*(E706=E$1:E705))))))</f>
        <v>1</v>
      </c>
      <c r="K706" s="15" t="n">
        <f aca="false">IF(OR(E706="",E706="!!!",F706="NEW"),"",INDEX(J$1:J705,SUMPRODUCT(MAX(ROW(E$1:E705)*(E706=E$1:E705)))))</f>
        <v>0</v>
      </c>
      <c r="L706" s="16"/>
    </row>
    <row r="707" customFormat="false" ht="12.8" hidden="false" customHeight="false" outlineLevel="0" collapsed="false">
      <c r="A707" s="1" t="s">
        <v>39</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8" hidden="false" customHeight="false" outlineLevel="0" collapsed="false">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sheetData>
  <autoFilter ref="A1:L708"/>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2512</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2025-11-14T15:50:29Z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