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annotation!$A$1:$L$858</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<sst xmlns="http://schemas.openxmlformats.org/spreadsheetml/2006/main" count="1620" uniqueCount="531">
  <si>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</si>
  <si>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</si>
  <si>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</si>
  <si>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</si>
  <si>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</si>
  <si>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</si>
  <si>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</si>
  <si>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</si>
  <si>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</si>
  <si>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</si>
  <si>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</si>
  <si>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</si>
  <si>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ï»¿ talkid: 2009</t>
  </si>
  <si>
    <t xml:space="preserve">ï»¿</t>
  </si>
  <si>
    <t xml:space="preserve">talkid</t>
  </si>
  <si>
    <t xml:space="preserve">other</t>
  </si>
  <si>
    <t xml:space="preserve">indef-np.quant</t>
  </si>
  <si>
    <t xml:space="preserve">:</t>
  </si>
  <si>
    <t xml:space="preserve">2009</t>
  </si>
  <si>
    <t xml:space="preserve"># text = Kitra Cahana:</t>
  </si>
  <si>
    <t xml:space="preserve">Kitra</t>
  </si>
  <si>
    <t xml:space="preserve">ne</t>
  </si>
  <si>
    <t xml:space="preserve">?OLD</t>
  </si>
  <si>
    <t xml:space="preserve">REFERENTIAL</t>
  </si>
  <si>
    <t xml:space="preserve">Cahana</t>
  </si>
  <si>
    <t xml:space="preserve"># text = A glimpse of life on the road</t>
  </si>
  <si>
    <t xml:space="preserve">A</t>
  </si>
  <si>
    <t xml:space="preserve">glimpse</t>
  </si>
  <si>
    <t xml:space="preserve">indef-np.a</t>
  </si>
  <si>
    <t xml:space="preserve">of</t>
  </si>
  <si>
    <t xml:space="preserve">life</t>
  </si>
  <si>
    <t xml:space="preserve">indef-np.bare</t>
  </si>
  <si>
    <t xml:space="preserve">on</t>
  </si>
  <si>
    <t xml:space="preserve">the</t>
  </si>
  <si>
    <t xml:space="preserve">road</t>
  </si>
  <si>
    <t xml:space="preserve">def-np.the</t>
  </si>
  <si>
    <t xml:space="preserve">Road</t>
  </si>
  <si>
    <t xml:space="preserve"># text = As a little girl, I always imagined I would one day run away.</t>
  </si>
  <si>
    <t xml:space="preserve">As</t>
  </si>
  <si>
    <t xml:space="preserve">a</t>
  </si>
  <si>
    <t xml:space="preserve">little</t>
  </si>
  <si>
    <t xml:space="preserve">girl</t>
  </si>
  <si>
    <t xml:space="preserve">,</t>
  </si>
  <si>
    <t xml:space="preserve">I</t>
  </si>
  <si>
    <t xml:space="preserve">SBJ</t>
  </si>
  <si>
    <t xml:space="preserve">pron.pper</t>
  </si>
  <si>
    <t xml:space="preserve">ACTIVATED</t>
  </si>
  <si>
    <t xml:space="preserve">always</t>
  </si>
  <si>
    <t xml:space="preserve">imagined</t>
  </si>
  <si>
    <t xml:space="preserve">SBJ_2</t>
  </si>
  <si>
    <t xml:space="preserve">IN_FOCUS</t>
  </si>
  <si>
    <t xml:space="preserve">would</t>
  </si>
  <si>
    <t xml:space="preserve">one</t>
  </si>
  <si>
    <t xml:space="preserve">day</t>
  </si>
  <si>
    <t xml:space="preserve">other_2</t>
  </si>
  <si>
    <t xml:space="preserve">run</t>
  </si>
  <si>
    <t xml:space="preserve">away</t>
  </si>
  <si>
    <t xml:space="preserve">.</t>
  </si>
  <si>
    <t xml:space="preserve"># text = From the age of six on, I kept a packed bag with some clothes and cans of food tucked away in the back of a closet.</t>
  </si>
  <si>
    <t xml:space="preserve">From</t>
  </si>
  <si>
    <t xml:space="preserve">age</t>
  </si>
  <si>
    <t xml:space="preserve">def-np.quant</t>
  </si>
  <si>
    <t xml:space="preserve">Age</t>
  </si>
  <si>
    <t xml:space="preserve">six</t>
  </si>
  <si>
    <t xml:space="preserve">kept</t>
  </si>
  <si>
    <t xml:space="preserve">packed</t>
  </si>
  <si>
    <t xml:space="preserve">bag</t>
  </si>
  <si>
    <t xml:space="preserve">OBJ</t>
  </si>
  <si>
    <t xml:space="preserve">with</t>
  </si>
  <si>
    <t xml:space="preserve">some</t>
  </si>
  <si>
    <t xml:space="preserve">clothes</t>
  </si>
  <si>
    <t xml:space="preserve">and</t>
  </si>
  <si>
    <t xml:space="preserve">cans</t>
  </si>
  <si>
    <t xml:space="preserve">food</t>
  </si>
  <si>
    <t xml:space="preserve">other_3</t>
  </si>
  <si>
    <t xml:space="preserve">tucked</t>
  </si>
  <si>
    <t xml:space="preserve">in</t>
  </si>
  <si>
    <t xml:space="preserve">back</t>
  </si>
  <si>
    <t xml:space="preserve">Back</t>
  </si>
  <si>
    <t xml:space="preserve">closet</t>
  </si>
  <si>
    <t xml:space="preserve">other_4</t>
  </si>
  <si>
    <t xml:space="preserve"># text = There was a deep restlessness in me, a primal fear that I would fall prey to a life of routine and boredom.</t>
  </si>
  <si>
    <t xml:space="preserve">There</t>
  </si>
  <si>
    <t xml:space="preserve">was</t>
  </si>
  <si>
    <t xml:space="preserve">deep</t>
  </si>
  <si>
    <t xml:space="preserve">restlessness</t>
  </si>
  <si>
    <t xml:space="preserve">me</t>
  </si>
  <si>
    <t xml:space="preserve">primal</t>
  </si>
  <si>
    <t xml:space="preserve">fear</t>
  </si>
  <si>
    <t xml:space="preserve">that</t>
  </si>
  <si>
    <t xml:space="preserve">SBJ_4</t>
  </si>
  <si>
    <t xml:space="preserve">fall</t>
  </si>
  <si>
    <t xml:space="preserve">prey</t>
  </si>
  <si>
    <t xml:space="preserve">OBJ_4</t>
  </si>
  <si>
    <t xml:space="preserve">to</t>
  </si>
  <si>
    <t xml:space="preserve">routine</t>
  </si>
  <si>
    <t xml:space="preserve">other_5</t>
  </si>
  <si>
    <t xml:space="preserve">boredom</t>
  </si>
  <si>
    <t xml:space="preserve">other_6</t>
  </si>
  <si>
    <t xml:space="preserve"># text = And so, many of my early memories involved intricate daydreams where I would walk across borders, forage for berries, and meet all kinds of strange people living unconventional lives on the road.</t>
  </si>
  <si>
    <t xml:space="preserve">And</t>
  </si>
  <si>
    <t xml:space="preserve">so</t>
  </si>
  <si>
    <t xml:space="preserve">many</t>
  </si>
  <si>
    <t xml:space="preserve">my</t>
  </si>
  <si>
    <t xml:space="preserve">pron.ppos</t>
  </si>
  <si>
    <t xml:space="preserve">early</t>
  </si>
  <si>
    <t xml:space="preserve">memories</t>
  </si>
  <si>
    <t xml:space="preserve">def-np.poss</t>
  </si>
  <si>
    <t xml:space="preserve">Memories</t>
  </si>
  <si>
    <t xml:space="preserve">involved</t>
  </si>
  <si>
    <t xml:space="preserve">intricate</t>
  </si>
  <si>
    <t xml:space="preserve">daydreams</t>
  </si>
  <si>
    <t xml:space="preserve">where</t>
  </si>
  <si>
    <t xml:space="preserve">walk</t>
  </si>
  <si>
    <t xml:space="preserve">across</t>
  </si>
  <si>
    <t xml:space="preserve">borders</t>
  </si>
  <si>
    <t xml:space="preserve">forage</t>
  </si>
  <si>
    <t xml:space="preserve">for</t>
  </si>
  <si>
    <t xml:space="preserve">berries</t>
  </si>
  <si>
    <t xml:space="preserve">meet</t>
  </si>
  <si>
    <t xml:space="preserve">all</t>
  </si>
  <si>
    <t xml:space="preserve">kinds</t>
  </si>
  <si>
    <t xml:space="preserve">OBJ_2</t>
  </si>
  <si>
    <t xml:space="preserve">strange</t>
  </si>
  <si>
    <t xml:space="preserve">people</t>
  </si>
  <si>
    <t xml:space="preserve">living</t>
  </si>
  <si>
    <t xml:space="preserve">unconventional</t>
  </si>
  <si>
    <t xml:space="preserve">lives</t>
  </si>
  <si>
    <t xml:space="preserve">OBJ_3</t>
  </si>
  <si>
    <t xml:space="preserve">FAMILIAR</t>
  </si>
  <si>
    <t xml:space="preserve"># text = Years have passed, but many of the adventures I fantasized about as a child -- traveling and weaving my way between worlds other than my own â€” have become realities through my work as a documentary photographer.</t>
  </si>
  <si>
    <t xml:space="preserve">Years</t>
  </si>
  <si>
    <t xml:space="preserve">have</t>
  </si>
  <si>
    <t xml:space="preserve">passed</t>
  </si>
  <si>
    <t xml:space="preserve">but</t>
  </si>
  <si>
    <t xml:space="preserve">SBJ_3</t>
  </si>
  <si>
    <t xml:space="preserve">adventures</t>
  </si>
  <si>
    <t xml:space="preserve">Adventures</t>
  </si>
  <si>
    <t xml:space="preserve">SBJ_6</t>
  </si>
  <si>
    <t xml:space="preserve">fantasized</t>
  </si>
  <si>
    <t xml:space="preserve">about</t>
  </si>
  <si>
    <t xml:space="preserve">as</t>
  </si>
  <si>
    <t xml:space="preserve">child</t>
  </si>
  <si>
    <t xml:space="preserve">_</t>
  </si>
  <si>
    <t xml:space="preserve">traveling</t>
  </si>
  <si>
    <t xml:space="preserve">weaving</t>
  </si>
  <si>
    <t xml:space="preserve">way</t>
  </si>
  <si>
    <t xml:space="preserve">Way</t>
  </si>
  <si>
    <t xml:space="preserve">between</t>
  </si>
  <si>
    <t xml:space="preserve">worlds</t>
  </si>
  <si>
    <t xml:space="preserve">than</t>
  </si>
  <si>
    <t xml:space="preserve">other_8</t>
  </si>
  <si>
    <t xml:space="preserve">own</t>
  </si>
  <si>
    <t xml:space="preserve">â€”</t>
  </si>
  <si>
    <t xml:space="preserve">become</t>
  </si>
  <si>
    <t xml:space="preserve">realities</t>
  </si>
  <si>
    <t xml:space="preserve">through</t>
  </si>
  <si>
    <t xml:space="preserve">work</t>
  </si>
  <si>
    <t xml:space="preserve">Work</t>
  </si>
  <si>
    <t xml:space="preserve">documentary</t>
  </si>
  <si>
    <t xml:space="preserve">photographer</t>
  </si>
  <si>
    <t xml:space="preserve"># text = But no other experience has felt as true to my childhood dreams as living amongst and documenting the lives of fellow wanderers across the United States.</t>
  </si>
  <si>
    <t xml:space="preserve">But</t>
  </si>
  <si>
    <t xml:space="preserve">no</t>
  </si>
  <si>
    <t xml:space="preserve">experience</t>
  </si>
  <si>
    <t xml:space="preserve">has</t>
  </si>
  <si>
    <t xml:space="preserve">felt</t>
  </si>
  <si>
    <t xml:space="preserve">true</t>
  </si>
  <si>
    <t xml:space="preserve">childhood</t>
  </si>
  <si>
    <t xml:space="preserve">dreams</t>
  </si>
  <si>
    <t xml:space="preserve">Childhood_Dreams</t>
  </si>
  <si>
    <t xml:space="preserve">amongst</t>
  </si>
  <si>
    <t xml:space="preserve">documenting</t>
  </si>
  <si>
    <t xml:space="preserve">Lives</t>
  </si>
  <si>
    <t xml:space="preserve">fellow</t>
  </si>
  <si>
    <t xml:space="preserve">wanderers</t>
  </si>
  <si>
    <t xml:space="preserve">United</t>
  </si>
  <si>
    <t xml:space="preserve">States</t>
  </si>
  <si>
    <t xml:space="preserve">United_States</t>
  </si>
  <si>
    <t xml:space="preserve"># text = This is the nomadic dream, a different kind of American dream lived by young hobos, travelers, hitchhikers, vagrants and tramps.</t>
  </si>
  <si>
    <t xml:space="preserve">This</t>
  </si>
  <si>
    <t xml:space="preserve">pron.pds</t>
  </si>
  <si>
    <t xml:space="preserve">Living_amongst_and_documenting_the_lives_of_fellow_wanderers</t>
  </si>
  <si>
    <t xml:space="preserve">is</t>
  </si>
  <si>
    <t xml:space="preserve">nomadic</t>
  </si>
  <si>
    <t xml:space="preserve">dream</t>
  </si>
  <si>
    <t xml:space="preserve">Nomadic_Dream</t>
  </si>
  <si>
    <t xml:space="preserve">different</t>
  </si>
  <si>
    <t xml:space="preserve">kind</t>
  </si>
  <si>
    <t xml:space="preserve">American</t>
  </si>
  <si>
    <t xml:space="preserve">lived</t>
  </si>
  <si>
    <t xml:space="preserve">by</t>
  </si>
  <si>
    <t xml:space="preserve">young</t>
  </si>
  <si>
    <t xml:space="preserve">hobos</t>
  </si>
  <si>
    <t xml:space="preserve">travelers</t>
  </si>
  <si>
    <t xml:space="preserve">hitchhikers</t>
  </si>
  <si>
    <t xml:space="preserve">vagrants</t>
  </si>
  <si>
    <t xml:space="preserve">tramps</t>
  </si>
  <si>
    <t xml:space="preserve"># text = In most of our minds, the vagabond is a creature from the past.</t>
  </si>
  <si>
    <t xml:space="preserve">In</t>
  </si>
  <si>
    <t xml:space="preserve">most</t>
  </si>
  <si>
    <t xml:space="preserve">Most</t>
  </si>
  <si>
    <t xml:space="preserve">our</t>
  </si>
  <si>
    <t xml:space="preserve">Our</t>
  </si>
  <si>
    <t xml:space="preserve">minds</t>
  </si>
  <si>
    <t xml:space="preserve">Minds</t>
  </si>
  <si>
    <t xml:space="preserve">vagabond</t>
  </si>
  <si>
    <t xml:space="preserve">Vagabond</t>
  </si>
  <si>
    <t xml:space="preserve">creature</t>
  </si>
  <si>
    <t xml:space="preserve">from</t>
  </si>
  <si>
    <t xml:space="preserve">past</t>
  </si>
  <si>
    <t xml:space="preserve">Past</t>
  </si>
  <si>
    <t xml:space="preserve">--</t>
  </si>
  <si>
    <t xml:space="preserve">#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</si>
  <si>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 xml:space="preserve">The</t>
  </si>
  <si>
    <t xml:space="preserve">word</t>
  </si>
  <si>
    <t xml:space="preserve">Word</t>
  </si>
  <si>
    <t xml:space="preserve">&amp;quot;</t>
  </si>
  <si>
    <t xml:space="preserve">hobo</t>
  </si>
  <si>
    <t xml:space="preserve">conjures</t>
  </si>
  <si>
    <t xml:space="preserve">up</t>
  </si>
  <si>
    <t xml:space="preserve">an</t>
  </si>
  <si>
    <t xml:space="preserve">old</t>
  </si>
  <si>
    <t xml:space="preserve">black</t>
  </si>
  <si>
    <t xml:space="preserve">white</t>
  </si>
  <si>
    <t xml:space="preserve">image</t>
  </si>
  <si>
    <t xml:space="preserve">weathered</t>
  </si>
  <si>
    <t xml:space="preserve">man</t>
  </si>
  <si>
    <t xml:space="preserve">covered</t>
  </si>
  <si>
    <t xml:space="preserve">coal</t>
  </si>
  <si>
    <t xml:space="preserve">legs</t>
  </si>
  <si>
    <t xml:space="preserve">dangling</t>
  </si>
  <si>
    <t xml:space="preserve">out</t>
  </si>
  <si>
    <t xml:space="preserve">boxcar</t>
  </si>
  <si>
    <t xml:space="preserve">these</t>
  </si>
  <si>
    <t xml:space="preserve">photographs</t>
  </si>
  <si>
    <t xml:space="preserve">def-np.dem</t>
  </si>
  <si>
    <t xml:space="preserve">Photographs</t>
  </si>
  <si>
    <t xml:space="preserve">are</t>
  </si>
  <si>
    <t xml:space="preserve">color</t>
  </si>
  <si>
    <t xml:space="preserve">they</t>
  </si>
  <si>
    <t xml:space="preserve">portray</t>
  </si>
  <si>
    <t xml:space="preserve">community</t>
  </si>
  <si>
    <t xml:space="preserve">swirling</t>
  </si>
  <si>
    <t xml:space="preserve">country</t>
  </si>
  <si>
    <t xml:space="preserve">Country</t>
  </si>
  <si>
    <t xml:space="preserve">fiercely</t>
  </si>
  <si>
    <t xml:space="preserve">alive</t>
  </si>
  <si>
    <t xml:space="preserve">creatively</t>
  </si>
  <si>
    <t xml:space="preserve">free</t>
  </si>
  <si>
    <t xml:space="preserve">seeing</t>
  </si>
  <si>
    <t xml:space="preserve">sides</t>
  </si>
  <si>
    <t xml:space="preserve">Sides</t>
  </si>
  <si>
    <t xml:space="preserve">America</t>
  </si>
  <si>
    <t xml:space="preserve">else</t>
  </si>
  <si>
    <t xml:space="preserve">gets</t>
  </si>
  <si>
    <t xml:space="preserve">see</t>
  </si>
  <si>
    <t xml:space="preserve"># text = Like their predecessors, today's nomads travel the steel and asphalt arteries of the United States.</t>
  </si>
  <si>
    <t xml:space="preserve">Like</t>
  </si>
  <si>
    <t xml:space="preserve">their</t>
  </si>
  <si>
    <t xml:space="preserve">Nomads</t>
  </si>
  <si>
    <t xml:space="preserve">predecessors</t>
  </si>
  <si>
    <t xml:space="preserve">Nomads_predecessors</t>
  </si>
  <si>
    <t xml:space="preserve">today</t>
  </si>
  <si>
    <t xml:space="preserve">'s</t>
  </si>
  <si>
    <t xml:space="preserve">nomads</t>
  </si>
  <si>
    <t xml:space="preserve">travel</t>
  </si>
  <si>
    <t xml:space="preserve">steel</t>
  </si>
  <si>
    <t xml:space="preserve">asphalt</t>
  </si>
  <si>
    <t xml:space="preserve">arteries</t>
  </si>
  <si>
    <t xml:space="preserve">Asphalt_arteries</t>
  </si>
  <si>
    <t xml:space="preserve"># text = By day, they hop freight trains, stick out their thumbs, and ride the highways with anyone from truckers to soccer moms.</t>
  </si>
  <si>
    <t xml:space="preserve">By</t>
  </si>
  <si>
    <t xml:space="preserve">hop</t>
  </si>
  <si>
    <t xml:space="preserve">freight</t>
  </si>
  <si>
    <t xml:space="preserve">trains</t>
  </si>
  <si>
    <t xml:space="preserve">stick</t>
  </si>
  <si>
    <t xml:space="preserve">thumbs</t>
  </si>
  <si>
    <t xml:space="preserve">Thumbs</t>
  </si>
  <si>
    <t xml:space="preserve">ride</t>
  </si>
  <si>
    <t xml:space="preserve">highways</t>
  </si>
  <si>
    <t xml:space="preserve">Highways</t>
  </si>
  <si>
    <t xml:space="preserve">anyone</t>
  </si>
  <si>
    <t xml:space="preserve">pron.pind</t>
  </si>
  <si>
    <t xml:space="preserve">truckers</t>
  </si>
  <si>
    <t xml:space="preserve">soccer</t>
  </si>
  <si>
    <t xml:space="preserve">moms</t>
  </si>
  <si>
    <t xml:space="preserve"># text = By night, they sleep beneath the stars, huddled together with their packs of dogs, cats and pet rats between their bodies.</t>
  </si>
  <si>
    <t xml:space="preserve">night</t>
  </si>
  <si>
    <t xml:space="preserve">sleep</t>
  </si>
  <si>
    <t xml:space="preserve">beneath</t>
  </si>
  <si>
    <t xml:space="preserve">stars</t>
  </si>
  <si>
    <t xml:space="preserve">Stars</t>
  </si>
  <si>
    <t xml:space="preserve">huddled</t>
  </si>
  <si>
    <t xml:space="preserve">together</t>
  </si>
  <si>
    <t xml:space="preserve">packs</t>
  </si>
  <si>
    <t xml:space="preserve">Packs</t>
  </si>
  <si>
    <t xml:space="preserve">dogs</t>
  </si>
  <si>
    <t xml:space="preserve">cats</t>
  </si>
  <si>
    <t xml:space="preserve">pet</t>
  </si>
  <si>
    <t xml:space="preserve">rats</t>
  </si>
  <si>
    <t xml:space="preserve">bodies</t>
  </si>
  <si>
    <t xml:space="preserve">Bodies</t>
  </si>
  <si>
    <t xml:space="preserve"># text = Some travelers take to the road by choice, renouncing materialism, traditional jobs and university degrees in exchange for a glimmer of adventure.</t>
  </si>
  <si>
    <t xml:space="preserve">Some</t>
  </si>
  <si>
    <t xml:space="preserve">take</t>
  </si>
  <si>
    <t xml:space="preserve">Lifestyle</t>
  </si>
  <si>
    <t xml:space="preserve">choice</t>
  </si>
  <si>
    <t xml:space="preserve">renouncing</t>
  </si>
  <si>
    <t xml:space="preserve">materialism</t>
  </si>
  <si>
    <t xml:space="preserve">traditional</t>
  </si>
  <si>
    <t xml:space="preserve">jobs</t>
  </si>
  <si>
    <t xml:space="preserve">university</t>
  </si>
  <si>
    <t xml:space="preserve">degrees</t>
  </si>
  <si>
    <t xml:space="preserve">exchange</t>
  </si>
  <si>
    <t xml:space="preserve">glimmer</t>
  </si>
  <si>
    <t xml:space="preserve">adventure</t>
  </si>
  <si>
    <t xml:space="preserve"># text = Others come from the underbelly of society, never given a chance to mobilize upwards:</t>
  </si>
  <si>
    <t xml:space="preserve">Others</t>
  </si>
  <si>
    <t xml:space="preserve">come</t>
  </si>
  <si>
    <t xml:space="preserve">underbelly</t>
  </si>
  <si>
    <t xml:space="preserve">Underbelly</t>
  </si>
  <si>
    <t xml:space="preserve">society</t>
  </si>
  <si>
    <t xml:space="preserve">never</t>
  </si>
  <si>
    <t xml:space="preserve">given</t>
  </si>
  <si>
    <t xml:space="preserve">chance</t>
  </si>
  <si>
    <t xml:space="preserve">mobilize</t>
  </si>
  <si>
    <t xml:space="preserve">upwards</t>
  </si>
  <si>
    <t xml:space="preserve"># text = foster care dropouts, teenage runaways escaping abuse and unforgiving homes.</t>
  </si>
  <si>
    <t xml:space="preserve">foster</t>
  </si>
  <si>
    <t xml:space="preserve">care</t>
  </si>
  <si>
    <t xml:space="preserve">dropouts</t>
  </si>
  <si>
    <t xml:space="preserve">teenage</t>
  </si>
  <si>
    <t xml:space="preserve">runaways</t>
  </si>
  <si>
    <t xml:space="preserve">escaping</t>
  </si>
  <si>
    <t xml:space="preserve">abuse</t>
  </si>
  <si>
    <t xml:space="preserve">unforgiving</t>
  </si>
  <si>
    <t xml:space="preserve">homes</t>
  </si>
  <si>
    <t xml:space="preserve"># text = Where others see stories of privation and economic failure, travelers view their own existence through the prism of liberation and freedom.</t>
  </si>
  <si>
    <t xml:space="preserve">Where</t>
  </si>
  <si>
    <t xml:space="preserve">others</t>
  </si>
  <si>
    <t xml:space="preserve">stories</t>
  </si>
  <si>
    <t xml:space="preserve">privation</t>
  </si>
  <si>
    <t xml:space="preserve">economic</t>
  </si>
  <si>
    <t xml:space="preserve">failure</t>
  </si>
  <si>
    <t xml:space="preserve">view</t>
  </si>
  <si>
    <t xml:space="preserve">Travelers</t>
  </si>
  <si>
    <t xml:space="preserve">existence</t>
  </si>
  <si>
    <t xml:space="preserve">Travelers_existence</t>
  </si>
  <si>
    <t xml:space="preserve">prism</t>
  </si>
  <si>
    <t xml:space="preserve">Prism</t>
  </si>
  <si>
    <t xml:space="preserve">liberation</t>
  </si>
  <si>
    <t xml:space="preserve">freedom</t>
  </si>
  <si>
    <t xml:space="preserve"># text = They'd rather live off of the excess of what they view as a wasteful consumer society than slave away at an unrealistic chance at the traditional American dream.</t>
  </si>
  <si>
    <t xml:space="preserve">They</t>
  </si>
  <si>
    <t xml:space="preserve">'d</t>
  </si>
  <si>
    <t xml:space="preserve">rather</t>
  </si>
  <si>
    <t xml:space="preserve">live</t>
  </si>
  <si>
    <t xml:space="preserve">off</t>
  </si>
  <si>
    <t xml:space="preserve">excess</t>
  </si>
  <si>
    <t xml:space="preserve">Excess</t>
  </si>
  <si>
    <t xml:space="preserve">what</t>
  </si>
  <si>
    <t xml:space="preserve">pron.pint</t>
  </si>
  <si>
    <t xml:space="preserve">wasteful</t>
  </si>
  <si>
    <t xml:space="preserve">consumer</t>
  </si>
  <si>
    <t xml:space="preserve">slave</t>
  </si>
  <si>
    <t xml:space="preserve">at</t>
  </si>
  <si>
    <t xml:space="preserve">unrealistic</t>
  </si>
  <si>
    <t xml:space="preserve">American_dream</t>
  </si>
  <si>
    <t xml:space="preserve"># text = They take advantage of the fact that in the United States, up to 40 percent of all food ends up in the garbage by scavenging for perfectly good produce in dumpsters and trash cans.</t>
  </si>
  <si>
    <t xml:space="preserve">advantage</t>
  </si>
  <si>
    <t xml:space="preserve">fact</t>
  </si>
  <si>
    <t xml:space="preserve">40% of all food ends up in the garbage</t>
  </si>
  <si>
    <t xml:space="preserve">40</t>
  </si>
  <si>
    <t xml:space="preserve">percent</t>
  </si>
  <si>
    <t xml:space="preserve">ends</t>
  </si>
  <si>
    <t xml:space="preserve">garbage</t>
  </si>
  <si>
    <t xml:space="preserve">Garbage</t>
  </si>
  <si>
    <t xml:space="preserve">scavenging</t>
  </si>
  <si>
    <t xml:space="preserve">perfectly</t>
  </si>
  <si>
    <t xml:space="preserve">good</t>
  </si>
  <si>
    <t xml:space="preserve">produce</t>
  </si>
  <si>
    <t xml:space="preserve">dumpsters</t>
  </si>
  <si>
    <t xml:space="preserve">trash</t>
  </si>
  <si>
    <t xml:space="preserve"># text = They sacrifice material comforts in exchange for the space and the time to explore a creative interior, to dream, to read, to work on music, art and writing.</t>
  </si>
  <si>
    <t xml:space="preserve">sacrifice</t>
  </si>
  <si>
    <t xml:space="preserve">material</t>
  </si>
  <si>
    <t xml:space="preserve">comforts</t>
  </si>
  <si>
    <t xml:space="preserve">space</t>
  </si>
  <si>
    <t xml:space="preserve">Space</t>
  </si>
  <si>
    <t xml:space="preserve">time</t>
  </si>
  <si>
    <t xml:space="preserve">Time</t>
  </si>
  <si>
    <t xml:space="preserve">explore</t>
  </si>
  <si>
    <t xml:space="preserve">creative</t>
  </si>
  <si>
    <t xml:space="preserve">interior</t>
  </si>
  <si>
    <t xml:space="preserve">read</t>
  </si>
  <si>
    <t xml:space="preserve">music</t>
  </si>
  <si>
    <t xml:space="preserve">art</t>
  </si>
  <si>
    <t xml:space="preserve">writing</t>
  </si>
  <si>
    <t xml:space="preserve"># text = But there are many aspects to this life that are far from idyllic.</t>
  </si>
  <si>
    <t xml:space="preserve">there</t>
  </si>
  <si>
    <t xml:space="preserve">aspects</t>
  </si>
  <si>
    <t xml:space="preserve">this</t>
  </si>
  <si>
    <t xml:space="preserve">living without material comforts</t>
  </si>
  <si>
    <t xml:space="preserve">far</t>
  </si>
  <si>
    <t xml:space="preserve">idyllic</t>
  </si>
  <si>
    <t xml:space="preserve"># text = No one loses their inner demons by taking to the road.</t>
  </si>
  <si>
    <t xml:space="preserve">No</t>
  </si>
  <si>
    <t xml:space="preserve">loses</t>
  </si>
  <si>
    <t xml:space="preserve">inner</t>
  </si>
  <si>
    <t xml:space="preserve">demons</t>
  </si>
  <si>
    <t xml:space="preserve">Demons</t>
  </si>
  <si>
    <t xml:space="preserve">taking</t>
  </si>
  <si>
    <t xml:space="preserve"># text = Addiction is real, the elements are real, freight trains maim and kill, and anyone who has lived on the streets can attest to the exhaustive list of laws that criminalize homeless existence.</t>
  </si>
  <si>
    <t xml:space="preserve">Addiction</t>
  </si>
  <si>
    <t xml:space="preserve">real</t>
  </si>
  <si>
    <t xml:space="preserve">elements</t>
  </si>
  <si>
    <t xml:space="preserve">Elements</t>
  </si>
  <si>
    <t xml:space="preserve">maim</t>
  </si>
  <si>
    <t xml:space="preserve">kill</t>
  </si>
  <si>
    <t xml:space="preserve">who</t>
  </si>
  <si>
    <t xml:space="preserve">streets</t>
  </si>
  <si>
    <t xml:space="preserve">Streets</t>
  </si>
  <si>
    <t xml:space="preserve">can</t>
  </si>
  <si>
    <t xml:space="preserve">attest</t>
  </si>
  <si>
    <t xml:space="preserve">exhaustive</t>
  </si>
  <si>
    <t xml:space="preserve">list</t>
  </si>
  <si>
    <t xml:space="preserve">List</t>
  </si>
  <si>
    <t xml:space="preserve">laws</t>
  </si>
  <si>
    <t xml:space="preserve">SBJ_5</t>
  </si>
  <si>
    <t xml:space="preserve">criminalize</t>
  </si>
  <si>
    <t xml:space="preserve">homeless</t>
  </si>
  <si>
    <t xml:space="preserve">OBJ_5</t>
  </si>
  <si>
    <t xml:space="preserve"># text = Who here knows that in many cities across the United States it is now illegal to sit on the sidewalk, to wrap oneself in a blanket, to sleep in your own car, to offer food to a stranger?</t>
  </si>
  <si>
    <t xml:space="preserve">Who</t>
  </si>
  <si>
    <t xml:space="preserve">here</t>
  </si>
  <si>
    <t xml:space="preserve">knows</t>
  </si>
  <si>
    <t xml:space="preserve">BOUND</t>
  </si>
  <si>
    <t xml:space="preserve">cities</t>
  </si>
  <si>
    <t xml:space="preserve">it</t>
  </si>
  <si>
    <t xml:space="preserve">EXPL</t>
  </si>
  <si>
    <t xml:space="preserve">now</t>
  </si>
  <si>
    <t xml:space="preserve">illegal</t>
  </si>
  <si>
    <t xml:space="preserve">sit</t>
  </si>
  <si>
    <t xml:space="preserve">sidewalk</t>
  </si>
  <si>
    <t xml:space="preserve">Sidewalk</t>
  </si>
  <si>
    <t xml:space="preserve">wrap</t>
  </si>
  <si>
    <t xml:space="preserve">oneself</t>
  </si>
  <si>
    <t xml:space="preserve">blanket</t>
  </si>
  <si>
    <t xml:space="preserve">your</t>
  </si>
  <si>
    <t xml:space="preserve">Reader</t>
  </si>
  <si>
    <t xml:space="preserve">car</t>
  </si>
  <si>
    <t xml:space="preserve">Readers_car</t>
  </si>
  <si>
    <t xml:space="preserve">offer</t>
  </si>
  <si>
    <t xml:space="preserve">stranger</t>
  </si>
  <si>
    <t xml:space="preserve">?</t>
  </si>
  <si>
    <t xml:space="preserve"># text = I know about these laws because I've watched as friends and other travelers were hauled off to jail or received citations for committing these so-called crimes.</t>
  </si>
  <si>
    <t xml:space="preserve">know</t>
  </si>
  <si>
    <t xml:space="preserve">Laws</t>
  </si>
  <si>
    <t xml:space="preserve">because</t>
  </si>
  <si>
    <t xml:space="preserve">'ve</t>
  </si>
  <si>
    <t xml:space="preserve">watched</t>
  </si>
  <si>
    <t xml:space="preserve">friends</t>
  </si>
  <si>
    <t xml:space="preserve">were</t>
  </si>
  <si>
    <t xml:space="preserve">hauled</t>
  </si>
  <si>
    <t xml:space="preserve">jail</t>
  </si>
  <si>
    <t xml:space="preserve">or</t>
  </si>
  <si>
    <t xml:space="preserve">received</t>
  </si>
  <si>
    <t xml:space="preserve">citations</t>
  </si>
  <si>
    <t xml:space="preserve">committing</t>
  </si>
  <si>
    <t xml:space="preserve">called</t>
  </si>
  <si>
    <t xml:space="preserve">crimes</t>
  </si>
  <si>
    <t xml:space="preserve"># text = Many of you might be wondering why anyone would choose a life like this, under the thumb of discriminatory laws, eating out of trash cans, sleeping under bridges, picking up seasonal jobs here and there.</t>
  </si>
  <si>
    <t xml:space="preserve">Many</t>
  </si>
  <si>
    <t xml:space="preserve">you</t>
  </si>
  <si>
    <t xml:space="preserve">might</t>
  </si>
  <si>
    <t xml:space="preserve">be</t>
  </si>
  <si>
    <t xml:space="preserve">wondering</t>
  </si>
  <si>
    <t xml:space="preserve">why</t>
  </si>
  <si>
    <t xml:space="preserve">choose</t>
  </si>
  <si>
    <t xml:space="preserve">like</t>
  </si>
  <si>
    <t xml:space="preserve">Life on the streets, as traveller, as nomad?</t>
  </si>
  <si>
    <t xml:space="preserve">under</t>
  </si>
  <si>
    <t xml:space="preserve">thumb</t>
  </si>
  <si>
    <t xml:space="preserve">Thumb</t>
  </si>
  <si>
    <t xml:space="preserve">discriminatory</t>
  </si>
  <si>
    <t xml:space="preserve">eating</t>
  </si>
  <si>
    <t xml:space="preserve">sleeping</t>
  </si>
  <si>
    <t xml:space="preserve">bridges</t>
  </si>
  <si>
    <t xml:space="preserve">picking</t>
  </si>
  <si>
    <t xml:space="preserve">seasonal</t>
  </si>
  <si>
    <t xml:space="preserve">pron.padv</t>
  </si>
  <si>
    <t xml:space="preserve">Non - refering expression</t>
  </si>
  <si>
    <t xml:space="preserve"># text = The answer to such a question is as varied as the people that take to the road, but travelers often respond with a single word: freedom.</t>
  </si>
  <si>
    <t xml:space="preserve">answer</t>
  </si>
  <si>
    <t xml:space="preserve">Answer</t>
  </si>
  <si>
    <t xml:space="preserve">such</t>
  </si>
  <si>
    <t xml:space="preserve">question</t>
  </si>
  <si>
    <t xml:space="preserve">varied</t>
  </si>
  <si>
    <t xml:space="preserve">People</t>
  </si>
  <si>
    <t xml:space="preserve">often</t>
  </si>
  <si>
    <t xml:space="preserve">respond</t>
  </si>
  <si>
    <t xml:space="preserve">single</t>
  </si>
  <si>
    <t xml:space="preserve">#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</si>
  <si>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 xml:space="preserve">Until</t>
  </si>
  <si>
    <t xml:space="preserve">we</t>
  </si>
  <si>
    <t xml:space="preserve">We</t>
  </si>
  <si>
    <t xml:space="preserve">every</t>
  </si>
  <si>
    <t xml:space="preserve">human</t>
  </si>
  <si>
    <t xml:space="preserve">indef-np</t>
  </si>
  <si>
    <t xml:space="preserve">assured</t>
  </si>
  <si>
    <t xml:space="preserve">dignity</t>
  </si>
  <si>
    <t xml:space="preserve">Human</t>
  </si>
  <si>
    <t xml:space="preserve">labor</t>
  </si>
  <si>
    <t xml:space="preserve">Human_labour</t>
  </si>
  <si>
    <t xml:space="preserve">well</t>
  </si>
  <si>
    <t xml:space="preserve">not</t>
  </si>
  <si>
    <t xml:space="preserve">only</t>
  </si>
  <si>
    <t xml:space="preserve">survive</t>
  </si>
  <si>
    <t xml:space="preserve">will</t>
  </si>
  <si>
    <t xml:space="preserve">element</t>
  </si>
  <si>
    <t xml:space="preserve">Element</t>
  </si>
  <si>
    <t xml:space="preserve">those</t>
  </si>
  <si>
    <t xml:space="preserve">seek</t>
  </si>
  <si>
    <t xml:space="preserve">open</t>
  </si>
  <si>
    <t xml:space="preserve">means</t>
  </si>
  <si>
    <t xml:space="preserve">escape</t>
  </si>
  <si>
    <t xml:space="preserve">course</t>
  </si>
  <si>
    <t xml:space="preserve">rebellion</t>
  </si>
  <si>
    <t xml:space="preserve"># text = Thank you.</t>
  </si>
  <si>
    <t xml:space="preserve">Thank</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</si>
</sst>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1" activeCellId="0" sqref="H1"/>
    </sheetView>
  </sheetViews>
  <sheetFormatPr defaultColWidth="11.5703125" defaultRowHeight="12.75" zeroHeight="false" outlineLevelRow="0" outlineLevelCol="0"/>
  <cols>
    <col collapsed="false" customWidth="true" hidden="false" outlineLevel="0" max="5" min="5" style="0" width="16.14"/>
    <col collapsed="false" customWidth="false" hidden="true" outlineLevel="0" max="10" min="9" style="0" width="11.57"/>
    <col collapsed="false" customWidth="true" hidden="true" outlineLevel="0" max="11" min="11" style="0" width="18.86"/>
    <col collapsed="false" customWidth="true" hidden="false" outlineLevel="0" max="12" min="12" style="0" width="46.71"/>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B4" s="0" t="s">
        <v>15</v>
      </c>
      <c r="C4" s="0" t="s">
        <v>16</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17</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18</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19</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20</v>
      </c>
      <c r="B9" s="0" t="s">
        <v>15</v>
      </c>
      <c r="C9" s="0" t="s">
        <v>21</v>
      </c>
      <c r="D9" s="0" t="s">
        <v>22</v>
      </c>
      <c r="E9" s="10" t="s">
        <v>20</v>
      </c>
      <c r="F9" s="11" t="str">
        <f aca="false">IF(OR(E9="",E9="!!!"),"",IF(NOT(ISNA(VLOOKUP(E9,E$1:E8,1,FALSE()))),"OLD",IF(AND(E9&lt;&gt;"",E9&lt;&gt;"!!!"),"NEW","")))</f>
        <v>NEW</v>
      </c>
      <c r="G9" s="12" t="s">
        <v>23</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24</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17</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25</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26</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27</v>
      </c>
      <c r="B15" s="0" t="s">
        <v>15</v>
      </c>
      <c r="C15" s="0" t="s">
        <v>28</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29</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30</v>
      </c>
      <c r="B17" s="0" t="s">
        <v>15</v>
      </c>
      <c r="C17" s="0" t="s">
        <v>31</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32</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33</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34</v>
      </c>
      <c r="B20" s="0" t="s">
        <v>15</v>
      </c>
      <c r="C20" s="0" t="s">
        <v>35</v>
      </c>
      <c r="D20" s="0" t="s">
        <v>22</v>
      </c>
      <c r="E20" s="10" t="s">
        <v>36</v>
      </c>
      <c r="F20" s="11" t="str">
        <f aca="false">IF(OR(E20="",E20="!!!"),"",IF(NOT(ISNA(VLOOKUP(E20,E$1:E19,1,FALSE()))),"OLD",IF(AND(E20&lt;&gt;"",E20&lt;&gt;"!!!"),"NEW","")))</f>
        <v>NEW</v>
      </c>
      <c r="G20" s="12" t="s">
        <v>23</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37</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38</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39</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40</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41</v>
      </c>
      <c r="B26" s="0" t="s">
        <v>15</v>
      </c>
      <c r="C26" s="0" t="s">
        <v>28</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42</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43</v>
      </c>
      <c r="B28" s="0" t="s">
        <v>44</v>
      </c>
      <c r="C28" s="0" t="s">
        <v>45</v>
      </c>
      <c r="D28" s="0" t="s">
        <v>22</v>
      </c>
      <c r="E28" s="10" t="s">
        <v>20</v>
      </c>
      <c r="F28" s="11" t="str">
        <f aca="false">IF(OR(E28="",E28="!!!"),"",IF(NOT(ISNA(VLOOKUP(E28,E$1:E27,1,FALSE()))),"OLD",IF(AND(E28&lt;&gt;"",E28&lt;&gt;"!!!"),"NEW","")))</f>
        <v>OLD</v>
      </c>
      <c r="G28" s="12" t="s">
        <v>46</v>
      </c>
      <c r="H28" s="13" t="str">
        <f aca="false">IF(J28&lt;&gt;1,"",IF(I28="SBJ","CB","?"))</f>
        <v/>
      </c>
      <c r="I28" s="14" t="str">
        <f aca="false">IF(OR(E28="",E28="!!!",F28="NEW"),"",INDEX(B$2:B27,-1+SUMPRODUCT(MAX(ROW(E$2:E27)*(E28=E$2:E27)))))</f>
        <v>other</v>
      </c>
      <c r="J28" s="15" t="n">
        <f aca="true">IF(OR(E28="",E28="!!!",F28="NEW"),"",COUNTBLANK(OFFSET(A$1,,,SUMPRODUCT(MAX(ROW(E$2:E28)*(E28=E$2:E28)))))-COUNTBLANK(OFFSET(A$1,,,SUMPRODUCT(MAX(ROW(E$1:E27)*(E28=E$1:E27))))))</f>
        <v>2</v>
      </c>
      <c r="K28" s="15" t="str">
        <f aca="false">IF(OR(E28="",E28="!!!",F28="NEW"),"",INDEX(J$1:J27,SUMPRODUCT(MAX(ROW(E$1:E27)*(E28=E$1:E27)))))</f>
        <v/>
      </c>
      <c r="L28" s="16"/>
    </row>
    <row r="29" customFormat="false" ht="12.75" hidden="false" customHeight="false" outlineLevel="0" collapsed="false">
      <c r="A29" s="9" t="s">
        <v>47</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48</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43</v>
      </c>
      <c r="B31" s="0" t="s">
        <v>49</v>
      </c>
      <c r="C31" s="0" t="s">
        <v>45</v>
      </c>
      <c r="D31" s="0" t="s">
        <v>22</v>
      </c>
      <c r="E31" s="10" t="s">
        <v>20</v>
      </c>
      <c r="F31" s="11" t="str">
        <f aca="false">IF(OR(E31="",E31="!!!"),"",IF(NOT(ISNA(VLOOKUP(E31,E$1:E30,1,FALSE()))),"OLD",IF(AND(E31&lt;&gt;"",E31&lt;&gt;"!!!"),"NEW","")))</f>
        <v>OLD</v>
      </c>
      <c r="G31" s="12" t="s">
        <v>50</v>
      </c>
      <c r="H31" s="13" t="str">
        <f aca="false">IF(J31&lt;&gt;1,"",IF(I31="SBJ","CB","?"))</f>
        <v/>
      </c>
      <c r="I31" s="14" t="str">
        <f aca="false">IF(OR(E31="",E31="!!!",F31="NEW"),"",INDEX(B$2:B30,-1+SUMPRODUCT(MAX(ROW(E$2:E30)*(E31=E$2:E30)))))</f>
        <v>SBJ</v>
      </c>
      <c r="J31" s="15" t="n">
        <f aca="true">IF(OR(E31="",E31="!!!",F31="NEW"),"",COUNTBLANK(OFFSET(A$1,,,SUMPRODUCT(MAX(ROW(E$2:E31)*(E31=E$2:E31)))))-COUNTBLANK(OFFSET(A$1,,,SUMPRODUCT(MAX(ROW(E$1:E30)*(E31=E$1:E30))))))</f>
        <v>0</v>
      </c>
      <c r="K31" s="15" t="n">
        <f aca="false">IF(OR(E31="",E31="!!!",F31="NEW"),"",INDEX(J$1:J30,SUMPRODUCT(MAX(ROW(E$1:E30)*(E31=E$1:E30)))))</f>
        <v>2</v>
      </c>
      <c r="L31" s="16"/>
    </row>
    <row r="32" customFormat="false" ht="12.75" hidden="false" customHeight="false" outlineLevel="0" collapsed="false">
      <c r="A32" s="9" t="s">
        <v>51</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52</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53</v>
      </c>
      <c r="B34" s="0" t="s">
        <v>54</v>
      </c>
      <c r="C34" s="0" t="s">
        <v>16</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55</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56</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57</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58</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59</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33</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60</v>
      </c>
      <c r="B42" s="0" t="s">
        <v>15</v>
      </c>
      <c r="C42" s="0" t="s">
        <v>61</v>
      </c>
      <c r="D42" s="0" t="s">
        <v>22</v>
      </c>
      <c r="E42" s="10" t="s">
        <v>62</v>
      </c>
      <c r="F42" s="11" t="str">
        <f aca="false">IF(OR(E42="",E42="!!!"),"",IF(NOT(ISNA(VLOOKUP(E42,E$1:E41,1,FALSE()))),"OLD",IF(AND(E42&lt;&gt;"",E42&lt;&gt;"!!!"),"NEW","")))</f>
        <v>NEW</v>
      </c>
      <c r="G42" s="12" t="s">
        <v>23</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29</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63</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32</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42</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43</v>
      </c>
      <c r="B47" s="0" t="s">
        <v>44</v>
      </c>
      <c r="C47" s="0" t="s">
        <v>45</v>
      </c>
      <c r="D47" s="0" t="s">
        <v>22</v>
      </c>
      <c r="E47" s="10" t="s">
        <v>20</v>
      </c>
      <c r="F47" s="11" t="str">
        <f aca="false">IF(OR(E47="",E47="!!!"),"",IF(NOT(ISNA(VLOOKUP(E47,E$1:E46,1,FALSE()))),"OLD",IF(AND(E47&lt;&gt;"",E47&lt;&gt;"!!!"),"NEW","")))</f>
        <v>OLD</v>
      </c>
      <c r="G47" s="12" t="s">
        <v>46</v>
      </c>
      <c r="H47" s="13" t="s">
        <v>7</v>
      </c>
      <c r="I47" s="14" t="str">
        <f aca="false">IF(OR(E47="",E47="!!!",F47="NEW"),"",INDEX(B$2:B46,-1+SUMPRODUCT(MAX(ROW(E$2:E46)*(E47=E$2:E46)))))</f>
        <v>SBJ_2</v>
      </c>
      <c r="J47" s="15" t="n">
        <f aca="true">IF(OR(E47="",E47="!!!",F47="NEW"),"",COUNTBLANK(OFFSET(A$1,,,SUMPRODUCT(MAX(ROW(E$2:E47)*(E47=E$2:E47)))))-COUNTBLANK(OFFSET(A$1,,,SUMPRODUCT(MAX(ROW(E$1:E46)*(E47=E$1:E46))))))</f>
        <v>1</v>
      </c>
      <c r="K47" s="15" t="n">
        <f aca="false">IF(OR(E47="",E47="!!!",F47="NEW"),"",INDEX(J$1:J46,SUMPRODUCT(MAX(ROW(E$1:E46)*(E47=E$1:E46)))))</f>
        <v>0</v>
      </c>
      <c r="L47" s="16"/>
    </row>
    <row r="48" customFormat="false" ht="12.75" hidden="false" customHeight="false" outlineLevel="0" collapsed="false">
      <c r="A48" s="9" t="s">
        <v>64</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39</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65</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66</v>
      </c>
      <c r="B51" s="0" t="s">
        <v>67</v>
      </c>
      <c r="C51" s="0" t="s">
        <v>28</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68</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69</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70</v>
      </c>
      <c r="B54" s="0" t="s">
        <v>15</v>
      </c>
      <c r="C54" s="0" t="s">
        <v>16</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71</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72</v>
      </c>
      <c r="B56" s="0" t="s">
        <v>54</v>
      </c>
      <c r="C56" s="0" t="s">
        <v>31</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29</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73</v>
      </c>
      <c r="B58" s="0" t="s">
        <v>74</v>
      </c>
      <c r="C58" s="0" t="s">
        <v>31</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75</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56</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76</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33</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77</v>
      </c>
      <c r="B63" s="0" t="s">
        <v>74</v>
      </c>
      <c r="C63" s="0" t="s">
        <v>35</v>
      </c>
      <c r="D63" s="0" t="s">
        <v>22</v>
      </c>
      <c r="E63" s="10" t="s">
        <v>78</v>
      </c>
      <c r="F63" s="11" t="str">
        <f aca="false">IF(OR(E63="",E63="!!!"),"",IF(NOT(ISNA(VLOOKUP(E63,E$1:E62,1,FALSE()))),"OLD",IF(AND(E63&lt;&gt;"",E63&lt;&gt;"!!!"),"NEW","")))</f>
        <v>NEW</v>
      </c>
      <c r="G63" s="12" t="s">
        <v>23</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29</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39</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79</v>
      </c>
      <c r="B66" s="0" t="s">
        <v>80</v>
      </c>
      <c r="C66" s="0" t="s">
        <v>28</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57</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81</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82</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83</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39</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84</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85</v>
      </c>
      <c r="B74" s="0" t="s">
        <v>44</v>
      </c>
      <c r="C74" s="0" t="s">
        <v>28</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76</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86</v>
      </c>
      <c r="B76" s="0" t="s">
        <v>54</v>
      </c>
      <c r="C76" s="0" t="s">
        <v>45</v>
      </c>
      <c r="D76" s="0" t="s">
        <v>22</v>
      </c>
      <c r="E76" s="10" t="s">
        <v>20</v>
      </c>
      <c r="F76" s="11" t="str">
        <f aca="false">IF(OR(E76="",E76="!!!"),"",IF(NOT(ISNA(VLOOKUP(E76,E$1:E75,1,FALSE()))),"OLD",IF(AND(E76&lt;&gt;"",E76&lt;&gt;"!!!"),"NEW","")))</f>
        <v>OLD</v>
      </c>
      <c r="G76" s="12" t="s">
        <v>50</v>
      </c>
      <c r="H76" s="13" t="str">
        <f aca="false">IF(J76&lt;&gt;1,"",IF(I76="SBJ","CB","?"))</f>
        <v>CB</v>
      </c>
      <c r="I76" s="14" t="str">
        <f aca="false">IF(OR(E76="",E76="!!!",F76="NEW"),"",INDEX(B$2:B75,-1+SUMPRODUCT(MAX(ROW(E$2:E75)*(E76=E$2:E75)))))</f>
        <v>SBJ</v>
      </c>
      <c r="J76" s="15" t="n">
        <f aca="true">IF(OR(E76="",E76="!!!",F76="NEW"),"",COUNTBLANK(OFFSET(A$1,,,SUMPRODUCT(MAX(ROW(E$2:E76)*(E76=E$2:E76)))))-COUNTBLANK(OFFSET(A$1,,,SUMPRODUCT(MAX(ROW(E$1:E75)*(E76=E$1:E75))))))</f>
        <v>1</v>
      </c>
      <c r="K76" s="15" t="n">
        <f aca="false">IF(OR(E76="",E76="!!!",F76="NEW"),"",INDEX(J$1:J75,SUMPRODUCT(MAX(ROW(E$1:E75)*(E76=E$1:E75)))))</f>
        <v>1</v>
      </c>
      <c r="L76" s="16"/>
    </row>
    <row r="77" customFormat="false" ht="12.75" hidden="false" customHeight="false" outlineLevel="0" collapsed="false">
      <c r="A77" s="9" t="s">
        <v>42</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39</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87</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88</v>
      </c>
      <c r="B80" s="0" t="s">
        <v>54</v>
      </c>
      <c r="C80" s="0" t="s">
        <v>28</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89</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43</v>
      </c>
      <c r="B82" s="0" t="s">
        <v>90</v>
      </c>
      <c r="C82" s="0" t="s">
        <v>45</v>
      </c>
      <c r="D82" s="0" t="s">
        <v>22</v>
      </c>
      <c r="E82" s="10" t="s">
        <v>20</v>
      </c>
      <c r="F82" s="11" t="str">
        <f aca="false">IF(OR(E82="",E82="!!!"),"",IF(NOT(ISNA(VLOOKUP(E82,E$1:E81,1,FALSE()))),"OLD",IF(AND(E82&lt;&gt;"",E82&lt;&gt;"!!!"),"NEW","")))</f>
        <v>OLD</v>
      </c>
      <c r="G82" s="12" t="s">
        <v>50</v>
      </c>
      <c r="H82" s="13" t="str">
        <f aca="false">IF(J82&lt;&gt;1,"",IF(I82="SBJ","CB","?"))</f>
        <v/>
      </c>
      <c r="I82" s="14" t="str">
        <f aca="false">IF(OR(E82="",E82="!!!",F82="NEW"),"",INDEX(B$2:B81,-1+SUMPRODUCT(MAX(ROW(E$2:E81)*(E82=E$2:E81)))))</f>
        <v>other_2</v>
      </c>
      <c r="J82" s="15" t="n">
        <f aca="true">IF(OR(E82="",E82="!!!",F82="NEW"),"",COUNTBLANK(OFFSET(A$1,,,SUMPRODUCT(MAX(ROW(E$2:E82)*(E82=E$2:E82)))))-COUNTBLANK(OFFSET(A$1,,,SUMPRODUCT(MAX(ROW(E$1:E81)*(E82=E$1:E81))))))</f>
        <v>0</v>
      </c>
      <c r="K82" s="15" t="n">
        <f aca="false">IF(OR(E82="",E82="!!!",F82="NEW"),"",INDEX(J$1:J81,SUMPRODUCT(MAX(ROW(E$1:E81)*(E82=E$1:E81)))))</f>
        <v>1</v>
      </c>
      <c r="L82" s="16"/>
    </row>
    <row r="83" customFormat="false" ht="12.75" hidden="false" customHeight="false" outlineLevel="0" collapsed="false">
      <c r="A83" s="9" t="s">
        <v>51</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91</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92</v>
      </c>
      <c r="B85" s="0" t="s">
        <v>93</v>
      </c>
      <c r="C85" s="0" t="s">
        <v>31</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94</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39</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30</v>
      </c>
      <c r="B88" s="0" t="s">
        <v>80</v>
      </c>
      <c r="C88" s="0" t="s">
        <v>28</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29</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95</v>
      </c>
      <c r="B90" s="0" t="s">
        <v>96</v>
      </c>
      <c r="C90" s="0" t="s">
        <v>31</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71</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97</v>
      </c>
      <c r="B92" s="0" t="s">
        <v>98</v>
      </c>
      <c r="C92" s="0" t="s">
        <v>31</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57</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99</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100</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101</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42</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102</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29</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103</v>
      </c>
      <c r="B101" s="0" t="s">
        <v>74</v>
      </c>
      <c r="C101" s="0" t="s">
        <v>104</v>
      </c>
      <c r="D101" s="0" t="s">
        <v>22</v>
      </c>
      <c r="E101" s="10" t="s">
        <v>20</v>
      </c>
      <c r="F101" s="11" t="str">
        <f aca="false">IF(OR(E101="",E101="!!!"),"",IF(NOT(ISNA(VLOOKUP(E101,E$1:E100,1,FALSE()))),"OLD",IF(AND(E101&lt;&gt;"",E101&lt;&gt;"!!!"),"NEW","")))</f>
        <v>OLD</v>
      </c>
      <c r="G101" s="12" t="s">
        <v>46</v>
      </c>
      <c r="H101" s="13" t="s">
        <v>7</v>
      </c>
      <c r="I101" s="14" t="str">
        <f aca="false">IF(OR(E101="",E101="!!!",F101="NEW"),"",INDEX(B$2:B100,-1+SUMPRODUCT(MAX(ROW(E$2:E100)*(E101=E$2:E100)))))</f>
        <v>SBJ_4</v>
      </c>
      <c r="J101" s="15" t="n">
        <f aca="true">IF(OR(E101="",E101="!!!",F101="NEW"),"",COUNTBLANK(OFFSET(A$1,,,SUMPRODUCT(MAX(ROW(E$2:E101)*(E101=E$2:E101)))))-COUNTBLANK(OFFSET(A$1,,,SUMPRODUCT(MAX(ROW(E$1:E100)*(E101=E$1:E100))))))</f>
        <v>1</v>
      </c>
      <c r="K101" s="15" t="n">
        <f aca="false">IF(OR(E101="",E101="!!!",F101="NEW"),"",INDEX(J$1:J100,SUMPRODUCT(MAX(ROW(E$1:E100)*(E101=E$1:E100)))))</f>
        <v>0</v>
      </c>
      <c r="L101" s="16"/>
    </row>
    <row r="102" customFormat="false" ht="12.75" hidden="false" customHeight="false" outlineLevel="0" collapsed="false">
      <c r="A102" s="9" t="s">
        <v>105</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106</v>
      </c>
      <c r="B103" s="0" t="s">
        <v>54</v>
      </c>
      <c r="C103" s="0" t="s">
        <v>107</v>
      </c>
      <c r="D103" s="0" t="s">
        <v>22</v>
      </c>
      <c r="E103" s="10" t="s">
        <v>108</v>
      </c>
      <c r="F103" s="11" t="str">
        <f aca="false">IF(OR(E103="",E103="!!!"),"",IF(NOT(ISNA(VLOOKUP(E103,E$1:E102,1,FALSE()))),"OLD",IF(AND(E103&lt;&gt;"",E103&lt;&gt;"!!!"),"NEW","")))</f>
        <v>NEW</v>
      </c>
      <c r="G103" s="12" t="s">
        <v>23</v>
      </c>
      <c r="H103" s="13"/>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109</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110</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111</v>
      </c>
      <c r="B106" s="0" t="s">
        <v>15</v>
      </c>
      <c r="C106" s="0" t="s">
        <v>16</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112</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43</v>
      </c>
      <c r="B108" s="0" t="s">
        <v>49</v>
      </c>
      <c r="C108" s="0" t="s">
        <v>45</v>
      </c>
      <c r="D108" s="0" t="s">
        <v>22</v>
      </c>
      <c r="E108" s="10" t="s">
        <v>20</v>
      </c>
      <c r="F108" s="11" t="str">
        <f aca="false">IF(OR(E108="",E108="!!!"),"",IF(NOT(ISNA(VLOOKUP(E108,E$1:E107,1,FALSE()))),"OLD",IF(AND(E108&lt;&gt;"",E108&lt;&gt;"!!!"),"NEW","")))</f>
        <v>OLD</v>
      </c>
      <c r="G108" s="12" t="s">
        <v>50</v>
      </c>
      <c r="H108" s="13" t="str">
        <f aca="false">IF(J108&lt;&gt;1,"",IF(I108="SBJ","CB","?"))</f>
        <v/>
      </c>
      <c r="I108" s="14" t="str">
        <f aca="false">IF(OR(E108="",E108="!!!",F108="NEW"),"",INDEX(B$2:B107,-1+SUMPRODUCT(MAX(ROW(E$2:E107)*(E108=E$2:E107)))))</f>
        <v>other_3</v>
      </c>
      <c r="J108" s="15" t="n">
        <f aca="true">IF(OR(E108="",E108="!!!",F108="NEW"),"",COUNTBLANK(OFFSET(A$1,,,SUMPRODUCT(MAX(ROW(E$2:E108)*(E108=E$2:E108)))))-COUNTBLANK(OFFSET(A$1,,,SUMPRODUCT(MAX(ROW(E$1:E107)*(E108=E$1:E107))))))</f>
        <v>0</v>
      </c>
      <c r="K108" s="15" t="n">
        <f aca="false">IF(OR(E108="",E108="!!!",F108="NEW"),"",INDEX(J$1:J107,SUMPRODUCT(MAX(ROW(E$1:E107)*(E108=E$1:E107)))))</f>
        <v>1</v>
      </c>
      <c r="L108" s="16"/>
    </row>
    <row r="109" customFormat="false" ht="12.75" hidden="false" customHeight="false" outlineLevel="0" collapsed="false">
      <c r="A109" s="9" t="s">
        <v>51</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113</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114</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115</v>
      </c>
      <c r="B112" s="0" t="s">
        <v>54</v>
      </c>
      <c r="C112" s="0" t="s">
        <v>31</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42</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116</v>
      </c>
      <c r="B114" s="0" t="s">
        <v>15</v>
      </c>
      <c r="C114" s="0" t="s">
        <v>31</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117</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118</v>
      </c>
      <c r="B116" s="0" t="s">
        <v>54</v>
      </c>
      <c r="C116" s="0" t="s">
        <v>31</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42</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71</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119</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120</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121</v>
      </c>
      <c r="B121" s="0" t="s">
        <v>122</v>
      </c>
      <c r="C121" s="0" t="s">
        <v>28</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29</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123</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124</v>
      </c>
      <c r="B124" s="0" t="s">
        <v>74</v>
      </c>
      <c r="C124" s="0" t="s">
        <v>31</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125</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126</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127</v>
      </c>
      <c r="B127" s="0" t="s">
        <v>128</v>
      </c>
      <c r="C127" s="0" t="s">
        <v>31</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32</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33</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34</v>
      </c>
      <c r="B130" s="0" t="s">
        <v>74</v>
      </c>
      <c r="C130" s="0" t="s">
        <v>35</v>
      </c>
      <c r="D130" s="0" t="s">
        <v>22</v>
      </c>
      <c r="E130" s="10" t="s">
        <v>36</v>
      </c>
      <c r="F130" s="11" t="str">
        <f aca="false">IF(OR(E130="",E130="!!!"),"",IF(NOT(ISNA(VLOOKUP(E130,E$1:E129,1,FALSE()))),"OLD",IF(AND(E130&lt;&gt;"",E130&lt;&gt;"!!!"),"NEW","")))</f>
        <v>OLD</v>
      </c>
      <c r="G130" s="12" t="s">
        <v>129</v>
      </c>
      <c r="H130" s="13" t="str">
        <f aca="false">IF(J130&lt;&gt;1,"",IF(I130="SBJ","CB","?"))</f>
        <v/>
      </c>
      <c r="I130" s="14" t="str">
        <f aca="false">IF(OR(E130="",E130="!!!",F130="NEW"),"",INDEX(B$2:B129,-1+SUMPRODUCT(MAX(ROW(E$2:E129)*(E130=E$2:E129)))))</f>
        <v>other</v>
      </c>
      <c r="J130" s="15" t="n">
        <f aca="true">IF(OR(E130="",E130="!!!",F130="NEW"),"",COUNTBLANK(OFFSET(A$1,,,SUMPRODUCT(MAX(ROW(E$2:E130)*(E130=E$2:E130)))))-COUNTBLANK(OFFSET(A$1,,,SUMPRODUCT(MAX(ROW(E$1:E129)*(E130=E$1:E129))))))</f>
        <v>4</v>
      </c>
      <c r="K130" s="15" t="str">
        <f aca="false">IF(OR(E130="",E130="!!!",F130="NEW"),"",INDEX(J$1:J129,SUMPRODUCT(MAX(ROW(E$1:E129)*(E130=E$1:E129)))))</f>
        <v/>
      </c>
      <c r="L130" s="16"/>
    </row>
    <row r="131" customFormat="false" ht="12.75" hidden="false" customHeight="false" outlineLevel="0" collapsed="false">
      <c r="A131" s="9" t="s">
        <v>57</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130</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131</v>
      </c>
      <c r="B134" s="0" t="s">
        <v>44</v>
      </c>
      <c r="C134" s="0" t="s">
        <v>31</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132</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133</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42</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134</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102</v>
      </c>
      <c r="B139" s="0" t="s">
        <v>135</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29</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33</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136</v>
      </c>
      <c r="B142" s="0" t="s">
        <v>80</v>
      </c>
      <c r="C142" s="0" t="s">
        <v>35</v>
      </c>
      <c r="D142" s="0" t="s">
        <v>22</v>
      </c>
      <c r="E142" s="10" t="s">
        <v>137</v>
      </c>
      <c r="F142" s="11" t="str">
        <f aca="false">IF(OR(E142="",E142="!!!"),"",IF(NOT(ISNA(VLOOKUP(E142,E$1:E141,1,FALSE()))),"OLD",IF(AND(E142&lt;&gt;"",E142&lt;&gt;"!!!"),"NEW","")))</f>
        <v>NEW</v>
      </c>
      <c r="G142" s="12" t="s">
        <v>23</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43</v>
      </c>
      <c r="B143" s="0" t="s">
        <v>138</v>
      </c>
      <c r="C143" s="0" t="s">
        <v>45</v>
      </c>
      <c r="D143" s="0" t="s">
        <v>22</v>
      </c>
      <c r="E143" s="10" t="s">
        <v>20</v>
      </c>
      <c r="F143" s="11" t="str">
        <f aca="false">IF(OR(E143="",E143="!!!"),"",IF(NOT(ISNA(VLOOKUP(E143,E$1:E142,1,FALSE()))),"OLD",IF(AND(E143&lt;&gt;"",E143&lt;&gt;"!!!"),"NEW","")))</f>
        <v>OLD</v>
      </c>
      <c r="G143" s="12" t="s">
        <v>46</v>
      </c>
      <c r="H143" s="13" t="s">
        <v>7</v>
      </c>
      <c r="I143" s="14" t="str">
        <f aca="false">IF(OR(E143="",E143="!!!",F143="NEW"),"",INDEX(B$2:B142,-1+SUMPRODUCT(MAX(ROW(E$2:E142)*(E143=E$2:E142)))))</f>
        <v>SBJ_2</v>
      </c>
      <c r="J143" s="15" t="n">
        <f aca="true">IF(OR(E143="",E143="!!!",F143="NEW"),"",COUNTBLANK(OFFSET(A$1,,,SUMPRODUCT(MAX(ROW(E$2:E143)*(E143=E$2:E143)))))-COUNTBLANK(OFFSET(A$1,,,SUMPRODUCT(MAX(ROW(E$1:E142)*(E143=E$1:E142))))))</f>
        <v>1</v>
      </c>
      <c r="K143" s="15" t="n">
        <f aca="false">IF(OR(E143="",E143="!!!",F143="NEW"),"",INDEX(J$1:J142,SUMPRODUCT(MAX(ROW(E$1:E142)*(E143=E$1:E142)))))</f>
        <v>0</v>
      </c>
      <c r="L143" s="16"/>
    </row>
    <row r="144" customFormat="false" ht="12.75" hidden="false" customHeight="false" outlineLevel="0" collapsed="false">
      <c r="A144" s="9" t="s">
        <v>139</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140</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141</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39</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142</v>
      </c>
      <c r="B148" s="0" t="s">
        <v>98</v>
      </c>
      <c r="C148" s="0" t="s">
        <v>28</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143</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144</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71</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145</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103</v>
      </c>
      <c r="B153" s="0" t="s">
        <v>96</v>
      </c>
      <c r="C153" s="0" t="s">
        <v>104</v>
      </c>
      <c r="D153" s="0" t="s">
        <v>22</v>
      </c>
      <c r="E153" s="10" t="s">
        <v>20</v>
      </c>
      <c r="F153" s="11" t="str">
        <f aca="false">IF(OR(E153="",E153="!!!"),"",IF(NOT(ISNA(VLOOKUP(E153,E$1:E152,1,FALSE()))),"OLD",IF(AND(E153&lt;&gt;"",E153&lt;&gt;"!!!"),"NEW","")))</f>
        <v>OLD</v>
      </c>
      <c r="G153" s="12" t="s">
        <v>50</v>
      </c>
      <c r="H153" s="13" t="str">
        <f aca="false">IF(J153&lt;&gt;1,"",IF(I153="SBJ","CB","?"))</f>
        <v/>
      </c>
      <c r="I153" s="14" t="str">
        <f aca="false">IF(OR(E153="",E153="!!!",F153="NEW"),"",INDEX(B$2:B152,-1+SUMPRODUCT(MAX(ROW(E$2:E152)*(E153=E$2:E152)))))</f>
        <v>SBJ_6</v>
      </c>
      <c r="J153" s="15" t="n">
        <f aca="true">IF(OR(E153="",E153="!!!",F153="NEW"),"",COUNTBLANK(OFFSET(A$1,,,SUMPRODUCT(MAX(ROW(E$2:E153)*(E153=E$2:E153)))))-COUNTBLANK(OFFSET(A$1,,,SUMPRODUCT(MAX(ROW(E$1:E152)*(E153=E$1:E152))))))</f>
        <v>0</v>
      </c>
      <c r="K153" s="15" t="n">
        <f aca="false">IF(OR(E153="",E153="!!!",F153="NEW"),"",INDEX(J$1:J152,SUMPRODUCT(MAX(ROW(E$1:E152)*(E153=E$1:E152)))))</f>
        <v>1</v>
      </c>
      <c r="L153" s="16"/>
    </row>
    <row r="154" customFormat="false" ht="12.75" hidden="false" customHeight="false" outlineLevel="0" collapsed="false">
      <c r="A154" s="9" t="s">
        <v>146</v>
      </c>
      <c r="B154" s="0" t="s">
        <v>93</v>
      </c>
      <c r="C154" s="0" t="s">
        <v>107</v>
      </c>
      <c r="D154" s="0" t="s">
        <v>22</v>
      </c>
      <c r="E154" s="10" t="s">
        <v>147</v>
      </c>
      <c r="F154" s="11" t="str">
        <f aca="false">IF(OR(E154="",E154="!!!"),"",IF(NOT(ISNA(VLOOKUP(E154,E$1:E153,1,FALSE()))),"OLD",IF(AND(E154&lt;&gt;"",E154&lt;&gt;"!!!"),"NEW","")))</f>
        <v>NEW</v>
      </c>
      <c r="G154" s="12" t="s">
        <v>23</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148</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149</v>
      </c>
      <c r="B156" s="0" t="s">
        <v>96</v>
      </c>
      <c r="C156" s="0" t="s">
        <v>31</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15</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150</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103</v>
      </c>
      <c r="B159" s="0" t="s">
        <v>151</v>
      </c>
      <c r="C159" s="0" t="s">
        <v>104</v>
      </c>
      <c r="D159" s="0" t="s">
        <v>22</v>
      </c>
      <c r="E159" s="10" t="s">
        <v>20</v>
      </c>
      <c r="F159" s="11" t="str">
        <f aca="false">IF(OR(E159="",E159="!!!"),"",IF(NOT(ISNA(VLOOKUP(E159,E$1:E158,1,FALSE()))),"OLD",IF(AND(E159&lt;&gt;"",E159&lt;&gt;"!!!"),"NEW","")))</f>
        <v>OLD</v>
      </c>
      <c r="G159" s="12" t="s">
        <v>50</v>
      </c>
      <c r="H159" s="13" t="str">
        <f aca="false">IF(J159&lt;&gt;1,"",IF(I159="SBJ","CB","?"))</f>
        <v/>
      </c>
      <c r="I159" s="14" t="str">
        <f aca="false">IF(OR(E159="",E159="!!!",F159="NEW"),"",INDEX(B$2:B158,-1+SUMPRODUCT(MAX(ROW(E$2:E158)*(E159=E$2:E158)))))</f>
        <v>other_5</v>
      </c>
      <c r="J159" s="15" t="n">
        <f aca="true">IF(OR(E159="",E159="!!!",F159="NEW"),"",COUNTBLANK(OFFSET(A$1,,,SUMPRODUCT(MAX(ROW(E$2:E159)*(E159=E$2:E159)))))-COUNTBLANK(OFFSET(A$1,,,SUMPRODUCT(MAX(ROW(E$1:E158)*(E159=E$1:E158))))))</f>
        <v>0</v>
      </c>
      <c r="K159" s="15" t="n">
        <f aca="false">IF(OR(E159="",E159="!!!",F159="NEW"),"",INDEX(J$1:J158,SUMPRODUCT(MAX(ROW(E$1:E158)*(E159=E$1:E158)))))</f>
        <v>0</v>
      </c>
      <c r="L159" s="16"/>
    </row>
    <row r="160" customFormat="false" ht="12.75" hidden="false" customHeight="false" outlineLevel="0" collapsed="false">
      <c r="A160" s="9" t="s">
        <v>152</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153</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132</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154</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155</v>
      </c>
      <c r="B164" s="0" t="s">
        <v>54</v>
      </c>
      <c r="C164" s="0" t="s">
        <v>31</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156</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103</v>
      </c>
      <c r="B166" s="0" t="s">
        <v>80</v>
      </c>
      <c r="C166" s="0" t="s">
        <v>104</v>
      </c>
      <c r="D166" s="0" t="s">
        <v>22</v>
      </c>
      <c r="E166" s="10" t="s">
        <v>20</v>
      </c>
      <c r="F166" s="11" t="str">
        <f aca="false">IF(OR(E166="",E166="!!!"),"",IF(NOT(ISNA(VLOOKUP(E166,E$1:E165,1,FALSE()))),"OLD",IF(AND(E166&lt;&gt;"",E166&lt;&gt;"!!!"),"NEW","")))</f>
        <v>OLD</v>
      </c>
      <c r="G166" s="12" t="s">
        <v>50</v>
      </c>
      <c r="H166" s="13" t="str">
        <f aca="false">IF(J166&lt;&gt;1,"",IF(I166="SBJ","CB","?"))</f>
        <v/>
      </c>
      <c r="I166" s="14" t="str">
        <f aca="false">IF(OR(E166="",E166="!!!",F166="NEW"),"",INDEX(B$2:B165,-1+SUMPRODUCT(MAX(ROW(E$2:E165)*(E166=E$2:E165)))))</f>
        <v>other_8</v>
      </c>
      <c r="J166" s="15" t="n">
        <f aca="true">IF(OR(E166="",E166="!!!",F166="NEW"),"",COUNTBLANK(OFFSET(A$1,,,SUMPRODUCT(MAX(ROW(E$2:E166)*(E166=E$2:E166)))))-COUNTBLANK(OFFSET(A$1,,,SUMPRODUCT(MAX(ROW(E$1:E165)*(E166=E$1:E165))))))</f>
        <v>0</v>
      </c>
      <c r="K166" s="15" t="n">
        <f aca="false">IF(OR(E166="",E166="!!!",F166="NEW"),"",INDEX(J$1:J165,SUMPRODUCT(MAX(ROW(E$1:E165)*(E166=E$1:E165)))))</f>
        <v>0</v>
      </c>
      <c r="L166" s="16"/>
    </row>
    <row r="167" customFormat="false" ht="12.75" hidden="false" customHeight="false" outlineLevel="0" collapsed="false">
      <c r="A167" s="9" t="s">
        <v>157</v>
      </c>
      <c r="B167" s="0" t="s">
        <v>74</v>
      </c>
      <c r="C167" s="0" t="s">
        <v>107</v>
      </c>
      <c r="D167" s="0" t="s">
        <v>22</v>
      </c>
      <c r="E167" s="10" t="s">
        <v>158</v>
      </c>
      <c r="F167" s="11" t="str">
        <f aca="false">IF(OR(E167="",E167="!!!"),"",IF(NOT(ISNA(VLOOKUP(E167,E$1:E166,1,FALSE()))),"OLD",IF(AND(E167&lt;&gt;"",E167&lt;&gt;"!!!"),"NEW","")))</f>
        <v>NEW</v>
      </c>
      <c r="G167" s="12" t="s">
        <v>23</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141</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9" t="s">
        <v>39</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159</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160</v>
      </c>
      <c r="B171" s="0" t="s">
        <v>74</v>
      </c>
      <c r="C171" s="0" t="s">
        <v>28</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57</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161</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162</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163</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15</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9" t="s">
        <v>164</v>
      </c>
      <c r="B178" s="0" t="s">
        <v>44</v>
      </c>
      <c r="C178" s="0" t="s">
        <v>16</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165</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166</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141</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167</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94</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103</v>
      </c>
      <c r="B184" s="0" t="s">
        <v>74</v>
      </c>
      <c r="C184" s="0" t="s">
        <v>104</v>
      </c>
      <c r="D184" s="0" t="s">
        <v>22</v>
      </c>
      <c r="E184" s="10" t="s">
        <v>20</v>
      </c>
      <c r="F184" s="11" t="str">
        <f aca="false">IF(OR(E184="",E184="!!!"),"",IF(NOT(ISNA(VLOOKUP(E184,E$1:E183,1,FALSE()))),"OLD",IF(AND(E184&lt;&gt;"",E184&lt;&gt;"!!!"),"NEW","")))</f>
        <v>OLD</v>
      </c>
      <c r="G184" s="12" t="s">
        <v>46</v>
      </c>
      <c r="H184" s="13" t="s">
        <v>7</v>
      </c>
      <c r="I184" s="14" t="str">
        <f aca="false">IF(OR(E184="",E184="!!!",F184="NEW"),"",INDEX(B$2:B183,-1+SUMPRODUCT(MAX(ROW(E$2:E183)*(E184=E$2:E183)))))</f>
        <v>other_4</v>
      </c>
      <c r="J184" s="15" t="n">
        <f aca="true">IF(OR(E184="",E184="!!!",F184="NEW"),"",COUNTBLANK(OFFSET(A$1,,,SUMPRODUCT(MAX(ROW(E$2:E184)*(E184=E$2:E184)))))-COUNTBLANK(OFFSET(A$1,,,SUMPRODUCT(MAX(ROW(E$1:E183)*(E184=E$1:E183))))))</f>
        <v>1</v>
      </c>
      <c r="K184" s="15" t="n">
        <f aca="false">IF(OR(E184="",E184="!!!",F184="NEW"),"",INDEX(J$1:J183,SUMPRODUCT(MAX(ROW(E$1:E183)*(E184=E$1:E183)))))</f>
        <v>0</v>
      </c>
      <c r="L184" s="16"/>
    </row>
    <row r="185" customFormat="false" ht="12.75" hidden="false" customHeight="false" outlineLevel="0" collapsed="false">
      <c r="A185" s="9" t="s">
        <v>168</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169</v>
      </c>
      <c r="B186" s="0" t="s">
        <v>54</v>
      </c>
      <c r="C186" s="0" t="s">
        <v>107</v>
      </c>
      <c r="D186" s="0" t="s">
        <v>22</v>
      </c>
      <c r="E186" s="10" t="s">
        <v>170</v>
      </c>
      <c r="F186" s="11" t="str">
        <f aca="false">IF(OR(E186="",E186="!!!"),"",IF(NOT(ISNA(VLOOKUP(E186,E$1:E185,1,FALSE()))),"OLD",IF(AND(E186&lt;&gt;"",E186&lt;&gt;"!!!"),"NEW","")))</f>
        <v>NEW</v>
      </c>
      <c r="G186" s="12" t="s">
        <v>23</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141</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9" t="s">
        <v>125</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171</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71</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172</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33</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127</v>
      </c>
      <c r="B193" s="0" t="s">
        <v>74</v>
      </c>
      <c r="C193" s="0" t="s">
        <v>35</v>
      </c>
      <c r="D193" s="0" t="s">
        <v>22</v>
      </c>
      <c r="E193" s="10" t="s">
        <v>173</v>
      </c>
      <c r="F193" s="11" t="str">
        <f aca="false">IF(OR(E193="",E193="!!!"),"",IF(NOT(ISNA(VLOOKUP(E193,E$1:E192,1,FALSE()))),"OLD",IF(AND(E193&lt;&gt;"",E193&lt;&gt;"!!!"),"NEW","")))</f>
        <v>NEW</v>
      </c>
      <c r="G193" s="12" t="s">
        <v>23</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29</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174</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175</v>
      </c>
      <c r="B196" s="0" t="s">
        <v>80</v>
      </c>
      <c r="C196" s="0" t="s">
        <v>31</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114</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33</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176</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177</v>
      </c>
      <c r="B200" s="0" t="s">
        <v>96</v>
      </c>
      <c r="C200" s="0" t="s">
        <v>21</v>
      </c>
      <c r="D200" s="0" t="s">
        <v>22</v>
      </c>
      <c r="E200" s="10" t="s">
        <v>178</v>
      </c>
      <c r="F200" s="11" t="str">
        <f aca="false">IF(OR(E200="",E200="!!!"),"",IF(NOT(ISNA(VLOOKUP(E200,E$1:E199,1,FALSE()))),"OLD",IF(AND(E200&lt;&gt;"",E200&lt;&gt;"!!!"),"NEW","")))</f>
        <v>NEW</v>
      </c>
      <c r="G200" s="12" t="s">
        <v>23</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57</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179</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180</v>
      </c>
      <c r="B204" s="0" t="s">
        <v>44</v>
      </c>
      <c r="C204" s="0" t="s">
        <v>181</v>
      </c>
      <c r="D204" s="0" t="s">
        <v>22</v>
      </c>
      <c r="E204" s="10" t="s">
        <v>182</v>
      </c>
      <c r="F204" s="11" t="str">
        <f aca="false">IF(OR(E204="",E204="!!!"),"",IF(NOT(ISNA(VLOOKUP(E204,E$1:E203,1,FALSE()))),"OLD",IF(AND(E204&lt;&gt;"",E204&lt;&gt;"!!!"),"NEW","")))</f>
        <v>NEW</v>
      </c>
      <c r="G204" s="12" t="s">
        <v>23</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183</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33</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184</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185</v>
      </c>
      <c r="B208" s="0" t="s">
        <v>15</v>
      </c>
      <c r="C208" s="0" t="s">
        <v>35</v>
      </c>
      <c r="D208" s="0" t="s">
        <v>22</v>
      </c>
      <c r="E208" s="10" t="s">
        <v>186</v>
      </c>
      <c r="F208" s="11" t="str">
        <f aca="false">IF(OR(E208="",E208="!!!"),"",IF(NOT(ISNA(VLOOKUP(E208,E$1:E207,1,FALSE()))),"OLD",IF(AND(E208&lt;&gt;"",E208&lt;&gt;"!!!"),"NEW","")))</f>
        <v>NEW</v>
      </c>
      <c r="G208" s="12" t="s">
        <v>23</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42</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39</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187</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188</v>
      </c>
      <c r="B212" s="0" t="s">
        <v>15</v>
      </c>
      <c r="C212" s="0" t="s">
        <v>28</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29</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189</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185</v>
      </c>
      <c r="B215" s="0" t="s">
        <v>54</v>
      </c>
      <c r="C215" s="0" t="s">
        <v>31</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190</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191</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192</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193</v>
      </c>
      <c r="B219" s="0" t="s">
        <v>74</v>
      </c>
      <c r="C219" s="0" t="s">
        <v>31</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42</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194</v>
      </c>
      <c r="B221" s="0" t="s">
        <v>15</v>
      </c>
      <c r="C221" s="0" t="s">
        <v>31</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42</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195</v>
      </c>
      <c r="B223" s="0" t="s">
        <v>15</v>
      </c>
      <c r="C223" s="0" t="s">
        <v>31</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42</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196</v>
      </c>
      <c r="B225" s="0" t="s">
        <v>15</v>
      </c>
      <c r="C225" s="0" t="s">
        <v>31</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71</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197</v>
      </c>
      <c r="B227" s="0" t="s">
        <v>15</v>
      </c>
      <c r="C227" s="0" t="s">
        <v>31</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57</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198</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199</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200</v>
      </c>
      <c r="B232" s="0" t="s">
        <v>15</v>
      </c>
      <c r="C232" s="0" t="s">
        <v>107</v>
      </c>
      <c r="D232" s="0" t="s">
        <v>22</v>
      </c>
      <c r="E232" s="10" t="s">
        <v>201</v>
      </c>
      <c r="F232" s="11" t="str">
        <f aca="false">IF(OR(E232="",E232="!!!"),"",IF(NOT(ISNA(VLOOKUP(E232,E$1:E231,1,FALSE()))),"OLD",IF(AND(E232&lt;&gt;"",E232&lt;&gt;"!!!"),"NEW","")))</f>
        <v>NEW</v>
      </c>
      <c r="G232" s="12" t="s">
        <v>23</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29</v>
      </c>
      <c r="E233" s="10"/>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202</v>
      </c>
      <c r="B234" s="0" t="s">
        <v>74</v>
      </c>
      <c r="C234" s="0" t="s">
        <v>104</v>
      </c>
      <c r="D234" s="0" t="s">
        <v>22</v>
      </c>
      <c r="E234" s="10" t="s">
        <v>203</v>
      </c>
      <c r="F234" s="11" t="str">
        <f aca="false">IF(OR(E234="",E234="!!!"),"",IF(NOT(ISNA(VLOOKUP(E234,E$1:E233,1,FALSE()))),"OLD",IF(AND(E234&lt;&gt;"",E234&lt;&gt;"!!!"),"NEW","")))</f>
        <v>NEW</v>
      </c>
      <c r="G234" s="12" t="s">
        <v>23</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204</v>
      </c>
      <c r="B235" s="0" t="s">
        <v>54</v>
      </c>
      <c r="C235" s="0" t="s">
        <v>107</v>
      </c>
      <c r="D235" s="0" t="s">
        <v>22</v>
      </c>
      <c r="E235" s="10" t="s">
        <v>205</v>
      </c>
      <c r="F235" s="11" t="str">
        <f aca="false">IF(OR(E235="",E235="!!!"),"",IF(NOT(ISNA(VLOOKUP(E235,E$1:E234,1,FALSE()))),"OLD",IF(AND(E235&lt;&gt;"",E235&lt;&gt;"!!!"),"NEW","")))</f>
        <v>NEW</v>
      </c>
      <c r="G235" s="12" t="s">
        <v>23</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42</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33</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9" t="s">
        <v>206</v>
      </c>
      <c r="B238" s="0" t="s">
        <v>44</v>
      </c>
      <c r="C238" s="0" t="s">
        <v>35</v>
      </c>
      <c r="D238" s="0" t="s">
        <v>22</v>
      </c>
      <c r="E238" s="10" t="s">
        <v>207</v>
      </c>
      <c r="F238" s="11" t="str">
        <f aca="false">IF(OR(E238="",E238="!!!"),"",IF(NOT(ISNA(VLOOKUP(E238,E$1:E237,1,FALSE()))),"OLD",IF(AND(E238&lt;&gt;"",E238&lt;&gt;"!!!"),"NEW","")))</f>
        <v>NEW</v>
      </c>
      <c r="G238" s="12" t="s">
        <v>23</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183</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39</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208</v>
      </c>
      <c r="B241" s="0" t="s">
        <v>15</v>
      </c>
      <c r="C241" s="0" t="s">
        <v>28</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209</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33</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210</v>
      </c>
      <c r="B244" s="0" t="s">
        <v>15</v>
      </c>
      <c r="C244" s="0" t="s">
        <v>35</v>
      </c>
      <c r="D244" s="0" t="s">
        <v>22</v>
      </c>
      <c r="E244" s="10" t="s">
        <v>211</v>
      </c>
      <c r="F244" s="11" t="str">
        <f aca="false">IF(OR(E244="",E244="!!!"),"",IF(NOT(ISNA(VLOOKUP(E244,E$1:E243,1,FALSE()))),"OLD",IF(AND(E244&lt;&gt;"",E244&lt;&gt;"!!!"),"NEW","")))</f>
        <v>NEW</v>
      </c>
      <c r="G244" s="12" t="s">
        <v>23</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57</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212</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213</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214</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215</v>
      </c>
      <c r="B250" s="0" t="s">
        <v>44</v>
      </c>
      <c r="C250" s="0" t="s">
        <v>35</v>
      </c>
      <c r="D250" s="0" t="s">
        <v>22</v>
      </c>
      <c r="E250" s="10" t="s">
        <v>216</v>
      </c>
      <c r="F250" s="11" t="str">
        <f aca="false">IF(OR(E250="",E250="!!!"),"",IF(NOT(ISNA(VLOOKUP(E250,E$1:E249,1,FALSE()))),"OLD",IF(AND(E250&lt;&gt;"",E250&lt;&gt;"!!!"),"NEW","")))</f>
        <v>NEW</v>
      </c>
      <c r="G250" s="12" t="s">
        <v>23</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217</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218</v>
      </c>
      <c r="B252" s="0" t="s">
        <v>54</v>
      </c>
      <c r="C252" s="0" t="s">
        <v>31</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217</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219</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220</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221</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222</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223</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71</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224</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225</v>
      </c>
      <c r="B261" s="0" t="s">
        <v>67</v>
      </c>
      <c r="C261" s="0" t="s">
        <v>28</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29</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39</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226</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222</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227</v>
      </c>
      <c r="B266" s="0" t="s">
        <v>54</v>
      </c>
      <c r="C266" s="0" t="s">
        <v>28</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228</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76</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229</v>
      </c>
      <c r="B269" s="0" t="s">
        <v>80</v>
      </c>
      <c r="C269" s="0" t="s">
        <v>31</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9" t="s">
        <v>42</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230</v>
      </c>
      <c r="B271" s="0" t="s">
        <v>15</v>
      </c>
      <c r="C271" s="0" t="s">
        <v>31</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231</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9" t="s">
        <v>232</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29</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39</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233</v>
      </c>
      <c r="B276" s="0" t="s">
        <v>74</v>
      </c>
      <c r="C276" s="0" t="s">
        <v>28</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42</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134</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234</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9" t="s">
        <v>235</v>
      </c>
      <c r="B280" s="0" t="s">
        <v>49</v>
      </c>
      <c r="C280" s="0" t="s">
        <v>236</v>
      </c>
      <c r="D280" s="0" t="s">
        <v>22</v>
      </c>
      <c r="E280" s="10" t="s">
        <v>237</v>
      </c>
      <c r="F280" s="11" t="str">
        <f aca="false">IF(OR(E280="",E280="!!!"),"",IF(NOT(ISNA(VLOOKUP(E280,E$1:E279,1,FALSE()))),"OLD",IF(AND(E280&lt;&gt;"",E280&lt;&gt;"!!!"),"NEW","")))</f>
        <v>NEW</v>
      </c>
      <c r="G280" s="12" t="s">
        <v>23</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238</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76</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239</v>
      </c>
      <c r="B283" s="0" t="s">
        <v>15</v>
      </c>
      <c r="C283" s="0" t="s">
        <v>31</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42</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71</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240</v>
      </c>
      <c r="B286" s="0" t="s">
        <v>49</v>
      </c>
      <c r="C286" s="0" t="s">
        <v>45</v>
      </c>
      <c r="D286" s="0" t="s">
        <v>22</v>
      </c>
      <c r="E286" s="10" t="s">
        <v>237</v>
      </c>
      <c r="F286" s="11" t="str">
        <f aca="false">IF(OR(E286="",E286="!!!"),"",IF(NOT(ISNA(VLOOKUP(E286,E$1:E285,1,FALSE()))),"OLD",IF(AND(E286&lt;&gt;"",E286&lt;&gt;"!!!"),"NEW","")))</f>
        <v>OLD</v>
      </c>
      <c r="G286" s="12" t="s">
        <v>50</v>
      </c>
      <c r="H286" s="13" t="str">
        <f aca="false">IF(J286&lt;&gt;1,"",IF(I286="SBJ","CB","?"))</f>
        <v/>
      </c>
      <c r="I286" s="14" t="str">
        <f aca="false">IF(OR(E286="",E286="!!!",F286="NEW"),"",INDEX(B$2:B285,-1+SUMPRODUCT(MAX(ROW(E$2:E285)*(E286=E$2:E285)))))</f>
        <v>SBJ_2</v>
      </c>
      <c r="J286" s="15" t="n">
        <f aca="true">IF(OR(E286="",E286="!!!",F286="NEW"),"",COUNTBLANK(OFFSET(A$1,,,SUMPRODUCT(MAX(ROW(E$2:E286)*(E286=E$2:E286)))))-COUNTBLANK(OFFSET(A$1,,,SUMPRODUCT(MAX(ROW(E$1:E285)*(E286=E$1:E285))))))</f>
        <v>0</v>
      </c>
      <c r="K286" s="15" t="str">
        <f aca="false">IF(OR(E286="",E286="!!!",F286="NEW"),"",INDEX(J$1:J285,SUMPRODUCT(MAX(ROW(E$1:E285)*(E286=E$1:E285)))))</f>
        <v/>
      </c>
      <c r="L286" s="16"/>
    </row>
    <row r="287" customFormat="false" ht="12.75" hidden="false" customHeight="false" outlineLevel="0" collapsed="false">
      <c r="A287" s="9" t="s">
        <v>241</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39</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242</v>
      </c>
      <c r="B289" s="0" t="s">
        <v>122</v>
      </c>
      <c r="C289" s="0" t="s">
        <v>28</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243</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114</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33</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244</v>
      </c>
      <c r="B293" s="0" t="s">
        <v>80</v>
      </c>
      <c r="C293" s="0" t="s">
        <v>35</v>
      </c>
      <c r="D293" s="0" t="s">
        <v>22</v>
      </c>
      <c r="E293" s="10" t="s">
        <v>245</v>
      </c>
      <c r="F293" s="11" t="str">
        <f aca="false">IF(OR(E293="",E293="!!!"),"",IF(NOT(ISNA(VLOOKUP(E293,E$1:E292,1,FALSE()))),"OLD",IF(AND(E293&lt;&gt;"",E293&lt;&gt;"!!!"),"NEW","")))</f>
        <v>NEW</v>
      </c>
      <c r="G293" s="12" t="s">
        <v>23</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42</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246</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247</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71</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248</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249</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42</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250</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9" t="s">
        <v>251</v>
      </c>
      <c r="B302" s="0" t="s">
        <v>122</v>
      </c>
      <c r="C302" s="0" t="s">
        <v>107</v>
      </c>
      <c r="D302" s="0" t="s">
        <v>22</v>
      </c>
      <c r="E302" s="10" t="s">
        <v>252</v>
      </c>
      <c r="F302" s="11" t="str">
        <f aca="false">IF(OR(E302="",E302="!!!"),"",IF(NOT(ISNA(VLOOKUP(E302,E$1:E301,1,FALSE()))),"OLD",IF(AND(E302&lt;&gt;"",E302&lt;&gt;"!!!"),"NEW","")))</f>
        <v>NEW</v>
      </c>
      <c r="G302" s="12" t="s">
        <v>23</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29</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253</v>
      </c>
      <c r="B304" s="0" t="s">
        <v>74</v>
      </c>
      <c r="C304" s="0" t="s">
        <v>21</v>
      </c>
      <c r="D304" s="0" t="s">
        <v>22</v>
      </c>
      <c r="E304" s="10" t="s">
        <v>178</v>
      </c>
      <c r="F304" s="11" t="str">
        <f aca="false">IF(OR(E304="",E304="!!!"),"",IF(NOT(ISNA(VLOOKUP(E304,E$1:E303,1,FALSE()))),"OLD",IF(AND(E304&lt;&gt;"",E304&lt;&gt;"!!!"),"NEW","")))</f>
        <v>OLD</v>
      </c>
      <c r="G304" s="12" t="s">
        <v>129</v>
      </c>
      <c r="H304" s="13" t="str">
        <f aca="false">IF(J304&lt;&gt;1,"",IF(I304="SBJ","CB","?"))</f>
        <v/>
      </c>
      <c r="I304" s="14" t="str">
        <f aca="false">IF(OR(E304="",E304="!!!",F304="NEW"),"",INDEX(B$2:B303,-1+SUMPRODUCT(MAX(ROW(E$2:E303)*(E304=E$2:E303)))))</f>
        <v>other_5</v>
      </c>
      <c r="J304" s="15" t="n">
        <f aca="true">IF(OR(E304="",E304="!!!",F304="NEW"),"",COUNTBLANK(OFFSET(A$1,,,SUMPRODUCT(MAX(ROW(E$2:E304)*(E304=E$2:E304)))))-COUNTBLANK(OFFSET(A$1,,,SUMPRODUCT(MAX(ROW(E$1:E303)*(E304=E$1:E303))))))</f>
        <v>3</v>
      </c>
      <c r="K304" s="15" t="str">
        <f aca="false">IF(OR(E304="",E304="!!!",F304="NEW"),"",INDEX(J$1:J303,SUMPRODUCT(MAX(ROW(E$1:E303)*(E304=E$1:E303)))))</f>
        <v/>
      </c>
      <c r="L304" s="16"/>
    </row>
    <row r="305" customFormat="false" ht="12.75" hidden="false" customHeight="false" outlineLevel="0" collapsed="false">
      <c r="A305" s="9" t="s">
        <v>89</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163</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52</v>
      </c>
      <c r="B307" s="0" t="s">
        <v>135</v>
      </c>
      <c r="C307" s="0" t="s">
        <v>16</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254</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255</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94</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256</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9" t="s">
        <v>57</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257</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258</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259</v>
      </c>
      <c r="B316" s="0" t="s">
        <v>54</v>
      </c>
      <c r="C316" s="0" t="s">
        <v>104</v>
      </c>
      <c r="D316" s="0" t="s">
        <v>22</v>
      </c>
      <c r="E316" s="10" t="s">
        <v>260</v>
      </c>
      <c r="F316" s="11" t="str">
        <f aca="false">IF(OR(E316="",E316="!!!"),"",IF(NOT(ISNA(VLOOKUP(E316,E$1:E315,1,FALSE()))),"OLD",IF(AND(E316&lt;&gt;"",E316&lt;&gt;"!!!"),"NEW","")))</f>
        <v>NEW</v>
      </c>
      <c r="G316" s="12" t="s">
        <v>23</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9" t="s">
        <v>261</v>
      </c>
      <c r="B317" s="0" t="s">
        <v>15</v>
      </c>
      <c r="C317" s="0" t="s">
        <v>107</v>
      </c>
      <c r="D317" s="0" t="s">
        <v>22</v>
      </c>
      <c r="E317" s="10" t="s">
        <v>262</v>
      </c>
      <c r="F317" s="11" t="str">
        <f aca="false">IF(OR(E317="",E317="!!!"),"",IF(NOT(ISNA(VLOOKUP(E317,E$1:E316,1,FALSE()))),"OLD",IF(AND(E317&lt;&gt;"",E317&lt;&gt;"!!!"),"NEW","")))</f>
        <v>NEW</v>
      </c>
      <c r="G317" s="12" t="s">
        <v>23</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42</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9" t="s">
        <v>263</v>
      </c>
      <c r="B319" s="0" t="s">
        <v>54</v>
      </c>
      <c r="C319" s="0" t="s">
        <v>31</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264</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265</v>
      </c>
      <c r="B321" s="0" t="s">
        <v>44</v>
      </c>
      <c r="C321" s="0" t="s">
        <v>107</v>
      </c>
      <c r="D321" s="0" t="s">
        <v>22</v>
      </c>
      <c r="E321" s="10" t="s">
        <v>260</v>
      </c>
      <c r="F321" s="11" t="str">
        <f aca="false">IF(OR(E321="",E321="!!!"),"",IF(NOT(ISNA(VLOOKUP(E321,E$1:E320,1,FALSE()))),"OLD",IF(AND(E321&lt;&gt;"",E321&lt;&gt;"!!!"),"NEW","")))</f>
        <v>OLD</v>
      </c>
      <c r="G321" s="12" t="s">
        <v>50</v>
      </c>
      <c r="H321" s="13" t="str">
        <f aca="false">IF(J321&lt;&gt;1,"",IF(I321="SBJ","CB","?"))</f>
        <v/>
      </c>
      <c r="I321" s="14" t="str">
        <f aca="false">IF(OR(E321="",E321="!!!",F321="NEW"),"",INDEX(B$2:B320,-1+SUMPRODUCT(MAX(ROW(E$2:E320)*(E321=E$2:E320)))))</f>
        <v>other_2</v>
      </c>
      <c r="J321" s="15" t="n">
        <f aca="true">IF(OR(E321="",E321="!!!",F321="NEW"),"",COUNTBLANK(OFFSET(A$1,,,SUMPRODUCT(MAX(ROW(E$2:E321)*(E321=E$2:E321)))))-COUNTBLANK(OFFSET(A$1,,,SUMPRODUCT(MAX(ROW(E$1:E320)*(E321=E$1:E320))))))</f>
        <v>0</v>
      </c>
      <c r="K321" s="15" t="str">
        <f aca="false">IF(OR(E321="",E321="!!!",F321="NEW"),"",INDEX(J$1:J320,SUMPRODUCT(MAX(ROW(E$1:E320)*(E321=E$1:E320)))))</f>
        <v/>
      </c>
      <c r="L321" s="16"/>
    </row>
    <row r="322" customFormat="false" ht="12.75" hidden="false" customHeight="false" outlineLevel="0" collapsed="false">
      <c r="A322" s="9" t="s">
        <v>266</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9" t="s">
        <v>33</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267</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71</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268</v>
      </c>
      <c r="B326" s="0" t="s">
        <v>74</v>
      </c>
      <c r="C326" s="0" t="s">
        <v>31</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269</v>
      </c>
      <c r="B327" s="0" t="s">
        <v>67</v>
      </c>
      <c r="C327" s="0" t="s">
        <v>107</v>
      </c>
      <c r="D327" s="0" t="s">
        <v>22</v>
      </c>
      <c r="E327" s="10" t="s">
        <v>270</v>
      </c>
      <c r="F327" s="11" t="str">
        <f aca="false">IF(OR(E327="",E327="!!!"),"",IF(NOT(ISNA(VLOOKUP(E327,E$1:E326,1,FALSE()))),"OLD",IF(AND(E327&lt;&gt;"",E327&lt;&gt;"!!!"),"NEW","")))</f>
        <v>NEW</v>
      </c>
      <c r="G327" s="12" t="s">
        <v>23</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29</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33</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176</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177</v>
      </c>
      <c r="B331" s="0" t="s">
        <v>54</v>
      </c>
      <c r="C331" s="0" t="s">
        <v>21</v>
      </c>
      <c r="D331" s="0" t="s">
        <v>22</v>
      </c>
      <c r="E331" s="10" t="s">
        <v>178</v>
      </c>
      <c r="F331" s="11" t="str">
        <f aca="false">IF(OR(E331="",E331="!!!"),"",IF(NOT(ISNA(VLOOKUP(E331,E$1:E330,1,FALSE()))),"OLD",IF(AND(E331&lt;&gt;"",E331&lt;&gt;"!!!"),"NEW","")))</f>
        <v>OLD</v>
      </c>
      <c r="G331" s="12" t="s">
        <v>46</v>
      </c>
      <c r="H331" s="13" t="s">
        <v>7</v>
      </c>
      <c r="I331" s="14" t="str">
        <f aca="false">IF(OR(E331="",E331="!!!",F331="NEW"),"",INDEX(B$2:B330,-1+SUMPRODUCT(MAX(ROW(E$2:E330)*(E331=E$2:E330)))))</f>
        <v>other_3</v>
      </c>
      <c r="J331" s="15" t="n">
        <f aca="true">IF(OR(E331="",E331="!!!",F331="NEW"),"",COUNTBLANK(OFFSET(A$1,,,SUMPRODUCT(MAX(ROW(E$2:E331)*(E331=E$2:E331)))))-COUNTBLANK(OFFSET(A$1,,,SUMPRODUCT(MAX(ROW(E$1:E330)*(E331=E$1:E330))))))</f>
        <v>1</v>
      </c>
      <c r="K331" s="15" t="n">
        <f aca="false">IF(OR(E331="",E331="!!!",F331="NEW"),"",INDEX(J$1:J330,SUMPRODUCT(MAX(ROW(E$1:E330)*(E331=E$1:E330)))))</f>
        <v>3</v>
      </c>
      <c r="L331" s="16"/>
    </row>
    <row r="332" customFormat="false" ht="12.75" hidden="false" customHeight="false" outlineLevel="0" collapsed="false">
      <c r="A332" s="9" t="s">
        <v>57</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271</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272</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53</v>
      </c>
      <c r="B336" s="0" t="s">
        <v>15</v>
      </c>
      <c r="C336" s="0" t="s">
        <v>31</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42</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240</v>
      </c>
      <c r="B338" s="0" t="s">
        <v>44</v>
      </c>
      <c r="C338" s="0" t="s">
        <v>45</v>
      </c>
      <c r="D338" s="0" t="s">
        <v>22</v>
      </c>
      <c r="E338" s="10" t="s">
        <v>260</v>
      </c>
      <c r="F338" s="11" t="str">
        <f aca="false">IF(OR(E338="",E338="!!!"),"",IF(NOT(ISNA(VLOOKUP(E338,E$1:E337,1,FALSE()))),"OLD",IF(AND(E338&lt;&gt;"",E338&lt;&gt;"!!!"),"NEW","")))</f>
        <v>OLD</v>
      </c>
      <c r="G338" s="12" t="s">
        <v>23</v>
      </c>
      <c r="H338" s="13" t="str">
        <f aca="false">IF(J338&lt;&gt;1,"",IF(I338="SBJ","CB","?"))</f>
        <v>CB</v>
      </c>
      <c r="I338" s="14" t="str">
        <f aca="false">IF(OR(E338="",E338="!!!",F338="NEW"),"",INDEX(B$2:B337,-1+SUMPRODUCT(MAX(ROW(E$2:E337)*(E338=E$2:E337)))))</f>
        <v>SBJ</v>
      </c>
      <c r="J338" s="15" t="n">
        <f aca="true">IF(OR(E338="",E338="!!!",F338="NEW"),"",COUNTBLANK(OFFSET(A$1,,,SUMPRODUCT(MAX(ROW(E$2:E338)*(E338=E$2:E338)))))-COUNTBLANK(OFFSET(A$1,,,SUMPRODUCT(MAX(ROW(E$1:E337)*(E338=E$1:E337))))))</f>
        <v>1</v>
      </c>
      <c r="K338" s="15" t="n">
        <f aca="false">IF(OR(E338="",E338="!!!",F338="NEW"),"",INDEX(J$1:J337,SUMPRODUCT(MAX(ROW(E$1:E337)*(E338=E$1:E337)))))</f>
        <v>0</v>
      </c>
      <c r="L338" s="16"/>
    </row>
    <row r="339" customFormat="false" ht="12.75" hidden="false" customHeight="false" outlineLevel="0" collapsed="false">
      <c r="A339" s="9" t="s">
        <v>273</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274</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9" t="s">
        <v>275</v>
      </c>
      <c r="B341" s="0" t="s">
        <v>67</v>
      </c>
      <c r="C341" s="0" t="s">
        <v>31</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42</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276</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9" t="s">
        <v>232</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259</v>
      </c>
      <c r="B345" s="0" t="s">
        <v>74</v>
      </c>
      <c r="C345" s="0" t="s">
        <v>104</v>
      </c>
      <c r="D345" s="0" t="s">
        <v>22</v>
      </c>
      <c r="E345" s="10" t="s">
        <v>260</v>
      </c>
      <c r="F345" s="11" t="str">
        <f aca="false">IF(OR(E345="",E345="!!!"),"",IF(NOT(ISNA(VLOOKUP(E345,E$1:E344,1,FALSE()))),"OLD",IF(AND(E345&lt;&gt;"",E345&lt;&gt;"!!!"),"NEW","")))</f>
        <v>OLD</v>
      </c>
      <c r="G345" s="12" t="s">
        <v>50</v>
      </c>
      <c r="H345" s="13" t="str">
        <f aca="false">IF(J345&lt;&gt;1,"",IF(I345="SBJ","CB","?"))</f>
        <v/>
      </c>
      <c r="I345" s="14" t="str">
        <f aca="false">IF(OR(E345="",E345="!!!",F345="NEW"),"",INDEX(B$2:B344,-1+SUMPRODUCT(MAX(ROW(E$2:E344)*(E345=E$2:E344)))))</f>
        <v>SBJ</v>
      </c>
      <c r="J345" s="15" t="n">
        <f aca="true">IF(OR(E345="",E345="!!!",F345="NEW"),"",COUNTBLANK(OFFSET(A$1,,,SUMPRODUCT(MAX(ROW(E$2:E345)*(E345=E$2:E345)))))-COUNTBLANK(OFFSET(A$1,,,SUMPRODUCT(MAX(ROW(E$1:E344)*(E345=E$1:E344))))))</f>
        <v>0</v>
      </c>
      <c r="K345" s="15" t="n">
        <f aca="false">IF(OR(E345="",E345="!!!",F345="NEW"),"",INDEX(J$1:J344,SUMPRODUCT(MAX(ROW(E$1:E344)*(E345=E$1:E344)))))</f>
        <v>1</v>
      </c>
      <c r="L345" s="16"/>
    </row>
    <row r="346" customFormat="false" ht="12.75" hidden="false" customHeight="false" outlineLevel="0" collapsed="false">
      <c r="A346" s="9" t="s">
        <v>277</v>
      </c>
      <c r="B346" s="0" t="s">
        <v>122</v>
      </c>
      <c r="C346" s="0" t="s">
        <v>107</v>
      </c>
      <c r="D346" s="0" t="s">
        <v>22</v>
      </c>
      <c r="E346" s="10" t="s">
        <v>278</v>
      </c>
      <c r="F346" s="11" t="str">
        <f aca="false">IF(OR(E346="",E346="!!!"),"",IF(NOT(ISNA(VLOOKUP(E346,E$1:E345,1,FALSE()))),"OLD",IF(AND(E346&lt;&gt;"",E346&lt;&gt;"!!!"),"NEW","")))</f>
        <v>NEW</v>
      </c>
      <c r="G346" s="12" t="s">
        <v>23</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42</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71</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279</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33</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9" t="s">
        <v>280</v>
      </c>
      <c r="B351" s="0" t="s">
        <v>128</v>
      </c>
      <c r="C351" s="0" t="s">
        <v>35</v>
      </c>
      <c r="D351" s="0" t="s">
        <v>22</v>
      </c>
      <c r="E351" s="10" t="s">
        <v>281</v>
      </c>
      <c r="F351" s="11" t="str">
        <f aca="false">IF(OR(E351="",E351="!!!"),"",IF(NOT(ISNA(VLOOKUP(E351,E$1:E350,1,FALSE()))),"OLD",IF(AND(E351&lt;&gt;"",E351&lt;&gt;"!!!"),"NEW","")))</f>
        <v>NEW</v>
      </c>
      <c r="G351" s="12" t="s">
        <v>23</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9" t="s">
        <v>68</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282</v>
      </c>
      <c r="B353" s="0" t="s">
        <v>74</v>
      </c>
      <c r="C353" s="0" t="s">
        <v>283</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209</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284</v>
      </c>
      <c r="B355" s="0" t="s">
        <v>80</v>
      </c>
      <c r="C355" s="0" t="s">
        <v>31</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94</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285</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286</v>
      </c>
      <c r="B358" s="0" t="s">
        <v>80</v>
      </c>
      <c r="C358" s="0" t="s">
        <v>31</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57</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9" t="s">
        <v>287</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272</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288</v>
      </c>
      <c r="B363" s="0" t="s">
        <v>15</v>
      </c>
      <c r="C363" s="0" t="s">
        <v>31</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9" t="s">
        <v>42</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240</v>
      </c>
      <c r="B365" s="0" t="s">
        <v>44</v>
      </c>
      <c r="C365" s="0" t="s">
        <v>45</v>
      </c>
      <c r="D365" s="0" t="s">
        <v>22</v>
      </c>
      <c r="E365" s="10" t="s">
        <v>260</v>
      </c>
      <c r="F365" s="11" t="str">
        <f aca="false">IF(OR(E365="",E365="!!!"),"",IF(NOT(ISNA(VLOOKUP(E365,E$1:E364,1,FALSE()))),"OLD",IF(AND(E365&lt;&gt;"",E365&lt;&gt;"!!!"),"NEW","")))</f>
        <v>OLD</v>
      </c>
      <c r="G365" s="12" t="s">
        <v>46</v>
      </c>
      <c r="H365" s="13" t="s">
        <v>7</v>
      </c>
      <c r="I365" s="14" t="str">
        <f aca="false">IF(OR(E365="",E365="!!!",F365="NEW"),"",INDEX(B$2:B364,-1+SUMPRODUCT(MAX(ROW(E$2:E364)*(E365=E$2:E364)))))</f>
        <v>other_3</v>
      </c>
      <c r="J365" s="15" t="n">
        <f aca="true">IF(OR(E365="",E365="!!!",F365="NEW"),"",COUNTBLANK(OFFSET(A$1,,,SUMPRODUCT(MAX(ROW(E$2:E365)*(E365=E$2:E365)))))-COUNTBLANK(OFFSET(A$1,,,SUMPRODUCT(MAX(ROW(E$1:E364)*(E365=E$1:E364))))))</f>
        <v>1</v>
      </c>
      <c r="K365" s="15" t="n">
        <f aca="false">IF(OR(E365="",E365="!!!",F365="NEW"),"",INDEX(J$1:J364,SUMPRODUCT(MAX(ROW(E$1:E364)*(E365=E$1:E364)))))</f>
        <v>0</v>
      </c>
      <c r="L365" s="16"/>
    </row>
    <row r="366" customFormat="false" ht="12.75" hidden="false" customHeight="false" outlineLevel="0" collapsed="false">
      <c r="A366" s="9" t="s">
        <v>289</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290</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33</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291</v>
      </c>
      <c r="B369" s="0" t="s">
        <v>15</v>
      </c>
      <c r="C369" s="0" t="s">
        <v>35</v>
      </c>
      <c r="D369" s="0" t="s">
        <v>22</v>
      </c>
      <c r="E369" s="10" t="s">
        <v>292</v>
      </c>
      <c r="F369" s="11" t="str">
        <f aca="false">IF(OR(E369="",E369="!!!"),"",IF(NOT(ISNA(VLOOKUP(E369,E$1:E368,1,FALSE()))),"OLD",IF(AND(E369&lt;&gt;"",E369&lt;&gt;"!!!"),"NEW","")))</f>
        <v>NEW</v>
      </c>
      <c r="G369" s="12" t="s">
        <v>23</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42</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A371" s="9" t="s">
        <v>293</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294</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68</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259</v>
      </c>
      <c r="B374" s="0" t="s">
        <v>74</v>
      </c>
      <c r="C374" s="0" t="s">
        <v>104</v>
      </c>
      <c r="D374" s="0" t="s">
        <v>22</v>
      </c>
      <c r="E374" s="10" t="s">
        <v>260</v>
      </c>
      <c r="F374" s="11" t="str">
        <f aca="false">IF(OR(E374="",E374="!!!"),"",IF(NOT(ISNA(VLOOKUP(E374,E$1:E373,1,FALSE()))),"OLD",IF(AND(E374&lt;&gt;"",E374&lt;&gt;"!!!"),"NEW","")))</f>
        <v>OLD</v>
      </c>
      <c r="G374" s="12" t="s">
        <v>50</v>
      </c>
      <c r="H374" s="13" t="str">
        <f aca="false">IF(J374&lt;&gt;1,"",IF(I374="SBJ","CB","?"))</f>
        <v/>
      </c>
      <c r="I374" s="14" t="str">
        <f aca="false">IF(OR(E374="",E374="!!!",F374="NEW"),"",INDEX(B$2:B373,-1+SUMPRODUCT(MAX(ROW(E$2:E373)*(E374=E$2:E373)))))</f>
        <v>SBJ</v>
      </c>
      <c r="J374" s="15" t="n">
        <f aca="true">IF(OR(E374="",E374="!!!",F374="NEW"),"",COUNTBLANK(OFFSET(A$1,,,SUMPRODUCT(MAX(ROW(E$2:E374)*(E374=E$2:E374)))))-COUNTBLANK(OFFSET(A$1,,,SUMPRODUCT(MAX(ROW(E$1:E373)*(E374=E$1:E373))))))</f>
        <v>0</v>
      </c>
      <c r="K374" s="15" t="n">
        <f aca="false">IF(OR(E374="",E374="!!!",F374="NEW"),"",INDEX(J$1:J373,SUMPRODUCT(MAX(ROW(E$1:E373)*(E374=E$1:E373)))))</f>
        <v>1</v>
      </c>
      <c r="L374" s="16"/>
    </row>
    <row r="375" customFormat="false" ht="12.75" hidden="false" customHeight="false" outlineLevel="0" collapsed="false">
      <c r="A375" s="9" t="s">
        <v>295</v>
      </c>
      <c r="B375" s="0" t="s">
        <v>54</v>
      </c>
      <c r="C375" s="0" t="s">
        <v>107</v>
      </c>
      <c r="D375" s="0" t="s">
        <v>22</v>
      </c>
      <c r="E375" s="10" t="s">
        <v>296</v>
      </c>
      <c r="F375" s="11" t="str">
        <f aca="false">IF(OR(E375="",E375="!!!"),"",IF(NOT(ISNA(VLOOKUP(E375,E$1:E374,1,FALSE()))),"OLD",IF(AND(E375&lt;&gt;"",E375&lt;&gt;"!!!"),"NEW","")))</f>
        <v>NEW</v>
      </c>
      <c r="G375" s="12" t="s">
        <v>23</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29</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297</v>
      </c>
      <c r="B377" s="0" t="s">
        <v>74</v>
      </c>
      <c r="C377" s="0" t="s">
        <v>31</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42</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298</v>
      </c>
      <c r="B379" s="0" t="s">
        <v>74</v>
      </c>
      <c r="C379" s="0" t="s">
        <v>31</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71</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299</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300</v>
      </c>
      <c r="B382" s="0" t="s">
        <v>80</v>
      </c>
      <c r="C382" s="0" t="s">
        <v>31</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148</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259</v>
      </c>
      <c r="B384" s="0" t="s">
        <v>96</v>
      </c>
      <c r="C384" s="0" t="s">
        <v>104</v>
      </c>
      <c r="D384" s="0" t="s">
        <v>22</v>
      </c>
      <c r="E384" s="10" t="s">
        <v>260</v>
      </c>
      <c r="F384" s="11" t="str">
        <f aca="false">IF(OR(E384="",E384="!!!"),"",IF(NOT(ISNA(VLOOKUP(E384,E$1:E383,1,FALSE()))),"OLD",IF(AND(E384&lt;&gt;"",E384&lt;&gt;"!!!"),"NEW","")))</f>
        <v>OLD</v>
      </c>
      <c r="G384" s="12" t="s">
        <v>50</v>
      </c>
      <c r="H384" s="13" t="str">
        <f aca="false">IF(J384&lt;&gt;1,"",IF(I384="SBJ","CB","?"))</f>
        <v/>
      </c>
      <c r="I384" s="14" t="str">
        <f aca="false">IF(OR(E384="",E384="!!!",F384="NEW"),"",INDEX(B$2:B383,-1+SUMPRODUCT(MAX(ROW(E$2:E383)*(E384=E$2:E383)))))</f>
        <v>other_3</v>
      </c>
      <c r="J384" s="15" t="n">
        <f aca="true">IF(OR(E384="",E384="!!!",F384="NEW"),"",COUNTBLANK(OFFSET(A$1,,,SUMPRODUCT(MAX(ROW(E$2:E384)*(E384=E$2:E384)))))-COUNTBLANK(OFFSET(A$1,,,SUMPRODUCT(MAX(ROW(E$1:E383)*(E384=E$1:E383))))))</f>
        <v>0</v>
      </c>
      <c r="K384" s="15" t="n">
        <f aca="false">IF(OR(E384="",E384="!!!",F384="NEW"),"",INDEX(J$1:J383,SUMPRODUCT(MAX(ROW(E$1:E383)*(E384=E$1:E383)))))</f>
        <v>0</v>
      </c>
      <c r="L384" s="16"/>
    </row>
    <row r="385" customFormat="false" ht="12.75" hidden="false" customHeight="false" outlineLevel="0" collapsed="false">
      <c r="A385" s="9" t="s">
        <v>301</v>
      </c>
      <c r="B385" s="0" t="s">
        <v>80</v>
      </c>
      <c r="C385" s="0" t="s">
        <v>107</v>
      </c>
      <c r="D385" s="0" t="s">
        <v>22</v>
      </c>
      <c r="E385" s="10" t="s">
        <v>302</v>
      </c>
      <c r="F385" s="11" t="str">
        <f aca="false">IF(OR(E385="",E385="!!!"),"",IF(NOT(ISNA(VLOOKUP(E385,E$1:E384,1,FALSE()))),"OLD",IF(AND(E385&lt;&gt;"",E385&lt;&gt;"!!!"),"NEW","")))</f>
        <v>NEW</v>
      </c>
      <c r="G385" s="12" t="s">
        <v>23</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57</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303</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304</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194</v>
      </c>
      <c r="B390" s="0" t="s">
        <v>44</v>
      </c>
      <c r="C390" s="0" t="s">
        <v>16</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305</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94</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33</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34</v>
      </c>
      <c r="B394" s="0" t="s">
        <v>15</v>
      </c>
      <c r="C394" s="0" t="s">
        <v>35</v>
      </c>
      <c r="D394" s="0" t="s">
        <v>22</v>
      </c>
      <c r="E394" s="10" t="s">
        <v>36</v>
      </c>
      <c r="F394" s="11" t="str">
        <f aca="false">IF(OR(E394="",E394="!!!"),"",IF(NOT(ISNA(VLOOKUP(E394,E$1:E393,1,FALSE()))),"OLD",IF(AND(E394&lt;&gt;"",E394&lt;&gt;"!!!"),"NEW","")))</f>
        <v>OLD</v>
      </c>
      <c r="G394" s="12" t="s">
        <v>129</v>
      </c>
      <c r="H394" s="13" t="str">
        <f aca="false">IF(J394&lt;&gt;1,"",IF(I394="SBJ","CB","?"))</f>
        <v/>
      </c>
      <c r="I394" s="14" t="str">
        <f aca="false">IF(OR(E394="",E394="!!!",F394="NEW"),"",INDEX(B$2:B393,-1+SUMPRODUCT(MAX(ROW(E$2:E393)*(E394=E$2:E393)))))</f>
        <v>other_3</v>
      </c>
      <c r="J394" s="15" t="n">
        <f aca="true">IF(OR(E394="",E394="!!!",F394="NEW"),"",COUNTBLANK(OFFSET(A$1,,,SUMPRODUCT(MAX(ROW(E$2:E394)*(E394=E$2:E394)))))-COUNTBLANK(OFFSET(A$1,,,SUMPRODUCT(MAX(ROW(E$1:E393)*(E394=E$1:E393))))))</f>
        <v>9</v>
      </c>
      <c r="K394" s="15" t="n">
        <f aca="false">IF(OR(E394="",E394="!!!",F394="NEW"),"",INDEX(J$1:J393,SUMPRODUCT(MAX(ROW(E$1:E393)*(E394=E$1:E393)))))</f>
        <v>4</v>
      </c>
      <c r="L394" s="16" t="s">
        <v>306</v>
      </c>
    </row>
    <row r="395" customFormat="false" ht="12.75" hidden="false" customHeight="false" outlineLevel="0" collapsed="false">
      <c r="A395" s="9" t="s">
        <v>191</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307</v>
      </c>
      <c r="B396" s="0" t="s">
        <v>15</v>
      </c>
      <c r="C396" s="0" t="s">
        <v>31</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9" t="s">
        <v>42</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308</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9" t="s">
        <v>309</v>
      </c>
      <c r="B399" s="0" t="s">
        <v>122</v>
      </c>
      <c r="C399" s="0" t="s">
        <v>31</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42</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310</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311</v>
      </c>
      <c r="B402" s="0" t="s">
        <v>74</v>
      </c>
      <c r="C402" s="0" t="s">
        <v>31</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71</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312</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313</v>
      </c>
      <c r="B405" s="0" t="s">
        <v>74</v>
      </c>
      <c r="C405" s="0" t="s">
        <v>31</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76</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314</v>
      </c>
      <c r="B407" s="0" t="s">
        <v>74</v>
      </c>
      <c r="C407" s="0" t="s">
        <v>31</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117</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39</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315</v>
      </c>
      <c r="B410" s="0" t="s">
        <v>80</v>
      </c>
      <c r="C410" s="0" t="s">
        <v>28</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29</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316</v>
      </c>
      <c r="B412" s="0" t="s">
        <v>96</v>
      </c>
      <c r="C412" s="0" t="s">
        <v>31</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57</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317</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318</v>
      </c>
      <c r="B416" s="0" t="s">
        <v>44</v>
      </c>
      <c r="C416" s="0" t="s">
        <v>31</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319</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209</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33</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320</v>
      </c>
      <c r="B420" s="0" t="s">
        <v>15</v>
      </c>
      <c r="C420" s="0" t="s">
        <v>35</v>
      </c>
      <c r="D420" s="0" t="s">
        <v>22</v>
      </c>
      <c r="E420" s="10" t="s">
        <v>321</v>
      </c>
      <c r="F420" s="11" t="str">
        <f aca="false">IF(OR(E420="",E420="!!!"),"",IF(NOT(ISNA(VLOOKUP(E420,E$1:E419,1,FALSE()))),"OLD",IF(AND(E420&lt;&gt;"",E420&lt;&gt;"!!!"),"NEW","")))</f>
        <v>NEW</v>
      </c>
      <c r="G420" s="12" t="s">
        <v>23</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9" t="s">
        <v>29</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322</v>
      </c>
      <c r="B422" s="0" t="s">
        <v>54</v>
      </c>
      <c r="C422" s="0" t="s">
        <v>31</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42</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323</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9" t="s">
        <v>324</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39</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325</v>
      </c>
      <c r="B427" s="0" t="s">
        <v>122</v>
      </c>
      <c r="C427" s="0" t="s">
        <v>28</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94</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326</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327</v>
      </c>
      <c r="B430" s="0" t="s">
        <v>93</v>
      </c>
      <c r="C430" s="0" t="s">
        <v>31</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17</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328</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329</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330</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331</v>
      </c>
      <c r="B436" s="0" t="s">
        <v>15</v>
      </c>
      <c r="C436" s="0" t="s">
        <v>31</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42</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332</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333</v>
      </c>
      <c r="B439" s="0" t="s">
        <v>15</v>
      </c>
      <c r="C439" s="0" t="s">
        <v>31</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334</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335</v>
      </c>
      <c r="B441" s="0" t="s">
        <v>128</v>
      </c>
      <c r="C441" s="0" t="s">
        <v>31</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71</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336</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337</v>
      </c>
      <c r="B444" s="0" t="s">
        <v>80</v>
      </c>
      <c r="C444" s="0" t="s">
        <v>31</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57</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338</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339</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340</v>
      </c>
      <c r="B449" s="0" t="s">
        <v>49</v>
      </c>
      <c r="C449" s="0" t="s">
        <v>31</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256</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341</v>
      </c>
      <c r="B451" s="0" t="s">
        <v>122</v>
      </c>
      <c r="C451" s="0" t="s">
        <v>31</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29</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342</v>
      </c>
      <c r="B453" s="0" t="s">
        <v>74</v>
      </c>
      <c r="C453" s="0" t="s">
        <v>31</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71</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343</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9" t="s">
        <v>344</v>
      </c>
      <c r="B456" s="0" t="s">
        <v>80</v>
      </c>
      <c r="C456" s="0" t="s">
        <v>31</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42</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194</v>
      </c>
      <c r="B458" s="0" t="s">
        <v>44</v>
      </c>
      <c r="C458" s="0" t="s">
        <v>31</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345</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259</v>
      </c>
      <c r="B460" s="0" t="s">
        <v>54</v>
      </c>
      <c r="C460" s="0" t="s">
        <v>104</v>
      </c>
      <c r="D460" s="0" t="s">
        <v>22</v>
      </c>
      <c r="E460" s="10" t="s">
        <v>346</v>
      </c>
      <c r="F460" s="11" t="str">
        <f aca="false">IF(OR(E460="",E460="!!!"),"",IF(NOT(ISNA(VLOOKUP(E460,E$1:E459,1,FALSE()))),"OLD",IF(AND(E460&lt;&gt;"",E460&lt;&gt;"!!!"),"NEW","")))</f>
        <v>NEW</v>
      </c>
      <c r="G460" s="12" t="s">
        <v>23</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152</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347</v>
      </c>
      <c r="B462" s="0" t="s">
        <v>67</v>
      </c>
      <c r="C462" s="0" t="s">
        <v>107</v>
      </c>
      <c r="D462" s="0" t="s">
        <v>22</v>
      </c>
      <c r="E462" s="10" t="s">
        <v>348</v>
      </c>
      <c r="F462" s="11" t="str">
        <f aca="false">IF(OR(E462="",E462="!!!"),"",IF(NOT(ISNA(VLOOKUP(E462,E$1:E461,1,FALSE()))),"OLD",IF(AND(E462&lt;&gt;"",E462&lt;&gt;"!!!"),"NEW","")))</f>
        <v>NEW</v>
      </c>
      <c r="G462" s="12" t="s">
        <v>23</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156</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9" t="s">
        <v>33</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349</v>
      </c>
      <c r="B465" s="0" t="s">
        <v>15</v>
      </c>
      <c r="C465" s="0" t="s">
        <v>35</v>
      </c>
      <c r="D465" s="0" t="s">
        <v>22</v>
      </c>
      <c r="E465" s="10" t="s">
        <v>350</v>
      </c>
      <c r="F465" s="11" t="str">
        <f aca="false">IF(OR(E465="",E465="!!!"),"",IF(NOT(ISNA(VLOOKUP(E465,E$1:E464,1,FALSE()))),"OLD",IF(AND(E465&lt;&gt;"",E465&lt;&gt;"!!!"),"NEW","")))</f>
        <v>NEW</v>
      </c>
      <c r="G465" s="12" t="s">
        <v>23</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29</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351</v>
      </c>
      <c r="B467" s="0" t="s">
        <v>54</v>
      </c>
      <c r="C467" s="0" t="s">
        <v>31</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71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352</v>
      </c>
      <c r="B469" s="0" t="s">
        <v>74</v>
      </c>
      <c r="C469" s="0" t="s">
        <v>31</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57</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9" t="s">
        <v>353</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354</v>
      </c>
      <c r="B473" s="0" t="s">
        <v>44</v>
      </c>
      <c r="C473" s="0" t="s">
        <v>45</v>
      </c>
      <c r="D473" s="0" t="s">
        <v>22</v>
      </c>
      <c r="E473" s="10" t="s">
        <v>260</v>
      </c>
      <c r="F473" s="11" t="str">
        <f aca="false">IF(OR(E473="",E473="!!!"),"",IF(NOT(ISNA(VLOOKUP(E473,E$1:E472,1,FALSE()))),"OLD",IF(AND(E473&lt;&gt;"",E473&lt;&gt;"!!!"),"NEW","")))</f>
        <v>OLD</v>
      </c>
      <c r="G473" s="12" t="s">
        <v>129</v>
      </c>
      <c r="H473" s="13" t="str">
        <f aca="false">IF(J473&lt;&gt;1,"",IF(I473="SBJ","CB","?"))</f>
        <v/>
      </c>
      <c r="I473" s="14" t="str">
        <f aca="false">IF(OR(E473="",E473="!!!",F473="NEW"),"",INDEX(B$2:B472,-1+SUMPRODUCT(MAX(ROW(E$2:E472)*(E473=E$2:E472)))))</f>
        <v>other_5</v>
      </c>
      <c r="J473" s="15" t="n">
        <f aca="true">IF(OR(E473="",E473="!!!",F473="NEW"),"",COUNTBLANK(OFFSET(A$1,,,SUMPRODUCT(MAX(ROW(E$2:E473)*(E473=E$2:E473)))))-COUNTBLANK(OFFSET(A$1,,,SUMPRODUCT(MAX(ROW(E$1:E472)*(E473=E$1:E472))))))</f>
        <v>5</v>
      </c>
      <c r="K473" s="15" t="n">
        <f aca="false">IF(OR(E473="",E473="!!!",F473="NEW"),"",INDEX(J$1:J472,SUMPRODUCT(MAX(ROW(E$1:E472)*(E473=E$1:E472)))))</f>
        <v>0</v>
      </c>
      <c r="L473" s="16"/>
    </row>
    <row r="474" customFormat="false" ht="12.75" hidden="false" customHeight="false" outlineLevel="0" collapsed="false">
      <c r="A474" s="9" t="s">
        <v>355</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356</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357</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358</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29</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33</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A480" s="9" t="s">
        <v>359</v>
      </c>
      <c r="B480" s="0" t="s">
        <v>15</v>
      </c>
      <c r="C480" s="0" t="s">
        <v>35</v>
      </c>
      <c r="D480" s="0" t="s">
        <v>22</v>
      </c>
      <c r="E480" s="10" t="s">
        <v>360</v>
      </c>
      <c r="F480" s="11" t="str">
        <f aca="false">IF(OR(E480="",E480="!!!"),"",IF(NOT(ISNA(VLOOKUP(E480,E$1:E479,1,FALSE()))),"OLD",IF(AND(E480&lt;&gt;"",E480&lt;&gt;"!!!"),"NEW","")))</f>
        <v>NEW</v>
      </c>
      <c r="G480" s="12" t="s">
        <v>23</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29</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361</v>
      </c>
      <c r="B482" s="0" t="s">
        <v>54</v>
      </c>
      <c r="C482" s="0" t="s">
        <v>362</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240</v>
      </c>
      <c r="B483" s="0" t="s">
        <v>90</v>
      </c>
      <c r="C483" s="0" t="s">
        <v>45</v>
      </c>
      <c r="D483" s="0" t="s">
        <v>22</v>
      </c>
      <c r="E483" s="10" t="s">
        <v>260</v>
      </c>
      <c r="F483" s="11" t="str">
        <f aca="false">IF(OR(E483="",E483="!!!"),"",IF(NOT(ISNA(VLOOKUP(E483,E$1:E482,1,FALSE()))),"OLD",IF(AND(E483&lt;&gt;"",E483&lt;&gt;"!!!"),"NEW","")))</f>
        <v>OLD</v>
      </c>
      <c r="G483" s="12" t="s">
        <v>50</v>
      </c>
      <c r="H483" s="13" t="str">
        <f aca="false">IF(J483&lt;&gt;1,"",IF(I483="SBJ","CB","?"))</f>
        <v/>
      </c>
      <c r="I483" s="14" t="str">
        <f aca="false">IF(OR(E483="",E483="!!!",F483="NEW"),"",INDEX(B$2:B482,-1+SUMPRODUCT(MAX(ROW(E$2:E482)*(E483=E$2:E482)))))</f>
        <v>SBJ</v>
      </c>
      <c r="J483" s="15" t="n">
        <f aca="true">IF(OR(E483="",E483="!!!",F483="NEW"),"",COUNTBLANK(OFFSET(A$1,,,SUMPRODUCT(MAX(ROW(E$2:E483)*(E483=E$2:E483)))))-COUNTBLANK(OFFSET(A$1,,,SUMPRODUCT(MAX(ROW(E$1:E482)*(E483=E$1:E482))))))</f>
        <v>0</v>
      </c>
      <c r="K483" s="15" t="n">
        <f aca="false">IF(OR(E483="",E483="!!!",F483="NEW"),"",INDEX(J$1:J482,SUMPRODUCT(MAX(ROW(E$1:E482)*(E483=E$1:E482)))))</f>
        <v>5</v>
      </c>
      <c r="L483" s="16"/>
    </row>
    <row r="484" customFormat="false" ht="12.75" hidden="false" customHeight="false" outlineLevel="0" collapsed="false">
      <c r="A484" s="9" t="s">
        <v>345</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141</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39</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363</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364</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322</v>
      </c>
      <c r="B489" s="0" t="s">
        <v>80</v>
      </c>
      <c r="C489" s="0" t="s">
        <v>28</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150</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365</v>
      </c>
      <c r="B491" s="0" t="s">
        <v>80</v>
      </c>
      <c r="C491" s="0" t="s">
        <v>31</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56</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366</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221</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367</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325</v>
      </c>
      <c r="B496" s="0" t="s">
        <v>80</v>
      </c>
      <c r="C496" s="0" t="s">
        <v>28</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366</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33</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9" t="s">
        <v>310</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189</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185</v>
      </c>
      <c r="B501" s="0" t="s">
        <v>96</v>
      </c>
      <c r="C501" s="0" t="s">
        <v>35</v>
      </c>
      <c r="D501" s="0" t="s">
        <v>22</v>
      </c>
      <c r="E501" s="10" t="s">
        <v>368</v>
      </c>
      <c r="F501" s="11" t="str">
        <f aca="false">IF(OR(E501="",E501="!!!"),"",IF(NOT(ISNA(VLOOKUP(E501,E$1:E500,1,FALSE()))),"OLD",IF(AND(E501&lt;&gt;"",E501&lt;&gt;"!!!"),"NEW","")))</f>
        <v>NEW</v>
      </c>
      <c r="G501" s="12" t="s">
        <v>23</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57</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369</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354</v>
      </c>
      <c r="B505" s="0" t="s">
        <v>44</v>
      </c>
      <c r="C505" s="0" t="s">
        <v>45</v>
      </c>
      <c r="D505" s="0" t="s">
        <v>22</v>
      </c>
      <c r="E505" s="10" t="s">
        <v>260</v>
      </c>
      <c r="F505" s="11" t="str">
        <f aca="false">IF(OR(E505="",E505="!!!"),"",IF(NOT(ISNA(VLOOKUP(E505,E$1:E504,1,FALSE()))),"OLD",IF(AND(E505&lt;&gt;"",E505&lt;&gt;"!!!"),"NEW","")))</f>
        <v>OLD</v>
      </c>
      <c r="G505" s="12" t="s">
        <v>46</v>
      </c>
      <c r="H505" s="13" t="s">
        <v>7</v>
      </c>
      <c r="I505" s="14" t="str">
        <f aca="false">IF(OR(E505="",E505="!!!",F505="NEW"),"",INDEX(B$2:B504,-1+SUMPRODUCT(MAX(ROW(E$2:E504)*(E505=E$2:E504)))))</f>
        <v>SBJ_4</v>
      </c>
      <c r="J505" s="15" t="n">
        <f aca="true">IF(OR(E505="",E505="!!!",F505="NEW"),"",COUNTBLANK(OFFSET(A$1,,,SUMPRODUCT(MAX(ROW(E$2:E505)*(E505=E$2:E505)))))-COUNTBLANK(OFFSET(A$1,,,SUMPRODUCT(MAX(ROW(E$1:E504)*(E505=E$1:E504))))))</f>
        <v>1</v>
      </c>
      <c r="K505" s="15" t="n">
        <f aca="false">IF(OR(E505="",E505="!!!",F505="NEW"),"",INDEX(J$1:J504,SUMPRODUCT(MAX(ROW(E$1:E504)*(E505=E$1:E504)))))</f>
        <v>0</v>
      </c>
      <c r="L505" s="16"/>
    </row>
    <row r="506" customFormat="false" ht="12.75" hidden="false" customHeight="false" outlineLevel="0" collapsed="false">
      <c r="A506" s="9" t="s">
        <v>305</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370</v>
      </c>
      <c r="B507" s="0" t="s">
        <v>67</v>
      </c>
      <c r="C507" s="0" t="s">
        <v>31</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29</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A509" s="9" t="s">
        <v>33</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371</v>
      </c>
      <c r="B510" s="0" t="s">
        <v>15</v>
      </c>
      <c r="C510" s="0" t="s">
        <v>35</v>
      </c>
      <c r="D510" s="0" t="s">
        <v>22</v>
      </c>
      <c r="E510" s="10"/>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t="s">
        <v>372</v>
      </c>
    </row>
    <row r="511" customFormat="false" ht="12.75" hidden="false" customHeight="false" outlineLevel="0" collapsed="false">
      <c r="A511" s="9" t="s">
        <v>89</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9" t="s">
        <v>76</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33</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176</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177</v>
      </c>
      <c r="B515" s="0" t="s">
        <v>74</v>
      </c>
      <c r="C515" s="0" t="s">
        <v>21</v>
      </c>
      <c r="D515" s="0" t="s">
        <v>22</v>
      </c>
      <c r="E515" s="10" t="s">
        <v>178</v>
      </c>
      <c r="F515" s="11" t="str">
        <f aca="false">IF(OR(E515="",E515="!!!"),"",IF(NOT(ISNA(VLOOKUP(E515,E$1:E514,1,FALSE()))),"OLD",IF(AND(E515&lt;&gt;"",E515&lt;&gt;"!!!"),"NEW","")))</f>
        <v>OLD</v>
      </c>
      <c r="G515" s="12" t="s">
        <v>129</v>
      </c>
      <c r="H515" s="13" t="str">
        <f aca="false">IF(J515&lt;&gt;1,"",IF(I515="SBJ","CB","?"))</f>
        <v/>
      </c>
      <c r="I515" s="14" t="str">
        <f aca="false">IF(OR(E515="",E515="!!!",F515="NEW"),"",INDEX(B$2:B514,-1+SUMPRODUCT(MAX(ROW(E$2:E514)*(E515=E$2:E514)))))</f>
        <v>other_2</v>
      </c>
      <c r="J515" s="15" t="n">
        <f aca="true">IF(OR(E515="",E515="!!!",F515="NEW"),"",COUNTBLANK(OFFSET(A$1,,,SUMPRODUCT(MAX(ROW(E$2:E515)*(E515=E$2:E515)))))-COUNTBLANK(OFFSET(A$1,,,SUMPRODUCT(MAX(ROW(E$1:E514)*(E515=E$1:E514))))))</f>
        <v>8</v>
      </c>
      <c r="K515" s="15" t="n">
        <f aca="false">IF(OR(E515="",E515="!!!",F515="NEW"),"",INDEX(J$1:J514,SUMPRODUCT(MAX(ROW(E$1:E514)*(E515=E$1:E514)))))</f>
        <v>1</v>
      </c>
      <c r="L515" s="16"/>
    </row>
    <row r="516" customFormat="false" ht="12.75" hidden="false" customHeight="false" outlineLevel="0" collapsed="false">
      <c r="A516" s="9" t="s">
        <v>42</v>
      </c>
      <c r="E516" s="10"/>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220</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94</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373</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374</v>
      </c>
      <c r="B520" s="0" t="s">
        <v>135</v>
      </c>
      <c r="C520" s="0" t="s">
        <v>16</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29</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120</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73</v>
      </c>
      <c r="B523" s="0" t="s">
        <v>80</v>
      </c>
      <c r="C523" s="0" t="s">
        <v>28</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375</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220</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76</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33</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376</v>
      </c>
      <c r="B528" s="0" t="s">
        <v>74</v>
      </c>
      <c r="C528" s="0" t="s">
        <v>35</v>
      </c>
      <c r="D528" s="0" t="s">
        <v>22</v>
      </c>
      <c r="E528" s="10" t="s">
        <v>377</v>
      </c>
      <c r="F528" s="11" t="str">
        <f aca="false">IF(OR(E528="",E528="!!!"),"",IF(NOT(ISNA(VLOOKUP(E528,E$1:E527,1,FALSE()))),"OLD",IF(AND(E528&lt;&gt;"",E528&lt;&gt;"!!!"),"NEW","")))</f>
        <v>NEW</v>
      </c>
      <c r="G528" s="12" t="s">
        <v>23</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191</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378</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117</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A532" s="9" t="s">
        <v>379</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380</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381</v>
      </c>
      <c r="B534" s="0" t="s">
        <v>80</v>
      </c>
      <c r="C534" s="0" t="s">
        <v>31</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76</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9" t="s">
        <v>382</v>
      </c>
      <c r="B536" s="0" t="s">
        <v>96</v>
      </c>
      <c r="C536" s="0" t="s">
        <v>31</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71</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383</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72</v>
      </c>
      <c r="B539" s="0" t="s">
        <v>98</v>
      </c>
      <c r="C539" s="0" t="s">
        <v>31</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9" t="s">
        <v>57</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384</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354</v>
      </c>
      <c r="B543" s="0" t="s">
        <v>44</v>
      </c>
      <c r="C543" s="0" t="s">
        <v>45</v>
      </c>
      <c r="D543" s="0" t="s">
        <v>22</v>
      </c>
      <c r="E543" s="10" t="s">
        <v>260</v>
      </c>
      <c r="F543" s="11" t="str">
        <f aca="false">IF(OR(E543="",E543="!!!"),"",IF(NOT(ISNA(VLOOKUP(E543,E$1:E542,1,FALSE()))),"OLD",IF(AND(E543&lt;&gt;"",E543&lt;&gt;"!!!"),"NEW","")))</f>
        <v>OLD</v>
      </c>
      <c r="G543" s="12" t="s">
        <v>50</v>
      </c>
      <c r="H543" s="13" t="str">
        <f aca="false">IF(J543&lt;&gt;1,"",IF(I543="SBJ","CB","?"))</f>
        <v>CB</v>
      </c>
      <c r="I543" s="14" t="str">
        <f aca="false">IF(OR(E543="",E543="!!!",F543="NEW"),"",INDEX(B$2:B542,-1+SUMPRODUCT(MAX(ROW(E$2:E542)*(E543=E$2:E542)))))</f>
        <v>SBJ</v>
      </c>
      <c r="J543" s="15" t="n">
        <f aca="true">IF(OR(E543="",E543="!!!",F543="NEW"),"",COUNTBLANK(OFFSET(A$1,,,SUMPRODUCT(MAX(ROW(E$2:E543)*(E543=E$2:E543)))))-COUNTBLANK(OFFSET(A$1,,,SUMPRODUCT(MAX(ROW(E$1:E542)*(E543=E$1:E542))))))</f>
        <v>1</v>
      </c>
      <c r="K543" s="15" t="n">
        <f aca="false">IF(OR(E543="",E543="!!!",F543="NEW"),"",INDEX(J$1:J542,SUMPRODUCT(MAX(ROW(E$1:E542)*(E543=E$1:E542)))))</f>
        <v>1</v>
      </c>
      <c r="L543" s="16"/>
    </row>
    <row r="544" customFormat="false" ht="12.75" hidden="false" customHeight="false" outlineLevel="0" collapsed="false">
      <c r="A544" s="9" t="s">
        <v>385</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386</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387</v>
      </c>
      <c r="B546" s="0" t="s">
        <v>67</v>
      </c>
      <c r="C546" s="0" t="s">
        <v>31</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76</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314</v>
      </c>
      <c r="B548" s="0" t="s">
        <v>15</v>
      </c>
      <c r="C548" s="0" t="s">
        <v>31</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117</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33</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388</v>
      </c>
      <c r="B551" s="0" t="s">
        <v>54</v>
      </c>
      <c r="C551" s="0" t="s">
        <v>35</v>
      </c>
      <c r="D551" s="0" t="s">
        <v>22</v>
      </c>
      <c r="E551" s="10" t="s">
        <v>389</v>
      </c>
      <c r="F551" s="11" t="str">
        <f aca="false">IF(OR(E551="",E551="!!!"),"",IF(NOT(ISNA(VLOOKUP(E551,E$1:E550,1,FALSE()))),"OLD",IF(AND(E551&lt;&gt;"",E551&lt;&gt;"!!!"),"NEW","")))</f>
        <v>NEW</v>
      </c>
      <c r="G551" s="12" t="s">
        <v>23</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71</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33</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390</v>
      </c>
      <c r="B554" s="0" t="s">
        <v>49</v>
      </c>
      <c r="C554" s="0" t="s">
        <v>35</v>
      </c>
      <c r="D554" s="0" t="s">
        <v>22</v>
      </c>
      <c r="E554" s="10" t="s">
        <v>391</v>
      </c>
      <c r="F554" s="11" t="str">
        <f aca="false">IF(OR(E554="",E554="!!!"),"",IF(NOT(ISNA(VLOOKUP(E554,E$1:E553,1,FALSE()))),"OLD",IF(AND(E554&lt;&gt;"",E554&lt;&gt;"!!!"),"NEW","")))</f>
        <v>NEW</v>
      </c>
      <c r="G554" s="12" t="s">
        <v>23</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94</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392</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39</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393</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394</v>
      </c>
      <c r="B559" s="0" t="s">
        <v>93</v>
      </c>
      <c r="C559" s="0" t="s">
        <v>28</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9" t="s">
        <v>42</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94</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185</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42</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9" t="s">
        <v>94</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395</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42</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94</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157</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32</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396</v>
      </c>
      <c r="B570" s="0" t="s">
        <v>80</v>
      </c>
      <c r="C570" s="0" t="s">
        <v>31</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42</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397</v>
      </c>
      <c r="B572" s="0" t="s">
        <v>96</v>
      </c>
      <c r="C572" s="0" t="s">
        <v>31</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71</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398</v>
      </c>
      <c r="B574" s="0" t="s">
        <v>96</v>
      </c>
      <c r="C574" s="0" t="s">
        <v>31</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57</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399</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162</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400</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75" hidden="false" customHeight="false" outlineLevel="0" collapsed="false">
      <c r="A580" s="9" t="s">
        <v>238</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9" t="s">
        <v>102</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401</v>
      </c>
      <c r="B582" s="0" t="s">
        <v>44</v>
      </c>
      <c r="C582" s="0" t="s">
        <v>16</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94</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9" t="s">
        <v>402</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30</v>
      </c>
      <c r="B585" s="0" t="s">
        <v>54</v>
      </c>
      <c r="C585" s="0" t="s">
        <v>236</v>
      </c>
      <c r="D585" s="0" t="s">
        <v>22</v>
      </c>
      <c r="E585" s="10"/>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t="s">
        <v>403</v>
      </c>
    </row>
    <row r="586" customFormat="false" ht="12.75" hidden="false" customHeight="false" outlineLevel="0" collapsed="false">
      <c r="A586" s="9" t="s">
        <v>89</v>
      </c>
      <c r="B586" s="0" t="s">
        <v>135</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238</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404</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209</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405</v>
      </c>
      <c r="B590" s="0" t="s">
        <v>54</v>
      </c>
      <c r="C590" s="0" t="s">
        <v>31</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57</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406</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407</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52</v>
      </c>
      <c r="B595" s="0" t="s">
        <v>44</v>
      </c>
      <c r="C595" s="0" t="s">
        <v>16</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408</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9" t="s">
        <v>259</v>
      </c>
      <c r="B597" s="0" t="s">
        <v>54</v>
      </c>
      <c r="C597" s="0" t="s">
        <v>104</v>
      </c>
      <c r="D597" s="0" t="s">
        <v>22</v>
      </c>
      <c r="E597" s="10" t="s">
        <v>260</v>
      </c>
      <c r="F597" s="11" t="str">
        <f aca="false">IF(OR(E597="",E597="!!!"),"",IF(NOT(ISNA(VLOOKUP(E597,E$1:E596,1,FALSE()))),"OLD",IF(AND(E597&lt;&gt;"",E597&lt;&gt;"!!!"),"NEW","")))</f>
        <v>OLD</v>
      </c>
      <c r="G597" s="12" t="s">
        <v>46</v>
      </c>
      <c r="H597" s="13" t="str">
        <f aca="false">IF(J597&lt;&gt;1,"",IF(I597="SBJ","CB","?"))</f>
        <v/>
      </c>
      <c r="I597" s="14" t="str">
        <f aca="false">IF(OR(E597="",E597="!!!",F597="NEW"),"",INDEX(B$2:B596,-1+SUMPRODUCT(MAX(ROW(E$2:E596)*(E597=E$2:E596)))))</f>
        <v>SBJ</v>
      </c>
      <c r="J597" s="15" t="n">
        <f aca="true">IF(OR(E597="",E597="!!!",F597="NEW"),"",COUNTBLANK(OFFSET(A$1,,,SUMPRODUCT(MAX(ROW(E$2:E597)*(E597=E$2:E597)))))-COUNTBLANK(OFFSET(A$1,,,SUMPRODUCT(MAX(ROW(E$1:E596)*(E597=E$1:E596))))))</f>
        <v>2</v>
      </c>
      <c r="K597" s="15" t="n">
        <f aca="false">IF(OR(E597="",E597="!!!",F597="NEW"),"",INDEX(J$1:J596,SUMPRODUCT(MAX(ROW(E$1:E596)*(E597=E$1:E596)))))</f>
        <v>1</v>
      </c>
      <c r="L597" s="16"/>
    </row>
    <row r="598" customFormat="false" ht="12.75" hidden="false" customHeight="false" outlineLevel="0" collapsed="false">
      <c r="A598" s="9" t="s">
        <v>409</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410</v>
      </c>
      <c r="B599" s="0" t="s">
        <v>67</v>
      </c>
      <c r="C599" s="0" t="s">
        <v>107</v>
      </c>
      <c r="D599" s="0" t="s">
        <v>22</v>
      </c>
      <c r="E599" s="10" t="s">
        <v>411</v>
      </c>
      <c r="F599" s="11" t="str">
        <f aca="false">IF(OR(E599="",E599="!!!"),"",IF(NOT(ISNA(VLOOKUP(E599,E$1:E598,1,FALSE()))),"OLD",IF(AND(E599&lt;&gt;"",E599&lt;&gt;"!!!"),"NEW","")))</f>
        <v>NEW</v>
      </c>
      <c r="G599" s="12" t="s">
        <v>23</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191</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412</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94</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33</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34</v>
      </c>
      <c r="B604" s="0" t="s">
        <v>54</v>
      </c>
      <c r="C604" s="0" t="s">
        <v>35</v>
      </c>
      <c r="D604" s="0" t="s">
        <v>22</v>
      </c>
      <c r="E604" s="10" t="s">
        <v>36</v>
      </c>
      <c r="F604" s="11" t="str">
        <f aca="false">IF(OR(E604="",E604="!!!"),"",IF(NOT(ISNA(VLOOKUP(E604,E$1:E603,1,FALSE()))),"OLD",IF(AND(E604&lt;&gt;"",E604&lt;&gt;"!!!"),"NEW","")))</f>
        <v>OLD</v>
      </c>
      <c r="G604" s="12" t="s">
        <v>129</v>
      </c>
      <c r="H604" s="13" t="str">
        <f aca="false">IF(J604&lt;&gt;1,"",IF(I604="SBJ","CB","?"))</f>
        <v/>
      </c>
      <c r="I604" s="14" t="str">
        <f aca="false">IF(OR(E604="",E604="!!!",F604="NEW"),"",INDEX(B$2:B603,-1+SUMPRODUCT(MAX(ROW(E$2:E603)*(E604=E$2:E603)))))</f>
        <v>other</v>
      </c>
      <c r="J604" s="15" t="n">
        <f aca="true">IF(OR(E604="",E604="!!!",F604="NEW"),"",COUNTBLANK(OFFSET(A$1,,,SUMPRODUCT(MAX(ROW(E$2:E604)*(E604=E$2:E604)))))-COUNTBLANK(OFFSET(A$1,,,SUMPRODUCT(MAX(ROW(E$1:E603)*(E604=E$1:E603))))))</f>
        <v>8</v>
      </c>
      <c r="K604" s="15" t="n">
        <f aca="false">IF(OR(E604="",E604="!!!",F604="NEW"),"",INDEX(J$1:J603,SUMPRODUCT(MAX(ROW(E$1:E603)*(E604=E$1:E603)))))</f>
        <v>9</v>
      </c>
      <c r="L604" s="16"/>
    </row>
    <row r="605" customFormat="false" ht="12.75" hidden="false" customHeight="false" outlineLevel="0" collapsed="false">
      <c r="A605" s="9" t="s">
        <v>57</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413</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414</v>
      </c>
      <c r="B608" s="0" t="s">
        <v>44</v>
      </c>
      <c r="C608" s="0" t="s">
        <v>31</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183</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415</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42</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33</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416</v>
      </c>
      <c r="B613" s="0" t="s">
        <v>49</v>
      </c>
      <c r="C613" s="0" t="s">
        <v>35</v>
      </c>
      <c r="D613" s="0" t="s">
        <v>22</v>
      </c>
      <c r="E613" s="10" t="s">
        <v>417</v>
      </c>
      <c r="F613" s="11" t="str">
        <f aca="false">IF(OR(E613="",E613="!!!"),"",IF(NOT(ISNA(VLOOKUP(E613,E$1:E612,1,FALSE()))),"OLD",IF(AND(E613&lt;&gt;"",E613&lt;&gt;"!!!"),"NEW","")))</f>
        <v>NEW</v>
      </c>
      <c r="G613" s="12" t="s">
        <v>23</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238</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415</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9" t="s">
        <v>42</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274</v>
      </c>
      <c r="B617" s="0" t="s">
        <v>90</v>
      </c>
      <c r="C617" s="0" t="s">
        <v>31</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275</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418</v>
      </c>
      <c r="B619" s="0" t="s">
        <v>15</v>
      </c>
      <c r="C619" s="0" t="s">
        <v>31</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71</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9" t="s">
        <v>419</v>
      </c>
      <c r="B621" s="0" t="s">
        <v>15</v>
      </c>
      <c r="C621" s="0" t="s">
        <v>31</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42</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9" t="s">
        <v>71</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9" t="s">
        <v>282</v>
      </c>
      <c r="B624" s="0" t="s">
        <v>49</v>
      </c>
      <c r="C624" s="0" t="s">
        <v>283</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420</v>
      </c>
      <c r="B625" s="0" t="s">
        <v>90</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9" t="s">
        <v>165</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190</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32</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33</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421</v>
      </c>
      <c r="B630" s="0" t="s">
        <v>80</v>
      </c>
      <c r="C630" s="0" t="s">
        <v>35</v>
      </c>
      <c r="D630" s="0" t="s">
        <v>22</v>
      </c>
      <c r="E630" s="10" t="s">
        <v>422</v>
      </c>
      <c r="F630" s="11" t="str">
        <f aca="false">IF(OR(E630="",E630="!!!"),"",IF(NOT(ISNA(VLOOKUP(E630,E$1:E629,1,FALSE()))),"OLD",IF(AND(E630&lt;&gt;"",E630&lt;&gt;"!!!"),"NEW","")))</f>
        <v>NEW</v>
      </c>
      <c r="G630" s="12" t="s">
        <v>23</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423</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424</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9" t="s">
        <v>94</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33</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425</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426</v>
      </c>
      <c r="B636" s="0" t="s">
        <v>54</v>
      </c>
      <c r="C636" s="0" t="s">
        <v>35</v>
      </c>
      <c r="D636" s="0" t="s">
        <v>22</v>
      </c>
      <c r="E636" s="10" t="s">
        <v>427</v>
      </c>
      <c r="F636" s="11" t="str">
        <f aca="false">IF(OR(E636="",E636="!!!"),"",IF(NOT(ISNA(VLOOKUP(E636,E$1:E635,1,FALSE()))),"OLD",IF(AND(E636&lt;&gt;"",E636&lt;&gt;"!!!"),"NEW","")))</f>
        <v>NEW</v>
      </c>
      <c r="G636" s="12" t="s">
        <v>23</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29</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428</v>
      </c>
      <c r="B638" s="0" t="s">
        <v>74</v>
      </c>
      <c r="C638" s="0" t="s">
        <v>31</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9" t="s">
        <v>89</v>
      </c>
      <c r="B639" s="0" t="s">
        <v>429</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430</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431</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347</v>
      </c>
      <c r="B642" s="0" t="s">
        <v>432</v>
      </c>
      <c r="C642" s="0" t="s">
        <v>31</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57</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433</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434</v>
      </c>
      <c r="B646" s="0" t="s">
        <v>44</v>
      </c>
      <c r="C646" s="0" t="s">
        <v>362</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435</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9" t="s">
        <v>436</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A649" s="9" t="s">
        <v>89</v>
      </c>
      <c r="B649" s="0" t="s">
        <v>67</v>
      </c>
      <c r="C649" s="0" t="s">
        <v>181</v>
      </c>
      <c r="D649" s="0" t="s">
        <v>22</v>
      </c>
      <c r="E649" s="10"/>
      <c r="F649" s="11" t="s">
        <v>437</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76</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102</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A652" s="9" t="s">
        <v>438</v>
      </c>
      <c r="B652" s="0" t="s">
        <v>15</v>
      </c>
      <c r="C652" s="0" t="s">
        <v>16</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9" t="s">
        <v>114</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33</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176</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9" t="s">
        <v>177</v>
      </c>
      <c r="B656" s="0" t="s">
        <v>54</v>
      </c>
      <c r="C656" s="0" t="s">
        <v>21</v>
      </c>
      <c r="D656" s="0" t="s">
        <v>22</v>
      </c>
      <c r="E656" s="10" t="s">
        <v>178</v>
      </c>
      <c r="F656" s="11" t="str">
        <f aca="false">IF(OR(E656="",E656="!!!"),"",IF(NOT(ISNA(VLOOKUP(E656,E$1:E655,1,FALSE()))),"OLD",IF(AND(E656&lt;&gt;"",E656&lt;&gt;"!!!"),"NEW","")))</f>
        <v>OLD</v>
      </c>
      <c r="G656" s="12" t="s">
        <v>129</v>
      </c>
      <c r="H656" s="13" t="str">
        <f aca="false">IF(J656&lt;&gt;1,"",IF(I656="SBJ","CB","?"))</f>
        <v/>
      </c>
      <c r="I656" s="14" t="str">
        <f aca="false">IF(OR(E656="",E656="!!!",F656="NEW"),"",INDEX(B$2:B655,-1+SUMPRODUCT(MAX(ROW(E$2:E655)*(E656=E$2:E655)))))</f>
        <v>other_3</v>
      </c>
      <c r="J656" s="15" t="n">
        <f aca="true">IF(OR(E656="",E656="!!!",F656="NEW"),"",COUNTBLANK(OFFSET(A$1,,,SUMPRODUCT(MAX(ROW(E$2:E656)*(E656=E$2:E656)))))-COUNTBLANK(OFFSET(A$1,,,SUMPRODUCT(MAX(ROW(E$1:E655)*(E656=E$1:E655))))))</f>
        <v>5</v>
      </c>
      <c r="K656" s="15" t="n">
        <f aca="false">IF(OR(E656="",E656="!!!",F656="NEW"),"",INDEX(J$1:J655,SUMPRODUCT(MAX(ROW(E$1:E655)*(E656=E$1:E655)))))</f>
        <v>8</v>
      </c>
      <c r="L656" s="16"/>
    </row>
    <row r="657" customFormat="false" ht="12.75" hidden="false" customHeight="false" outlineLevel="0" collapsed="false">
      <c r="A657" s="9" t="s">
        <v>439</v>
      </c>
      <c r="B657" s="0" t="s">
        <v>135</v>
      </c>
      <c r="C657" s="0" t="s">
        <v>45</v>
      </c>
      <c r="D657" s="0" t="s">
        <v>22</v>
      </c>
      <c r="E657" s="10"/>
      <c r="F657" s="11" t="s">
        <v>440</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183</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75" hidden="false" customHeight="false" outlineLevel="0" collapsed="false">
      <c r="A659" s="9" t="s">
        <v>441</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442</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94</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443</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32</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33</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444</v>
      </c>
      <c r="B665" s="0" t="s">
        <v>80</v>
      </c>
      <c r="C665" s="0" t="s">
        <v>35</v>
      </c>
      <c r="D665" s="0" t="s">
        <v>22</v>
      </c>
      <c r="E665" s="10" t="s">
        <v>445</v>
      </c>
      <c r="F665" s="11" t="str">
        <f aca="false">IF(OR(E665="",E665="!!!"),"",IF(NOT(ISNA(VLOOKUP(E665,E$1:E664,1,FALSE()))),"OLD",IF(AND(E665&lt;&gt;"",E665&lt;&gt;"!!!"),"NEW","")))</f>
        <v>NEW</v>
      </c>
      <c r="G665" s="12" t="s">
        <v>23</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42</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94</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446</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9" t="s">
        <v>447</v>
      </c>
      <c r="B669" s="0" t="s">
        <v>432</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76</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9" t="s">
        <v>39</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448</v>
      </c>
      <c r="B672" s="0" t="s">
        <v>96</v>
      </c>
      <c r="C672" s="0" t="s">
        <v>28</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9" t="s">
        <v>42</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94</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289</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76</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9" t="s">
        <v>449</v>
      </c>
      <c r="B677" s="0" t="s">
        <v>98</v>
      </c>
      <c r="C677" s="0" t="s">
        <v>104</v>
      </c>
      <c r="D677" s="0" t="s">
        <v>22</v>
      </c>
      <c r="E677" s="10" t="s">
        <v>450</v>
      </c>
      <c r="F677" s="11" t="str">
        <f aca="false">IF(OR(E677="",E677="!!!"),"",IF(NOT(ISNA(VLOOKUP(E677,E$1:E676,1,FALSE()))),"OLD",IF(AND(E677&lt;&gt;"",E677&lt;&gt;"!!!"),"NEW","")))</f>
        <v>NEW</v>
      </c>
      <c r="G677" s="12" t="s">
        <v>23</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152</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451</v>
      </c>
      <c r="B679" s="0" t="s">
        <v>96</v>
      </c>
      <c r="C679" s="0" t="s">
        <v>107</v>
      </c>
      <c r="D679" s="0" t="s">
        <v>22</v>
      </c>
      <c r="E679" s="10" t="s">
        <v>452</v>
      </c>
      <c r="F679" s="11" t="str">
        <f aca="false">IF(OR(E679="",E679="!!!"),"",IF(NOT(ISNA(VLOOKUP(E679,E$1:E678,1,FALSE()))),"OLD",IF(AND(E679&lt;&gt;"",E679&lt;&gt;"!!!"),"NEW","")))</f>
        <v>NEW</v>
      </c>
      <c r="G679" s="12" t="s">
        <v>23</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42</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9" t="s">
        <v>94</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453</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73</v>
      </c>
      <c r="B683" s="0" t="s">
        <v>432</v>
      </c>
      <c r="C683" s="0" t="s">
        <v>31</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9" t="s">
        <v>94</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39</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454</v>
      </c>
      <c r="B686" s="0" t="s">
        <v>96</v>
      </c>
      <c r="C686" s="0" t="s">
        <v>28</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455</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456</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43</v>
      </c>
      <c r="B690" s="0" t="s">
        <v>44</v>
      </c>
      <c r="C690" s="0" t="s">
        <v>45</v>
      </c>
      <c r="D690" s="0" t="s">
        <v>22</v>
      </c>
      <c r="E690" s="10" t="s">
        <v>20</v>
      </c>
      <c r="F690" s="11" t="str">
        <f aca="false">IF(OR(E690="",E690="!!!"),"",IF(NOT(ISNA(VLOOKUP(E690,E$1:E689,1,FALSE()))),"OLD",IF(AND(E690&lt;&gt;"",E690&lt;&gt;"!!!"),"NEW","")))</f>
        <v>OLD</v>
      </c>
      <c r="G690" s="12" t="s">
        <v>129</v>
      </c>
      <c r="H690" s="13" t="str">
        <f aca="false">IF(J690&lt;&gt;1,"",IF(I690="SBJ","CB","?"))</f>
        <v/>
      </c>
      <c r="I690" s="14" t="str">
        <f aca="false">IF(OR(E690="",E690="!!!",F690="NEW"),"",INDEX(B$2:B689,-1+SUMPRODUCT(MAX(ROW(E$2:E689)*(E690=E$2:E689)))))</f>
        <v>other_3</v>
      </c>
      <c r="J690" s="15" t="n">
        <f aca="true">IF(OR(E690="",E690="!!!",F690="NEW"),"",COUNTBLANK(OFFSET(A$1,,,SUMPRODUCT(MAX(ROW(E$2:E690)*(E690=E$2:E690)))))-COUNTBLANK(OFFSET(A$1,,,SUMPRODUCT(MAX(ROW(E$1:E689)*(E690=E$1:E689))))))</f>
        <v>18</v>
      </c>
      <c r="K690" s="15" t="n">
        <f aca="false">IF(OR(E690="",E690="!!!",F690="NEW"),"",INDEX(J$1:J689,SUMPRODUCT(MAX(ROW(E$1:E689)*(E690=E$1:E689)))))</f>
        <v>1</v>
      </c>
      <c r="L690" s="16"/>
    </row>
    <row r="691" customFormat="false" ht="12.75" hidden="false" customHeight="false" outlineLevel="0" collapsed="false">
      <c r="A691" s="9" t="s">
        <v>457</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140</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234</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428</v>
      </c>
      <c r="B694" s="0" t="s">
        <v>15</v>
      </c>
      <c r="C694" s="0" t="s">
        <v>236</v>
      </c>
      <c r="D694" s="0" t="s">
        <v>22</v>
      </c>
      <c r="E694" s="10" t="s">
        <v>458</v>
      </c>
      <c r="F694" s="11" t="str">
        <f aca="false">IF(OR(E694="",E694="!!!"),"",IF(NOT(ISNA(VLOOKUP(E694,E$1:E693,1,FALSE()))),"OLD",IF(AND(E694&lt;&gt;"",E694&lt;&gt;"!!!"),"NEW","")))</f>
        <v>NEW</v>
      </c>
      <c r="G694" s="12" t="s">
        <v>23</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459</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43</v>
      </c>
      <c r="B696" s="0" t="s">
        <v>49</v>
      </c>
      <c r="C696" s="0" t="s">
        <v>45</v>
      </c>
      <c r="D696" s="0" t="s">
        <v>22</v>
      </c>
      <c r="E696" s="10" t="s">
        <v>20</v>
      </c>
      <c r="F696" s="11" t="str">
        <f aca="false">IF(OR(E696="",E696="!!!"),"",IF(NOT(ISNA(VLOOKUP(E696,E$1:E695,1,FALSE()))),"OLD",IF(AND(E696&lt;&gt;"",E696&lt;&gt;"!!!"),"NEW","")))</f>
        <v>OLD</v>
      </c>
      <c r="G696" s="12" t="s">
        <v>50</v>
      </c>
      <c r="H696" s="13" t="str">
        <f aca="false">IF(J696&lt;&gt;1,"",IF(I696="SBJ","CB","?"))</f>
        <v/>
      </c>
      <c r="I696" s="14" t="str">
        <f aca="false">IF(OR(E696="",E696="!!!",F696="NEW"),"",INDEX(B$2:B695,-1+SUMPRODUCT(MAX(ROW(E$2:E695)*(E696=E$2:E695)))))</f>
        <v>SBJ</v>
      </c>
      <c r="J696" s="15" t="n">
        <f aca="true">IF(OR(E696="",E696="!!!",F696="NEW"),"",COUNTBLANK(OFFSET(A$1,,,SUMPRODUCT(MAX(ROW(E$2:E696)*(E696=E$2:E696)))))-COUNTBLANK(OFFSET(A$1,,,SUMPRODUCT(MAX(ROW(E$1:E695)*(E696=E$1:E695))))))</f>
        <v>0</v>
      </c>
      <c r="K696" s="15" t="n">
        <f aca="false">IF(OR(E696="",E696="!!!",F696="NEW"),"",INDEX(J$1:J695,SUMPRODUCT(MAX(ROW(E$1:E695)*(E696=E$1:E695)))))</f>
        <v>18</v>
      </c>
      <c r="L696" s="16"/>
    </row>
    <row r="697" customFormat="false" ht="12.75" hidden="false" customHeight="false" outlineLevel="0" collapsed="false">
      <c r="A697" s="9" t="s">
        <v>460</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461</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9" t="s">
        <v>141</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462</v>
      </c>
      <c r="B700" s="0" t="s">
        <v>54</v>
      </c>
      <c r="C700" s="0" t="s">
        <v>31</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9" t="s">
        <v>71</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15</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194</v>
      </c>
      <c r="B703" s="0" t="s">
        <v>74</v>
      </c>
      <c r="C703" s="0" t="s">
        <v>31</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463</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464</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358</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9" t="s">
        <v>94</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465</v>
      </c>
      <c r="B708" s="0" t="s">
        <v>74</v>
      </c>
      <c r="C708" s="0" t="s">
        <v>31</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466</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9" t="s">
        <v>467</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468</v>
      </c>
      <c r="B711" s="0" t="s">
        <v>128</v>
      </c>
      <c r="C711" s="0" t="s">
        <v>31</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117</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469</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234</v>
      </c>
      <c r="B714" s="0" t="s">
        <v>93</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101</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143</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470</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471</v>
      </c>
      <c r="B718" s="0" t="s">
        <v>122</v>
      </c>
      <c r="C718" s="0" t="s">
        <v>31</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57</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9" t="s">
        <v>472</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473</v>
      </c>
      <c r="B722" s="0" t="s">
        <v>44</v>
      </c>
      <c r="C722" s="0" t="s">
        <v>107</v>
      </c>
      <c r="D722" s="0" t="s">
        <v>22</v>
      </c>
      <c r="E722" s="10" t="s">
        <v>473</v>
      </c>
      <c r="F722" s="11" t="str">
        <f aca="false">IF(OR(E722="",E722="!!!"),"",IF(NOT(ISNA(VLOOKUP(E722,E$1:E721,1,FALSE()))),"OLD",IF(AND(E722&lt;&gt;"",E722&lt;&gt;"!!!"),"NEW","")))</f>
        <v>NEW</v>
      </c>
      <c r="G722" s="12" t="s">
        <v>23</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29</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474</v>
      </c>
      <c r="B724" s="0" t="s">
        <v>54</v>
      </c>
      <c r="C724" s="0" t="s">
        <v>45</v>
      </c>
      <c r="D724" s="0" t="s">
        <v>22</v>
      </c>
      <c r="E724" s="10" t="s">
        <v>450</v>
      </c>
      <c r="F724" s="11" t="str">
        <f aca="false">IF(OR(E724="",E724="!!!"),"",IF(NOT(ISNA(VLOOKUP(E724,E$1:E723,1,FALSE()))),"OLD",IF(AND(E724&lt;&gt;"",E724&lt;&gt;"!!!"),"NEW","")))</f>
        <v>OLD</v>
      </c>
      <c r="G724" s="12" t="s">
        <v>23</v>
      </c>
      <c r="H724" s="13" t="str">
        <f aca="false">IF(J724&lt;&gt;1,"",IF(I724="SBJ","CB","?"))</f>
        <v/>
      </c>
      <c r="I724" s="14" t="str">
        <f aca="false">IF(OR(E724="",E724="!!!",F724="NEW"),"",INDEX(B$2:B723,-1+SUMPRODUCT(MAX(ROW(E$2:E723)*(E724=E$2:E723)))))</f>
        <v>other_6</v>
      </c>
      <c r="J724" s="15" t="n">
        <f aca="true">IF(OR(E724="",E724="!!!",F724="NEW"),"",COUNTBLANK(OFFSET(A$1,,,SUMPRODUCT(MAX(ROW(E$2:E724)*(E724=E$2:E724)))))-COUNTBLANK(OFFSET(A$1,,,SUMPRODUCT(MAX(ROW(E$1:E723)*(E724=E$1:E723))))))</f>
        <v>2</v>
      </c>
      <c r="K724" s="15" t="str">
        <f aca="false">IF(OR(E724="",E724="!!!",F724="NEW"),"",INDEX(J$1:J723,SUMPRODUCT(MAX(ROW(E$1:E723)*(E724=E$1:E723)))))</f>
        <v/>
      </c>
      <c r="L724" s="16"/>
    </row>
    <row r="725" customFormat="false" ht="12.75" hidden="false" customHeight="false" outlineLevel="0" collapsed="false">
      <c r="A725" s="9" t="s">
        <v>475</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476</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477</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478</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282</v>
      </c>
      <c r="B729" s="0" t="s">
        <v>49</v>
      </c>
      <c r="C729" s="0" t="s">
        <v>283</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9" t="s">
        <v>51</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479</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39</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9" t="s">
        <v>30</v>
      </c>
      <c r="B733" s="0" t="s">
        <v>122</v>
      </c>
      <c r="C733" s="0" t="s">
        <v>28</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480</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402</v>
      </c>
      <c r="B735" s="0" t="s">
        <v>74</v>
      </c>
      <c r="C735" s="0" t="s">
        <v>181</v>
      </c>
      <c r="D735" s="0" t="s">
        <v>22</v>
      </c>
      <c r="E735" s="10"/>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t="s">
        <v>481</v>
      </c>
    </row>
    <row r="736" customFormat="false" ht="12.75" hidden="false" customHeight="false" outlineLevel="0" collapsed="false">
      <c r="A736" s="9" t="s">
        <v>42</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482</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33</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483</v>
      </c>
      <c r="B739" s="0" t="s">
        <v>54</v>
      </c>
      <c r="C739" s="0" t="s">
        <v>35</v>
      </c>
      <c r="D739" s="0" t="s">
        <v>22</v>
      </c>
      <c r="E739" s="10" t="s">
        <v>484</v>
      </c>
      <c r="F739" s="11" t="str">
        <f aca="false">IF(OR(E739="",E739="!!!"),"",IF(NOT(ISNA(VLOOKUP(E739,E$1:E738,1,FALSE()))),"OLD",IF(AND(E739&lt;&gt;"",E739&lt;&gt;"!!!"),"NEW","")))</f>
        <v>NEW</v>
      </c>
      <c r="G739" s="12" t="s">
        <v>23</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9" t="s">
        <v>29</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485</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428</v>
      </c>
      <c r="B742" s="0" t="s">
        <v>74</v>
      </c>
      <c r="C742" s="0" t="s">
        <v>31</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42</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9" t="s">
        <v>486</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9" t="s">
        <v>232</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29</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9" t="s">
        <v>383</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72</v>
      </c>
      <c r="B748" s="0" t="s">
        <v>74</v>
      </c>
      <c r="C748" s="0" t="s">
        <v>31</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42</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487</v>
      </c>
      <c r="B750" s="0" t="s">
        <v>54</v>
      </c>
      <c r="C750" s="0" t="s">
        <v>31</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9" t="s">
        <v>482</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9" t="s">
        <v>488</v>
      </c>
      <c r="B752" s="0" t="s">
        <v>74</v>
      </c>
      <c r="C752" s="0" t="s">
        <v>31</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42</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489</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220</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490</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311</v>
      </c>
      <c r="B757" s="0" t="s">
        <v>128</v>
      </c>
      <c r="C757" s="0" t="s">
        <v>31</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9" t="s">
        <v>435</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9" t="s">
        <v>71</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400</v>
      </c>
      <c r="B760" s="0" t="s">
        <v>54</v>
      </c>
      <c r="C760" s="0" t="s">
        <v>491</v>
      </c>
      <c r="D760" s="0" t="s">
        <v>22</v>
      </c>
      <c r="E760" s="10"/>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t="s">
        <v>492</v>
      </c>
    </row>
    <row r="761" customFormat="false" ht="12.75" hidden="false" customHeight="false" outlineLevel="0" collapsed="false">
      <c r="A761" s="9" t="s">
        <v>57</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493</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214</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494</v>
      </c>
      <c r="B765" s="0" t="s">
        <v>44</v>
      </c>
      <c r="C765" s="0" t="s">
        <v>35</v>
      </c>
      <c r="D765" s="0" t="s">
        <v>22</v>
      </c>
      <c r="E765" s="10" t="s">
        <v>495</v>
      </c>
      <c r="F765" s="11" t="str">
        <f aca="false">IF(OR(E765="",E765="!!!"),"",IF(NOT(ISNA(VLOOKUP(E765,E$1:E764,1,FALSE()))),"OLD",IF(AND(E765&lt;&gt;"",E765&lt;&gt;"!!!"),"NEW","")))</f>
        <v>NEW</v>
      </c>
      <c r="G765" s="12" t="s">
        <v>23</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9" t="s">
        <v>94</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496</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39</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497</v>
      </c>
      <c r="B769" s="0" t="s">
        <v>54</v>
      </c>
      <c r="C769" s="0" t="s">
        <v>181</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183</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141</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498</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141</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33</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124</v>
      </c>
      <c r="B775" s="0" t="s">
        <v>15</v>
      </c>
      <c r="C775" s="0" t="s">
        <v>35</v>
      </c>
      <c r="D775" s="0" t="s">
        <v>22</v>
      </c>
      <c r="E775" s="10" t="s">
        <v>499</v>
      </c>
      <c r="F775" s="11" t="str">
        <f aca="false">IF(OR(E775="",E775="!!!"),"",IF(NOT(ISNA(VLOOKUP(E775,E$1:E774,1,FALSE()))),"OLD",IF(AND(E775&lt;&gt;"",E775&lt;&gt;"!!!"),"NEW","")))</f>
        <v>NEW</v>
      </c>
      <c r="G775" s="12" t="s">
        <v>23</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89</v>
      </c>
      <c r="B776" s="0" t="s">
        <v>135</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9" t="s">
        <v>305</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9" t="s">
        <v>94</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33</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9" t="s">
        <v>34</v>
      </c>
      <c r="B780" s="0" t="s">
        <v>74</v>
      </c>
      <c r="C780" s="0" t="s">
        <v>35</v>
      </c>
      <c r="D780" s="0" t="s">
        <v>22</v>
      </c>
      <c r="E780" s="10" t="s">
        <v>36</v>
      </c>
      <c r="F780" s="11" t="str">
        <f aca="false">IF(OR(E780="",E780="!!!"),"",IF(NOT(ISNA(VLOOKUP(E780,E$1:E779,1,FALSE()))),"OLD",IF(AND(E780&lt;&gt;"",E780&lt;&gt;"!!!"),"NEW","")))</f>
        <v>OLD</v>
      </c>
      <c r="G780" s="12" t="s">
        <v>129</v>
      </c>
      <c r="H780" s="13" t="str">
        <f aca="false">IF(J780&lt;&gt;1,"",IF(I780="SBJ","CB","?"))</f>
        <v/>
      </c>
      <c r="I780" s="14" t="str">
        <f aca="false">IF(OR(E780="",E780="!!!",F780="NEW"),"",INDEX(B$2:B779,-1+SUMPRODUCT(MAX(ROW(E$2:E779)*(E780=E$2:E779)))))</f>
        <v>other_2</v>
      </c>
      <c r="J780" s="15" t="n">
        <f aca="true">IF(OR(E780="",E780="!!!",F780="NEW"),"",COUNTBLANK(OFFSET(A$1,,,SUMPRODUCT(MAX(ROW(E$2:E780)*(E780=E$2:E780)))))-COUNTBLANK(OFFSET(A$1,,,SUMPRODUCT(MAX(ROW(E$1:E779)*(E780=E$1:E779))))))</f>
        <v>5</v>
      </c>
      <c r="K780" s="15" t="n">
        <f aca="false">IF(OR(E780="",E780="!!!",F780="NEW"),"",INDEX(J$1:J779,SUMPRODUCT(MAX(ROW(E$1:E779)*(E780=E$1:E779)))))</f>
        <v>8</v>
      </c>
      <c r="L780" s="16"/>
    </row>
    <row r="781" customFormat="false" ht="12.75" hidden="false" customHeight="false" outlineLevel="0" collapsed="false">
      <c r="A781" s="9" t="s">
        <v>42</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134</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194</v>
      </c>
      <c r="B783" s="0" t="s">
        <v>49</v>
      </c>
      <c r="C783" s="0" t="s">
        <v>31</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9" t="s">
        <v>500</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9" t="s">
        <v>501</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68</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9" t="s">
        <v>39</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502</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215</v>
      </c>
      <c r="B789" s="0" t="s">
        <v>54</v>
      </c>
      <c r="C789" s="0" t="s">
        <v>28</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9" t="s">
        <v>17</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352</v>
      </c>
      <c r="B791" s="0" t="s">
        <v>74</v>
      </c>
      <c r="C791" s="0" t="s">
        <v>31</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57</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503</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504</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505</v>
      </c>
      <c r="B796" s="0" t="s">
        <v>49</v>
      </c>
      <c r="C796" s="0" t="s">
        <v>45</v>
      </c>
      <c r="D796" s="0" t="s">
        <v>22</v>
      </c>
      <c r="E796" s="10" t="s">
        <v>506</v>
      </c>
      <c r="F796" s="11" t="str">
        <f aca="false">IF(OR(E796="",E796="!!!"),"",IF(NOT(ISNA(VLOOKUP(E796,E$1:E795,1,FALSE()))),"OLD",IF(AND(E796&lt;&gt;"",E796&lt;&gt;"!!!"),"NEW","")))</f>
        <v>NEW</v>
      </c>
      <c r="G796" s="12" t="s">
        <v>23</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9" t="s">
        <v>357</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9" t="s">
        <v>76</v>
      </c>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39</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322</v>
      </c>
      <c r="B800" s="0" t="s">
        <v>54</v>
      </c>
      <c r="C800" s="0" t="s">
        <v>28</v>
      </c>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9" t="s">
        <v>112</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507</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75" hidden="false" customHeight="false" outlineLevel="0" collapsed="false">
      <c r="A803" s="9" t="s">
        <v>508</v>
      </c>
      <c r="B803" s="0" t="s">
        <v>90</v>
      </c>
      <c r="C803" s="0" t="s">
        <v>509</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9" t="s">
        <v>183</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510</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511</v>
      </c>
      <c r="B806" s="0" t="s">
        <v>93</v>
      </c>
      <c r="C806" s="0" t="s">
        <v>31</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9" t="s">
        <v>76</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9" t="s">
        <v>259</v>
      </c>
      <c r="B808" s="0" t="s">
        <v>96</v>
      </c>
      <c r="C808" s="0" t="s">
        <v>104</v>
      </c>
      <c r="D808" s="0" t="s">
        <v>22</v>
      </c>
      <c r="E808" s="10" t="s">
        <v>512</v>
      </c>
      <c r="F808" s="11" t="str">
        <f aca="false">IF(OR(E808="",E808="!!!"),"",IF(NOT(ISNA(VLOOKUP(E808,E$1:E807,1,FALSE()))),"OLD",IF(AND(E808&lt;&gt;"",E808&lt;&gt;"!!!"),"NEW","")))</f>
        <v>NEW</v>
      </c>
      <c r="G808" s="12" t="s">
        <v>23</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9" t="s">
        <v>513</v>
      </c>
      <c r="B809" s="0" t="s">
        <v>80</v>
      </c>
      <c r="C809" s="0" t="s">
        <v>107</v>
      </c>
      <c r="D809" s="0" t="s">
        <v>22</v>
      </c>
      <c r="E809" s="10" t="s">
        <v>514</v>
      </c>
      <c r="F809" s="11" t="str">
        <f aca="false">IF(OR(E809="",E809="!!!"),"",IF(NOT(ISNA(VLOOKUP(E809,E$1:E808,1,FALSE()))),"OLD",IF(AND(E809&lt;&gt;"",E809&lt;&gt;"!!!"),"NEW","")))</f>
        <v>NEW</v>
      </c>
      <c r="G809" s="12" t="s">
        <v>23</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9" t="s">
        <v>101</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75" hidden="false" customHeight="false" outlineLevel="0" collapsed="false">
      <c r="A811" s="9" t="s">
        <v>89</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9" t="s">
        <v>240</v>
      </c>
      <c r="B812" s="0" t="s">
        <v>429</v>
      </c>
      <c r="C812" s="0" t="s">
        <v>45</v>
      </c>
      <c r="D812" s="0" t="s">
        <v>22</v>
      </c>
      <c r="E812" s="10" t="s">
        <v>512</v>
      </c>
      <c r="F812" s="11" t="str">
        <f aca="false">IF(OR(E812="",E812="!!!"),"",IF(NOT(ISNA(VLOOKUP(E812,E$1:E811,1,FALSE()))),"OLD",IF(AND(E812&lt;&gt;"",E812&lt;&gt;"!!!"),"NEW","")))</f>
        <v>OLD</v>
      </c>
      <c r="G812" s="12" t="s">
        <v>50</v>
      </c>
      <c r="H812" s="13" t="str">
        <f aca="false">IF(J812&lt;&gt;1,"",IF(I812="SBJ","CB","?"))</f>
        <v/>
      </c>
      <c r="I812" s="14" t="str">
        <f aca="false">IF(OR(E812="",E812="!!!",F812="NEW"),"",INDEX(B$2:B811,-1+SUMPRODUCT(MAX(ROW(E$2:E811)*(E812=E$2:E811)))))</f>
        <v>other_5</v>
      </c>
      <c r="J812" s="15" t="n">
        <f aca="true">IF(OR(E812="",E812="!!!",F812="NEW"),"",COUNTBLANK(OFFSET(A$1,,,SUMPRODUCT(MAX(ROW(E$2:E812)*(E812=E$2:E812)))))-COUNTBLANK(OFFSET(A$1,,,SUMPRODUCT(MAX(ROW(E$1:E811)*(E812=E$1:E811))))))</f>
        <v>0</v>
      </c>
      <c r="K812" s="15" t="str">
        <f aca="false">IF(OR(E812="",E812="!!!",F812="NEW"),"",INDEX(J$1:J811,SUMPRODUCT(MAX(ROW(E$1:E811)*(E812=E$1:E811)))))</f>
        <v/>
      </c>
      <c r="L812" s="16"/>
    </row>
    <row r="813" customFormat="false" ht="12.75" hidden="false" customHeight="false" outlineLevel="0" collapsed="false">
      <c r="A813" s="9" t="s">
        <v>423</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9" t="s">
        <v>157</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9" t="s">
        <v>94</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9" t="s">
        <v>357</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9" t="s">
        <v>515</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75" hidden="false" customHeight="false" outlineLevel="0" collapsed="false">
      <c r="A818" s="9" t="s">
        <v>42</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9" t="s">
        <v>516</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A820" s="9" t="s">
        <v>517</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9" t="s">
        <v>157</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9" t="s">
        <v>94</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9" t="s">
        <v>518</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9" t="s">
        <v>42</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9" t="s">
        <v>400</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9" t="s">
        <v>519</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9" t="s">
        <v>47</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9" t="s">
        <v>476</v>
      </c>
      <c r="E828" s="10" t="str">
        <f aca="false">IF(D828="?OLD","!!!","")</f>
        <v/>
      </c>
      <c r="F828" s="11" t="str">
        <f aca="false">IF(OR(E828="",E828="!!!"),"",IF(NOT(ISNA(VLOOKUP(E828,E$1:E827,1,FALSE()))),"OLD",IF(AND(E828&lt;&gt;"",E828&lt;&gt;"!!!"),"NEW","")))</f>
        <v/>
      </c>
      <c r="G828" s="12" t="str">
        <f aca="false">IF(OR(E828="",E828="!!!"),"",IF(OR(J828=0,AND(J828=1,K828=1),AND(J828=1,I828="SBJ"),AND(J828=1,I828=0)),"?IN_FOCUS",IF(J828&lt;=2,"?ACTIVATED",IF(J828&lt;&gt;"","?FAMILIAR",IF(F828="NEW",IF(ISNA(VLOOKUP(E828,#REF!,1,FALSE())),"?TYPE_IDENTIFIABLE","?REFERENTIAL"),"_")))))</f>
        <v/>
      </c>
      <c r="H828" s="13" t="str">
        <f aca="false">IF(J828&lt;&gt;1,"",IF(I828="SBJ","CB","?"))</f>
        <v/>
      </c>
      <c r="I828" s="14" t="str">
        <f aca="false">IF(OR(E828="",E828="!!!",F828="NEW"),"",INDEX(B$2:B827,-1+SUMPRODUCT(MAX(ROW(E$2:E827)*(E828=E$2:E827)))))</f>
        <v/>
      </c>
      <c r="J828" s="15" t="str">
        <f aca="true">IF(OR(E828="",E828="!!!",F828="NEW"),"",COUNTBLANK(OFFSET(A$1,,,SUMPRODUCT(MAX(ROW(E$2:E828)*(E828=E$2:E828)))))-COUNTBLANK(OFFSET(A$1,,,SUMPRODUCT(MAX(ROW(E$1:E827)*(E828=E$1:E827))))))</f>
        <v/>
      </c>
      <c r="K828" s="15" t="str">
        <f aca="false">IF(OR(E828="",E828="!!!",F828="NEW"),"",INDEX(J$1:J827,SUMPRODUCT(MAX(ROW(E$1:E827)*(E828=E$1:E827)))))</f>
        <v/>
      </c>
      <c r="L828" s="16"/>
    </row>
    <row r="829" customFormat="false" ht="12.75" hidden="false" customHeight="false" outlineLevel="0" collapsed="false">
      <c r="A829" s="9" t="s">
        <v>221</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9" t="s">
        <v>520</v>
      </c>
      <c r="B830" s="0" t="s">
        <v>15</v>
      </c>
      <c r="C830" s="0" t="s">
        <v>107</v>
      </c>
      <c r="D830" s="0" t="s">
        <v>22</v>
      </c>
      <c r="E830" s="10" t="s">
        <v>521</v>
      </c>
      <c r="F830" s="11" t="str">
        <f aca="false">IF(OR(E830="",E830="!!!"),"",IF(NOT(ISNA(VLOOKUP(E830,E$1:E829,1,FALSE()))),"OLD",IF(AND(E830&lt;&gt;"",E830&lt;&gt;"!!!"),"NEW","")))</f>
        <v>NEW</v>
      </c>
      <c r="G830" s="12" t="s">
        <v>23</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9" t="s">
        <v>29</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9" t="s">
        <v>522</v>
      </c>
      <c r="B832" s="0" t="s">
        <v>15</v>
      </c>
      <c r="C832" s="0" t="s">
        <v>181</v>
      </c>
      <c r="D832" s="0" t="s">
        <v>22</v>
      </c>
      <c r="E832" s="10" t="s">
        <v>512</v>
      </c>
      <c r="F832" s="11" t="str">
        <f aca="false">IF(OR(E832="",E832="!!!"),"",IF(NOT(ISNA(VLOOKUP(E832,E$1:E831,1,FALSE()))),"OLD",IF(AND(E832&lt;&gt;"",E832&lt;&gt;"!!!"),"NEW","")))</f>
        <v>OLD</v>
      </c>
      <c r="G832" s="12" t="s">
        <v>50</v>
      </c>
      <c r="H832" s="13" t="str">
        <f aca="false">IF(J832&lt;&gt;1,"",IF(I832="SBJ","CB","?"))</f>
        <v/>
      </c>
      <c r="I832" s="14" t="str">
        <f aca="false">IF(OR(E832="",E832="!!!",F832="NEW"),"",INDEX(B$2:B831,-1+SUMPRODUCT(MAX(ROW(E$2:E831)*(E832=E$2:E831)))))</f>
        <v>SBJ_5</v>
      </c>
      <c r="J832" s="15" t="n">
        <f aca="true">IF(OR(E832="",E832="!!!",F832="NEW"),"",COUNTBLANK(OFFSET(A$1,,,SUMPRODUCT(MAX(ROW(E$2:E832)*(E832=E$2:E832)))))-COUNTBLANK(OFFSET(A$1,,,SUMPRODUCT(MAX(ROW(E$1:E831)*(E832=E$1:E831))))))</f>
        <v>0</v>
      </c>
      <c r="K832" s="15" t="n">
        <f aca="false">IF(OR(E832="",E832="!!!",F832="NEW"),"",INDEX(J$1:J831,SUMPRODUCT(MAX(ROW(E$1:E831)*(E832=E$1:E831)))))</f>
        <v>0</v>
      </c>
      <c r="L832" s="16"/>
    </row>
    <row r="833" customFormat="false" ht="12.75" hidden="false" customHeight="false" outlineLevel="0" collapsed="false">
      <c r="A833" s="9" t="s">
        <v>420</v>
      </c>
      <c r="B833" s="0" t="s">
        <v>135</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9" t="s">
        <v>523</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9" t="s">
        <v>33</v>
      </c>
      <c r="E835" s="10" t="str">
        <f aca="false">IF(D835="?OLD","!!!","")</f>
        <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9" t="s">
        <v>524</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A837" s="9" t="s">
        <v>34</v>
      </c>
      <c r="B837" s="0" t="s">
        <v>128</v>
      </c>
      <c r="C837" s="0" t="s">
        <v>35</v>
      </c>
      <c r="D837" s="0" t="s">
        <v>22</v>
      </c>
      <c r="E837" s="10" t="s">
        <v>36</v>
      </c>
      <c r="F837" s="11" t="str">
        <f aca="false">IF(OR(E837="",E837="!!!"),"",IF(NOT(ISNA(VLOOKUP(E837,E$1:E836,1,FALSE()))),"OLD",IF(AND(E837&lt;&gt;"",E837&lt;&gt;"!!!"),"NEW","")))</f>
        <v>OLD</v>
      </c>
      <c r="G837" s="12" t="s">
        <v>46</v>
      </c>
      <c r="H837" s="13" t="s">
        <v>7</v>
      </c>
      <c r="I837" s="14" t="str">
        <f aca="false">IF(OR(E837="",E837="!!!",F837="NEW"),"",INDEX(B$2:B836,-1+SUMPRODUCT(MAX(ROW(E$2:E836)*(E837=E$2:E836)))))</f>
        <v>other_3</v>
      </c>
      <c r="J837" s="15" t="n">
        <f aca="true">IF(OR(E837="",E837="!!!",F837="NEW"),"",COUNTBLANK(OFFSET(A$1,,,SUMPRODUCT(MAX(ROW(E$2:E837)*(E837=E$2:E837)))))-COUNTBLANK(OFFSET(A$1,,,SUMPRODUCT(MAX(ROW(E$1:E836)*(E837=E$1:E836))))))</f>
        <v>1</v>
      </c>
      <c r="K837" s="15" t="n">
        <f aca="false">IF(OR(E837="",E837="!!!",F837="NEW"),"",INDEX(J$1:J836,SUMPRODUCT(MAX(ROW(E$1:E836)*(E837=E$1:E836)))))</f>
        <v>5</v>
      </c>
      <c r="L837" s="16"/>
    </row>
    <row r="838" customFormat="false" ht="12.75" hidden="false" customHeight="false" outlineLevel="0" collapsed="false">
      <c r="A838" s="9" t="s">
        <v>141</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9" t="s">
        <v>39</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9" t="s">
        <v>525</v>
      </c>
      <c r="B840" s="0" t="s">
        <v>74</v>
      </c>
      <c r="C840" s="0" t="s">
        <v>28</v>
      </c>
      <c r="E840" s="10" t="str">
        <f aca="false">IF(D840="?OLD","!!!","")</f>
        <v/>
      </c>
      <c r="F840" s="11" t="str">
        <f aca="false">IF(OR(E840="",E840="!!!"),"",IF(NOT(ISNA(VLOOKUP(E840,E$1:E839,1,FALSE()))),"OLD",IF(AND(E840&lt;&gt;"",E840&lt;&gt;"!!!"),"NEW","")))</f>
        <v/>
      </c>
      <c r="G840" s="12" t="str">
        <f aca="false">IF(OR(E840="",E840="!!!"),"",IF(OR(J840=0,AND(J840=1,K840=1),AND(J840=1,I840="SBJ"),AND(J840=1,I840=0)),"?IN_FOCUS",IF(J840&lt;=2,"?ACTIVATED",IF(J840&lt;&gt;"","?FAMILIAR",IF(F840="NEW",IF(ISNA(VLOOKUP(E840,#REF!,1,FALSE())),"?TYPE_IDENTIFIABLE","?REFERENTIAL"),"_")))))</f>
        <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75" hidden="false" customHeight="false" outlineLevel="0" collapsed="false">
      <c r="A841" s="9" t="s">
        <v>29</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9" t="s">
        <v>526</v>
      </c>
      <c r="B842" s="0" t="s">
        <v>80</v>
      </c>
      <c r="C842" s="0" t="s">
        <v>31</v>
      </c>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75" hidden="false" customHeight="false" outlineLevel="0" collapsed="false">
      <c r="A843" s="9" t="s">
        <v>42</v>
      </c>
      <c r="E843" s="10" t="str">
        <f aca="false">IF(D843="?OLD","!!!","")</f>
        <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9" t="s">
        <v>29</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75" hidden="false" customHeight="false" outlineLevel="0" collapsed="false">
      <c r="A845" s="9" t="s">
        <v>351</v>
      </c>
      <c r="B845" s="0" t="s">
        <v>15</v>
      </c>
      <c r="C845" s="0" t="s">
        <v>31</v>
      </c>
      <c r="E845" s="10" t="str">
        <f aca="false">IF(D845="?OLD","!!!","")</f>
        <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9" t="s">
        <v>71</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9" t="s">
        <v>42</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9" t="s">
        <v>29</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9" t="s">
        <v>527</v>
      </c>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A850" s="9" t="s">
        <v>42</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9" t="s">
        <v>29</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A852" s="9" t="s">
        <v>528</v>
      </c>
      <c r="B852" s="0" t="s">
        <v>15</v>
      </c>
      <c r="C852" s="0" t="s">
        <v>31</v>
      </c>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75" hidden="false" customHeight="false" outlineLevel="0" collapsed="false">
      <c r="A853" s="9" t="s">
        <v>57</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9" t="s">
        <v>529</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9" t="s">
        <v>530</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75" hidden="false" customHeight="false" outlineLevel="0" collapsed="false">
      <c r="A857" s="9" t="s">
        <v>474</v>
      </c>
      <c r="B857" s="0" t="s">
        <v>67</v>
      </c>
      <c r="C857" s="0" t="s">
        <v>45</v>
      </c>
      <c r="D857" s="0" t="s">
        <v>22</v>
      </c>
      <c r="E857" s="10" t="s">
        <v>450</v>
      </c>
      <c r="F857" s="11" t="str">
        <f aca="false">IF(OR(E857="",E857="!!!"),"",IF(NOT(ISNA(VLOOKUP(E857,E$1:E856,1,FALSE()))),"OLD",IF(AND(E857&lt;&gt;"",E857&lt;&gt;"!!!"),"NEW","")))</f>
        <v>OLD</v>
      </c>
      <c r="G857" s="12" t="s">
        <v>129</v>
      </c>
      <c r="H857" s="13" t="str">
        <f aca="false">IF(J857&lt;&gt;1,"",IF(I857="SBJ","CB","?"))</f>
        <v/>
      </c>
      <c r="I857" s="14" t="str">
        <f aca="false">IF(OR(E857="",E857="!!!",F857="NEW"),"",INDEX(B$2:B856,-1+SUMPRODUCT(MAX(ROW(E$2:E856)*(E857=E$2:E856)))))</f>
        <v>other_2</v>
      </c>
      <c r="J857" s="15" t="n">
        <f aca="true">IF(OR(E857="",E857="!!!",F857="NEW"),"",COUNTBLANK(OFFSET(A$1,,,SUMPRODUCT(MAX(ROW(E$2:E857)*(E857=E$2:E857)))))-COUNTBLANK(OFFSET(A$1,,,SUMPRODUCT(MAX(ROW(E$1:E856)*(E857=E$1:E856))))))</f>
        <v>3</v>
      </c>
      <c r="K857" s="15" t="n">
        <f aca="false">IF(OR(E857="",E857="!!!",F857="NEW"),"",INDEX(J$1:J856,SUMPRODUCT(MAX(ROW(E$1:E856)*(E857=E$1:E856)))))</f>
        <v>2</v>
      </c>
      <c r="L857" s="16"/>
    </row>
    <row r="858" customFormat="false" ht="12.75" hidden="false" customHeight="false" outlineLevel="0" collapsed="false">
      <c r="A858" s="9" t="s">
        <v>57</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sheetData>
  <autoFilter ref="A1:L85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2023-07-10T14:21:33Z</dcterms:created>
  <dc:creator>Kalbsmaster 5000</dc:creator>
  <dc:description/>
  <dc:language>en-US</dc:language>
  <cp:lastModifiedBy/>
  <dcterms:modified xsi:type="dcterms:W3CDTF">2025-11-14T17:24:06Z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