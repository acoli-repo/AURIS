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C:\Users\tabea\Desktop\Git\AURIS\annotators\preanno_parcor_coref\de\annotated\"/>
    </mc:Choice>
  </mc:AlternateContent>
  <xr:revisionPtr revIDLastSave="0" documentId="8_{F4678505-374D-4591-9932-967975612C1D}" xr6:coauthVersionLast="47" xr6:coauthVersionMax="47" xr10:uidLastSave="{00000000-0000-0000-0000-000000000000}"/>
  <bookViews>
    <workbookView xWindow="-108" yWindow="-108" windowWidth="23256" windowHeight="12456"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438" i="2" l="1"/>
  <c r="F438" i="2" s="1"/>
  <c r="E437" i="2"/>
  <c r="F437" i="2" s="1"/>
  <c r="F435" i="2"/>
  <c r="E435" i="2"/>
  <c r="E433" i="2"/>
  <c r="F433" i="2" s="1"/>
  <c r="E432" i="2"/>
  <c r="F432" i="2" s="1"/>
  <c r="F431" i="2"/>
  <c r="J431" i="2" s="1"/>
  <c r="H431" i="2" s="1"/>
  <c r="E431" i="2"/>
  <c r="E430" i="2"/>
  <c r="F430" i="2" s="1"/>
  <c r="E429" i="2"/>
  <c r="F429" i="2" s="1"/>
  <c r="I429" i="2" s="1"/>
  <c r="E427" i="2"/>
  <c r="F427" i="2" s="1"/>
  <c r="F426" i="2"/>
  <c r="I426" i="2" s="1"/>
  <c r="E426" i="2"/>
  <c r="F424" i="2"/>
  <c r="J424" i="2" s="1"/>
  <c r="H424" i="2" s="1"/>
  <c r="E424" i="2"/>
  <c r="E423" i="2"/>
  <c r="F423" i="2" s="1"/>
  <c r="E422" i="2"/>
  <c r="F419" i="2"/>
  <c r="E419" i="2"/>
  <c r="F417" i="2"/>
  <c r="F416" i="2"/>
  <c r="I416" i="2" s="1"/>
  <c r="F415" i="2"/>
  <c r="F414" i="2"/>
  <c r="K414" i="2" s="1"/>
  <c r="F413" i="2"/>
  <c r="K413" i="2" s="1"/>
  <c r="F412" i="2"/>
  <c r="F411" i="2"/>
  <c r="K411" i="2" s="1"/>
  <c r="F410" i="2"/>
  <c r="F409" i="2"/>
  <c r="F407" i="2"/>
  <c r="F406" i="2"/>
  <c r="J406" i="2" s="1"/>
  <c r="H406" i="2" s="1"/>
  <c r="F405" i="2"/>
  <c r="F404" i="2"/>
  <c r="F403" i="2"/>
  <c r="I403" i="2" s="1"/>
  <c r="F402" i="2"/>
  <c r="F401" i="2"/>
  <c r="F399" i="2"/>
  <c r="F398" i="2"/>
  <c r="K398" i="2" s="1"/>
  <c r="F397" i="2"/>
  <c r="F396" i="2"/>
  <c r="F394" i="2"/>
  <c r="F393" i="2"/>
  <c r="F391" i="2"/>
  <c r="F389" i="2"/>
  <c r="F388" i="2"/>
  <c r="F386" i="2"/>
  <c r="F385" i="2"/>
  <c r="I385" i="2" s="1"/>
  <c r="F384" i="2"/>
  <c r="F383" i="2"/>
  <c r="F381" i="2"/>
  <c r="F380" i="2"/>
  <c r="K380" i="2" s="1"/>
  <c r="F379" i="2"/>
  <c r="F376" i="2"/>
  <c r="F375" i="2"/>
  <c r="F374" i="2"/>
  <c r="F373" i="2"/>
  <c r="F372" i="2"/>
  <c r="F371" i="2"/>
  <c r="F370" i="2"/>
  <c r="I370" i="2" s="1"/>
  <c r="F369" i="2"/>
  <c r="F368" i="2"/>
  <c r="F367" i="2"/>
  <c r="F364" i="2"/>
  <c r="I364" i="2" s="1"/>
  <c r="F363" i="2"/>
  <c r="J363" i="2" s="1"/>
  <c r="H363" i="2" s="1"/>
  <c r="F361" i="2"/>
  <c r="F360" i="2"/>
  <c r="F359" i="2"/>
  <c r="I359" i="2" s="1"/>
  <c r="F358" i="2"/>
  <c r="F356" i="2"/>
  <c r="F354" i="2"/>
  <c r="F353" i="2"/>
  <c r="F352" i="2"/>
  <c r="I352" i="2" s="1"/>
  <c r="F351" i="2"/>
  <c r="K351" i="2" s="1"/>
  <c r="F350" i="2"/>
  <c r="F348" i="2"/>
  <c r="F346" i="2"/>
  <c r="F345" i="2"/>
  <c r="F344" i="2"/>
  <c r="K344" i="2" s="1"/>
  <c r="F342" i="2"/>
  <c r="F341" i="2"/>
  <c r="I341" i="2" s="1"/>
  <c r="F339" i="2"/>
  <c r="I339" i="2" s="1"/>
  <c r="F337" i="2"/>
  <c r="F335" i="2"/>
  <c r="F334" i="2"/>
  <c r="F333" i="2"/>
  <c r="F332" i="2"/>
  <c r="F331" i="2"/>
  <c r="K331" i="2" s="1"/>
  <c r="F330" i="2"/>
  <c r="J330" i="2" s="1"/>
  <c r="H330" i="2" s="1"/>
  <c r="F329" i="2"/>
  <c r="I329" i="2" s="1"/>
  <c r="F328" i="2"/>
  <c r="F327" i="2"/>
  <c r="F326" i="2"/>
  <c r="F323" i="2"/>
  <c r="I323" i="2" s="1"/>
  <c r="F322" i="2"/>
  <c r="F321" i="2"/>
  <c r="K321" i="2" s="1"/>
  <c r="F320" i="2"/>
  <c r="K320" i="2" s="1"/>
  <c r="F319" i="2"/>
  <c r="I319" i="2" s="1"/>
  <c r="F318" i="2"/>
  <c r="F317" i="2"/>
  <c r="F316" i="2"/>
  <c r="F315" i="2"/>
  <c r="F314" i="2"/>
  <c r="K314" i="2" s="1"/>
  <c r="F313" i="2"/>
  <c r="J313" i="2" s="1"/>
  <c r="H313" i="2" s="1"/>
  <c r="F312" i="2"/>
  <c r="J312" i="2" s="1"/>
  <c r="H312" i="2" s="1"/>
  <c r="F311" i="2"/>
  <c r="I311" i="2" s="1"/>
  <c r="F309" i="2"/>
  <c r="F308" i="2"/>
  <c r="F307" i="2"/>
  <c r="F306" i="2"/>
  <c r="F302" i="2"/>
  <c r="J302" i="2" s="1"/>
  <c r="H302" i="2" s="1"/>
  <c r="F301" i="2"/>
  <c r="I301" i="2" s="1"/>
  <c r="F299" i="2"/>
  <c r="F297" i="2"/>
  <c r="F296" i="2"/>
  <c r="K296" i="2" s="1"/>
  <c r="F295" i="2"/>
  <c r="K295" i="2" s="1"/>
  <c r="F294" i="2"/>
  <c r="F293" i="2"/>
  <c r="F292" i="2"/>
  <c r="F291" i="2"/>
  <c r="F290" i="2"/>
  <c r="F289" i="2"/>
  <c r="F288" i="2"/>
  <c r="K288" i="2" s="1"/>
  <c r="F287" i="2"/>
  <c r="F286" i="2"/>
  <c r="F285" i="2"/>
  <c r="F283" i="2"/>
  <c r="F281" i="2"/>
  <c r="F280" i="2"/>
  <c r="F279" i="2"/>
  <c r="F278" i="2"/>
  <c r="J278" i="2" s="1"/>
  <c r="H278" i="2" s="1"/>
  <c r="F277" i="2"/>
  <c r="K277" i="2" s="1"/>
  <c r="F276" i="2"/>
  <c r="F275" i="2"/>
  <c r="F273" i="2"/>
  <c r="F272" i="2"/>
  <c r="K272" i="2" s="1"/>
  <c r="F271" i="2"/>
  <c r="F270" i="2"/>
  <c r="K270" i="2" s="1"/>
  <c r="F269" i="2"/>
  <c r="F268" i="2"/>
  <c r="F267" i="2"/>
  <c r="F266" i="2"/>
  <c r="F265" i="2"/>
  <c r="F264" i="2"/>
  <c r="K264" i="2" s="1"/>
  <c r="F263" i="2"/>
  <c r="F262" i="2"/>
  <c r="K262" i="2" s="1"/>
  <c r="F261" i="2"/>
  <c r="F260" i="2"/>
  <c r="F259" i="2"/>
  <c r="F258" i="2"/>
  <c r="F255" i="2"/>
  <c r="F253" i="2"/>
  <c r="F252" i="2"/>
  <c r="J252" i="2" s="1"/>
  <c r="H252" i="2" s="1"/>
  <c r="F251" i="2"/>
  <c r="K251" i="2" s="1"/>
  <c r="F249" i="2"/>
  <c r="F248" i="2"/>
  <c r="F246" i="2"/>
  <c r="F245" i="2"/>
  <c r="F244" i="2"/>
  <c r="I244" i="2" s="1"/>
  <c r="F243" i="2"/>
  <c r="J243" i="2" s="1"/>
  <c r="H243" i="2" s="1"/>
  <c r="F240" i="2"/>
  <c r="F235" i="2"/>
  <c r="J235" i="2" s="1"/>
  <c r="H235" i="2" s="1"/>
  <c r="F234" i="2"/>
  <c r="F232" i="2"/>
  <c r="F231" i="2"/>
  <c r="F230" i="2"/>
  <c r="F229" i="2"/>
  <c r="F228" i="2"/>
  <c r="I228" i="2" s="1"/>
  <c r="F227" i="2"/>
  <c r="F226" i="2"/>
  <c r="F225" i="2"/>
  <c r="F223" i="2"/>
  <c r="I223" i="2" s="1"/>
  <c r="F222" i="2"/>
  <c r="F221" i="2"/>
  <c r="F220" i="2"/>
  <c r="J220" i="2" s="1"/>
  <c r="H220" i="2" s="1"/>
  <c r="F219" i="2"/>
  <c r="J219" i="2" s="1"/>
  <c r="H219" i="2" s="1"/>
  <c r="F218" i="2"/>
  <c r="F217" i="2"/>
  <c r="K217" i="2" s="1"/>
  <c r="F216" i="2"/>
  <c r="F214" i="2"/>
  <c r="F213" i="2"/>
  <c r="F212" i="2"/>
  <c r="F210" i="2"/>
  <c r="F208" i="2"/>
  <c r="F206" i="2"/>
  <c r="J206" i="2" s="1"/>
  <c r="H206" i="2" s="1"/>
  <c r="F205" i="2"/>
  <c r="J205" i="2" s="1"/>
  <c r="H205" i="2" s="1"/>
  <c r="F204" i="2"/>
  <c r="I204" i="2" s="1"/>
  <c r="F203" i="2"/>
  <c r="F201" i="2"/>
  <c r="F200" i="2"/>
  <c r="F199" i="2"/>
  <c r="I199" i="2" s="1"/>
  <c r="F198" i="2"/>
  <c r="F197" i="2"/>
  <c r="F195" i="2"/>
  <c r="F194" i="2"/>
  <c r="K194" i="2" s="1"/>
  <c r="F192" i="2"/>
  <c r="F191" i="2"/>
  <c r="F190" i="2"/>
  <c r="F189" i="2"/>
  <c r="I189" i="2" s="1"/>
  <c r="F188" i="2"/>
  <c r="I188" i="2" s="1"/>
  <c r="F186" i="2"/>
  <c r="F184" i="2"/>
  <c r="F182" i="2"/>
  <c r="K182" i="2" s="1"/>
  <c r="F180" i="2"/>
  <c r="F179" i="2"/>
  <c r="F178" i="2"/>
  <c r="F177" i="2"/>
  <c r="F175" i="2"/>
  <c r="F174" i="2"/>
  <c r="F173" i="2"/>
  <c r="F172" i="2"/>
  <c r="J172" i="2" s="1"/>
  <c r="H172" i="2" s="1"/>
  <c r="F170" i="2"/>
  <c r="F169" i="2"/>
  <c r="F168" i="2"/>
  <c r="F167" i="2"/>
  <c r="K167" i="2" s="1"/>
  <c r="F165" i="2"/>
  <c r="F164" i="2"/>
  <c r="F163" i="2"/>
  <c r="F162" i="2"/>
  <c r="K162" i="2" s="1"/>
  <c r="F161" i="2"/>
  <c r="F160" i="2"/>
  <c r="F159" i="2"/>
  <c r="F157" i="2"/>
  <c r="F155" i="2"/>
  <c r="I155" i="2" s="1"/>
  <c r="F154" i="2"/>
  <c r="K154" i="2" s="1"/>
  <c r="F153" i="2"/>
  <c r="F152" i="2"/>
  <c r="J152" i="2" s="1"/>
  <c r="H152" i="2" s="1"/>
  <c r="F151" i="2"/>
  <c r="F150" i="2"/>
  <c r="F149" i="2"/>
  <c r="F148" i="2"/>
  <c r="K148" i="2" s="1"/>
  <c r="F147" i="2"/>
  <c r="F145" i="2"/>
  <c r="J145" i="2" s="1"/>
  <c r="H145" i="2" s="1"/>
  <c r="F144" i="2"/>
  <c r="J144" i="2" s="1"/>
  <c r="H144" i="2" s="1"/>
  <c r="F142" i="2"/>
  <c r="F141" i="2"/>
  <c r="F140" i="2"/>
  <c r="F139" i="2"/>
  <c r="K139" i="2" s="1"/>
  <c r="F138" i="2"/>
  <c r="F136" i="2"/>
  <c r="K136" i="2" s="1"/>
  <c r="F135" i="2"/>
  <c r="F134" i="2"/>
  <c r="J134" i="2" s="1"/>
  <c r="H134" i="2" s="1"/>
  <c r="F132" i="2"/>
  <c r="F129" i="2"/>
  <c r="F128" i="2"/>
  <c r="J128" i="2" s="1"/>
  <c r="H128" i="2" s="1"/>
  <c r="F126" i="2"/>
  <c r="F125" i="2"/>
  <c r="F123" i="2"/>
  <c r="F122" i="2"/>
  <c r="K122" i="2" s="1"/>
  <c r="F121" i="2"/>
  <c r="K121" i="2" s="1"/>
  <c r="F120" i="2"/>
  <c r="F119" i="2"/>
  <c r="F118" i="2"/>
  <c r="F116" i="2"/>
  <c r="I116" i="2" s="1"/>
  <c r="F115" i="2"/>
  <c r="F114" i="2"/>
  <c r="J114" i="2" s="1"/>
  <c r="H114" i="2" s="1"/>
  <c r="F113" i="2"/>
  <c r="I113" i="2" s="1"/>
  <c r="F111" i="2"/>
  <c r="I111" i="2" s="1"/>
  <c r="F110" i="2"/>
  <c r="F108" i="2"/>
  <c r="F105" i="2"/>
  <c r="F104" i="2"/>
  <c r="J104" i="2" s="1"/>
  <c r="H104" i="2" s="1"/>
  <c r="F103" i="2"/>
  <c r="I103" i="2" s="1"/>
  <c r="F101" i="2"/>
  <c r="I101" i="2" s="1"/>
  <c r="F99" i="2"/>
  <c r="F98" i="2"/>
  <c r="I98" i="2" s="1"/>
  <c r="F97" i="2"/>
  <c r="F96" i="2"/>
  <c r="F95" i="2"/>
  <c r="F94" i="2"/>
  <c r="F92" i="2"/>
  <c r="F91" i="2"/>
  <c r="F89" i="2"/>
  <c r="F88" i="2"/>
  <c r="J88" i="2" s="1"/>
  <c r="H88" i="2" s="1"/>
  <c r="F87" i="2"/>
  <c r="F86" i="2"/>
  <c r="F85" i="2"/>
  <c r="I85" i="2" s="1"/>
  <c r="F84" i="2"/>
  <c r="F83" i="2"/>
  <c r="F82" i="2"/>
  <c r="K82" i="2" s="1"/>
  <c r="F81" i="2"/>
  <c r="F79" i="2"/>
  <c r="F78" i="2"/>
  <c r="F77" i="2"/>
  <c r="K77" i="2" s="1"/>
  <c r="F75" i="2"/>
  <c r="F74" i="2"/>
  <c r="F73" i="2"/>
  <c r="F70" i="2"/>
  <c r="J70" i="2" s="1"/>
  <c r="H70" i="2" s="1"/>
  <c r="F69" i="2"/>
  <c r="K69" i="2" s="1"/>
  <c r="F68" i="2"/>
  <c r="F67" i="2"/>
  <c r="F66" i="2"/>
  <c r="F65" i="2"/>
  <c r="F63" i="2"/>
  <c r="F62" i="2"/>
  <c r="K62" i="2" s="1"/>
  <c r="F61" i="2"/>
  <c r="F60" i="2"/>
  <c r="F59" i="2"/>
  <c r="K59" i="2" s="1"/>
  <c r="F58" i="2"/>
  <c r="F57" i="2"/>
  <c r="F56" i="2"/>
  <c r="F55" i="2"/>
  <c r="F54" i="2"/>
  <c r="I54" i="2" s="1"/>
  <c r="F53" i="2"/>
  <c r="K53" i="2" s="1"/>
  <c r="F52" i="2"/>
  <c r="F51" i="2"/>
  <c r="K51" i="2" s="1"/>
  <c r="F50" i="2"/>
  <c r="F48" i="2"/>
  <c r="F47" i="2"/>
  <c r="F46" i="2"/>
  <c r="F45" i="2"/>
  <c r="F44" i="2"/>
  <c r="F43" i="2"/>
  <c r="J43" i="2" s="1"/>
  <c r="H43" i="2" s="1"/>
  <c r="F41" i="2"/>
  <c r="E41" i="2"/>
  <c r="F39" i="2"/>
  <c r="E39" i="2"/>
  <c r="E37" i="2"/>
  <c r="F37" i="2" s="1"/>
  <c r="F36" i="2"/>
  <c r="J36" i="2" s="1"/>
  <c r="H36" i="2" s="1"/>
  <c r="E36" i="2"/>
  <c r="F35" i="2"/>
  <c r="J35" i="2" s="1"/>
  <c r="H35" i="2" s="1"/>
  <c r="E35" i="2"/>
  <c r="F33" i="2"/>
  <c r="J33" i="2" s="1"/>
  <c r="H33" i="2" s="1"/>
  <c r="E33" i="2"/>
  <c r="F32" i="2"/>
  <c r="E32" i="2"/>
  <c r="F30" i="2"/>
  <c r="K30" i="2" s="1"/>
  <c r="E30" i="2"/>
  <c r="F29" i="2"/>
  <c r="E29" i="2"/>
  <c r="E28" i="2"/>
  <c r="F28" i="2" s="1"/>
  <c r="J28" i="2" s="1"/>
  <c r="H28" i="2" s="1"/>
  <c r="F27" i="2"/>
  <c r="E27" i="2"/>
  <c r="F26" i="2"/>
  <c r="E26" i="2"/>
  <c r="F25" i="2"/>
  <c r="E25" i="2"/>
  <c r="E24" i="2"/>
  <c r="F24" i="2" s="1"/>
  <c r="E22" i="2"/>
  <c r="F21" i="2"/>
  <c r="E21" i="2"/>
  <c r="F23" i="2" s="1"/>
  <c r="F20" i="2"/>
  <c r="E20" i="2"/>
  <c r="F109" i="2" s="1"/>
  <c r="F19" i="2"/>
  <c r="F18" i="2"/>
  <c r="E18" i="2"/>
  <c r="F439" i="2" s="1"/>
  <c r="F17" i="2"/>
  <c r="I17" i="2" s="1"/>
  <c r="F442" i="2"/>
  <c r="E442" i="2"/>
  <c r="E441" i="2"/>
  <c r="E440" i="2"/>
  <c r="G438" i="2"/>
  <c r="G437" i="2"/>
  <c r="G432" i="2"/>
  <c r="G431" i="2"/>
  <c r="G430" i="2"/>
  <c r="G429" i="2"/>
  <c r="G424" i="2"/>
  <c r="G423" i="2"/>
  <c r="G422" i="2"/>
  <c r="G419" i="2"/>
  <c r="G417" i="2"/>
  <c r="G414" i="2"/>
  <c r="I414" i="2"/>
  <c r="G413" i="2"/>
  <c r="G412" i="2"/>
  <c r="I411" i="2"/>
  <c r="G411" i="2"/>
  <c r="G410" i="2"/>
  <c r="I410" i="2"/>
  <c r="G406" i="2"/>
  <c r="G404" i="2"/>
  <c r="G403" i="2"/>
  <c r="G402" i="2"/>
  <c r="G398" i="2"/>
  <c r="G397" i="2"/>
  <c r="G396" i="2"/>
  <c r="G395" i="2"/>
  <c r="I395" i="2"/>
  <c r="G394" i="2"/>
  <c r="G393" i="2"/>
  <c r="J388" i="2"/>
  <c r="H388" i="2" s="1"/>
  <c r="G388" i="2"/>
  <c r="K388" i="2"/>
  <c r="I388" i="2"/>
  <c r="G387" i="2"/>
  <c r="G386" i="2"/>
  <c r="G385" i="2"/>
  <c r="G384" i="2"/>
  <c r="K382" i="2"/>
  <c r="J380" i="2"/>
  <c r="H380" i="2" s="1"/>
  <c r="G380" i="2"/>
  <c r="I380" i="2"/>
  <c r="G376" i="2"/>
  <c r="G375" i="2"/>
  <c r="G374" i="2"/>
  <c r="J370" i="2"/>
  <c r="H370" i="2" s="1"/>
  <c r="G370" i="2"/>
  <c r="K370" i="2"/>
  <c r="J367" i="2"/>
  <c r="H367" i="2" s="1"/>
  <c r="G364" i="2"/>
  <c r="G363" i="2"/>
  <c r="G361" i="2"/>
  <c r="G360" i="2"/>
  <c r="K359" i="2"/>
  <c r="J359" i="2"/>
  <c r="H359" i="2" s="1"/>
  <c r="G359" i="2"/>
  <c r="K357" i="2"/>
  <c r="G357" i="2"/>
  <c r="J357" i="2"/>
  <c r="H357" i="2" s="1"/>
  <c r="K356" i="2"/>
  <c r="J356" i="2"/>
  <c r="H356" i="2" s="1"/>
  <c r="G356" i="2"/>
  <c r="I356" i="2"/>
  <c r="I354" i="2"/>
  <c r="G352" i="2"/>
  <c r="G351" i="2"/>
  <c r="G348" i="2"/>
  <c r="I346" i="2"/>
  <c r="G344" i="2"/>
  <c r="G341" i="2"/>
  <c r="G335" i="2"/>
  <c r="G334" i="2"/>
  <c r="G331" i="2"/>
  <c r="K330" i="2"/>
  <c r="G330" i="2"/>
  <c r="G329" i="2"/>
  <c r="G327" i="2"/>
  <c r="K323" i="2"/>
  <c r="J323" i="2"/>
  <c r="H323" i="2" s="1"/>
  <c r="G323" i="2"/>
  <c r="G321" i="2"/>
  <c r="G320" i="2"/>
  <c r="G319" i="2"/>
  <c r="I318" i="2"/>
  <c r="I314" i="2"/>
  <c r="G314" i="2"/>
  <c r="G313" i="2"/>
  <c r="G312" i="2"/>
  <c r="G311" i="2"/>
  <c r="K306" i="2"/>
  <c r="J306" i="2"/>
  <c r="H306" i="2" s="1"/>
  <c r="I306" i="2"/>
  <c r="G306" i="2"/>
  <c r="G302" i="2"/>
  <c r="G301" i="2"/>
  <c r="I296" i="2"/>
  <c r="G296" i="2"/>
  <c r="I295" i="2"/>
  <c r="J295" i="2"/>
  <c r="H295" i="2" s="1"/>
  <c r="G295" i="2"/>
  <c r="J294" i="2"/>
  <c r="H294" i="2" s="1"/>
  <c r="G294" i="2"/>
  <c r="G293" i="2"/>
  <c r="K293" i="2"/>
  <c r="G288" i="2"/>
  <c r="K287" i="2"/>
  <c r="I287" i="2"/>
  <c r="J287" i="2"/>
  <c r="H287" i="2" s="1"/>
  <c r="G287" i="2"/>
  <c r="G285" i="2"/>
  <c r="G281" i="2"/>
  <c r="G278" i="2"/>
  <c r="I277" i="2"/>
  <c r="J277" i="2"/>
  <c r="H277" i="2" s="1"/>
  <c r="G277" i="2"/>
  <c r="I275" i="2"/>
  <c r="G275" i="2"/>
  <c r="K275" i="2"/>
  <c r="J275" i="2"/>
  <c r="H275" i="2" s="1"/>
  <c r="K274" i="2"/>
  <c r="G273" i="2"/>
  <c r="G270" i="2"/>
  <c r="G269" i="2"/>
  <c r="G267" i="2"/>
  <c r="G265" i="2"/>
  <c r="G262" i="2"/>
  <c r="G261" i="2"/>
  <c r="G260" i="2"/>
  <c r="G259" i="2"/>
  <c r="G258" i="2"/>
  <c r="G252" i="2"/>
  <c r="G251" i="2"/>
  <c r="G244" i="2"/>
  <c r="G243" i="2"/>
  <c r="G240" i="2"/>
  <c r="G235" i="2"/>
  <c r="G234" i="2"/>
  <c r="G231" i="2"/>
  <c r="K230" i="2"/>
  <c r="G229" i="2"/>
  <c r="G228" i="2"/>
  <c r="G225" i="2"/>
  <c r="I222" i="2"/>
  <c r="K222" i="2"/>
  <c r="G220" i="2"/>
  <c r="G219" i="2"/>
  <c r="G218" i="2"/>
  <c r="G217" i="2"/>
  <c r="G215" i="2"/>
  <c r="K214" i="2"/>
  <c r="G213" i="2"/>
  <c r="K212" i="2"/>
  <c r="J212" i="2"/>
  <c r="H212" i="2" s="1"/>
  <c r="G212" i="2"/>
  <c r="I212" i="2"/>
  <c r="G208" i="2"/>
  <c r="J202" i="2"/>
  <c r="H202" i="2" s="1"/>
  <c r="G202" i="2"/>
  <c r="J201" i="2"/>
  <c r="H201" i="2" s="1"/>
  <c r="K201" i="2"/>
  <c r="G201" i="2"/>
  <c r="G200" i="2"/>
  <c r="G199" i="2"/>
  <c r="G197" i="2"/>
  <c r="G194" i="2"/>
  <c r="G191" i="2"/>
  <c r="J190" i="2"/>
  <c r="H190" i="2" s="1"/>
  <c r="G186" i="2"/>
  <c r="G184" i="2"/>
  <c r="G182" i="2"/>
  <c r="G179" i="2"/>
  <c r="K178" i="2"/>
  <c r="G177" i="2"/>
  <c r="G173" i="2"/>
  <c r="I170" i="2"/>
  <c r="G168" i="2"/>
  <c r="G167" i="2"/>
  <c r="G161" i="2"/>
  <c r="K160" i="2"/>
  <c r="J160" i="2"/>
  <c r="H160" i="2" s="1"/>
  <c r="G160" i="2"/>
  <c r="I160" i="2"/>
  <c r="G157" i="2"/>
  <c r="G152" i="2"/>
  <c r="J150" i="2"/>
  <c r="H150" i="2" s="1"/>
  <c r="I149" i="2"/>
  <c r="J148" i="2"/>
  <c r="H148" i="2" s="1"/>
  <c r="G148" i="2"/>
  <c r="G145" i="2"/>
  <c r="G144" i="2"/>
  <c r="G142" i="2"/>
  <c r="J140" i="2"/>
  <c r="H140" i="2" s="1"/>
  <c r="G139" i="2"/>
  <c r="G136" i="2"/>
  <c r="G134" i="2"/>
  <c r="J129" i="2"/>
  <c r="H129" i="2" s="1"/>
  <c r="I129" i="2"/>
  <c r="K129" i="2"/>
  <c r="K128" i="2"/>
  <c r="G128" i="2"/>
  <c r="G126" i="2"/>
  <c r="G122" i="2"/>
  <c r="G121" i="2"/>
  <c r="G120" i="2"/>
  <c r="G119" i="2"/>
  <c r="K118" i="2"/>
  <c r="G114" i="2"/>
  <c r="G113" i="2"/>
  <c r="G111" i="2"/>
  <c r="K110" i="2"/>
  <c r="K108" i="2"/>
  <c r="G104" i="2"/>
  <c r="G103" i="2"/>
  <c r="G101" i="2"/>
  <c r="J96" i="2"/>
  <c r="H96" i="2" s="1"/>
  <c r="I96" i="2"/>
  <c r="G96" i="2"/>
  <c r="K96" i="2"/>
  <c r="K95" i="2"/>
  <c r="I95" i="2"/>
  <c r="G95" i="2"/>
  <c r="G94" i="2"/>
  <c r="G91" i="2"/>
  <c r="K90" i="2"/>
  <c r="I90" i="2"/>
  <c r="J90" i="2"/>
  <c r="H90" i="2" s="1"/>
  <c r="G88" i="2"/>
  <c r="K87" i="2"/>
  <c r="G87" i="2"/>
  <c r="G86" i="2"/>
  <c r="G85" i="2"/>
  <c r="G78" i="2"/>
  <c r="I77" i="2"/>
  <c r="G77" i="2"/>
  <c r="K76" i="2"/>
  <c r="G75" i="2"/>
  <c r="K74" i="2"/>
  <c r="G73" i="2"/>
  <c r="G70" i="2"/>
  <c r="K70" i="2"/>
  <c r="G67" i="2"/>
  <c r="J67" i="2"/>
  <c r="H67" i="2" s="1"/>
  <c r="K64" i="2"/>
  <c r="I64" i="2"/>
  <c r="J64" i="2"/>
  <c r="H64" i="2" s="1"/>
  <c r="G62" i="2"/>
  <c r="K61" i="2"/>
  <c r="G59" i="2"/>
  <c r="G54" i="2"/>
  <c r="G53" i="2"/>
  <c r="G52" i="2"/>
  <c r="G51" i="2"/>
  <c r="K48" i="2"/>
  <c r="G47" i="2"/>
  <c r="K46" i="2"/>
  <c r="J46" i="2"/>
  <c r="H46" i="2" s="1"/>
  <c r="G46" i="2"/>
  <c r="I46" i="2"/>
  <c r="G45" i="2"/>
  <c r="G43" i="2"/>
  <c r="K39" i="2"/>
  <c r="G36" i="2"/>
  <c r="G35" i="2"/>
  <c r="G33" i="2"/>
  <c r="G29" i="2"/>
  <c r="G28" i="2"/>
  <c r="G27" i="2"/>
  <c r="K25" i="2"/>
  <c r="G25" i="2"/>
  <c r="J25" i="2"/>
  <c r="H25" i="2" s="1"/>
  <c r="G22" i="2"/>
  <c r="G21" i="2"/>
  <c r="J21" i="2"/>
  <c r="H21" i="2" s="1"/>
  <c r="K21" i="2"/>
  <c r="G19" i="2"/>
  <c r="K16" i="2"/>
  <c r="G16" i="2"/>
  <c r="F16" i="2"/>
  <c r="I16" i="2" s="1"/>
  <c r="E16" i="2"/>
  <c r="J16" i="2" s="1"/>
  <c r="H16" i="2" s="1"/>
  <c r="E15" i="2"/>
  <c r="F15" i="2" s="1"/>
  <c r="I15" i="2" s="1"/>
  <c r="G14" i="2"/>
  <c r="E14" i="2"/>
  <c r="E11" i="2"/>
  <c r="G10" i="2"/>
  <c r="F10" i="2"/>
  <c r="J10" i="2" s="1"/>
  <c r="H10" i="2" s="1"/>
  <c r="E10" i="2"/>
  <c r="E8" i="2"/>
  <c r="F8" i="2" s="1"/>
  <c r="F7" i="2"/>
  <c r="I7" i="2" s="1"/>
  <c r="E6" i="2"/>
  <c r="G6" i="2" s="1"/>
  <c r="K4" i="2"/>
  <c r="I4" i="2"/>
  <c r="G4" i="2"/>
  <c r="F4" i="2"/>
  <c r="E4" i="2"/>
  <c r="J4" i="2" s="1"/>
  <c r="H4" i="2" s="1"/>
  <c r="J3" i="2"/>
  <c r="H3" i="2" s="1"/>
  <c r="F3" i="2"/>
  <c r="E3" i="2"/>
  <c r="K3" i="2" s="1"/>
  <c r="G19" i="1"/>
  <c r="G18" i="1"/>
  <c r="G17" i="1"/>
  <c r="G16" i="1"/>
  <c r="G15" i="1"/>
  <c r="G14" i="1"/>
  <c r="G13" i="1"/>
  <c r="G12" i="1"/>
  <c r="G11" i="1"/>
  <c r="G10" i="1"/>
  <c r="G9" i="1"/>
  <c r="G8" i="1"/>
  <c r="G7" i="1"/>
  <c r="G6" i="1"/>
  <c r="G5" i="1"/>
  <c r="G4" i="1"/>
  <c r="G3" i="1"/>
  <c r="G2" i="1"/>
  <c r="I104" i="2" l="1"/>
  <c r="I313" i="2"/>
  <c r="J398" i="2"/>
  <c r="H398" i="2" s="1"/>
  <c r="J314" i="2"/>
  <c r="H314" i="2" s="1"/>
  <c r="K199" i="2"/>
  <c r="J344" i="2"/>
  <c r="H344" i="2" s="1"/>
  <c r="I398" i="2"/>
  <c r="K104" i="2"/>
  <c r="K116" i="2"/>
  <c r="J167" i="2"/>
  <c r="H167" i="2" s="1"/>
  <c r="J116" i="2"/>
  <c r="H116" i="2" s="1"/>
  <c r="K424" i="2"/>
  <c r="I70" i="2"/>
  <c r="K252" i="2"/>
  <c r="J414" i="2"/>
  <c r="H414" i="2" s="1"/>
  <c r="K114" i="2"/>
  <c r="I320" i="2"/>
  <c r="J341" i="2"/>
  <c r="H341" i="2" s="1"/>
  <c r="I363" i="2"/>
  <c r="I82" i="2"/>
  <c r="I145" i="2"/>
  <c r="I154" i="2"/>
  <c r="J320" i="2"/>
  <c r="H320" i="2" s="1"/>
  <c r="I330" i="2"/>
  <c r="K352" i="2"/>
  <c r="I114" i="2"/>
  <c r="J329" i="2"/>
  <c r="H329" i="2" s="1"/>
  <c r="J228" i="2"/>
  <c r="H228" i="2" s="1"/>
  <c r="I243" i="2"/>
  <c r="K103" i="2"/>
  <c r="K406" i="2"/>
  <c r="I424" i="2"/>
  <c r="J54" i="2"/>
  <c r="H54" i="2" s="1"/>
  <c r="J301" i="2"/>
  <c r="H301" i="2" s="1"/>
  <c r="I136" i="2"/>
  <c r="J270" i="2"/>
  <c r="H270" i="2" s="1"/>
  <c r="J319" i="2"/>
  <c r="H319" i="2" s="1"/>
  <c r="J364" i="2"/>
  <c r="H364" i="2" s="1"/>
  <c r="K313" i="2"/>
  <c r="J136" i="2"/>
  <c r="H136" i="2" s="1"/>
  <c r="K228" i="2"/>
  <c r="J296" i="2"/>
  <c r="H296" i="2" s="1"/>
  <c r="J321" i="2"/>
  <c r="H321" i="2" s="1"/>
  <c r="K364" i="2"/>
  <c r="K431" i="2"/>
  <c r="J51" i="2"/>
  <c r="H51" i="2" s="1"/>
  <c r="K88" i="2"/>
  <c r="K98" i="2"/>
  <c r="I278" i="2"/>
  <c r="I194" i="2"/>
  <c r="I88" i="2"/>
  <c r="I182" i="2"/>
  <c r="J272" i="2"/>
  <c r="H272" i="2" s="1"/>
  <c r="K278" i="2"/>
  <c r="I288" i="2"/>
  <c r="K301" i="2"/>
  <c r="I36" i="2"/>
  <c r="I59" i="2"/>
  <c r="J194" i="2"/>
  <c r="H194" i="2" s="1"/>
  <c r="K219" i="2"/>
  <c r="J262" i="2"/>
  <c r="H262" i="2" s="1"/>
  <c r="I272" i="2"/>
  <c r="J288" i="2"/>
  <c r="H288" i="2" s="1"/>
  <c r="J331" i="2"/>
  <c r="H331" i="2" s="1"/>
  <c r="I406" i="2"/>
  <c r="J59" i="2"/>
  <c r="H59" i="2" s="1"/>
  <c r="K144" i="2"/>
  <c r="K10" i="2"/>
  <c r="K113" i="2"/>
  <c r="I122" i="2"/>
  <c r="K235" i="2"/>
  <c r="K311" i="2"/>
  <c r="J122" i="2"/>
  <c r="H122" i="2" s="1"/>
  <c r="I134" i="2"/>
  <c r="I205" i="2"/>
  <c r="I144" i="2"/>
  <c r="I251" i="2"/>
  <c r="J351" i="2"/>
  <c r="H351" i="2" s="1"/>
  <c r="J413" i="2"/>
  <c r="H413" i="2" s="1"/>
  <c r="J17" i="2"/>
  <c r="H17" i="2" s="1"/>
  <c r="J251" i="2"/>
  <c r="H251" i="2" s="1"/>
  <c r="I351" i="2"/>
  <c r="I413" i="2"/>
  <c r="I262" i="2"/>
  <c r="I270" i="2"/>
  <c r="K419" i="2"/>
  <c r="J432" i="2"/>
  <c r="H432" i="2" s="1"/>
  <c r="K432" i="2"/>
  <c r="I432" i="2"/>
  <c r="I423" i="2"/>
  <c r="K423" i="2"/>
  <c r="J423" i="2"/>
  <c r="H423" i="2" s="1"/>
  <c r="J135" i="2"/>
  <c r="H135" i="2" s="1"/>
  <c r="I28" i="2"/>
  <c r="J286" i="2"/>
  <c r="K291" i="2" s="1"/>
  <c r="I344" i="2"/>
  <c r="J352" i="2"/>
  <c r="H352" i="2" s="1"/>
  <c r="F34" i="2"/>
  <c r="F100" i="2"/>
  <c r="K100" i="2" s="1"/>
  <c r="F187" i="2"/>
  <c r="J187" i="2" s="1"/>
  <c r="F196" i="2"/>
  <c r="F224" i="2"/>
  <c r="J224" i="2" s="1"/>
  <c r="H224" i="2" s="1"/>
  <c r="F242" i="2"/>
  <c r="F418" i="2"/>
  <c r="I418" i="2" s="1"/>
  <c r="F93" i="2"/>
  <c r="J93" i="2" s="1"/>
  <c r="F146" i="2"/>
  <c r="I146" i="2" s="1"/>
  <c r="F233" i="2"/>
  <c r="J233" i="2" s="1"/>
  <c r="F343" i="2"/>
  <c r="F49" i="2"/>
  <c r="F112" i="2"/>
  <c r="J112" i="2" s="1"/>
  <c r="F298" i="2"/>
  <c r="I298" i="2" s="1"/>
  <c r="F436" i="2"/>
  <c r="I436" i="2" s="1"/>
  <c r="K28" i="2"/>
  <c r="J77" i="2"/>
  <c r="H77" i="2" s="1"/>
  <c r="I165" i="2"/>
  <c r="J339" i="2"/>
  <c r="K426" i="2"/>
  <c r="I431" i="2"/>
  <c r="F22" i="2"/>
  <c r="K22" i="2" s="1"/>
  <c r="F31" i="2"/>
  <c r="J31" i="2" s="1"/>
  <c r="H31" i="2" s="1"/>
  <c r="F42" i="2"/>
  <c r="J42" i="2" s="1"/>
  <c r="H42" i="2" s="1"/>
  <c r="F156" i="2"/>
  <c r="J156" i="2" s="1"/>
  <c r="H156" i="2" s="1"/>
  <c r="F102" i="2"/>
  <c r="F171" i="2"/>
  <c r="I171" i="2" s="1"/>
  <c r="F362" i="2"/>
  <c r="I139" i="2"/>
  <c r="J247" i="2"/>
  <c r="H247" i="2" s="1"/>
  <c r="F211" i="2"/>
  <c r="F238" i="2"/>
  <c r="I238" i="2" s="1"/>
  <c r="F257" i="2"/>
  <c r="J257" i="2" s="1"/>
  <c r="F300" i="2"/>
  <c r="I300" i="2" s="1"/>
  <c r="F310" i="2"/>
  <c r="F355" i="2"/>
  <c r="F428" i="2"/>
  <c r="I428" i="2" s="1"/>
  <c r="F80" i="2"/>
  <c r="J80" i="2" s="1"/>
  <c r="F133" i="2"/>
  <c r="J133" i="2" s="1"/>
  <c r="F158" i="2"/>
  <c r="I158" i="2" s="1"/>
  <c r="F166" i="2"/>
  <c r="F239" i="2"/>
  <c r="K239" i="2" s="1"/>
  <c r="I249" i="2"/>
  <c r="I135" i="2"/>
  <c r="J139" i="2"/>
  <c r="H139" i="2" s="1"/>
  <c r="I217" i="2"/>
  <c r="I252" i="2"/>
  <c r="F124" i="2"/>
  <c r="I124" i="2" s="1"/>
  <c r="F143" i="2"/>
  <c r="F185" i="2"/>
  <c r="I185" i="2" s="1"/>
  <c r="F340" i="2"/>
  <c r="K340" i="2" s="1"/>
  <c r="F349" i="2"/>
  <c r="F117" i="2"/>
  <c r="K117" i="2" s="1"/>
  <c r="F176" i="2"/>
  <c r="F241" i="2"/>
  <c r="I241" i="2" s="1"/>
  <c r="F250" i="2"/>
  <c r="K250" i="2" s="1"/>
  <c r="F305" i="2"/>
  <c r="F400" i="2"/>
  <c r="I400" i="2" s="1"/>
  <c r="F434" i="2"/>
  <c r="K434" i="2" s="1"/>
  <c r="K32" i="2"/>
  <c r="K33" i="2"/>
  <c r="I63" i="2"/>
  <c r="K68" i="2"/>
  <c r="G132" i="2"/>
  <c r="G138" i="2"/>
  <c r="K138" i="2"/>
  <c r="G175" i="2"/>
  <c r="K175" i="2"/>
  <c r="K191" i="2"/>
  <c r="I191" i="2"/>
  <c r="I232" i="2"/>
  <c r="G232" i="2"/>
  <c r="J232" i="2"/>
  <c r="H232" i="2" s="1"/>
  <c r="G3" i="2"/>
  <c r="K7" i="2"/>
  <c r="F9" i="2"/>
  <c r="J9" i="2" s="1"/>
  <c r="I10" i="2"/>
  <c r="K18" i="2"/>
  <c r="J20" i="2"/>
  <c r="H20" i="2" s="1"/>
  <c r="I24" i="2"/>
  <c r="I35" i="2"/>
  <c r="K36" i="2"/>
  <c r="K52" i="2"/>
  <c r="I53" i="2"/>
  <c r="K54" i="2"/>
  <c r="I61" i="2"/>
  <c r="G63" i="2"/>
  <c r="J66" i="2"/>
  <c r="H66" i="2" s="1"/>
  <c r="G68" i="2"/>
  <c r="J82" i="2"/>
  <c r="H82" i="2" s="1"/>
  <c r="G89" i="2"/>
  <c r="K89" i="2"/>
  <c r="K91" i="2"/>
  <c r="I108" i="2"/>
  <c r="K126" i="2"/>
  <c r="J126" i="2"/>
  <c r="H126" i="2" s="1"/>
  <c r="I132" i="2"/>
  <c r="J155" i="2"/>
  <c r="H155" i="2" s="1"/>
  <c r="K170" i="2"/>
  <c r="I175" i="2"/>
  <c r="G180" i="2"/>
  <c r="I180" i="2"/>
  <c r="J180" i="2"/>
  <c r="H180" i="2" s="1"/>
  <c r="I186" i="2"/>
  <c r="K186" i="2"/>
  <c r="J203" i="2"/>
  <c r="H203" i="2" s="1"/>
  <c r="I203" i="2"/>
  <c r="G203" i="2"/>
  <c r="J215" i="2"/>
  <c r="H215" i="2" s="1"/>
  <c r="K215" i="2"/>
  <c r="K308" i="2"/>
  <c r="I308" i="2"/>
  <c r="K316" i="2"/>
  <c r="I316" i="2"/>
  <c r="K15" i="2"/>
  <c r="J18" i="2"/>
  <c r="H18" i="2" s="1"/>
  <c r="J75" i="2"/>
  <c r="H75" i="2" s="1"/>
  <c r="I210" i="2"/>
  <c r="G210" i="2"/>
  <c r="J210" i="2"/>
  <c r="H210" i="2" s="1"/>
  <c r="G15" i="2"/>
  <c r="G20" i="2"/>
  <c r="G24" i="2"/>
  <c r="J37" i="2"/>
  <c r="H37" i="2" s="1"/>
  <c r="I39" i="2"/>
  <c r="J53" i="2"/>
  <c r="H53" i="2" s="1"/>
  <c r="I55" i="2"/>
  <c r="J55" i="2"/>
  <c r="H55" i="2" s="1"/>
  <c r="I56" i="2"/>
  <c r="J60" i="2"/>
  <c r="H60" i="2" s="1"/>
  <c r="K60" i="2"/>
  <c r="I60" i="2"/>
  <c r="K65" i="2"/>
  <c r="G79" i="2"/>
  <c r="J79" i="2"/>
  <c r="H79" i="2" s="1"/>
  <c r="G84" i="2"/>
  <c r="I87" i="2"/>
  <c r="I97" i="2"/>
  <c r="G97" i="2"/>
  <c r="K99" i="2"/>
  <c r="J99" i="2"/>
  <c r="H99" i="2" s="1"/>
  <c r="K101" i="2"/>
  <c r="J101" i="2"/>
  <c r="H101" i="2" s="1"/>
  <c r="I153" i="2"/>
  <c r="K153" i="2"/>
  <c r="G153" i="2"/>
  <c r="I163" i="2"/>
  <c r="K163" i="2"/>
  <c r="K225" i="2"/>
  <c r="I225" i="2"/>
  <c r="K232" i="2"/>
  <c r="J261" i="2"/>
  <c r="H261" i="2" s="1"/>
  <c r="I261" i="2"/>
  <c r="J7" i="2"/>
  <c r="K23" i="2" s="1"/>
  <c r="I58" i="2"/>
  <c r="G58" i="2"/>
  <c r="K85" i="2"/>
  <c r="J85" i="2"/>
  <c r="H85" i="2" s="1"/>
  <c r="I3" i="2"/>
  <c r="G8" i="2"/>
  <c r="F14" i="2"/>
  <c r="J14" i="2" s="1"/>
  <c r="H14" i="2" s="1"/>
  <c r="I20" i="2"/>
  <c r="J23" i="2"/>
  <c r="I25" i="2"/>
  <c r="J30" i="2"/>
  <c r="H30" i="2" s="1"/>
  <c r="G30" i="2"/>
  <c r="K35" i="2"/>
  <c r="G37" i="2"/>
  <c r="I43" i="2"/>
  <c r="J48" i="2"/>
  <c r="H48" i="2" s="1"/>
  <c r="G48" i="2"/>
  <c r="I49" i="2"/>
  <c r="G55" i="2"/>
  <c r="J58" i="2"/>
  <c r="H58" i="2" s="1"/>
  <c r="G60" i="2"/>
  <c r="J63" i="2"/>
  <c r="H63" i="2" s="1"/>
  <c r="G65" i="2"/>
  <c r="J74" i="2"/>
  <c r="H74" i="2" s="1"/>
  <c r="I79" i="2"/>
  <c r="J84" i="2"/>
  <c r="H84" i="2" s="1"/>
  <c r="J86" i="2"/>
  <c r="H86" i="2" s="1"/>
  <c r="J91" i="2"/>
  <c r="H91" i="2" s="1"/>
  <c r="G99" i="2"/>
  <c r="G105" i="2"/>
  <c r="J105" i="2"/>
  <c r="H105" i="2" s="1"/>
  <c r="J109" i="2"/>
  <c r="K111" i="2"/>
  <c r="J111" i="2"/>
  <c r="H111" i="2" s="1"/>
  <c r="I126" i="2"/>
  <c r="J151" i="2"/>
  <c r="H151" i="2" s="1"/>
  <c r="K151" i="2"/>
  <c r="I151" i="2"/>
  <c r="J153" i="2"/>
  <c r="H153" i="2" s="1"/>
  <c r="G159" i="2"/>
  <c r="I159" i="2"/>
  <c r="G163" i="2"/>
  <c r="K173" i="2"/>
  <c r="I173" i="2"/>
  <c r="K180" i="2"/>
  <c r="J186" i="2"/>
  <c r="H186" i="2" s="1"/>
  <c r="J189" i="2"/>
  <c r="H189" i="2" s="1"/>
  <c r="I192" i="2"/>
  <c r="G192" i="2"/>
  <c r="K204" i="2"/>
  <c r="I216" i="2"/>
  <c r="G216" i="2"/>
  <c r="K216" i="2"/>
  <c r="J216" i="2"/>
  <c r="H216" i="2" s="1"/>
  <c r="I220" i="2"/>
  <c r="K220" i="2"/>
  <c r="J246" i="2"/>
  <c r="H246" i="2" s="1"/>
  <c r="G246" i="2"/>
  <c r="K246" i="2"/>
  <c r="I246" i="2"/>
  <c r="K261" i="2"/>
  <c r="K43" i="2"/>
  <c r="J49" i="2"/>
  <c r="H49" i="2" s="1"/>
  <c r="I168" i="2"/>
  <c r="K168" i="2"/>
  <c r="K259" i="2"/>
  <c r="I259" i="2"/>
  <c r="F6" i="2"/>
  <c r="I6" i="2" s="1"/>
  <c r="I8" i="2"/>
  <c r="F11" i="2"/>
  <c r="J11" i="2" s="1"/>
  <c r="H11" i="2" s="1"/>
  <c r="J15" i="2"/>
  <c r="H15" i="2" s="1"/>
  <c r="G18" i="2"/>
  <c r="J24" i="2"/>
  <c r="H24" i="2" s="1"/>
  <c r="I26" i="2"/>
  <c r="K26" i="2"/>
  <c r="J41" i="2"/>
  <c r="H41" i="2" s="1"/>
  <c r="I44" i="2"/>
  <c r="G57" i="2"/>
  <c r="J102" i="2"/>
  <c r="H102" i="2" s="1"/>
  <c r="I123" i="2"/>
  <c r="G123" i="2"/>
  <c r="I137" i="2"/>
  <c r="K137" i="2"/>
  <c r="J137" i="2"/>
  <c r="H137" i="2" s="1"/>
  <c r="G147" i="2"/>
  <c r="K147" i="2"/>
  <c r="J147" i="2"/>
  <c r="H147" i="2" s="1"/>
  <c r="K193" i="2"/>
  <c r="K208" i="2"/>
  <c r="I208" i="2"/>
  <c r="J223" i="2"/>
  <c r="H223" i="2" s="1"/>
  <c r="J226" i="2"/>
  <c r="H226" i="2" s="1"/>
  <c r="J268" i="2"/>
  <c r="H268" i="2" s="1"/>
  <c r="G268" i="2"/>
  <c r="I280" i="2"/>
  <c r="K280" i="2"/>
  <c r="G69" i="2"/>
  <c r="J69" i="2"/>
  <c r="H69" i="2" s="1"/>
  <c r="I76" i="2"/>
  <c r="I94" i="2"/>
  <c r="K94" i="2"/>
  <c r="G115" i="2"/>
  <c r="I115" i="2"/>
  <c r="K119" i="2"/>
  <c r="J119" i="2"/>
  <c r="H119" i="2" s="1"/>
  <c r="J125" i="2"/>
  <c r="H125" i="2" s="1"/>
  <c r="I125" i="2"/>
  <c r="G125" i="2"/>
  <c r="J141" i="2"/>
  <c r="H141" i="2" s="1"/>
  <c r="K141" i="2"/>
  <c r="I141" i="2"/>
  <c r="G141" i="2"/>
  <c r="J291" i="2"/>
  <c r="H291" i="2" s="1"/>
  <c r="I291" i="2"/>
  <c r="F5" i="2"/>
  <c r="J5" i="2" s="1"/>
  <c r="K17" i="2" s="1"/>
  <c r="J8" i="2"/>
  <c r="H8" i="2" s="1"/>
  <c r="G11" i="2"/>
  <c r="J19" i="2"/>
  <c r="H19" i="2" s="1"/>
  <c r="I21" i="2"/>
  <c r="I23" i="2"/>
  <c r="G26" i="2"/>
  <c r="J27" i="2"/>
  <c r="H27" i="2" s="1"/>
  <c r="I29" i="2"/>
  <c r="I30" i="2"/>
  <c r="I32" i="2"/>
  <c r="K37" i="2"/>
  <c r="G41" i="2"/>
  <c r="J45" i="2"/>
  <c r="H45" i="2" s="1"/>
  <c r="I48" i="2"/>
  <c r="I50" i="2"/>
  <c r="K55" i="2"/>
  <c r="G61" i="2"/>
  <c r="J61" i="2"/>
  <c r="H61" i="2" s="1"/>
  <c r="I62" i="2"/>
  <c r="I66" i="2"/>
  <c r="I67" i="2"/>
  <c r="I73" i="2"/>
  <c r="I74" i="2"/>
  <c r="J78" i="2"/>
  <c r="H78" i="2" s="1"/>
  <c r="K78" i="2"/>
  <c r="I78" i="2"/>
  <c r="K79" i="2"/>
  <c r="K84" i="2"/>
  <c r="J98" i="2"/>
  <c r="H98" i="2" s="1"/>
  <c r="K105" i="2"/>
  <c r="J110" i="2"/>
  <c r="H110" i="2" s="1"/>
  <c r="I110" i="2"/>
  <c r="G110" i="2"/>
  <c r="I119" i="2"/>
  <c r="I121" i="2"/>
  <c r="G137" i="2"/>
  <c r="I147" i="2"/>
  <c r="K157" i="2"/>
  <c r="I157" i="2"/>
  <c r="J168" i="2"/>
  <c r="H168" i="2" s="1"/>
  <c r="J171" i="2"/>
  <c r="H171" i="2" s="1"/>
  <c r="I174" i="2"/>
  <c r="G174" i="2"/>
  <c r="K188" i="2"/>
  <c r="I193" i="2"/>
  <c r="I198" i="2"/>
  <c r="G198" i="2"/>
  <c r="K198" i="2"/>
  <c r="J198" i="2"/>
  <c r="H198" i="2" s="1"/>
  <c r="I202" i="2"/>
  <c r="K202" i="2"/>
  <c r="J221" i="2"/>
  <c r="H221" i="2" s="1"/>
  <c r="I221" i="2"/>
  <c r="K221" i="2"/>
  <c r="G221" i="2"/>
  <c r="I226" i="2"/>
  <c r="K231" i="2"/>
  <c r="J231" i="2"/>
  <c r="H231" i="2" s="1"/>
  <c r="I231" i="2"/>
  <c r="G350" i="2"/>
  <c r="I350" i="2"/>
  <c r="K350" i="2"/>
  <c r="J350" i="2"/>
  <c r="H350" i="2" s="1"/>
  <c r="J22" i="2"/>
  <c r="H22" i="2" s="1"/>
  <c r="K57" i="2"/>
  <c r="I57" i="2"/>
  <c r="K58" i="2"/>
  <c r="K63" i="2"/>
  <c r="I81" i="2"/>
  <c r="J92" i="2"/>
  <c r="H92" i="2" s="1"/>
  <c r="I92" i="2"/>
  <c r="G92" i="2"/>
  <c r="J117" i="2"/>
  <c r="H117" i="2" s="1"/>
  <c r="J127" i="2"/>
  <c r="H127" i="2" s="1"/>
  <c r="G127" i="2"/>
  <c r="G164" i="2"/>
  <c r="K164" i="2"/>
  <c r="J164" i="2"/>
  <c r="H164" i="2" s="1"/>
  <c r="J197" i="2"/>
  <c r="H197" i="2" s="1"/>
  <c r="K197" i="2"/>
  <c r="K8" i="2"/>
  <c r="I18" i="2"/>
  <c r="G32" i="2"/>
  <c r="I33" i="2"/>
  <c r="J39" i="2"/>
  <c r="H39" i="2" s="1"/>
  <c r="G39" i="2"/>
  <c r="G50" i="2"/>
  <c r="I51" i="2"/>
  <c r="J56" i="2"/>
  <c r="H56" i="2" s="1"/>
  <c r="J62" i="2"/>
  <c r="H62" i="2" s="1"/>
  <c r="K67" i="2"/>
  <c r="I69" i="2"/>
  <c r="J76" i="2"/>
  <c r="H76" i="2" s="1"/>
  <c r="K92" i="2"/>
  <c r="J94" i="2"/>
  <c r="H94" i="2" s="1"/>
  <c r="J108" i="2"/>
  <c r="H108" i="2" s="1"/>
  <c r="J118" i="2"/>
  <c r="H118" i="2" s="1"/>
  <c r="I118" i="2"/>
  <c r="G118" i="2"/>
  <c r="J120" i="2"/>
  <c r="H120" i="2" s="1"/>
  <c r="K120" i="2"/>
  <c r="I120" i="2"/>
  <c r="K125" i="2"/>
  <c r="K142" i="2"/>
  <c r="J142" i="2"/>
  <c r="H142" i="2" s="1"/>
  <c r="I142" i="2"/>
  <c r="I152" i="2"/>
  <c r="K152" i="2"/>
  <c r="J169" i="2"/>
  <c r="H169" i="2" s="1"/>
  <c r="G169" i="2"/>
  <c r="I179" i="2"/>
  <c r="G227" i="2"/>
  <c r="I227" i="2"/>
  <c r="K244" i="2"/>
  <c r="J244" i="2"/>
  <c r="H244" i="2" s="1"/>
  <c r="G248" i="2"/>
  <c r="K248" i="2"/>
  <c r="I248" i="2"/>
  <c r="I297" i="2"/>
  <c r="G297" i="2"/>
  <c r="K297" i="2"/>
  <c r="J297" i="2"/>
  <c r="H297" i="2" s="1"/>
  <c r="J315" i="2"/>
  <c r="H315" i="2" s="1"/>
  <c r="G315" i="2"/>
  <c r="I315" i="2"/>
  <c r="J87" i="2"/>
  <c r="H87" i="2" s="1"/>
  <c r="J95" i="2"/>
  <c r="H95" i="2" s="1"/>
  <c r="J103" i="2"/>
  <c r="H103" i="2" s="1"/>
  <c r="J113" i="2"/>
  <c r="H113" i="2" s="1"/>
  <c r="J121" i="2"/>
  <c r="H121" i="2" s="1"/>
  <c r="I140" i="2"/>
  <c r="J149" i="2"/>
  <c r="H149" i="2" s="1"/>
  <c r="G150" i="2"/>
  <c r="I167" i="2"/>
  <c r="I172" i="2"/>
  <c r="K184" i="2"/>
  <c r="I190" i="2"/>
  <c r="K200" i="2"/>
  <c r="I201" i="2"/>
  <c r="I206" i="2"/>
  <c r="K218" i="2"/>
  <c r="I219" i="2"/>
  <c r="K234" i="2"/>
  <c r="I235" i="2"/>
  <c r="J263" i="2"/>
  <c r="H263" i="2" s="1"/>
  <c r="J266" i="2"/>
  <c r="H266" i="2" s="1"/>
  <c r="I266" i="2"/>
  <c r="G266" i="2"/>
  <c r="I290" i="2"/>
  <c r="K290" i="2"/>
  <c r="I293" i="2"/>
  <c r="G64" i="2"/>
  <c r="G74" i="2"/>
  <c r="G82" i="2"/>
  <c r="G90" i="2"/>
  <c r="G98" i="2"/>
  <c r="G108" i="2"/>
  <c r="G116" i="2"/>
  <c r="G129" i="2"/>
  <c r="K134" i="2"/>
  <c r="G140" i="2"/>
  <c r="I148" i="2"/>
  <c r="G149" i="2"/>
  <c r="I150" i="2"/>
  <c r="G162" i="2"/>
  <c r="J162" i="2"/>
  <c r="H162" i="2" s="1"/>
  <c r="J165" i="2"/>
  <c r="G172" i="2"/>
  <c r="G178" i="2"/>
  <c r="J178" i="2"/>
  <c r="H178" i="2" s="1"/>
  <c r="J182" i="2"/>
  <c r="H182" i="2" s="1"/>
  <c r="G190" i="2"/>
  <c r="J196" i="2"/>
  <c r="H196" i="2" s="1"/>
  <c r="J199" i="2"/>
  <c r="H199" i="2" s="1"/>
  <c r="G206" i="2"/>
  <c r="G214" i="2"/>
  <c r="J214" i="2"/>
  <c r="H214" i="2" s="1"/>
  <c r="J217" i="2"/>
  <c r="H217" i="2" s="1"/>
  <c r="G230" i="2"/>
  <c r="J230" i="2"/>
  <c r="H230" i="2" s="1"/>
  <c r="I260" i="2"/>
  <c r="K260" i="2"/>
  <c r="I283" i="2"/>
  <c r="G283" i="2"/>
  <c r="K283" i="2"/>
  <c r="J317" i="2"/>
  <c r="H317" i="2" s="1"/>
  <c r="I317" i="2"/>
  <c r="K155" i="2"/>
  <c r="K171" i="2"/>
  <c r="K189" i="2"/>
  <c r="K205" i="2"/>
  <c r="K223" i="2"/>
  <c r="K247" i="2"/>
  <c r="J249" i="2"/>
  <c r="J258" i="2"/>
  <c r="H258" i="2" s="1"/>
  <c r="I258" i="2"/>
  <c r="K258" i="2"/>
  <c r="J264" i="2"/>
  <c r="H264" i="2" s="1"/>
  <c r="K266" i="2"/>
  <c r="I348" i="2"/>
  <c r="K348" i="2"/>
  <c r="J348" i="2"/>
  <c r="H348" i="2" s="1"/>
  <c r="I401" i="2"/>
  <c r="K401" i="2"/>
  <c r="G401" i="2"/>
  <c r="I245" i="2"/>
  <c r="G245" i="2"/>
  <c r="G255" i="2"/>
  <c r="K255" i="2"/>
  <c r="J269" i="2"/>
  <c r="H269" i="2" s="1"/>
  <c r="I269" i="2"/>
  <c r="I279" i="2"/>
  <c r="G279" i="2"/>
  <c r="J279" i="2"/>
  <c r="H279" i="2" s="1"/>
  <c r="I128" i="2"/>
  <c r="K140" i="2"/>
  <c r="K145" i="2"/>
  <c r="K149" i="2"/>
  <c r="G155" i="2"/>
  <c r="I161" i="2"/>
  <c r="I162" i="2"/>
  <c r="K172" i="2"/>
  <c r="I177" i="2"/>
  <c r="I178" i="2"/>
  <c r="G189" i="2"/>
  <c r="K190" i="2"/>
  <c r="I195" i="2"/>
  <c r="I196" i="2"/>
  <c r="G205" i="2"/>
  <c r="K206" i="2"/>
  <c r="I213" i="2"/>
  <c r="I214" i="2"/>
  <c r="G223" i="2"/>
  <c r="I229" i="2"/>
  <c r="I230" i="2"/>
  <c r="K242" i="2"/>
  <c r="I247" i="2"/>
  <c r="I255" i="2"/>
  <c r="J260" i="2"/>
  <c r="H260" i="2" s="1"/>
  <c r="I264" i="2"/>
  <c r="K267" i="2"/>
  <c r="I267" i="2"/>
  <c r="K279" i="2"/>
  <c r="K285" i="2"/>
  <c r="I285" i="2"/>
  <c r="K150" i="2"/>
  <c r="G154" i="2"/>
  <c r="J154" i="2"/>
  <c r="H154" i="2" s="1"/>
  <c r="J157" i="2"/>
  <c r="H157" i="2" s="1"/>
  <c r="G170" i="2"/>
  <c r="J170" i="2"/>
  <c r="H170" i="2" s="1"/>
  <c r="J173" i="2"/>
  <c r="H173" i="2" s="1"/>
  <c r="G188" i="2"/>
  <c r="J188" i="2"/>
  <c r="H188" i="2" s="1"/>
  <c r="J191" i="2"/>
  <c r="H191" i="2" s="1"/>
  <c r="G204" i="2"/>
  <c r="J204" i="2"/>
  <c r="H204" i="2" s="1"/>
  <c r="J208" i="2"/>
  <c r="H208" i="2" s="1"/>
  <c r="G222" i="2"/>
  <c r="J222" i="2"/>
  <c r="H222" i="2" s="1"/>
  <c r="J225" i="2"/>
  <c r="H225" i="2" s="1"/>
  <c r="J259" i="2"/>
  <c r="H259" i="2" s="1"/>
  <c r="K265" i="2"/>
  <c r="I265" i="2"/>
  <c r="J265" i="2"/>
  <c r="H265" i="2" s="1"/>
  <c r="K269" i="2"/>
  <c r="K328" i="2"/>
  <c r="J328" i="2"/>
  <c r="H328" i="2" s="1"/>
  <c r="G328" i="2"/>
  <c r="I328" i="2"/>
  <c r="K334" i="2"/>
  <c r="J334" i="2"/>
  <c r="H334" i="2" s="1"/>
  <c r="I309" i="2"/>
  <c r="K337" i="2"/>
  <c r="G337" i="2"/>
  <c r="I337" i="2"/>
  <c r="J337" i="2"/>
  <c r="H337" i="2" s="1"/>
  <c r="I340" i="2"/>
  <c r="J340" i="2"/>
  <c r="I253" i="2"/>
  <c r="G253" i="2"/>
  <c r="G271" i="2"/>
  <c r="I271" i="2"/>
  <c r="K273" i="2"/>
  <c r="J273" i="2"/>
  <c r="H273" i="2" s="1"/>
  <c r="K281" i="2"/>
  <c r="J281" i="2"/>
  <c r="H281" i="2" s="1"/>
  <c r="I281" i="2"/>
  <c r="I289" i="2"/>
  <c r="G289" i="2"/>
  <c r="K292" i="2"/>
  <c r="J292" i="2"/>
  <c r="H292" i="2" s="1"/>
  <c r="I292" i="2"/>
  <c r="G292" i="2"/>
  <c r="G309" i="2"/>
  <c r="J316" i="2"/>
  <c r="H316" i="2" s="1"/>
  <c r="G333" i="2"/>
  <c r="I333" i="2"/>
  <c r="K333" i="2"/>
  <c r="K347" i="2"/>
  <c r="J347" i="2"/>
  <c r="H347" i="2" s="1"/>
  <c r="I347" i="2"/>
  <c r="G347" i="2"/>
  <c r="J355" i="2"/>
  <c r="J362" i="2"/>
  <c r="H362" i="2" s="1"/>
  <c r="K383" i="2"/>
  <c r="J383" i="2"/>
  <c r="H383" i="2" s="1"/>
  <c r="I383" i="2"/>
  <c r="G383" i="2"/>
  <c r="K429" i="2"/>
  <c r="J429" i="2"/>
  <c r="H429" i="2" s="1"/>
  <c r="J274" i="2"/>
  <c r="H274" i="2" s="1"/>
  <c r="I274" i="2"/>
  <c r="G274" i="2"/>
  <c r="J276" i="2"/>
  <c r="K286" i="2" s="1"/>
  <c r="I276" i="2"/>
  <c r="J290" i="2"/>
  <c r="H290" i="2" s="1"/>
  <c r="J293" i="2"/>
  <c r="H293" i="2" s="1"/>
  <c r="I307" i="2"/>
  <c r="G307" i="2"/>
  <c r="K307" i="2"/>
  <c r="J353" i="2"/>
  <c r="H353" i="2" s="1"/>
  <c r="G353" i="2"/>
  <c r="K360" i="2"/>
  <c r="J360" i="2"/>
  <c r="H360" i="2" s="1"/>
  <c r="J409" i="2"/>
  <c r="H409" i="2" s="1"/>
  <c r="G409" i="2"/>
  <c r="K299" i="2"/>
  <c r="J299" i="2"/>
  <c r="H299" i="2" s="1"/>
  <c r="I299" i="2"/>
  <c r="J326" i="2"/>
  <c r="K339" i="2" s="1"/>
  <c r="I345" i="2"/>
  <c r="J345" i="2"/>
  <c r="H345" i="2" s="1"/>
  <c r="K345" i="2"/>
  <c r="G345" i="2"/>
  <c r="G358" i="2"/>
  <c r="K358" i="2"/>
  <c r="K385" i="2"/>
  <c r="J385" i="2"/>
  <c r="H385" i="2" s="1"/>
  <c r="J427" i="2"/>
  <c r="H427" i="2" s="1"/>
  <c r="G427" i="2"/>
  <c r="K243" i="2"/>
  <c r="J267" i="2"/>
  <c r="H267" i="2" s="1"/>
  <c r="J280" i="2"/>
  <c r="H280" i="2" s="1"/>
  <c r="J285" i="2"/>
  <c r="H285" i="2" s="1"/>
  <c r="G299" i="2"/>
  <c r="J308" i="2"/>
  <c r="H308" i="2" s="1"/>
  <c r="J343" i="2"/>
  <c r="H343" i="2" s="1"/>
  <c r="I343" i="2"/>
  <c r="G369" i="2"/>
  <c r="K369" i="2"/>
  <c r="J369" i="2"/>
  <c r="H369" i="2" s="1"/>
  <c r="I369" i="2"/>
  <c r="I286" i="2"/>
  <c r="I294" i="2"/>
  <c r="I302" i="2"/>
  <c r="I312" i="2"/>
  <c r="G318" i="2"/>
  <c r="I326" i="2"/>
  <c r="I360" i="2"/>
  <c r="K372" i="2"/>
  <c r="K375" i="2"/>
  <c r="J375" i="2"/>
  <c r="H375" i="2" s="1"/>
  <c r="J393" i="2"/>
  <c r="H393" i="2" s="1"/>
  <c r="K393" i="2"/>
  <c r="K417" i="2"/>
  <c r="J417" i="2"/>
  <c r="H417" i="2" s="1"/>
  <c r="I417" i="2"/>
  <c r="I419" i="2"/>
  <c r="K437" i="2"/>
  <c r="J437" i="2"/>
  <c r="H437" i="2" s="1"/>
  <c r="G264" i="2"/>
  <c r="G272" i="2"/>
  <c r="G280" i="2"/>
  <c r="G290" i="2"/>
  <c r="K294" i="2"/>
  <c r="K302" i="2"/>
  <c r="G308" i="2"/>
  <c r="I310" i="2"/>
  <c r="J311" i="2"/>
  <c r="H311" i="2" s="1"/>
  <c r="K312" i="2"/>
  <c r="G316" i="2"/>
  <c r="K341" i="2"/>
  <c r="I367" i="2"/>
  <c r="K373" i="2"/>
  <c r="J373" i="2"/>
  <c r="H373" i="2" s="1"/>
  <c r="I373" i="2"/>
  <c r="I375" i="2"/>
  <c r="K402" i="2"/>
  <c r="J402" i="2"/>
  <c r="H402" i="2" s="1"/>
  <c r="I402" i="2"/>
  <c r="K410" i="2"/>
  <c r="J410" i="2"/>
  <c r="H410" i="2" s="1"/>
  <c r="K435" i="2"/>
  <c r="J435" i="2"/>
  <c r="H435" i="2" s="1"/>
  <c r="I437" i="2"/>
  <c r="J310" i="2"/>
  <c r="H310" i="2" s="1"/>
  <c r="K319" i="2"/>
  <c r="I321" i="2"/>
  <c r="I331" i="2"/>
  <c r="I335" i="2"/>
  <c r="K335" i="2"/>
  <c r="K354" i="2"/>
  <c r="J354" i="2"/>
  <c r="H354" i="2" s="1"/>
  <c r="G354" i="2"/>
  <c r="G373" i="2"/>
  <c r="K394" i="2"/>
  <c r="J394" i="2"/>
  <c r="H394" i="2" s="1"/>
  <c r="I394" i="2"/>
  <c r="G399" i="2"/>
  <c r="K399" i="2"/>
  <c r="G407" i="2"/>
  <c r="K407" i="2"/>
  <c r="G435" i="2"/>
  <c r="G441" i="2"/>
  <c r="F441" i="2"/>
  <c r="K441" i="2" s="1"/>
  <c r="G368" i="2"/>
  <c r="J368" i="2"/>
  <c r="H368" i="2" s="1"/>
  <c r="K368" i="2"/>
  <c r="I368" i="2"/>
  <c r="K384" i="2"/>
  <c r="J384" i="2"/>
  <c r="H384" i="2" s="1"/>
  <c r="I384" i="2"/>
  <c r="J389" i="2"/>
  <c r="H389" i="2" s="1"/>
  <c r="I389" i="2"/>
  <c r="G389" i="2"/>
  <c r="J415" i="2"/>
  <c r="H415" i="2" s="1"/>
  <c r="I415" i="2"/>
  <c r="G415" i="2"/>
  <c r="J428" i="2"/>
  <c r="I327" i="2"/>
  <c r="K327" i="2"/>
  <c r="K329" i="2"/>
  <c r="G332" i="2"/>
  <c r="K332" i="2"/>
  <c r="K346" i="2"/>
  <c r="J346" i="2"/>
  <c r="H346" i="2" s="1"/>
  <c r="G346" i="2"/>
  <c r="I357" i="2"/>
  <c r="K361" i="2"/>
  <c r="K363" i="2"/>
  <c r="K374" i="2"/>
  <c r="J374" i="2"/>
  <c r="H374" i="2" s="1"/>
  <c r="I374" i="2"/>
  <c r="G381" i="2"/>
  <c r="K381" i="2"/>
  <c r="K389" i="2"/>
  <c r="K403" i="2"/>
  <c r="J403" i="2"/>
  <c r="H403" i="2" s="1"/>
  <c r="K408" i="2"/>
  <c r="K415" i="2"/>
  <c r="J425" i="2"/>
  <c r="H425" i="2" s="1"/>
  <c r="I425" i="2"/>
  <c r="G425" i="2"/>
  <c r="K425" i="2"/>
  <c r="J436" i="2"/>
  <c r="K442" i="2"/>
  <c r="K318" i="2"/>
  <c r="J318" i="2"/>
  <c r="H318" i="2" s="1"/>
  <c r="G322" i="2"/>
  <c r="J322" i="2"/>
  <c r="H322" i="2" s="1"/>
  <c r="I334" i="2"/>
  <c r="I371" i="2"/>
  <c r="G371" i="2"/>
  <c r="K371" i="2"/>
  <c r="K391" i="2"/>
  <c r="K395" i="2"/>
  <c r="J395" i="2"/>
  <c r="H395" i="2" s="1"/>
  <c r="K416" i="2"/>
  <c r="I433" i="2"/>
  <c r="G433" i="2"/>
  <c r="K433" i="2"/>
  <c r="I386" i="2"/>
  <c r="I404" i="2"/>
  <c r="J405" i="2"/>
  <c r="I422" i="2"/>
  <c r="I430" i="2"/>
  <c r="G372" i="2"/>
  <c r="G382" i="2"/>
  <c r="G391" i="2"/>
  <c r="G408" i="2"/>
  <c r="J411" i="2"/>
  <c r="H411" i="2" s="1"/>
  <c r="G416" i="2"/>
  <c r="J419" i="2"/>
  <c r="H419" i="2" s="1"/>
  <c r="K422" i="2"/>
  <c r="G426" i="2"/>
  <c r="K438" i="2"/>
  <c r="G442" i="2"/>
  <c r="F440" i="2"/>
  <c r="I372" i="2"/>
  <c r="J379" i="2"/>
  <c r="I382" i="2"/>
  <c r="I391" i="2"/>
  <c r="I408" i="2"/>
  <c r="G440" i="2"/>
  <c r="I442" i="2"/>
  <c r="J372" i="2"/>
  <c r="H372" i="2" s="1"/>
  <c r="J376" i="2"/>
  <c r="H376" i="2" s="1"/>
  <c r="J382" i="2"/>
  <c r="H382" i="2" s="1"/>
  <c r="J386" i="2"/>
  <c r="H386" i="2" s="1"/>
  <c r="J391" i="2"/>
  <c r="H391" i="2" s="1"/>
  <c r="J396" i="2"/>
  <c r="H396" i="2" s="1"/>
  <c r="J404" i="2"/>
  <c r="H404" i="2" s="1"/>
  <c r="J408" i="2"/>
  <c r="H408" i="2" s="1"/>
  <c r="J412" i="2"/>
  <c r="H412" i="2" s="1"/>
  <c r="J416" i="2"/>
  <c r="H416" i="2" s="1"/>
  <c r="J422" i="2"/>
  <c r="H422" i="2" s="1"/>
  <c r="J426" i="2"/>
  <c r="H426" i="2" s="1"/>
  <c r="J430" i="2"/>
  <c r="H430" i="2" s="1"/>
  <c r="J434" i="2"/>
  <c r="H434" i="2" s="1"/>
  <c r="J438" i="2"/>
  <c r="H438" i="2" s="1"/>
  <c r="J442" i="2"/>
  <c r="H442" i="2" s="1"/>
  <c r="G17" i="2" l="1"/>
  <c r="J418" i="2"/>
  <c r="H418" i="2" s="1"/>
  <c r="K44" i="2"/>
  <c r="J300" i="2"/>
  <c r="H300" i="2" s="1"/>
  <c r="J400" i="2"/>
  <c r="H400" i="2" s="1"/>
  <c r="K400" i="2"/>
  <c r="J250" i="2"/>
  <c r="H250" i="2" s="1"/>
  <c r="K93" i="2"/>
  <c r="G93" i="2" s="1"/>
  <c r="K156" i="2"/>
  <c r="I257" i="2"/>
  <c r="K146" i="2"/>
  <c r="K34" i="2"/>
  <c r="J146" i="2"/>
  <c r="H146" i="2" s="1"/>
  <c r="I224" i="2"/>
  <c r="I117" i="2"/>
  <c r="G117" i="2" s="1"/>
  <c r="H9" i="2"/>
  <c r="I112" i="2"/>
  <c r="K112" i="2"/>
  <c r="I31" i="2"/>
  <c r="I80" i="2"/>
  <c r="I434" i="2"/>
  <c r="G434" i="2" s="1"/>
  <c r="K436" i="2"/>
  <c r="G436" i="2" s="1"/>
  <c r="J298" i="2"/>
  <c r="H298" i="2" s="1"/>
  <c r="K14" i="2"/>
  <c r="I14" i="2"/>
  <c r="J241" i="2"/>
  <c r="H241" i="2" s="1"/>
  <c r="K298" i="2"/>
  <c r="K428" i="2"/>
  <c r="G428" i="2" s="1"/>
  <c r="G171" i="2"/>
  <c r="K9" i="2"/>
  <c r="H7" i="2"/>
  <c r="G7" i="2"/>
  <c r="I22" i="2"/>
  <c r="I250" i="2"/>
  <c r="K124" i="2"/>
  <c r="K42" i="2"/>
  <c r="I93" i="2"/>
  <c r="K238" i="2"/>
  <c r="G247" i="2"/>
  <c r="J124" i="2"/>
  <c r="H124" i="2" s="1"/>
  <c r="K317" i="2"/>
  <c r="G317" i="2" s="1"/>
  <c r="I9" i="2"/>
  <c r="K49" i="2"/>
  <c r="G49" i="2" s="1"/>
  <c r="I42" i="2"/>
  <c r="K31" i="2"/>
  <c r="H5" i="2"/>
  <c r="J238" i="2"/>
  <c r="H238" i="2" s="1"/>
  <c r="K249" i="2"/>
  <c r="G249" i="2" s="1"/>
  <c r="K418" i="2"/>
  <c r="G418" i="2" s="1"/>
  <c r="H187" i="2"/>
  <c r="H133" i="2"/>
  <c r="K257" i="2"/>
  <c r="H340" i="2"/>
  <c r="G340" i="2"/>
  <c r="I176" i="2"/>
  <c r="J176" i="2"/>
  <c r="I233" i="2"/>
  <c r="K362" i="2"/>
  <c r="K187" i="2"/>
  <c r="H112" i="2"/>
  <c r="K66" i="2"/>
  <c r="G66" i="2" s="1"/>
  <c r="H428" i="2"/>
  <c r="K349" i="2"/>
  <c r="I187" i="2"/>
  <c r="G291" i="2"/>
  <c r="H109" i="2"/>
  <c r="H80" i="2"/>
  <c r="K165" i="2"/>
  <c r="G165" i="2" s="1"/>
  <c r="G76" i="2"/>
  <c r="H93" i="2"/>
  <c r="J349" i="2"/>
  <c r="I349" i="2"/>
  <c r="H405" i="2"/>
  <c r="H436" i="2"/>
  <c r="K133" i="2"/>
  <c r="I211" i="2"/>
  <c r="G151" i="2"/>
  <c r="H165" i="2"/>
  <c r="H355" i="2"/>
  <c r="H249" i="2"/>
  <c r="K166" i="2"/>
  <c r="I133" i="2"/>
  <c r="H23" i="2"/>
  <c r="G23" i="2"/>
  <c r="J211" i="2"/>
  <c r="J305" i="2"/>
  <c r="I305" i="2"/>
  <c r="J185" i="2"/>
  <c r="K185" i="2"/>
  <c r="H286" i="2"/>
  <c r="G286" i="2"/>
  <c r="H233" i="2"/>
  <c r="H379" i="2"/>
  <c r="H326" i="2"/>
  <c r="I156" i="2"/>
  <c r="G156" i="2" s="1"/>
  <c r="K143" i="2"/>
  <c r="I143" i="2"/>
  <c r="J143" i="2"/>
  <c r="K300" i="2" s="1"/>
  <c r="H257" i="2"/>
  <c r="K326" i="2"/>
  <c r="G326" i="2" s="1"/>
  <c r="H276" i="2"/>
  <c r="H339" i="2"/>
  <c r="G339" i="2"/>
  <c r="K196" i="2"/>
  <c r="G196" i="2" s="1"/>
  <c r="I441" i="2"/>
  <c r="J407" i="2"/>
  <c r="H407" i="2" s="1"/>
  <c r="K427" i="2"/>
  <c r="K409" i="2"/>
  <c r="J309" i="2"/>
  <c r="H309" i="2" s="1"/>
  <c r="J245" i="2"/>
  <c r="H245" i="2" s="1"/>
  <c r="I263" i="2"/>
  <c r="J179" i="2"/>
  <c r="H179" i="2" s="1"/>
  <c r="I41" i="2"/>
  <c r="K47" i="2"/>
  <c r="J47" i="2"/>
  <c r="H47" i="2" s="1"/>
  <c r="I268" i="2"/>
  <c r="I102" i="2"/>
  <c r="K159" i="2"/>
  <c r="K109" i="2"/>
  <c r="I86" i="2"/>
  <c r="J68" i="2"/>
  <c r="H68" i="2" s="1"/>
  <c r="I75" i="2"/>
  <c r="J158" i="2"/>
  <c r="I89" i="2"/>
  <c r="J32" i="2"/>
  <c r="H32" i="2" s="1"/>
  <c r="J6" i="2"/>
  <c r="H6" i="2" s="1"/>
  <c r="I68" i="2"/>
  <c r="K50" i="2"/>
  <c r="I358" i="2"/>
  <c r="K271" i="2"/>
  <c r="J271" i="2"/>
  <c r="H271" i="2" s="1"/>
  <c r="K440" i="2"/>
  <c r="J440" i="2"/>
  <c r="H440" i="2" s="1"/>
  <c r="K386" i="2"/>
  <c r="I381" i="2"/>
  <c r="J361" i="2"/>
  <c r="H361" i="2" s="1"/>
  <c r="K405" i="2"/>
  <c r="I405" i="2"/>
  <c r="K412" i="2"/>
  <c r="J381" i="2"/>
  <c r="H381" i="2" s="1"/>
  <c r="J441" i="2"/>
  <c r="H441" i="2" s="1"/>
  <c r="I393" i="2"/>
  <c r="I355" i="2"/>
  <c r="K309" i="2"/>
  <c r="J195" i="2"/>
  <c r="K195" i="2"/>
  <c r="I218" i="2"/>
  <c r="J218" i="2"/>
  <c r="H218" i="2" s="1"/>
  <c r="I184" i="2"/>
  <c r="J184" i="2"/>
  <c r="H184" i="2" s="1"/>
  <c r="K315" i="2"/>
  <c r="K179" i="2"/>
  <c r="I197" i="2"/>
  <c r="J115" i="2"/>
  <c r="H115" i="2" s="1"/>
  <c r="I47" i="2"/>
  <c r="K29" i="2"/>
  <c r="J29" i="2"/>
  <c r="H29" i="2" s="1"/>
  <c r="K268" i="2"/>
  <c r="K102" i="2"/>
  <c r="K86" i="2"/>
  <c r="K45" i="2"/>
  <c r="I45" i="2"/>
  <c r="K27" i="2"/>
  <c r="I27" i="2"/>
  <c r="K5" i="2"/>
  <c r="G5" i="2" s="1"/>
  <c r="I138" i="2"/>
  <c r="I65" i="2"/>
  <c r="J65" i="2"/>
  <c r="H65" i="2" s="1"/>
  <c r="K210" i="2"/>
  <c r="I215" i="2"/>
  <c r="J52" i="2"/>
  <c r="H52" i="2" s="1"/>
  <c r="I52" i="2"/>
  <c r="I5" i="2"/>
  <c r="J138" i="2"/>
  <c r="H138" i="2" s="1"/>
  <c r="I127" i="2"/>
  <c r="J342" i="2"/>
  <c r="I342" i="2"/>
  <c r="I427" i="2"/>
  <c r="K397" i="2"/>
  <c r="I397" i="2"/>
  <c r="K376" i="2"/>
  <c r="J50" i="2"/>
  <c r="H50" i="2" s="1"/>
  <c r="J439" i="2"/>
  <c r="K439" i="2"/>
  <c r="I439" i="2"/>
  <c r="K396" i="2"/>
  <c r="I409" i="2"/>
  <c r="J397" i="2"/>
  <c r="H397" i="2" s="1"/>
  <c r="I396" i="2"/>
  <c r="J433" i="2"/>
  <c r="H433" i="2" s="1"/>
  <c r="J371" i="2"/>
  <c r="H371" i="2" s="1"/>
  <c r="J327" i="2"/>
  <c r="H327" i="2" s="1"/>
  <c r="I399" i="2"/>
  <c r="J335" i="2"/>
  <c r="H335" i="2" s="1"/>
  <c r="I435" i="2"/>
  <c r="J358" i="2"/>
  <c r="H358" i="2" s="1"/>
  <c r="I440" i="2"/>
  <c r="J307" i="2"/>
  <c r="H307" i="2" s="1"/>
  <c r="J333" i="2"/>
  <c r="H333" i="2" s="1"/>
  <c r="K253" i="2"/>
  <c r="J253" i="2"/>
  <c r="H253" i="2" s="1"/>
  <c r="J161" i="2"/>
  <c r="H161" i="2" s="1"/>
  <c r="K161" i="2"/>
  <c r="J255" i="2"/>
  <c r="H255" i="2" s="1"/>
  <c r="J401" i="2"/>
  <c r="H401" i="2" s="1"/>
  <c r="J240" i="2"/>
  <c r="H240" i="2" s="1"/>
  <c r="K240" i="2"/>
  <c r="J283" i="2"/>
  <c r="H283" i="2" s="1"/>
  <c r="J227" i="2"/>
  <c r="H227" i="2" s="1"/>
  <c r="K169" i="2"/>
  <c r="K127" i="2"/>
  <c r="K115" i="2"/>
  <c r="I164" i="2"/>
  <c r="J193" i="2"/>
  <c r="I105" i="2"/>
  <c r="J163" i="2"/>
  <c r="H163" i="2" s="1"/>
  <c r="K75" i="2"/>
  <c r="K158" i="2"/>
  <c r="K20" i="2"/>
  <c r="J332" i="2"/>
  <c r="H332" i="2" s="1"/>
  <c r="I332" i="2"/>
  <c r="I322" i="2"/>
  <c r="I387" i="2"/>
  <c r="K387" i="2"/>
  <c r="K430" i="2"/>
  <c r="K404" i="2"/>
  <c r="I438" i="2"/>
  <c r="J387" i="2"/>
  <c r="H387" i="2" s="1"/>
  <c r="J399" i="2"/>
  <c r="H399" i="2" s="1"/>
  <c r="K353" i="2"/>
  <c r="I362" i="2"/>
  <c r="K289" i="2"/>
  <c r="J289" i="2"/>
  <c r="H289" i="2" s="1"/>
  <c r="I273" i="2"/>
  <c r="J242" i="2"/>
  <c r="I242" i="2"/>
  <c r="J213" i="2"/>
  <c r="H213" i="2" s="1"/>
  <c r="K213" i="2"/>
  <c r="K245" i="2"/>
  <c r="I240" i="2"/>
  <c r="J248" i="2"/>
  <c r="H248" i="2" s="1"/>
  <c r="K227" i="2"/>
  <c r="I169" i="2"/>
  <c r="J57" i="2"/>
  <c r="H57" i="2" s="1"/>
  <c r="J174" i="2"/>
  <c r="H174" i="2" s="1"/>
  <c r="J123" i="2"/>
  <c r="H123" i="2" s="1"/>
  <c r="K123" i="2"/>
  <c r="I100" i="2"/>
  <c r="K41" i="2"/>
  <c r="J192" i="2"/>
  <c r="H192" i="2" s="1"/>
  <c r="I84" i="2"/>
  <c r="K6" i="2"/>
  <c r="I91" i="2"/>
  <c r="J239" i="2"/>
  <c r="K11" i="2"/>
  <c r="J26" i="2"/>
  <c r="H26" i="2" s="1"/>
  <c r="K342" i="2"/>
  <c r="K263" i="2"/>
  <c r="J234" i="2"/>
  <c r="H234" i="2" s="1"/>
  <c r="I234" i="2"/>
  <c r="I200" i="2"/>
  <c r="J200" i="2"/>
  <c r="H200" i="2" s="1"/>
  <c r="I166" i="2"/>
  <c r="J166" i="2"/>
  <c r="K73" i="2"/>
  <c r="J73" i="2"/>
  <c r="H73" i="2" s="1"/>
  <c r="J100" i="2"/>
  <c r="I11" i="2"/>
  <c r="K19" i="2"/>
  <c r="I19" i="2"/>
  <c r="I99" i="2"/>
  <c r="I37" i="2"/>
  <c r="K203" i="2"/>
  <c r="I239" i="2"/>
  <c r="J132" i="2"/>
  <c r="H132" i="2" s="1"/>
  <c r="J44" i="2"/>
  <c r="J175" i="2"/>
  <c r="H175" i="2" s="1"/>
  <c r="K132" i="2"/>
  <c r="K379" i="2"/>
  <c r="I379" i="2"/>
  <c r="K322" i="2"/>
  <c r="I353" i="2"/>
  <c r="J177" i="2"/>
  <c r="H177" i="2" s="1"/>
  <c r="K177" i="2"/>
  <c r="J83" i="2"/>
  <c r="I83" i="2"/>
  <c r="I412" i="2"/>
  <c r="I376" i="2"/>
  <c r="I361" i="2"/>
  <c r="I407" i="2"/>
  <c r="K276" i="2"/>
  <c r="G276" i="2" s="1"/>
  <c r="J229" i="2"/>
  <c r="H229" i="2" s="1"/>
  <c r="K229" i="2"/>
  <c r="J81" i="2"/>
  <c r="K174" i="2"/>
  <c r="K83" i="2"/>
  <c r="K192" i="2"/>
  <c r="J159" i="2"/>
  <c r="H159" i="2" s="1"/>
  <c r="I109" i="2"/>
  <c r="J89" i="2"/>
  <c r="H89" i="2" s="1"/>
  <c r="J97" i="2"/>
  <c r="H97" i="2" s="1"/>
  <c r="K97" i="2"/>
  <c r="J34" i="2"/>
  <c r="K81" i="2" s="1"/>
  <c r="I34" i="2"/>
  <c r="K24" i="2"/>
  <c r="G400" i="2" l="1"/>
  <c r="K176" i="2"/>
  <c r="G176" i="2" s="1"/>
  <c r="G257" i="2"/>
  <c r="G250" i="2"/>
  <c r="G102" i="2"/>
  <c r="H81" i="2"/>
  <c r="G81" i="2"/>
  <c r="K241" i="2"/>
  <c r="G241" i="2" s="1"/>
  <c r="G146" i="2"/>
  <c r="G124" i="2"/>
  <c r="K343" i="2"/>
  <c r="G343" i="2" s="1"/>
  <c r="G300" i="2"/>
  <c r="G112" i="2"/>
  <c r="K305" i="2"/>
  <c r="G305" i="2" s="1"/>
  <c r="G9" i="2"/>
  <c r="G31" i="2"/>
  <c r="G298" i="2"/>
  <c r="G109" i="2"/>
  <c r="G133" i="2"/>
  <c r="G187" i="2"/>
  <c r="G263" i="2"/>
  <c r="G362" i="2"/>
  <c r="G379" i="2"/>
  <c r="G42" i="2"/>
  <c r="G238" i="2"/>
  <c r="G405" i="2"/>
  <c r="H342" i="2"/>
  <c r="K367" i="2"/>
  <c r="G367" i="2" s="1"/>
  <c r="G342" i="2"/>
  <c r="H34" i="2"/>
  <c r="G34" i="2"/>
  <c r="H239" i="2"/>
  <c r="G239" i="2"/>
  <c r="H193" i="2"/>
  <c r="G193" i="2"/>
  <c r="H143" i="2"/>
  <c r="G143" i="2"/>
  <c r="H439" i="2"/>
  <c r="G439" i="2"/>
  <c r="H83" i="2"/>
  <c r="G83" i="2"/>
  <c r="K135" i="2"/>
  <c r="G135" i="2" s="1"/>
  <c r="H185" i="2"/>
  <c r="G185" i="2"/>
  <c r="H166" i="2"/>
  <c r="G166" i="2"/>
  <c r="H44" i="2"/>
  <c r="K56" i="2"/>
  <c r="G56" i="2" s="1"/>
  <c r="G44" i="2"/>
  <c r="K80" i="2"/>
  <c r="G80" i="2" s="1"/>
  <c r="K233" i="2"/>
  <c r="G233" i="2" s="1"/>
  <c r="H100" i="2"/>
  <c r="G100" i="2"/>
  <c r="G349" i="2"/>
  <c r="H349" i="2"/>
  <c r="K355" i="2"/>
  <c r="G355" i="2" s="1"/>
  <c r="H176" i="2"/>
  <c r="K211" i="2"/>
  <c r="G211" i="2" s="1"/>
  <c r="H158" i="2"/>
  <c r="G158" i="2"/>
  <c r="H305" i="2"/>
  <c r="K310" i="2"/>
  <c r="G310" i="2" s="1"/>
  <c r="H242" i="2"/>
  <c r="G242" i="2"/>
  <c r="H195" i="2"/>
  <c r="G195" i="2"/>
  <c r="K226" i="2"/>
  <c r="G226" i="2" s="1"/>
  <c r="H211" i="2"/>
  <c r="K224" i="2"/>
  <c r="G224" i="2" s="1"/>
</calcChain>
</file>

<file path=xl/sharedStrings.xml><?xml version="1.0" encoding="utf-8"?>
<sst xmlns="http://schemas.openxmlformats.org/spreadsheetml/2006/main" count="1023" uniqueCount="370">
  <si>
    <t>ID</t>
  </si>
  <si>
    <t>PRED_ID</t>
  </si>
  <si>
    <t>MARKER_AUTO</t>
  </si>
  <si>
    <t>PREDICATE</t>
  </si>
  <si>
    <t>TEXT</t>
  </si>
  <si>
    <t>SENTENCE</t>
  </si>
  <si>
    <t>MARKER</t>
  </si>
  <si>
    <t>TARGET</t>
  </si>
  <si>
    <t>RELATION</t>
  </si>
  <si>
    <t>COMMENT</t>
  </si>
  <si>
    <t>1</t>
  </si>
  <si>
    <t>9</t>
  </si>
  <si>
    <t>_</t>
  </si>
  <si>
    <t>auffinden</t>
  </si>
  <si>
    <t>28- jähriger Koch in San Francisco Mall tot aufgefunden</t>
  </si>
  <si>
    <t>file://conllu/de/abcnews.199762.conllu#s1_0</t>
  </si>
  <si>
    <t>2</t>
  </si>
  <si>
    <t>23</t>
  </si>
  <si>
    <t>Ein 28- jähriger Koch , der vor kurzem nach San Francisco gezogen ist , wurde im in dem Treppenhaus eines örtlichen Einkaufzentrums tot aufgefunden .</t>
  </si>
  <si>
    <t>file://conllu/de/abcnews.199762.conllu#s2_0</t>
  </si>
  <si>
    <t>3</t>
  </si>
  <si>
    <t>12</t>
  </si>
  <si>
    <t>vorstellen (vorstellen sagen)</t>
  </si>
  <si>
    <t>Der Bruder des Opfers sagte aus , dass er sich niemanden vorstellen kann , der ihm schaden wollen würde , &amp;quot; Endlich ging es bei ihm wieder bergauf . &amp;quot;</t>
  </si>
  <si>
    <t>file://conllu/de/abcnews.199762.conllu#s3_0</t>
  </si>
  <si>
    <t>4</t>
  </si>
  <si>
    <t>identifizieren</t>
  </si>
  <si>
    <t>Der am an dem Mittwoch morgen in der Westfield Mall gefundene Leichnam wurde als der 28 Jahre alte Frank Galicia aus San Francisco identifiziert , teilte die gerichtsmedizinische Abteilung in San Francisco mit .</t>
  </si>
  <si>
    <t>file://conllu/de/abcnews.199762.conllu#s4_0</t>
  </si>
  <si>
    <t>5</t>
  </si>
  <si>
    <t>6</t>
  </si>
  <si>
    <t>sagen</t>
  </si>
  <si>
    <t>Das San Francisco Police Department sagte , dass der Tod als Mord eingestuft wurde und die Ermittlungen am an dem Laufen sind .</t>
  </si>
  <si>
    <t>file://conllu/de/abcnews.199762.conllu#s5_0</t>
  </si>
  <si>
    <t>teilen</t>
  </si>
  <si>
    <t>Der Bruder des Opfers , Louis Galicia , teilte dem ABS Sender KGO in San Francisco mit , dass Frank , der früher als Koch in Boston gearbeitet hat , vor sechs Monaten seinen Traumjob als Koch im in dem Sons &amp;amp; Daughters Restaurant in San Francisco ergattert hatte .</t>
  </si>
  <si>
    <t>file://conllu/de/abcnews.199762.conllu#s6_0</t>
  </si>
  <si>
    <t>7</t>
  </si>
  <si>
    <t>Ein Sprecher des Sons &amp;amp; Daughters sagte , dass sie über seinen Tod &amp;quot; schockiert und am an dem Boden zerstört seien &amp;quot; .</t>
  </si>
  <si>
    <t>file://conllu/de/abcnews.199762.conllu#s7_0</t>
  </si>
  <si>
    <t>8</t>
  </si>
  <si>
    <t>sein (sein Team)</t>
  </si>
  <si>
    <t>&amp;quot; Wir sind ein kleines Team , das wie eine enge Familie arbeitet und wir werden ihn schmerzlich vermissen , &amp;quot; sagte der Sprecher weiter .</t>
  </si>
  <si>
    <t>file://conllu/de/abcnews.199762.conllu#s8_0</t>
  </si>
  <si>
    <t>sein</t>
  </si>
  <si>
    <t>Unsere Gedanken und unser Beileid sind in dieser schweren Zeit bei Franks Familie und Freunden .</t>
  </si>
  <si>
    <t>file://conllu/de/abcnews.199762.conllu#s9_0</t>
  </si>
  <si>
    <t>10</t>
  </si>
  <si>
    <t>geben</t>
  </si>
  <si>
    <t>Louis Galicia gab an , dass Frank zunächst in Hostels lebte , aber dass , &amp;quot; die Dinge für ihn endlich bergauf gingen . &amp;quot;</t>
  </si>
  <si>
    <t>file://conllu/de/abcnews.199762.conllu#s10_0</t>
  </si>
  <si>
    <t>11</t>
  </si>
  <si>
    <t>finden</t>
  </si>
  <si>
    <t>&amp;quot; Er fand eine Wohnung , er hatte eine Freundin , &amp;quot; teilte Louis Garcia KGO mit .</t>
  </si>
  <si>
    <t>file://conllu/de/abcnews.199762.conllu#s11_0</t>
  </si>
  <si>
    <t>Louis Galicia sagte , dass er sich niemanden vorstellen könne , der seinem jüngeren Bruder schaden wollen würde .</t>
  </si>
  <si>
    <t>file://conllu/de/abcnews.199762.conllu#s12_0</t>
  </si>
  <si>
    <t>13</t>
  </si>
  <si>
    <t>sein (sein Mensch)</t>
  </si>
  <si>
    <t>Er war ein freundlicher Mensch mit einem großen Herzen .</t>
  </si>
  <si>
    <t>file://conllu/de/abcnews.199762.conllu#s13_0</t>
  </si>
  <si>
    <t>14</t>
  </si>
  <si>
    <t>sein (sein verbinden)</t>
  </si>
  <si>
    <t>Seine Art mit seiner Familie zu verbinden war es , uns immer etwas zu kochen , uns das Abendessen zuzubereiten , &amp;quot; sagte Louis Galicia .</t>
  </si>
  <si>
    <t>file://conllu/de/abcnews.199762.conllu#s14_0</t>
  </si>
  <si>
    <t>15</t>
  </si>
  <si>
    <t>teilnehmen</t>
  </si>
  <si>
    <t>Er wollte nie an irgendeiner Art von Auseinandersetzung teilnehmen .</t>
  </si>
  <si>
    <t>file://conllu/de/abcnews.199762.conllu#s15_0</t>
  </si>
  <si>
    <t>16</t>
  </si>
  <si>
    <t>sein (sein Bruder)</t>
  </si>
  <si>
    <t>Er war der Bruder , der mit dem Strom schwamm .</t>
  </si>
  <si>
    <t>file://conllu/de/abcnews.199762.conllu#s16_0</t>
  </si>
  <si>
    <t>17</t>
  </si>
  <si>
    <t>25</t>
  </si>
  <si>
    <t>&amp;quot; Bei allem , was in der Welt schief läuft , war er dieser ungeschliffene Diamant , der jeden Tag hell leuchtete , &amp;quot; sagte er .</t>
  </si>
  <si>
    <t>file://conllu/de/abcnews.199762.conllu#s17_0</t>
  </si>
  <si>
    <t>18</t>
  </si>
  <si>
    <t>haben</t>
  </si>
  <si>
    <t>Jeder , der Informationen zu dem Fall hat , wird gebeten das Hinweistelefon des SFPD unter der Nummer 415-575-4444 anzurufen .</t>
  </si>
  <si>
    <t>file://conllu/de/abcnews.199762.conllu#s18_0</t>
  </si>
  <si>
    <t>WORD</t>
  </si>
  <si>
    <t>GR</t>
  </si>
  <si>
    <t>NP_TYPE</t>
  </si>
  <si>
    <t>REF_AUTO</t>
  </si>
  <si>
    <t>COREF</t>
  </si>
  <si>
    <t>REF</t>
  </si>
  <si>
    <t>IS</t>
  </si>
  <si>
    <t>CB</t>
  </si>
  <si>
    <t>GR_ANTE</t>
  </si>
  <si>
    <t>REF_DIST</t>
  </si>
  <si>
    <t>REF_DIST_ANTE</t>
  </si>
  <si>
    <t># text = 28-jähriger Koch in San Francisco Mall tot aufgefunden</t>
  </si>
  <si>
    <t>28-</t>
  </si>
  <si>
    <t>jähriger</t>
  </si>
  <si>
    <t>Koch</t>
  </si>
  <si>
    <t>SBJ</t>
  </si>
  <si>
    <t>ne</t>
  </si>
  <si>
    <t>?OLD</t>
  </si>
  <si>
    <t>in</t>
  </si>
  <si>
    <t>San</t>
  </si>
  <si>
    <t>other_2</t>
  </si>
  <si>
    <t>Francisco</t>
  </si>
  <si>
    <t>Mall</t>
  </si>
  <si>
    <t>tot</t>
  </si>
  <si>
    <t>aufgefunden</t>
  </si>
  <si>
    <t># text = Ein 28-jähriger Koch, der vor kurzem nach San Francisco gezogen ist, wurde im Treppenhaus eines örtlichen Einkaufzentrums tot aufgefunden.</t>
  </si>
  <si>
    <t>Ein</t>
  </si>
  <si>
    <t>,</t>
  </si>
  <si>
    <t>der</t>
  </si>
  <si>
    <t>SBJ_3</t>
  </si>
  <si>
    <t>pron</t>
  </si>
  <si>
    <t>vor</t>
  </si>
  <si>
    <t>kurzem</t>
  </si>
  <si>
    <t>other_3</t>
  </si>
  <si>
    <t>indef-np.bare</t>
  </si>
  <si>
    <t>nach</t>
  </si>
  <si>
    <t>other_4</t>
  </si>
  <si>
    <t>gezogen</t>
  </si>
  <si>
    <t>ist</t>
  </si>
  <si>
    <t>wurde</t>
  </si>
  <si>
    <t>dem</t>
  </si>
  <si>
    <t>Treppenhaus</t>
  </si>
  <si>
    <t>other</t>
  </si>
  <si>
    <t>def-np.the</t>
  </si>
  <si>
    <t>eines</t>
  </si>
  <si>
    <t>örtlichen</t>
  </si>
  <si>
    <t>Einkaufzentrums</t>
  </si>
  <si>
    <t>indef-np.a</t>
  </si>
  <si>
    <t>.</t>
  </si>
  <si>
    <t>--</t>
  </si>
  <si>
    <t># text = Der Bruder des Opfers sagte aus, dass er sich niemanden vorstellen kann, der ihm schaden wollen würde, \"Endlich ging es bei ihm wieder bergauf.\"</t>
  </si>
  <si>
    <t>Der</t>
  </si>
  <si>
    <t>Bruder</t>
  </si>
  <si>
    <t>des</t>
  </si>
  <si>
    <t>Opfers</t>
  </si>
  <si>
    <t>sagte</t>
  </si>
  <si>
    <t>aus</t>
  </si>
  <si>
    <t>dass</t>
  </si>
  <si>
    <t>er</t>
  </si>
  <si>
    <t>SBJ_2</t>
  </si>
  <si>
    <t>pron.pper</t>
  </si>
  <si>
    <t>sich</t>
  </si>
  <si>
    <t>OBJ_2</t>
  </si>
  <si>
    <t>niemanden</t>
  </si>
  <si>
    <t>pron.pind</t>
  </si>
  <si>
    <t>vorstellen</t>
  </si>
  <si>
    <t>kann</t>
  </si>
  <si>
    <t>ihm</t>
  </si>
  <si>
    <t>schaden</t>
  </si>
  <si>
    <t>wollen</t>
  </si>
  <si>
    <t>würde</t>
  </si>
  <si>
    <t>&amp;quot;</t>
  </si>
  <si>
    <t>Endlich</t>
  </si>
  <si>
    <t>ging</t>
  </si>
  <si>
    <t>es</t>
  </si>
  <si>
    <t>bei</t>
  </si>
  <si>
    <t>wieder</t>
  </si>
  <si>
    <t>bergauf</t>
  </si>
  <si>
    <t># text = Der am Mittwoch morgen in der Westfield Mall gefundene Leichnam wurde als der 28 Jahre alte Frank Galicia aus San Francisco identifiziert, teilte die gerichtsmedizinische Abteilung in San Francisco mit.</t>
  </si>
  <si>
    <t>an</t>
  </si>
  <si>
    <t>Mittwoch</t>
  </si>
  <si>
    <t>morgen</t>
  </si>
  <si>
    <t>Westfield</t>
  </si>
  <si>
    <t>gefundene</t>
  </si>
  <si>
    <t>Leichnam</t>
  </si>
  <si>
    <t>als</t>
  </si>
  <si>
    <t>28</t>
  </si>
  <si>
    <t>Jahre</t>
  </si>
  <si>
    <t>indef-np.quant</t>
  </si>
  <si>
    <t>alte</t>
  </si>
  <si>
    <t>Frank</t>
  </si>
  <si>
    <t>Galicia</t>
  </si>
  <si>
    <t>identifiziert</t>
  </si>
  <si>
    <t>teilte</t>
  </si>
  <si>
    <t>die</t>
  </si>
  <si>
    <t>gerichtsmedizinische</t>
  </si>
  <si>
    <t>Abteilung</t>
  </si>
  <si>
    <t>mit</t>
  </si>
  <si>
    <t># text = Das San Francisco Police Department sagte, dass der Tod als Mord eingestuft wurde und die Ermittlungen am Laufen sind.</t>
  </si>
  <si>
    <t>Das</t>
  </si>
  <si>
    <t>Police</t>
  </si>
  <si>
    <t>Department</t>
  </si>
  <si>
    <t>Tod</t>
  </si>
  <si>
    <t>Mord</t>
  </si>
  <si>
    <t>eingestuft</t>
  </si>
  <si>
    <t>und</t>
  </si>
  <si>
    <t>Ermittlungen</t>
  </si>
  <si>
    <t>Laufen</t>
  </si>
  <si>
    <t>sind</t>
  </si>
  <si>
    <t># text = Der Bruder des Opfers, Louis Galicia, teilte dem ABS Sender KGO in San Francisco mit, dass Frank, der früher als Koch in Boston gearbeitet hat, vor sechs Monaten seinen Traumjob als Koch im Sons &amp; Daughters Restaurant in San Francisco ergattert hatte.</t>
  </si>
  <si>
    <t>Louis</t>
  </si>
  <si>
    <t>ABS</t>
  </si>
  <si>
    <t>OBJ</t>
  </si>
  <si>
    <t>Sender</t>
  </si>
  <si>
    <t>KGO</t>
  </si>
  <si>
    <t>SBJ_4</t>
  </si>
  <si>
    <t>früher</t>
  </si>
  <si>
    <t>Boston</t>
  </si>
  <si>
    <t>gearbeitet</t>
  </si>
  <si>
    <t>hat</t>
  </si>
  <si>
    <t>sechs</t>
  </si>
  <si>
    <t>Monaten</t>
  </si>
  <si>
    <t>seinen</t>
  </si>
  <si>
    <t>Traumjob</t>
  </si>
  <si>
    <t>indef-np</t>
  </si>
  <si>
    <t>Sons</t>
  </si>
  <si>
    <t>&amp;amp;</t>
  </si>
  <si>
    <t>Daughters</t>
  </si>
  <si>
    <t>Restaurant</t>
  </si>
  <si>
    <t>ergattert</t>
  </si>
  <si>
    <t>hatte</t>
  </si>
  <si>
    <t># text = Ein Sprecher des Sons &amp; Daughters sagte, dass sie über seinen Tod \"schockiert und am Boden zerstört seien\".</t>
  </si>
  <si>
    <t>Sprecher</t>
  </si>
  <si>
    <t>def-np.poss</t>
  </si>
  <si>
    <t>sie</t>
  </si>
  <si>
    <t>über</t>
  </si>
  <si>
    <t>schockiert</t>
  </si>
  <si>
    <t>Boden</t>
  </si>
  <si>
    <t>zerstört</t>
  </si>
  <si>
    <t>seien</t>
  </si>
  <si>
    <t># text = "Wir sind ein kleines Team, das wie eine enge Familie arbeitet und wir werden ihn schmerzlich vermissen," sagte der Sprecher weiter.</t>
  </si>
  <si>
    <t>Wir</t>
  </si>
  <si>
    <t>ein</t>
  </si>
  <si>
    <t>kleines</t>
  </si>
  <si>
    <t>Team</t>
  </si>
  <si>
    <t>das</t>
  </si>
  <si>
    <t>wie</t>
  </si>
  <si>
    <t>eine</t>
  </si>
  <si>
    <t>enge</t>
  </si>
  <si>
    <t>Familie</t>
  </si>
  <si>
    <t>arbeitet</t>
  </si>
  <si>
    <t>wir</t>
  </si>
  <si>
    <t>werden</t>
  </si>
  <si>
    <t>ihn</t>
  </si>
  <si>
    <t>OBJ_3</t>
  </si>
  <si>
    <t>schmerzlich</t>
  </si>
  <si>
    <t>vermissen</t>
  </si>
  <si>
    <t>weiter</t>
  </si>
  <si>
    <t># text = Unsere Gedanken und unser Beileid sind in dieser schweren Zeit bei Franks Familie und Freunden.</t>
  </si>
  <si>
    <t>Unsere</t>
  </si>
  <si>
    <t>pron.ppos</t>
  </si>
  <si>
    <t>Gedanken</t>
  </si>
  <si>
    <t>unser</t>
  </si>
  <si>
    <t>Beileid</t>
  </si>
  <si>
    <t>dieser</t>
  </si>
  <si>
    <t>pron.pds</t>
  </si>
  <si>
    <t>schweren</t>
  </si>
  <si>
    <t>Zeit</t>
  </si>
  <si>
    <t>def-np.dem</t>
  </si>
  <si>
    <t>Franks</t>
  </si>
  <si>
    <t>Freunden</t>
  </si>
  <si>
    <t># text = Louis Galicia gab an, dass Frank zunächst in Hostels lebte, aber dass, "die Dinge für ihn endlich bergauf gingen."</t>
  </si>
  <si>
    <t>gab</t>
  </si>
  <si>
    <t>zunächst</t>
  </si>
  <si>
    <t>Hostels</t>
  </si>
  <si>
    <t>lebte</t>
  </si>
  <si>
    <t>aber</t>
  </si>
  <si>
    <t>Dinge</t>
  </si>
  <si>
    <t>für</t>
  </si>
  <si>
    <t>endlich</t>
  </si>
  <si>
    <t>gingen</t>
  </si>
  <si>
    <t># text = \"Er fand eine Wohnung, er hatte eine Freundin,\" teilte Louis Garcia KGO mit.</t>
  </si>
  <si>
    <t>Er</t>
  </si>
  <si>
    <t>fand</t>
  </si>
  <si>
    <t>Wohnung</t>
  </si>
  <si>
    <t>Freundin</t>
  </si>
  <si>
    <t>Garcia</t>
  </si>
  <si>
    <t># text = Louis Galicia sagte, dass er sich niemanden vorstellen könne, der seinem jüngeren Bruder schaden wollen würde.</t>
  </si>
  <si>
    <t>könne</t>
  </si>
  <si>
    <t>seinem</t>
  </si>
  <si>
    <t>jüngeren</t>
  </si>
  <si>
    <t># text = Er war ein freundlicher Mensch mit einem großen Herzen.</t>
  </si>
  <si>
    <t>war</t>
  </si>
  <si>
    <t>freundlicher</t>
  </si>
  <si>
    <t>Mensch</t>
  </si>
  <si>
    <t>einem</t>
  </si>
  <si>
    <t>großen</t>
  </si>
  <si>
    <t>Herzen</t>
  </si>
  <si>
    <t># text = Seine Art mit seiner Familie zu verbinden war es, uns immer etwas zu kochen, uns das Abendessen zuzubereiten,\" sagte Louis Galicia.</t>
  </si>
  <si>
    <t>Seine</t>
  </si>
  <si>
    <t>Art</t>
  </si>
  <si>
    <t>seiner</t>
  </si>
  <si>
    <t>zu</t>
  </si>
  <si>
    <t>verbinden</t>
  </si>
  <si>
    <t>uns</t>
  </si>
  <si>
    <t>immer</t>
  </si>
  <si>
    <t>etwas</t>
  </si>
  <si>
    <t>kochen</t>
  </si>
  <si>
    <t>Abendessen</t>
  </si>
  <si>
    <t>zuzubereiten</t>
  </si>
  <si>
    <t># text = Er wollte nie an irgendeiner Art von Auseinandersetzung teilnehmen.</t>
  </si>
  <si>
    <t>wollte</t>
  </si>
  <si>
    <t>nie</t>
  </si>
  <si>
    <t>irgendeiner</t>
  </si>
  <si>
    <t>von</t>
  </si>
  <si>
    <t>Auseinandersetzung</t>
  </si>
  <si>
    <t># text = Er war der Bruder, der mit dem Strom schwamm.</t>
  </si>
  <si>
    <t>Strom</t>
  </si>
  <si>
    <t>schwamm</t>
  </si>
  <si>
    <t># text = \"Bei allem, was in der Welt schief läuft, war er dieser ungeschliffene Diamant, der jeden Tag hell leuchtete,\" sagte er.</t>
  </si>
  <si>
    <t>Bei</t>
  </si>
  <si>
    <t>allem</t>
  </si>
  <si>
    <t>was</t>
  </si>
  <si>
    <t>Welt</t>
  </si>
  <si>
    <t>schief</t>
  </si>
  <si>
    <t>läuft</t>
  </si>
  <si>
    <t>ungeschliffene</t>
  </si>
  <si>
    <t>Diamant</t>
  </si>
  <si>
    <t>jeden</t>
  </si>
  <si>
    <t>Tag</t>
  </si>
  <si>
    <t>hell</t>
  </si>
  <si>
    <t>leuchtete</t>
  </si>
  <si>
    <t># text = Jeder, der Informationen zu dem Fall hat, wird gebeten das Hinweistelefon des SFPD unter der Nummer 415-575-4444 anzurufen.</t>
  </si>
  <si>
    <t>Jeder</t>
  </si>
  <si>
    <t>Informationen</t>
  </si>
  <si>
    <t>Fall</t>
  </si>
  <si>
    <t>wird</t>
  </si>
  <si>
    <t>gebeten</t>
  </si>
  <si>
    <t>Hinweistelefon</t>
  </si>
  <si>
    <t>SFPD</t>
  </si>
  <si>
    <t>unter</t>
  </si>
  <si>
    <t>Nummer</t>
  </si>
  <si>
    <t>415-575-4444</t>
  </si>
  <si>
    <t>anzurufen</t>
  </si>
  <si>
    <t>OBJ_4</t>
  </si>
  <si>
    <t>frank_galicia</t>
  </si>
  <si>
    <t>san_francisco</t>
  </si>
  <si>
    <t>treppenhaus</t>
  </si>
  <si>
    <t>westfield_mall</t>
  </si>
  <si>
    <t>EXPL</t>
  </si>
  <si>
    <t>fundtag</t>
  </si>
  <si>
    <t>SIT</t>
  </si>
  <si>
    <t>PRED</t>
  </si>
  <si>
    <t>gm_abteilung</t>
  </si>
  <si>
    <t>sfpd</t>
  </si>
  <si>
    <t>tod_frank</t>
  </si>
  <si>
    <t>ermittlungen</t>
  </si>
  <si>
    <t>louis_galicia</t>
  </si>
  <si>
    <t>sender_kgo</t>
  </si>
  <si>
    <t>job_koch</t>
  </si>
  <si>
    <t>boston</t>
  </si>
  <si>
    <t>sons_restaurant</t>
  </si>
  <si>
    <t>sprecher_sons</t>
  </si>
  <si>
    <t>team_sons</t>
  </si>
  <si>
    <t>CAT</t>
  </si>
  <si>
    <t>IDIOM</t>
  </si>
  <si>
    <t>gedanken_team</t>
  </si>
  <si>
    <t>beileid_team</t>
  </si>
  <si>
    <t>zeit</t>
  </si>
  <si>
    <t>frank_familie</t>
  </si>
  <si>
    <t>GEN</t>
  </si>
  <si>
    <t>frank_art</t>
  </si>
  <si>
    <t>welt</t>
  </si>
  <si>
    <t>telefon_sfsp</t>
  </si>
  <si>
    <t>nummer_sfpd</t>
  </si>
  <si>
    <t>parser error: Relativpronomen</t>
  </si>
  <si>
    <t>syntaktischer Kopf</t>
  </si>
  <si>
    <t>nicht syntaktischer Kopf</t>
  </si>
  <si>
    <t>kein auto ref</t>
  </si>
  <si>
    <t>syntaktischer Kopf eigentlich Restaurant, aber "sons" als englischer Namenserstbestandteil in 185 auch als Kopf gewählt</t>
  </si>
  <si>
    <t>in 209 + 213 konkret benannt</t>
  </si>
  <si>
    <t>Relativpronomen</t>
  </si>
  <si>
    <t>parser fehler: Demonstrativartikel</t>
  </si>
  <si>
    <t>Korrelat</t>
  </si>
  <si>
    <t>Franks Art der Verbindung</t>
  </si>
  <si>
    <t>parser error: Artikel</t>
  </si>
  <si>
    <t>zusätzliche ID, weil auto ref</t>
  </si>
  <si>
    <t>zusätzlich ref weil auto ref</t>
  </si>
  <si>
    <t>alternativ: kein Ref, weil substantiviertes Verb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</si>
</sst>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3">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
      <patternFill patternType="solid">
        <fgColor rgb="FFFFF5CE"/>
        <bgColor rgb="FFEEEEEE"/>
      </patternFill>
    </fill>
    <fill>
      <patternFill patternType="solid">
        <fgColor rgb="FFDDE8CB"/>
        <bgColor rgb="FFDEE6EF"/>
      </patternFill>
    </fill>
    <fill>
      <patternFill patternType="solid">
        <fgColor rgb="FFB4C7DC"/>
        <bgColor rgb="FF99CCFF"/>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xf numFmtId="0" fontId="0" fillId="10" borderId="0" xfId="0" applyFill="1" applyAlignment="1" applyProtection="1">
      <alignment horizontal="center"/>
      <protection locked="0"/>
    </xf>
    <xf numFmtId="0" fontId="0" fillId="11" borderId="0" xfId="0" applyFill="1" applyAlignment="1" applyProtection="1">
      <alignment horizontal="center"/>
      <protection locked="0"/>
    </xf>
    <xf numFmtId="0" fontId="0" fillId="12" borderId="0" xfId="0" applyFill="1" applyAlignment="1" applyProtection="1">
      <alignment horizontal="left"/>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pane xSplit="5" ySplit="1" topLeftCell="F2" activePane="bottomRight" state="frozen"/>
      <selection pane="topRight" activeCell="F1" sqref="F1"/>
      <selection pane="bottomLeft" activeCell="A2" sqref="A2"/>
      <selection pane="bottomRight"/>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tr">
        <f t="shared" ref="G2:G19" si="0">IF(A2=1,"_",IF(C2="_","???",C2))</f>
        <v>???</v>
      </c>
      <c r="H2" s="10" t="s">
        <v>12</v>
      </c>
      <c r="I2" s="11" t="s">
        <v>12</v>
      </c>
      <c r="J2" s="12"/>
    </row>
    <row r="3" spans="1:10" ht="60" customHeight="1" x14ac:dyDescent="0.3">
      <c r="A3" s="6" t="s">
        <v>16</v>
      </c>
      <c r="B3" s="6" t="s">
        <v>17</v>
      </c>
      <c r="C3" s="6" t="s">
        <v>12</v>
      </c>
      <c r="D3" s="7" t="s">
        <v>13</v>
      </c>
      <c r="E3" s="8" t="s">
        <v>18</v>
      </c>
      <c r="F3" s="6" t="s">
        <v>19</v>
      </c>
      <c r="G3" s="9" t="str">
        <f t="shared" si="0"/>
        <v>???</v>
      </c>
      <c r="H3" s="10" t="s">
        <v>12</v>
      </c>
      <c r="I3" s="11" t="s">
        <v>12</v>
      </c>
      <c r="J3" s="12"/>
    </row>
    <row r="4" spans="1:10" ht="60" customHeight="1" x14ac:dyDescent="0.3">
      <c r="A4" s="6" t="s">
        <v>20</v>
      </c>
      <c r="B4" s="6" t="s">
        <v>21</v>
      </c>
      <c r="C4" s="6" t="s">
        <v>12</v>
      </c>
      <c r="D4" s="7" t="s">
        <v>22</v>
      </c>
      <c r="E4" s="8" t="s">
        <v>23</v>
      </c>
      <c r="F4" s="6" t="s">
        <v>24</v>
      </c>
      <c r="G4" s="9" t="str">
        <f t="shared" si="0"/>
        <v>???</v>
      </c>
      <c r="H4" s="10" t="s">
        <v>12</v>
      </c>
      <c r="I4" s="11" t="s">
        <v>12</v>
      </c>
      <c r="J4" s="12"/>
    </row>
    <row r="5" spans="1:10" ht="60" customHeight="1" x14ac:dyDescent="0.3">
      <c r="A5" s="6" t="s">
        <v>25</v>
      </c>
      <c r="B5" s="6" t="s">
        <v>17</v>
      </c>
      <c r="C5" s="6" t="s">
        <v>12</v>
      </c>
      <c r="D5" s="7" t="s">
        <v>26</v>
      </c>
      <c r="E5" s="8" t="s">
        <v>27</v>
      </c>
      <c r="F5" s="6" t="s">
        <v>28</v>
      </c>
      <c r="G5" s="9" t="str">
        <f t="shared" si="0"/>
        <v>???</v>
      </c>
      <c r="H5" s="10" t="s">
        <v>12</v>
      </c>
      <c r="I5" s="11" t="s">
        <v>12</v>
      </c>
      <c r="J5" s="12"/>
    </row>
    <row r="6" spans="1:10" ht="60" customHeight="1" x14ac:dyDescent="0.3">
      <c r="A6" s="6" t="s">
        <v>29</v>
      </c>
      <c r="B6" s="6" t="s">
        <v>30</v>
      </c>
      <c r="C6" s="6" t="s">
        <v>12</v>
      </c>
      <c r="D6" s="7" t="s">
        <v>31</v>
      </c>
      <c r="E6" s="8" t="s">
        <v>32</v>
      </c>
      <c r="F6" s="6" t="s">
        <v>33</v>
      </c>
      <c r="G6" s="9" t="str">
        <f t="shared" si="0"/>
        <v>???</v>
      </c>
      <c r="H6" s="10" t="s">
        <v>12</v>
      </c>
      <c r="I6" s="11" t="s">
        <v>12</v>
      </c>
      <c r="J6" s="12"/>
    </row>
    <row r="7" spans="1:10" ht="60" customHeight="1" x14ac:dyDescent="0.3">
      <c r="A7" s="6" t="s">
        <v>30</v>
      </c>
      <c r="B7" s="6" t="s">
        <v>11</v>
      </c>
      <c r="C7" s="6" t="s">
        <v>12</v>
      </c>
      <c r="D7" s="7" t="s">
        <v>34</v>
      </c>
      <c r="E7" s="8" t="s">
        <v>35</v>
      </c>
      <c r="F7" s="6" t="s">
        <v>36</v>
      </c>
      <c r="G7" s="9" t="str">
        <f t="shared" si="0"/>
        <v>???</v>
      </c>
      <c r="H7" s="10" t="s">
        <v>12</v>
      </c>
      <c r="I7" s="11" t="s">
        <v>12</v>
      </c>
      <c r="J7" s="12"/>
    </row>
    <row r="8" spans="1:10" ht="60" customHeight="1" x14ac:dyDescent="0.3">
      <c r="A8" s="6" t="s">
        <v>37</v>
      </c>
      <c r="B8" s="6" t="s">
        <v>37</v>
      </c>
      <c r="C8" s="6" t="s">
        <v>12</v>
      </c>
      <c r="D8" s="7" t="s">
        <v>31</v>
      </c>
      <c r="E8" s="8" t="s">
        <v>38</v>
      </c>
      <c r="F8" s="6" t="s">
        <v>39</v>
      </c>
      <c r="G8" s="9" t="str">
        <f t="shared" si="0"/>
        <v>???</v>
      </c>
      <c r="H8" s="10" t="s">
        <v>12</v>
      </c>
      <c r="I8" s="11" t="s">
        <v>12</v>
      </c>
      <c r="J8" s="12"/>
    </row>
    <row r="9" spans="1:10" ht="60" customHeight="1" x14ac:dyDescent="0.3">
      <c r="A9" s="6" t="s">
        <v>40</v>
      </c>
      <c r="B9" s="6" t="s">
        <v>20</v>
      </c>
      <c r="C9" s="6" t="s">
        <v>12</v>
      </c>
      <c r="D9" s="7" t="s">
        <v>41</v>
      </c>
      <c r="E9" s="8" t="s">
        <v>42</v>
      </c>
      <c r="F9" s="6" t="s">
        <v>43</v>
      </c>
      <c r="G9" s="9" t="str">
        <f t="shared" si="0"/>
        <v>???</v>
      </c>
      <c r="H9" s="10" t="s">
        <v>12</v>
      </c>
      <c r="I9" s="11" t="s">
        <v>12</v>
      </c>
      <c r="J9" s="12"/>
    </row>
    <row r="10" spans="1:10" ht="60" customHeight="1" x14ac:dyDescent="0.3">
      <c r="A10" s="6" t="s">
        <v>11</v>
      </c>
      <c r="B10" s="6" t="s">
        <v>30</v>
      </c>
      <c r="C10" s="6" t="s">
        <v>12</v>
      </c>
      <c r="D10" s="7" t="s">
        <v>44</v>
      </c>
      <c r="E10" s="8" t="s">
        <v>45</v>
      </c>
      <c r="F10" s="6" t="s">
        <v>46</v>
      </c>
      <c r="G10" s="9" t="str">
        <f t="shared" si="0"/>
        <v>???</v>
      </c>
      <c r="H10" s="10" t="s">
        <v>12</v>
      </c>
      <c r="I10" s="11" t="s">
        <v>12</v>
      </c>
      <c r="J10" s="12"/>
    </row>
    <row r="11" spans="1:10" ht="60" customHeight="1" x14ac:dyDescent="0.3">
      <c r="A11" s="6" t="s">
        <v>47</v>
      </c>
      <c r="B11" s="6" t="s">
        <v>20</v>
      </c>
      <c r="C11" s="6" t="s">
        <v>12</v>
      </c>
      <c r="D11" s="7" t="s">
        <v>48</v>
      </c>
      <c r="E11" s="8" t="s">
        <v>49</v>
      </c>
      <c r="F11" s="6" t="s">
        <v>50</v>
      </c>
      <c r="G11" s="9" t="str">
        <f t="shared" si="0"/>
        <v>???</v>
      </c>
      <c r="H11" s="10" t="s">
        <v>12</v>
      </c>
      <c r="I11" s="11" t="s">
        <v>12</v>
      </c>
      <c r="J11" s="12"/>
    </row>
    <row r="12" spans="1:10" ht="60" customHeight="1" x14ac:dyDescent="0.3">
      <c r="A12" s="6" t="s">
        <v>51</v>
      </c>
      <c r="B12" s="6" t="s">
        <v>20</v>
      </c>
      <c r="C12" s="6" t="s">
        <v>12</v>
      </c>
      <c r="D12" s="7" t="s">
        <v>52</v>
      </c>
      <c r="E12" s="8" t="s">
        <v>53</v>
      </c>
      <c r="F12" s="6" t="s">
        <v>54</v>
      </c>
      <c r="G12" s="9" t="str">
        <f t="shared" si="0"/>
        <v>???</v>
      </c>
      <c r="H12" s="10" t="s">
        <v>12</v>
      </c>
      <c r="I12" s="11" t="s">
        <v>12</v>
      </c>
      <c r="J12" s="12"/>
    </row>
    <row r="13" spans="1:10" ht="60" customHeight="1" x14ac:dyDescent="0.3">
      <c r="A13" s="6" t="s">
        <v>21</v>
      </c>
      <c r="B13" s="6" t="s">
        <v>11</v>
      </c>
      <c r="C13" s="6" t="s">
        <v>12</v>
      </c>
      <c r="D13" s="7" t="s">
        <v>22</v>
      </c>
      <c r="E13" s="8" t="s">
        <v>55</v>
      </c>
      <c r="F13" s="6" t="s">
        <v>56</v>
      </c>
      <c r="G13" s="9" t="str">
        <f t="shared" si="0"/>
        <v>???</v>
      </c>
      <c r="H13" s="10" t="s">
        <v>12</v>
      </c>
      <c r="I13" s="11" t="s">
        <v>12</v>
      </c>
      <c r="J13" s="12"/>
    </row>
    <row r="14" spans="1:10" ht="60" customHeight="1" x14ac:dyDescent="0.3">
      <c r="A14" s="6" t="s">
        <v>57</v>
      </c>
      <c r="B14" s="6" t="s">
        <v>16</v>
      </c>
      <c r="C14" s="6" t="s">
        <v>12</v>
      </c>
      <c r="D14" s="7" t="s">
        <v>58</v>
      </c>
      <c r="E14" s="8" t="s">
        <v>59</v>
      </c>
      <c r="F14" s="6" t="s">
        <v>60</v>
      </c>
      <c r="G14" s="9" t="str">
        <f t="shared" si="0"/>
        <v>???</v>
      </c>
      <c r="H14" s="10" t="s">
        <v>12</v>
      </c>
      <c r="I14" s="11" t="s">
        <v>12</v>
      </c>
      <c r="J14" s="12"/>
    </row>
    <row r="15" spans="1:10" ht="60" customHeight="1" x14ac:dyDescent="0.3">
      <c r="A15" s="6" t="s">
        <v>61</v>
      </c>
      <c r="B15" s="6" t="s">
        <v>40</v>
      </c>
      <c r="C15" s="6" t="s">
        <v>12</v>
      </c>
      <c r="D15" s="7" t="s">
        <v>62</v>
      </c>
      <c r="E15" s="8" t="s">
        <v>63</v>
      </c>
      <c r="F15" s="6" t="s">
        <v>64</v>
      </c>
      <c r="G15" s="9" t="str">
        <f t="shared" si="0"/>
        <v>???</v>
      </c>
      <c r="H15" s="10" t="s">
        <v>12</v>
      </c>
      <c r="I15" s="11" t="s">
        <v>12</v>
      </c>
      <c r="J15" s="12"/>
    </row>
    <row r="16" spans="1:10" ht="60" customHeight="1" x14ac:dyDescent="0.3">
      <c r="A16" s="6" t="s">
        <v>65</v>
      </c>
      <c r="B16" s="6" t="s">
        <v>11</v>
      </c>
      <c r="C16" s="6" t="s">
        <v>12</v>
      </c>
      <c r="D16" s="7" t="s">
        <v>66</v>
      </c>
      <c r="E16" s="8" t="s">
        <v>67</v>
      </c>
      <c r="F16" s="6" t="s">
        <v>68</v>
      </c>
      <c r="G16" s="9" t="str">
        <f t="shared" si="0"/>
        <v>???</v>
      </c>
      <c r="H16" s="10" t="s">
        <v>12</v>
      </c>
      <c r="I16" s="11" t="s">
        <v>12</v>
      </c>
      <c r="J16" s="12"/>
    </row>
    <row r="17" spans="1:10" ht="60" customHeight="1" x14ac:dyDescent="0.3">
      <c r="A17" s="6" t="s">
        <v>69</v>
      </c>
      <c r="B17" s="6" t="s">
        <v>16</v>
      </c>
      <c r="C17" s="6" t="s">
        <v>12</v>
      </c>
      <c r="D17" s="7" t="s">
        <v>70</v>
      </c>
      <c r="E17" s="8" t="s">
        <v>71</v>
      </c>
      <c r="F17" s="6" t="s">
        <v>72</v>
      </c>
      <c r="G17" s="9" t="str">
        <f t="shared" si="0"/>
        <v>???</v>
      </c>
      <c r="H17" s="10" t="s">
        <v>12</v>
      </c>
      <c r="I17" s="11" t="s">
        <v>12</v>
      </c>
      <c r="J17" s="12"/>
    </row>
    <row r="18" spans="1:10" ht="60" customHeight="1" x14ac:dyDescent="0.3">
      <c r="A18" s="6" t="s">
        <v>73</v>
      </c>
      <c r="B18" s="6" t="s">
        <v>74</v>
      </c>
      <c r="C18" s="6" t="s">
        <v>12</v>
      </c>
      <c r="D18" s="7" t="s">
        <v>31</v>
      </c>
      <c r="E18" s="8" t="s">
        <v>75</v>
      </c>
      <c r="F18" s="6" t="s">
        <v>76</v>
      </c>
      <c r="G18" s="9" t="str">
        <f t="shared" si="0"/>
        <v>???</v>
      </c>
      <c r="H18" s="10" t="s">
        <v>12</v>
      </c>
      <c r="I18" s="11" t="s">
        <v>12</v>
      </c>
      <c r="J18" s="12"/>
    </row>
    <row r="19" spans="1:10" ht="60" customHeight="1" x14ac:dyDescent="0.3">
      <c r="A19" s="6" t="s">
        <v>77</v>
      </c>
      <c r="B19" s="6" t="s">
        <v>40</v>
      </c>
      <c r="C19" s="6" t="s">
        <v>12</v>
      </c>
      <c r="D19" s="7" t="s">
        <v>78</v>
      </c>
      <c r="E19" s="8" t="s">
        <v>79</v>
      </c>
      <c r="F19" s="6" t="s">
        <v>80</v>
      </c>
      <c r="G19" s="9" t="str">
        <f t="shared" si="0"/>
        <v>???</v>
      </c>
      <c r="H19" s="10" t="s">
        <v>12</v>
      </c>
      <c r="I19" s="11" t="s">
        <v>12</v>
      </c>
      <c r="J1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2"/>
  <sheetViews>
    <sheetView tabSelected="1" workbookViewId="0">
      <pane xSplit="1" ySplit="1" topLeftCell="B392" activePane="bottomRight" state="frozen"/>
      <selection pane="topRight" activeCell="B1" sqref="B1"/>
      <selection pane="bottomLeft" activeCell="A2" sqref="A2"/>
      <selection pane="bottomRight" activeCell="Q398" sqref="Q398"/>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81</v>
      </c>
      <c r="B1" s="13" t="s">
        <v>82</v>
      </c>
      <c r="C1" s="13" t="s">
        <v>83</v>
      </c>
      <c r="D1" s="13" t="s">
        <v>84</v>
      </c>
      <c r="E1" s="14" t="s">
        <v>85</v>
      </c>
      <c r="F1" s="15" t="s">
        <v>86</v>
      </c>
      <c r="G1" s="16" t="s">
        <v>87</v>
      </c>
      <c r="H1" s="17" t="s">
        <v>88</v>
      </c>
      <c r="I1" s="18" t="s">
        <v>89</v>
      </c>
      <c r="J1" s="18" t="s">
        <v>90</v>
      </c>
      <c r="K1" s="18" t="s">
        <v>91</v>
      </c>
      <c r="L1" s="19" t="s">
        <v>9</v>
      </c>
    </row>
    <row r="2" spans="1:12" x14ac:dyDescent="0.3">
      <c r="A2" t="s">
        <v>92</v>
      </c>
    </row>
    <row r="3" spans="1:12" x14ac:dyDescent="0.3">
      <c r="A3" t="s">
        <v>93</v>
      </c>
      <c r="E3" s="20" t="str">
        <f t="shared" ref="E3:E11" si="0">IF(D3="?OLD","!!!","")</f>
        <v/>
      </c>
      <c r="F3" s="21" t="str">
        <f>IF(OR(E3="",E3="!!!"),"",IF(NOT(ISNA(VLOOKUP(E3,E$1:E2,1,FALSE()))),"OLD",IF(AND(E3&lt;&gt;"",E3&lt;&gt;"!!!"),"NEW","")))</f>
        <v/>
      </c>
      <c r="G3" s="22" t="str">
        <f>IF(OR(E3="",E3="!!!"),"",IF(OR(J3=0,AND(J3=1,K3=1),AND(J3=1,I3="SBJ"),AND(J3=1,I3=0)),"?IN_FOCUS",IF(J3&lt;=2,"?ACTIVATED",IF(J3&lt;&gt;"","?FAMILIAR",IF(F3="NEW",IF(ISNA(VLOOKUP(E3,#REF!,1,FALSE())),"?TYPE_IDENTIFIABLE","?REFERENTIAL"),"_")))))</f>
        <v/>
      </c>
      <c r="H3" s="23" t="str">
        <f t="shared" ref="H3:H11" ca="1" si="1">IF(J3&lt;&gt;1,"",IF(I3="SBJ","CB","?"))</f>
        <v/>
      </c>
      <c r="I3" s="24" t="str">
        <f>IF(OR(E3="",E3="!!!",F3="NEW"),"",INDEX(B2:B$2,-1+SUMPRODUCT(MAX(ROW(E2:E$2)*(E3=E2:E$2)))))</f>
        <v/>
      </c>
      <c r="J3" s="24" t="str">
        <f ca="1">IF(OR(E3="",E3="!!!",F3="NEW"),"",COUNTBLANK(OFFSET(A$1,,,SUMPRODUCT(MAX(ROW(E$2:E3)*(E3=E$2:E3)))))-COUNTBLANK(OFFSET(A$1,,,SUMPRODUCT(MAX(ROW(E$1:E2)*(E2=E$1:E2))))))</f>
        <v/>
      </c>
      <c r="K3" s="24" t="str">
        <f>IF(OR(E3="",E3="!!!",F3="NEW"),"",INDEX(J$1:J2,SUMPRODUCT(MAX(ROW(E$1:E2)*(E3=E$1:E2)))))</f>
        <v/>
      </c>
      <c r="L3" s="25"/>
    </row>
    <row r="4" spans="1:12" x14ac:dyDescent="0.3">
      <c r="A4" t="s">
        <v>94</v>
      </c>
      <c r="E4" s="20" t="str">
        <f t="shared" si="0"/>
        <v/>
      </c>
      <c r="F4" s="21" t="str">
        <f>IF(OR(E4="",E4="!!!"),"",IF(NOT(ISNA(VLOOKUP(E4,E$1:E3,1,FALSE()))),"OLD",IF(AND(E4&lt;&gt;"",E4&lt;&gt;"!!!"),"NEW","")))</f>
        <v/>
      </c>
      <c r="G4" s="22" t="str">
        <f>IF(OR(E4="",E4="!!!"),"",IF(OR(J4=0,AND(J4=1,K4=1),AND(J4=1,I4="SBJ"),AND(J4=1,I4=0)),"?IN_FOCUS",IF(J4&lt;=2,"?ACTIVATED",IF(J4&lt;&gt;"","?FAMILIAR",IF(F4="NEW",IF(ISNA(VLOOKUP(E4,#REF!,1,FALSE())),"?TYPE_IDENTIFIABLE","?REFERENTIAL"),"_")))))</f>
        <v/>
      </c>
      <c r="H4" s="23" t="str">
        <f t="shared" ca="1" si="1"/>
        <v/>
      </c>
      <c r="I4" s="24" t="str">
        <f>IF(OR(E4="",E4="!!!",F4="NEW"),"",INDEX(B$2:B3,-1+SUMPRODUCT(MAX(ROW(E$2:E3)*(E4=E$2:E3)))))</f>
        <v/>
      </c>
      <c r="J4" s="24" t="str">
        <f ca="1">IF(OR(E4="",E4="!!!",F4="NEW"),"",COUNTBLANK(OFFSET(A$1,,,SUMPRODUCT(MAX(ROW(E$2:E4)*(E4=E$2:E4)))))-COUNTBLANK(OFFSET(A$1,,,SUMPRODUCT(MAX(ROW(E$1:E3)*(E2=E$1:E3))))))</f>
        <v/>
      </c>
      <c r="K4" s="24" t="str">
        <f>IF(OR(E4="",E4="!!!",F4="NEW"),"",INDEX(J$1:J3,SUMPRODUCT(MAX(ROW(E$1:E3)*(E4=E$1:E3)))))</f>
        <v/>
      </c>
      <c r="L4" s="25"/>
    </row>
    <row r="5" spans="1:12" x14ac:dyDescent="0.3">
      <c r="A5" t="s">
        <v>95</v>
      </c>
      <c r="B5" s="26" t="s">
        <v>96</v>
      </c>
      <c r="C5" s="26" t="s">
        <v>97</v>
      </c>
      <c r="D5" s="26" t="s">
        <v>98</v>
      </c>
      <c r="E5" s="20" t="s">
        <v>326</v>
      </c>
      <c r="F5" s="21" t="str">
        <f>IF(OR(E5="",E5="!!!"),"",IF(NOT(ISNA(VLOOKUP(E5,E$1:E4,1,FALSE()))),"OLD",IF(AND(E5&lt;&gt;"",E5&lt;&gt;"!!!"),"NEW","")))</f>
        <v>NEW</v>
      </c>
      <c r="G5" s="22" t="str">
        <f ca="1">IF(OR(E5="",E5="!!!"),"",IF(OR(J5=0,AND(J5=1,K5=1),AND(J5=1,I5="SBJ"),AND(J5=1,I5=0)),"?IN_FOCUS",IF(J5&lt;=2,"?ACTIVATED",IF(J5&lt;&gt;"","?FAMILIAR",IF(F5="NEW",IF(ISNA(VLOOKUP(E5,#REF!,1,FALSE())),"?TYPE_IDENTIFIABLE","?REFERENTIAL"),"_")))))</f>
        <v>?REFERENTIAL</v>
      </c>
      <c r="H5" s="23" t="str">
        <f t="shared" ca="1" si="1"/>
        <v/>
      </c>
      <c r="I5" s="24" t="str">
        <f>IF(OR(E5="",E5="!!!",F5="NEW"),"",INDEX(B$2:B4,-1+SUMPRODUCT(MAX(ROW(E$2:E4)*(E5=E$2:E4)))))</f>
        <v/>
      </c>
      <c r="J5" s="24" t="str">
        <f ca="1">IF(OR(E5="",E5="!!!",F5="NEW"),"",COUNTBLANK(OFFSET(A$1,,,SUMPRODUCT(MAX(ROW(E$2:E5)*(E5=E$2:E5)))))-COUNTBLANK(OFFSET(A$1,,,SUMPRODUCT(MAX(ROW(E$1:E4)*(E2=E$1:E4))))))</f>
        <v/>
      </c>
      <c r="K5" s="24" t="str">
        <f>IF(OR(E5="",E5="!!!",F5="NEW"),"",INDEX(J$1:J4,SUMPRODUCT(MAX(ROW(E$1:E4)*(E5=E$1:E4)))))</f>
        <v/>
      </c>
      <c r="L5" s="25"/>
    </row>
    <row r="6" spans="1:12" x14ac:dyDescent="0.3">
      <c r="A6" t="s">
        <v>99</v>
      </c>
      <c r="E6" s="20" t="str">
        <f t="shared" si="0"/>
        <v/>
      </c>
      <c r="F6" s="21" t="str">
        <f>IF(OR(E6="",E6="!!!"),"",IF(NOT(ISNA(VLOOKUP(E6,E$1:E5,1,FALSE()))),"OLD",IF(AND(E6&lt;&gt;"",E6&lt;&gt;"!!!"),"NEW","")))</f>
        <v/>
      </c>
      <c r="G6" s="22" t="str">
        <f>IF(OR(E6="",E6="!!!"),"",IF(OR(J6=0,AND(J6=1,K6=1),AND(J6=1,I6="SBJ"),AND(J6=1,I6=0)),"?IN_FOCUS",IF(J6&lt;=2,"?ACTIVATED",IF(J6&lt;&gt;"","?FAMILIAR",IF(F6="NEW",IF(ISNA(VLOOKUP(E6,#REF!,1,FALSE())),"?TYPE_IDENTIFIABLE","?REFERENTIAL"),"_")))))</f>
        <v/>
      </c>
      <c r="H6" s="23" t="str">
        <f t="shared" ca="1" si="1"/>
        <v/>
      </c>
      <c r="I6" s="24" t="str">
        <f>IF(OR(E6="",E6="!!!",F6="NEW"),"",INDEX(B$2:B5,-1+SUMPRODUCT(MAX(ROW(E$2:E5)*(E6=E$2:E5)))))</f>
        <v/>
      </c>
      <c r="J6" s="24" t="str">
        <f ca="1">IF(OR(E6="",E6="!!!",F6="NEW"),"",COUNTBLANK(OFFSET(A$1,,,SUMPRODUCT(MAX(ROW(E$2:E6)*(E6=E$2:E6)))))-COUNTBLANK(OFFSET(A$1,,,SUMPRODUCT(MAX(ROW(E$1:E5)*(E2=E$1:E5))))))</f>
        <v/>
      </c>
      <c r="K6" s="24" t="str">
        <f>IF(OR(E6="",E6="!!!",F6="NEW"),"",INDEX(J$1:J5,SUMPRODUCT(MAX(ROW(E$1:E5)*(E6=E$1:E5)))))</f>
        <v/>
      </c>
      <c r="L6" s="25"/>
    </row>
    <row r="7" spans="1:12" x14ac:dyDescent="0.3">
      <c r="A7" t="s">
        <v>100</v>
      </c>
      <c r="B7" s="26" t="s">
        <v>101</v>
      </c>
      <c r="C7" s="26" t="s">
        <v>97</v>
      </c>
      <c r="D7" s="26" t="s">
        <v>98</v>
      </c>
      <c r="E7" s="20" t="s">
        <v>327</v>
      </c>
      <c r="F7" s="21" t="str">
        <f>IF(OR(E7="",E7="!!!"),"",IF(NOT(ISNA(VLOOKUP(E7,E$1:E6,1,FALSE()))),"OLD",IF(AND(E7&lt;&gt;"",E7&lt;&gt;"!!!"),"NEW","")))</f>
        <v>NEW</v>
      </c>
      <c r="G7" s="22" t="str">
        <f ca="1">IF(OR(E7="",E7="!!!"),"",IF(OR(J7=0,AND(J7=1,K7=1),AND(J7=1,I7="SBJ"),AND(J7=1,I7=0)),"?IN_FOCUS",IF(J7&lt;=2,"?ACTIVATED",IF(J7&lt;&gt;"","?FAMILIAR",IF(F7="NEW",IF(ISNA(VLOOKUP(E7,#REF!,1,FALSE())),"?TYPE_IDENTIFIABLE","?REFERENTIAL"),"_")))))</f>
        <v>?REFERENTIAL</v>
      </c>
      <c r="H7" s="23" t="str">
        <f t="shared" ca="1" si="1"/>
        <v/>
      </c>
      <c r="I7" s="24" t="str">
        <f>IF(OR(E7="",E7="!!!",F7="NEW"),"",INDEX(B$2:B6,-1+SUMPRODUCT(MAX(ROW(E$2:E6)*(E7=E$2:E6)))))</f>
        <v/>
      </c>
      <c r="J7" s="24" t="str">
        <f ca="1">IF(OR(E7="",E7="!!!",F7="NEW"),"",COUNTBLANK(OFFSET(A$1,,,SUMPRODUCT(MAX(ROW(E$2:E7)*(E7=E$2:E7)))))-COUNTBLANK(OFFSET(A$1,,,SUMPRODUCT(MAX(ROW(E$1:E6)*(E2=E$1:E6))))))</f>
        <v/>
      </c>
      <c r="K7" s="24" t="str">
        <f>IF(OR(E7="",E7="!!!",F7="NEW"),"",INDEX(J$1:J6,SUMPRODUCT(MAX(ROW(E$1:E6)*(E7=E$1:E6)))))</f>
        <v/>
      </c>
      <c r="L7" s="25" t="s">
        <v>367</v>
      </c>
    </row>
    <row r="8" spans="1:12" x14ac:dyDescent="0.3">
      <c r="A8" t="s">
        <v>102</v>
      </c>
      <c r="E8" s="20" t="str">
        <f t="shared" si="0"/>
        <v/>
      </c>
      <c r="F8" s="21" t="str">
        <f>IF(OR(E8="",E8="!!!"),"",IF(NOT(ISNA(VLOOKUP(E8,E$1:E7,1,FALSE()))),"OLD",IF(AND(E8&lt;&gt;"",E8&lt;&gt;"!!!"),"NEW","")))</f>
        <v/>
      </c>
      <c r="G8" s="22" t="str">
        <f>IF(OR(E8="",E8="!!!"),"",IF(OR(J8=0,AND(J8=1,K8=1),AND(J8=1,I8="SBJ"),AND(J8=1,I8=0)),"?IN_FOCUS",IF(J8&lt;=2,"?ACTIVATED",IF(J8&lt;&gt;"","?FAMILIAR",IF(F8="NEW",IF(ISNA(VLOOKUP(E8,#REF!,1,FALSE())),"?TYPE_IDENTIFIABLE","?REFERENTIAL"),"_")))))</f>
        <v/>
      </c>
      <c r="H8" s="23" t="str">
        <f t="shared" ca="1" si="1"/>
        <v/>
      </c>
      <c r="I8" s="24" t="str">
        <f>IF(OR(E8="",E8="!!!",F8="NEW"),"",INDEX(B$2:B7,-1+SUMPRODUCT(MAX(ROW(E$2:E7)*(E8=E$2:E7)))))</f>
        <v/>
      </c>
      <c r="J8" s="24" t="str">
        <f ca="1">IF(OR(E8="",E8="!!!",F8="NEW"),"",COUNTBLANK(OFFSET(A$1,,,SUMPRODUCT(MAX(ROW(E$2:E8)*(E8=E$2:E8)))))-COUNTBLANK(OFFSET(A$1,,,SUMPRODUCT(MAX(ROW(E$1:E7)*(E2=E$1:E7))))))</f>
        <v/>
      </c>
      <c r="K8" s="24" t="str">
        <f>IF(OR(E8="",E8="!!!",F8="NEW"),"",INDEX(J$1:J7,SUMPRODUCT(MAX(ROW(E$1:E7)*(E8=E$1:E7)))))</f>
        <v/>
      </c>
      <c r="L8" s="25"/>
    </row>
    <row r="9" spans="1:12" x14ac:dyDescent="0.3">
      <c r="A9" t="s">
        <v>103</v>
      </c>
      <c r="E9" s="20" t="s">
        <v>329</v>
      </c>
      <c r="F9" s="21" t="str">
        <f>IF(OR(E9="",E9="!!!"),"",IF(NOT(ISNA(VLOOKUP(E9,E$1:E8,1,FALSE()))),"OLD",IF(AND(E9&lt;&gt;"",E9&lt;&gt;"!!!"),"NEW","")))</f>
        <v>NEW</v>
      </c>
      <c r="G9" s="22" t="str">
        <f ca="1">IF(OR(E9="",E9="!!!"),"",IF(OR(J9=0,AND(J9=1,K9=1),AND(J9=1,I9="SBJ"),AND(J9=1,I9=0)),"?IN_FOCUS",IF(J9&lt;=2,"?ACTIVATED",IF(J9&lt;&gt;"","?FAMILIAR",IF(F9="NEW",IF(ISNA(VLOOKUP(E9,#REF!,1,FALSE())),"?TYPE_IDENTIFIABLE","?REFERENTIAL"),"_")))))</f>
        <v>?REFERENTIAL</v>
      </c>
      <c r="H9" s="23" t="str">
        <f t="shared" ca="1" si="1"/>
        <v/>
      </c>
      <c r="I9" s="24" t="str">
        <f>IF(OR(E9="",E9="!!!",F9="NEW"),"",INDEX(B$2:B8,-1+SUMPRODUCT(MAX(ROW(E$2:E8)*(E9=E$2:E8)))))</f>
        <v/>
      </c>
      <c r="J9" s="24" t="str">
        <f ca="1">IF(OR(E9="",E9="!!!",F9="NEW"),"",COUNTBLANK(OFFSET(A$1,,,SUMPRODUCT(MAX(ROW(E$2:E9)*(E9=E$2:E9)))))-COUNTBLANK(OFFSET(A$1,,,SUMPRODUCT(MAX(ROW(E$1:E8)*(E2=E$1:E8))))))</f>
        <v/>
      </c>
      <c r="K9" s="24" t="str">
        <f>IF(OR(E9="",E9="!!!",F9="NEW"),"",INDEX(J$1:J8,SUMPRODUCT(MAX(ROW(E$1:E8)*(E9=E$1:E8)))))</f>
        <v/>
      </c>
      <c r="L9" s="25" t="s">
        <v>357</v>
      </c>
    </row>
    <row r="10" spans="1:12" x14ac:dyDescent="0.3">
      <c r="A10" t="s">
        <v>104</v>
      </c>
      <c r="E10" s="20" t="str">
        <f t="shared" si="0"/>
        <v/>
      </c>
      <c r="F10" s="21" t="str">
        <f>IF(OR(E10="",E10="!!!"),"",IF(NOT(ISNA(VLOOKUP(E10,E$1:E9,1,FALSE()))),"OLD",IF(AND(E10&lt;&gt;"",E10&lt;&gt;"!!!"),"NEW","")))</f>
        <v/>
      </c>
      <c r="G10" s="22" t="str">
        <f>IF(OR(E10="",E10="!!!"),"",IF(OR(J10=0,AND(J10=1,K10=1),AND(J10=1,I10="SBJ"),AND(J10=1,I10=0)),"?IN_FOCUS",IF(J10&lt;=2,"?ACTIVATED",IF(J10&lt;&gt;"","?FAMILIAR",IF(F10="NEW",IF(ISNA(VLOOKUP(E10,#REF!,1,FALSE())),"?TYPE_IDENTIFIABLE","?REFERENTIAL"),"_")))))</f>
        <v/>
      </c>
      <c r="H10" s="23" t="str">
        <f t="shared" ca="1" si="1"/>
        <v/>
      </c>
      <c r="I10" s="24" t="str">
        <f>IF(OR(E10="",E10="!!!",F10="NEW"),"",INDEX(B$2:B9,-1+SUMPRODUCT(MAX(ROW(E$2:E9)*(E10=E$2:E9)))))</f>
        <v/>
      </c>
      <c r="J10" s="24" t="str">
        <f ca="1">IF(OR(E10="",E10="!!!",F10="NEW"),"",COUNTBLANK(OFFSET(A$1,,,SUMPRODUCT(MAX(ROW(E$2:E10)*(E10=E$2:E10)))))-COUNTBLANK(OFFSET(A$1,,,SUMPRODUCT(MAX(ROW(E$1:E9)*(E2=E$1:E9))))))</f>
        <v/>
      </c>
      <c r="K10" s="24" t="str">
        <f>IF(OR(E10="",E10="!!!",F10="NEW"),"",INDEX(J$1:J9,SUMPRODUCT(MAX(ROW(E$1:E9)*(E10=E$1:E9)))))</f>
        <v/>
      </c>
      <c r="L10" s="25"/>
    </row>
    <row r="11" spans="1:12" x14ac:dyDescent="0.3">
      <c r="A11" t="s">
        <v>105</v>
      </c>
      <c r="E11" s="20" t="str">
        <f t="shared" si="0"/>
        <v/>
      </c>
      <c r="F11" s="21" t="str">
        <f>IF(OR(E11="",E11="!!!"),"",IF(NOT(ISNA(VLOOKUP(E11,E$1:E10,1,FALSE()))),"OLD",IF(AND(E11&lt;&gt;"",E11&lt;&gt;"!!!"),"NEW","")))</f>
        <v/>
      </c>
      <c r="G11" s="22" t="str">
        <f>IF(OR(E11="",E11="!!!"),"",IF(OR(J11=0,AND(J11=1,K11=1),AND(J11=1,I11="SBJ"),AND(J11=1,I11=0)),"?IN_FOCUS",IF(J11&lt;=2,"?ACTIVATED",IF(J11&lt;&gt;"","?FAMILIAR",IF(F11="NEW",IF(ISNA(VLOOKUP(E11,#REF!,1,FALSE())),"?TYPE_IDENTIFIABLE","?REFERENTIAL"),"_")))))</f>
        <v/>
      </c>
      <c r="H11" s="23" t="str">
        <f t="shared" ca="1" si="1"/>
        <v/>
      </c>
      <c r="I11" s="24" t="str">
        <f>IF(OR(E11="",E11="!!!",F11="NEW"),"",INDEX(B$2:B10,-1+SUMPRODUCT(MAX(ROW(E$2:E10)*(E11=E$2:E10)))))</f>
        <v/>
      </c>
      <c r="J11" s="24" t="str">
        <f ca="1">IF(OR(E11="",E11="!!!",F11="NEW"),"",COUNTBLANK(OFFSET(A$1,,,SUMPRODUCT(MAX(ROW(E$2:E11)*(E11=E$2:E11)))))-COUNTBLANK(OFFSET(A$1,,,SUMPRODUCT(MAX(ROW(E$1:E10)*(E2=E$1:E10))))))</f>
        <v/>
      </c>
      <c r="K11" s="24" t="str">
        <f>IF(OR(E11="",E11="!!!",F11="NEW"),"",INDEX(J$1:J10,SUMPRODUCT(MAX(ROW(E$1:E10)*(E11=E$1:E10)))))</f>
        <v/>
      </c>
      <c r="L11" s="25"/>
    </row>
    <row r="13" spans="1:12" x14ac:dyDescent="0.3">
      <c r="A13" t="s">
        <v>106</v>
      </c>
    </row>
    <row r="14" spans="1:12" x14ac:dyDescent="0.3">
      <c r="A14" t="s">
        <v>107</v>
      </c>
      <c r="E14" s="20" t="str">
        <f t="shared" ref="E14:E37" si="2">IF(D14="?OLD","!!!","")</f>
        <v/>
      </c>
      <c r="F14" s="21" t="str">
        <f>IF(OR(E14="",E14="!!!"),"",IF(NOT(ISNA(VLOOKUP(E14,E$1:E13,1,FALSE()))),"OLD",IF(AND(E14&lt;&gt;"",E14&lt;&gt;"!!!"),"NEW","")))</f>
        <v/>
      </c>
      <c r="G14" s="22" t="str">
        <f>IF(OR(E14="",E14="!!!"),"",IF(OR(J14=0,AND(J14=1,K14=1),AND(J14=1,I14="SBJ"),AND(J14=1,I14=0)),"?IN_FOCUS",IF(J14&lt;=2,"?ACTIVATED",IF(J14&lt;&gt;"","?FAMILIAR",IF(F14="NEW",IF(ISNA(VLOOKUP(E14,#REF!,1,FALSE())),"?TYPE_IDENTIFIABLE","?REFERENTIAL"),"_")))))</f>
        <v/>
      </c>
      <c r="H14" s="23" t="str">
        <f t="shared" ref="H14:H37" ca="1" si="3">IF(J14&lt;&gt;1,"",IF(I14="SBJ","CB","?"))</f>
        <v/>
      </c>
      <c r="I14" s="24" t="str">
        <f>IF(OR(E14="",E14="!!!",F14="NEW"),"",INDEX(B$2:B13,-1+SUMPRODUCT(MAX(ROW(E$2:E13)*(E14=E$2:E13)))))</f>
        <v/>
      </c>
      <c r="J14" s="24" t="str">
        <f ca="1">IF(OR(E14="",E14="!!!",F14="NEW"),"",COUNTBLANK(OFFSET(A$1,,,SUMPRODUCT(MAX(ROW(E$2:E14)*(E14=E$2:E14)))))-COUNTBLANK(OFFSET(A$1,,,SUMPRODUCT(MAX(ROW(E$1:E13)*(E2=E$1:E13))))))</f>
        <v/>
      </c>
      <c r="K14" s="24" t="str">
        <f>IF(OR(E14="",E14="!!!",F14="NEW"),"",INDEX(J$1:J13,SUMPRODUCT(MAX(ROW(E$1:E13)*(E14=E$1:E13)))))</f>
        <v/>
      </c>
      <c r="L14" s="25"/>
    </row>
    <row r="15" spans="1:12" x14ac:dyDescent="0.3">
      <c r="A15" t="s">
        <v>93</v>
      </c>
      <c r="E15" s="20" t="str">
        <f t="shared" si="2"/>
        <v/>
      </c>
      <c r="F15" s="21" t="str">
        <f>IF(OR(E15="",E15="!!!"),"",IF(NOT(ISNA(VLOOKUP(E15,E$1:E14,1,FALSE()))),"OLD",IF(AND(E15&lt;&gt;"",E15&lt;&gt;"!!!"),"NEW","")))</f>
        <v/>
      </c>
      <c r="G15" s="22" t="str">
        <f>IF(OR(E15="",E15="!!!"),"",IF(OR(J15=0,AND(J15=1,K15=1),AND(J15=1,I15="SBJ"),AND(J15=1,I15=0)),"?IN_FOCUS",IF(J15&lt;=2,"?ACTIVATED",IF(J15&lt;&gt;"","?FAMILIAR",IF(F15="NEW",IF(ISNA(VLOOKUP(E15,#REF!,1,FALSE())),"?TYPE_IDENTIFIABLE","?REFERENTIAL"),"_")))))</f>
        <v/>
      </c>
      <c r="H15" s="23" t="str">
        <f t="shared" ca="1" si="3"/>
        <v/>
      </c>
      <c r="I15" s="24" t="str">
        <f>IF(OR(E15="",E15="!!!",F15="NEW"),"",INDEX(B$2:B14,-1+SUMPRODUCT(MAX(ROW(E$2:E14)*(E15=E$2:E14)))))</f>
        <v/>
      </c>
      <c r="J15" s="24" t="str">
        <f ca="1">IF(OR(E15="",E15="!!!",F15="NEW"),"",COUNTBLANK(OFFSET(A$1,,,SUMPRODUCT(MAX(ROW(E$2:E15)*(E15=E$2:E15)))))-COUNTBLANK(OFFSET(A$1,,,SUMPRODUCT(MAX(ROW(E$1:E14)*(E2=E$1:E14))))))</f>
        <v/>
      </c>
      <c r="K15" s="24" t="str">
        <f>IF(OR(E15="",E15="!!!",F15="NEW"),"",INDEX(J$1:J14,SUMPRODUCT(MAX(ROW(E$1:E14)*(E15=E$1:E14)))))</f>
        <v/>
      </c>
      <c r="L15" s="25"/>
    </row>
    <row r="16" spans="1:12" x14ac:dyDescent="0.3">
      <c r="A16" t="s">
        <v>94</v>
      </c>
      <c r="E16" s="20" t="str">
        <f t="shared" si="2"/>
        <v/>
      </c>
      <c r="F16" s="21" t="str">
        <f>IF(OR(E16="",E16="!!!"),"",IF(NOT(ISNA(VLOOKUP(E16,E$1:E15,1,FALSE()))),"OLD",IF(AND(E16&lt;&gt;"",E16&lt;&gt;"!!!"),"NEW","")))</f>
        <v/>
      </c>
      <c r="G16" s="22" t="str">
        <f>IF(OR(E16="",E16="!!!"),"",IF(OR(J16=0,AND(J16=1,K16=1),AND(J16=1,I16="SBJ"),AND(J16=1,I16=0)),"?IN_FOCUS",IF(J16&lt;=2,"?ACTIVATED",IF(J16&lt;&gt;"","?FAMILIAR",IF(F16="NEW",IF(ISNA(VLOOKUP(E16,#REF!,1,FALSE())),"?TYPE_IDENTIFIABLE","?REFERENTIAL"),"_")))))</f>
        <v/>
      </c>
      <c r="H16" s="23" t="str">
        <f t="shared" ca="1" si="3"/>
        <v/>
      </c>
      <c r="I16" s="24" t="str">
        <f>IF(OR(E16="",E16="!!!",F16="NEW"),"",INDEX(B$2:B15,-1+SUMPRODUCT(MAX(ROW(E$2:E15)*(E16=E$2:E15)))))</f>
        <v/>
      </c>
      <c r="J16" s="24" t="str">
        <f ca="1">IF(OR(E16="",E16="!!!",F16="NEW"),"",COUNTBLANK(OFFSET(A$1,,,SUMPRODUCT(MAX(ROW(E$2:E16)*(E16=E$2:E16)))))-COUNTBLANK(OFFSET(A$1,,,SUMPRODUCT(MAX(ROW(E$1:E15)*(E2=E$1:E15))))))</f>
        <v/>
      </c>
      <c r="K16" s="24" t="str">
        <f>IF(OR(E16="",E16="!!!",F16="NEW"),"",INDEX(J$1:J15,SUMPRODUCT(MAX(ROW(E$1:E15)*(E16=E$1:E15)))))</f>
        <v/>
      </c>
      <c r="L16" s="25"/>
    </row>
    <row r="17" spans="1:12" x14ac:dyDescent="0.3">
      <c r="A17" t="s">
        <v>95</v>
      </c>
      <c r="B17" s="26" t="s">
        <v>96</v>
      </c>
      <c r="C17" s="26" t="s">
        <v>97</v>
      </c>
      <c r="D17" s="26" t="s">
        <v>98</v>
      </c>
      <c r="E17" s="27" t="s">
        <v>326</v>
      </c>
      <c r="F17" s="28" t="str">
        <f>IF(OR(E17="",E17="!!!"),"",IF(NOT(ISNA(VLOOKUP(E17,E$1:E16,1,FALSE()))),"OLD",IF(AND(E17&lt;&gt;"",E17&lt;&gt;"!!!"),"NEW","")))</f>
        <v>OLD</v>
      </c>
      <c r="G17" s="22" t="str">
        <f ca="1">IF(OR(E17="",E17="!!!"),"",IF(OR(J17=0,AND(J17=1,K17=1),AND(J17=1,I17="SBJ"),AND(J17=1,I17=0)),"?IN_FOCUS",IF(J17&lt;=2,"?ACTIVATED",IF(J17&lt;&gt;"","?FAMILIAR",IF(F17="NEW",IF(ISNA(VLOOKUP(E17,#REF!,1,FALSE())),"?TYPE_IDENTIFIABLE","?REFERENTIAL"),"_")))))</f>
        <v>?IN_FOCUS</v>
      </c>
      <c r="H17" s="23" t="str">
        <f t="shared" ca="1" si="3"/>
        <v/>
      </c>
      <c r="I17" s="24" t="str">
        <f>IF(OR(E17="",E17="!!!",F17="NEW"),"",INDEX(B$2:B16,-1+SUMPRODUCT(MAX(ROW(E$2:E16)*(E17=E$2:E16)))))</f>
        <v>SBJ</v>
      </c>
      <c r="J17" s="24">
        <f ca="1">IF(OR(E17="",E17="!!!",F17="NEW"),"",COUNTBLANK(OFFSET(A$1,,,SUMPRODUCT(MAX(ROW(E$2:E17)*(E17=E$2:E17)))))-COUNTBLANK(OFFSET(A$1,,,SUMPRODUCT(MAX(ROW(E$1:E16)*(E2=E$1:E16))))))</f>
        <v>0</v>
      </c>
      <c r="K17" s="24" t="str">
        <f ca="1">IF(OR(E17="",E17="!!!",F17="NEW"),"",INDEX(J$1:J16,SUMPRODUCT(MAX(ROW(E$1:E16)*(E17=E$1:E16)))))</f>
        <v/>
      </c>
      <c r="L17" s="25"/>
    </row>
    <row r="18" spans="1:12" x14ac:dyDescent="0.3">
      <c r="A18" t="s">
        <v>108</v>
      </c>
      <c r="E18" s="27" t="str">
        <f t="shared" ref="E18:E37" si="4">IF(D18="?OLD","!!!","")</f>
        <v/>
      </c>
      <c r="F18" s="28" t="str">
        <f>IF(OR(E18="",E18="!!!"),"",IF(NOT(ISNA(VLOOKUP(E18,E$1:E17,1,FALSE()))),"OLD",IF(AND(E18&lt;&gt;"",E18&lt;&gt;"!!!"),"NEW","")))</f>
        <v/>
      </c>
      <c r="G18" s="22" t="str">
        <f>IF(OR(E18="",E18="!!!"),"",IF(OR(J18=0,AND(J18=1,K18=1),AND(J18=1,I18="SBJ"),AND(J18=1,I18=0)),"?IN_FOCUS",IF(J18&lt;=2,"?ACTIVATED",IF(J18&lt;&gt;"","?FAMILIAR",IF(F18="NEW",IF(ISNA(VLOOKUP(E18,#REF!,1,FALSE())),"?TYPE_IDENTIFIABLE","?REFERENTIAL"),"_")))))</f>
        <v/>
      </c>
      <c r="H18" s="23" t="str">
        <f t="shared" ca="1" si="3"/>
        <v/>
      </c>
      <c r="I18" s="24" t="str">
        <f>IF(OR(E18="",E18="!!!",F18="NEW"),"",INDEX(B$2:B17,-1+SUMPRODUCT(MAX(ROW(E$2:E17)*(E18=E$2:E17)))))</f>
        <v/>
      </c>
      <c r="J18" s="24" t="str">
        <f ca="1">IF(OR(E18="",E18="!!!",F18="NEW"),"",COUNTBLANK(OFFSET(A$1,,,SUMPRODUCT(MAX(ROW(E$2:E18)*(E18=E$2:E18)))))-COUNTBLANK(OFFSET(A$1,,,SUMPRODUCT(MAX(ROW(E$1:E17)*(E2=E$1:E17))))))</f>
        <v/>
      </c>
      <c r="K18" s="24" t="str">
        <f>IF(OR(E18="",E18="!!!",F18="NEW"),"",INDEX(J$1:J17,SUMPRODUCT(MAX(ROW(E$1:E17)*(E18=E$1:E17)))))</f>
        <v/>
      </c>
      <c r="L18" s="25"/>
    </row>
    <row r="19" spans="1:12" x14ac:dyDescent="0.3">
      <c r="A19" t="s">
        <v>109</v>
      </c>
      <c r="B19" s="26" t="s">
        <v>110</v>
      </c>
      <c r="C19" s="26" t="s">
        <v>111</v>
      </c>
      <c r="D19" s="26" t="s">
        <v>98</v>
      </c>
      <c r="E19" s="27"/>
      <c r="F19" s="28" t="str">
        <f>IF(OR(E19="",E19="!!!"),"",IF(NOT(ISNA(VLOOKUP(E19,E$1:E18,1,FALSE()))),"OLD",IF(AND(E19&lt;&gt;"",E19&lt;&gt;"!!!"),"NEW","")))</f>
        <v/>
      </c>
      <c r="G19" s="22" t="str">
        <f>IF(OR(E19="",E19="!!!"),"",IF(OR(J19=0,AND(J19=1,K19=1),AND(J19=1,I19="SBJ"),AND(J19=1,I19=0)),"?IN_FOCUS",IF(J19&lt;=2,"?ACTIVATED",IF(J19&lt;&gt;"","?FAMILIAR",IF(F19="NEW",IF(ISNA(VLOOKUP(E19,#REF!,1,FALSE())),"?TYPE_IDENTIFIABLE","?REFERENTIAL"),"_")))))</f>
        <v/>
      </c>
      <c r="H19" s="23" t="str">
        <f t="shared" ca="1" si="3"/>
        <v/>
      </c>
      <c r="I19" s="24" t="str">
        <f>IF(OR(E19="",E19="!!!",F19="NEW"),"",INDEX(B$2:B18,-1+SUMPRODUCT(MAX(ROW(E$2:E18)*(E19=E$2:E18)))))</f>
        <v/>
      </c>
      <c r="J19" s="24" t="str">
        <f ca="1">IF(OR(E19="",E19="!!!",F19="NEW"),"",COUNTBLANK(OFFSET(A$1,,,SUMPRODUCT(MAX(ROW(E$2:E19)*(E19=E$2:E19)))))-COUNTBLANK(OFFSET(A$1,,,SUMPRODUCT(MAX(ROW(E$1:E18)*(E2=E$1:E18))))))</f>
        <v/>
      </c>
      <c r="K19" s="24" t="str">
        <f>IF(OR(E19="",E19="!!!",F19="NEW"),"",INDEX(J$1:J18,SUMPRODUCT(MAX(ROW(E$1:E18)*(E19=E$1:E18)))))</f>
        <v/>
      </c>
      <c r="L19" s="29" t="s">
        <v>356</v>
      </c>
    </row>
    <row r="20" spans="1:12" x14ac:dyDescent="0.3">
      <c r="A20" t="s">
        <v>112</v>
      </c>
      <c r="E20" s="27" t="str">
        <f t="shared" si="4"/>
        <v/>
      </c>
      <c r="F20" s="28" t="str">
        <f>IF(OR(E20="",E20="!!!"),"",IF(NOT(ISNA(VLOOKUP(E20,E$1:E19,1,FALSE()))),"OLD",IF(AND(E20&lt;&gt;"",E20&lt;&gt;"!!!"),"NEW","")))</f>
        <v/>
      </c>
      <c r="G20" s="22" t="str">
        <f>IF(OR(E20="",E20="!!!"),"",IF(OR(J20=0,AND(J20=1,K20=1),AND(J20=1,I20="SBJ"),AND(J20=1,I20=0)),"?IN_FOCUS",IF(J20&lt;=2,"?ACTIVATED",IF(J20&lt;&gt;"","?FAMILIAR",IF(F20="NEW",IF(ISNA(VLOOKUP(E20,#REF!,1,FALSE())),"?TYPE_IDENTIFIABLE","?REFERENTIAL"),"_")))))</f>
        <v/>
      </c>
      <c r="H20" s="23" t="str">
        <f t="shared" ca="1" si="3"/>
        <v/>
      </c>
      <c r="I20" s="24" t="str">
        <f>IF(OR(E20="",E20="!!!",F20="NEW"),"",INDEX(B$2:B19,-1+SUMPRODUCT(MAX(ROW(E$2:E19)*(E20=E$2:E19)))))</f>
        <v/>
      </c>
      <c r="J20" s="24" t="str">
        <f ca="1">IF(OR(E20="",E20="!!!",F20="NEW"),"",COUNTBLANK(OFFSET(A$1,,,SUMPRODUCT(MAX(ROW(E$2:E20)*(E20=E$2:E20)))))-COUNTBLANK(OFFSET(A$1,,,SUMPRODUCT(MAX(ROW(E$1:E19)*(E2=E$1:E19))))))</f>
        <v/>
      </c>
      <c r="K20" s="24" t="str">
        <f>IF(OR(E20="",E20="!!!",F20="NEW"),"",INDEX(J$1:J19,SUMPRODUCT(MAX(ROW(E$1:E19)*(E20=E$1:E19)))))</f>
        <v/>
      </c>
      <c r="L20" s="29"/>
    </row>
    <row r="21" spans="1:12" x14ac:dyDescent="0.3">
      <c r="A21" t="s">
        <v>113</v>
      </c>
      <c r="B21" s="26" t="s">
        <v>114</v>
      </c>
      <c r="C21" s="26" t="s">
        <v>115</v>
      </c>
      <c r="E21" s="27" t="str">
        <f t="shared" si="4"/>
        <v/>
      </c>
      <c r="F21" s="28" t="str">
        <f>IF(OR(E21="",E21="!!!"),"",IF(NOT(ISNA(VLOOKUP(E21,E$1:E20,1,FALSE()))),"OLD",IF(AND(E21&lt;&gt;"",E21&lt;&gt;"!!!"),"NEW","")))</f>
        <v/>
      </c>
      <c r="G21" s="22" t="str">
        <f>IF(OR(E21="",E21="!!!"),"",IF(OR(J21=0,AND(J21=1,K21=1),AND(J21=1,I21="SBJ"),AND(J21=1,I21=0)),"?IN_FOCUS",IF(J21&lt;=2,"?ACTIVATED",IF(J21&lt;&gt;"","?FAMILIAR",IF(F21="NEW",IF(ISNA(VLOOKUP(E21,#REF!,1,FALSE())),"?TYPE_IDENTIFIABLE","?REFERENTIAL"),"_")))))</f>
        <v/>
      </c>
      <c r="H21" s="23" t="str">
        <f t="shared" ca="1" si="3"/>
        <v/>
      </c>
      <c r="I21" s="24" t="str">
        <f>IF(OR(E21="",E21="!!!",F21="NEW"),"",INDEX(B$2:B20,-1+SUMPRODUCT(MAX(ROW(E$2:E20)*(E21=E$2:E20)))))</f>
        <v/>
      </c>
      <c r="J21" s="24" t="str">
        <f ca="1">IF(OR(E21="",E21="!!!",F21="NEW"),"",COUNTBLANK(OFFSET(A$1,,,SUMPRODUCT(MAX(ROW(E$2:E21)*(E21=E$2:E21)))))-COUNTBLANK(OFFSET(A$1,,,SUMPRODUCT(MAX(ROW(E$1:E20)*(E2=E$1:E20))))))</f>
        <v/>
      </c>
      <c r="K21" s="24" t="str">
        <f>IF(OR(E21="",E21="!!!",F21="NEW"),"",INDEX(J$1:J20,SUMPRODUCT(MAX(ROW(E$1:E20)*(E21=E$1:E20)))))</f>
        <v/>
      </c>
      <c r="L21" s="29"/>
    </row>
    <row r="22" spans="1:12" x14ac:dyDescent="0.3">
      <c r="A22" t="s">
        <v>116</v>
      </c>
      <c r="E22" s="27" t="str">
        <f t="shared" si="4"/>
        <v/>
      </c>
      <c r="F22" s="28" t="str">
        <f>IF(OR(E22="",E22="!!!"),"",IF(NOT(ISNA(VLOOKUP(E22,E$1:E21,1,FALSE()))),"OLD",IF(AND(E22&lt;&gt;"",E22&lt;&gt;"!!!"),"NEW","")))</f>
        <v/>
      </c>
      <c r="G22" s="22" t="str">
        <f>IF(OR(E22="",E22="!!!"),"",IF(OR(J22=0,AND(J22=1,K22=1),AND(J22=1,I22="SBJ"),AND(J22=1,I22=0)),"?IN_FOCUS",IF(J22&lt;=2,"?ACTIVATED",IF(J22&lt;&gt;"","?FAMILIAR",IF(F22="NEW",IF(ISNA(VLOOKUP(E22,#REF!,1,FALSE())),"?TYPE_IDENTIFIABLE","?REFERENTIAL"),"_")))))</f>
        <v/>
      </c>
      <c r="H22" s="23" t="str">
        <f t="shared" ca="1" si="3"/>
        <v/>
      </c>
      <c r="I22" s="24" t="str">
        <f>IF(OR(E22="",E22="!!!",F22="NEW"),"",INDEX(B$2:B21,-1+SUMPRODUCT(MAX(ROW(E$2:E21)*(E22=E$2:E21)))))</f>
        <v/>
      </c>
      <c r="J22" s="24" t="str">
        <f ca="1">IF(OR(E22="",E22="!!!",F22="NEW"),"",COUNTBLANK(OFFSET(A$1,,,SUMPRODUCT(MAX(ROW(E$2:E22)*(E22=E$2:E22)))))-COUNTBLANK(OFFSET(A$1,,,SUMPRODUCT(MAX(ROW(E$1:E21)*(E2=E$1:E21))))))</f>
        <v/>
      </c>
      <c r="K22" s="24" t="str">
        <f>IF(OR(E22="",E22="!!!",F22="NEW"),"",INDEX(J$1:J21,SUMPRODUCT(MAX(ROW(E$1:E21)*(E22=E$1:E21)))))</f>
        <v/>
      </c>
      <c r="L22" s="29"/>
    </row>
    <row r="23" spans="1:12" x14ac:dyDescent="0.3">
      <c r="A23" t="s">
        <v>100</v>
      </c>
      <c r="B23" s="26" t="s">
        <v>117</v>
      </c>
      <c r="C23" s="26" t="s">
        <v>97</v>
      </c>
      <c r="D23" s="26" t="s">
        <v>98</v>
      </c>
      <c r="E23" s="27" t="s">
        <v>327</v>
      </c>
      <c r="F23" s="28" t="str">
        <f>IF(OR(E23="",E23="!!!"),"",IF(NOT(ISNA(VLOOKUP(E23,E$1:E22,1,FALSE()))),"OLD",IF(AND(E23&lt;&gt;"",E23&lt;&gt;"!!!"),"NEW","")))</f>
        <v>OLD</v>
      </c>
      <c r="G23" s="22" t="str">
        <f ca="1">IF(OR(E23="",E23="!!!"),"",IF(OR(J23=0,AND(J23=1,K23=1),AND(J23=1,I23="SBJ"),AND(J23=1,I23=0)),"?IN_FOCUS",IF(J23&lt;=2,"?ACTIVATED",IF(J23&lt;&gt;"","?FAMILIAR",IF(F23="NEW",IF(ISNA(VLOOKUP(E23,#REF!,1,FALSE())),"?TYPE_IDENTIFIABLE","?REFERENTIAL"),"_")))))</f>
        <v>?IN_FOCUS</v>
      </c>
      <c r="H23" s="23" t="str">
        <f t="shared" ca="1" si="3"/>
        <v/>
      </c>
      <c r="I23" s="24" t="str">
        <f>IF(OR(E23="",E23="!!!",F23="NEW"),"",INDEX(B$2:B22,-1+SUMPRODUCT(MAX(ROW(E$2:E22)*(E23=E$2:E22)))))</f>
        <v>other_2</v>
      </c>
      <c r="J23" s="24">
        <f ca="1">IF(OR(E23="",E23="!!!",F23="NEW"),"",COUNTBLANK(OFFSET(A$1,,,SUMPRODUCT(MAX(ROW(E$2:E23)*(E23=E$2:E23)))))-COUNTBLANK(OFFSET(A$1,,,SUMPRODUCT(MAX(ROW(E$1:E22)*(E2=E$1:E22))))))</f>
        <v>0</v>
      </c>
      <c r="K23" s="24" t="str">
        <f ca="1">IF(OR(E23="",E23="!!!",F23="NEW"),"",INDEX(J$1:J22,SUMPRODUCT(MAX(ROW(E$1:E22)*(E23=E$1:E22)))))</f>
        <v/>
      </c>
      <c r="L23" s="29"/>
    </row>
    <row r="24" spans="1:12" x14ac:dyDescent="0.3">
      <c r="A24" t="s">
        <v>102</v>
      </c>
      <c r="E24" s="27" t="str">
        <f t="shared" si="4"/>
        <v/>
      </c>
      <c r="F24" s="28" t="str">
        <f>IF(OR(E24="",E24="!!!"),"",IF(NOT(ISNA(VLOOKUP(E24,E$1:E23,1,FALSE()))),"OLD",IF(AND(E24&lt;&gt;"",E24&lt;&gt;"!!!"),"NEW","")))</f>
        <v/>
      </c>
      <c r="G24" s="22" t="str">
        <f>IF(OR(E24="",E24="!!!"),"",IF(OR(J24=0,AND(J24=1,K24=1),AND(J24=1,I24="SBJ"),AND(J24=1,I24=0)),"?IN_FOCUS",IF(J24&lt;=2,"?ACTIVATED",IF(J24&lt;&gt;"","?FAMILIAR",IF(F24="NEW",IF(ISNA(VLOOKUP(E24,#REF!,1,FALSE())),"?TYPE_IDENTIFIABLE","?REFERENTIAL"),"_")))))</f>
        <v/>
      </c>
      <c r="H24" s="23" t="str">
        <f t="shared" ca="1" si="3"/>
        <v/>
      </c>
      <c r="I24" s="24" t="str">
        <f>IF(OR(E24="",E24="!!!",F24="NEW"),"",INDEX(B$2:B23,-1+SUMPRODUCT(MAX(ROW(E$2:E23)*(E24=E$2:E23)))))</f>
        <v/>
      </c>
      <c r="J24" s="24" t="str">
        <f ca="1">IF(OR(E24="",E24="!!!",F24="NEW"),"",COUNTBLANK(OFFSET(A$1,,,SUMPRODUCT(MAX(ROW(E$2:E24)*(E24=E$2:E24)))))-COUNTBLANK(OFFSET(A$1,,,SUMPRODUCT(MAX(ROW(E$1:E23)*(E2=E$1:E23))))))</f>
        <v/>
      </c>
      <c r="K24" s="24" t="str">
        <f>IF(OR(E24="",E24="!!!",F24="NEW"),"",INDEX(J$1:J23,SUMPRODUCT(MAX(ROW(E$1:E23)*(E24=E$1:E23)))))</f>
        <v/>
      </c>
      <c r="L24" s="29"/>
    </row>
    <row r="25" spans="1:12" x14ac:dyDescent="0.3">
      <c r="A25" t="s">
        <v>118</v>
      </c>
      <c r="E25" s="27" t="str">
        <f t="shared" si="4"/>
        <v/>
      </c>
      <c r="F25" s="28" t="str">
        <f>IF(OR(E25="",E25="!!!"),"",IF(NOT(ISNA(VLOOKUP(E25,E$1:E24,1,FALSE()))),"OLD",IF(AND(E25&lt;&gt;"",E25&lt;&gt;"!!!"),"NEW","")))</f>
        <v/>
      </c>
      <c r="G25" s="22" t="str">
        <f>IF(OR(E25="",E25="!!!"),"",IF(OR(J25=0,AND(J25=1,K25=1),AND(J25=1,I25="SBJ"),AND(J25=1,I25=0)),"?IN_FOCUS",IF(J25&lt;=2,"?ACTIVATED",IF(J25&lt;&gt;"","?FAMILIAR",IF(F25="NEW",IF(ISNA(VLOOKUP(E25,#REF!,1,FALSE())),"?TYPE_IDENTIFIABLE","?REFERENTIAL"),"_")))))</f>
        <v/>
      </c>
      <c r="H25" s="23" t="str">
        <f t="shared" ca="1" si="3"/>
        <v/>
      </c>
      <c r="I25" s="24" t="str">
        <f>IF(OR(E25="",E25="!!!",F25="NEW"),"",INDEX(B$2:B24,-1+SUMPRODUCT(MAX(ROW(E$2:E24)*(E25=E$2:E24)))))</f>
        <v/>
      </c>
      <c r="J25" s="24" t="str">
        <f ca="1">IF(OR(E25="",E25="!!!",F25="NEW"),"",COUNTBLANK(OFFSET(A$1,,,SUMPRODUCT(MAX(ROW(E$2:E25)*(E25=E$2:E25)))))-COUNTBLANK(OFFSET(A$1,,,SUMPRODUCT(MAX(ROW(E$1:E24)*(E2=E$1:E24))))))</f>
        <v/>
      </c>
      <c r="K25" s="24" t="str">
        <f>IF(OR(E25="",E25="!!!",F25="NEW"),"",INDEX(J$1:J24,SUMPRODUCT(MAX(ROW(E$1:E24)*(E25=E$1:E24)))))</f>
        <v/>
      </c>
      <c r="L25" s="29"/>
    </row>
    <row r="26" spans="1:12" x14ac:dyDescent="0.3">
      <c r="A26" t="s">
        <v>119</v>
      </c>
      <c r="E26" s="27" t="str">
        <f t="shared" si="4"/>
        <v/>
      </c>
      <c r="F26" s="28" t="str">
        <f>IF(OR(E26="",E26="!!!"),"",IF(NOT(ISNA(VLOOKUP(E26,E$1:E25,1,FALSE()))),"OLD",IF(AND(E26&lt;&gt;"",E26&lt;&gt;"!!!"),"NEW","")))</f>
        <v/>
      </c>
      <c r="G26" s="22" t="str">
        <f>IF(OR(E26="",E26="!!!"),"",IF(OR(J26=0,AND(J26=1,K26=1),AND(J26=1,I26="SBJ"),AND(J26=1,I26=0)),"?IN_FOCUS",IF(J26&lt;=2,"?ACTIVATED",IF(J26&lt;&gt;"","?FAMILIAR",IF(F26="NEW",IF(ISNA(VLOOKUP(E26,#REF!,1,FALSE())),"?TYPE_IDENTIFIABLE","?REFERENTIAL"),"_")))))</f>
        <v/>
      </c>
      <c r="H26" s="23" t="str">
        <f t="shared" ca="1" si="3"/>
        <v/>
      </c>
      <c r="I26" s="24" t="str">
        <f>IF(OR(E26="",E26="!!!",F26="NEW"),"",INDEX(B$2:B25,-1+SUMPRODUCT(MAX(ROW(E$2:E25)*(E26=E$2:E25)))))</f>
        <v/>
      </c>
      <c r="J26" s="24" t="str">
        <f ca="1">IF(OR(E26="",E26="!!!",F26="NEW"),"",COUNTBLANK(OFFSET(A$1,,,SUMPRODUCT(MAX(ROW(E$2:E26)*(E26=E$2:E26)))))-COUNTBLANK(OFFSET(A$1,,,SUMPRODUCT(MAX(ROW(E$1:E25)*(E2=E$1:E25))))))</f>
        <v/>
      </c>
      <c r="K26" s="24" t="str">
        <f>IF(OR(E26="",E26="!!!",F26="NEW"),"",INDEX(J$1:J25,SUMPRODUCT(MAX(ROW(E$1:E25)*(E26=E$1:E25)))))</f>
        <v/>
      </c>
      <c r="L26" s="29"/>
    </row>
    <row r="27" spans="1:12" x14ac:dyDescent="0.3">
      <c r="A27" t="s">
        <v>108</v>
      </c>
      <c r="E27" s="27" t="str">
        <f t="shared" si="4"/>
        <v/>
      </c>
      <c r="F27" s="28" t="str">
        <f>IF(OR(E27="",E27="!!!"),"",IF(NOT(ISNA(VLOOKUP(E27,E$1:E26,1,FALSE()))),"OLD",IF(AND(E27&lt;&gt;"",E27&lt;&gt;"!!!"),"NEW","")))</f>
        <v/>
      </c>
      <c r="G27" s="22" t="str">
        <f>IF(OR(E27="",E27="!!!"),"",IF(OR(J27=0,AND(J27=1,K27=1),AND(J27=1,I27="SBJ"),AND(J27=1,I27=0)),"?IN_FOCUS",IF(J27&lt;=2,"?ACTIVATED",IF(J27&lt;&gt;"","?FAMILIAR",IF(F27="NEW",IF(ISNA(VLOOKUP(E27,#REF!,1,FALSE())),"?TYPE_IDENTIFIABLE","?REFERENTIAL"),"_")))))</f>
        <v/>
      </c>
      <c r="H27" s="23" t="str">
        <f t="shared" ca="1" si="3"/>
        <v/>
      </c>
      <c r="I27" s="24" t="str">
        <f>IF(OR(E27="",E27="!!!",F27="NEW"),"",INDEX(B$2:B26,-1+SUMPRODUCT(MAX(ROW(E$2:E26)*(E27=E$2:E26)))))</f>
        <v/>
      </c>
      <c r="J27" s="24" t="str">
        <f ca="1">IF(OR(E27="",E27="!!!",F27="NEW"),"",COUNTBLANK(OFFSET(A$1,,,SUMPRODUCT(MAX(ROW(E$2:E27)*(E27=E$2:E27)))))-COUNTBLANK(OFFSET(A$1,,,SUMPRODUCT(MAX(ROW(E$1:E26)*(E2=E$1:E26))))))</f>
        <v/>
      </c>
      <c r="K27" s="24" t="str">
        <f>IF(OR(E27="",E27="!!!",F27="NEW"),"",INDEX(J$1:J26,SUMPRODUCT(MAX(ROW(E$1:E26)*(E27=E$1:E26)))))</f>
        <v/>
      </c>
      <c r="L27" s="29"/>
    </row>
    <row r="28" spans="1:12" x14ac:dyDescent="0.3">
      <c r="A28" t="s">
        <v>120</v>
      </c>
      <c r="E28" s="27" t="str">
        <f t="shared" si="4"/>
        <v/>
      </c>
      <c r="F28" s="28" t="str">
        <f>IF(OR(E28="",E28="!!!"),"",IF(NOT(ISNA(VLOOKUP(E28,E$1:E27,1,FALSE()))),"OLD",IF(AND(E28&lt;&gt;"",E28&lt;&gt;"!!!"),"NEW","")))</f>
        <v/>
      </c>
      <c r="G28" s="22" t="str">
        <f>IF(OR(E28="",E28="!!!"),"",IF(OR(J28=0,AND(J28=1,K28=1),AND(J28=1,I28="SBJ"),AND(J28=1,I28=0)),"?IN_FOCUS",IF(J28&lt;=2,"?ACTIVATED",IF(J28&lt;&gt;"","?FAMILIAR",IF(F28="NEW",IF(ISNA(VLOOKUP(E28,#REF!,1,FALSE())),"?TYPE_IDENTIFIABLE","?REFERENTIAL"),"_")))))</f>
        <v/>
      </c>
      <c r="H28" s="23" t="str">
        <f t="shared" ca="1" si="3"/>
        <v/>
      </c>
      <c r="I28" s="24" t="str">
        <f>IF(OR(E28="",E28="!!!",F28="NEW"),"",INDEX(B$2:B27,-1+SUMPRODUCT(MAX(ROW(E$2:E27)*(E28=E$2:E27)))))</f>
        <v/>
      </c>
      <c r="J28" s="24" t="str">
        <f ca="1">IF(OR(E28="",E28="!!!",F28="NEW"),"",COUNTBLANK(OFFSET(A$1,,,SUMPRODUCT(MAX(ROW(E$2:E28)*(E28=E$2:E28)))))-COUNTBLANK(OFFSET(A$1,,,SUMPRODUCT(MAX(ROW(E$1:E27)*(E2=E$1:E27))))))</f>
        <v/>
      </c>
      <c r="K28" s="24" t="str">
        <f>IF(OR(E28="",E28="!!!",F28="NEW"),"",INDEX(J$1:J27,SUMPRODUCT(MAX(ROW(E$1:E27)*(E28=E$1:E27)))))</f>
        <v/>
      </c>
      <c r="L28" s="29"/>
    </row>
    <row r="29" spans="1:12" x14ac:dyDescent="0.3">
      <c r="A29" t="s">
        <v>99</v>
      </c>
      <c r="E29" s="27" t="str">
        <f t="shared" si="4"/>
        <v/>
      </c>
      <c r="F29" s="28" t="str">
        <f>IF(OR(E29="",E29="!!!"),"",IF(NOT(ISNA(VLOOKUP(E29,E$1:E28,1,FALSE()))),"OLD",IF(AND(E29&lt;&gt;"",E29&lt;&gt;"!!!"),"NEW","")))</f>
        <v/>
      </c>
      <c r="G29" s="22" t="str">
        <f>IF(OR(E29="",E29="!!!"),"",IF(OR(J29=0,AND(J29=1,K29=1),AND(J29=1,I29="SBJ"),AND(J29=1,I29=0)),"?IN_FOCUS",IF(J29&lt;=2,"?ACTIVATED",IF(J29&lt;&gt;"","?FAMILIAR",IF(F29="NEW",IF(ISNA(VLOOKUP(E29,#REF!,1,FALSE())),"?TYPE_IDENTIFIABLE","?REFERENTIAL"),"_")))))</f>
        <v/>
      </c>
      <c r="H29" s="23" t="str">
        <f t="shared" ca="1" si="3"/>
        <v/>
      </c>
      <c r="I29" s="24" t="str">
        <f>IF(OR(E29="",E29="!!!",F29="NEW"),"",INDEX(B$2:B28,-1+SUMPRODUCT(MAX(ROW(E$2:E28)*(E29=E$2:E28)))))</f>
        <v/>
      </c>
      <c r="J29" s="24" t="str">
        <f ca="1">IF(OR(E29="",E29="!!!",F29="NEW"),"",COUNTBLANK(OFFSET(A$1,,,SUMPRODUCT(MAX(ROW(E$2:E29)*(E29=E$2:E29)))))-COUNTBLANK(OFFSET(A$1,,,SUMPRODUCT(MAX(ROW(E$1:E28)*(E2=E$1:E28))))))</f>
        <v/>
      </c>
      <c r="K29" s="24" t="str">
        <f>IF(OR(E29="",E29="!!!",F29="NEW"),"",INDEX(J$1:J28,SUMPRODUCT(MAX(ROW(E$1:E28)*(E29=E$1:E28)))))</f>
        <v/>
      </c>
      <c r="L29" s="29"/>
    </row>
    <row r="30" spans="1:12" x14ac:dyDescent="0.3">
      <c r="A30" t="s">
        <v>121</v>
      </c>
      <c r="E30" s="27" t="str">
        <f t="shared" si="4"/>
        <v/>
      </c>
      <c r="F30" s="28" t="str">
        <f>IF(OR(E30="",E30="!!!"),"",IF(NOT(ISNA(VLOOKUP(E30,E$1:E29,1,FALSE()))),"OLD",IF(AND(E30&lt;&gt;"",E30&lt;&gt;"!!!"),"NEW","")))</f>
        <v/>
      </c>
      <c r="G30" s="22" t="str">
        <f>IF(OR(E30="",E30="!!!"),"",IF(OR(J30=0,AND(J30=1,K30=1),AND(J30=1,I30="SBJ"),AND(J30=1,I30=0)),"?IN_FOCUS",IF(J30&lt;=2,"?ACTIVATED",IF(J30&lt;&gt;"","?FAMILIAR",IF(F30="NEW",IF(ISNA(VLOOKUP(E30,#REF!,1,FALSE())),"?TYPE_IDENTIFIABLE","?REFERENTIAL"),"_")))))</f>
        <v/>
      </c>
      <c r="H30" s="23" t="str">
        <f t="shared" ca="1" si="3"/>
        <v/>
      </c>
      <c r="I30" s="24" t="str">
        <f>IF(OR(E30="",E30="!!!",F30="NEW"),"",INDEX(B$2:B29,-1+SUMPRODUCT(MAX(ROW(E$2:E29)*(E30=E$2:E29)))))</f>
        <v/>
      </c>
      <c r="J30" s="24" t="str">
        <f ca="1">IF(OR(E30="",E30="!!!",F30="NEW"),"",COUNTBLANK(OFFSET(A$1,,,SUMPRODUCT(MAX(ROW(E$2:E30)*(E30=E$2:E30)))))-COUNTBLANK(OFFSET(A$1,,,SUMPRODUCT(MAX(ROW(E$1:E29)*(E2=E$1:E29))))))</f>
        <v/>
      </c>
      <c r="K30" s="24" t="str">
        <f>IF(OR(E30="",E30="!!!",F30="NEW"),"",INDEX(J$1:J29,SUMPRODUCT(MAX(ROW(E$1:E29)*(E30=E$1:E29)))))</f>
        <v/>
      </c>
      <c r="L30" s="29"/>
    </row>
    <row r="31" spans="1:12" x14ac:dyDescent="0.3">
      <c r="A31" t="s">
        <v>122</v>
      </c>
      <c r="B31" s="26" t="s">
        <v>123</v>
      </c>
      <c r="C31" s="26" t="s">
        <v>124</v>
      </c>
      <c r="D31" s="26" t="s">
        <v>98</v>
      </c>
      <c r="E31" s="27" t="s">
        <v>328</v>
      </c>
      <c r="F31" s="28" t="str">
        <f>IF(OR(E31="",E31="!!!"),"",IF(NOT(ISNA(VLOOKUP(E31,E$1:E30,1,FALSE()))),"OLD",IF(AND(E31&lt;&gt;"",E31&lt;&gt;"!!!"),"NEW","")))</f>
        <v>NEW</v>
      </c>
      <c r="G31" s="22" t="str">
        <f ca="1">IF(OR(E31="",E31="!!!"),"",IF(OR(J31=0,AND(J31=1,K31=1),AND(J31=1,I31="SBJ"),AND(J31=1,I31=0)),"?IN_FOCUS",IF(J31&lt;=2,"?ACTIVATED",IF(J31&lt;&gt;"","?FAMILIAR",IF(F31="NEW",IF(ISNA(VLOOKUP(E31,#REF!,1,FALSE())),"?TYPE_IDENTIFIABLE","?REFERENTIAL"),"_")))))</f>
        <v>?REFERENTIAL</v>
      </c>
      <c r="H31" s="23" t="str">
        <f t="shared" ca="1" si="3"/>
        <v/>
      </c>
      <c r="I31" s="24" t="str">
        <f>IF(OR(E31="",E31="!!!",F31="NEW"),"",INDEX(B$2:B30,-1+SUMPRODUCT(MAX(ROW(E$2:E30)*(E31=E$2:E30)))))</f>
        <v/>
      </c>
      <c r="J31" s="24" t="str">
        <f ca="1">IF(OR(E31="",E31="!!!",F31="NEW"),"",COUNTBLANK(OFFSET(A$1,,,SUMPRODUCT(MAX(ROW(E$2:E31)*(E31=E$2:E31)))))-COUNTBLANK(OFFSET(A$1,,,SUMPRODUCT(MAX(ROW(E$1:E30)*(E2=E$1:E30))))))</f>
        <v/>
      </c>
      <c r="K31" s="24" t="str">
        <f>IF(OR(E31="",E31="!!!",F31="NEW"),"",INDEX(J$1:J30,SUMPRODUCT(MAX(ROW(E$1:E30)*(E31=E$1:E30)))))</f>
        <v/>
      </c>
      <c r="L31" s="29"/>
    </row>
    <row r="32" spans="1:12" x14ac:dyDescent="0.3">
      <c r="A32" t="s">
        <v>125</v>
      </c>
      <c r="E32" s="27" t="str">
        <f t="shared" si="4"/>
        <v/>
      </c>
      <c r="F32" s="28" t="str">
        <f>IF(OR(E32="",E32="!!!"),"",IF(NOT(ISNA(VLOOKUP(E32,E$1:E31,1,FALSE()))),"OLD",IF(AND(E32&lt;&gt;"",E32&lt;&gt;"!!!"),"NEW","")))</f>
        <v/>
      </c>
      <c r="G32" s="22" t="str">
        <f>IF(OR(E32="",E32="!!!"),"",IF(OR(J32=0,AND(J32=1,K32=1),AND(J32=1,I32="SBJ"),AND(J32=1,I32=0)),"?IN_FOCUS",IF(J32&lt;=2,"?ACTIVATED",IF(J32&lt;&gt;"","?FAMILIAR",IF(F32="NEW",IF(ISNA(VLOOKUP(E32,#REF!,1,FALSE())),"?TYPE_IDENTIFIABLE","?REFERENTIAL"),"_")))))</f>
        <v/>
      </c>
      <c r="H32" s="23" t="str">
        <f t="shared" ca="1" si="3"/>
        <v/>
      </c>
      <c r="I32" s="24" t="str">
        <f>IF(OR(E32="",E32="!!!",F32="NEW"),"",INDEX(B$2:B31,-1+SUMPRODUCT(MAX(ROW(E$2:E31)*(E32=E$2:E31)))))</f>
        <v/>
      </c>
      <c r="J32" s="24" t="str">
        <f ca="1">IF(OR(E32="",E32="!!!",F32="NEW"),"",COUNTBLANK(OFFSET(A$1,,,SUMPRODUCT(MAX(ROW(E$2:E32)*(E32=E$2:E32)))))-COUNTBLANK(OFFSET(A$1,,,SUMPRODUCT(MAX(ROW(E$1:E31)*(E2=E$1:E31))))))</f>
        <v/>
      </c>
      <c r="K32" s="24" t="str">
        <f>IF(OR(E32="",E32="!!!",F32="NEW"),"",INDEX(J$1:J31,SUMPRODUCT(MAX(ROW(E$1:E31)*(E32=E$1:E31)))))</f>
        <v/>
      </c>
      <c r="L32" s="29"/>
    </row>
    <row r="33" spans="1:12" x14ac:dyDescent="0.3">
      <c r="A33" t="s">
        <v>126</v>
      </c>
      <c r="E33" s="27" t="str">
        <f t="shared" si="4"/>
        <v/>
      </c>
      <c r="F33" s="28" t="str">
        <f>IF(OR(E33="",E33="!!!"),"",IF(NOT(ISNA(VLOOKUP(E33,E$1:E32,1,FALSE()))),"OLD",IF(AND(E33&lt;&gt;"",E33&lt;&gt;"!!!"),"NEW","")))</f>
        <v/>
      </c>
      <c r="G33" s="22" t="str">
        <f>IF(OR(E33="",E33="!!!"),"",IF(OR(J33=0,AND(J33=1,K33=1),AND(J33=1,I33="SBJ"),AND(J33=1,I33=0)),"?IN_FOCUS",IF(J33&lt;=2,"?ACTIVATED",IF(J33&lt;&gt;"","?FAMILIAR",IF(F33="NEW",IF(ISNA(VLOOKUP(E33,#REF!,1,FALSE())),"?TYPE_IDENTIFIABLE","?REFERENTIAL"),"_")))))</f>
        <v/>
      </c>
      <c r="H33" s="23" t="str">
        <f t="shared" ca="1" si="3"/>
        <v/>
      </c>
      <c r="I33" s="24" t="str">
        <f>IF(OR(E33="",E33="!!!",F33="NEW"),"",INDEX(B$2:B32,-1+SUMPRODUCT(MAX(ROW(E$2:E32)*(E33=E$2:E32)))))</f>
        <v/>
      </c>
      <c r="J33" s="24" t="str">
        <f ca="1">IF(OR(E33="",E33="!!!",F33="NEW"),"",COUNTBLANK(OFFSET(A$1,,,SUMPRODUCT(MAX(ROW(E$2:E33)*(E33=E$2:E33)))))-COUNTBLANK(OFFSET(A$1,,,SUMPRODUCT(MAX(ROW(E$1:E32)*(E2=E$1:E32))))))</f>
        <v/>
      </c>
      <c r="K33" s="24" t="str">
        <f>IF(OR(E33="",E33="!!!",F33="NEW"),"",INDEX(J$1:J32,SUMPRODUCT(MAX(ROW(E$1:E32)*(E33=E$1:E32)))))</f>
        <v/>
      </c>
      <c r="L33" s="29"/>
    </row>
    <row r="34" spans="1:12" x14ac:dyDescent="0.3">
      <c r="A34" t="s">
        <v>127</v>
      </c>
      <c r="B34" s="26" t="s">
        <v>101</v>
      </c>
      <c r="C34" s="26" t="s">
        <v>128</v>
      </c>
      <c r="E34" s="27" t="s">
        <v>329</v>
      </c>
      <c r="F34" s="28" t="str">
        <f>IF(OR(E34="",E34="!!!"),"",IF(NOT(ISNA(VLOOKUP(E34,E$1:E33,1,FALSE()))),"OLD",IF(AND(E34&lt;&gt;"",E34&lt;&gt;"!!!"),"NEW","")))</f>
        <v>OLD</v>
      </c>
      <c r="G34" s="22" t="str">
        <f ca="1">IF(OR(E34="",E34="!!!"),"",IF(OR(J34=0,AND(J34=1,K34=1),AND(J34=1,I34="SBJ"),AND(J34=1,I34=0)),"?IN_FOCUS",IF(J34&lt;=2,"?ACTIVATED",IF(J34&lt;&gt;"","?FAMILIAR",IF(F34="NEW",IF(ISNA(VLOOKUP(E34,#REF!,1,FALSE())),"?TYPE_IDENTIFIABLE","?REFERENTIAL"),"_")))))</f>
        <v>?IN_FOCUS</v>
      </c>
      <c r="H34" s="23" t="str">
        <f t="shared" ca="1" si="3"/>
        <v/>
      </c>
      <c r="I34" s="24">
        <f>IF(OR(E34="",E34="!!!",F34="NEW"),"",INDEX(B$2:B33,-1+SUMPRODUCT(MAX(ROW(E$2:E33)*(E34=E$2:E33)))))</f>
        <v>0</v>
      </c>
      <c r="J34" s="24">
        <f ca="1">IF(OR(E34="",E34="!!!",F34="NEW"),"",COUNTBLANK(OFFSET(A$1,,,SUMPRODUCT(MAX(ROW(E$2:E34)*(E34=E$2:E34)))))-COUNTBLANK(OFFSET(A$1,,,SUMPRODUCT(MAX(ROW(E$1:E33)*(E2=E$1:E33))))))</f>
        <v>0</v>
      </c>
      <c r="K34" s="24" t="str">
        <f ca="1">IF(OR(E34="",E34="!!!",F34="NEW"),"",INDEX(J$1:J33,SUMPRODUCT(MAX(ROW(E$1:E33)*(E34=E$1:E33)))))</f>
        <v/>
      </c>
      <c r="L34" s="29"/>
    </row>
    <row r="35" spans="1:12" x14ac:dyDescent="0.3">
      <c r="A35" t="s">
        <v>104</v>
      </c>
      <c r="E35" s="27" t="str">
        <f t="shared" si="4"/>
        <v/>
      </c>
      <c r="F35" s="28" t="str">
        <f>IF(OR(E35="",E35="!!!"),"",IF(NOT(ISNA(VLOOKUP(E35,E$1:E34,1,FALSE()))),"OLD",IF(AND(E35&lt;&gt;"",E35&lt;&gt;"!!!"),"NEW","")))</f>
        <v/>
      </c>
      <c r="G35" s="22" t="str">
        <f>IF(OR(E35="",E35="!!!"),"",IF(OR(J35=0,AND(J35=1,K35=1),AND(J35=1,I35="SBJ"),AND(J35=1,I35=0)),"?IN_FOCUS",IF(J35&lt;=2,"?ACTIVATED",IF(J35&lt;&gt;"","?FAMILIAR",IF(F35="NEW",IF(ISNA(VLOOKUP(E35,#REF!,1,FALSE())),"?TYPE_IDENTIFIABLE","?REFERENTIAL"),"_")))))</f>
        <v/>
      </c>
      <c r="H35" s="23" t="str">
        <f t="shared" ca="1" si="3"/>
        <v/>
      </c>
      <c r="I35" s="24" t="str">
        <f>IF(OR(E35="",E35="!!!",F35="NEW"),"",INDEX(B$2:B34,-1+SUMPRODUCT(MAX(ROW(E$2:E34)*(E35=E$2:E34)))))</f>
        <v/>
      </c>
      <c r="J35" s="24" t="str">
        <f ca="1">IF(OR(E35="",E35="!!!",F35="NEW"),"",COUNTBLANK(OFFSET(A$1,,,SUMPRODUCT(MAX(ROW(E$2:E35)*(E35=E$2:E35)))))-COUNTBLANK(OFFSET(A$1,,,SUMPRODUCT(MAX(ROW(E$1:E34)*(E2=E$1:E34))))))</f>
        <v/>
      </c>
      <c r="K35" s="24" t="str">
        <f>IF(OR(E35="",E35="!!!",F35="NEW"),"",INDEX(J$1:J34,SUMPRODUCT(MAX(ROW(E$1:E34)*(E35=E$1:E34)))))</f>
        <v/>
      </c>
      <c r="L35" s="29"/>
    </row>
    <row r="36" spans="1:12" x14ac:dyDescent="0.3">
      <c r="A36" t="s">
        <v>105</v>
      </c>
      <c r="E36" s="27" t="str">
        <f t="shared" si="4"/>
        <v/>
      </c>
      <c r="F36" s="28" t="str">
        <f>IF(OR(E36="",E36="!!!"),"",IF(NOT(ISNA(VLOOKUP(E36,E$1:E35,1,FALSE()))),"OLD",IF(AND(E36&lt;&gt;"",E36&lt;&gt;"!!!"),"NEW","")))</f>
        <v/>
      </c>
      <c r="G36" s="22" t="str">
        <f>IF(OR(E36="",E36="!!!"),"",IF(OR(J36=0,AND(J36=1,K36=1),AND(J36=1,I36="SBJ"),AND(J36=1,I36=0)),"?IN_FOCUS",IF(J36&lt;=2,"?ACTIVATED",IF(J36&lt;&gt;"","?FAMILIAR",IF(F36="NEW",IF(ISNA(VLOOKUP(E36,#REF!,1,FALSE())),"?TYPE_IDENTIFIABLE","?REFERENTIAL"),"_")))))</f>
        <v/>
      </c>
      <c r="H36" s="23" t="str">
        <f t="shared" ca="1" si="3"/>
        <v/>
      </c>
      <c r="I36" s="24" t="str">
        <f>IF(OR(E36="",E36="!!!",F36="NEW"),"",INDEX(B$2:B35,-1+SUMPRODUCT(MAX(ROW(E$2:E35)*(E36=E$2:E35)))))</f>
        <v/>
      </c>
      <c r="J36" s="24" t="str">
        <f ca="1">IF(OR(E36="",E36="!!!",F36="NEW"),"",COUNTBLANK(OFFSET(A$1,,,SUMPRODUCT(MAX(ROW(E$2:E36)*(E36=E$2:E36)))))-COUNTBLANK(OFFSET(A$1,,,SUMPRODUCT(MAX(ROW(E$1:E35)*(E2=E$1:E35))))))</f>
        <v/>
      </c>
      <c r="K36" s="24" t="str">
        <f>IF(OR(E36="",E36="!!!",F36="NEW"),"",INDEX(J$1:J35,SUMPRODUCT(MAX(ROW(E$1:E35)*(E36=E$1:E35)))))</f>
        <v/>
      </c>
      <c r="L36" s="29"/>
    </row>
    <row r="37" spans="1:12" x14ac:dyDescent="0.3">
      <c r="A37" t="s">
        <v>129</v>
      </c>
      <c r="E37" s="27" t="str">
        <f t="shared" si="4"/>
        <v/>
      </c>
      <c r="F37" s="28" t="str">
        <f>IF(OR(E37="",E37="!!!"),"",IF(NOT(ISNA(VLOOKUP(E37,E$1:E36,1,FALSE()))),"OLD",IF(AND(E37&lt;&gt;"",E37&lt;&gt;"!!!"),"NEW","")))</f>
        <v/>
      </c>
      <c r="G37" s="22" t="str">
        <f>IF(OR(E37="",E37="!!!"),"",IF(OR(J37=0,AND(J37=1,K37=1),AND(J37=1,I37="SBJ"),AND(J37=1,I37=0)),"?IN_FOCUS",IF(J37&lt;=2,"?ACTIVATED",IF(J37&lt;&gt;"","?FAMILIAR",IF(F37="NEW",IF(ISNA(VLOOKUP(E37,#REF!,1,FALSE())),"?TYPE_IDENTIFIABLE","?REFERENTIAL"),"_")))))</f>
        <v/>
      </c>
      <c r="H37" s="23" t="str">
        <f t="shared" ca="1" si="3"/>
        <v/>
      </c>
      <c r="I37" s="24" t="str">
        <f>IF(OR(E37="",E37="!!!",F37="NEW"),"",INDEX(B$2:B36,-1+SUMPRODUCT(MAX(ROW(E$2:E36)*(E37=E$2:E36)))))</f>
        <v/>
      </c>
      <c r="J37" s="24" t="str">
        <f ca="1">IF(OR(E37="",E37="!!!",F37="NEW"),"",COUNTBLANK(OFFSET(A$1,,,SUMPRODUCT(MAX(ROW(E$2:E37)*(E37=E$2:E37)))))-COUNTBLANK(OFFSET(A$1,,,SUMPRODUCT(MAX(ROW(E$1:E36)*(E2=E$1:E36))))))</f>
        <v/>
      </c>
      <c r="K37" s="24" t="str">
        <f>IF(OR(E37="",E37="!!!",F37="NEW"),"",INDEX(J$1:J36,SUMPRODUCT(MAX(ROW(E$1:E36)*(E37=E$1:E36)))))</f>
        <v/>
      </c>
      <c r="L37" s="29"/>
    </row>
    <row r="39" spans="1:12" x14ac:dyDescent="0.3">
      <c r="A39" t="s">
        <v>130</v>
      </c>
      <c r="E39" s="27" t="str">
        <f>IF(D39="?OLD","!!!","")</f>
        <v/>
      </c>
      <c r="F39" s="28" t="str">
        <f>IF(OR(E39="",E39="!!!"),"",IF(NOT(ISNA(VLOOKUP(E39,E$1:E38,1,FALSE()))),"OLD",IF(AND(E39&lt;&gt;"",E39&lt;&gt;"!!!"),"NEW","")))</f>
        <v/>
      </c>
      <c r="G39" s="22" t="str">
        <f>IF(OR(E39="",E39="!!!"),"",IF(OR(J39=0,AND(J39=1,K39=1),AND(J39=1,I39="SBJ"),AND(J39=1,I39=0)),"?IN_FOCUS",IF(J39&lt;=2,"?ACTIVATED",IF(J39&lt;&gt;"","?FAMILIAR",IF(F39="NEW",IF(ISNA(VLOOKUP(E39,#REF!,1,FALSE())),"?TYPE_IDENTIFIABLE","?REFERENTIAL"),"_")))))</f>
        <v/>
      </c>
      <c r="H39" s="23" t="str">
        <f ca="1">IF(J39&lt;&gt;1,"",IF(I39="SBJ","CB","?"))</f>
        <v/>
      </c>
      <c r="I39" s="24" t="str">
        <f>IF(OR(E39="",E39="!!!",F39="NEW"),"",INDEX(B$2:B38,-1+SUMPRODUCT(MAX(ROW(E$2:E38)*(E39=E$2:E38)))))</f>
        <v/>
      </c>
      <c r="J39" s="24" t="str">
        <f ca="1">IF(OR(E39="",E39="!!!",F39="NEW"),"",COUNTBLANK(OFFSET(A$1,,,SUMPRODUCT(MAX(ROW(E$2:E39)*(E39=E$2:E39)))))-COUNTBLANK(OFFSET(A$1,,,SUMPRODUCT(MAX(ROW(E$1:E38)*(E2=E$1:E38))))))</f>
        <v/>
      </c>
      <c r="K39" s="24" t="str">
        <f>IF(OR(E39="",E39="!!!",F39="NEW"),"",INDEX(J$1:J38,SUMPRODUCT(MAX(ROW(E$1:E38)*(E39=E$1:E38)))))</f>
        <v/>
      </c>
      <c r="L39" s="29"/>
    </row>
    <row r="40" spans="1:12" x14ac:dyDescent="0.3">
      <c r="A40" t="s">
        <v>131</v>
      </c>
    </row>
    <row r="41" spans="1:12" x14ac:dyDescent="0.3">
      <c r="A41" t="s">
        <v>132</v>
      </c>
      <c r="E41" s="27" t="str">
        <f>IF(D41="?OLD","!!!","")</f>
        <v/>
      </c>
      <c r="F41" s="28" t="str">
        <f>IF(OR(E41="",E41="!!!"),"",IF(NOT(ISNA(VLOOKUP(E41,E$1:E40,1,FALSE()))),"OLD",IF(AND(E41&lt;&gt;"",E41&lt;&gt;"!!!"),"NEW","")))</f>
        <v/>
      </c>
      <c r="G41" s="22" t="str">
        <f>IF(OR(E41="",E41="!!!"),"",IF(OR(J41=0,AND(J41=1,K41=1),AND(J41=1,I41="SBJ"),AND(J41=1,I41=0)),"?IN_FOCUS",IF(J41&lt;=2,"?ACTIVATED",IF(J41&lt;&gt;"","?FAMILIAR",IF(F41="NEW",IF(ISNA(VLOOKUP(E41,#REF!,1,FALSE())),"?TYPE_IDENTIFIABLE","?REFERENTIAL"),"_")))))</f>
        <v/>
      </c>
      <c r="H41" s="23" t="str">
        <f t="shared" ref="H41:H70" ca="1" si="5">IF(J41&lt;&gt;1,"",IF(I41="SBJ","CB","?"))</f>
        <v/>
      </c>
      <c r="I41" s="24" t="str">
        <f>IF(OR(E41="",E41="!!!",F41="NEW"),"",INDEX(B$2:B40,-1+SUMPRODUCT(MAX(ROW(E$2:E40)*(E41=E$2:E40)))))</f>
        <v/>
      </c>
      <c r="J41" s="24" t="str">
        <f ca="1">IF(OR(E41="",E41="!!!",F41="NEW"),"",COUNTBLANK(OFFSET(A$1,,,SUMPRODUCT(MAX(ROW(E$2:E41)*(E41=E$2:E41)))))-COUNTBLANK(OFFSET(A$1,,,SUMPRODUCT(MAX(ROW(E$1:E40)*(E2=E$1:E40))))))</f>
        <v/>
      </c>
      <c r="K41" s="24" t="str">
        <f>IF(OR(E41="",E41="!!!",F41="NEW"),"",INDEX(J$1:J40,SUMPRODUCT(MAX(ROW(E$1:E40)*(E41=E$1:E40)))))</f>
        <v/>
      </c>
      <c r="L41" s="29"/>
    </row>
    <row r="42" spans="1:12" x14ac:dyDescent="0.3">
      <c r="A42" t="s">
        <v>133</v>
      </c>
      <c r="B42" s="26" t="s">
        <v>96</v>
      </c>
      <c r="C42" s="26" t="s">
        <v>124</v>
      </c>
      <c r="D42" s="26" t="s">
        <v>98</v>
      </c>
      <c r="E42" s="27" t="s">
        <v>338</v>
      </c>
      <c r="F42" s="28" t="str">
        <f>IF(OR(E42="",E42="!!!"),"",IF(NOT(ISNA(VLOOKUP(E42,E$1:E41,1,FALSE()))),"OLD",IF(AND(E42&lt;&gt;"",E42&lt;&gt;"!!!"),"NEW","")))</f>
        <v>NEW</v>
      </c>
      <c r="G42" s="22" t="str">
        <f ca="1">IF(OR(E42="",E42="!!!"),"",IF(OR(J42=0,AND(J42=1,K42=1),AND(J42=1,I42="SBJ"),AND(J42=1,I42=0)),"?IN_FOCUS",IF(J42&lt;=2,"?ACTIVATED",IF(J42&lt;&gt;"","?FAMILIAR",IF(F42="NEW",IF(ISNA(VLOOKUP(E42,#REF!,1,FALSE())),"?TYPE_IDENTIFIABLE","?REFERENTIAL"),"_")))))</f>
        <v>?REFERENTIAL</v>
      </c>
      <c r="H42" s="23" t="str">
        <f t="shared" ca="1" si="5"/>
        <v/>
      </c>
      <c r="I42" s="24" t="str">
        <f>IF(OR(E42="",E42="!!!",F42="NEW"),"",INDEX(B$2:B41,-1+SUMPRODUCT(MAX(ROW(E$2:E41)*(E42=E$2:E41)))))</f>
        <v/>
      </c>
      <c r="J42" s="24" t="str">
        <f ca="1">IF(OR(E42="",E42="!!!",F42="NEW"),"",COUNTBLANK(OFFSET(A$1,,,SUMPRODUCT(MAX(ROW(E$2:E42)*(E42=E$2:E42)))))-COUNTBLANK(OFFSET(A$1,,,SUMPRODUCT(MAX(ROW(E$1:E41)*(E2=E$1:E41))))))</f>
        <v/>
      </c>
      <c r="K42" s="24" t="str">
        <f>IF(OR(E42="",E42="!!!",F42="NEW"),"",INDEX(J$1:J41,SUMPRODUCT(MAX(ROW(E$1:E41)*(E42=E$1:E41)))))</f>
        <v/>
      </c>
      <c r="L42" s="29"/>
    </row>
    <row r="43" spans="1:12" x14ac:dyDescent="0.3">
      <c r="A43" t="s">
        <v>134</v>
      </c>
      <c r="E43" s="27"/>
      <c r="F43" s="28" t="str">
        <f>IF(OR(E43="",E43="!!!"),"",IF(NOT(ISNA(VLOOKUP(E43,E$1:E42,1,FALSE()))),"OLD",IF(AND(E43&lt;&gt;"",E43&lt;&gt;"!!!"),"NEW","")))</f>
        <v/>
      </c>
      <c r="G43" s="22" t="str">
        <f>IF(OR(E43="",E43="!!!"),"",IF(OR(J43=0,AND(J43=1,K43=1),AND(J43=1,I43="SBJ"),AND(J43=1,I43=0)),"?IN_FOCUS",IF(J43&lt;=2,"?ACTIVATED",IF(J43&lt;&gt;"","?FAMILIAR",IF(F43="NEW",IF(ISNA(VLOOKUP(E43,#REF!,1,FALSE())),"?TYPE_IDENTIFIABLE","?REFERENTIAL"),"_")))))</f>
        <v/>
      </c>
      <c r="H43" s="23" t="str">
        <f t="shared" ca="1" si="5"/>
        <v/>
      </c>
      <c r="I43" s="24" t="str">
        <f>IF(OR(E43="",E43="!!!",F43="NEW"),"",INDEX(B$2:B42,-1+SUMPRODUCT(MAX(ROW(E$2:E42)*(E43=E$2:E42)))))</f>
        <v/>
      </c>
      <c r="J43" s="24" t="str">
        <f ca="1">IF(OR(E43="",E43="!!!",F43="NEW"),"",COUNTBLANK(OFFSET(A$1,,,SUMPRODUCT(MAX(ROW(E$2:E43)*(E43=E$2:E43)))))-COUNTBLANK(OFFSET(A$1,,,SUMPRODUCT(MAX(ROW(E$1:E42)*(E2=E$1:E42))))))</f>
        <v/>
      </c>
      <c r="K43" s="24" t="str">
        <f>IF(OR(E43="",E43="!!!",F43="NEW"),"",INDEX(J$1:J42,SUMPRODUCT(MAX(ROW(E$1:E42)*(E43=E$1:E42)))))</f>
        <v/>
      </c>
      <c r="L43" s="29"/>
    </row>
    <row r="44" spans="1:12" x14ac:dyDescent="0.3">
      <c r="A44" t="s">
        <v>135</v>
      </c>
      <c r="B44" s="26" t="s">
        <v>101</v>
      </c>
      <c r="C44" s="26" t="s">
        <v>124</v>
      </c>
      <c r="D44" s="26" t="s">
        <v>98</v>
      </c>
      <c r="E44" s="27" t="s">
        <v>326</v>
      </c>
      <c r="F44" s="28" t="str">
        <f>IF(OR(E44="",E44="!!!"),"",IF(NOT(ISNA(VLOOKUP(E44,E$1:E43,1,FALSE()))),"OLD",IF(AND(E44&lt;&gt;"",E44&lt;&gt;"!!!"),"NEW","")))</f>
        <v>OLD</v>
      </c>
      <c r="G44" s="22" t="str">
        <f ca="1">IF(OR(E44="",E44="!!!"),"",IF(OR(J44=0,AND(J44=1,K44=1),AND(J44=1,I44="SBJ"),AND(J44=1,I44=0)),"?IN_FOCUS",IF(J44&lt;=2,"?ACTIVATED",IF(J44&lt;&gt;"","?FAMILIAR",IF(F44="NEW",IF(ISNA(VLOOKUP(E44,#REF!,1,FALSE())),"?TYPE_IDENTIFIABLE","?REFERENTIAL"),"_")))))</f>
        <v>?IN_FOCUS</v>
      </c>
      <c r="H44" s="23" t="str">
        <f t="shared" ca="1" si="5"/>
        <v/>
      </c>
      <c r="I44" s="24" t="str">
        <f>IF(OR(E44="",E44="!!!",F44="NEW"),"",INDEX(B$2:B43,-1+SUMPRODUCT(MAX(ROW(E$2:E43)*(E44=E$2:E43)))))</f>
        <v>SBJ</v>
      </c>
      <c r="J44" s="24">
        <f ca="1">IF(OR(E44="",E44="!!!",F44="NEW"),"",COUNTBLANK(OFFSET(A$1,,,SUMPRODUCT(MAX(ROW(E$2:E44)*(E44=E$2:E44)))))-COUNTBLANK(OFFSET(A$1,,,SUMPRODUCT(MAX(ROW(E$1:E43)*(E2=E$1:E43))))))</f>
        <v>0</v>
      </c>
      <c r="K44" s="24">
        <f ca="1">IF(OR(E44="",E44="!!!",F44="NEW"),"",INDEX(J$1:J43,SUMPRODUCT(MAX(ROW(E$1:E43)*(E44=E$1:E43)))))</f>
        <v>0</v>
      </c>
      <c r="L44" s="29"/>
    </row>
    <row r="45" spans="1:12" x14ac:dyDescent="0.3">
      <c r="A45" t="s">
        <v>136</v>
      </c>
      <c r="E45" s="27"/>
      <c r="F45" s="28" t="str">
        <f>IF(OR(E45="",E45="!!!"),"",IF(NOT(ISNA(VLOOKUP(E45,E$1:E44,1,FALSE()))),"OLD",IF(AND(E45&lt;&gt;"",E45&lt;&gt;"!!!"),"NEW","")))</f>
        <v/>
      </c>
      <c r="G45" s="22" t="str">
        <f>IF(OR(E45="",E45="!!!"),"",IF(OR(J45=0,AND(J45=1,K45=1),AND(J45=1,I45="SBJ"),AND(J45=1,I45=0)),"?IN_FOCUS",IF(J45&lt;=2,"?ACTIVATED",IF(J45&lt;&gt;"","?FAMILIAR",IF(F45="NEW",IF(ISNA(VLOOKUP(E45,#REF!,1,FALSE())),"?TYPE_IDENTIFIABLE","?REFERENTIAL"),"_")))))</f>
        <v/>
      </c>
      <c r="H45" s="23" t="str">
        <f t="shared" ca="1" si="5"/>
        <v/>
      </c>
      <c r="I45" s="24" t="str">
        <f>IF(OR(E45="",E45="!!!",F45="NEW"),"",INDEX(B$2:B44,-1+SUMPRODUCT(MAX(ROW(E$2:E44)*(E45=E$2:E44)))))</f>
        <v/>
      </c>
      <c r="J45" s="24" t="str">
        <f ca="1">IF(OR(E45="",E45="!!!",F45="NEW"),"",COUNTBLANK(OFFSET(A$1,,,SUMPRODUCT(MAX(ROW(E$2:E45)*(E45=E$2:E45)))))-COUNTBLANK(OFFSET(A$1,,,SUMPRODUCT(MAX(ROW(E$1:E44)*(E2=E$1:E44))))))</f>
        <v/>
      </c>
      <c r="K45" s="24" t="str">
        <f>IF(OR(E45="",E45="!!!",F45="NEW"),"",INDEX(J$1:J44,SUMPRODUCT(MAX(ROW(E$1:E44)*(E45=E$1:E44)))))</f>
        <v/>
      </c>
      <c r="L45" s="29"/>
    </row>
    <row r="46" spans="1:12" x14ac:dyDescent="0.3">
      <c r="A46" t="s">
        <v>137</v>
      </c>
      <c r="E46" s="27"/>
      <c r="F46" s="28" t="str">
        <f>IF(OR(E46="",E46="!!!"),"",IF(NOT(ISNA(VLOOKUP(E46,E$1:E45,1,FALSE()))),"OLD",IF(AND(E46&lt;&gt;"",E46&lt;&gt;"!!!"),"NEW","")))</f>
        <v/>
      </c>
      <c r="G46" s="22" t="str">
        <f>IF(OR(E46="",E46="!!!"),"",IF(OR(J46=0,AND(J46=1,K46=1),AND(J46=1,I46="SBJ"),AND(J46=1,I46=0)),"?IN_FOCUS",IF(J46&lt;=2,"?ACTIVATED",IF(J46&lt;&gt;"","?FAMILIAR",IF(F46="NEW",IF(ISNA(VLOOKUP(E46,#REF!,1,FALSE())),"?TYPE_IDENTIFIABLE","?REFERENTIAL"),"_")))))</f>
        <v/>
      </c>
      <c r="H46" s="23" t="str">
        <f t="shared" ca="1" si="5"/>
        <v/>
      </c>
      <c r="I46" s="24" t="str">
        <f>IF(OR(E46="",E46="!!!",F46="NEW"),"",INDEX(B$2:B45,-1+SUMPRODUCT(MAX(ROW(E$2:E45)*(E46=E$2:E45)))))</f>
        <v/>
      </c>
      <c r="J46" s="24" t="str">
        <f ca="1">IF(OR(E46="",E46="!!!",F46="NEW"),"",COUNTBLANK(OFFSET(A$1,,,SUMPRODUCT(MAX(ROW(E$2:E46)*(E46=E$2:E46)))))-COUNTBLANK(OFFSET(A$1,,,SUMPRODUCT(MAX(ROW(E$1:E45)*(E2=E$1:E45))))))</f>
        <v/>
      </c>
      <c r="K46" s="24" t="str">
        <f>IF(OR(E46="",E46="!!!",F46="NEW"),"",INDEX(J$1:J45,SUMPRODUCT(MAX(ROW(E$1:E45)*(E46=E$1:E45)))))</f>
        <v/>
      </c>
      <c r="L46" s="29"/>
    </row>
    <row r="47" spans="1:12" x14ac:dyDescent="0.3">
      <c r="A47" t="s">
        <v>108</v>
      </c>
      <c r="E47" s="27"/>
      <c r="F47" s="28" t="str">
        <f>IF(OR(E47="",E47="!!!"),"",IF(NOT(ISNA(VLOOKUP(E47,E$1:E46,1,FALSE()))),"OLD",IF(AND(E47&lt;&gt;"",E47&lt;&gt;"!!!"),"NEW","")))</f>
        <v/>
      </c>
      <c r="G47" s="22" t="str">
        <f>IF(OR(E47="",E47="!!!"),"",IF(OR(J47=0,AND(J47=1,K47=1),AND(J47=1,I47="SBJ"),AND(J47=1,I47=0)),"?IN_FOCUS",IF(J47&lt;=2,"?ACTIVATED",IF(J47&lt;&gt;"","?FAMILIAR",IF(F47="NEW",IF(ISNA(VLOOKUP(E47,#REF!,1,FALSE())),"?TYPE_IDENTIFIABLE","?REFERENTIAL"),"_")))))</f>
        <v/>
      </c>
      <c r="H47" s="23" t="str">
        <f t="shared" ca="1" si="5"/>
        <v/>
      </c>
      <c r="I47" s="24" t="str">
        <f>IF(OR(E47="",E47="!!!",F47="NEW"),"",INDEX(B$2:B46,-1+SUMPRODUCT(MAX(ROW(E$2:E46)*(E47=E$2:E46)))))</f>
        <v/>
      </c>
      <c r="J47" s="24" t="str">
        <f ca="1">IF(OR(E47="",E47="!!!",F47="NEW"),"",COUNTBLANK(OFFSET(A$1,,,SUMPRODUCT(MAX(ROW(E$2:E47)*(E47=E$2:E47)))))-COUNTBLANK(OFFSET(A$1,,,SUMPRODUCT(MAX(ROW(E$1:E46)*(E2=E$1:E46))))))</f>
        <v/>
      </c>
      <c r="K47" s="24" t="str">
        <f>IF(OR(E47="",E47="!!!",F47="NEW"),"",INDEX(J$1:J46,SUMPRODUCT(MAX(ROW(E$1:E46)*(E47=E$1:E46)))))</f>
        <v/>
      </c>
      <c r="L47" s="29"/>
    </row>
    <row r="48" spans="1:12" x14ac:dyDescent="0.3">
      <c r="A48" t="s">
        <v>138</v>
      </c>
      <c r="E48" s="27"/>
      <c r="F48" s="28" t="str">
        <f>IF(OR(E48="",E48="!!!"),"",IF(NOT(ISNA(VLOOKUP(E48,E$1:E47,1,FALSE()))),"OLD",IF(AND(E48&lt;&gt;"",E48&lt;&gt;"!!!"),"NEW","")))</f>
        <v/>
      </c>
      <c r="G48" s="22" t="str">
        <f>IF(OR(E48="",E48="!!!"),"",IF(OR(J48=0,AND(J48=1,K48=1),AND(J48=1,I48="SBJ"),AND(J48=1,I48=0)),"?IN_FOCUS",IF(J48&lt;=2,"?ACTIVATED",IF(J48&lt;&gt;"","?FAMILIAR",IF(F48="NEW",IF(ISNA(VLOOKUP(E48,#REF!,1,FALSE())),"?TYPE_IDENTIFIABLE","?REFERENTIAL"),"_")))))</f>
        <v/>
      </c>
      <c r="H48" s="23" t="str">
        <f t="shared" ca="1" si="5"/>
        <v/>
      </c>
      <c r="I48" s="24" t="str">
        <f>IF(OR(E48="",E48="!!!",F48="NEW"),"",INDEX(B$2:B47,-1+SUMPRODUCT(MAX(ROW(E$2:E47)*(E48=E$2:E47)))))</f>
        <v/>
      </c>
      <c r="J48" s="24" t="str">
        <f ca="1">IF(OR(E48="",E48="!!!",F48="NEW"),"",COUNTBLANK(OFFSET(A$1,,,SUMPRODUCT(MAX(ROW(E$2:E48)*(E48=E$2:E48)))))-COUNTBLANK(OFFSET(A$1,,,SUMPRODUCT(MAX(ROW(E$1:E47)*(E2=E$1:E47))))))</f>
        <v/>
      </c>
      <c r="K48" s="24" t="str">
        <f>IF(OR(E48="",E48="!!!",F48="NEW"),"",INDEX(J$1:J47,SUMPRODUCT(MAX(ROW(E$1:E47)*(E48=E$1:E47)))))</f>
        <v/>
      </c>
      <c r="L48" s="29"/>
    </row>
    <row r="49" spans="1:12" x14ac:dyDescent="0.3">
      <c r="A49" t="s">
        <v>139</v>
      </c>
      <c r="B49" s="26" t="s">
        <v>140</v>
      </c>
      <c r="C49" s="26" t="s">
        <v>141</v>
      </c>
      <c r="D49" s="26" t="s">
        <v>98</v>
      </c>
      <c r="E49" s="27" t="s">
        <v>338</v>
      </c>
      <c r="F49" s="28" t="str">
        <f>IF(OR(E49="",E49="!!!"),"",IF(NOT(ISNA(VLOOKUP(E49,E$1:E48,1,FALSE()))),"OLD",IF(AND(E49&lt;&gt;"",E49&lt;&gt;"!!!"),"NEW","")))</f>
        <v>OLD</v>
      </c>
      <c r="G49" s="22" t="str">
        <f ca="1">IF(OR(E49="",E49="!!!"),"",IF(OR(J49=0,AND(J49=1,K49=1),AND(J49=1,I49="SBJ"),AND(J49=1,I49=0)),"?IN_FOCUS",IF(J49&lt;=2,"?ACTIVATED",IF(J49&lt;&gt;"","?FAMILIAR",IF(F49="NEW",IF(ISNA(VLOOKUP(E49,#REF!,1,FALSE())),"?TYPE_IDENTIFIABLE","?REFERENTIAL"),"_")))))</f>
        <v>?IN_FOCUS</v>
      </c>
      <c r="H49" s="23" t="str">
        <f t="shared" ca="1" si="5"/>
        <v/>
      </c>
      <c r="I49" s="24" t="str">
        <f>IF(OR(E49="",E49="!!!",F49="NEW"),"",INDEX(B$2:B48,-1+SUMPRODUCT(MAX(ROW(E$2:E48)*(E49=E$2:E48)))))</f>
        <v>SBJ</v>
      </c>
      <c r="J49" s="24">
        <f ca="1">IF(OR(E49="",E49="!!!",F49="NEW"),"",COUNTBLANK(OFFSET(A$1,,,SUMPRODUCT(MAX(ROW(E$2:E49)*(E49=E$2:E49)))))-COUNTBLANK(OFFSET(A$1,,,SUMPRODUCT(MAX(ROW(E$1:E48)*(E2=E$1:E48))))))</f>
        <v>0</v>
      </c>
      <c r="K49" s="24" t="str">
        <f ca="1">IF(OR(E49="",E49="!!!",F49="NEW"),"",INDEX(J$1:J48,SUMPRODUCT(MAX(ROW(E$1:E48)*(E49=E$1:E48)))))</f>
        <v/>
      </c>
      <c r="L49" s="29"/>
    </row>
    <row r="50" spans="1:12" x14ac:dyDescent="0.3">
      <c r="A50" t="s">
        <v>142</v>
      </c>
      <c r="B50" s="26" t="s">
        <v>143</v>
      </c>
      <c r="E50" s="27"/>
      <c r="F50" s="28" t="str">
        <f>IF(OR(E50="",E50="!!!"),"",IF(NOT(ISNA(VLOOKUP(E50,E$1:E49,1,FALSE()))),"OLD",IF(AND(E50&lt;&gt;"",E50&lt;&gt;"!!!"),"NEW","")))</f>
        <v/>
      </c>
      <c r="G50" s="22" t="str">
        <f>IF(OR(E50="",E50="!!!"),"",IF(OR(J50=0,AND(J50=1,K50=1),AND(J50=1,I50="SBJ"),AND(J50=1,I50=0)),"?IN_FOCUS",IF(J50&lt;=2,"?ACTIVATED",IF(J50&lt;&gt;"","?FAMILIAR",IF(F50="NEW",IF(ISNA(VLOOKUP(E50,#REF!,1,FALSE())),"?TYPE_IDENTIFIABLE","?REFERENTIAL"),"_")))))</f>
        <v/>
      </c>
      <c r="H50" s="23" t="str">
        <f t="shared" ca="1" si="5"/>
        <v/>
      </c>
      <c r="I50" s="24" t="str">
        <f>IF(OR(E50="",E50="!!!",F50="NEW"),"",INDEX(B$2:B49,-1+SUMPRODUCT(MAX(ROW(E$2:E49)*(E50=E$2:E49)))))</f>
        <v/>
      </c>
      <c r="J50" s="24" t="str">
        <f ca="1">IF(OR(E50="",E50="!!!",F50="NEW"),"",COUNTBLANK(OFFSET(A$1,,,SUMPRODUCT(MAX(ROW(E$2:E50)*(E50=E$2:E50)))))-COUNTBLANK(OFFSET(A$1,,,SUMPRODUCT(MAX(ROW(E$1:E49)*(E2=E$1:E49))))))</f>
        <v/>
      </c>
      <c r="K50" s="24" t="str">
        <f>IF(OR(E50="",E50="!!!",F50="NEW"),"",INDEX(J$1:J49,SUMPRODUCT(MAX(ROW(E$1:E49)*(E50=E$1:E49)))))</f>
        <v/>
      </c>
      <c r="L50" s="29"/>
    </row>
    <row r="51" spans="1:12" x14ac:dyDescent="0.3">
      <c r="A51" t="s">
        <v>144</v>
      </c>
      <c r="B51" s="26" t="s">
        <v>143</v>
      </c>
      <c r="C51" s="26" t="s">
        <v>145</v>
      </c>
      <c r="E51" s="27"/>
      <c r="F51" s="28" t="str">
        <f>IF(OR(E51="",E51="!!!"),"",IF(NOT(ISNA(VLOOKUP(E51,E$1:E50,1,FALSE()))),"OLD",IF(AND(E51&lt;&gt;"",E51&lt;&gt;"!!!"),"NEW","")))</f>
        <v/>
      </c>
      <c r="G51" s="22" t="str">
        <f>IF(OR(E51="",E51="!!!"),"",IF(OR(J51=0,AND(J51=1,K51=1),AND(J51=1,I51="SBJ"),AND(J51=1,I51=0)),"?IN_FOCUS",IF(J51&lt;=2,"?ACTIVATED",IF(J51&lt;&gt;"","?FAMILIAR",IF(F51="NEW",IF(ISNA(VLOOKUP(E51,#REF!,1,FALSE())),"?TYPE_IDENTIFIABLE","?REFERENTIAL"),"_")))))</f>
        <v/>
      </c>
      <c r="H51" s="23" t="str">
        <f t="shared" ca="1" si="5"/>
        <v/>
      </c>
      <c r="I51" s="24" t="str">
        <f>IF(OR(E51="",E51="!!!",F51="NEW"),"",INDEX(B$2:B50,-1+SUMPRODUCT(MAX(ROW(E$2:E50)*(E51=E$2:E50)))))</f>
        <v/>
      </c>
      <c r="J51" s="24" t="str">
        <f ca="1">IF(OR(E51="",E51="!!!",F51="NEW"),"",COUNTBLANK(OFFSET(A$1,,,SUMPRODUCT(MAX(ROW(E$2:E51)*(E51=E$2:E51)))))-COUNTBLANK(OFFSET(A$1,,,SUMPRODUCT(MAX(ROW(E$1:E50)*(E2=E$1:E50))))))</f>
        <v/>
      </c>
      <c r="K51" s="24" t="str">
        <f>IF(OR(E51="",E51="!!!",F51="NEW"),"",INDEX(J$1:J50,SUMPRODUCT(MAX(ROW(E$1:E50)*(E51=E$1:E50)))))</f>
        <v/>
      </c>
      <c r="L51" s="29"/>
    </row>
    <row r="52" spans="1:12" x14ac:dyDescent="0.3">
      <c r="A52" t="s">
        <v>146</v>
      </c>
      <c r="E52" s="27"/>
      <c r="F52" s="28" t="str">
        <f>IF(OR(E52="",E52="!!!"),"",IF(NOT(ISNA(VLOOKUP(E52,E$1:E51,1,FALSE()))),"OLD",IF(AND(E52&lt;&gt;"",E52&lt;&gt;"!!!"),"NEW","")))</f>
        <v/>
      </c>
      <c r="G52" s="22" t="str">
        <f>IF(OR(E52="",E52="!!!"),"",IF(OR(J52=0,AND(J52=1,K52=1),AND(J52=1,I52="SBJ"),AND(J52=1,I52=0)),"?IN_FOCUS",IF(J52&lt;=2,"?ACTIVATED",IF(J52&lt;&gt;"","?FAMILIAR",IF(F52="NEW",IF(ISNA(VLOOKUP(E52,#REF!,1,FALSE())),"?TYPE_IDENTIFIABLE","?REFERENTIAL"),"_")))))</f>
        <v/>
      </c>
      <c r="H52" s="23" t="str">
        <f t="shared" ca="1" si="5"/>
        <v/>
      </c>
      <c r="I52" s="24" t="str">
        <f>IF(OR(E52="",E52="!!!",F52="NEW"),"",INDEX(B$2:B51,-1+SUMPRODUCT(MAX(ROW(E$2:E51)*(E52=E$2:E51)))))</f>
        <v/>
      </c>
      <c r="J52" s="24" t="str">
        <f ca="1">IF(OR(E52="",E52="!!!",F52="NEW"),"",COUNTBLANK(OFFSET(A$1,,,SUMPRODUCT(MAX(ROW(E$2:E52)*(E52=E$2:E52)))))-COUNTBLANK(OFFSET(A$1,,,SUMPRODUCT(MAX(ROW(E$1:E51)*(E2=E$1:E51))))))</f>
        <v/>
      </c>
      <c r="K52" s="24" t="str">
        <f>IF(OR(E52="",E52="!!!",F52="NEW"),"",INDEX(J$1:J51,SUMPRODUCT(MAX(ROW(E$1:E51)*(E52=E$1:E51)))))</f>
        <v/>
      </c>
      <c r="L52" s="29"/>
    </row>
    <row r="53" spans="1:12" x14ac:dyDescent="0.3">
      <c r="A53" t="s">
        <v>147</v>
      </c>
      <c r="E53" s="27"/>
      <c r="F53" s="28" t="str">
        <f>IF(OR(E53="",E53="!!!"),"",IF(NOT(ISNA(VLOOKUP(E53,E$1:E52,1,FALSE()))),"OLD",IF(AND(E53&lt;&gt;"",E53&lt;&gt;"!!!"),"NEW","")))</f>
        <v/>
      </c>
      <c r="G53" s="22" t="str">
        <f>IF(OR(E53="",E53="!!!"),"",IF(OR(J53=0,AND(J53=1,K53=1),AND(J53=1,I53="SBJ"),AND(J53=1,I53=0)),"?IN_FOCUS",IF(J53&lt;=2,"?ACTIVATED",IF(J53&lt;&gt;"","?FAMILIAR",IF(F53="NEW",IF(ISNA(VLOOKUP(E53,#REF!,1,FALSE())),"?TYPE_IDENTIFIABLE","?REFERENTIAL"),"_")))))</f>
        <v/>
      </c>
      <c r="H53" s="23" t="str">
        <f t="shared" ca="1" si="5"/>
        <v/>
      </c>
      <c r="I53" s="24" t="str">
        <f>IF(OR(E53="",E53="!!!",F53="NEW"),"",INDEX(B$2:B52,-1+SUMPRODUCT(MAX(ROW(E$2:E52)*(E53=E$2:E52)))))</f>
        <v/>
      </c>
      <c r="J53" s="24" t="str">
        <f ca="1">IF(OR(E53="",E53="!!!",F53="NEW"),"",COUNTBLANK(OFFSET(A$1,,,SUMPRODUCT(MAX(ROW(E$2:E53)*(E53=E$2:E53)))))-COUNTBLANK(OFFSET(A$1,,,SUMPRODUCT(MAX(ROW(E$1:E52)*(E2=E$1:E52))))))</f>
        <v/>
      </c>
      <c r="K53" s="24" t="str">
        <f>IF(OR(E53="",E53="!!!",F53="NEW"),"",INDEX(J$1:J52,SUMPRODUCT(MAX(ROW(E$1:E52)*(E53=E$1:E52)))))</f>
        <v/>
      </c>
      <c r="L53" s="29"/>
    </row>
    <row r="54" spans="1:12" x14ac:dyDescent="0.3">
      <c r="A54" t="s">
        <v>108</v>
      </c>
      <c r="E54" s="27"/>
      <c r="F54" s="28" t="str">
        <f>IF(OR(E54="",E54="!!!"),"",IF(NOT(ISNA(VLOOKUP(E54,E$1:E53,1,FALSE()))),"OLD",IF(AND(E54&lt;&gt;"",E54&lt;&gt;"!!!"),"NEW","")))</f>
        <v/>
      </c>
      <c r="G54" s="22" t="str">
        <f>IF(OR(E54="",E54="!!!"),"",IF(OR(J54=0,AND(J54=1,K54=1),AND(J54=1,I54="SBJ"),AND(J54=1,I54=0)),"?IN_FOCUS",IF(J54&lt;=2,"?ACTIVATED",IF(J54&lt;&gt;"","?FAMILIAR",IF(F54="NEW",IF(ISNA(VLOOKUP(E54,#REF!,1,FALSE())),"?TYPE_IDENTIFIABLE","?REFERENTIAL"),"_")))))</f>
        <v/>
      </c>
      <c r="H54" s="23" t="str">
        <f t="shared" ca="1" si="5"/>
        <v/>
      </c>
      <c r="I54" s="24" t="str">
        <f>IF(OR(E54="",E54="!!!",F54="NEW"),"",INDEX(B$2:B53,-1+SUMPRODUCT(MAX(ROW(E$2:E53)*(E54=E$2:E53)))))</f>
        <v/>
      </c>
      <c r="J54" s="24" t="str">
        <f ca="1">IF(OR(E54="",E54="!!!",F54="NEW"),"",COUNTBLANK(OFFSET(A$1,,,SUMPRODUCT(MAX(ROW(E$2:E54)*(E54=E$2:E54)))))-COUNTBLANK(OFFSET(A$1,,,SUMPRODUCT(MAX(ROW(E$1:E53)*(E2=E$1:E53))))))</f>
        <v/>
      </c>
      <c r="K54" s="24" t="str">
        <f>IF(OR(E54="",E54="!!!",F54="NEW"),"",INDEX(J$1:J53,SUMPRODUCT(MAX(ROW(E$1:E53)*(E54=E$1:E53)))))</f>
        <v/>
      </c>
      <c r="L54" s="29"/>
    </row>
    <row r="55" spans="1:12" x14ac:dyDescent="0.3">
      <c r="A55" t="s">
        <v>109</v>
      </c>
      <c r="B55" s="26" t="s">
        <v>140</v>
      </c>
      <c r="E55" s="27"/>
      <c r="F55" s="28" t="str">
        <f>IF(OR(E55="",E55="!!!"),"",IF(NOT(ISNA(VLOOKUP(E55,E$1:E54,1,FALSE()))),"OLD",IF(AND(E55&lt;&gt;"",E55&lt;&gt;"!!!"),"NEW","")))</f>
        <v/>
      </c>
      <c r="G55" s="22" t="str">
        <f>IF(OR(E55="",E55="!!!"),"",IF(OR(J55=0,AND(J55=1,K55=1),AND(J55=1,I55="SBJ"),AND(J55=1,I55=0)),"?IN_FOCUS",IF(J55&lt;=2,"?ACTIVATED",IF(J55&lt;&gt;"","?FAMILIAR",IF(F55="NEW",IF(ISNA(VLOOKUP(E55,#REF!,1,FALSE())),"?TYPE_IDENTIFIABLE","?REFERENTIAL"),"_")))))</f>
        <v/>
      </c>
      <c r="H55" s="23" t="str">
        <f t="shared" ca="1" si="5"/>
        <v/>
      </c>
      <c r="I55" s="24" t="str">
        <f>IF(OR(E55="",E55="!!!",F55="NEW"),"",INDEX(B$2:B54,-1+SUMPRODUCT(MAX(ROW(E$2:E54)*(E55=E$2:E54)))))</f>
        <v/>
      </c>
      <c r="J55" s="24" t="str">
        <f ca="1">IF(OR(E55="",E55="!!!",F55="NEW"),"",COUNTBLANK(OFFSET(A$1,,,SUMPRODUCT(MAX(ROW(E$2:E55)*(E55=E$2:E55)))))-COUNTBLANK(OFFSET(A$1,,,SUMPRODUCT(MAX(ROW(E$1:E54)*(E2=E$1:E54))))))</f>
        <v/>
      </c>
      <c r="K55" s="24" t="str">
        <f>IF(OR(E55="",E55="!!!",F55="NEW"),"",INDEX(J$1:J54,SUMPRODUCT(MAX(ROW(E$1:E54)*(E55=E$1:E54)))))</f>
        <v/>
      </c>
      <c r="L55" s="29"/>
    </row>
    <row r="56" spans="1:12" x14ac:dyDescent="0.3">
      <c r="A56" t="s">
        <v>148</v>
      </c>
      <c r="B56" s="26" t="s">
        <v>143</v>
      </c>
      <c r="C56" s="26" t="s">
        <v>141</v>
      </c>
      <c r="D56" s="26" t="s">
        <v>98</v>
      </c>
      <c r="E56" s="27" t="s">
        <v>326</v>
      </c>
      <c r="F56" s="28" t="str">
        <f>IF(OR(E56="",E56="!!!"),"",IF(NOT(ISNA(VLOOKUP(E56,E$1:E55,1,FALSE()))),"OLD",IF(AND(E56&lt;&gt;"",E56&lt;&gt;"!!!"),"NEW","")))</f>
        <v>OLD</v>
      </c>
      <c r="G56" s="22" t="str">
        <f ca="1">IF(OR(E56="",E56="!!!"),"",IF(OR(J56=0,AND(J56=1,K56=1),AND(J56=1,I56="SBJ"),AND(J56=1,I56=0)),"?IN_FOCUS",IF(J56&lt;=2,"?ACTIVATED",IF(J56&lt;&gt;"","?FAMILIAR",IF(F56="NEW",IF(ISNA(VLOOKUP(E56,#REF!,1,FALSE())),"?TYPE_IDENTIFIABLE","?REFERENTIAL"),"_")))))</f>
        <v>?IN_FOCUS</v>
      </c>
      <c r="H56" s="23" t="str">
        <f t="shared" ca="1" si="5"/>
        <v/>
      </c>
      <c r="I56" s="24" t="str">
        <f>IF(OR(E56="",E56="!!!",F56="NEW"),"",INDEX(B$2:B55,-1+SUMPRODUCT(MAX(ROW(E$2:E55)*(E56=E$2:E55)))))</f>
        <v>other_2</v>
      </c>
      <c r="J56" s="24">
        <f ca="1">IF(OR(E56="",E56="!!!",F56="NEW"),"",COUNTBLANK(OFFSET(A$1,,,SUMPRODUCT(MAX(ROW(E$2:E56)*(E56=E$2:E56)))))-COUNTBLANK(OFFSET(A$1,,,SUMPRODUCT(MAX(ROW(E$1:E55)*(E2=E$1:E55))))))</f>
        <v>0</v>
      </c>
      <c r="K56" s="24">
        <f ca="1">IF(OR(E56="",E56="!!!",F56="NEW"),"",INDEX(J$1:J55,SUMPRODUCT(MAX(ROW(E$1:E55)*(E56=E$1:E55)))))</f>
        <v>0</v>
      </c>
      <c r="L56" s="29"/>
    </row>
    <row r="57" spans="1:12" x14ac:dyDescent="0.3">
      <c r="A57" t="s">
        <v>149</v>
      </c>
      <c r="E57" s="27"/>
      <c r="F57" s="28" t="str">
        <f>IF(OR(E57="",E57="!!!"),"",IF(NOT(ISNA(VLOOKUP(E57,E$1:E56,1,FALSE()))),"OLD",IF(AND(E57&lt;&gt;"",E57&lt;&gt;"!!!"),"NEW","")))</f>
        <v/>
      </c>
      <c r="G57" s="22" t="str">
        <f>IF(OR(E57="",E57="!!!"),"",IF(OR(J57=0,AND(J57=1,K57=1),AND(J57=1,I57="SBJ"),AND(J57=1,I57=0)),"?IN_FOCUS",IF(J57&lt;=2,"?ACTIVATED",IF(J57&lt;&gt;"","?FAMILIAR",IF(F57="NEW",IF(ISNA(VLOOKUP(E57,#REF!,1,FALSE())),"?TYPE_IDENTIFIABLE","?REFERENTIAL"),"_")))))</f>
        <v/>
      </c>
      <c r="H57" s="23" t="str">
        <f t="shared" ca="1" si="5"/>
        <v/>
      </c>
      <c r="I57" s="24" t="str">
        <f>IF(OR(E57="",E57="!!!",F57="NEW"),"",INDEX(B$2:B56,-1+SUMPRODUCT(MAX(ROW(E$2:E56)*(E57=E$2:E56)))))</f>
        <v/>
      </c>
      <c r="J57" s="24" t="str">
        <f ca="1">IF(OR(E57="",E57="!!!",F57="NEW"),"",COUNTBLANK(OFFSET(A$1,,,SUMPRODUCT(MAX(ROW(E$2:E57)*(E57=E$2:E57)))))-COUNTBLANK(OFFSET(A$1,,,SUMPRODUCT(MAX(ROW(E$1:E56)*(E2=E$1:E56))))))</f>
        <v/>
      </c>
      <c r="K57" s="24" t="str">
        <f>IF(OR(E57="",E57="!!!",F57="NEW"),"",INDEX(J$1:J56,SUMPRODUCT(MAX(ROW(E$1:E56)*(E57=E$1:E56)))))</f>
        <v/>
      </c>
      <c r="L57" s="29"/>
    </row>
    <row r="58" spans="1:12" x14ac:dyDescent="0.3">
      <c r="A58" t="s">
        <v>150</v>
      </c>
      <c r="E58" s="27"/>
      <c r="F58" s="28" t="str">
        <f>IF(OR(E58="",E58="!!!"),"",IF(NOT(ISNA(VLOOKUP(E58,E$1:E57,1,FALSE()))),"OLD",IF(AND(E58&lt;&gt;"",E58&lt;&gt;"!!!"),"NEW","")))</f>
        <v/>
      </c>
      <c r="G58" s="22" t="str">
        <f>IF(OR(E58="",E58="!!!"),"",IF(OR(J58=0,AND(J58=1,K58=1),AND(J58=1,I58="SBJ"),AND(J58=1,I58=0)),"?IN_FOCUS",IF(J58&lt;=2,"?ACTIVATED",IF(J58&lt;&gt;"","?FAMILIAR",IF(F58="NEW",IF(ISNA(VLOOKUP(E58,#REF!,1,FALSE())),"?TYPE_IDENTIFIABLE","?REFERENTIAL"),"_")))))</f>
        <v/>
      </c>
      <c r="H58" s="23" t="str">
        <f t="shared" ca="1" si="5"/>
        <v/>
      </c>
      <c r="I58" s="24" t="str">
        <f>IF(OR(E58="",E58="!!!",F58="NEW"),"",INDEX(B$2:B57,-1+SUMPRODUCT(MAX(ROW(E$2:E57)*(E58=E$2:E57)))))</f>
        <v/>
      </c>
      <c r="J58" s="24" t="str">
        <f ca="1">IF(OR(E58="",E58="!!!",F58="NEW"),"",COUNTBLANK(OFFSET(A$1,,,SUMPRODUCT(MAX(ROW(E$2:E58)*(E58=E$2:E58)))))-COUNTBLANK(OFFSET(A$1,,,SUMPRODUCT(MAX(ROW(E$1:E57)*(E2=E$1:E57))))))</f>
        <v/>
      </c>
      <c r="K58" s="24" t="str">
        <f>IF(OR(E58="",E58="!!!",F58="NEW"),"",INDEX(J$1:J57,SUMPRODUCT(MAX(ROW(E$1:E57)*(E58=E$1:E57)))))</f>
        <v/>
      </c>
      <c r="L58" s="29"/>
    </row>
    <row r="59" spans="1:12" x14ac:dyDescent="0.3">
      <c r="A59" t="s">
        <v>151</v>
      </c>
      <c r="E59" s="27"/>
      <c r="F59" s="28" t="str">
        <f>IF(OR(E59="",E59="!!!"),"",IF(NOT(ISNA(VLOOKUP(E59,E$1:E58,1,FALSE()))),"OLD",IF(AND(E59&lt;&gt;"",E59&lt;&gt;"!!!"),"NEW","")))</f>
        <v/>
      </c>
      <c r="G59" s="22" t="str">
        <f>IF(OR(E59="",E59="!!!"),"",IF(OR(J59=0,AND(J59=1,K59=1),AND(J59=1,I59="SBJ"),AND(J59=1,I59=0)),"?IN_FOCUS",IF(J59&lt;=2,"?ACTIVATED",IF(J59&lt;&gt;"","?FAMILIAR",IF(F59="NEW",IF(ISNA(VLOOKUP(E59,#REF!,1,FALSE())),"?TYPE_IDENTIFIABLE","?REFERENTIAL"),"_")))))</f>
        <v/>
      </c>
      <c r="H59" s="23" t="str">
        <f t="shared" ca="1" si="5"/>
        <v/>
      </c>
      <c r="I59" s="24" t="str">
        <f>IF(OR(E59="",E59="!!!",F59="NEW"),"",INDEX(B$2:B58,-1+SUMPRODUCT(MAX(ROW(E$2:E58)*(E59=E$2:E58)))))</f>
        <v/>
      </c>
      <c r="J59" s="24" t="str">
        <f ca="1">IF(OR(E59="",E59="!!!",F59="NEW"),"",COUNTBLANK(OFFSET(A$1,,,SUMPRODUCT(MAX(ROW(E$2:E59)*(E59=E$2:E59)))))-COUNTBLANK(OFFSET(A$1,,,SUMPRODUCT(MAX(ROW(E$1:E58)*(E2=E$1:E58))))))</f>
        <v/>
      </c>
      <c r="K59" s="24" t="str">
        <f>IF(OR(E59="",E59="!!!",F59="NEW"),"",INDEX(J$1:J58,SUMPRODUCT(MAX(ROW(E$1:E58)*(E59=E$1:E58)))))</f>
        <v/>
      </c>
      <c r="L59" s="29"/>
    </row>
    <row r="60" spans="1:12" x14ac:dyDescent="0.3">
      <c r="A60" t="s">
        <v>108</v>
      </c>
      <c r="E60" s="27"/>
      <c r="F60" s="28" t="str">
        <f>IF(OR(E60="",E60="!!!"),"",IF(NOT(ISNA(VLOOKUP(E60,E$1:E59,1,FALSE()))),"OLD",IF(AND(E60&lt;&gt;"",E60&lt;&gt;"!!!"),"NEW","")))</f>
        <v/>
      </c>
      <c r="G60" s="22" t="str">
        <f>IF(OR(E60="",E60="!!!"),"",IF(OR(J60=0,AND(J60=1,K60=1),AND(J60=1,I60="SBJ"),AND(J60=1,I60=0)),"?IN_FOCUS",IF(J60&lt;=2,"?ACTIVATED",IF(J60&lt;&gt;"","?FAMILIAR",IF(F60="NEW",IF(ISNA(VLOOKUP(E60,#REF!,1,FALSE())),"?TYPE_IDENTIFIABLE","?REFERENTIAL"),"_")))))</f>
        <v/>
      </c>
      <c r="H60" s="23" t="str">
        <f t="shared" ca="1" si="5"/>
        <v/>
      </c>
      <c r="I60" s="24" t="str">
        <f>IF(OR(E60="",E60="!!!",F60="NEW"),"",INDEX(B$2:B59,-1+SUMPRODUCT(MAX(ROW(E$2:E59)*(E60=E$2:E59)))))</f>
        <v/>
      </c>
      <c r="J60" s="24" t="str">
        <f ca="1">IF(OR(E60="",E60="!!!",F60="NEW"),"",COUNTBLANK(OFFSET(A$1,,,SUMPRODUCT(MAX(ROW(E$2:E60)*(E60=E$2:E60)))))-COUNTBLANK(OFFSET(A$1,,,SUMPRODUCT(MAX(ROW(E$1:E59)*(E2=E$1:E59))))))</f>
        <v/>
      </c>
      <c r="K60" s="24" t="str">
        <f>IF(OR(E60="",E60="!!!",F60="NEW"),"",INDEX(J$1:J59,SUMPRODUCT(MAX(ROW(E$1:E59)*(E60=E$1:E59)))))</f>
        <v/>
      </c>
      <c r="L60" s="29"/>
    </row>
    <row r="61" spans="1:12" x14ac:dyDescent="0.3">
      <c r="A61" t="s">
        <v>152</v>
      </c>
      <c r="E61" s="27"/>
      <c r="F61" s="28" t="str">
        <f>IF(OR(E61="",E61="!!!"),"",IF(NOT(ISNA(VLOOKUP(E61,E$1:E60,1,FALSE()))),"OLD",IF(AND(E61&lt;&gt;"",E61&lt;&gt;"!!!"),"NEW","")))</f>
        <v/>
      </c>
      <c r="G61" s="22" t="str">
        <f>IF(OR(E61="",E61="!!!"),"",IF(OR(J61=0,AND(J61=1,K61=1),AND(J61=1,I61="SBJ"),AND(J61=1,I61=0)),"?IN_FOCUS",IF(J61&lt;=2,"?ACTIVATED",IF(J61&lt;&gt;"","?FAMILIAR",IF(F61="NEW",IF(ISNA(VLOOKUP(E61,#REF!,1,FALSE())),"?TYPE_IDENTIFIABLE","?REFERENTIAL"),"_")))))</f>
        <v/>
      </c>
      <c r="H61" s="23" t="str">
        <f t="shared" ca="1" si="5"/>
        <v/>
      </c>
      <c r="I61" s="24" t="str">
        <f>IF(OR(E61="",E61="!!!",F61="NEW"),"",INDEX(B$2:B60,-1+SUMPRODUCT(MAX(ROW(E$2:E60)*(E61=E$2:E60)))))</f>
        <v/>
      </c>
      <c r="J61" s="24" t="str">
        <f ca="1">IF(OR(E61="",E61="!!!",F61="NEW"),"",COUNTBLANK(OFFSET(A$1,,,SUMPRODUCT(MAX(ROW(E$2:E61)*(E61=E$2:E61)))))-COUNTBLANK(OFFSET(A$1,,,SUMPRODUCT(MAX(ROW(E$1:E60)*(E2=E$1:E60))))))</f>
        <v/>
      </c>
      <c r="K61" s="24" t="str">
        <f>IF(OR(E61="",E61="!!!",F61="NEW"),"",INDEX(J$1:J60,SUMPRODUCT(MAX(ROW(E$1:E60)*(E61=E$1:E60)))))</f>
        <v/>
      </c>
      <c r="L61" s="29"/>
    </row>
    <row r="62" spans="1:12" x14ac:dyDescent="0.3">
      <c r="A62" t="s">
        <v>153</v>
      </c>
      <c r="E62" s="27"/>
      <c r="F62" s="28" t="str">
        <f>IF(OR(E62="",E62="!!!"),"",IF(NOT(ISNA(VLOOKUP(E62,E$1:E61,1,FALSE()))),"OLD",IF(AND(E62&lt;&gt;"",E62&lt;&gt;"!!!"),"NEW","")))</f>
        <v/>
      </c>
      <c r="G62" s="22" t="str">
        <f>IF(OR(E62="",E62="!!!"),"",IF(OR(J62=0,AND(J62=1,K62=1),AND(J62=1,I62="SBJ"),AND(J62=1,I62=0)),"?IN_FOCUS",IF(J62&lt;=2,"?ACTIVATED",IF(J62&lt;&gt;"","?FAMILIAR",IF(F62="NEW",IF(ISNA(VLOOKUP(E62,#REF!,1,FALSE())),"?TYPE_IDENTIFIABLE","?REFERENTIAL"),"_")))))</f>
        <v/>
      </c>
      <c r="H62" s="23" t="str">
        <f t="shared" ca="1" si="5"/>
        <v/>
      </c>
      <c r="I62" s="24" t="str">
        <f>IF(OR(E62="",E62="!!!",F62="NEW"),"",INDEX(B$2:B61,-1+SUMPRODUCT(MAX(ROW(E$2:E61)*(E62=E$2:E61)))))</f>
        <v/>
      </c>
      <c r="J62" s="24" t="str">
        <f ca="1">IF(OR(E62="",E62="!!!",F62="NEW"),"",COUNTBLANK(OFFSET(A$1,,,SUMPRODUCT(MAX(ROW(E$2:E62)*(E62=E$2:E62)))))-COUNTBLANK(OFFSET(A$1,,,SUMPRODUCT(MAX(ROW(E$1:E61)*(E2=E$1:E61))))))</f>
        <v/>
      </c>
      <c r="K62" s="24" t="str">
        <f>IF(OR(E62="",E62="!!!",F62="NEW"),"",INDEX(J$1:J61,SUMPRODUCT(MAX(ROW(E$1:E61)*(E62=E$1:E61)))))</f>
        <v/>
      </c>
      <c r="L62" s="29"/>
    </row>
    <row r="63" spans="1:12" x14ac:dyDescent="0.3">
      <c r="A63" t="s">
        <v>154</v>
      </c>
      <c r="E63" s="27"/>
      <c r="F63" s="28" t="str">
        <f>IF(OR(E63="",E63="!!!"),"",IF(NOT(ISNA(VLOOKUP(E63,E$1:E62,1,FALSE()))),"OLD",IF(AND(E63&lt;&gt;"",E63&lt;&gt;"!!!"),"NEW","")))</f>
        <v/>
      </c>
      <c r="G63" s="22" t="str">
        <f>IF(OR(E63="",E63="!!!"),"",IF(OR(J63=0,AND(J63=1,K63=1),AND(J63=1,I63="SBJ"),AND(J63=1,I63=0)),"?IN_FOCUS",IF(J63&lt;=2,"?ACTIVATED",IF(J63&lt;&gt;"","?FAMILIAR",IF(F63="NEW",IF(ISNA(VLOOKUP(E63,#REF!,1,FALSE())),"?TYPE_IDENTIFIABLE","?REFERENTIAL"),"_")))))</f>
        <v/>
      </c>
      <c r="H63" s="23" t="str">
        <f t="shared" ca="1" si="5"/>
        <v/>
      </c>
      <c r="I63" s="24" t="str">
        <f>IF(OR(E63="",E63="!!!",F63="NEW"),"",INDEX(B$2:B62,-1+SUMPRODUCT(MAX(ROW(E$2:E62)*(E63=E$2:E62)))))</f>
        <v/>
      </c>
      <c r="J63" s="24" t="str">
        <f ca="1">IF(OR(E63="",E63="!!!",F63="NEW"),"",COUNTBLANK(OFFSET(A$1,,,SUMPRODUCT(MAX(ROW(E$2:E63)*(E63=E$2:E63)))))-COUNTBLANK(OFFSET(A$1,,,SUMPRODUCT(MAX(ROW(E$1:E62)*(E2=E$1:E62))))))</f>
        <v/>
      </c>
      <c r="K63" s="24" t="str">
        <f>IF(OR(E63="",E63="!!!",F63="NEW"),"",INDEX(J$1:J62,SUMPRODUCT(MAX(ROW(E$1:E62)*(E63=E$1:E62)))))</f>
        <v/>
      </c>
      <c r="L63" s="29"/>
    </row>
    <row r="64" spans="1:12" x14ac:dyDescent="0.3">
      <c r="A64" t="s">
        <v>155</v>
      </c>
      <c r="B64" s="26" t="s">
        <v>140</v>
      </c>
      <c r="C64" s="26" t="s">
        <v>141</v>
      </c>
      <c r="D64" s="26" t="s">
        <v>98</v>
      </c>
      <c r="E64" s="27"/>
      <c r="F64" s="28" t="s">
        <v>330</v>
      </c>
      <c r="G64" s="22" t="str">
        <f>IF(OR(E64="",E64="!!!"),"",IF(OR(J64=0,AND(J64=1,K64=1),AND(J64=1,I64="SBJ"),AND(J64=1,I64=0)),"?IN_FOCUS",IF(J64&lt;=2,"?ACTIVATED",IF(J64&lt;&gt;"","?FAMILIAR",IF(F64="NEW",IF(ISNA(VLOOKUP(E64,#REF!,1,FALSE())),"?TYPE_IDENTIFIABLE","?REFERENTIAL"),"_")))))</f>
        <v/>
      </c>
      <c r="H64" s="23" t="str">
        <f t="shared" ca="1" si="5"/>
        <v/>
      </c>
      <c r="I64" s="24" t="str">
        <f>IF(OR(E64="",E64="!!!",F64="NEW"),"",INDEX(B$2:B63,-1+SUMPRODUCT(MAX(ROW(E$2:E63)*(E64=E$2:E63)))))</f>
        <v/>
      </c>
      <c r="J64" s="24" t="str">
        <f ca="1">IF(OR(E64="",E64="!!!",F64="NEW"),"",COUNTBLANK(OFFSET(A$1,,,SUMPRODUCT(MAX(ROW(E$2:E64)*(E64=E$2:E64)))))-COUNTBLANK(OFFSET(A$1,,,SUMPRODUCT(MAX(ROW(E$1:E63)*(E2=E$1:E63))))))</f>
        <v/>
      </c>
      <c r="K64" s="24" t="str">
        <f>IF(OR(E64="",E64="!!!",F64="NEW"),"",INDEX(J$1:J63,SUMPRODUCT(MAX(ROW(E$1:E63)*(E64=E$1:E63)))))</f>
        <v/>
      </c>
      <c r="L64" s="29"/>
    </row>
    <row r="65" spans="1:12" x14ac:dyDescent="0.3">
      <c r="A65" t="s">
        <v>156</v>
      </c>
      <c r="E65" s="27"/>
      <c r="F65" s="28" t="str">
        <f>IF(OR(E65="",E65="!!!"),"",IF(NOT(ISNA(VLOOKUP(E65,E$1:E64,1,FALSE()))),"OLD",IF(AND(E65&lt;&gt;"",E65&lt;&gt;"!!!"),"NEW","")))</f>
        <v/>
      </c>
      <c r="G65" s="22" t="str">
        <f>IF(OR(E65="",E65="!!!"),"",IF(OR(J65=0,AND(J65=1,K65=1),AND(J65=1,I65="SBJ"),AND(J65=1,I65=0)),"?IN_FOCUS",IF(J65&lt;=2,"?ACTIVATED",IF(J65&lt;&gt;"","?FAMILIAR",IF(F65="NEW",IF(ISNA(VLOOKUP(E65,#REF!,1,FALSE())),"?TYPE_IDENTIFIABLE","?REFERENTIAL"),"_")))))</f>
        <v/>
      </c>
      <c r="H65" s="23" t="str">
        <f t="shared" ca="1" si="5"/>
        <v/>
      </c>
      <c r="I65" s="24" t="str">
        <f>IF(OR(E65="",E65="!!!",F65="NEW"),"",INDEX(B$2:B64,-1+SUMPRODUCT(MAX(ROW(E$2:E64)*(E65=E$2:E64)))))</f>
        <v/>
      </c>
      <c r="J65" s="24" t="str">
        <f ca="1">IF(OR(E65="",E65="!!!",F65="NEW"),"",COUNTBLANK(OFFSET(A$1,,,SUMPRODUCT(MAX(ROW(E$2:E65)*(E65=E$2:E65)))))-COUNTBLANK(OFFSET(A$1,,,SUMPRODUCT(MAX(ROW(E$1:E64)*(E2=E$1:E64))))))</f>
        <v/>
      </c>
      <c r="K65" s="24" t="str">
        <f>IF(OR(E65="",E65="!!!",F65="NEW"),"",INDEX(J$1:J64,SUMPRODUCT(MAX(ROW(E$1:E64)*(E65=E$1:E64)))))</f>
        <v/>
      </c>
      <c r="L65" s="29"/>
    </row>
    <row r="66" spans="1:12" x14ac:dyDescent="0.3">
      <c r="A66" t="s">
        <v>148</v>
      </c>
      <c r="B66" s="26" t="s">
        <v>101</v>
      </c>
      <c r="C66" s="26" t="s">
        <v>141</v>
      </c>
      <c r="D66" s="26" t="s">
        <v>98</v>
      </c>
      <c r="E66" s="27" t="s">
        <v>326</v>
      </c>
      <c r="F66" s="28" t="str">
        <f>IF(OR(E66="",E66="!!!"),"",IF(NOT(ISNA(VLOOKUP(E66,E$1:E65,1,FALSE()))),"OLD",IF(AND(E66&lt;&gt;"",E66&lt;&gt;"!!!"),"NEW","")))</f>
        <v>OLD</v>
      </c>
      <c r="G66" s="22" t="str">
        <f ca="1">IF(OR(E66="",E66="!!!"),"",IF(OR(J66=0,AND(J66=1,K66=1),AND(J66=1,I66="SBJ"),AND(J66=1,I66=0)),"?IN_FOCUS",IF(J66&lt;=2,"?ACTIVATED",IF(J66&lt;&gt;"","?FAMILIAR",IF(F66="NEW",IF(ISNA(VLOOKUP(E66,#REF!,1,FALSE())),"?TYPE_IDENTIFIABLE","?REFERENTIAL"),"_")))))</f>
        <v>?IN_FOCUS</v>
      </c>
      <c r="H66" s="23" t="str">
        <f t="shared" ca="1" si="5"/>
        <v/>
      </c>
      <c r="I66" s="24" t="str">
        <f>IF(OR(E66="",E66="!!!",F66="NEW"),"",INDEX(B$2:B65,-1+SUMPRODUCT(MAX(ROW(E$2:E65)*(E66=E$2:E65)))))</f>
        <v>OBJ_2</v>
      </c>
      <c r="J66" s="24">
        <f ca="1">IF(OR(E66="",E66="!!!",F66="NEW"),"",COUNTBLANK(OFFSET(A$1,,,SUMPRODUCT(MAX(ROW(E$2:E66)*(E66=E$2:E66)))))-COUNTBLANK(OFFSET(A$1,,,SUMPRODUCT(MAX(ROW(E$1:E65)*(E2=E$1:E65))))))</f>
        <v>0</v>
      </c>
      <c r="K66" s="24">
        <f ca="1">IF(OR(E66="",E66="!!!",F66="NEW"),"",INDEX(J$1:J65,SUMPRODUCT(MAX(ROW(E$1:E65)*(E66=E$1:E65)))))</f>
        <v>0</v>
      </c>
      <c r="L66" s="29"/>
    </row>
    <row r="67" spans="1:12" x14ac:dyDescent="0.3">
      <c r="A67" t="s">
        <v>157</v>
      </c>
      <c r="E67" s="27"/>
      <c r="F67" s="28" t="str">
        <f>IF(OR(E67="",E67="!!!"),"",IF(NOT(ISNA(VLOOKUP(E67,E$1:E66,1,FALSE()))),"OLD",IF(AND(E67&lt;&gt;"",E67&lt;&gt;"!!!"),"NEW","")))</f>
        <v/>
      </c>
      <c r="G67" s="22" t="str">
        <f>IF(OR(E67="",E67="!!!"),"",IF(OR(J67=0,AND(J67=1,K67=1),AND(J67=1,I67="SBJ"),AND(J67=1,I67=0)),"?IN_FOCUS",IF(J67&lt;=2,"?ACTIVATED",IF(J67&lt;&gt;"","?FAMILIAR",IF(F67="NEW",IF(ISNA(VLOOKUP(E67,#REF!,1,FALSE())),"?TYPE_IDENTIFIABLE","?REFERENTIAL"),"_")))))</f>
        <v/>
      </c>
      <c r="H67" s="23" t="str">
        <f t="shared" ca="1" si="5"/>
        <v/>
      </c>
      <c r="I67" s="24" t="str">
        <f>IF(OR(E67="",E67="!!!",F67="NEW"),"",INDEX(B$2:B66,-1+SUMPRODUCT(MAX(ROW(E$2:E66)*(E67=E$2:E66)))))</f>
        <v/>
      </c>
      <c r="J67" s="24" t="str">
        <f ca="1">IF(OR(E67="",E67="!!!",F67="NEW"),"",COUNTBLANK(OFFSET(A$1,,,SUMPRODUCT(MAX(ROW(E$2:E67)*(E67=E$2:E67)))))-COUNTBLANK(OFFSET(A$1,,,SUMPRODUCT(MAX(ROW(E$1:E66)*(E2=E$1:E66))))))</f>
        <v/>
      </c>
      <c r="K67" s="24" t="str">
        <f>IF(OR(E67="",E67="!!!",F67="NEW"),"",INDEX(J$1:J66,SUMPRODUCT(MAX(ROW(E$1:E66)*(E67=E$1:E66)))))</f>
        <v/>
      </c>
      <c r="L67" s="29"/>
    </row>
    <row r="68" spans="1:12" x14ac:dyDescent="0.3">
      <c r="A68" t="s">
        <v>158</v>
      </c>
      <c r="E68" s="27"/>
      <c r="F68" s="28" t="str">
        <f>IF(OR(E68="",E68="!!!"),"",IF(NOT(ISNA(VLOOKUP(E68,E$1:E67,1,FALSE()))),"OLD",IF(AND(E68&lt;&gt;"",E68&lt;&gt;"!!!"),"NEW","")))</f>
        <v/>
      </c>
      <c r="G68" s="22" t="str">
        <f>IF(OR(E68="",E68="!!!"),"",IF(OR(J68=0,AND(J68=1,K68=1),AND(J68=1,I68="SBJ"),AND(J68=1,I68=0)),"?IN_FOCUS",IF(J68&lt;=2,"?ACTIVATED",IF(J68&lt;&gt;"","?FAMILIAR",IF(F68="NEW",IF(ISNA(VLOOKUP(E68,#REF!,1,FALSE())),"?TYPE_IDENTIFIABLE","?REFERENTIAL"),"_")))))</f>
        <v/>
      </c>
      <c r="H68" s="23" t="str">
        <f t="shared" ca="1" si="5"/>
        <v/>
      </c>
      <c r="I68" s="24" t="str">
        <f>IF(OR(E68="",E68="!!!",F68="NEW"),"",INDEX(B$2:B67,-1+SUMPRODUCT(MAX(ROW(E$2:E67)*(E68=E$2:E67)))))</f>
        <v/>
      </c>
      <c r="J68" s="24" t="str">
        <f ca="1">IF(OR(E68="",E68="!!!",F68="NEW"),"",COUNTBLANK(OFFSET(A$1,,,SUMPRODUCT(MAX(ROW(E$2:E68)*(E68=E$2:E68)))))-COUNTBLANK(OFFSET(A$1,,,SUMPRODUCT(MAX(ROW(E$1:E67)*(E2=E$1:E67))))))</f>
        <v/>
      </c>
      <c r="K68" s="24" t="str">
        <f>IF(OR(E68="",E68="!!!",F68="NEW"),"",INDEX(J$1:J67,SUMPRODUCT(MAX(ROW(E$1:E67)*(E68=E$1:E67)))))</f>
        <v/>
      </c>
      <c r="L68" s="29"/>
    </row>
    <row r="69" spans="1:12" x14ac:dyDescent="0.3">
      <c r="A69" t="s">
        <v>129</v>
      </c>
      <c r="E69" s="27"/>
      <c r="F69" s="28" t="str">
        <f>IF(OR(E69="",E69="!!!"),"",IF(NOT(ISNA(VLOOKUP(E69,E$1:E68,1,FALSE()))),"OLD",IF(AND(E69&lt;&gt;"",E69&lt;&gt;"!!!"),"NEW","")))</f>
        <v/>
      </c>
      <c r="G69" s="22" t="str">
        <f>IF(OR(E69="",E69="!!!"),"",IF(OR(J69=0,AND(J69=1,K69=1),AND(J69=1,I69="SBJ"),AND(J69=1,I69=0)),"?IN_FOCUS",IF(J69&lt;=2,"?ACTIVATED",IF(J69&lt;&gt;"","?FAMILIAR",IF(F69="NEW",IF(ISNA(VLOOKUP(E69,#REF!,1,FALSE())),"?TYPE_IDENTIFIABLE","?REFERENTIAL"),"_")))))</f>
        <v/>
      </c>
      <c r="H69" s="23" t="str">
        <f t="shared" ca="1" si="5"/>
        <v/>
      </c>
      <c r="I69" s="24" t="str">
        <f>IF(OR(E69="",E69="!!!",F69="NEW"),"",INDEX(B$2:B68,-1+SUMPRODUCT(MAX(ROW(E$2:E68)*(E69=E$2:E68)))))</f>
        <v/>
      </c>
      <c r="J69" s="24" t="str">
        <f ca="1">IF(OR(E69="",E69="!!!",F69="NEW"),"",COUNTBLANK(OFFSET(A$1,,,SUMPRODUCT(MAX(ROW(E$2:E69)*(E69=E$2:E69)))))-COUNTBLANK(OFFSET(A$1,,,SUMPRODUCT(MAX(ROW(E$1:E68)*(E2=E$1:E68))))))</f>
        <v/>
      </c>
      <c r="K69" s="24" t="str">
        <f>IF(OR(E69="",E69="!!!",F69="NEW"),"",INDEX(J$1:J68,SUMPRODUCT(MAX(ROW(E$1:E68)*(E69=E$1:E68)))))</f>
        <v/>
      </c>
      <c r="L69" s="29"/>
    </row>
    <row r="70" spans="1:12" x14ac:dyDescent="0.3">
      <c r="A70" t="s">
        <v>152</v>
      </c>
      <c r="E70" s="27"/>
      <c r="F70" s="28" t="str">
        <f>IF(OR(E70="",E70="!!!"),"",IF(NOT(ISNA(VLOOKUP(E70,E$1:E69,1,FALSE()))),"OLD",IF(AND(E70&lt;&gt;"",E70&lt;&gt;"!!!"),"NEW","")))</f>
        <v/>
      </c>
      <c r="G70" s="22" t="str">
        <f>IF(OR(E70="",E70="!!!"),"",IF(OR(J70=0,AND(J70=1,K70=1),AND(J70=1,I70="SBJ"),AND(J70=1,I70=0)),"?IN_FOCUS",IF(J70&lt;=2,"?ACTIVATED",IF(J70&lt;&gt;"","?FAMILIAR",IF(F70="NEW",IF(ISNA(VLOOKUP(E70,#REF!,1,FALSE())),"?TYPE_IDENTIFIABLE","?REFERENTIAL"),"_")))))</f>
        <v/>
      </c>
      <c r="H70" s="23" t="str">
        <f t="shared" ca="1" si="5"/>
        <v/>
      </c>
      <c r="I70" s="24" t="str">
        <f>IF(OR(E70="",E70="!!!",F70="NEW"),"",INDEX(B$2:B69,-1+SUMPRODUCT(MAX(ROW(E$2:E69)*(E70=E$2:E69)))))</f>
        <v/>
      </c>
      <c r="J70" s="24" t="str">
        <f ca="1">IF(OR(E70="",E70="!!!",F70="NEW"),"",COUNTBLANK(OFFSET(A$1,,,SUMPRODUCT(MAX(ROW(E$2:E70)*(E70=E$2:E70)))))-COUNTBLANK(OFFSET(A$1,,,SUMPRODUCT(MAX(ROW(E$1:E69)*(E2=E$1:E69))))))</f>
        <v/>
      </c>
      <c r="K70" s="24" t="str">
        <f>IF(OR(E70="",E70="!!!",F70="NEW"),"",INDEX(J$1:J69,SUMPRODUCT(MAX(ROW(E$1:E69)*(E70=E$1:E69)))))</f>
        <v/>
      </c>
      <c r="L70" s="29"/>
    </row>
    <row r="72" spans="1:12" x14ac:dyDescent="0.3">
      <c r="A72" t="s">
        <v>159</v>
      </c>
    </row>
    <row r="73" spans="1:12" x14ac:dyDescent="0.3">
      <c r="A73" t="s">
        <v>132</v>
      </c>
      <c r="E73" s="27"/>
      <c r="F73" s="28" t="str">
        <f>IF(OR(E73="",E73="!!!"),"",IF(NOT(ISNA(VLOOKUP(E73,E$1:E72,1,FALSE()))),"OLD",IF(AND(E73&lt;&gt;"",E73&lt;&gt;"!!!"),"NEW","")))</f>
        <v/>
      </c>
      <c r="G73" s="22" t="str">
        <f>IF(OR(E73="",E73="!!!"),"",IF(OR(J73=0,AND(J73=1,K73=1),AND(J73=1,I73="SBJ"),AND(J73=1,I73=0)),"?IN_FOCUS",IF(J73&lt;=2,"?ACTIVATED",IF(J73&lt;&gt;"","?FAMILIAR",IF(F73="NEW",IF(ISNA(VLOOKUP(E73,#REF!,1,FALSE())),"?TYPE_IDENTIFIABLE","?REFERENTIAL"),"_")))))</f>
        <v/>
      </c>
      <c r="H73" s="23" t="str">
        <f t="shared" ref="H73:H105" ca="1" si="6">IF(J73&lt;&gt;1,"",IF(I73="SBJ","CB","?"))</f>
        <v/>
      </c>
      <c r="I73" s="24" t="str">
        <f>IF(OR(E73="",E73="!!!",F73="NEW"),"",INDEX(B$2:B72,-1+SUMPRODUCT(MAX(ROW(E$2:E72)*(E73=E$2:E72)))))</f>
        <v/>
      </c>
      <c r="J73" s="24" t="str">
        <f ca="1">IF(OR(E73="",E73="!!!",F73="NEW"),"",COUNTBLANK(OFFSET(A$1,,,SUMPRODUCT(MAX(ROW(E$2:E73)*(E73=E$2:E73)))))-COUNTBLANK(OFFSET(A$1,,,SUMPRODUCT(MAX(ROW(E$1:E72)*(E2=E$1:E72))))))</f>
        <v/>
      </c>
      <c r="K73" s="24" t="str">
        <f>IF(OR(E73="",E73="!!!",F73="NEW"),"",INDEX(J$1:J72,SUMPRODUCT(MAX(ROW(E$1:E72)*(E73=E$1:E72)))))</f>
        <v/>
      </c>
      <c r="L73" s="29"/>
    </row>
    <row r="74" spans="1:12" x14ac:dyDescent="0.3">
      <c r="A74" t="s">
        <v>160</v>
      </c>
      <c r="E74" s="27"/>
      <c r="F74" s="28" t="str">
        <f>IF(OR(E74="",E74="!!!"),"",IF(NOT(ISNA(VLOOKUP(E74,E$1:E73,1,FALSE()))),"OLD",IF(AND(E74&lt;&gt;"",E74&lt;&gt;"!!!"),"NEW","")))</f>
        <v/>
      </c>
      <c r="G74" s="22" t="str">
        <f>IF(OR(E74="",E74="!!!"),"",IF(OR(J74=0,AND(J74=1,K74=1),AND(J74=1,I74="SBJ"),AND(J74=1,I74=0)),"?IN_FOCUS",IF(J74&lt;=2,"?ACTIVATED",IF(J74&lt;&gt;"","?FAMILIAR",IF(F74="NEW",IF(ISNA(VLOOKUP(E74,#REF!,1,FALSE())),"?TYPE_IDENTIFIABLE","?REFERENTIAL"),"_")))))</f>
        <v/>
      </c>
      <c r="H74" s="23" t="str">
        <f t="shared" ca="1" si="6"/>
        <v/>
      </c>
      <c r="I74" s="24" t="str">
        <f>IF(OR(E74="",E74="!!!",F74="NEW"),"",INDEX(B$2:B73,-1+SUMPRODUCT(MAX(ROW(E$2:E73)*(E74=E$2:E73)))))</f>
        <v/>
      </c>
      <c r="J74" s="24" t="str">
        <f ca="1">IF(OR(E74="",E74="!!!",F74="NEW"),"",COUNTBLANK(OFFSET(A$1,,,SUMPRODUCT(MAX(ROW(E$2:E74)*(E74=E$2:E74)))))-COUNTBLANK(OFFSET(A$1,,,SUMPRODUCT(MAX(ROW(E$1:E73)*(E2=E$1:E73))))))</f>
        <v/>
      </c>
      <c r="K74" s="24" t="str">
        <f>IF(OR(E74="",E74="!!!",F74="NEW"),"",INDEX(J$1:J73,SUMPRODUCT(MAX(ROW(E$1:E73)*(E74=E$1:E73)))))</f>
        <v/>
      </c>
      <c r="L74" s="29"/>
    </row>
    <row r="75" spans="1:12" x14ac:dyDescent="0.3">
      <c r="A75" t="s">
        <v>121</v>
      </c>
      <c r="E75" s="27"/>
      <c r="F75" s="28" t="str">
        <f>IF(OR(E75="",E75="!!!"),"",IF(NOT(ISNA(VLOOKUP(E75,E$1:E74,1,FALSE()))),"OLD",IF(AND(E75&lt;&gt;"",E75&lt;&gt;"!!!"),"NEW","")))</f>
        <v/>
      </c>
      <c r="G75" s="22" t="str">
        <f>IF(OR(E75="",E75="!!!"),"",IF(OR(J75=0,AND(J75=1,K75=1),AND(J75=1,I75="SBJ"),AND(J75=1,I75=0)),"?IN_FOCUS",IF(J75&lt;=2,"?ACTIVATED",IF(J75&lt;&gt;"","?FAMILIAR",IF(F75="NEW",IF(ISNA(VLOOKUP(E75,#REF!,1,FALSE())),"?TYPE_IDENTIFIABLE","?REFERENTIAL"),"_")))))</f>
        <v/>
      </c>
      <c r="H75" s="23" t="str">
        <f t="shared" ca="1" si="6"/>
        <v/>
      </c>
      <c r="I75" s="24" t="str">
        <f>IF(OR(E75="",E75="!!!",F75="NEW"),"",INDEX(B$2:B74,-1+SUMPRODUCT(MAX(ROW(E$2:E74)*(E75=E$2:E74)))))</f>
        <v/>
      </c>
      <c r="J75" s="24" t="str">
        <f ca="1">IF(OR(E75="",E75="!!!",F75="NEW"),"",COUNTBLANK(OFFSET(A$1,,,SUMPRODUCT(MAX(ROW(E$2:E75)*(E75=E$2:E75)))))-COUNTBLANK(OFFSET(A$1,,,SUMPRODUCT(MAX(ROW(E$1:E74)*(E2=E$1:E74))))))</f>
        <v/>
      </c>
      <c r="K75" s="24" t="str">
        <f>IF(OR(E75="",E75="!!!",F75="NEW"),"",INDEX(J$1:J74,SUMPRODUCT(MAX(ROW(E$1:E74)*(E75=E$1:E74)))))</f>
        <v/>
      </c>
      <c r="L75" s="29"/>
    </row>
    <row r="76" spans="1:12" x14ac:dyDescent="0.3">
      <c r="A76" t="s">
        <v>161</v>
      </c>
      <c r="B76" s="26" t="s">
        <v>114</v>
      </c>
      <c r="C76" s="26" t="s">
        <v>97</v>
      </c>
      <c r="D76" s="26" t="s">
        <v>98</v>
      </c>
      <c r="E76" s="27" t="s">
        <v>331</v>
      </c>
      <c r="F76" s="28" t="s">
        <v>332</v>
      </c>
      <c r="G76" s="22" t="e">
        <f ca="1">IF(OR(E76="",E76="!!!"),"",IF(OR(J76=0,AND(J76=1,K76=1),AND(J76=1,I76="SBJ"),AND(J76=1,I76=0)),"?IN_FOCUS",IF(J76&lt;=2,"?ACTIVATED",IF(J76&lt;&gt;"","?FAMILIAR",IF(F76="NEW",IF(ISNA(VLOOKUP(E76,#REF!,1,FALSE())),"?TYPE_IDENTIFIABLE","?REFERENTIAL"),"_")))))</f>
        <v>#VALUE!</v>
      </c>
      <c r="H76" s="23" t="str">
        <f t="shared" ca="1" si="6"/>
        <v/>
      </c>
      <c r="I76" s="24" t="e">
        <f>IF(OR(E76="",E76="!!!",F76="NEW"),"",INDEX(B$2:B75,-1+SUMPRODUCT(MAX(ROW(E$2:E75)*(E76=E$2:E75)))))</f>
        <v>#VALUE!</v>
      </c>
      <c r="J76" s="24">
        <f ca="1">IF(OR(E76="",E76="!!!",F76="NEW"),"",COUNTBLANK(OFFSET(A$1,,,SUMPRODUCT(MAX(ROW(E$2:E76)*(E76=E$2:E76)))))-COUNTBLANK(OFFSET(A$1,,,SUMPRODUCT(MAX(ROW(E$1:E75)*(E2=E$1:E75))))))</f>
        <v>0</v>
      </c>
      <c r="K76" s="24" t="e">
        <f>IF(OR(E76="",E76="!!!",F76="NEW"),"",INDEX(J$1:J75,SUMPRODUCT(MAX(ROW(E$1:E75)*(E76=E$1:E75)))))</f>
        <v>#VALUE!</v>
      </c>
      <c r="L76" s="29"/>
    </row>
    <row r="77" spans="1:12" x14ac:dyDescent="0.3">
      <c r="A77" t="s">
        <v>162</v>
      </c>
      <c r="E77" s="27"/>
      <c r="F77" s="28" t="str">
        <f>IF(OR(E77="",E77="!!!"),"",IF(NOT(ISNA(VLOOKUP(E77,E$1:E76,1,FALSE()))),"OLD",IF(AND(E77&lt;&gt;"",E77&lt;&gt;"!!!"),"NEW","")))</f>
        <v/>
      </c>
      <c r="G77" s="22" t="str">
        <f>IF(OR(E77="",E77="!!!"),"",IF(OR(J77=0,AND(J77=1,K77=1),AND(J77=1,I77="SBJ"),AND(J77=1,I77=0)),"?IN_FOCUS",IF(J77&lt;=2,"?ACTIVATED",IF(J77&lt;&gt;"","?FAMILIAR",IF(F77="NEW",IF(ISNA(VLOOKUP(E77,#REF!,1,FALSE())),"?TYPE_IDENTIFIABLE","?REFERENTIAL"),"_")))))</f>
        <v/>
      </c>
      <c r="H77" s="23" t="str">
        <f t="shared" ca="1" si="6"/>
        <v/>
      </c>
      <c r="I77" s="24" t="str">
        <f>IF(OR(E77="",E77="!!!",F77="NEW"),"",INDEX(B$2:B76,-1+SUMPRODUCT(MAX(ROW(E$2:E76)*(E77=E$2:E76)))))</f>
        <v/>
      </c>
      <c r="J77" s="24" t="str">
        <f ca="1">IF(OR(E77="",E77="!!!",F77="NEW"),"",COUNTBLANK(OFFSET(A$1,,,SUMPRODUCT(MAX(ROW(E$2:E77)*(E77=E$2:E77)))))-COUNTBLANK(OFFSET(A$1,,,SUMPRODUCT(MAX(ROW(E$1:E76)*(E2=E$1:E76))))))</f>
        <v/>
      </c>
      <c r="K77" s="24" t="str">
        <f>IF(OR(E77="",E77="!!!",F77="NEW"),"",INDEX(J$1:J76,SUMPRODUCT(MAX(ROW(E$1:E76)*(E77=E$1:E76)))))</f>
        <v/>
      </c>
      <c r="L77" s="29"/>
    </row>
    <row r="78" spans="1:12" x14ac:dyDescent="0.3">
      <c r="A78" t="s">
        <v>99</v>
      </c>
      <c r="E78" s="27"/>
      <c r="F78" s="28" t="str">
        <f>IF(OR(E78="",E78="!!!"),"",IF(NOT(ISNA(VLOOKUP(E78,E$1:E77,1,FALSE()))),"OLD",IF(AND(E78&lt;&gt;"",E78&lt;&gt;"!!!"),"NEW","")))</f>
        <v/>
      </c>
      <c r="G78" s="22" t="str">
        <f>IF(OR(E78="",E78="!!!"),"",IF(OR(J78=0,AND(J78=1,K78=1),AND(J78=1,I78="SBJ"),AND(J78=1,I78=0)),"?IN_FOCUS",IF(J78&lt;=2,"?ACTIVATED",IF(J78&lt;&gt;"","?FAMILIAR",IF(F78="NEW",IF(ISNA(VLOOKUP(E78,#REF!,1,FALSE())),"?TYPE_IDENTIFIABLE","?REFERENTIAL"),"_")))))</f>
        <v/>
      </c>
      <c r="H78" s="23" t="str">
        <f t="shared" ca="1" si="6"/>
        <v/>
      </c>
      <c r="I78" s="24" t="str">
        <f>IF(OR(E78="",E78="!!!",F78="NEW"),"",INDEX(B$2:B77,-1+SUMPRODUCT(MAX(ROW(E$2:E77)*(E78=E$2:E77)))))</f>
        <v/>
      </c>
      <c r="J78" s="24" t="str">
        <f ca="1">IF(OR(E78="",E78="!!!",F78="NEW"),"",COUNTBLANK(OFFSET(A$1,,,SUMPRODUCT(MAX(ROW(E$2:E78)*(E78=E$2:E78)))))-COUNTBLANK(OFFSET(A$1,,,SUMPRODUCT(MAX(ROW(E$1:E77)*(E2=E$1:E77))))))</f>
        <v/>
      </c>
      <c r="K78" s="24" t="str">
        <f>IF(OR(E78="",E78="!!!",F78="NEW"),"",INDEX(J$1:J77,SUMPRODUCT(MAX(ROW(E$1:E77)*(E78=E$1:E77)))))</f>
        <v/>
      </c>
      <c r="L78" s="29"/>
    </row>
    <row r="79" spans="1:12" x14ac:dyDescent="0.3">
      <c r="A79" t="s">
        <v>109</v>
      </c>
      <c r="E79" s="27"/>
      <c r="F79" s="28" t="str">
        <f>IF(OR(E79="",E79="!!!"),"",IF(NOT(ISNA(VLOOKUP(E79,E$1:E78,1,FALSE()))),"OLD",IF(AND(E79&lt;&gt;"",E79&lt;&gt;"!!!"),"NEW","")))</f>
        <v/>
      </c>
      <c r="G79" s="22" t="str">
        <f>IF(OR(E79="",E79="!!!"),"",IF(OR(J79=0,AND(J79=1,K79=1),AND(J79=1,I79="SBJ"),AND(J79=1,I79=0)),"?IN_FOCUS",IF(J79&lt;=2,"?ACTIVATED",IF(J79&lt;&gt;"","?FAMILIAR",IF(F79="NEW",IF(ISNA(VLOOKUP(E79,#REF!,1,FALSE())),"?TYPE_IDENTIFIABLE","?REFERENTIAL"),"_")))))</f>
        <v/>
      </c>
      <c r="H79" s="23" t="str">
        <f t="shared" ca="1" si="6"/>
        <v/>
      </c>
      <c r="I79" s="24" t="str">
        <f>IF(OR(E79="",E79="!!!",F79="NEW"),"",INDEX(B$2:B78,-1+SUMPRODUCT(MAX(ROW(E$2:E78)*(E79=E$2:E78)))))</f>
        <v/>
      </c>
      <c r="J79" s="24" t="str">
        <f ca="1">IF(OR(E79="",E79="!!!",F79="NEW"),"",COUNTBLANK(OFFSET(A$1,,,SUMPRODUCT(MAX(ROW(E$2:E79)*(E79=E$2:E79)))))-COUNTBLANK(OFFSET(A$1,,,SUMPRODUCT(MAX(ROW(E$1:E78)*(E2=E$1:E78))))))</f>
        <v/>
      </c>
      <c r="K79" s="24" t="str">
        <f>IF(OR(E79="",E79="!!!",F79="NEW"),"",INDEX(J$1:J78,SUMPRODUCT(MAX(ROW(E$1:E78)*(E79=E$1:E78)))))</f>
        <v/>
      </c>
      <c r="L79" s="29"/>
    </row>
    <row r="80" spans="1:12" x14ac:dyDescent="0.3">
      <c r="A80" t="s">
        <v>163</v>
      </c>
      <c r="B80" s="26" t="s">
        <v>114</v>
      </c>
      <c r="C80" s="26" t="s">
        <v>97</v>
      </c>
      <c r="D80" s="26" t="s">
        <v>98</v>
      </c>
      <c r="E80" s="27"/>
      <c r="F80" s="28" t="str">
        <f>IF(OR(E80="",E80="!!!"),"",IF(NOT(ISNA(VLOOKUP(E80,E$1:E79,1,FALSE()))),"OLD",IF(AND(E80&lt;&gt;"",E80&lt;&gt;"!!!"),"NEW","")))</f>
        <v/>
      </c>
      <c r="G80" s="22" t="str">
        <f>IF(OR(E80="",E80="!!!"),"",IF(OR(J80=0,AND(J80=1,K80=1),AND(J80=1,I80="SBJ"),AND(J80=1,I80=0)),"?IN_FOCUS",IF(J80&lt;=2,"?ACTIVATED",IF(J80&lt;&gt;"","?FAMILIAR",IF(F80="NEW",IF(ISNA(VLOOKUP(E80,#REF!,1,FALSE())),"?TYPE_IDENTIFIABLE","?REFERENTIAL"),"_")))))</f>
        <v/>
      </c>
      <c r="H80" s="23" t="str">
        <f t="shared" ca="1" si="6"/>
        <v/>
      </c>
      <c r="I80" s="24" t="str">
        <f>IF(OR(E80="",E80="!!!",F80="NEW"),"",INDEX(B$2:B79,-1+SUMPRODUCT(MAX(ROW(E$2:E79)*(E80=E$2:E79)))))</f>
        <v/>
      </c>
      <c r="J80" s="24" t="str">
        <f ca="1">IF(OR(E80="",E80="!!!",F80="NEW"),"",COUNTBLANK(OFFSET(A$1,,,SUMPRODUCT(MAX(ROW(E$2:E80)*(E80=E$2:E80)))))-COUNTBLANK(OFFSET(A$1,,,SUMPRODUCT(MAX(ROW(E$1:E79)*(E2=E$1:E79))))))</f>
        <v/>
      </c>
      <c r="K80" s="24" t="str">
        <f>IF(OR(E80="",E80="!!!",F80="NEW"),"",INDEX(J$1:J79,SUMPRODUCT(MAX(ROW(E$1:E79)*(E80=E$1:E79)))))</f>
        <v/>
      </c>
      <c r="L80" s="29"/>
    </row>
    <row r="81" spans="1:12" x14ac:dyDescent="0.3">
      <c r="A81" t="s">
        <v>103</v>
      </c>
      <c r="E81" s="27" t="s">
        <v>329</v>
      </c>
      <c r="F81" s="28" t="str">
        <f>IF(OR(E81="",E81="!!!"),"",IF(NOT(ISNA(VLOOKUP(E81,E$1:E80,1,FALSE()))),"OLD",IF(AND(E81&lt;&gt;"",E81&lt;&gt;"!!!"),"NEW","")))</f>
        <v>OLD</v>
      </c>
      <c r="G81" s="22" t="str">
        <f ca="1">IF(OR(E81="",E81="!!!"),"",IF(OR(J81=0,AND(J81=1,K81=1),AND(J81=1,I81="SBJ"),AND(J81=1,I81=0)),"?IN_FOCUS",IF(J81&lt;=2,"?ACTIVATED",IF(J81&lt;&gt;"","?FAMILIAR",IF(F81="NEW",IF(ISNA(VLOOKUP(E81,#REF!,1,FALSE())),"?TYPE_IDENTIFIABLE","?REFERENTIAL"),"_")))))</f>
        <v>?IN_FOCUS</v>
      </c>
      <c r="H81" s="23" t="str">
        <f t="shared" ca="1" si="6"/>
        <v/>
      </c>
      <c r="I81" s="24" t="str">
        <f>IF(OR(E81="",E81="!!!",F81="NEW"),"",INDEX(B$2:B80,-1+SUMPRODUCT(MAX(ROW(E$2:E80)*(E81=E$2:E80)))))</f>
        <v>other_2</v>
      </c>
      <c r="J81" s="24">
        <f ca="1">IF(OR(E81="",E81="!!!",F81="NEW"),"",COUNTBLANK(OFFSET(A$1,,,SUMPRODUCT(MAX(ROW(E$2:E81)*(E81=E$2:E81)))))-COUNTBLANK(OFFSET(A$1,,,SUMPRODUCT(MAX(ROW(E$1:E80)*(E2=E$1:E80))))))</f>
        <v>0</v>
      </c>
      <c r="K81" s="24">
        <f ca="1">IF(OR(E81="",E81="!!!",F81="NEW"),"",INDEX(J$1:J80,SUMPRODUCT(MAX(ROW(E$1:E80)*(E81=E$1:E80)))))</f>
        <v>0</v>
      </c>
      <c r="L81" s="29" t="s">
        <v>357</v>
      </c>
    </row>
    <row r="82" spans="1:12" x14ac:dyDescent="0.3">
      <c r="A82" t="s">
        <v>164</v>
      </c>
      <c r="E82" s="27"/>
      <c r="F82" s="28" t="str">
        <f>IF(OR(E82="",E82="!!!"),"",IF(NOT(ISNA(VLOOKUP(E82,E$1:E81,1,FALSE()))),"OLD",IF(AND(E82&lt;&gt;"",E82&lt;&gt;"!!!"),"NEW","")))</f>
        <v/>
      </c>
      <c r="G82" s="22" t="str">
        <f>IF(OR(E82="",E82="!!!"),"",IF(OR(J82=0,AND(J82=1,K82=1),AND(J82=1,I82="SBJ"),AND(J82=1,I82=0)),"?IN_FOCUS",IF(J82&lt;=2,"?ACTIVATED",IF(J82&lt;&gt;"","?FAMILIAR",IF(F82="NEW",IF(ISNA(VLOOKUP(E82,#REF!,1,FALSE())),"?TYPE_IDENTIFIABLE","?REFERENTIAL"),"_")))))</f>
        <v/>
      </c>
      <c r="H82" s="23" t="str">
        <f t="shared" ca="1" si="6"/>
        <v/>
      </c>
      <c r="I82" s="24" t="str">
        <f>IF(OR(E82="",E82="!!!",F82="NEW"),"",INDEX(B$2:B81,-1+SUMPRODUCT(MAX(ROW(E$2:E81)*(E82=E$2:E81)))))</f>
        <v/>
      </c>
      <c r="J82" s="24" t="str">
        <f ca="1">IF(OR(E82="",E82="!!!",F82="NEW"),"",COUNTBLANK(OFFSET(A$1,,,SUMPRODUCT(MAX(ROW(E$2:E82)*(E82=E$2:E82)))))-COUNTBLANK(OFFSET(A$1,,,SUMPRODUCT(MAX(ROW(E$1:E81)*(E2=E$1:E81))))))</f>
        <v/>
      </c>
      <c r="K82" s="24" t="str">
        <f>IF(OR(E82="",E82="!!!",F82="NEW"),"",INDEX(J$1:J81,SUMPRODUCT(MAX(ROW(E$1:E81)*(E82=E$1:E81)))))</f>
        <v/>
      </c>
      <c r="L82" s="29"/>
    </row>
    <row r="83" spans="1:12" x14ac:dyDescent="0.3">
      <c r="A83" t="s">
        <v>165</v>
      </c>
      <c r="B83" s="26" t="s">
        <v>96</v>
      </c>
      <c r="C83" s="26" t="s">
        <v>124</v>
      </c>
      <c r="D83" s="26" t="s">
        <v>98</v>
      </c>
      <c r="E83" s="27" t="s">
        <v>326</v>
      </c>
      <c r="F83" s="28" t="str">
        <f>IF(OR(E83="",E83="!!!"),"",IF(NOT(ISNA(VLOOKUP(E83,E$1:E82,1,FALSE()))),"OLD",IF(AND(E83&lt;&gt;"",E83&lt;&gt;"!!!"),"NEW","")))</f>
        <v>OLD</v>
      </c>
      <c r="G83" s="22" t="str">
        <f ca="1">IF(OR(E83="",E83="!!!"),"",IF(OR(J83=0,AND(J83=1,K83=1),AND(J83=1,I83="SBJ"),AND(J83=1,I83=0)),"?IN_FOCUS",IF(J83&lt;=2,"?ACTIVATED",IF(J83&lt;&gt;"","?FAMILIAR",IF(F83="NEW",IF(ISNA(VLOOKUP(E83,#REF!,1,FALSE())),"?TYPE_IDENTIFIABLE","?REFERENTIAL"),"_")))))</f>
        <v>?IN_FOCUS</v>
      </c>
      <c r="H83" s="23" t="str">
        <f t="shared" ca="1" si="6"/>
        <v/>
      </c>
      <c r="I83" s="24" t="str">
        <f>IF(OR(E83="",E83="!!!",F83="NEW"),"",INDEX(B$2:B82,-1+SUMPRODUCT(MAX(ROW(E$2:E82)*(E83=E$2:E82)))))</f>
        <v>other_2</v>
      </c>
      <c r="J83" s="24">
        <f ca="1">IF(OR(E83="",E83="!!!",F83="NEW"),"",COUNTBLANK(OFFSET(A$1,,,SUMPRODUCT(MAX(ROW(E$2:E83)*(E83=E$2:E83)))))-COUNTBLANK(OFFSET(A$1,,,SUMPRODUCT(MAX(ROW(E$1:E82)*(E2=E$1:E82))))))</f>
        <v>0</v>
      </c>
      <c r="K83" s="24">
        <f ca="1">IF(OR(E83="",E83="!!!",F83="NEW"),"",INDEX(J$1:J82,SUMPRODUCT(MAX(ROW(E$1:E82)*(E83=E$1:E82)))))</f>
        <v>0</v>
      </c>
      <c r="L83" s="29"/>
    </row>
    <row r="84" spans="1:12" x14ac:dyDescent="0.3">
      <c r="A84" t="s">
        <v>120</v>
      </c>
      <c r="E84" s="27"/>
      <c r="F84" s="28" t="str">
        <f>IF(OR(E84="",E84="!!!"),"",IF(NOT(ISNA(VLOOKUP(E84,E$1:E83,1,FALSE()))),"OLD",IF(AND(E84&lt;&gt;"",E84&lt;&gt;"!!!"),"NEW","")))</f>
        <v/>
      </c>
      <c r="G84" s="22" t="str">
        <f>IF(OR(E84="",E84="!!!"),"",IF(OR(J84=0,AND(J84=1,K84=1),AND(J84=1,I84="SBJ"),AND(J84=1,I84=0)),"?IN_FOCUS",IF(J84&lt;=2,"?ACTIVATED",IF(J84&lt;&gt;"","?FAMILIAR",IF(F84="NEW",IF(ISNA(VLOOKUP(E84,#REF!,1,FALSE())),"?TYPE_IDENTIFIABLE","?REFERENTIAL"),"_")))))</f>
        <v/>
      </c>
      <c r="H84" s="23" t="str">
        <f t="shared" ca="1" si="6"/>
        <v/>
      </c>
      <c r="I84" s="24" t="str">
        <f>IF(OR(E84="",E84="!!!",F84="NEW"),"",INDEX(B$2:B83,-1+SUMPRODUCT(MAX(ROW(E$2:E83)*(E84=E$2:E83)))))</f>
        <v/>
      </c>
      <c r="J84" s="24" t="str">
        <f ca="1">IF(OR(E84="",E84="!!!",F84="NEW"),"",COUNTBLANK(OFFSET(A$1,,,SUMPRODUCT(MAX(ROW(E$2:E84)*(E84=E$2:E84)))))-COUNTBLANK(OFFSET(A$1,,,SUMPRODUCT(MAX(ROW(E$1:E83)*(E2=E$1:E83))))))</f>
        <v/>
      </c>
      <c r="K84" s="24" t="str">
        <f>IF(OR(E84="",E84="!!!",F84="NEW"),"",INDEX(J$1:J83,SUMPRODUCT(MAX(ROW(E$1:E83)*(E84=E$1:E83)))))</f>
        <v/>
      </c>
      <c r="L84" s="29"/>
    </row>
    <row r="85" spans="1:12" x14ac:dyDescent="0.3">
      <c r="A85" t="s">
        <v>166</v>
      </c>
      <c r="E85" s="27"/>
      <c r="F85" s="28" t="str">
        <f>IF(OR(E85="",E85="!!!"),"",IF(NOT(ISNA(VLOOKUP(E85,E$1:E84,1,FALSE()))),"OLD",IF(AND(E85&lt;&gt;"",E85&lt;&gt;"!!!"),"NEW","")))</f>
        <v/>
      </c>
      <c r="G85" s="22" t="str">
        <f>IF(OR(E85="",E85="!!!"),"",IF(OR(J85=0,AND(J85=1,K85=1),AND(J85=1,I85="SBJ"),AND(J85=1,I85=0)),"?IN_FOCUS",IF(J85&lt;=2,"?ACTIVATED",IF(J85&lt;&gt;"","?FAMILIAR",IF(F85="NEW",IF(ISNA(VLOOKUP(E85,#REF!,1,FALSE())),"?TYPE_IDENTIFIABLE","?REFERENTIAL"),"_")))))</f>
        <v/>
      </c>
      <c r="H85" s="23" t="str">
        <f t="shared" ca="1" si="6"/>
        <v/>
      </c>
      <c r="I85" s="24" t="str">
        <f>IF(OR(E85="",E85="!!!",F85="NEW"),"",INDEX(B$2:B84,-1+SUMPRODUCT(MAX(ROW(E$2:E84)*(E85=E$2:E84)))))</f>
        <v/>
      </c>
      <c r="J85" s="24" t="str">
        <f ca="1">IF(OR(E85="",E85="!!!",F85="NEW"),"",COUNTBLANK(OFFSET(A$1,,,SUMPRODUCT(MAX(ROW(E$2:E85)*(E85=E$2:E85)))))-COUNTBLANK(OFFSET(A$1,,,SUMPRODUCT(MAX(ROW(E$1:E84)*(E2=E$1:E84))))))</f>
        <v/>
      </c>
      <c r="K85" s="24" t="str">
        <f>IF(OR(E85="",E85="!!!",F85="NEW"),"",INDEX(J$1:J84,SUMPRODUCT(MAX(ROW(E$1:E84)*(E85=E$1:E84)))))</f>
        <v/>
      </c>
      <c r="L85" s="29"/>
    </row>
    <row r="86" spans="1:12" x14ac:dyDescent="0.3">
      <c r="A86" t="s">
        <v>109</v>
      </c>
      <c r="E86" s="27"/>
      <c r="F86" s="28" t="str">
        <f>IF(OR(E86="",E86="!!!"),"",IF(NOT(ISNA(VLOOKUP(E86,E$1:E85,1,FALSE()))),"OLD",IF(AND(E86&lt;&gt;"",E86&lt;&gt;"!!!"),"NEW","")))</f>
        <v/>
      </c>
      <c r="G86" s="22" t="str">
        <f>IF(OR(E86="",E86="!!!"),"",IF(OR(J86=0,AND(J86=1,K86=1),AND(J86=1,I86="SBJ"),AND(J86=1,I86=0)),"?IN_FOCUS",IF(J86&lt;=2,"?ACTIVATED",IF(J86&lt;&gt;"","?FAMILIAR",IF(F86="NEW",IF(ISNA(VLOOKUP(E86,#REF!,1,FALSE())),"?TYPE_IDENTIFIABLE","?REFERENTIAL"),"_")))))</f>
        <v/>
      </c>
      <c r="H86" s="23" t="str">
        <f t="shared" ca="1" si="6"/>
        <v/>
      </c>
      <c r="I86" s="24" t="str">
        <f>IF(OR(E86="",E86="!!!",F86="NEW"),"",INDEX(B$2:B85,-1+SUMPRODUCT(MAX(ROW(E$2:E85)*(E86=E$2:E85)))))</f>
        <v/>
      </c>
      <c r="J86" s="24" t="str">
        <f ca="1">IF(OR(E86="",E86="!!!",F86="NEW"),"",COUNTBLANK(OFFSET(A$1,,,SUMPRODUCT(MAX(ROW(E$2:E86)*(E86=E$2:E86)))))-COUNTBLANK(OFFSET(A$1,,,SUMPRODUCT(MAX(ROW(E$1:E85)*(E2=E$1:E85))))))</f>
        <v/>
      </c>
      <c r="K86" s="24" t="str">
        <f>IF(OR(E86="",E86="!!!",F86="NEW"),"",INDEX(J$1:J85,SUMPRODUCT(MAX(ROW(E$1:E85)*(E86=E$1:E85)))))</f>
        <v/>
      </c>
      <c r="L86" s="29"/>
    </row>
    <row r="87" spans="1:12" x14ac:dyDescent="0.3">
      <c r="A87" t="s">
        <v>167</v>
      </c>
      <c r="E87" s="27"/>
      <c r="F87" s="28" t="str">
        <f>IF(OR(E87="",E87="!!!"),"",IF(NOT(ISNA(VLOOKUP(E87,E$1:E86,1,FALSE()))),"OLD",IF(AND(E87&lt;&gt;"",E87&lt;&gt;"!!!"),"NEW","")))</f>
        <v/>
      </c>
      <c r="G87" s="22" t="str">
        <f>IF(OR(E87="",E87="!!!"),"",IF(OR(J87=0,AND(J87=1,K87=1),AND(J87=1,I87="SBJ"),AND(J87=1,I87=0)),"?IN_FOCUS",IF(J87&lt;=2,"?ACTIVATED",IF(J87&lt;&gt;"","?FAMILIAR",IF(F87="NEW",IF(ISNA(VLOOKUP(E87,#REF!,1,FALSE())),"?TYPE_IDENTIFIABLE","?REFERENTIAL"),"_")))))</f>
        <v/>
      </c>
      <c r="H87" s="23" t="str">
        <f t="shared" ca="1" si="6"/>
        <v/>
      </c>
      <c r="I87" s="24" t="str">
        <f>IF(OR(E87="",E87="!!!",F87="NEW"),"",INDEX(B$2:B86,-1+SUMPRODUCT(MAX(ROW(E$2:E86)*(E87=E$2:E86)))))</f>
        <v/>
      </c>
      <c r="J87" s="24" t="str">
        <f ca="1">IF(OR(E87="",E87="!!!",F87="NEW"),"",COUNTBLANK(OFFSET(A$1,,,SUMPRODUCT(MAX(ROW(E$2:E87)*(E87=E$2:E87)))))-COUNTBLANK(OFFSET(A$1,,,SUMPRODUCT(MAX(ROW(E$1:E86)*(E2=E$1:E86))))))</f>
        <v/>
      </c>
      <c r="K87" s="24" t="str">
        <f>IF(OR(E87="",E87="!!!",F87="NEW"),"",INDEX(J$1:J86,SUMPRODUCT(MAX(ROW(E$1:E86)*(E87=E$1:E86)))))</f>
        <v/>
      </c>
      <c r="L87" s="29"/>
    </row>
    <row r="88" spans="1:12" x14ac:dyDescent="0.3">
      <c r="A88" t="s">
        <v>168</v>
      </c>
      <c r="B88" s="26" t="s">
        <v>114</v>
      </c>
      <c r="C88" s="26" t="s">
        <v>169</v>
      </c>
      <c r="E88" s="27"/>
      <c r="F88" s="28" t="str">
        <f>IF(OR(E88="",E88="!!!"),"",IF(NOT(ISNA(VLOOKUP(E88,E$1:E87,1,FALSE()))),"OLD",IF(AND(E88&lt;&gt;"",E88&lt;&gt;"!!!"),"NEW","")))</f>
        <v/>
      </c>
      <c r="G88" s="22" t="str">
        <f>IF(OR(E88="",E88="!!!"),"",IF(OR(J88=0,AND(J88=1,K88=1),AND(J88=1,I88="SBJ"),AND(J88=1,I88=0)),"?IN_FOCUS",IF(J88&lt;=2,"?ACTIVATED",IF(J88&lt;&gt;"","?FAMILIAR",IF(F88="NEW",IF(ISNA(VLOOKUP(E88,#REF!,1,FALSE())),"?TYPE_IDENTIFIABLE","?REFERENTIAL"),"_")))))</f>
        <v/>
      </c>
      <c r="H88" s="23" t="str">
        <f t="shared" ca="1" si="6"/>
        <v/>
      </c>
      <c r="I88" s="24" t="str">
        <f>IF(OR(E88="",E88="!!!",F88="NEW"),"",INDEX(B$2:B87,-1+SUMPRODUCT(MAX(ROW(E$2:E87)*(E88=E$2:E87)))))</f>
        <v/>
      </c>
      <c r="J88" s="24" t="str">
        <f ca="1">IF(OR(E88="",E88="!!!",F88="NEW"),"",COUNTBLANK(OFFSET(A$1,,,SUMPRODUCT(MAX(ROW(E$2:E88)*(E88=E$2:E88)))))-COUNTBLANK(OFFSET(A$1,,,SUMPRODUCT(MAX(ROW(E$1:E87)*(E2=E$1:E87))))))</f>
        <v/>
      </c>
      <c r="K88" s="24" t="str">
        <f>IF(OR(E88="",E88="!!!",F88="NEW"),"",INDEX(J$1:J87,SUMPRODUCT(MAX(ROW(E$1:E87)*(E88=E$1:E87)))))</f>
        <v/>
      </c>
      <c r="L88" s="29"/>
    </row>
    <row r="89" spans="1:12" x14ac:dyDescent="0.3">
      <c r="A89" t="s">
        <v>170</v>
      </c>
      <c r="E89" s="27"/>
      <c r="F89" s="28" t="str">
        <f>IF(OR(E89="",E89="!!!"),"",IF(NOT(ISNA(VLOOKUP(E89,E$1:E88,1,FALSE()))),"OLD",IF(AND(E89&lt;&gt;"",E89&lt;&gt;"!!!"),"NEW","")))</f>
        <v/>
      </c>
      <c r="G89" s="22" t="str">
        <f>IF(OR(E89="",E89="!!!"),"",IF(OR(J89=0,AND(J89=1,K89=1),AND(J89=1,I89="SBJ"),AND(J89=1,I89=0)),"?IN_FOCUS",IF(J89&lt;=2,"?ACTIVATED",IF(J89&lt;&gt;"","?FAMILIAR",IF(F89="NEW",IF(ISNA(VLOOKUP(E89,#REF!,1,FALSE())),"?TYPE_IDENTIFIABLE","?REFERENTIAL"),"_")))))</f>
        <v/>
      </c>
      <c r="H89" s="23" t="str">
        <f t="shared" ca="1" si="6"/>
        <v/>
      </c>
      <c r="I89" s="24" t="str">
        <f>IF(OR(E89="",E89="!!!",F89="NEW"),"",INDEX(B$2:B88,-1+SUMPRODUCT(MAX(ROW(E$2:E88)*(E89=E$2:E88)))))</f>
        <v/>
      </c>
      <c r="J89" s="24" t="str">
        <f ca="1">IF(OR(E89="",E89="!!!",F89="NEW"),"",COUNTBLANK(OFFSET(A$1,,,SUMPRODUCT(MAX(ROW(E$2:E89)*(E89=E$2:E89)))))-COUNTBLANK(OFFSET(A$1,,,SUMPRODUCT(MAX(ROW(E$1:E88)*(E2=E$1:E88))))))</f>
        <v/>
      </c>
      <c r="K89" s="24" t="str">
        <f>IF(OR(E89="",E89="!!!",F89="NEW"),"",INDEX(J$1:J88,SUMPRODUCT(MAX(ROW(E$1:E88)*(E89=E$1:E88)))))</f>
        <v/>
      </c>
      <c r="L89" s="29"/>
    </row>
    <row r="90" spans="1:12" x14ac:dyDescent="0.3">
      <c r="A90" t="s">
        <v>171</v>
      </c>
      <c r="B90" s="26" t="s">
        <v>123</v>
      </c>
      <c r="C90" s="26" t="s">
        <v>97</v>
      </c>
      <c r="D90" s="26" t="s">
        <v>98</v>
      </c>
      <c r="E90" s="27"/>
      <c r="F90" s="28" t="s">
        <v>333</v>
      </c>
      <c r="G90" s="22" t="str">
        <f>IF(OR(E90="",E90="!!!"),"",IF(OR(J90=0,AND(J90=1,K90=1),AND(J90=1,I90="SBJ"),AND(J90=1,I90=0)),"?IN_FOCUS",IF(J90&lt;=2,"?ACTIVATED",IF(J90&lt;&gt;"","?FAMILIAR",IF(F90="NEW",IF(ISNA(VLOOKUP(E90,#REF!,1,FALSE())),"?TYPE_IDENTIFIABLE","?REFERENTIAL"),"_")))))</f>
        <v/>
      </c>
      <c r="H90" s="23" t="str">
        <f t="shared" ca="1" si="6"/>
        <v/>
      </c>
      <c r="I90" s="24" t="str">
        <f>IF(OR(E90="",E90="!!!",F90="NEW"),"",INDEX(B$2:B89,-1+SUMPRODUCT(MAX(ROW(E$2:E89)*(E90=E$2:E89)))))</f>
        <v/>
      </c>
      <c r="J90" s="24" t="str">
        <f ca="1">IF(OR(E90="",E90="!!!",F90="NEW"),"",COUNTBLANK(OFFSET(A$1,,,SUMPRODUCT(MAX(ROW(E$2:E90)*(E90=E$2:E90)))))-COUNTBLANK(OFFSET(A$1,,,SUMPRODUCT(MAX(ROW(E$1:E89)*(E2=E$1:E89))))))</f>
        <v/>
      </c>
      <c r="K90" s="24" t="str">
        <f>IF(OR(E90="",E90="!!!",F90="NEW"),"",INDEX(J$1:J89,SUMPRODUCT(MAX(ROW(E$1:E89)*(E90=E$1:E89)))))</f>
        <v/>
      </c>
      <c r="L90" s="29"/>
    </row>
    <row r="91" spans="1:12" x14ac:dyDescent="0.3">
      <c r="A91" t="s">
        <v>172</v>
      </c>
      <c r="E91" s="27"/>
      <c r="F91" s="28" t="str">
        <f>IF(OR(E91="",E91="!!!"),"",IF(NOT(ISNA(VLOOKUP(E91,E$1:E90,1,FALSE()))),"OLD",IF(AND(E91&lt;&gt;"",E91&lt;&gt;"!!!"),"NEW","")))</f>
        <v/>
      </c>
      <c r="G91" s="22" t="str">
        <f>IF(OR(E91="",E91="!!!"),"",IF(OR(J91=0,AND(J91=1,K91=1),AND(J91=1,I91="SBJ"),AND(J91=1,I91=0)),"?IN_FOCUS",IF(J91&lt;=2,"?ACTIVATED",IF(J91&lt;&gt;"","?FAMILIAR",IF(F91="NEW",IF(ISNA(VLOOKUP(E91,#REF!,1,FALSE())),"?TYPE_IDENTIFIABLE","?REFERENTIAL"),"_")))))</f>
        <v/>
      </c>
      <c r="H91" s="23" t="str">
        <f t="shared" ca="1" si="6"/>
        <v/>
      </c>
      <c r="I91" s="24" t="str">
        <f>IF(OR(E91="",E91="!!!",F91="NEW"),"",INDEX(B$2:B90,-1+SUMPRODUCT(MAX(ROW(E$2:E90)*(E91=E$2:E90)))))</f>
        <v/>
      </c>
      <c r="J91" s="24" t="str">
        <f ca="1">IF(OR(E91="",E91="!!!",F91="NEW"),"",COUNTBLANK(OFFSET(A$1,,,SUMPRODUCT(MAX(ROW(E$2:E91)*(E91=E$2:E91)))))-COUNTBLANK(OFFSET(A$1,,,SUMPRODUCT(MAX(ROW(E$1:E90)*(E2=E$1:E90))))))</f>
        <v/>
      </c>
      <c r="K91" s="24" t="str">
        <f>IF(OR(E91="",E91="!!!",F91="NEW"),"",INDEX(J$1:J90,SUMPRODUCT(MAX(ROW(E$1:E90)*(E91=E$1:E90)))))</f>
        <v/>
      </c>
      <c r="L91" s="29"/>
    </row>
    <row r="92" spans="1:12" x14ac:dyDescent="0.3">
      <c r="A92" t="s">
        <v>137</v>
      </c>
      <c r="E92" s="27"/>
      <c r="F92" s="28" t="str">
        <f>IF(OR(E92="",E92="!!!"),"",IF(NOT(ISNA(VLOOKUP(E92,E$1:E91,1,FALSE()))),"OLD",IF(AND(E92&lt;&gt;"",E92&lt;&gt;"!!!"),"NEW","")))</f>
        <v/>
      </c>
      <c r="G92" s="22" t="str">
        <f>IF(OR(E92="",E92="!!!"),"",IF(OR(J92=0,AND(J92=1,K92=1),AND(J92=1,I92="SBJ"),AND(J92=1,I92=0)),"?IN_FOCUS",IF(J92&lt;=2,"?ACTIVATED",IF(J92&lt;&gt;"","?FAMILIAR",IF(F92="NEW",IF(ISNA(VLOOKUP(E92,#REF!,1,FALSE())),"?TYPE_IDENTIFIABLE","?REFERENTIAL"),"_")))))</f>
        <v/>
      </c>
      <c r="H92" s="23" t="str">
        <f t="shared" ca="1" si="6"/>
        <v/>
      </c>
      <c r="I92" s="24" t="str">
        <f>IF(OR(E92="",E92="!!!",F92="NEW"),"",INDEX(B$2:B91,-1+SUMPRODUCT(MAX(ROW(E$2:E91)*(E92=E$2:E91)))))</f>
        <v/>
      </c>
      <c r="J92" s="24" t="str">
        <f ca="1">IF(OR(E92="",E92="!!!",F92="NEW"),"",COUNTBLANK(OFFSET(A$1,,,SUMPRODUCT(MAX(ROW(E$2:E92)*(E92=E$2:E92)))))-COUNTBLANK(OFFSET(A$1,,,SUMPRODUCT(MAX(ROW(E$1:E91)*(E2=E$1:E91))))))</f>
        <v/>
      </c>
      <c r="K92" s="24" t="str">
        <f>IF(OR(E92="",E92="!!!",F92="NEW"),"",INDEX(J$1:J91,SUMPRODUCT(MAX(ROW(E$1:E91)*(E92=E$1:E91)))))</f>
        <v/>
      </c>
      <c r="L92" s="29"/>
    </row>
    <row r="93" spans="1:12" x14ac:dyDescent="0.3">
      <c r="A93" t="s">
        <v>100</v>
      </c>
      <c r="B93" s="26" t="s">
        <v>123</v>
      </c>
      <c r="C93" s="26" t="s">
        <v>97</v>
      </c>
      <c r="D93" s="26" t="s">
        <v>98</v>
      </c>
      <c r="E93" s="27" t="s">
        <v>327</v>
      </c>
      <c r="F93" s="28" t="str">
        <f>IF(OR(E93="",E93="!!!"),"",IF(NOT(ISNA(VLOOKUP(E93,E$1:E92,1,FALSE()))),"OLD",IF(AND(E93&lt;&gt;"",E93&lt;&gt;"!!!"),"NEW","")))</f>
        <v>OLD</v>
      </c>
      <c r="G93" s="22" t="str">
        <f ca="1">IF(OR(E93="",E93="!!!"),"",IF(OR(J93=0,AND(J93=1,K93=1),AND(J93=1,I93="SBJ"),AND(J93=1,I93=0)),"?IN_FOCUS",IF(J93&lt;=2,"?ACTIVATED",IF(J93&lt;&gt;"","?FAMILIAR",IF(F93="NEW",IF(ISNA(VLOOKUP(E93,#REF!,1,FALSE())),"?TYPE_IDENTIFIABLE","?REFERENTIAL"),"_")))))</f>
        <v>?IN_FOCUS</v>
      </c>
      <c r="H93" s="23" t="str">
        <f t="shared" ca="1" si="6"/>
        <v/>
      </c>
      <c r="I93" s="24" t="str">
        <f>IF(OR(E93="",E93="!!!",F93="NEW"),"",INDEX(B$2:B92,-1+SUMPRODUCT(MAX(ROW(E$2:E92)*(E93=E$2:E92)))))</f>
        <v>other_4</v>
      </c>
      <c r="J93" s="24">
        <f ca="1">IF(OR(E93="",E93="!!!",F93="NEW"),"",COUNTBLANK(OFFSET(A$1,,,SUMPRODUCT(MAX(ROW(E$2:E93)*(E93=E$2:E93)))))-COUNTBLANK(OFFSET(A$1,,,SUMPRODUCT(MAX(ROW(E$1:E92)*(E2=E$1:E92))))))</f>
        <v>0</v>
      </c>
      <c r="K93" s="24">
        <f ca="1">IF(OR(E93="",E93="!!!",F93="NEW"),"",INDEX(J$1:J92,SUMPRODUCT(MAX(ROW(E$1:E92)*(E93=E$1:E92)))))</f>
        <v>0</v>
      </c>
      <c r="L93" s="29"/>
    </row>
    <row r="94" spans="1:12" x14ac:dyDescent="0.3">
      <c r="A94" t="s">
        <v>102</v>
      </c>
      <c r="E94" s="27"/>
      <c r="F94" s="28" t="str">
        <f>IF(OR(E94="",E94="!!!"),"",IF(NOT(ISNA(VLOOKUP(E94,E$1:E93,1,FALSE()))),"OLD",IF(AND(E94&lt;&gt;"",E94&lt;&gt;"!!!"),"NEW","")))</f>
        <v/>
      </c>
      <c r="G94" s="22" t="str">
        <f>IF(OR(E94="",E94="!!!"),"",IF(OR(J94=0,AND(J94=1,K94=1),AND(J94=1,I94="SBJ"),AND(J94=1,I94=0)),"?IN_FOCUS",IF(J94&lt;=2,"?ACTIVATED",IF(J94&lt;&gt;"","?FAMILIAR",IF(F94="NEW",IF(ISNA(VLOOKUP(E94,#REF!,1,FALSE())),"?TYPE_IDENTIFIABLE","?REFERENTIAL"),"_")))))</f>
        <v/>
      </c>
      <c r="H94" s="23" t="str">
        <f t="shared" ca="1" si="6"/>
        <v/>
      </c>
      <c r="I94" s="24" t="str">
        <f>IF(OR(E94="",E94="!!!",F94="NEW"),"",INDEX(B$2:B93,-1+SUMPRODUCT(MAX(ROW(E$2:E93)*(E94=E$2:E93)))))</f>
        <v/>
      </c>
      <c r="J94" s="24" t="str">
        <f ca="1">IF(OR(E94="",E94="!!!",F94="NEW"),"",COUNTBLANK(OFFSET(A$1,,,SUMPRODUCT(MAX(ROW(E$2:E94)*(E94=E$2:E94)))))-COUNTBLANK(OFFSET(A$1,,,SUMPRODUCT(MAX(ROW(E$1:E93)*(E2=E$1:E93))))))</f>
        <v/>
      </c>
      <c r="K94" s="24" t="str">
        <f>IF(OR(E94="",E94="!!!",F94="NEW"),"",INDEX(J$1:J93,SUMPRODUCT(MAX(ROW(E$1:E93)*(E94=E$1:E93)))))</f>
        <v/>
      </c>
      <c r="L94" s="29"/>
    </row>
    <row r="95" spans="1:12" x14ac:dyDescent="0.3">
      <c r="A95" t="s">
        <v>173</v>
      </c>
      <c r="E95" s="27"/>
      <c r="F95" s="28" t="str">
        <f>IF(OR(E95="",E95="!!!"),"",IF(NOT(ISNA(VLOOKUP(E95,E$1:E94,1,FALSE()))),"OLD",IF(AND(E95&lt;&gt;"",E95&lt;&gt;"!!!"),"NEW","")))</f>
        <v/>
      </c>
      <c r="G95" s="22" t="str">
        <f>IF(OR(E95="",E95="!!!"),"",IF(OR(J95=0,AND(J95=1,K95=1),AND(J95=1,I95="SBJ"),AND(J95=1,I95=0)),"?IN_FOCUS",IF(J95&lt;=2,"?ACTIVATED",IF(J95&lt;&gt;"","?FAMILIAR",IF(F95="NEW",IF(ISNA(VLOOKUP(E95,#REF!,1,FALSE())),"?TYPE_IDENTIFIABLE","?REFERENTIAL"),"_")))))</f>
        <v/>
      </c>
      <c r="H95" s="23" t="str">
        <f t="shared" ca="1" si="6"/>
        <v/>
      </c>
      <c r="I95" s="24" t="str">
        <f>IF(OR(E95="",E95="!!!",F95="NEW"),"",INDEX(B$2:B94,-1+SUMPRODUCT(MAX(ROW(E$2:E94)*(E95=E$2:E94)))))</f>
        <v/>
      </c>
      <c r="J95" s="24" t="str">
        <f ca="1">IF(OR(E95="",E95="!!!",F95="NEW"),"",COUNTBLANK(OFFSET(A$1,,,SUMPRODUCT(MAX(ROW(E$2:E95)*(E95=E$2:E95)))))-COUNTBLANK(OFFSET(A$1,,,SUMPRODUCT(MAX(ROW(E$1:E94)*(E2=E$1:E94))))))</f>
        <v/>
      </c>
      <c r="K95" s="24" t="str">
        <f>IF(OR(E95="",E95="!!!",F95="NEW"),"",INDEX(J$1:J94,SUMPRODUCT(MAX(ROW(E$1:E94)*(E95=E$1:E94)))))</f>
        <v/>
      </c>
      <c r="L95" s="29"/>
    </row>
    <row r="96" spans="1:12" x14ac:dyDescent="0.3">
      <c r="A96" t="s">
        <v>108</v>
      </c>
      <c r="E96" s="27"/>
      <c r="F96" s="28" t="str">
        <f>IF(OR(E96="",E96="!!!"),"",IF(NOT(ISNA(VLOOKUP(E96,E$1:E95,1,FALSE()))),"OLD",IF(AND(E96&lt;&gt;"",E96&lt;&gt;"!!!"),"NEW","")))</f>
        <v/>
      </c>
      <c r="G96" s="22" t="str">
        <f>IF(OR(E96="",E96="!!!"),"",IF(OR(J96=0,AND(J96=1,K96=1),AND(J96=1,I96="SBJ"),AND(J96=1,I96=0)),"?IN_FOCUS",IF(J96&lt;=2,"?ACTIVATED",IF(J96&lt;&gt;"","?FAMILIAR",IF(F96="NEW",IF(ISNA(VLOOKUP(E96,#REF!,1,FALSE())),"?TYPE_IDENTIFIABLE","?REFERENTIAL"),"_")))))</f>
        <v/>
      </c>
      <c r="H96" s="23" t="str">
        <f t="shared" ca="1" si="6"/>
        <v/>
      </c>
      <c r="I96" s="24" t="str">
        <f>IF(OR(E96="",E96="!!!",F96="NEW"),"",INDEX(B$2:B95,-1+SUMPRODUCT(MAX(ROW(E$2:E95)*(E96=E$2:E95)))))</f>
        <v/>
      </c>
      <c r="J96" s="24" t="str">
        <f ca="1">IF(OR(E96="",E96="!!!",F96="NEW"),"",COUNTBLANK(OFFSET(A$1,,,SUMPRODUCT(MAX(ROW(E$2:E96)*(E96=E$2:E96)))))-COUNTBLANK(OFFSET(A$1,,,SUMPRODUCT(MAX(ROW(E$1:E95)*(E2=E$1:E95))))))</f>
        <v/>
      </c>
      <c r="K96" s="24" t="str">
        <f>IF(OR(E96="",E96="!!!",F96="NEW"),"",INDEX(J$1:J95,SUMPRODUCT(MAX(ROW(E$1:E95)*(E96=E$1:E95)))))</f>
        <v/>
      </c>
      <c r="L96" s="29"/>
    </row>
    <row r="97" spans="1:12" x14ac:dyDescent="0.3">
      <c r="A97" t="s">
        <v>174</v>
      </c>
      <c r="E97" s="27"/>
      <c r="F97" s="28" t="str">
        <f>IF(OR(E97="",E97="!!!"),"",IF(NOT(ISNA(VLOOKUP(E97,E$1:E96,1,FALSE()))),"OLD",IF(AND(E97&lt;&gt;"",E97&lt;&gt;"!!!"),"NEW","")))</f>
        <v/>
      </c>
      <c r="G97" s="22" t="str">
        <f>IF(OR(E97="",E97="!!!"),"",IF(OR(J97=0,AND(J97=1,K97=1),AND(J97=1,I97="SBJ"),AND(J97=1,I97=0)),"?IN_FOCUS",IF(J97&lt;=2,"?ACTIVATED",IF(J97&lt;&gt;"","?FAMILIAR",IF(F97="NEW",IF(ISNA(VLOOKUP(E97,#REF!,1,FALSE())),"?TYPE_IDENTIFIABLE","?REFERENTIAL"),"_")))))</f>
        <v/>
      </c>
      <c r="H97" s="23" t="str">
        <f t="shared" ca="1" si="6"/>
        <v/>
      </c>
      <c r="I97" s="24" t="str">
        <f>IF(OR(E97="",E97="!!!",F97="NEW"),"",INDEX(B$2:B96,-1+SUMPRODUCT(MAX(ROW(E$2:E96)*(E97=E$2:E96)))))</f>
        <v/>
      </c>
      <c r="J97" s="24" t="str">
        <f ca="1">IF(OR(E97="",E97="!!!",F97="NEW"),"",COUNTBLANK(OFFSET(A$1,,,SUMPRODUCT(MAX(ROW(E$2:E97)*(E97=E$2:E97)))))-COUNTBLANK(OFFSET(A$1,,,SUMPRODUCT(MAX(ROW(E$1:E96)*(E2=E$1:E96))))))</f>
        <v/>
      </c>
      <c r="K97" s="24" t="str">
        <f>IF(OR(E97="",E97="!!!",F97="NEW"),"",INDEX(J$1:J96,SUMPRODUCT(MAX(ROW(E$1:E96)*(E97=E$1:E96)))))</f>
        <v/>
      </c>
      <c r="L97" s="29"/>
    </row>
    <row r="98" spans="1:12" x14ac:dyDescent="0.3">
      <c r="A98" t="s">
        <v>175</v>
      </c>
      <c r="E98" s="27"/>
      <c r="F98" s="28" t="str">
        <f>IF(OR(E98="",E98="!!!"),"",IF(NOT(ISNA(VLOOKUP(E98,E$1:E97,1,FALSE()))),"OLD",IF(AND(E98&lt;&gt;"",E98&lt;&gt;"!!!"),"NEW","")))</f>
        <v/>
      </c>
      <c r="G98" s="22" t="str">
        <f>IF(OR(E98="",E98="!!!"),"",IF(OR(J98=0,AND(J98=1,K98=1),AND(J98=1,I98="SBJ"),AND(J98=1,I98=0)),"?IN_FOCUS",IF(J98&lt;=2,"?ACTIVATED",IF(J98&lt;&gt;"","?FAMILIAR",IF(F98="NEW",IF(ISNA(VLOOKUP(E98,#REF!,1,FALSE())),"?TYPE_IDENTIFIABLE","?REFERENTIAL"),"_")))))</f>
        <v/>
      </c>
      <c r="H98" s="23" t="str">
        <f t="shared" ca="1" si="6"/>
        <v/>
      </c>
      <c r="I98" s="24" t="str">
        <f>IF(OR(E98="",E98="!!!",F98="NEW"),"",INDEX(B$2:B97,-1+SUMPRODUCT(MAX(ROW(E$2:E97)*(E98=E$2:E97)))))</f>
        <v/>
      </c>
      <c r="J98" s="24" t="str">
        <f ca="1">IF(OR(E98="",E98="!!!",F98="NEW"),"",COUNTBLANK(OFFSET(A$1,,,SUMPRODUCT(MAX(ROW(E$2:E98)*(E98=E$2:E98)))))-COUNTBLANK(OFFSET(A$1,,,SUMPRODUCT(MAX(ROW(E$1:E97)*(E2=E$1:E97))))))</f>
        <v/>
      </c>
      <c r="K98" s="24" t="str">
        <f>IF(OR(E98="",E98="!!!",F98="NEW"),"",INDEX(J$1:J97,SUMPRODUCT(MAX(ROW(E$1:E97)*(E98=E$1:E97)))))</f>
        <v/>
      </c>
      <c r="L98" s="29"/>
    </row>
    <row r="99" spans="1:12" x14ac:dyDescent="0.3">
      <c r="A99" t="s">
        <v>176</v>
      </c>
      <c r="E99" s="27"/>
      <c r="F99" s="28" t="str">
        <f>IF(OR(E99="",E99="!!!"),"",IF(NOT(ISNA(VLOOKUP(E99,E$1:E98,1,FALSE()))),"OLD",IF(AND(E99&lt;&gt;"",E99&lt;&gt;"!!!"),"NEW","")))</f>
        <v/>
      </c>
      <c r="G99" s="22" t="str">
        <f>IF(OR(E99="",E99="!!!"),"",IF(OR(J99=0,AND(J99=1,K99=1),AND(J99=1,I99="SBJ"),AND(J99=1,I99=0)),"?IN_FOCUS",IF(J99&lt;=2,"?ACTIVATED",IF(J99&lt;&gt;"","?FAMILIAR",IF(F99="NEW",IF(ISNA(VLOOKUP(E99,#REF!,1,FALSE())),"?TYPE_IDENTIFIABLE","?REFERENTIAL"),"_")))))</f>
        <v/>
      </c>
      <c r="H99" s="23" t="str">
        <f t="shared" ca="1" si="6"/>
        <v/>
      </c>
      <c r="I99" s="24" t="str">
        <f>IF(OR(E99="",E99="!!!",F99="NEW"),"",INDEX(B$2:B98,-1+SUMPRODUCT(MAX(ROW(E$2:E98)*(E99=E$2:E98)))))</f>
        <v/>
      </c>
      <c r="J99" s="24" t="str">
        <f ca="1">IF(OR(E99="",E99="!!!",F99="NEW"),"",COUNTBLANK(OFFSET(A$1,,,SUMPRODUCT(MAX(ROW(E$2:E99)*(E99=E$2:E99)))))-COUNTBLANK(OFFSET(A$1,,,SUMPRODUCT(MAX(ROW(E$1:E98)*(E2=E$1:E98))))))</f>
        <v/>
      </c>
      <c r="K99" s="24" t="str">
        <f>IF(OR(E99="",E99="!!!",F99="NEW"),"",INDEX(J$1:J98,SUMPRODUCT(MAX(ROW(E$1:E98)*(E99=E$1:E98)))))</f>
        <v/>
      </c>
      <c r="L99" s="29"/>
    </row>
    <row r="100" spans="1:12" x14ac:dyDescent="0.3">
      <c r="A100" t="s">
        <v>177</v>
      </c>
      <c r="B100" s="26" t="s">
        <v>140</v>
      </c>
      <c r="C100" s="26" t="s">
        <v>124</v>
      </c>
      <c r="D100" s="26" t="s">
        <v>98</v>
      </c>
      <c r="E100" s="27" t="s">
        <v>334</v>
      </c>
      <c r="F100" s="28" t="str">
        <f>IF(OR(E100="",E100="!!!"),"",IF(NOT(ISNA(VLOOKUP(E100,E$1:E99,1,FALSE()))),"OLD",IF(AND(E100&lt;&gt;"",E100&lt;&gt;"!!!"),"NEW","")))</f>
        <v>NEW</v>
      </c>
      <c r="G100" s="22" t="str">
        <f ca="1">IF(OR(E100="",E100="!!!"),"",IF(OR(J100=0,AND(J100=1,K100=1),AND(J100=1,I100="SBJ"),AND(J100=1,I100=0)),"?IN_FOCUS",IF(J100&lt;=2,"?ACTIVATED",IF(J100&lt;&gt;"","?FAMILIAR",IF(F100="NEW",IF(ISNA(VLOOKUP(E100,#REF!,1,FALSE())),"?TYPE_IDENTIFIABLE","?REFERENTIAL"),"_")))))</f>
        <v>?REFERENTIAL</v>
      </c>
      <c r="H100" s="23" t="str">
        <f t="shared" ca="1" si="6"/>
        <v/>
      </c>
      <c r="I100" s="24" t="str">
        <f>IF(OR(E100="",E100="!!!",F100="NEW"),"",INDEX(B$2:B99,-1+SUMPRODUCT(MAX(ROW(E$2:E99)*(E100=E$2:E99)))))</f>
        <v/>
      </c>
      <c r="J100" s="24" t="str">
        <f ca="1">IF(OR(E100="",E100="!!!",F100="NEW"),"",COUNTBLANK(OFFSET(A$1,,,SUMPRODUCT(MAX(ROW(E$2:E100)*(E100=E$2:E100)))))-COUNTBLANK(OFFSET(A$1,,,SUMPRODUCT(MAX(ROW(E$1:E99)*(E2=E$1:E99))))))</f>
        <v/>
      </c>
      <c r="K100" s="24" t="str">
        <f>IF(OR(E100="",E100="!!!",F100="NEW"),"",INDEX(J$1:J99,SUMPRODUCT(MAX(ROW(E$1:E99)*(E100=E$1:E99)))))</f>
        <v/>
      </c>
      <c r="L100" s="29"/>
    </row>
    <row r="101" spans="1:12" x14ac:dyDescent="0.3">
      <c r="A101" t="s">
        <v>99</v>
      </c>
      <c r="E101" s="27"/>
      <c r="F101" s="28" t="str">
        <f>IF(OR(E101="",E101="!!!"),"",IF(NOT(ISNA(VLOOKUP(E101,E$1:E100,1,FALSE()))),"OLD",IF(AND(E101&lt;&gt;"",E101&lt;&gt;"!!!"),"NEW","")))</f>
        <v/>
      </c>
      <c r="G101" s="22" t="str">
        <f>IF(OR(E101="",E101="!!!"),"",IF(OR(J101=0,AND(J101=1,K101=1),AND(J101=1,I101="SBJ"),AND(J101=1,I101=0)),"?IN_FOCUS",IF(J101&lt;=2,"?ACTIVATED",IF(J101&lt;&gt;"","?FAMILIAR",IF(F101="NEW",IF(ISNA(VLOOKUP(E101,#REF!,1,FALSE())),"?TYPE_IDENTIFIABLE","?REFERENTIAL"),"_")))))</f>
        <v/>
      </c>
      <c r="H101" s="23" t="str">
        <f t="shared" ca="1" si="6"/>
        <v/>
      </c>
      <c r="I101" s="24" t="str">
        <f>IF(OR(E101="",E101="!!!",F101="NEW"),"",INDEX(B$2:B100,-1+SUMPRODUCT(MAX(ROW(E$2:E100)*(E101=E$2:E100)))))</f>
        <v/>
      </c>
      <c r="J101" s="24" t="str">
        <f ca="1">IF(OR(E101="",E101="!!!",F101="NEW"),"",COUNTBLANK(OFFSET(A$1,,,SUMPRODUCT(MAX(ROW(E$2:E101)*(E101=E$2:E101)))))-COUNTBLANK(OFFSET(A$1,,,SUMPRODUCT(MAX(ROW(E$1:E100)*(E2=E$1:E100))))))</f>
        <v/>
      </c>
      <c r="K101" s="24" t="str">
        <f>IF(OR(E101="",E101="!!!",F101="NEW"),"",INDEX(J$1:J100,SUMPRODUCT(MAX(ROW(E$1:E100)*(E101=E$1:E100)))))</f>
        <v/>
      </c>
      <c r="L101" s="29"/>
    </row>
    <row r="102" spans="1:12" x14ac:dyDescent="0.3">
      <c r="A102" t="s">
        <v>100</v>
      </c>
      <c r="B102" s="26" t="s">
        <v>114</v>
      </c>
      <c r="C102" s="26" t="s">
        <v>97</v>
      </c>
      <c r="D102" s="26" t="s">
        <v>98</v>
      </c>
      <c r="E102" s="27" t="s">
        <v>327</v>
      </c>
      <c r="F102" s="28" t="str">
        <f>IF(OR(E102="",E102="!!!"),"",IF(NOT(ISNA(VLOOKUP(E102,E$1:E101,1,FALSE()))),"OLD",IF(AND(E102&lt;&gt;"",E102&lt;&gt;"!!!"),"NEW","")))</f>
        <v>OLD</v>
      </c>
      <c r="G102" s="22" t="str">
        <f ca="1">IF(OR(E102="",E102="!!!"),"",IF(OR(J102=0,AND(J102=1,K102=1),AND(J102=1,I102="SBJ"),AND(J102=1,I102=0)),"?IN_FOCUS",IF(J102&lt;=2,"?ACTIVATED",IF(J102&lt;&gt;"","?FAMILIAR",IF(F102="NEW",IF(ISNA(VLOOKUP(E102,#REF!,1,FALSE())),"?TYPE_IDENTIFIABLE","?REFERENTIAL"),"_")))))</f>
        <v>?IN_FOCUS</v>
      </c>
      <c r="H102" s="23" t="str">
        <f t="shared" ca="1" si="6"/>
        <v/>
      </c>
      <c r="I102" s="24" t="str">
        <f>IF(OR(E102="",E102="!!!",F102="NEW"),"",INDEX(B$2:B101,-1+SUMPRODUCT(MAX(ROW(E$2:E101)*(E102=E$2:E101)))))</f>
        <v>other</v>
      </c>
      <c r="J102" s="24">
        <f ca="1">IF(OR(E102="",E102="!!!",F102="NEW"),"",COUNTBLANK(OFFSET(A$1,,,SUMPRODUCT(MAX(ROW(E$2:E102)*(E102=E$2:E102)))))-COUNTBLANK(OFFSET(A$1,,,SUMPRODUCT(MAX(ROW(E$1:E101)*(E2=E$1:E101))))))</f>
        <v>0</v>
      </c>
      <c r="K102" s="24">
        <f ca="1">IF(OR(E102="",E102="!!!",F102="NEW"),"",INDEX(J$1:J101,SUMPRODUCT(MAX(ROW(E$1:E101)*(E102=E$1:E101)))))</f>
        <v>0</v>
      </c>
      <c r="L102" s="29"/>
    </row>
    <row r="103" spans="1:12" x14ac:dyDescent="0.3">
      <c r="A103" t="s">
        <v>102</v>
      </c>
      <c r="E103" s="27"/>
      <c r="F103" s="28" t="str">
        <f>IF(OR(E103="",E103="!!!"),"",IF(NOT(ISNA(VLOOKUP(E103,E$1:E102,1,FALSE()))),"OLD",IF(AND(E103&lt;&gt;"",E103&lt;&gt;"!!!"),"NEW","")))</f>
        <v/>
      </c>
      <c r="G103" s="22" t="str">
        <f>IF(OR(E103="",E103="!!!"),"",IF(OR(J103=0,AND(J103=1,K103=1),AND(J103=1,I103="SBJ"),AND(J103=1,I103=0)),"?IN_FOCUS",IF(J103&lt;=2,"?ACTIVATED",IF(J103&lt;&gt;"","?FAMILIAR",IF(F103="NEW",IF(ISNA(VLOOKUP(E103,#REF!,1,FALSE())),"?TYPE_IDENTIFIABLE","?REFERENTIAL"),"_")))))</f>
        <v/>
      </c>
      <c r="H103" s="23" t="str">
        <f t="shared" ca="1" si="6"/>
        <v/>
      </c>
      <c r="I103" s="24" t="str">
        <f>IF(OR(E103="",E103="!!!",F103="NEW"),"",INDEX(B$2:B102,-1+SUMPRODUCT(MAX(ROW(E$2:E102)*(E103=E$2:E102)))))</f>
        <v/>
      </c>
      <c r="J103" s="24" t="str">
        <f ca="1">IF(OR(E103="",E103="!!!",F103="NEW"),"",COUNTBLANK(OFFSET(A$1,,,SUMPRODUCT(MAX(ROW(E$2:E103)*(E103=E$2:E103)))))-COUNTBLANK(OFFSET(A$1,,,SUMPRODUCT(MAX(ROW(E$1:E102)*(E2=E$1:E102))))))</f>
        <v/>
      </c>
      <c r="K103" s="24" t="str">
        <f>IF(OR(E103="",E103="!!!",F103="NEW"),"",INDEX(J$1:J102,SUMPRODUCT(MAX(ROW(E$1:E102)*(E103=E$1:E102)))))</f>
        <v/>
      </c>
      <c r="L103" s="29"/>
    </row>
    <row r="104" spans="1:12" x14ac:dyDescent="0.3">
      <c r="A104" t="s">
        <v>178</v>
      </c>
      <c r="E104" s="27"/>
      <c r="F104" s="28" t="str">
        <f>IF(OR(E104="",E104="!!!"),"",IF(NOT(ISNA(VLOOKUP(E104,E$1:E103,1,FALSE()))),"OLD",IF(AND(E104&lt;&gt;"",E104&lt;&gt;"!!!"),"NEW","")))</f>
        <v/>
      </c>
      <c r="G104" s="22" t="str">
        <f>IF(OR(E104="",E104="!!!"),"",IF(OR(J104=0,AND(J104=1,K104=1),AND(J104=1,I104="SBJ"),AND(J104=1,I104=0)),"?IN_FOCUS",IF(J104&lt;=2,"?ACTIVATED",IF(J104&lt;&gt;"","?FAMILIAR",IF(F104="NEW",IF(ISNA(VLOOKUP(E104,#REF!,1,FALSE())),"?TYPE_IDENTIFIABLE","?REFERENTIAL"),"_")))))</f>
        <v/>
      </c>
      <c r="H104" s="23" t="str">
        <f t="shared" ca="1" si="6"/>
        <v/>
      </c>
      <c r="I104" s="24" t="str">
        <f>IF(OR(E104="",E104="!!!",F104="NEW"),"",INDEX(B$2:B103,-1+SUMPRODUCT(MAX(ROW(E$2:E103)*(E104=E$2:E103)))))</f>
        <v/>
      </c>
      <c r="J104" s="24" t="str">
        <f ca="1">IF(OR(E104="",E104="!!!",F104="NEW"),"",COUNTBLANK(OFFSET(A$1,,,SUMPRODUCT(MAX(ROW(E$2:E104)*(E104=E$2:E104)))))-COUNTBLANK(OFFSET(A$1,,,SUMPRODUCT(MAX(ROW(E$1:E103)*(E2=E$1:E103))))))</f>
        <v/>
      </c>
      <c r="K104" s="24" t="str">
        <f>IF(OR(E104="",E104="!!!",F104="NEW"),"",INDEX(J$1:J103,SUMPRODUCT(MAX(ROW(E$1:E103)*(E104=E$1:E103)))))</f>
        <v/>
      </c>
      <c r="L104" s="29"/>
    </row>
    <row r="105" spans="1:12" x14ac:dyDescent="0.3">
      <c r="A105" t="s">
        <v>129</v>
      </c>
      <c r="E105" s="27"/>
      <c r="F105" s="28" t="str">
        <f>IF(OR(E105="",E105="!!!"),"",IF(NOT(ISNA(VLOOKUP(E105,E$1:E104,1,FALSE()))),"OLD",IF(AND(E105&lt;&gt;"",E105&lt;&gt;"!!!"),"NEW","")))</f>
        <v/>
      </c>
      <c r="G105" s="22" t="str">
        <f>IF(OR(E105="",E105="!!!"),"",IF(OR(J105=0,AND(J105=1,K105=1),AND(J105=1,I105="SBJ"),AND(J105=1,I105=0)),"?IN_FOCUS",IF(J105&lt;=2,"?ACTIVATED",IF(J105&lt;&gt;"","?FAMILIAR",IF(F105="NEW",IF(ISNA(VLOOKUP(E105,#REF!,1,FALSE())),"?TYPE_IDENTIFIABLE","?REFERENTIAL"),"_")))))</f>
        <v/>
      </c>
      <c r="H105" s="23" t="str">
        <f t="shared" ca="1" si="6"/>
        <v/>
      </c>
      <c r="I105" s="24" t="str">
        <f>IF(OR(E105="",E105="!!!",F105="NEW"),"",INDEX(B$2:B104,-1+SUMPRODUCT(MAX(ROW(E$2:E104)*(E105=E$2:E104)))))</f>
        <v/>
      </c>
      <c r="J105" s="24" t="str">
        <f ca="1">IF(OR(E105="",E105="!!!",F105="NEW"),"",COUNTBLANK(OFFSET(A$1,,,SUMPRODUCT(MAX(ROW(E$2:E105)*(E105=E$2:E105)))))-COUNTBLANK(OFFSET(A$1,,,SUMPRODUCT(MAX(ROW(E$1:E104)*(E2=E$1:E104))))))</f>
        <v/>
      </c>
      <c r="K105" s="24" t="str">
        <f>IF(OR(E105="",E105="!!!",F105="NEW"),"",INDEX(J$1:J104,SUMPRODUCT(MAX(ROW(E$1:E104)*(E105=E$1:E104)))))</f>
        <v/>
      </c>
      <c r="L105" s="29"/>
    </row>
    <row r="107" spans="1:12" x14ac:dyDescent="0.3">
      <c r="A107" t="s">
        <v>179</v>
      </c>
    </row>
    <row r="108" spans="1:12" x14ac:dyDescent="0.3">
      <c r="A108" t="s">
        <v>180</v>
      </c>
      <c r="E108" s="27"/>
      <c r="F108" s="28" t="str">
        <f>IF(OR(E108="",E108="!!!"),"",IF(NOT(ISNA(VLOOKUP(E108,E$1:E107,1,FALSE()))),"OLD",IF(AND(E108&lt;&gt;"",E108&lt;&gt;"!!!"),"NEW","")))</f>
        <v/>
      </c>
      <c r="G108" s="22" t="str">
        <f>IF(OR(E108="",E108="!!!"),"",IF(OR(J108=0,AND(J108=1,K108=1),AND(J108=1,I108="SBJ"),AND(J108=1,I108=0)),"?IN_FOCUS",IF(J108&lt;=2,"?ACTIVATED",IF(J108&lt;&gt;"","?FAMILIAR",IF(F108="NEW",IF(ISNA(VLOOKUP(E108,#REF!,1,FALSE())),"?TYPE_IDENTIFIABLE","?REFERENTIAL"),"_")))))</f>
        <v/>
      </c>
      <c r="H108" s="23" t="str">
        <f t="shared" ref="H108:H129" ca="1" si="7">IF(J108&lt;&gt;1,"",IF(I108="SBJ","CB","?"))</f>
        <v/>
      </c>
      <c r="I108" s="24" t="str">
        <f>IF(OR(E108="",E108="!!!",F108="NEW"),"",INDEX(B$2:B107,-1+SUMPRODUCT(MAX(ROW(E$2:E107)*(E108=E$2:E107)))))</f>
        <v/>
      </c>
      <c r="J108" s="24" t="str">
        <f ca="1">IF(OR(E108="",E108="!!!",F108="NEW"),"",COUNTBLANK(OFFSET(A$1,,,SUMPRODUCT(MAX(ROW(E$2:E108)*(E108=E$2:E108)))))-COUNTBLANK(OFFSET(A$1,,,SUMPRODUCT(MAX(ROW(E$1:E107)*(E2=E$1:E107))))))</f>
        <v/>
      </c>
      <c r="K108" s="24" t="str">
        <f>IF(OR(E108="",E108="!!!",F108="NEW"),"",INDEX(J$1:J107,SUMPRODUCT(MAX(ROW(E$1:E107)*(E108=E$1:E107)))))</f>
        <v/>
      </c>
      <c r="L108" s="29"/>
    </row>
    <row r="109" spans="1:12" x14ac:dyDescent="0.3">
      <c r="A109" t="s">
        <v>100</v>
      </c>
      <c r="B109" s="26" t="s">
        <v>96</v>
      </c>
      <c r="C109" s="26" t="s">
        <v>97</v>
      </c>
      <c r="D109" s="26" t="s">
        <v>98</v>
      </c>
      <c r="E109" s="27" t="s">
        <v>327</v>
      </c>
      <c r="F109" s="28" t="str">
        <f>IF(OR(E109="",E109="!!!"),"",IF(NOT(ISNA(VLOOKUP(E109,E$1:E108,1,FALSE()))),"OLD",IF(AND(E109&lt;&gt;"",E109&lt;&gt;"!!!"),"NEW","")))</f>
        <v>OLD</v>
      </c>
      <c r="G109" s="22" t="str">
        <f ca="1">IF(OR(E109="",E109="!!!"),"",IF(OR(J109=0,AND(J109=1,K109=1),AND(J109=1,I109="SBJ"),AND(J109=1,I109=0)),"?IN_FOCUS",IF(J109&lt;=2,"?ACTIVATED",IF(J109&lt;&gt;"","?FAMILIAR",IF(F109="NEW",IF(ISNA(VLOOKUP(E109,#REF!,1,FALSE())),"?TYPE_IDENTIFIABLE","?REFERENTIAL"),"_")))))</f>
        <v>?IN_FOCUS</v>
      </c>
      <c r="H109" s="23" t="str">
        <f t="shared" ca="1" si="7"/>
        <v/>
      </c>
      <c r="I109" s="24" t="str">
        <f>IF(OR(E109="",E109="!!!",F109="NEW"),"",INDEX(B$2:B108,-1+SUMPRODUCT(MAX(ROW(E$2:E108)*(E109=E$2:E108)))))</f>
        <v>other_3</v>
      </c>
      <c r="J109" s="24">
        <f ca="1">IF(OR(E109="",E109="!!!",F109="NEW"),"",COUNTBLANK(OFFSET(A$1,,,SUMPRODUCT(MAX(ROW(E$2:E109)*(E109=E$2:E109)))))-COUNTBLANK(OFFSET(A$1,,,SUMPRODUCT(MAX(ROW(E$1:E108)*(E2=E$1:E108))))))</f>
        <v>0</v>
      </c>
      <c r="K109" s="24">
        <f ca="1">IF(OR(E109="",E109="!!!",F109="NEW"),"",INDEX(J$1:J108,SUMPRODUCT(MAX(ROW(E$1:E108)*(E109=E$1:E108)))))</f>
        <v>0</v>
      </c>
      <c r="L109" s="29" t="s">
        <v>368</v>
      </c>
    </row>
    <row r="110" spans="1:12" x14ac:dyDescent="0.3">
      <c r="A110" t="s">
        <v>102</v>
      </c>
      <c r="E110" s="27"/>
      <c r="F110" s="28" t="str">
        <f>IF(OR(E110="",E110="!!!"),"",IF(NOT(ISNA(VLOOKUP(E110,E$1:E109,1,FALSE()))),"OLD",IF(AND(E110&lt;&gt;"",E110&lt;&gt;"!!!"),"NEW","")))</f>
        <v/>
      </c>
      <c r="G110" s="22" t="str">
        <f>IF(OR(E110="",E110="!!!"),"",IF(OR(J110=0,AND(J110=1,K110=1),AND(J110=1,I110="SBJ"),AND(J110=1,I110=0)),"?IN_FOCUS",IF(J110&lt;=2,"?ACTIVATED",IF(J110&lt;&gt;"","?FAMILIAR",IF(F110="NEW",IF(ISNA(VLOOKUP(E110,#REF!,1,FALSE())),"?TYPE_IDENTIFIABLE","?REFERENTIAL"),"_")))))</f>
        <v/>
      </c>
      <c r="H110" s="23" t="str">
        <f t="shared" ca="1" si="7"/>
        <v/>
      </c>
      <c r="I110" s="24" t="str">
        <f>IF(OR(E110="",E110="!!!",F110="NEW"),"",INDEX(B$2:B109,-1+SUMPRODUCT(MAX(ROW(E$2:E109)*(E110=E$2:E109)))))</f>
        <v/>
      </c>
      <c r="J110" s="24" t="str">
        <f ca="1">IF(OR(E110="",E110="!!!",F110="NEW"),"",COUNTBLANK(OFFSET(A$1,,,SUMPRODUCT(MAX(ROW(E$2:E110)*(E110=E$2:E110)))))-COUNTBLANK(OFFSET(A$1,,,SUMPRODUCT(MAX(ROW(E$1:E109)*(E2=E$1:E109))))))</f>
        <v/>
      </c>
      <c r="K110" s="24" t="str">
        <f>IF(OR(E110="",E110="!!!",F110="NEW"),"",INDEX(J$1:J109,SUMPRODUCT(MAX(ROW(E$1:E109)*(E110=E$1:E109)))))</f>
        <v/>
      </c>
      <c r="L110" s="29"/>
    </row>
    <row r="111" spans="1:12" x14ac:dyDescent="0.3">
      <c r="A111" t="s">
        <v>181</v>
      </c>
      <c r="E111" s="27"/>
      <c r="F111" s="28" t="str">
        <f>IF(OR(E111="",E111="!!!"),"",IF(NOT(ISNA(VLOOKUP(E111,E$1:E110,1,FALSE()))),"OLD",IF(AND(E111&lt;&gt;"",E111&lt;&gt;"!!!"),"NEW","")))</f>
        <v/>
      </c>
      <c r="G111" s="22" t="str">
        <f>IF(OR(E111="",E111="!!!"),"",IF(OR(J111=0,AND(J111=1,K111=1),AND(J111=1,I111="SBJ"),AND(J111=1,I111=0)),"?IN_FOCUS",IF(J111&lt;=2,"?ACTIVATED",IF(J111&lt;&gt;"","?FAMILIAR",IF(F111="NEW",IF(ISNA(VLOOKUP(E111,#REF!,1,FALSE())),"?TYPE_IDENTIFIABLE","?REFERENTIAL"),"_")))))</f>
        <v/>
      </c>
      <c r="H111" s="23" t="str">
        <f t="shared" ca="1" si="7"/>
        <v/>
      </c>
      <c r="I111" s="24" t="str">
        <f>IF(OR(E111="",E111="!!!",F111="NEW"),"",INDEX(B$2:B110,-1+SUMPRODUCT(MAX(ROW(E$2:E110)*(E111=E$2:E110)))))</f>
        <v/>
      </c>
      <c r="J111" s="24" t="str">
        <f ca="1">IF(OR(E111="",E111="!!!",F111="NEW"),"",COUNTBLANK(OFFSET(A$1,,,SUMPRODUCT(MAX(ROW(E$2:E111)*(E111=E$2:E111)))))-COUNTBLANK(OFFSET(A$1,,,SUMPRODUCT(MAX(ROW(E$1:E110)*(E2=E$1:E110))))))</f>
        <v/>
      </c>
      <c r="K111" s="24" t="str">
        <f>IF(OR(E111="",E111="!!!",F111="NEW"),"",INDEX(J$1:J110,SUMPRODUCT(MAX(ROW(E$1:E110)*(E111=E$1:E110)))))</f>
        <v/>
      </c>
      <c r="L111" s="29"/>
    </row>
    <row r="112" spans="1:12" x14ac:dyDescent="0.3">
      <c r="A112" t="s">
        <v>182</v>
      </c>
      <c r="E112" s="27" t="s">
        <v>335</v>
      </c>
      <c r="F112" s="28" t="str">
        <f>IF(OR(E112="",E112="!!!"),"",IF(NOT(ISNA(VLOOKUP(E112,E$1:E111,1,FALSE()))),"OLD",IF(AND(E112&lt;&gt;"",E112&lt;&gt;"!!!"),"NEW","")))</f>
        <v>NEW</v>
      </c>
      <c r="G112" s="22" t="str">
        <f ca="1">IF(OR(E112="",E112="!!!"),"",IF(OR(J112=0,AND(J112=1,K112=1),AND(J112=1,I112="SBJ"),AND(J112=1,I112=0)),"?IN_FOCUS",IF(J112&lt;=2,"?ACTIVATED",IF(J112&lt;&gt;"","?FAMILIAR",IF(F112="NEW",IF(ISNA(VLOOKUP(E112,#REF!,1,FALSE())),"?TYPE_IDENTIFIABLE","?REFERENTIAL"),"_")))))</f>
        <v>?REFERENTIAL</v>
      </c>
      <c r="H112" s="23" t="str">
        <f t="shared" ca="1" si="7"/>
        <v/>
      </c>
      <c r="I112" s="24" t="str">
        <f>IF(OR(E112="",E112="!!!",F112="NEW"),"",INDEX(B$2:B111,-1+SUMPRODUCT(MAX(ROW(E$2:E111)*(E112=E$2:E111)))))</f>
        <v/>
      </c>
      <c r="J112" s="24" t="str">
        <f ca="1">IF(OR(E112="",E112="!!!",F112="NEW"),"",COUNTBLANK(OFFSET(A$1,,,SUMPRODUCT(MAX(ROW(E$2:E112)*(E112=E$2:E112)))))-COUNTBLANK(OFFSET(A$1,,,SUMPRODUCT(MAX(ROW(E$1:E111)*(E2=E$1:E111))))))</f>
        <v/>
      </c>
      <c r="K112" s="24" t="str">
        <f>IF(OR(E112="",E112="!!!",F112="NEW"),"",INDEX(J$1:J111,SUMPRODUCT(MAX(ROW(E$1:E111)*(E112=E$1:E111)))))</f>
        <v/>
      </c>
      <c r="L112" s="29" t="s">
        <v>357</v>
      </c>
    </row>
    <row r="113" spans="1:12" x14ac:dyDescent="0.3">
      <c r="A113" t="s">
        <v>136</v>
      </c>
      <c r="E113" s="27"/>
      <c r="F113" s="28" t="str">
        <f>IF(OR(E113="",E113="!!!"),"",IF(NOT(ISNA(VLOOKUP(E113,E$1:E112,1,FALSE()))),"OLD",IF(AND(E113&lt;&gt;"",E113&lt;&gt;"!!!"),"NEW","")))</f>
        <v/>
      </c>
      <c r="G113" s="22" t="str">
        <f>IF(OR(E113="",E113="!!!"),"",IF(OR(J113=0,AND(J113=1,K113=1),AND(J113=1,I113="SBJ"),AND(J113=1,I113=0)),"?IN_FOCUS",IF(J113&lt;=2,"?ACTIVATED",IF(J113&lt;&gt;"","?FAMILIAR",IF(F113="NEW",IF(ISNA(VLOOKUP(E113,#REF!,1,FALSE())),"?TYPE_IDENTIFIABLE","?REFERENTIAL"),"_")))))</f>
        <v/>
      </c>
      <c r="H113" s="23" t="str">
        <f t="shared" ca="1" si="7"/>
        <v/>
      </c>
      <c r="I113" s="24" t="str">
        <f>IF(OR(E113="",E113="!!!",F113="NEW"),"",INDEX(B$2:B112,-1+SUMPRODUCT(MAX(ROW(E$2:E112)*(E113=E$2:E112)))))</f>
        <v/>
      </c>
      <c r="J113" s="24" t="str">
        <f ca="1">IF(OR(E113="",E113="!!!",F113="NEW"),"",COUNTBLANK(OFFSET(A$1,,,SUMPRODUCT(MAX(ROW(E$2:E113)*(E113=E$2:E113)))))-COUNTBLANK(OFFSET(A$1,,,SUMPRODUCT(MAX(ROW(E$1:E112)*(E2=E$1:E112))))))</f>
        <v/>
      </c>
      <c r="K113" s="24" t="str">
        <f>IF(OR(E113="",E113="!!!",F113="NEW"),"",INDEX(J$1:J112,SUMPRODUCT(MAX(ROW(E$1:E112)*(E113=E$1:E112)))))</f>
        <v/>
      </c>
      <c r="L113" s="29"/>
    </row>
    <row r="114" spans="1:12" x14ac:dyDescent="0.3">
      <c r="A114" t="s">
        <v>108</v>
      </c>
      <c r="E114" s="27"/>
      <c r="F114" s="28" t="str">
        <f>IF(OR(E114="",E114="!!!"),"",IF(NOT(ISNA(VLOOKUP(E114,E$1:E113,1,FALSE()))),"OLD",IF(AND(E114&lt;&gt;"",E114&lt;&gt;"!!!"),"NEW","")))</f>
        <v/>
      </c>
      <c r="G114" s="22" t="str">
        <f>IF(OR(E114="",E114="!!!"),"",IF(OR(J114=0,AND(J114=1,K114=1),AND(J114=1,I114="SBJ"),AND(J114=1,I114=0)),"?IN_FOCUS",IF(J114&lt;=2,"?ACTIVATED",IF(J114&lt;&gt;"","?FAMILIAR",IF(F114="NEW",IF(ISNA(VLOOKUP(E114,#REF!,1,FALSE())),"?TYPE_IDENTIFIABLE","?REFERENTIAL"),"_")))))</f>
        <v/>
      </c>
      <c r="H114" s="23" t="str">
        <f t="shared" ca="1" si="7"/>
        <v/>
      </c>
      <c r="I114" s="24" t="str">
        <f>IF(OR(E114="",E114="!!!",F114="NEW"),"",INDEX(B$2:B113,-1+SUMPRODUCT(MAX(ROW(E$2:E113)*(E114=E$2:E113)))))</f>
        <v/>
      </c>
      <c r="J114" s="24" t="str">
        <f ca="1">IF(OR(E114="",E114="!!!",F114="NEW"),"",COUNTBLANK(OFFSET(A$1,,,SUMPRODUCT(MAX(ROW(E$2:E114)*(E114=E$2:E114)))))-COUNTBLANK(OFFSET(A$1,,,SUMPRODUCT(MAX(ROW(E$1:E113)*(E2=E$1:E113))))))</f>
        <v/>
      </c>
      <c r="K114" s="24" t="str">
        <f>IF(OR(E114="",E114="!!!",F114="NEW"),"",INDEX(J$1:J113,SUMPRODUCT(MAX(ROW(E$1:E113)*(E114=E$1:E113)))))</f>
        <v/>
      </c>
      <c r="L114" s="29"/>
    </row>
    <row r="115" spans="1:12" x14ac:dyDescent="0.3">
      <c r="A115" t="s">
        <v>138</v>
      </c>
      <c r="E115" s="27"/>
      <c r="F115" s="28" t="str">
        <f>IF(OR(E115="",E115="!!!"),"",IF(NOT(ISNA(VLOOKUP(E115,E$1:E114,1,FALSE()))),"OLD",IF(AND(E115&lt;&gt;"",E115&lt;&gt;"!!!"),"NEW","")))</f>
        <v/>
      </c>
      <c r="G115" s="22" t="str">
        <f>IF(OR(E115="",E115="!!!"),"",IF(OR(J115=0,AND(J115=1,K115=1),AND(J115=1,I115="SBJ"),AND(J115=1,I115=0)),"?IN_FOCUS",IF(J115&lt;=2,"?ACTIVATED",IF(J115&lt;&gt;"","?FAMILIAR",IF(F115="NEW",IF(ISNA(VLOOKUP(E115,#REF!,1,FALSE())),"?TYPE_IDENTIFIABLE","?REFERENTIAL"),"_")))))</f>
        <v/>
      </c>
      <c r="H115" s="23" t="str">
        <f t="shared" ca="1" si="7"/>
        <v/>
      </c>
      <c r="I115" s="24" t="str">
        <f>IF(OR(E115="",E115="!!!",F115="NEW"),"",INDEX(B$2:B114,-1+SUMPRODUCT(MAX(ROW(E$2:E114)*(E115=E$2:E114)))))</f>
        <v/>
      </c>
      <c r="J115" s="24" t="str">
        <f ca="1">IF(OR(E115="",E115="!!!",F115="NEW"),"",COUNTBLANK(OFFSET(A$1,,,SUMPRODUCT(MAX(ROW(E$2:E115)*(E115=E$2:E115)))))-COUNTBLANK(OFFSET(A$1,,,SUMPRODUCT(MAX(ROW(E$1:E114)*(E2=E$1:E114))))))</f>
        <v/>
      </c>
      <c r="K115" s="24" t="str">
        <f>IF(OR(E115="",E115="!!!",F115="NEW"),"",INDEX(J$1:J114,SUMPRODUCT(MAX(ROW(E$1:E114)*(E115=E$1:E114)))))</f>
        <v/>
      </c>
      <c r="L115" s="29"/>
    </row>
    <row r="116" spans="1:12" x14ac:dyDescent="0.3">
      <c r="A116" t="s">
        <v>109</v>
      </c>
      <c r="E116" s="27"/>
      <c r="F116" s="28" t="str">
        <f>IF(OR(E116="",E116="!!!"),"",IF(NOT(ISNA(VLOOKUP(E116,E$1:E115,1,FALSE()))),"OLD",IF(AND(E116&lt;&gt;"",E116&lt;&gt;"!!!"),"NEW","")))</f>
        <v/>
      </c>
      <c r="G116" s="22" t="str">
        <f>IF(OR(E116="",E116="!!!"),"",IF(OR(J116=0,AND(J116=1,K116=1),AND(J116=1,I116="SBJ"),AND(J116=1,I116=0)),"?IN_FOCUS",IF(J116&lt;=2,"?ACTIVATED",IF(J116&lt;&gt;"","?FAMILIAR",IF(F116="NEW",IF(ISNA(VLOOKUP(E116,#REF!,1,FALSE())),"?TYPE_IDENTIFIABLE","?REFERENTIAL"),"_")))))</f>
        <v/>
      </c>
      <c r="H116" s="23" t="str">
        <f t="shared" ca="1" si="7"/>
        <v/>
      </c>
      <c r="I116" s="24" t="str">
        <f>IF(OR(E116="",E116="!!!",F116="NEW"),"",INDEX(B$2:B115,-1+SUMPRODUCT(MAX(ROW(E$2:E115)*(E116=E$2:E115)))))</f>
        <v/>
      </c>
      <c r="J116" s="24" t="str">
        <f ca="1">IF(OR(E116="",E116="!!!",F116="NEW"),"",COUNTBLANK(OFFSET(A$1,,,SUMPRODUCT(MAX(ROW(E$2:E116)*(E116=E$2:E116)))))-COUNTBLANK(OFFSET(A$1,,,SUMPRODUCT(MAX(ROW(E$1:E115)*(E2=E$1:E115))))))</f>
        <v/>
      </c>
      <c r="K116" s="24" t="str">
        <f>IF(OR(E116="",E116="!!!",F116="NEW"),"",INDEX(J$1:J115,SUMPRODUCT(MAX(ROW(E$1:E115)*(E116=E$1:E115)))))</f>
        <v/>
      </c>
      <c r="L116" s="29"/>
    </row>
    <row r="117" spans="1:12" x14ac:dyDescent="0.3">
      <c r="A117" t="s">
        <v>183</v>
      </c>
      <c r="B117" s="26" t="s">
        <v>140</v>
      </c>
      <c r="C117" s="26" t="s">
        <v>124</v>
      </c>
      <c r="D117" s="26" t="s">
        <v>98</v>
      </c>
      <c r="E117" s="27" t="s">
        <v>336</v>
      </c>
      <c r="F117" s="28" t="str">
        <f>IF(OR(E117="",E117="!!!"),"",IF(NOT(ISNA(VLOOKUP(E117,E$1:E116,1,FALSE()))),"OLD",IF(AND(E117&lt;&gt;"",E117&lt;&gt;"!!!"),"NEW","")))</f>
        <v>NEW</v>
      </c>
      <c r="G117" s="22" t="str">
        <f ca="1">IF(OR(E117="",E117="!!!"),"",IF(OR(J117=0,AND(J117=1,K117=1),AND(J117=1,I117="SBJ"),AND(J117=1,I117=0)),"?IN_FOCUS",IF(J117&lt;=2,"?ACTIVATED",IF(J117&lt;&gt;"","?FAMILIAR",IF(F117="NEW",IF(ISNA(VLOOKUP(E117,#REF!,1,FALSE())),"?TYPE_IDENTIFIABLE","?REFERENTIAL"),"_")))))</f>
        <v>?REFERENTIAL</v>
      </c>
      <c r="H117" s="23" t="str">
        <f t="shared" ca="1" si="7"/>
        <v/>
      </c>
      <c r="I117" s="24" t="str">
        <f>IF(OR(E117="",E117="!!!",F117="NEW"),"",INDEX(B$2:B116,-1+SUMPRODUCT(MAX(ROW(E$2:E116)*(E117=E$2:E116)))))</f>
        <v/>
      </c>
      <c r="J117" s="24" t="str">
        <f ca="1">IF(OR(E117="",E117="!!!",F117="NEW"),"",COUNTBLANK(OFFSET(A$1,,,SUMPRODUCT(MAX(ROW(E$2:E117)*(E117=E$2:E117)))))-COUNTBLANK(OFFSET(A$1,,,SUMPRODUCT(MAX(ROW(E$1:E116)*(E2=E$1:E116))))))</f>
        <v/>
      </c>
      <c r="K117" s="24" t="str">
        <f>IF(OR(E117="",E117="!!!",F117="NEW"),"",INDEX(J$1:J116,SUMPRODUCT(MAX(ROW(E$1:E116)*(E117=E$1:E116)))))</f>
        <v/>
      </c>
      <c r="L117" s="29"/>
    </row>
    <row r="118" spans="1:12" x14ac:dyDescent="0.3">
      <c r="A118" t="s">
        <v>166</v>
      </c>
      <c r="E118" s="27"/>
      <c r="F118" s="28" t="str">
        <f>IF(OR(E118="",E118="!!!"),"",IF(NOT(ISNA(VLOOKUP(E118,E$1:E117,1,FALSE()))),"OLD",IF(AND(E118&lt;&gt;"",E118&lt;&gt;"!!!"),"NEW","")))</f>
        <v/>
      </c>
      <c r="G118" s="22" t="str">
        <f>IF(OR(E118="",E118="!!!"),"",IF(OR(J118=0,AND(J118=1,K118=1),AND(J118=1,I118="SBJ"),AND(J118=1,I118=0)),"?IN_FOCUS",IF(J118&lt;=2,"?ACTIVATED",IF(J118&lt;&gt;"","?FAMILIAR",IF(F118="NEW",IF(ISNA(VLOOKUP(E118,#REF!,1,FALSE())),"?TYPE_IDENTIFIABLE","?REFERENTIAL"),"_")))))</f>
        <v/>
      </c>
      <c r="H118" s="23" t="str">
        <f t="shared" ca="1" si="7"/>
        <v/>
      </c>
      <c r="I118" s="24" t="str">
        <f>IF(OR(E118="",E118="!!!",F118="NEW"),"",INDEX(B$2:B117,-1+SUMPRODUCT(MAX(ROW(E$2:E117)*(E118=E$2:E117)))))</f>
        <v/>
      </c>
      <c r="J118" s="24" t="str">
        <f ca="1">IF(OR(E118="",E118="!!!",F118="NEW"),"",COUNTBLANK(OFFSET(A$1,,,SUMPRODUCT(MAX(ROW(E$2:E118)*(E118=E$2:E118)))))-COUNTBLANK(OFFSET(A$1,,,SUMPRODUCT(MAX(ROW(E$1:E117)*(E2=E$1:E117))))))</f>
        <v/>
      </c>
      <c r="K118" s="24" t="str">
        <f>IF(OR(E118="",E118="!!!",F118="NEW"),"",INDEX(J$1:J117,SUMPRODUCT(MAX(ROW(E$1:E117)*(E118=E$1:E117)))))</f>
        <v/>
      </c>
      <c r="L118" s="29"/>
    </row>
    <row r="119" spans="1:12" x14ac:dyDescent="0.3">
      <c r="A119" t="s">
        <v>184</v>
      </c>
      <c r="B119" s="26" t="s">
        <v>101</v>
      </c>
      <c r="C119" s="26" t="s">
        <v>115</v>
      </c>
      <c r="E119" s="27"/>
      <c r="F119" s="28" t="str">
        <f>IF(OR(E119="",E119="!!!"),"",IF(NOT(ISNA(VLOOKUP(E119,E$1:E118,1,FALSE()))),"OLD",IF(AND(E119&lt;&gt;"",E119&lt;&gt;"!!!"),"NEW","")))</f>
        <v/>
      </c>
      <c r="G119" s="22" t="str">
        <f>IF(OR(E119="",E119="!!!"),"",IF(OR(J119=0,AND(J119=1,K119=1),AND(J119=1,I119="SBJ"),AND(J119=1,I119=0)),"?IN_FOCUS",IF(J119&lt;=2,"?ACTIVATED",IF(J119&lt;&gt;"","?FAMILIAR",IF(F119="NEW",IF(ISNA(VLOOKUP(E119,#REF!,1,FALSE())),"?TYPE_IDENTIFIABLE","?REFERENTIAL"),"_")))))</f>
        <v/>
      </c>
      <c r="H119" s="23" t="str">
        <f t="shared" ca="1" si="7"/>
        <v/>
      </c>
      <c r="I119" s="24" t="str">
        <f>IF(OR(E119="",E119="!!!",F119="NEW"),"",INDEX(B$2:B118,-1+SUMPRODUCT(MAX(ROW(E$2:E118)*(E119=E$2:E118)))))</f>
        <v/>
      </c>
      <c r="J119" s="24" t="str">
        <f ca="1">IF(OR(E119="",E119="!!!",F119="NEW"),"",COUNTBLANK(OFFSET(A$1,,,SUMPRODUCT(MAX(ROW(E$2:E119)*(E119=E$2:E119)))))-COUNTBLANK(OFFSET(A$1,,,SUMPRODUCT(MAX(ROW(E$1:E118)*(E2=E$1:E118))))))</f>
        <v/>
      </c>
      <c r="K119" s="24" t="str">
        <f>IF(OR(E119="",E119="!!!",F119="NEW"),"",INDEX(J$1:J118,SUMPRODUCT(MAX(ROW(E$1:E118)*(E119=E$1:E118)))))</f>
        <v/>
      </c>
      <c r="L119" s="29"/>
    </row>
    <row r="120" spans="1:12" x14ac:dyDescent="0.3">
      <c r="A120" t="s">
        <v>185</v>
      </c>
      <c r="E120" s="27"/>
      <c r="F120" s="28" t="str">
        <f>IF(OR(E120="",E120="!!!"),"",IF(NOT(ISNA(VLOOKUP(E120,E$1:E119,1,FALSE()))),"OLD",IF(AND(E120&lt;&gt;"",E120&lt;&gt;"!!!"),"NEW","")))</f>
        <v/>
      </c>
      <c r="G120" s="22" t="str">
        <f>IF(OR(E120="",E120="!!!"),"",IF(OR(J120=0,AND(J120=1,K120=1),AND(J120=1,I120="SBJ"),AND(J120=1,I120=0)),"?IN_FOCUS",IF(J120&lt;=2,"?ACTIVATED",IF(J120&lt;&gt;"","?FAMILIAR",IF(F120="NEW",IF(ISNA(VLOOKUP(E120,#REF!,1,FALSE())),"?TYPE_IDENTIFIABLE","?REFERENTIAL"),"_")))))</f>
        <v/>
      </c>
      <c r="H120" s="23" t="str">
        <f t="shared" ca="1" si="7"/>
        <v/>
      </c>
      <c r="I120" s="24" t="str">
        <f>IF(OR(E120="",E120="!!!",F120="NEW"),"",INDEX(B$2:B119,-1+SUMPRODUCT(MAX(ROW(E$2:E119)*(E120=E$2:E119)))))</f>
        <v/>
      </c>
      <c r="J120" s="24" t="str">
        <f ca="1">IF(OR(E120="",E120="!!!",F120="NEW"),"",COUNTBLANK(OFFSET(A$1,,,SUMPRODUCT(MAX(ROW(E$2:E120)*(E120=E$2:E120)))))-COUNTBLANK(OFFSET(A$1,,,SUMPRODUCT(MAX(ROW(E$1:E119)*(E2=E$1:E119))))))</f>
        <v/>
      </c>
      <c r="K120" s="24" t="str">
        <f>IF(OR(E120="",E120="!!!",F120="NEW"),"",INDEX(J$1:J119,SUMPRODUCT(MAX(ROW(E$1:E119)*(E120=E$1:E119)))))</f>
        <v/>
      </c>
      <c r="L120" s="29"/>
    </row>
    <row r="121" spans="1:12" x14ac:dyDescent="0.3">
      <c r="A121" t="s">
        <v>120</v>
      </c>
      <c r="E121" s="27"/>
      <c r="F121" s="28" t="str">
        <f>IF(OR(E121="",E121="!!!"),"",IF(NOT(ISNA(VLOOKUP(E121,E$1:E120,1,FALSE()))),"OLD",IF(AND(E121&lt;&gt;"",E121&lt;&gt;"!!!"),"NEW","")))</f>
        <v/>
      </c>
      <c r="G121" s="22" t="str">
        <f>IF(OR(E121="",E121="!!!"),"",IF(OR(J121=0,AND(J121=1,K121=1),AND(J121=1,I121="SBJ"),AND(J121=1,I121=0)),"?IN_FOCUS",IF(J121&lt;=2,"?ACTIVATED",IF(J121&lt;&gt;"","?FAMILIAR",IF(F121="NEW",IF(ISNA(VLOOKUP(E121,#REF!,1,FALSE())),"?TYPE_IDENTIFIABLE","?REFERENTIAL"),"_")))))</f>
        <v/>
      </c>
      <c r="H121" s="23" t="str">
        <f t="shared" ca="1" si="7"/>
        <v/>
      </c>
      <c r="I121" s="24" t="str">
        <f>IF(OR(E121="",E121="!!!",F121="NEW"),"",INDEX(B$2:B120,-1+SUMPRODUCT(MAX(ROW(E$2:E120)*(E121=E$2:E120)))))</f>
        <v/>
      </c>
      <c r="J121" s="24" t="str">
        <f ca="1">IF(OR(E121="",E121="!!!",F121="NEW"),"",COUNTBLANK(OFFSET(A$1,,,SUMPRODUCT(MAX(ROW(E$2:E121)*(E121=E$2:E121)))))-COUNTBLANK(OFFSET(A$1,,,SUMPRODUCT(MAX(ROW(E$1:E120)*(E2=E$1:E120))))))</f>
        <v/>
      </c>
      <c r="K121" s="24" t="str">
        <f>IF(OR(E121="",E121="!!!",F121="NEW"),"",INDEX(J$1:J120,SUMPRODUCT(MAX(ROW(E$1:E120)*(E121=E$1:E120)))))</f>
        <v/>
      </c>
      <c r="L121" s="29"/>
    </row>
    <row r="122" spans="1:12" x14ac:dyDescent="0.3">
      <c r="A122" t="s">
        <v>186</v>
      </c>
      <c r="E122" s="27"/>
      <c r="F122" s="28" t="str">
        <f>IF(OR(E122="",E122="!!!"),"",IF(NOT(ISNA(VLOOKUP(E122,E$1:E121,1,FALSE()))),"OLD",IF(AND(E122&lt;&gt;"",E122&lt;&gt;"!!!"),"NEW","")))</f>
        <v/>
      </c>
      <c r="G122" s="22" t="str">
        <f>IF(OR(E122="",E122="!!!"),"",IF(OR(J122=0,AND(J122=1,K122=1),AND(J122=1,I122="SBJ"),AND(J122=1,I122=0)),"?IN_FOCUS",IF(J122&lt;=2,"?ACTIVATED",IF(J122&lt;&gt;"","?FAMILIAR",IF(F122="NEW",IF(ISNA(VLOOKUP(E122,#REF!,1,FALSE())),"?TYPE_IDENTIFIABLE","?REFERENTIAL"),"_")))))</f>
        <v/>
      </c>
      <c r="H122" s="23" t="str">
        <f t="shared" ca="1" si="7"/>
        <v/>
      </c>
      <c r="I122" s="24" t="str">
        <f>IF(OR(E122="",E122="!!!",F122="NEW"),"",INDEX(B$2:B121,-1+SUMPRODUCT(MAX(ROW(E$2:E121)*(E122=E$2:E121)))))</f>
        <v/>
      </c>
      <c r="J122" s="24" t="str">
        <f ca="1">IF(OR(E122="",E122="!!!",F122="NEW"),"",COUNTBLANK(OFFSET(A$1,,,SUMPRODUCT(MAX(ROW(E$2:E122)*(E122=E$2:E122)))))-COUNTBLANK(OFFSET(A$1,,,SUMPRODUCT(MAX(ROW(E$1:E121)*(E2=E$1:E121))))))</f>
        <v/>
      </c>
      <c r="K122" s="24" t="str">
        <f>IF(OR(E122="",E122="!!!",F122="NEW"),"",INDEX(J$1:J121,SUMPRODUCT(MAX(ROW(E$1:E121)*(E122=E$1:E121)))))</f>
        <v/>
      </c>
      <c r="L122" s="29"/>
    </row>
    <row r="123" spans="1:12" x14ac:dyDescent="0.3">
      <c r="A123" t="s">
        <v>175</v>
      </c>
      <c r="E123" s="27"/>
      <c r="F123" s="28" t="str">
        <f>IF(OR(E123="",E123="!!!"),"",IF(NOT(ISNA(VLOOKUP(E123,E$1:E122,1,FALSE()))),"OLD",IF(AND(E123&lt;&gt;"",E123&lt;&gt;"!!!"),"NEW","")))</f>
        <v/>
      </c>
      <c r="G123" s="22" t="str">
        <f>IF(OR(E123="",E123="!!!"),"",IF(OR(J123=0,AND(J123=1,K123=1),AND(J123=1,I123="SBJ"),AND(J123=1,I123=0)),"?IN_FOCUS",IF(J123&lt;=2,"?ACTIVATED",IF(J123&lt;&gt;"","?FAMILIAR",IF(F123="NEW",IF(ISNA(VLOOKUP(E123,#REF!,1,FALSE())),"?TYPE_IDENTIFIABLE","?REFERENTIAL"),"_")))))</f>
        <v/>
      </c>
      <c r="H123" s="23" t="str">
        <f t="shared" ca="1" si="7"/>
        <v/>
      </c>
      <c r="I123" s="24" t="str">
        <f>IF(OR(E123="",E123="!!!",F123="NEW"),"",INDEX(B$2:B122,-1+SUMPRODUCT(MAX(ROW(E$2:E122)*(E123=E$2:E122)))))</f>
        <v/>
      </c>
      <c r="J123" s="24" t="str">
        <f ca="1">IF(OR(E123="",E123="!!!",F123="NEW"),"",COUNTBLANK(OFFSET(A$1,,,SUMPRODUCT(MAX(ROW(E$2:E123)*(E123=E$2:E123)))))-COUNTBLANK(OFFSET(A$1,,,SUMPRODUCT(MAX(ROW(E$1:E122)*(E2=E$1:E122))))))</f>
        <v/>
      </c>
      <c r="K123" s="24" t="str">
        <f>IF(OR(E123="",E123="!!!",F123="NEW"),"",INDEX(J$1:J122,SUMPRODUCT(MAX(ROW(E$1:E122)*(E123=E$1:E122)))))</f>
        <v/>
      </c>
      <c r="L123" s="29"/>
    </row>
    <row r="124" spans="1:12" x14ac:dyDescent="0.3">
      <c r="A124" t="s">
        <v>187</v>
      </c>
      <c r="B124" s="26" t="s">
        <v>101</v>
      </c>
      <c r="C124" s="26" t="s">
        <v>124</v>
      </c>
      <c r="D124" s="26" t="s">
        <v>98</v>
      </c>
      <c r="E124" s="27" t="s">
        <v>337</v>
      </c>
      <c r="F124" s="28" t="str">
        <f>IF(OR(E124="",E124="!!!"),"",IF(NOT(ISNA(VLOOKUP(E124,E$1:E123,1,FALSE()))),"OLD",IF(AND(E124&lt;&gt;"",E124&lt;&gt;"!!!"),"NEW","")))</f>
        <v>NEW</v>
      </c>
      <c r="G124" s="22" t="str">
        <f ca="1">IF(OR(E124="",E124="!!!"),"",IF(OR(J124=0,AND(J124=1,K124=1),AND(J124=1,I124="SBJ"),AND(J124=1,I124=0)),"?IN_FOCUS",IF(J124&lt;=2,"?ACTIVATED",IF(J124&lt;&gt;"","?FAMILIAR",IF(F124="NEW",IF(ISNA(VLOOKUP(E124,#REF!,1,FALSE())),"?TYPE_IDENTIFIABLE","?REFERENTIAL"),"_")))))</f>
        <v>?REFERENTIAL</v>
      </c>
      <c r="H124" s="23" t="str">
        <f t="shared" ca="1" si="7"/>
        <v/>
      </c>
      <c r="I124" s="24" t="str">
        <f>IF(OR(E124="",E124="!!!",F124="NEW"),"",INDEX(B$2:B123,-1+SUMPRODUCT(MAX(ROW(E$2:E123)*(E124=E$2:E123)))))</f>
        <v/>
      </c>
      <c r="J124" s="24" t="str">
        <f ca="1">IF(OR(E124="",E124="!!!",F124="NEW"),"",COUNTBLANK(OFFSET(A$1,,,SUMPRODUCT(MAX(ROW(E$2:E124)*(E124=E$2:E124)))))-COUNTBLANK(OFFSET(A$1,,,SUMPRODUCT(MAX(ROW(E$1:E123)*(E2=E$1:E123))))))</f>
        <v/>
      </c>
      <c r="K124" s="24" t="str">
        <f>IF(OR(E124="",E124="!!!",F124="NEW"),"",INDEX(J$1:J123,SUMPRODUCT(MAX(ROW(E$1:E123)*(E124=E$1:E123)))))</f>
        <v/>
      </c>
      <c r="L124" s="29"/>
    </row>
    <row r="125" spans="1:12" x14ac:dyDescent="0.3">
      <c r="A125" t="s">
        <v>160</v>
      </c>
      <c r="E125" s="27"/>
      <c r="F125" s="28" t="str">
        <f>IF(OR(E125="",E125="!!!"),"",IF(NOT(ISNA(VLOOKUP(E125,E$1:E124,1,FALSE()))),"OLD",IF(AND(E125&lt;&gt;"",E125&lt;&gt;"!!!"),"NEW","")))</f>
        <v/>
      </c>
      <c r="G125" s="22" t="str">
        <f>IF(OR(E125="",E125="!!!"),"",IF(OR(J125=0,AND(J125=1,K125=1),AND(J125=1,I125="SBJ"),AND(J125=1,I125=0)),"?IN_FOCUS",IF(J125&lt;=2,"?ACTIVATED",IF(J125&lt;&gt;"","?FAMILIAR",IF(F125="NEW",IF(ISNA(VLOOKUP(E125,#REF!,1,FALSE())),"?TYPE_IDENTIFIABLE","?REFERENTIAL"),"_")))))</f>
        <v/>
      </c>
      <c r="H125" s="23" t="str">
        <f t="shared" ca="1" si="7"/>
        <v/>
      </c>
      <c r="I125" s="24" t="str">
        <f>IF(OR(E125="",E125="!!!",F125="NEW"),"",INDEX(B$2:B124,-1+SUMPRODUCT(MAX(ROW(E$2:E124)*(E125=E$2:E124)))))</f>
        <v/>
      </c>
      <c r="J125" s="24" t="str">
        <f ca="1">IF(OR(E125="",E125="!!!",F125="NEW"),"",COUNTBLANK(OFFSET(A$1,,,SUMPRODUCT(MAX(ROW(E$2:E125)*(E125=E$2:E125)))))-COUNTBLANK(OFFSET(A$1,,,SUMPRODUCT(MAX(ROW(E$1:E124)*(E2=E$1:E124))))))</f>
        <v/>
      </c>
      <c r="K125" s="24" t="str">
        <f>IF(OR(E125="",E125="!!!",F125="NEW"),"",INDEX(J$1:J124,SUMPRODUCT(MAX(ROW(E$1:E124)*(E125=E$1:E124)))))</f>
        <v/>
      </c>
      <c r="L125" s="29"/>
    </row>
    <row r="126" spans="1:12" x14ac:dyDescent="0.3">
      <c r="A126" t="s">
        <v>121</v>
      </c>
      <c r="E126" s="27"/>
      <c r="F126" s="28" t="str">
        <f>IF(OR(E126="",E126="!!!"),"",IF(NOT(ISNA(VLOOKUP(E126,E$1:E125,1,FALSE()))),"OLD",IF(AND(E126&lt;&gt;"",E126&lt;&gt;"!!!"),"NEW","")))</f>
        <v/>
      </c>
      <c r="G126" s="22" t="str">
        <f>IF(OR(E126="",E126="!!!"),"",IF(OR(J126=0,AND(J126=1,K126=1),AND(J126=1,I126="SBJ"),AND(J126=1,I126=0)),"?IN_FOCUS",IF(J126&lt;=2,"?ACTIVATED",IF(J126&lt;&gt;"","?FAMILIAR",IF(F126="NEW",IF(ISNA(VLOOKUP(E126,#REF!,1,FALSE())),"?TYPE_IDENTIFIABLE","?REFERENTIAL"),"_")))))</f>
        <v/>
      </c>
      <c r="H126" s="23" t="str">
        <f t="shared" ca="1" si="7"/>
        <v/>
      </c>
      <c r="I126" s="24" t="str">
        <f>IF(OR(E126="",E126="!!!",F126="NEW"),"",INDEX(B$2:B125,-1+SUMPRODUCT(MAX(ROW(E$2:E125)*(E126=E$2:E125)))))</f>
        <v/>
      </c>
      <c r="J126" s="24" t="str">
        <f ca="1">IF(OR(E126="",E126="!!!",F126="NEW"),"",COUNTBLANK(OFFSET(A$1,,,SUMPRODUCT(MAX(ROW(E$2:E126)*(E126=E$2:E126)))))-COUNTBLANK(OFFSET(A$1,,,SUMPRODUCT(MAX(ROW(E$1:E125)*(E2=E$1:E125))))))</f>
        <v/>
      </c>
      <c r="K126" s="24" t="str">
        <f>IF(OR(E126="",E126="!!!",F126="NEW"),"",INDEX(J$1:J125,SUMPRODUCT(MAX(ROW(E$1:E125)*(E126=E$1:E125)))))</f>
        <v/>
      </c>
      <c r="L126" s="29"/>
    </row>
    <row r="127" spans="1:12" x14ac:dyDescent="0.3">
      <c r="A127" t="s">
        <v>188</v>
      </c>
      <c r="B127" s="26" t="s">
        <v>114</v>
      </c>
      <c r="C127" s="26" t="s">
        <v>124</v>
      </c>
      <c r="D127" s="26" t="s">
        <v>98</v>
      </c>
      <c r="E127" s="27"/>
      <c r="F127" s="28" t="s">
        <v>346</v>
      </c>
      <c r="G127" s="22" t="str">
        <f>IF(OR(E127="",E127="!!!"),"",IF(OR(J127=0,AND(J127=1,K127=1),AND(J127=1,I127="SBJ"),AND(J127=1,I127=0)),"?IN_FOCUS",IF(J127&lt;=2,"?ACTIVATED",IF(J127&lt;&gt;"","?FAMILIAR",IF(F127="NEW",IF(ISNA(VLOOKUP(E127,#REF!,1,FALSE())),"?TYPE_IDENTIFIABLE","?REFERENTIAL"),"_")))))</f>
        <v/>
      </c>
      <c r="H127" s="23" t="str">
        <f t="shared" ca="1" si="7"/>
        <v/>
      </c>
      <c r="I127" s="24" t="str">
        <f>IF(OR(E127="",E127="!!!",F127="NEW"),"",INDEX(B$2:B126,-1+SUMPRODUCT(MAX(ROW(E$2:E126)*(E127=E$2:E126)))))</f>
        <v/>
      </c>
      <c r="J127" s="24" t="str">
        <f ca="1">IF(OR(E127="",E127="!!!",F127="NEW"),"",COUNTBLANK(OFFSET(A$1,,,SUMPRODUCT(MAX(ROW(E$2:E127)*(E127=E$2:E127)))))-COUNTBLANK(OFFSET(A$1,,,SUMPRODUCT(MAX(ROW(E$1:E126)*(E2=E$1:E126))))))</f>
        <v/>
      </c>
      <c r="K127" s="24" t="str">
        <f>IF(OR(E127="",E127="!!!",F127="NEW"),"",INDEX(J$1:J126,SUMPRODUCT(MAX(ROW(E$1:E126)*(E127=E$1:E126)))))</f>
        <v/>
      </c>
      <c r="L127" s="29" t="s">
        <v>369</v>
      </c>
    </row>
    <row r="128" spans="1:12" x14ac:dyDescent="0.3">
      <c r="A128" t="s">
        <v>189</v>
      </c>
      <c r="E128" s="27"/>
      <c r="F128" s="28" t="str">
        <f>IF(OR(E128="",E128="!!!"),"",IF(NOT(ISNA(VLOOKUP(E128,E$1:E127,1,FALSE()))),"OLD",IF(AND(E128&lt;&gt;"",E128&lt;&gt;"!!!"),"NEW","")))</f>
        <v/>
      </c>
      <c r="G128" s="22" t="str">
        <f>IF(OR(E128="",E128="!!!"),"",IF(OR(J128=0,AND(J128=1,K128=1),AND(J128=1,I128="SBJ"),AND(J128=1,I128=0)),"?IN_FOCUS",IF(J128&lt;=2,"?ACTIVATED",IF(J128&lt;&gt;"","?FAMILIAR",IF(F128="NEW",IF(ISNA(VLOOKUP(E128,#REF!,1,FALSE())),"?TYPE_IDENTIFIABLE","?REFERENTIAL"),"_")))))</f>
        <v/>
      </c>
      <c r="H128" s="23" t="str">
        <f t="shared" ca="1" si="7"/>
        <v/>
      </c>
      <c r="I128" s="24" t="str">
        <f>IF(OR(E128="",E128="!!!",F128="NEW"),"",INDEX(B$2:B127,-1+SUMPRODUCT(MAX(ROW(E$2:E127)*(E128=E$2:E127)))))</f>
        <v/>
      </c>
      <c r="J128" s="24" t="str">
        <f ca="1">IF(OR(E128="",E128="!!!",F128="NEW"),"",COUNTBLANK(OFFSET(A$1,,,SUMPRODUCT(MAX(ROW(E$2:E128)*(E128=E$2:E128)))))-COUNTBLANK(OFFSET(A$1,,,SUMPRODUCT(MAX(ROW(E$1:E127)*(E2=E$1:E127))))))</f>
        <v/>
      </c>
      <c r="K128" s="24" t="str">
        <f>IF(OR(E128="",E128="!!!",F128="NEW"),"",INDEX(J$1:J127,SUMPRODUCT(MAX(ROW(E$1:E127)*(E128=E$1:E127)))))</f>
        <v/>
      </c>
      <c r="L128" s="29"/>
    </row>
    <row r="129" spans="1:12" x14ac:dyDescent="0.3">
      <c r="A129" t="s">
        <v>129</v>
      </c>
      <c r="E129" s="27"/>
      <c r="F129" s="28" t="str">
        <f>IF(OR(E129="",E129="!!!"),"",IF(NOT(ISNA(VLOOKUP(E129,E$1:E128,1,FALSE()))),"OLD",IF(AND(E129&lt;&gt;"",E129&lt;&gt;"!!!"),"NEW","")))</f>
        <v/>
      </c>
      <c r="G129" s="22" t="str">
        <f>IF(OR(E129="",E129="!!!"),"",IF(OR(J129=0,AND(J129=1,K129=1),AND(J129=1,I129="SBJ"),AND(J129=1,I129=0)),"?IN_FOCUS",IF(J129&lt;=2,"?ACTIVATED",IF(J129&lt;&gt;"","?FAMILIAR",IF(F129="NEW",IF(ISNA(VLOOKUP(E129,#REF!,1,FALSE())),"?TYPE_IDENTIFIABLE","?REFERENTIAL"),"_")))))</f>
        <v/>
      </c>
      <c r="H129" s="23" t="str">
        <f t="shared" ca="1" si="7"/>
        <v/>
      </c>
      <c r="I129" s="24" t="str">
        <f>IF(OR(E129="",E129="!!!",F129="NEW"),"",INDEX(B$2:B128,-1+SUMPRODUCT(MAX(ROW(E$2:E128)*(E129=E$2:E128)))))</f>
        <v/>
      </c>
      <c r="J129" s="24" t="str">
        <f ca="1">IF(OR(E129="",E129="!!!",F129="NEW"),"",COUNTBLANK(OFFSET(A$1,,,SUMPRODUCT(MAX(ROW(E$2:E129)*(E129=E$2:E129)))))-COUNTBLANK(OFFSET(A$1,,,SUMPRODUCT(MAX(ROW(E$1:E128)*(E2=E$1:E128))))))</f>
        <v/>
      </c>
      <c r="K129" s="24" t="str">
        <f>IF(OR(E129="",E129="!!!",F129="NEW"),"",INDEX(J$1:J128,SUMPRODUCT(MAX(ROW(E$1:E128)*(E129=E$1:E128)))))</f>
        <v/>
      </c>
      <c r="L129" s="29"/>
    </row>
    <row r="131" spans="1:12" x14ac:dyDescent="0.3">
      <c r="A131" t="s">
        <v>190</v>
      </c>
    </row>
    <row r="132" spans="1:12" x14ac:dyDescent="0.3">
      <c r="A132" t="s">
        <v>132</v>
      </c>
      <c r="E132" s="27"/>
      <c r="F132" s="28" t="str">
        <f>IF(OR(E132="",E132="!!!"),"",IF(NOT(ISNA(VLOOKUP(E132,E$1:E131,1,FALSE()))),"OLD",IF(AND(E132&lt;&gt;"",E132&lt;&gt;"!!!"),"NEW","")))</f>
        <v/>
      </c>
      <c r="G132" s="22" t="str">
        <f>IF(OR(E132="",E132="!!!"),"",IF(OR(J132=0,AND(J132=1,K132=1),AND(J132=1,I132="SBJ"),AND(J132=1,I132=0)),"?IN_FOCUS",IF(J132&lt;=2,"?ACTIVATED",IF(J132&lt;&gt;"","?FAMILIAR",IF(F132="NEW",IF(ISNA(VLOOKUP(E132,#REF!,1,FALSE())),"?TYPE_IDENTIFIABLE","?REFERENTIAL"),"_")))))</f>
        <v/>
      </c>
      <c r="H132" s="23" t="str">
        <f t="shared" ref="H132:H163" ca="1" si="8">IF(J132&lt;&gt;1,"",IF(I132="SBJ","CB","?"))</f>
        <v/>
      </c>
      <c r="I132" s="24" t="str">
        <f>IF(OR(E132="",E132="!!!",F132="NEW"),"",INDEX(B$2:B131,-1+SUMPRODUCT(MAX(ROW(E$2:E131)*(E132=E$2:E131)))))</f>
        <v/>
      </c>
      <c r="J132" s="24" t="str">
        <f ca="1">IF(OR(E132="",E132="!!!",F132="NEW"),"",COUNTBLANK(OFFSET(A$1,,,SUMPRODUCT(MAX(ROW(E$2:E132)*(E132=E$2:E132)))))-COUNTBLANK(OFFSET(A$1,,,SUMPRODUCT(MAX(ROW(E$1:E131)*(E2=E$1:E131))))))</f>
        <v/>
      </c>
      <c r="K132" s="24" t="str">
        <f>IF(OR(E132="",E132="!!!",F132="NEW"),"",INDEX(J$1:J131,SUMPRODUCT(MAX(ROW(E$1:E131)*(E132=E$1:E131)))))</f>
        <v/>
      </c>
      <c r="L132" s="29"/>
    </row>
    <row r="133" spans="1:12" x14ac:dyDescent="0.3">
      <c r="A133" t="s">
        <v>133</v>
      </c>
      <c r="B133" s="26" t="s">
        <v>96</v>
      </c>
      <c r="C133" s="26" t="s">
        <v>124</v>
      </c>
      <c r="D133" s="26" t="s">
        <v>98</v>
      </c>
      <c r="E133" s="27" t="s">
        <v>338</v>
      </c>
      <c r="F133" s="28" t="str">
        <f>IF(OR(E133="",E133="!!!"),"",IF(NOT(ISNA(VLOOKUP(E133,E$1:E132,1,FALSE()))),"OLD",IF(AND(E133&lt;&gt;"",E133&lt;&gt;"!!!"),"NEW","")))</f>
        <v>OLD</v>
      </c>
      <c r="G133" s="22" t="str">
        <f ca="1">IF(OR(E133="",E133="!!!"),"",IF(OR(J133=0,AND(J133=1,K133=1),AND(J133=1,I133="SBJ"),AND(J133=1,I133=0)),"?IN_FOCUS",IF(J133&lt;=2,"?ACTIVATED",IF(J133&lt;&gt;"","?FAMILIAR",IF(F133="NEW",IF(ISNA(VLOOKUP(E133,#REF!,1,FALSE())),"?TYPE_IDENTIFIABLE","?REFERENTIAL"),"_")))))</f>
        <v>?IN_FOCUS</v>
      </c>
      <c r="H133" s="23" t="str">
        <f t="shared" ca="1" si="8"/>
        <v/>
      </c>
      <c r="I133" s="24" t="str">
        <f>IF(OR(E133="",E133="!!!",F133="NEW"),"",INDEX(B$2:B132,-1+SUMPRODUCT(MAX(ROW(E$2:E132)*(E133=E$2:E132)))))</f>
        <v>SBJ_2</v>
      </c>
      <c r="J133" s="24">
        <f ca="1">IF(OR(E133="",E133="!!!",F133="NEW"),"",COUNTBLANK(OFFSET(A$1,,,SUMPRODUCT(MAX(ROW(E$2:E133)*(E133=E$2:E133)))))-COUNTBLANK(OFFSET(A$1,,,SUMPRODUCT(MAX(ROW(E$1:E132)*(E2=E$1:E132))))))</f>
        <v>0</v>
      </c>
      <c r="K133" s="24">
        <f ca="1">IF(OR(E133="",E133="!!!",F133="NEW"),"",INDEX(J$1:J132,SUMPRODUCT(MAX(ROW(E$1:E132)*(E133=E$1:E132)))))</f>
        <v>0</v>
      </c>
      <c r="L133" s="29"/>
    </row>
    <row r="134" spans="1:12" x14ac:dyDescent="0.3">
      <c r="A134" t="s">
        <v>134</v>
      </c>
      <c r="E134" s="27"/>
      <c r="F134" s="28" t="str">
        <f>IF(OR(E134="",E134="!!!"),"",IF(NOT(ISNA(VLOOKUP(E134,E$1:E133,1,FALSE()))),"OLD",IF(AND(E134&lt;&gt;"",E134&lt;&gt;"!!!"),"NEW","")))</f>
        <v/>
      </c>
      <c r="G134" s="22" t="str">
        <f>IF(OR(E134="",E134="!!!"),"",IF(OR(J134=0,AND(J134=1,K134=1),AND(J134=1,I134="SBJ"),AND(J134=1,I134=0)),"?IN_FOCUS",IF(J134&lt;=2,"?ACTIVATED",IF(J134&lt;&gt;"","?FAMILIAR",IF(F134="NEW",IF(ISNA(VLOOKUP(E134,#REF!,1,FALSE())),"?TYPE_IDENTIFIABLE","?REFERENTIAL"),"_")))))</f>
        <v/>
      </c>
      <c r="H134" s="23" t="str">
        <f t="shared" ca="1" si="8"/>
        <v/>
      </c>
      <c r="I134" s="24" t="str">
        <f>IF(OR(E134="",E134="!!!",F134="NEW"),"",INDEX(B$2:B133,-1+SUMPRODUCT(MAX(ROW(E$2:E133)*(E134=E$2:E133)))))</f>
        <v/>
      </c>
      <c r="J134" s="24" t="str">
        <f ca="1">IF(OR(E134="",E134="!!!",F134="NEW"),"",COUNTBLANK(OFFSET(A$1,,,SUMPRODUCT(MAX(ROW(E$2:E134)*(E134=E$2:E134)))))-COUNTBLANK(OFFSET(A$1,,,SUMPRODUCT(MAX(ROW(E$1:E133)*(E2=E$1:E133))))))</f>
        <v/>
      </c>
      <c r="K134" s="24" t="str">
        <f>IF(OR(E134="",E134="!!!",F134="NEW"),"",INDEX(J$1:J133,SUMPRODUCT(MAX(ROW(E$1:E133)*(E134=E$1:E133)))))</f>
        <v/>
      </c>
      <c r="L134" s="29"/>
    </row>
    <row r="135" spans="1:12" x14ac:dyDescent="0.3">
      <c r="A135" t="s">
        <v>135</v>
      </c>
      <c r="B135" s="26" t="s">
        <v>101</v>
      </c>
      <c r="C135" s="26" t="s">
        <v>124</v>
      </c>
      <c r="D135" s="26" t="s">
        <v>98</v>
      </c>
      <c r="E135" s="27" t="s">
        <v>326</v>
      </c>
      <c r="F135" s="28" t="str">
        <f>IF(OR(E135="",E135="!!!"),"",IF(NOT(ISNA(VLOOKUP(E135,E$1:E134,1,FALSE()))),"OLD",IF(AND(E135&lt;&gt;"",E135&lt;&gt;"!!!"),"NEW","")))</f>
        <v>OLD</v>
      </c>
      <c r="G135" s="22" t="str">
        <f ca="1">IF(OR(E135="",E135="!!!"),"",IF(OR(J135=0,AND(J135=1,K135=1),AND(J135=1,I135="SBJ"),AND(J135=1,I135=0)),"?IN_FOCUS",IF(J135&lt;=2,"?ACTIVATED",IF(J135&lt;&gt;"","?FAMILIAR",IF(F135="NEW",IF(ISNA(VLOOKUP(E135,#REF!,1,FALSE())),"?TYPE_IDENTIFIABLE","?REFERENTIAL"),"_")))))</f>
        <v>?IN_FOCUS</v>
      </c>
      <c r="H135" s="23" t="str">
        <f t="shared" ca="1" si="8"/>
        <v/>
      </c>
      <c r="I135" s="24" t="str">
        <f>IF(OR(E135="",E135="!!!",F135="NEW"),"",INDEX(B$2:B134,-1+SUMPRODUCT(MAX(ROW(E$2:E134)*(E135=E$2:E134)))))</f>
        <v>SBJ</v>
      </c>
      <c r="J135" s="24">
        <f ca="1">IF(OR(E135="",E135="!!!",F135="NEW"),"",COUNTBLANK(OFFSET(A$1,,,SUMPRODUCT(MAX(ROW(E$2:E135)*(E135=E$2:E135)))))-COUNTBLANK(OFFSET(A$1,,,SUMPRODUCT(MAX(ROW(E$1:E134)*(E2=E$1:E134))))))</f>
        <v>0</v>
      </c>
      <c r="K135" s="24">
        <f ca="1">IF(OR(E135="",E135="!!!",F135="NEW"),"",INDEX(J$1:J134,SUMPRODUCT(MAX(ROW(E$1:E134)*(E135=E$1:E134)))))</f>
        <v>0</v>
      </c>
      <c r="L135" s="29"/>
    </row>
    <row r="136" spans="1:12" x14ac:dyDescent="0.3">
      <c r="A136" t="s">
        <v>108</v>
      </c>
      <c r="E136" s="27"/>
      <c r="F136" s="28" t="str">
        <f>IF(OR(E136="",E136="!!!"),"",IF(NOT(ISNA(VLOOKUP(E136,E$1:E135,1,FALSE()))),"OLD",IF(AND(E136&lt;&gt;"",E136&lt;&gt;"!!!"),"NEW","")))</f>
        <v/>
      </c>
      <c r="G136" s="22" t="str">
        <f>IF(OR(E136="",E136="!!!"),"",IF(OR(J136=0,AND(J136=1,K136=1),AND(J136=1,I136="SBJ"),AND(J136=1,I136=0)),"?IN_FOCUS",IF(J136&lt;=2,"?ACTIVATED",IF(J136&lt;&gt;"","?FAMILIAR",IF(F136="NEW",IF(ISNA(VLOOKUP(E136,#REF!,1,FALSE())),"?TYPE_IDENTIFIABLE","?REFERENTIAL"),"_")))))</f>
        <v/>
      </c>
      <c r="H136" s="23" t="str">
        <f t="shared" ca="1" si="8"/>
        <v/>
      </c>
      <c r="I136" s="24" t="str">
        <f>IF(OR(E136="",E136="!!!",F136="NEW"),"",INDEX(B$2:B135,-1+SUMPRODUCT(MAX(ROW(E$2:E135)*(E136=E$2:E135)))))</f>
        <v/>
      </c>
      <c r="J136" s="24" t="str">
        <f ca="1">IF(OR(E136="",E136="!!!",F136="NEW"),"",COUNTBLANK(OFFSET(A$1,,,SUMPRODUCT(MAX(ROW(E$2:E136)*(E136=E$2:E136)))))-COUNTBLANK(OFFSET(A$1,,,SUMPRODUCT(MAX(ROW(E$1:E135)*(E2=E$1:E135))))))</f>
        <v/>
      </c>
      <c r="K136" s="24" t="str">
        <f>IF(OR(E136="",E136="!!!",F136="NEW"),"",INDEX(J$1:J135,SUMPRODUCT(MAX(ROW(E$1:E135)*(E136=E$1:E135)))))</f>
        <v/>
      </c>
      <c r="L136" s="29"/>
    </row>
    <row r="137" spans="1:12" x14ac:dyDescent="0.3">
      <c r="A137" t="s">
        <v>191</v>
      </c>
      <c r="B137" s="26" t="s">
        <v>101</v>
      </c>
      <c r="C137" s="26" t="s">
        <v>97</v>
      </c>
      <c r="D137" s="26" t="s">
        <v>98</v>
      </c>
      <c r="E137" s="27"/>
      <c r="F137" s="28" t="s">
        <v>333</v>
      </c>
      <c r="G137" s="22" t="str">
        <f>IF(OR(E137="",E137="!!!"),"",IF(OR(J137=0,AND(J137=1,K137=1),AND(J137=1,I137="SBJ"),AND(J137=1,I137=0)),"?IN_FOCUS",IF(J137&lt;=2,"?ACTIVATED",IF(J137&lt;&gt;"","?FAMILIAR",IF(F137="NEW",IF(ISNA(VLOOKUP(E137,#REF!,1,FALSE())),"?TYPE_IDENTIFIABLE","?REFERENTIAL"),"_")))))</f>
        <v/>
      </c>
      <c r="H137" s="23" t="str">
        <f t="shared" ca="1" si="8"/>
        <v/>
      </c>
      <c r="I137" s="24" t="str">
        <f>IF(OR(E137="",E137="!!!",F137="NEW"),"",INDEX(B$2:B136,-1+SUMPRODUCT(MAX(ROW(E$2:E136)*(E137=E$2:E136)))))</f>
        <v/>
      </c>
      <c r="J137" s="24" t="str">
        <f ca="1">IF(OR(E137="",E137="!!!",F137="NEW"),"",COUNTBLANK(OFFSET(A$1,,,SUMPRODUCT(MAX(ROW(E$2:E137)*(E137=E$2:E137)))))-COUNTBLANK(OFFSET(A$1,,,SUMPRODUCT(MAX(ROW(E$1:E136)*(E2=E$1:E136))))))</f>
        <v/>
      </c>
      <c r="K137" s="24" t="str">
        <f>IF(OR(E137="",E137="!!!",F137="NEW"),"",INDEX(J$1:J136,SUMPRODUCT(MAX(ROW(E$1:E136)*(E137=E$1:E136)))))</f>
        <v/>
      </c>
      <c r="L137" s="29"/>
    </row>
    <row r="138" spans="1:12" x14ac:dyDescent="0.3">
      <c r="A138" t="s">
        <v>172</v>
      </c>
      <c r="E138" s="27"/>
      <c r="F138" s="28" t="str">
        <f>IF(OR(E138="",E138="!!!"),"",IF(NOT(ISNA(VLOOKUP(E138,E$1:E137,1,FALSE()))),"OLD",IF(AND(E138&lt;&gt;"",E138&lt;&gt;"!!!"),"NEW","")))</f>
        <v/>
      </c>
      <c r="G138" s="22" t="str">
        <f>IF(OR(E138="",E138="!!!"),"",IF(OR(J138=0,AND(J138=1,K138=1),AND(J138=1,I138="SBJ"),AND(J138=1,I138=0)),"?IN_FOCUS",IF(J138&lt;=2,"?ACTIVATED",IF(J138&lt;&gt;"","?FAMILIAR",IF(F138="NEW",IF(ISNA(VLOOKUP(E138,#REF!,1,FALSE())),"?TYPE_IDENTIFIABLE","?REFERENTIAL"),"_")))))</f>
        <v/>
      </c>
      <c r="H138" s="23" t="str">
        <f t="shared" ca="1" si="8"/>
        <v/>
      </c>
      <c r="I138" s="24" t="str">
        <f>IF(OR(E138="",E138="!!!",F138="NEW"),"",INDEX(B$2:B137,-1+SUMPRODUCT(MAX(ROW(E$2:E137)*(E138=E$2:E137)))))</f>
        <v/>
      </c>
      <c r="J138" s="24" t="str">
        <f ca="1">IF(OR(E138="",E138="!!!",F138="NEW"),"",COUNTBLANK(OFFSET(A$1,,,SUMPRODUCT(MAX(ROW(E$2:E138)*(E138=E$2:E138)))))-COUNTBLANK(OFFSET(A$1,,,SUMPRODUCT(MAX(ROW(E$1:E137)*(E2=E$1:E137))))))</f>
        <v/>
      </c>
      <c r="K138" s="24" t="str">
        <f>IF(OR(E138="",E138="!!!",F138="NEW"),"",INDEX(J$1:J137,SUMPRODUCT(MAX(ROW(E$1:E137)*(E138=E$1:E137)))))</f>
        <v/>
      </c>
      <c r="L138" s="29"/>
    </row>
    <row r="139" spans="1:12" x14ac:dyDescent="0.3">
      <c r="A139" t="s">
        <v>108</v>
      </c>
      <c r="E139" s="27"/>
      <c r="F139" s="28" t="str">
        <f>IF(OR(E139="",E139="!!!"),"",IF(NOT(ISNA(VLOOKUP(E139,E$1:E138,1,FALSE()))),"OLD",IF(AND(E139&lt;&gt;"",E139&lt;&gt;"!!!"),"NEW","")))</f>
        <v/>
      </c>
      <c r="G139" s="22" t="str">
        <f>IF(OR(E139="",E139="!!!"),"",IF(OR(J139=0,AND(J139=1,K139=1),AND(J139=1,I139="SBJ"),AND(J139=1,I139=0)),"?IN_FOCUS",IF(J139&lt;=2,"?ACTIVATED",IF(J139&lt;&gt;"","?FAMILIAR",IF(F139="NEW",IF(ISNA(VLOOKUP(E139,#REF!,1,FALSE())),"?TYPE_IDENTIFIABLE","?REFERENTIAL"),"_")))))</f>
        <v/>
      </c>
      <c r="H139" s="23" t="str">
        <f t="shared" ca="1" si="8"/>
        <v/>
      </c>
      <c r="I139" s="24" t="str">
        <f>IF(OR(E139="",E139="!!!",F139="NEW"),"",INDEX(B$2:B138,-1+SUMPRODUCT(MAX(ROW(E$2:E138)*(E139=E$2:E138)))))</f>
        <v/>
      </c>
      <c r="J139" s="24" t="str">
        <f ca="1">IF(OR(E139="",E139="!!!",F139="NEW"),"",COUNTBLANK(OFFSET(A$1,,,SUMPRODUCT(MAX(ROW(E$2:E139)*(E139=E$2:E139)))))-COUNTBLANK(OFFSET(A$1,,,SUMPRODUCT(MAX(ROW(E$1:E138)*(E2=E$1:E138))))))</f>
        <v/>
      </c>
      <c r="K139" s="24" t="str">
        <f>IF(OR(E139="",E139="!!!",F139="NEW"),"",INDEX(J$1:J138,SUMPRODUCT(MAX(ROW(E$1:E138)*(E139=E$1:E138)))))</f>
        <v/>
      </c>
      <c r="L139" s="29"/>
    </row>
    <row r="140" spans="1:12" x14ac:dyDescent="0.3">
      <c r="A140" t="s">
        <v>174</v>
      </c>
      <c r="E140" s="27"/>
      <c r="F140" s="28" t="str">
        <f>IF(OR(E140="",E140="!!!"),"",IF(NOT(ISNA(VLOOKUP(E140,E$1:E139,1,FALSE()))),"OLD",IF(AND(E140&lt;&gt;"",E140&lt;&gt;"!!!"),"NEW","")))</f>
        <v/>
      </c>
      <c r="G140" s="22" t="str">
        <f>IF(OR(E140="",E140="!!!"),"",IF(OR(J140=0,AND(J140=1,K140=1),AND(J140=1,I140="SBJ"),AND(J140=1,I140=0)),"?IN_FOCUS",IF(J140&lt;=2,"?ACTIVATED",IF(J140&lt;&gt;"","?FAMILIAR",IF(F140="NEW",IF(ISNA(VLOOKUP(E140,#REF!,1,FALSE())),"?TYPE_IDENTIFIABLE","?REFERENTIAL"),"_")))))</f>
        <v/>
      </c>
      <c r="H140" s="23" t="str">
        <f t="shared" ca="1" si="8"/>
        <v/>
      </c>
      <c r="I140" s="24" t="str">
        <f>IF(OR(E140="",E140="!!!",F140="NEW"),"",INDEX(B$2:B139,-1+SUMPRODUCT(MAX(ROW(E$2:E139)*(E140=E$2:E139)))))</f>
        <v/>
      </c>
      <c r="J140" s="24" t="str">
        <f ca="1">IF(OR(E140="",E140="!!!",F140="NEW"),"",COUNTBLANK(OFFSET(A$1,,,SUMPRODUCT(MAX(ROW(E$2:E140)*(E140=E$2:E140)))))-COUNTBLANK(OFFSET(A$1,,,SUMPRODUCT(MAX(ROW(E$1:E139)*(E2=E$1:E139))))))</f>
        <v/>
      </c>
      <c r="K140" s="24" t="str">
        <f>IF(OR(E140="",E140="!!!",F140="NEW"),"",INDEX(J$1:J139,SUMPRODUCT(MAX(ROW(E$1:E139)*(E140=E$1:E139)))))</f>
        <v/>
      </c>
      <c r="L140" s="29"/>
    </row>
    <row r="141" spans="1:12" x14ac:dyDescent="0.3">
      <c r="A141" t="s">
        <v>121</v>
      </c>
      <c r="E141" s="27"/>
      <c r="F141" s="28" t="str">
        <f>IF(OR(E141="",E141="!!!"),"",IF(NOT(ISNA(VLOOKUP(E141,E$1:E140,1,FALSE()))),"OLD",IF(AND(E141&lt;&gt;"",E141&lt;&gt;"!!!"),"NEW","")))</f>
        <v/>
      </c>
      <c r="G141" s="22" t="str">
        <f>IF(OR(E141="",E141="!!!"),"",IF(OR(J141=0,AND(J141=1,K141=1),AND(J141=1,I141="SBJ"),AND(J141=1,I141=0)),"?IN_FOCUS",IF(J141&lt;=2,"?ACTIVATED",IF(J141&lt;&gt;"","?FAMILIAR",IF(F141="NEW",IF(ISNA(VLOOKUP(E141,#REF!,1,FALSE())),"?TYPE_IDENTIFIABLE","?REFERENTIAL"),"_")))))</f>
        <v/>
      </c>
      <c r="H141" s="23" t="str">
        <f t="shared" ca="1" si="8"/>
        <v/>
      </c>
      <c r="I141" s="24" t="str">
        <f>IF(OR(E141="",E141="!!!",F141="NEW"),"",INDEX(B$2:B140,-1+SUMPRODUCT(MAX(ROW(E$2:E140)*(E141=E$2:E140)))))</f>
        <v/>
      </c>
      <c r="J141" s="24" t="str">
        <f ca="1">IF(OR(E141="",E141="!!!",F141="NEW"),"",COUNTBLANK(OFFSET(A$1,,,SUMPRODUCT(MAX(ROW(E$2:E141)*(E141=E$2:E141)))))-COUNTBLANK(OFFSET(A$1,,,SUMPRODUCT(MAX(ROW(E$1:E140)*(E2=E$1:E140))))))</f>
        <v/>
      </c>
      <c r="K141" s="24" t="str">
        <f>IF(OR(E141="",E141="!!!",F141="NEW"),"",INDEX(J$1:J140,SUMPRODUCT(MAX(ROW(E$1:E140)*(E141=E$1:E140)))))</f>
        <v/>
      </c>
      <c r="L141" s="29"/>
    </row>
    <row r="142" spans="1:12" x14ac:dyDescent="0.3">
      <c r="A142" t="s">
        <v>192</v>
      </c>
      <c r="B142" s="26" t="s">
        <v>193</v>
      </c>
      <c r="C142" s="26" t="s">
        <v>97</v>
      </c>
      <c r="D142" s="26" t="s">
        <v>98</v>
      </c>
      <c r="E142" s="27"/>
      <c r="F142" s="28" t="str">
        <f>IF(OR(E142="",E142="!!!"),"",IF(NOT(ISNA(VLOOKUP(E142,E$1:E141,1,FALSE()))),"OLD",IF(AND(E142&lt;&gt;"",E142&lt;&gt;"!!!"),"NEW","")))</f>
        <v/>
      </c>
      <c r="G142" s="22" t="str">
        <f>IF(OR(E142="",E142="!!!"),"",IF(OR(J142=0,AND(J142=1,K142=1),AND(J142=1,I142="SBJ"),AND(J142=1,I142=0)),"?IN_FOCUS",IF(J142&lt;=2,"?ACTIVATED",IF(J142&lt;&gt;"","?FAMILIAR",IF(F142="NEW",IF(ISNA(VLOOKUP(E142,#REF!,1,FALSE())),"?TYPE_IDENTIFIABLE","?REFERENTIAL"),"_")))))</f>
        <v/>
      </c>
      <c r="H142" s="23" t="str">
        <f t="shared" ca="1" si="8"/>
        <v/>
      </c>
      <c r="I142" s="24" t="str">
        <f>IF(OR(E142="",E142="!!!",F142="NEW"),"",INDEX(B$2:B141,-1+SUMPRODUCT(MAX(ROW(E$2:E141)*(E142=E$2:E141)))))</f>
        <v/>
      </c>
      <c r="J142" s="24" t="str">
        <f ca="1">IF(OR(E142="",E142="!!!",F142="NEW"),"",COUNTBLANK(OFFSET(A$1,,,SUMPRODUCT(MAX(ROW(E$2:E142)*(E142=E$2:E142)))))-COUNTBLANK(OFFSET(A$1,,,SUMPRODUCT(MAX(ROW(E$1:E141)*(E2=E$1:E141))))))</f>
        <v/>
      </c>
      <c r="K142" s="24" t="str">
        <f>IF(OR(E142="",E142="!!!",F142="NEW"),"",INDEX(J$1:J141,SUMPRODUCT(MAX(ROW(E$1:E141)*(E142=E$1:E141)))))</f>
        <v/>
      </c>
      <c r="L142" s="29" t="s">
        <v>358</v>
      </c>
    </row>
    <row r="143" spans="1:12" x14ac:dyDescent="0.3">
      <c r="A143" t="s">
        <v>194</v>
      </c>
      <c r="B143" s="26" t="s">
        <v>101</v>
      </c>
      <c r="C143" s="26" t="s">
        <v>97</v>
      </c>
      <c r="D143" s="26" t="s">
        <v>98</v>
      </c>
      <c r="E143" s="27" t="s">
        <v>339</v>
      </c>
      <c r="F143" s="28" t="str">
        <f>IF(OR(E143="",E143="!!!"),"",IF(NOT(ISNA(VLOOKUP(E143,E$1:E142,1,FALSE()))),"OLD",IF(AND(E143&lt;&gt;"",E143&lt;&gt;"!!!"),"NEW","")))</f>
        <v>NEW</v>
      </c>
      <c r="G143" s="22" t="str">
        <f ca="1">IF(OR(E143="",E143="!!!"),"",IF(OR(J143=0,AND(J143=1,K143=1),AND(J143=1,I143="SBJ"),AND(J143=1,I143=0)),"?IN_FOCUS",IF(J143&lt;=2,"?ACTIVATED",IF(J143&lt;&gt;"","?FAMILIAR",IF(F143="NEW",IF(ISNA(VLOOKUP(E143,#REF!,1,FALSE())),"?TYPE_IDENTIFIABLE","?REFERENTIAL"),"_")))))</f>
        <v>?REFERENTIAL</v>
      </c>
      <c r="H143" s="23" t="str">
        <f t="shared" ca="1" si="8"/>
        <v/>
      </c>
      <c r="I143" s="24" t="str">
        <f>IF(OR(E143="",E143="!!!",F143="NEW"),"",INDEX(B$2:B142,-1+SUMPRODUCT(MAX(ROW(E$2:E142)*(E143=E$2:E142)))))</f>
        <v/>
      </c>
      <c r="J143" s="24" t="str">
        <f ca="1">IF(OR(E143="",E143="!!!",F143="NEW"),"",COUNTBLANK(OFFSET(A$1,,,SUMPRODUCT(MAX(ROW(E$2:E143)*(E143=E$2:E143)))))-COUNTBLANK(OFFSET(A$1,,,SUMPRODUCT(MAX(ROW(E$1:E142)*(E2=E$1:E142))))))</f>
        <v/>
      </c>
      <c r="K143" s="24" t="str">
        <f>IF(OR(E143="",E143="!!!",F143="NEW"),"",INDEX(J$1:J142,SUMPRODUCT(MAX(ROW(E$1:E142)*(E143=E$1:E142)))))</f>
        <v/>
      </c>
      <c r="L143" s="29"/>
    </row>
    <row r="144" spans="1:12" x14ac:dyDescent="0.3">
      <c r="A144" t="s">
        <v>195</v>
      </c>
      <c r="E144" s="27"/>
      <c r="F144" s="28" t="str">
        <f>IF(OR(E144="",E144="!!!"),"",IF(NOT(ISNA(VLOOKUP(E144,E$1:E143,1,FALSE()))),"OLD",IF(AND(E144&lt;&gt;"",E144&lt;&gt;"!!!"),"NEW","")))</f>
        <v/>
      </c>
      <c r="G144" s="22" t="str">
        <f>IF(OR(E144="",E144="!!!"),"",IF(OR(J144=0,AND(J144=1,K144=1),AND(J144=1,I144="SBJ"),AND(J144=1,I144=0)),"?IN_FOCUS",IF(J144&lt;=2,"?ACTIVATED",IF(J144&lt;&gt;"","?FAMILIAR",IF(F144="NEW",IF(ISNA(VLOOKUP(E144,#REF!,1,FALSE())),"?TYPE_IDENTIFIABLE","?REFERENTIAL"),"_")))))</f>
        <v/>
      </c>
      <c r="H144" s="23" t="str">
        <f t="shared" ca="1" si="8"/>
        <v/>
      </c>
      <c r="I144" s="24" t="str">
        <f>IF(OR(E144="",E144="!!!",F144="NEW"),"",INDEX(B$2:B143,-1+SUMPRODUCT(MAX(ROW(E$2:E143)*(E144=E$2:E143)))))</f>
        <v/>
      </c>
      <c r="J144" s="24" t="str">
        <f ca="1">IF(OR(E144="",E144="!!!",F144="NEW"),"",COUNTBLANK(OFFSET(A$1,,,SUMPRODUCT(MAX(ROW(E$2:E144)*(E144=E$2:E144)))))-COUNTBLANK(OFFSET(A$1,,,SUMPRODUCT(MAX(ROW(E$1:E143)*(E2=E$1:E143))))))</f>
        <v/>
      </c>
      <c r="K144" s="24" t="str">
        <f>IF(OR(E144="",E144="!!!",F144="NEW"),"",INDEX(J$1:J143,SUMPRODUCT(MAX(ROW(E$1:E143)*(E144=E$1:E143)))))</f>
        <v/>
      </c>
      <c r="L144" s="29"/>
    </row>
    <row r="145" spans="1:12" x14ac:dyDescent="0.3">
      <c r="A145" t="s">
        <v>99</v>
      </c>
      <c r="E145" s="27"/>
      <c r="F145" s="28" t="str">
        <f>IF(OR(E145="",E145="!!!"),"",IF(NOT(ISNA(VLOOKUP(E145,E$1:E144,1,FALSE()))),"OLD",IF(AND(E145&lt;&gt;"",E145&lt;&gt;"!!!"),"NEW","")))</f>
        <v/>
      </c>
      <c r="G145" s="22" t="str">
        <f>IF(OR(E145="",E145="!!!"),"",IF(OR(J145=0,AND(J145=1,K145=1),AND(J145=1,I145="SBJ"),AND(J145=1,I145=0)),"?IN_FOCUS",IF(J145&lt;=2,"?ACTIVATED",IF(J145&lt;&gt;"","?FAMILIAR",IF(F145="NEW",IF(ISNA(VLOOKUP(E145,#REF!,1,FALSE())),"?TYPE_IDENTIFIABLE","?REFERENTIAL"),"_")))))</f>
        <v/>
      </c>
      <c r="H145" s="23" t="str">
        <f t="shared" ca="1" si="8"/>
        <v/>
      </c>
      <c r="I145" s="24" t="str">
        <f>IF(OR(E145="",E145="!!!",F145="NEW"),"",INDEX(B$2:B144,-1+SUMPRODUCT(MAX(ROW(E$2:E144)*(E145=E$2:E144)))))</f>
        <v/>
      </c>
      <c r="J145" s="24" t="str">
        <f ca="1">IF(OR(E145="",E145="!!!",F145="NEW"),"",COUNTBLANK(OFFSET(A$1,,,SUMPRODUCT(MAX(ROW(E$2:E145)*(E145=E$2:E145)))))-COUNTBLANK(OFFSET(A$1,,,SUMPRODUCT(MAX(ROW(E$1:E144)*(E2=E$1:E144))))))</f>
        <v/>
      </c>
      <c r="K145" s="24" t="str">
        <f>IF(OR(E145="",E145="!!!",F145="NEW"),"",INDEX(J$1:J144,SUMPRODUCT(MAX(ROW(E$1:E144)*(E145=E$1:E144)))))</f>
        <v/>
      </c>
      <c r="L145" s="29"/>
    </row>
    <row r="146" spans="1:12" x14ac:dyDescent="0.3">
      <c r="A146" t="s">
        <v>100</v>
      </c>
      <c r="B146" s="26" t="s">
        <v>123</v>
      </c>
      <c r="C146" s="26" t="s">
        <v>97</v>
      </c>
      <c r="D146" s="26" t="s">
        <v>98</v>
      </c>
      <c r="E146" s="27" t="s">
        <v>327</v>
      </c>
      <c r="F146" s="28" t="str">
        <f>IF(OR(E146="",E146="!!!"),"",IF(NOT(ISNA(VLOOKUP(E146,E$1:E145,1,FALSE()))),"OLD",IF(AND(E146&lt;&gt;"",E146&lt;&gt;"!!!"),"NEW","")))</f>
        <v>OLD</v>
      </c>
      <c r="G146" s="22" t="str">
        <f ca="1">IF(OR(E146="",E146="!!!"),"",IF(OR(J146=0,AND(J146=1,K146=1),AND(J146=1,I146="SBJ"),AND(J146=1,I146=0)),"?IN_FOCUS",IF(J146&lt;=2,"?ACTIVATED",IF(J146&lt;&gt;"","?FAMILIAR",IF(F146="NEW",IF(ISNA(VLOOKUP(E146,#REF!,1,FALSE())),"?TYPE_IDENTIFIABLE","?REFERENTIAL"),"_")))))</f>
        <v>?IN_FOCUS</v>
      </c>
      <c r="H146" s="23" t="str">
        <f t="shared" ca="1" si="8"/>
        <v/>
      </c>
      <c r="I146" s="24" t="str">
        <f>IF(OR(E146="",E146="!!!",F146="NEW"),"",INDEX(B$2:B145,-1+SUMPRODUCT(MAX(ROW(E$2:E145)*(E146=E$2:E145)))))</f>
        <v>SBJ</v>
      </c>
      <c r="J146" s="24">
        <f ca="1">IF(OR(E146="",E146="!!!",F146="NEW"),"",COUNTBLANK(OFFSET(A$1,,,SUMPRODUCT(MAX(ROW(E$2:E146)*(E146=E$2:E146)))))-COUNTBLANK(OFFSET(A$1,,,SUMPRODUCT(MAX(ROW(E$1:E145)*(E2=E$1:E145))))))</f>
        <v>0</v>
      </c>
      <c r="K146" s="24">
        <f ca="1">IF(OR(E146="",E146="!!!",F146="NEW"),"",INDEX(J$1:J145,SUMPRODUCT(MAX(ROW(E$1:E145)*(E146=E$1:E145)))))</f>
        <v>0</v>
      </c>
      <c r="L146" s="29"/>
    </row>
    <row r="147" spans="1:12" x14ac:dyDescent="0.3">
      <c r="A147" t="s">
        <v>102</v>
      </c>
      <c r="E147" s="27"/>
      <c r="F147" s="28" t="str">
        <f>IF(OR(E147="",E147="!!!"),"",IF(NOT(ISNA(VLOOKUP(E147,E$1:E146,1,FALSE()))),"OLD",IF(AND(E147&lt;&gt;"",E147&lt;&gt;"!!!"),"NEW","")))</f>
        <v/>
      </c>
      <c r="G147" s="22" t="str">
        <f>IF(OR(E147="",E147="!!!"),"",IF(OR(J147=0,AND(J147=1,K147=1),AND(J147=1,I147="SBJ"),AND(J147=1,I147=0)),"?IN_FOCUS",IF(J147&lt;=2,"?ACTIVATED",IF(J147&lt;&gt;"","?FAMILIAR",IF(F147="NEW",IF(ISNA(VLOOKUP(E147,#REF!,1,FALSE())),"?TYPE_IDENTIFIABLE","?REFERENTIAL"),"_")))))</f>
        <v/>
      </c>
      <c r="H147" s="23" t="str">
        <f t="shared" ca="1" si="8"/>
        <v/>
      </c>
      <c r="I147" s="24" t="str">
        <f>IF(OR(E147="",E147="!!!",F147="NEW"),"",INDEX(B$2:B146,-1+SUMPRODUCT(MAX(ROW(E$2:E146)*(E147=E$2:E146)))))</f>
        <v/>
      </c>
      <c r="J147" s="24" t="str">
        <f ca="1">IF(OR(E147="",E147="!!!",F147="NEW"),"",COUNTBLANK(OFFSET(A$1,,,SUMPRODUCT(MAX(ROW(E$2:E147)*(E147=E$2:E147)))))-COUNTBLANK(OFFSET(A$1,,,SUMPRODUCT(MAX(ROW(E$1:E146)*(E2=E$1:E146))))))</f>
        <v/>
      </c>
      <c r="K147" s="24" t="str">
        <f>IF(OR(E147="",E147="!!!",F147="NEW"),"",INDEX(J$1:J146,SUMPRODUCT(MAX(ROW(E$1:E146)*(E147=E$1:E146)))))</f>
        <v/>
      </c>
      <c r="L147" s="29"/>
    </row>
    <row r="148" spans="1:12" x14ac:dyDescent="0.3">
      <c r="A148" t="s">
        <v>178</v>
      </c>
      <c r="E148" s="27"/>
      <c r="F148" s="28" t="str">
        <f>IF(OR(E148="",E148="!!!"),"",IF(NOT(ISNA(VLOOKUP(E148,E$1:E147,1,FALSE()))),"OLD",IF(AND(E148&lt;&gt;"",E148&lt;&gt;"!!!"),"NEW","")))</f>
        <v/>
      </c>
      <c r="G148" s="22" t="str">
        <f>IF(OR(E148="",E148="!!!"),"",IF(OR(J148=0,AND(J148=1,K148=1),AND(J148=1,I148="SBJ"),AND(J148=1,I148=0)),"?IN_FOCUS",IF(J148&lt;=2,"?ACTIVATED",IF(J148&lt;&gt;"","?FAMILIAR",IF(F148="NEW",IF(ISNA(VLOOKUP(E148,#REF!,1,FALSE())),"?TYPE_IDENTIFIABLE","?REFERENTIAL"),"_")))))</f>
        <v/>
      </c>
      <c r="H148" s="23" t="str">
        <f t="shared" ca="1" si="8"/>
        <v/>
      </c>
      <c r="I148" s="24" t="str">
        <f>IF(OR(E148="",E148="!!!",F148="NEW"),"",INDEX(B$2:B147,-1+SUMPRODUCT(MAX(ROW(E$2:E147)*(E148=E$2:E147)))))</f>
        <v/>
      </c>
      <c r="J148" s="24" t="str">
        <f ca="1">IF(OR(E148="",E148="!!!",F148="NEW"),"",COUNTBLANK(OFFSET(A$1,,,SUMPRODUCT(MAX(ROW(E$2:E148)*(E148=E$2:E148)))))-COUNTBLANK(OFFSET(A$1,,,SUMPRODUCT(MAX(ROW(E$1:E147)*(E2=E$1:E147))))))</f>
        <v/>
      </c>
      <c r="K148" s="24" t="str">
        <f>IF(OR(E148="",E148="!!!",F148="NEW"),"",INDEX(J$1:J147,SUMPRODUCT(MAX(ROW(E$1:E147)*(E148=E$1:E147)))))</f>
        <v/>
      </c>
      <c r="L148" s="29"/>
    </row>
    <row r="149" spans="1:12" x14ac:dyDescent="0.3">
      <c r="A149" t="s">
        <v>108</v>
      </c>
      <c r="E149" s="27"/>
      <c r="F149" s="28" t="str">
        <f>IF(OR(E149="",E149="!!!"),"",IF(NOT(ISNA(VLOOKUP(E149,E$1:E148,1,FALSE()))),"OLD",IF(AND(E149&lt;&gt;"",E149&lt;&gt;"!!!"),"NEW","")))</f>
        <v/>
      </c>
      <c r="G149" s="22" t="str">
        <f>IF(OR(E149="",E149="!!!"),"",IF(OR(J149=0,AND(J149=1,K149=1),AND(J149=1,I149="SBJ"),AND(J149=1,I149=0)),"?IN_FOCUS",IF(J149&lt;=2,"?ACTIVATED",IF(J149&lt;&gt;"","?FAMILIAR",IF(F149="NEW",IF(ISNA(VLOOKUP(E149,#REF!,1,FALSE())),"?TYPE_IDENTIFIABLE","?REFERENTIAL"),"_")))))</f>
        <v/>
      </c>
      <c r="H149" s="23" t="str">
        <f t="shared" ca="1" si="8"/>
        <v/>
      </c>
      <c r="I149" s="24" t="str">
        <f>IF(OR(E149="",E149="!!!",F149="NEW"),"",INDEX(B$2:B148,-1+SUMPRODUCT(MAX(ROW(E$2:E148)*(E149=E$2:E148)))))</f>
        <v/>
      </c>
      <c r="J149" s="24" t="str">
        <f ca="1">IF(OR(E149="",E149="!!!",F149="NEW"),"",COUNTBLANK(OFFSET(A$1,,,SUMPRODUCT(MAX(ROW(E$2:E149)*(E149=E$2:E149)))))-COUNTBLANK(OFFSET(A$1,,,SUMPRODUCT(MAX(ROW(E$1:E148)*(E2=E$1:E148))))))</f>
        <v/>
      </c>
      <c r="K149" s="24" t="str">
        <f>IF(OR(E149="",E149="!!!",F149="NEW"),"",INDEX(J$1:J148,SUMPRODUCT(MAX(ROW(E$1:E148)*(E149=E$1:E148)))))</f>
        <v/>
      </c>
      <c r="L149" s="29"/>
    </row>
    <row r="150" spans="1:12" x14ac:dyDescent="0.3">
      <c r="A150" t="s">
        <v>138</v>
      </c>
      <c r="E150" s="27"/>
      <c r="F150" s="28" t="str">
        <f>IF(OR(E150="",E150="!!!"),"",IF(NOT(ISNA(VLOOKUP(E150,E$1:E149,1,FALSE()))),"OLD",IF(AND(E150&lt;&gt;"",E150&lt;&gt;"!!!"),"NEW","")))</f>
        <v/>
      </c>
      <c r="G150" s="22" t="str">
        <f>IF(OR(E150="",E150="!!!"),"",IF(OR(J150=0,AND(J150=1,K150=1),AND(J150=1,I150="SBJ"),AND(J150=1,I150=0)),"?IN_FOCUS",IF(J150&lt;=2,"?ACTIVATED",IF(J150&lt;&gt;"","?FAMILIAR",IF(F150="NEW",IF(ISNA(VLOOKUP(E150,#REF!,1,FALSE())),"?TYPE_IDENTIFIABLE","?REFERENTIAL"),"_")))))</f>
        <v/>
      </c>
      <c r="H150" s="23" t="str">
        <f t="shared" ca="1" si="8"/>
        <v/>
      </c>
      <c r="I150" s="24" t="str">
        <f>IF(OR(E150="",E150="!!!",F150="NEW"),"",INDEX(B$2:B149,-1+SUMPRODUCT(MAX(ROW(E$2:E149)*(E150=E$2:E149)))))</f>
        <v/>
      </c>
      <c r="J150" s="24" t="str">
        <f ca="1">IF(OR(E150="",E150="!!!",F150="NEW"),"",COUNTBLANK(OFFSET(A$1,,,SUMPRODUCT(MAX(ROW(E$2:E150)*(E150=E$2:E150)))))-COUNTBLANK(OFFSET(A$1,,,SUMPRODUCT(MAX(ROW(E$1:E149)*(E2=E$1:E149))))))</f>
        <v/>
      </c>
      <c r="K150" s="24" t="str">
        <f>IF(OR(E150="",E150="!!!",F150="NEW"),"",INDEX(J$1:J149,SUMPRODUCT(MAX(ROW(E$1:E149)*(E150=E$1:E149)))))</f>
        <v/>
      </c>
      <c r="L150" s="29"/>
    </row>
    <row r="151" spans="1:12" x14ac:dyDescent="0.3">
      <c r="A151" t="s">
        <v>171</v>
      </c>
      <c r="B151" s="26" t="s">
        <v>140</v>
      </c>
      <c r="C151" s="26" t="s">
        <v>97</v>
      </c>
      <c r="D151" s="26" t="s">
        <v>98</v>
      </c>
      <c r="E151" s="27" t="s">
        <v>326</v>
      </c>
      <c r="F151" s="28" t="str">
        <f>IF(OR(E151="",E151="!!!"),"",IF(NOT(ISNA(VLOOKUP(E151,E$1:E150,1,FALSE()))),"OLD",IF(AND(E151&lt;&gt;"",E151&lt;&gt;"!!!"),"NEW","")))</f>
        <v>OLD</v>
      </c>
      <c r="G151" s="22" t="str">
        <f ca="1">IF(OR(E151="",E151="!!!"),"",IF(OR(J151=0,AND(J151=1,K151=1),AND(J151=1,I151="SBJ"),AND(J151=1,I151=0)),"?IN_FOCUS",IF(J151&lt;=2,"?ACTIVATED",IF(J151&lt;&gt;"","?FAMILIAR",IF(F151="NEW",IF(ISNA(VLOOKUP(E151,#REF!,1,FALSE())),"?TYPE_IDENTIFIABLE","?REFERENTIAL"),"_")))))</f>
        <v>?IN_FOCUS</v>
      </c>
      <c r="H151" s="23" t="str">
        <f t="shared" ca="1" si="8"/>
        <v/>
      </c>
      <c r="I151" s="24" t="str">
        <f>IF(OR(E151="",E151="!!!",F151="NEW"),"",INDEX(B$2:B150,-1+SUMPRODUCT(MAX(ROW(E$2:E150)*(E151=E$2:E150)))))</f>
        <v>other_2</v>
      </c>
      <c r="J151" s="24">
        <f ca="1">IF(OR(E151="",E151="!!!",F151="NEW"),"",COUNTBLANK(OFFSET(A$1,,,SUMPRODUCT(MAX(ROW(E$2:E151)*(E151=E$2:E151)))))-COUNTBLANK(OFFSET(A$1,,,SUMPRODUCT(MAX(ROW(E$1:E150)*(E2=E$1:E150))))))</f>
        <v>0</v>
      </c>
      <c r="K151" s="24">
        <f ca="1">IF(OR(E151="",E151="!!!",F151="NEW"),"",INDEX(J$1:J150,SUMPRODUCT(MAX(ROW(E$1:E150)*(E151=E$1:E150)))))</f>
        <v>0</v>
      </c>
      <c r="L151" s="29"/>
    </row>
    <row r="152" spans="1:12" x14ac:dyDescent="0.3">
      <c r="A152" t="s">
        <v>108</v>
      </c>
      <c r="E152" s="27"/>
      <c r="F152" s="28" t="str">
        <f>IF(OR(E152="",E152="!!!"),"",IF(NOT(ISNA(VLOOKUP(E152,E$1:E151,1,FALSE()))),"OLD",IF(AND(E152&lt;&gt;"",E152&lt;&gt;"!!!"),"NEW","")))</f>
        <v/>
      </c>
      <c r="G152" s="22" t="str">
        <f>IF(OR(E152="",E152="!!!"),"",IF(OR(J152=0,AND(J152=1,K152=1),AND(J152=1,I152="SBJ"),AND(J152=1,I152=0)),"?IN_FOCUS",IF(J152&lt;=2,"?ACTIVATED",IF(J152&lt;&gt;"","?FAMILIAR",IF(F152="NEW",IF(ISNA(VLOOKUP(E152,#REF!,1,FALSE())),"?TYPE_IDENTIFIABLE","?REFERENTIAL"),"_")))))</f>
        <v/>
      </c>
      <c r="H152" s="23" t="str">
        <f t="shared" ca="1" si="8"/>
        <v/>
      </c>
      <c r="I152" s="24" t="str">
        <f>IF(OR(E152="",E152="!!!",F152="NEW"),"",INDEX(B$2:B151,-1+SUMPRODUCT(MAX(ROW(E$2:E151)*(E152=E$2:E151)))))</f>
        <v/>
      </c>
      <c r="J152" s="24" t="str">
        <f ca="1">IF(OR(E152="",E152="!!!",F152="NEW"),"",COUNTBLANK(OFFSET(A$1,,,SUMPRODUCT(MAX(ROW(E$2:E152)*(E152=E$2:E152)))))-COUNTBLANK(OFFSET(A$1,,,SUMPRODUCT(MAX(ROW(E$1:E151)*(E2=E$1:E151))))))</f>
        <v/>
      </c>
      <c r="K152" s="24" t="str">
        <f>IF(OR(E152="",E152="!!!",F152="NEW"),"",INDEX(J$1:J151,SUMPRODUCT(MAX(ROW(E$1:E151)*(E152=E$1:E151)))))</f>
        <v/>
      </c>
      <c r="L152" s="29"/>
    </row>
    <row r="153" spans="1:12" x14ac:dyDescent="0.3">
      <c r="A153" t="s">
        <v>109</v>
      </c>
      <c r="B153" s="26" t="s">
        <v>196</v>
      </c>
      <c r="E153" s="27"/>
      <c r="F153" s="28" t="str">
        <f>IF(OR(E153="",E153="!!!"),"",IF(NOT(ISNA(VLOOKUP(E153,E$1:E152,1,FALSE()))),"OLD",IF(AND(E153&lt;&gt;"",E153&lt;&gt;"!!!"),"NEW","")))</f>
        <v/>
      </c>
      <c r="G153" s="22" t="str">
        <f>IF(OR(E153="",E153="!!!"),"",IF(OR(J153=0,AND(J153=1,K153=1),AND(J153=1,I153="SBJ"),AND(J153=1,I153=0)),"?IN_FOCUS",IF(J153&lt;=2,"?ACTIVATED",IF(J153&lt;&gt;"","?FAMILIAR",IF(F153="NEW",IF(ISNA(VLOOKUP(E153,#REF!,1,FALSE())),"?TYPE_IDENTIFIABLE","?REFERENTIAL"),"_")))))</f>
        <v/>
      </c>
      <c r="H153" s="23" t="str">
        <f t="shared" ca="1" si="8"/>
        <v/>
      </c>
      <c r="I153" s="24" t="str">
        <f>IF(OR(E153="",E153="!!!",F153="NEW"),"",INDEX(B$2:B152,-1+SUMPRODUCT(MAX(ROW(E$2:E152)*(E153=E$2:E152)))))</f>
        <v/>
      </c>
      <c r="J153" s="24" t="str">
        <f ca="1">IF(OR(E153="",E153="!!!",F153="NEW"),"",COUNTBLANK(OFFSET(A$1,,,SUMPRODUCT(MAX(ROW(E$2:E153)*(E153=E$2:E153)))))-COUNTBLANK(OFFSET(A$1,,,SUMPRODUCT(MAX(ROW(E$1:E152)*(E2=E$1:E152))))))</f>
        <v/>
      </c>
      <c r="K153" s="24" t="str">
        <f>IF(OR(E153="",E153="!!!",F153="NEW"),"",INDEX(J$1:J152,SUMPRODUCT(MAX(ROW(E$1:E152)*(E153=E$1:E152)))))</f>
        <v/>
      </c>
      <c r="L153" s="29"/>
    </row>
    <row r="154" spans="1:12" x14ac:dyDescent="0.3">
      <c r="A154" t="s">
        <v>197</v>
      </c>
      <c r="E154" s="27"/>
      <c r="F154" s="28" t="str">
        <f>IF(OR(E154="",E154="!!!"),"",IF(NOT(ISNA(VLOOKUP(E154,E$1:E153,1,FALSE()))),"OLD",IF(AND(E154&lt;&gt;"",E154&lt;&gt;"!!!"),"NEW","")))</f>
        <v/>
      </c>
      <c r="G154" s="22" t="str">
        <f>IF(OR(E154="",E154="!!!"),"",IF(OR(J154=0,AND(J154=1,K154=1),AND(J154=1,I154="SBJ"),AND(J154=1,I154=0)),"?IN_FOCUS",IF(J154&lt;=2,"?ACTIVATED",IF(J154&lt;&gt;"","?FAMILIAR",IF(F154="NEW",IF(ISNA(VLOOKUP(E154,#REF!,1,FALSE())),"?TYPE_IDENTIFIABLE","?REFERENTIAL"),"_")))))</f>
        <v/>
      </c>
      <c r="H154" s="23" t="str">
        <f t="shared" ca="1" si="8"/>
        <v/>
      </c>
      <c r="I154" s="24" t="str">
        <f>IF(OR(E154="",E154="!!!",F154="NEW"),"",INDEX(B$2:B153,-1+SUMPRODUCT(MAX(ROW(E$2:E153)*(E154=E$2:E153)))))</f>
        <v/>
      </c>
      <c r="J154" s="24" t="str">
        <f ca="1">IF(OR(E154="",E154="!!!",F154="NEW"),"",COUNTBLANK(OFFSET(A$1,,,SUMPRODUCT(MAX(ROW(E$2:E154)*(E154=E$2:E154)))))-COUNTBLANK(OFFSET(A$1,,,SUMPRODUCT(MAX(ROW(E$1:E153)*(E2=E$1:E153))))))</f>
        <v/>
      </c>
      <c r="K154" s="24" t="str">
        <f>IF(OR(E154="",E154="!!!",F154="NEW"),"",INDEX(J$1:J153,SUMPRODUCT(MAX(ROW(E$1:E153)*(E154=E$1:E153)))))</f>
        <v/>
      </c>
      <c r="L154" s="29"/>
    </row>
    <row r="155" spans="1:12" x14ac:dyDescent="0.3">
      <c r="A155" t="s">
        <v>166</v>
      </c>
      <c r="E155" s="27"/>
      <c r="F155" s="28" t="str">
        <f>IF(OR(E155="",E155="!!!"),"",IF(NOT(ISNA(VLOOKUP(E155,E$1:E154,1,FALSE()))),"OLD",IF(AND(E155&lt;&gt;"",E155&lt;&gt;"!!!"),"NEW","")))</f>
        <v/>
      </c>
      <c r="G155" s="22" t="str">
        <f>IF(OR(E155="",E155="!!!"),"",IF(OR(J155=0,AND(J155=1,K155=1),AND(J155=1,I155="SBJ"),AND(J155=1,I155=0)),"?IN_FOCUS",IF(J155&lt;=2,"?ACTIVATED",IF(J155&lt;&gt;"","?FAMILIAR",IF(F155="NEW",IF(ISNA(VLOOKUP(E155,#REF!,1,FALSE())),"?TYPE_IDENTIFIABLE","?REFERENTIAL"),"_")))))</f>
        <v/>
      </c>
      <c r="H155" s="23" t="str">
        <f t="shared" ca="1" si="8"/>
        <v/>
      </c>
      <c r="I155" s="24" t="str">
        <f>IF(OR(E155="",E155="!!!",F155="NEW"),"",INDEX(B$2:B154,-1+SUMPRODUCT(MAX(ROW(E$2:E154)*(E155=E$2:E154)))))</f>
        <v/>
      </c>
      <c r="J155" s="24" t="str">
        <f ca="1">IF(OR(E155="",E155="!!!",F155="NEW"),"",COUNTBLANK(OFFSET(A$1,,,SUMPRODUCT(MAX(ROW(E$2:E155)*(E155=E$2:E155)))))-COUNTBLANK(OFFSET(A$1,,,SUMPRODUCT(MAX(ROW(E$1:E154)*(E2=E$1:E154))))))</f>
        <v/>
      </c>
      <c r="K155" s="24" t="str">
        <f>IF(OR(E155="",E155="!!!",F155="NEW"),"",INDEX(J$1:J154,SUMPRODUCT(MAX(ROW(E$1:E154)*(E155=E$1:E154)))))</f>
        <v/>
      </c>
      <c r="L155" s="29"/>
    </row>
    <row r="156" spans="1:12" x14ac:dyDescent="0.3">
      <c r="A156" t="s">
        <v>95</v>
      </c>
      <c r="B156" s="26" t="s">
        <v>117</v>
      </c>
      <c r="C156" s="26" t="s">
        <v>97</v>
      </c>
      <c r="D156" s="26" t="s">
        <v>98</v>
      </c>
      <c r="E156" s="27" t="s">
        <v>340</v>
      </c>
      <c r="F156" s="28" t="str">
        <f>IF(OR(E156="",E156="!!!"),"",IF(NOT(ISNA(VLOOKUP(E156,E$1:E155,1,FALSE()))),"OLD",IF(AND(E156&lt;&gt;"",E156&lt;&gt;"!!!"),"NEW","")))</f>
        <v>NEW</v>
      </c>
      <c r="G156" s="22" t="str">
        <f ca="1">IF(OR(E156="",E156="!!!"),"",IF(OR(J156=0,AND(J156=1,K156=1),AND(J156=1,I156="SBJ"),AND(J156=1,I156=0)),"?IN_FOCUS",IF(J156&lt;=2,"?ACTIVATED",IF(J156&lt;&gt;"","?FAMILIAR",IF(F156="NEW",IF(ISNA(VLOOKUP(E156,#REF!,1,FALSE())),"?TYPE_IDENTIFIABLE","?REFERENTIAL"),"_")))))</f>
        <v>?REFERENTIAL</v>
      </c>
      <c r="H156" s="23" t="str">
        <f t="shared" ca="1" si="8"/>
        <v/>
      </c>
      <c r="I156" s="24" t="str">
        <f>IF(OR(E156="",E156="!!!",F156="NEW"),"",INDEX(B$2:B155,-1+SUMPRODUCT(MAX(ROW(E$2:E155)*(E156=E$2:E155)))))</f>
        <v/>
      </c>
      <c r="J156" s="24" t="str">
        <f ca="1">IF(OR(E156="",E156="!!!",F156="NEW"),"",COUNTBLANK(OFFSET(A$1,,,SUMPRODUCT(MAX(ROW(E$2:E156)*(E156=E$2:E156)))))-COUNTBLANK(OFFSET(A$1,,,SUMPRODUCT(MAX(ROW(E$1:E155)*(E2=E$1:E155))))))</f>
        <v/>
      </c>
      <c r="K156" s="24" t="str">
        <f>IF(OR(E156="",E156="!!!",F156="NEW"),"",INDEX(J$1:J155,SUMPRODUCT(MAX(ROW(E$1:E155)*(E156=E$1:E155)))))</f>
        <v/>
      </c>
      <c r="L156" s="29"/>
    </row>
    <row r="157" spans="1:12" x14ac:dyDescent="0.3">
      <c r="A157" t="s">
        <v>99</v>
      </c>
      <c r="E157" s="27"/>
      <c r="F157" s="28" t="str">
        <f>IF(OR(E157="",E157="!!!"),"",IF(NOT(ISNA(VLOOKUP(E157,E$1:E156,1,FALSE()))),"OLD",IF(AND(E157&lt;&gt;"",E157&lt;&gt;"!!!"),"NEW","")))</f>
        <v/>
      </c>
      <c r="G157" s="22" t="str">
        <f>IF(OR(E157="",E157="!!!"),"",IF(OR(J157=0,AND(J157=1,K157=1),AND(J157=1,I157="SBJ"),AND(J157=1,I157=0)),"?IN_FOCUS",IF(J157&lt;=2,"?ACTIVATED",IF(J157&lt;&gt;"","?FAMILIAR",IF(F157="NEW",IF(ISNA(VLOOKUP(E157,#REF!,1,FALSE())),"?TYPE_IDENTIFIABLE","?REFERENTIAL"),"_")))))</f>
        <v/>
      </c>
      <c r="H157" s="23" t="str">
        <f t="shared" ca="1" si="8"/>
        <v/>
      </c>
      <c r="I157" s="24" t="str">
        <f>IF(OR(E157="",E157="!!!",F157="NEW"),"",INDEX(B$2:B156,-1+SUMPRODUCT(MAX(ROW(E$2:E156)*(E157=E$2:E156)))))</f>
        <v/>
      </c>
      <c r="J157" s="24" t="str">
        <f ca="1">IF(OR(E157="",E157="!!!",F157="NEW"),"",COUNTBLANK(OFFSET(A$1,,,SUMPRODUCT(MAX(ROW(E$2:E157)*(E157=E$2:E157)))))-COUNTBLANK(OFFSET(A$1,,,SUMPRODUCT(MAX(ROW(E$1:E156)*(E2=E$1:E156))))))</f>
        <v/>
      </c>
      <c r="K157" s="24" t="str">
        <f>IF(OR(E157="",E157="!!!",F157="NEW"),"",INDEX(J$1:J156,SUMPRODUCT(MAX(ROW(E$1:E156)*(E157=E$1:E156)))))</f>
        <v/>
      </c>
      <c r="L157" s="29"/>
    </row>
    <row r="158" spans="1:12" x14ac:dyDescent="0.3">
      <c r="A158" t="s">
        <v>198</v>
      </c>
      <c r="B158" s="26" t="s">
        <v>117</v>
      </c>
      <c r="C158" s="26" t="s">
        <v>97</v>
      </c>
      <c r="D158" s="26" t="s">
        <v>98</v>
      </c>
      <c r="E158" s="27" t="s">
        <v>341</v>
      </c>
      <c r="F158" s="28" t="str">
        <f>IF(OR(E158="",E158="!!!"),"",IF(NOT(ISNA(VLOOKUP(E158,E$1:E157,1,FALSE()))),"OLD",IF(AND(E158&lt;&gt;"",E158&lt;&gt;"!!!"),"NEW","")))</f>
        <v>NEW</v>
      </c>
      <c r="G158" s="22" t="str">
        <f ca="1">IF(OR(E158="",E158="!!!"),"",IF(OR(J158=0,AND(J158=1,K158=1),AND(J158=1,I158="SBJ"),AND(J158=1,I158=0)),"?IN_FOCUS",IF(J158&lt;=2,"?ACTIVATED",IF(J158&lt;&gt;"","?FAMILIAR",IF(F158="NEW",IF(ISNA(VLOOKUP(E158,#REF!,1,FALSE())),"?TYPE_IDENTIFIABLE","?REFERENTIAL"),"_")))))</f>
        <v>?REFERENTIAL</v>
      </c>
      <c r="H158" s="23" t="str">
        <f t="shared" ca="1" si="8"/>
        <v/>
      </c>
      <c r="I158" s="24" t="str">
        <f>IF(OR(E158="",E158="!!!",F158="NEW"),"",INDEX(B$2:B157,-1+SUMPRODUCT(MAX(ROW(E$2:E157)*(E158=E$2:E157)))))</f>
        <v/>
      </c>
      <c r="J158" s="24" t="str">
        <f ca="1">IF(OR(E158="",E158="!!!",F158="NEW"),"",COUNTBLANK(OFFSET(A$1,,,SUMPRODUCT(MAX(ROW(E$2:E158)*(E158=E$2:E158)))))-COUNTBLANK(OFFSET(A$1,,,SUMPRODUCT(MAX(ROW(E$1:E157)*(E2=E$1:E157))))))</f>
        <v/>
      </c>
      <c r="K158" s="24" t="str">
        <f>IF(OR(E158="",E158="!!!",F158="NEW"),"",INDEX(J$1:J157,SUMPRODUCT(MAX(ROW(E$1:E157)*(E158=E$1:E157)))))</f>
        <v/>
      </c>
      <c r="L158" s="29"/>
    </row>
    <row r="159" spans="1:12" x14ac:dyDescent="0.3">
      <c r="A159" t="s">
        <v>199</v>
      </c>
      <c r="E159" s="27"/>
      <c r="F159" s="28" t="str">
        <f>IF(OR(E159="",E159="!!!"),"",IF(NOT(ISNA(VLOOKUP(E159,E$1:E158,1,FALSE()))),"OLD",IF(AND(E159&lt;&gt;"",E159&lt;&gt;"!!!"),"NEW","")))</f>
        <v/>
      </c>
      <c r="G159" s="22" t="str">
        <f>IF(OR(E159="",E159="!!!"),"",IF(OR(J159=0,AND(J159=1,K159=1),AND(J159=1,I159="SBJ"),AND(J159=1,I159=0)),"?IN_FOCUS",IF(J159&lt;=2,"?ACTIVATED",IF(J159&lt;&gt;"","?FAMILIAR",IF(F159="NEW",IF(ISNA(VLOOKUP(E159,#REF!,1,FALSE())),"?TYPE_IDENTIFIABLE","?REFERENTIAL"),"_")))))</f>
        <v/>
      </c>
      <c r="H159" s="23" t="str">
        <f t="shared" ca="1" si="8"/>
        <v/>
      </c>
      <c r="I159" s="24" t="str">
        <f>IF(OR(E159="",E159="!!!",F159="NEW"),"",INDEX(B$2:B158,-1+SUMPRODUCT(MAX(ROW(E$2:E158)*(E159=E$2:E158)))))</f>
        <v/>
      </c>
      <c r="J159" s="24" t="str">
        <f ca="1">IF(OR(E159="",E159="!!!",F159="NEW"),"",COUNTBLANK(OFFSET(A$1,,,SUMPRODUCT(MAX(ROW(E$2:E159)*(E159=E$2:E159)))))-COUNTBLANK(OFFSET(A$1,,,SUMPRODUCT(MAX(ROW(E$1:E158)*(E2=E$1:E158))))))</f>
        <v/>
      </c>
      <c r="K159" s="24" t="str">
        <f>IF(OR(E159="",E159="!!!",F159="NEW"),"",INDEX(J$1:J158,SUMPRODUCT(MAX(ROW(E$1:E158)*(E159=E$1:E158)))))</f>
        <v/>
      </c>
      <c r="L159" s="29"/>
    </row>
    <row r="160" spans="1:12" x14ac:dyDescent="0.3">
      <c r="A160" t="s">
        <v>200</v>
      </c>
      <c r="E160" s="27"/>
      <c r="F160" s="28" t="str">
        <f>IF(OR(E160="",E160="!!!"),"",IF(NOT(ISNA(VLOOKUP(E160,E$1:E159,1,FALSE()))),"OLD",IF(AND(E160&lt;&gt;"",E160&lt;&gt;"!!!"),"NEW","")))</f>
        <v/>
      </c>
      <c r="G160" s="22" t="str">
        <f>IF(OR(E160="",E160="!!!"),"",IF(OR(J160=0,AND(J160=1,K160=1),AND(J160=1,I160="SBJ"),AND(J160=1,I160=0)),"?IN_FOCUS",IF(J160&lt;=2,"?ACTIVATED",IF(J160&lt;&gt;"","?FAMILIAR",IF(F160="NEW",IF(ISNA(VLOOKUP(E160,#REF!,1,FALSE())),"?TYPE_IDENTIFIABLE","?REFERENTIAL"),"_")))))</f>
        <v/>
      </c>
      <c r="H160" s="23" t="str">
        <f t="shared" ca="1" si="8"/>
        <v/>
      </c>
      <c r="I160" s="24" t="str">
        <f>IF(OR(E160="",E160="!!!",F160="NEW"),"",INDEX(B$2:B159,-1+SUMPRODUCT(MAX(ROW(E$2:E159)*(E160=E$2:E159)))))</f>
        <v/>
      </c>
      <c r="J160" s="24" t="str">
        <f ca="1">IF(OR(E160="",E160="!!!",F160="NEW"),"",COUNTBLANK(OFFSET(A$1,,,SUMPRODUCT(MAX(ROW(E$2:E160)*(E160=E$2:E160)))))-COUNTBLANK(OFFSET(A$1,,,SUMPRODUCT(MAX(ROW(E$1:E159)*(E2=E$1:E159))))))</f>
        <v/>
      </c>
      <c r="K160" s="24" t="str">
        <f>IF(OR(E160="",E160="!!!",F160="NEW"),"",INDEX(J$1:J159,SUMPRODUCT(MAX(ROW(E$1:E159)*(E160=E$1:E159)))))</f>
        <v/>
      </c>
      <c r="L160" s="29"/>
    </row>
    <row r="161" spans="1:12" x14ac:dyDescent="0.3">
      <c r="A161" t="s">
        <v>108</v>
      </c>
      <c r="E161" s="27"/>
      <c r="F161" s="28" t="str">
        <f>IF(OR(E161="",E161="!!!"),"",IF(NOT(ISNA(VLOOKUP(E161,E$1:E160,1,FALSE()))),"OLD",IF(AND(E161&lt;&gt;"",E161&lt;&gt;"!!!"),"NEW","")))</f>
        <v/>
      </c>
      <c r="G161" s="22" t="str">
        <f>IF(OR(E161="",E161="!!!"),"",IF(OR(J161=0,AND(J161=1,K161=1),AND(J161=1,I161="SBJ"),AND(J161=1,I161=0)),"?IN_FOCUS",IF(J161&lt;=2,"?ACTIVATED",IF(J161&lt;&gt;"","?FAMILIAR",IF(F161="NEW",IF(ISNA(VLOOKUP(E161,#REF!,1,FALSE())),"?TYPE_IDENTIFIABLE","?REFERENTIAL"),"_")))))</f>
        <v/>
      </c>
      <c r="H161" s="23" t="str">
        <f t="shared" ca="1" si="8"/>
        <v/>
      </c>
      <c r="I161" s="24" t="str">
        <f>IF(OR(E161="",E161="!!!",F161="NEW"),"",INDEX(B$2:B160,-1+SUMPRODUCT(MAX(ROW(E$2:E160)*(E161=E$2:E160)))))</f>
        <v/>
      </c>
      <c r="J161" s="24" t="str">
        <f ca="1">IF(OR(E161="",E161="!!!",F161="NEW"),"",COUNTBLANK(OFFSET(A$1,,,SUMPRODUCT(MAX(ROW(E$2:E161)*(E161=E$2:E161)))))-COUNTBLANK(OFFSET(A$1,,,SUMPRODUCT(MAX(ROW(E$1:E160)*(E2=E$1:E160))))))</f>
        <v/>
      </c>
      <c r="K161" s="24" t="str">
        <f>IF(OR(E161="",E161="!!!",F161="NEW"),"",INDEX(J$1:J160,SUMPRODUCT(MAX(ROW(E$1:E160)*(E161=E$1:E160)))))</f>
        <v/>
      </c>
      <c r="L161" s="29"/>
    </row>
    <row r="162" spans="1:12" x14ac:dyDescent="0.3">
      <c r="A162" t="s">
        <v>112</v>
      </c>
      <c r="E162" s="27"/>
      <c r="F162" s="28" t="str">
        <f>IF(OR(E162="",E162="!!!"),"",IF(NOT(ISNA(VLOOKUP(E162,E$1:E161,1,FALSE()))),"OLD",IF(AND(E162&lt;&gt;"",E162&lt;&gt;"!!!"),"NEW","")))</f>
        <v/>
      </c>
      <c r="G162" s="22" t="str">
        <f>IF(OR(E162="",E162="!!!"),"",IF(OR(J162=0,AND(J162=1,K162=1),AND(J162=1,I162="SBJ"),AND(J162=1,I162=0)),"?IN_FOCUS",IF(J162&lt;=2,"?ACTIVATED",IF(J162&lt;&gt;"","?FAMILIAR",IF(F162="NEW",IF(ISNA(VLOOKUP(E162,#REF!,1,FALSE())),"?TYPE_IDENTIFIABLE","?REFERENTIAL"),"_")))))</f>
        <v/>
      </c>
      <c r="H162" s="23" t="str">
        <f t="shared" ca="1" si="8"/>
        <v/>
      </c>
      <c r="I162" s="24" t="str">
        <f>IF(OR(E162="",E162="!!!",F162="NEW"),"",INDEX(B$2:B161,-1+SUMPRODUCT(MAX(ROW(E$2:E161)*(E162=E$2:E161)))))</f>
        <v/>
      </c>
      <c r="J162" s="24" t="str">
        <f ca="1">IF(OR(E162="",E162="!!!",F162="NEW"),"",COUNTBLANK(OFFSET(A$1,,,SUMPRODUCT(MAX(ROW(E$2:E162)*(E162=E$2:E162)))))-COUNTBLANK(OFFSET(A$1,,,SUMPRODUCT(MAX(ROW(E$1:E161)*(E2=E$1:E161))))))</f>
        <v/>
      </c>
      <c r="K162" s="24" t="str">
        <f>IF(OR(E162="",E162="!!!",F162="NEW"),"",INDEX(J$1:J161,SUMPRODUCT(MAX(ROW(E$1:E161)*(E162=E$1:E161)))))</f>
        <v/>
      </c>
      <c r="L162" s="29"/>
    </row>
    <row r="163" spans="1:12" x14ac:dyDescent="0.3">
      <c r="A163" t="s">
        <v>201</v>
      </c>
      <c r="E163" s="27"/>
      <c r="F163" s="28" t="str">
        <f>IF(OR(E163="",E163="!!!"),"",IF(NOT(ISNA(VLOOKUP(E163,E$1:E162,1,FALSE()))),"OLD",IF(AND(E163&lt;&gt;"",E163&lt;&gt;"!!!"),"NEW","")))</f>
        <v/>
      </c>
      <c r="G163" s="22" t="str">
        <f>IF(OR(E163="",E163="!!!"),"",IF(OR(J163=0,AND(J163=1,K163=1),AND(J163=1,I163="SBJ"),AND(J163=1,I163=0)),"?IN_FOCUS",IF(J163&lt;=2,"?ACTIVATED",IF(J163&lt;&gt;"","?FAMILIAR",IF(F163="NEW",IF(ISNA(VLOOKUP(E163,#REF!,1,FALSE())),"?TYPE_IDENTIFIABLE","?REFERENTIAL"),"_")))))</f>
        <v/>
      </c>
      <c r="H163" s="23" t="str">
        <f t="shared" ca="1" si="8"/>
        <v/>
      </c>
      <c r="I163" s="24" t="str">
        <f>IF(OR(E163="",E163="!!!",F163="NEW"),"",INDEX(B$2:B162,-1+SUMPRODUCT(MAX(ROW(E$2:E162)*(E163=E$2:E162)))))</f>
        <v/>
      </c>
      <c r="J163" s="24" t="str">
        <f ca="1">IF(OR(E163="",E163="!!!",F163="NEW"),"",COUNTBLANK(OFFSET(A$1,,,SUMPRODUCT(MAX(ROW(E$2:E163)*(E163=E$2:E163)))))-COUNTBLANK(OFFSET(A$1,,,SUMPRODUCT(MAX(ROW(E$1:E162)*(E2=E$1:E162))))))</f>
        <v/>
      </c>
      <c r="K163" s="24" t="str">
        <f>IF(OR(E163="",E163="!!!",F163="NEW"),"",INDEX(J$1:J162,SUMPRODUCT(MAX(ROW(E$1:E162)*(E163=E$1:E162)))))</f>
        <v/>
      </c>
      <c r="L163" s="29"/>
    </row>
    <row r="164" spans="1:12" x14ac:dyDescent="0.3">
      <c r="A164" t="s">
        <v>202</v>
      </c>
      <c r="B164" s="26" t="s">
        <v>101</v>
      </c>
      <c r="C164" s="26" t="s">
        <v>169</v>
      </c>
      <c r="E164" s="27"/>
      <c r="F164" s="28" t="str">
        <f>IF(OR(E164="",E164="!!!"),"",IF(NOT(ISNA(VLOOKUP(E164,E$1:E163,1,FALSE()))),"OLD",IF(AND(E164&lt;&gt;"",E164&lt;&gt;"!!!"),"NEW","")))</f>
        <v/>
      </c>
      <c r="G164" s="22" t="str">
        <f>IF(OR(E164="",E164="!!!"),"",IF(OR(J164=0,AND(J164=1,K164=1),AND(J164=1,I164="SBJ"),AND(J164=1,I164=0)),"?IN_FOCUS",IF(J164&lt;=2,"?ACTIVATED",IF(J164&lt;&gt;"","?FAMILIAR",IF(F164="NEW",IF(ISNA(VLOOKUP(E164,#REF!,1,FALSE())),"?TYPE_IDENTIFIABLE","?REFERENTIAL"),"_")))))</f>
        <v/>
      </c>
      <c r="H164" s="23" t="str">
        <f t="shared" ref="H164:H195" ca="1" si="9">IF(J164&lt;&gt;1,"",IF(I164="SBJ","CB","?"))</f>
        <v/>
      </c>
      <c r="I164" s="24" t="str">
        <f>IF(OR(E164="",E164="!!!",F164="NEW"),"",INDEX(B$2:B163,-1+SUMPRODUCT(MAX(ROW(E$2:E163)*(E164=E$2:E163)))))</f>
        <v/>
      </c>
      <c r="J164" s="24" t="str">
        <f ca="1">IF(OR(E164="",E164="!!!",F164="NEW"),"",COUNTBLANK(OFFSET(A$1,,,SUMPRODUCT(MAX(ROW(E$2:E164)*(E164=E$2:E164)))))-COUNTBLANK(OFFSET(A$1,,,SUMPRODUCT(MAX(ROW(E$1:E163)*(E2=E$1:E163))))))</f>
        <v/>
      </c>
      <c r="K164" s="24" t="str">
        <f>IF(OR(E164="",E164="!!!",F164="NEW"),"",INDEX(J$1:J163,SUMPRODUCT(MAX(ROW(E$1:E163)*(E164=E$1:E163)))))</f>
        <v/>
      </c>
      <c r="L164" s="29"/>
    </row>
    <row r="165" spans="1:12" x14ac:dyDescent="0.3">
      <c r="A165" t="s">
        <v>203</v>
      </c>
      <c r="E165" s="27" t="s">
        <v>326</v>
      </c>
      <c r="F165" s="28" t="str">
        <f>IF(OR(E165="",E165="!!!"),"",IF(NOT(ISNA(VLOOKUP(E165,E$1:E164,1,FALSE()))),"OLD",IF(AND(E165&lt;&gt;"",E165&lt;&gt;"!!!"),"NEW","")))</f>
        <v>OLD</v>
      </c>
      <c r="G165" s="22" t="str">
        <f ca="1">IF(OR(E165="",E165="!!!"),"",IF(OR(J165=0,AND(J165=1,K165=1),AND(J165=1,I165="SBJ"),AND(J165=1,I165=0)),"?IN_FOCUS",IF(J165&lt;=2,"?ACTIVATED",IF(J165&lt;&gt;"","?FAMILIAR",IF(F165="NEW",IF(ISNA(VLOOKUP(E165,#REF!,1,FALSE())),"?TYPE_IDENTIFIABLE","?REFERENTIAL"),"_")))))</f>
        <v>?IN_FOCUS</v>
      </c>
      <c r="H165" s="23" t="str">
        <f t="shared" ca="1" si="9"/>
        <v/>
      </c>
      <c r="I165" s="24" t="str">
        <f>IF(OR(E165="",E165="!!!",F165="NEW"),"",INDEX(B$2:B164,-1+SUMPRODUCT(MAX(ROW(E$2:E164)*(E165=E$2:E164)))))</f>
        <v>SBJ_2</v>
      </c>
      <c r="J165" s="24">
        <f ca="1">IF(OR(E165="",E165="!!!",F165="NEW"),"",COUNTBLANK(OFFSET(A$1,,,SUMPRODUCT(MAX(ROW(E$2:E165)*(E165=E$2:E165)))))-COUNTBLANK(OFFSET(A$1,,,SUMPRODUCT(MAX(ROW(E$1:E164)*(E2=E$1:E164))))))</f>
        <v>0</v>
      </c>
      <c r="K165" s="24">
        <f ca="1">IF(OR(E165="",E165="!!!",F165="NEW"),"",INDEX(J$1:J164,SUMPRODUCT(MAX(ROW(E$1:E164)*(E165=E$1:E164)))))</f>
        <v>0</v>
      </c>
      <c r="L165" s="29" t="s">
        <v>359</v>
      </c>
    </row>
    <row r="166" spans="1:12" x14ac:dyDescent="0.3">
      <c r="A166" t="s">
        <v>204</v>
      </c>
      <c r="B166" s="26" t="s">
        <v>143</v>
      </c>
      <c r="C166" s="26" t="s">
        <v>205</v>
      </c>
      <c r="E166" s="27" t="s">
        <v>340</v>
      </c>
      <c r="F166" s="28" t="str">
        <f>IF(OR(E166="",E166="!!!"),"",IF(NOT(ISNA(VLOOKUP(E166,E$1:E165,1,FALSE()))),"OLD",IF(AND(E166&lt;&gt;"",E166&lt;&gt;"!!!"),"NEW","")))</f>
        <v>OLD</v>
      </c>
      <c r="G166" s="22" t="str">
        <f ca="1">IF(OR(E166="",E166="!!!"),"",IF(OR(J166=0,AND(J166=1,K166=1),AND(J166=1,I166="SBJ"),AND(J166=1,I166=0)),"?IN_FOCUS",IF(J166&lt;=2,"?ACTIVATED",IF(J166&lt;&gt;"","?FAMILIAR",IF(F166="NEW",IF(ISNA(VLOOKUP(E166,#REF!,1,FALSE())),"?TYPE_IDENTIFIABLE","?REFERENTIAL"),"_")))))</f>
        <v>?IN_FOCUS</v>
      </c>
      <c r="H166" s="23" t="str">
        <f t="shared" ca="1" si="9"/>
        <v/>
      </c>
      <c r="I166" s="24" t="str">
        <f>IF(OR(E166="",E166="!!!",F166="NEW"),"",INDEX(B$2:B165,-1+SUMPRODUCT(MAX(ROW(E$2:E165)*(E166=E$2:E165)))))</f>
        <v>other_4</v>
      </c>
      <c r="J166" s="24">
        <f ca="1">IF(OR(E166="",E166="!!!",F166="NEW"),"",COUNTBLANK(OFFSET(A$1,,,SUMPRODUCT(MAX(ROW(E$2:E166)*(E166=E$2:E166)))))-COUNTBLANK(OFFSET(A$1,,,SUMPRODUCT(MAX(ROW(E$1:E165)*(E2=E$1:E165))))))</f>
        <v>0</v>
      </c>
      <c r="K166" s="24" t="str">
        <f ca="1">IF(OR(E166="",E166="!!!",F166="NEW"),"",INDEX(J$1:J165,SUMPRODUCT(MAX(ROW(E$1:E165)*(E166=E$1:E165)))))</f>
        <v/>
      </c>
      <c r="L166" s="29"/>
    </row>
    <row r="167" spans="1:12" x14ac:dyDescent="0.3">
      <c r="A167" t="s">
        <v>166</v>
      </c>
      <c r="E167" s="27"/>
      <c r="F167" s="28" t="str">
        <f>IF(OR(E167="",E167="!!!"),"",IF(NOT(ISNA(VLOOKUP(E167,E$1:E166,1,FALSE()))),"OLD",IF(AND(E167&lt;&gt;"",E167&lt;&gt;"!!!"),"NEW","")))</f>
        <v/>
      </c>
      <c r="G167" s="22" t="str">
        <f>IF(OR(E167="",E167="!!!"),"",IF(OR(J167=0,AND(J167=1,K167=1),AND(J167=1,I167="SBJ"),AND(J167=1,I167=0)),"?IN_FOCUS",IF(J167&lt;=2,"?ACTIVATED",IF(J167&lt;&gt;"","?FAMILIAR",IF(F167="NEW",IF(ISNA(VLOOKUP(E167,#REF!,1,FALSE())),"?TYPE_IDENTIFIABLE","?REFERENTIAL"),"_")))))</f>
        <v/>
      </c>
      <c r="H167" s="23" t="str">
        <f t="shared" ca="1" si="9"/>
        <v/>
      </c>
      <c r="I167" s="24" t="str">
        <f>IF(OR(E167="",E167="!!!",F167="NEW"),"",INDEX(B$2:B166,-1+SUMPRODUCT(MAX(ROW(E$2:E166)*(E167=E$2:E166)))))</f>
        <v/>
      </c>
      <c r="J167" s="24" t="str">
        <f ca="1">IF(OR(E167="",E167="!!!",F167="NEW"),"",COUNTBLANK(OFFSET(A$1,,,SUMPRODUCT(MAX(ROW(E$2:E167)*(E167=E$2:E167)))))-COUNTBLANK(OFFSET(A$1,,,SUMPRODUCT(MAX(ROW(E$1:E166)*(E2=E$1:E166))))))</f>
        <v/>
      </c>
      <c r="K167" s="24" t="str">
        <f>IF(OR(E167="",E167="!!!",F167="NEW"),"",INDEX(J$1:J166,SUMPRODUCT(MAX(ROW(E$1:E166)*(E167=E$1:E166)))))</f>
        <v/>
      </c>
      <c r="L167" s="29"/>
    </row>
    <row r="168" spans="1:12" x14ac:dyDescent="0.3">
      <c r="A168" t="s">
        <v>95</v>
      </c>
      <c r="B168" s="26" t="s">
        <v>101</v>
      </c>
      <c r="C168" s="26" t="s">
        <v>115</v>
      </c>
      <c r="E168" s="27"/>
      <c r="F168" s="28" t="str">
        <f>IF(OR(E168="",E168="!!!"),"",IF(NOT(ISNA(VLOOKUP(E168,E$1:E167,1,FALSE()))),"OLD",IF(AND(E168&lt;&gt;"",E168&lt;&gt;"!!!"),"NEW","")))</f>
        <v/>
      </c>
      <c r="G168" s="22" t="str">
        <f>IF(OR(E168="",E168="!!!"),"",IF(OR(J168=0,AND(J168=1,K168=1),AND(J168=1,I168="SBJ"),AND(J168=1,I168=0)),"?IN_FOCUS",IF(J168&lt;=2,"?ACTIVATED",IF(J168&lt;&gt;"","?FAMILIAR",IF(F168="NEW",IF(ISNA(VLOOKUP(E168,#REF!,1,FALSE())),"?TYPE_IDENTIFIABLE","?REFERENTIAL"),"_")))))</f>
        <v/>
      </c>
      <c r="H168" s="23" t="str">
        <f t="shared" ca="1" si="9"/>
        <v/>
      </c>
      <c r="I168" s="24" t="str">
        <f>IF(OR(E168="",E168="!!!",F168="NEW"),"",INDEX(B$2:B167,-1+SUMPRODUCT(MAX(ROW(E$2:E167)*(E168=E$2:E167)))))</f>
        <v/>
      </c>
      <c r="J168" s="24" t="str">
        <f ca="1">IF(OR(E168="",E168="!!!",F168="NEW"),"",COUNTBLANK(OFFSET(A$1,,,SUMPRODUCT(MAX(ROW(E$2:E168)*(E168=E$2:E168)))))-COUNTBLANK(OFFSET(A$1,,,SUMPRODUCT(MAX(ROW(E$1:E167)*(E2=E$1:E167))))))</f>
        <v/>
      </c>
      <c r="K168" s="24" t="str">
        <f>IF(OR(E168="",E168="!!!",F168="NEW"),"",INDEX(J$1:J167,SUMPRODUCT(MAX(ROW(E$1:E167)*(E168=E$1:E167)))))</f>
        <v/>
      </c>
      <c r="L168" s="29"/>
    </row>
    <row r="169" spans="1:12" x14ac:dyDescent="0.3">
      <c r="A169" t="s">
        <v>99</v>
      </c>
      <c r="E169" s="27"/>
      <c r="F169" s="28" t="str">
        <f>IF(OR(E169="",E169="!!!"),"",IF(NOT(ISNA(VLOOKUP(E169,E$1:E168,1,FALSE()))),"OLD",IF(AND(E169&lt;&gt;"",E169&lt;&gt;"!!!"),"NEW","")))</f>
        <v/>
      </c>
      <c r="G169" s="22" t="str">
        <f>IF(OR(E169="",E169="!!!"),"",IF(OR(J169=0,AND(J169=1,K169=1),AND(J169=1,I169="SBJ"),AND(J169=1,I169=0)),"?IN_FOCUS",IF(J169&lt;=2,"?ACTIVATED",IF(J169&lt;&gt;"","?FAMILIAR",IF(F169="NEW",IF(ISNA(VLOOKUP(E169,#REF!,1,FALSE())),"?TYPE_IDENTIFIABLE","?REFERENTIAL"),"_")))))</f>
        <v/>
      </c>
      <c r="H169" s="23" t="str">
        <f t="shared" ca="1" si="9"/>
        <v/>
      </c>
      <c r="I169" s="24" t="str">
        <f>IF(OR(E169="",E169="!!!",F169="NEW"),"",INDEX(B$2:B168,-1+SUMPRODUCT(MAX(ROW(E$2:E168)*(E169=E$2:E168)))))</f>
        <v/>
      </c>
      <c r="J169" s="24" t="str">
        <f ca="1">IF(OR(E169="",E169="!!!",F169="NEW"),"",COUNTBLANK(OFFSET(A$1,,,SUMPRODUCT(MAX(ROW(E$2:E169)*(E169=E$2:E169)))))-COUNTBLANK(OFFSET(A$1,,,SUMPRODUCT(MAX(ROW(E$1:E168)*(E2=E$1:E168))))))</f>
        <v/>
      </c>
      <c r="K169" s="24" t="str">
        <f>IF(OR(E169="",E169="!!!",F169="NEW"),"",INDEX(J$1:J168,SUMPRODUCT(MAX(ROW(E$1:E168)*(E169=E$1:E168)))))</f>
        <v/>
      </c>
      <c r="L169" s="29"/>
    </row>
    <row r="170" spans="1:12" x14ac:dyDescent="0.3">
      <c r="A170" t="s">
        <v>121</v>
      </c>
      <c r="E170" s="27"/>
      <c r="F170" s="28" t="str">
        <f>IF(OR(E170="",E170="!!!"),"",IF(NOT(ISNA(VLOOKUP(E170,E$1:E169,1,FALSE()))),"OLD",IF(AND(E170&lt;&gt;"",E170&lt;&gt;"!!!"),"NEW","")))</f>
        <v/>
      </c>
      <c r="G170" s="22" t="str">
        <f>IF(OR(E170="",E170="!!!"),"",IF(OR(J170=0,AND(J170=1,K170=1),AND(J170=1,I170="SBJ"),AND(J170=1,I170=0)),"?IN_FOCUS",IF(J170&lt;=2,"?ACTIVATED",IF(J170&lt;&gt;"","?FAMILIAR",IF(F170="NEW",IF(ISNA(VLOOKUP(E170,#REF!,1,FALSE())),"?TYPE_IDENTIFIABLE","?REFERENTIAL"),"_")))))</f>
        <v/>
      </c>
      <c r="H170" s="23" t="str">
        <f t="shared" ca="1" si="9"/>
        <v/>
      </c>
      <c r="I170" s="24" t="str">
        <f>IF(OR(E170="",E170="!!!",F170="NEW"),"",INDEX(B$2:B169,-1+SUMPRODUCT(MAX(ROW(E$2:E169)*(E170=E$2:E169)))))</f>
        <v/>
      </c>
      <c r="J170" s="24" t="str">
        <f ca="1">IF(OR(E170="",E170="!!!",F170="NEW"),"",COUNTBLANK(OFFSET(A$1,,,SUMPRODUCT(MAX(ROW(E$2:E170)*(E170=E$2:E170)))))-COUNTBLANK(OFFSET(A$1,,,SUMPRODUCT(MAX(ROW(E$1:E169)*(E2=E$1:E169))))))</f>
        <v/>
      </c>
      <c r="K170" s="24" t="str">
        <f>IF(OR(E170="",E170="!!!",F170="NEW"),"",INDEX(J$1:J169,SUMPRODUCT(MAX(ROW(E$1:E169)*(E170=E$1:E169)))))</f>
        <v/>
      </c>
      <c r="L170" s="29"/>
    </row>
    <row r="171" spans="1:12" x14ac:dyDescent="0.3">
      <c r="A171" t="s">
        <v>206</v>
      </c>
      <c r="B171" s="26" t="s">
        <v>101</v>
      </c>
      <c r="C171" s="26" t="s">
        <v>124</v>
      </c>
      <c r="D171" s="26" t="s">
        <v>98</v>
      </c>
      <c r="E171" s="27" t="s">
        <v>342</v>
      </c>
      <c r="F171" s="28" t="str">
        <f>IF(OR(E171="",E171="!!!"),"",IF(NOT(ISNA(VLOOKUP(E171,E$1:E170,1,FALSE()))),"OLD",IF(AND(E171&lt;&gt;"",E171&lt;&gt;"!!!"),"NEW","")))</f>
        <v>NEW</v>
      </c>
      <c r="G171" s="22" t="str">
        <f ca="1">IF(OR(E171="",E171="!!!"),"",IF(OR(J171=0,AND(J171=1,K171=1),AND(J171=1,I171="SBJ"),AND(J171=1,I171=0)),"?IN_FOCUS",IF(J171&lt;=2,"?ACTIVATED",IF(J171&lt;&gt;"","?FAMILIAR",IF(F171="NEW",IF(ISNA(VLOOKUP(E171,#REF!,1,FALSE())),"?TYPE_IDENTIFIABLE","?REFERENTIAL"),"_")))))</f>
        <v>?REFERENTIAL</v>
      </c>
      <c r="H171" s="23" t="str">
        <f t="shared" ca="1" si="9"/>
        <v/>
      </c>
      <c r="I171" s="24" t="str">
        <f>IF(OR(E171="",E171="!!!",F171="NEW"),"",INDEX(B$2:B170,-1+SUMPRODUCT(MAX(ROW(E$2:E170)*(E171=E$2:E170)))))</f>
        <v/>
      </c>
      <c r="J171" s="24" t="str">
        <f ca="1">IF(OR(E171="",E171="!!!",F171="NEW"),"",COUNTBLANK(OFFSET(A$1,,,SUMPRODUCT(MAX(ROW(E$2:E171)*(E171=E$2:E171)))))-COUNTBLANK(OFFSET(A$1,,,SUMPRODUCT(MAX(ROW(E$1:E170)*(E2=E$1:E170))))))</f>
        <v/>
      </c>
      <c r="K171" s="24" t="str">
        <f>IF(OR(E171="",E171="!!!",F171="NEW"),"",INDEX(J$1:J170,SUMPRODUCT(MAX(ROW(E$1:E170)*(E171=E$1:E170)))))</f>
        <v/>
      </c>
      <c r="L171" s="29" t="s">
        <v>360</v>
      </c>
    </row>
    <row r="172" spans="1:12" x14ac:dyDescent="0.3">
      <c r="A172" t="s">
        <v>207</v>
      </c>
      <c r="E172" s="27"/>
      <c r="F172" s="28" t="str">
        <f>IF(OR(E172="",E172="!!!"),"",IF(NOT(ISNA(VLOOKUP(E172,E$1:E171,1,FALSE()))),"OLD",IF(AND(E172&lt;&gt;"",E172&lt;&gt;"!!!"),"NEW","")))</f>
        <v/>
      </c>
      <c r="G172" s="22" t="str">
        <f>IF(OR(E172="",E172="!!!"),"",IF(OR(J172=0,AND(J172=1,K172=1),AND(J172=1,I172="SBJ"),AND(J172=1,I172=0)),"?IN_FOCUS",IF(J172&lt;=2,"?ACTIVATED",IF(J172&lt;&gt;"","?FAMILIAR",IF(F172="NEW",IF(ISNA(VLOOKUP(E172,#REF!,1,FALSE())),"?TYPE_IDENTIFIABLE","?REFERENTIAL"),"_")))))</f>
        <v/>
      </c>
      <c r="H172" s="23" t="str">
        <f t="shared" ca="1" si="9"/>
        <v/>
      </c>
      <c r="I172" s="24" t="str">
        <f>IF(OR(E172="",E172="!!!",F172="NEW"),"",INDEX(B$2:B171,-1+SUMPRODUCT(MAX(ROW(E$2:E171)*(E172=E$2:E171)))))</f>
        <v/>
      </c>
      <c r="J172" s="24" t="str">
        <f ca="1">IF(OR(E172="",E172="!!!",F172="NEW"),"",COUNTBLANK(OFFSET(A$1,,,SUMPRODUCT(MAX(ROW(E$2:E172)*(E172=E$2:E172)))))-COUNTBLANK(OFFSET(A$1,,,SUMPRODUCT(MAX(ROW(E$1:E171)*(E2=E$1:E171))))))</f>
        <v/>
      </c>
      <c r="K172" s="24" t="str">
        <f>IF(OR(E172="",E172="!!!",F172="NEW"),"",INDEX(J$1:J171,SUMPRODUCT(MAX(ROW(E$1:E171)*(E172=E$1:E171)))))</f>
        <v/>
      </c>
      <c r="L172" s="29"/>
    </row>
    <row r="173" spans="1:12" x14ac:dyDescent="0.3">
      <c r="A173" t="s">
        <v>208</v>
      </c>
      <c r="B173" s="26" t="s">
        <v>114</v>
      </c>
      <c r="C173" s="26" t="s">
        <v>111</v>
      </c>
      <c r="D173" s="26" t="s">
        <v>98</v>
      </c>
      <c r="E173" s="27"/>
      <c r="F173" s="28" t="str">
        <f>IF(OR(E173="",E173="!!!"),"",IF(NOT(ISNA(VLOOKUP(E173,E$1:E172,1,FALSE()))),"OLD",IF(AND(E173&lt;&gt;"",E173&lt;&gt;"!!!"),"NEW","")))</f>
        <v/>
      </c>
      <c r="G173" s="22" t="str">
        <f>IF(OR(E173="",E173="!!!"),"",IF(OR(J173=0,AND(J173=1,K173=1),AND(J173=1,I173="SBJ"),AND(J173=1,I173=0)),"?IN_FOCUS",IF(J173&lt;=2,"?ACTIVATED",IF(J173&lt;&gt;"","?FAMILIAR",IF(F173="NEW",IF(ISNA(VLOOKUP(E173,#REF!,1,FALSE())),"?TYPE_IDENTIFIABLE","?REFERENTIAL"),"_")))))</f>
        <v/>
      </c>
      <c r="H173" s="23" t="str">
        <f t="shared" ca="1" si="9"/>
        <v/>
      </c>
      <c r="I173" s="24" t="str">
        <f>IF(OR(E173="",E173="!!!",F173="NEW"),"",INDEX(B$2:B172,-1+SUMPRODUCT(MAX(ROW(E$2:E172)*(E173=E$2:E172)))))</f>
        <v/>
      </c>
      <c r="J173" s="24" t="str">
        <f ca="1">IF(OR(E173="",E173="!!!",F173="NEW"),"",COUNTBLANK(OFFSET(A$1,,,SUMPRODUCT(MAX(ROW(E$2:E173)*(E173=E$2:E173)))))-COUNTBLANK(OFFSET(A$1,,,SUMPRODUCT(MAX(ROW(E$1:E172)*(E2=E$1:E172))))))</f>
        <v/>
      </c>
      <c r="K173" s="24" t="str">
        <f>IF(OR(E173="",E173="!!!",F173="NEW"),"",INDEX(J$1:J172,SUMPRODUCT(MAX(ROW(E$1:E172)*(E173=E$1:E172)))))</f>
        <v/>
      </c>
      <c r="L173" s="29" t="s">
        <v>358</v>
      </c>
    </row>
    <row r="174" spans="1:12" x14ac:dyDescent="0.3">
      <c r="A174" t="s">
        <v>209</v>
      </c>
      <c r="B174" s="26" t="s">
        <v>114</v>
      </c>
      <c r="C174" s="26" t="s">
        <v>115</v>
      </c>
      <c r="E174" s="27"/>
      <c r="F174" s="28" t="str">
        <f>IF(OR(E174="",E174="!!!"),"",IF(NOT(ISNA(VLOOKUP(E174,E$1:E173,1,FALSE()))),"OLD",IF(AND(E174&lt;&gt;"",E174&lt;&gt;"!!!"),"NEW","")))</f>
        <v/>
      </c>
      <c r="G174" s="22" t="str">
        <f>IF(OR(E174="",E174="!!!"),"",IF(OR(J174=0,AND(J174=1,K174=1),AND(J174=1,I174="SBJ"),AND(J174=1,I174=0)),"?IN_FOCUS",IF(J174&lt;=2,"?ACTIVATED",IF(J174&lt;&gt;"","?FAMILIAR",IF(F174="NEW",IF(ISNA(VLOOKUP(E174,#REF!,1,FALSE())),"?TYPE_IDENTIFIABLE","?REFERENTIAL"),"_")))))</f>
        <v/>
      </c>
      <c r="H174" s="23" t="str">
        <f t="shared" ca="1" si="9"/>
        <v/>
      </c>
      <c r="I174" s="24" t="str">
        <f>IF(OR(E174="",E174="!!!",F174="NEW"),"",INDEX(B$2:B173,-1+SUMPRODUCT(MAX(ROW(E$2:E173)*(E174=E$2:E173)))))</f>
        <v/>
      </c>
      <c r="J174" s="24" t="str">
        <f ca="1">IF(OR(E174="",E174="!!!",F174="NEW"),"",COUNTBLANK(OFFSET(A$1,,,SUMPRODUCT(MAX(ROW(E$2:E174)*(E174=E$2:E174)))))-COUNTBLANK(OFFSET(A$1,,,SUMPRODUCT(MAX(ROW(E$1:E173)*(E2=E$1:E173))))))</f>
        <v/>
      </c>
      <c r="K174" s="24" t="str">
        <f>IF(OR(E174="",E174="!!!",F174="NEW"),"",INDEX(J$1:J173,SUMPRODUCT(MAX(ROW(E$1:E173)*(E174=E$1:E173)))))</f>
        <v/>
      </c>
      <c r="L174" s="29"/>
    </row>
    <row r="175" spans="1:12" x14ac:dyDescent="0.3">
      <c r="A175" t="s">
        <v>99</v>
      </c>
      <c r="E175" s="27"/>
      <c r="F175" s="28" t="str">
        <f>IF(OR(E175="",E175="!!!"),"",IF(NOT(ISNA(VLOOKUP(E175,E$1:E174,1,FALSE()))),"OLD",IF(AND(E175&lt;&gt;"",E175&lt;&gt;"!!!"),"NEW","")))</f>
        <v/>
      </c>
      <c r="G175" s="22" t="str">
        <f>IF(OR(E175="",E175="!!!"),"",IF(OR(J175=0,AND(J175=1,K175=1),AND(J175=1,I175="SBJ"),AND(J175=1,I175=0)),"?IN_FOCUS",IF(J175&lt;=2,"?ACTIVATED",IF(J175&lt;&gt;"","?FAMILIAR",IF(F175="NEW",IF(ISNA(VLOOKUP(E175,#REF!,1,FALSE())),"?TYPE_IDENTIFIABLE","?REFERENTIAL"),"_")))))</f>
        <v/>
      </c>
      <c r="H175" s="23" t="str">
        <f t="shared" ca="1" si="9"/>
        <v/>
      </c>
      <c r="I175" s="24" t="str">
        <f>IF(OR(E175="",E175="!!!",F175="NEW"),"",INDEX(B$2:B174,-1+SUMPRODUCT(MAX(ROW(E$2:E174)*(E175=E$2:E174)))))</f>
        <v/>
      </c>
      <c r="J175" s="24" t="str">
        <f ca="1">IF(OR(E175="",E175="!!!",F175="NEW"),"",COUNTBLANK(OFFSET(A$1,,,SUMPRODUCT(MAX(ROW(E$2:E175)*(E175=E$2:E175)))))-COUNTBLANK(OFFSET(A$1,,,SUMPRODUCT(MAX(ROW(E$1:E174)*(E2=E$1:E174))))))</f>
        <v/>
      </c>
      <c r="K175" s="24" t="str">
        <f>IF(OR(E175="",E175="!!!",F175="NEW"),"",INDEX(J$1:J174,SUMPRODUCT(MAX(ROW(E$1:E174)*(E175=E$1:E174)))))</f>
        <v/>
      </c>
      <c r="L175" s="29"/>
    </row>
    <row r="176" spans="1:12" x14ac:dyDescent="0.3">
      <c r="A176" t="s">
        <v>100</v>
      </c>
      <c r="B176" s="26" t="s">
        <v>117</v>
      </c>
      <c r="C176" s="26" t="s">
        <v>97</v>
      </c>
      <c r="D176" s="26" t="s">
        <v>98</v>
      </c>
      <c r="E176" s="27" t="s">
        <v>327</v>
      </c>
      <c r="F176" s="28" t="str">
        <f>IF(OR(E176="",E176="!!!"),"",IF(NOT(ISNA(VLOOKUP(E176,E$1:E175,1,FALSE()))),"OLD",IF(AND(E176&lt;&gt;"",E176&lt;&gt;"!!!"),"NEW","")))</f>
        <v>OLD</v>
      </c>
      <c r="G176" s="22" t="str">
        <f ca="1">IF(OR(E176="",E176="!!!"),"",IF(OR(J176=0,AND(J176=1,K176=1),AND(J176=1,I176="SBJ"),AND(J176=1,I176=0)),"?IN_FOCUS",IF(J176&lt;=2,"?ACTIVATED",IF(J176&lt;&gt;"","?FAMILIAR",IF(F176="NEW",IF(ISNA(VLOOKUP(E176,#REF!,1,FALSE())),"?TYPE_IDENTIFIABLE","?REFERENTIAL"),"_")))))</f>
        <v>?IN_FOCUS</v>
      </c>
      <c r="H176" s="23" t="str">
        <f t="shared" ca="1" si="9"/>
        <v/>
      </c>
      <c r="I176" s="24" t="str">
        <f>IF(OR(E176="",E176="!!!",F176="NEW"),"",INDEX(B$2:B175,-1+SUMPRODUCT(MAX(ROW(E$2:E175)*(E176=E$2:E175)))))</f>
        <v>other</v>
      </c>
      <c r="J176" s="24">
        <f ca="1">IF(OR(E176="",E176="!!!",F176="NEW"),"",COUNTBLANK(OFFSET(A$1,,,SUMPRODUCT(MAX(ROW(E$2:E176)*(E176=E$2:E176)))))-COUNTBLANK(OFFSET(A$1,,,SUMPRODUCT(MAX(ROW(E$1:E175)*(E2=E$1:E175))))))</f>
        <v>0</v>
      </c>
      <c r="K176" s="24">
        <f ca="1">IF(OR(E176="",E176="!!!",F176="NEW"),"",INDEX(J$1:J175,SUMPRODUCT(MAX(ROW(E$1:E175)*(E176=E$1:E175)))))</f>
        <v>0</v>
      </c>
      <c r="L176" s="29"/>
    </row>
    <row r="177" spans="1:12" x14ac:dyDescent="0.3">
      <c r="A177" t="s">
        <v>102</v>
      </c>
      <c r="E177" s="27"/>
      <c r="F177" s="28" t="str">
        <f>IF(OR(E177="",E177="!!!"),"",IF(NOT(ISNA(VLOOKUP(E177,E$1:E176,1,FALSE()))),"OLD",IF(AND(E177&lt;&gt;"",E177&lt;&gt;"!!!"),"NEW","")))</f>
        <v/>
      </c>
      <c r="G177" s="22" t="str">
        <f>IF(OR(E177="",E177="!!!"),"",IF(OR(J177=0,AND(J177=1,K177=1),AND(J177=1,I177="SBJ"),AND(J177=1,I177=0)),"?IN_FOCUS",IF(J177&lt;=2,"?ACTIVATED",IF(J177&lt;&gt;"","?FAMILIAR",IF(F177="NEW",IF(ISNA(VLOOKUP(E177,#REF!,1,FALSE())),"?TYPE_IDENTIFIABLE","?REFERENTIAL"),"_")))))</f>
        <v/>
      </c>
      <c r="H177" s="23" t="str">
        <f t="shared" ca="1" si="9"/>
        <v/>
      </c>
      <c r="I177" s="24" t="str">
        <f>IF(OR(E177="",E177="!!!",F177="NEW"),"",INDEX(B$2:B176,-1+SUMPRODUCT(MAX(ROW(E$2:E176)*(E177=E$2:E176)))))</f>
        <v/>
      </c>
      <c r="J177" s="24" t="str">
        <f ca="1">IF(OR(E177="",E177="!!!",F177="NEW"),"",COUNTBLANK(OFFSET(A$1,,,SUMPRODUCT(MAX(ROW(E$2:E177)*(E177=E$2:E177)))))-COUNTBLANK(OFFSET(A$1,,,SUMPRODUCT(MAX(ROW(E$1:E176)*(E2=E$1:E176))))))</f>
        <v/>
      </c>
      <c r="K177" s="24" t="str">
        <f>IF(OR(E177="",E177="!!!",F177="NEW"),"",INDEX(J$1:J176,SUMPRODUCT(MAX(ROW(E$1:E176)*(E177=E$1:E176)))))</f>
        <v/>
      </c>
      <c r="L177" s="29"/>
    </row>
    <row r="178" spans="1:12" x14ac:dyDescent="0.3">
      <c r="A178" t="s">
        <v>210</v>
      </c>
      <c r="E178" s="27"/>
      <c r="F178" s="28" t="str">
        <f>IF(OR(E178="",E178="!!!"),"",IF(NOT(ISNA(VLOOKUP(E178,E$1:E177,1,FALSE()))),"OLD",IF(AND(E178&lt;&gt;"",E178&lt;&gt;"!!!"),"NEW","")))</f>
        <v/>
      </c>
      <c r="G178" s="22" t="str">
        <f>IF(OR(E178="",E178="!!!"),"",IF(OR(J178=0,AND(J178=1,K178=1),AND(J178=1,I178="SBJ"),AND(J178=1,I178=0)),"?IN_FOCUS",IF(J178&lt;=2,"?ACTIVATED",IF(J178&lt;&gt;"","?FAMILIAR",IF(F178="NEW",IF(ISNA(VLOOKUP(E178,#REF!,1,FALSE())),"?TYPE_IDENTIFIABLE","?REFERENTIAL"),"_")))))</f>
        <v/>
      </c>
      <c r="H178" s="23" t="str">
        <f t="shared" ca="1" si="9"/>
        <v/>
      </c>
      <c r="I178" s="24" t="str">
        <f>IF(OR(E178="",E178="!!!",F178="NEW"),"",INDEX(B$2:B177,-1+SUMPRODUCT(MAX(ROW(E$2:E177)*(E178=E$2:E177)))))</f>
        <v/>
      </c>
      <c r="J178" s="24" t="str">
        <f ca="1">IF(OR(E178="",E178="!!!",F178="NEW"),"",COUNTBLANK(OFFSET(A$1,,,SUMPRODUCT(MAX(ROW(E$2:E178)*(E178=E$2:E178)))))-COUNTBLANK(OFFSET(A$1,,,SUMPRODUCT(MAX(ROW(E$1:E177)*(E2=E$1:E177))))))</f>
        <v/>
      </c>
      <c r="K178" s="24" t="str">
        <f>IF(OR(E178="",E178="!!!",F178="NEW"),"",INDEX(J$1:J177,SUMPRODUCT(MAX(ROW(E$1:E177)*(E178=E$1:E177)))))</f>
        <v/>
      </c>
      <c r="L178" s="29"/>
    </row>
    <row r="179" spans="1:12" x14ac:dyDescent="0.3">
      <c r="A179" t="s">
        <v>211</v>
      </c>
      <c r="E179" s="27"/>
      <c r="F179" s="28" t="str">
        <f>IF(OR(E179="",E179="!!!"),"",IF(NOT(ISNA(VLOOKUP(E179,E$1:E178,1,FALSE()))),"OLD",IF(AND(E179&lt;&gt;"",E179&lt;&gt;"!!!"),"NEW","")))</f>
        <v/>
      </c>
      <c r="G179" s="22" t="str">
        <f>IF(OR(E179="",E179="!!!"),"",IF(OR(J179=0,AND(J179=1,K179=1),AND(J179=1,I179="SBJ"),AND(J179=1,I179=0)),"?IN_FOCUS",IF(J179&lt;=2,"?ACTIVATED",IF(J179&lt;&gt;"","?FAMILIAR",IF(F179="NEW",IF(ISNA(VLOOKUP(E179,#REF!,1,FALSE())),"?TYPE_IDENTIFIABLE","?REFERENTIAL"),"_")))))</f>
        <v/>
      </c>
      <c r="H179" s="23" t="str">
        <f t="shared" ca="1" si="9"/>
        <v/>
      </c>
      <c r="I179" s="24" t="str">
        <f>IF(OR(E179="",E179="!!!",F179="NEW"),"",INDEX(B$2:B178,-1+SUMPRODUCT(MAX(ROW(E$2:E178)*(E179=E$2:E178)))))</f>
        <v/>
      </c>
      <c r="J179" s="24" t="str">
        <f ca="1">IF(OR(E179="",E179="!!!",F179="NEW"),"",COUNTBLANK(OFFSET(A$1,,,SUMPRODUCT(MAX(ROW(E$2:E179)*(E179=E$2:E179)))))-COUNTBLANK(OFFSET(A$1,,,SUMPRODUCT(MAX(ROW(E$1:E178)*(E2=E$1:E178))))))</f>
        <v/>
      </c>
      <c r="K179" s="24" t="str">
        <f>IF(OR(E179="",E179="!!!",F179="NEW"),"",INDEX(J$1:J178,SUMPRODUCT(MAX(ROW(E$1:E178)*(E179=E$1:E178)))))</f>
        <v/>
      </c>
      <c r="L179" s="29"/>
    </row>
    <row r="180" spans="1:12" x14ac:dyDescent="0.3">
      <c r="A180" t="s">
        <v>129</v>
      </c>
      <c r="E180" s="27"/>
      <c r="F180" s="28" t="str">
        <f>IF(OR(E180="",E180="!!!"),"",IF(NOT(ISNA(VLOOKUP(E180,E$1:E179,1,FALSE()))),"OLD",IF(AND(E180&lt;&gt;"",E180&lt;&gt;"!!!"),"NEW","")))</f>
        <v/>
      </c>
      <c r="G180" s="22" t="str">
        <f>IF(OR(E180="",E180="!!!"),"",IF(OR(J180=0,AND(J180=1,K180=1),AND(J180=1,I180="SBJ"),AND(J180=1,I180=0)),"?IN_FOCUS",IF(J180&lt;=2,"?ACTIVATED",IF(J180&lt;&gt;"","?FAMILIAR",IF(F180="NEW",IF(ISNA(VLOOKUP(E180,#REF!,1,FALSE())),"?TYPE_IDENTIFIABLE","?REFERENTIAL"),"_")))))</f>
        <v/>
      </c>
      <c r="H180" s="23" t="str">
        <f t="shared" ca="1" si="9"/>
        <v/>
      </c>
      <c r="I180" s="24" t="str">
        <f>IF(OR(E180="",E180="!!!",F180="NEW"),"",INDEX(B$2:B179,-1+SUMPRODUCT(MAX(ROW(E$2:E179)*(E180=E$2:E179)))))</f>
        <v/>
      </c>
      <c r="J180" s="24" t="str">
        <f ca="1">IF(OR(E180="",E180="!!!",F180="NEW"),"",COUNTBLANK(OFFSET(A$1,,,SUMPRODUCT(MAX(ROW(E$2:E180)*(E180=E$2:E180)))))-COUNTBLANK(OFFSET(A$1,,,SUMPRODUCT(MAX(ROW(E$1:E179)*(E2=E$1:E179))))))</f>
        <v/>
      </c>
      <c r="K180" s="24" t="str">
        <f>IF(OR(E180="",E180="!!!",F180="NEW"),"",INDEX(J$1:J179,SUMPRODUCT(MAX(ROW(E$1:E179)*(E180=E$1:E179)))))</f>
        <v/>
      </c>
      <c r="L180" s="29"/>
    </row>
    <row r="182" spans="1:12" x14ac:dyDescent="0.3">
      <c r="A182" t="s">
        <v>130</v>
      </c>
      <c r="E182" s="27"/>
      <c r="F182" s="28" t="str">
        <f>IF(OR(E182="",E182="!!!"),"",IF(NOT(ISNA(VLOOKUP(E182,E$1:E181,1,FALSE()))),"OLD",IF(AND(E182&lt;&gt;"",E182&lt;&gt;"!!!"),"NEW","")))</f>
        <v/>
      </c>
      <c r="G182" s="22" t="str">
        <f>IF(OR(E182="",E182="!!!"),"",IF(OR(J182=0,AND(J182=1,K182=1),AND(J182=1,I182="SBJ"),AND(J182=1,I182=0)),"?IN_FOCUS",IF(J182&lt;=2,"?ACTIVATED",IF(J182&lt;&gt;"","?FAMILIAR",IF(F182="NEW",IF(ISNA(VLOOKUP(E182,#REF!,1,FALSE())),"?TYPE_IDENTIFIABLE","?REFERENTIAL"),"_")))))</f>
        <v/>
      </c>
      <c r="H182" s="23" t="str">
        <f ca="1">IF(J182&lt;&gt;1,"",IF(I182="SBJ","CB","?"))</f>
        <v/>
      </c>
      <c r="I182" s="24" t="str">
        <f>IF(OR(E182="",E182="!!!",F182="NEW"),"",INDEX(B$2:B181,-1+SUMPRODUCT(MAX(ROW(E$2:E181)*(E182=E$2:E181)))))</f>
        <v/>
      </c>
      <c r="J182" s="24" t="str">
        <f ca="1">IF(OR(E182="",E182="!!!",F182="NEW"),"",COUNTBLANK(OFFSET(A$1,,,SUMPRODUCT(MAX(ROW(E$2:E182)*(E182=E$2:E182)))))-COUNTBLANK(OFFSET(A$1,,,SUMPRODUCT(MAX(ROW(E$1:E181)*(E2=E$1:E181))))))</f>
        <v/>
      </c>
      <c r="K182" s="24" t="str">
        <f>IF(OR(E182="",E182="!!!",F182="NEW"),"",INDEX(J$1:J181,SUMPRODUCT(MAX(ROW(E$1:E181)*(E182=E$1:E181)))))</f>
        <v/>
      </c>
      <c r="L182" s="29"/>
    </row>
    <row r="183" spans="1:12" x14ac:dyDescent="0.3">
      <c r="A183" t="s">
        <v>212</v>
      </c>
    </row>
    <row r="184" spans="1:12" x14ac:dyDescent="0.3">
      <c r="A184" t="s">
        <v>107</v>
      </c>
      <c r="E184" s="27"/>
      <c r="F184" s="28" t="str">
        <f>IF(OR(E184="",E184="!!!"),"",IF(NOT(ISNA(VLOOKUP(E184,E$1:E183,1,FALSE()))),"OLD",IF(AND(E184&lt;&gt;"",E184&lt;&gt;"!!!"),"NEW","")))</f>
        <v/>
      </c>
      <c r="G184" s="22" t="str">
        <f>IF(OR(E184="",E184="!!!"),"",IF(OR(J184=0,AND(J184=1,K184=1),AND(J184=1,I184="SBJ"),AND(J184=1,I184=0)),"?IN_FOCUS",IF(J184&lt;=2,"?ACTIVATED",IF(J184&lt;&gt;"","?FAMILIAR",IF(F184="NEW",IF(ISNA(VLOOKUP(E184,#REF!,1,FALSE())),"?TYPE_IDENTIFIABLE","?REFERENTIAL"),"_")))))</f>
        <v/>
      </c>
      <c r="H184" s="23" t="str">
        <f t="shared" ref="H184:H206" ca="1" si="10">IF(J184&lt;&gt;1,"",IF(I184="SBJ","CB","?"))</f>
        <v/>
      </c>
      <c r="I184" s="24" t="str">
        <f>IF(OR(E184="",E184="!!!",F184="NEW"),"",INDEX(B$2:B183,-1+SUMPRODUCT(MAX(ROW(E$2:E183)*(E184=E$2:E183)))))</f>
        <v/>
      </c>
      <c r="J184" s="24" t="str">
        <f ca="1">IF(OR(E184="",E184="!!!",F184="NEW"),"",COUNTBLANK(OFFSET(A$1,,,SUMPRODUCT(MAX(ROW(E$2:E184)*(E184=E$2:E184)))))-COUNTBLANK(OFFSET(A$1,,,SUMPRODUCT(MAX(ROW(E$1:E183)*(E2=E$1:E183))))))</f>
        <v/>
      </c>
      <c r="K184" s="24" t="str">
        <f>IF(OR(E184="",E184="!!!",F184="NEW"),"",INDEX(J$1:J183,SUMPRODUCT(MAX(ROW(E$1:E183)*(E184=E$1:E183)))))</f>
        <v/>
      </c>
      <c r="L184" s="29"/>
    </row>
    <row r="185" spans="1:12" x14ac:dyDescent="0.3">
      <c r="A185" t="s">
        <v>213</v>
      </c>
      <c r="B185" s="26" t="s">
        <v>96</v>
      </c>
      <c r="C185" s="26" t="s">
        <v>214</v>
      </c>
      <c r="D185" s="26" t="s">
        <v>98</v>
      </c>
      <c r="E185" s="27" t="s">
        <v>343</v>
      </c>
      <c r="F185" s="28" t="str">
        <f>IF(OR(E185="",E185="!!!"),"",IF(NOT(ISNA(VLOOKUP(E185,E$1:E184,1,FALSE()))),"OLD",IF(AND(E185&lt;&gt;"",E185&lt;&gt;"!!!"),"NEW","")))</f>
        <v>NEW</v>
      </c>
      <c r="G185" s="22" t="str">
        <f ca="1">IF(OR(E185="",E185="!!!"),"",IF(OR(J185=0,AND(J185=1,K185=1),AND(J185=1,I185="SBJ"),AND(J185=1,I185=0)),"?IN_FOCUS",IF(J185&lt;=2,"?ACTIVATED",IF(J185&lt;&gt;"","?FAMILIAR",IF(F185="NEW",IF(ISNA(VLOOKUP(E185,#REF!,1,FALSE())),"?TYPE_IDENTIFIABLE","?REFERENTIAL"),"_")))))</f>
        <v>?REFERENTIAL</v>
      </c>
      <c r="H185" s="23" t="str">
        <f t="shared" ca="1" si="10"/>
        <v/>
      </c>
      <c r="I185" s="24" t="str">
        <f>IF(OR(E185="",E185="!!!",F185="NEW"),"",INDEX(B$2:B184,-1+SUMPRODUCT(MAX(ROW(E$2:E184)*(E185=E$2:E184)))))</f>
        <v/>
      </c>
      <c r="J185" s="24" t="str">
        <f ca="1">IF(OR(E185="",E185="!!!",F185="NEW"),"",COUNTBLANK(OFFSET(A$1,,,SUMPRODUCT(MAX(ROW(E$2:E185)*(E185=E$2:E185)))))-COUNTBLANK(OFFSET(A$1,,,SUMPRODUCT(MAX(ROW(E$1:E184)*(E2=E$1:E184))))))</f>
        <v/>
      </c>
      <c r="K185" s="24" t="str">
        <f>IF(OR(E185="",E185="!!!",F185="NEW"),"",INDEX(J$1:J184,SUMPRODUCT(MAX(ROW(E$1:E184)*(E185=E$1:E184)))))</f>
        <v/>
      </c>
      <c r="L185" s="29"/>
    </row>
    <row r="186" spans="1:12" x14ac:dyDescent="0.3">
      <c r="A186" t="s">
        <v>134</v>
      </c>
      <c r="E186" s="27"/>
      <c r="F186" s="28" t="str">
        <f>IF(OR(E186="",E186="!!!"),"",IF(NOT(ISNA(VLOOKUP(E186,E$1:E185,1,FALSE()))),"OLD",IF(AND(E186&lt;&gt;"",E186&lt;&gt;"!!!"),"NEW","")))</f>
        <v/>
      </c>
      <c r="G186" s="22" t="str">
        <f>IF(OR(E186="",E186="!!!"),"",IF(OR(J186=0,AND(J186=1,K186=1),AND(J186=1,I186="SBJ"),AND(J186=1,I186=0)),"?IN_FOCUS",IF(J186&lt;=2,"?ACTIVATED",IF(J186&lt;&gt;"","?FAMILIAR",IF(F186="NEW",IF(ISNA(VLOOKUP(E186,#REF!,1,FALSE())),"?TYPE_IDENTIFIABLE","?REFERENTIAL"),"_")))))</f>
        <v/>
      </c>
      <c r="H186" s="23" t="str">
        <f t="shared" ca="1" si="10"/>
        <v/>
      </c>
      <c r="I186" s="24" t="str">
        <f>IF(OR(E186="",E186="!!!",F186="NEW"),"",INDEX(B$2:B185,-1+SUMPRODUCT(MAX(ROW(E$2:E185)*(E186=E$2:E185)))))</f>
        <v/>
      </c>
      <c r="J186" s="24" t="str">
        <f ca="1">IF(OR(E186="",E186="!!!",F186="NEW"),"",COUNTBLANK(OFFSET(A$1,,,SUMPRODUCT(MAX(ROW(E$2:E186)*(E186=E$2:E186)))))-COUNTBLANK(OFFSET(A$1,,,SUMPRODUCT(MAX(ROW(E$1:E185)*(E2=E$1:E185))))))</f>
        <v/>
      </c>
      <c r="K186" s="24" t="str">
        <f>IF(OR(E186="",E186="!!!",F186="NEW"),"",INDEX(J$1:J185,SUMPRODUCT(MAX(ROW(E$1:E185)*(E186=E$1:E185)))))</f>
        <v/>
      </c>
      <c r="L186" s="29"/>
    </row>
    <row r="187" spans="1:12" x14ac:dyDescent="0.3">
      <c r="A187" t="s">
        <v>206</v>
      </c>
      <c r="B187" s="26" t="s">
        <v>101</v>
      </c>
      <c r="C187" s="26" t="s">
        <v>97</v>
      </c>
      <c r="D187" s="26" t="s">
        <v>98</v>
      </c>
      <c r="E187" s="27" t="s">
        <v>342</v>
      </c>
      <c r="F187" s="28" t="str">
        <f>IF(OR(E187="",E187="!!!"),"",IF(NOT(ISNA(VLOOKUP(E187,E$1:E186,1,FALSE()))),"OLD",IF(AND(E187&lt;&gt;"",E187&lt;&gt;"!!!"),"NEW","")))</f>
        <v>OLD</v>
      </c>
      <c r="G187" s="22" t="str">
        <f ca="1">IF(OR(E187="",E187="!!!"),"",IF(OR(J187=0,AND(J187=1,K187=1),AND(J187=1,I187="SBJ"),AND(J187=1,I187=0)),"?IN_FOCUS",IF(J187&lt;=2,"?ACTIVATED",IF(J187&lt;&gt;"","?FAMILIAR",IF(F187="NEW",IF(ISNA(VLOOKUP(E187,#REF!,1,FALSE())),"?TYPE_IDENTIFIABLE","?REFERENTIAL"),"_")))))</f>
        <v>?IN_FOCUS</v>
      </c>
      <c r="H187" s="23" t="str">
        <f t="shared" ca="1" si="10"/>
        <v/>
      </c>
      <c r="I187" s="24" t="str">
        <f>IF(OR(E187="",E187="!!!",F187="NEW"),"",INDEX(B$2:B186,-1+SUMPRODUCT(MAX(ROW(E$2:E186)*(E187=E$2:E186)))))</f>
        <v>other_2</v>
      </c>
      <c r="J187" s="24">
        <f ca="1">IF(OR(E187="",E187="!!!",F187="NEW"),"",COUNTBLANK(OFFSET(A$1,,,SUMPRODUCT(MAX(ROW(E$2:E187)*(E187=E$2:E187)))))-COUNTBLANK(OFFSET(A$1,,,SUMPRODUCT(MAX(ROW(E$1:E186)*(E2=E$1:E186))))))</f>
        <v>0</v>
      </c>
      <c r="K187" s="24" t="str">
        <f ca="1">IF(OR(E187="",E187="!!!",F187="NEW"),"",INDEX(J$1:J186,SUMPRODUCT(MAX(ROW(E$1:E186)*(E187=E$1:E186)))))</f>
        <v/>
      </c>
      <c r="L187" s="29"/>
    </row>
    <row r="188" spans="1:12" x14ac:dyDescent="0.3">
      <c r="A188" t="s">
        <v>207</v>
      </c>
      <c r="E188" s="27"/>
      <c r="F188" s="28" t="str">
        <f>IF(OR(E188="",E188="!!!"),"",IF(NOT(ISNA(VLOOKUP(E188,E$1:E187,1,FALSE()))),"OLD",IF(AND(E188&lt;&gt;"",E188&lt;&gt;"!!!"),"NEW","")))</f>
        <v/>
      </c>
      <c r="G188" s="22" t="str">
        <f>IF(OR(E188="",E188="!!!"),"",IF(OR(J188=0,AND(J188=1,K188=1),AND(J188=1,I188="SBJ"),AND(J188=1,I188=0)),"?IN_FOCUS",IF(J188&lt;=2,"?ACTIVATED",IF(J188&lt;&gt;"","?FAMILIAR",IF(F188="NEW",IF(ISNA(VLOOKUP(E188,#REF!,1,FALSE())),"?TYPE_IDENTIFIABLE","?REFERENTIAL"),"_")))))</f>
        <v/>
      </c>
      <c r="H188" s="23" t="str">
        <f t="shared" ca="1" si="10"/>
        <v/>
      </c>
      <c r="I188" s="24" t="str">
        <f>IF(OR(E188="",E188="!!!",F188="NEW"),"",INDEX(B$2:B187,-1+SUMPRODUCT(MAX(ROW(E$2:E187)*(E188=E$2:E187)))))</f>
        <v/>
      </c>
      <c r="J188" s="24" t="str">
        <f ca="1">IF(OR(E188="",E188="!!!",F188="NEW"),"",COUNTBLANK(OFFSET(A$1,,,SUMPRODUCT(MAX(ROW(E$2:E188)*(E188=E$2:E188)))))-COUNTBLANK(OFFSET(A$1,,,SUMPRODUCT(MAX(ROW(E$1:E187)*(E2=E$1:E187))))))</f>
        <v/>
      </c>
      <c r="K188" s="24" t="str">
        <f>IF(OR(E188="",E188="!!!",F188="NEW"),"",INDEX(J$1:J187,SUMPRODUCT(MAX(ROW(E$1:E187)*(E188=E$1:E187)))))</f>
        <v/>
      </c>
      <c r="L188" s="29"/>
    </row>
    <row r="189" spans="1:12" x14ac:dyDescent="0.3">
      <c r="A189" t="s">
        <v>208</v>
      </c>
      <c r="B189" s="26" t="s">
        <v>114</v>
      </c>
      <c r="C189" s="26" t="s">
        <v>111</v>
      </c>
      <c r="D189" s="26" t="s">
        <v>98</v>
      </c>
      <c r="E189" s="27"/>
      <c r="F189" s="28" t="str">
        <f>IF(OR(E189="",E189="!!!"),"",IF(NOT(ISNA(VLOOKUP(E189,E$1:E188,1,FALSE()))),"OLD",IF(AND(E189&lt;&gt;"",E189&lt;&gt;"!!!"),"NEW","")))</f>
        <v/>
      </c>
      <c r="G189" s="22" t="str">
        <f>IF(OR(E189="",E189="!!!"),"",IF(OR(J189=0,AND(J189=1,K189=1),AND(J189=1,I189="SBJ"),AND(J189=1,I189=0)),"?IN_FOCUS",IF(J189&lt;=2,"?ACTIVATED",IF(J189&lt;&gt;"","?FAMILIAR",IF(F189="NEW",IF(ISNA(VLOOKUP(E189,#REF!,1,FALSE())),"?TYPE_IDENTIFIABLE","?REFERENTIAL"),"_")))))</f>
        <v/>
      </c>
      <c r="H189" s="23" t="str">
        <f t="shared" ca="1" si="10"/>
        <v/>
      </c>
      <c r="I189" s="24" t="str">
        <f>IF(OR(E189="",E189="!!!",F189="NEW"),"",INDEX(B$2:B188,-1+SUMPRODUCT(MAX(ROW(E$2:E188)*(E189=E$2:E188)))))</f>
        <v/>
      </c>
      <c r="J189" s="24" t="str">
        <f ca="1">IF(OR(E189="",E189="!!!",F189="NEW"),"",COUNTBLANK(OFFSET(A$1,,,SUMPRODUCT(MAX(ROW(E$2:E189)*(E189=E$2:E189)))))-COUNTBLANK(OFFSET(A$1,,,SUMPRODUCT(MAX(ROW(E$1:E188)*(E2=E$1:E188))))))</f>
        <v/>
      </c>
      <c r="K189" s="24" t="str">
        <f>IF(OR(E189="",E189="!!!",F189="NEW"),"",INDEX(J$1:J188,SUMPRODUCT(MAX(ROW(E$1:E188)*(E189=E$1:E188)))))</f>
        <v/>
      </c>
      <c r="L189" s="29"/>
    </row>
    <row r="190" spans="1:12" x14ac:dyDescent="0.3">
      <c r="A190" t="s">
        <v>136</v>
      </c>
      <c r="E190" s="27"/>
      <c r="F190" s="28" t="str">
        <f>IF(OR(E190="",E190="!!!"),"",IF(NOT(ISNA(VLOOKUP(E190,E$1:E189,1,FALSE()))),"OLD",IF(AND(E190&lt;&gt;"",E190&lt;&gt;"!!!"),"NEW","")))</f>
        <v/>
      </c>
      <c r="G190" s="22" t="str">
        <f>IF(OR(E190="",E190="!!!"),"",IF(OR(J190=0,AND(J190=1,K190=1),AND(J190=1,I190="SBJ"),AND(J190=1,I190=0)),"?IN_FOCUS",IF(J190&lt;=2,"?ACTIVATED",IF(J190&lt;&gt;"","?FAMILIAR",IF(F190="NEW",IF(ISNA(VLOOKUP(E190,#REF!,1,FALSE())),"?TYPE_IDENTIFIABLE","?REFERENTIAL"),"_")))))</f>
        <v/>
      </c>
      <c r="H190" s="23" t="str">
        <f t="shared" ca="1" si="10"/>
        <v/>
      </c>
      <c r="I190" s="24" t="str">
        <f>IF(OR(E190="",E190="!!!",F190="NEW"),"",INDEX(B$2:B189,-1+SUMPRODUCT(MAX(ROW(E$2:E189)*(E190=E$2:E189)))))</f>
        <v/>
      </c>
      <c r="J190" s="24" t="str">
        <f ca="1">IF(OR(E190="",E190="!!!",F190="NEW"),"",COUNTBLANK(OFFSET(A$1,,,SUMPRODUCT(MAX(ROW(E$2:E190)*(E190=E$2:E190)))))-COUNTBLANK(OFFSET(A$1,,,SUMPRODUCT(MAX(ROW(E$1:E189)*(E2=E$1:E189))))))</f>
        <v/>
      </c>
      <c r="K190" s="24" t="str">
        <f>IF(OR(E190="",E190="!!!",F190="NEW"),"",INDEX(J$1:J189,SUMPRODUCT(MAX(ROW(E$1:E189)*(E190=E$1:E189)))))</f>
        <v/>
      </c>
      <c r="L190" s="29"/>
    </row>
    <row r="191" spans="1:12" x14ac:dyDescent="0.3">
      <c r="A191" t="s">
        <v>108</v>
      </c>
      <c r="E191" s="27"/>
      <c r="F191" s="28" t="str">
        <f>IF(OR(E191="",E191="!!!"),"",IF(NOT(ISNA(VLOOKUP(E191,E$1:E190,1,FALSE()))),"OLD",IF(AND(E191&lt;&gt;"",E191&lt;&gt;"!!!"),"NEW","")))</f>
        <v/>
      </c>
      <c r="G191" s="22" t="str">
        <f>IF(OR(E191="",E191="!!!"),"",IF(OR(J191=0,AND(J191=1,K191=1),AND(J191=1,I191="SBJ"),AND(J191=1,I191=0)),"?IN_FOCUS",IF(J191&lt;=2,"?ACTIVATED",IF(J191&lt;&gt;"","?FAMILIAR",IF(F191="NEW",IF(ISNA(VLOOKUP(E191,#REF!,1,FALSE())),"?TYPE_IDENTIFIABLE","?REFERENTIAL"),"_")))))</f>
        <v/>
      </c>
      <c r="H191" s="23" t="str">
        <f t="shared" ca="1" si="10"/>
        <v/>
      </c>
      <c r="I191" s="24" t="str">
        <f>IF(OR(E191="",E191="!!!",F191="NEW"),"",INDEX(B$2:B190,-1+SUMPRODUCT(MAX(ROW(E$2:E190)*(E191=E$2:E190)))))</f>
        <v/>
      </c>
      <c r="J191" s="24" t="str">
        <f ca="1">IF(OR(E191="",E191="!!!",F191="NEW"),"",COUNTBLANK(OFFSET(A$1,,,SUMPRODUCT(MAX(ROW(E$2:E191)*(E191=E$2:E191)))))-COUNTBLANK(OFFSET(A$1,,,SUMPRODUCT(MAX(ROW(E$1:E190)*(E2=E$1:E190))))))</f>
        <v/>
      </c>
      <c r="K191" s="24" t="str">
        <f>IF(OR(E191="",E191="!!!",F191="NEW"),"",INDEX(J$1:J190,SUMPRODUCT(MAX(ROW(E$1:E190)*(E191=E$1:E190)))))</f>
        <v/>
      </c>
      <c r="L191" s="29"/>
    </row>
    <row r="192" spans="1:12" x14ac:dyDescent="0.3">
      <c r="A192" t="s">
        <v>138</v>
      </c>
      <c r="E192" s="27"/>
      <c r="F192" s="28" t="str">
        <f>IF(OR(E192="",E192="!!!"),"",IF(NOT(ISNA(VLOOKUP(E192,E$1:E191,1,FALSE()))),"OLD",IF(AND(E192&lt;&gt;"",E192&lt;&gt;"!!!"),"NEW","")))</f>
        <v/>
      </c>
      <c r="G192" s="22" t="str">
        <f>IF(OR(E192="",E192="!!!"),"",IF(OR(J192=0,AND(J192=1,K192=1),AND(J192=1,I192="SBJ"),AND(J192=1,I192=0)),"?IN_FOCUS",IF(J192&lt;=2,"?ACTIVATED",IF(J192&lt;&gt;"","?FAMILIAR",IF(F192="NEW",IF(ISNA(VLOOKUP(E192,#REF!,1,FALSE())),"?TYPE_IDENTIFIABLE","?REFERENTIAL"),"_")))))</f>
        <v/>
      </c>
      <c r="H192" s="23" t="str">
        <f t="shared" ca="1" si="10"/>
        <v/>
      </c>
      <c r="I192" s="24" t="str">
        <f>IF(OR(E192="",E192="!!!",F192="NEW"),"",INDEX(B$2:B191,-1+SUMPRODUCT(MAX(ROW(E$2:E191)*(E192=E$2:E191)))))</f>
        <v/>
      </c>
      <c r="J192" s="24" t="str">
        <f ca="1">IF(OR(E192="",E192="!!!",F192="NEW"),"",COUNTBLANK(OFFSET(A$1,,,SUMPRODUCT(MAX(ROW(E$2:E192)*(E192=E$2:E192)))))-COUNTBLANK(OFFSET(A$1,,,SUMPRODUCT(MAX(ROW(E$1:E191)*(E2=E$1:E191))))))</f>
        <v/>
      </c>
      <c r="K192" s="24" t="str">
        <f>IF(OR(E192="",E192="!!!",F192="NEW"),"",INDEX(J$1:J191,SUMPRODUCT(MAX(ROW(E$1:E191)*(E192=E$1:E191)))))</f>
        <v/>
      </c>
      <c r="L192" s="29"/>
    </row>
    <row r="193" spans="1:12" x14ac:dyDescent="0.3">
      <c r="A193" t="s">
        <v>215</v>
      </c>
      <c r="B193" s="26" t="s">
        <v>140</v>
      </c>
      <c r="C193" s="26" t="s">
        <v>111</v>
      </c>
      <c r="D193" s="26" t="s">
        <v>98</v>
      </c>
      <c r="E193" s="27" t="s">
        <v>344</v>
      </c>
      <c r="F193" s="28" t="s">
        <v>345</v>
      </c>
      <c r="G193" s="22" t="e">
        <f ca="1">IF(OR(E193="",E193="!!!"),"",IF(OR(J193=0,AND(J193=1,K193=1),AND(J193=1,I193="SBJ"),AND(J193=1,I193=0)),"?IN_FOCUS",IF(J193&lt;=2,"?ACTIVATED",IF(J193&lt;&gt;"","?FAMILIAR",IF(F193="NEW",IF(ISNA(VLOOKUP(E193,#REF!,1,FALSE())),"?TYPE_IDENTIFIABLE","?REFERENTIAL"),"_")))))</f>
        <v>#VALUE!</v>
      </c>
      <c r="H193" s="23" t="str">
        <f t="shared" ca="1" si="10"/>
        <v/>
      </c>
      <c r="I193" s="24" t="e">
        <f>IF(OR(E193="",E193="!!!",F193="NEW"),"",INDEX(B$2:B192,-1+SUMPRODUCT(MAX(ROW(E$2:E192)*(E193=E$2:E192)))))</f>
        <v>#VALUE!</v>
      </c>
      <c r="J193" s="24">
        <f ca="1">IF(OR(E193="",E193="!!!",F193="NEW"),"",COUNTBLANK(OFFSET(A$1,,,SUMPRODUCT(MAX(ROW(E$2:E193)*(E193=E$2:E193)))))-COUNTBLANK(OFFSET(A$1,,,SUMPRODUCT(MAX(ROW(E$1:E192)*(E2=E$1:E192))))))</f>
        <v>0</v>
      </c>
      <c r="K193" s="24" t="e">
        <f>IF(OR(E193="",E193="!!!",F193="NEW"),"",INDEX(J$1:J192,SUMPRODUCT(MAX(ROW(E$1:E192)*(E193=E$1:E192)))))</f>
        <v>#VALUE!</v>
      </c>
      <c r="L193" s="29" t="s">
        <v>361</v>
      </c>
    </row>
    <row r="194" spans="1:12" x14ac:dyDescent="0.3">
      <c r="A194" t="s">
        <v>216</v>
      </c>
      <c r="E194" s="27"/>
      <c r="F194" s="28" t="str">
        <f>IF(OR(E194="",E194="!!!"),"",IF(NOT(ISNA(VLOOKUP(E194,E$1:E193,1,FALSE()))),"OLD",IF(AND(E194&lt;&gt;"",E194&lt;&gt;"!!!"),"NEW","")))</f>
        <v/>
      </c>
      <c r="G194" s="22" t="str">
        <f>IF(OR(E194="",E194="!!!"),"",IF(OR(J194=0,AND(J194=1,K194=1),AND(J194=1,I194="SBJ"),AND(J194=1,I194=0)),"?IN_FOCUS",IF(J194&lt;=2,"?ACTIVATED",IF(J194&lt;&gt;"","?FAMILIAR",IF(F194="NEW",IF(ISNA(VLOOKUP(E194,#REF!,1,FALSE())),"?TYPE_IDENTIFIABLE","?REFERENTIAL"),"_")))))</f>
        <v/>
      </c>
      <c r="H194" s="23" t="str">
        <f t="shared" ca="1" si="10"/>
        <v/>
      </c>
      <c r="I194" s="24" t="str">
        <f>IF(OR(E194="",E194="!!!",F194="NEW"),"",INDEX(B$2:B193,-1+SUMPRODUCT(MAX(ROW(E$2:E193)*(E194=E$2:E193)))))</f>
        <v/>
      </c>
      <c r="J194" s="24" t="str">
        <f ca="1">IF(OR(E194="",E194="!!!",F194="NEW"),"",COUNTBLANK(OFFSET(A$1,,,SUMPRODUCT(MAX(ROW(E$2:E194)*(E194=E$2:E194)))))-COUNTBLANK(OFFSET(A$1,,,SUMPRODUCT(MAX(ROW(E$1:E193)*(E2=E$1:E193))))))</f>
        <v/>
      </c>
      <c r="K194" s="24" t="str">
        <f>IF(OR(E194="",E194="!!!",F194="NEW"),"",INDEX(J$1:J193,SUMPRODUCT(MAX(ROW(E$1:E193)*(E194=E$1:E193)))))</f>
        <v/>
      </c>
      <c r="L194" s="29"/>
    </row>
    <row r="195" spans="1:12" x14ac:dyDescent="0.3">
      <c r="A195" t="s">
        <v>203</v>
      </c>
      <c r="E195" s="27" t="s">
        <v>326</v>
      </c>
      <c r="F195" s="28" t="str">
        <f>IF(OR(E195="",E195="!!!"),"",IF(NOT(ISNA(VLOOKUP(E195,E$1:E194,1,FALSE()))),"OLD",IF(AND(E195&lt;&gt;"",E195&lt;&gt;"!!!"),"NEW","")))</f>
        <v>OLD</v>
      </c>
      <c r="G195" s="22" t="str">
        <f ca="1">IF(OR(E195="",E195="!!!"),"",IF(OR(J195=0,AND(J195=1,K195=1),AND(J195=1,I195="SBJ"),AND(J195=1,I195=0)),"?IN_FOCUS",IF(J195&lt;=2,"?ACTIVATED",IF(J195&lt;&gt;"","?FAMILIAR",IF(F195="NEW",IF(ISNA(VLOOKUP(E195,#REF!,1,FALSE())),"?TYPE_IDENTIFIABLE","?REFERENTIAL"),"_")))))</f>
        <v>?IN_FOCUS</v>
      </c>
      <c r="H195" s="23" t="str">
        <f t="shared" ca="1" si="10"/>
        <v/>
      </c>
      <c r="I195" s="24">
        <f>IF(OR(E195="",E195="!!!",F195="NEW"),"",INDEX(B$2:B194,-1+SUMPRODUCT(MAX(ROW(E$2:E194)*(E195=E$2:E194)))))</f>
        <v>0</v>
      </c>
      <c r="J195" s="24">
        <f ca="1">IF(OR(E195="",E195="!!!",F195="NEW"),"",COUNTBLANK(OFFSET(A$1,,,SUMPRODUCT(MAX(ROW(E$2:E195)*(E195=E$2:E195)))))-COUNTBLANK(OFFSET(A$1,,,SUMPRODUCT(MAX(ROW(E$1:E194)*(E2=E$1:E194))))))</f>
        <v>0</v>
      </c>
      <c r="K195" s="24">
        <f ca="1">IF(OR(E195="",E195="!!!",F195="NEW"),"",INDEX(J$1:J194,SUMPRODUCT(MAX(ROW(E$1:E194)*(E195=E$1:E194)))))</f>
        <v>0</v>
      </c>
      <c r="L195" s="29"/>
    </row>
    <row r="196" spans="1:12" x14ac:dyDescent="0.3">
      <c r="A196" t="s">
        <v>183</v>
      </c>
      <c r="B196" s="26" t="s">
        <v>101</v>
      </c>
      <c r="C196" s="26" t="s">
        <v>205</v>
      </c>
      <c r="E196" s="27" t="s">
        <v>336</v>
      </c>
      <c r="F196" s="28" t="str">
        <f>IF(OR(E196="",E196="!!!"),"",IF(NOT(ISNA(VLOOKUP(E196,E$1:E195,1,FALSE()))),"OLD",IF(AND(E196&lt;&gt;"",E196&lt;&gt;"!!!"),"NEW","")))</f>
        <v>OLD</v>
      </c>
      <c r="G196" s="22" t="str">
        <f ca="1">IF(OR(E196="",E196="!!!"),"",IF(OR(J196=0,AND(J196=1,K196=1),AND(J196=1,I196="SBJ"),AND(J196=1,I196=0)),"?IN_FOCUS",IF(J196&lt;=2,"?ACTIVATED",IF(J196&lt;&gt;"","?FAMILIAR",IF(F196="NEW",IF(ISNA(VLOOKUP(E196,#REF!,1,FALSE())),"?TYPE_IDENTIFIABLE","?REFERENTIAL"),"_")))))</f>
        <v>?IN_FOCUS</v>
      </c>
      <c r="H196" s="23" t="str">
        <f t="shared" ca="1" si="10"/>
        <v/>
      </c>
      <c r="I196" s="24" t="str">
        <f>IF(OR(E196="",E196="!!!",F196="NEW"),"",INDEX(B$2:B195,-1+SUMPRODUCT(MAX(ROW(E$2:E195)*(E196=E$2:E195)))))</f>
        <v>SBJ_2</v>
      </c>
      <c r="J196" s="24">
        <f ca="1">IF(OR(E196="",E196="!!!",F196="NEW"),"",COUNTBLANK(OFFSET(A$1,,,SUMPRODUCT(MAX(ROW(E$2:E196)*(E196=E$2:E196)))))-COUNTBLANK(OFFSET(A$1,,,SUMPRODUCT(MAX(ROW(E$1:E195)*(E2=E$1:E195))))))</f>
        <v>0</v>
      </c>
      <c r="K196" s="24" t="str">
        <f ca="1">IF(OR(E196="",E196="!!!",F196="NEW"),"",INDEX(J$1:J195,SUMPRODUCT(MAX(ROW(E$1:E195)*(E196=E$1:E195)))))</f>
        <v/>
      </c>
      <c r="L196" s="29"/>
    </row>
    <row r="197" spans="1:12" x14ac:dyDescent="0.3">
      <c r="A197" t="s">
        <v>152</v>
      </c>
      <c r="E197" s="27"/>
      <c r="F197" s="28" t="str">
        <f>IF(OR(E197="",E197="!!!"),"",IF(NOT(ISNA(VLOOKUP(E197,E$1:E196,1,FALSE()))),"OLD",IF(AND(E197&lt;&gt;"",E197&lt;&gt;"!!!"),"NEW","")))</f>
        <v/>
      </c>
      <c r="G197" s="22" t="str">
        <f>IF(OR(E197="",E197="!!!"),"",IF(OR(J197=0,AND(J197=1,K197=1),AND(J197=1,I197="SBJ"),AND(J197=1,I197=0)),"?IN_FOCUS",IF(J197&lt;=2,"?ACTIVATED",IF(J197&lt;&gt;"","?FAMILIAR",IF(F197="NEW",IF(ISNA(VLOOKUP(E197,#REF!,1,FALSE())),"?TYPE_IDENTIFIABLE","?REFERENTIAL"),"_")))))</f>
        <v/>
      </c>
      <c r="H197" s="23" t="str">
        <f t="shared" ca="1" si="10"/>
        <v/>
      </c>
      <c r="I197" s="24" t="str">
        <f>IF(OR(E197="",E197="!!!",F197="NEW"),"",INDEX(B$2:B196,-1+SUMPRODUCT(MAX(ROW(E$2:E196)*(E197=E$2:E196)))))</f>
        <v/>
      </c>
      <c r="J197" s="24" t="str">
        <f ca="1">IF(OR(E197="",E197="!!!",F197="NEW"),"",COUNTBLANK(OFFSET(A$1,,,SUMPRODUCT(MAX(ROW(E$2:E197)*(E197=E$2:E197)))))-COUNTBLANK(OFFSET(A$1,,,SUMPRODUCT(MAX(ROW(E$1:E196)*(E2=E$1:E196))))))</f>
        <v/>
      </c>
      <c r="K197" s="24" t="str">
        <f>IF(OR(E197="",E197="!!!",F197="NEW"),"",INDEX(J$1:J196,SUMPRODUCT(MAX(ROW(E$1:E196)*(E197=E$1:E196)))))</f>
        <v/>
      </c>
      <c r="L197" s="29"/>
    </row>
    <row r="198" spans="1:12" x14ac:dyDescent="0.3">
      <c r="A198" t="s">
        <v>217</v>
      </c>
      <c r="E198" s="27"/>
      <c r="F198" s="28" t="str">
        <f>IF(OR(E198="",E198="!!!"),"",IF(NOT(ISNA(VLOOKUP(E198,E$1:E197,1,FALSE()))),"OLD",IF(AND(E198&lt;&gt;"",E198&lt;&gt;"!!!"),"NEW","")))</f>
        <v/>
      </c>
      <c r="G198" s="22" t="str">
        <f>IF(OR(E198="",E198="!!!"),"",IF(OR(J198=0,AND(J198=1,K198=1),AND(J198=1,I198="SBJ"),AND(J198=1,I198=0)),"?IN_FOCUS",IF(J198&lt;=2,"?ACTIVATED",IF(J198&lt;&gt;"","?FAMILIAR",IF(F198="NEW",IF(ISNA(VLOOKUP(E198,#REF!,1,FALSE())),"?TYPE_IDENTIFIABLE","?REFERENTIAL"),"_")))))</f>
        <v/>
      </c>
      <c r="H198" s="23" t="str">
        <f t="shared" ca="1" si="10"/>
        <v/>
      </c>
      <c r="I198" s="24" t="str">
        <f>IF(OR(E198="",E198="!!!",F198="NEW"),"",INDEX(B$2:B197,-1+SUMPRODUCT(MAX(ROW(E$2:E197)*(E198=E$2:E197)))))</f>
        <v/>
      </c>
      <c r="J198" s="24" t="str">
        <f ca="1">IF(OR(E198="",E198="!!!",F198="NEW"),"",COUNTBLANK(OFFSET(A$1,,,SUMPRODUCT(MAX(ROW(E$2:E198)*(E198=E$2:E198)))))-COUNTBLANK(OFFSET(A$1,,,SUMPRODUCT(MAX(ROW(E$1:E197)*(E2=E$1:E197))))))</f>
        <v/>
      </c>
      <c r="K198" s="24" t="str">
        <f>IF(OR(E198="",E198="!!!",F198="NEW"),"",INDEX(J$1:J197,SUMPRODUCT(MAX(ROW(E$1:E197)*(E198=E$1:E197)))))</f>
        <v/>
      </c>
      <c r="L198" s="29"/>
    </row>
    <row r="199" spans="1:12" x14ac:dyDescent="0.3">
      <c r="A199" t="s">
        <v>186</v>
      </c>
      <c r="E199" s="27"/>
      <c r="F199" s="28" t="str">
        <f>IF(OR(E199="",E199="!!!"),"",IF(NOT(ISNA(VLOOKUP(E199,E$1:E198,1,FALSE()))),"OLD",IF(AND(E199&lt;&gt;"",E199&lt;&gt;"!!!"),"NEW","")))</f>
        <v/>
      </c>
      <c r="G199" s="22" t="str">
        <f>IF(OR(E199="",E199="!!!"),"",IF(OR(J199=0,AND(J199=1,K199=1),AND(J199=1,I199="SBJ"),AND(J199=1,I199=0)),"?IN_FOCUS",IF(J199&lt;=2,"?ACTIVATED",IF(J199&lt;&gt;"","?FAMILIAR",IF(F199="NEW",IF(ISNA(VLOOKUP(E199,#REF!,1,FALSE())),"?TYPE_IDENTIFIABLE","?REFERENTIAL"),"_")))))</f>
        <v/>
      </c>
      <c r="H199" s="23" t="str">
        <f t="shared" ca="1" si="10"/>
        <v/>
      </c>
      <c r="I199" s="24" t="str">
        <f>IF(OR(E199="",E199="!!!",F199="NEW"),"",INDEX(B$2:B198,-1+SUMPRODUCT(MAX(ROW(E$2:E198)*(E199=E$2:E198)))))</f>
        <v/>
      </c>
      <c r="J199" s="24" t="str">
        <f ca="1">IF(OR(E199="",E199="!!!",F199="NEW"),"",COUNTBLANK(OFFSET(A$1,,,SUMPRODUCT(MAX(ROW(E$2:E199)*(E199=E$2:E199)))))-COUNTBLANK(OFFSET(A$1,,,SUMPRODUCT(MAX(ROW(E$1:E198)*(E2=E$1:E198))))))</f>
        <v/>
      </c>
      <c r="K199" s="24" t="str">
        <f>IF(OR(E199="",E199="!!!",F199="NEW"),"",INDEX(J$1:J198,SUMPRODUCT(MAX(ROW(E$1:E198)*(E199=E$1:E198)))))</f>
        <v/>
      </c>
      <c r="L199" s="29"/>
    </row>
    <row r="200" spans="1:12" x14ac:dyDescent="0.3">
      <c r="A200" t="s">
        <v>160</v>
      </c>
      <c r="E200" s="27"/>
      <c r="F200" s="28" t="str">
        <f>IF(OR(E200="",E200="!!!"),"",IF(NOT(ISNA(VLOOKUP(E200,E$1:E199,1,FALSE()))),"OLD",IF(AND(E200&lt;&gt;"",E200&lt;&gt;"!!!"),"NEW","")))</f>
        <v/>
      </c>
      <c r="G200" s="22" t="str">
        <f>IF(OR(E200="",E200="!!!"),"",IF(OR(J200=0,AND(J200=1,K200=1),AND(J200=1,I200="SBJ"),AND(J200=1,I200=0)),"?IN_FOCUS",IF(J200&lt;=2,"?ACTIVATED",IF(J200&lt;&gt;"","?FAMILIAR",IF(F200="NEW",IF(ISNA(VLOOKUP(E200,#REF!,1,FALSE())),"?TYPE_IDENTIFIABLE","?REFERENTIAL"),"_")))))</f>
        <v/>
      </c>
      <c r="H200" s="23" t="str">
        <f t="shared" ca="1" si="10"/>
        <v/>
      </c>
      <c r="I200" s="24" t="str">
        <f>IF(OR(E200="",E200="!!!",F200="NEW"),"",INDEX(B$2:B199,-1+SUMPRODUCT(MAX(ROW(E$2:E199)*(E200=E$2:E199)))))</f>
        <v/>
      </c>
      <c r="J200" s="24" t="str">
        <f ca="1">IF(OR(E200="",E200="!!!",F200="NEW"),"",COUNTBLANK(OFFSET(A$1,,,SUMPRODUCT(MAX(ROW(E$2:E200)*(E200=E$2:E200)))))-COUNTBLANK(OFFSET(A$1,,,SUMPRODUCT(MAX(ROW(E$1:E199)*(E2=E$1:E199))))))</f>
        <v/>
      </c>
      <c r="K200" s="24" t="str">
        <f>IF(OR(E200="",E200="!!!",F200="NEW"),"",INDEX(J$1:J199,SUMPRODUCT(MAX(ROW(E$1:E199)*(E200=E$1:E199)))))</f>
        <v/>
      </c>
      <c r="L200" s="29"/>
    </row>
    <row r="201" spans="1:12" x14ac:dyDescent="0.3">
      <c r="A201" t="s">
        <v>121</v>
      </c>
      <c r="E201" s="27"/>
      <c r="F201" s="28" t="str">
        <f>IF(OR(E201="",E201="!!!"),"",IF(NOT(ISNA(VLOOKUP(E201,E$1:E200,1,FALSE()))),"OLD",IF(AND(E201&lt;&gt;"",E201&lt;&gt;"!!!"),"NEW","")))</f>
        <v/>
      </c>
      <c r="G201" s="22" t="str">
        <f>IF(OR(E201="",E201="!!!"),"",IF(OR(J201=0,AND(J201=1,K201=1),AND(J201=1,I201="SBJ"),AND(J201=1,I201=0)),"?IN_FOCUS",IF(J201&lt;=2,"?ACTIVATED",IF(J201&lt;&gt;"","?FAMILIAR",IF(F201="NEW",IF(ISNA(VLOOKUP(E201,#REF!,1,FALSE())),"?TYPE_IDENTIFIABLE","?REFERENTIAL"),"_")))))</f>
        <v/>
      </c>
      <c r="H201" s="23" t="str">
        <f t="shared" ca="1" si="10"/>
        <v/>
      </c>
      <c r="I201" s="24" t="str">
        <f>IF(OR(E201="",E201="!!!",F201="NEW"),"",INDEX(B$2:B200,-1+SUMPRODUCT(MAX(ROW(E$2:E200)*(E201=E$2:E200)))))</f>
        <v/>
      </c>
      <c r="J201" s="24" t="str">
        <f ca="1">IF(OR(E201="",E201="!!!",F201="NEW"),"",COUNTBLANK(OFFSET(A$1,,,SUMPRODUCT(MAX(ROW(E$2:E201)*(E201=E$2:E201)))))-COUNTBLANK(OFFSET(A$1,,,SUMPRODUCT(MAX(ROW(E$1:E200)*(E2=E$1:E200))))))</f>
        <v/>
      </c>
      <c r="K201" s="24" t="str">
        <f>IF(OR(E201="",E201="!!!",F201="NEW"),"",INDEX(J$1:J200,SUMPRODUCT(MAX(ROW(E$1:E200)*(E201=E$1:E200)))))</f>
        <v/>
      </c>
      <c r="L201" s="29"/>
    </row>
    <row r="202" spans="1:12" x14ac:dyDescent="0.3">
      <c r="A202" t="s">
        <v>218</v>
      </c>
      <c r="B202" s="26" t="s">
        <v>114</v>
      </c>
      <c r="C202" s="26" t="s">
        <v>124</v>
      </c>
      <c r="D202" s="26" t="s">
        <v>98</v>
      </c>
      <c r="E202" s="27"/>
      <c r="F202" s="28" t="s">
        <v>346</v>
      </c>
      <c r="G202" s="22" t="str">
        <f>IF(OR(E202="",E202="!!!"),"",IF(OR(J202=0,AND(J202=1,K202=1),AND(J202=1,I202="SBJ"),AND(J202=1,I202=0)),"?IN_FOCUS",IF(J202&lt;=2,"?ACTIVATED",IF(J202&lt;&gt;"","?FAMILIAR",IF(F202="NEW",IF(ISNA(VLOOKUP(E202,#REF!,1,FALSE())),"?TYPE_IDENTIFIABLE","?REFERENTIAL"),"_")))))</f>
        <v/>
      </c>
      <c r="H202" s="23" t="str">
        <f t="shared" ca="1" si="10"/>
        <v/>
      </c>
      <c r="I202" s="24" t="str">
        <f>IF(OR(E202="",E202="!!!",F202="NEW"),"",INDEX(B$2:B201,-1+SUMPRODUCT(MAX(ROW(E$2:E201)*(E202=E$2:E201)))))</f>
        <v/>
      </c>
      <c r="J202" s="24" t="str">
        <f ca="1">IF(OR(E202="",E202="!!!",F202="NEW"),"",COUNTBLANK(OFFSET(A$1,,,SUMPRODUCT(MAX(ROW(E$2:E202)*(E202=E$2:E202)))))-COUNTBLANK(OFFSET(A$1,,,SUMPRODUCT(MAX(ROW(E$1:E201)*(E2=E$1:E201))))))</f>
        <v/>
      </c>
      <c r="K202" s="24" t="str">
        <f>IF(OR(E202="",E202="!!!",F202="NEW"),"",INDEX(J$1:J201,SUMPRODUCT(MAX(ROW(E$1:E201)*(E202=E$1:E201)))))</f>
        <v/>
      </c>
      <c r="L202" s="29"/>
    </row>
    <row r="203" spans="1:12" x14ac:dyDescent="0.3">
      <c r="A203" t="s">
        <v>219</v>
      </c>
      <c r="E203" s="27"/>
      <c r="F203" s="28" t="str">
        <f>IF(OR(E203="",E203="!!!"),"",IF(NOT(ISNA(VLOOKUP(E203,E$1:E202,1,FALSE()))),"OLD",IF(AND(E203&lt;&gt;"",E203&lt;&gt;"!!!"),"NEW","")))</f>
        <v/>
      </c>
      <c r="G203" s="22" t="str">
        <f>IF(OR(E203="",E203="!!!"),"",IF(OR(J203=0,AND(J203=1,K203=1),AND(J203=1,I203="SBJ"),AND(J203=1,I203=0)),"?IN_FOCUS",IF(J203&lt;=2,"?ACTIVATED",IF(J203&lt;&gt;"","?FAMILIAR",IF(F203="NEW",IF(ISNA(VLOOKUP(E203,#REF!,1,FALSE())),"?TYPE_IDENTIFIABLE","?REFERENTIAL"),"_")))))</f>
        <v/>
      </c>
      <c r="H203" s="23" t="str">
        <f t="shared" ca="1" si="10"/>
        <v/>
      </c>
      <c r="I203" s="24" t="str">
        <f>IF(OR(E203="",E203="!!!",F203="NEW"),"",INDEX(B$2:B202,-1+SUMPRODUCT(MAX(ROW(E$2:E202)*(E203=E$2:E202)))))</f>
        <v/>
      </c>
      <c r="J203" s="24" t="str">
        <f ca="1">IF(OR(E203="",E203="!!!",F203="NEW"),"",COUNTBLANK(OFFSET(A$1,,,SUMPRODUCT(MAX(ROW(E$2:E203)*(E203=E$2:E203)))))-COUNTBLANK(OFFSET(A$1,,,SUMPRODUCT(MAX(ROW(E$1:E202)*(E2=E$1:E202))))))</f>
        <v/>
      </c>
      <c r="K203" s="24" t="str">
        <f>IF(OR(E203="",E203="!!!",F203="NEW"),"",INDEX(J$1:J202,SUMPRODUCT(MAX(ROW(E$1:E202)*(E203=E$1:E202)))))</f>
        <v/>
      </c>
      <c r="L203" s="29"/>
    </row>
    <row r="204" spans="1:12" x14ac:dyDescent="0.3">
      <c r="A204" t="s">
        <v>220</v>
      </c>
      <c r="E204" s="27"/>
      <c r="F204" s="28" t="str">
        <f>IF(OR(E204="",E204="!!!"),"",IF(NOT(ISNA(VLOOKUP(E204,E$1:E203,1,FALSE()))),"OLD",IF(AND(E204&lt;&gt;"",E204&lt;&gt;"!!!"),"NEW","")))</f>
        <v/>
      </c>
      <c r="G204" s="22" t="str">
        <f>IF(OR(E204="",E204="!!!"),"",IF(OR(J204=0,AND(J204=1,K204=1),AND(J204=1,I204="SBJ"),AND(J204=1,I204=0)),"?IN_FOCUS",IF(J204&lt;=2,"?ACTIVATED",IF(J204&lt;&gt;"","?FAMILIAR",IF(F204="NEW",IF(ISNA(VLOOKUP(E204,#REF!,1,FALSE())),"?TYPE_IDENTIFIABLE","?REFERENTIAL"),"_")))))</f>
        <v/>
      </c>
      <c r="H204" s="23" t="str">
        <f t="shared" ca="1" si="10"/>
        <v/>
      </c>
      <c r="I204" s="24" t="str">
        <f>IF(OR(E204="",E204="!!!",F204="NEW"),"",INDEX(B$2:B203,-1+SUMPRODUCT(MAX(ROW(E$2:E203)*(E204=E$2:E203)))))</f>
        <v/>
      </c>
      <c r="J204" s="24" t="str">
        <f ca="1">IF(OR(E204="",E204="!!!",F204="NEW"),"",COUNTBLANK(OFFSET(A$1,,,SUMPRODUCT(MAX(ROW(E$2:E204)*(E204=E$2:E204)))))-COUNTBLANK(OFFSET(A$1,,,SUMPRODUCT(MAX(ROW(E$1:E203)*(E2=E$1:E203))))))</f>
        <v/>
      </c>
      <c r="K204" s="24" t="str">
        <f>IF(OR(E204="",E204="!!!",F204="NEW"),"",INDEX(J$1:J203,SUMPRODUCT(MAX(ROW(E$1:E203)*(E204=E$1:E203)))))</f>
        <v/>
      </c>
      <c r="L204" s="29"/>
    </row>
    <row r="205" spans="1:12" x14ac:dyDescent="0.3">
      <c r="A205" t="s">
        <v>152</v>
      </c>
      <c r="E205" s="27"/>
      <c r="F205" s="28" t="str">
        <f>IF(OR(E205="",E205="!!!"),"",IF(NOT(ISNA(VLOOKUP(E205,E$1:E204,1,FALSE()))),"OLD",IF(AND(E205&lt;&gt;"",E205&lt;&gt;"!!!"),"NEW","")))</f>
        <v/>
      </c>
      <c r="G205" s="22" t="str">
        <f>IF(OR(E205="",E205="!!!"),"",IF(OR(J205=0,AND(J205=1,K205=1),AND(J205=1,I205="SBJ"),AND(J205=1,I205=0)),"?IN_FOCUS",IF(J205&lt;=2,"?ACTIVATED",IF(J205&lt;&gt;"","?FAMILIAR",IF(F205="NEW",IF(ISNA(VLOOKUP(E205,#REF!,1,FALSE())),"?TYPE_IDENTIFIABLE","?REFERENTIAL"),"_")))))</f>
        <v/>
      </c>
      <c r="H205" s="23" t="str">
        <f t="shared" ca="1" si="10"/>
        <v/>
      </c>
      <c r="I205" s="24" t="str">
        <f>IF(OR(E205="",E205="!!!",F205="NEW"),"",INDEX(B$2:B204,-1+SUMPRODUCT(MAX(ROW(E$2:E204)*(E205=E$2:E204)))))</f>
        <v/>
      </c>
      <c r="J205" s="24" t="str">
        <f ca="1">IF(OR(E205="",E205="!!!",F205="NEW"),"",COUNTBLANK(OFFSET(A$1,,,SUMPRODUCT(MAX(ROW(E$2:E205)*(E205=E$2:E205)))))-COUNTBLANK(OFFSET(A$1,,,SUMPRODUCT(MAX(ROW(E$1:E204)*(E2=E$1:E204))))))</f>
        <v/>
      </c>
      <c r="K205" s="24" t="str">
        <f>IF(OR(E205="",E205="!!!",F205="NEW"),"",INDEX(J$1:J204,SUMPRODUCT(MAX(ROW(E$1:E204)*(E205=E$1:E204)))))</f>
        <v/>
      </c>
      <c r="L205" s="29"/>
    </row>
    <row r="206" spans="1:12" x14ac:dyDescent="0.3">
      <c r="A206" t="s">
        <v>129</v>
      </c>
      <c r="E206" s="27"/>
      <c r="F206" s="28" t="str">
        <f>IF(OR(E206="",E206="!!!"),"",IF(NOT(ISNA(VLOOKUP(E206,E$1:E205,1,FALSE()))),"OLD",IF(AND(E206&lt;&gt;"",E206&lt;&gt;"!!!"),"NEW","")))</f>
        <v/>
      </c>
      <c r="G206" s="22" t="str">
        <f>IF(OR(E206="",E206="!!!"),"",IF(OR(J206=0,AND(J206=1,K206=1),AND(J206=1,I206="SBJ"),AND(J206=1,I206=0)),"?IN_FOCUS",IF(J206&lt;=2,"?ACTIVATED",IF(J206&lt;&gt;"","?FAMILIAR",IF(F206="NEW",IF(ISNA(VLOOKUP(E206,#REF!,1,FALSE())),"?TYPE_IDENTIFIABLE","?REFERENTIAL"),"_")))))</f>
        <v/>
      </c>
      <c r="H206" s="23" t="str">
        <f t="shared" ca="1" si="10"/>
        <v/>
      </c>
      <c r="I206" s="24" t="str">
        <f>IF(OR(E206="",E206="!!!",F206="NEW"),"",INDEX(B$2:B205,-1+SUMPRODUCT(MAX(ROW(E$2:E205)*(E206=E$2:E205)))))</f>
        <v/>
      </c>
      <c r="J206" s="24" t="str">
        <f ca="1">IF(OR(E206="",E206="!!!",F206="NEW"),"",COUNTBLANK(OFFSET(A$1,,,SUMPRODUCT(MAX(ROW(E$2:E206)*(E206=E$2:E206)))))-COUNTBLANK(OFFSET(A$1,,,SUMPRODUCT(MAX(ROW(E$1:E205)*(E2=E$1:E205))))))</f>
        <v/>
      </c>
      <c r="K206" s="24" t="str">
        <f>IF(OR(E206="",E206="!!!",F206="NEW"),"",INDEX(J$1:J205,SUMPRODUCT(MAX(ROW(E$1:E205)*(E206=E$1:E205)))))</f>
        <v/>
      </c>
      <c r="L206" s="29"/>
    </row>
    <row r="208" spans="1:12" x14ac:dyDescent="0.3">
      <c r="A208" t="s">
        <v>130</v>
      </c>
      <c r="E208" s="27"/>
      <c r="F208" s="28" t="str">
        <f>IF(OR(E208="",E208="!!!"),"",IF(NOT(ISNA(VLOOKUP(E208,E$1:E207,1,FALSE()))),"OLD",IF(AND(E208&lt;&gt;"",E208&lt;&gt;"!!!"),"NEW","")))</f>
        <v/>
      </c>
      <c r="G208" s="22" t="str">
        <f>IF(OR(E208="",E208="!!!"),"",IF(OR(J208=0,AND(J208=1,K208=1),AND(J208=1,I208="SBJ"),AND(J208=1,I208=0)),"?IN_FOCUS",IF(J208&lt;=2,"?ACTIVATED",IF(J208&lt;&gt;"","?FAMILIAR",IF(F208="NEW",IF(ISNA(VLOOKUP(E208,#REF!,1,FALSE())),"?TYPE_IDENTIFIABLE","?REFERENTIAL"),"_")))))</f>
        <v/>
      </c>
      <c r="H208" s="23" t="str">
        <f ca="1">IF(J208&lt;&gt;1,"",IF(I208="SBJ","CB","?"))</f>
        <v/>
      </c>
      <c r="I208" s="24" t="str">
        <f>IF(OR(E208="",E208="!!!",F208="NEW"),"",INDEX(B$2:B207,-1+SUMPRODUCT(MAX(ROW(E$2:E207)*(E208=E$2:E207)))))</f>
        <v/>
      </c>
      <c r="J208" s="24" t="str">
        <f ca="1">IF(OR(E208="",E208="!!!",F208="NEW"),"",COUNTBLANK(OFFSET(A$1,,,SUMPRODUCT(MAX(ROW(E$2:E208)*(E208=E$2:E208)))))-COUNTBLANK(OFFSET(A$1,,,SUMPRODUCT(MAX(ROW(E$1:E207)*(E2=E$1:E207))))))</f>
        <v/>
      </c>
      <c r="K208" s="24" t="str">
        <f>IF(OR(E208="",E208="!!!",F208="NEW"),"",INDEX(J$1:J207,SUMPRODUCT(MAX(ROW(E$1:E207)*(E208=E$1:E207)))))</f>
        <v/>
      </c>
      <c r="L208" s="29"/>
    </row>
    <row r="209" spans="1:12" x14ac:dyDescent="0.3">
      <c r="A209" t="s">
        <v>221</v>
      </c>
    </row>
    <row r="210" spans="1:12" x14ac:dyDescent="0.3">
      <c r="A210" t="s">
        <v>152</v>
      </c>
      <c r="E210" s="27"/>
      <c r="F210" s="28" t="str">
        <f>IF(OR(E210="",E210="!!!"),"",IF(NOT(ISNA(VLOOKUP(E210,E$1:E209,1,FALSE()))),"OLD",IF(AND(E210&lt;&gt;"",E210&lt;&gt;"!!!"),"NEW","")))</f>
        <v/>
      </c>
      <c r="G210" s="22" t="str">
        <f>IF(OR(E210="",E210="!!!"),"",IF(OR(J210=0,AND(J210=1,K210=1),AND(J210=1,I210="SBJ"),AND(J210=1,I210=0)),"?IN_FOCUS",IF(J210&lt;=2,"?ACTIVATED",IF(J210&lt;&gt;"","?FAMILIAR",IF(F210="NEW",IF(ISNA(VLOOKUP(E210,#REF!,1,FALSE())),"?TYPE_IDENTIFIABLE","?REFERENTIAL"),"_")))))</f>
        <v/>
      </c>
      <c r="H210" s="23" t="str">
        <f t="shared" ref="H210:H235" ca="1" si="11">IF(J210&lt;&gt;1,"",IF(I210="SBJ","CB","?"))</f>
        <v/>
      </c>
      <c r="I210" s="24" t="str">
        <f>IF(OR(E210="",E210="!!!",F210="NEW"),"",INDEX(B$2:B209,-1+SUMPRODUCT(MAX(ROW(E$2:E209)*(E210=E$2:E209)))))</f>
        <v/>
      </c>
      <c r="J210" s="24" t="str">
        <f ca="1">IF(OR(E210="",E210="!!!",F210="NEW"),"",COUNTBLANK(OFFSET(A$1,,,SUMPRODUCT(MAX(ROW(E$2:E210)*(E210=E$2:E210)))))-COUNTBLANK(OFFSET(A$1,,,SUMPRODUCT(MAX(ROW(E$1:E209)*(E2=E$1:E209))))))</f>
        <v/>
      </c>
      <c r="K210" s="24" t="str">
        <f>IF(OR(E210="",E210="!!!",F210="NEW"),"",INDEX(J$1:J209,SUMPRODUCT(MAX(ROW(E$1:E209)*(E210=E$1:E209)))))</f>
        <v/>
      </c>
      <c r="L210" s="29"/>
    </row>
    <row r="211" spans="1:12" x14ac:dyDescent="0.3">
      <c r="A211" t="s">
        <v>222</v>
      </c>
      <c r="B211" s="26" t="s">
        <v>96</v>
      </c>
      <c r="C211" s="26" t="s">
        <v>111</v>
      </c>
      <c r="D211" s="26" t="s">
        <v>98</v>
      </c>
      <c r="E211" s="27" t="s">
        <v>344</v>
      </c>
      <c r="F211" s="28" t="str">
        <f>IF(OR(E211="",E211="!!!"),"",IF(NOT(ISNA(VLOOKUP(E211,E$1:E210,1,FALSE()))),"OLD",IF(AND(E211&lt;&gt;"",E211&lt;&gt;"!!!"),"NEW","")))</f>
        <v>OLD</v>
      </c>
      <c r="G211" s="22" t="str">
        <f ca="1">IF(OR(E211="",E211="!!!"),"",IF(OR(J211=0,AND(J211=1,K211=1),AND(J211=1,I211="SBJ"),AND(J211=1,I211=0)),"?IN_FOCUS",IF(J211&lt;=2,"?ACTIVATED",IF(J211&lt;&gt;"","?FAMILIAR",IF(F211="NEW",IF(ISNA(VLOOKUP(E211,#REF!,1,FALSE())),"?TYPE_IDENTIFIABLE","?REFERENTIAL"),"_")))))</f>
        <v>?IN_FOCUS</v>
      </c>
      <c r="H211" s="23" t="str">
        <f t="shared" ca="1" si="11"/>
        <v/>
      </c>
      <c r="I211" s="24" t="str">
        <f>IF(OR(E211="",E211="!!!",F211="NEW"),"",INDEX(B$2:B210,-1+SUMPRODUCT(MAX(ROW(E$2:E210)*(E211=E$2:E210)))))</f>
        <v>SBJ_2</v>
      </c>
      <c r="J211" s="24">
        <f ca="1">IF(OR(E211="",E211="!!!",F211="NEW"),"",COUNTBLANK(OFFSET(A$1,,,SUMPRODUCT(MAX(ROW(E$2:E211)*(E211=E$2:E211)))))-COUNTBLANK(OFFSET(A$1,,,SUMPRODUCT(MAX(ROW(E$1:E210)*(E2=E$1:E210))))))</f>
        <v>0</v>
      </c>
      <c r="K211" s="24">
        <f ca="1">IF(OR(E211="",E211="!!!",F211="NEW"),"",INDEX(J$1:J210,SUMPRODUCT(MAX(ROW(E$1:E210)*(E211=E$1:E210)))))</f>
        <v>0</v>
      </c>
      <c r="L211" s="29"/>
    </row>
    <row r="212" spans="1:12" x14ac:dyDescent="0.3">
      <c r="A212" t="s">
        <v>189</v>
      </c>
      <c r="E212" s="27"/>
      <c r="F212" s="28" t="str">
        <f>IF(OR(E212="",E212="!!!"),"",IF(NOT(ISNA(VLOOKUP(E212,E$1:E211,1,FALSE()))),"OLD",IF(AND(E212&lt;&gt;"",E212&lt;&gt;"!!!"),"NEW","")))</f>
        <v/>
      </c>
      <c r="G212" s="22" t="str">
        <f>IF(OR(E212="",E212="!!!"),"",IF(OR(J212=0,AND(J212=1,K212=1),AND(J212=1,I212="SBJ"),AND(J212=1,I212=0)),"?IN_FOCUS",IF(J212&lt;=2,"?ACTIVATED",IF(J212&lt;&gt;"","?FAMILIAR",IF(F212="NEW",IF(ISNA(VLOOKUP(E212,#REF!,1,FALSE())),"?TYPE_IDENTIFIABLE","?REFERENTIAL"),"_")))))</f>
        <v/>
      </c>
      <c r="H212" s="23" t="str">
        <f t="shared" ca="1" si="11"/>
        <v/>
      </c>
      <c r="I212" s="24" t="str">
        <f>IF(OR(E212="",E212="!!!",F212="NEW"),"",INDEX(B$2:B211,-1+SUMPRODUCT(MAX(ROW(E$2:E211)*(E212=E$2:E211)))))</f>
        <v/>
      </c>
      <c r="J212" s="24" t="str">
        <f ca="1">IF(OR(E212="",E212="!!!",F212="NEW"),"",COUNTBLANK(OFFSET(A$1,,,SUMPRODUCT(MAX(ROW(E$2:E212)*(E212=E$2:E212)))))-COUNTBLANK(OFFSET(A$1,,,SUMPRODUCT(MAX(ROW(E$1:E211)*(E2=E$1:E211))))))</f>
        <v/>
      </c>
      <c r="K212" s="24" t="str">
        <f>IF(OR(E212="",E212="!!!",F212="NEW"),"",INDEX(J$1:J211,SUMPRODUCT(MAX(ROW(E$1:E211)*(E212=E$1:E211)))))</f>
        <v/>
      </c>
      <c r="L212" s="29"/>
    </row>
    <row r="213" spans="1:12" x14ac:dyDescent="0.3">
      <c r="A213" t="s">
        <v>223</v>
      </c>
      <c r="E213" s="27"/>
      <c r="F213" s="28" t="str">
        <f>IF(OR(E213="",E213="!!!"),"",IF(NOT(ISNA(VLOOKUP(E213,E$1:E212,1,FALSE()))),"OLD",IF(AND(E213&lt;&gt;"",E213&lt;&gt;"!!!"),"NEW","")))</f>
        <v/>
      </c>
      <c r="G213" s="22" t="str">
        <f>IF(OR(E213="",E213="!!!"),"",IF(OR(J213=0,AND(J213=1,K213=1),AND(J213=1,I213="SBJ"),AND(J213=1,I213=0)),"?IN_FOCUS",IF(J213&lt;=2,"?ACTIVATED",IF(J213&lt;&gt;"","?FAMILIAR",IF(F213="NEW",IF(ISNA(VLOOKUP(E213,#REF!,1,FALSE())),"?TYPE_IDENTIFIABLE","?REFERENTIAL"),"_")))))</f>
        <v/>
      </c>
      <c r="H213" s="23" t="str">
        <f t="shared" ca="1" si="11"/>
        <v/>
      </c>
      <c r="I213" s="24" t="str">
        <f>IF(OR(E213="",E213="!!!",F213="NEW"),"",INDEX(B$2:B212,-1+SUMPRODUCT(MAX(ROW(E$2:E212)*(E213=E$2:E212)))))</f>
        <v/>
      </c>
      <c r="J213" s="24" t="str">
        <f ca="1">IF(OR(E213="",E213="!!!",F213="NEW"),"",COUNTBLANK(OFFSET(A$1,,,SUMPRODUCT(MAX(ROW(E$2:E213)*(E213=E$2:E213)))))-COUNTBLANK(OFFSET(A$1,,,SUMPRODUCT(MAX(ROW(E$1:E212)*(E2=E$1:E212))))))</f>
        <v/>
      </c>
      <c r="K213" s="24" t="str">
        <f>IF(OR(E213="",E213="!!!",F213="NEW"),"",INDEX(J$1:J212,SUMPRODUCT(MAX(ROW(E$1:E212)*(E213=E$1:E212)))))</f>
        <v/>
      </c>
      <c r="L213" s="29"/>
    </row>
    <row r="214" spans="1:12" x14ac:dyDescent="0.3">
      <c r="A214" t="s">
        <v>224</v>
      </c>
      <c r="E214" s="27"/>
      <c r="F214" s="28" t="str">
        <f>IF(OR(E214="",E214="!!!"),"",IF(NOT(ISNA(VLOOKUP(E214,E$1:E213,1,FALSE()))),"OLD",IF(AND(E214&lt;&gt;"",E214&lt;&gt;"!!!"),"NEW","")))</f>
        <v/>
      </c>
      <c r="G214" s="22" t="str">
        <f>IF(OR(E214="",E214="!!!"),"",IF(OR(J214=0,AND(J214=1,K214=1),AND(J214=1,I214="SBJ"),AND(J214=1,I214=0)),"?IN_FOCUS",IF(J214&lt;=2,"?ACTIVATED",IF(J214&lt;&gt;"","?FAMILIAR",IF(F214="NEW",IF(ISNA(VLOOKUP(E214,#REF!,1,FALSE())),"?TYPE_IDENTIFIABLE","?REFERENTIAL"),"_")))))</f>
        <v/>
      </c>
      <c r="H214" s="23" t="str">
        <f t="shared" ca="1" si="11"/>
        <v/>
      </c>
      <c r="I214" s="24" t="str">
        <f>IF(OR(E214="",E214="!!!",F214="NEW"),"",INDEX(B$2:B213,-1+SUMPRODUCT(MAX(ROW(E$2:E213)*(E214=E$2:E213)))))</f>
        <v/>
      </c>
      <c r="J214" s="24" t="str">
        <f ca="1">IF(OR(E214="",E214="!!!",F214="NEW"),"",COUNTBLANK(OFFSET(A$1,,,SUMPRODUCT(MAX(ROW(E$2:E214)*(E214=E$2:E214)))))-COUNTBLANK(OFFSET(A$1,,,SUMPRODUCT(MAX(ROW(E$1:E213)*(E2=E$1:E213))))))</f>
        <v/>
      </c>
      <c r="K214" s="24" t="str">
        <f>IF(OR(E214="",E214="!!!",F214="NEW"),"",INDEX(J$1:J213,SUMPRODUCT(MAX(ROW(E$1:E213)*(E214=E$1:E213)))))</f>
        <v/>
      </c>
      <c r="L214" s="29"/>
    </row>
    <row r="215" spans="1:12" x14ac:dyDescent="0.3">
      <c r="A215" t="s">
        <v>225</v>
      </c>
      <c r="B215" s="26" t="s">
        <v>123</v>
      </c>
      <c r="C215" s="26" t="s">
        <v>128</v>
      </c>
      <c r="E215" s="27"/>
      <c r="F215" s="28" t="s">
        <v>333</v>
      </c>
      <c r="G215" s="22" t="str">
        <f>IF(OR(E215="",E215="!!!"),"",IF(OR(J215=0,AND(J215=1,K215=1),AND(J215=1,I215="SBJ"),AND(J215=1,I215=0)),"?IN_FOCUS",IF(J215&lt;=2,"?ACTIVATED",IF(J215&lt;&gt;"","?FAMILIAR",IF(F215="NEW",IF(ISNA(VLOOKUP(E215,#REF!,1,FALSE())),"?TYPE_IDENTIFIABLE","?REFERENTIAL"),"_")))))</f>
        <v/>
      </c>
      <c r="H215" s="23" t="str">
        <f t="shared" ca="1" si="11"/>
        <v/>
      </c>
      <c r="I215" s="24" t="str">
        <f>IF(OR(E215="",E215="!!!",F215="NEW"),"",INDEX(B$2:B214,-1+SUMPRODUCT(MAX(ROW(E$2:E214)*(E215=E$2:E214)))))</f>
        <v/>
      </c>
      <c r="J215" s="24" t="str">
        <f ca="1">IF(OR(E215="",E215="!!!",F215="NEW"),"",COUNTBLANK(OFFSET(A$1,,,SUMPRODUCT(MAX(ROW(E$2:E215)*(E215=E$2:E215)))))-COUNTBLANK(OFFSET(A$1,,,SUMPRODUCT(MAX(ROW(E$1:E214)*(E2=E$1:E214))))))</f>
        <v/>
      </c>
      <c r="K215" s="24" t="str">
        <f>IF(OR(E215="",E215="!!!",F215="NEW"),"",INDEX(J$1:J214,SUMPRODUCT(MAX(ROW(E$1:E214)*(E215=E$1:E214)))))</f>
        <v/>
      </c>
      <c r="L215" s="29"/>
    </row>
    <row r="216" spans="1:12" x14ac:dyDescent="0.3">
      <c r="A216" t="s">
        <v>108</v>
      </c>
      <c r="E216" s="27"/>
      <c r="F216" s="28" t="str">
        <f>IF(OR(E216="",E216="!!!"),"",IF(NOT(ISNA(VLOOKUP(E216,E$1:E215,1,FALSE()))),"OLD",IF(AND(E216&lt;&gt;"",E216&lt;&gt;"!!!"),"NEW","")))</f>
        <v/>
      </c>
      <c r="G216" s="22" t="str">
        <f>IF(OR(E216="",E216="!!!"),"",IF(OR(J216=0,AND(J216=1,K216=1),AND(J216=1,I216="SBJ"),AND(J216=1,I216=0)),"?IN_FOCUS",IF(J216&lt;=2,"?ACTIVATED",IF(J216&lt;&gt;"","?FAMILIAR",IF(F216="NEW",IF(ISNA(VLOOKUP(E216,#REF!,1,FALSE())),"?TYPE_IDENTIFIABLE","?REFERENTIAL"),"_")))))</f>
        <v/>
      </c>
      <c r="H216" s="23" t="str">
        <f t="shared" ca="1" si="11"/>
        <v/>
      </c>
      <c r="I216" s="24" t="str">
        <f>IF(OR(E216="",E216="!!!",F216="NEW"),"",INDEX(B$2:B215,-1+SUMPRODUCT(MAX(ROW(E$2:E215)*(E216=E$2:E215)))))</f>
        <v/>
      </c>
      <c r="J216" s="24" t="str">
        <f ca="1">IF(OR(E216="",E216="!!!",F216="NEW"),"",COUNTBLANK(OFFSET(A$1,,,SUMPRODUCT(MAX(ROW(E$2:E216)*(E216=E$2:E216)))))-COUNTBLANK(OFFSET(A$1,,,SUMPRODUCT(MAX(ROW(E$1:E215)*(E2=E$1:E215))))))</f>
        <v/>
      </c>
      <c r="K216" s="24" t="str">
        <f>IF(OR(E216="",E216="!!!",F216="NEW"),"",INDEX(J$1:J215,SUMPRODUCT(MAX(ROW(E$1:E215)*(E216=E$1:E215)))))</f>
        <v/>
      </c>
      <c r="L216" s="29"/>
    </row>
    <row r="217" spans="1:12" x14ac:dyDescent="0.3">
      <c r="A217" t="s">
        <v>226</v>
      </c>
      <c r="B217" s="26" t="s">
        <v>140</v>
      </c>
      <c r="C217" s="26" t="s">
        <v>111</v>
      </c>
      <c r="D217" s="26" t="s">
        <v>98</v>
      </c>
      <c r="E217" s="27"/>
      <c r="F217" s="28" t="str">
        <f>IF(OR(E217="",E217="!!!"),"",IF(NOT(ISNA(VLOOKUP(E217,E$1:E216,1,FALSE()))),"OLD",IF(AND(E217&lt;&gt;"",E217&lt;&gt;"!!!"),"NEW","")))</f>
        <v/>
      </c>
      <c r="G217" s="22" t="str">
        <f>IF(OR(E217="",E217="!!!"),"",IF(OR(J217=0,AND(J217=1,K217=1),AND(J217=1,I217="SBJ"),AND(J217=1,I217=0)),"?IN_FOCUS",IF(J217&lt;=2,"?ACTIVATED",IF(J217&lt;&gt;"","?FAMILIAR",IF(F217="NEW",IF(ISNA(VLOOKUP(E217,#REF!,1,FALSE())),"?TYPE_IDENTIFIABLE","?REFERENTIAL"),"_")))))</f>
        <v/>
      </c>
      <c r="H217" s="23" t="str">
        <f t="shared" ca="1" si="11"/>
        <v/>
      </c>
      <c r="I217" s="24" t="str">
        <f>IF(OR(E217="",E217="!!!",F217="NEW"),"",INDEX(B$2:B216,-1+SUMPRODUCT(MAX(ROW(E$2:E216)*(E217=E$2:E216)))))</f>
        <v/>
      </c>
      <c r="J217" s="24" t="str">
        <f ca="1">IF(OR(E217="",E217="!!!",F217="NEW"),"",COUNTBLANK(OFFSET(A$1,,,SUMPRODUCT(MAX(ROW(E$2:E217)*(E217=E$2:E217)))))-COUNTBLANK(OFFSET(A$1,,,SUMPRODUCT(MAX(ROW(E$1:E216)*(E2=E$1:E216))))))</f>
        <v/>
      </c>
      <c r="K217" s="24" t="str">
        <f>IF(OR(E217="",E217="!!!",F217="NEW"),"",INDEX(J$1:J216,SUMPRODUCT(MAX(ROW(E$1:E216)*(E217=E$1:E216)))))</f>
        <v/>
      </c>
      <c r="L217" s="29" t="s">
        <v>362</v>
      </c>
    </row>
    <row r="218" spans="1:12" x14ac:dyDescent="0.3">
      <c r="A218" t="s">
        <v>227</v>
      </c>
      <c r="E218" s="27"/>
      <c r="F218" s="28" t="str">
        <f>IF(OR(E218="",E218="!!!"),"",IF(NOT(ISNA(VLOOKUP(E218,E$1:E217,1,FALSE()))),"OLD",IF(AND(E218&lt;&gt;"",E218&lt;&gt;"!!!"),"NEW","")))</f>
        <v/>
      </c>
      <c r="G218" s="22" t="str">
        <f>IF(OR(E218="",E218="!!!"),"",IF(OR(J218=0,AND(J218=1,K218=1),AND(J218=1,I218="SBJ"),AND(J218=1,I218=0)),"?IN_FOCUS",IF(J218&lt;=2,"?ACTIVATED",IF(J218&lt;&gt;"","?FAMILIAR",IF(F218="NEW",IF(ISNA(VLOOKUP(E218,#REF!,1,FALSE())),"?TYPE_IDENTIFIABLE","?REFERENTIAL"),"_")))))</f>
        <v/>
      </c>
      <c r="H218" s="23" t="str">
        <f t="shared" ca="1" si="11"/>
        <v/>
      </c>
      <c r="I218" s="24" t="str">
        <f>IF(OR(E218="",E218="!!!",F218="NEW"),"",INDEX(B$2:B217,-1+SUMPRODUCT(MAX(ROW(E$2:E217)*(E218=E$2:E217)))))</f>
        <v/>
      </c>
      <c r="J218" s="24" t="str">
        <f ca="1">IF(OR(E218="",E218="!!!",F218="NEW"),"",COUNTBLANK(OFFSET(A$1,,,SUMPRODUCT(MAX(ROW(E$2:E218)*(E218=E$2:E218)))))-COUNTBLANK(OFFSET(A$1,,,SUMPRODUCT(MAX(ROW(E$1:E217)*(E2=E$1:E217))))))</f>
        <v/>
      </c>
      <c r="K218" s="24" t="str">
        <f>IF(OR(E218="",E218="!!!",F218="NEW"),"",INDEX(J$1:J217,SUMPRODUCT(MAX(ROW(E$1:E217)*(E218=E$1:E217)))))</f>
        <v/>
      </c>
      <c r="L218" s="29"/>
    </row>
    <row r="219" spans="1:12" x14ac:dyDescent="0.3">
      <c r="A219" t="s">
        <v>228</v>
      </c>
      <c r="E219" s="27"/>
      <c r="F219" s="28" t="str">
        <f>IF(OR(E219="",E219="!!!"),"",IF(NOT(ISNA(VLOOKUP(E219,E$1:E218,1,FALSE()))),"OLD",IF(AND(E219&lt;&gt;"",E219&lt;&gt;"!!!"),"NEW","")))</f>
        <v/>
      </c>
      <c r="G219" s="22" t="str">
        <f>IF(OR(E219="",E219="!!!"),"",IF(OR(J219=0,AND(J219=1,K219=1),AND(J219=1,I219="SBJ"),AND(J219=1,I219=0)),"?IN_FOCUS",IF(J219&lt;=2,"?ACTIVATED",IF(J219&lt;&gt;"","?FAMILIAR",IF(F219="NEW",IF(ISNA(VLOOKUP(E219,#REF!,1,FALSE())),"?TYPE_IDENTIFIABLE","?REFERENTIAL"),"_")))))</f>
        <v/>
      </c>
      <c r="H219" s="23" t="str">
        <f t="shared" ca="1" si="11"/>
        <v/>
      </c>
      <c r="I219" s="24" t="str">
        <f>IF(OR(E219="",E219="!!!",F219="NEW"),"",INDEX(B$2:B218,-1+SUMPRODUCT(MAX(ROW(E$2:E218)*(E219=E$2:E218)))))</f>
        <v/>
      </c>
      <c r="J219" s="24" t="str">
        <f ca="1">IF(OR(E219="",E219="!!!",F219="NEW"),"",COUNTBLANK(OFFSET(A$1,,,SUMPRODUCT(MAX(ROW(E$2:E219)*(E219=E$2:E219)))))-COUNTBLANK(OFFSET(A$1,,,SUMPRODUCT(MAX(ROW(E$1:E218)*(E2=E$1:E218))))))</f>
        <v/>
      </c>
      <c r="K219" s="24" t="str">
        <f>IF(OR(E219="",E219="!!!",F219="NEW"),"",INDEX(J$1:J218,SUMPRODUCT(MAX(ROW(E$1:E218)*(E219=E$1:E218)))))</f>
        <v/>
      </c>
      <c r="L219" s="29"/>
    </row>
    <row r="220" spans="1:12" x14ac:dyDescent="0.3">
      <c r="A220" t="s">
        <v>229</v>
      </c>
      <c r="E220" s="27"/>
      <c r="F220" s="28" t="str">
        <f>IF(OR(E220="",E220="!!!"),"",IF(NOT(ISNA(VLOOKUP(E220,E$1:E219,1,FALSE()))),"OLD",IF(AND(E220&lt;&gt;"",E220&lt;&gt;"!!!"),"NEW","")))</f>
        <v/>
      </c>
      <c r="G220" s="22" t="str">
        <f>IF(OR(E220="",E220="!!!"),"",IF(OR(J220=0,AND(J220=1,K220=1),AND(J220=1,I220="SBJ"),AND(J220=1,I220=0)),"?IN_FOCUS",IF(J220&lt;=2,"?ACTIVATED",IF(J220&lt;&gt;"","?FAMILIAR",IF(F220="NEW",IF(ISNA(VLOOKUP(E220,#REF!,1,FALSE())),"?TYPE_IDENTIFIABLE","?REFERENTIAL"),"_")))))</f>
        <v/>
      </c>
      <c r="H220" s="23" t="str">
        <f t="shared" ca="1" si="11"/>
        <v/>
      </c>
      <c r="I220" s="24" t="str">
        <f>IF(OR(E220="",E220="!!!",F220="NEW"),"",INDEX(B$2:B219,-1+SUMPRODUCT(MAX(ROW(E$2:E219)*(E220=E$2:E219)))))</f>
        <v/>
      </c>
      <c r="J220" s="24" t="str">
        <f ca="1">IF(OR(E220="",E220="!!!",F220="NEW"),"",COUNTBLANK(OFFSET(A$1,,,SUMPRODUCT(MAX(ROW(E$2:E220)*(E220=E$2:E220)))))-COUNTBLANK(OFFSET(A$1,,,SUMPRODUCT(MAX(ROW(E$1:E219)*(E2=E$1:E219))))))</f>
        <v/>
      </c>
      <c r="K220" s="24" t="str">
        <f>IF(OR(E220="",E220="!!!",F220="NEW"),"",INDEX(J$1:J219,SUMPRODUCT(MAX(ROW(E$1:E219)*(E220=E$1:E219)))))</f>
        <v/>
      </c>
      <c r="L220" s="29"/>
    </row>
    <row r="221" spans="1:12" x14ac:dyDescent="0.3">
      <c r="A221" t="s">
        <v>230</v>
      </c>
      <c r="B221" s="26" t="s">
        <v>101</v>
      </c>
      <c r="C221" s="26" t="s">
        <v>128</v>
      </c>
      <c r="E221" s="27"/>
      <c r="F221" s="28" t="str">
        <f>IF(OR(E221="",E221="!!!"),"",IF(NOT(ISNA(VLOOKUP(E221,E$1:E220,1,FALSE()))),"OLD",IF(AND(E221&lt;&gt;"",E221&lt;&gt;"!!!"),"NEW","")))</f>
        <v/>
      </c>
      <c r="G221" s="22" t="str">
        <f>IF(OR(E221="",E221="!!!"),"",IF(OR(J221=0,AND(J221=1,K221=1),AND(J221=1,I221="SBJ"),AND(J221=1,I221=0)),"?IN_FOCUS",IF(J221&lt;=2,"?ACTIVATED",IF(J221&lt;&gt;"","?FAMILIAR",IF(F221="NEW",IF(ISNA(VLOOKUP(E221,#REF!,1,FALSE())),"?TYPE_IDENTIFIABLE","?REFERENTIAL"),"_")))))</f>
        <v/>
      </c>
      <c r="H221" s="23" t="str">
        <f t="shared" ca="1" si="11"/>
        <v/>
      </c>
      <c r="I221" s="24" t="str">
        <f>IF(OR(E221="",E221="!!!",F221="NEW"),"",INDEX(B$2:B220,-1+SUMPRODUCT(MAX(ROW(E$2:E220)*(E221=E$2:E220)))))</f>
        <v/>
      </c>
      <c r="J221" s="24" t="str">
        <f ca="1">IF(OR(E221="",E221="!!!",F221="NEW"),"",COUNTBLANK(OFFSET(A$1,,,SUMPRODUCT(MAX(ROW(E$2:E221)*(E221=E$2:E221)))))-COUNTBLANK(OFFSET(A$1,,,SUMPRODUCT(MAX(ROW(E$1:E220)*(E2=E$1:E220))))))</f>
        <v/>
      </c>
      <c r="K221" s="24" t="str">
        <f>IF(OR(E221="",E221="!!!",F221="NEW"),"",INDEX(J$1:J220,SUMPRODUCT(MAX(ROW(E$1:E220)*(E221=E$1:E220)))))</f>
        <v/>
      </c>
      <c r="L221" s="29"/>
    </row>
    <row r="222" spans="1:12" x14ac:dyDescent="0.3">
      <c r="A222" t="s">
        <v>231</v>
      </c>
      <c r="E222" s="27"/>
      <c r="F222" s="28" t="str">
        <f>IF(OR(E222="",E222="!!!"),"",IF(NOT(ISNA(VLOOKUP(E222,E$1:E221,1,FALSE()))),"OLD",IF(AND(E222&lt;&gt;"",E222&lt;&gt;"!!!"),"NEW","")))</f>
        <v/>
      </c>
      <c r="G222" s="22" t="str">
        <f>IF(OR(E222="",E222="!!!"),"",IF(OR(J222=0,AND(J222=1,K222=1),AND(J222=1,I222="SBJ"),AND(J222=1,I222=0)),"?IN_FOCUS",IF(J222&lt;=2,"?ACTIVATED",IF(J222&lt;&gt;"","?FAMILIAR",IF(F222="NEW",IF(ISNA(VLOOKUP(E222,#REF!,1,FALSE())),"?TYPE_IDENTIFIABLE","?REFERENTIAL"),"_")))))</f>
        <v/>
      </c>
      <c r="H222" s="23" t="str">
        <f t="shared" ca="1" si="11"/>
        <v/>
      </c>
      <c r="I222" s="24" t="str">
        <f>IF(OR(E222="",E222="!!!",F222="NEW"),"",INDEX(B$2:B221,-1+SUMPRODUCT(MAX(ROW(E$2:E221)*(E222=E$2:E221)))))</f>
        <v/>
      </c>
      <c r="J222" s="24" t="str">
        <f ca="1">IF(OR(E222="",E222="!!!",F222="NEW"),"",COUNTBLANK(OFFSET(A$1,,,SUMPRODUCT(MAX(ROW(E$2:E222)*(E222=E$2:E222)))))-COUNTBLANK(OFFSET(A$1,,,SUMPRODUCT(MAX(ROW(E$1:E221)*(E2=E$1:E221))))))</f>
        <v/>
      </c>
      <c r="K222" s="24" t="str">
        <f>IF(OR(E222="",E222="!!!",F222="NEW"),"",INDEX(J$1:J221,SUMPRODUCT(MAX(ROW(E$1:E221)*(E222=E$1:E221)))))</f>
        <v/>
      </c>
      <c r="L222" s="29"/>
    </row>
    <row r="223" spans="1:12" x14ac:dyDescent="0.3">
      <c r="A223" t="s">
        <v>186</v>
      </c>
      <c r="E223" s="27"/>
      <c r="F223" s="28" t="str">
        <f>IF(OR(E223="",E223="!!!"),"",IF(NOT(ISNA(VLOOKUP(E223,E$1:E222,1,FALSE()))),"OLD",IF(AND(E223&lt;&gt;"",E223&lt;&gt;"!!!"),"NEW","")))</f>
        <v/>
      </c>
      <c r="G223" s="22" t="str">
        <f>IF(OR(E223="",E223="!!!"),"",IF(OR(J223=0,AND(J223=1,K223=1),AND(J223=1,I223="SBJ"),AND(J223=1,I223=0)),"?IN_FOCUS",IF(J223&lt;=2,"?ACTIVATED",IF(J223&lt;&gt;"","?FAMILIAR",IF(F223="NEW",IF(ISNA(VLOOKUP(E223,#REF!,1,FALSE())),"?TYPE_IDENTIFIABLE","?REFERENTIAL"),"_")))))</f>
        <v/>
      </c>
      <c r="H223" s="23" t="str">
        <f t="shared" ca="1" si="11"/>
        <v/>
      </c>
      <c r="I223" s="24" t="str">
        <f>IF(OR(E223="",E223="!!!",F223="NEW"),"",INDEX(B$2:B222,-1+SUMPRODUCT(MAX(ROW(E$2:E222)*(E223=E$2:E222)))))</f>
        <v/>
      </c>
      <c r="J223" s="24" t="str">
        <f ca="1">IF(OR(E223="",E223="!!!",F223="NEW"),"",COUNTBLANK(OFFSET(A$1,,,SUMPRODUCT(MAX(ROW(E$2:E223)*(E223=E$2:E223)))))-COUNTBLANK(OFFSET(A$1,,,SUMPRODUCT(MAX(ROW(E$1:E222)*(E2=E$1:E222))))))</f>
        <v/>
      </c>
      <c r="K223" s="24" t="str">
        <f>IF(OR(E223="",E223="!!!",F223="NEW"),"",INDEX(J$1:J222,SUMPRODUCT(MAX(ROW(E$1:E222)*(E223=E$1:E222)))))</f>
        <v/>
      </c>
      <c r="L223" s="29"/>
    </row>
    <row r="224" spans="1:12" x14ac:dyDescent="0.3">
      <c r="A224" t="s">
        <v>232</v>
      </c>
      <c r="B224" s="26" t="s">
        <v>110</v>
      </c>
      <c r="C224" s="26" t="s">
        <v>111</v>
      </c>
      <c r="D224" s="26" t="s">
        <v>98</v>
      </c>
      <c r="E224" s="27" t="s">
        <v>344</v>
      </c>
      <c r="F224" s="28" t="str">
        <f>IF(OR(E224="",E224="!!!"),"",IF(NOT(ISNA(VLOOKUP(E224,E$1:E223,1,FALSE()))),"OLD",IF(AND(E224&lt;&gt;"",E224&lt;&gt;"!!!"),"NEW","")))</f>
        <v>OLD</v>
      </c>
      <c r="G224" s="22" t="str">
        <f ca="1">IF(OR(E224="",E224="!!!"),"",IF(OR(J224=0,AND(J224=1,K224=1),AND(J224=1,I224="SBJ"),AND(J224=1,I224=0)),"?IN_FOCUS",IF(J224&lt;=2,"?ACTIVATED",IF(J224&lt;&gt;"","?FAMILIAR",IF(F224="NEW",IF(ISNA(VLOOKUP(E224,#REF!,1,FALSE())),"?TYPE_IDENTIFIABLE","?REFERENTIAL"),"_")))))</f>
        <v>?IN_FOCUS</v>
      </c>
      <c r="H224" s="23" t="str">
        <f t="shared" ca="1" si="11"/>
        <v/>
      </c>
      <c r="I224" s="24" t="str">
        <f>IF(OR(E224="",E224="!!!",F224="NEW"),"",INDEX(B$2:B223,-1+SUMPRODUCT(MAX(ROW(E$2:E223)*(E224=E$2:E223)))))</f>
        <v>SBJ</v>
      </c>
      <c r="J224" s="24">
        <f ca="1">IF(OR(E224="",E224="!!!",F224="NEW"),"",COUNTBLANK(OFFSET(A$1,,,SUMPRODUCT(MAX(ROW(E$2:E224)*(E224=E$2:E224)))))-COUNTBLANK(OFFSET(A$1,,,SUMPRODUCT(MAX(ROW(E$1:E223)*(E2=E$1:E223))))))</f>
        <v>0</v>
      </c>
      <c r="K224" s="24">
        <f ca="1">IF(OR(E224="",E224="!!!",F224="NEW"),"",INDEX(J$1:J223,SUMPRODUCT(MAX(ROW(E$1:E223)*(E224=E$1:E223)))))</f>
        <v>0</v>
      </c>
      <c r="L224" s="29"/>
    </row>
    <row r="225" spans="1:12" x14ac:dyDescent="0.3">
      <c r="A225" t="s">
        <v>233</v>
      </c>
      <c r="E225" s="27"/>
      <c r="F225" s="28" t="str">
        <f>IF(OR(E225="",E225="!!!"),"",IF(NOT(ISNA(VLOOKUP(E225,E$1:E224,1,FALSE()))),"OLD",IF(AND(E225&lt;&gt;"",E225&lt;&gt;"!!!"),"NEW","")))</f>
        <v/>
      </c>
      <c r="G225" s="22" t="str">
        <f>IF(OR(E225="",E225="!!!"),"",IF(OR(J225=0,AND(J225=1,K225=1),AND(J225=1,I225="SBJ"),AND(J225=1,I225=0)),"?IN_FOCUS",IF(J225&lt;=2,"?ACTIVATED",IF(J225&lt;&gt;"","?FAMILIAR",IF(F225="NEW",IF(ISNA(VLOOKUP(E225,#REF!,1,FALSE())),"?TYPE_IDENTIFIABLE","?REFERENTIAL"),"_")))))</f>
        <v/>
      </c>
      <c r="H225" s="23" t="str">
        <f t="shared" ca="1" si="11"/>
        <v/>
      </c>
      <c r="I225" s="24" t="str">
        <f>IF(OR(E225="",E225="!!!",F225="NEW"),"",INDEX(B$2:B224,-1+SUMPRODUCT(MAX(ROW(E$2:E224)*(E225=E$2:E224)))))</f>
        <v/>
      </c>
      <c r="J225" s="24" t="str">
        <f ca="1">IF(OR(E225="",E225="!!!",F225="NEW"),"",COUNTBLANK(OFFSET(A$1,,,SUMPRODUCT(MAX(ROW(E$2:E225)*(E225=E$2:E225)))))-COUNTBLANK(OFFSET(A$1,,,SUMPRODUCT(MAX(ROW(E$1:E224)*(E2=E$1:E224))))))</f>
        <v/>
      </c>
      <c r="K225" s="24" t="str">
        <f>IF(OR(E225="",E225="!!!",F225="NEW"),"",INDEX(J$1:J224,SUMPRODUCT(MAX(ROW(E$1:E224)*(E225=E$1:E224)))))</f>
        <v/>
      </c>
      <c r="L225" s="29"/>
    </row>
    <row r="226" spans="1:12" x14ac:dyDescent="0.3">
      <c r="A226" t="s">
        <v>234</v>
      </c>
      <c r="B226" s="26" t="s">
        <v>235</v>
      </c>
      <c r="C226" s="26" t="s">
        <v>141</v>
      </c>
      <c r="D226" s="26" t="s">
        <v>98</v>
      </c>
      <c r="E226" s="27" t="s">
        <v>326</v>
      </c>
      <c r="F226" s="28" t="str">
        <f>IF(OR(E226="",E226="!!!"),"",IF(NOT(ISNA(VLOOKUP(E226,E$1:E225,1,FALSE()))),"OLD",IF(AND(E226&lt;&gt;"",E226&lt;&gt;"!!!"),"NEW","")))</f>
        <v>OLD</v>
      </c>
      <c r="G226" s="22" t="str">
        <f ca="1">IF(OR(E226="",E226="!!!"),"",IF(OR(J226=0,AND(J226=1,K226=1),AND(J226=1,I226="SBJ"),AND(J226=1,I226=0)),"?IN_FOCUS",IF(J226&lt;=2,"?ACTIVATED",IF(J226&lt;&gt;"","?FAMILIAR",IF(F226="NEW",IF(ISNA(VLOOKUP(E226,#REF!,1,FALSE())),"?TYPE_IDENTIFIABLE","?REFERENTIAL"),"_")))))</f>
        <v>?IN_FOCUS</v>
      </c>
      <c r="H226" s="23" t="str">
        <f t="shared" ca="1" si="11"/>
        <v/>
      </c>
      <c r="I226" s="24">
        <f>IF(OR(E226="",E226="!!!",F226="NEW"),"",INDEX(B$2:B225,-1+SUMPRODUCT(MAX(ROW(E$2:E225)*(E226=E$2:E225)))))</f>
        <v>0</v>
      </c>
      <c r="J226" s="24">
        <f ca="1">IF(OR(E226="",E226="!!!",F226="NEW"),"",COUNTBLANK(OFFSET(A$1,,,SUMPRODUCT(MAX(ROW(E$2:E226)*(E226=E$2:E226)))))-COUNTBLANK(OFFSET(A$1,,,SUMPRODUCT(MAX(ROW(E$1:E225)*(E2=E$1:E225))))))</f>
        <v>0</v>
      </c>
      <c r="K226" s="24">
        <f ca="1">IF(OR(E226="",E226="!!!",F226="NEW"),"",INDEX(J$1:J225,SUMPRODUCT(MAX(ROW(E$1:E225)*(E226=E$1:E225)))))</f>
        <v>0</v>
      </c>
      <c r="L226" s="29"/>
    </row>
    <row r="227" spans="1:12" x14ac:dyDescent="0.3">
      <c r="A227" t="s">
        <v>236</v>
      </c>
      <c r="E227" s="27"/>
      <c r="F227" s="28" t="str">
        <f>IF(OR(E227="",E227="!!!"),"",IF(NOT(ISNA(VLOOKUP(E227,E$1:E226,1,FALSE()))),"OLD",IF(AND(E227&lt;&gt;"",E227&lt;&gt;"!!!"),"NEW","")))</f>
        <v/>
      </c>
      <c r="G227" s="22" t="str">
        <f>IF(OR(E227="",E227="!!!"),"",IF(OR(J227=0,AND(J227=1,K227=1),AND(J227=1,I227="SBJ"),AND(J227=1,I227=0)),"?IN_FOCUS",IF(J227&lt;=2,"?ACTIVATED",IF(J227&lt;&gt;"","?FAMILIAR",IF(F227="NEW",IF(ISNA(VLOOKUP(E227,#REF!,1,FALSE())),"?TYPE_IDENTIFIABLE","?REFERENTIAL"),"_")))))</f>
        <v/>
      </c>
      <c r="H227" s="23" t="str">
        <f t="shared" ca="1" si="11"/>
        <v/>
      </c>
      <c r="I227" s="24" t="str">
        <f>IF(OR(E227="",E227="!!!",F227="NEW"),"",INDEX(B$2:B226,-1+SUMPRODUCT(MAX(ROW(E$2:E226)*(E227=E$2:E226)))))</f>
        <v/>
      </c>
      <c r="J227" s="24" t="str">
        <f ca="1">IF(OR(E227="",E227="!!!",F227="NEW"),"",COUNTBLANK(OFFSET(A$1,,,SUMPRODUCT(MAX(ROW(E$2:E227)*(E227=E$2:E227)))))-COUNTBLANK(OFFSET(A$1,,,SUMPRODUCT(MAX(ROW(E$1:E226)*(E2=E$1:E226))))))</f>
        <v/>
      </c>
      <c r="K227" s="24" t="str">
        <f>IF(OR(E227="",E227="!!!",F227="NEW"),"",INDEX(J$1:J226,SUMPRODUCT(MAX(ROW(E$1:E226)*(E227=E$1:E226)))))</f>
        <v/>
      </c>
      <c r="L227" s="29"/>
    </row>
    <row r="228" spans="1:12" x14ac:dyDescent="0.3">
      <c r="A228" t="s">
        <v>237</v>
      </c>
      <c r="E228" s="27"/>
      <c r="F228" s="28" t="str">
        <f>IF(OR(E228="",E228="!!!"),"",IF(NOT(ISNA(VLOOKUP(E228,E$1:E227,1,FALSE()))),"OLD",IF(AND(E228&lt;&gt;"",E228&lt;&gt;"!!!"),"NEW","")))</f>
        <v/>
      </c>
      <c r="G228" s="22" t="str">
        <f>IF(OR(E228="",E228="!!!"),"",IF(OR(J228=0,AND(J228=1,K228=1),AND(J228=1,I228="SBJ"),AND(J228=1,I228=0)),"?IN_FOCUS",IF(J228&lt;=2,"?ACTIVATED",IF(J228&lt;&gt;"","?FAMILIAR",IF(F228="NEW",IF(ISNA(VLOOKUP(E228,#REF!,1,FALSE())),"?TYPE_IDENTIFIABLE","?REFERENTIAL"),"_")))))</f>
        <v/>
      </c>
      <c r="H228" s="23" t="str">
        <f t="shared" ca="1" si="11"/>
        <v/>
      </c>
      <c r="I228" s="24" t="str">
        <f>IF(OR(E228="",E228="!!!",F228="NEW"),"",INDEX(B$2:B227,-1+SUMPRODUCT(MAX(ROW(E$2:E227)*(E228=E$2:E227)))))</f>
        <v/>
      </c>
      <c r="J228" s="24" t="str">
        <f ca="1">IF(OR(E228="",E228="!!!",F228="NEW"),"",COUNTBLANK(OFFSET(A$1,,,SUMPRODUCT(MAX(ROW(E$2:E228)*(E228=E$2:E228)))))-COUNTBLANK(OFFSET(A$1,,,SUMPRODUCT(MAX(ROW(E$1:E227)*(E2=E$1:E227))))))</f>
        <v/>
      </c>
      <c r="K228" s="24" t="str">
        <f>IF(OR(E228="",E228="!!!",F228="NEW"),"",INDEX(J$1:J227,SUMPRODUCT(MAX(ROW(E$1:E227)*(E228=E$1:E227)))))</f>
        <v/>
      </c>
      <c r="L228" s="29"/>
    </row>
    <row r="229" spans="1:12" x14ac:dyDescent="0.3">
      <c r="A229" t="s">
        <v>108</v>
      </c>
      <c r="E229" s="27"/>
      <c r="F229" s="28" t="str">
        <f>IF(OR(E229="",E229="!!!"),"",IF(NOT(ISNA(VLOOKUP(E229,E$1:E228,1,FALSE()))),"OLD",IF(AND(E229&lt;&gt;"",E229&lt;&gt;"!!!"),"NEW","")))</f>
        <v/>
      </c>
      <c r="G229" s="22" t="str">
        <f>IF(OR(E229="",E229="!!!"),"",IF(OR(J229=0,AND(J229=1,K229=1),AND(J229=1,I229="SBJ"),AND(J229=1,I229=0)),"?IN_FOCUS",IF(J229&lt;=2,"?ACTIVATED",IF(J229&lt;&gt;"","?FAMILIAR",IF(F229="NEW",IF(ISNA(VLOOKUP(E229,#REF!,1,FALSE())),"?TYPE_IDENTIFIABLE","?REFERENTIAL"),"_")))))</f>
        <v/>
      </c>
      <c r="H229" s="23" t="str">
        <f t="shared" ca="1" si="11"/>
        <v/>
      </c>
      <c r="I229" s="24" t="str">
        <f>IF(OR(E229="",E229="!!!",F229="NEW"),"",INDEX(B$2:B228,-1+SUMPRODUCT(MAX(ROW(E$2:E228)*(E229=E$2:E228)))))</f>
        <v/>
      </c>
      <c r="J229" s="24" t="str">
        <f ca="1">IF(OR(E229="",E229="!!!",F229="NEW"),"",COUNTBLANK(OFFSET(A$1,,,SUMPRODUCT(MAX(ROW(E$2:E229)*(E229=E$2:E229)))))-COUNTBLANK(OFFSET(A$1,,,SUMPRODUCT(MAX(ROW(E$1:E228)*(E2=E$1:E228))))))</f>
        <v/>
      </c>
      <c r="K229" s="24" t="str">
        <f>IF(OR(E229="",E229="!!!",F229="NEW"),"",INDEX(J$1:J228,SUMPRODUCT(MAX(ROW(E$1:E228)*(E229=E$1:E228)))))</f>
        <v/>
      </c>
      <c r="L229" s="29"/>
    </row>
    <row r="230" spans="1:12" x14ac:dyDescent="0.3">
      <c r="A230" t="s">
        <v>152</v>
      </c>
      <c r="E230" s="27"/>
      <c r="F230" s="28" t="str">
        <f>IF(OR(E230="",E230="!!!"),"",IF(NOT(ISNA(VLOOKUP(E230,E$1:E229,1,FALSE()))),"OLD",IF(AND(E230&lt;&gt;"",E230&lt;&gt;"!!!"),"NEW","")))</f>
        <v/>
      </c>
      <c r="G230" s="22" t="str">
        <f>IF(OR(E230="",E230="!!!"),"",IF(OR(J230=0,AND(J230=1,K230=1),AND(J230=1,I230="SBJ"),AND(J230=1,I230=0)),"?IN_FOCUS",IF(J230&lt;=2,"?ACTIVATED",IF(J230&lt;&gt;"","?FAMILIAR",IF(F230="NEW",IF(ISNA(VLOOKUP(E230,#REF!,1,FALSE())),"?TYPE_IDENTIFIABLE","?REFERENTIAL"),"_")))))</f>
        <v/>
      </c>
      <c r="H230" s="23" t="str">
        <f t="shared" ca="1" si="11"/>
        <v/>
      </c>
      <c r="I230" s="24" t="str">
        <f>IF(OR(E230="",E230="!!!",F230="NEW"),"",INDEX(B$2:B229,-1+SUMPRODUCT(MAX(ROW(E$2:E229)*(E230=E$2:E229)))))</f>
        <v/>
      </c>
      <c r="J230" s="24" t="str">
        <f ca="1">IF(OR(E230="",E230="!!!",F230="NEW"),"",COUNTBLANK(OFFSET(A$1,,,SUMPRODUCT(MAX(ROW(E$2:E230)*(E230=E$2:E230)))))-COUNTBLANK(OFFSET(A$1,,,SUMPRODUCT(MAX(ROW(E$1:E229)*(E2=E$1:E229))))))</f>
        <v/>
      </c>
      <c r="K230" s="24" t="str">
        <f>IF(OR(E230="",E230="!!!",F230="NEW"),"",INDEX(J$1:J229,SUMPRODUCT(MAX(ROW(E$1:E229)*(E230=E$1:E229)))))</f>
        <v/>
      </c>
      <c r="L230" s="29"/>
    </row>
    <row r="231" spans="1:12" x14ac:dyDescent="0.3">
      <c r="A231" t="s">
        <v>136</v>
      </c>
      <c r="E231" s="27"/>
      <c r="F231" s="28" t="str">
        <f>IF(OR(E231="",E231="!!!"),"",IF(NOT(ISNA(VLOOKUP(E231,E$1:E230,1,FALSE()))),"OLD",IF(AND(E231&lt;&gt;"",E231&lt;&gt;"!!!"),"NEW","")))</f>
        <v/>
      </c>
      <c r="G231" s="22" t="str">
        <f>IF(OR(E231="",E231="!!!"),"",IF(OR(J231=0,AND(J231=1,K231=1),AND(J231=1,I231="SBJ"),AND(J231=1,I231=0)),"?IN_FOCUS",IF(J231&lt;=2,"?ACTIVATED",IF(J231&lt;&gt;"","?FAMILIAR",IF(F231="NEW",IF(ISNA(VLOOKUP(E231,#REF!,1,FALSE())),"?TYPE_IDENTIFIABLE","?REFERENTIAL"),"_")))))</f>
        <v/>
      </c>
      <c r="H231" s="23" t="str">
        <f t="shared" ca="1" si="11"/>
        <v/>
      </c>
      <c r="I231" s="24" t="str">
        <f>IF(OR(E231="",E231="!!!",F231="NEW"),"",INDEX(B$2:B230,-1+SUMPRODUCT(MAX(ROW(E$2:E230)*(E231=E$2:E230)))))</f>
        <v/>
      </c>
      <c r="J231" s="24" t="str">
        <f ca="1">IF(OR(E231="",E231="!!!",F231="NEW"),"",COUNTBLANK(OFFSET(A$1,,,SUMPRODUCT(MAX(ROW(E$2:E231)*(E231=E$2:E231)))))-COUNTBLANK(OFFSET(A$1,,,SUMPRODUCT(MAX(ROW(E$1:E230)*(E2=E$1:E230))))))</f>
        <v/>
      </c>
      <c r="K231" s="24" t="str">
        <f>IF(OR(E231="",E231="!!!",F231="NEW"),"",INDEX(J$1:J230,SUMPRODUCT(MAX(ROW(E$1:E230)*(E231=E$1:E230)))))</f>
        <v/>
      </c>
      <c r="L231" s="29"/>
    </row>
    <row r="232" spans="1:12" x14ac:dyDescent="0.3">
      <c r="A232" t="s">
        <v>109</v>
      </c>
      <c r="E232" s="27"/>
      <c r="F232" s="28" t="str">
        <f>IF(OR(E232="",E232="!!!"),"",IF(NOT(ISNA(VLOOKUP(E232,E$1:E231,1,FALSE()))),"OLD",IF(AND(E232&lt;&gt;"",E232&lt;&gt;"!!!"),"NEW","")))</f>
        <v/>
      </c>
      <c r="G232" s="22" t="str">
        <f>IF(OR(E232="",E232="!!!"),"",IF(OR(J232=0,AND(J232=1,K232=1),AND(J232=1,I232="SBJ"),AND(J232=1,I232=0)),"?IN_FOCUS",IF(J232&lt;=2,"?ACTIVATED",IF(J232&lt;&gt;"","?FAMILIAR",IF(F232="NEW",IF(ISNA(VLOOKUP(E232,#REF!,1,FALSE())),"?TYPE_IDENTIFIABLE","?REFERENTIAL"),"_")))))</f>
        <v/>
      </c>
      <c r="H232" s="23" t="str">
        <f t="shared" ca="1" si="11"/>
        <v/>
      </c>
      <c r="I232" s="24" t="str">
        <f>IF(OR(E232="",E232="!!!",F232="NEW"),"",INDEX(B$2:B231,-1+SUMPRODUCT(MAX(ROW(E$2:E231)*(E232=E$2:E231)))))</f>
        <v/>
      </c>
      <c r="J232" s="24" t="str">
        <f ca="1">IF(OR(E232="",E232="!!!",F232="NEW"),"",COUNTBLANK(OFFSET(A$1,,,SUMPRODUCT(MAX(ROW(E$2:E232)*(E232=E$2:E232)))))-COUNTBLANK(OFFSET(A$1,,,SUMPRODUCT(MAX(ROW(E$1:E231)*(E2=E$1:E231))))))</f>
        <v/>
      </c>
      <c r="K232" s="24" t="str">
        <f>IF(OR(E232="",E232="!!!",F232="NEW"),"",INDEX(J$1:J231,SUMPRODUCT(MAX(ROW(E$1:E231)*(E232=E$1:E231)))))</f>
        <v/>
      </c>
      <c r="L232" s="29"/>
    </row>
    <row r="233" spans="1:12" x14ac:dyDescent="0.3">
      <c r="A233" t="s">
        <v>213</v>
      </c>
      <c r="B233" s="26" t="s">
        <v>140</v>
      </c>
      <c r="C233" s="26" t="s">
        <v>124</v>
      </c>
      <c r="D233" s="26" t="s">
        <v>98</v>
      </c>
      <c r="E233" s="27" t="s">
        <v>343</v>
      </c>
      <c r="F233" s="28" t="str">
        <f>IF(OR(E233="",E233="!!!"),"",IF(NOT(ISNA(VLOOKUP(E233,E$1:E232,1,FALSE()))),"OLD",IF(AND(E233&lt;&gt;"",E233&lt;&gt;"!!!"),"NEW","")))</f>
        <v>OLD</v>
      </c>
      <c r="G233" s="22" t="str">
        <f ca="1">IF(OR(E233="",E233="!!!"),"",IF(OR(J233=0,AND(J233=1,K233=1),AND(J233=1,I233="SBJ"),AND(J233=1,I233=0)),"?IN_FOCUS",IF(J233&lt;=2,"?ACTIVATED",IF(J233&lt;&gt;"","?FAMILIAR",IF(F233="NEW",IF(ISNA(VLOOKUP(E233,#REF!,1,FALSE())),"?TYPE_IDENTIFIABLE","?REFERENTIAL"),"_")))))</f>
        <v>?IN_FOCUS</v>
      </c>
      <c r="H233" s="23" t="str">
        <f t="shared" ca="1" si="11"/>
        <v/>
      </c>
      <c r="I233" s="24" t="str">
        <f>IF(OR(E233="",E233="!!!",F233="NEW"),"",INDEX(B$2:B232,-1+SUMPRODUCT(MAX(ROW(E$2:E232)*(E233=E$2:E232)))))</f>
        <v>SBJ</v>
      </c>
      <c r="J233" s="24">
        <f ca="1">IF(OR(E233="",E233="!!!",F233="NEW"),"",COUNTBLANK(OFFSET(A$1,,,SUMPRODUCT(MAX(ROW(E$2:E233)*(E233=E$2:E233)))))-COUNTBLANK(OFFSET(A$1,,,SUMPRODUCT(MAX(ROW(E$1:E232)*(E2=E$1:E232))))))</f>
        <v>0</v>
      </c>
      <c r="K233" s="24" t="str">
        <f ca="1">IF(OR(E233="",E233="!!!",F233="NEW"),"",INDEX(J$1:J232,SUMPRODUCT(MAX(ROW(E$1:E232)*(E233=E$1:E232)))))</f>
        <v/>
      </c>
      <c r="L233" s="29"/>
    </row>
    <row r="234" spans="1:12" x14ac:dyDescent="0.3">
      <c r="A234" t="s">
        <v>238</v>
      </c>
      <c r="E234" s="27"/>
      <c r="F234" s="28" t="str">
        <f>IF(OR(E234="",E234="!!!"),"",IF(NOT(ISNA(VLOOKUP(E234,E$1:E233,1,FALSE()))),"OLD",IF(AND(E234&lt;&gt;"",E234&lt;&gt;"!!!"),"NEW","")))</f>
        <v/>
      </c>
      <c r="G234" s="22" t="str">
        <f>IF(OR(E234="",E234="!!!"),"",IF(OR(J234=0,AND(J234=1,K234=1),AND(J234=1,I234="SBJ"),AND(J234=1,I234=0)),"?IN_FOCUS",IF(J234&lt;=2,"?ACTIVATED",IF(J234&lt;&gt;"","?FAMILIAR",IF(F234="NEW",IF(ISNA(VLOOKUP(E234,#REF!,1,FALSE())),"?TYPE_IDENTIFIABLE","?REFERENTIAL"),"_")))))</f>
        <v/>
      </c>
      <c r="H234" s="23" t="str">
        <f t="shared" ca="1" si="11"/>
        <v/>
      </c>
      <c r="I234" s="24" t="str">
        <f>IF(OR(E234="",E234="!!!",F234="NEW"),"",INDEX(B$2:B233,-1+SUMPRODUCT(MAX(ROW(E$2:E233)*(E234=E$2:E233)))))</f>
        <v/>
      </c>
      <c r="J234" s="24" t="str">
        <f ca="1">IF(OR(E234="",E234="!!!",F234="NEW"),"",COUNTBLANK(OFFSET(A$1,,,SUMPRODUCT(MAX(ROW(E$2:E234)*(E234=E$2:E234)))))-COUNTBLANK(OFFSET(A$1,,,SUMPRODUCT(MAX(ROW(E$1:E233)*(E2=E$1:E233))))))</f>
        <v/>
      </c>
      <c r="K234" s="24" t="str">
        <f>IF(OR(E234="",E234="!!!",F234="NEW"),"",INDEX(J$1:J233,SUMPRODUCT(MAX(ROW(E$1:E233)*(E234=E$1:E233)))))</f>
        <v/>
      </c>
      <c r="L234" s="29"/>
    </row>
    <row r="235" spans="1:12" x14ac:dyDescent="0.3">
      <c r="A235" t="s">
        <v>129</v>
      </c>
      <c r="E235" s="27"/>
      <c r="F235" s="28" t="str">
        <f>IF(OR(E235="",E235="!!!"),"",IF(NOT(ISNA(VLOOKUP(E235,E$1:E234,1,FALSE()))),"OLD",IF(AND(E235&lt;&gt;"",E235&lt;&gt;"!!!"),"NEW","")))</f>
        <v/>
      </c>
      <c r="G235" s="22" t="str">
        <f>IF(OR(E235="",E235="!!!"),"",IF(OR(J235=0,AND(J235=1,K235=1),AND(J235=1,I235="SBJ"),AND(J235=1,I235=0)),"?IN_FOCUS",IF(J235&lt;=2,"?ACTIVATED",IF(J235&lt;&gt;"","?FAMILIAR",IF(F235="NEW",IF(ISNA(VLOOKUP(E235,#REF!,1,FALSE())),"?TYPE_IDENTIFIABLE","?REFERENTIAL"),"_")))))</f>
        <v/>
      </c>
      <c r="H235" s="23" t="str">
        <f t="shared" ca="1" si="11"/>
        <v/>
      </c>
      <c r="I235" s="24" t="str">
        <f>IF(OR(E235="",E235="!!!",F235="NEW"),"",INDEX(B$2:B234,-1+SUMPRODUCT(MAX(ROW(E$2:E234)*(E235=E$2:E234)))))</f>
        <v/>
      </c>
      <c r="J235" s="24" t="str">
        <f ca="1">IF(OR(E235="",E235="!!!",F235="NEW"),"",COUNTBLANK(OFFSET(A$1,,,SUMPRODUCT(MAX(ROW(E$2:E235)*(E235=E$2:E235)))))-COUNTBLANK(OFFSET(A$1,,,SUMPRODUCT(MAX(ROW(E$1:E234)*(E2=E$1:E234))))))</f>
        <v/>
      </c>
      <c r="K235" s="24" t="str">
        <f>IF(OR(E235="",E235="!!!",F235="NEW"),"",INDEX(J$1:J234,SUMPRODUCT(MAX(ROW(E$1:E234)*(E235=E$1:E234)))))</f>
        <v/>
      </c>
      <c r="L235" s="29"/>
    </row>
    <row r="237" spans="1:12" x14ac:dyDescent="0.3">
      <c r="A237" t="s">
        <v>239</v>
      </c>
    </row>
    <row r="238" spans="1:12" x14ac:dyDescent="0.3">
      <c r="A238" t="s">
        <v>240</v>
      </c>
      <c r="B238" s="26" t="s">
        <v>101</v>
      </c>
      <c r="C238" s="26" t="s">
        <v>241</v>
      </c>
      <c r="D238" s="26" t="s">
        <v>98</v>
      </c>
      <c r="E238" s="27" t="s">
        <v>344</v>
      </c>
      <c r="F238" s="28" t="str">
        <f>IF(OR(E238="",E238="!!!"),"",IF(NOT(ISNA(VLOOKUP(E238,E$1:E237,1,FALSE()))),"OLD",IF(AND(E238&lt;&gt;"",E238&lt;&gt;"!!!"),"NEW","")))</f>
        <v>OLD</v>
      </c>
      <c r="G238" s="22" t="str">
        <f ca="1">IF(OR(E238="",E238="!!!"),"",IF(OR(J238=0,AND(J238=1,K238=1),AND(J238=1,I238="SBJ"),AND(J238=1,I238=0)),"?IN_FOCUS",IF(J238&lt;=2,"?ACTIVATED",IF(J238&lt;&gt;"","?FAMILIAR",IF(F238="NEW",IF(ISNA(VLOOKUP(E238,#REF!,1,FALSE())),"?TYPE_IDENTIFIABLE","?REFERENTIAL"),"_")))))</f>
        <v>?IN_FOCUS</v>
      </c>
      <c r="H238" s="23" t="str">
        <f t="shared" ref="H238:H253" ca="1" si="12">IF(J238&lt;&gt;1,"",IF(I238="SBJ","CB","?"))</f>
        <v/>
      </c>
      <c r="I238" s="24" t="str">
        <f>IF(OR(E238="",E238="!!!",F238="NEW"),"",INDEX(B$2:B237,-1+SUMPRODUCT(MAX(ROW(E$2:E237)*(E238=E$2:E237)))))</f>
        <v>SBJ_3</v>
      </c>
      <c r="J238" s="24">
        <f ca="1">IF(OR(E238="",E238="!!!",F238="NEW"),"",COUNTBLANK(OFFSET(A$1,,,SUMPRODUCT(MAX(ROW(E$2:E238)*(E238=E$2:E238)))))-COUNTBLANK(OFFSET(A$1,,,SUMPRODUCT(MAX(ROW(E$1:E237)*(E2=E$1:E237))))))</f>
        <v>0</v>
      </c>
      <c r="K238" s="24">
        <f ca="1">IF(OR(E238="",E238="!!!",F238="NEW"),"",INDEX(J$1:J237,SUMPRODUCT(MAX(ROW(E$1:E237)*(E238=E$1:E237)))))</f>
        <v>0</v>
      </c>
      <c r="L238" s="29"/>
    </row>
    <row r="239" spans="1:12" x14ac:dyDescent="0.3">
      <c r="A239" t="s">
        <v>242</v>
      </c>
      <c r="B239" s="26" t="s">
        <v>96</v>
      </c>
      <c r="C239" s="26" t="s">
        <v>115</v>
      </c>
      <c r="E239" s="27" t="s">
        <v>347</v>
      </c>
      <c r="F239" s="28" t="str">
        <f>IF(OR(E239="",E239="!!!"),"",IF(NOT(ISNA(VLOOKUP(E239,E$1:E238,1,FALSE()))),"OLD",IF(AND(E239&lt;&gt;"",E239&lt;&gt;"!!!"),"NEW","")))</f>
        <v>NEW</v>
      </c>
      <c r="G239" s="22" t="str">
        <f ca="1">IF(OR(E239="",E239="!!!"),"",IF(OR(J239=0,AND(J239=1,K239=1),AND(J239=1,I239="SBJ"),AND(J239=1,I239=0)),"?IN_FOCUS",IF(J239&lt;=2,"?ACTIVATED",IF(J239&lt;&gt;"","?FAMILIAR",IF(F239="NEW",IF(ISNA(VLOOKUP(E239,#REF!,1,FALSE())),"?TYPE_IDENTIFIABLE","?REFERENTIAL"),"_")))))</f>
        <v>?REFERENTIAL</v>
      </c>
      <c r="H239" s="23" t="str">
        <f t="shared" ca="1" si="12"/>
        <v/>
      </c>
      <c r="I239" s="24" t="str">
        <f>IF(OR(E239="",E239="!!!",F239="NEW"),"",INDEX(B$2:B238,-1+SUMPRODUCT(MAX(ROW(E$2:E238)*(E239=E$2:E238)))))</f>
        <v/>
      </c>
      <c r="J239" s="24" t="str">
        <f ca="1">IF(OR(E239="",E239="!!!",F239="NEW"),"",COUNTBLANK(OFFSET(A$1,,,SUMPRODUCT(MAX(ROW(E$2:E239)*(E239=E$2:E239)))))-COUNTBLANK(OFFSET(A$1,,,SUMPRODUCT(MAX(ROW(E$1:E238)*(E2=E$1:E238))))))</f>
        <v/>
      </c>
      <c r="K239" s="24" t="str">
        <f>IF(OR(E239="",E239="!!!",F239="NEW"),"",INDEX(J$1:J238,SUMPRODUCT(MAX(ROW(E$1:E238)*(E239=E$1:E238)))))</f>
        <v/>
      </c>
      <c r="L239" s="29"/>
    </row>
    <row r="240" spans="1:12" x14ac:dyDescent="0.3">
      <c r="A240" t="s">
        <v>186</v>
      </c>
      <c r="E240" s="27"/>
      <c r="F240" s="28" t="str">
        <f>IF(OR(E240="",E240="!!!"),"",IF(NOT(ISNA(VLOOKUP(E240,E$1:E239,1,FALSE()))),"OLD",IF(AND(E240&lt;&gt;"",E240&lt;&gt;"!!!"),"NEW","")))</f>
        <v/>
      </c>
      <c r="G240" s="22" t="str">
        <f>IF(OR(E240="",E240="!!!"),"",IF(OR(J240=0,AND(J240=1,K240=1),AND(J240=1,I240="SBJ"),AND(J240=1,I240=0)),"?IN_FOCUS",IF(J240&lt;=2,"?ACTIVATED",IF(J240&lt;&gt;"","?FAMILIAR",IF(F240="NEW",IF(ISNA(VLOOKUP(E240,#REF!,1,FALSE())),"?TYPE_IDENTIFIABLE","?REFERENTIAL"),"_")))))</f>
        <v/>
      </c>
      <c r="H240" s="23" t="str">
        <f t="shared" ca="1" si="12"/>
        <v/>
      </c>
      <c r="I240" s="24" t="str">
        <f>IF(OR(E240="",E240="!!!",F240="NEW"),"",INDEX(B$2:B239,-1+SUMPRODUCT(MAX(ROW(E$2:E239)*(E240=E$2:E239)))))</f>
        <v/>
      </c>
      <c r="J240" s="24" t="str">
        <f ca="1">IF(OR(E240="",E240="!!!",F240="NEW"),"",COUNTBLANK(OFFSET(A$1,,,SUMPRODUCT(MAX(ROW(E$2:E240)*(E240=E$2:E240)))))-COUNTBLANK(OFFSET(A$1,,,SUMPRODUCT(MAX(ROW(E$1:E239)*(E2=E$1:E239))))))</f>
        <v/>
      </c>
      <c r="K240" s="24" t="str">
        <f>IF(OR(E240="",E240="!!!",F240="NEW"),"",INDEX(J$1:J239,SUMPRODUCT(MAX(ROW(E$1:E239)*(E240=E$1:E239)))))</f>
        <v/>
      </c>
      <c r="L240" s="29"/>
    </row>
    <row r="241" spans="1:12" x14ac:dyDescent="0.3">
      <c r="A241" t="s">
        <v>243</v>
      </c>
      <c r="B241" s="26" t="s">
        <v>114</v>
      </c>
      <c r="C241" s="26" t="s">
        <v>241</v>
      </c>
      <c r="D241" s="26" t="s">
        <v>98</v>
      </c>
      <c r="E241" s="27" t="s">
        <v>344</v>
      </c>
      <c r="F241" s="28" t="str">
        <f>IF(OR(E241="",E241="!!!"),"",IF(NOT(ISNA(VLOOKUP(E241,E$1:E240,1,FALSE()))),"OLD",IF(AND(E241&lt;&gt;"",E241&lt;&gt;"!!!"),"NEW","")))</f>
        <v>OLD</v>
      </c>
      <c r="G241" s="22" t="str">
        <f ca="1">IF(OR(E241="",E241="!!!"),"",IF(OR(J241=0,AND(J241=1,K241=1),AND(J241=1,I241="SBJ"),AND(J241=1,I241=0)),"?IN_FOCUS",IF(J241&lt;=2,"?ACTIVATED",IF(J241&lt;&gt;"","?FAMILIAR",IF(F241="NEW",IF(ISNA(VLOOKUP(E241,#REF!,1,FALSE())),"?TYPE_IDENTIFIABLE","?REFERENTIAL"),"_")))))</f>
        <v>?IN_FOCUS</v>
      </c>
      <c r="H241" s="23" t="str">
        <f t="shared" ca="1" si="12"/>
        <v/>
      </c>
      <c r="I241" s="24" t="str">
        <f>IF(OR(E241="",E241="!!!",F241="NEW"),"",INDEX(B$2:B240,-1+SUMPRODUCT(MAX(ROW(E$2:E240)*(E241=E$2:E240)))))</f>
        <v>other_2</v>
      </c>
      <c r="J241" s="24">
        <f ca="1">IF(OR(E241="",E241="!!!",F241="NEW"),"",COUNTBLANK(OFFSET(A$1,,,SUMPRODUCT(MAX(ROW(E$2:E241)*(E241=E$2:E241)))))-COUNTBLANK(OFFSET(A$1,,,SUMPRODUCT(MAX(ROW(E$1:E240)*(E2=E$1:E240))))))</f>
        <v>0</v>
      </c>
      <c r="K241" s="24">
        <f ca="1">IF(OR(E241="",E241="!!!",F241="NEW"),"",INDEX(J$1:J240,SUMPRODUCT(MAX(ROW(E$1:E240)*(E241=E$1:E240)))))</f>
        <v>0</v>
      </c>
      <c r="L241" s="29"/>
    </row>
    <row r="242" spans="1:12" x14ac:dyDescent="0.3">
      <c r="A242" t="s">
        <v>244</v>
      </c>
      <c r="B242" s="26" t="s">
        <v>101</v>
      </c>
      <c r="C242" s="26" t="s">
        <v>115</v>
      </c>
      <c r="E242" s="27" t="s">
        <v>348</v>
      </c>
      <c r="F242" s="28" t="str">
        <f>IF(OR(E242="",E242="!!!"),"",IF(NOT(ISNA(VLOOKUP(E242,E$1:E241,1,FALSE()))),"OLD",IF(AND(E242&lt;&gt;"",E242&lt;&gt;"!!!"),"NEW","")))</f>
        <v>NEW</v>
      </c>
      <c r="G242" s="22" t="str">
        <f ca="1">IF(OR(E242="",E242="!!!"),"",IF(OR(J242=0,AND(J242=1,K242=1),AND(J242=1,I242="SBJ"),AND(J242=1,I242=0)),"?IN_FOCUS",IF(J242&lt;=2,"?ACTIVATED",IF(J242&lt;&gt;"","?FAMILIAR",IF(F242="NEW",IF(ISNA(VLOOKUP(E242,#REF!,1,FALSE())),"?TYPE_IDENTIFIABLE","?REFERENTIAL"),"_")))))</f>
        <v>?REFERENTIAL</v>
      </c>
      <c r="H242" s="23" t="str">
        <f t="shared" ca="1" si="12"/>
        <v/>
      </c>
      <c r="I242" s="24" t="str">
        <f>IF(OR(E242="",E242="!!!",F242="NEW"),"",INDEX(B$2:B241,-1+SUMPRODUCT(MAX(ROW(E$2:E241)*(E242=E$2:E241)))))</f>
        <v/>
      </c>
      <c r="J242" s="24" t="str">
        <f ca="1">IF(OR(E242="",E242="!!!",F242="NEW"),"",COUNTBLANK(OFFSET(A$1,,,SUMPRODUCT(MAX(ROW(E$2:E242)*(E242=E$2:E242)))))-COUNTBLANK(OFFSET(A$1,,,SUMPRODUCT(MAX(ROW(E$1:E241)*(E2=E$1:E241))))))</f>
        <v/>
      </c>
      <c r="K242" s="24" t="str">
        <f>IF(OR(E242="",E242="!!!",F242="NEW"),"",INDEX(J$1:J241,SUMPRODUCT(MAX(ROW(E$1:E241)*(E242=E$1:E241)))))</f>
        <v/>
      </c>
      <c r="L242" s="29"/>
    </row>
    <row r="243" spans="1:12" x14ac:dyDescent="0.3">
      <c r="A243" t="s">
        <v>189</v>
      </c>
      <c r="E243" s="27"/>
      <c r="F243" s="28" t="str">
        <f>IF(OR(E243="",E243="!!!"),"",IF(NOT(ISNA(VLOOKUP(E243,E$1:E242,1,FALSE()))),"OLD",IF(AND(E243&lt;&gt;"",E243&lt;&gt;"!!!"),"NEW","")))</f>
        <v/>
      </c>
      <c r="G243" s="22" t="str">
        <f>IF(OR(E243="",E243="!!!"),"",IF(OR(J243=0,AND(J243=1,K243=1),AND(J243=1,I243="SBJ"),AND(J243=1,I243=0)),"?IN_FOCUS",IF(J243&lt;=2,"?ACTIVATED",IF(J243&lt;&gt;"","?FAMILIAR",IF(F243="NEW",IF(ISNA(VLOOKUP(E243,#REF!,1,FALSE())),"?TYPE_IDENTIFIABLE","?REFERENTIAL"),"_")))))</f>
        <v/>
      </c>
      <c r="H243" s="23" t="str">
        <f t="shared" ca="1" si="12"/>
        <v/>
      </c>
      <c r="I243" s="24" t="str">
        <f>IF(OR(E243="",E243="!!!",F243="NEW"),"",INDEX(B$2:B242,-1+SUMPRODUCT(MAX(ROW(E$2:E242)*(E243=E$2:E242)))))</f>
        <v/>
      </c>
      <c r="J243" s="24" t="str">
        <f ca="1">IF(OR(E243="",E243="!!!",F243="NEW"),"",COUNTBLANK(OFFSET(A$1,,,SUMPRODUCT(MAX(ROW(E$2:E243)*(E243=E$2:E243)))))-COUNTBLANK(OFFSET(A$1,,,SUMPRODUCT(MAX(ROW(E$1:E242)*(E2=E$1:E242))))))</f>
        <v/>
      </c>
      <c r="K243" s="24" t="str">
        <f>IF(OR(E243="",E243="!!!",F243="NEW"),"",INDEX(J$1:J242,SUMPRODUCT(MAX(ROW(E$1:E242)*(E243=E$1:E242)))))</f>
        <v/>
      </c>
      <c r="L243" s="29"/>
    </row>
    <row r="244" spans="1:12" x14ac:dyDescent="0.3">
      <c r="A244" t="s">
        <v>99</v>
      </c>
      <c r="E244" s="27"/>
      <c r="F244" s="28" t="str">
        <f>IF(OR(E244="",E244="!!!"),"",IF(NOT(ISNA(VLOOKUP(E244,E$1:E243,1,FALSE()))),"OLD",IF(AND(E244&lt;&gt;"",E244&lt;&gt;"!!!"),"NEW","")))</f>
        <v/>
      </c>
      <c r="G244" s="22" t="str">
        <f>IF(OR(E244="",E244="!!!"),"",IF(OR(J244=0,AND(J244=1,K244=1),AND(J244=1,I244="SBJ"),AND(J244=1,I244=0)),"?IN_FOCUS",IF(J244&lt;=2,"?ACTIVATED",IF(J244&lt;&gt;"","?FAMILIAR",IF(F244="NEW",IF(ISNA(VLOOKUP(E244,#REF!,1,FALSE())),"?TYPE_IDENTIFIABLE","?REFERENTIAL"),"_")))))</f>
        <v/>
      </c>
      <c r="H244" s="23" t="str">
        <f t="shared" ca="1" si="12"/>
        <v/>
      </c>
      <c r="I244" s="24" t="str">
        <f>IF(OR(E244="",E244="!!!",F244="NEW"),"",INDEX(B$2:B243,-1+SUMPRODUCT(MAX(ROW(E$2:E243)*(E244=E$2:E243)))))</f>
        <v/>
      </c>
      <c r="J244" s="24" t="str">
        <f ca="1">IF(OR(E244="",E244="!!!",F244="NEW"),"",COUNTBLANK(OFFSET(A$1,,,SUMPRODUCT(MAX(ROW(E$2:E244)*(E244=E$2:E244)))))-COUNTBLANK(OFFSET(A$1,,,SUMPRODUCT(MAX(ROW(E$1:E243)*(E2=E$1:E243))))))</f>
        <v/>
      </c>
      <c r="K244" s="24" t="str">
        <f>IF(OR(E244="",E244="!!!",F244="NEW"),"",INDEX(J$1:J243,SUMPRODUCT(MAX(ROW(E$1:E243)*(E244=E$1:E243)))))</f>
        <v/>
      </c>
      <c r="L244" s="29"/>
    </row>
    <row r="245" spans="1:12" x14ac:dyDescent="0.3">
      <c r="A245" t="s">
        <v>245</v>
      </c>
      <c r="B245" s="26" t="s">
        <v>101</v>
      </c>
      <c r="C245" s="26" t="s">
        <v>246</v>
      </c>
      <c r="D245" s="26" t="s">
        <v>98</v>
      </c>
      <c r="E245" s="27"/>
      <c r="F245" s="28" t="str">
        <f>IF(OR(E245="",E245="!!!"),"",IF(NOT(ISNA(VLOOKUP(E245,E$1:E244,1,FALSE()))),"OLD",IF(AND(E245&lt;&gt;"",E245&lt;&gt;"!!!"),"NEW","")))</f>
        <v/>
      </c>
      <c r="G245" s="22" t="str">
        <f>IF(OR(E245="",E245="!!!"),"",IF(OR(J245=0,AND(J245=1,K245=1),AND(J245=1,I245="SBJ"),AND(J245=1,I245=0)),"?IN_FOCUS",IF(J245&lt;=2,"?ACTIVATED",IF(J245&lt;&gt;"","?FAMILIAR",IF(F245="NEW",IF(ISNA(VLOOKUP(E245,#REF!,1,FALSE())),"?TYPE_IDENTIFIABLE","?REFERENTIAL"),"_")))))</f>
        <v/>
      </c>
      <c r="H245" s="23" t="str">
        <f t="shared" ca="1" si="12"/>
        <v/>
      </c>
      <c r="I245" s="24" t="str">
        <f>IF(OR(E245="",E245="!!!",F245="NEW"),"",INDEX(B$2:B244,-1+SUMPRODUCT(MAX(ROW(E$2:E244)*(E245=E$2:E244)))))</f>
        <v/>
      </c>
      <c r="J245" s="24" t="str">
        <f ca="1">IF(OR(E245="",E245="!!!",F245="NEW"),"",COUNTBLANK(OFFSET(A$1,,,SUMPRODUCT(MAX(ROW(E$2:E245)*(E245=E$2:E245)))))-COUNTBLANK(OFFSET(A$1,,,SUMPRODUCT(MAX(ROW(E$1:E244)*(E2=E$1:E244))))))</f>
        <v/>
      </c>
      <c r="K245" s="24" t="str">
        <f>IF(OR(E245="",E245="!!!",F245="NEW"),"",INDEX(J$1:J244,SUMPRODUCT(MAX(ROW(E$1:E244)*(E245=E$1:E244)))))</f>
        <v/>
      </c>
      <c r="L245" s="29" t="s">
        <v>363</v>
      </c>
    </row>
    <row r="246" spans="1:12" x14ac:dyDescent="0.3">
      <c r="A246" t="s">
        <v>247</v>
      </c>
      <c r="E246" s="27"/>
      <c r="F246" s="28" t="str">
        <f>IF(OR(E246="",E246="!!!"),"",IF(NOT(ISNA(VLOOKUP(E246,E$1:E245,1,FALSE()))),"OLD",IF(AND(E246&lt;&gt;"",E246&lt;&gt;"!!!"),"NEW","")))</f>
        <v/>
      </c>
      <c r="G246" s="22" t="str">
        <f>IF(OR(E246="",E246="!!!"),"",IF(OR(J246=0,AND(J246=1,K246=1),AND(J246=1,I246="SBJ"),AND(J246=1,I246=0)),"?IN_FOCUS",IF(J246&lt;=2,"?ACTIVATED",IF(J246&lt;&gt;"","?FAMILIAR",IF(F246="NEW",IF(ISNA(VLOOKUP(E246,#REF!,1,FALSE())),"?TYPE_IDENTIFIABLE","?REFERENTIAL"),"_")))))</f>
        <v/>
      </c>
      <c r="H246" s="23" t="str">
        <f t="shared" ca="1" si="12"/>
        <v/>
      </c>
      <c r="I246" s="24" t="str">
        <f>IF(OR(E246="",E246="!!!",F246="NEW"),"",INDEX(B$2:B245,-1+SUMPRODUCT(MAX(ROW(E$2:E245)*(E246=E$2:E245)))))</f>
        <v/>
      </c>
      <c r="J246" s="24" t="str">
        <f ca="1">IF(OR(E246="",E246="!!!",F246="NEW"),"",COUNTBLANK(OFFSET(A$1,,,SUMPRODUCT(MAX(ROW(E$2:E246)*(E246=E$2:E246)))))-COUNTBLANK(OFFSET(A$1,,,SUMPRODUCT(MAX(ROW(E$1:E245)*(E2=E$1:E245))))))</f>
        <v/>
      </c>
      <c r="K246" s="24" t="str">
        <f>IF(OR(E246="",E246="!!!",F246="NEW"),"",INDEX(J$1:J245,SUMPRODUCT(MAX(ROW(E$1:E245)*(E246=E$1:E245)))))</f>
        <v/>
      </c>
      <c r="L246" s="29"/>
    </row>
    <row r="247" spans="1:12" x14ac:dyDescent="0.3">
      <c r="A247" t="s">
        <v>248</v>
      </c>
      <c r="B247" s="26" t="s">
        <v>123</v>
      </c>
      <c r="C247" s="26" t="s">
        <v>249</v>
      </c>
      <c r="D247" s="26" t="s">
        <v>98</v>
      </c>
      <c r="E247" s="27" t="s">
        <v>349</v>
      </c>
      <c r="F247" s="28" t="s">
        <v>332</v>
      </c>
      <c r="G247" s="22" t="e">
        <f ca="1">IF(OR(E247="",E247="!!!"),"",IF(OR(J247=0,AND(J247=1,K247=1),AND(J247=1,I247="SBJ"),AND(J247=1,I247=0)),"?IN_FOCUS",IF(J247&lt;=2,"?ACTIVATED",IF(J247&lt;&gt;"","?FAMILIAR",IF(F247="NEW",IF(ISNA(VLOOKUP(E247,#REF!,1,FALSE())),"?TYPE_IDENTIFIABLE","?REFERENTIAL"),"_")))))</f>
        <v>#VALUE!</v>
      </c>
      <c r="H247" s="23" t="str">
        <f t="shared" ca="1" si="12"/>
        <v/>
      </c>
      <c r="I247" s="24" t="e">
        <f>IF(OR(E247="",E247="!!!",F247="NEW"),"",INDEX(B$2:B246,-1+SUMPRODUCT(MAX(ROW(E$2:E246)*(E247=E$2:E246)))))</f>
        <v>#VALUE!</v>
      </c>
      <c r="J247" s="24">
        <f ca="1">IF(OR(E247="",E247="!!!",F247="NEW"),"",COUNTBLANK(OFFSET(A$1,,,SUMPRODUCT(MAX(ROW(E$2:E247)*(E247=E$2:E247)))))-COUNTBLANK(OFFSET(A$1,,,SUMPRODUCT(MAX(ROW(E$1:E246)*(E2=E$1:E246))))))</f>
        <v>0</v>
      </c>
      <c r="K247" s="24" t="e">
        <f>IF(OR(E247="",E247="!!!",F247="NEW"),"",INDEX(J$1:J246,SUMPRODUCT(MAX(ROW(E$1:E246)*(E247=E$1:E246)))))</f>
        <v>#VALUE!</v>
      </c>
      <c r="L247" s="29"/>
    </row>
    <row r="248" spans="1:12" x14ac:dyDescent="0.3">
      <c r="A248" t="s">
        <v>156</v>
      </c>
      <c r="E248" s="27"/>
      <c r="F248" s="28" t="str">
        <f>IF(OR(E248="",E248="!!!"),"",IF(NOT(ISNA(VLOOKUP(E248,E$1:E247,1,FALSE()))),"OLD",IF(AND(E248&lt;&gt;"",E248&lt;&gt;"!!!"),"NEW","")))</f>
        <v/>
      </c>
      <c r="G248" s="22" t="str">
        <f>IF(OR(E248="",E248="!!!"),"",IF(OR(J248=0,AND(J248=1,K248=1),AND(J248=1,I248="SBJ"),AND(J248=1,I248=0)),"?IN_FOCUS",IF(J248&lt;=2,"?ACTIVATED",IF(J248&lt;&gt;"","?FAMILIAR",IF(F248="NEW",IF(ISNA(VLOOKUP(E248,#REF!,1,FALSE())),"?TYPE_IDENTIFIABLE","?REFERENTIAL"),"_")))))</f>
        <v/>
      </c>
      <c r="H248" s="23" t="str">
        <f t="shared" ca="1" si="12"/>
        <v/>
      </c>
      <c r="I248" s="24" t="str">
        <f>IF(OR(E248="",E248="!!!",F248="NEW"),"",INDEX(B$2:B247,-1+SUMPRODUCT(MAX(ROW(E$2:E247)*(E248=E$2:E247)))))</f>
        <v/>
      </c>
      <c r="J248" s="24" t="str">
        <f ca="1">IF(OR(E248="",E248="!!!",F248="NEW"),"",COUNTBLANK(OFFSET(A$1,,,SUMPRODUCT(MAX(ROW(E$2:E248)*(E248=E$2:E248)))))-COUNTBLANK(OFFSET(A$1,,,SUMPRODUCT(MAX(ROW(E$1:E247)*(E2=E$1:E247))))))</f>
        <v/>
      </c>
      <c r="K248" s="24" t="str">
        <f>IF(OR(E248="",E248="!!!",F248="NEW"),"",INDEX(J$1:J247,SUMPRODUCT(MAX(ROW(E$1:E247)*(E248=E$1:E247)))))</f>
        <v/>
      </c>
      <c r="L248" s="29"/>
    </row>
    <row r="249" spans="1:12" x14ac:dyDescent="0.3">
      <c r="A249" t="s">
        <v>250</v>
      </c>
      <c r="B249" s="26" t="s">
        <v>101</v>
      </c>
      <c r="C249" s="26" t="s">
        <v>97</v>
      </c>
      <c r="D249" s="26" t="s">
        <v>98</v>
      </c>
      <c r="E249" s="27" t="s">
        <v>326</v>
      </c>
      <c r="F249" s="28" t="str">
        <f>IF(OR(E249="",E249="!!!"),"",IF(NOT(ISNA(VLOOKUP(E249,E$1:E248,1,FALSE()))),"OLD",IF(AND(E249&lt;&gt;"",E249&lt;&gt;"!!!"),"NEW","")))</f>
        <v>OLD</v>
      </c>
      <c r="G249" s="22" t="str">
        <f ca="1">IF(OR(E249="",E249="!!!"),"",IF(OR(J249=0,AND(J249=1,K249=1),AND(J249=1,I249="SBJ"),AND(J249=1,I249=0)),"?IN_FOCUS",IF(J249&lt;=2,"?ACTIVATED",IF(J249&lt;&gt;"","?FAMILIAR",IF(F249="NEW",IF(ISNA(VLOOKUP(E249,#REF!,1,FALSE())),"?TYPE_IDENTIFIABLE","?REFERENTIAL"),"_")))))</f>
        <v>?IN_FOCUS</v>
      </c>
      <c r="H249" s="23" t="str">
        <f t="shared" ca="1" si="12"/>
        <v/>
      </c>
      <c r="I249" s="24" t="str">
        <f>IF(OR(E249="",E249="!!!",F249="NEW"),"",INDEX(B$2:B248,-1+SUMPRODUCT(MAX(ROW(E$2:E248)*(E249=E$2:E248)))))</f>
        <v>OBJ_3</v>
      </c>
      <c r="J249" s="24">
        <f ca="1">IF(OR(E249="",E249="!!!",F249="NEW"),"",COUNTBLANK(OFFSET(A$1,,,SUMPRODUCT(MAX(ROW(E$2:E249)*(E249=E$2:E249)))))-COUNTBLANK(OFFSET(A$1,,,SUMPRODUCT(MAX(ROW(E$1:E248)*(E2=E$1:E248))))))</f>
        <v>0</v>
      </c>
      <c r="K249" s="24">
        <f ca="1">IF(OR(E249="",E249="!!!",F249="NEW"),"",INDEX(J$1:J248,SUMPRODUCT(MAX(ROW(E$1:E248)*(E249=E$1:E248)))))</f>
        <v>0</v>
      </c>
      <c r="L249" s="29"/>
    </row>
    <row r="250" spans="1:12" x14ac:dyDescent="0.3">
      <c r="A250" t="s">
        <v>230</v>
      </c>
      <c r="B250" s="26" t="s">
        <v>123</v>
      </c>
      <c r="C250" s="26" t="s">
        <v>214</v>
      </c>
      <c r="D250" s="26" t="s">
        <v>98</v>
      </c>
      <c r="E250" s="27" t="s">
        <v>350</v>
      </c>
      <c r="F250" s="28" t="str">
        <f>IF(OR(E250="",E250="!!!"),"",IF(NOT(ISNA(VLOOKUP(E250,E$1:E249,1,FALSE()))),"OLD",IF(AND(E250&lt;&gt;"",E250&lt;&gt;"!!!"),"NEW","")))</f>
        <v>NEW</v>
      </c>
      <c r="G250" s="22" t="str">
        <f ca="1">IF(OR(E250="",E250="!!!"),"",IF(OR(J250=0,AND(J250=1,K250=1),AND(J250=1,I250="SBJ"),AND(J250=1,I250=0)),"?IN_FOCUS",IF(J250&lt;=2,"?ACTIVATED",IF(J250&lt;&gt;"","?FAMILIAR",IF(F250="NEW",IF(ISNA(VLOOKUP(E250,#REF!,1,FALSE())),"?TYPE_IDENTIFIABLE","?REFERENTIAL"),"_")))))</f>
        <v>?REFERENTIAL</v>
      </c>
      <c r="H250" s="23" t="str">
        <f t="shared" ca="1" si="12"/>
        <v/>
      </c>
      <c r="I250" s="24" t="str">
        <f>IF(OR(E250="",E250="!!!",F250="NEW"),"",INDEX(B$2:B249,-1+SUMPRODUCT(MAX(ROW(E$2:E249)*(E250=E$2:E249)))))</f>
        <v/>
      </c>
      <c r="J250" s="24" t="str">
        <f ca="1">IF(OR(E250="",E250="!!!",F250="NEW"),"",COUNTBLANK(OFFSET(A$1,,,SUMPRODUCT(MAX(ROW(E$2:E250)*(E250=E$2:E250)))))-COUNTBLANK(OFFSET(A$1,,,SUMPRODUCT(MAX(ROW(E$1:E249)*(E2=E$1:E249))))))</f>
        <v/>
      </c>
      <c r="K250" s="24" t="str">
        <f>IF(OR(E250="",E250="!!!",F250="NEW"),"",INDEX(J$1:J249,SUMPRODUCT(MAX(ROW(E$1:E249)*(E250=E$1:E249)))))</f>
        <v/>
      </c>
      <c r="L250" s="29"/>
    </row>
    <row r="251" spans="1:12" x14ac:dyDescent="0.3">
      <c r="A251" t="s">
        <v>186</v>
      </c>
      <c r="E251" s="27"/>
      <c r="F251" s="28" t="str">
        <f>IF(OR(E251="",E251="!!!"),"",IF(NOT(ISNA(VLOOKUP(E251,E$1:E250,1,FALSE()))),"OLD",IF(AND(E251&lt;&gt;"",E251&lt;&gt;"!!!"),"NEW","")))</f>
        <v/>
      </c>
      <c r="G251" s="22" t="str">
        <f>IF(OR(E251="",E251="!!!"),"",IF(OR(J251=0,AND(J251=1,K251=1),AND(J251=1,I251="SBJ"),AND(J251=1,I251=0)),"?IN_FOCUS",IF(J251&lt;=2,"?ACTIVATED",IF(J251&lt;&gt;"","?FAMILIAR",IF(F251="NEW",IF(ISNA(VLOOKUP(E251,#REF!,1,FALSE())),"?TYPE_IDENTIFIABLE","?REFERENTIAL"),"_")))))</f>
        <v/>
      </c>
      <c r="H251" s="23" t="str">
        <f t="shared" ca="1" si="12"/>
        <v/>
      </c>
      <c r="I251" s="24" t="str">
        <f>IF(OR(E251="",E251="!!!",F251="NEW"),"",INDEX(B$2:B250,-1+SUMPRODUCT(MAX(ROW(E$2:E250)*(E251=E$2:E250)))))</f>
        <v/>
      </c>
      <c r="J251" s="24" t="str">
        <f ca="1">IF(OR(E251="",E251="!!!",F251="NEW"),"",COUNTBLANK(OFFSET(A$1,,,SUMPRODUCT(MAX(ROW(E$2:E251)*(E251=E$2:E251)))))-COUNTBLANK(OFFSET(A$1,,,SUMPRODUCT(MAX(ROW(E$1:E250)*(E2=E$1:E250))))))</f>
        <v/>
      </c>
      <c r="K251" s="24" t="str">
        <f>IF(OR(E251="",E251="!!!",F251="NEW"),"",INDEX(J$1:J250,SUMPRODUCT(MAX(ROW(E$1:E250)*(E251=E$1:E250)))))</f>
        <v/>
      </c>
      <c r="L251" s="29"/>
    </row>
    <row r="252" spans="1:12" x14ac:dyDescent="0.3">
      <c r="A252" t="s">
        <v>251</v>
      </c>
      <c r="B252" s="26" t="s">
        <v>101</v>
      </c>
      <c r="C252" s="26" t="s">
        <v>115</v>
      </c>
      <c r="E252" s="27"/>
      <c r="F252" s="28" t="str">
        <f>IF(OR(E252="",E252="!!!"),"",IF(NOT(ISNA(VLOOKUP(E252,E$1:E251,1,FALSE()))),"OLD",IF(AND(E252&lt;&gt;"",E252&lt;&gt;"!!!"),"NEW","")))</f>
        <v/>
      </c>
      <c r="G252" s="22" t="str">
        <f>IF(OR(E252="",E252="!!!"),"",IF(OR(J252=0,AND(J252=1,K252=1),AND(J252=1,I252="SBJ"),AND(J252=1,I252=0)),"?IN_FOCUS",IF(J252&lt;=2,"?ACTIVATED",IF(J252&lt;&gt;"","?FAMILIAR",IF(F252="NEW",IF(ISNA(VLOOKUP(E252,#REF!,1,FALSE())),"?TYPE_IDENTIFIABLE","?REFERENTIAL"),"_")))))</f>
        <v/>
      </c>
      <c r="H252" s="23" t="str">
        <f t="shared" ca="1" si="12"/>
        <v/>
      </c>
      <c r="I252" s="24" t="str">
        <f>IF(OR(E252="",E252="!!!",F252="NEW"),"",INDEX(B$2:B251,-1+SUMPRODUCT(MAX(ROW(E$2:E251)*(E252=E$2:E251)))))</f>
        <v/>
      </c>
      <c r="J252" s="24" t="str">
        <f ca="1">IF(OR(E252="",E252="!!!",F252="NEW"),"",COUNTBLANK(OFFSET(A$1,,,SUMPRODUCT(MAX(ROW(E$2:E252)*(E252=E$2:E252)))))-COUNTBLANK(OFFSET(A$1,,,SUMPRODUCT(MAX(ROW(E$1:E251)*(E2=E$1:E251))))))</f>
        <v/>
      </c>
      <c r="K252" s="24" t="str">
        <f>IF(OR(E252="",E252="!!!",F252="NEW"),"",INDEX(J$1:J251,SUMPRODUCT(MAX(ROW(E$1:E251)*(E252=E$1:E251)))))</f>
        <v/>
      </c>
      <c r="L252" s="29"/>
    </row>
    <row r="253" spans="1:12" x14ac:dyDescent="0.3">
      <c r="A253" t="s">
        <v>129</v>
      </c>
      <c r="E253" s="27"/>
      <c r="F253" s="28" t="str">
        <f>IF(OR(E253="",E253="!!!"),"",IF(NOT(ISNA(VLOOKUP(E253,E$1:E252,1,FALSE()))),"OLD",IF(AND(E253&lt;&gt;"",E253&lt;&gt;"!!!"),"NEW","")))</f>
        <v/>
      </c>
      <c r="G253" s="22" t="str">
        <f>IF(OR(E253="",E253="!!!"),"",IF(OR(J253=0,AND(J253=1,K253=1),AND(J253=1,I253="SBJ"),AND(J253=1,I253=0)),"?IN_FOCUS",IF(J253&lt;=2,"?ACTIVATED",IF(J253&lt;&gt;"","?FAMILIAR",IF(F253="NEW",IF(ISNA(VLOOKUP(E253,#REF!,1,FALSE())),"?TYPE_IDENTIFIABLE","?REFERENTIAL"),"_")))))</f>
        <v/>
      </c>
      <c r="H253" s="23" t="str">
        <f t="shared" ca="1" si="12"/>
        <v/>
      </c>
      <c r="I253" s="24" t="str">
        <f>IF(OR(E253="",E253="!!!",F253="NEW"),"",INDEX(B$2:B252,-1+SUMPRODUCT(MAX(ROW(E$2:E252)*(E253=E$2:E252)))))</f>
        <v/>
      </c>
      <c r="J253" s="24" t="str">
        <f ca="1">IF(OR(E253="",E253="!!!",F253="NEW"),"",COUNTBLANK(OFFSET(A$1,,,SUMPRODUCT(MAX(ROW(E$2:E253)*(E253=E$2:E253)))))-COUNTBLANK(OFFSET(A$1,,,SUMPRODUCT(MAX(ROW(E$1:E252)*(E2=E$1:E252))))))</f>
        <v/>
      </c>
      <c r="K253" s="24" t="str">
        <f>IF(OR(E253="",E253="!!!",F253="NEW"),"",INDEX(J$1:J252,SUMPRODUCT(MAX(ROW(E$1:E252)*(E253=E$1:E252)))))</f>
        <v/>
      </c>
      <c r="L253" s="29"/>
    </row>
    <row r="255" spans="1:12" x14ac:dyDescent="0.3">
      <c r="A255" t="s">
        <v>130</v>
      </c>
      <c r="E255" s="27"/>
      <c r="F255" s="28" t="str">
        <f>IF(OR(E255="",E255="!!!"),"",IF(NOT(ISNA(VLOOKUP(E255,E$1:E254,1,FALSE()))),"OLD",IF(AND(E255&lt;&gt;"",E255&lt;&gt;"!!!"),"NEW","")))</f>
        <v/>
      </c>
      <c r="G255" s="22" t="str">
        <f>IF(OR(E255="",E255="!!!"),"",IF(OR(J255=0,AND(J255=1,K255=1),AND(J255=1,I255="SBJ"),AND(J255=1,I255=0)),"?IN_FOCUS",IF(J255&lt;=2,"?ACTIVATED",IF(J255&lt;&gt;"","?FAMILIAR",IF(F255="NEW",IF(ISNA(VLOOKUP(E255,#REF!,1,FALSE())),"?TYPE_IDENTIFIABLE","?REFERENTIAL"),"_")))))</f>
        <v/>
      </c>
      <c r="H255" s="23" t="str">
        <f ca="1">IF(J255&lt;&gt;1,"",IF(I255="SBJ","CB","?"))</f>
        <v/>
      </c>
      <c r="I255" s="24" t="str">
        <f>IF(OR(E255="",E255="!!!",F255="NEW"),"",INDEX(B$2:B254,-1+SUMPRODUCT(MAX(ROW(E$2:E254)*(E255=E$2:E254)))))</f>
        <v/>
      </c>
      <c r="J255" s="24" t="str">
        <f ca="1">IF(OR(E255="",E255="!!!",F255="NEW"),"",COUNTBLANK(OFFSET(A$1,,,SUMPRODUCT(MAX(ROW(E$2:E255)*(E255=E$2:E255)))))-COUNTBLANK(OFFSET(A$1,,,SUMPRODUCT(MAX(ROW(E$1:E254)*(E2=E$1:E254))))))</f>
        <v/>
      </c>
      <c r="K255" s="24" t="str">
        <f>IF(OR(E255="",E255="!!!",F255="NEW"),"",INDEX(J$1:J254,SUMPRODUCT(MAX(ROW(E$1:E254)*(E255=E$1:E254)))))</f>
        <v/>
      </c>
      <c r="L255" s="29"/>
    </row>
    <row r="256" spans="1:12" x14ac:dyDescent="0.3">
      <c r="A256" t="s">
        <v>252</v>
      </c>
    </row>
    <row r="257" spans="1:12" x14ac:dyDescent="0.3">
      <c r="A257" t="s">
        <v>191</v>
      </c>
      <c r="B257" s="26" t="s">
        <v>96</v>
      </c>
      <c r="C257" s="26" t="s">
        <v>97</v>
      </c>
      <c r="D257" s="26" t="s">
        <v>98</v>
      </c>
      <c r="E257" s="27" t="s">
        <v>338</v>
      </c>
      <c r="F257" s="28" t="str">
        <f>IF(OR(E257="",E257="!!!"),"",IF(NOT(ISNA(VLOOKUP(E257,E$1:E256,1,FALSE()))),"OLD",IF(AND(E257&lt;&gt;"",E257&lt;&gt;"!!!"),"NEW","")))</f>
        <v>OLD</v>
      </c>
      <c r="G257" s="22" t="str">
        <f ca="1">IF(OR(E257="",E257="!!!"),"",IF(OR(J257=0,AND(J257=1,K257=1),AND(J257=1,I257="SBJ"),AND(J257=1,I257=0)),"?IN_FOCUS",IF(J257&lt;=2,"?ACTIVATED",IF(J257&lt;&gt;"","?FAMILIAR",IF(F257="NEW",IF(ISNA(VLOOKUP(E257,#REF!,1,FALSE())),"?TYPE_IDENTIFIABLE","?REFERENTIAL"),"_")))))</f>
        <v>?IN_FOCUS</v>
      </c>
      <c r="H257" s="23" t="str">
        <f t="shared" ref="H257:H281" ca="1" si="13">IF(J257&lt;&gt;1,"",IF(I257="SBJ","CB","?"))</f>
        <v/>
      </c>
      <c r="I257" s="24" t="str">
        <f>IF(OR(E257="",E257="!!!",F257="NEW"),"",INDEX(B$2:B256,-1+SUMPRODUCT(MAX(ROW(E$2:E256)*(E257=E$2:E256)))))</f>
        <v>SBJ</v>
      </c>
      <c r="J257" s="24">
        <f ca="1">IF(OR(E257="",E257="!!!",F257="NEW"),"",COUNTBLANK(OFFSET(A$1,,,SUMPRODUCT(MAX(ROW(E$2:E257)*(E257=E$2:E257)))))-COUNTBLANK(OFFSET(A$1,,,SUMPRODUCT(MAX(ROW(E$1:E256)*(E2=E$1:E256))))))</f>
        <v>0</v>
      </c>
      <c r="K257" s="24">
        <f ca="1">IF(OR(E257="",E257="!!!",F257="NEW"),"",INDEX(J$1:J256,SUMPRODUCT(MAX(ROW(E$1:E256)*(E257=E$1:E256)))))</f>
        <v>0</v>
      </c>
      <c r="L257" s="29"/>
    </row>
    <row r="258" spans="1:12" x14ac:dyDescent="0.3">
      <c r="A258" t="s">
        <v>172</v>
      </c>
      <c r="E258" s="27"/>
      <c r="F258" s="28" t="str">
        <f>IF(OR(E258="",E258="!!!"),"",IF(NOT(ISNA(VLOOKUP(E258,E$1:E257,1,FALSE()))),"OLD",IF(AND(E258&lt;&gt;"",E258&lt;&gt;"!!!"),"NEW","")))</f>
        <v/>
      </c>
      <c r="G258" s="22" t="str">
        <f>IF(OR(E258="",E258="!!!"),"",IF(OR(J258=0,AND(J258=1,K258=1),AND(J258=1,I258="SBJ"),AND(J258=1,I258=0)),"?IN_FOCUS",IF(J258&lt;=2,"?ACTIVATED",IF(J258&lt;&gt;"","?FAMILIAR",IF(F258="NEW",IF(ISNA(VLOOKUP(E258,#REF!,1,FALSE())),"?TYPE_IDENTIFIABLE","?REFERENTIAL"),"_")))))</f>
        <v/>
      </c>
      <c r="H258" s="23" t="str">
        <f t="shared" ca="1" si="13"/>
        <v/>
      </c>
      <c r="I258" s="24" t="str">
        <f>IF(OR(E258="",E258="!!!",F258="NEW"),"",INDEX(B$2:B257,-1+SUMPRODUCT(MAX(ROW(E$2:E257)*(E258=E$2:E257)))))</f>
        <v/>
      </c>
      <c r="J258" s="24" t="str">
        <f ca="1">IF(OR(E258="",E258="!!!",F258="NEW"),"",COUNTBLANK(OFFSET(A$1,,,SUMPRODUCT(MAX(ROW(E$2:E258)*(E258=E$2:E258)))))-COUNTBLANK(OFFSET(A$1,,,SUMPRODUCT(MAX(ROW(E$1:E257)*(E2=E$1:E257))))))</f>
        <v/>
      </c>
      <c r="K258" s="24" t="str">
        <f>IF(OR(E258="",E258="!!!",F258="NEW"),"",INDEX(J$1:J257,SUMPRODUCT(MAX(ROW(E$1:E257)*(E258=E$1:E257)))))</f>
        <v/>
      </c>
      <c r="L258" s="29"/>
    </row>
    <row r="259" spans="1:12" x14ac:dyDescent="0.3">
      <c r="A259" t="s">
        <v>253</v>
      </c>
      <c r="E259" s="27"/>
      <c r="F259" s="28" t="str">
        <f>IF(OR(E259="",E259="!!!"),"",IF(NOT(ISNA(VLOOKUP(E259,E$1:E258,1,FALSE()))),"OLD",IF(AND(E259&lt;&gt;"",E259&lt;&gt;"!!!"),"NEW","")))</f>
        <v/>
      </c>
      <c r="G259" s="22" t="str">
        <f>IF(OR(E259="",E259="!!!"),"",IF(OR(J259=0,AND(J259=1,K259=1),AND(J259=1,I259="SBJ"),AND(J259=1,I259=0)),"?IN_FOCUS",IF(J259&lt;=2,"?ACTIVATED",IF(J259&lt;&gt;"","?FAMILIAR",IF(F259="NEW",IF(ISNA(VLOOKUP(E259,#REF!,1,FALSE())),"?TYPE_IDENTIFIABLE","?REFERENTIAL"),"_")))))</f>
        <v/>
      </c>
      <c r="H259" s="23" t="str">
        <f t="shared" ca="1" si="13"/>
        <v/>
      </c>
      <c r="I259" s="24" t="str">
        <f>IF(OR(E259="",E259="!!!",F259="NEW"),"",INDEX(B$2:B258,-1+SUMPRODUCT(MAX(ROW(E$2:E258)*(E259=E$2:E258)))))</f>
        <v/>
      </c>
      <c r="J259" s="24" t="str">
        <f ca="1">IF(OR(E259="",E259="!!!",F259="NEW"),"",COUNTBLANK(OFFSET(A$1,,,SUMPRODUCT(MAX(ROW(E$2:E259)*(E259=E$2:E259)))))-COUNTBLANK(OFFSET(A$1,,,SUMPRODUCT(MAX(ROW(E$1:E258)*(E2=E$1:E258))))))</f>
        <v/>
      </c>
      <c r="K259" s="24" t="str">
        <f>IF(OR(E259="",E259="!!!",F259="NEW"),"",INDEX(J$1:J258,SUMPRODUCT(MAX(ROW(E$1:E258)*(E259=E$1:E258)))))</f>
        <v/>
      </c>
      <c r="L259" s="29"/>
    </row>
    <row r="260" spans="1:12" x14ac:dyDescent="0.3">
      <c r="A260" t="s">
        <v>160</v>
      </c>
      <c r="E260" s="27"/>
      <c r="F260" s="28" t="str">
        <f>IF(OR(E260="",E260="!!!"),"",IF(NOT(ISNA(VLOOKUP(E260,E$1:E259,1,FALSE()))),"OLD",IF(AND(E260&lt;&gt;"",E260&lt;&gt;"!!!"),"NEW","")))</f>
        <v/>
      </c>
      <c r="G260" s="22" t="str">
        <f>IF(OR(E260="",E260="!!!"),"",IF(OR(J260=0,AND(J260=1,K260=1),AND(J260=1,I260="SBJ"),AND(J260=1,I260=0)),"?IN_FOCUS",IF(J260&lt;=2,"?ACTIVATED",IF(J260&lt;&gt;"","?FAMILIAR",IF(F260="NEW",IF(ISNA(VLOOKUP(E260,#REF!,1,FALSE())),"?TYPE_IDENTIFIABLE","?REFERENTIAL"),"_")))))</f>
        <v/>
      </c>
      <c r="H260" s="23" t="str">
        <f t="shared" ca="1" si="13"/>
        <v/>
      </c>
      <c r="I260" s="24" t="str">
        <f>IF(OR(E260="",E260="!!!",F260="NEW"),"",INDEX(B$2:B259,-1+SUMPRODUCT(MAX(ROW(E$2:E259)*(E260=E$2:E259)))))</f>
        <v/>
      </c>
      <c r="J260" s="24" t="str">
        <f ca="1">IF(OR(E260="",E260="!!!",F260="NEW"),"",COUNTBLANK(OFFSET(A$1,,,SUMPRODUCT(MAX(ROW(E$2:E260)*(E260=E$2:E260)))))-COUNTBLANK(OFFSET(A$1,,,SUMPRODUCT(MAX(ROW(E$1:E259)*(E2=E$1:E259))))))</f>
        <v/>
      </c>
      <c r="K260" s="24" t="str">
        <f>IF(OR(E260="",E260="!!!",F260="NEW"),"",INDEX(J$1:J259,SUMPRODUCT(MAX(ROW(E$1:E259)*(E260=E$1:E259)))))</f>
        <v/>
      </c>
      <c r="L260" s="29"/>
    </row>
    <row r="261" spans="1:12" x14ac:dyDescent="0.3">
      <c r="A261" t="s">
        <v>108</v>
      </c>
      <c r="E261" s="27"/>
      <c r="F261" s="28" t="str">
        <f>IF(OR(E261="",E261="!!!"),"",IF(NOT(ISNA(VLOOKUP(E261,E$1:E260,1,FALSE()))),"OLD",IF(AND(E261&lt;&gt;"",E261&lt;&gt;"!!!"),"NEW","")))</f>
        <v/>
      </c>
      <c r="G261" s="22" t="str">
        <f>IF(OR(E261="",E261="!!!"),"",IF(OR(J261=0,AND(J261=1,K261=1),AND(J261=1,I261="SBJ"),AND(J261=1,I261=0)),"?IN_FOCUS",IF(J261&lt;=2,"?ACTIVATED",IF(J261&lt;&gt;"","?FAMILIAR",IF(F261="NEW",IF(ISNA(VLOOKUP(E261,#REF!,1,FALSE())),"?TYPE_IDENTIFIABLE","?REFERENTIAL"),"_")))))</f>
        <v/>
      </c>
      <c r="H261" s="23" t="str">
        <f t="shared" ca="1" si="13"/>
        <v/>
      </c>
      <c r="I261" s="24" t="str">
        <f>IF(OR(E261="",E261="!!!",F261="NEW"),"",INDEX(B$2:B260,-1+SUMPRODUCT(MAX(ROW(E$2:E260)*(E261=E$2:E260)))))</f>
        <v/>
      </c>
      <c r="J261" s="24" t="str">
        <f ca="1">IF(OR(E261="",E261="!!!",F261="NEW"),"",COUNTBLANK(OFFSET(A$1,,,SUMPRODUCT(MAX(ROW(E$2:E261)*(E261=E$2:E261)))))-COUNTBLANK(OFFSET(A$1,,,SUMPRODUCT(MAX(ROW(E$1:E260)*(E2=E$1:E260))))))</f>
        <v/>
      </c>
      <c r="K261" s="24" t="str">
        <f>IF(OR(E261="",E261="!!!",F261="NEW"),"",INDEX(J$1:J260,SUMPRODUCT(MAX(ROW(E$1:E260)*(E261=E$1:E260)))))</f>
        <v/>
      </c>
      <c r="L261" s="29"/>
    </row>
    <row r="262" spans="1:12" x14ac:dyDescent="0.3">
      <c r="A262" t="s">
        <v>138</v>
      </c>
      <c r="E262" s="27"/>
      <c r="F262" s="28" t="str">
        <f>IF(OR(E262="",E262="!!!"),"",IF(NOT(ISNA(VLOOKUP(E262,E$1:E261,1,FALSE()))),"OLD",IF(AND(E262&lt;&gt;"",E262&lt;&gt;"!!!"),"NEW","")))</f>
        <v/>
      </c>
      <c r="G262" s="22" t="str">
        <f>IF(OR(E262="",E262="!!!"),"",IF(OR(J262=0,AND(J262=1,K262=1),AND(J262=1,I262="SBJ"),AND(J262=1,I262=0)),"?IN_FOCUS",IF(J262&lt;=2,"?ACTIVATED",IF(J262&lt;&gt;"","?FAMILIAR",IF(F262="NEW",IF(ISNA(VLOOKUP(E262,#REF!,1,FALSE())),"?TYPE_IDENTIFIABLE","?REFERENTIAL"),"_")))))</f>
        <v/>
      </c>
      <c r="H262" s="23" t="str">
        <f t="shared" ca="1" si="13"/>
        <v/>
      </c>
      <c r="I262" s="24" t="str">
        <f>IF(OR(E262="",E262="!!!",F262="NEW"),"",INDEX(B$2:B261,-1+SUMPRODUCT(MAX(ROW(E$2:E261)*(E262=E$2:E261)))))</f>
        <v/>
      </c>
      <c r="J262" s="24" t="str">
        <f ca="1">IF(OR(E262="",E262="!!!",F262="NEW"),"",COUNTBLANK(OFFSET(A$1,,,SUMPRODUCT(MAX(ROW(E$2:E262)*(E262=E$2:E262)))))-COUNTBLANK(OFFSET(A$1,,,SUMPRODUCT(MAX(ROW(E$1:E261)*(E2=E$1:E261))))))</f>
        <v/>
      </c>
      <c r="K262" s="24" t="str">
        <f>IF(OR(E262="",E262="!!!",F262="NEW"),"",INDEX(J$1:J261,SUMPRODUCT(MAX(ROW(E$1:E261)*(E262=E$1:E261)))))</f>
        <v/>
      </c>
      <c r="L262" s="29"/>
    </row>
    <row r="263" spans="1:12" x14ac:dyDescent="0.3">
      <c r="A263" t="s">
        <v>171</v>
      </c>
      <c r="B263" s="26" t="s">
        <v>140</v>
      </c>
      <c r="C263" s="26" t="s">
        <v>97</v>
      </c>
      <c r="D263" s="26" t="s">
        <v>98</v>
      </c>
      <c r="E263" s="27" t="s">
        <v>326</v>
      </c>
      <c r="F263" s="28" t="str">
        <f>IF(OR(E263="",E263="!!!"),"",IF(NOT(ISNA(VLOOKUP(E263,E$1:E262,1,FALSE()))),"OLD",IF(AND(E263&lt;&gt;"",E263&lt;&gt;"!!!"),"NEW","")))</f>
        <v>OLD</v>
      </c>
      <c r="G263" s="22" t="str">
        <f ca="1">IF(OR(E263="",E263="!!!"),"",IF(OR(J263=0,AND(J263=1,K263=1),AND(J263=1,I263="SBJ"),AND(J263=1,I263=0)),"?IN_FOCUS",IF(J263&lt;=2,"?ACTIVATED",IF(J263&lt;&gt;"","?FAMILIAR",IF(F263="NEW",IF(ISNA(VLOOKUP(E263,#REF!,1,FALSE())),"?TYPE_IDENTIFIABLE","?REFERENTIAL"),"_")))))</f>
        <v>?IN_FOCUS</v>
      </c>
      <c r="H263" s="23" t="str">
        <f t="shared" ca="1" si="13"/>
        <v/>
      </c>
      <c r="I263" s="24" t="str">
        <f>IF(OR(E263="",E263="!!!",F263="NEW"),"",INDEX(B$2:B262,-1+SUMPRODUCT(MAX(ROW(E$2:E262)*(E263=E$2:E262)))))</f>
        <v>other_2</v>
      </c>
      <c r="J263" s="24">
        <f ca="1">IF(OR(E263="",E263="!!!",F263="NEW"),"",COUNTBLANK(OFFSET(A$1,,,SUMPRODUCT(MAX(ROW(E$2:E263)*(E263=E$2:E263)))))-COUNTBLANK(OFFSET(A$1,,,SUMPRODUCT(MAX(ROW(E$1:E262)*(E2=E$1:E262))))))</f>
        <v>0</v>
      </c>
      <c r="K263" s="24">
        <f ca="1">IF(OR(E263="",E263="!!!",F263="NEW"),"",INDEX(J$1:J262,SUMPRODUCT(MAX(ROW(E$1:E262)*(E263=E$1:E262)))))</f>
        <v>0</v>
      </c>
      <c r="L263" s="29"/>
    </row>
    <row r="264" spans="1:12" x14ac:dyDescent="0.3">
      <c r="A264" t="s">
        <v>254</v>
      </c>
      <c r="E264" s="27"/>
      <c r="F264" s="28" t="str">
        <f>IF(OR(E264="",E264="!!!"),"",IF(NOT(ISNA(VLOOKUP(E264,E$1:E263,1,FALSE()))),"OLD",IF(AND(E264&lt;&gt;"",E264&lt;&gt;"!!!"),"NEW","")))</f>
        <v/>
      </c>
      <c r="G264" s="22" t="str">
        <f>IF(OR(E264="",E264="!!!"),"",IF(OR(J264=0,AND(J264=1,K264=1),AND(J264=1,I264="SBJ"),AND(J264=1,I264=0)),"?IN_FOCUS",IF(J264&lt;=2,"?ACTIVATED",IF(J264&lt;&gt;"","?FAMILIAR",IF(F264="NEW",IF(ISNA(VLOOKUP(E264,#REF!,1,FALSE())),"?TYPE_IDENTIFIABLE","?REFERENTIAL"),"_")))))</f>
        <v/>
      </c>
      <c r="H264" s="23" t="str">
        <f t="shared" ca="1" si="13"/>
        <v/>
      </c>
      <c r="I264" s="24" t="str">
        <f>IF(OR(E264="",E264="!!!",F264="NEW"),"",INDEX(B$2:B263,-1+SUMPRODUCT(MAX(ROW(E$2:E263)*(E264=E$2:E263)))))</f>
        <v/>
      </c>
      <c r="J264" s="24" t="str">
        <f ca="1">IF(OR(E264="",E264="!!!",F264="NEW"),"",COUNTBLANK(OFFSET(A$1,,,SUMPRODUCT(MAX(ROW(E$2:E264)*(E264=E$2:E264)))))-COUNTBLANK(OFFSET(A$1,,,SUMPRODUCT(MAX(ROW(E$1:E263)*(E2=E$1:E263))))))</f>
        <v/>
      </c>
      <c r="K264" s="24" t="str">
        <f>IF(OR(E264="",E264="!!!",F264="NEW"),"",INDEX(J$1:J263,SUMPRODUCT(MAX(ROW(E$1:E263)*(E264=E$1:E263)))))</f>
        <v/>
      </c>
      <c r="L264" s="29"/>
    </row>
    <row r="265" spans="1:12" x14ac:dyDescent="0.3">
      <c r="A265" t="s">
        <v>99</v>
      </c>
      <c r="E265" s="27"/>
      <c r="F265" s="28" t="str">
        <f>IF(OR(E265="",E265="!!!"),"",IF(NOT(ISNA(VLOOKUP(E265,E$1:E264,1,FALSE()))),"OLD",IF(AND(E265&lt;&gt;"",E265&lt;&gt;"!!!"),"NEW","")))</f>
        <v/>
      </c>
      <c r="G265" s="22" t="str">
        <f>IF(OR(E265="",E265="!!!"),"",IF(OR(J265=0,AND(J265=1,K265=1),AND(J265=1,I265="SBJ"),AND(J265=1,I265=0)),"?IN_FOCUS",IF(J265&lt;=2,"?ACTIVATED",IF(J265&lt;&gt;"","?FAMILIAR",IF(F265="NEW",IF(ISNA(VLOOKUP(E265,#REF!,1,FALSE())),"?TYPE_IDENTIFIABLE","?REFERENTIAL"),"_")))))</f>
        <v/>
      </c>
      <c r="H265" s="23" t="str">
        <f t="shared" ca="1" si="13"/>
        <v/>
      </c>
      <c r="I265" s="24" t="str">
        <f>IF(OR(E265="",E265="!!!",F265="NEW"),"",INDEX(B$2:B264,-1+SUMPRODUCT(MAX(ROW(E$2:E264)*(E265=E$2:E264)))))</f>
        <v/>
      </c>
      <c r="J265" s="24" t="str">
        <f ca="1">IF(OR(E265="",E265="!!!",F265="NEW"),"",COUNTBLANK(OFFSET(A$1,,,SUMPRODUCT(MAX(ROW(E$2:E265)*(E265=E$2:E265)))))-COUNTBLANK(OFFSET(A$1,,,SUMPRODUCT(MAX(ROW(E$1:E264)*(E2=E$1:E264))))))</f>
        <v/>
      </c>
      <c r="K265" s="24" t="str">
        <f>IF(OR(E265="",E265="!!!",F265="NEW"),"",INDEX(J$1:J264,SUMPRODUCT(MAX(ROW(E$1:E264)*(E265=E$1:E264)))))</f>
        <v/>
      </c>
      <c r="L265" s="29"/>
    </row>
    <row r="266" spans="1:12" x14ac:dyDescent="0.3">
      <c r="A266" t="s">
        <v>255</v>
      </c>
      <c r="B266" s="26" t="s">
        <v>101</v>
      </c>
      <c r="C266" s="26" t="s">
        <v>115</v>
      </c>
      <c r="E266" s="27"/>
      <c r="F266" s="28" t="str">
        <f>IF(OR(E266="",E266="!!!"),"",IF(NOT(ISNA(VLOOKUP(E266,E$1:E265,1,FALSE()))),"OLD",IF(AND(E266&lt;&gt;"",E266&lt;&gt;"!!!"),"NEW","")))</f>
        <v/>
      </c>
      <c r="G266" s="22" t="str">
        <f>IF(OR(E266="",E266="!!!"),"",IF(OR(J266=0,AND(J266=1,K266=1),AND(J266=1,I266="SBJ"),AND(J266=1,I266=0)),"?IN_FOCUS",IF(J266&lt;=2,"?ACTIVATED",IF(J266&lt;&gt;"","?FAMILIAR",IF(F266="NEW",IF(ISNA(VLOOKUP(E266,#REF!,1,FALSE())),"?TYPE_IDENTIFIABLE","?REFERENTIAL"),"_")))))</f>
        <v/>
      </c>
      <c r="H266" s="23" t="str">
        <f t="shared" ca="1" si="13"/>
        <v/>
      </c>
      <c r="I266" s="24" t="str">
        <f>IF(OR(E266="",E266="!!!",F266="NEW"),"",INDEX(B$2:B265,-1+SUMPRODUCT(MAX(ROW(E$2:E265)*(E266=E$2:E265)))))</f>
        <v/>
      </c>
      <c r="J266" s="24" t="str">
        <f ca="1">IF(OR(E266="",E266="!!!",F266="NEW"),"",COUNTBLANK(OFFSET(A$1,,,SUMPRODUCT(MAX(ROW(E$2:E266)*(E266=E$2:E266)))))-COUNTBLANK(OFFSET(A$1,,,SUMPRODUCT(MAX(ROW(E$1:E265)*(E2=E$1:E265))))))</f>
        <v/>
      </c>
      <c r="K266" s="24" t="str">
        <f>IF(OR(E266="",E266="!!!",F266="NEW"),"",INDEX(J$1:J265,SUMPRODUCT(MAX(ROW(E$1:E265)*(E266=E$1:E265)))))</f>
        <v/>
      </c>
      <c r="L266" s="29"/>
    </row>
    <row r="267" spans="1:12" x14ac:dyDescent="0.3">
      <c r="A267" t="s">
        <v>256</v>
      </c>
      <c r="E267" s="27"/>
      <c r="F267" s="28" t="str">
        <f>IF(OR(E267="",E267="!!!"),"",IF(NOT(ISNA(VLOOKUP(E267,E$1:E266,1,FALSE()))),"OLD",IF(AND(E267&lt;&gt;"",E267&lt;&gt;"!!!"),"NEW","")))</f>
        <v/>
      </c>
      <c r="G267" s="22" t="str">
        <f>IF(OR(E267="",E267="!!!"),"",IF(OR(J267=0,AND(J267=1,K267=1),AND(J267=1,I267="SBJ"),AND(J267=1,I267=0)),"?IN_FOCUS",IF(J267&lt;=2,"?ACTIVATED",IF(J267&lt;&gt;"","?FAMILIAR",IF(F267="NEW",IF(ISNA(VLOOKUP(E267,#REF!,1,FALSE())),"?TYPE_IDENTIFIABLE","?REFERENTIAL"),"_")))))</f>
        <v/>
      </c>
      <c r="H267" s="23" t="str">
        <f t="shared" ca="1" si="13"/>
        <v/>
      </c>
      <c r="I267" s="24" t="str">
        <f>IF(OR(E267="",E267="!!!",F267="NEW"),"",INDEX(B$2:B266,-1+SUMPRODUCT(MAX(ROW(E$2:E266)*(E267=E$2:E266)))))</f>
        <v/>
      </c>
      <c r="J267" s="24" t="str">
        <f ca="1">IF(OR(E267="",E267="!!!",F267="NEW"),"",COUNTBLANK(OFFSET(A$1,,,SUMPRODUCT(MAX(ROW(E$2:E267)*(E267=E$2:E267)))))-COUNTBLANK(OFFSET(A$1,,,SUMPRODUCT(MAX(ROW(E$1:E266)*(E2=E$1:E266))))))</f>
        <v/>
      </c>
      <c r="K267" s="24" t="str">
        <f>IF(OR(E267="",E267="!!!",F267="NEW"),"",INDEX(J$1:J266,SUMPRODUCT(MAX(ROW(E$1:E266)*(E267=E$1:E266)))))</f>
        <v/>
      </c>
      <c r="L267" s="29"/>
    </row>
    <row r="268" spans="1:12" x14ac:dyDescent="0.3">
      <c r="A268" t="s">
        <v>108</v>
      </c>
      <c r="E268" s="27"/>
      <c r="F268" s="28" t="str">
        <f>IF(OR(E268="",E268="!!!"),"",IF(NOT(ISNA(VLOOKUP(E268,E$1:E267,1,FALSE()))),"OLD",IF(AND(E268&lt;&gt;"",E268&lt;&gt;"!!!"),"NEW","")))</f>
        <v/>
      </c>
      <c r="G268" s="22" t="str">
        <f>IF(OR(E268="",E268="!!!"),"",IF(OR(J268=0,AND(J268=1,K268=1),AND(J268=1,I268="SBJ"),AND(J268=1,I268=0)),"?IN_FOCUS",IF(J268&lt;=2,"?ACTIVATED",IF(J268&lt;&gt;"","?FAMILIAR",IF(F268="NEW",IF(ISNA(VLOOKUP(E268,#REF!,1,FALSE())),"?TYPE_IDENTIFIABLE","?REFERENTIAL"),"_")))))</f>
        <v/>
      </c>
      <c r="H268" s="23" t="str">
        <f t="shared" ca="1" si="13"/>
        <v/>
      </c>
      <c r="I268" s="24" t="str">
        <f>IF(OR(E268="",E268="!!!",F268="NEW"),"",INDEX(B$2:B267,-1+SUMPRODUCT(MAX(ROW(E$2:E267)*(E268=E$2:E267)))))</f>
        <v/>
      </c>
      <c r="J268" s="24" t="str">
        <f ca="1">IF(OR(E268="",E268="!!!",F268="NEW"),"",COUNTBLANK(OFFSET(A$1,,,SUMPRODUCT(MAX(ROW(E$2:E268)*(E268=E$2:E268)))))-COUNTBLANK(OFFSET(A$1,,,SUMPRODUCT(MAX(ROW(E$1:E267)*(E2=E$1:E267))))))</f>
        <v/>
      </c>
      <c r="K268" s="24" t="str">
        <f>IF(OR(E268="",E268="!!!",F268="NEW"),"",INDEX(J$1:J267,SUMPRODUCT(MAX(ROW(E$1:E267)*(E268=E$1:E267)))))</f>
        <v/>
      </c>
      <c r="L268" s="29"/>
    </row>
    <row r="269" spans="1:12" x14ac:dyDescent="0.3">
      <c r="A269" t="s">
        <v>257</v>
      </c>
      <c r="E269" s="27"/>
      <c r="F269" s="28" t="str">
        <f>IF(OR(E269="",E269="!!!"),"",IF(NOT(ISNA(VLOOKUP(E269,E$1:E268,1,FALSE()))),"OLD",IF(AND(E269&lt;&gt;"",E269&lt;&gt;"!!!"),"NEW","")))</f>
        <v/>
      </c>
      <c r="G269" s="22" t="str">
        <f>IF(OR(E269="",E269="!!!"),"",IF(OR(J269=0,AND(J269=1,K269=1),AND(J269=1,I269="SBJ"),AND(J269=1,I269=0)),"?IN_FOCUS",IF(J269&lt;=2,"?ACTIVATED",IF(J269&lt;&gt;"","?FAMILIAR",IF(F269="NEW",IF(ISNA(VLOOKUP(E269,#REF!,1,FALSE())),"?TYPE_IDENTIFIABLE","?REFERENTIAL"),"_")))))</f>
        <v/>
      </c>
      <c r="H269" s="23" t="str">
        <f t="shared" ca="1" si="13"/>
        <v/>
      </c>
      <c r="I269" s="24" t="str">
        <f>IF(OR(E269="",E269="!!!",F269="NEW"),"",INDEX(B$2:B268,-1+SUMPRODUCT(MAX(ROW(E$2:E268)*(E269=E$2:E268)))))</f>
        <v/>
      </c>
      <c r="J269" s="24" t="str">
        <f ca="1">IF(OR(E269="",E269="!!!",F269="NEW"),"",COUNTBLANK(OFFSET(A$1,,,SUMPRODUCT(MAX(ROW(E$2:E269)*(E269=E$2:E269)))))-COUNTBLANK(OFFSET(A$1,,,SUMPRODUCT(MAX(ROW(E$1:E268)*(E2=E$1:E268))))))</f>
        <v/>
      </c>
      <c r="K269" s="24" t="str">
        <f>IF(OR(E269="",E269="!!!",F269="NEW"),"",INDEX(J$1:J268,SUMPRODUCT(MAX(ROW(E$1:E268)*(E269=E$1:E268)))))</f>
        <v/>
      </c>
      <c r="L269" s="29"/>
    </row>
    <row r="270" spans="1:12" x14ac:dyDescent="0.3">
      <c r="A270" t="s">
        <v>138</v>
      </c>
      <c r="E270" s="27"/>
      <c r="F270" s="28" t="str">
        <f>IF(OR(E270="",E270="!!!"),"",IF(NOT(ISNA(VLOOKUP(E270,E$1:E269,1,FALSE()))),"OLD",IF(AND(E270&lt;&gt;"",E270&lt;&gt;"!!!"),"NEW","")))</f>
        <v/>
      </c>
      <c r="G270" s="22" t="str">
        <f>IF(OR(E270="",E270="!!!"),"",IF(OR(J270=0,AND(J270=1,K270=1),AND(J270=1,I270="SBJ"),AND(J270=1,I270=0)),"?IN_FOCUS",IF(J270&lt;=2,"?ACTIVATED",IF(J270&lt;&gt;"","?FAMILIAR",IF(F270="NEW",IF(ISNA(VLOOKUP(E270,#REF!,1,FALSE())),"?TYPE_IDENTIFIABLE","?REFERENTIAL"),"_")))))</f>
        <v/>
      </c>
      <c r="H270" s="23" t="str">
        <f t="shared" ca="1" si="13"/>
        <v/>
      </c>
      <c r="I270" s="24" t="str">
        <f>IF(OR(E270="",E270="!!!",F270="NEW"),"",INDEX(B$2:B269,-1+SUMPRODUCT(MAX(ROW(E$2:E269)*(E270=E$2:E269)))))</f>
        <v/>
      </c>
      <c r="J270" s="24" t="str">
        <f ca="1">IF(OR(E270="",E270="!!!",F270="NEW"),"",COUNTBLANK(OFFSET(A$1,,,SUMPRODUCT(MAX(ROW(E$2:E270)*(E270=E$2:E270)))))-COUNTBLANK(OFFSET(A$1,,,SUMPRODUCT(MAX(ROW(E$1:E269)*(E2=E$1:E269))))))</f>
        <v/>
      </c>
      <c r="K270" s="24" t="str">
        <f>IF(OR(E270="",E270="!!!",F270="NEW"),"",INDEX(J$1:J269,SUMPRODUCT(MAX(ROW(E$1:E269)*(E270=E$1:E269)))))</f>
        <v/>
      </c>
      <c r="L270" s="29"/>
    </row>
    <row r="271" spans="1:12" x14ac:dyDescent="0.3">
      <c r="A271" t="s">
        <v>108</v>
      </c>
      <c r="E271" s="27"/>
      <c r="F271" s="28" t="str">
        <f>IF(OR(E271="",E271="!!!"),"",IF(NOT(ISNA(VLOOKUP(E271,E$1:E270,1,FALSE()))),"OLD",IF(AND(E271&lt;&gt;"",E271&lt;&gt;"!!!"),"NEW","")))</f>
        <v/>
      </c>
      <c r="G271" s="22" t="str">
        <f>IF(OR(E271="",E271="!!!"),"",IF(OR(J271=0,AND(J271=1,K271=1),AND(J271=1,I271="SBJ"),AND(J271=1,I271=0)),"?IN_FOCUS",IF(J271&lt;=2,"?ACTIVATED",IF(J271&lt;&gt;"","?FAMILIAR",IF(F271="NEW",IF(ISNA(VLOOKUP(E271,#REF!,1,FALSE())),"?TYPE_IDENTIFIABLE","?REFERENTIAL"),"_")))))</f>
        <v/>
      </c>
      <c r="H271" s="23" t="str">
        <f t="shared" ca="1" si="13"/>
        <v/>
      </c>
      <c r="I271" s="24" t="str">
        <f>IF(OR(E271="",E271="!!!",F271="NEW"),"",INDEX(B$2:B270,-1+SUMPRODUCT(MAX(ROW(E$2:E270)*(E271=E$2:E270)))))</f>
        <v/>
      </c>
      <c r="J271" s="24" t="str">
        <f ca="1">IF(OR(E271="",E271="!!!",F271="NEW"),"",COUNTBLANK(OFFSET(A$1,,,SUMPRODUCT(MAX(ROW(E$2:E271)*(E271=E$2:E271)))))-COUNTBLANK(OFFSET(A$1,,,SUMPRODUCT(MAX(ROW(E$1:E270)*(E2=E$1:E270))))))</f>
        <v/>
      </c>
      <c r="K271" s="24" t="str">
        <f>IF(OR(E271="",E271="!!!",F271="NEW"),"",INDEX(J$1:J270,SUMPRODUCT(MAX(ROW(E$1:E270)*(E271=E$1:E270)))))</f>
        <v/>
      </c>
      <c r="L271" s="29"/>
    </row>
    <row r="272" spans="1:12" x14ac:dyDescent="0.3">
      <c r="A272" t="s">
        <v>152</v>
      </c>
      <c r="E272" s="27"/>
      <c r="F272" s="28" t="str">
        <f>IF(OR(E272="",E272="!!!"),"",IF(NOT(ISNA(VLOOKUP(E272,E$1:E271,1,FALSE()))),"OLD",IF(AND(E272&lt;&gt;"",E272&lt;&gt;"!!!"),"NEW","")))</f>
        <v/>
      </c>
      <c r="G272" s="22" t="str">
        <f>IF(OR(E272="",E272="!!!"),"",IF(OR(J272=0,AND(J272=1,K272=1),AND(J272=1,I272="SBJ"),AND(J272=1,I272=0)),"?IN_FOCUS",IF(J272&lt;=2,"?ACTIVATED",IF(J272&lt;&gt;"","?FAMILIAR",IF(F272="NEW",IF(ISNA(VLOOKUP(E272,#REF!,1,FALSE())),"?TYPE_IDENTIFIABLE","?REFERENTIAL"),"_")))))</f>
        <v/>
      </c>
      <c r="H272" s="23" t="str">
        <f t="shared" ca="1" si="13"/>
        <v/>
      </c>
      <c r="I272" s="24" t="str">
        <f>IF(OR(E272="",E272="!!!",F272="NEW"),"",INDEX(B$2:B271,-1+SUMPRODUCT(MAX(ROW(E$2:E271)*(E272=E$2:E271)))))</f>
        <v/>
      </c>
      <c r="J272" s="24" t="str">
        <f ca="1">IF(OR(E272="",E272="!!!",F272="NEW"),"",COUNTBLANK(OFFSET(A$1,,,SUMPRODUCT(MAX(ROW(E$2:E272)*(E272=E$2:E272)))))-COUNTBLANK(OFFSET(A$1,,,SUMPRODUCT(MAX(ROW(E$1:E271)*(E2=E$1:E271))))))</f>
        <v/>
      </c>
      <c r="K272" s="24" t="str">
        <f>IF(OR(E272="",E272="!!!",F272="NEW"),"",INDEX(J$1:J271,SUMPRODUCT(MAX(ROW(E$1:E271)*(E272=E$1:E271)))))</f>
        <v/>
      </c>
      <c r="L272" s="29"/>
    </row>
    <row r="273" spans="1:12" x14ac:dyDescent="0.3">
      <c r="A273" t="s">
        <v>175</v>
      </c>
      <c r="E273" s="27"/>
      <c r="F273" s="28" t="str">
        <f>IF(OR(E273="",E273="!!!"),"",IF(NOT(ISNA(VLOOKUP(E273,E$1:E272,1,FALSE()))),"OLD",IF(AND(E273&lt;&gt;"",E273&lt;&gt;"!!!"),"NEW","")))</f>
        <v/>
      </c>
      <c r="G273" s="22" t="str">
        <f>IF(OR(E273="",E273="!!!"),"",IF(OR(J273=0,AND(J273=1,K273=1),AND(J273=1,I273="SBJ"),AND(J273=1,I273=0)),"?IN_FOCUS",IF(J273&lt;=2,"?ACTIVATED",IF(J273&lt;&gt;"","?FAMILIAR",IF(F273="NEW",IF(ISNA(VLOOKUP(E273,#REF!,1,FALSE())),"?TYPE_IDENTIFIABLE","?REFERENTIAL"),"_")))))</f>
        <v/>
      </c>
      <c r="H273" s="23" t="str">
        <f t="shared" ca="1" si="13"/>
        <v/>
      </c>
      <c r="I273" s="24" t="str">
        <f>IF(OR(E273="",E273="!!!",F273="NEW"),"",INDEX(B$2:B272,-1+SUMPRODUCT(MAX(ROW(E$2:E272)*(E273=E$2:E272)))))</f>
        <v/>
      </c>
      <c r="J273" s="24" t="str">
        <f ca="1">IF(OR(E273="",E273="!!!",F273="NEW"),"",COUNTBLANK(OFFSET(A$1,,,SUMPRODUCT(MAX(ROW(E$2:E273)*(E273=E$2:E273)))))-COUNTBLANK(OFFSET(A$1,,,SUMPRODUCT(MAX(ROW(E$1:E272)*(E2=E$1:E272))))))</f>
        <v/>
      </c>
      <c r="K273" s="24" t="str">
        <f>IF(OR(E273="",E273="!!!",F273="NEW"),"",INDEX(J$1:J272,SUMPRODUCT(MAX(ROW(E$1:E272)*(E273=E$1:E272)))))</f>
        <v/>
      </c>
      <c r="L273" s="29"/>
    </row>
    <row r="274" spans="1:12" x14ac:dyDescent="0.3">
      <c r="A274" t="s">
        <v>258</v>
      </c>
      <c r="B274" s="26" t="s">
        <v>110</v>
      </c>
      <c r="C274" s="26" t="s">
        <v>124</v>
      </c>
      <c r="D274" s="26" t="s">
        <v>98</v>
      </c>
      <c r="E274" s="27"/>
      <c r="F274" s="28" t="s">
        <v>351</v>
      </c>
      <c r="G274" s="22" t="str">
        <f>IF(OR(E274="",E274="!!!"),"",IF(OR(J274=0,AND(J274=1,K274=1),AND(J274=1,I274="SBJ"),AND(J274=1,I274=0)),"?IN_FOCUS",IF(J274&lt;=2,"?ACTIVATED",IF(J274&lt;&gt;"","?FAMILIAR",IF(F274="NEW",IF(ISNA(VLOOKUP(E274,#REF!,1,FALSE())),"?TYPE_IDENTIFIABLE","?REFERENTIAL"),"_")))))</f>
        <v/>
      </c>
      <c r="H274" s="23" t="str">
        <f t="shared" ca="1" si="13"/>
        <v/>
      </c>
      <c r="I274" s="24" t="str">
        <f>IF(OR(E274="",E274="!!!",F274="NEW"),"",INDEX(B$2:B273,-1+SUMPRODUCT(MAX(ROW(E$2:E273)*(E274=E$2:E273)))))</f>
        <v/>
      </c>
      <c r="J274" s="24" t="str">
        <f ca="1">IF(OR(E274="",E274="!!!",F274="NEW"),"",COUNTBLANK(OFFSET(A$1,,,SUMPRODUCT(MAX(ROW(E$2:E274)*(E274=E$2:E274)))))-COUNTBLANK(OFFSET(A$1,,,SUMPRODUCT(MAX(ROW(E$1:E273)*(E2=E$1:E273))))))</f>
        <v/>
      </c>
      <c r="K274" s="24" t="str">
        <f>IF(OR(E274="",E274="!!!",F274="NEW"),"",INDEX(J$1:J273,SUMPRODUCT(MAX(ROW(E$1:E273)*(E274=E$1:E273)))))</f>
        <v/>
      </c>
      <c r="L274" s="29"/>
    </row>
    <row r="275" spans="1:12" x14ac:dyDescent="0.3">
      <c r="A275" t="s">
        <v>259</v>
      </c>
      <c r="E275" s="27"/>
      <c r="F275" s="28" t="str">
        <f>IF(OR(E275="",E275="!!!"),"",IF(NOT(ISNA(VLOOKUP(E275,E$1:E274,1,FALSE()))),"OLD",IF(AND(E275&lt;&gt;"",E275&lt;&gt;"!!!"),"NEW","")))</f>
        <v/>
      </c>
      <c r="G275" s="22" t="str">
        <f>IF(OR(E275="",E275="!!!"),"",IF(OR(J275=0,AND(J275=1,K275=1),AND(J275=1,I275="SBJ"),AND(J275=1,I275=0)),"?IN_FOCUS",IF(J275&lt;=2,"?ACTIVATED",IF(J275&lt;&gt;"","?FAMILIAR",IF(F275="NEW",IF(ISNA(VLOOKUP(E275,#REF!,1,FALSE())),"?TYPE_IDENTIFIABLE","?REFERENTIAL"),"_")))))</f>
        <v/>
      </c>
      <c r="H275" s="23" t="str">
        <f t="shared" ca="1" si="13"/>
        <v/>
      </c>
      <c r="I275" s="24" t="str">
        <f>IF(OR(E275="",E275="!!!",F275="NEW"),"",INDEX(B$2:B274,-1+SUMPRODUCT(MAX(ROW(E$2:E274)*(E275=E$2:E274)))))</f>
        <v/>
      </c>
      <c r="J275" s="24" t="str">
        <f ca="1">IF(OR(E275="",E275="!!!",F275="NEW"),"",COUNTBLANK(OFFSET(A$1,,,SUMPRODUCT(MAX(ROW(E$2:E275)*(E275=E$2:E275)))))-COUNTBLANK(OFFSET(A$1,,,SUMPRODUCT(MAX(ROW(E$1:E274)*(E2=E$1:E274))))))</f>
        <v/>
      </c>
      <c r="K275" s="24" t="str">
        <f>IF(OR(E275="",E275="!!!",F275="NEW"),"",INDEX(J$1:J274,SUMPRODUCT(MAX(ROW(E$1:E274)*(E275=E$1:E274)))))</f>
        <v/>
      </c>
      <c r="L275" s="29"/>
    </row>
    <row r="276" spans="1:12" x14ac:dyDescent="0.3">
      <c r="A276" t="s">
        <v>234</v>
      </c>
      <c r="B276" s="26" t="s">
        <v>117</v>
      </c>
      <c r="C276" s="26" t="s">
        <v>141</v>
      </c>
      <c r="D276" s="26" t="s">
        <v>98</v>
      </c>
      <c r="E276" s="27" t="s">
        <v>326</v>
      </c>
      <c r="F276" s="28" t="str">
        <f>IF(OR(E276="",E276="!!!"),"",IF(NOT(ISNA(VLOOKUP(E276,E$1:E275,1,FALSE()))),"OLD",IF(AND(E276&lt;&gt;"",E276&lt;&gt;"!!!"),"NEW","")))</f>
        <v>OLD</v>
      </c>
      <c r="G276" s="22" t="str">
        <f ca="1">IF(OR(E276="",E276="!!!"),"",IF(OR(J276=0,AND(J276=1,K276=1),AND(J276=1,I276="SBJ"),AND(J276=1,I276=0)),"?IN_FOCUS",IF(J276&lt;=2,"?ACTIVATED",IF(J276&lt;&gt;"","?FAMILIAR",IF(F276="NEW",IF(ISNA(VLOOKUP(E276,#REF!,1,FALSE())),"?TYPE_IDENTIFIABLE","?REFERENTIAL"),"_")))))</f>
        <v>?IN_FOCUS</v>
      </c>
      <c r="H276" s="23" t="str">
        <f t="shared" ca="1" si="13"/>
        <v/>
      </c>
      <c r="I276" s="24" t="str">
        <f>IF(OR(E276="",E276="!!!",F276="NEW"),"",INDEX(B$2:B275,-1+SUMPRODUCT(MAX(ROW(E$2:E275)*(E276=E$2:E275)))))</f>
        <v>SBJ_2</v>
      </c>
      <c r="J276" s="24">
        <f ca="1">IF(OR(E276="",E276="!!!",F276="NEW"),"",COUNTBLANK(OFFSET(A$1,,,SUMPRODUCT(MAX(ROW(E$2:E276)*(E276=E$2:E276)))))-COUNTBLANK(OFFSET(A$1,,,SUMPRODUCT(MAX(ROW(E$1:E275)*(E2=E$1:E275))))))</f>
        <v>0</v>
      </c>
      <c r="K276" s="24">
        <f ca="1">IF(OR(E276="",E276="!!!",F276="NEW"),"",INDEX(J$1:J275,SUMPRODUCT(MAX(ROW(E$1:E275)*(E276=E$1:E275)))))</f>
        <v>0</v>
      </c>
      <c r="L276" s="29"/>
    </row>
    <row r="277" spans="1:12" x14ac:dyDescent="0.3">
      <c r="A277" t="s">
        <v>260</v>
      </c>
      <c r="E277" s="27"/>
      <c r="F277" s="28" t="str">
        <f>IF(OR(E277="",E277="!!!"),"",IF(NOT(ISNA(VLOOKUP(E277,E$1:E276,1,FALSE()))),"OLD",IF(AND(E277&lt;&gt;"",E277&lt;&gt;"!!!"),"NEW","")))</f>
        <v/>
      </c>
      <c r="G277" s="22" t="str">
        <f>IF(OR(E277="",E277="!!!"),"",IF(OR(J277=0,AND(J277=1,K277=1),AND(J277=1,I277="SBJ"),AND(J277=1,I277=0)),"?IN_FOCUS",IF(J277&lt;=2,"?ACTIVATED",IF(J277&lt;&gt;"","?FAMILIAR",IF(F277="NEW",IF(ISNA(VLOOKUP(E277,#REF!,1,FALSE())),"?TYPE_IDENTIFIABLE","?REFERENTIAL"),"_")))))</f>
        <v/>
      </c>
      <c r="H277" s="23" t="str">
        <f t="shared" ca="1" si="13"/>
        <v/>
      </c>
      <c r="I277" s="24" t="str">
        <f>IF(OR(E277="",E277="!!!",F277="NEW"),"",INDEX(B$2:B276,-1+SUMPRODUCT(MAX(ROW(E$2:E276)*(E277=E$2:E276)))))</f>
        <v/>
      </c>
      <c r="J277" s="24" t="str">
        <f ca="1">IF(OR(E277="",E277="!!!",F277="NEW"),"",COUNTBLANK(OFFSET(A$1,,,SUMPRODUCT(MAX(ROW(E$2:E277)*(E277=E$2:E277)))))-COUNTBLANK(OFFSET(A$1,,,SUMPRODUCT(MAX(ROW(E$1:E276)*(E2=E$1:E276))))))</f>
        <v/>
      </c>
      <c r="K277" s="24" t="str">
        <f>IF(OR(E277="",E277="!!!",F277="NEW"),"",INDEX(J$1:J276,SUMPRODUCT(MAX(ROW(E$1:E276)*(E277=E$1:E276)))))</f>
        <v/>
      </c>
      <c r="L277" s="29"/>
    </row>
    <row r="278" spans="1:12" x14ac:dyDescent="0.3">
      <c r="A278" t="s">
        <v>158</v>
      </c>
      <c r="E278" s="27"/>
      <c r="F278" s="28" t="str">
        <f>IF(OR(E278="",E278="!!!"),"",IF(NOT(ISNA(VLOOKUP(E278,E$1:E277,1,FALSE()))),"OLD",IF(AND(E278&lt;&gt;"",E278&lt;&gt;"!!!"),"NEW","")))</f>
        <v/>
      </c>
      <c r="G278" s="22" t="str">
        <f>IF(OR(E278="",E278="!!!"),"",IF(OR(J278=0,AND(J278=1,K278=1),AND(J278=1,I278="SBJ"),AND(J278=1,I278=0)),"?IN_FOCUS",IF(J278&lt;=2,"?ACTIVATED",IF(J278&lt;&gt;"","?FAMILIAR",IF(F278="NEW",IF(ISNA(VLOOKUP(E278,#REF!,1,FALSE())),"?TYPE_IDENTIFIABLE","?REFERENTIAL"),"_")))))</f>
        <v/>
      </c>
      <c r="H278" s="23" t="str">
        <f t="shared" ca="1" si="13"/>
        <v/>
      </c>
      <c r="I278" s="24" t="str">
        <f>IF(OR(E278="",E278="!!!",F278="NEW"),"",INDEX(B$2:B277,-1+SUMPRODUCT(MAX(ROW(E$2:E277)*(E278=E$2:E277)))))</f>
        <v/>
      </c>
      <c r="J278" s="24" t="str">
        <f ca="1">IF(OR(E278="",E278="!!!",F278="NEW"),"",COUNTBLANK(OFFSET(A$1,,,SUMPRODUCT(MAX(ROW(E$2:E278)*(E278=E$2:E278)))))-COUNTBLANK(OFFSET(A$1,,,SUMPRODUCT(MAX(ROW(E$1:E277)*(E2=E$1:E277))))))</f>
        <v/>
      </c>
      <c r="K278" s="24" t="str">
        <f>IF(OR(E278="",E278="!!!",F278="NEW"),"",INDEX(J$1:J277,SUMPRODUCT(MAX(ROW(E$1:E277)*(E278=E$1:E277)))))</f>
        <v/>
      </c>
      <c r="L278" s="29"/>
    </row>
    <row r="279" spans="1:12" x14ac:dyDescent="0.3">
      <c r="A279" t="s">
        <v>261</v>
      </c>
      <c r="E279" s="27"/>
      <c r="F279" s="28" t="str">
        <f>IF(OR(E279="",E279="!!!"),"",IF(NOT(ISNA(VLOOKUP(E279,E$1:E278,1,FALSE()))),"OLD",IF(AND(E279&lt;&gt;"",E279&lt;&gt;"!!!"),"NEW","")))</f>
        <v/>
      </c>
      <c r="G279" s="22" t="str">
        <f>IF(OR(E279="",E279="!!!"),"",IF(OR(J279=0,AND(J279=1,K279=1),AND(J279=1,I279="SBJ"),AND(J279=1,I279=0)),"?IN_FOCUS",IF(J279&lt;=2,"?ACTIVATED",IF(J279&lt;&gt;"","?FAMILIAR",IF(F279="NEW",IF(ISNA(VLOOKUP(E279,#REF!,1,FALSE())),"?TYPE_IDENTIFIABLE","?REFERENTIAL"),"_")))))</f>
        <v/>
      </c>
      <c r="H279" s="23" t="str">
        <f t="shared" ca="1" si="13"/>
        <v/>
      </c>
      <c r="I279" s="24" t="str">
        <f>IF(OR(E279="",E279="!!!",F279="NEW"),"",INDEX(B$2:B278,-1+SUMPRODUCT(MAX(ROW(E$2:E278)*(E279=E$2:E278)))))</f>
        <v/>
      </c>
      <c r="J279" s="24" t="str">
        <f ca="1">IF(OR(E279="",E279="!!!",F279="NEW"),"",COUNTBLANK(OFFSET(A$1,,,SUMPRODUCT(MAX(ROW(E$2:E279)*(E279=E$2:E279)))))-COUNTBLANK(OFFSET(A$1,,,SUMPRODUCT(MAX(ROW(E$1:E278)*(E2=E$1:E278))))))</f>
        <v/>
      </c>
      <c r="K279" s="24" t="str">
        <f>IF(OR(E279="",E279="!!!",F279="NEW"),"",INDEX(J$1:J278,SUMPRODUCT(MAX(ROW(E$1:E278)*(E279=E$1:E278)))))</f>
        <v/>
      </c>
      <c r="L279" s="29"/>
    </row>
    <row r="280" spans="1:12" x14ac:dyDescent="0.3">
      <c r="A280" t="s">
        <v>129</v>
      </c>
      <c r="E280" s="27"/>
      <c r="F280" s="28" t="str">
        <f>IF(OR(E280="",E280="!!!"),"",IF(NOT(ISNA(VLOOKUP(E280,E$1:E279,1,FALSE()))),"OLD",IF(AND(E280&lt;&gt;"",E280&lt;&gt;"!!!"),"NEW","")))</f>
        <v/>
      </c>
      <c r="G280" s="22" t="str">
        <f>IF(OR(E280="",E280="!!!"),"",IF(OR(J280=0,AND(J280=1,K280=1),AND(J280=1,I280="SBJ"),AND(J280=1,I280=0)),"?IN_FOCUS",IF(J280&lt;=2,"?ACTIVATED",IF(J280&lt;&gt;"","?FAMILIAR",IF(F280="NEW",IF(ISNA(VLOOKUP(E280,#REF!,1,FALSE())),"?TYPE_IDENTIFIABLE","?REFERENTIAL"),"_")))))</f>
        <v/>
      </c>
      <c r="H280" s="23" t="str">
        <f t="shared" ca="1" si="13"/>
        <v/>
      </c>
      <c r="I280" s="24" t="str">
        <f>IF(OR(E280="",E280="!!!",F280="NEW"),"",INDEX(B$2:B279,-1+SUMPRODUCT(MAX(ROW(E$2:E279)*(E280=E$2:E279)))))</f>
        <v/>
      </c>
      <c r="J280" s="24" t="str">
        <f ca="1">IF(OR(E280="",E280="!!!",F280="NEW"),"",COUNTBLANK(OFFSET(A$1,,,SUMPRODUCT(MAX(ROW(E$2:E280)*(E280=E$2:E280)))))-COUNTBLANK(OFFSET(A$1,,,SUMPRODUCT(MAX(ROW(E$1:E279)*(E2=E$1:E279))))))</f>
        <v/>
      </c>
      <c r="K280" s="24" t="str">
        <f>IF(OR(E280="",E280="!!!",F280="NEW"),"",INDEX(J$1:J279,SUMPRODUCT(MAX(ROW(E$1:E279)*(E280=E$1:E279)))))</f>
        <v/>
      </c>
      <c r="L280" s="29"/>
    </row>
    <row r="281" spans="1:12" x14ac:dyDescent="0.3">
      <c r="A281" t="s">
        <v>152</v>
      </c>
      <c r="E281" s="27"/>
      <c r="F281" s="28" t="str">
        <f>IF(OR(E281="",E281="!!!"),"",IF(NOT(ISNA(VLOOKUP(E281,E$1:E280,1,FALSE()))),"OLD",IF(AND(E281&lt;&gt;"",E281&lt;&gt;"!!!"),"NEW","")))</f>
        <v/>
      </c>
      <c r="G281" s="22" t="str">
        <f>IF(OR(E281="",E281="!!!"),"",IF(OR(J281=0,AND(J281=1,K281=1),AND(J281=1,I281="SBJ"),AND(J281=1,I281=0)),"?IN_FOCUS",IF(J281&lt;=2,"?ACTIVATED",IF(J281&lt;&gt;"","?FAMILIAR",IF(F281="NEW",IF(ISNA(VLOOKUP(E281,#REF!,1,FALSE())),"?TYPE_IDENTIFIABLE","?REFERENTIAL"),"_")))))</f>
        <v/>
      </c>
      <c r="H281" s="23" t="str">
        <f t="shared" ca="1" si="13"/>
        <v/>
      </c>
      <c r="I281" s="24" t="str">
        <f>IF(OR(E281="",E281="!!!",F281="NEW"),"",INDEX(B$2:B280,-1+SUMPRODUCT(MAX(ROW(E$2:E280)*(E281=E$2:E280)))))</f>
        <v/>
      </c>
      <c r="J281" s="24" t="str">
        <f ca="1">IF(OR(E281="",E281="!!!",F281="NEW"),"",COUNTBLANK(OFFSET(A$1,,,SUMPRODUCT(MAX(ROW(E$2:E281)*(E281=E$2:E281)))))-COUNTBLANK(OFFSET(A$1,,,SUMPRODUCT(MAX(ROW(E$1:E280)*(E2=E$1:E280))))))</f>
        <v/>
      </c>
      <c r="K281" s="24" t="str">
        <f>IF(OR(E281="",E281="!!!",F281="NEW"),"",INDEX(J$1:J280,SUMPRODUCT(MAX(ROW(E$1:E280)*(E281=E$1:E280)))))</f>
        <v/>
      </c>
      <c r="L281" s="29"/>
    </row>
    <row r="283" spans="1:12" x14ac:dyDescent="0.3">
      <c r="A283" t="s">
        <v>130</v>
      </c>
      <c r="E283" s="27"/>
      <c r="F283" s="28" t="str">
        <f>IF(OR(E283="",E283="!!!"),"",IF(NOT(ISNA(VLOOKUP(E283,E$1:E282,1,FALSE()))),"OLD",IF(AND(E283&lt;&gt;"",E283&lt;&gt;"!!!"),"NEW","")))</f>
        <v/>
      </c>
      <c r="G283" s="22" t="str">
        <f>IF(OR(E283="",E283="!!!"),"",IF(OR(J283=0,AND(J283=1,K283=1),AND(J283=1,I283="SBJ"),AND(J283=1,I283=0)),"?IN_FOCUS",IF(J283&lt;=2,"?ACTIVATED",IF(J283&lt;&gt;"","?FAMILIAR",IF(F283="NEW",IF(ISNA(VLOOKUP(E283,#REF!,1,FALSE())),"?TYPE_IDENTIFIABLE","?REFERENTIAL"),"_")))))</f>
        <v/>
      </c>
      <c r="H283" s="23" t="str">
        <f ca="1">IF(J283&lt;&gt;1,"",IF(I283="SBJ","CB","?"))</f>
        <v/>
      </c>
      <c r="I283" s="24" t="str">
        <f>IF(OR(E283="",E283="!!!",F283="NEW"),"",INDEX(B$2:B282,-1+SUMPRODUCT(MAX(ROW(E$2:E282)*(E283=E$2:E282)))))</f>
        <v/>
      </c>
      <c r="J283" s="24" t="str">
        <f ca="1">IF(OR(E283="",E283="!!!",F283="NEW"),"",COUNTBLANK(OFFSET(A$1,,,SUMPRODUCT(MAX(ROW(E$2:E283)*(E283=E$2:E283)))))-COUNTBLANK(OFFSET(A$1,,,SUMPRODUCT(MAX(ROW(E$1:E282)*(E2=E$1:E282))))))</f>
        <v/>
      </c>
      <c r="K283" s="24" t="str">
        <f>IF(OR(E283="",E283="!!!",F283="NEW"),"",INDEX(J$1:J282,SUMPRODUCT(MAX(ROW(E$1:E282)*(E283=E$1:E282)))))</f>
        <v/>
      </c>
      <c r="L283" s="29"/>
    </row>
    <row r="284" spans="1:12" x14ac:dyDescent="0.3">
      <c r="A284" t="s">
        <v>262</v>
      </c>
    </row>
    <row r="285" spans="1:12" x14ac:dyDescent="0.3">
      <c r="A285" t="s">
        <v>152</v>
      </c>
      <c r="E285" s="27"/>
      <c r="F285" s="28" t="str">
        <f>IF(OR(E285="",E285="!!!"),"",IF(NOT(ISNA(VLOOKUP(E285,E$1:E284,1,FALSE()))),"OLD",IF(AND(E285&lt;&gt;"",E285&lt;&gt;"!!!"),"NEW","")))</f>
        <v/>
      </c>
      <c r="G285" s="22" t="str">
        <f>IF(OR(E285="",E285="!!!"),"",IF(OR(J285=0,AND(J285=1,K285=1),AND(J285=1,I285="SBJ"),AND(J285=1,I285=0)),"?IN_FOCUS",IF(J285&lt;=2,"?ACTIVATED",IF(J285&lt;&gt;"","?FAMILIAR",IF(F285="NEW",IF(ISNA(VLOOKUP(E285,#REF!,1,FALSE())),"?TYPE_IDENTIFIABLE","?REFERENTIAL"),"_")))))</f>
        <v/>
      </c>
      <c r="H285" s="23" t="str">
        <f t="shared" ref="H285:H302" ca="1" si="14">IF(J285&lt;&gt;1,"",IF(I285="SBJ","CB","?"))</f>
        <v/>
      </c>
      <c r="I285" s="24" t="str">
        <f>IF(OR(E285="",E285="!!!",F285="NEW"),"",INDEX(B$2:B284,-1+SUMPRODUCT(MAX(ROW(E$2:E284)*(E285=E$2:E284)))))</f>
        <v/>
      </c>
      <c r="J285" s="24" t="str">
        <f ca="1">IF(OR(E285="",E285="!!!",F285="NEW"),"",COUNTBLANK(OFFSET(A$1,,,SUMPRODUCT(MAX(ROW(E$2:E285)*(E285=E$2:E285)))))-COUNTBLANK(OFFSET(A$1,,,SUMPRODUCT(MAX(ROW(E$1:E284)*(E2=E$1:E284))))))</f>
        <v/>
      </c>
      <c r="K285" s="24" t="str">
        <f>IF(OR(E285="",E285="!!!",F285="NEW"),"",INDEX(J$1:J284,SUMPRODUCT(MAX(ROW(E$1:E284)*(E285=E$1:E284)))))</f>
        <v/>
      </c>
      <c r="L285" s="29"/>
    </row>
    <row r="286" spans="1:12" x14ac:dyDescent="0.3">
      <c r="A286" t="s">
        <v>263</v>
      </c>
      <c r="B286" s="26" t="s">
        <v>96</v>
      </c>
      <c r="C286" s="26" t="s">
        <v>141</v>
      </c>
      <c r="D286" s="26" t="s">
        <v>98</v>
      </c>
      <c r="E286" s="27" t="s">
        <v>326</v>
      </c>
      <c r="F286" s="28" t="str">
        <f>IF(OR(E286="",E286="!!!"),"",IF(NOT(ISNA(VLOOKUP(E286,E$1:E285,1,FALSE()))),"OLD",IF(AND(E286&lt;&gt;"",E286&lt;&gt;"!!!"),"NEW","")))</f>
        <v>OLD</v>
      </c>
      <c r="G286" s="22" t="str">
        <f ca="1">IF(OR(E286="",E286="!!!"),"",IF(OR(J286=0,AND(J286=1,K286=1),AND(J286=1,I286="SBJ"),AND(J286=1,I286=0)),"?IN_FOCUS",IF(J286&lt;=2,"?ACTIVATED",IF(J286&lt;&gt;"","?FAMILIAR",IF(F286="NEW",IF(ISNA(VLOOKUP(E286,#REF!,1,FALSE())),"?TYPE_IDENTIFIABLE","?REFERENTIAL"),"_")))))</f>
        <v>?IN_FOCUS</v>
      </c>
      <c r="H286" s="23" t="str">
        <f t="shared" ca="1" si="14"/>
        <v/>
      </c>
      <c r="I286" s="24" t="str">
        <f>IF(OR(E286="",E286="!!!",F286="NEW"),"",INDEX(B$2:B285,-1+SUMPRODUCT(MAX(ROW(E$2:E285)*(E286=E$2:E285)))))</f>
        <v>other_4</v>
      </c>
      <c r="J286" s="24">
        <f ca="1">IF(OR(E286="",E286="!!!",F286="NEW"),"",COUNTBLANK(OFFSET(A$1,,,SUMPRODUCT(MAX(ROW(E$2:E286)*(E286=E$2:E286)))))-COUNTBLANK(OFFSET(A$1,,,SUMPRODUCT(MAX(ROW(E$1:E285)*(E2=E$1:E285))))))</f>
        <v>0</v>
      </c>
      <c r="K286" s="24">
        <f ca="1">IF(OR(E286="",E286="!!!",F286="NEW"),"",INDEX(J$1:J285,SUMPRODUCT(MAX(ROW(E$1:E285)*(E286=E$1:E285)))))</f>
        <v>0</v>
      </c>
      <c r="L286" s="29"/>
    </row>
    <row r="287" spans="1:12" x14ac:dyDescent="0.3">
      <c r="A287" t="s">
        <v>264</v>
      </c>
      <c r="E287" s="27"/>
      <c r="F287" s="28" t="str">
        <f>IF(OR(E287="",E287="!!!"),"",IF(NOT(ISNA(VLOOKUP(E287,E$1:E286,1,FALSE()))),"OLD",IF(AND(E287&lt;&gt;"",E287&lt;&gt;"!!!"),"NEW","")))</f>
        <v/>
      </c>
      <c r="G287" s="22" t="str">
        <f>IF(OR(E287="",E287="!!!"),"",IF(OR(J287=0,AND(J287=1,K287=1),AND(J287=1,I287="SBJ"),AND(J287=1,I287=0)),"?IN_FOCUS",IF(J287&lt;=2,"?ACTIVATED",IF(J287&lt;&gt;"","?FAMILIAR",IF(F287="NEW",IF(ISNA(VLOOKUP(E287,#REF!,1,FALSE())),"?TYPE_IDENTIFIABLE","?REFERENTIAL"),"_")))))</f>
        <v/>
      </c>
      <c r="H287" s="23" t="str">
        <f t="shared" ca="1" si="14"/>
        <v/>
      </c>
      <c r="I287" s="24" t="str">
        <f>IF(OR(E287="",E287="!!!",F287="NEW"),"",INDEX(B$2:B286,-1+SUMPRODUCT(MAX(ROW(E$2:E286)*(E287=E$2:E286)))))</f>
        <v/>
      </c>
      <c r="J287" s="24" t="str">
        <f ca="1">IF(OR(E287="",E287="!!!",F287="NEW"),"",COUNTBLANK(OFFSET(A$1,,,SUMPRODUCT(MAX(ROW(E$2:E287)*(E287=E$2:E287)))))-COUNTBLANK(OFFSET(A$1,,,SUMPRODUCT(MAX(ROW(E$1:E286)*(E2=E$1:E286))))))</f>
        <v/>
      </c>
      <c r="K287" s="24" t="str">
        <f>IF(OR(E287="",E287="!!!",F287="NEW"),"",INDEX(J$1:J286,SUMPRODUCT(MAX(ROW(E$1:E286)*(E287=E$1:E286)))))</f>
        <v/>
      </c>
      <c r="L287" s="29"/>
    </row>
    <row r="288" spans="1:12" x14ac:dyDescent="0.3">
      <c r="A288" t="s">
        <v>228</v>
      </c>
      <c r="E288" s="27"/>
      <c r="F288" s="28" t="str">
        <f>IF(OR(E288="",E288="!!!"),"",IF(NOT(ISNA(VLOOKUP(E288,E$1:E287,1,FALSE()))),"OLD",IF(AND(E288&lt;&gt;"",E288&lt;&gt;"!!!"),"NEW","")))</f>
        <v/>
      </c>
      <c r="G288" s="22" t="str">
        <f>IF(OR(E288="",E288="!!!"),"",IF(OR(J288=0,AND(J288=1,K288=1),AND(J288=1,I288="SBJ"),AND(J288=1,I288=0)),"?IN_FOCUS",IF(J288&lt;=2,"?ACTIVATED",IF(J288&lt;&gt;"","?FAMILIAR",IF(F288="NEW",IF(ISNA(VLOOKUP(E288,#REF!,1,FALSE())),"?TYPE_IDENTIFIABLE","?REFERENTIAL"),"_")))))</f>
        <v/>
      </c>
      <c r="H288" s="23" t="str">
        <f t="shared" ca="1" si="14"/>
        <v/>
      </c>
      <c r="I288" s="24" t="str">
        <f>IF(OR(E288="",E288="!!!",F288="NEW"),"",INDEX(B$2:B287,-1+SUMPRODUCT(MAX(ROW(E$2:E287)*(E288=E$2:E287)))))</f>
        <v/>
      </c>
      <c r="J288" s="24" t="str">
        <f ca="1">IF(OR(E288="",E288="!!!",F288="NEW"),"",COUNTBLANK(OFFSET(A$1,,,SUMPRODUCT(MAX(ROW(E$2:E288)*(E288=E$2:E288)))))-COUNTBLANK(OFFSET(A$1,,,SUMPRODUCT(MAX(ROW(E$1:E287)*(E2=E$1:E287))))))</f>
        <v/>
      </c>
      <c r="K288" s="24" t="str">
        <f>IF(OR(E288="",E288="!!!",F288="NEW"),"",INDEX(J$1:J287,SUMPRODUCT(MAX(ROW(E$1:E287)*(E288=E$1:E287)))))</f>
        <v/>
      </c>
      <c r="L288" s="29"/>
    </row>
    <row r="289" spans="1:12" x14ac:dyDescent="0.3">
      <c r="A289" t="s">
        <v>265</v>
      </c>
      <c r="B289" s="26" t="s">
        <v>193</v>
      </c>
      <c r="C289" s="26" t="s">
        <v>128</v>
      </c>
      <c r="E289" s="27"/>
      <c r="F289" s="28" t="str">
        <f>IF(OR(E289="",E289="!!!"),"",IF(NOT(ISNA(VLOOKUP(E289,E$1:E288,1,FALSE()))),"OLD",IF(AND(E289&lt;&gt;"",E289&lt;&gt;"!!!"),"NEW","")))</f>
        <v/>
      </c>
      <c r="G289" s="22" t="str">
        <f>IF(OR(E289="",E289="!!!"),"",IF(OR(J289=0,AND(J289=1,K289=1),AND(J289=1,I289="SBJ"),AND(J289=1,I289=0)),"?IN_FOCUS",IF(J289&lt;=2,"?ACTIVATED",IF(J289&lt;&gt;"","?FAMILIAR",IF(F289="NEW",IF(ISNA(VLOOKUP(E289,#REF!,1,FALSE())),"?TYPE_IDENTIFIABLE","?REFERENTIAL"),"_")))))</f>
        <v/>
      </c>
      <c r="H289" s="23" t="str">
        <f t="shared" ca="1" si="14"/>
        <v/>
      </c>
      <c r="I289" s="24" t="str">
        <f>IF(OR(E289="",E289="!!!",F289="NEW"),"",INDEX(B$2:B288,-1+SUMPRODUCT(MAX(ROW(E$2:E288)*(E289=E$2:E288)))))</f>
        <v/>
      </c>
      <c r="J289" s="24" t="str">
        <f ca="1">IF(OR(E289="",E289="!!!",F289="NEW"),"",COUNTBLANK(OFFSET(A$1,,,SUMPRODUCT(MAX(ROW(E$2:E289)*(E289=E$2:E289)))))-COUNTBLANK(OFFSET(A$1,,,SUMPRODUCT(MAX(ROW(E$1:E288)*(E2=E$1:E288))))))</f>
        <v/>
      </c>
      <c r="K289" s="24" t="str">
        <f>IF(OR(E289="",E289="!!!",F289="NEW"),"",INDEX(J$1:J288,SUMPRODUCT(MAX(ROW(E$1:E288)*(E289=E$1:E288)))))</f>
        <v/>
      </c>
      <c r="L289" s="29"/>
    </row>
    <row r="290" spans="1:12" x14ac:dyDescent="0.3">
      <c r="A290" t="s">
        <v>108</v>
      </c>
      <c r="E290" s="27"/>
      <c r="F290" s="28" t="str">
        <f>IF(OR(E290="",E290="!!!"),"",IF(NOT(ISNA(VLOOKUP(E290,E$1:E289,1,FALSE()))),"OLD",IF(AND(E290&lt;&gt;"",E290&lt;&gt;"!!!"),"NEW","")))</f>
        <v/>
      </c>
      <c r="G290" s="22" t="str">
        <f>IF(OR(E290="",E290="!!!"),"",IF(OR(J290=0,AND(J290=1,K290=1),AND(J290=1,I290="SBJ"),AND(J290=1,I290=0)),"?IN_FOCUS",IF(J290&lt;=2,"?ACTIVATED",IF(J290&lt;&gt;"","?FAMILIAR",IF(F290="NEW",IF(ISNA(VLOOKUP(E290,#REF!,1,FALSE())),"?TYPE_IDENTIFIABLE","?REFERENTIAL"),"_")))))</f>
        <v/>
      </c>
      <c r="H290" s="23" t="str">
        <f t="shared" ca="1" si="14"/>
        <v/>
      </c>
      <c r="I290" s="24" t="str">
        <f>IF(OR(E290="",E290="!!!",F290="NEW"),"",INDEX(B$2:B289,-1+SUMPRODUCT(MAX(ROW(E$2:E289)*(E290=E$2:E289)))))</f>
        <v/>
      </c>
      <c r="J290" s="24" t="str">
        <f ca="1">IF(OR(E290="",E290="!!!",F290="NEW"),"",COUNTBLANK(OFFSET(A$1,,,SUMPRODUCT(MAX(ROW(E$2:E290)*(E290=E$2:E290)))))-COUNTBLANK(OFFSET(A$1,,,SUMPRODUCT(MAX(ROW(E$1:E289)*(E2=E$1:E289))))))</f>
        <v/>
      </c>
      <c r="K290" s="24" t="str">
        <f>IF(OR(E290="",E290="!!!",F290="NEW"),"",INDEX(J$1:J289,SUMPRODUCT(MAX(ROW(E$1:E289)*(E290=E$1:E289)))))</f>
        <v/>
      </c>
      <c r="L290" s="29"/>
    </row>
    <row r="291" spans="1:12" x14ac:dyDescent="0.3">
      <c r="A291" t="s">
        <v>139</v>
      </c>
      <c r="B291" s="26" t="s">
        <v>140</v>
      </c>
      <c r="C291" s="26" t="s">
        <v>141</v>
      </c>
      <c r="D291" s="26" t="s">
        <v>98</v>
      </c>
      <c r="E291" s="27" t="s">
        <v>326</v>
      </c>
      <c r="F291" s="28" t="str">
        <f>IF(OR(E291="",E291="!!!"),"",IF(NOT(ISNA(VLOOKUP(E291,E$1:E290,1,FALSE()))),"OLD",IF(AND(E291&lt;&gt;"",E291&lt;&gt;"!!!"),"NEW","")))</f>
        <v>OLD</v>
      </c>
      <c r="G291" s="22" t="str">
        <f ca="1">IF(OR(E291="",E291="!!!"),"",IF(OR(J291=0,AND(J291=1,K291=1),AND(J291=1,I291="SBJ"),AND(J291=1,I291=0)),"?IN_FOCUS",IF(J291&lt;=2,"?ACTIVATED",IF(J291&lt;&gt;"","?FAMILIAR",IF(F291="NEW",IF(ISNA(VLOOKUP(E291,#REF!,1,FALSE())),"?TYPE_IDENTIFIABLE","?REFERENTIAL"),"_")))))</f>
        <v>?IN_FOCUS</v>
      </c>
      <c r="H291" s="23" t="str">
        <f t="shared" ca="1" si="14"/>
        <v/>
      </c>
      <c r="I291" s="24" t="str">
        <f>IF(OR(E291="",E291="!!!",F291="NEW"),"",INDEX(B$2:B290,-1+SUMPRODUCT(MAX(ROW(E$2:E290)*(E291=E$2:E290)))))</f>
        <v>SBJ</v>
      </c>
      <c r="J291" s="24">
        <f ca="1">IF(OR(E291="",E291="!!!",F291="NEW"),"",COUNTBLANK(OFFSET(A$1,,,SUMPRODUCT(MAX(ROW(E$2:E291)*(E291=E$2:E291)))))-COUNTBLANK(OFFSET(A$1,,,SUMPRODUCT(MAX(ROW(E$1:E290)*(E2=E$1:E290))))))</f>
        <v>0</v>
      </c>
      <c r="K291" s="24">
        <f ca="1">IF(OR(E291="",E291="!!!",F291="NEW"),"",INDEX(J$1:J290,SUMPRODUCT(MAX(ROW(E$1:E290)*(E291=E$1:E290)))))</f>
        <v>0</v>
      </c>
      <c r="L291" s="29"/>
    </row>
    <row r="292" spans="1:12" x14ac:dyDescent="0.3">
      <c r="A292" t="s">
        <v>211</v>
      </c>
      <c r="E292" s="27"/>
      <c r="F292" s="28" t="str">
        <f>IF(OR(E292="",E292="!!!"),"",IF(NOT(ISNA(VLOOKUP(E292,E$1:E291,1,FALSE()))),"OLD",IF(AND(E292&lt;&gt;"",E292&lt;&gt;"!!!"),"NEW","")))</f>
        <v/>
      </c>
      <c r="G292" s="22" t="str">
        <f>IF(OR(E292="",E292="!!!"),"",IF(OR(J292=0,AND(J292=1,K292=1),AND(J292=1,I292="SBJ"),AND(J292=1,I292=0)),"?IN_FOCUS",IF(J292&lt;=2,"?ACTIVATED",IF(J292&lt;&gt;"","?FAMILIAR",IF(F292="NEW",IF(ISNA(VLOOKUP(E292,#REF!,1,FALSE())),"?TYPE_IDENTIFIABLE","?REFERENTIAL"),"_")))))</f>
        <v/>
      </c>
      <c r="H292" s="23" t="str">
        <f t="shared" ca="1" si="14"/>
        <v/>
      </c>
      <c r="I292" s="24" t="str">
        <f>IF(OR(E292="",E292="!!!",F292="NEW"),"",INDEX(B$2:B291,-1+SUMPRODUCT(MAX(ROW(E$2:E291)*(E292=E$2:E291)))))</f>
        <v/>
      </c>
      <c r="J292" s="24" t="str">
        <f ca="1">IF(OR(E292="",E292="!!!",F292="NEW"),"",COUNTBLANK(OFFSET(A$1,,,SUMPRODUCT(MAX(ROW(E$2:E292)*(E292=E$2:E292)))))-COUNTBLANK(OFFSET(A$1,,,SUMPRODUCT(MAX(ROW(E$1:E291)*(E2=E$1:E291))))))</f>
        <v/>
      </c>
      <c r="K292" s="24" t="str">
        <f>IF(OR(E292="",E292="!!!",F292="NEW"),"",INDEX(J$1:J291,SUMPRODUCT(MAX(ROW(E$1:E291)*(E292=E$1:E291)))))</f>
        <v/>
      </c>
      <c r="L292" s="29"/>
    </row>
    <row r="293" spans="1:12" x14ac:dyDescent="0.3">
      <c r="A293" t="s">
        <v>228</v>
      </c>
      <c r="E293" s="27"/>
      <c r="F293" s="28" t="str">
        <f>IF(OR(E293="",E293="!!!"),"",IF(NOT(ISNA(VLOOKUP(E293,E$1:E292,1,FALSE()))),"OLD",IF(AND(E293&lt;&gt;"",E293&lt;&gt;"!!!"),"NEW","")))</f>
        <v/>
      </c>
      <c r="G293" s="22" t="str">
        <f>IF(OR(E293="",E293="!!!"),"",IF(OR(J293=0,AND(J293=1,K293=1),AND(J293=1,I293="SBJ"),AND(J293=1,I293=0)),"?IN_FOCUS",IF(J293&lt;=2,"?ACTIVATED",IF(J293&lt;&gt;"","?FAMILIAR",IF(F293="NEW",IF(ISNA(VLOOKUP(E293,#REF!,1,FALSE())),"?TYPE_IDENTIFIABLE","?REFERENTIAL"),"_")))))</f>
        <v/>
      </c>
      <c r="H293" s="23" t="str">
        <f t="shared" ca="1" si="14"/>
        <v/>
      </c>
      <c r="I293" s="24" t="str">
        <f>IF(OR(E293="",E293="!!!",F293="NEW"),"",INDEX(B$2:B292,-1+SUMPRODUCT(MAX(ROW(E$2:E292)*(E293=E$2:E292)))))</f>
        <v/>
      </c>
      <c r="J293" s="24" t="str">
        <f ca="1">IF(OR(E293="",E293="!!!",F293="NEW"),"",COUNTBLANK(OFFSET(A$1,,,SUMPRODUCT(MAX(ROW(E$2:E293)*(E293=E$2:E293)))))-COUNTBLANK(OFFSET(A$1,,,SUMPRODUCT(MAX(ROW(E$1:E292)*(E2=E$1:E292))))))</f>
        <v/>
      </c>
      <c r="K293" s="24" t="str">
        <f>IF(OR(E293="",E293="!!!",F293="NEW"),"",INDEX(J$1:J292,SUMPRODUCT(MAX(ROW(E$1:E292)*(E293=E$1:E292)))))</f>
        <v/>
      </c>
      <c r="L293" s="29"/>
    </row>
    <row r="294" spans="1:12" x14ac:dyDescent="0.3">
      <c r="A294" t="s">
        <v>266</v>
      </c>
      <c r="B294" s="26" t="s">
        <v>143</v>
      </c>
      <c r="C294" s="26" t="s">
        <v>128</v>
      </c>
      <c r="E294" s="27"/>
      <c r="F294" s="28" t="str">
        <f>IF(OR(E294="",E294="!!!"),"",IF(NOT(ISNA(VLOOKUP(E294,E$1:E293,1,FALSE()))),"OLD",IF(AND(E294&lt;&gt;"",E294&lt;&gt;"!!!"),"NEW","")))</f>
        <v/>
      </c>
      <c r="G294" s="22" t="str">
        <f>IF(OR(E294="",E294="!!!"),"",IF(OR(J294=0,AND(J294=1,K294=1),AND(J294=1,I294="SBJ"),AND(J294=1,I294=0)),"?IN_FOCUS",IF(J294&lt;=2,"?ACTIVATED",IF(J294&lt;&gt;"","?FAMILIAR",IF(F294="NEW",IF(ISNA(VLOOKUP(E294,#REF!,1,FALSE())),"?TYPE_IDENTIFIABLE","?REFERENTIAL"),"_")))))</f>
        <v/>
      </c>
      <c r="H294" s="23" t="str">
        <f t="shared" ca="1" si="14"/>
        <v/>
      </c>
      <c r="I294" s="24" t="str">
        <f>IF(OR(E294="",E294="!!!",F294="NEW"),"",INDEX(B$2:B293,-1+SUMPRODUCT(MAX(ROW(E$2:E293)*(E294=E$2:E293)))))</f>
        <v/>
      </c>
      <c r="J294" s="24" t="str">
        <f ca="1">IF(OR(E294="",E294="!!!",F294="NEW"),"",COUNTBLANK(OFFSET(A$1,,,SUMPRODUCT(MAX(ROW(E$2:E294)*(E294=E$2:E294)))))-COUNTBLANK(OFFSET(A$1,,,SUMPRODUCT(MAX(ROW(E$1:E293)*(E2=E$1:E293))))))</f>
        <v/>
      </c>
      <c r="K294" s="24" t="str">
        <f>IF(OR(E294="",E294="!!!",F294="NEW"),"",INDEX(J$1:J293,SUMPRODUCT(MAX(ROW(E$1:E293)*(E294=E$1:E293)))))</f>
        <v/>
      </c>
      <c r="L294" s="29"/>
    </row>
    <row r="295" spans="1:12" x14ac:dyDescent="0.3">
      <c r="A295" t="s">
        <v>108</v>
      </c>
      <c r="E295" s="27"/>
      <c r="F295" s="28" t="str">
        <f>IF(OR(E295="",E295="!!!"),"",IF(NOT(ISNA(VLOOKUP(E295,E$1:E294,1,FALSE()))),"OLD",IF(AND(E295&lt;&gt;"",E295&lt;&gt;"!!!"),"NEW","")))</f>
        <v/>
      </c>
      <c r="G295" s="22" t="str">
        <f>IF(OR(E295="",E295="!!!"),"",IF(OR(J295=0,AND(J295=1,K295=1),AND(J295=1,I295="SBJ"),AND(J295=1,I295=0)),"?IN_FOCUS",IF(J295&lt;=2,"?ACTIVATED",IF(J295&lt;&gt;"","?FAMILIAR",IF(F295="NEW",IF(ISNA(VLOOKUP(E295,#REF!,1,FALSE())),"?TYPE_IDENTIFIABLE","?REFERENTIAL"),"_")))))</f>
        <v/>
      </c>
      <c r="H295" s="23" t="str">
        <f t="shared" ca="1" si="14"/>
        <v/>
      </c>
      <c r="I295" s="24" t="str">
        <f>IF(OR(E295="",E295="!!!",F295="NEW"),"",INDEX(B$2:B294,-1+SUMPRODUCT(MAX(ROW(E$2:E294)*(E295=E$2:E294)))))</f>
        <v/>
      </c>
      <c r="J295" s="24" t="str">
        <f ca="1">IF(OR(E295="",E295="!!!",F295="NEW"),"",COUNTBLANK(OFFSET(A$1,,,SUMPRODUCT(MAX(ROW(E$2:E295)*(E295=E$2:E295)))))-COUNTBLANK(OFFSET(A$1,,,SUMPRODUCT(MAX(ROW(E$1:E294)*(E2=E$1:E294))))))</f>
        <v/>
      </c>
      <c r="K295" s="24" t="str">
        <f>IF(OR(E295="",E295="!!!",F295="NEW"),"",INDEX(J$1:J294,SUMPRODUCT(MAX(ROW(E$1:E294)*(E295=E$1:E294)))))</f>
        <v/>
      </c>
      <c r="L295" s="29"/>
    </row>
    <row r="296" spans="1:12" x14ac:dyDescent="0.3">
      <c r="A296" t="s">
        <v>152</v>
      </c>
      <c r="E296" s="27"/>
      <c r="F296" s="28" t="str">
        <f>IF(OR(E296="",E296="!!!"),"",IF(NOT(ISNA(VLOOKUP(E296,E$1:E295,1,FALSE()))),"OLD",IF(AND(E296&lt;&gt;"",E296&lt;&gt;"!!!"),"NEW","")))</f>
        <v/>
      </c>
      <c r="G296" s="22" t="str">
        <f>IF(OR(E296="",E296="!!!"),"",IF(OR(J296=0,AND(J296=1,K296=1),AND(J296=1,I296="SBJ"),AND(J296=1,I296=0)),"?IN_FOCUS",IF(J296&lt;=2,"?ACTIVATED",IF(J296&lt;&gt;"","?FAMILIAR",IF(F296="NEW",IF(ISNA(VLOOKUP(E296,#REF!,1,FALSE())),"?TYPE_IDENTIFIABLE","?REFERENTIAL"),"_")))))</f>
        <v/>
      </c>
      <c r="H296" s="23" t="str">
        <f t="shared" ca="1" si="14"/>
        <v/>
      </c>
      <c r="I296" s="24" t="str">
        <f>IF(OR(E296="",E296="!!!",F296="NEW"),"",INDEX(B$2:B295,-1+SUMPRODUCT(MAX(ROW(E$2:E295)*(E296=E$2:E295)))))</f>
        <v/>
      </c>
      <c r="J296" s="24" t="str">
        <f ca="1">IF(OR(E296="",E296="!!!",F296="NEW"),"",COUNTBLANK(OFFSET(A$1,,,SUMPRODUCT(MAX(ROW(E$2:E296)*(E296=E$2:E296)))))-COUNTBLANK(OFFSET(A$1,,,SUMPRODUCT(MAX(ROW(E$1:E295)*(E2=E$1:E295))))))</f>
        <v/>
      </c>
      <c r="K296" s="24" t="str">
        <f>IF(OR(E296="",E296="!!!",F296="NEW"),"",INDEX(J$1:J295,SUMPRODUCT(MAX(ROW(E$1:E295)*(E296=E$1:E295)))))</f>
        <v/>
      </c>
      <c r="L296" s="29"/>
    </row>
    <row r="297" spans="1:12" x14ac:dyDescent="0.3">
      <c r="A297" t="s">
        <v>174</v>
      </c>
      <c r="E297" s="27"/>
      <c r="F297" s="28" t="str">
        <f>IF(OR(E297="",E297="!!!"),"",IF(NOT(ISNA(VLOOKUP(E297,E$1:E296,1,FALSE()))),"OLD",IF(AND(E297&lt;&gt;"",E297&lt;&gt;"!!!"),"NEW","")))</f>
        <v/>
      </c>
      <c r="G297" s="22" t="str">
        <f>IF(OR(E297="",E297="!!!"),"",IF(OR(J297=0,AND(J297=1,K297=1),AND(J297=1,I297="SBJ"),AND(J297=1,I297=0)),"?IN_FOCUS",IF(J297&lt;=2,"?ACTIVATED",IF(J297&lt;&gt;"","?FAMILIAR",IF(F297="NEW",IF(ISNA(VLOOKUP(E297,#REF!,1,FALSE())),"?TYPE_IDENTIFIABLE","?REFERENTIAL"),"_")))))</f>
        <v/>
      </c>
      <c r="H297" s="23" t="str">
        <f t="shared" ca="1" si="14"/>
        <v/>
      </c>
      <c r="I297" s="24" t="str">
        <f>IF(OR(E297="",E297="!!!",F297="NEW"),"",INDEX(B$2:B296,-1+SUMPRODUCT(MAX(ROW(E$2:E296)*(E297=E$2:E296)))))</f>
        <v/>
      </c>
      <c r="J297" s="24" t="str">
        <f ca="1">IF(OR(E297="",E297="!!!",F297="NEW"),"",COUNTBLANK(OFFSET(A$1,,,SUMPRODUCT(MAX(ROW(E$2:E297)*(E297=E$2:E297)))))-COUNTBLANK(OFFSET(A$1,,,SUMPRODUCT(MAX(ROW(E$1:E296)*(E2=E$1:E296))))))</f>
        <v/>
      </c>
      <c r="K297" s="24" t="str">
        <f>IF(OR(E297="",E297="!!!",F297="NEW"),"",INDEX(J$1:J296,SUMPRODUCT(MAX(ROW(E$1:E296)*(E297=E$1:E296)))))</f>
        <v/>
      </c>
      <c r="L297" s="29"/>
    </row>
    <row r="298" spans="1:12" x14ac:dyDescent="0.3">
      <c r="A298" t="s">
        <v>191</v>
      </c>
      <c r="B298" s="26" t="s">
        <v>110</v>
      </c>
      <c r="C298" s="26" t="s">
        <v>97</v>
      </c>
      <c r="D298" s="26" t="s">
        <v>98</v>
      </c>
      <c r="E298" s="27" t="s">
        <v>338</v>
      </c>
      <c r="F298" s="28" t="str">
        <f>IF(OR(E298="",E298="!!!"),"",IF(NOT(ISNA(VLOOKUP(E298,E$1:E297,1,FALSE()))),"OLD",IF(AND(E298&lt;&gt;"",E298&lt;&gt;"!!!"),"NEW","")))</f>
        <v>OLD</v>
      </c>
      <c r="G298" s="22" t="str">
        <f ca="1">IF(OR(E298="",E298="!!!"),"",IF(OR(J298=0,AND(J298=1,K298=1),AND(J298=1,I298="SBJ"),AND(J298=1,I298=0)),"?IN_FOCUS",IF(J298&lt;=2,"?ACTIVATED",IF(J298&lt;&gt;"","?FAMILIAR",IF(F298="NEW",IF(ISNA(VLOOKUP(E298,#REF!,1,FALSE())),"?TYPE_IDENTIFIABLE","?REFERENTIAL"),"_")))))</f>
        <v>?IN_FOCUS</v>
      </c>
      <c r="H298" s="23" t="str">
        <f t="shared" ca="1" si="14"/>
        <v/>
      </c>
      <c r="I298" s="24" t="str">
        <f>IF(OR(E298="",E298="!!!",F298="NEW"),"",INDEX(B$2:B297,-1+SUMPRODUCT(MAX(ROW(E$2:E297)*(E298=E$2:E297)))))</f>
        <v>SBJ</v>
      </c>
      <c r="J298" s="24">
        <f ca="1">IF(OR(E298="",E298="!!!",F298="NEW"),"",COUNTBLANK(OFFSET(A$1,,,SUMPRODUCT(MAX(ROW(E$2:E298)*(E298=E$2:E298)))))-COUNTBLANK(OFFSET(A$1,,,SUMPRODUCT(MAX(ROW(E$1:E297)*(E2=E$1:E297))))))</f>
        <v>0</v>
      </c>
      <c r="K298" s="24">
        <f ca="1">IF(OR(E298="",E298="!!!",F298="NEW"),"",INDEX(J$1:J297,SUMPRODUCT(MAX(ROW(E$1:E297)*(E298=E$1:E297)))))</f>
        <v>0</v>
      </c>
      <c r="L298" s="29"/>
    </row>
    <row r="299" spans="1:12" x14ac:dyDescent="0.3">
      <c r="A299" t="s">
        <v>267</v>
      </c>
      <c r="E299" s="27"/>
      <c r="F299" s="28" t="str">
        <f>IF(OR(E299="",E299="!!!"),"",IF(NOT(ISNA(VLOOKUP(E299,E$1:E298,1,FALSE()))),"OLD",IF(AND(E299&lt;&gt;"",E299&lt;&gt;"!!!"),"NEW","")))</f>
        <v/>
      </c>
      <c r="G299" s="22" t="str">
        <f>IF(OR(E299="",E299="!!!"),"",IF(OR(J299=0,AND(J299=1,K299=1),AND(J299=1,I299="SBJ"),AND(J299=1,I299=0)),"?IN_FOCUS",IF(J299&lt;=2,"?ACTIVATED",IF(J299&lt;&gt;"","?FAMILIAR",IF(F299="NEW",IF(ISNA(VLOOKUP(E299,#REF!,1,FALSE())),"?TYPE_IDENTIFIABLE","?REFERENTIAL"),"_")))))</f>
        <v/>
      </c>
      <c r="H299" s="23" t="str">
        <f t="shared" ca="1" si="14"/>
        <v/>
      </c>
      <c r="I299" s="24" t="str">
        <f>IF(OR(E299="",E299="!!!",F299="NEW"),"",INDEX(B$2:B298,-1+SUMPRODUCT(MAX(ROW(E$2:E298)*(E299=E$2:E298)))))</f>
        <v/>
      </c>
      <c r="J299" s="24" t="str">
        <f ca="1">IF(OR(E299="",E299="!!!",F299="NEW"),"",COUNTBLANK(OFFSET(A$1,,,SUMPRODUCT(MAX(ROW(E$2:E299)*(E299=E$2:E299)))))-COUNTBLANK(OFFSET(A$1,,,SUMPRODUCT(MAX(ROW(E$1:E298)*(E2=E$1:E298))))))</f>
        <v/>
      </c>
      <c r="K299" s="24" t="str">
        <f>IF(OR(E299="",E299="!!!",F299="NEW"),"",INDEX(J$1:J298,SUMPRODUCT(MAX(ROW(E$1:E298)*(E299=E$1:E298)))))</f>
        <v/>
      </c>
      <c r="L299" s="29"/>
    </row>
    <row r="300" spans="1:12" x14ac:dyDescent="0.3">
      <c r="A300" t="s">
        <v>195</v>
      </c>
      <c r="E300" s="27" t="s">
        <v>339</v>
      </c>
      <c r="F300" s="28" t="str">
        <f>IF(OR(E300="",E300="!!!"),"",IF(NOT(ISNA(VLOOKUP(E300,E$1:E299,1,FALSE()))),"OLD",IF(AND(E300&lt;&gt;"",E300&lt;&gt;"!!!"),"NEW","")))</f>
        <v>OLD</v>
      </c>
      <c r="G300" s="22" t="str">
        <f ca="1">IF(OR(E300="",E300="!!!"),"",IF(OR(J300=0,AND(J300=1,K300=1),AND(J300=1,I300="SBJ"),AND(J300=1,I300=0)),"?IN_FOCUS",IF(J300&lt;=2,"?ACTIVATED",IF(J300&lt;&gt;"","?FAMILIAR",IF(F300="NEW",IF(ISNA(VLOOKUP(E300,#REF!,1,FALSE())),"?TYPE_IDENTIFIABLE","?REFERENTIAL"),"_")))))</f>
        <v>?IN_FOCUS</v>
      </c>
      <c r="H300" s="23" t="str">
        <f t="shared" ca="1" si="14"/>
        <v/>
      </c>
      <c r="I300" s="24" t="str">
        <f>IF(OR(E300="",E300="!!!",F300="NEW"),"",INDEX(B$2:B299,-1+SUMPRODUCT(MAX(ROW(E$2:E299)*(E300=E$2:E299)))))</f>
        <v>other_2</v>
      </c>
      <c r="J300" s="24">
        <f ca="1">IF(OR(E300="",E300="!!!",F300="NEW"),"",COUNTBLANK(OFFSET(A$1,,,SUMPRODUCT(MAX(ROW(E$2:E300)*(E300=E$2:E300)))))-COUNTBLANK(OFFSET(A$1,,,SUMPRODUCT(MAX(ROW(E$1:E299)*(E2=E$1:E299))))))</f>
        <v>0</v>
      </c>
      <c r="K300" s="24" t="str">
        <f ca="1">IF(OR(E300="",E300="!!!",F300="NEW"),"",INDEX(J$1:J299,SUMPRODUCT(MAX(ROW(E$1:E299)*(E300=E$1:E299)))))</f>
        <v/>
      </c>
      <c r="L300" s="29" t="s">
        <v>359</v>
      </c>
    </row>
    <row r="301" spans="1:12" x14ac:dyDescent="0.3">
      <c r="A301" t="s">
        <v>178</v>
      </c>
      <c r="E301" s="27"/>
      <c r="F301" s="28" t="str">
        <f>IF(OR(E301="",E301="!!!"),"",IF(NOT(ISNA(VLOOKUP(E301,E$1:E300,1,FALSE()))),"OLD",IF(AND(E301&lt;&gt;"",E301&lt;&gt;"!!!"),"NEW","")))</f>
        <v/>
      </c>
      <c r="G301" s="22" t="str">
        <f>IF(OR(E301="",E301="!!!"),"",IF(OR(J301=0,AND(J301=1,K301=1),AND(J301=1,I301="SBJ"),AND(J301=1,I301=0)),"?IN_FOCUS",IF(J301&lt;=2,"?ACTIVATED",IF(J301&lt;&gt;"","?FAMILIAR",IF(F301="NEW",IF(ISNA(VLOOKUP(E301,#REF!,1,FALSE())),"?TYPE_IDENTIFIABLE","?REFERENTIAL"),"_")))))</f>
        <v/>
      </c>
      <c r="H301" s="23" t="str">
        <f t="shared" ca="1" si="14"/>
        <v/>
      </c>
      <c r="I301" s="24" t="str">
        <f>IF(OR(E301="",E301="!!!",F301="NEW"),"",INDEX(B$2:B300,-1+SUMPRODUCT(MAX(ROW(E$2:E300)*(E301=E$2:E300)))))</f>
        <v/>
      </c>
      <c r="J301" s="24" t="str">
        <f ca="1">IF(OR(E301="",E301="!!!",F301="NEW"),"",COUNTBLANK(OFFSET(A$1,,,SUMPRODUCT(MAX(ROW(E$2:E301)*(E301=E$2:E301)))))-COUNTBLANK(OFFSET(A$1,,,SUMPRODUCT(MAX(ROW(E$1:E300)*(E2=E$1:E300))))))</f>
        <v/>
      </c>
      <c r="K301" s="24" t="str">
        <f>IF(OR(E301="",E301="!!!",F301="NEW"),"",INDEX(J$1:J300,SUMPRODUCT(MAX(ROW(E$1:E300)*(E301=E$1:E300)))))</f>
        <v/>
      </c>
      <c r="L301" s="29"/>
    </row>
    <row r="302" spans="1:12" x14ac:dyDescent="0.3">
      <c r="A302" t="s">
        <v>129</v>
      </c>
      <c r="E302" s="27"/>
      <c r="F302" s="28" t="str">
        <f>IF(OR(E302="",E302="!!!"),"",IF(NOT(ISNA(VLOOKUP(E302,E$1:E301,1,FALSE()))),"OLD",IF(AND(E302&lt;&gt;"",E302&lt;&gt;"!!!"),"NEW","")))</f>
        <v/>
      </c>
      <c r="G302" s="22" t="str">
        <f>IF(OR(E302="",E302="!!!"),"",IF(OR(J302=0,AND(J302=1,K302=1),AND(J302=1,I302="SBJ"),AND(J302=1,I302=0)),"?IN_FOCUS",IF(J302&lt;=2,"?ACTIVATED",IF(J302&lt;&gt;"","?FAMILIAR",IF(F302="NEW",IF(ISNA(VLOOKUP(E302,#REF!,1,FALSE())),"?TYPE_IDENTIFIABLE","?REFERENTIAL"),"_")))))</f>
        <v/>
      </c>
      <c r="H302" s="23" t="str">
        <f t="shared" ca="1" si="14"/>
        <v/>
      </c>
      <c r="I302" s="24" t="str">
        <f>IF(OR(E302="",E302="!!!",F302="NEW"),"",INDEX(B$2:B301,-1+SUMPRODUCT(MAX(ROW(E$2:E301)*(E302=E$2:E301)))))</f>
        <v/>
      </c>
      <c r="J302" s="24" t="str">
        <f ca="1">IF(OR(E302="",E302="!!!",F302="NEW"),"",COUNTBLANK(OFFSET(A$1,,,SUMPRODUCT(MAX(ROW(E$2:E302)*(E302=E$2:E302)))))-COUNTBLANK(OFFSET(A$1,,,SUMPRODUCT(MAX(ROW(E$1:E301)*(E2=E$1:E301))))))</f>
        <v/>
      </c>
      <c r="K302" s="24" t="str">
        <f>IF(OR(E302="",E302="!!!",F302="NEW"),"",INDEX(J$1:J301,SUMPRODUCT(MAX(ROW(E$1:E301)*(E302=E$1:E301)))))</f>
        <v/>
      </c>
      <c r="L302" s="29"/>
    </row>
    <row r="304" spans="1:12" x14ac:dyDescent="0.3">
      <c r="A304" t="s">
        <v>268</v>
      </c>
    </row>
    <row r="305" spans="1:12" x14ac:dyDescent="0.3">
      <c r="A305" t="s">
        <v>191</v>
      </c>
      <c r="B305" s="26" t="s">
        <v>96</v>
      </c>
      <c r="C305" s="26" t="s">
        <v>97</v>
      </c>
      <c r="D305" s="26" t="s">
        <v>98</v>
      </c>
      <c r="E305" s="27" t="s">
        <v>338</v>
      </c>
      <c r="F305" s="28" t="str">
        <f>IF(OR(E305="",E305="!!!"),"",IF(NOT(ISNA(VLOOKUP(E305,E$1:E304,1,FALSE()))),"OLD",IF(AND(E305&lt;&gt;"",E305&lt;&gt;"!!!"),"NEW","")))</f>
        <v>OLD</v>
      </c>
      <c r="G305" s="22" t="str">
        <f ca="1">IF(OR(E305="",E305="!!!"),"",IF(OR(J305=0,AND(J305=1,K305=1),AND(J305=1,I305="SBJ"),AND(J305=1,I305=0)),"?IN_FOCUS",IF(J305&lt;=2,"?ACTIVATED",IF(J305&lt;&gt;"","?FAMILIAR",IF(F305="NEW",IF(ISNA(VLOOKUP(E305,#REF!,1,FALSE())),"?TYPE_IDENTIFIABLE","?REFERENTIAL"),"_")))))</f>
        <v>?IN_FOCUS</v>
      </c>
      <c r="H305" s="23" t="str">
        <f t="shared" ref="H305:H323" ca="1" si="15">IF(J305&lt;&gt;1,"",IF(I305="SBJ","CB","?"))</f>
        <v/>
      </c>
      <c r="I305" s="24" t="str">
        <f>IF(OR(E305="",E305="!!!",F305="NEW"),"",INDEX(B$2:B304,-1+SUMPRODUCT(MAX(ROW(E$2:E304)*(E305=E$2:E304)))))</f>
        <v>SBJ_3</v>
      </c>
      <c r="J305" s="24">
        <f ca="1">IF(OR(E305="",E305="!!!",F305="NEW"),"",COUNTBLANK(OFFSET(A$1,,,SUMPRODUCT(MAX(ROW(E$2:E305)*(E305=E$2:E305)))))-COUNTBLANK(OFFSET(A$1,,,SUMPRODUCT(MAX(ROW(E$1:E304)*(E2=E$1:E304))))))</f>
        <v>0</v>
      </c>
      <c r="K305" s="24">
        <f ca="1">IF(OR(E305="",E305="!!!",F305="NEW"),"",INDEX(J$1:J304,SUMPRODUCT(MAX(ROW(E$1:E304)*(E305=E$1:E304)))))</f>
        <v>0</v>
      </c>
      <c r="L305" s="29"/>
    </row>
    <row r="306" spans="1:12" x14ac:dyDescent="0.3">
      <c r="A306" t="s">
        <v>172</v>
      </c>
      <c r="E306" s="27"/>
      <c r="F306" s="28" t="str">
        <f>IF(OR(E306="",E306="!!!"),"",IF(NOT(ISNA(VLOOKUP(E306,E$1:E305,1,FALSE()))),"OLD",IF(AND(E306&lt;&gt;"",E306&lt;&gt;"!!!"),"NEW","")))</f>
        <v/>
      </c>
      <c r="G306" s="22" t="str">
        <f>IF(OR(E306="",E306="!!!"),"",IF(OR(J306=0,AND(J306=1,K306=1),AND(J306=1,I306="SBJ"),AND(J306=1,I306=0)),"?IN_FOCUS",IF(J306&lt;=2,"?ACTIVATED",IF(J306&lt;&gt;"","?FAMILIAR",IF(F306="NEW",IF(ISNA(VLOOKUP(E306,#REF!,1,FALSE())),"?TYPE_IDENTIFIABLE","?REFERENTIAL"),"_")))))</f>
        <v/>
      </c>
      <c r="H306" s="23" t="str">
        <f t="shared" ca="1" si="15"/>
        <v/>
      </c>
      <c r="I306" s="24" t="str">
        <f>IF(OR(E306="",E306="!!!",F306="NEW"),"",INDEX(B$2:B305,-1+SUMPRODUCT(MAX(ROW(E$2:E305)*(E306=E$2:E305)))))</f>
        <v/>
      </c>
      <c r="J306" s="24" t="str">
        <f ca="1">IF(OR(E306="",E306="!!!",F306="NEW"),"",COUNTBLANK(OFFSET(A$1,,,SUMPRODUCT(MAX(ROW(E$2:E306)*(E306=E$2:E306)))))-COUNTBLANK(OFFSET(A$1,,,SUMPRODUCT(MAX(ROW(E$1:E305)*(E2=E$1:E305))))))</f>
        <v/>
      </c>
      <c r="K306" s="24" t="str">
        <f>IF(OR(E306="",E306="!!!",F306="NEW"),"",INDEX(J$1:J305,SUMPRODUCT(MAX(ROW(E$1:E305)*(E306=E$1:E305)))))</f>
        <v/>
      </c>
      <c r="L306" s="29"/>
    </row>
    <row r="307" spans="1:12" x14ac:dyDescent="0.3">
      <c r="A307" t="s">
        <v>136</v>
      </c>
      <c r="E307" s="27"/>
      <c r="F307" s="28" t="str">
        <f>IF(OR(E307="",E307="!!!"),"",IF(NOT(ISNA(VLOOKUP(E307,E$1:E306,1,FALSE()))),"OLD",IF(AND(E307&lt;&gt;"",E307&lt;&gt;"!!!"),"NEW","")))</f>
        <v/>
      </c>
      <c r="G307" s="22" t="str">
        <f>IF(OR(E307="",E307="!!!"),"",IF(OR(J307=0,AND(J307=1,K307=1),AND(J307=1,I307="SBJ"),AND(J307=1,I307=0)),"?IN_FOCUS",IF(J307&lt;=2,"?ACTIVATED",IF(J307&lt;&gt;"","?FAMILIAR",IF(F307="NEW",IF(ISNA(VLOOKUP(E307,#REF!,1,FALSE())),"?TYPE_IDENTIFIABLE","?REFERENTIAL"),"_")))))</f>
        <v/>
      </c>
      <c r="H307" s="23" t="str">
        <f t="shared" ca="1" si="15"/>
        <v/>
      </c>
      <c r="I307" s="24" t="str">
        <f>IF(OR(E307="",E307="!!!",F307="NEW"),"",INDEX(B$2:B306,-1+SUMPRODUCT(MAX(ROW(E$2:E306)*(E307=E$2:E306)))))</f>
        <v/>
      </c>
      <c r="J307" s="24" t="str">
        <f ca="1">IF(OR(E307="",E307="!!!",F307="NEW"),"",COUNTBLANK(OFFSET(A$1,,,SUMPRODUCT(MAX(ROW(E$2:E307)*(E307=E$2:E307)))))-COUNTBLANK(OFFSET(A$1,,,SUMPRODUCT(MAX(ROW(E$1:E306)*(E2=E$1:E306))))))</f>
        <v/>
      </c>
      <c r="K307" s="24" t="str">
        <f>IF(OR(E307="",E307="!!!",F307="NEW"),"",INDEX(J$1:J306,SUMPRODUCT(MAX(ROW(E$1:E306)*(E307=E$1:E306)))))</f>
        <v/>
      </c>
      <c r="L307" s="29"/>
    </row>
    <row r="308" spans="1:12" x14ac:dyDescent="0.3">
      <c r="A308" t="s">
        <v>108</v>
      </c>
      <c r="E308" s="27"/>
      <c r="F308" s="28" t="str">
        <f>IF(OR(E308="",E308="!!!"),"",IF(NOT(ISNA(VLOOKUP(E308,E$1:E307,1,FALSE()))),"OLD",IF(AND(E308&lt;&gt;"",E308&lt;&gt;"!!!"),"NEW","")))</f>
        <v/>
      </c>
      <c r="G308" s="22" t="str">
        <f>IF(OR(E308="",E308="!!!"),"",IF(OR(J308=0,AND(J308=1,K308=1),AND(J308=1,I308="SBJ"),AND(J308=1,I308=0)),"?IN_FOCUS",IF(J308&lt;=2,"?ACTIVATED",IF(J308&lt;&gt;"","?FAMILIAR",IF(F308="NEW",IF(ISNA(VLOOKUP(E308,#REF!,1,FALSE())),"?TYPE_IDENTIFIABLE","?REFERENTIAL"),"_")))))</f>
        <v/>
      </c>
      <c r="H308" s="23" t="str">
        <f t="shared" ca="1" si="15"/>
        <v/>
      </c>
      <c r="I308" s="24" t="str">
        <f>IF(OR(E308="",E308="!!!",F308="NEW"),"",INDEX(B$2:B307,-1+SUMPRODUCT(MAX(ROW(E$2:E307)*(E308=E$2:E307)))))</f>
        <v/>
      </c>
      <c r="J308" s="24" t="str">
        <f ca="1">IF(OR(E308="",E308="!!!",F308="NEW"),"",COUNTBLANK(OFFSET(A$1,,,SUMPRODUCT(MAX(ROW(E$2:E308)*(E308=E$2:E308)))))-COUNTBLANK(OFFSET(A$1,,,SUMPRODUCT(MAX(ROW(E$1:E307)*(E2=E$1:E307))))))</f>
        <v/>
      </c>
      <c r="K308" s="24" t="str">
        <f>IF(OR(E308="",E308="!!!",F308="NEW"),"",INDEX(J$1:J307,SUMPRODUCT(MAX(ROW(E$1:E307)*(E308=E$1:E307)))))</f>
        <v/>
      </c>
      <c r="L308" s="29"/>
    </row>
    <row r="309" spans="1:12" x14ac:dyDescent="0.3">
      <c r="A309" t="s">
        <v>138</v>
      </c>
      <c r="E309" s="27"/>
      <c r="F309" s="28" t="str">
        <f>IF(OR(E309="",E309="!!!"),"",IF(NOT(ISNA(VLOOKUP(E309,E$1:E308,1,FALSE()))),"OLD",IF(AND(E309&lt;&gt;"",E309&lt;&gt;"!!!"),"NEW","")))</f>
        <v/>
      </c>
      <c r="G309" s="22" t="str">
        <f>IF(OR(E309="",E309="!!!"),"",IF(OR(J309=0,AND(J309=1,K309=1),AND(J309=1,I309="SBJ"),AND(J309=1,I309=0)),"?IN_FOCUS",IF(J309&lt;=2,"?ACTIVATED",IF(J309&lt;&gt;"","?FAMILIAR",IF(F309="NEW",IF(ISNA(VLOOKUP(E309,#REF!,1,FALSE())),"?TYPE_IDENTIFIABLE","?REFERENTIAL"),"_")))))</f>
        <v/>
      </c>
      <c r="H309" s="23" t="str">
        <f t="shared" ca="1" si="15"/>
        <v/>
      </c>
      <c r="I309" s="24" t="str">
        <f>IF(OR(E309="",E309="!!!",F309="NEW"),"",INDEX(B$2:B308,-1+SUMPRODUCT(MAX(ROW(E$2:E308)*(E309=E$2:E308)))))</f>
        <v/>
      </c>
      <c r="J309" s="24" t="str">
        <f ca="1">IF(OR(E309="",E309="!!!",F309="NEW"),"",COUNTBLANK(OFFSET(A$1,,,SUMPRODUCT(MAX(ROW(E$2:E309)*(E309=E$2:E309)))))-COUNTBLANK(OFFSET(A$1,,,SUMPRODUCT(MAX(ROW(E$1:E308)*(E2=E$1:E308))))))</f>
        <v/>
      </c>
      <c r="K309" s="24" t="str">
        <f>IF(OR(E309="",E309="!!!",F309="NEW"),"",INDEX(J$1:J308,SUMPRODUCT(MAX(ROW(E$1:E308)*(E309=E$1:E308)))))</f>
        <v/>
      </c>
      <c r="L309" s="29"/>
    </row>
    <row r="310" spans="1:12" x14ac:dyDescent="0.3">
      <c r="A310" t="s">
        <v>139</v>
      </c>
      <c r="B310" s="26" t="s">
        <v>140</v>
      </c>
      <c r="C310" s="26" t="s">
        <v>141</v>
      </c>
      <c r="D310" s="26" t="s">
        <v>98</v>
      </c>
      <c r="E310" s="27" t="s">
        <v>338</v>
      </c>
      <c r="F310" s="28" t="str">
        <f>IF(OR(E310="",E310="!!!"),"",IF(NOT(ISNA(VLOOKUP(E310,E$1:E309,1,FALSE()))),"OLD",IF(AND(E310&lt;&gt;"",E310&lt;&gt;"!!!"),"NEW","")))</f>
        <v>OLD</v>
      </c>
      <c r="G310" s="22" t="str">
        <f ca="1">IF(OR(E310="",E310="!!!"),"",IF(OR(J310=0,AND(J310=1,K310=1),AND(J310=1,I310="SBJ"),AND(J310=1,I310=0)),"?IN_FOCUS",IF(J310&lt;=2,"?ACTIVATED",IF(J310&lt;&gt;"","?FAMILIAR",IF(F310="NEW",IF(ISNA(VLOOKUP(E310,#REF!,1,FALSE())),"?TYPE_IDENTIFIABLE","?REFERENTIAL"),"_")))))</f>
        <v>?IN_FOCUS</v>
      </c>
      <c r="H310" s="23" t="str">
        <f t="shared" ca="1" si="15"/>
        <v/>
      </c>
      <c r="I310" s="24" t="str">
        <f>IF(OR(E310="",E310="!!!",F310="NEW"),"",INDEX(B$2:B309,-1+SUMPRODUCT(MAX(ROW(E$2:E309)*(E310=E$2:E309)))))</f>
        <v>SBJ</v>
      </c>
      <c r="J310" s="24">
        <f ca="1">IF(OR(E310="",E310="!!!",F310="NEW"),"",COUNTBLANK(OFFSET(A$1,,,SUMPRODUCT(MAX(ROW(E$2:E310)*(E310=E$2:E310)))))-COUNTBLANK(OFFSET(A$1,,,SUMPRODUCT(MAX(ROW(E$1:E309)*(E2=E$1:E309))))))</f>
        <v>0</v>
      </c>
      <c r="K310" s="24">
        <f ca="1">IF(OR(E310="",E310="!!!",F310="NEW"),"",INDEX(J$1:J309,SUMPRODUCT(MAX(ROW(E$1:E309)*(E310=E$1:E309)))))</f>
        <v>0</v>
      </c>
      <c r="L310" s="29"/>
    </row>
    <row r="311" spans="1:12" x14ac:dyDescent="0.3">
      <c r="A311" t="s">
        <v>142</v>
      </c>
      <c r="B311" s="26" t="s">
        <v>143</v>
      </c>
      <c r="E311" s="27"/>
      <c r="F311" s="28" t="str">
        <f>IF(OR(E311="",E311="!!!"),"",IF(NOT(ISNA(VLOOKUP(E311,E$1:E310,1,FALSE()))),"OLD",IF(AND(E311&lt;&gt;"",E311&lt;&gt;"!!!"),"NEW","")))</f>
        <v/>
      </c>
      <c r="G311" s="22" t="str">
        <f>IF(OR(E311="",E311="!!!"),"",IF(OR(J311=0,AND(J311=1,K311=1),AND(J311=1,I311="SBJ"),AND(J311=1,I311=0)),"?IN_FOCUS",IF(J311&lt;=2,"?ACTIVATED",IF(J311&lt;&gt;"","?FAMILIAR",IF(F311="NEW",IF(ISNA(VLOOKUP(E311,#REF!,1,FALSE())),"?TYPE_IDENTIFIABLE","?REFERENTIAL"),"_")))))</f>
        <v/>
      </c>
      <c r="H311" s="23" t="str">
        <f t="shared" ca="1" si="15"/>
        <v/>
      </c>
      <c r="I311" s="24" t="str">
        <f>IF(OR(E311="",E311="!!!",F311="NEW"),"",INDEX(B$2:B310,-1+SUMPRODUCT(MAX(ROW(E$2:E310)*(E311=E$2:E310)))))</f>
        <v/>
      </c>
      <c r="J311" s="24" t="str">
        <f ca="1">IF(OR(E311="",E311="!!!",F311="NEW"),"",COUNTBLANK(OFFSET(A$1,,,SUMPRODUCT(MAX(ROW(E$2:E311)*(E311=E$2:E311)))))-COUNTBLANK(OFFSET(A$1,,,SUMPRODUCT(MAX(ROW(E$1:E310)*(E2=E$1:E310))))))</f>
        <v/>
      </c>
      <c r="K311" s="24" t="str">
        <f>IF(OR(E311="",E311="!!!",F311="NEW"),"",INDEX(J$1:J310,SUMPRODUCT(MAX(ROW(E$1:E310)*(E311=E$1:E310)))))</f>
        <v/>
      </c>
      <c r="L311" s="29"/>
    </row>
    <row r="312" spans="1:12" x14ac:dyDescent="0.3">
      <c r="A312" t="s">
        <v>144</v>
      </c>
      <c r="B312" s="26" t="s">
        <v>143</v>
      </c>
      <c r="C312" s="26" t="s">
        <v>145</v>
      </c>
      <c r="E312" s="27"/>
      <c r="F312" s="28" t="str">
        <f>IF(OR(E312="",E312="!!!"),"",IF(NOT(ISNA(VLOOKUP(E312,E$1:E311,1,FALSE()))),"OLD",IF(AND(E312&lt;&gt;"",E312&lt;&gt;"!!!"),"NEW","")))</f>
        <v/>
      </c>
      <c r="G312" s="22" t="str">
        <f>IF(OR(E312="",E312="!!!"),"",IF(OR(J312=0,AND(J312=1,K312=1),AND(J312=1,I312="SBJ"),AND(J312=1,I312=0)),"?IN_FOCUS",IF(J312&lt;=2,"?ACTIVATED",IF(J312&lt;&gt;"","?FAMILIAR",IF(F312="NEW",IF(ISNA(VLOOKUP(E312,#REF!,1,FALSE())),"?TYPE_IDENTIFIABLE","?REFERENTIAL"),"_")))))</f>
        <v/>
      </c>
      <c r="H312" s="23" t="str">
        <f t="shared" ca="1" si="15"/>
        <v/>
      </c>
      <c r="I312" s="24" t="str">
        <f>IF(OR(E312="",E312="!!!",F312="NEW"),"",INDEX(B$2:B311,-1+SUMPRODUCT(MAX(ROW(E$2:E311)*(E312=E$2:E311)))))</f>
        <v/>
      </c>
      <c r="J312" s="24" t="str">
        <f ca="1">IF(OR(E312="",E312="!!!",F312="NEW"),"",COUNTBLANK(OFFSET(A$1,,,SUMPRODUCT(MAX(ROW(E$2:E312)*(E312=E$2:E312)))))-COUNTBLANK(OFFSET(A$1,,,SUMPRODUCT(MAX(ROW(E$1:E311)*(E2=E$1:E311))))))</f>
        <v/>
      </c>
      <c r="K312" s="24" t="str">
        <f>IF(OR(E312="",E312="!!!",F312="NEW"),"",INDEX(J$1:J311,SUMPRODUCT(MAX(ROW(E$1:E311)*(E312=E$1:E311)))))</f>
        <v/>
      </c>
      <c r="L312" s="29"/>
    </row>
    <row r="313" spans="1:12" x14ac:dyDescent="0.3">
      <c r="A313" t="s">
        <v>146</v>
      </c>
      <c r="E313" s="27"/>
      <c r="F313" s="28" t="str">
        <f>IF(OR(E313="",E313="!!!"),"",IF(NOT(ISNA(VLOOKUP(E313,E$1:E312,1,FALSE()))),"OLD",IF(AND(E313&lt;&gt;"",E313&lt;&gt;"!!!"),"NEW","")))</f>
        <v/>
      </c>
      <c r="G313" s="22" t="str">
        <f>IF(OR(E313="",E313="!!!"),"",IF(OR(J313=0,AND(J313=1,K313=1),AND(J313=1,I313="SBJ"),AND(J313=1,I313=0)),"?IN_FOCUS",IF(J313&lt;=2,"?ACTIVATED",IF(J313&lt;&gt;"","?FAMILIAR",IF(F313="NEW",IF(ISNA(VLOOKUP(E313,#REF!,1,FALSE())),"?TYPE_IDENTIFIABLE","?REFERENTIAL"),"_")))))</f>
        <v/>
      </c>
      <c r="H313" s="23" t="str">
        <f t="shared" ca="1" si="15"/>
        <v/>
      </c>
      <c r="I313" s="24" t="str">
        <f>IF(OR(E313="",E313="!!!",F313="NEW"),"",INDEX(B$2:B312,-1+SUMPRODUCT(MAX(ROW(E$2:E312)*(E313=E$2:E312)))))</f>
        <v/>
      </c>
      <c r="J313" s="24" t="str">
        <f ca="1">IF(OR(E313="",E313="!!!",F313="NEW"),"",COUNTBLANK(OFFSET(A$1,,,SUMPRODUCT(MAX(ROW(E$2:E313)*(E313=E$2:E313)))))-COUNTBLANK(OFFSET(A$1,,,SUMPRODUCT(MAX(ROW(E$1:E312)*(E2=E$1:E312))))))</f>
        <v/>
      </c>
      <c r="K313" s="24" t="str">
        <f>IF(OR(E313="",E313="!!!",F313="NEW"),"",INDEX(J$1:J312,SUMPRODUCT(MAX(ROW(E$1:E312)*(E313=E$1:E312)))))</f>
        <v/>
      </c>
      <c r="L313" s="29"/>
    </row>
    <row r="314" spans="1:12" x14ac:dyDescent="0.3">
      <c r="A314" t="s">
        <v>269</v>
      </c>
      <c r="E314" s="27"/>
      <c r="F314" s="28" t="str">
        <f>IF(OR(E314="",E314="!!!"),"",IF(NOT(ISNA(VLOOKUP(E314,E$1:E313,1,FALSE()))),"OLD",IF(AND(E314&lt;&gt;"",E314&lt;&gt;"!!!"),"NEW","")))</f>
        <v/>
      </c>
      <c r="G314" s="22" t="str">
        <f>IF(OR(E314="",E314="!!!"),"",IF(OR(J314=0,AND(J314=1,K314=1),AND(J314=1,I314="SBJ"),AND(J314=1,I314=0)),"?IN_FOCUS",IF(J314&lt;=2,"?ACTIVATED",IF(J314&lt;&gt;"","?FAMILIAR",IF(F314="NEW",IF(ISNA(VLOOKUP(E314,#REF!,1,FALSE())),"?TYPE_IDENTIFIABLE","?REFERENTIAL"),"_")))))</f>
        <v/>
      </c>
      <c r="H314" s="23" t="str">
        <f t="shared" ca="1" si="15"/>
        <v/>
      </c>
      <c r="I314" s="24" t="str">
        <f>IF(OR(E314="",E314="!!!",F314="NEW"),"",INDEX(B$2:B313,-1+SUMPRODUCT(MAX(ROW(E$2:E313)*(E314=E$2:E313)))))</f>
        <v/>
      </c>
      <c r="J314" s="24" t="str">
        <f ca="1">IF(OR(E314="",E314="!!!",F314="NEW"),"",COUNTBLANK(OFFSET(A$1,,,SUMPRODUCT(MAX(ROW(E$2:E314)*(E314=E$2:E314)))))-COUNTBLANK(OFFSET(A$1,,,SUMPRODUCT(MAX(ROW(E$1:E313)*(E2=E$1:E313))))))</f>
        <v/>
      </c>
      <c r="K314" s="24" t="str">
        <f>IF(OR(E314="",E314="!!!",F314="NEW"),"",INDEX(J$1:J313,SUMPRODUCT(MAX(ROW(E$1:E313)*(E314=E$1:E313)))))</f>
        <v/>
      </c>
      <c r="L314" s="29"/>
    </row>
    <row r="315" spans="1:12" x14ac:dyDescent="0.3">
      <c r="A315" t="s">
        <v>108</v>
      </c>
      <c r="E315" s="27"/>
      <c r="F315" s="28" t="str">
        <f>IF(OR(E315="",E315="!!!"),"",IF(NOT(ISNA(VLOOKUP(E315,E$1:E314,1,FALSE()))),"OLD",IF(AND(E315&lt;&gt;"",E315&lt;&gt;"!!!"),"NEW","")))</f>
        <v/>
      </c>
      <c r="G315" s="22" t="str">
        <f>IF(OR(E315="",E315="!!!"),"",IF(OR(J315=0,AND(J315=1,K315=1),AND(J315=1,I315="SBJ"),AND(J315=1,I315=0)),"?IN_FOCUS",IF(J315&lt;=2,"?ACTIVATED",IF(J315&lt;&gt;"","?FAMILIAR",IF(F315="NEW",IF(ISNA(VLOOKUP(E315,#REF!,1,FALSE())),"?TYPE_IDENTIFIABLE","?REFERENTIAL"),"_")))))</f>
        <v/>
      </c>
      <c r="H315" s="23" t="str">
        <f t="shared" ca="1" si="15"/>
        <v/>
      </c>
      <c r="I315" s="24" t="str">
        <f>IF(OR(E315="",E315="!!!",F315="NEW"),"",INDEX(B$2:B314,-1+SUMPRODUCT(MAX(ROW(E$2:E314)*(E315=E$2:E314)))))</f>
        <v/>
      </c>
      <c r="J315" s="24" t="str">
        <f ca="1">IF(OR(E315="",E315="!!!",F315="NEW"),"",COUNTBLANK(OFFSET(A$1,,,SUMPRODUCT(MAX(ROW(E$2:E315)*(E315=E$2:E315)))))-COUNTBLANK(OFFSET(A$1,,,SUMPRODUCT(MAX(ROW(E$1:E314)*(E2=E$1:E314))))))</f>
        <v/>
      </c>
      <c r="K315" s="24" t="str">
        <f>IF(OR(E315="",E315="!!!",F315="NEW"),"",INDEX(J$1:J314,SUMPRODUCT(MAX(ROW(E$1:E314)*(E315=E$1:E314)))))</f>
        <v/>
      </c>
      <c r="L315" s="29"/>
    </row>
    <row r="316" spans="1:12" x14ac:dyDescent="0.3">
      <c r="A316" t="s">
        <v>109</v>
      </c>
      <c r="B316" s="26" t="s">
        <v>140</v>
      </c>
      <c r="E316" s="27"/>
      <c r="F316" s="28" t="str">
        <f>IF(OR(E316="",E316="!!!"),"",IF(NOT(ISNA(VLOOKUP(E316,E$1:E315,1,FALSE()))),"OLD",IF(AND(E316&lt;&gt;"",E316&lt;&gt;"!!!"),"NEW","")))</f>
        <v/>
      </c>
      <c r="G316" s="22" t="str">
        <f>IF(OR(E316="",E316="!!!"),"",IF(OR(J316=0,AND(J316=1,K316=1),AND(J316=1,I316="SBJ"),AND(J316=1,I316=0)),"?IN_FOCUS",IF(J316&lt;=2,"?ACTIVATED",IF(J316&lt;&gt;"","?FAMILIAR",IF(F316="NEW",IF(ISNA(VLOOKUP(E316,#REF!,1,FALSE())),"?TYPE_IDENTIFIABLE","?REFERENTIAL"),"_")))))</f>
        <v/>
      </c>
      <c r="H316" s="23" t="str">
        <f t="shared" ca="1" si="15"/>
        <v/>
      </c>
      <c r="I316" s="24" t="str">
        <f>IF(OR(E316="",E316="!!!",F316="NEW"),"",INDEX(B$2:B315,-1+SUMPRODUCT(MAX(ROW(E$2:E315)*(E316=E$2:E315)))))</f>
        <v/>
      </c>
      <c r="J316" s="24" t="str">
        <f ca="1">IF(OR(E316="",E316="!!!",F316="NEW"),"",COUNTBLANK(OFFSET(A$1,,,SUMPRODUCT(MAX(ROW(E$2:E316)*(E316=E$2:E316)))))-COUNTBLANK(OFFSET(A$1,,,SUMPRODUCT(MAX(ROW(E$1:E315)*(E2=E$1:E315))))))</f>
        <v/>
      </c>
      <c r="K316" s="24" t="str">
        <f>IF(OR(E316="",E316="!!!",F316="NEW"),"",INDEX(J$1:J315,SUMPRODUCT(MAX(ROW(E$1:E315)*(E316=E$1:E315)))))</f>
        <v/>
      </c>
      <c r="L316" s="29"/>
    </row>
    <row r="317" spans="1:12" x14ac:dyDescent="0.3">
      <c r="A317" t="s">
        <v>270</v>
      </c>
      <c r="E317" s="27" t="s">
        <v>326</v>
      </c>
      <c r="F317" s="28" t="str">
        <f>IF(OR(E317="",E317="!!!"),"",IF(NOT(ISNA(VLOOKUP(E317,E$1:E316,1,FALSE()))),"OLD",IF(AND(E317&lt;&gt;"",E317&lt;&gt;"!!!"),"NEW","")))</f>
        <v>OLD</v>
      </c>
      <c r="G317" s="22" t="str">
        <f ca="1">IF(OR(E317="",E317="!!!"),"",IF(OR(J317=0,AND(J317=1,K317=1),AND(J317=1,I317="SBJ"),AND(J317=1,I317=0)),"?IN_FOCUS",IF(J317&lt;=2,"?ACTIVATED",IF(J317&lt;&gt;"","?FAMILIAR",IF(F317="NEW",IF(ISNA(VLOOKUP(E317,#REF!,1,FALSE())),"?TYPE_IDENTIFIABLE","?REFERENTIAL"),"_")))))</f>
        <v>?IN_FOCUS</v>
      </c>
      <c r="H317" s="23" t="str">
        <f t="shared" ca="1" si="15"/>
        <v/>
      </c>
      <c r="I317" s="24" t="str">
        <f>IF(OR(E317="",E317="!!!",F317="NEW"),"",INDEX(B$2:B316,-1+SUMPRODUCT(MAX(ROW(E$2:E316)*(E317=E$2:E316)))))</f>
        <v>SBJ_2</v>
      </c>
      <c r="J317" s="24">
        <f ca="1">IF(OR(E317="",E317="!!!",F317="NEW"),"",COUNTBLANK(OFFSET(A$1,,,SUMPRODUCT(MAX(ROW(E$2:E317)*(E317=E$2:E317)))))-COUNTBLANK(OFFSET(A$1,,,SUMPRODUCT(MAX(ROW(E$1:E316)*(E2=E$1:E316))))))</f>
        <v>0</v>
      </c>
      <c r="K317" s="24">
        <f ca="1">IF(OR(E317="",E317="!!!",F317="NEW"),"",INDEX(J$1:J316,SUMPRODUCT(MAX(ROW(E$1:E316)*(E317=E$1:E316)))))</f>
        <v>0</v>
      </c>
      <c r="L317" s="29"/>
    </row>
    <row r="318" spans="1:12" x14ac:dyDescent="0.3">
      <c r="A318" t="s">
        <v>271</v>
      </c>
      <c r="E318" s="27"/>
      <c r="F318" s="28" t="str">
        <f>IF(OR(E318="",E318="!!!"),"",IF(NOT(ISNA(VLOOKUP(E318,E$1:E317,1,FALSE()))),"OLD",IF(AND(E318&lt;&gt;"",E318&lt;&gt;"!!!"),"NEW","")))</f>
        <v/>
      </c>
      <c r="G318" s="22" t="str">
        <f>IF(OR(E318="",E318="!!!"),"",IF(OR(J318=0,AND(J318=1,K318=1),AND(J318=1,I318="SBJ"),AND(J318=1,I318=0)),"?IN_FOCUS",IF(J318&lt;=2,"?ACTIVATED",IF(J318&lt;&gt;"","?FAMILIAR",IF(F318="NEW",IF(ISNA(VLOOKUP(E318,#REF!,1,FALSE())),"?TYPE_IDENTIFIABLE","?REFERENTIAL"),"_")))))</f>
        <v/>
      </c>
      <c r="H318" s="23" t="str">
        <f t="shared" ca="1" si="15"/>
        <v/>
      </c>
      <c r="I318" s="24" t="str">
        <f>IF(OR(E318="",E318="!!!",F318="NEW"),"",INDEX(B$2:B317,-1+SUMPRODUCT(MAX(ROW(E$2:E317)*(E318=E$2:E317)))))</f>
        <v/>
      </c>
      <c r="J318" s="24" t="str">
        <f ca="1">IF(OR(E318="",E318="!!!",F318="NEW"),"",COUNTBLANK(OFFSET(A$1,,,SUMPRODUCT(MAX(ROW(E$2:E318)*(E318=E$2:E318)))))-COUNTBLANK(OFFSET(A$1,,,SUMPRODUCT(MAX(ROW(E$1:E317)*(E2=E$1:E317))))))</f>
        <v/>
      </c>
      <c r="K318" s="24" t="str">
        <f>IF(OR(E318="",E318="!!!",F318="NEW"),"",INDEX(J$1:J317,SUMPRODUCT(MAX(ROW(E$1:E317)*(E318=E$1:E317)))))</f>
        <v/>
      </c>
      <c r="L318" s="29"/>
    </row>
    <row r="319" spans="1:12" x14ac:dyDescent="0.3">
      <c r="A319" t="s">
        <v>133</v>
      </c>
      <c r="B319" s="26" t="s">
        <v>143</v>
      </c>
      <c r="C319" s="26" t="s">
        <v>205</v>
      </c>
      <c r="E319" s="27"/>
      <c r="F319" s="28" t="str">
        <f>IF(OR(E319="",E319="!!!"),"",IF(NOT(ISNA(VLOOKUP(E319,E$1:E318,1,FALSE()))),"OLD",IF(AND(E319&lt;&gt;"",E319&lt;&gt;"!!!"),"NEW","")))</f>
        <v/>
      </c>
      <c r="G319" s="22" t="str">
        <f>IF(OR(E319="",E319="!!!"),"",IF(OR(J319=0,AND(J319=1,K319=1),AND(J319=1,I319="SBJ"),AND(J319=1,I319=0)),"?IN_FOCUS",IF(J319&lt;=2,"?ACTIVATED",IF(J319&lt;&gt;"","?FAMILIAR",IF(F319="NEW",IF(ISNA(VLOOKUP(E319,#REF!,1,FALSE())),"?TYPE_IDENTIFIABLE","?REFERENTIAL"),"_")))))</f>
        <v/>
      </c>
      <c r="H319" s="23" t="str">
        <f t="shared" ca="1" si="15"/>
        <v/>
      </c>
      <c r="I319" s="24" t="str">
        <f>IF(OR(E319="",E319="!!!",F319="NEW"),"",INDEX(B$2:B318,-1+SUMPRODUCT(MAX(ROW(E$2:E318)*(E319=E$2:E318)))))</f>
        <v/>
      </c>
      <c r="J319" s="24" t="str">
        <f ca="1">IF(OR(E319="",E319="!!!",F319="NEW"),"",COUNTBLANK(OFFSET(A$1,,,SUMPRODUCT(MAX(ROW(E$2:E319)*(E319=E$2:E319)))))-COUNTBLANK(OFFSET(A$1,,,SUMPRODUCT(MAX(ROW(E$1:E318)*(E2=E$1:E318))))))</f>
        <v/>
      </c>
      <c r="K319" s="24" t="str">
        <f>IF(OR(E319="",E319="!!!",F319="NEW"),"",INDEX(J$1:J318,SUMPRODUCT(MAX(ROW(E$1:E318)*(E319=E$1:E318)))))</f>
        <v/>
      </c>
      <c r="L319" s="29"/>
    </row>
    <row r="320" spans="1:12" x14ac:dyDescent="0.3">
      <c r="A320" t="s">
        <v>149</v>
      </c>
      <c r="E320" s="27"/>
      <c r="F320" s="28" t="str">
        <f>IF(OR(E320="",E320="!!!"),"",IF(NOT(ISNA(VLOOKUP(E320,E$1:E319,1,FALSE()))),"OLD",IF(AND(E320&lt;&gt;"",E320&lt;&gt;"!!!"),"NEW","")))</f>
        <v/>
      </c>
      <c r="G320" s="22" t="str">
        <f>IF(OR(E320="",E320="!!!"),"",IF(OR(J320=0,AND(J320=1,K320=1),AND(J320=1,I320="SBJ"),AND(J320=1,I320=0)),"?IN_FOCUS",IF(J320&lt;=2,"?ACTIVATED",IF(J320&lt;&gt;"","?FAMILIAR",IF(F320="NEW",IF(ISNA(VLOOKUP(E320,#REF!,1,FALSE())),"?TYPE_IDENTIFIABLE","?REFERENTIAL"),"_")))))</f>
        <v/>
      </c>
      <c r="H320" s="23" t="str">
        <f t="shared" ca="1" si="15"/>
        <v/>
      </c>
      <c r="I320" s="24" t="str">
        <f>IF(OR(E320="",E320="!!!",F320="NEW"),"",INDEX(B$2:B319,-1+SUMPRODUCT(MAX(ROW(E$2:E319)*(E320=E$2:E319)))))</f>
        <v/>
      </c>
      <c r="J320" s="24" t="str">
        <f ca="1">IF(OR(E320="",E320="!!!",F320="NEW"),"",COUNTBLANK(OFFSET(A$1,,,SUMPRODUCT(MAX(ROW(E$2:E320)*(E320=E$2:E320)))))-COUNTBLANK(OFFSET(A$1,,,SUMPRODUCT(MAX(ROW(E$1:E319)*(E2=E$1:E319))))))</f>
        <v/>
      </c>
      <c r="K320" s="24" t="str">
        <f>IF(OR(E320="",E320="!!!",F320="NEW"),"",INDEX(J$1:J319,SUMPRODUCT(MAX(ROW(E$1:E319)*(E320=E$1:E319)))))</f>
        <v/>
      </c>
      <c r="L320" s="29"/>
    </row>
    <row r="321" spans="1:12" x14ac:dyDescent="0.3">
      <c r="A321" t="s">
        <v>150</v>
      </c>
      <c r="E321" s="27"/>
      <c r="F321" s="28" t="str">
        <f>IF(OR(E321="",E321="!!!"),"",IF(NOT(ISNA(VLOOKUP(E321,E$1:E320,1,FALSE()))),"OLD",IF(AND(E321&lt;&gt;"",E321&lt;&gt;"!!!"),"NEW","")))</f>
        <v/>
      </c>
      <c r="G321" s="22" t="str">
        <f>IF(OR(E321="",E321="!!!"),"",IF(OR(J321=0,AND(J321=1,K321=1),AND(J321=1,I321="SBJ"),AND(J321=1,I321=0)),"?IN_FOCUS",IF(J321&lt;=2,"?ACTIVATED",IF(J321&lt;&gt;"","?FAMILIAR",IF(F321="NEW",IF(ISNA(VLOOKUP(E321,#REF!,1,FALSE())),"?TYPE_IDENTIFIABLE","?REFERENTIAL"),"_")))))</f>
        <v/>
      </c>
      <c r="H321" s="23" t="str">
        <f t="shared" ca="1" si="15"/>
        <v/>
      </c>
      <c r="I321" s="24" t="str">
        <f>IF(OR(E321="",E321="!!!",F321="NEW"),"",INDEX(B$2:B320,-1+SUMPRODUCT(MAX(ROW(E$2:E320)*(E321=E$2:E320)))))</f>
        <v/>
      </c>
      <c r="J321" s="24" t="str">
        <f ca="1">IF(OR(E321="",E321="!!!",F321="NEW"),"",COUNTBLANK(OFFSET(A$1,,,SUMPRODUCT(MAX(ROW(E$2:E321)*(E321=E$2:E321)))))-COUNTBLANK(OFFSET(A$1,,,SUMPRODUCT(MAX(ROW(E$1:E320)*(E2=E$1:E320))))))</f>
        <v/>
      </c>
      <c r="K321" s="24" t="str">
        <f>IF(OR(E321="",E321="!!!",F321="NEW"),"",INDEX(J$1:J320,SUMPRODUCT(MAX(ROW(E$1:E320)*(E321=E$1:E320)))))</f>
        <v/>
      </c>
      <c r="L321" s="29"/>
    </row>
    <row r="322" spans="1:12" x14ac:dyDescent="0.3">
      <c r="A322" t="s">
        <v>151</v>
      </c>
      <c r="E322" s="27"/>
      <c r="F322" s="28" t="str">
        <f>IF(OR(E322="",E322="!!!"),"",IF(NOT(ISNA(VLOOKUP(E322,E$1:E321,1,FALSE()))),"OLD",IF(AND(E322&lt;&gt;"",E322&lt;&gt;"!!!"),"NEW","")))</f>
        <v/>
      </c>
      <c r="G322" s="22" t="str">
        <f>IF(OR(E322="",E322="!!!"),"",IF(OR(J322=0,AND(J322=1,K322=1),AND(J322=1,I322="SBJ"),AND(J322=1,I322=0)),"?IN_FOCUS",IF(J322&lt;=2,"?ACTIVATED",IF(J322&lt;&gt;"","?FAMILIAR",IF(F322="NEW",IF(ISNA(VLOOKUP(E322,#REF!,1,FALSE())),"?TYPE_IDENTIFIABLE","?REFERENTIAL"),"_")))))</f>
        <v/>
      </c>
      <c r="H322" s="23" t="str">
        <f t="shared" ca="1" si="15"/>
        <v/>
      </c>
      <c r="I322" s="24" t="str">
        <f>IF(OR(E322="",E322="!!!",F322="NEW"),"",INDEX(B$2:B321,-1+SUMPRODUCT(MAX(ROW(E$2:E321)*(E322=E$2:E321)))))</f>
        <v/>
      </c>
      <c r="J322" s="24" t="str">
        <f ca="1">IF(OR(E322="",E322="!!!",F322="NEW"),"",COUNTBLANK(OFFSET(A$1,,,SUMPRODUCT(MAX(ROW(E$2:E322)*(E322=E$2:E322)))))-COUNTBLANK(OFFSET(A$1,,,SUMPRODUCT(MAX(ROW(E$1:E321)*(E2=E$1:E321))))))</f>
        <v/>
      </c>
      <c r="K322" s="24" t="str">
        <f>IF(OR(E322="",E322="!!!",F322="NEW"),"",INDEX(J$1:J321,SUMPRODUCT(MAX(ROW(E$1:E321)*(E322=E$1:E321)))))</f>
        <v/>
      </c>
      <c r="L322" s="29"/>
    </row>
    <row r="323" spans="1:12" x14ac:dyDescent="0.3">
      <c r="A323" t="s">
        <v>129</v>
      </c>
      <c r="E323" s="27"/>
      <c r="F323" s="28" t="str">
        <f>IF(OR(E323="",E323="!!!"),"",IF(NOT(ISNA(VLOOKUP(E323,E$1:E322,1,FALSE()))),"OLD",IF(AND(E323&lt;&gt;"",E323&lt;&gt;"!!!"),"NEW","")))</f>
        <v/>
      </c>
      <c r="G323" s="22" t="str">
        <f>IF(OR(E323="",E323="!!!"),"",IF(OR(J323=0,AND(J323=1,K323=1),AND(J323=1,I323="SBJ"),AND(J323=1,I323=0)),"?IN_FOCUS",IF(J323&lt;=2,"?ACTIVATED",IF(J323&lt;&gt;"","?FAMILIAR",IF(F323="NEW",IF(ISNA(VLOOKUP(E323,#REF!,1,FALSE())),"?TYPE_IDENTIFIABLE","?REFERENTIAL"),"_")))))</f>
        <v/>
      </c>
      <c r="H323" s="23" t="str">
        <f t="shared" ca="1" si="15"/>
        <v/>
      </c>
      <c r="I323" s="24" t="str">
        <f>IF(OR(E323="",E323="!!!",F323="NEW"),"",INDEX(B$2:B322,-1+SUMPRODUCT(MAX(ROW(E$2:E322)*(E323=E$2:E322)))))</f>
        <v/>
      </c>
      <c r="J323" s="24" t="str">
        <f ca="1">IF(OR(E323="",E323="!!!",F323="NEW"),"",COUNTBLANK(OFFSET(A$1,,,SUMPRODUCT(MAX(ROW(E$2:E323)*(E323=E$2:E323)))))-COUNTBLANK(OFFSET(A$1,,,SUMPRODUCT(MAX(ROW(E$1:E322)*(E2=E$1:E322))))))</f>
        <v/>
      </c>
      <c r="K323" s="24" t="str">
        <f>IF(OR(E323="",E323="!!!",F323="NEW"),"",INDEX(J$1:J322,SUMPRODUCT(MAX(ROW(E$1:E322)*(E323=E$1:E322)))))</f>
        <v/>
      </c>
      <c r="L323" s="29"/>
    </row>
    <row r="325" spans="1:12" x14ac:dyDescent="0.3">
      <c r="A325" t="s">
        <v>272</v>
      </c>
    </row>
    <row r="326" spans="1:12" x14ac:dyDescent="0.3">
      <c r="A326" t="s">
        <v>263</v>
      </c>
      <c r="B326" s="26" t="s">
        <v>96</v>
      </c>
      <c r="C326" s="26" t="s">
        <v>141</v>
      </c>
      <c r="D326" s="26" t="s">
        <v>98</v>
      </c>
      <c r="E326" s="27" t="s">
        <v>326</v>
      </c>
      <c r="F326" s="28" t="str">
        <f>IF(OR(E326="",E326="!!!"),"",IF(NOT(ISNA(VLOOKUP(E326,E$1:E325,1,FALSE()))),"OLD",IF(AND(E326&lt;&gt;"",E326&lt;&gt;"!!!"),"NEW","")))</f>
        <v>OLD</v>
      </c>
      <c r="G326" s="22" t="str">
        <f ca="1">IF(OR(E326="",E326="!!!"),"",IF(OR(J326=0,AND(J326=1,K326=1),AND(J326=1,I326="SBJ"),AND(J326=1,I326=0)),"?IN_FOCUS",IF(J326&lt;=2,"?ACTIVATED",IF(J326&lt;&gt;"","?FAMILIAR",IF(F326="NEW",IF(ISNA(VLOOKUP(E326,#REF!,1,FALSE())),"?TYPE_IDENTIFIABLE","?REFERENTIAL"),"_")))))</f>
        <v>?IN_FOCUS</v>
      </c>
      <c r="H326" s="23" t="str">
        <f t="shared" ref="H326:H335" ca="1" si="16">IF(J326&lt;&gt;1,"",IF(I326="SBJ","CB","?"))</f>
        <v/>
      </c>
      <c r="I326" s="24">
        <f>IF(OR(E326="",E326="!!!",F326="NEW"),"",INDEX(B$2:B325,-1+SUMPRODUCT(MAX(ROW(E$2:E325)*(E326=E$2:E325)))))</f>
        <v>0</v>
      </c>
      <c r="J326" s="24">
        <f ca="1">IF(OR(E326="",E326="!!!",F326="NEW"),"",COUNTBLANK(OFFSET(A$1,,,SUMPRODUCT(MAX(ROW(E$2:E326)*(E326=E$2:E326)))))-COUNTBLANK(OFFSET(A$1,,,SUMPRODUCT(MAX(ROW(E$1:E325)*(E2=E$1:E325))))))</f>
        <v>0</v>
      </c>
      <c r="K326" s="24">
        <f ca="1">IF(OR(E326="",E326="!!!",F326="NEW"),"",INDEX(J$1:J325,SUMPRODUCT(MAX(ROW(E$1:E325)*(E326=E$1:E325)))))</f>
        <v>0</v>
      </c>
      <c r="L326" s="29"/>
    </row>
    <row r="327" spans="1:12" x14ac:dyDescent="0.3">
      <c r="A327" t="s">
        <v>273</v>
      </c>
      <c r="E327" s="27"/>
      <c r="F327" s="28" t="str">
        <f>IF(OR(E327="",E327="!!!"),"",IF(NOT(ISNA(VLOOKUP(E327,E$1:E326,1,FALSE()))),"OLD",IF(AND(E327&lt;&gt;"",E327&lt;&gt;"!!!"),"NEW","")))</f>
        <v/>
      </c>
      <c r="G327" s="22" t="str">
        <f>IF(OR(E327="",E327="!!!"),"",IF(OR(J327=0,AND(J327=1,K327=1),AND(J327=1,I327="SBJ"),AND(J327=1,I327=0)),"?IN_FOCUS",IF(J327&lt;=2,"?ACTIVATED",IF(J327&lt;&gt;"","?FAMILIAR",IF(F327="NEW",IF(ISNA(VLOOKUP(E327,#REF!,1,FALSE())),"?TYPE_IDENTIFIABLE","?REFERENTIAL"),"_")))))</f>
        <v/>
      </c>
      <c r="H327" s="23" t="str">
        <f t="shared" ca="1" si="16"/>
        <v/>
      </c>
      <c r="I327" s="24" t="str">
        <f>IF(OR(E327="",E327="!!!",F327="NEW"),"",INDEX(B$2:B326,-1+SUMPRODUCT(MAX(ROW(E$2:E326)*(E327=E$2:E326)))))</f>
        <v/>
      </c>
      <c r="J327" s="24" t="str">
        <f ca="1">IF(OR(E327="",E327="!!!",F327="NEW"),"",COUNTBLANK(OFFSET(A$1,,,SUMPRODUCT(MAX(ROW(E$2:E327)*(E327=E$2:E327)))))-COUNTBLANK(OFFSET(A$1,,,SUMPRODUCT(MAX(ROW(E$1:E326)*(E2=E$1:E326))))))</f>
        <v/>
      </c>
      <c r="K327" s="24" t="str">
        <f>IF(OR(E327="",E327="!!!",F327="NEW"),"",INDEX(J$1:J326,SUMPRODUCT(MAX(ROW(E$1:E326)*(E327=E$1:E326)))))</f>
        <v/>
      </c>
      <c r="L327" s="29"/>
    </row>
    <row r="328" spans="1:12" x14ac:dyDescent="0.3">
      <c r="A328" t="s">
        <v>223</v>
      </c>
      <c r="E328" s="27"/>
      <c r="F328" s="28" t="str">
        <f>IF(OR(E328="",E328="!!!"),"",IF(NOT(ISNA(VLOOKUP(E328,E$1:E327,1,FALSE()))),"OLD",IF(AND(E328&lt;&gt;"",E328&lt;&gt;"!!!"),"NEW","")))</f>
        <v/>
      </c>
      <c r="G328" s="22" t="str">
        <f>IF(OR(E328="",E328="!!!"),"",IF(OR(J328=0,AND(J328=1,K328=1),AND(J328=1,I328="SBJ"),AND(J328=1,I328=0)),"?IN_FOCUS",IF(J328&lt;=2,"?ACTIVATED",IF(J328&lt;&gt;"","?FAMILIAR",IF(F328="NEW",IF(ISNA(VLOOKUP(E328,#REF!,1,FALSE())),"?TYPE_IDENTIFIABLE","?REFERENTIAL"),"_")))))</f>
        <v/>
      </c>
      <c r="H328" s="23" t="str">
        <f t="shared" ca="1" si="16"/>
        <v/>
      </c>
      <c r="I328" s="24" t="str">
        <f>IF(OR(E328="",E328="!!!",F328="NEW"),"",INDEX(B$2:B327,-1+SUMPRODUCT(MAX(ROW(E$2:E327)*(E328=E$2:E327)))))</f>
        <v/>
      </c>
      <c r="J328" s="24" t="str">
        <f ca="1">IF(OR(E328="",E328="!!!",F328="NEW"),"",COUNTBLANK(OFFSET(A$1,,,SUMPRODUCT(MAX(ROW(E$2:E328)*(E328=E$2:E328)))))-COUNTBLANK(OFFSET(A$1,,,SUMPRODUCT(MAX(ROW(E$1:E327)*(E2=E$1:E327))))))</f>
        <v/>
      </c>
      <c r="K328" s="24" t="str">
        <f>IF(OR(E328="",E328="!!!",F328="NEW"),"",INDEX(J$1:J327,SUMPRODUCT(MAX(ROW(E$1:E327)*(E328=E$1:E327)))))</f>
        <v/>
      </c>
      <c r="L328" s="29"/>
    </row>
    <row r="329" spans="1:12" x14ac:dyDescent="0.3">
      <c r="A329" t="s">
        <v>274</v>
      </c>
      <c r="E329" s="27"/>
      <c r="F329" s="28" t="str">
        <f>IF(OR(E329="",E329="!!!"),"",IF(NOT(ISNA(VLOOKUP(E329,E$1:E328,1,FALSE()))),"OLD",IF(AND(E329&lt;&gt;"",E329&lt;&gt;"!!!"),"NEW","")))</f>
        <v/>
      </c>
      <c r="G329" s="22" t="str">
        <f>IF(OR(E329="",E329="!!!"),"",IF(OR(J329=0,AND(J329=1,K329=1),AND(J329=1,I329="SBJ"),AND(J329=1,I329=0)),"?IN_FOCUS",IF(J329&lt;=2,"?ACTIVATED",IF(J329&lt;&gt;"","?FAMILIAR",IF(F329="NEW",IF(ISNA(VLOOKUP(E329,#REF!,1,FALSE())),"?TYPE_IDENTIFIABLE","?REFERENTIAL"),"_")))))</f>
        <v/>
      </c>
      <c r="H329" s="23" t="str">
        <f t="shared" ca="1" si="16"/>
        <v/>
      </c>
      <c r="I329" s="24" t="str">
        <f>IF(OR(E329="",E329="!!!",F329="NEW"),"",INDEX(B$2:B328,-1+SUMPRODUCT(MAX(ROW(E$2:E328)*(E329=E$2:E328)))))</f>
        <v/>
      </c>
      <c r="J329" s="24" t="str">
        <f ca="1">IF(OR(E329="",E329="!!!",F329="NEW"),"",COUNTBLANK(OFFSET(A$1,,,SUMPRODUCT(MAX(ROW(E$2:E329)*(E329=E$2:E329)))))-COUNTBLANK(OFFSET(A$1,,,SUMPRODUCT(MAX(ROW(E$1:E328)*(E2=E$1:E328))))))</f>
        <v/>
      </c>
      <c r="K329" s="24" t="str">
        <f>IF(OR(E329="",E329="!!!",F329="NEW"),"",INDEX(J$1:J328,SUMPRODUCT(MAX(ROW(E$1:E328)*(E329=E$1:E328)))))</f>
        <v/>
      </c>
      <c r="L329" s="29"/>
    </row>
    <row r="330" spans="1:12" x14ac:dyDescent="0.3">
      <c r="A330" t="s">
        <v>275</v>
      </c>
      <c r="B330" s="26" t="s">
        <v>123</v>
      </c>
      <c r="C330" s="26" t="s">
        <v>128</v>
      </c>
      <c r="E330" s="27"/>
      <c r="F330" s="28" t="str">
        <f>IF(OR(E330="",E330="!!!"),"",IF(NOT(ISNA(VLOOKUP(E330,E$1:E329,1,FALSE()))),"OLD",IF(AND(E330&lt;&gt;"",E330&lt;&gt;"!!!"),"NEW","")))</f>
        <v/>
      </c>
      <c r="G330" s="22" t="str">
        <f>IF(OR(E330="",E330="!!!"),"",IF(OR(J330=0,AND(J330=1,K330=1),AND(J330=1,I330="SBJ"),AND(J330=1,I330=0)),"?IN_FOCUS",IF(J330&lt;=2,"?ACTIVATED",IF(J330&lt;&gt;"","?FAMILIAR",IF(F330="NEW",IF(ISNA(VLOOKUP(E330,#REF!,1,FALSE())),"?TYPE_IDENTIFIABLE","?REFERENTIAL"),"_")))))</f>
        <v/>
      </c>
      <c r="H330" s="23" t="str">
        <f t="shared" ca="1" si="16"/>
        <v/>
      </c>
      <c r="I330" s="24" t="str">
        <f>IF(OR(E330="",E330="!!!",F330="NEW"),"",INDEX(B$2:B329,-1+SUMPRODUCT(MAX(ROW(E$2:E329)*(E330=E$2:E329)))))</f>
        <v/>
      </c>
      <c r="J330" s="24" t="str">
        <f ca="1">IF(OR(E330="",E330="!!!",F330="NEW"),"",COUNTBLANK(OFFSET(A$1,,,SUMPRODUCT(MAX(ROW(E$2:E330)*(E330=E$2:E330)))))-COUNTBLANK(OFFSET(A$1,,,SUMPRODUCT(MAX(ROW(E$1:E329)*(E2=E$1:E329))))))</f>
        <v/>
      </c>
      <c r="K330" s="24" t="str">
        <f>IF(OR(E330="",E330="!!!",F330="NEW"),"",INDEX(J$1:J329,SUMPRODUCT(MAX(ROW(E$1:E329)*(E330=E$1:E329)))))</f>
        <v/>
      </c>
      <c r="L330" s="29"/>
    </row>
    <row r="331" spans="1:12" x14ac:dyDescent="0.3">
      <c r="A331" t="s">
        <v>178</v>
      </c>
      <c r="E331" s="27"/>
      <c r="F331" s="28" t="str">
        <f>IF(OR(E331="",E331="!!!"),"",IF(NOT(ISNA(VLOOKUP(E331,E$1:E330,1,FALSE()))),"OLD",IF(AND(E331&lt;&gt;"",E331&lt;&gt;"!!!"),"NEW","")))</f>
        <v/>
      </c>
      <c r="G331" s="22" t="str">
        <f>IF(OR(E331="",E331="!!!"),"",IF(OR(J331=0,AND(J331=1,K331=1),AND(J331=1,I331="SBJ"),AND(J331=1,I331=0)),"?IN_FOCUS",IF(J331&lt;=2,"?ACTIVATED",IF(J331&lt;&gt;"","?FAMILIAR",IF(F331="NEW",IF(ISNA(VLOOKUP(E331,#REF!,1,FALSE())),"?TYPE_IDENTIFIABLE","?REFERENTIAL"),"_")))))</f>
        <v/>
      </c>
      <c r="H331" s="23" t="str">
        <f t="shared" ca="1" si="16"/>
        <v/>
      </c>
      <c r="I331" s="24" t="str">
        <f>IF(OR(E331="",E331="!!!",F331="NEW"),"",INDEX(B$2:B330,-1+SUMPRODUCT(MAX(ROW(E$2:E330)*(E331=E$2:E330)))))</f>
        <v/>
      </c>
      <c r="J331" s="24" t="str">
        <f ca="1">IF(OR(E331="",E331="!!!",F331="NEW"),"",COUNTBLANK(OFFSET(A$1,,,SUMPRODUCT(MAX(ROW(E$2:E331)*(E331=E$2:E331)))))-COUNTBLANK(OFFSET(A$1,,,SUMPRODUCT(MAX(ROW(E$1:E330)*(E2=E$1:E330))))))</f>
        <v/>
      </c>
      <c r="K331" s="24" t="str">
        <f>IF(OR(E331="",E331="!!!",F331="NEW"),"",INDEX(J$1:J330,SUMPRODUCT(MAX(ROW(E$1:E330)*(E331=E$1:E330)))))</f>
        <v/>
      </c>
      <c r="L331" s="29"/>
    </row>
    <row r="332" spans="1:12" x14ac:dyDescent="0.3">
      <c r="A332" t="s">
        <v>276</v>
      </c>
      <c r="E332" s="27"/>
      <c r="F332" s="28" t="str">
        <f>IF(OR(E332="",E332="!!!"),"",IF(NOT(ISNA(VLOOKUP(E332,E$1:E331,1,FALSE()))),"OLD",IF(AND(E332&lt;&gt;"",E332&lt;&gt;"!!!"),"NEW","")))</f>
        <v/>
      </c>
      <c r="G332" s="22" t="str">
        <f>IF(OR(E332="",E332="!!!"),"",IF(OR(J332=0,AND(J332=1,K332=1),AND(J332=1,I332="SBJ"),AND(J332=1,I332=0)),"?IN_FOCUS",IF(J332&lt;=2,"?ACTIVATED",IF(J332&lt;&gt;"","?FAMILIAR",IF(F332="NEW",IF(ISNA(VLOOKUP(E332,#REF!,1,FALSE())),"?TYPE_IDENTIFIABLE","?REFERENTIAL"),"_")))))</f>
        <v/>
      </c>
      <c r="H332" s="23" t="str">
        <f t="shared" ca="1" si="16"/>
        <v/>
      </c>
      <c r="I332" s="24" t="str">
        <f>IF(OR(E332="",E332="!!!",F332="NEW"),"",INDEX(B$2:B331,-1+SUMPRODUCT(MAX(ROW(E$2:E331)*(E332=E$2:E331)))))</f>
        <v/>
      </c>
      <c r="J332" s="24" t="str">
        <f ca="1">IF(OR(E332="",E332="!!!",F332="NEW"),"",COUNTBLANK(OFFSET(A$1,,,SUMPRODUCT(MAX(ROW(E$2:E332)*(E332=E$2:E332)))))-COUNTBLANK(OFFSET(A$1,,,SUMPRODUCT(MAX(ROW(E$1:E331)*(E2=E$1:E331))))))</f>
        <v/>
      </c>
      <c r="K332" s="24" t="str">
        <f>IF(OR(E332="",E332="!!!",F332="NEW"),"",INDEX(J$1:J331,SUMPRODUCT(MAX(ROW(E$1:E331)*(E332=E$1:E331)))))</f>
        <v/>
      </c>
      <c r="L332" s="29"/>
    </row>
    <row r="333" spans="1:12" x14ac:dyDescent="0.3">
      <c r="A333" t="s">
        <v>277</v>
      </c>
      <c r="E333" s="27"/>
      <c r="F333" s="28" t="str">
        <f>IF(OR(E333="",E333="!!!"),"",IF(NOT(ISNA(VLOOKUP(E333,E$1:E332,1,FALSE()))),"OLD",IF(AND(E333&lt;&gt;"",E333&lt;&gt;"!!!"),"NEW","")))</f>
        <v/>
      </c>
      <c r="G333" s="22" t="str">
        <f>IF(OR(E333="",E333="!!!"),"",IF(OR(J333=0,AND(J333=1,K333=1),AND(J333=1,I333="SBJ"),AND(J333=1,I333=0)),"?IN_FOCUS",IF(J333&lt;=2,"?ACTIVATED",IF(J333&lt;&gt;"","?FAMILIAR",IF(F333="NEW",IF(ISNA(VLOOKUP(E333,#REF!,1,FALSE())),"?TYPE_IDENTIFIABLE","?REFERENTIAL"),"_")))))</f>
        <v/>
      </c>
      <c r="H333" s="23" t="str">
        <f t="shared" ca="1" si="16"/>
        <v/>
      </c>
      <c r="I333" s="24" t="str">
        <f>IF(OR(E333="",E333="!!!",F333="NEW"),"",INDEX(B$2:B332,-1+SUMPRODUCT(MAX(ROW(E$2:E332)*(E333=E$2:E332)))))</f>
        <v/>
      </c>
      <c r="J333" s="24" t="str">
        <f ca="1">IF(OR(E333="",E333="!!!",F333="NEW"),"",COUNTBLANK(OFFSET(A$1,,,SUMPRODUCT(MAX(ROW(E$2:E333)*(E333=E$2:E333)))))-COUNTBLANK(OFFSET(A$1,,,SUMPRODUCT(MAX(ROW(E$1:E332)*(E2=E$1:E332))))))</f>
        <v/>
      </c>
      <c r="K333" s="24" t="str">
        <f>IF(OR(E333="",E333="!!!",F333="NEW"),"",INDEX(J$1:J332,SUMPRODUCT(MAX(ROW(E$1:E332)*(E333=E$1:E332)))))</f>
        <v/>
      </c>
      <c r="L333" s="29"/>
    </row>
    <row r="334" spans="1:12" x14ac:dyDescent="0.3">
      <c r="A334" t="s">
        <v>278</v>
      </c>
      <c r="B334" s="26" t="s">
        <v>123</v>
      </c>
      <c r="C334" s="26" t="s">
        <v>128</v>
      </c>
      <c r="E334" s="27"/>
      <c r="F334" s="28" t="str">
        <f>IF(OR(E334="",E334="!!!"),"",IF(NOT(ISNA(VLOOKUP(E334,E$1:E333,1,FALSE()))),"OLD",IF(AND(E334&lt;&gt;"",E334&lt;&gt;"!!!"),"NEW","")))</f>
        <v/>
      </c>
      <c r="G334" s="22" t="str">
        <f>IF(OR(E334="",E334="!!!"),"",IF(OR(J334=0,AND(J334=1,K334=1),AND(J334=1,I334="SBJ"),AND(J334=1,I334=0)),"?IN_FOCUS",IF(J334&lt;=2,"?ACTIVATED",IF(J334&lt;&gt;"","?FAMILIAR",IF(F334="NEW",IF(ISNA(VLOOKUP(E334,#REF!,1,FALSE())),"?TYPE_IDENTIFIABLE","?REFERENTIAL"),"_")))))</f>
        <v/>
      </c>
      <c r="H334" s="23" t="str">
        <f t="shared" ca="1" si="16"/>
        <v/>
      </c>
      <c r="I334" s="24" t="str">
        <f>IF(OR(E334="",E334="!!!",F334="NEW"),"",INDEX(B$2:B333,-1+SUMPRODUCT(MAX(ROW(E$2:E333)*(E334=E$2:E333)))))</f>
        <v/>
      </c>
      <c r="J334" s="24" t="str">
        <f ca="1">IF(OR(E334="",E334="!!!",F334="NEW"),"",COUNTBLANK(OFFSET(A$1,,,SUMPRODUCT(MAX(ROW(E$2:E334)*(E334=E$2:E334)))))-COUNTBLANK(OFFSET(A$1,,,SUMPRODUCT(MAX(ROW(E$1:E333)*(E2=E$1:E333))))))</f>
        <v/>
      </c>
      <c r="K334" s="24" t="str">
        <f>IF(OR(E334="",E334="!!!",F334="NEW"),"",INDEX(J$1:J333,SUMPRODUCT(MAX(ROW(E$1:E333)*(E334=E$1:E333)))))</f>
        <v/>
      </c>
      <c r="L334" s="29"/>
    </row>
    <row r="335" spans="1:12" x14ac:dyDescent="0.3">
      <c r="A335" t="s">
        <v>129</v>
      </c>
      <c r="E335" s="27"/>
      <c r="F335" s="28" t="str">
        <f>IF(OR(E335="",E335="!!!"),"",IF(NOT(ISNA(VLOOKUP(E335,E$1:E334,1,FALSE()))),"OLD",IF(AND(E335&lt;&gt;"",E335&lt;&gt;"!!!"),"NEW","")))</f>
        <v/>
      </c>
      <c r="G335" s="22" t="str">
        <f>IF(OR(E335="",E335="!!!"),"",IF(OR(J335=0,AND(J335=1,K335=1),AND(J335=1,I335="SBJ"),AND(J335=1,I335=0)),"?IN_FOCUS",IF(J335&lt;=2,"?ACTIVATED",IF(J335&lt;&gt;"","?FAMILIAR",IF(F335="NEW",IF(ISNA(VLOOKUP(E335,#REF!,1,FALSE())),"?TYPE_IDENTIFIABLE","?REFERENTIAL"),"_")))))</f>
        <v/>
      </c>
      <c r="H335" s="23" t="str">
        <f t="shared" ca="1" si="16"/>
        <v/>
      </c>
      <c r="I335" s="24" t="str">
        <f>IF(OR(E335="",E335="!!!",F335="NEW"),"",INDEX(B$2:B334,-1+SUMPRODUCT(MAX(ROW(E$2:E334)*(E335=E$2:E334)))))</f>
        <v/>
      </c>
      <c r="J335" s="24" t="str">
        <f ca="1">IF(OR(E335="",E335="!!!",F335="NEW"),"",COUNTBLANK(OFFSET(A$1,,,SUMPRODUCT(MAX(ROW(E$2:E335)*(E335=E$2:E335)))))-COUNTBLANK(OFFSET(A$1,,,SUMPRODUCT(MAX(ROW(E$1:E334)*(E2=E$1:E334))))))</f>
        <v/>
      </c>
      <c r="K335" s="24" t="str">
        <f>IF(OR(E335="",E335="!!!",F335="NEW"),"",INDEX(J$1:J334,SUMPRODUCT(MAX(ROW(E$1:E334)*(E335=E$1:E334)))))</f>
        <v/>
      </c>
      <c r="L335" s="29"/>
    </row>
    <row r="337" spans="1:12" x14ac:dyDescent="0.3">
      <c r="A337" t="s">
        <v>130</v>
      </c>
      <c r="E337" s="27"/>
      <c r="F337" s="28" t="str">
        <f>IF(OR(E337="",E337="!!!"),"",IF(NOT(ISNA(VLOOKUP(E337,E$1:E336,1,FALSE()))),"OLD",IF(AND(E337&lt;&gt;"",E337&lt;&gt;"!!!"),"NEW","")))</f>
        <v/>
      </c>
      <c r="G337" s="22" t="str">
        <f>IF(OR(E337="",E337="!!!"),"",IF(OR(J337=0,AND(J337=1,K337=1),AND(J337=1,I337="SBJ"),AND(J337=1,I337=0)),"?IN_FOCUS",IF(J337&lt;=2,"?ACTIVATED",IF(J337&lt;&gt;"","?FAMILIAR",IF(F337="NEW",IF(ISNA(VLOOKUP(E337,#REF!,1,FALSE())),"?TYPE_IDENTIFIABLE","?REFERENTIAL"),"_")))))</f>
        <v/>
      </c>
      <c r="H337" s="23" t="str">
        <f ca="1">IF(J337&lt;&gt;1,"",IF(I337="SBJ","CB","?"))</f>
        <v/>
      </c>
      <c r="I337" s="24" t="str">
        <f>IF(OR(E337="",E337="!!!",F337="NEW"),"",INDEX(B$2:B336,-1+SUMPRODUCT(MAX(ROW(E$2:E336)*(E337=E$2:E336)))))</f>
        <v/>
      </c>
      <c r="J337" s="24" t="str">
        <f ca="1">IF(OR(E337="",E337="!!!",F337="NEW"),"",COUNTBLANK(OFFSET(A$1,,,SUMPRODUCT(MAX(ROW(E$2:E337)*(E337=E$2:E337)))))-COUNTBLANK(OFFSET(A$1,,,SUMPRODUCT(MAX(ROW(E$1:E336)*(E2=E$1:E336))))))</f>
        <v/>
      </c>
      <c r="K337" s="24" t="str">
        <f>IF(OR(E337="",E337="!!!",F337="NEW"),"",INDEX(J$1:J336,SUMPRODUCT(MAX(ROW(E$1:E336)*(E337=E$1:E336)))))</f>
        <v/>
      </c>
      <c r="L337" s="29"/>
    </row>
    <row r="338" spans="1:12" x14ac:dyDescent="0.3">
      <c r="A338" t="s">
        <v>279</v>
      </c>
    </row>
    <row r="339" spans="1:12" x14ac:dyDescent="0.3">
      <c r="A339" t="s">
        <v>280</v>
      </c>
      <c r="E339" s="27" t="s">
        <v>326</v>
      </c>
      <c r="F339" s="28" t="str">
        <f>IF(OR(E339="",E339="!!!"),"",IF(NOT(ISNA(VLOOKUP(E339,E$1:E338,1,FALSE()))),"OLD",IF(AND(E339&lt;&gt;"",E339&lt;&gt;"!!!"),"NEW","")))</f>
        <v>OLD</v>
      </c>
      <c r="G339" s="22" t="str">
        <f ca="1">IF(OR(E339="",E339="!!!"),"",IF(OR(J339=0,AND(J339=1,K339=1),AND(J339=1,I339="SBJ"),AND(J339=1,I339=0)),"?IN_FOCUS",IF(J339&lt;=2,"?ACTIVATED",IF(J339&lt;&gt;"","?FAMILIAR",IF(F339="NEW",IF(ISNA(VLOOKUP(E339,#REF!,1,FALSE())),"?TYPE_IDENTIFIABLE","?REFERENTIAL"),"_")))))</f>
        <v>?IN_FOCUS</v>
      </c>
      <c r="H339" s="23" t="str">
        <f t="shared" ref="H339:H364" ca="1" si="17">IF(J339&lt;&gt;1,"",IF(I339="SBJ","CB","?"))</f>
        <v/>
      </c>
      <c r="I339" s="24" t="str">
        <f>IF(OR(E339="",E339="!!!",F339="NEW"),"",INDEX(B$2:B338,-1+SUMPRODUCT(MAX(ROW(E$2:E338)*(E339=E$2:E338)))))</f>
        <v>SBJ</v>
      </c>
      <c r="J339" s="24">
        <f ca="1">IF(OR(E339="",E339="!!!",F339="NEW"),"",COUNTBLANK(OFFSET(A$1,,,SUMPRODUCT(MAX(ROW(E$2:E339)*(E339=E$2:E339)))))-COUNTBLANK(OFFSET(A$1,,,SUMPRODUCT(MAX(ROW(E$1:E338)*(E2=E$1:E338))))))</f>
        <v>0</v>
      </c>
      <c r="K339" s="24">
        <f ca="1">IF(OR(E339="",E339="!!!",F339="NEW"),"",INDEX(J$1:J338,SUMPRODUCT(MAX(ROW(E$1:E338)*(E339=E$1:E338)))))</f>
        <v>0</v>
      </c>
      <c r="L339" s="29"/>
    </row>
    <row r="340" spans="1:12" x14ac:dyDescent="0.3">
      <c r="A340" t="s">
        <v>281</v>
      </c>
      <c r="B340" s="26" t="s">
        <v>193</v>
      </c>
      <c r="C340" s="26" t="s">
        <v>205</v>
      </c>
      <c r="E340" s="27" t="s">
        <v>352</v>
      </c>
      <c r="F340" s="28" t="str">
        <f>IF(OR(E340="",E340="!!!"),"",IF(NOT(ISNA(VLOOKUP(E340,E$1:E339,1,FALSE()))),"OLD",IF(AND(E340&lt;&gt;"",E340&lt;&gt;"!!!"),"NEW","")))</f>
        <v>NEW</v>
      </c>
      <c r="G340" s="22" t="str">
        <f ca="1">IF(OR(E340="",E340="!!!"),"",IF(OR(J340=0,AND(J340=1,K340=1),AND(J340=1,I340="SBJ"),AND(J340=1,I340=0)),"?IN_FOCUS",IF(J340&lt;=2,"?ACTIVATED",IF(J340&lt;&gt;"","?FAMILIAR",IF(F340="NEW",IF(ISNA(VLOOKUP(E340,#REF!,1,FALSE())),"?TYPE_IDENTIFIABLE","?REFERENTIAL"),"_")))))</f>
        <v>?REFERENTIAL</v>
      </c>
      <c r="H340" s="23" t="str">
        <f t="shared" ca="1" si="17"/>
        <v/>
      </c>
      <c r="I340" s="24" t="str">
        <f>IF(OR(E340="",E340="!!!",F340="NEW"),"",INDEX(B$2:B339,-1+SUMPRODUCT(MAX(ROW(E$2:E339)*(E340=E$2:E339)))))</f>
        <v/>
      </c>
      <c r="J340" s="24" t="str">
        <f ca="1">IF(OR(E340="",E340="!!!",F340="NEW"),"",COUNTBLANK(OFFSET(A$1,,,SUMPRODUCT(MAX(ROW(E$2:E340)*(E340=E$2:E340)))))-COUNTBLANK(OFFSET(A$1,,,SUMPRODUCT(MAX(ROW(E$1:E339)*(E2=E$1:E339))))))</f>
        <v/>
      </c>
      <c r="K340" s="24" t="str">
        <f>IF(OR(E340="",E340="!!!",F340="NEW"),"",INDEX(J$1:J339,SUMPRODUCT(MAX(ROW(E$1:E339)*(E340=E$1:E339)))))</f>
        <v/>
      </c>
      <c r="L340" s="29"/>
    </row>
    <row r="341" spans="1:12" x14ac:dyDescent="0.3">
      <c r="A341" t="s">
        <v>178</v>
      </c>
      <c r="E341" s="27"/>
      <c r="F341" s="28" t="str">
        <f>IF(OR(E341="",E341="!!!"),"",IF(NOT(ISNA(VLOOKUP(E341,E$1:E340,1,FALSE()))),"OLD",IF(AND(E341&lt;&gt;"",E341&lt;&gt;"!!!"),"NEW","")))</f>
        <v/>
      </c>
      <c r="G341" s="22" t="str">
        <f>IF(OR(E341="",E341="!!!"),"",IF(OR(J341=0,AND(J341=1,K341=1),AND(J341=1,I341="SBJ"),AND(J341=1,I341=0)),"?IN_FOCUS",IF(J341&lt;=2,"?ACTIVATED",IF(J341&lt;&gt;"","?FAMILIAR",IF(F341="NEW",IF(ISNA(VLOOKUP(E341,#REF!,1,FALSE())),"?TYPE_IDENTIFIABLE","?REFERENTIAL"),"_")))))</f>
        <v/>
      </c>
      <c r="H341" s="23" t="str">
        <f t="shared" ca="1" si="17"/>
        <v/>
      </c>
      <c r="I341" s="24" t="str">
        <f>IF(OR(E341="",E341="!!!",F341="NEW"),"",INDEX(B$2:B340,-1+SUMPRODUCT(MAX(ROW(E$2:E340)*(E341=E$2:E340)))))</f>
        <v/>
      </c>
      <c r="J341" s="24" t="str">
        <f ca="1">IF(OR(E341="",E341="!!!",F341="NEW"),"",COUNTBLANK(OFFSET(A$1,,,SUMPRODUCT(MAX(ROW(E$2:E341)*(E341=E$2:E341)))))-COUNTBLANK(OFFSET(A$1,,,SUMPRODUCT(MAX(ROW(E$1:E340)*(E2=E$1:E340))))))</f>
        <v/>
      </c>
      <c r="K341" s="24" t="str">
        <f>IF(OR(E341="",E341="!!!",F341="NEW"),"",INDEX(J$1:J340,SUMPRODUCT(MAX(ROW(E$1:E340)*(E341=E$1:E340)))))</f>
        <v/>
      </c>
      <c r="L341" s="29"/>
    </row>
    <row r="342" spans="1:12" x14ac:dyDescent="0.3">
      <c r="A342" t="s">
        <v>282</v>
      </c>
      <c r="E342" s="27" t="s">
        <v>326</v>
      </c>
      <c r="F342" s="28" t="str">
        <f>IF(OR(E342="",E342="!!!"),"",IF(NOT(ISNA(VLOOKUP(E342,E$1:E341,1,FALSE()))),"OLD",IF(AND(E342&lt;&gt;"",E342&lt;&gt;"!!!"),"NEW","")))</f>
        <v>OLD</v>
      </c>
      <c r="G342" s="22" t="str">
        <f ca="1">IF(OR(E342="",E342="!!!"),"",IF(OR(J342=0,AND(J342=1,K342=1),AND(J342=1,I342="SBJ"),AND(J342=1,I342=0)),"?IN_FOCUS",IF(J342&lt;=2,"?ACTIVATED",IF(J342&lt;&gt;"","?FAMILIAR",IF(F342="NEW",IF(ISNA(VLOOKUP(E342,#REF!,1,FALSE())),"?TYPE_IDENTIFIABLE","?REFERENTIAL"),"_")))))</f>
        <v>?IN_FOCUS</v>
      </c>
      <c r="H342" s="23" t="str">
        <f t="shared" ca="1" si="17"/>
        <v/>
      </c>
      <c r="I342" s="24">
        <f>IF(OR(E342="",E342="!!!",F342="NEW"),"",INDEX(B$2:B341,-1+SUMPRODUCT(MAX(ROW(E$2:E341)*(E342=E$2:E341)))))</f>
        <v>0</v>
      </c>
      <c r="J342" s="24">
        <f ca="1">IF(OR(E342="",E342="!!!",F342="NEW"),"",COUNTBLANK(OFFSET(A$1,,,SUMPRODUCT(MAX(ROW(E$2:E342)*(E342=E$2:E342)))))-COUNTBLANK(OFFSET(A$1,,,SUMPRODUCT(MAX(ROW(E$1:E341)*(E2=E$1:E341))))))</f>
        <v>0</v>
      </c>
      <c r="K342" s="24">
        <f ca="1">IF(OR(E342="",E342="!!!",F342="NEW"),"",INDEX(J$1:J341,SUMPRODUCT(MAX(ROW(E$1:E341)*(E342=E$1:E341)))))</f>
        <v>0</v>
      </c>
      <c r="L342" s="29"/>
    </row>
    <row r="343" spans="1:12" x14ac:dyDescent="0.3">
      <c r="A343" t="s">
        <v>230</v>
      </c>
      <c r="B343" s="26" t="s">
        <v>101</v>
      </c>
      <c r="C343" s="26" t="s">
        <v>205</v>
      </c>
      <c r="E343" s="27" t="s">
        <v>350</v>
      </c>
      <c r="F343" s="28" t="str">
        <f>IF(OR(E343="",E343="!!!"),"",IF(NOT(ISNA(VLOOKUP(E343,E$1:E342,1,FALSE()))),"OLD",IF(AND(E343&lt;&gt;"",E343&lt;&gt;"!!!"),"NEW","")))</f>
        <v>OLD</v>
      </c>
      <c r="G343" s="22" t="str">
        <f ca="1">IF(OR(E343="",E343="!!!"),"",IF(OR(J343=0,AND(J343=1,K343=1),AND(J343=1,I343="SBJ"),AND(J343=1,I343=0)),"?IN_FOCUS",IF(J343&lt;=2,"?ACTIVATED",IF(J343&lt;&gt;"","?FAMILIAR",IF(F343="NEW",IF(ISNA(VLOOKUP(E343,#REF!,1,FALSE())),"?TYPE_IDENTIFIABLE","?REFERENTIAL"),"_")))))</f>
        <v>?IN_FOCUS</v>
      </c>
      <c r="H343" s="23" t="str">
        <f t="shared" ca="1" si="17"/>
        <v/>
      </c>
      <c r="I343" s="24" t="str">
        <f>IF(OR(E343="",E343="!!!",F343="NEW"),"",INDEX(B$2:B342,-1+SUMPRODUCT(MAX(ROW(E$2:E342)*(E343=E$2:E342)))))</f>
        <v>other</v>
      </c>
      <c r="J343" s="24">
        <f ca="1">IF(OR(E343="",E343="!!!",F343="NEW"),"",COUNTBLANK(OFFSET(A$1,,,SUMPRODUCT(MAX(ROW(E$2:E343)*(E343=E$2:E343)))))-COUNTBLANK(OFFSET(A$1,,,SUMPRODUCT(MAX(ROW(E$1:E342)*(E2=E$1:E342))))))</f>
        <v>0</v>
      </c>
      <c r="K343" s="24" t="str">
        <f ca="1">IF(OR(E343="",E343="!!!",F343="NEW"),"",INDEX(J$1:J342,SUMPRODUCT(MAX(ROW(E$1:E342)*(E343=E$1:E342)))))</f>
        <v/>
      </c>
      <c r="L343" s="29"/>
    </row>
    <row r="344" spans="1:12" x14ac:dyDescent="0.3">
      <c r="A344" t="s">
        <v>283</v>
      </c>
      <c r="E344" s="27"/>
      <c r="F344" s="28" t="str">
        <f>IF(OR(E344="",E344="!!!"),"",IF(NOT(ISNA(VLOOKUP(E344,E$1:E343,1,FALSE()))),"OLD",IF(AND(E344&lt;&gt;"",E344&lt;&gt;"!!!"),"NEW","")))</f>
        <v/>
      </c>
      <c r="G344" s="22" t="str">
        <f>IF(OR(E344="",E344="!!!"),"",IF(OR(J344=0,AND(J344=1,K344=1),AND(J344=1,I344="SBJ"),AND(J344=1,I344=0)),"?IN_FOCUS",IF(J344&lt;=2,"?ACTIVATED",IF(J344&lt;&gt;"","?FAMILIAR",IF(F344="NEW",IF(ISNA(VLOOKUP(E344,#REF!,1,FALSE())),"?TYPE_IDENTIFIABLE","?REFERENTIAL"),"_")))))</f>
        <v/>
      </c>
      <c r="H344" s="23" t="str">
        <f t="shared" ca="1" si="17"/>
        <v/>
      </c>
      <c r="I344" s="24" t="str">
        <f>IF(OR(E344="",E344="!!!",F344="NEW"),"",INDEX(B$2:B343,-1+SUMPRODUCT(MAX(ROW(E$2:E343)*(E344=E$2:E343)))))</f>
        <v/>
      </c>
      <c r="J344" s="24" t="str">
        <f ca="1">IF(OR(E344="",E344="!!!",F344="NEW"),"",COUNTBLANK(OFFSET(A$1,,,SUMPRODUCT(MAX(ROW(E$2:E344)*(E344=E$2:E344)))))-COUNTBLANK(OFFSET(A$1,,,SUMPRODUCT(MAX(ROW(E$1:E343)*(E2=E$1:E343))))))</f>
        <v/>
      </c>
      <c r="K344" s="24" t="str">
        <f>IF(OR(E344="",E344="!!!",F344="NEW"),"",INDEX(J$1:J343,SUMPRODUCT(MAX(ROW(E$1:E343)*(E344=E$1:E343)))))</f>
        <v/>
      </c>
      <c r="L344" s="29"/>
    </row>
    <row r="345" spans="1:12" x14ac:dyDescent="0.3">
      <c r="A345" t="s">
        <v>284</v>
      </c>
      <c r="E345" s="27"/>
      <c r="F345" s="28" t="str">
        <f>IF(OR(E345="",E345="!!!"),"",IF(NOT(ISNA(VLOOKUP(E345,E$1:E344,1,FALSE()))),"OLD",IF(AND(E345&lt;&gt;"",E345&lt;&gt;"!!!"),"NEW","")))</f>
        <v/>
      </c>
      <c r="G345" s="22" t="str">
        <f>IF(OR(E345="",E345="!!!"),"",IF(OR(J345=0,AND(J345=1,K345=1),AND(J345=1,I345="SBJ"),AND(J345=1,I345=0)),"?IN_FOCUS",IF(J345&lt;=2,"?ACTIVATED",IF(J345&lt;&gt;"","?FAMILIAR",IF(F345="NEW",IF(ISNA(VLOOKUP(E345,#REF!,1,FALSE())),"?TYPE_IDENTIFIABLE","?REFERENTIAL"),"_")))))</f>
        <v/>
      </c>
      <c r="H345" s="23" t="str">
        <f t="shared" ca="1" si="17"/>
        <v/>
      </c>
      <c r="I345" s="24" t="str">
        <f>IF(OR(E345="",E345="!!!",F345="NEW"),"",INDEX(B$2:B344,-1+SUMPRODUCT(MAX(ROW(E$2:E344)*(E345=E$2:E344)))))</f>
        <v/>
      </c>
      <c r="J345" s="24" t="str">
        <f ca="1">IF(OR(E345="",E345="!!!",F345="NEW"),"",COUNTBLANK(OFFSET(A$1,,,SUMPRODUCT(MAX(ROW(E$2:E345)*(E345=E$2:E345)))))-COUNTBLANK(OFFSET(A$1,,,SUMPRODUCT(MAX(ROW(E$1:E344)*(E2=E$1:E344))))))</f>
        <v/>
      </c>
      <c r="K345" s="24" t="str">
        <f>IF(OR(E345="",E345="!!!",F345="NEW"),"",INDEX(J$1:J344,SUMPRODUCT(MAX(ROW(E$1:E344)*(E345=E$1:E344)))))</f>
        <v/>
      </c>
      <c r="L345" s="29"/>
    </row>
    <row r="346" spans="1:12" x14ac:dyDescent="0.3">
      <c r="A346" t="s">
        <v>273</v>
      </c>
      <c r="E346" s="27"/>
      <c r="F346" s="28" t="str">
        <f>IF(OR(E346="",E346="!!!"),"",IF(NOT(ISNA(VLOOKUP(E346,E$1:E345,1,FALSE()))),"OLD",IF(AND(E346&lt;&gt;"",E346&lt;&gt;"!!!"),"NEW","")))</f>
        <v/>
      </c>
      <c r="G346" s="22" t="str">
        <f>IF(OR(E346="",E346="!!!"),"",IF(OR(J346=0,AND(J346=1,K346=1),AND(J346=1,I346="SBJ"),AND(J346=1,I346=0)),"?IN_FOCUS",IF(J346&lt;=2,"?ACTIVATED",IF(J346&lt;&gt;"","?FAMILIAR",IF(F346="NEW",IF(ISNA(VLOOKUP(E346,#REF!,1,FALSE())),"?TYPE_IDENTIFIABLE","?REFERENTIAL"),"_")))))</f>
        <v/>
      </c>
      <c r="H346" s="23" t="str">
        <f t="shared" ca="1" si="17"/>
        <v/>
      </c>
      <c r="I346" s="24" t="str">
        <f>IF(OR(E346="",E346="!!!",F346="NEW"),"",INDEX(B$2:B345,-1+SUMPRODUCT(MAX(ROW(E$2:E345)*(E346=E$2:E345)))))</f>
        <v/>
      </c>
      <c r="J346" s="24" t="str">
        <f ca="1">IF(OR(E346="",E346="!!!",F346="NEW"),"",COUNTBLANK(OFFSET(A$1,,,SUMPRODUCT(MAX(ROW(E$2:E346)*(E346=E$2:E346)))))-COUNTBLANK(OFFSET(A$1,,,SUMPRODUCT(MAX(ROW(E$1:E345)*(E2=E$1:E345))))))</f>
        <v/>
      </c>
      <c r="K346" s="24" t="str">
        <f>IF(OR(E346="",E346="!!!",F346="NEW"),"",INDEX(J$1:J345,SUMPRODUCT(MAX(ROW(E$1:E345)*(E346=E$1:E345)))))</f>
        <v/>
      </c>
      <c r="L346" s="29"/>
    </row>
    <row r="347" spans="1:12" x14ac:dyDescent="0.3">
      <c r="A347" t="s">
        <v>155</v>
      </c>
      <c r="B347" s="26" t="s">
        <v>96</v>
      </c>
      <c r="C347" s="26" t="s">
        <v>141</v>
      </c>
      <c r="D347" s="26" t="s">
        <v>98</v>
      </c>
      <c r="E347" s="27"/>
      <c r="F347" s="28" t="s">
        <v>330</v>
      </c>
      <c r="G347" s="22" t="str">
        <f>IF(OR(E347="",E347="!!!"),"",IF(OR(J347=0,AND(J347=1,K347=1),AND(J347=1,I347="SBJ"),AND(J347=1,I347=0)),"?IN_FOCUS",IF(J347&lt;=2,"?ACTIVATED",IF(J347&lt;&gt;"","?FAMILIAR",IF(F347="NEW",IF(ISNA(VLOOKUP(E347,#REF!,1,FALSE())),"?TYPE_IDENTIFIABLE","?REFERENTIAL"),"_")))))</f>
        <v/>
      </c>
      <c r="H347" s="23" t="str">
        <f t="shared" ca="1" si="17"/>
        <v/>
      </c>
      <c r="I347" s="24" t="str">
        <f>IF(OR(E347="",E347="!!!",F347="NEW"),"",INDEX(B$2:B346,-1+SUMPRODUCT(MAX(ROW(E$2:E346)*(E347=E$2:E346)))))</f>
        <v/>
      </c>
      <c r="J347" s="24" t="str">
        <f ca="1">IF(OR(E347="",E347="!!!",F347="NEW"),"",COUNTBLANK(OFFSET(A$1,,,SUMPRODUCT(MAX(ROW(E$2:E347)*(E347=E$2:E347)))))-COUNTBLANK(OFFSET(A$1,,,SUMPRODUCT(MAX(ROW(E$1:E346)*(E2=E$1:E346))))))</f>
        <v/>
      </c>
      <c r="K347" s="24" t="str">
        <f>IF(OR(E347="",E347="!!!",F347="NEW"),"",INDEX(J$1:J346,SUMPRODUCT(MAX(ROW(E$1:E346)*(E347=E$1:E346)))))</f>
        <v/>
      </c>
      <c r="L347" s="29" t="s">
        <v>364</v>
      </c>
    </row>
    <row r="348" spans="1:12" x14ac:dyDescent="0.3">
      <c r="A348" t="s">
        <v>108</v>
      </c>
      <c r="E348" s="27"/>
      <c r="F348" s="28" t="str">
        <f>IF(OR(E348="",E348="!!!"),"",IF(NOT(ISNA(VLOOKUP(E348,E$1:E347,1,FALSE()))),"OLD",IF(AND(E348&lt;&gt;"",E348&lt;&gt;"!!!"),"NEW","")))</f>
        <v/>
      </c>
      <c r="G348" s="22" t="str">
        <f>IF(OR(E348="",E348="!!!"),"",IF(OR(J348=0,AND(J348=1,K348=1),AND(J348=1,I348="SBJ"),AND(J348=1,I348=0)),"?IN_FOCUS",IF(J348&lt;=2,"?ACTIVATED",IF(J348&lt;&gt;"","?FAMILIAR",IF(F348="NEW",IF(ISNA(VLOOKUP(E348,#REF!,1,FALSE())),"?TYPE_IDENTIFIABLE","?REFERENTIAL"),"_")))))</f>
        <v/>
      </c>
      <c r="H348" s="23" t="str">
        <f t="shared" ca="1" si="17"/>
        <v/>
      </c>
      <c r="I348" s="24" t="str">
        <f>IF(OR(E348="",E348="!!!",F348="NEW"),"",INDEX(B$2:B347,-1+SUMPRODUCT(MAX(ROW(E$2:E347)*(E348=E$2:E347)))))</f>
        <v/>
      </c>
      <c r="J348" s="24" t="str">
        <f ca="1">IF(OR(E348="",E348="!!!",F348="NEW"),"",COUNTBLANK(OFFSET(A$1,,,SUMPRODUCT(MAX(ROW(E$2:E348)*(E348=E$2:E348)))))-COUNTBLANK(OFFSET(A$1,,,SUMPRODUCT(MAX(ROW(E$1:E347)*(E2=E$1:E347))))))</f>
        <v/>
      </c>
      <c r="K348" s="24" t="str">
        <f>IF(OR(E348="",E348="!!!",F348="NEW"),"",INDEX(J$1:J347,SUMPRODUCT(MAX(ROW(E$1:E347)*(E348=E$1:E347)))))</f>
        <v/>
      </c>
      <c r="L348" s="29"/>
    </row>
    <row r="349" spans="1:12" x14ac:dyDescent="0.3">
      <c r="A349" t="s">
        <v>285</v>
      </c>
      <c r="B349" s="26" t="s">
        <v>143</v>
      </c>
      <c r="C349" s="26" t="s">
        <v>111</v>
      </c>
      <c r="D349" s="26" t="s">
        <v>98</v>
      </c>
      <c r="E349" s="27" t="s">
        <v>350</v>
      </c>
      <c r="F349" s="28" t="str">
        <f>IF(OR(E349="",E349="!!!"),"",IF(NOT(ISNA(VLOOKUP(E349,E$1:E348,1,FALSE()))),"OLD",IF(AND(E349&lt;&gt;"",E349&lt;&gt;"!!!"),"NEW","")))</f>
        <v>OLD</v>
      </c>
      <c r="G349" s="22" t="str">
        <f ca="1">IF(OR(E349="",E349="!!!"),"",IF(OR(J349=0,AND(J349=1,K349=1),AND(J349=1,I349="SBJ"),AND(J349=1,I349=0)),"?IN_FOCUS",IF(J349&lt;=2,"?ACTIVATED",IF(J349&lt;&gt;"","?FAMILIAR",IF(F349="NEW",IF(ISNA(VLOOKUP(E349,#REF!,1,FALSE())),"?TYPE_IDENTIFIABLE","?REFERENTIAL"),"_")))))</f>
        <v>?IN_FOCUS</v>
      </c>
      <c r="H349" s="23" t="str">
        <f t="shared" ca="1" si="17"/>
        <v/>
      </c>
      <c r="I349" s="24" t="str">
        <f>IF(OR(E349="",E349="!!!",F349="NEW"),"",INDEX(B$2:B348,-1+SUMPRODUCT(MAX(ROW(E$2:E348)*(E349=E$2:E348)))))</f>
        <v>other_2</v>
      </c>
      <c r="J349" s="24">
        <f ca="1">IF(OR(E349="",E349="!!!",F349="NEW"),"",COUNTBLANK(OFFSET(A$1,,,SUMPRODUCT(MAX(ROW(E$2:E349)*(E349=E$2:E349)))))-COUNTBLANK(OFFSET(A$1,,,SUMPRODUCT(MAX(ROW(E$1:E348)*(E2=E$1:E348))))))</f>
        <v>0</v>
      </c>
      <c r="K349" s="24">
        <f ca="1">IF(OR(E349="",E349="!!!",F349="NEW"),"",INDEX(J$1:J348,SUMPRODUCT(MAX(ROW(E$1:E348)*(E349=E$1:E348)))))</f>
        <v>0</v>
      </c>
      <c r="L349" s="29"/>
    </row>
    <row r="350" spans="1:12" x14ac:dyDescent="0.3">
      <c r="A350" t="s">
        <v>286</v>
      </c>
      <c r="E350" s="27"/>
      <c r="F350" s="28" t="str">
        <f>IF(OR(E350="",E350="!!!"),"",IF(NOT(ISNA(VLOOKUP(E350,E$1:E349,1,FALSE()))),"OLD",IF(AND(E350&lt;&gt;"",E350&lt;&gt;"!!!"),"NEW","")))</f>
        <v/>
      </c>
      <c r="G350" s="22" t="str">
        <f>IF(OR(E350="",E350="!!!"),"",IF(OR(J350=0,AND(J350=1,K350=1),AND(J350=1,I350="SBJ"),AND(J350=1,I350=0)),"?IN_FOCUS",IF(J350&lt;=2,"?ACTIVATED",IF(J350&lt;&gt;"","?FAMILIAR",IF(F350="NEW",IF(ISNA(VLOOKUP(E350,#REF!,1,FALSE())),"?TYPE_IDENTIFIABLE","?REFERENTIAL"),"_")))))</f>
        <v/>
      </c>
      <c r="H350" s="23" t="str">
        <f t="shared" ca="1" si="17"/>
        <v/>
      </c>
      <c r="I350" s="24" t="str">
        <f>IF(OR(E350="",E350="!!!",F350="NEW"),"",INDEX(B$2:B349,-1+SUMPRODUCT(MAX(ROW(E$2:E349)*(E350=E$2:E349)))))</f>
        <v/>
      </c>
      <c r="J350" s="24" t="str">
        <f ca="1">IF(OR(E350="",E350="!!!",F350="NEW"),"",COUNTBLANK(OFFSET(A$1,,,SUMPRODUCT(MAX(ROW(E$2:E350)*(E350=E$2:E350)))))-COUNTBLANK(OFFSET(A$1,,,SUMPRODUCT(MAX(ROW(E$1:E349)*(E2=E$1:E349))))))</f>
        <v/>
      </c>
      <c r="K350" s="24" t="str">
        <f>IF(OR(E350="",E350="!!!",F350="NEW"),"",INDEX(J$1:J349,SUMPRODUCT(MAX(ROW(E$1:E349)*(E350=E$1:E349)))))</f>
        <v/>
      </c>
      <c r="L350" s="29"/>
    </row>
    <row r="351" spans="1:12" x14ac:dyDescent="0.3">
      <c r="A351" t="s">
        <v>287</v>
      </c>
      <c r="B351" s="26" t="s">
        <v>143</v>
      </c>
      <c r="C351" s="26" t="s">
        <v>145</v>
      </c>
      <c r="E351" s="27"/>
      <c r="F351" s="28" t="str">
        <f>IF(OR(E351="",E351="!!!"),"",IF(NOT(ISNA(VLOOKUP(E351,E$1:E350,1,FALSE()))),"OLD",IF(AND(E351&lt;&gt;"",E351&lt;&gt;"!!!"),"NEW","")))</f>
        <v/>
      </c>
      <c r="G351" s="22" t="str">
        <f>IF(OR(E351="",E351="!!!"),"",IF(OR(J351=0,AND(J351=1,K351=1),AND(J351=1,I351="SBJ"),AND(J351=1,I351=0)),"?IN_FOCUS",IF(J351&lt;=2,"?ACTIVATED",IF(J351&lt;&gt;"","?FAMILIAR",IF(F351="NEW",IF(ISNA(VLOOKUP(E351,#REF!,1,FALSE())),"?TYPE_IDENTIFIABLE","?REFERENTIAL"),"_")))))</f>
        <v/>
      </c>
      <c r="H351" s="23" t="str">
        <f t="shared" ca="1" si="17"/>
        <v/>
      </c>
      <c r="I351" s="24" t="str">
        <f>IF(OR(E351="",E351="!!!",F351="NEW"),"",INDEX(B$2:B350,-1+SUMPRODUCT(MAX(ROW(E$2:E350)*(E351=E$2:E350)))))</f>
        <v/>
      </c>
      <c r="J351" s="24" t="str">
        <f ca="1">IF(OR(E351="",E351="!!!",F351="NEW"),"",COUNTBLANK(OFFSET(A$1,,,SUMPRODUCT(MAX(ROW(E$2:E351)*(E351=E$2:E351)))))-COUNTBLANK(OFFSET(A$1,,,SUMPRODUCT(MAX(ROW(E$1:E350)*(E2=E$1:E350))))))</f>
        <v/>
      </c>
      <c r="K351" s="24" t="str">
        <f>IF(OR(E351="",E351="!!!",F351="NEW"),"",INDEX(J$1:J350,SUMPRODUCT(MAX(ROW(E$1:E350)*(E351=E$1:E350)))))</f>
        <v/>
      </c>
      <c r="L351" s="29"/>
    </row>
    <row r="352" spans="1:12" x14ac:dyDescent="0.3">
      <c r="A352" t="s">
        <v>283</v>
      </c>
      <c r="E352" s="27"/>
      <c r="F352" s="28" t="str">
        <f>IF(OR(E352="",E352="!!!"),"",IF(NOT(ISNA(VLOOKUP(E352,E$1:E351,1,FALSE()))),"OLD",IF(AND(E352&lt;&gt;"",E352&lt;&gt;"!!!"),"NEW","")))</f>
        <v/>
      </c>
      <c r="G352" s="22" t="str">
        <f>IF(OR(E352="",E352="!!!"),"",IF(OR(J352=0,AND(J352=1,K352=1),AND(J352=1,I352="SBJ"),AND(J352=1,I352=0)),"?IN_FOCUS",IF(J352&lt;=2,"?ACTIVATED",IF(J352&lt;&gt;"","?FAMILIAR",IF(F352="NEW",IF(ISNA(VLOOKUP(E352,#REF!,1,FALSE())),"?TYPE_IDENTIFIABLE","?REFERENTIAL"),"_")))))</f>
        <v/>
      </c>
      <c r="H352" s="23" t="str">
        <f t="shared" ca="1" si="17"/>
        <v/>
      </c>
      <c r="I352" s="24" t="str">
        <f>IF(OR(E352="",E352="!!!",F352="NEW"),"",INDEX(B$2:B351,-1+SUMPRODUCT(MAX(ROW(E$2:E351)*(E352=E$2:E351)))))</f>
        <v/>
      </c>
      <c r="J352" s="24" t="str">
        <f ca="1">IF(OR(E352="",E352="!!!",F352="NEW"),"",COUNTBLANK(OFFSET(A$1,,,SUMPRODUCT(MAX(ROW(E$2:E352)*(E352=E$2:E352)))))-COUNTBLANK(OFFSET(A$1,,,SUMPRODUCT(MAX(ROW(E$1:E351)*(E2=E$1:E351))))))</f>
        <v/>
      </c>
      <c r="K352" s="24" t="str">
        <f>IF(OR(E352="",E352="!!!",F352="NEW"),"",INDEX(J$1:J351,SUMPRODUCT(MAX(ROW(E$1:E351)*(E352=E$1:E351)))))</f>
        <v/>
      </c>
      <c r="L352" s="29"/>
    </row>
    <row r="353" spans="1:12" x14ac:dyDescent="0.3">
      <c r="A353" t="s">
        <v>288</v>
      </c>
      <c r="E353" s="27"/>
      <c r="F353" s="28" t="str">
        <f>IF(OR(E353="",E353="!!!"),"",IF(NOT(ISNA(VLOOKUP(E353,E$1:E352,1,FALSE()))),"OLD",IF(AND(E353&lt;&gt;"",E353&lt;&gt;"!!!"),"NEW","")))</f>
        <v/>
      </c>
      <c r="G353" s="22" t="str">
        <f>IF(OR(E353="",E353="!!!"),"",IF(OR(J353=0,AND(J353=1,K353=1),AND(J353=1,I353="SBJ"),AND(J353=1,I353=0)),"?IN_FOCUS",IF(J353&lt;=2,"?ACTIVATED",IF(J353&lt;&gt;"","?FAMILIAR",IF(F353="NEW",IF(ISNA(VLOOKUP(E353,#REF!,1,FALSE())),"?TYPE_IDENTIFIABLE","?REFERENTIAL"),"_")))))</f>
        <v/>
      </c>
      <c r="H353" s="23" t="str">
        <f t="shared" ca="1" si="17"/>
        <v/>
      </c>
      <c r="I353" s="24" t="str">
        <f>IF(OR(E353="",E353="!!!",F353="NEW"),"",INDEX(B$2:B352,-1+SUMPRODUCT(MAX(ROW(E$2:E352)*(E353=E$2:E352)))))</f>
        <v/>
      </c>
      <c r="J353" s="24" t="str">
        <f ca="1">IF(OR(E353="",E353="!!!",F353="NEW"),"",COUNTBLANK(OFFSET(A$1,,,SUMPRODUCT(MAX(ROW(E$2:E353)*(E353=E$2:E353)))))-COUNTBLANK(OFFSET(A$1,,,SUMPRODUCT(MAX(ROW(E$1:E352)*(E2=E$1:E352))))))</f>
        <v/>
      </c>
      <c r="K353" s="24" t="str">
        <f>IF(OR(E353="",E353="!!!",F353="NEW"),"",INDEX(J$1:J352,SUMPRODUCT(MAX(ROW(E$1:E352)*(E353=E$1:E352)))))</f>
        <v/>
      </c>
      <c r="L353" s="29"/>
    </row>
    <row r="354" spans="1:12" x14ac:dyDescent="0.3">
      <c r="A354" t="s">
        <v>108</v>
      </c>
      <c r="E354" s="27"/>
      <c r="F354" s="28" t="str">
        <f>IF(OR(E354="",E354="!!!"),"",IF(NOT(ISNA(VLOOKUP(E354,E$1:E353,1,FALSE()))),"OLD",IF(AND(E354&lt;&gt;"",E354&lt;&gt;"!!!"),"NEW","")))</f>
        <v/>
      </c>
      <c r="G354" s="22" t="str">
        <f>IF(OR(E354="",E354="!!!"),"",IF(OR(J354=0,AND(J354=1,K354=1),AND(J354=1,I354="SBJ"),AND(J354=1,I354=0)),"?IN_FOCUS",IF(J354&lt;=2,"?ACTIVATED",IF(J354&lt;&gt;"","?FAMILIAR",IF(F354="NEW",IF(ISNA(VLOOKUP(E354,#REF!,1,FALSE())),"?TYPE_IDENTIFIABLE","?REFERENTIAL"),"_")))))</f>
        <v/>
      </c>
      <c r="H354" s="23" t="str">
        <f t="shared" ca="1" si="17"/>
        <v/>
      </c>
      <c r="I354" s="24" t="str">
        <f>IF(OR(E354="",E354="!!!",F354="NEW"),"",INDEX(B$2:B353,-1+SUMPRODUCT(MAX(ROW(E$2:E353)*(E354=E$2:E353)))))</f>
        <v/>
      </c>
      <c r="J354" s="24" t="str">
        <f ca="1">IF(OR(E354="",E354="!!!",F354="NEW"),"",COUNTBLANK(OFFSET(A$1,,,SUMPRODUCT(MAX(ROW(E$2:E354)*(E354=E$2:E354)))))-COUNTBLANK(OFFSET(A$1,,,SUMPRODUCT(MAX(ROW(E$1:E353)*(E2=E$1:E353))))))</f>
        <v/>
      </c>
      <c r="K354" s="24" t="str">
        <f>IF(OR(E354="",E354="!!!",F354="NEW"),"",INDEX(J$1:J353,SUMPRODUCT(MAX(ROW(E$1:E353)*(E354=E$1:E353)))))</f>
        <v/>
      </c>
      <c r="L354" s="29"/>
    </row>
    <row r="355" spans="1:12" x14ac:dyDescent="0.3">
      <c r="A355" t="s">
        <v>285</v>
      </c>
      <c r="B355" s="26" t="s">
        <v>143</v>
      </c>
      <c r="C355" s="26" t="s">
        <v>111</v>
      </c>
      <c r="D355" s="26" t="s">
        <v>98</v>
      </c>
      <c r="E355" s="27" t="s">
        <v>350</v>
      </c>
      <c r="F355" s="28" t="str">
        <f>IF(OR(E355="",E355="!!!"),"",IF(NOT(ISNA(VLOOKUP(E355,E$1:E354,1,FALSE()))),"OLD",IF(AND(E355&lt;&gt;"",E355&lt;&gt;"!!!"),"NEW","")))</f>
        <v>OLD</v>
      </c>
      <c r="G355" s="22" t="str">
        <f ca="1">IF(OR(E355="",E355="!!!"),"",IF(OR(J355=0,AND(J355=1,K355=1),AND(J355=1,I355="SBJ"),AND(J355=1,I355=0)),"?IN_FOCUS",IF(J355&lt;=2,"?ACTIVATED",IF(J355&lt;&gt;"","?FAMILIAR",IF(F355="NEW",IF(ISNA(VLOOKUP(E355,#REF!,1,FALSE())),"?TYPE_IDENTIFIABLE","?REFERENTIAL"),"_")))))</f>
        <v>?IN_FOCUS</v>
      </c>
      <c r="H355" s="23" t="str">
        <f t="shared" ca="1" si="17"/>
        <v/>
      </c>
      <c r="I355" s="24" t="str">
        <f>IF(OR(E355="",E355="!!!",F355="NEW"),"",INDEX(B$2:B354,-1+SUMPRODUCT(MAX(ROW(E$2:E354)*(E355=E$2:E354)))))</f>
        <v>OBJ_2</v>
      </c>
      <c r="J355" s="24">
        <f ca="1">IF(OR(E355="",E355="!!!",F355="NEW"),"",COUNTBLANK(OFFSET(A$1,,,SUMPRODUCT(MAX(ROW(E$2:E355)*(E355=E$2:E355)))))-COUNTBLANK(OFFSET(A$1,,,SUMPRODUCT(MAX(ROW(E$1:E354)*(E2=E$1:E354))))))</f>
        <v>0</v>
      </c>
      <c r="K355" s="24">
        <f ca="1">IF(OR(E355="",E355="!!!",F355="NEW"),"",INDEX(J$1:J354,SUMPRODUCT(MAX(ROW(E$1:E354)*(E355=E$1:E354)))))</f>
        <v>0</v>
      </c>
      <c r="L355" s="29"/>
    </row>
    <row r="356" spans="1:12" x14ac:dyDescent="0.3">
      <c r="A356" t="s">
        <v>226</v>
      </c>
      <c r="E356" s="27"/>
      <c r="F356" s="28" t="str">
        <f>IF(OR(E356="",E356="!!!"),"",IF(NOT(ISNA(VLOOKUP(E356,E$1:E355,1,FALSE()))),"OLD",IF(AND(E356&lt;&gt;"",E356&lt;&gt;"!!!"),"NEW","")))</f>
        <v/>
      </c>
      <c r="G356" s="22" t="str">
        <f>IF(OR(E356="",E356="!!!"),"",IF(OR(J356=0,AND(J356=1,K356=1),AND(J356=1,I356="SBJ"),AND(J356=1,I356=0)),"?IN_FOCUS",IF(J356&lt;=2,"?ACTIVATED",IF(J356&lt;&gt;"","?FAMILIAR",IF(F356="NEW",IF(ISNA(VLOOKUP(E356,#REF!,1,FALSE())),"?TYPE_IDENTIFIABLE","?REFERENTIAL"),"_")))))</f>
        <v/>
      </c>
      <c r="H356" s="23" t="str">
        <f t="shared" ca="1" si="17"/>
        <v/>
      </c>
      <c r="I356" s="24" t="str">
        <f>IF(OR(E356="",E356="!!!",F356="NEW"),"",INDEX(B$2:B355,-1+SUMPRODUCT(MAX(ROW(E$2:E355)*(E356=E$2:E355)))))</f>
        <v/>
      </c>
      <c r="J356" s="24" t="str">
        <f ca="1">IF(OR(E356="",E356="!!!",F356="NEW"),"",COUNTBLANK(OFFSET(A$1,,,SUMPRODUCT(MAX(ROW(E$2:E356)*(E356=E$2:E356)))))-COUNTBLANK(OFFSET(A$1,,,SUMPRODUCT(MAX(ROW(E$1:E355)*(E2=E$1:E355))))))</f>
        <v/>
      </c>
      <c r="K356" s="24" t="str">
        <f>IF(OR(E356="",E356="!!!",F356="NEW"),"",INDEX(J$1:J355,SUMPRODUCT(MAX(ROW(E$1:E355)*(E356=E$1:E355)))))</f>
        <v/>
      </c>
      <c r="L356" s="29"/>
    </row>
    <row r="357" spans="1:12" x14ac:dyDescent="0.3">
      <c r="A357" t="s">
        <v>289</v>
      </c>
      <c r="B357" s="26" t="s">
        <v>143</v>
      </c>
      <c r="C357" s="26" t="s">
        <v>124</v>
      </c>
      <c r="D357" s="26" t="s">
        <v>98</v>
      </c>
      <c r="E357" s="27"/>
      <c r="F357" s="28" t="s">
        <v>333</v>
      </c>
      <c r="G357" s="22" t="str">
        <f>IF(OR(E357="",E357="!!!"),"",IF(OR(J357=0,AND(J357=1,K357=1),AND(J357=1,I357="SBJ"),AND(J357=1,I357=0)),"?IN_FOCUS",IF(J357&lt;=2,"?ACTIVATED",IF(J357&lt;&gt;"","?FAMILIAR",IF(F357="NEW",IF(ISNA(VLOOKUP(E357,#REF!,1,FALSE())),"?TYPE_IDENTIFIABLE","?REFERENTIAL"),"_")))))</f>
        <v/>
      </c>
      <c r="H357" s="23" t="str">
        <f t="shared" ca="1" si="17"/>
        <v/>
      </c>
      <c r="I357" s="24" t="str">
        <f>IF(OR(E357="",E357="!!!",F357="NEW"),"",INDEX(B$2:B356,-1+SUMPRODUCT(MAX(ROW(E$2:E356)*(E357=E$2:E356)))))</f>
        <v/>
      </c>
      <c r="J357" s="24" t="str">
        <f ca="1">IF(OR(E357="",E357="!!!",F357="NEW"),"",COUNTBLANK(OFFSET(A$1,,,SUMPRODUCT(MAX(ROW(E$2:E357)*(E357=E$2:E357)))))-COUNTBLANK(OFFSET(A$1,,,SUMPRODUCT(MAX(ROW(E$1:E356)*(E2=E$1:E356))))))</f>
        <v/>
      </c>
      <c r="K357" s="24" t="str">
        <f>IF(OR(E357="",E357="!!!",F357="NEW"),"",INDEX(J$1:J356,SUMPRODUCT(MAX(ROW(E$1:E356)*(E357=E$1:E356)))))</f>
        <v/>
      </c>
      <c r="L357" s="29" t="s">
        <v>365</v>
      </c>
    </row>
    <row r="358" spans="1:12" x14ac:dyDescent="0.3">
      <c r="A358" t="s">
        <v>290</v>
      </c>
      <c r="E358" s="27"/>
      <c r="F358" s="28" t="str">
        <f>IF(OR(E358="",E358="!!!"),"",IF(NOT(ISNA(VLOOKUP(E358,E$1:E357,1,FALSE()))),"OLD",IF(AND(E358&lt;&gt;"",E358&lt;&gt;"!!!"),"NEW","")))</f>
        <v/>
      </c>
      <c r="G358" s="22" t="str">
        <f>IF(OR(E358="",E358="!!!"),"",IF(OR(J358=0,AND(J358=1,K358=1),AND(J358=1,I358="SBJ"),AND(J358=1,I358=0)),"?IN_FOCUS",IF(J358&lt;=2,"?ACTIVATED",IF(J358&lt;&gt;"","?FAMILIAR",IF(F358="NEW",IF(ISNA(VLOOKUP(E358,#REF!,1,FALSE())),"?TYPE_IDENTIFIABLE","?REFERENTIAL"),"_")))))</f>
        <v/>
      </c>
      <c r="H358" s="23" t="str">
        <f t="shared" ca="1" si="17"/>
        <v/>
      </c>
      <c r="I358" s="24" t="str">
        <f>IF(OR(E358="",E358="!!!",F358="NEW"),"",INDEX(B$2:B357,-1+SUMPRODUCT(MAX(ROW(E$2:E357)*(E358=E$2:E357)))))</f>
        <v/>
      </c>
      <c r="J358" s="24" t="str">
        <f ca="1">IF(OR(E358="",E358="!!!",F358="NEW"),"",COUNTBLANK(OFFSET(A$1,,,SUMPRODUCT(MAX(ROW(E$2:E358)*(E358=E$2:E358)))))-COUNTBLANK(OFFSET(A$1,,,SUMPRODUCT(MAX(ROW(E$1:E357)*(E2=E$1:E357))))))</f>
        <v/>
      </c>
      <c r="K358" s="24" t="str">
        <f>IF(OR(E358="",E358="!!!",F358="NEW"),"",INDEX(J$1:J357,SUMPRODUCT(MAX(ROW(E$1:E357)*(E358=E$1:E357)))))</f>
        <v/>
      </c>
      <c r="L358" s="29"/>
    </row>
    <row r="359" spans="1:12" x14ac:dyDescent="0.3">
      <c r="A359" t="s">
        <v>108</v>
      </c>
      <c r="E359" s="27"/>
      <c r="F359" s="28" t="str">
        <f>IF(OR(E359="",E359="!!!"),"",IF(NOT(ISNA(VLOOKUP(E359,E$1:E358,1,FALSE()))),"OLD",IF(AND(E359&lt;&gt;"",E359&lt;&gt;"!!!"),"NEW","")))</f>
        <v/>
      </c>
      <c r="G359" s="22" t="str">
        <f>IF(OR(E359="",E359="!!!"),"",IF(OR(J359=0,AND(J359=1,K359=1),AND(J359=1,I359="SBJ"),AND(J359=1,I359=0)),"?IN_FOCUS",IF(J359&lt;=2,"?ACTIVATED",IF(J359&lt;&gt;"","?FAMILIAR",IF(F359="NEW",IF(ISNA(VLOOKUP(E359,#REF!,1,FALSE())),"?TYPE_IDENTIFIABLE","?REFERENTIAL"),"_")))))</f>
        <v/>
      </c>
      <c r="H359" s="23" t="str">
        <f t="shared" ca="1" si="17"/>
        <v/>
      </c>
      <c r="I359" s="24" t="str">
        <f>IF(OR(E359="",E359="!!!",F359="NEW"),"",INDEX(B$2:B358,-1+SUMPRODUCT(MAX(ROW(E$2:E358)*(E359=E$2:E358)))))</f>
        <v/>
      </c>
      <c r="J359" s="24" t="str">
        <f ca="1">IF(OR(E359="",E359="!!!",F359="NEW"),"",COUNTBLANK(OFFSET(A$1,,,SUMPRODUCT(MAX(ROW(E$2:E359)*(E359=E$2:E359)))))-COUNTBLANK(OFFSET(A$1,,,SUMPRODUCT(MAX(ROW(E$1:E358)*(E2=E$1:E358))))))</f>
        <v/>
      </c>
      <c r="K359" s="24" t="str">
        <f>IF(OR(E359="",E359="!!!",F359="NEW"),"",INDEX(J$1:J358,SUMPRODUCT(MAX(ROW(E$1:E358)*(E359=E$1:E358)))))</f>
        <v/>
      </c>
      <c r="L359" s="29"/>
    </row>
    <row r="360" spans="1:12" x14ac:dyDescent="0.3">
      <c r="A360" t="s">
        <v>152</v>
      </c>
      <c r="E360" s="27"/>
      <c r="F360" s="28" t="str">
        <f>IF(OR(E360="",E360="!!!"),"",IF(NOT(ISNA(VLOOKUP(E360,E$1:E359,1,FALSE()))),"OLD",IF(AND(E360&lt;&gt;"",E360&lt;&gt;"!!!"),"NEW","")))</f>
        <v/>
      </c>
      <c r="G360" s="22" t="str">
        <f>IF(OR(E360="",E360="!!!"),"",IF(OR(J360=0,AND(J360=1,K360=1),AND(J360=1,I360="SBJ"),AND(J360=1,I360=0)),"?IN_FOCUS",IF(J360&lt;=2,"?ACTIVATED",IF(J360&lt;&gt;"","?FAMILIAR",IF(F360="NEW",IF(ISNA(VLOOKUP(E360,#REF!,1,FALSE())),"?TYPE_IDENTIFIABLE","?REFERENTIAL"),"_")))))</f>
        <v/>
      </c>
      <c r="H360" s="23" t="str">
        <f t="shared" ca="1" si="17"/>
        <v/>
      </c>
      <c r="I360" s="24" t="str">
        <f>IF(OR(E360="",E360="!!!",F360="NEW"),"",INDEX(B$2:B359,-1+SUMPRODUCT(MAX(ROW(E$2:E359)*(E360=E$2:E359)))))</f>
        <v/>
      </c>
      <c r="J360" s="24" t="str">
        <f ca="1">IF(OR(E360="",E360="!!!",F360="NEW"),"",COUNTBLANK(OFFSET(A$1,,,SUMPRODUCT(MAX(ROW(E$2:E360)*(E360=E$2:E360)))))-COUNTBLANK(OFFSET(A$1,,,SUMPRODUCT(MAX(ROW(E$1:E359)*(E2=E$1:E359))))))</f>
        <v/>
      </c>
      <c r="K360" s="24" t="str">
        <f>IF(OR(E360="",E360="!!!",F360="NEW"),"",INDEX(J$1:J359,SUMPRODUCT(MAX(ROW(E$1:E359)*(E360=E$1:E359)))))</f>
        <v/>
      </c>
      <c r="L360" s="29"/>
    </row>
    <row r="361" spans="1:12" x14ac:dyDescent="0.3">
      <c r="A361" t="s">
        <v>136</v>
      </c>
      <c r="E361" s="27"/>
      <c r="F361" s="28" t="str">
        <f>IF(OR(E361="",E361="!!!"),"",IF(NOT(ISNA(VLOOKUP(E361,E$1:E360,1,FALSE()))),"OLD",IF(AND(E361&lt;&gt;"",E361&lt;&gt;"!!!"),"NEW","")))</f>
        <v/>
      </c>
      <c r="G361" s="22" t="str">
        <f>IF(OR(E361="",E361="!!!"),"",IF(OR(J361=0,AND(J361=1,K361=1),AND(J361=1,I361="SBJ"),AND(J361=1,I361=0)),"?IN_FOCUS",IF(J361&lt;=2,"?ACTIVATED",IF(J361&lt;&gt;"","?FAMILIAR",IF(F361="NEW",IF(ISNA(VLOOKUP(E361,#REF!,1,FALSE())),"?TYPE_IDENTIFIABLE","?REFERENTIAL"),"_")))))</f>
        <v/>
      </c>
      <c r="H361" s="23" t="str">
        <f t="shared" ca="1" si="17"/>
        <v/>
      </c>
      <c r="I361" s="24" t="str">
        <f>IF(OR(E361="",E361="!!!",F361="NEW"),"",INDEX(B$2:B360,-1+SUMPRODUCT(MAX(ROW(E$2:E360)*(E361=E$2:E360)))))</f>
        <v/>
      </c>
      <c r="J361" s="24" t="str">
        <f ca="1">IF(OR(E361="",E361="!!!",F361="NEW"),"",COUNTBLANK(OFFSET(A$1,,,SUMPRODUCT(MAX(ROW(E$2:E361)*(E361=E$2:E361)))))-COUNTBLANK(OFFSET(A$1,,,SUMPRODUCT(MAX(ROW(E$1:E360)*(E2=E$1:E360))))))</f>
        <v/>
      </c>
      <c r="K361" s="24" t="str">
        <f>IF(OR(E361="",E361="!!!",F361="NEW"),"",INDEX(J$1:J360,SUMPRODUCT(MAX(ROW(E$1:E360)*(E361=E$1:E360)))))</f>
        <v/>
      </c>
      <c r="L361" s="29"/>
    </row>
    <row r="362" spans="1:12" x14ac:dyDescent="0.3">
      <c r="A362" t="s">
        <v>191</v>
      </c>
      <c r="B362" s="26" t="s">
        <v>140</v>
      </c>
      <c r="C362" s="26" t="s">
        <v>97</v>
      </c>
      <c r="D362" s="26" t="s">
        <v>98</v>
      </c>
      <c r="E362" s="27" t="s">
        <v>338</v>
      </c>
      <c r="F362" s="28" t="str">
        <f>IF(OR(E362="",E362="!!!"),"",IF(NOT(ISNA(VLOOKUP(E362,E$1:E361,1,FALSE()))),"OLD",IF(AND(E362&lt;&gt;"",E362&lt;&gt;"!!!"),"NEW","")))</f>
        <v>OLD</v>
      </c>
      <c r="G362" s="22" t="str">
        <f ca="1">IF(OR(E362="",E362="!!!"),"",IF(OR(J362=0,AND(J362=1,K362=1),AND(J362=1,I362="SBJ"),AND(J362=1,I362=0)),"?IN_FOCUS",IF(J362&lt;=2,"?ACTIVATED",IF(J362&lt;&gt;"","?FAMILIAR",IF(F362="NEW",IF(ISNA(VLOOKUP(E362,#REF!,1,FALSE())),"?TYPE_IDENTIFIABLE","?REFERENTIAL"),"_")))))</f>
        <v>?IN_FOCUS</v>
      </c>
      <c r="H362" s="23" t="str">
        <f t="shared" ca="1" si="17"/>
        <v/>
      </c>
      <c r="I362" s="24" t="str">
        <f>IF(OR(E362="",E362="!!!",F362="NEW"),"",INDEX(B$2:B361,-1+SUMPRODUCT(MAX(ROW(E$2:E361)*(E362=E$2:E361)))))</f>
        <v>SBJ_2</v>
      </c>
      <c r="J362" s="24">
        <f ca="1">IF(OR(E362="",E362="!!!",F362="NEW"),"",COUNTBLANK(OFFSET(A$1,,,SUMPRODUCT(MAX(ROW(E$2:E362)*(E362=E$2:E362)))))-COUNTBLANK(OFFSET(A$1,,,SUMPRODUCT(MAX(ROW(E$1:E361)*(E2=E$1:E361))))))</f>
        <v>0</v>
      </c>
      <c r="K362" s="24">
        <f ca="1">IF(OR(E362="",E362="!!!",F362="NEW"),"",INDEX(J$1:J361,SUMPRODUCT(MAX(ROW(E$1:E361)*(E362=E$1:E361)))))</f>
        <v>0</v>
      </c>
      <c r="L362" s="29"/>
    </row>
    <row r="363" spans="1:12" x14ac:dyDescent="0.3">
      <c r="A363" t="s">
        <v>172</v>
      </c>
      <c r="E363" s="27"/>
      <c r="F363" s="28" t="str">
        <f>IF(OR(E363="",E363="!!!"),"",IF(NOT(ISNA(VLOOKUP(E363,E$1:E362,1,FALSE()))),"OLD",IF(AND(E363&lt;&gt;"",E363&lt;&gt;"!!!"),"NEW","")))</f>
        <v/>
      </c>
      <c r="G363" s="22" t="str">
        <f>IF(OR(E363="",E363="!!!"),"",IF(OR(J363=0,AND(J363=1,K363=1),AND(J363=1,I363="SBJ"),AND(J363=1,I363=0)),"?IN_FOCUS",IF(J363&lt;=2,"?ACTIVATED",IF(J363&lt;&gt;"","?FAMILIAR",IF(F363="NEW",IF(ISNA(VLOOKUP(E363,#REF!,1,FALSE())),"?TYPE_IDENTIFIABLE","?REFERENTIAL"),"_")))))</f>
        <v/>
      </c>
      <c r="H363" s="23" t="str">
        <f t="shared" ca="1" si="17"/>
        <v/>
      </c>
      <c r="I363" s="24" t="str">
        <f>IF(OR(E363="",E363="!!!",F363="NEW"),"",INDEX(B$2:B362,-1+SUMPRODUCT(MAX(ROW(E$2:E362)*(E363=E$2:E362)))))</f>
        <v/>
      </c>
      <c r="J363" s="24" t="str">
        <f ca="1">IF(OR(E363="",E363="!!!",F363="NEW"),"",COUNTBLANK(OFFSET(A$1,,,SUMPRODUCT(MAX(ROW(E$2:E363)*(E363=E$2:E363)))))-COUNTBLANK(OFFSET(A$1,,,SUMPRODUCT(MAX(ROW(E$1:E362)*(E2=E$1:E362))))))</f>
        <v/>
      </c>
      <c r="K363" s="24" t="str">
        <f>IF(OR(E363="",E363="!!!",F363="NEW"),"",INDEX(J$1:J362,SUMPRODUCT(MAX(ROW(E$1:E362)*(E363=E$1:E362)))))</f>
        <v/>
      </c>
      <c r="L363" s="29"/>
    </row>
    <row r="364" spans="1:12" x14ac:dyDescent="0.3">
      <c r="A364" t="s">
        <v>129</v>
      </c>
      <c r="E364" s="27"/>
      <c r="F364" s="28" t="str">
        <f>IF(OR(E364="",E364="!!!"),"",IF(NOT(ISNA(VLOOKUP(E364,E$1:E363,1,FALSE()))),"OLD",IF(AND(E364&lt;&gt;"",E364&lt;&gt;"!!!"),"NEW","")))</f>
        <v/>
      </c>
      <c r="G364" s="22" t="str">
        <f>IF(OR(E364="",E364="!!!"),"",IF(OR(J364=0,AND(J364=1,K364=1),AND(J364=1,I364="SBJ"),AND(J364=1,I364=0)),"?IN_FOCUS",IF(J364&lt;=2,"?ACTIVATED",IF(J364&lt;&gt;"","?FAMILIAR",IF(F364="NEW",IF(ISNA(VLOOKUP(E364,#REF!,1,FALSE())),"?TYPE_IDENTIFIABLE","?REFERENTIAL"),"_")))))</f>
        <v/>
      </c>
      <c r="H364" s="23" t="str">
        <f t="shared" ca="1" si="17"/>
        <v/>
      </c>
      <c r="I364" s="24" t="str">
        <f>IF(OR(E364="",E364="!!!",F364="NEW"),"",INDEX(B$2:B363,-1+SUMPRODUCT(MAX(ROW(E$2:E363)*(E364=E$2:E363)))))</f>
        <v/>
      </c>
      <c r="J364" s="24" t="str">
        <f ca="1">IF(OR(E364="",E364="!!!",F364="NEW"),"",COUNTBLANK(OFFSET(A$1,,,SUMPRODUCT(MAX(ROW(E$2:E364)*(E364=E$2:E364)))))-COUNTBLANK(OFFSET(A$1,,,SUMPRODUCT(MAX(ROW(E$1:E363)*(E2=E$1:E363))))))</f>
        <v/>
      </c>
      <c r="K364" s="24" t="str">
        <f>IF(OR(E364="",E364="!!!",F364="NEW"),"",INDEX(J$1:J363,SUMPRODUCT(MAX(ROW(E$1:E363)*(E364=E$1:E363)))))</f>
        <v/>
      </c>
      <c r="L364" s="29"/>
    </row>
    <row r="366" spans="1:12" x14ac:dyDescent="0.3">
      <c r="A366" t="s">
        <v>291</v>
      </c>
    </row>
    <row r="367" spans="1:12" x14ac:dyDescent="0.3">
      <c r="A367" t="s">
        <v>263</v>
      </c>
      <c r="B367" s="26" t="s">
        <v>96</v>
      </c>
      <c r="C367" s="26" t="s">
        <v>141</v>
      </c>
      <c r="D367" s="26" t="s">
        <v>98</v>
      </c>
      <c r="E367" s="27" t="s">
        <v>326</v>
      </c>
      <c r="F367" s="28" t="str">
        <f>IF(OR(E367="",E367="!!!"),"",IF(NOT(ISNA(VLOOKUP(E367,E$1:E366,1,FALSE()))),"OLD",IF(AND(E367&lt;&gt;"",E367&lt;&gt;"!!!"),"NEW","")))</f>
        <v>OLD</v>
      </c>
      <c r="G367" s="22" t="str">
        <f ca="1">IF(OR(E367="",E367="!!!"),"",IF(OR(J367=0,AND(J367=1,K367=1),AND(J367=1,I367="SBJ"),AND(J367=1,I367=0)),"?IN_FOCUS",IF(J367&lt;=2,"?ACTIVATED",IF(J367&lt;&gt;"","?FAMILIAR",IF(F367="NEW",IF(ISNA(VLOOKUP(E367,#REF!,1,FALSE())),"?TYPE_IDENTIFIABLE","?REFERENTIAL"),"_")))))</f>
        <v>?IN_FOCUS</v>
      </c>
      <c r="H367" s="23" t="str">
        <f t="shared" ref="H367:H376" ca="1" si="18">IF(J367&lt;&gt;1,"",IF(I367="SBJ","CB","?"))</f>
        <v/>
      </c>
      <c r="I367" s="24">
        <f>IF(OR(E367="",E367="!!!",F367="NEW"),"",INDEX(B$2:B366,-1+SUMPRODUCT(MAX(ROW(E$2:E366)*(E367=E$2:E366)))))</f>
        <v>0</v>
      </c>
      <c r="J367" s="24">
        <f ca="1">IF(OR(E367="",E367="!!!",F367="NEW"),"",COUNTBLANK(OFFSET(A$1,,,SUMPRODUCT(MAX(ROW(E$2:E367)*(E367=E$2:E367)))))-COUNTBLANK(OFFSET(A$1,,,SUMPRODUCT(MAX(ROW(E$1:E366)*(E2=E$1:E366))))))</f>
        <v>0</v>
      </c>
      <c r="K367" s="24">
        <f ca="1">IF(OR(E367="",E367="!!!",F367="NEW"),"",INDEX(J$1:J366,SUMPRODUCT(MAX(ROW(E$1:E366)*(E367=E$1:E366)))))</f>
        <v>0</v>
      </c>
      <c r="L367" s="29"/>
    </row>
    <row r="368" spans="1:12" x14ac:dyDescent="0.3">
      <c r="A368" t="s">
        <v>292</v>
      </c>
      <c r="E368" s="27"/>
      <c r="F368" s="28" t="str">
        <f>IF(OR(E368="",E368="!!!"),"",IF(NOT(ISNA(VLOOKUP(E368,E$1:E367,1,FALSE()))),"OLD",IF(AND(E368&lt;&gt;"",E368&lt;&gt;"!!!"),"NEW","")))</f>
        <v/>
      </c>
      <c r="G368" s="22" t="str">
        <f>IF(OR(E368="",E368="!!!"),"",IF(OR(J368=0,AND(J368=1,K368=1),AND(J368=1,I368="SBJ"),AND(J368=1,I368=0)),"?IN_FOCUS",IF(J368&lt;=2,"?ACTIVATED",IF(J368&lt;&gt;"","?FAMILIAR",IF(F368="NEW",IF(ISNA(VLOOKUP(E368,#REF!,1,FALSE())),"?TYPE_IDENTIFIABLE","?REFERENTIAL"),"_")))))</f>
        <v/>
      </c>
      <c r="H368" s="23" t="str">
        <f t="shared" ca="1" si="18"/>
        <v/>
      </c>
      <c r="I368" s="24" t="str">
        <f>IF(OR(E368="",E368="!!!",F368="NEW"),"",INDEX(B$2:B367,-1+SUMPRODUCT(MAX(ROW(E$2:E367)*(E368=E$2:E367)))))</f>
        <v/>
      </c>
      <c r="J368" s="24" t="str">
        <f ca="1">IF(OR(E368="",E368="!!!",F368="NEW"),"",COUNTBLANK(OFFSET(A$1,,,SUMPRODUCT(MAX(ROW(E$2:E368)*(E368=E$2:E368)))))-COUNTBLANK(OFFSET(A$1,,,SUMPRODUCT(MAX(ROW(E$1:E367)*(E2=E$1:E367))))))</f>
        <v/>
      </c>
      <c r="K368" s="24" t="str">
        <f>IF(OR(E368="",E368="!!!",F368="NEW"),"",INDEX(J$1:J367,SUMPRODUCT(MAX(ROW(E$1:E367)*(E368=E$1:E367)))))</f>
        <v/>
      </c>
      <c r="L368" s="29"/>
    </row>
    <row r="369" spans="1:12" x14ac:dyDescent="0.3">
      <c r="A369" t="s">
        <v>293</v>
      </c>
      <c r="E369" s="27"/>
      <c r="F369" s="28" t="str">
        <f>IF(OR(E369="",E369="!!!"),"",IF(NOT(ISNA(VLOOKUP(E369,E$1:E368,1,FALSE()))),"OLD",IF(AND(E369&lt;&gt;"",E369&lt;&gt;"!!!"),"NEW","")))</f>
        <v/>
      </c>
      <c r="G369" s="22" t="str">
        <f>IF(OR(E369="",E369="!!!"),"",IF(OR(J369=0,AND(J369=1,K369=1),AND(J369=1,I369="SBJ"),AND(J369=1,I369=0)),"?IN_FOCUS",IF(J369&lt;=2,"?ACTIVATED",IF(J369&lt;&gt;"","?FAMILIAR",IF(F369="NEW",IF(ISNA(VLOOKUP(E369,#REF!,1,FALSE())),"?TYPE_IDENTIFIABLE","?REFERENTIAL"),"_")))))</f>
        <v/>
      </c>
      <c r="H369" s="23" t="str">
        <f t="shared" ca="1" si="18"/>
        <v/>
      </c>
      <c r="I369" s="24" t="str">
        <f>IF(OR(E369="",E369="!!!",F369="NEW"),"",INDEX(B$2:B368,-1+SUMPRODUCT(MAX(ROW(E$2:E368)*(E369=E$2:E368)))))</f>
        <v/>
      </c>
      <c r="J369" s="24" t="str">
        <f ca="1">IF(OR(E369="",E369="!!!",F369="NEW"),"",COUNTBLANK(OFFSET(A$1,,,SUMPRODUCT(MAX(ROW(E$2:E369)*(E369=E$2:E369)))))-COUNTBLANK(OFFSET(A$1,,,SUMPRODUCT(MAX(ROW(E$1:E368)*(E2=E$1:E368))))))</f>
        <v/>
      </c>
      <c r="K369" s="24" t="str">
        <f>IF(OR(E369="",E369="!!!",F369="NEW"),"",INDEX(J$1:J368,SUMPRODUCT(MAX(ROW(E$1:E368)*(E369=E$1:E368)))))</f>
        <v/>
      </c>
      <c r="L369" s="29"/>
    </row>
    <row r="370" spans="1:12" x14ac:dyDescent="0.3">
      <c r="A370" t="s">
        <v>160</v>
      </c>
      <c r="E370" s="27"/>
      <c r="F370" s="28" t="str">
        <f>IF(OR(E370="",E370="!!!"),"",IF(NOT(ISNA(VLOOKUP(E370,E$1:E369,1,FALSE()))),"OLD",IF(AND(E370&lt;&gt;"",E370&lt;&gt;"!!!"),"NEW","")))</f>
        <v/>
      </c>
      <c r="G370" s="22" t="str">
        <f>IF(OR(E370="",E370="!!!"),"",IF(OR(J370=0,AND(J370=1,K370=1),AND(J370=1,I370="SBJ"),AND(J370=1,I370=0)),"?IN_FOCUS",IF(J370&lt;=2,"?ACTIVATED",IF(J370&lt;&gt;"","?FAMILIAR",IF(F370="NEW",IF(ISNA(VLOOKUP(E370,#REF!,1,FALSE())),"?TYPE_IDENTIFIABLE","?REFERENTIAL"),"_")))))</f>
        <v/>
      </c>
      <c r="H370" s="23" t="str">
        <f t="shared" ca="1" si="18"/>
        <v/>
      </c>
      <c r="I370" s="24" t="str">
        <f>IF(OR(E370="",E370="!!!",F370="NEW"),"",INDEX(B$2:B369,-1+SUMPRODUCT(MAX(ROW(E$2:E369)*(E370=E$2:E369)))))</f>
        <v/>
      </c>
      <c r="J370" s="24" t="str">
        <f ca="1">IF(OR(E370="",E370="!!!",F370="NEW"),"",COUNTBLANK(OFFSET(A$1,,,SUMPRODUCT(MAX(ROW(E$2:E370)*(E370=E$2:E370)))))-COUNTBLANK(OFFSET(A$1,,,SUMPRODUCT(MAX(ROW(E$1:E369)*(E2=E$1:E369))))))</f>
        <v/>
      </c>
      <c r="K370" s="24" t="str">
        <f>IF(OR(E370="",E370="!!!",F370="NEW"),"",INDEX(J$1:J369,SUMPRODUCT(MAX(ROW(E$1:E369)*(E370=E$1:E369)))))</f>
        <v/>
      </c>
      <c r="L370" s="29"/>
    </row>
    <row r="371" spans="1:12" x14ac:dyDescent="0.3">
      <c r="A371" t="s">
        <v>294</v>
      </c>
      <c r="E371" s="27"/>
      <c r="F371" s="28" t="str">
        <f>IF(OR(E371="",E371="!!!"),"",IF(NOT(ISNA(VLOOKUP(E371,E$1:E370,1,FALSE()))),"OLD",IF(AND(E371&lt;&gt;"",E371&lt;&gt;"!!!"),"NEW","")))</f>
        <v/>
      </c>
      <c r="G371" s="22" t="str">
        <f>IF(OR(E371="",E371="!!!"),"",IF(OR(J371=0,AND(J371=1,K371=1),AND(J371=1,I371="SBJ"),AND(J371=1,I371=0)),"?IN_FOCUS",IF(J371&lt;=2,"?ACTIVATED",IF(J371&lt;&gt;"","?FAMILIAR",IF(F371="NEW",IF(ISNA(VLOOKUP(E371,#REF!,1,FALSE())),"?TYPE_IDENTIFIABLE","?REFERENTIAL"),"_")))))</f>
        <v/>
      </c>
      <c r="H371" s="23" t="str">
        <f t="shared" ca="1" si="18"/>
        <v/>
      </c>
      <c r="I371" s="24" t="str">
        <f>IF(OR(E371="",E371="!!!",F371="NEW"),"",INDEX(B$2:B370,-1+SUMPRODUCT(MAX(ROW(E$2:E370)*(E371=E$2:E370)))))</f>
        <v/>
      </c>
      <c r="J371" s="24" t="str">
        <f ca="1">IF(OR(E371="",E371="!!!",F371="NEW"),"",COUNTBLANK(OFFSET(A$1,,,SUMPRODUCT(MAX(ROW(E$2:E371)*(E371=E$2:E371)))))-COUNTBLANK(OFFSET(A$1,,,SUMPRODUCT(MAX(ROW(E$1:E370)*(E2=E$1:E370))))))</f>
        <v/>
      </c>
      <c r="K371" s="24" t="str">
        <f>IF(OR(E371="",E371="!!!",F371="NEW"),"",INDEX(J$1:J370,SUMPRODUCT(MAX(ROW(E$1:E370)*(E371=E$1:E370)))))</f>
        <v/>
      </c>
      <c r="L371" s="29"/>
    </row>
    <row r="372" spans="1:12" x14ac:dyDescent="0.3">
      <c r="A372" t="s">
        <v>281</v>
      </c>
      <c r="B372" s="26" t="s">
        <v>123</v>
      </c>
      <c r="C372" s="26" t="s">
        <v>205</v>
      </c>
      <c r="E372" s="27"/>
      <c r="F372" s="28" t="str">
        <f>IF(OR(E372="",E372="!!!"),"",IF(NOT(ISNA(VLOOKUP(E372,E$1:E371,1,FALSE()))),"OLD",IF(AND(E372&lt;&gt;"",E372&lt;&gt;"!!!"),"NEW","")))</f>
        <v/>
      </c>
      <c r="G372" s="22" t="str">
        <f>IF(OR(E372="",E372="!!!"),"",IF(OR(J372=0,AND(J372=1,K372=1),AND(J372=1,I372="SBJ"),AND(J372=1,I372=0)),"?IN_FOCUS",IF(J372&lt;=2,"?ACTIVATED",IF(J372&lt;&gt;"","?FAMILIAR",IF(F372="NEW",IF(ISNA(VLOOKUP(E372,#REF!,1,FALSE())),"?TYPE_IDENTIFIABLE","?REFERENTIAL"),"_")))))</f>
        <v/>
      </c>
      <c r="H372" s="23" t="str">
        <f t="shared" ca="1" si="18"/>
        <v/>
      </c>
      <c r="I372" s="24" t="str">
        <f>IF(OR(E372="",E372="!!!",F372="NEW"),"",INDEX(B$2:B371,-1+SUMPRODUCT(MAX(ROW(E$2:E371)*(E372=E$2:E371)))))</f>
        <v/>
      </c>
      <c r="J372" s="24" t="str">
        <f ca="1">IF(OR(E372="",E372="!!!",F372="NEW"),"",COUNTBLANK(OFFSET(A$1,,,SUMPRODUCT(MAX(ROW(E$2:E372)*(E372=E$2:E372)))))-COUNTBLANK(OFFSET(A$1,,,SUMPRODUCT(MAX(ROW(E$1:E371)*(E2=E$1:E371))))))</f>
        <v/>
      </c>
      <c r="K372" s="24" t="str">
        <f>IF(OR(E372="",E372="!!!",F372="NEW"),"",INDEX(J$1:J371,SUMPRODUCT(MAX(ROW(E$1:E371)*(E372=E$1:E371)))))</f>
        <v/>
      </c>
      <c r="L372" s="29"/>
    </row>
    <row r="373" spans="1:12" x14ac:dyDescent="0.3">
      <c r="A373" t="s">
        <v>295</v>
      </c>
      <c r="E373" s="27"/>
      <c r="F373" s="28" t="str">
        <f>IF(OR(E373="",E373="!!!"),"",IF(NOT(ISNA(VLOOKUP(E373,E$1:E372,1,FALSE()))),"OLD",IF(AND(E373&lt;&gt;"",E373&lt;&gt;"!!!"),"NEW","")))</f>
        <v/>
      </c>
      <c r="G373" s="22" t="str">
        <f>IF(OR(E373="",E373="!!!"),"",IF(OR(J373=0,AND(J373=1,K373=1),AND(J373=1,I373="SBJ"),AND(J373=1,I373=0)),"?IN_FOCUS",IF(J373&lt;=2,"?ACTIVATED",IF(J373&lt;&gt;"","?FAMILIAR",IF(F373="NEW",IF(ISNA(VLOOKUP(E373,#REF!,1,FALSE())),"?TYPE_IDENTIFIABLE","?REFERENTIAL"),"_")))))</f>
        <v/>
      </c>
      <c r="H373" s="23" t="str">
        <f t="shared" ca="1" si="18"/>
        <v/>
      </c>
      <c r="I373" s="24" t="str">
        <f>IF(OR(E373="",E373="!!!",F373="NEW"),"",INDEX(B$2:B372,-1+SUMPRODUCT(MAX(ROW(E$2:E372)*(E373=E$2:E372)))))</f>
        <v/>
      </c>
      <c r="J373" s="24" t="str">
        <f ca="1">IF(OR(E373="",E373="!!!",F373="NEW"),"",COUNTBLANK(OFFSET(A$1,,,SUMPRODUCT(MAX(ROW(E$2:E373)*(E373=E$2:E373)))))-COUNTBLANK(OFFSET(A$1,,,SUMPRODUCT(MAX(ROW(E$1:E372)*(E2=E$1:E372))))))</f>
        <v/>
      </c>
      <c r="K373" s="24" t="str">
        <f>IF(OR(E373="",E373="!!!",F373="NEW"),"",INDEX(J$1:J372,SUMPRODUCT(MAX(ROW(E$1:E372)*(E373=E$1:E372)))))</f>
        <v/>
      </c>
      <c r="L373" s="29"/>
    </row>
    <row r="374" spans="1:12" x14ac:dyDescent="0.3">
      <c r="A374" t="s">
        <v>296</v>
      </c>
      <c r="B374" s="26" t="s">
        <v>123</v>
      </c>
      <c r="C374" s="26" t="s">
        <v>115</v>
      </c>
      <c r="E374" s="27"/>
      <c r="F374" s="28" t="str">
        <f>IF(OR(E374="",E374="!!!"),"",IF(NOT(ISNA(VLOOKUP(E374,E$1:E373,1,FALSE()))),"OLD",IF(AND(E374&lt;&gt;"",E374&lt;&gt;"!!!"),"NEW","")))</f>
        <v/>
      </c>
      <c r="G374" s="22" t="str">
        <f>IF(OR(E374="",E374="!!!"),"",IF(OR(J374=0,AND(J374=1,K374=1),AND(J374=1,I374="SBJ"),AND(J374=1,I374=0)),"?IN_FOCUS",IF(J374&lt;=2,"?ACTIVATED",IF(J374&lt;&gt;"","?FAMILIAR",IF(F374="NEW",IF(ISNA(VLOOKUP(E374,#REF!,1,FALSE())),"?TYPE_IDENTIFIABLE","?REFERENTIAL"),"_")))))</f>
        <v/>
      </c>
      <c r="H374" s="23" t="str">
        <f t="shared" ca="1" si="18"/>
        <v/>
      </c>
      <c r="I374" s="24" t="str">
        <f>IF(OR(E374="",E374="!!!",F374="NEW"),"",INDEX(B$2:B373,-1+SUMPRODUCT(MAX(ROW(E$2:E373)*(E374=E$2:E373)))))</f>
        <v/>
      </c>
      <c r="J374" s="24" t="str">
        <f ca="1">IF(OR(E374="",E374="!!!",F374="NEW"),"",COUNTBLANK(OFFSET(A$1,,,SUMPRODUCT(MAX(ROW(E$2:E374)*(E374=E$2:E374)))))-COUNTBLANK(OFFSET(A$1,,,SUMPRODUCT(MAX(ROW(E$1:E373)*(E2=E$1:E373))))))</f>
        <v/>
      </c>
      <c r="K374" s="24" t="str">
        <f>IF(OR(E374="",E374="!!!",F374="NEW"),"",INDEX(J$1:J373,SUMPRODUCT(MAX(ROW(E$1:E373)*(E374=E$1:E373)))))</f>
        <v/>
      </c>
      <c r="L374" s="29"/>
    </row>
    <row r="375" spans="1:12" x14ac:dyDescent="0.3">
      <c r="A375" t="s">
        <v>66</v>
      </c>
      <c r="E375" s="27"/>
      <c r="F375" s="28" t="str">
        <f>IF(OR(E375="",E375="!!!"),"",IF(NOT(ISNA(VLOOKUP(E375,E$1:E374,1,FALSE()))),"OLD",IF(AND(E375&lt;&gt;"",E375&lt;&gt;"!!!"),"NEW","")))</f>
        <v/>
      </c>
      <c r="G375" s="22" t="str">
        <f>IF(OR(E375="",E375="!!!"),"",IF(OR(J375=0,AND(J375=1,K375=1),AND(J375=1,I375="SBJ"),AND(J375=1,I375=0)),"?IN_FOCUS",IF(J375&lt;=2,"?ACTIVATED",IF(J375&lt;&gt;"","?FAMILIAR",IF(F375="NEW",IF(ISNA(VLOOKUP(E375,#REF!,1,FALSE())),"?TYPE_IDENTIFIABLE","?REFERENTIAL"),"_")))))</f>
        <v/>
      </c>
      <c r="H375" s="23" t="str">
        <f t="shared" ca="1" si="18"/>
        <v/>
      </c>
      <c r="I375" s="24" t="str">
        <f>IF(OR(E375="",E375="!!!",F375="NEW"),"",INDEX(B$2:B374,-1+SUMPRODUCT(MAX(ROW(E$2:E374)*(E375=E$2:E374)))))</f>
        <v/>
      </c>
      <c r="J375" s="24" t="str">
        <f ca="1">IF(OR(E375="",E375="!!!",F375="NEW"),"",COUNTBLANK(OFFSET(A$1,,,SUMPRODUCT(MAX(ROW(E$2:E375)*(E375=E$2:E375)))))-COUNTBLANK(OFFSET(A$1,,,SUMPRODUCT(MAX(ROW(E$1:E374)*(E2=E$1:E374))))))</f>
        <v/>
      </c>
      <c r="K375" s="24" t="str">
        <f>IF(OR(E375="",E375="!!!",F375="NEW"),"",INDEX(J$1:J374,SUMPRODUCT(MAX(ROW(E$1:E374)*(E375=E$1:E374)))))</f>
        <v/>
      </c>
      <c r="L375" s="29"/>
    </row>
    <row r="376" spans="1:12" x14ac:dyDescent="0.3">
      <c r="A376" t="s">
        <v>129</v>
      </c>
      <c r="E376" s="27"/>
      <c r="F376" s="28" t="str">
        <f>IF(OR(E376="",E376="!!!"),"",IF(NOT(ISNA(VLOOKUP(E376,E$1:E375,1,FALSE()))),"OLD",IF(AND(E376&lt;&gt;"",E376&lt;&gt;"!!!"),"NEW","")))</f>
        <v/>
      </c>
      <c r="G376" s="22" t="str">
        <f>IF(OR(E376="",E376="!!!"),"",IF(OR(J376=0,AND(J376=1,K376=1),AND(J376=1,I376="SBJ"),AND(J376=1,I376=0)),"?IN_FOCUS",IF(J376&lt;=2,"?ACTIVATED",IF(J376&lt;&gt;"","?FAMILIAR",IF(F376="NEW",IF(ISNA(VLOOKUP(E376,#REF!,1,FALSE())),"?TYPE_IDENTIFIABLE","?REFERENTIAL"),"_")))))</f>
        <v/>
      </c>
      <c r="H376" s="23" t="str">
        <f t="shared" ca="1" si="18"/>
        <v/>
      </c>
      <c r="I376" s="24" t="str">
        <f>IF(OR(E376="",E376="!!!",F376="NEW"),"",INDEX(B$2:B375,-1+SUMPRODUCT(MAX(ROW(E$2:E375)*(E376=E$2:E375)))))</f>
        <v/>
      </c>
      <c r="J376" s="24" t="str">
        <f ca="1">IF(OR(E376="",E376="!!!",F376="NEW"),"",COUNTBLANK(OFFSET(A$1,,,SUMPRODUCT(MAX(ROW(E$2:E376)*(E376=E$2:E376)))))-COUNTBLANK(OFFSET(A$1,,,SUMPRODUCT(MAX(ROW(E$1:E375)*(E2=E$1:E375))))))</f>
        <v/>
      </c>
      <c r="K376" s="24" t="str">
        <f>IF(OR(E376="",E376="!!!",F376="NEW"),"",INDEX(J$1:J375,SUMPRODUCT(MAX(ROW(E$1:E375)*(E376=E$1:E375)))))</f>
        <v/>
      </c>
      <c r="L376" s="29"/>
    </row>
    <row r="378" spans="1:12" x14ac:dyDescent="0.3">
      <c r="A378" t="s">
        <v>297</v>
      </c>
    </row>
    <row r="379" spans="1:12" x14ac:dyDescent="0.3">
      <c r="A379" t="s">
        <v>263</v>
      </c>
      <c r="B379" s="26" t="s">
        <v>96</v>
      </c>
      <c r="C379" s="26" t="s">
        <v>141</v>
      </c>
      <c r="D379" s="26" t="s">
        <v>98</v>
      </c>
      <c r="E379" s="27" t="s">
        <v>326</v>
      </c>
      <c r="F379" s="28" t="str">
        <f>IF(OR(E379="",E379="!!!"),"",IF(NOT(ISNA(VLOOKUP(E379,E$1:E378,1,FALSE()))),"OLD",IF(AND(E379&lt;&gt;"",E379&lt;&gt;"!!!"),"NEW","")))</f>
        <v>OLD</v>
      </c>
      <c r="G379" s="22" t="str">
        <f ca="1">IF(OR(E379="",E379="!!!"),"",IF(OR(J379=0,AND(J379=1,K379=1),AND(J379=1,I379="SBJ"),AND(J379=1,I379=0)),"?IN_FOCUS",IF(J379&lt;=2,"?ACTIVATED",IF(J379&lt;&gt;"","?FAMILIAR",IF(F379="NEW",IF(ISNA(VLOOKUP(E379,#REF!,1,FALSE())),"?TYPE_IDENTIFIABLE","?REFERENTIAL"),"_")))))</f>
        <v>?IN_FOCUS</v>
      </c>
      <c r="H379" s="23" t="str">
        <f t="shared" ref="H379:H389" ca="1" si="19">IF(J379&lt;&gt;1,"",IF(I379="SBJ","CB","?"))</f>
        <v/>
      </c>
      <c r="I379" s="24" t="str">
        <f>IF(OR(E379="",E379="!!!",F379="NEW"),"",INDEX(B$2:B378,-1+SUMPRODUCT(MAX(ROW(E$2:E378)*(E379=E$2:E378)))))</f>
        <v>SBJ</v>
      </c>
      <c r="J379" s="24">
        <f ca="1">IF(OR(E379="",E379="!!!",F379="NEW"),"",COUNTBLANK(OFFSET(A$1,,,SUMPRODUCT(MAX(ROW(E$2:E379)*(E379=E$2:E379)))))-COUNTBLANK(OFFSET(A$1,,,SUMPRODUCT(MAX(ROW(E$1:E378)*(E2=E$1:E378))))))</f>
        <v>0</v>
      </c>
      <c r="K379" s="24">
        <f ca="1">IF(OR(E379="",E379="!!!",F379="NEW"),"",INDEX(J$1:J378,SUMPRODUCT(MAX(ROW(E$1:E378)*(E379=E$1:E378)))))</f>
        <v>0</v>
      </c>
      <c r="L379" s="29"/>
    </row>
    <row r="380" spans="1:12" x14ac:dyDescent="0.3">
      <c r="A380" t="s">
        <v>273</v>
      </c>
      <c r="E380" s="27"/>
      <c r="F380" s="28" t="str">
        <f>IF(OR(E380="",E380="!!!"),"",IF(NOT(ISNA(VLOOKUP(E380,E$1:E379,1,FALSE()))),"OLD",IF(AND(E380&lt;&gt;"",E380&lt;&gt;"!!!"),"NEW","")))</f>
        <v/>
      </c>
      <c r="G380" s="22" t="str">
        <f>IF(OR(E380="",E380="!!!"),"",IF(OR(J380=0,AND(J380=1,K380=1),AND(J380=1,I380="SBJ"),AND(J380=1,I380=0)),"?IN_FOCUS",IF(J380&lt;=2,"?ACTIVATED",IF(J380&lt;&gt;"","?FAMILIAR",IF(F380="NEW",IF(ISNA(VLOOKUP(E380,#REF!,1,FALSE())),"?TYPE_IDENTIFIABLE","?REFERENTIAL"),"_")))))</f>
        <v/>
      </c>
      <c r="H380" s="23" t="str">
        <f t="shared" ca="1" si="19"/>
        <v/>
      </c>
      <c r="I380" s="24" t="str">
        <f>IF(OR(E380="",E380="!!!",F380="NEW"),"",INDEX(B$2:B379,-1+SUMPRODUCT(MAX(ROW(E$2:E379)*(E380=E$2:E379)))))</f>
        <v/>
      </c>
      <c r="J380" s="24" t="str">
        <f ca="1">IF(OR(E380="",E380="!!!",F380="NEW"),"",COUNTBLANK(OFFSET(A$1,,,SUMPRODUCT(MAX(ROW(E$2:E380)*(E380=E$2:E380)))))-COUNTBLANK(OFFSET(A$1,,,SUMPRODUCT(MAX(ROW(E$1:E379)*(E2=E$1:E379))))))</f>
        <v/>
      </c>
      <c r="K380" s="24" t="str">
        <f>IF(OR(E380="",E380="!!!",F380="NEW"),"",INDEX(J$1:J379,SUMPRODUCT(MAX(ROW(E$1:E379)*(E380=E$1:E379)))))</f>
        <v/>
      </c>
      <c r="L380" s="29"/>
    </row>
    <row r="381" spans="1:12" x14ac:dyDescent="0.3">
      <c r="A381" t="s">
        <v>109</v>
      </c>
      <c r="E381" s="27"/>
      <c r="F381" s="28" t="str">
        <f>IF(OR(E381="",E381="!!!"),"",IF(NOT(ISNA(VLOOKUP(E381,E$1:E380,1,FALSE()))),"OLD",IF(AND(E381&lt;&gt;"",E381&lt;&gt;"!!!"),"NEW","")))</f>
        <v/>
      </c>
      <c r="G381" s="22" t="str">
        <f>IF(OR(E381="",E381="!!!"),"",IF(OR(J381=0,AND(J381=1,K381=1),AND(J381=1,I381="SBJ"),AND(J381=1,I381=0)),"?IN_FOCUS",IF(J381&lt;=2,"?ACTIVATED",IF(J381&lt;&gt;"","?FAMILIAR",IF(F381="NEW",IF(ISNA(VLOOKUP(E381,#REF!,1,FALSE())),"?TYPE_IDENTIFIABLE","?REFERENTIAL"),"_")))))</f>
        <v/>
      </c>
      <c r="H381" s="23" t="str">
        <f t="shared" ca="1" si="19"/>
        <v/>
      </c>
      <c r="I381" s="24" t="str">
        <f>IF(OR(E381="",E381="!!!",F381="NEW"),"",INDEX(B$2:B380,-1+SUMPRODUCT(MAX(ROW(E$2:E380)*(E381=E$2:E380)))))</f>
        <v/>
      </c>
      <c r="J381" s="24" t="str">
        <f ca="1">IF(OR(E381="",E381="!!!",F381="NEW"),"",COUNTBLANK(OFFSET(A$1,,,SUMPRODUCT(MAX(ROW(E$2:E381)*(E381=E$2:E381)))))-COUNTBLANK(OFFSET(A$1,,,SUMPRODUCT(MAX(ROW(E$1:E380)*(E2=E$1:E380))))))</f>
        <v/>
      </c>
      <c r="K381" s="24" t="str">
        <f>IF(OR(E381="",E381="!!!",F381="NEW"),"",INDEX(J$1:J380,SUMPRODUCT(MAX(ROW(E$1:E380)*(E381=E$1:E380)))))</f>
        <v/>
      </c>
      <c r="L381" s="29"/>
    </row>
    <row r="382" spans="1:12" x14ac:dyDescent="0.3">
      <c r="A382" t="s">
        <v>133</v>
      </c>
      <c r="B382" s="26" t="s">
        <v>123</v>
      </c>
      <c r="C382" s="26" t="s">
        <v>124</v>
      </c>
      <c r="D382" s="26" t="s">
        <v>98</v>
      </c>
      <c r="E382" s="27"/>
      <c r="F382" s="28" t="s">
        <v>333</v>
      </c>
      <c r="G382" s="22" t="str">
        <f>IF(OR(E382="",E382="!!!"),"",IF(OR(J382=0,AND(J382=1,K382=1),AND(J382=1,I382="SBJ"),AND(J382=1,I382=0)),"?IN_FOCUS",IF(J382&lt;=2,"?ACTIVATED",IF(J382&lt;&gt;"","?FAMILIAR",IF(F382="NEW",IF(ISNA(VLOOKUP(E382,#REF!,1,FALSE())),"?TYPE_IDENTIFIABLE","?REFERENTIAL"),"_")))))</f>
        <v/>
      </c>
      <c r="H382" s="23" t="str">
        <f t="shared" ca="1" si="19"/>
        <v/>
      </c>
      <c r="I382" s="24" t="str">
        <f>IF(OR(E382="",E382="!!!",F382="NEW"),"",INDEX(B$2:B381,-1+SUMPRODUCT(MAX(ROW(E$2:E381)*(E382=E$2:E381)))))</f>
        <v/>
      </c>
      <c r="J382" s="24" t="str">
        <f ca="1">IF(OR(E382="",E382="!!!",F382="NEW"),"",COUNTBLANK(OFFSET(A$1,,,SUMPRODUCT(MAX(ROW(E$2:E382)*(E382=E$2:E382)))))-COUNTBLANK(OFFSET(A$1,,,SUMPRODUCT(MAX(ROW(E$1:E381)*(E2=E$1:E381))))))</f>
        <v/>
      </c>
      <c r="K382" s="24" t="str">
        <f>IF(OR(E382="",E382="!!!",F382="NEW"),"",INDEX(J$1:J381,SUMPRODUCT(MAX(ROW(E$1:E381)*(E382=E$1:E381)))))</f>
        <v/>
      </c>
      <c r="L382" s="29"/>
    </row>
    <row r="383" spans="1:12" x14ac:dyDescent="0.3">
      <c r="A383" t="s">
        <v>108</v>
      </c>
      <c r="E383" s="27"/>
      <c r="F383" s="28" t="str">
        <f>IF(OR(E383="",E383="!!!"),"",IF(NOT(ISNA(VLOOKUP(E383,E$1:E382,1,FALSE()))),"OLD",IF(AND(E383&lt;&gt;"",E383&lt;&gt;"!!!"),"NEW","")))</f>
        <v/>
      </c>
      <c r="G383" s="22" t="str">
        <f>IF(OR(E383="",E383="!!!"),"",IF(OR(J383=0,AND(J383=1,K383=1),AND(J383=1,I383="SBJ"),AND(J383=1,I383=0)),"?IN_FOCUS",IF(J383&lt;=2,"?ACTIVATED",IF(J383&lt;&gt;"","?FAMILIAR",IF(F383="NEW",IF(ISNA(VLOOKUP(E383,#REF!,1,FALSE())),"?TYPE_IDENTIFIABLE","?REFERENTIAL"),"_")))))</f>
        <v/>
      </c>
      <c r="H383" s="23" t="str">
        <f t="shared" ca="1" si="19"/>
        <v/>
      </c>
      <c r="I383" s="24" t="str">
        <f>IF(OR(E383="",E383="!!!",F383="NEW"),"",INDEX(B$2:B382,-1+SUMPRODUCT(MAX(ROW(E$2:E382)*(E383=E$2:E382)))))</f>
        <v/>
      </c>
      <c r="J383" s="24" t="str">
        <f ca="1">IF(OR(E383="",E383="!!!",F383="NEW"),"",COUNTBLANK(OFFSET(A$1,,,SUMPRODUCT(MAX(ROW(E$2:E383)*(E383=E$2:E383)))))-COUNTBLANK(OFFSET(A$1,,,SUMPRODUCT(MAX(ROW(E$1:E382)*(E2=E$1:E382))))))</f>
        <v/>
      </c>
      <c r="K383" s="24" t="str">
        <f>IF(OR(E383="",E383="!!!",F383="NEW"),"",INDEX(J$1:J382,SUMPRODUCT(MAX(ROW(E$1:E382)*(E383=E$1:E382)))))</f>
        <v/>
      </c>
      <c r="L383" s="29"/>
    </row>
    <row r="384" spans="1:12" x14ac:dyDescent="0.3">
      <c r="A384" t="s">
        <v>109</v>
      </c>
      <c r="B384" s="26" t="s">
        <v>140</v>
      </c>
      <c r="E384" s="27"/>
      <c r="F384" s="28" t="str">
        <f>IF(OR(E384="",E384="!!!"),"",IF(NOT(ISNA(VLOOKUP(E384,E$1:E383,1,FALSE()))),"OLD",IF(AND(E384&lt;&gt;"",E384&lt;&gt;"!!!"),"NEW","")))</f>
        <v/>
      </c>
      <c r="G384" s="22" t="str">
        <f>IF(OR(E384="",E384="!!!"),"",IF(OR(J384=0,AND(J384=1,K384=1),AND(J384=1,I384="SBJ"),AND(J384=1,I384=0)),"?IN_FOCUS",IF(J384&lt;=2,"?ACTIVATED",IF(J384&lt;&gt;"","?FAMILIAR",IF(F384="NEW",IF(ISNA(VLOOKUP(E384,#REF!,1,FALSE())),"?TYPE_IDENTIFIABLE","?REFERENTIAL"),"_")))))</f>
        <v/>
      </c>
      <c r="H384" s="23" t="str">
        <f t="shared" ca="1" si="19"/>
        <v/>
      </c>
      <c r="I384" s="24" t="str">
        <f>IF(OR(E384="",E384="!!!",F384="NEW"),"",INDEX(B$2:B383,-1+SUMPRODUCT(MAX(ROW(E$2:E383)*(E384=E$2:E383)))))</f>
        <v/>
      </c>
      <c r="J384" s="24" t="str">
        <f ca="1">IF(OR(E384="",E384="!!!",F384="NEW"),"",COUNTBLANK(OFFSET(A$1,,,SUMPRODUCT(MAX(ROW(E$2:E384)*(E384=E$2:E384)))))-COUNTBLANK(OFFSET(A$1,,,SUMPRODUCT(MAX(ROW(E$1:E383)*(E2=E$1:E383))))))</f>
        <v/>
      </c>
      <c r="K384" s="24" t="str">
        <f>IF(OR(E384="",E384="!!!",F384="NEW"),"",INDEX(J$1:J383,SUMPRODUCT(MAX(ROW(E$1:E383)*(E384=E$1:E383)))))</f>
        <v/>
      </c>
      <c r="L384" s="29"/>
    </row>
    <row r="385" spans="1:12" x14ac:dyDescent="0.3">
      <c r="A385" t="s">
        <v>178</v>
      </c>
      <c r="E385" s="27"/>
      <c r="F385" s="28" t="str">
        <f>IF(OR(E385="",E385="!!!"),"",IF(NOT(ISNA(VLOOKUP(E385,E$1:E384,1,FALSE()))),"OLD",IF(AND(E385&lt;&gt;"",E385&lt;&gt;"!!!"),"NEW","")))</f>
        <v/>
      </c>
      <c r="G385" s="22" t="str">
        <f>IF(OR(E385="",E385="!!!"),"",IF(OR(J385=0,AND(J385=1,K385=1),AND(J385=1,I385="SBJ"),AND(J385=1,I385=0)),"?IN_FOCUS",IF(J385&lt;=2,"?ACTIVATED",IF(J385&lt;&gt;"","?FAMILIAR",IF(F385="NEW",IF(ISNA(VLOOKUP(E385,#REF!,1,FALSE())),"?TYPE_IDENTIFIABLE","?REFERENTIAL"),"_")))))</f>
        <v/>
      </c>
      <c r="H385" s="23" t="str">
        <f t="shared" ca="1" si="19"/>
        <v/>
      </c>
      <c r="I385" s="24" t="str">
        <f>IF(OR(E385="",E385="!!!",F385="NEW"),"",INDEX(B$2:B384,-1+SUMPRODUCT(MAX(ROW(E$2:E384)*(E385=E$2:E384)))))</f>
        <v/>
      </c>
      <c r="J385" s="24" t="str">
        <f ca="1">IF(OR(E385="",E385="!!!",F385="NEW"),"",COUNTBLANK(OFFSET(A$1,,,SUMPRODUCT(MAX(ROW(E$2:E385)*(E385=E$2:E385)))))-COUNTBLANK(OFFSET(A$1,,,SUMPRODUCT(MAX(ROW(E$1:E384)*(E2=E$1:E384))))))</f>
        <v/>
      </c>
      <c r="K385" s="24" t="str">
        <f>IF(OR(E385="",E385="!!!",F385="NEW"),"",INDEX(J$1:J384,SUMPRODUCT(MAX(ROW(E$1:E384)*(E385=E$1:E384)))))</f>
        <v/>
      </c>
      <c r="L385" s="29"/>
    </row>
    <row r="386" spans="1:12" x14ac:dyDescent="0.3">
      <c r="A386" t="s">
        <v>121</v>
      </c>
      <c r="E386" s="27"/>
      <c r="F386" s="28" t="str">
        <f>IF(OR(E386="",E386="!!!"),"",IF(NOT(ISNA(VLOOKUP(E386,E$1:E385,1,FALSE()))),"OLD",IF(AND(E386&lt;&gt;"",E386&lt;&gt;"!!!"),"NEW","")))</f>
        <v/>
      </c>
      <c r="G386" s="22" t="str">
        <f>IF(OR(E386="",E386="!!!"),"",IF(OR(J386=0,AND(J386=1,K386=1),AND(J386=1,I386="SBJ"),AND(J386=1,I386=0)),"?IN_FOCUS",IF(J386&lt;=2,"?ACTIVATED",IF(J386&lt;&gt;"","?FAMILIAR",IF(F386="NEW",IF(ISNA(VLOOKUP(E386,#REF!,1,FALSE())),"?TYPE_IDENTIFIABLE","?REFERENTIAL"),"_")))))</f>
        <v/>
      </c>
      <c r="H386" s="23" t="str">
        <f t="shared" ca="1" si="19"/>
        <v/>
      </c>
      <c r="I386" s="24" t="str">
        <f>IF(OR(E386="",E386="!!!",F386="NEW"),"",INDEX(B$2:B385,-1+SUMPRODUCT(MAX(ROW(E$2:E385)*(E386=E$2:E385)))))</f>
        <v/>
      </c>
      <c r="J386" s="24" t="str">
        <f ca="1">IF(OR(E386="",E386="!!!",F386="NEW"),"",COUNTBLANK(OFFSET(A$1,,,SUMPRODUCT(MAX(ROW(E$2:E386)*(E386=E$2:E386)))))-COUNTBLANK(OFFSET(A$1,,,SUMPRODUCT(MAX(ROW(E$1:E385)*(E2=E$1:E385))))))</f>
        <v/>
      </c>
      <c r="K386" s="24" t="str">
        <f>IF(OR(E386="",E386="!!!",F386="NEW"),"",INDEX(J$1:J385,SUMPRODUCT(MAX(ROW(E$1:E385)*(E386=E$1:E385)))))</f>
        <v/>
      </c>
      <c r="L386" s="29"/>
    </row>
    <row r="387" spans="1:12" x14ac:dyDescent="0.3">
      <c r="A387" t="s">
        <v>298</v>
      </c>
      <c r="B387" s="26" t="s">
        <v>101</v>
      </c>
      <c r="C387" s="26" t="s">
        <v>124</v>
      </c>
      <c r="D387" s="26" t="s">
        <v>98</v>
      </c>
      <c r="E387" s="27"/>
      <c r="F387" s="28" t="s">
        <v>346</v>
      </c>
      <c r="G387" s="22" t="str">
        <f>IF(OR(E387="",E387="!!!"),"",IF(OR(J387=0,AND(J387=1,K387=1),AND(J387=1,I387="SBJ"),AND(J387=1,I387=0)),"?IN_FOCUS",IF(J387&lt;=2,"?ACTIVATED",IF(J387&lt;&gt;"","?FAMILIAR",IF(F387="NEW",IF(ISNA(VLOOKUP(E387,#REF!,1,FALSE())),"?TYPE_IDENTIFIABLE","?REFERENTIAL"),"_")))))</f>
        <v/>
      </c>
      <c r="H387" s="23" t="str">
        <f t="shared" ca="1" si="19"/>
        <v/>
      </c>
      <c r="I387" s="24" t="str">
        <f>IF(OR(E387="",E387="!!!",F387="NEW"),"",INDEX(B$2:B386,-1+SUMPRODUCT(MAX(ROW(E$2:E386)*(E387=E$2:E386)))))</f>
        <v/>
      </c>
      <c r="J387" s="24" t="str">
        <f ca="1">IF(OR(E387="",E387="!!!",F387="NEW"),"",COUNTBLANK(OFFSET(A$1,,,SUMPRODUCT(MAX(ROW(E$2:E387)*(E387=E$2:E387)))))-COUNTBLANK(OFFSET(A$1,,,SUMPRODUCT(MAX(ROW(E$1:E386)*(E2=E$1:E386))))))</f>
        <v/>
      </c>
      <c r="K387" s="24" t="str">
        <f>IF(OR(E387="",E387="!!!",F387="NEW"),"",INDEX(J$1:J386,SUMPRODUCT(MAX(ROW(E$1:E386)*(E387=E$1:E386)))))</f>
        <v/>
      </c>
      <c r="L387" s="29"/>
    </row>
    <row r="388" spans="1:12" x14ac:dyDescent="0.3">
      <c r="A388" t="s">
        <v>299</v>
      </c>
      <c r="E388" s="27"/>
      <c r="F388" s="28" t="str">
        <f>IF(OR(E388="",E388="!!!"),"",IF(NOT(ISNA(VLOOKUP(E388,E$1:E387,1,FALSE()))),"OLD",IF(AND(E388&lt;&gt;"",E388&lt;&gt;"!!!"),"NEW","")))</f>
        <v/>
      </c>
      <c r="G388" s="22" t="str">
        <f>IF(OR(E388="",E388="!!!"),"",IF(OR(J388=0,AND(J388=1,K388=1),AND(J388=1,I388="SBJ"),AND(J388=1,I388=0)),"?IN_FOCUS",IF(J388&lt;=2,"?ACTIVATED",IF(J388&lt;&gt;"","?FAMILIAR",IF(F388="NEW",IF(ISNA(VLOOKUP(E388,#REF!,1,FALSE())),"?TYPE_IDENTIFIABLE","?REFERENTIAL"),"_")))))</f>
        <v/>
      </c>
      <c r="H388" s="23" t="str">
        <f t="shared" ca="1" si="19"/>
        <v/>
      </c>
      <c r="I388" s="24" t="str">
        <f>IF(OR(E388="",E388="!!!",F388="NEW"),"",INDEX(B$2:B387,-1+SUMPRODUCT(MAX(ROW(E$2:E387)*(E388=E$2:E387)))))</f>
        <v/>
      </c>
      <c r="J388" s="24" t="str">
        <f ca="1">IF(OR(E388="",E388="!!!",F388="NEW"),"",COUNTBLANK(OFFSET(A$1,,,SUMPRODUCT(MAX(ROW(E$2:E388)*(E388=E$2:E388)))))-COUNTBLANK(OFFSET(A$1,,,SUMPRODUCT(MAX(ROW(E$1:E387)*(E2=E$1:E387))))))</f>
        <v/>
      </c>
      <c r="K388" s="24" t="str">
        <f>IF(OR(E388="",E388="!!!",F388="NEW"),"",INDEX(J$1:J387,SUMPRODUCT(MAX(ROW(E$1:E387)*(E388=E$1:E387)))))</f>
        <v/>
      </c>
      <c r="L388" s="29"/>
    </row>
    <row r="389" spans="1:12" x14ac:dyDescent="0.3">
      <c r="A389" t="s">
        <v>129</v>
      </c>
      <c r="E389" s="27"/>
      <c r="F389" s="28" t="str">
        <f>IF(OR(E389="",E389="!!!"),"",IF(NOT(ISNA(VLOOKUP(E389,E$1:E388,1,FALSE()))),"OLD",IF(AND(E389&lt;&gt;"",E389&lt;&gt;"!!!"),"NEW","")))</f>
        <v/>
      </c>
      <c r="G389" s="22" t="str">
        <f>IF(OR(E389="",E389="!!!"),"",IF(OR(J389=0,AND(J389=1,K389=1),AND(J389=1,I389="SBJ"),AND(J389=1,I389=0)),"?IN_FOCUS",IF(J389&lt;=2,"?ACTIVATED",IF(J389&lt;&gt;"","?FAMILIAR",IF(F389="NEW",IF(ISNA(VLOOKUP(E389,#REF!,1,FALSE())),"?TYPE_IDENTIFIABLE","?REFERENTIAL"),"_")))))</f>
        <v/>
      </c>
      <c r="H389" s="23" t="str">
        <f t="shared" ca="1" si="19"/>
        <v/>
      </c>
      <c r="I389" s="24" t="str">
        <f>IF(OR(E389="",E389="!!!",F389="NEW"),"",INDEX(B$2:B388,-1+SUMPRODUCT(MAX(ROW(E$2:E388)*(E389=E$2:E388)))))</f>
        <v/>
      </c>
      <c r="J389" s="24" t="str">
        <f ca="1">IF(OR(E389="",E389="!!!",F389="NEW"),"",COUNTBLANK(OFFSET(A$1,,,SUMPRODUCT(MAX(ROW(E$2:E389)*(E389=E$2:E389)))))-COUNTBLANK(OFFSET(A$1,,,SUMPRODUCT(MAX(ROW(E$1:E388)*(E2=E$1:E388))))))</f>
        <v/>
      </c>
      <c r="K389" s="24" t="str">
        <f>IF(OR(E389="",E389="!!!",F389="NEW"),"",INDEX(J$1:J388,SUMPRODUCT(MAX(ROW(E$1:E388)*(E389=E$1:E388)))))</f>
        <v/>
      </c>
      <c r="L389" s="29"/>
    </row>
    <row r="391" spans="1:12" x14ac:dyDescent="0.3">
      <c r="A391" t="s">
        <v>130</v>
      </c>
      <c r="E391" s="27"/>
      <c r="F391" s="28" t="str">
        <f>IF(OR(E391="",E391="!!!"),"",IF(NOT(ISNA(VLOOKUP(E391,E$1:E390,1,FALSE()))),"OLD",IF(AND(E391&lt;&gt;"",E391&lt;&gt;"!!!"),"NEW","")))</f>
        <v/>
      </c>
      <c r="G391" s="22" t="str">
        <f>IF(OR(E391="",E391="!!!"),"",IF(OR(J391=0,AND(J391=1,K391=1),AND(J391=1,I391="SBJ"),AND(J391=1,I391=0)),"?IN_FOCUS",IF(J391&lt;=2,"?ACTIVATED",IF(J391&lt;&gt;"","?FAMILIAR",IF(F391="NEW",IF(ISNA(VLOOKUP(E391,#REF!,1,FALSE())),"?TYPE_IDENTIFIABLE","?REFERENTIAL"),"_")))))</f>
        <v/>
      </c>
      <c r="H391" s="23" t="str">
        <f ca="1">IF(J391&lt;&gt;1,"",IF(I391="SBJ","CB","?"))</f>
        <v/>
      </c>
      <c r="I391" s="24" t="str">
        <f>IF(OR(E391="",E391="!!!",F391="NEW"),"",INDEX(B$2:B390,-1+SUMPRODUCT(MAX(ROW(E$2:E390)*(E391=E$2:E390)))))</f>
        <v/>
      </c>
      <c r="J391" s="24" t="str">
        <f ca="1">IF(OR(E391="",E391="!!!",F391="NEW"),"",COUNTBLANK(OFFSET(A$1,,,SUMPRODUCT(MAX(ROW(E$2:E391)*(E391=E$2:E391)))))-COUNTBLANK(OFFSET(A$1,,,SUMPRODUCT(MAX(ROW(E$1:E390)*(E2=E$1:E390))))))</f>
        <v/>
      </c>
      <c r="K391" s="24" t="str">
        <f>IF(OR(E391="",E391="!!!",F391="NEW"),"",INDEX(J$1:J390,SUMPRODUCT(MAX(ROW(E$1:E390)*(E391=E$1:E390)))))</f>
        <v/>
      </c>
      <c r="L391" s="29"/>
    </row>
    <row r="392" spans="1:12" x14ac:dyDescent="0.3">
      <c r="A392" t="s">
        <v>300</v>
      </c>
    </row>
    <row r="393" spans="1:12" x14ac:dyDescent="0.3">
      <c r="A393" t="s">
        <v>152</v>
      </c>
      <c r="E393" s="27"/>
      <c r="F393" s="28" t="str">
        <f>IF(OR(E393="",E393="!!!"),"",IF(NOT(ISNA(VLOOKUP(E393,E$1:E392,1,FALSE()))),"OLD",IF(AND(E393&lt;&gt;"",E393&lt;&gt;"!!!"),"NEW","")))</f>
        <v/>
      </c>
      <c r="G393" s="22" t="str">
        <f>IF(OR(E393="",E393="!!!"),"",IF(OR(J393=0,AND(J393=1,K393=1),AND(J393=1,I393="SBJ"),AND(J393=1,I393=0)),"?IN_FOCUS",IF(J393&lt;=2,"?ACTIVATED",IF(J393&lt;&gt;"","?FAMILIAR",IF(F393="NEW",IF(ISNA(VLOOKUP(E393,#REF!,1,FALSE())),"?TYPE_IDENTIFIABLE","?REFERENTIAL"),"_")))))</f>
        <v/>
      </c>
      <c r="H393" s="23" t="str">
        <f t="shared" ref="H393:H419" ca="1" si="20">IF(J393&lt;&gt;1,"",IF(I393="SBJ","CB","?"))</f>
        <v/>
      </c>
      <c r="I393" s="24" t="str">
        <f>IF(OR(E393="",E393="!!!",F393="NEW"),"",INDEX(B$2:B392,-1+SUMPRODUCT(MAX(ROW(E$2:E392)*(E393=E$2:E392)))))</f>
        <v/>
      </c>
      <c r="J393" s="24" t="str">
        <f ca="1">IF(OR(E393="",E393="!!!",F393="NEW"),"",COUNTBLANK(OFFSET(A$1,,,SUMPRODUCT(MAX(ROW(E$2:E393)*(E393=E$2:E393)))))-COUNTBLANK(OFFSET(A$1,,,SUMPRODUCT(MAX(ROW(E$1:E392)*(E2=E$1:E392))))))</f>
        <v/>
      </c>
      <c r="K393" s="24" t="str">
        <f>IF(OR(E393="",E393="!!!",F393="NEW"),"",INDEX(J$1:J392,SUMPRODUCT(MAX(ROW(E$1:E392)*(E393=E$1:E392)))))</f>
        <v/>
      </c>
      <c r="L393" s="29"/>
    </row>
    <row r="394" spans="1:12" x14ac:dyDescent="0.3">
      <c r="A394" t="s">
        <v>301</v>
      </c>
      <c r="E394" s="27"/>
      <c r="F394" s="28" t="str">
        <f>IF(OR(E394="",E394="!!!"),"",IF(NOT(ISNA(VLOOKUP(E394,E$1:E393,1,FALSE()))),"OLD",IF(AND(E394&lt;&gt;"",E394&lt;&gt;"!!!"),"NEW","")))</f>
        <v/>
      </c>
      <c r="G394" s="22" t="str">
        <f>IF(OR(E394="",E394="!!!"),"",IF(OR(J394=0,AND(J394=1,K394=1),AND(J394=1,I394="SBJ"),AND(J394=1,I394=0)),"?IN_FOCUS",IF(J394&lt;=2,"?ACTIVATED",IF(J394&lt;&gt;"","?FAMILIAR",IF(F394="NEW",IF(ISNA(VLOOKUP(E394,#REF!,1,FALSE())),"?TYPE_IDENTIFIABLE","?REFERENTIAL"),"_")))))</f>
        <v/>
      </c>
      <c r="H394" s="23" t="str">
        <f t="shared" ca="1" si="20"/>
        <v/>
      </c>
      <c r="I394" s="24" t="str">
        <f>IF(OR(E394="",E394="!!!",F394="NEW"),"",INDEX(B$2:B393,-1+SUMPRODUCT(MAX(ROW(E$2:E393)*(E394=E$2:E393)))))</f>
        <v/>
      </c>
      <c r="J394" s="24" t="str">
        <f ca="1">IF(OR(E394="",E394="!!!",F394="NEW"),"",COUNTBLANK(OFFSET(A$1,,,SUMPRODUCT(MAX(ROW(E$2:E394)*(E394=E$2:E394)))))-COUNTBLANK(OFFSET(A$1,,,SUMPRODUCT(MAX(ROW(E$1:E393)*(E2=E$1:E393))))))</f>
        <v/>
      </c>
      <c r="K394" s="24" t="str">
        <f>IF(OR(E394="",E394="!!!",F394="NEW"),"",INDEX(J$1:J393,SUMPRODUCT(MAX(ROW(E$1:E393)*(E394=E$1:E393)))))</f>
        <v/>
      </c>
      <c r="L394" s="29"/>
    </row>
    <row r="395" spans="1:12" x14ac:dyDescent="0.3">
      <c r="A395" t="s">
        <v>302</v>
      </c>
      <c r="B395" s="26" t="s">
        <v>101</v>
      </c>
      <c r="C395" s="26" t="s">
        <v>145</v>
      </c>
      <c r="E395" s="27"/>
      <c r="F395" s="28" t="s">
        <v>351</v>
      </c>
      <c r="G395" s="22" t="str">
        <f>IF(OR(E395="",E395="!!!"),"",IF(OR(J395=0,AND(J395=1,K395=1),AND(J395=1,I395="SBJ"),AND(J395=1,I395=0)),"?IN_FOCUS",IF(J395&lt;=2,"?ACTIVATED",IF(J395&lt;&gt;"","?FAMILIAR",IF(F395="NEW",IF(ISNA(VLOOKUP(E395,#REF!,1,FALSE())),"?TYPE_IDENTIFIABLE","?REFERENTIAL"),"_")))))</f>
        <v/>
      </c>
      <c r="H395" s="23" t="str">
        <f t="shared" ca="1" si="20"/>
        <v/>
      </c>
      <c r="I395" s="24" t="str">
        <f>IF(OR(E395="",E395="!!!",F395="NEW"),"",INDEX(B$2:B394,-1+SUMPRODUCT(MAX(ROW(E$2:E394)*(E395=E$2:E394)))))</f>
        <v/>
      </c>
      <c r="J395" s="24" t="str">
        <f ca="1">IF(OR(E395="",E395="!!!",F395="NEW"),"",COUNTBLANK(OFFSET(A$1,,,SUMPRODUCT(MAX(ROW(E$2:E395)*(E395=E$2:E395)))))-COUNTBLANK(OFFSET(A$1,,,SUMPRODUCT(MAX(ROW(E$1:E394)*(E2=E$1:E394))))))</f>
        <v/>
      </c>
      <c r="K395" s="24" t="str">
        <f>IF(OR(E395="",E395="!!!",F395="NEW"),"",INDEX(J$1:J394,SUMPRODUCT(MAX(ROW(E$1:E394)*(E395=E$1:E394)))))</f>
        <v/>
      </c>
      <c r="L395" s="29" t="s">
        <v>359</v>
      </c>
    </row>
    <row r="396" spans="1:12" x14ac:dyDescent="0.3">
      <c r="A396" t="s">
        <v>108</v>
      </c>
      <c r="E396" s="27"/>
      <c r="F396" s="28" t="str">
        <f>IF(OR(E396="",E396="!!!"),"",IF(NOT(ISNA(VLOOKUP(E396,E$1:E395,1,FALSE()))),"OLD",IF(AND(E396&lt;&gt;"",E396&lt;&gt;"!!!"),"NEW","")))</f>
        <v/>
      </c>
      <c r="G396" s="22" t="str">
        <f>IF(OR(E396="",E396="!!!"),"",IF(OR(J396=0,AND(J396=1,K396=1),AND(J396=1,I396="SBJ"),AND(J396=1,I396=0)),"?IN_FOCUS",IF(J396&lt;=2,"?ACTIVATED",IF(J396&lt;&gt;"","?FAMILIAR",IF(F396="NEW",IF(ISNA(VLOOKUP(E396,#REF!,1,FALSE())),"?TYPE_IDENTIFIABLE","?REFERENTIAL"),"_")))))</f>
        <v/>
      </c>
      <c r="H396" s="23" t="str">
        <f t="shared" ca="1" si="20"/>
        <v/>
      </c>
      <c r="I396" s="24" t="str">
        <f>IF(OR(E396="",E396="!!!",F396="NEW"),"",INDEX(B$2:B395,-1+SUMPRODUCT(MAX(ROW(E$2:E395)*(E396=E$2:E395)))))</f>
        <v/>
      </c>
      <c r="J396" s="24" t="str">
        <f ca="1">IF(OR(E396="",E396="!!!",F396="NEW"),"",COUNTBLANK(OFFSET(A$1,,,SUMPRODUCT(MAX(ROW(E$2:E396)*(E396=E$2:E396)))))-COUNTBLANK(OFFSET(A$1,,,SUMPRODUCT(MAX(ROW(E$1:E395)*(E2=E$1:E395))))))</f>
        <v/>
      </c>
      <c r="K396" s="24" t="str">
        <f>IF(OR(E396="",E396="!!!",F396="NEW"),"",INDEX(J$1:J395,SUMPRODUCT(MAX(ROW(E$1:E395)*(E396=E$1:E395)))))</f>
        <v/>
      </c>
      <c r="L396" s="29"/>
    </row>
    <row r="397" spans="1:12" x14ac:dyDescent="0.3">
      <c r="A397" t="s">
        <v>303</v>
      </c>
      <c r="B397" s="26" t="s">
        <v>196</v>
      </c>
      <c r="C397" s="26" t="s">
        <v>111</v>
      </c>
      <c r="D397" s="26" t="s">
        <v>98</v>
      </c>
      <c r="E397" s="27"/>
      <c r="F397" s="28" t="str">
        <f>IF(OR(E397="",E397="!!!"),"",IF(NOT(ISNA(VLOOKUP(E397,E$1:E396,1,FALSE()))),"OLD",IF(AND(E397&lt;&gt;"",E397&lt;&gt;"!!!"),"NEW","")))</f>
        <v/>
      </c>
      <c r="G397" s="22" t="str">
        <f>IF(OR(E397="",E397="!!!"),"",IF(OR(J397=0,AND(J397=1,K397=1),AND(J397=1,I397="SBJ"),AND(J397=1,I397=0)),"?IN_FOCUS",IF(J397&lt;=2,"?ACTIVATED",IF(J397&lt;&gt;"","?FAMILIAR",IF(F397="NEW",IF(ISNA(VLOOKUP(E397,#REF!,1,FALSE())),"?TYPE_IDENTIFIABLE","?REFERENTIAL"),"_")))))</f>
        <v/>
      </c>
      <c r="H397" s="23" t="str">
        <f t="shared" ca="1" si="20"/>
        <v/>
      </c>
      <c r="I397" s="24" t="str">
        <f>IF(OR(E397="",E397="!!!",F397="NEW"),"",INDEX(B$2:B396,-1+SUMPRODUCT(MAX(ROW(E$2:E396)*(E397=E$2:E396)))))</f>
        <v/>
      </c>
      <c r="J397" s="24" t="str">
        <f ca="1">IF(OR(E397="",E397="!!!",F397="NEW"),"",COUNTBLANK(OFFSET(A$1,,,SUMPRODUCT(MAX(ROW(E$2:E397)*(E397=E$2:E397)))))-COUNTBLANK(OFFSET(A$1,,,SUMPRODUCT(MAX(ROW(E$1:E396)*(E2=E$1:E396))))))</f>
        <v/>
      </c>
      <c r="K397" s="24" t="str">
        <f>IF(OR(E397="",E397="!!!",F397="NEW"),"",INDEX(J$1:J396,SUMPRODUCT(MAX(ROW(E$1:E396)*(E397=E$1:E396)))))</f>
        <v/>
      </c>
      <c r="L397" s="29" t="s">
        <v>356</v>
      </c>
    </row>
    <row r="398" spans="1:12" x14ac:dyDescent="0.3">
      <c r="A398" t="s">
        <v>99</v>
      </c>
      <c r="E398" s="27"/>
      <c r="F398" s="28" t="str">
        <f>IF(OR(E398="",E398="!!!"),"",IF(NOT(ISNA(VLOOKUP(E398,E$1:E397,1,FALSE()))),"OLD",IF(AND(E398&lt;&gt;"",E398&lt;&gt;"!!!"),"NEW","")))</f>
        <v/>
      </c>
      <c r="G398" s="22" t="str">
        <f>IF(OR(E398="",E398="!!!"),"",IF(OR(J398=0,AND(J398=1,K398=1),AND(J398=1,I398="SBJ"),AND(J398=1,I398=0)),"?IN_FOCUS",IF(J398&lt;=2,"?ACTIVATED",IF(J398&lt;&gt;"","?FAMILIAR",IF(F398="NEW",IF(ISNA(VLOOKUP(E398,#REF!,1,FALSE())),"?TYPE_IDENTIFIABLE","?REFERENTIAL"),"_")))))</f>
        <v/>
      </c>
      <c r="H398" s="23" t="str">
        <f t="shared" ca="1" si="20"/>
        <v/>
      </c>
      <c r="I398" s="24" t="str">
        <f>IF(OR(E398="",E398="!!!",F398="NEW"),"",INDEX(B$2:B397,-1+SUMPRODUCT(MAX(ROW(E$2:E397)*(E398=E$2:E397)))))</f>
        <v/>
      </c>
      <c r="J398" s="24" t="str">
        <f ca="1">IF(OR(E398="",E398="!!!",F398="NEW"),"",COUNTBLANK(OFFSET(A$1,,,SUMPRODUCT(MAX(ROW(E$2:E398)*(E398=E$2:E398)))))-COUNTBLANK(OFFSET(A$1,,,SUMPRODUCT(MAX(ROW(E$1:E397)*(E2=E$1:E397))))))</f>
        <v/>
      </c>
      <c r="K398" s="24" t="str">
        <f>IF(OR(E398="",E398="!!!",F398="NEW"),"",INDEX(J$1:J397,SUMPRODUCT(MAX(ROW(E$1:E397)*(E398=E$1:E397)))))</f>
        <v/>
      </c>
      <c r="L398" s="29"/>
    </row>
    <row r="399" spans="1:12" x14ac:dyDescent="0.3">
      <c r="A399" t="s">
        <v>109</v>
      </c>
      <c r="E399" s="27"/>
      <c r="F399" s="28" t="str">
        <f>IF(OR(E399="",E399="!!!"),"",IF(NOT(ISNA(VLOOKUP(E399,E$1:E398,1,FALSE()))),"OLD",IF(AND(E399&lt;&gt;"",E399&lt;&gt;"!!!"),"NEW","")))</f>
        <v/>
      </c>
      <c r="G399" s="22" t="str">
        <f>IF(OR(E399="",E399="!!!"),"",IF(OR(J399=0,AND(J399=1,K399=1),AND(J399=1,I399="SBJ"),AND(J399=1,I399=0)),"?IN_FOCUS",IF(J399&lt;=2,"?ACTIVATED",IF(J399&lt;&gt;"","?FAMILIAR",IF(F399="NEW",IF(ISNA(VLOOKUP(E399,#REF!,1,FALSE())),"?TYPE_IDENTIFIABLE","?REFERENTIAL"),"_")))))</f>
        <v/>
      </c>
      <c r="H399" s="23" t="str">
        <f t="shared" ca="1" si="20"/>
        <v/>
      </c>
      <c r="I399" s="24" t="str">
        <f>IF(OR(E399="",E399="!!!",F399="NEW"),"",INDEX(B$2:B398,-1+SUMPRODUCT(MAX(ROW(E$2:E398)*(E399=E$2:E398)))))</f>
        <v/>
      </c>
      <c r="J399" s="24" t="str">
        <f ca="1">IF(OR(E399="",E399="!!!",F399="NEW"),"",COUNTBLANK(OFFSET(A$1,,,SUMPRODUCT(MAX(ROW(E$2:E399)*(E399=E$2:E399)))))-COUNTBLANK(OFFSET(A$1,,,SUMPRODUCT(MAX(ROW(E$1:E398)*(E2=E$1:E398))))))</f>
        <v/>
      </c>
      <c r="K399" s="24" t="str">
        <f>IF(OR(E399="",E399="!!!",F399="NEW"),"",INDEX(J$1:J398,SUMPRODUCT(MAX(ROW(E$1:E398)*(E399=E$1:E398)))))</f>
        <v/>
      </c>
      <c r="L399" s="29"/>
    </row>
    <row r="400" spans="1:12" x14ac:dyDescent="0.3">
      <c r="A400" t="s">
        <v>304</v>
      </c>
      <c r="B400" s="26" t="s">
        <v>117</v>
      </c>
      <c r="C400" s="26" t="s">
        <v>124</v>
      </c>
      <c r="D400" s="26" t="s">
        <v>98</v>
      </c>
      <c r="E400" s="27" t="s">
        <v>353</v>
      </c>
      <c r="F400" s="28" t="str">
        <f>IF(OR(E400="",E400="!!!"),"",IF(NOT(ISNA(VLOOKUP(E400,E$1:E399,1,FALSE()))),"OLD",IF(AND(E400&lt;&gt;"",E400&lt;&gt;"!!!"),"NEW","")))</f>
        <v>NEW</v>
      </c>
      <c r="G400" s="22" t="str">
        <f ca="1">IF(OR(E400="",E400="!!!"),"",IF(OR(J400=0,AND(J400=1,K400=1),AND(J400=1,I400="SBJ"),AND(J400=1,I400=0)),"?IN_FOCUS",IF(J400&lt;=2,"?ACTIVATED",IF(J400&lt;&gt;"","?FAMILIAR",IF(F400="NEW",IF(ISNA(VLOOKUP(E400,#REF!,1,FALSE())),"?TYPE_IDENTIFIABLE","?REFERENTIAL"),"_")))))</f>
        <v>?REFERENTIAL</v>
      </c>
      <c r="H400" s="23" t="str">
        <f t="shared" ca="1" si="20"/>
        <v/>
      </c>
      <c r="I400" s="24" t="str">
        <f>IF(OR(E400="",E400="!!!",F400="NEW"),"",INDEX(B$2:B399,-1+SUMPRODUCT(MAX(ROW(E$2:E399)*(E400=E$2:E399)))))</f>
        <v/>
      </c>
      <c r="J400" s="24" t="str">
        <f ca="1">IF(OR(E400="",E400="!!!",F400="NEW"),"",COUNTBLANK(OFFSET(A$1,,,SUMPRODUCT(MAX(ROW(E$2:E400)*(E400=E$2:E400)))))-COUNTBLANK(OFFSET(A$1,,,SUMPRODUCT(MAX(ROW(E$1:E399)*(E2=E$1:E399))))))</f>
        <v/>
      </c>
      <c r="K400" s="24" t="str">
        <f>IF(OR(E400="",E400="!!!",F400="NEW"),"",INDEX(J$1:J399,SUMPRODUCT(MAX(ROW(E$1:E399)*(E400=E$1:E399)))))</f>
        <v/>
      </c>
      <c r="L400" s="29"/>
    </row>
    <row r="401" spans="1:12" x14ac:dyDescent="0.3">
      <c r="A401" t="s">
        <v>305</v>
      </c>
      <c r="E401" s="27"/>
      <c r="F401" s="28" t="str">
        <f>IF(OR(E401="",E401="!!!"),"",IF(NOT(ISNA(VLOOKUP(E401,E$1:E400,1,FALSE()))),"OLD",IF(AND(E401&lt;&gt;"",E401&lt;&gt;"!!!"),"NEW","")))</f>
        <v/>
      </c>
      <c r="G401" s="22" t="str">
        <f>IF(OR(E401="",E401="!!!"),"",IF(OR(J401=0,AND(J401=1,K401=1),AND(J401=1,I401="SBJ"),AND(J401=1,I401=0)),"?IN_FOCUS",IF(J401&lt;=2,"?ACTIVATED",IF(J401&lt;&gt;"","?FAMILIAR",IF(F401="NEW",IF(ISNA(VLOOKUP(E401,#REF!,1,FALSE())),"?TYPE_IDENTIFIABLE","?REFERENTIAL"),"_")))))</f>
        <v/>
      </c>
      <c r="H401" s="23" t="str">
        <f t="shared" ca="1" si="20"/>
        <v/>
      </c>
      <c r="I401" s="24" t="str">
        <f>IF(OR(E401="",E401="!!!",F401="NEW"),"",INDEX(B$2:B400,-1+SUMPRODUCT(MAX(ROW(E$2:E400)*(E401=E$2:E400)))))</f>
        <v/>
      </c>
      <c r="J401" s="24" t="str">
        <f ca="1">IF(OR(E401="",E401="!!!",F401="NEW"),"",COUNTBLANK(OFFSET(A$1,,,SUMPRODUCT(MAX(ROW(E$2:E401)*(E401=E$2:E401)))))-COUNTBLANK(OFFSET(A$1,,,SUMPRODUCT(MAX(ROW(E$1:E400)*(E2=E$1:E400))))))</f>
        <v/>
      </c>
      <c r="K401" s="24" t="str">
        <f>IF(OR(E401="",E401="!!!",F401="NEW"),"",INDEX(J$1:J400,SUMPRODUCT(MAX(ROW(E$1:E400)*(E401=E$1:E400)))))</f>
        <v/>
      </c>
      <c r="L401" s="29"/>
    </row>
    <row r="402" spans="1:12" x14ac:dyDescent="0.3">
      <c r="A402" t="s">
        <v>306</v>
      </c>
      <c r="E402" s="27"/>
      <c r="F402" s="28" t="str">
        <f>IF(OR(E402="",E402="!!!"),"",IF(NOT(ISNA(VLOOKUP(E402,E$1:E401,1,FALSE()))),"OLD",IF(AND(E402&lt;&gt;"",E402&lt;&gt;"!!!"),"NEW","")))</f>
        <v/>
      </c>
      <c r="G402" s="22" t="str">
        <f>IF(OR(E402="",E402="!!!"),"",IF(OR(J402=0,AND(J402=1,K402=1),AND(J402=1,I402="SBJ"),AND(J402=1,I402=0)),"?IN_FOCUS",IF(J402&lt;=2,"?ACTIVATED",IF(J402&lt;&gt;"","?FAMILIAR",IF(F402="NEW",IF(ISNA(VLOOKUP(E402,#REF!,1,FALSE())),"?TYPE_IDENTIFIABLE","?REFERENTIAL"),"_")))))</f>
        <v/>
      </c>
      <c r="H402" s="23" t="str">
        <f t="shared" ca="1" si="20"/>
        <v/>
      </c>
      <c r="I402" s="24" t="str">
        <f>IF(OR(E402="",E402="!!!",F402="NEW"),"",INDEX(B$2:B401,-1+SUMPRODUCT(MAX(ROW(E$2:E401)*(E402=E$2:E401)))))</f>
        <v/>
      </c>
      <c r="J402" s="24" t="str">
        <f ca="1">IF(OR(E402="",E402="!!!",F402="NEW"),"",COUNTBLANK(OFFSET(A$1,,,SUMPRODUCT(MAX(ROW(E$2:E402)*(E402=E$2:E402)))))-COUNTBLANK(OFFSET(A$1,,,SUMPRODUCT(MAX(ROW(E$1:E401)*(E2=E$1:E401))))))</f>
        <v/>
      </c>
      <c r="K402" s="24" t="str">
        <f>IF(OR(E402="",E402="!!!",F402="NEW"),"",INDEX(J$1:J401,SUMPRODUCT(MAX(ROW(E$1:E401)*(E402=E$1:E401)))))</f>
        <v/>
      </c>
      <c r="L402" s="29"/>
    </row>
    <row r="403" spans="1:12" x14ac:dyDescent="0.3">
      <c r="A403" t="s">
        <v>108</v>
      </c>
      <c r="E403" s="27"/>
      <c r="F403" s="28" t="str">
        <f>IF(OR(E403="",E403="!!!"),"",IF(NOT(ISNA(VLOOKUP(E403,E$1:E402,1,FALSE()))),"OLD",IF(AND(E403&lt;&gt;"",E403&lt;&gt;"!!!"),"NEW","")))</f>
        <v/>
      </c>
      <c r="G403" s="22" t="str">
        <f>IF(OR(E403="",E403="!!!"),"",IF(OR(J403=0,AND(J403=1,K403=1),AND(J403=1,I403="SBJ"),AND(J403=1,I403=0)),"?IN_FOCUS",IF(J403&lt;=2,"?ACTIVATED",IF(J403&lt;&gt;"","?FAMILIAR",IF(F403="NEW",IF(ISNA(VLOOKUP(E403,#REF!,1,FALSE())),"?TYPE_IDENTIFIABLE","?REFERENTIAL"),"_")))))</f>
        <v/>
      </c>
      <c r="H403" s="23" t="str">
        <f t="shared" ca="1" si="20"/>
        <v/>
      </c>
      <c r="I403" s="24" t="str">
        <f>IF(OR(E403="",E403="!!!",F403="NEW"),"",INDEX(B$2:B402,-1+SUMPRODUCT(MAX(ROW(E$2:E402)*(E403=E$2:E402)))))</f>
        <v/>
      </c>
      <c r="J403" s="24" t="str">
        <f ca="1">IF(OR(E403="",E403="!!!",F403="NEW"),"",COUNTBLANK(OFFSET(A$1,,,SUMPRODUCT(MAX(ROW(E$2:E403)*(E403=E$2:E403)))))-COUNTBLANK(OFFSET(A$1,,,SUMPRODUCT(MAX(ROW(E$1:E402)*(E2=E$1:E402))))))</f>
        <v/>
      </c>
      <c r="K403" s="24" t="str">
        <f>IF(OR(E403="",E403="!!!",F403="NEW"),"",INDEX(J$1:J402,SUMPRODUCT(MAX(ROW(E$1:E402)*(E403=E$1:E402)))))</f>
        <v/>
      </c>
      <c r="L403" s="29"/>
    </row>
    <row r="404" spans="1:12" x14ac:dyDescent="0.3">
      <c r="A404" t="s">
        <v>273</v>
      </c>
      <c r="E404" s="27"/>
      <c r="F404" s="28" t="str">
        <f>IF(OR(E404="",E404="!!!"),"",IF(NOT(ISNA(VLOOKUP(E404,E$1:E403,1,FALSE()))),"OLD",IF(AND(E404&lt;&gt;"",E404&lt;&gt;"!!!"),"NEW","")))</f>
        <v/>
      </c>
      <c r="G404" s="22" t="str">
        <f>IF(OR(E404="",E404="!!!"),"",IF(OR(J404=0,AND(J404=1,K404=1),AND(J404=1,I404="SBJ"),AND(J404=1,I404=0)),"?IN_FOCUS",IF(J404&lt;=2,"?ACTIVATED",IF(J404&lt;&gt;"","?FAMILIAR",IF(F404="NEW",IF(ISNA(VLOOKUP(E404,#REF!,1,FALSE())),"?TYPE_IDENTIFIABLE","?REFERENTIAL"),"_")))))</f>
        <v/>
      </c>
      <c r="H404" s="23" t="str">
        <f t="shared" ca="1" si="20"/>
        <v/>
      </c>
      <c r="I404" s="24" t="str">
        <f>IF(OR(E404="",E404="!!!",F404="NEW"),"",INDEX(B$2:B403,-1+SUMPRODUCT(MAX(ROW(E$2:E403)*(E404=E$2:E403)))))</f>
        <v/>
      </c>
      <c r="J404" s="24" t="str">
        <f ca="1">IF(OR(E404="",E404="!!!",F404="NEW"),"",COUNTBLANK(OFFSET(A$1,,,SUMPRODUCT(MAX(ROW(E$2:E404)*(E404=E$2:E404)))))-COUNTBLANK(OFFSET(A$1,,,SUMPRODUCT(MAX(ROW(E$1:E403)*(E2=E$1:E403))))))</f>
        <v/>
      </c>
      <c r="K404" s="24" t="str">
        <f>IF(OR(E404="",E404="!!!",F404="NEW"),"",INDEX(J$1:J403,SUMPRODUCT(MAX(ROW(E$1:E403)*(E404=E$1:E403)))))</f>
        <v/>
      </c>
      <c r="L404" s="29"/>
    </row>
    <row r="405" spans="1:12" x14ac:dyDescent="0.3">
      <c r="A405" t="s">
        <v>139</v>
      </c>
      <c r="B405" s="26" t="s">
        <v>140</v>
      </c>
      <c r="C405" s="26" t="s">
        <v>141</v>
      </c>
      <c r="D405" s="26" t="s">
        <v>98</v>
      </c>
      <c r="E405" s="27" t="s">
        <v>326</v>
      </c>
      <c r="F405" s="28" t="str">
        <f>IF(OR(E405="",E405="!!!"),"",IF(NOT(ISNA(VLOOKUP(E405,E$1:E404,1,FALSE()))),"OLD",IF(AND(E405&lt;&gt;"",E405&lt;&gt;"!!!"),"NEW","")))</f>
        <v>OLD</v>
      </c>
      <c r="G405" s="22" t="str">
        <f ca="1">IF(OR(E405="",E405="!!!"),"",IF(OR(J405=0,AND(J405=1,K405=1),AND(J405=1,I405="SBJ"),AND(J405=1,I405=0)),"?IN_FOCUS",IF(J405&lt;=2,"?ACTIVATED",IF(J405&lt;&gt;"","?FAMILIAR",IF(F405="NEW",IF(ISNA(VLOOKUP(E405,#REF!,1,FALSE())),"?TYPE_IDENTIFIABLE","?REFERENTIAL"),"_")))))</f>
        <v>?IN_FOCUS</v>
      </c>
      <c r="H405" s="23" t="str">
        <f t="shared" ca="1" si="20"/>
        <v/>
      </c>
      <c r="I405" s="24" t="str">
        <f>IF(OR(E405="",E405="!!!",F405="NEW"),"",INDEX(B$2:B404,-1+SUMPRODUCT(MAX(ROW(E$2:E404)*(E405=E$2:E404)))))</f>
        <v>SBJ</v>
      </c>
      <c r="J405" s="24">
        <f ca="1">IF(OR(E405="",E405="!!!",F405="NEW"),"",COUNTBLANK(OFFSET(A$1,,,SUMPRODUCT(MAX(ROW(E$2:E405)*(E405=E$2:E405)))))-COUNTBLANK(OFFSET(A$1,,,SUMPRODUCT(MAX(ROW(E$1:E404)*(E2=E$1:E404))))))</f>
        <v>0</v>
      </c>
      <c r="K405" s="24">
        <f ca="1">IF(OR(E405="",E405="!!!",F405="NEW"),"",INDEX(J$1:J404,SUMPRODUCT(MAX(ROW(E$1:E404)*(E405=E$1:E404)))))</f>
        <v>0</v>
      </c>
      <c r="L405" s="29"/>
    </row>
    <row r="406" spans="1:12" x14ac:dyDescent="0.3">
      <c r="A406" t="s">
        <v>245</v>
      </c>
      <c r="B406" s="26" t="s">
        <v>101</v>
      </c>
      <c r="C406" s="26" t="s">
        <v>246</v>
      </c>
      <c r="D406" s="26" t="s">
        <v>98</v>
      </c>
      <c r="E406" s="27"/>
      <c r="F406" s="28" t="str">
        <f>IF(OR(E406="",E406="!!!"),"",IF(NOT(ISNA(VLOOKUP(E406,E$1:E405,1,FALSE()))),"OLD",IF(AND(E406&lt;&gt;"",E406&lt;&gt;"!!!"),"NEW","")))</f>
        <v/>
      </c>
      <c r="G406" s="22" t="str">
        <f>IF(OR(E406="",E406="!!!"),"",IF(OR(J406=0,AND(J406=1,K406=1),AND(J406=1,I406="SBJ"),AND(J406=1,I406=0)),"?IN_FOCUS",IF(J406&lt;=2,"?ACTIVATED",IF(J406&lt;&gt;"","?FAMILIAR",IF(F406="NEW",IF(ISNA(VLOOKUP(E406,#REF!,1,FALSE())),"?TYPE_IDENTIFIABLE","?REFERENTIAL"),"_")))))</f>
        <v/>
      </c>
      <c r="H406" s="23" t="str">
        <f t="shared" ca="1" si="20"/>
        <v/>
      </c>
      <c r="I406" s="24" t="str">
        <f>IF(OR(E406="",E406="!!!",F406="NEW"),"",INDEX(B$2:B405,-1+SUMPRODUCT(MAX(ROW(E$2:E405)*(E406=E$2:E405)))))</f>
        <v/>
      </c>
      <c r="J406" s="24" t="str">
        <f ca="1">IF(OR(E406="",E406="!!!",F406="NEW"),"",COUNTBLANK(OFFSET(A$1,,,SUMPRODUCT(MAX(ROW(E$2:E406)*(E406=E$2:E406)))))-COUNTBLANK(OFFSET(A$1,,,SUMPRODUCT(MAX(ROW(E$1:E405)*(E2=E$1:E405))))))</f>
        <v/>
      </c>
      <c r="K406" s="24" t="str">
        <f>IF(OR(E406="",E406="!!!",F406="NEW"),"",INDEX(J$1:J405,SUMPRODUCT(MAX(ROW(E$1:E405)*(E406=E$1:E405)))))</f>
        <v/>
      </c>
      <c r="L406" s="29" t="s">
        <v>366</v>
      </c>
    </row>
    <row r="407" spans="1:12" x14ac:dyDescent="0.3">
      <c r="A407" t="s">
        <v>307</v>
      </c>
      <c r="E407" s="27"/>
      <c r="F407" s="28" t="str">
        <f>IF(OR(E407="",E407="!!!"),"",IF(NOT(ISNA(VLOOKUP(E407,E$1:E406,1,FALSE()))),"OLD",IF(AND(E407&lt;&gt;"",E407&lt;&gt;"!!!"),"NEW","")))</f>
        <v/>
      </c>
      <c r="G407" s="22" t="str">
        <f>IF(OR(E407="",E407="!!!"),"",IF(OR(J407=0,AND(J407=1,K407=1),AND(J407=1,I407="SBJ"),AND(J407=1,I407=0)),"?IN_FOCUS",IF(J407&lt;=2,"?ACTIVATED",IF(J407&lt;&gt;"","?FAMILIAR",IF(F407="NEW",IF(ISNA(VLOOKUP(E407,#REF!,1,FALSE())),"?TYPE_IDENTIFIABLE","?REFERENTIAL"),"_")))))</f>
        <v/>
      </c>
      <c r="H407" s="23" t="str">
        <f t="shared" ca="1" si="20"/>
        <v/>
      </c>
      <c r="I407" s="24" t="str">
        <f>IF(OR(E407="",E407="!!!",F407="NEW"),"",INDEX(B$2:B406,-1+SUMPRODUCT(MAX(ROW(E$2:E406)*(E407=E$2:E406)))))</f>
        <v/>
      </c>
      <c r="J407" s="24" t="str">
        <f ca="1">IF(OR(E407="",E407="!!!",F407="NEW"),"",COUNTBLANK(OFFSET(A$1,,,SUMPRODUCT(MAX(ROW(E$2:E407)*(E407=E$2:E407)))))-COUNTBLANK(OFFSET(A$1,,,SUMPRODUCT(MAX(ROW(E$1:E406)*(E2=E$1:E406))))))</f>
        <v/>
      </c>
      <c r="K407" s="24" t="str">
        <f>IF(OR(E407="",E407="!!!",F407="NEW"),"",INDEX(J$1:J406,SUMPRODUCT(MAX(ROW(E$1:E406)*(E407=E$1:E406)))))</f>
        <v/>
      </c>
      <c r="L407" s="29"/>
    </row>
    <row r="408" spans="1:12" x14ac:dyDescent="0.3">
      <c r="A408" t="s">
        <v>308</v>
      </c>
      <c r="B408" s="26" t="s">
        <v>123</v>
      </c>
      <c r="C408" s="26" t="s">
        <v>249</v>
      </c>
      <c r="D408" s="26" t="s">
        <v>98</v>
      </c>
      <c r="E408" s="27"/>
      <c r="F408" s="28" t="s">
        <v>333</v>
      </c>
      <c r="G408" s="22" t="str">
        <f>IF(OR(E408="",E408="!!!"),"",IF(OR(J408=0,AND(J408=1,K408=1),AND(J408=1,I408="SBJ"),AND(J408=1,I408=0)),"?IN_FOCUS",IF(J408&lt;=2,"?ACTIVATED",IF(J408&lt;&gt;"","?FAMILIAR",IF(F408="NEW",IF(ISNA(VLOOKUP(E408,#REF!,1,FALSE())),"?TYPE_IDENTIFIABLE","?REFERENTIAL"),"_")))))</f>
        <v/>
      </c>
      <c r="H408" s="23" t="str">
        <f t="shared" ca="1" si="20"/>
        <v/>
      </c>
      <c r="I408" s="24" t="str">
        <f>IF(OR(E408="",E408="!!!",F408="NEW"),"",INDEX(B$2:B407,-1+SUMPRODUCT(MAX(ROW(E$2:E407)*(E408=E$2:E407)))))</f>
        <v/>
      </c>
      <c r="J408" s="24" t="str">
        <f ca="1">IF(OR(E408="",E408="!!!",F408="NEW"),"",COUNTBLANK(OFFSET(A$1,,,SUMPRODUCT(MAX(ROW(E$2:E408)*(E408=E$2:E408)))))-COUNTBLANK(OFFSET(A$1,,,SUMPRODUCT(MAX(ROW(E$1:E407)*(E2=E$1:E407))))))</f>
        <v/>
      </c>
      <c r="K408" s="24" t="str">
        <f>IF(OR(E408="",E408="!!!",F408="NEW"),"",INDEX(J$1:J407,SUMPRODUCT(MAX(ROW(E$1:E407)*(E408=E$1:E407)))))</f>
        <v/>
      </c>
      <c r="L408" s="29"/>
    </row>
    <row r="409" spans="1:12" x14ac:dyDescent="0.3">
      <c r="A409" t="s">
        <v>108</v>
      </c>
      <c r="E409" s="27"/>
      <c r="F409" s="28" t="str">
        <f>IF(OR(E409="",E409="!!!"),"",IF(NOT(ISNA(VLOOKUP(E409,E$1:E408,1,FALSE()))),"OLD",IF(AND(E409&lt;&gt;"",E409&lt;&gt;"!!!"),"NEW","")))</f>
        <v/>
      </c>
      <c r="G409" s="22" t="str">
        <f>IF(OR(E409="",E409="!!!"),"",IF(OR(J409=0,AND(J409=1,K409=1),AND(J409=1,I409="SBJ"),AND(J409=1,I409=0)),"?IN_FOCUS",IF(J409&lt;=2,"?ACTIVATED",IF(J409&lt;&gt;"","?FAMILIAR",IF(F409="NEW",IF(ISNA(VLOOKUP(E409,#REF!,1,FALSE())),"?TYPE_IDENTIFIABLE","?REFERENTIAL"),"_")))))</f>
        <v/>
      </c>
      <c r="H409" s="23" t="str">
        <f t="shared" ca="1" si="20"/>
        <v/>
      </c>
      <c r="I409" s="24" t="str">
        <f>IF(OR(E409="",E409="!!!",F409="NEW"),"",INDEX(B$2:B408,-1+SUMPRODUCT(MAX(ROW(E$2:E408)*(E409=E$2:E408)))))</f>
        <v/>
      </c>
      <c r="J409" s="24" t="str">
        <f ca="1">IF(OR(E409="",E409="!!!",F409="NEW"),"",COUNTBLANK(OFFSET(A$1,,,SUMPRODUCT(MAX(ROW(E$2:E409)*(E409=E$2:E409)))))-COUNTBLANK(OFFSET(A$1,,,SUMPRODUCT(MAX(ROW(E$1:E408)*(E2=E$1:E408))))))</f>
        <v/>
      </c>
      <c r="K409" s="24" t="str">
        <f>IF(OR(E409="",E409="!!!",F409="NEW"),"",INDEX(J$1:J408,SUMPRODUCT(MAX(ROW(E$1:E408)*(E409=E$1:E408)))))</f>
        <v/>
      </c>
      <c r="L409" s="29"/>
    </row>
    <row r="410" spans="1:12" x14ac:dyDescent="0.3">
      <c r="A410" t="s">
        <v>109</v>
      </c>
      <c r="B410" s="26" t="s">
        <v>110</v>
      </c>
      <c r="E410" s="27"/>
      <c r="F410" s="28" t="str">
        <f>IF(OR(E410="",E410="!!!"),"",IF(NOT(ISNA(VLOOKUP(E410,E$1:E409,1,FALSE()))),"OLD",IF(AND(E410&lt;&gt;"",E410&lt;&gt;"!!!"),"NEW","")))</f>
        <v/>
      </c>
      <c r="G410" s="22" t="str">
        <f>IF(OR(E410="",E410="!!!"),"",IF(OR(J410=0,AND(J410=1,K410=1),AND(J410=1,I410="SBJ"),AND(J410=1,I410=0)),"?IN_FOCUS",IF(J410&lt;=2,"?ACTIVATED",IF(J410&lt;&gt;"","?FAMILIAR",IF(F410="NEW",IF(ISNA(VLOOKUP(E410,#REF!,1,FALSE())),"?TYPE_IDENTIFIABLE","?REFERENTIAL"),"_")))))</f>
        <v/>
      </c>
      <c r="H410" s="23" t="str">
        <f t="shared" ca="1" si="20"/>
        <v/>
      </c>
      <c r="I410" s="24" t="str">
        <f>IF(OR(E410="",E410="!!!",F410="NEW"),"",INDEX(B$2:B409,-1+SUMPRODUCT(MAX(ROW(E$2:E409)*(E410=E$2:E409)))))</f>
        <v/>
      </c>
      <c r="J410" s="24" t="str">
        <f ca="1">IF(OR(E410="",E410="!!!",F410="NEW"),"",COUNTBLANK(OFFSET(A$1,,,SUMPRODUCT(MAX(ROW(E$2:E410)*(E410=E$2:E410)))))-COUNTBLANK(OFFSET(A$1,,,SUMPRODUCT(MAX(ROW(E$1:E409)*(E2=E$1:E409))))))</f>
        <v/>
      </c>
      <c r="K410" s="24" t="str">
        <f>IF(OR(E410="",E410="!!!",F410="NEW"),"",INDEX(J$1:J409,SUMPRODUCT(MAX(ROW(E$1:E409)*(E410=E$1:E409)))))</f>
        <v/>
      </c>
      <c r="L410" s="29"/>
    </row>
    <row r="411" spans="1:12" x14ac:dyDescent="0.3">
      <c r="A411" t="s">
        <v>309</v>
      </c>
      <c r="B411" s="26" t="s">
        <v>117</v>
      </c>
      <c r="C411" s="26" t="s">
        <v>145</v>
      </c>
      <c r="E411" s="27"/>
      <c r="F411" s="28" t="str">
        <f>IF(OR(E411="",E411="!!!"),"",IF(NOT(ISNA(VLOOKUP(E411,E$1:E410,1,FALSE()))),"OLD",IF(AND(E411&lt;&gt;"",E411&lt;&gt;"!!!"),"NEW","")))</f>
        <v/>
      </c>
      <c r="G411" s="22" t="str">
        <f>IF(OR(E411="",E411="!!!"),"",IF(OR(J411=0,AND(J411=1,K411=1),AND(J411=1,I411="SBJ"),AND(J411=1,I411=0)),"?IN_FOCUS",IF(J411&lt;=2,"?ACTIVATED",IF(J411&lt;&gt;"","?FAMILIAR",IF(F411="NEW",IF(ISNA(VLOOKUP(E411,#REF!,1,FALSE())),"?TYPE_IDENTIFIABLE","?REFERENTIAL"),"_")))))</f>
        <v/>
      </c>
      <c r="H411" s="23" t="str">
        <f t="shared" ca="1" si="20"/>
        <v/>
      </c>
      <c r="I411" s="24" t="str">
        <f>IF(OR(E411="",E411="!!!",F411="NEW"),"",INDEX(B$2:B410,-1+SUMPRODUCT(MAX(ROW(E$2:E410)*(E411=E$2:E410)))))</f>
        <v/>
      </c>
      <c r="J411" s="24" t="str">
        <f ca="1">IF(OR(E411="",E411="!!!",F411="NEW"),"",COUNTBLANK(OFFSET(A$1,,,SUMPRODUCT(MAX(ROW(E$2:E411)*(E411=E$2:E411)))))-COUNTBLANK(OFFSET(A$1,,,SUMPRODUCT(MAX(ROW(E$1:E410)*(E2=E$1:E410))))))</f>
        <v/>
      </c>
      <c r="K411" s="24" t="str">
        <f>IF(OR(E411="",E411="!!!",F411="NEW"),"",INDEX(J$1:J410,SUMPRODUCT(MAX(ROW(E$1:E410)*(E411=E$1:E410)))))</f>
        <v/>
      </c>
      <c r="L411" s="29"/>
    </row>
    <row r="412" spans="1:12" x14ac:dyDescent="0.3">
      <c r="A412" t="s">
        <v>310</v>
      </c>
      <c r="B412" s="26" t="s">
        <v>235</v>
      </c>
      <c r="C412" s="26" t="s">
        <v>115</v>
      </c>
      <c r="E412" s="27"/>
      <c r="F412" s="28" t="str">
        <f>IF(OR(E412="",E412="!!!"),"",IF(NOT(ISNA(VLOOKUP(E412,E$1:E411,1,FALSE()))),"OLD",IF(AND(E412&lt;&gt;"",E412&lt;&gt;"!!!"),"NEW","")))</f>
        <v/>
      </c>
      <c r="G412" s="22" t="str">
        <f>IF(OR(E412="",E412="!!!"),"",IF(OR(J412=0,AND(J412=1,K412=1),AND(J412=1,I412="SBJ"),AND(J412=1,I412=0)),"?IN_FOCUS",IF(J412&lt;=2,"?ACTIVATED",IF(J412&lt;&gt;"","?FAMILIAR",IF(F412="NEW",IF(ISNA(VLOOKUP(E412,#REF!,1,FALSE())),"?TYPE_IDENTIFIABLE","?REFERENTIAL"),"_")))))</f>
        <v/>
      </c>
      <c r="H412" s="23" t="str">
        <f t="shared" ca="1" si="20"/>
        <v/>
      </c>
      <c r="I412" s="24" t="str">
        <f>IF(OR(E412="",E412="!!!",F412="NEW"),"",INDEX(B$2:B411,-1+SUMPRODUCT(MAX(ROW(E$2:E411)*(E412=E$2:E411)))))</f>
        <v/>
      </c>
      <c r="J412" s="24" t="str">
        <f ca="1">IF(OR(E412="",E412="!!!",F412="NEW"),"",COUNTBLANK(OFFSET(A$1,,,SUMPRODUCT(MAX(ROW(E$2:E412)*(E412=E$2:E412)))))-COUNTBLANK(OFFSET(A$1,,,SUMPRODUCT(MAX(ROW(E$1:E411)*(E2=E$1:E411))))))</f>
        <v/>
      </c>
      <c r="K412" s="24" t="str">
        <f>IF(OR(E412="",E412="!!!",F412="NEW"),"",INDEX(J$1:J411,SUMPRODUCT(MAX(ROW(E$1:E411)*(E412=E$1:E411)))))</f>
        <v/>
      </c>
      <c r="L412" s="29"/>
    </row>
    <row r="413" spans="1:12" x14ac:dyDescent="0.3">
      <c r="A413" t="s">
        <v>311</v>
      </c>
      <c r="E413" s="27"/>
      <c r="F413" s="28" t="str">
        <f>IF(OR(E413="",E413="!!!"),"",IF(NOT(ISNA(VLOOKUP(E413,E$1:E412,1,FALSE()))),"OLD",IF(AND(E413&lt;&gt;"",E413&lt;&gt;"!!!"),"NEW","")))</f>
        <v/>
      </c>
      <c r="G413" s="22" t="str">
        <f>IF(OR(E413="",E413="!!!"),"",IF(OR(J413=0,AND(J413=1,K413=1),AND(J413=1,I413="SBJ"),AND(J413=1,I413=0)),"?IN_FOCUS",IF(J413&lt;=2,"?ACTIVATED",IF(J413&lt;&gt;"","?FAMILIAR",IF(F413="NEW",IF(ISNA(VLOOKUP(E413,#REF!,1,FALSE())),"?TYPE_IDENTIFIABLE","?REFERENTIAL"),"_")))))</f>
        <v/>
      </c>
      <c r="H413" s="23" t="str">
        <f t="shared" ca="1" si="20"/>
        <v/>
      </c>
      <c r="I413" s="24" t="str">
        <f>IF(OR(E413="",E413="!!!",F413="NEW"),"",INDEX(B$2:B412,-1+SUMPRODUCT(MAX(ROW(E$2:E412)*(E413=E$2:E412)))))</f>
        <v/>
      </c>
      <c r="J413" s="24" t="str">
        <f ca="1">IF(OR(E413="",E413="!!!",F413="NEW"),"",COUNTBLANK(OFFSET(A$1,,,SUMPRODUCT(MAX(ROW(E$2:E413)*(E413=E$2:E413)))))-COUNTBLANK(OFFSET(A$1,,,SUMPRODUCT(MAX(ROW(E$1:E412)*(E2=E$1:E412))))))</f>
        <v/>
      </c>
      <c r="K413" s="24" t="str">
        <f>IF(OR(E413="",E413="!!!",F413="NEW"),"",INDEX(J$1:J412,SUMPRODUCT(MAX(ROW(E$1:E412)*(E413=E$1:E412)))))</f>
        <v/>
      </c>
      <c r="L413" s="29"/>
    </row>
    <row r="414" spans="1:12" x14ac:dyDescent="0.3">
      <c r="A414" t="s">
        <v>312</v>
      </c>
      <c r="E414" s="27"/>
      <c r="F414" s="28" t="str">
        <f>IF(OR(E414="",E414="!!!"),"",IF(NOT(ISNA(VLOOKUP(E414,E$1:E413,1,FALSE()))),"OLD",IF(AND(E414&lt;&gt;"",E414&lt;&gt;"!!!"),"NEW","")))</f>
        <v/>
      </c>
      <c r="G414" s="22" t="str">
        <f>IF(OR(E414="",E414="!!!"),"",IF(OR(J414=0,AND(J414=1,K414=1),AND(J414=1,I414="SBJ"),AND(J414=1,I414=0)),"?IN_FOCUS",IF(J414&lt;=2,"?ACTIVATED",IF(J414&lt;&gt;"","?FAMILIAR",IF(F414="NEW",IF(ISNA(VLOOKUP(E414,#REF!,1,FALSE())),"?TYPE_IDENTIFIABLE","?REFERENTIAL"),"_")))))</f>
        <v/>
      </c>
      <c r="H414" s="23" t="str">
        <f t="shared" ca="1" si="20"/>
        <v/>
      </c>
      <c r="I414" s="24" t="str">
        <f>IF(OR(E414="",E414="!!!",F414="NEW"),"",INDEX(B$2:B413,-1+SUMPRODUCT(MAX(ROW(E$2:E413)*(E414=E$2:E413)))))</f>
        <v/>
      </c>
      <c r="J414" s="24" t="str">
        <f ca="1">IF(OR(E414="",E414="!!!",F414="NEW"),"",COUNTBLANK(OFFSET(A$1,,,SUMPRODUCT(MAX(ROW(E$2:E414)*(E414=E$2:E414)))))-COUNTBLANK(OFFSET(A$1,,,SUMPRODUCT(MAX(ROW(E$1:E413)*(E2=E$1:E413))))))</f>
        <v/>
      </c>
      <c r="K414" s="24" t="str">
        <f>IF(OR(E414="",E414="!!!",F414="NEW"),"",INDEX(J$1:J413,SUMPRODUCT(MAX(ROW(E$1:E413)*(E414=E$1:E413)))))</f>
        <v/>
      </c>
      <c r="L414" s="29"/>
    </row>
    <row r="415" spans="1:12" x14ac:dyDescent="0.3">
      <c r="A415" t="s">
        <v>108</v>
      </c>
      <c r="E415" s="27"/>
      <c r="F415" s="28" t="str">
        <f>IF(OR(E415="",E415="!!!"),"",IF(NOT(ISNA(VLOOKUP(E415,E$1:E414,1,FALSE()))),"OLD",IF(AND(E415&lt;&gt;"",E415&lt;&gt;"!!!"),"NEW","")))</f>
        <v/>
      </c>
      <c r="G415" s="22" t="str">
        <f>IF(OR(E415="",E415="!!!"),"",IF(OR(J415=0,AND(J415=1,K415=1),AND(J415=1,I415="SBJ"),AND(J415=1,I415=0)),"?IN_FOCUS",IF(J415&lt;=2,"?ACTIVATED",IF(J415&lt;&gt;"","?FAMILIAR",IF(F415="NEW",IF(ISNA(VLOOKUP(E415,#REF!,1,FALSE())),"?TYPE_IDENTIFIABLE","?REFERENTIAL"),"_")))))</f>
        <v/>
      </c>
      <c r="H415" s="23" t="str">
        <f t="shared" ca="1" si="20"/>
        <v/>
      </c>
      <c r="I415" s="24" t="str">
        <f>IF(OR(E415="",E415="!!!",F415="NEW"),"",INDEX(B$2:B414,-1+SUMPRODUCT(MAX(ROW(E$2:E414)*(E415=E$2:E414)))))</f>
        <v/>
      </c>
      <c r="J415" s="24" t="str">
        <f ca="1">IF(OR(E415="",E415="!!!",F415="NEW"),"",COUNTBLANK(OFFSET(A$1,,,SUMPRODUCT(MAX(ROW(E$2:E415)*(E415=E$2:E415)))))-COUNTBLANK(OFFSET(A$1,,,SUMPRODUCT(MAX(ROW(E$1:E414)*(E2=E$1:E414))))))</f>
        <v/>
      </c>
      <c r="K415" s="24" t="str">
        <f>IF(OR(E415="",E415="!!!",F415="NEW"),"",INDEX(J$1:J414,SUMPRODUCT(MAX(ROW(E$1:E414)*(E415=E$1:E414)))))</f>
        <v/>
      </c>
      <c r="L415" s="29"/>
    </row>
    <row r="416" spans="1:12" x14ac:dyDescent="0.3">
      <c r="A416" t="s">
        <v>152</v>
      </c>
      <c r="E416" s="27"/>
      <c r="F416" s="28" t="str">
        <f>IF(OR(E416="",E416="!!!"),"",IF(NOT(ISNA(VLOOKUP(E416,E$1:E415,1,FALSE()))),"OLD",IF(AND(E416&lt;&gt;"",E416&lt;&gt;"!!!"),"NEW","")))</f>
        <v/>
      </c>
      <c r="G416" s="22" t="str">
        <f>IF(OR(E416="",E416="!!!"),"",IF(OR(J416=0,AND(J416=1,K416=1),AND(J416=1,I416="SBJ"),AND(J416=1,I416=0)),"?IN_FOCUS",IF(J416&lt;=2,"?ACTIVATED",IF(J416&lt;&gt;"","?FAMILIAR",IF(F416="NEW",IF(ISNA(VLOOKUP(E416,#REF!,1,FALSE())),"?TYPE_IDENTIFIABLE","?REFERENTIAL"),"_")))))</f>
        <v/>
      </c>
      <c r="H416" s="23" t="str">
        <f t="shared" ca="1" si="20"/>
        <v/>
      </c>
      <c r="I416" s="24" t="str">
        <f>IF(OR(E416="",E416="!!!",F416="NEW"),"",INDEX(B$2:B415,-1+SUMPRODUCT(MAX(ROW(E$2:E415)*(E416=E$2:E415)))))</f>
        <v/>
      </c>
      <c r="J416" s="24" t="str">
        <f ca="1">IF(OR(E416="",E416="!!!",F416="NEW"),"",COUNTBLANK(OFFSET(A$1,,,SUMPRODUCT(MAX(ROW(E$2:E416)*(E416=E$2:E416)))))-COUNTBLANK(OFFSET(A$1,,,SUMPRODUCT(MAX(ROW(E$1:E415)*(E2=E$1:E415))))))</f>
        <v/>
      </c>
      <c r="K416" s="24" t="str">
        <f>IF(OR(E416="",E416="!!!",F416="NEW"),"",INDEX(J$1:J415,SUMPRODUCT(MAX(ROW(E$1:E415)*(E416=E$1:E415)))))</f>
        <v/>
      </c>
      <c r="L416" s="29"/>
    </row>
    <row r="417" spans="1:12" x14ac:dyDescent="0.3">
      <c r="A417" t="s">
        <v>136</v>
      </c>
      <c r="E417" s="27"/>
      <c r="F417" s="28" t="str">
        <f>IF(OR(E417="",E417="!!!"),"",IF(NOT(ISNA(VLOOKUP(E417,E$1:E416,1,FALSE()))),"OLD",IF(AND(E417&lt;&gt;"",E417&lt;&gt;"!!!"),"NEW","")))</f>
        <v/>
      </c>
      <c r="G417" s="22" t="str">
        <f>IF(OR(E417="",E417="!!!"),"",IF(OR(J417=0,AND(J417=1,K417=1),AND(J417=1,I417="SBJ"),AND(J417=1,I417=0)),"?IN_FOCUS",IF(J417&lt;=2,"?ACTIVATED",IF(J417&lt;&gt;"","?FAMILIAR",IF(F417="NEW",IF(ISNA(VLOOKUP(E417,#REF!,1,FALSE())),"?TYPE_IDENTIFIABLE","?REFERENTIAL"),"_")))))</f>
        <v/>
      </c>
      <c r="H417" s="23" t="str">
        <f t="shared" ca="1" si="20"/>
        <v/>
      </c>
      <c r="I417" s="24" t="str">
        <f>IF(OR(E417="",E417="!!!",F417="NEW"),"",INDEX(B$2:B416,-1+SUMPRODUCT(MAX(ROW(E$2:E416)*(E417=E$2:E416)))))</f>
        <v/>
      </c>
      <c r="J417" s="24" t="str">
        <f ca="1">IF(OR(E417="",E417="!!!",F417="NEW"),"",COUNTBLANK(OFFSET(A$1,,,SUMPRODUCT(MAX(ROW(E$2:E417)*(E417=E$2:E417)))))-COUNTBLANK(OFFSET(A$1,,,SUMPRODUCT(MAX(ROW(E$1:E416)*(E2=E$1:E416))))))</f>
        <v/>
      </c>
      <c r="K417" s="24" t="str">
        <f>IF(OR(E417="",E417="!!!",F417="NEW"),"",INDEX(J$1:J416,SUMPRODUCT(MAX(ROW(E$1:E416)*(E417=E$1:E416)))))</f>
        <v/>
      </c>
      <c r="L417" s="29"/>
    </row>
    <row r="418" spans="1:12" x14ac:dyDescent="0.3">
      <c r="A418" t="s">
        <v>139</v>
      </c>
      <c r="B418" s="26" t="s">
        <v>96</v>
      </c>
      <c r="C418" s="26" t="s">
        <v>141</v>
      </c>
      <c r="D418" s="26" t="s">
        <v>98</v>
      </c>
      <c r="E418" s="27" t="s">
        <v>338</v>
      </c>
      <c r="F418" s="28" t="str">
        <f>IF(OR(E418="",E418="!!!"),"",IF(NOT(ISNA(VLOOKUP(E418,E$1:E417,1,FALSE()))),"OLD",IF(AND(E418&lt;&gt;"",E418&lt;&gt;"!!!"),"NEW","")))</f>
        <v>OLD</v>
      </c>
      <c r="G418" s="22" t="str">
        <f ca="1">IF(OR(E418="",E418="!!!"),"",IF(OR(J418=0,AND(J418=1,K418=1),AND(J418=1,I418="SBJ"),AND(J418=1,I418=0)),"?IN_FOCUS",IF(J418&lt;=2,"?ACTIVATED",IF(J418&lt;&gt;"","?FAMILIAR",IF(F418="NEW",IF(ISNA(VLOOKUP(E418,#REF!,1,FALSE())),"?TYPE_IDENTIFIABLE","?REFERENTIAL"),"_")))))</f>
        <v>?IN_FOCUS</v>
      </c>
      <c r="H418" s="23" t="str">
        <f t="shared" ca="1" si="20"/>
        <v/>
      </c>
      <c r="I418" s="24" t="str">
        <f>IF(OR(E418="",E418="!!!",F418="NEW"),"",INDEX(B$2:B417,-1+SUMPRODUCT(MAX(ROW(E$2:E417)*(E418=E$2:E417)))))</f>
        <v>SBJ_2</v>
      </c>
      <c r="J418" s="24">
        <f ca="1">IF(OR(E418="",E418="!!!",F418="NEW"),"",COUNTBLANK(OFFSET(A$1,,,SUMPRODUCT(MAX(ROW(E$2:E418)*(E418=E$2:E418)))))-COUNTBLANK(OFFSET(A$1,,,SUMPRODUCT(MAX(ROW(E$1:E417)*(E2=E$1:E417))))))</f>
        <v>0</v>
      </c>
      <c r="K418" s="24">
        <f ca="1">IF(OR(E418="",E418="!!!",F418="NEW"),"",INDEX(J$1:J417,SUMPRODUCT(MAX(ROW(E$1:E417)*(E418=E$1:E417)))))</f>
        <v>0</v>
      </c>
      <c r="L418" s="29"/>
    </row>
    <row r="419" spans="1:12" x14ac:dyDescent="0.3">
      <c r="A419" t="s">
        <v>129</v>
      </c>
      <c r="E419" s="27" t="str">
        <f>IF(D419="?OLD","!!!","")</f>
        <v/>
      </c>
      <c r="F419" s="28" t="str">
        <f>IF(OR(E419="",E419="!!!"),"",IF(NOT(ISNA(VLOOKUP(E419,E$1:E418,1,FALSE()))),"OLD",IF(AND(E419&lt;&gt;"",E419&lt;&gt;"!!!"),"NEW","")))</f>
        <v/>
      </c>
      <c r="G419" s="22" t="str">
        <f>IF(OR(E419="",E419="!!!"),"",IF(OR(J419=0,AND(J419=1,K419=1),AND(J419=1,I419="SBJ"),AND(J419=1,I419=0)),"?IN_FOCUS",IF(J419&lt;=2,"?ACTIVATED",IF(J419&lt;&gt;"","?FAMILIAR",IF(F419="NEW",IF(ISNA(VLOOKUP(E419,#REF!,1,FALSE())),"?TYPE_IDENTIFIABLE","?REFERENTIAL"),"_")))))</f>
        <v/>
      </c>
      <c r="H419" s="23" t="str">
        <f t="shared" ca="1" si="20"/>
        <v/>
      </c>
      <c r="I419" s="24" t="str">
        <f>IF(OR(E419="",E419="!!!",F419="NEW"),"",INDEX(B$2:B418,-1+SUMPRODUCT(MAX(ROW(E$2:E418)*(E419=E$2:E418)))))</f>
        <v/>
      </c>
      <c r="J419" s="24" t="str">
        <f ca="1">IF(OR(E419="",E419="!!!",F419="NEW"),"",COUNTBLANK(OFFSET(A$1,,,SUMPRODUCT(MAX(ROW(E$2:E419)*(E419=E$2:E419)))))-COUNTBLANK(OFFSET(A$1,,,SUMPRODUCT(MAX(ROW(E$1:E418)*(E2=E$1:E418))))))</f>
        <v/>
      </c>
      <c r="K419" s="24" t="str">
        <f>IF(OR(E419="",E419="!!!",F419="NEW"),"",INDEX(J$1:J418,SUMPRODUCT(MAX(ROW(E$1:E418)*(E419=E$1:E418)))))</f>
        <v/>
      </c>
      <c r="L419" s="29"/>
    </row>
    <row r="421" spans="1:12" x14ac:dyDescent="0.3">
      <c r="A421" t="s">
        <v>313</v>
      </c>
    </row>
    <row r="422" spans="1:12" x14ac:dyDescent="0.3">
      <c r="A422" t="s">
        <v>314</v>
      </c>
      <c r="B422" s="26" t="s">
        <v>96</v>
      </c>
      <c r="C422" s="26" t="s">
        <v>145</v>
      </c>
      <c r="E422" s="27" t="str">
        <f t="shared" ref="E422:E438" si="21">IF(D422="?OLD","!!!","")</f>
        <v/>
      </c>
      <c r="F422" s="28" t="s">
        <v>351</v>
      </c>
      <c r="G422" s="22" t="str">
        <f>IF(OR(E422="",E422="!!!"),"",IF(OR(J422=0,AND(J422=1,K422=1),AND(J422=1,I422="SBJ"),AND(J422=1,I422=0)),"?IN_FOCUS",IF(J422&lt;=2,"?ACTIVATED",IF(J422&lt;&gt;"","?FAMILIAR",IF(F422="NEW",IF(ISNA(VLOOKUP(E422,#REF!,1,FALSE())),"?TYPE_IDENTIFIABLE","?REFERENTIAL"),"_")))))</f>
        <v/>
      </c>
      <c r="H422" s="23" t="str">
        <f t="shared" ref="H422:H442" ca="1" si="22">IF(J422&lt;&gt;1,"",IF(I422="SBJ","CB","?"))</f>
        <v/>
      </c>
      <c r="I422" s="24" t="str">
        <f>IF(OR(E422="",E422="!!!",F422="NEW"),"",INDEX(B$2:B421,-1+SUMPRODUCT(MAX(ROW(E$2:E421)*(E422=E$2:E421)))))</f>
        <v/>
      </c>
      <c r="J422" s="24" t="str">
        <f ca="1">IF(OR(E422="",E422="!!!",F422="NEW"),"",COUNTBLANK(OFFSET(A$1,,,SUMPRODUCT(MAX(ROW(E$2:E422)*(E422=E$2:E422)))))-COUNTBLANK(OFFSET(A$1,,,SUMPRODUCT(MAX(ROW(E$1:E421)*(E2=E$1:E421))))))</f>
        <v/>
      </c>
      <c r="K422" s="24" t="str">
        <f>IF(OR(E422="",E422="!!!",F422="NEW"),"",INDEX(J$1:J421,SUMPRODUCT(MAX(ROW(E$1:E421)*(E422=E$1:E421)))))</f>
        <v/>
      </c>
      <c r="L422" s="29" t="s">
        <v>359</v>
      </c>
    </row>
    <row r="423" spans="1:12" x14ac:dyDescent="0.3">
      <c r="A423" t="s">
        <v>108</v>
      </c>
      <c r="E423" s="27" t="str">
        <f t="shared" si="21"/>
        <v/>
      </c>
      <c r="F423" s="28" t="str">
        <f>IF(OR(E423="",E423="!!!"),"",IF(NOT(ISNA(VLOOKUP(E423,E$1:E422,1,FALSE()))),"OLD",IF(AND(E423&lt;&gt;"",E423&lt;&gt;"!!!"),"NEW","")))</f>
        <v/>
      </c>
      <c r="G423" s="22" t="str">
        <f>IF(OR(E423="",E423="!!!"),"",IF(OR(J423=0,AND(J423=1,K423=1),AND(J423=1,I423="SBJ"),AND(J423=1,I423=0)),"?IN_FOCUS",IF(J423&lt;=2,"?ACTIVATED",IF(J423&lt;&gt;"","?FAMILIAR",IF(F423="NEW",IF(ISNA(VLOOKUP(E423,#REF!,1,FALSE())),"?TYPE_IDENTIFIABLE","?REFERENTIAL"),"_")))))</f>
        <v/>
      </c>
      <c r="H423" s="23" t="str">
        <f t="shared" ca="1" si="22"/>
        <v/>
      </c>
      <c r="I423" s="24" t="str">
        <f>IF(OR(E423="",E423="!!!",F423="NEW"),"",INDEX(B$2:B422,-1+SUMPRODUCT(MAX(ROW(E$2:E422)*(E423=E$2:E422)))))</f>
        <v/>
      </c>
      <c r="J423" s="24" t="str">
        <f ca="1">IF(OR(E423="",E423="!!!",F423="NEW"),"",COUNTBLANK(OFFSET(A$1,,,SUMPRODUCT(MAX(ROW(E$2:E423)*(E423=E$2:E423)))))-COUNTBLANK(OFFSET(A$1,,,SUMPRODUCT(MAX(ROW(E$1:E422)*(E2=E$1:E422))))))</f>
        <v/>
      </c>
      <c r="K423" s="24" t="str">
        <f>IF(OR(E423="",E423="!!!",F423="NEW"),"",INDEX(J$1:J422,SUMPRODUCT(MAX(ROW(E$1:E422)*(E423=E$1:E422)))))</f>
        <v/>
      </c>
      <c r="L423" s="29"/>
    </row>
    <row r="424" spans="1:12" x14ac:dyDescent="0.3">
      <c r="A424" t="s">
        <v>109</v>
      </c>
      <c r="E424" s="27" t="str">
        <f t="shared" si="21"/>
        <v/>
      </c>
      <c r="F424" s="28" t="str">
        <f>IF(OR(E424="",E424="!!!"),"",IF(NOT(ISNA(VLOOKUP(E424,E$1:E423,1,FALSE()))),"OLD",IF(AND(E424&lt;&gt;"",E424&lt;&gt;"!!!"),"NEW","")))</f>
        <v/>
      </c>
      <c r="G424" s="22" t="str">
        <f>IF(OR(E424="",E424="!!!"),"",IF(OR(J424=0,AND(J424=1,K424=1),AND(J424=1,I424="SBJ"),AND(J424=1,I424=0)),"?IN_FOCUS",IF(J424&lt;=2,"?ACTIVATED",IF(J424&lt;&gt;"","?FAMILIAR",IF(F424="NEW",IF(ISNA(VLOOKUP(E424,#REF!,1,FALSE())),"?TYPE_IDENTIFIABLE","?REFERENTIAL"),"_")))))</f>
        <v/>
      </c>
      <c r="H424" s="23" t="str">
        <f t="shared" ca="1" si="22"/>
        <v/>
      </c>
      <c r="I424" s="24" t="str">
        <f>IF(OR(E424="",E424="!!!",F424="NEW"),"",INDEX(B$2:B423,-1+SUMPRODUCT(MAX(ROW(E$2:E423)*(E424=E$2:E423)))))</f>
        <v/>
      </c>
      <c r="J424" s="24" t="str">
        <f ca="1">IF(OR(E424="",E424="!!!",F424="NEW"),"",COUNTBLANK(OFFSET(A$1,,,SUMPRODUCT(MAX(ROW(E$2:E424)*(E424=E$2:E424)))))-COUNTBLANK(OFFSET(A$1,,,SUMPRODUCT(MAX(ROW(E$1:E423)*(E2=E$1:E423))))))</f>
        <v/>
      </c>
      <c r="K424" s="24" t="str">
        <f>IF(OR(E424="",E424="!!!",F424="NEW"),"",INDEX(J$1:J423,SUMPRODUCT(MAX(ROW(E$1:E423)*(E424=E$1:E423)))))</f>
        <v/>
      </c>
      <c r="L424" s="29"/>
    </row>
    <row r="425" spans="1:12" x14ac:dyDescent="0.3">
      <c r="A425" t="s">
        <v>315</v>
      </c>
      <c r="B425" s="26" t="s">
        <v>101</v>
      </c>
      <c r="C425" s="26" t="s">
        <v>124</v>
      </c>
      <c r="D425" s="26" t="s">
        <v>98</v>
      </c>
      <c r="E425" s="27"/>
      <c r="F425" s="28" t="s">
        <v>351</v>
      </c>
      <c r="G425" s="22" t="str">
        <f>IF(OR(E425="",E425="!!!"),"",IF(OR(J425=0,AND(J425=1,K425=1),AND(J425=1,I425="SBJ"),AND(J425=1,I425=0)),"?IN_FOCUS",IF(J425&lt;=2,"?ACTIVATED",IF(J425&lt;&gt;"","?FAMILIAR",IF(F425="NEW",IF(ISNA(VLOOKUP(E425,#REF!,1,FALSE())),"?TYPE_IDENTIFIABLE","?REFERENTIAL"),"_")))))</f>
        <v/>
      </c>
      <c r="H425" s="23" t="str">
        <f t="shared" ca="1" si="22"/>
        <v/>
      </c>
      <c r="I425" s="24" t="str">
        <f>IF(OR(E425="",E425="!!!",F425="NEW"),"",INDEX(B$2:B424,-1+SUMPRODUCT(MAX(ROW(E$2:E424)*(E425=E$2:E424)))))</f>
        <v/>
      </c>
      <c r="J425" s="24" t="str">
        <f ca="1">IF(OR(E425="",E425="!!!",F425="NEW"),"",COUNTBLANK(OFFSET(A$1,,,SUMPRODUCT(MAX(ROW(E$2:E425)*(E425=E$2:E425)))))-COUNTBLANK(OFFSET(A$1,,,SUMPRODUCT(MAX(ROW(E$1:E424)*(E2=E$1:E424))))))</f>
        <v/>
      </c>
      <c r="K425" s="24" t="str">
        <f>IF(OR(E425="",E425="!!!",F425="NEW"),"",INDEX(J$1:J424,SUMPRODUCT(MAX(ROW(E$1:E424)*(E425=E$1:E424)))))</f>
        <v/>
      </c>
      <c r="L425" s="29"/>
    </row>
    <row r="426" spans="1:12" x14ac:dyDescent="0.3">
      <c r="A426" t="s">
        <v>283</v>
      </c>
      <c r="B426" s="26" t="s">
        <v>117</v>
      </c>
      <c r="C426" s="26" t="s">
        <v>145</v>
      </c>
      <c r="E426" s="27" t="str">
        <f t="shared" si="21"/>
        <v/>
      </c>
      <c r="F426" s="28" t="str">
        <f>IF(OR(E426="",E426="!!!"),"",IF(NOT(ISNA(VLOOKUP(E426,E$1:E425,1,FALSE()))),"OLD",IF(AND(E426&lt;&gt;"",E426&lt;&gt;"!!!"),"NEW","")))</f>
        <v/>
      </c>
      <c r="G426" s="22" t="str">
        <f>IF(OR(E426="",E426="!!!"),"",IF(OR(J426=0,AND(J426=1,K426=1),AND(J426=1,I426="SBJ"),AND(J426=1,I426=0)),"?IN_FOCUS",IF(J426&lt;=2,"?ACTIVATED",IF(J426&lt;&gt;"","?FAMILIAR",IF(F426="NEW",IF(ISNA(VLOOKUP(E426,#REF!,1,FALSE())),"?TYPE_IDENTIFIABLE","?REFERENTIAL"),"_")))))</f>
        <v/>
      </c>
      <c r="H426" s="23" t="str">
        <f t="shared" ca="1" si="22"/>
        <v/>
      </c>
      <c r="I426" s="24" t="str">
        <f>IF(OR(E426="",E426="!!!",F426="NEW"),"",INDEX(B$2:B425,-1+SUMPRODUCT(MAX(ROW(E$2:E425)*(E426=E$2:E425)))))</f>
        <v/>
      </c>
      <c r="J426" s="24" t="str">
        <f ca="1">IF(OR(E426="",E426="!!!",F426="NEW"),"",COUNTBLANK(OFFSET(A$1,,,SUMPRODUCT(MAX(ROW(E$2:E426)*(E426=E$2:E426)))))-COUNTBLANK(OFFSET(A$1,,,SUMPRODUCT(MAX(ROW(E$1:E425)*(E2=E$1:E425))))))</f>
        <v/>
      </c>
      <c r="K426" s="24" t="str">
        <f>IF(OR(E426="",E426="!!!",F426="NEW"),"",INDEX(J$1:J425,SUMPRODUCT(MAX(ROW(E$1:E425)*(E426=E$1:E425)))))</f>
        <v/>
      </c>
      <c r="L426" s="29"/>
    </row>
    <row r="427" spans="1:12" x14ac:dyDescent="0.3">
      <c r="A427" t="s">
        <v>121</v>
      </c>
      <c r="E427" s="27" t="str">
        <f t="shared" si="21"/>
        <v/>
      </c>
      <c r="F427" s="28" t="str">
        <f>IF(OR(E427="",E427="!!!"),"",IF(NOT(ISNA(VLOOKUP(E427,E$1:E426,1,FALSE()))),"OLD",IF(AND(E427&lt;&gt;"",E427&lt;&gt;"!!!"),"NEW","")))</f>
        <v/>
      </c>
      <c r="G427" s="22" t="str">
        <f>IF(OR(E427="",E427="!!!"),"",IF(OR(J427=0,AND(J427=1,K427=1),AND(J427=1,I427="SBJ"),AND(J427=1,I427=0)),"?IN_FOCUS",IF(J427&lt;=2,"?ACTIVATED",IF(J427&lt;&gt;"","?FAMILIAR",IF(F427="NEW",IF(ISNA(VLOOKUP(E427,#REF!,1,FALSE())),"?TYPE_IDENTIFIABLE","?REFERENTIAL"),"_")))))</f>
        <v/>
      </c>
      <c r="H427" s="23" t="str">
        <f t="shared" ca="1" si="22"/>
        <v/>
      </c>
      <c r="I427" s="24" t="str">
        <f>IF(OR(E427="",E427="!!!",F427="NEW"),"",INDEX(B$2:B426,-1+SUMPRODUCT(MAX(ROW(E$2:E426)*(E427=E$2:E426)))))</f>
        <v/>
      </c>
      <c r="J427" s="24" t="str">
        <f ca="1">IF(OR(E427="",E427="!!!",F427="NEW"),"",COUNTBLANK(OFFSET(A$1,,,SUMPRODUCT(MAX(ROW(E$2:E427)*(E427=E$2:E427)))))-COUNTBLANK(OFFSET(A$1,,,SUMPRODUCT(MAX(ROW(E$1:E426)*(E2=E$1:E426))))))</f>
        <v/>
      </c>
      <c r="K427" s="24" t="str">
        <f>IF(OR(E427="",E427="!!!",F427="NEW"),"",INDEX(J$1:J426,SUMPRODUCT(MAX(ROW(E$1:E426)*(E427=E$1:E426)))))</f>
        <v/>
      </c>
      <c r="L427" s="29"/>
    </row>
    <row r="428" spans="1:12" x14ac:dyDescent="0.3">
      <c r="A428" t="s">
        <v>316</v>
      </c>
      <c r="B428" s="26" t="s">
        <v>114</v>
      </c>
      <c r="C428" s="26" t="s">
        <v>124</v>
      </c>
      <c r="D428" s="26" t="s">
        <v>98</v>
      </c>
      <c r="E428" s="27" t="s">
        <v>336</v>
      </c>
      <c r="F428" s="28" t="str">
        <f>IF(OR(E428="",E428="!!!"),"",IF(NOT(ISNA(VLOOKUP(E428,E$1:E427,1,FALSE()))),"OLD",IF(AND(E428&lt;&gt;"",E428&lt;&gt;"!!!"),"NEW","")))</f>
        <v>OLD</v>
      </c>
      <c r="G428" s="22" t="str">
        <f ca="1">IF(OR(E428="",E428="!!!"),"",IF(OR(J428=0,AND(J428=1,K428=1),AND(J428=1,I428="SBJ"),AND(J428=1,I428=0)),"?IN_FOCUS",IF(J428&lt;=2,"?ACTIVATED",IF(J428&lt;&gt;"","?FAMILIAR",IF(F428="NEW",IF(ISNA(VLOOKUP(E428,#REF!,1,FALSE())),"?TYPE_IDENTIFIABLE","?REFERENTIAL"),"_")))))</f>
        <v>?IN_FOCUS</v>
      </c>
      <c r="H428" s="23" t="str">
        <f t="shared" ca="1" si="22"/>
        <v/>
      </c>
      <c r="I428" s="24" t="str">
        <f>IF(OR(E428="",E428="!!!",F428="NEW"),"",INDEX(B$2:B427,-1+SUMPRODUCT(MAX(ROW(E$2:E427)*(E428=E$2:E427)))))</f>
        <v>other_2</v>
      </c>
      <c r="J428" s="24">
        <f ca="1">IF(OR(E428="",E428="!!!",F428="NEW"),"",COUNTBLANK(OFFSET(A$1,,,SUMPRODUCT(MAX(ROW(E$2:E428)*(E428=E$2:E428)))))-COUNTBLANK(OFFSET(A$1,,,SUMPRODUCT(MAX(ROW(E$1:E427)*(E2=E$1:E427))))))</f>
        <v>0</v>
      </c>
      <c r="K428" s="24">
        <f ca="1">IF(OR(E428="",E428="!!!",F428="NEW"),"",INDEX(J$1:J427,SUMPRODUCT(MAX(ROW(E$1:E427)*(E428=E$1:E427)))))</f>
        <v>0</v>
      </c>
      <c r="L428" s="29"/>
    </row>
    <row r="429" spans="1:12" x14ac:dyDescent="0.3">
      <c r="A429" t="s">
        <v>200</v>
      </c>
      <c r="E429" s="27" t="str">
        <f t="shared" si="21"/>
        <v/>
      </c>
      <c r="F429" s="28" t="str">
        <f>IF(OR(E429="",E429="!!!"),"",IF(NOT(ISNA(VLOOKUP(E429,E$1:E428,1,FALSE()))),"OLD",IF(AND(E429&lt;&gt;"",E429&lt;&gt;"!!!"),"NEW","")))</f>
        <v/>
      </c>
      <c r="G429" s="22" t="str">
        <f>IF(OR(E429="",E429="!!!"),"",IF(OR(J429=0,AND(J429=1,K429=1),AND(J429=1,I429="SBJ"),AND(J429=1,I429=0)),"?IN_FOCUS",IF(J429&lt;=2,"?ACTIVATED",IF(J429&lt;&gt;"","?FAMILIAR",IF(F429="NEW",IF(ISNA(VLOOKUP(E429,#REF!,1,FALSE())),"?TYPE_IDENTIFIABLE","?REFERENTIAL"),"_")))))</f>
        <v/>
      </c>
      <c r="H429" s="23" t="str">
        <f t="shared" ca="1" si="22"/>
        <v/>
      </c>
      <c r="I429" s="24" t="str">
        <f>IF(OR(E429="",E429="!!!",F429="NEW"),"",INDEX(B$2:B428,-1+SUMPRODUCT(MAX(ROW(E$2:E428)*(E429=E$2:E428)))))</f>
        <v/>
      </c>
      <c r="J429" s="24" t="str">
        <f ca="1">IF(OR(E429="",E429="!!!",F429="NEW"),"",COUNTBLANK(OFFSET(A$1,,,SUMPRODUCT(MAX(ROW(E$2:E429)*(E429=E$2:E429)))))-COUNTBLANK(OFFSET(A$1,,,SUMPRODUCT(MAX(ROW(E$1:E428)*(E2=E$1:E428))))))</f>
        <v/>
      </c>
      <c r="K429" s="24" t="str">
        <f>IF(OR(E429="",E429="!!!",F429="NEW"),"",INDEX(J$1:J428,SUMPRODUCT(MAX(ROW(E$1:E428)*(E429=E$1:E428)))))</f>
        <v/>
      </c>
      <c r="L429" s="29"/>
    </row>
    <row r="430" spans="1:12" x14ac:dyDescent="0.3">
      <c r="A430" t="s">
        <v>108</v>
      </c>
      <c r="E430" s="27" t="str">
        <f t="shared" si="21"/>
        <v/>
      </c>
      <c r="F430" s="28" t="str">
        <f>IF(OR(E430="",E430="!!!"),"",IF(NOT(ISNA(VLOOKUP(E430,E$1:E429,1,FALSE()))),"OLD",IF(AND(E430&lt;&gt;"",E430&lt;&gt;"!!!"),"NEW","")))</f>
        <v/>
      </c>
      <c r="G430" s="22" t="str">
        <f>IF(OR(E430="",E430="!!!"),"",IF(OR(J430=0,AND(J430=1,K430=1),AND(J430=1,I430="SBJ"),AND(J430=1,I430=0)),"?IN_FOCUS",IF(J430&lt;=2,"?ACTIVATED",IF(J430&lt;&gt;"","?FAMILIAR",IF(F430="NEW",IF(ISNA(VLOOKUP(E430,#REF!,1,FALSE())),"?TYPE_IDENTIFIABLE","?REFERENTIAL"),"_")))))</f>
        <v/>
      </c>
      <c r="H430" s="23" t="str">
        <f t="shared" ca="1" si="22"/>
        <v/>
      </c>
      <c r="I430" s="24" t="str">
        <f>IF(OR(E430="",E430="!!!",F430="NEW"),"",INDEX(B$2:B429,-1+SUMPRODUCT(MAX(ROW(E$2:E429)*(E430=E$2:E429)))))</f>
        <v/>
      </c>
      <c r="J430" s="24" t="str">
        <f ca="1">IF(OR(E430="",E430="!!!",F430="NEW"),"",COUNTBLANK(OFFSET(A$1,,,SUMPRODUCT(MAX(ROW(E$2:E430)*(E430=E$2:E430)))))-COUNTBLANK(OFFSET(A$1,,,SUMPRODUCT(MAX(ROW(E$1:E429)*(E2=E$1:E429))))))</f>
        <v/>
      </c>
      <c r="K430" s="24" t="str">
        <f>IF(OR(E430="",E430="!!!",F430="NEW"),"",INDEX(J$1:J429,SUMPRODUCT(MAX(ROW(E$1:E429)*(E430=E$1:E429)))))</f>
        <v/>
      </c>
      <c r="L430" s="29"/>
    </row>
    <row r="431" spans="1:12" x14ac:dyDescent="0.3">
      <c r="A431" t="s">
        <v>317</v>
      </c>
      <c r="E431" s="27" t="str">
        <f t="shared" si="21"/>
        <v/>
      </c>
      <c r="F431" s="28" t="str">
        <f>IF(OR(E431="",E431="!!!"),"",IF(NOT(ISNA(VLOOKUP(E431,E$1:E430,1,FALSE()))),"OLD",IF(AND(E431&lt;&gt;"",E431&lt;&gt;"!!!"),"NEW","")))</f>
        <v/>
      </c>
      <c r="G431" s="22" t="str">
        <f>IF(OR(E431="",E431="!!!"),"",IF(OR(J431=0,AND(J431=1,K431=1),AND(J431=1,I431="SBJ"),AND(J431=1,I431=0)),"?IN_FOCUS",IF(J431&lt;=2,"?ACTIVATED",IF(J431&lt;&gt;"","?FAMILIAR",IF(F431="NEW",IF(ISNA(VLOOKUP(E431,#REF!,1,FALSE())),"?TYPE_IDENTIFIABLE","?REFERENTIAL"),"_")))))</f>
        <v/>
      </c>
      <c r="H431" s="23" t="str">
        <f t="shared" ca="1" si="22"/>
        <v/>
      </c>
      <c r="I431" s="24" t="str">
        <f>IF(OR(E431="",E431="!!!",F431="NEW"),"",INDEX(B$2:B430,-1+SUMPRODUCT(MAX(ROW(E$2:E430)*(E431=E$2:E430)))))</f>
        <v/>
      </c>
      <c r="J431" s="24" t="str">
        <f ca="1">IF(OR(E431="",E431="!!!",F431="NEW"),"",COUNTBLANK(OFFSET(A$1,,,SUMPRODUCT(MAX(ROW(E$2:E431)*(E431=E$2:E431)))))-COUNTBLANK(OFFSET(A$1,,,SUMPRODUCT(MAX(ROW(E$1:E430)*(E2=E$1:E430))))))</f>
        <v/>
      </c>
      <c r="K431" s="24" t="str">
        <f>IF(OR(E431="",E431="!!!",F431="NEW"),"",INDEX(J$1:J430,SUMPRODUCT(MAX(ROW(E$1:E430)*(E431=E$1:E430)))))</f>
        <v/>
      </c>
      <c r="L431" s="29"/>
    </row>
    <row r="432" spans="1:12" x14ac:dyDescent="0.3">
      <c r="A432" t="s">
        <v>318</v>
      </c>
      <c r="B432" s="26" t="s">
        <v>193</v>
      </c>
      <c r="C432" s="26" t="s">
        <v>115</v>
      </c>
      <c r="E432" s="27" t="str">
        <f t="shared" si="21"/>
        <v/>
      </c>
      <c r="F432" s="28" t="str">
        <f>IF(OR(E432="",E432="!!!"),"",IF(NOT(ISNA(VLOOKUP(E432,E$1:E431,1,FALSE()))),"OLD",IF(AND(E432&lt;&gt;"",E432&lt;&gt;"!!!"),"NEW","")))</f>
        <v/>
      </c>
      <c r="G432" s="22" t="str">
        <f>IF(OR(E432="",E432="!!!"),"",IF(OR(J432=0,AND(J432=1,K432=1),AND(J432=1,I432="SBJ"),AND(J432=1,I432=0)),"?IN_FOCUS",IF(J432&lt;=2,"?ACTIVATED",IF(J432&lt;&gt;"","?FAMILIAR",IF(F432="NEW",IF(ISNA(VLOOKUP(E432,#REF!,1,FALSE())),"?TYPE_IDENTIFIABLE","?REFERENTIAL"),"_")))))</f>
        <v/>
      </c>
      <c r="H432" s="23" t="str">
        <f t="shared" ca="1" si="22"/>
        <v/>
      </c>
      <c r="I432" s="24" t="str">
        <f>IF(OR(E432="",E432="!!!",F432="NEW"),"",INDEX(B$2:B431,-1+SUMPRODUCT(MAX(ROW(E$2:E431)*(E432=E$2:E431)))))</f>
        <v/>
      </c>
      <c r="J432" s="24" t="str">
        <f ca="1">IF(OR(E432="",E432="!!!",F432="NEW"),"",COUNTBLANK(OFFSET(A$1,,,SUMPRODUCT(MAX(ROW(E$2:E432)*(E432=E$2:E432)))))-COUNTBLANK(OFFSET(A$1,,,SUMPRODUCT(MAX(ROW(E$1:E431)*(E2=E$1:E431))))))</f>
        <v/>
      </c>
      <c r="K432" s="24" t="str">
        <f>IF(OR(E432="",E432="!!!",F432="NEW"),"",INDEX(J$1:J431,SUMPRODUCT(MAX(ROW(E$1:E431)*(E432=E$1:E431)))))</f>
        <v/>
      </c>
      <c r="L432" s="29"/>
    </row>
    <row r="433" spans="1:12" x14ac:dyDescent="0.3">
      <c r="A433" t="s">
        <v>226</v>
      </c>
      <c r="E433" s="27" t="str">
        <f t="shared" si="21"/>
        <v/>
      </c>
      <c r="F433" s="28" t="str">
        <f>IF(OR(E433="",E433="!!!"),"",IF(NOT(ISNA(VLOOKUP(E433,E$1:E432,1,FALSE()))),"OLD",IF(AND(E433&lt;&gt;"",E433&lt;&gt;"!!!"),"NEW","")))</f>
        <v/>
      </c>
      <c r="G433" s="22" t="str">
        <f>IF(OR(E433="",E433="!!!"),"",IF(OR(J433=0,AND(J433=1,K433=1),AND(J433=1,I433="SBJ"),AND(J433=1,I433=0)),"?IN_FOCUS",IF(J433&lt;=2,"?ACTIVATED",IF(J433&lt;&gt;"","?FAMILIAR",IF(F433="NEW",IF(ISNA(VLOOKUP(E433,#REF!,1,FALSE())),"?TYPE_IDENTIFIABLE","?REFERENTIAL"),"_")))))</f>
        <v/>
      </c>
      <c r="H433" s="23" t="str">
        <f t="shared" ca="1" si="22"/>
        <v/>
      </c>
      <c r="I433" s="24" t="str">
        <f>IF(OR(E433="",E433="!!!",F433="NEW"),"",INDEX(B$2:B432,-1+SUMPRODUCT(MAX(ROW(E$2:E432)*(E433=E$2:E432)))))</f>
        <v/>
      </c>
      <c r="J433" s="24" t="str">
        <f ca="1">IF(OR(E433="",E433="!!!",F433="NEW"),"",COUNTBLANK(OFFSET(A$1,,,SUMPRODUCT(MAX(ROW(E$2:E433)*(E433=E$2:E433)))))-COUNTBLANK(OFFSET(A$1,,,SUMPRODUCT(MAX(ROW(E$1:E432)*(E2=E$1:E432))))))</f>
        <v/>
      </c>
      <c r="K433" s="24" t="str">
        <f>IF(OR(E433="",E433="!!!",F433="NEW"),"",INDEX(J$1:J432,SUMPRODUCT(MAX(ROW(E$1:E432)*(E433=E$1:E432)))))</f>
        <v/>
      </c>
      <c r="L433" s="29"/>
    </row>
    <row r="434" spans="1:12" x14ac:dyDescent="0.3">
      <c r="A434" t="s">
        <v>319</v>
      </c>
      <c r="B434" s="26" t="s">
        <v>143</v>
      </c>
      <c r="C434" s="26" t="s">
        <v>214</v>
      </c>
      <c r="D434" s="26" t="s">
        <v>98</v>
      </c>
      <c r="E434" s="27" t="s">
        <v>354</v>
      </c>
      <c r="F434" s="28" t="str">
        <f>IF(OR(E434="",E434="!!!"),"",IF(NOT(ISNA(VLOOKUP(E434,E$1:E433,1,FALSE()))),"OLD",IF(AND(E434&lt;&gt;"",E434&lt;&gt;"!!!"),"NEW","")))</f>
        <v>NEW</v>
      </c>
      <c r="G434" s="22" t="str">
        <f ca="1">IF(OR(E434="",E434="!!!"),"",IF(OR(J434=0,AND(J434=1,K434=1),AND(J434=1,I434="SBJ"),AND(J434=1,I434=0)),"?IN_FOCUS",IF(J434&lt;=2,"?ACTIVATED",IF(J434&lt;&gt;"","?FAMILIAR",IF(F434="NEW",IF(ISNA(VLOOKUP(E434,#REF!,1,FALSE())),"?TYPE_IDENTIFIABLE","?REFERENTIAL"),"_")))))</f>
        <v>?REFERENTIAL</v>
      </c>
      <c r="H434" s="23" t="str">
        <f t="shared" ca="1" si="22"/>
        <v/>
      </c>
      <c r="I434" s="24" t="str">
        <f>IF(OR(E434="",E434="!!!",F434="NEW"),"",INDEX(B$2:B433,-1+SUMPRODUCT(MAX(ROW(E$2:E433)*(E434=E$2:E433)))))</f>
        <v/>
      </c>
      <c r="J434" s="24" t="str">
        <f ca="1">IF(OR(E434="",E434="!!!",F434="NEW"),"",COUNTBLANK(OFFSET(A$1,,,SUMPRODUCT(MAX(ROW(E$2:E434)*(E434=E$2:E434)))))-COUNTBLANK(OFFSET(A$1,,,SUMPRODUCT(MAX(ROW(E$1:E433)*(E2=E$1:E433))))))</f>
        <v/>
      </c>
      <c r="K434" s="24" t="str">
        <f>IF(OR(E434="",E434="!!!",F434="NEW"),"",INDEX(J$1:J433,SUMPRODUCT(MAX(ROW(E$1:E433)*(E434=E$1:E433)))))</f>
        <v/>
      </c>
      <c r="L434" s="29"/>
    </row>
    <row r="435" spans="1:12" x14ac:dyDescent="0.3">
      <c r="A435" t="s">
        <v>134</v>
      </c>
      <c r="E435" s="27" t="str">
        <f t="shared" si="21"/>
        <v/>
      </c>
      <c r="F435" s="28" t="str">
        <f>IF(OR(E435="",E435="!!!"),"",IF(NOT(ISNA(VLOOKUP(E435,E$1:E434,1,FALSE()))),"OLD",IF(AND(E435&lt;&gt;"",E435&lt;&gt;"!!!"),"NEW","")))</f>
        <v/>
      </c>
      <c r="G435" s="22" t="str">
        <f>IF(OR(E435="",E435="!!!"),"",IF(OR(J435=0,AND(J435=1,K435=1),AND(J435=1,I435="SBJ"),AND(J435=1,I435=0)),"?IN_FOCUS",IF(J435&lt;=2,"?ACTIVATED",IF(J435&lt;&gt;"","?FAMILIAR",IF(F435="NEW",IF(ISNA(VLOOKUP(E435,#REF!,1,FALSE())),"?TYPE_IDENTIFIABLE","?REFERENTIAL"),"_")))))</f>
        <v/>
      </c>
      <c r="H435" s="23" t="str">
        <f t="shared" ca="1" si="22"/>
        <v/>
      </c>
      <c r="I435" s="24" t="str">
        <f>IF(OR(E435="",E435="!!!",F435="NEW"),"",INDEX(B$2:B434,-1+SUMPRODUCT(MAX(ROW(E$2:E434)*(E435=E$2:E434)))))</f>
        <v/>
      </c>
      <c r="J435" s="24" t="str">
        <f ca="1">IF(OR(E435="",E435="!!!",F435="NEW"),"",COUNTBLANK(OFFSET(A$1,,,SUMPRODUCT(MAX(ROW(E$2:E435)*(E435=E$2:E435)))))-COUNTBLANK(OFFSET(A$1,,,SUMPRODUCT(MAX(ROW(E$1:E434)*(E2=E$1:E434))))))</f>
        <v/>
      </c>
      <c r="K435" s="24" t="str">
        <f>IF(OR(E435="",E435="!!!",F435="NEW"),"",INDEX(J$1:J434,SUMPRODUCT(MAX(ROW(E$1:E434)*(E435=E$1:E434)))))</f>
        <v/>
      </c>
      <c r="L435" s="29"/>
    </row>
    <row r="436" spans="1:12" x14ac:dyDescent="0.3">
      <c r="A436" t="s">
        <v>320</v>
      </c>
      <c r="B436" s="26" t="s">
        <v>114</v>
      </c>
      <c r="C436" s="26" t="s">
        <v>97</v>
      </c>
      <c r="D436" s="26" t="s">
        <v>98</v>
      </c>
      <c r="E436" s="27" t="s">
        <v>335</v>
      </c>
      <c r="F436" s="28" t="str">
        <f>IF(OR(E436="",E436="!!!"),"",IF(NOT(ISNA(VLOOKUP(E436,E$1:E435,1,FALSE()))),"OLD",IF(AND(E436&lt;&gt;"",E436&lt;&gt;"!!!"),"NEW","")))</f>
        <v>OLD</v>
      </c>
      <c r="G436" s="22" t="str">
        <f ca="1">IF(OR(E436="",E436="!!!"),"",IF(OR(J436=0,AND(J436=1,K436=1),AND(J436=1,I436="SBJ"),AND(J436=1,I436=0)),"?IN_FOCUS",IF(J436&lt;=2,"?ACTIVATED",IF(J436&lt;&gt;"","?FAMILIAR",IF(F436="NEW",IF(ISNA(VLOOKUP(E436,#REF!,1,FALSE())),"?TYPE_IDENTIFIABLE","?REFERENTIAL"),"_")))))</f>
        <v>?IN_FOCUS</v>
      </c>
      <c r="H436" s="23" t="str">
        <f t="shared" ca="1" si="22"/>
        <v/>
      </c>
      <c r="I436" s="24">
        <f>IF(OR(E436="",E436="!!!",F436="NEW"),"",INDEX(B$2:B435,-1+SUMPRODUCT(MAX(ROW(E$2:E435)*(E436=E$2:E435)))))</f>
        <v>0</v>
      </c>
      <c r="J436" s="24">
        <f ca="1">IF(OR(E436="",E436="!!!",F436="NEW"),"",COUNTBLANK(OFFSET(A$1,,,SUMPRODUCT(MAX(ROW(E$2:E436)*(E436=E$2:E436)))))-COUNTBLANK(OFFSET(A$1,,,SUMPRODUCT(MAX(ROW(E$1:E435)*(E2=E$1:E435))))))</f>
        <v>0</v>
      </c>
      <c r="K436" s="24" t="str">
        <f ca="1">IF(OR(E436="",E436="!!!",F436="NEW"),"",INDEX(J$1:J435,SUMPRODUCT(MAX(ROW(E$1:E435)*(E436=E$1:E435)))))</f>
        <v/>
      </c>
      <c r="L436" s="29"/>
    </row>
    <row r="437" spans="1:12" x14ac:dyDescent="0.3">
      <c r="A437" t="s">
        <v>321</v>
      </c>
      <c r="E437" s="27" t="str">
        <f t="shared" si="21"/>
        <v/>
      </c>
      <c r="F437" s="28" t="str">
        <f>IF(OR(E437="",E437="!!!"),"",IF(NOT(ISNA(VLOOKUP(E437,E$1:E436,1,FALSE()))),"OLD",IF(AND(E437&lt;&gt;"",E437&lt;&gt;"!!!"),"NEW","")))</f>
        <v/>
      </c>
      <c r="G437" s="22" t="str">
        <f>IF(OR(E437="",E437="!!!"),"",IF(OR(J437=0,AND(J437=1,K437=1),AND(J437=1,I437="SBJ"),AND(J437=1,I437=0)),"?IN_FOCUS",IF(J437&lt;=2,"?ACTIVATED",IF(J437&lt;&gt;"","?FAMILIAR",IF(F437="NEW",IF(ISNA(VLOOKUP(E437,#REF!,1,FALSE())),"?TYPE_IDENTIFIABLE","?REFERENTIAL"),"_")))))</f>
        <v/>
      </c>
      <c r="H437" s="23" t="str">
        <f t="shared" ca="1" si="22"/>
        <v/>
      </c>
      <c r="I437" s="24" t="str">
        <f>IF(OR(E437="",E437="!!!",F437="NEW"),"",INDEX(B$2:B436,-1+SUMPRODUCT(MAX(ROW(E$2:E436)*(E437=E$2:E436)))))</f>
        <v/>
      </c>
      <c r="J437" s="24" t="str">
        <f ca="1">IF(OR(E437="",E437="!!!",F437="NEW"),"",COUNTBLANK(OFFSET(A$1,,,SUMPRODUCT(MAX(ROW(E$2:E437)*(E437=E$2:E437)))))-COUNTBLANK(OFFSET(A$1,,,SUMPRODUCT(MAX(ROW(E$1:E436)*(E2=E$1:E436))))))</f>
        <v/>
      </c>
      <c r="K437" s="24" t="str">
        <f>IF(OR(E437="",E437="!!!",F437="NEW"),"",INDEX(J$1:J436,SUMPRODUCT(MAX(ROW(E$1:E436)*(E437=E$1:E436)))))</f>
        <v/>
      </c>
      <c r="L437" s="29"/>
    </row>
    <row r="438" spans="1:12" x14ac:dyDescent="0.3">
      <c r="A438" t="s">
        <v>109</v>
      </c>
      <c r="E438" s="27" t="str">
        <f t="shared" si="21"/>
        <v/>
      </c>
      <c r="F438" s="28" t="str">
        <f>IF(OR(E438="",E438="!!!"),"",IF(NOT(ISNA(VLOOKUP(E438,E$1:E437,1,FALSE()))),"OLD",IF(AND(E438&lt;&gt;"",E438&lt;&gt;"!!!"),"NEW","")))</f>
        <v/>
      </c>
      <c r="G438" s="22" t="str">
        <f>IF(OR(E438="",E438="!!!"),"",IF(OR(J438=0,AND(J438=1,K438=1),AND(J438=1,I438="SBJ"),AND(J438=1,I438=0)),"?IN_FOCUS",IF(J438&lt;=2,"?ACTIVATED",IF(J438&lt;&gt;"","?FAMILIAR",IF(F438="NEW",IF(ISNA(VLOOKUP(E438,#REF!,1,FALSE())),"?TYPE_IDENTIFIABLE","?REFERENTIAL"),"_")))))</f>
        <v/>
      </c>
      <c r="H438" s="23" t="str">
        <f t="shared" ca="1" si="22"/>
        <v/>
      </c>
      <c r="I438" s="24" t="str">
        <f>IF(OR(E438="",E438="!!!",F438="NEW"),"",INDEX(B$2:B437,-1+SUMPRODUCT(MAX(ROW(E$2:E437)*(E438=E$2:E437)))))</f>
        <v/>
      </c>
      <c r="J438" s="24" t="str">
        <f ca="1">IF(OR(E438="",E438="!!!",F438="NEW"),"",COUNTBLANK(OFFSET(A$1,,,SUMPRODUCT(MAX(ROW(E$2:E438)*(E438=E$2:E438)))))-COUNTBLANK(OFFSET(A$1,,,SUMPRODUCT(MAX(ROW(E$1:E437)*(E2=E$1:E437))))))</f>
        <v/>
      </c>
      <c r="K438" s="24" t="str">
        <f>IF(OR(E438="",E438="!!!",F438="NEW"),"",INDEX(J$1:J437,SUMPRODUCT(MAX(ROW(E$1:E437)*(E438=E$1:E437)))))</f>
        <v/>
      </c>
      <c r="L438" s="29"/>
    </row>
    <row r="439" spans="1:12" x14ac:dyDescent="0.3">
      <c r="A439" t="s">
        <v>322</v>
      </c>
      <c r="B439" s="26" t="s">
        <v>114</v>
      </c>
      <c r="C439" s="26" t="s">
        <v>124</v>
      </c>
      <c r="D439" s="26" t="s">
        <v>98</v>
      </c>
      <c r="E439" s="27" t="s">
        <v>355</v>
      </c>
      <c r="F439" s="28" t="str">
        <f>IF(OR(E439="",E439="!!!"),"",IF(NOT(ISNA(VLOOKUP(E439,E$1:E438,1,FALSE()))),"OLD",IF(AND(E439&lt;&gt;"",E439&lt;&gt;"!!!"),"NEW","")))</f>
        <v>NEW</v>
      </c>
      <c r="G439" s="22" t="str">
        <f ca="1">IF(OR(E439="",E439="!!!"),"",IF(OR(J439=0,AND(J439=1,K439=1),AND(J439=1,I439="SBJ"),AND(J439=1,I439=0)),"?IN_FOCUS",IF(J439&lt;=2,"?ACTIVATED",IF(J439&lt;&gt;"","?FAMILIAR",IF(F439="NEW",IF(ISNA(VLOOKUP(E439,#REF!,1,FALSE())),"?TYPE_IDENTIFIABLE","?REFERENTIAL"),"_")))))</f>
        <v>?REFERENTIAL</v>
      </c>
      <c r="H439" s="23" t="str">
        <f t="shared" ca="1" si="22"/>
        <v/>
      </c>
      <c r="I439" s="24" t="str">
        <f>IF(OR(E439="",E439="!!!",F439="NEW"),"",INDEX(B$2:B438,-1+SUMPRODUCT(MAX(ROW(E$2:E438)*(E439=E$2:E438)))))</f>
        <v/>
      </c>
      <c r="J439" s="24" t="str">
        <f ca="1">IF(OR(E439="",E439="!!!",F439="NEW"),"",COUNTBLANK(OFFSET(A$1,,,SUMPRODUCT(MAX(ROW(E$2:E439)*(E439=E$2:E439)))))-COUNTBLANK(OFFSET(A$1,,,SUMPRODUCT(MAX(ROW(E$1:E438)*(E2=E$1:E438))))))</f>
        <v/>
      </c>
      <c r="K439" s="24" t="str">
        <f>IF(OR(E439="",E439="!!!",F439="NEW"),"",INDEX(J$1:J438,SUMPRODUCT(MAX(ROW(E$1:E438)*(E439=E$1:E438)))))</f>
        <v/>
      </c>
      <c r="L439" s="29"/>
    </row>
    <row r="440" spans="1:12" x14ac:dyDescent="0.3">
      <c r="A440" t="s">
        <v>323</v>
      </c>
      <c r="E440" s="20" t="str">
        <f t="shared" ref="E422:E442" si="23">IF(D440="?OLD","!!!","")</f>
        <v/>
      </c>
      <c r="F440" s="21" t="str">
        <f>IF(OR(E440="",E440="!!!"),"",IF(NOT(ISNA(VLOOKUP(E440,E$1:E439,1,FALSE()))),"OLD",IF(AND(E440&lt;&gt;"",E440&lt;&gt;"!!!"),"NEW","")))</f>
        <v/>
      </c>
      <c r="G440" s="22" t="str">
        <f>IF(OR(E440="",E440="!!!"),"",IF(OR(J440=0,AND(J440=1,K440=1),AND(J440=1,I440="SBJ"),AND(J440=1,I440=0)),"?IN_FOCUS",IF(J440&lt;=2,"?ACTIVATED",IF(J440&lt;&gt;"","?FAMILIAR",IF(F440="NEW",IF(ISNA(VLOOKUP(E440,#REF!,1,FALSE())),"?TYPE_IDENTIFIABLE","?REFERENTIAL"),"_")))))</f>
        <v/>
      </c>
      <c r="H440" s="23" t="str">
        <f t="shared" ca="1" si="22"/>
        <v/>
      </c>
      <c r="I440" s="24" t="str">
        <f>IF(OR(E440="",E440="!!!",F440="NEW"),"",INDEX(B$2:B439,-1+SUMPRODUCT(MAX(ROW(E$2:E439)*(E440=E$2:E439)))))</f>
        <v/>
      </c>
      <c r="J440" s="24" t="str">
        <f ca="1">IF(OR(E440="",E440="!!!",F440="NEW"),"",COUNTBLANK(OFFSET(A$1,,,SUMPRODUCT(MAX(ROW(E$2:E440)*(E440=E$2:E440)))))-COUNTBLANK(OFFSET(A$1,,,SUMPRODUCT(MAX(ROW(E$1:E439)*(E2=E$1:E439))))))</f>
        <v/>
      </c>
      <c r="K440" s="24" t="str">
        <f>IF(OR(E440="",E440="!!!",F440="NEW"),"",INDEX(J$1:J439,SUMPRODUCT(MAX(ROW(E$1:E439)*(E440=E$1:E439)))))</f>
        <v/>
      </c>
      <c r="L440" s="29"/>
    </row>
    <row r="441" spans="1:12" x14ac:dyDescent="0.3">
      <c r="A441" t="s">
        <v>324</v>
      </c>
      <c r="B441" s="26" t="s">
        <v>325</v>
      </c>
      <c r="C441" s="26" t="s">
        <v>169</v>
      </c>
      <c r="E441" s="20" t="str">
        <f t="shared" si="23"/>
        <v/>
      </c>
      <c r="F441" s="21" t="str">
        <f>IF(OR(E441="",E441="!!!"),"",IF(NOT(ISNA(VLOOKUP(E441,E$1:E440,1,FALSE()))),"OLD",IF(AND(E441&lt;&gt;"",E441&lt;&gt;"!!!"),"NEW","")))</f>
        <v/>
      </c>
      <c r="G441" s="22" t="str">
        <f>IF(OR(E441="",E441="!!!"),"",IF(OR(J441=0,AND(J441=1,K441=1),AND(J441=1,I441="SBJ"),AND(J441=1,I441=0)),"?IN_FOCUS",IF(J441&lt;=2,"?ACTIVATED",IF(J441&lt;&gt;"","?FAMILIAR",IF(F441="NEW",IF(ISNA(VLOOKUP(E441,#REF!,1,FALSE())),"?TYPE_IDENTIFIABLE","?REFERENTIAL"),"_")))))</f>
        <v/>
      </c>
      <c r="H441" s="23" t="str">
        <f t="shared" ca="1" si="22"/>
        <v/>
      </c>
      <c r="I441" s="24" t="str">
        <f>IF(OR(E441="",E441="!!!",F441="NEW"),"",INDEX(B$2:B440,-1+SUMPRODUCT(MAX(ROW(E$2:E440)*(E441=E$2:E440)))))</f>
        <v/>
      </c>
      <c r="J441" s="24" t="str">
        <f ca="1">IF(OR(E441="",E441="!!!",F441="NEW"),"",COUNTBLANK(OFFSET(A$1,,,SUMPRODUCT(MAX(ROW(E$2:E441)*(E441=E$2:E441)))))-COUNTBLANK(OFFSET(A$1,,,SUMPRODUCT(MAX(ROW(E$1:E440)*(E2=E$1:E440))))))</f>
        <v/>
      </c>
      <c r="K441" s="24" t="str">
        <f>IF(OR(E441="",E441="!!!",F441="NEW"),"",INDEX(J$1:J440,SUMPRODUCT(MAX(ROW(E$1:E440)*(E441=E$1:E440)))))</f>
        <v/>
      </c>
      <c r="L441" s="29"/>
    </row>
    <row r="442" spans="1:12" x14ac:dyDescent="0.3">
      <c r="A442" t="s">
        <v>129</v>
      </c>
      <c r="E442" s="20" t="str">
        <f t="shared" si="23"/>
        <v/>
      </c>
      <c r="F442" s="21" t="str">
        <f>IF(OR(E442="",E442="!!!"),"",IF(NOT(ISNA(VLOOKUP(E442,E$1:E441,1,FALSE()))),"OLD",IF(AND(E442&lt;&gt;"",E442&lt;&gt;"!!!"),"NEW","")))</f>
        <v/>
      </c>
      <c r="G442" s="22" t="str">
        <f>IF(OR(E442="",E442="!!!"),"",IF(OR(J442=0,AND(J442=1,K442=1),AND(J442=1,I442="SBJ"),AND(J442=1,I442=0)),"?IN_FOCUS",IF(J442&lt;=2,"?ACTIVATED",IF(J442&lt;&gt;"","?FAMILIAR",IF(F442="NEW",IF(ISNA(VLOOKUP(E442,#REF!,1,FALSE())),"?TYPE_IDENTIFIABLE","?REFERENTIAL"),"_")))))</f>
        <v/>
      </c>
      <c r="H442" s="23" t="str">
        <f t="shared" ca="1" si="22"/>
        <v/>
      </c>
      <c r="I442" s="24" t="str">
        <f>IF(OR(E442="",E442="!!!",F442="NEW"),"",INDEX(B$2:B441,-1+SUMPRODUCT(MAX(ROW(E$2:E441)*(E442=E$2:E441)))))</f>
        <v/>
      </c>
      <c r="J442" s="24" t="str">
        <f ca="1">IF(OR(E442="",E442="!!!",F442="NEW"),"",COUNTBLANK(OFFSET(A$1,,,SUMPRODUCT(MAX(ROW(E$2:E442)*(E442=E$2:E442)))))-COUNTBLANK(OFFSET(A$1,,,SUMPRODUCT(MAX(ROW(E$1:E441)*(E2=E$1:E441))))))</f>
        <v/>
      </c>
      <c r="K442" s="24" t="str">
        <f>IF(OR(E442="",E442="!!!",F442="NEW"),"",INDEX(J$1:J441,SUMPRODUCT(MAX(ROW(E$1:E441)*(E442=E$1:E441)))))</f>
        <v/>
      </c>
      <c r="L442" s="2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Tabea Gröger</dc:creator>
  <cp:lastModifiedBy>Tabea Gröger</cp:lastModifiedBy>
  <dcterms:created xsi:type="dcterms:W3CDTF">2024-12-05T17:52:20Z</dcterms:created>
  <dcterms:modified xsi:type="dcterms:W3CDTF">2024-12-16T18:48:40Z</dcterms:modified>
</cp:coreProperties>
</file>