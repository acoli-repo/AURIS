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annotated\"/>
    </mc:Choice>
  </mc:AlternateContent>
  <xr:revisionPtr revIDLastSave="0" documentId="13_ncr:1_{90AC416E-BD6E-45E4-99CE-2B44199ADD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1033" i="2" l="1"/>
  <c r="F1033" i="2"/>
  <c r="E1033" i="2"/>
  <c r="G1032" i="2"/>
  <c r="F1032" i="2"/>
  <c r="E1032" i="2"/>
  <c r="G1031" i="2"/>
  <c r="F1031" i="2"/>
  <c r="I1031" i="2" s="1"/>
  <c r="E1031" i="2"/>
  <c r="G1030" i="2"/>
  <c r="F1030" i="2"/>
  <c r="J1030" i="2" s="1"/>
  <c r="H1030" i="2" s="1"/>
  <c r="E1030" i="2"/>
  <c r="F1029" i="2"/>
  <c r="I1029" i="2" s="1"/>
  <c r="G1028" i="2"/>
  <c r="F1028" i="2"/>
  <c r="K1028" i="2" s="1"/>
  <c r="E1028" i="2"/>
  <c r="G1027" i="2"/>
  <c r="F1027" i="2"/>
  <c r="E1027" i="2"/>
  <c r="E1026" i="2"/>
  <c r="G1025" i="2"/>
  <c r="F1025" i="2"/>
  <c r="E1025" i="2"/>
  <c r="F1024" i="2"/>
  <c r="G1023" i="2"/>
  <c r="F1023" i="2"/>
  <c r="I1023" i="2" s="1"/>
  <c r="E1023" i="2"/>
  <c r="G1022" i="2"/>
  <c r="F1022" i="2"/>
  <c r="J1022" i="2" s="1"/>
  <c r="H1022" i="2" s="1"/>
  <c r="E1022" i="2"/>
  <c r="G1021" i="2"/>
  <c r="F1021" i="2"/>
  <c r="I1021" i="2" s="1"/>
  <c r="E1021" i="2"/>
  <c r="G1020" i="2"/>
  <c r="F1020" i="2"/>
  <c r="I1020" i="2" s="1"/>
  <c r="E1020" i="2"/>
  <c r="G1019" i="2"/>
  <c r="F1019" i="2"/>
  <c r="E1019" i="2"/>
  <c r="G1017" i="2"/>
  <c r="F1017" i="2"/>
  <c r="K1017" i="2" s="1"/>
  <c r="E1017" i="2"/>
  <c r="G1016" i="2"/>
  <c r="F1016" i="2"/>
  <c r="K1016" i="2" s="1"/>
  <c r="E1016" i="2"/>
  <c r="G1015" i="2"/>
  <c r="F1015" i="2"/>
  <c r="I1015" i="2" s="1"/>
  <c r="E1015" i="2"/>
  <c r="G1014" i="2"/>
  <c r="F1014" i="2"/>
  <c r="J1014" i="2" s="1"/>
  <c r="H1014" i="2" s="1"/>
  <c r="E1014" i="2"/>
  <c r="G1013" i="2"/>
  <c r="F1013" i="2"/>
  <c r="I1013" i="2" s="1"/>
  <c r="E1013" i="2"/>
  <c r="F1012" i="2"/>
  <c r="G1011" i="2"/>
  <c r="F1011" i="2"/>
  <c r="I1011" i="2" s="1"/>
  <c r="E1011" i="2"/>
  <c r="E1010" i="2"/>
  <c r="G1009" i="2"/>
  <c r="F1009" i="2"/>
  <c r="K1009" i="2" s="1"/>
  <c r="E1009" i="2"/>
  <c r="G1008" i="2"/>
  <c r="F1008" i="2"/>
  <c r="J1008" i="2" s="1"/>
  <c r="H1008" i="2" s="1"/>
  <c r="E1008" i="2"/>
  <c r="F1007" i="2"/>
  <c r="I1007" i="2" s="1"/>
  <c r="G1006" i="2"/>
  <c r="F1006" i="2"/>
  <c r="J1006" i="2" s="1"/>
  <c r="H1006" i="2" s="1"/>
  <c r="E1006" i="2"/>
  <c r="G1005" i="2"/>
  <c r="F1005" i="2"/>
  <c r="J1005" i="2" s="1"/>
  <c r="H1005" i="2" s="1"/>
  <c r="E1005" i="2"/>
  <c r="G1004" i="2"/>
  <c r="F1004" i="2"/>
  <c r="I1004" i="2" s="1"/>
  <c r="E1004" i="2"/>
  <c r="F1003" i="2"/>
  <c r="E1002" i="2"/>
  <c r="G1001" i="2"/>
  <c r="F1001" i="2"/>
  <c r="K1001" i="2" s="1"/>
  <c r="E1001" i="2"/>
  <c r="J1000" i="2"/>
  <c r="H1000" i="2" s="1"/>
  <c r="G999" i="2"/>
  <c r="F999" i="2"/>
  <c r="I999" i="2" s="1"/>
  <c r="E999" i="2"/>
  <c r="F998" i="2"/>
  <c r="J998" i="2" s="1"/>
  <c r="H998" i="2" s="1"/>
  <c r="G997" i="2"/>
  <c r="F997" i="2"/>
  <c r="J997" i="2" s="1"/>
  <c r="H997" i="2" s="1"/>
  <c r="E997" i="2"/>
  <c r="G995" i="2"/>
  <c r="F995" i="2"/>
  <c r="E995" i="2"/>
  <c r="E994" i="2"/>
  <c r="F993" i="2"/>
  <c r="J993" i="2" s="1"/>
  <c r="H993" i="2" s="1"/>
  <c r="G992" i="2"/>
  <c r="F992" i="2"/>
  <c r="I992" i="2" s="1"/>
  <c r="E992" i="2"/>
  <c r="G991" i="2"/>
  <c r="F991" i="2"/>
  <c r="I991" i="2" s="1"/>
  <c r="E991" i="2"/>
  <c r="G990" i="2"/>
  <c r="F990" i="2"/>
  <c r="J990" i="2" s="1"/>
  <c r="H990" i="2" s="1"/>
  <c r="E990" i="2"/>
  <c r="G989" i="2"/>
  <c r="F989" i="2"/>
  <c r="I989" i="2" s="1"/>
  <c r="E989" i="2"/>
  <c r="F988" i="2"/>
  <c r="I988" i="2" s="1"/>
  <c r="G987" i="2"/>
  <c r="F987" i="2"/>
  <c r="E987" i="2"/>
  <c r="E986" i="2"/>
  <c r="G985" i="2"/>
  <c r="F985" i="2"/>
  <c r="I985" i="2" s="1"/>
  <c r="E985" i="2"/>
  <c r="G984" i="2"/>
  <c r="F984" i="2"/>
  <c r="K984" i="2" s="1"/>
  <c r="E984" i="2"/>
  <c r="G983" i="2"/>
  <c r="F983" i="2"/>
  <c r="I983" i="2" s="1"/>
  <c r="E983" i="2"/>
  <c r="G982" i="2"/>
  <c r="F982" i="2"/>
  <c r="J982" i="2" s="1"/>
  <c r="H982" i="2" s="1"/>
  <c r="E982" i="2"/>
  <c r="G981" i="2"/>
  <c r="F981" i="2"/>
  <c r="K981" i="2" s="1"/>
  <c r="E981" i="2"/>
  <c r="G980" i="2"/>
  <c r="F980" i="2"/>
  <c r="J980" i="2" s="1"/>
  <c r="H980" i="2" s="1"/>
  <c r="E980" i="2"/>
  <c r="F979" i="2"/>
  <c r="E978" i="2"/>
  <c r="G977" i="2"/>
  <c r="F977" i="2"/>
  <c r="J977" i="2" s="1"/>
  <c r="H977" i="2" s="1"/>
  <c r="E977" i="2"/>
  <c r="G976" i="2"/>
  <c r="F976" i="2"/>
  <c r="K976" i="2" s="1"/>
  <c r="E976" i="2"/>
  <c r="G975" i="2"/>
  <c r="F975" i="2"/>
  <c r="I975" i="2" s="1"/>
  <c r="E975" i="2"/>
  <c r="G974" i="2"/>
  <c r="F974" i="2"/>
  <c r="J974" i="2" s="1"/>
  <c r="H974" i="2" s="1"/>
  <c r="E974" i="2"/>
  <c r="G973" i="2"/>
  <c r="F973" i="2"/>
  <c r="K973" i="2" s="1"/>
  <c r="E973" i="2"/>
  <c r="G972" i="2"/>
  <c r="F972" i="2"/>
  <c r="J972" i="2" s="1"/>
  <c r="H972" i="2" s="1"/>
  <c r="E972" i="2"/>
  <c r="F971" i="2"/>
  <c r="E970" i="2"/>
  <c r="G969" i="2"/>
  <c r="F969" i="2"/>
  <c r="K969" i="2" s="1"/>
  <c r="E969" i="2"/>
  <c r="G968" i="2"/>
  <c r="F968" i="2"/>
  <c r="K968" i="2" s="1"/>
  <c r="E968" i="2"/>
  <c r="G966" i="2"/>
  <c r="F966" i="2"/>
  <c r="J966" i="2" s="1"/>
  <c r="H966" i="2" s="1"/>
  <c r="E966" i="2"/>
  <c r="G965" i="2"/>
  <c r="F965" i="2"/>
  <c r="I965" i="2" s="1"/>
  <c r="E965" i="2"/>
  <c r="G964" i="2"/>
  <c r="F964" i="2"/>
  <c r="J964" i="2" s="1"/>
  <c r="H964" i="2" s="1"/>
  <c r="E964" i="2"/>
  <c r="F963" i="2"/>
  <c r="I963" i="2" s="1"/>
  <c r="G961" i="2"/>
  <c r="F961" i="2"/>
  <c r="E961" i="2"/>
  <c r="E960" i="2"/>
  <c r="E959" i="2"/>
  <c r="F958" i="2"/>
  <c r="J958" i="2" s="1"/>
  <c r="H958" i="2" s="1"/>
  <c r="G957" i="2"/>
  <c r="F957" i="2"/>
  <c r="K957" i="2" s="1"/>
  <c r="E957" i="2"/>
  <c r="G956" i="2"/>
  <c r="E956" i="2"/>
  <c r="F956" i="2" s="1"/>
  <c r="I956" i="2" s="1"/>
  <c r="F955" i="2"/>
  <c r="I955" i="2" s="1"/>
  <c r="G954" i="2"/>
  <c r="F953" i="2"/>
  <c r="E952" i="2"/>
  <c r="E951" i="2"/>
  <c r="G950" i="2"/>
  <c r="F950" i="2"/>
  <c r="J950" i="2" s="1"/>
  <c r="H950" i="2" s="1"/>
  <c r="E950" i="2"/>
  <c r="F949" i="2"/>
  <c r="I949" i="2" s="1"/>
  <c r="G948" i="2"/>
  <c r="E948" i="2"/>
  <c r="F948" i="2" s="1"/>
  <c r="F947" i="2"/>
  <c r="E946" i="2"/>
  <c r="G945" i="2"/>
  <c r="F945" i="2"/>
  <c r="E945" i="2"/>
  <c r="F944" i="2"/>
  <c r="K944" i="2" s="1"/>
  <c r="E944" i="2"/>
  <c r="E943" i="2"/>
  <c r="F942" i="2"/>
  <c r="J942" i="2" s="1"/>
  <c r="H942" i="2" s="1"/>
  <c r="F941" i="2"/>
  <c r="I941" i="2" s="1"/>
  <c r="G940" i="2"/>
  <c r="E940" i="2"/>
  <c r="F940" i="2" s="1"/>
  <c r="F939" i="2"/>
  <c r="I939" i="2" s="1"/>
  <c r="E939" i="2"/>
  <c r="G939" i="2" s="1"/>
  <c r="G938" i="2"/>
  <c r="E938" i="2"/>
  <c r="G937" i="2"/>
  <c r="F937" i="2"/>
  <c r="E937" i="2"/>
  <c r="E936" i="2"/>
  <c r="E935" i="2"/>
  <c r="F934" i="2"/>
  <c r="J934" i="2" s="1"/>
  <c r="H934" i="2" s="1"/>
  <c r="G933" i="2"/>
  <c r="F933" i="2"/>
  <c r="I933" i="2" s="1"/>
  <c r="E933" i="2"/>
  <c r="F932" i="2"/>
  <c r="F931" i="2"/>
  <c r="E931" i="2"/>
  <c r="G931" i="2" s="1"/>
  <c r="G930" i="2"/>
  <c r="G929" i="2"/>
  <c r="F929" i="2"/>
  <c r="E929" i="2"/>
  <c r="F928" i="2"/>
  <c r="F927" i="2"/>
  <c r="J927" i="2" s="1"/>
  <c r="H927" i="2" s="1"/>
  <c r="E927" i="2"/>
  <c r="F926" i="2"/>
  <c r="J926" i="2" s="1"/>
  <c r="H926" i="2" s="1"/>
  <c r="G925" i="2"/>
  <c r="F925" i="2"/>
  <c r="E925" i="2"/>
  <c r="G924" i="2"/>
  <c r="E924" i="2"/>
  <c r="F923" i="2"/>
  <c r="K923" i="2" s="1"/>
  <c r="E923" i="2"/>
  <c r="G923" i="2" s="1"/>
  <c r="G922" i="2"/>
  <c r="E922" i="2"/>
  <c r="F921" i="2"/>
  <c r="F920" i="2"/>
  <c r="K920" i="2" s="1"/>
  <c r="E920" i="2"/>
  <c r="E919" i="2"/>
  <c r="G918" i="2"/>
  <c r="E918" i="2"/>
  <c r="F917" i="2"/>
  <c r="K917" i="2" s="1"/>
  <c r="E917" i="2"/>
  <c r="G917" i="2" s="1"/>
  <c r="E916" i="2"/>
  <c r="F915" i="2"/>
  <c r="I915" i="2" s="1"/>
  <c r="E915" i="2"/>
  <c r="G915" i="2" s="1"/>
  <c r="G912" i="2"/>
  <c r="E912" i="2"/>
  <c r="F912" i="2" s="1"/>
  <c r="J912" i="2" s="1"/>
  <c r="H912" i="2" s="1"/>
  <c r="G911" i="2"/>
  <c r="F911" i="2"/>
  <c r="J911" i="2" s="1"/>
  <c r="H911" i="2" s="1"/>
  <c r="E911" i="2"/>
  <c r="E910" i="2"/>
  <c r="G908" i="2"/>
  <c r="F908" i="2"/>
  <c r="F907" i="2"/>
  <c r="E907" i="2"/>
  <c r="F906" i="2"/>
  <c r="J906" i="2" s="1"/>
  <c r="H906" i="2" s="1"/>
  <c r="F905" i="2"/>
  <c r="E905" i="2"/>
  <c r="G905" i="2" s="1"/>
  <c r="E904" i="2"/>
  <c r="G903" i="2"/>
  <c r="F903" i="2"/>
  <c r="K903" i="2" s="1"/>
  <c r="E903" i="2"/>
  <c r="E901" i="2"/>
  <c r="G899" i="2"/>
  <c r="F899" i="2"/>
  <c r="J899" i="2" s="1"/>
  <c r="H899" i="2" s="1"/>
  <c r="E899" i="2"/>
  <c r="G898" i="2"/>
  <c r="E898" i="2"/>
  <c r="F897" i="2"/>
  <c r="I897" i="2" s="1"/>
  <c r="E897" i="2"/>
  <c r="E896" i="2"/>
  <c r="G895" i="2"/>
  <c r="F895" i="2"/>
  <c r="J895" i="2" s="1"/>
  <c r="H895" i="2" s="1"/>
  <c r="E895" i="2"/>
  <c r="G894" i="2"/>
  <c r="F894" i="2"/>
  <c r="I894" i="2" s="1"/>
  <c r="E894" i="2"/>
  <c r="G892" i="2"/>
  <c r="F892" i="2"/>
  <c r="E892" i="2"/>
  <c r="E891" i="2"/>
  <c r="G890" i="2"/>
  <c r="E890" i="2"/>
  <c r="F889" i="2"/>
  <c r="E889" i="2"/>
  <c r="G887" i="2"/>
  <c r="F887" i="2"/>
  <c r="E887" i="2"/>
  <c r="E886" i="2"/>
  <c r="E885" i="2"/>
  <c r="F884" i="2"/>
  <c r="G883" i="2"/>
  <c r="F883" i="2"/>
  <c r="J883" i="2" s="1"/>
  <c r="H883" i="2" s="1"/>
  <c r="E883" i="2"/>
  <c r="E882" i="2"/>
  <c r="E881" i="2"/>
  <c r="G880" i="2"/>
  <c r="E880" i="2"/>
  <c r="G879" i="2"/>
  <c r="F879" i="2"/>
  <c r="E879" i="2"/>
  <c r="F878" i="2"/>
  <c r="I878" i="2" s="1"/>
  <c r="E878" i="2"/>
  <c r="G878" i="2" s="1"/>
  <c r="G877" i="2"/>
  <c r="G876" i="2"/>
  <c r="F876" i="2"/>
  <c r="E876" i="2"/>
  <c r="E875" i="2"/>
  <c r="F873" i="2"/>
  <c r="E873" i="2"/>
  <c r="G872" i="2"/>
  <c r="E872" i="2"/>
  <c r="G871" i="2"/>
  <c r="F871" i="2"/>
  <c r="K871" i="2" s="1"/>
  <c r="E871" i="2"/>
  <c r="F870" i="2"/>
  <c r="E870" i="2"/>
  <c r="G868" i="2"/>
  <c r="F868" i="2"/>
  <c r="I868" i="2" s="1"/>
  <c r="E868" i="2"/>
  <c r="G867" i="2"/>
  <c r="F867" i="2"/>
  <c r="J867" i="2" s="1"/>
  <c r="H867" i="2" s="1"/>
  <c r="E867" i="2"/>
  <c r="E866" i="2"/>
  <c r="E865" i="2"/>
  <c r="E864" i="2"/>
  <c r="F863" i="2"/>
  <c r="F862" i="2"/>
  <c r="E862" i="2"/>
  <c r="G862" i="2" s="1"/>
  <c r="G861" i="2"/>
  <c r="E861" i="2"/>
  <c r="G860" i="2"/>
  <c r="F860" i="2"/>
  <c r="E860" i="2"/>
  <c r="E859" i="2"/>
  <c r="G856" i="2"/>
  <c r="E856" i="2"/>
  <c r="G855" i="2"/>
  <c r="F855" i="2"/>
  <c r="K855" i="2" s="1"/>
  <c r="E855" i="2"/>
  <c r="F854" i="2"/>
  <c r="K854" i="2" s="1"/>
  <c r="E854" i="2"/>
  <c r="E853" i="2"/>
  <c r="G852" i="2"/>
  <c r="F852" i="2"/>
  <c r="I852" i="2" s="1"/>
  <c r="E852" i="2"/>
  <c r="G851" i="2"/>
  <c r="F851" i="2"/>
  <c r="J851" i="2" s="1"/>
  <c r="H851" i="2" s="1"/>
  <c r="E851" i="2"/>
  <c r="F850" i="2"/>
  <c r="I850" i="2" s="1"/>
  <c r="E850" i="2"/>
  <c r="E849" i="2"/>
  <c r="F847" i="2"/>
  <c r="F846" i="2"/>
  <c r="I846" i="2" s="1"/>
  <c r="G845" i="2"/>
  <c r="G844" i="2"/>
  <c r="F844" i="2"/>
  <c r="E844" i="2"/>
  <c r="G842" i="2"/>
  <c r="E842" i="2"/>
  <c r="E841" i="2"/>
  <c r="G840" i="2"/>
  <c r="E840" i="2"/>
  <c r="G839" i="2"/>
  <c r="F839" i="2"/>
  <c r="J839" i="2" s="1"/>
  <c r="H839" i="2" s="1"/>
  <c r="E839" i="2"/>
  <c r="F838" i="2"/>
  <c r="E838" i="2"/>
  <c r="E837" i="2"/>
  <c r="G836" i="2"/>
  <c r="F836" i="2"/>
  <c r="K836" i="2" s="1"/>
  <c r="E836" i="2"/>
  <c r="G835" i="2"/>
  <c r="F835" i="2"/>
  <c r="J835" i="2" s="1"/>
  <c r="H835" i="2" s="1"/>
  <c r="E835" i="2"/>
  <c r="F834" i="2"/>
  <c r="I834" i="2" s="1"/>
  <c r="E834" i="2"/>
  <c r="F833" i="2"/>
  <c r="G832" i="2"/>
  <c r="E832" i="2"/>
  <c r="G831" i="2"/>
  <c r="F831" i="2"/>
  <c r="I831" i="2" s="1"/>
  <c r="E831" i="2"/>
  <c r="E830" i="2"/>
  <c r="F829" i="2"/>
  <c r="J829" i="2" s="1"/>
  <c r="H829" i="2" s="1"/>
  <c r="G828" i="2"/>
  <c r="F828" i="2"/>
  <c r="K828" i="2" s="1"/>
  <c r="E828" i="2"/>
  <c r="G827" i="2"/>
  <c r="E827" i="2"/>
  <c r="F827" i="2" s="1"/>
  <c r="F826" i="2"/>
  <c r="J826" i="2" s="1"/>
  <c r="H826" i="2" s="1"/>
  <c r="E825" i="2"/>
  <c r="F824" i="2"/>
  <c r="G823" i="2"/>
  <c r="F823" i="2"/>
  <c r="J823" i="2" s="1"/>
  <c r="H823" i="2" s="1"/>
  <c r="E822" i="2"/>
  <c r="G821" i="2"/>
  <c r="E821" i="2"/>
  <c r="G820" i="2"/>
  <c r="F820" i="2"/>
  <c r="J820" i="2" s="1"/>
  <c r="H820" i="2" s="1"/>
  <c r="E820" i="2"/>
  <c r="G819" i="2"/>
  <c r="F819" i="2"/>
  <c r="K819" i="2" s="1"/>
  <c r="E819" i="2"/>
  <c r="F817" i="2"/>
  <c r="E817" i="2"/>
  <c r="E816" i="2"/>
  <c r="G815" i="2"/>
  <c r="E815" i="2"/>
  <c r="F815" i="2" s="1"/>
  <c r="I815" i="2" s="1"/>
  <c r="G814" i="2"/>
  <c r="F814" i="2"/>
  <c r="K814" i="2" s="1"/>
  <c r="E814" i="2"/>
  <c r="G813" i="2"/>
  <c r="F813" i="2"/>
  <c r="I813" i="2" s="1"/>
  <c r="E813" i="2"/>
  <c r="F812" i="2"/>
  <c r="E812" i="2"/>
  <c r="F810" i="2"/>
  <c r="J810" i="2" s="1"/>
  <c r="H810" i="2" s="1"/>
  <c r="G809" i="2"/>
  <c r="F809" i="2"/>
  <c r="J809" i="2" s="1"/>
  <c r="H809" i="2" s="1"/>
  <c r="E809" i="2"/>
  <c r="F808" i="2"/>
  <c r="E808" i="2"/>
  <c r="E807" i="2"/>
  <c r="F807" i="2" s="1"/>
  <c r="K807" i="2" s="1"/>
  <c r="F806" i="2"/>
  <c r="G805" i="2"/>
  <c r="F805" i="2"/>
  <c r="K805" i="2" s="1"/>
  <c r="E805" i="2"/>
  <c r="G804" i="2"/>
  <c r="F804" i="2"/>
  <c r="I804" i="2" s="1"/>
  <c r="E804" i="2"/>
  <c r="G801" i="2"/>
  <c r="F801" i="2"/>
  <c r="I801" i="2" s="1"/>
  <c r="E801" i="2"/>
  <c r="F800" i="2"/>
  <c r="J800" i="2" s="1"/>
  <c r="H800" i="2" s="1"/>
  <c r="E800" i="2"/>
  <c r="G800" i="2" s="1"/>
  <c r="E799" i="2"/>
  <c r="G798" i="2"/>
  <c r="F798" i="2"/>
  <c r="J798" i="2" s="1"/>
  <c r="H798" i="2" s="1"/>
  <c r="E798" i="2"/>
  <c r="E797" i="2"/>
  <c r="F796" i="2"/>
  <c r="J796" i="2" s="1"/>
  <c r="H796" i="2" s="1"/>
  <c r="G795" i="2"/>
  <c r="F795" i="2"/>
  <c r="I795" i="2" s="1"/>
  <c r="F794" i="2"/>
  <c r="E794" i="2"/>
  <c r="E793" i="2"/>
  <c r="F792" i="2"/>
  <c r="K792" i="2" s="1"/>
  <c r="E792" i="2"/>
  <c r="G792" i="2" s="1"/>
  <c r="G791" i="2"/>
  <c r="E791" i="2"/>
  <c r="F791" i="2" s="1"/>
  <c r="I791" i="2" s="1"/>
  <c r="G790" i="2"/>
  <c r="F790" i="2"/>
  <c r="E790" i="2"/>
  <c r="E788" i="2"/>
  <c r="G787" i="2"/>
  <c r="F787" i="2"/>
  <c r="I787" i="2" s="1"/>
  <c r="E787" i="2"/>
  <c r="G786" i="2"/>
  <c r="F786" i="2"/>
  <c r="J786" i="2" s="1"/>
  <c r="H786" i="2" s="1"/>
  <c r="E786" i="2"/>
  <c r="E785" i="2"/>
  <c r="E784" i="2"/>
  <c r="G784" i="2" s="1"/>
  <c r="F783" i="2"/>
  <c r="G782" i="2"/>
  <c r="F782" i="2"/>
  <c r="K782" i="2" s="1"/>
  <c r="E782" i="2"/>
  <c r="G781" i="2"/>
  <c r="F781" i="2"/>
  <c r="I781" i="2" s="1"/>
  <c r="E781" i="2"/>
  <c r="F780" i="2"/>
  <c r="E778" i="2"/>
  <c r="G777" i="2"/>
  <c r="J777" i="2"/>
  <c r="H777" i="2" s="1"/>
  <c r="G776" i="2"/>
  <c r="F776" i="2"/>
  <c r="K776" i="2" s="1"/>
  <c r="E776" i="2"/>
  <c r="G775" i="2"/>
  <c r="E775" i="2"/>
  <c r="F775" i="2" s="1"/>
  <c r="J775" i="2" s="1"/>
  <c r="H775" i="2" s="1"/>
  <c r="G774" i="2"/>
  <c r="F774" i="2"/>
  <c r="I774" i="2" s="1"/>
  <c r="E774" i="2"/>
  <c r="G773" i="2"/>
  <c r="E773" i="2"/>
  <c r="E770" i="2"/>
  <c r="F769" i="2"/>
  <c r="J769" i="2" s="1"/>
  <c r="H769" i="2" s="1"/>
  <c r="G768" i="2"/>
  <c r="F768" i="2"/>
  <c r="E768" i="2"/>
  <c r="G767" i="2"/>
  <c r="F767" i="2"/>
  <c r="G766" i="2"/>
  <c r="F766" i="2"/>
  <c r="I766" i="2" s="1"/>
  <c r="E766" i="2"/>
  <c r="F765" i="2"/>
  <c r="E765" i="2"/>
  <c r="F764" i="2"/>
  <c r="E764" i="2"/>
  <c r="E763" i="2"/>
  <c r="E762" i="2"/>
  <c r="G761" i="2"/>
  <c r="E761" i="2"/>
  <c r="F761" i="2" s="1"/>
  <c r="G760" i="2"/>
  <c r="F760" i="2"/>
  <c r="I760" i="2" s="1"/>
  <c r="E760" i="2"/>
  <c r="G759" i="2"/>
  <c r="E759" i="2"/>
  <c r="F759" i="2" s="1"/>
  <c r="G758" i="2"/>
  <c r="F758" i="2"/>
  <c r="E758" i="2"/>
  <c r="G757" i="2"/>
  <c r="E757" i="2"/>
  <c r="F756" i="2"/>
  <c r="E756" i="2"/>
  <c r="G753" i="2"/>
  <c r="E753" i="2"/>
  <c r="F753" i="2" s="1"/>
  <c r="K753" i="2" s="1"/>
  <c r="G752" i="2"/>
  <c r="F752" i="2"/>
  <c r="K752" i="2" s="1"/>
  <c r="E752" i="2"/>
  <c r="J751" i="2"/>
  <c r="H751" i="2" s="1"/>
  <c r="G750" i="2"/>
  <c r="F750" i="2"/>
  <c r="I750" i="2" s="1"/>
  <c r="E750" i="2"/>
  <c r="E749" i="2"/>
  <c r="E748" i="2"/>
  <c r="E747" i="2"/>
  <c r="E746" i="2"/>
  <c r="G745" i="2"/>
  <c r="E745" i="2"/>
  <c r="F745" i="2" s="1"/>
  <c r="K745" i="2" s="1"/>
  <c r="G744" i="2"/>
  <c r="F744" i="2"/>
  <c r="J744" i="2" s="1"/>
  <c r="H744" i="2" s="1"/>
  <c r="E744" i="2"/>
  <c r="G743" i="2"/>
  <c r="E743" i="2"/>
  <c r="F743" i="2" s="1"/>
  <c r="J743" i="2" s="1"/>
  <c r="H743" i="2" s="1"/>
  <c r="G742" i="2"/>
  <c r="F742" i="2"/>
  <c r="I742" i="2" s="1"/>
  <c r="E742" i="2"/>
  <c r="G741" i="2"/>
  <c r="F741" i="2"/>
  <c r="E741" i="2"/>
  <c r="E740" i="2"/>
  <c r="E739" i="2"/>
  <c r="E738" i="2"/>
  <c r="F737" i="2"/>
  <c r="F736" i="2"/>
  <c r="G735" i="2"/>
  <c r="E735" i="2"/>
  <c r="F735" i="2" s="1"/>
  <c r="G734" i="2"/>
  <c r="F734" i="2"/>
  <c r="I734" i="2" s="1"/>
  <c r="E734" i="2"/>
  <c r="F732" i="2"/>
  <c r="E732" i="2"/>
  <c r="E731" i="2"/>
  <c r="E730" i="2"/>
  <c r="G729" i="2"/>
  <c r="E729" i="2"/>
  <c r="F729" i="2" s="1"/>
  <c r="K729" i="2" s="1"/>
  <c r="G728" i="2"/>
  <c r="F728" i="2"/>
  <c r="I728" i="2" s="1"/>
  <c r="E728" i="2"/>
  <c r="G727" i="2"/>
  <c r="E727" i="2"/>
  <c r="F727" i="2" s="1"/>
  <c r="J727" i="2" s="1"/>
  <c r="H727" i="2" s="1"/>
  <c r="F726" i="2"/>
  <c r="I726" i="2" s="1"/>
  <c r="G725" i="2"/>
  <c r="E725" i="2"/>
  <c r="G724" i="2"/>
  <c r="E724" i="2"/>
  <c r="E723" i="2"/>
  <c r="E722" i="2"/>
  <c r="G721" i="2"/>
  <c r="E721" i="2"/>
  <c r="F721" i="2" s="1"/>
  <c r="G720" i="2"/>
  <c r="F720" i="2"/>
  <c r="J720" i="2" s="1"/>
  <c r="H720" i="2" s="1"/>
  <c r="E720" i="2"/>
  <c r="G719" i="2"/>
  <c r="E719" i="2"/>
  <c r="F719" i="2" s="1"/>
  <c r="G718" i="2"/>
  <c r="F718" i="2"/>
  <c r="I718" i="2" s="1"/>
  <c r="E718" i="2"/>
  <c r="G717" i="2"/>
  <c r="E717" i="2"/>
  <c r="E716" i="2"/>
  <c r="G715" i="2"/>
  <c r="E715" i="2"/>
  <c r="E714" i="2"/>
  <c r="E713" i="2"/>
  <c r="G712" i="2"/>
  <c r="F712" i="2"/>
  <c r="J712" i="2" s="1"/>
  <c r="H712" i="2" s="1"/>
  <c r="E712" i="2"/>
  <c r="G711" i="2"/>
  <c r="E711" i="2"/>
  <c r="F711" i="2" s="1"/>
  <c r="J711" i="2" s="1"/>
  <c r="H711" i="2" s="1"/>
  <c r="G710" i="2"/>
  <c r="F710" i="2"/>
  <c r="E710" i="2"/>
  <c r="E709" i="2"/>
  <c r="F708" i="2"/>
  <c r="G707" i="2"/>
  <c r="E706" i="2"/>
  <c r="G705" i="2"/>
  <c r="G704" i="2"/>
  <c r="F704" i="2"/>
  <c r="J704" i="2" s="1"/>
  <c r="H704" i="2" s="1"/>
  <c r="E704" i="2"/>
  <c r="G703" i="2"/>
  <c r="E703" i="2"/>
  <c r="F703" i="2" s="1"/>
  <c r="J703" i="2" s="1"/>
  <c r="H703" i="2" s="1"/>
  <c r="G702" i="2"/>
  <c r="F702" i="2"/>
  <c r="I702" i="2" s="1"/>
  <c r="E702" i="2"/>
  <c r="F701" i="2"/>
  <c r="E701" i="2"/>
  <c r="E699" i="2"/>
  <c r="E697" i="2"/>
  <c r="G696" i="2"/>
  <c r="F696" i="2"/>
  <c r="E696" i="2"/>
  <c r="G695" i="2"/>
  <c r="F695" i="2"/>
  <c r="J695" i="2" s="1"/>
  <c r="H695" i="2" s="1"/>
  <c r="E695" i="2"/>
  <c r="E694" i="2"/>
  <c r="G693" i="2"/>
  <c r="E693" i="2"/>
  <c r="E692" i="2"/>
  <c r="G691" i="2"/>
  <c r="F691" i="2"/>
  <c r="J691" i="2" s="1"/>
  <c r="H691" i="2" s="1"/>
  <c r="E691" i="2"/>
  <c r="E690" i="2"/>
  <c r="E689" i="2"/>
  <c r="G688" i="2"/>
  <c r="F688" i="2"/>
  <c r="K688" i="2" s="1"/>
  <c r="E688" i="2"/>
  <c r="E687" i="2"/>
  <c r="G686" i="2"/>
  <c r="F686" i="2"/>
  <c r="I686" i="2" s="1"/>
  <c r="E686" i="2"/>
  <c r="E685" i="2"/>
  <c r="E684" i="2"/>
  <c r="F682" i="2"/>
  <c r="J682" i="2" s="1"/>
  <c r="H682" i="2" s="1"/>
  <c r="E682" i="2"/>
  <c r="G682" i="2" s="1"/>
  <c r="E681" i="2"/>
  <c r="G680" i="2"/>
  <c r="F680" i="2"/>
  <c r="E680" i="2"/>
  <c r="G679" i="2"/>
  <c r="E679" i="2"/>
  <c r="E678" i="2"/>
  <c r="G677" i="2"/>
  <c r="F677" i="2"/>
  <c r="E677" i="2"/>
  <c r="E676" i="2"/>
  <c r="E674" i="2"/>
  <c r="G673" i="2"/>
  <c r="E673" i="2"/>
  <c r="F673" i="2" s="1"/>
  <c r="J673" i="2" s="1"/>
  <c r="H673" i="2" s="1"/>
  <c r="G672" i="2"/>
  <c r="F672" i="2"/>
  <c r="E672" i="2"/>
  <c r="E671" i="2"/>
  <c r="F670" i="2"/>
  <c r="E670" i="2"/>
  <c r="E669" i="2"/>
  <c r="G668" i="2"/>
  <c r="F668" i="2"/>
  <c r="E668" i="2"/>
  <c r="E667" i="2"/>
  <c r="F666" i="2"/>
  <c r="E666" i="2"/>
  <c r="E665" i="2"/>
  <c r="G664" i="2"/>
  <c r="F664" i="2"/>
  <c r="I664" i="2" s="1"/>
  <c r="E664" i="2"/>
  <c r="G663" i="2"/>
  <c r="F663" i="2"/>
  <c r="K663" i="2" s="1"/>
  <c r="E663" i="2"/>
  <c r="G661" i="2"/>
  <c r="E661" i="2"/>
  <c r="G660" i="2"/>
  <c r="F660" i="2"/>
  <c r="E660" i="2"/>
  <c r="G659" i="2"/>
  <c r="E659" i="2"/>
  <c r="E658" i="2"/>
  <c r="G656" i="2"/>
  <c r="E656" i="2"/>
  <c r="G655" i="2"/>
  <c r="F655" i="2"/>
  <c r="E655" i="2"/>
  <c r="E654" i="2"/>
  <c r="G652" i="2"/>
  <c r="F652" i="2"/>
  <c r="K652" i="2" s="1"/>
  <c r="E652" i="2"/>
  <c r="E651" i="2"/>
  <c r="E650" i="2"/>
  <c r="E649" i="2"/>
  <c r="G648" i="2"/>
  <c r="E648" i="2"/>
  <c r="G647" i="2"/>
  <c r="F647" i="2"/>
  <c r="K647" i="2" s="1"/>
  <c r="E647" i="2"/>
  <c r="E646" i="2"/>
  <c r="E645" i="2"/>
  <c r="F644" i="2"/>
  <c r="G643" i="2"/>
  <c r="E643" i="2"/>
  <c r="E641" i="2"/>
  <c r="G640" i="2"/>
  <c r="E640" i="2"/>
  <c r="G639" i="2"/>
  <c r="F639" i="2"/>
  <c r="K639" i="2" s="1"/>
  <c r="E639" i="2"/>
  <c r="E637" i="2"/>
  <c r="G636" i="2"/>
  <c r="F636" i="2"/>
  <c r="K636" i="2" s="1"/>
  <c r="E636" i="2"/>
  <c r="E635" i="2"/>
  <c r="F634" i="2"/>
  <c r="I634" i="2" s="1"/>
  <c r="E634" i="2"/>
  <c r="E633" i="2"/>
  <c r="G632" i="2"/>
  <c r="E632" i="2"/>
  <c r="G631" i="2"/>
  <c r="F631" i="2"/>
  <c r="K631" i="2" s="1"/>
  <c r="E631" i="2"/>
  <c r="E630" i="2"/>
  <c r="E629" i="2"/>
  <c r="G628" i="2"/>
  <c r="F628" i="2"/>
  <c r="E628" i="2"/>
  <c r="E626" i="2"/>
  <c r="E625" i="2"/>
  <c r="E624" i="2"/>
  <c r="G623" i="2"/>
  <c r="F623" i="2"/>
  <c r="E623" i="2"/>
  <c r="E622" i="2"/>
  <c r="G621" i="2"/>
  <c r="E621" i="2"/>
  <c r="G620" i="2"/>
  <c r="F620" i="2"/>
  <c r="J620" i="2" s="1"/>
  <c r="H620" i="2" s="1"/>
  <c r="E620" i="2"/>
  <c r="F619" i="2"/>
  <c r="E619" i="2"/>
  <c r="G618" i="2"/>
  <c r="F618" i="2"/>
  <c r="I618" i="2" s="1"/>
  <c r="E618" i="2"/>
  <c r="E617" i="2"/>
  <c r="E616" i="2"/>
  <c r="F615" i="2"/>
  <c r="I615" i="2" s="1"/>
  <c r="E614" i="2"/>
  <c r="G613" i="2"/>
  <c r="E613" i="2"/>
  <c r="F613" i="2" s="1"/>
  <c r="G612" i="2"/>
  <c r="F612" i="2"/>
  <c r="J612" i="2" s="1"/>
  <c r="H612" i="2" s="1"/>
  <c r="E612" i="2"/>
  <c r="E611" i="2"/>
  <c r="G610" i="2"/>
  <c r="J610" i="2"/>
  <c r="H610" i="2" s="1"/>
  <c r="F609" i="2"/>
  <c r="E609" i="2"/>
  <c r="G608" i="2"/>
  <c r="F608" i="2"/>
  <c r="J608" i="2" s="1"/>
  <c r="H608" i="2" s="1"/>
  <c r="E608" i="2"/>
  <c r="E606" i="2"/>
  <c r="F605" i="2"/>
  <c r="G604" i="2"/>
  <c r="F604" i="2"/>
  <c r="E604" i="2"/>
  <c r="G603" i="2"/>
  <c r="E603" i="2"/>
  <c r="E602" i="2"/>
  <c r="E601" i="2"/>
  <c r="G600" i="2"/>
  <c r="F600" i="2"/>
  <c r="E600" i="2"/>
  <c r="E599" i="2"/>
  <c r="E598" i="2"/>
  <c r="G597" i="2"/>
  <c r="E597" i="2"/>
  <c r="F597" i="2" s="1"/>
  <c r="K597" i="2" s="1"/>
  <c r="F596" i="2"/>
  <c r="F595" i="2"/>
  <c r="E595" i="2"/>
  <c r="E594" i="2"/>
  <c r="E593" i="2"/>
  <c r="G592" i="2"/>
  <c r="F592" i="2"/>
  <c r="E592" i="2"/>
  <c r="E591" i="2"/>
  <c r="G591" i="2" s="1"/>
  <c r="E590" i="2"/>
  <c r="G589" i="2"/>
  <c r="E589" i="2"/>
  <c r="F589" i="2" s="1"/>
  <c r="K589" i="2" s="1"/>
  <c r="G588" i="2"/>
  <c r="F588" i="2"/>
  <c r="J588" i="2" s="1"/>
  <c r="H588" i="2" s="1"/>
  <c r="E588" i="2"/>
  <c r="E585" i="2"/>
  <c r="F584" i="2"/>
  <c r="E583" i="2"/>
  <c r="F582" i="2"/>
  <c r="E581" i="2"/>
  <c r="G580" i="2"/>
  <c r="F580" i="2"/>
  <c r="J580" i="2" s="1"/>
  <c r="H580" i="2" s="1"/>
  <c r="E580" i="2"/>
  <c r="F579" i="2"/>
  <c r="E578" i="2"/>
  <c r="E577" i="2"/>
  <c r="K576" i="2"/>
  <c r="G575" i="2"/>
  <c r="F575" i="2"/>
  <c r="J575" i="2" s="1"/>
  <c r="H575" i="2" s="1"/>
  <c r="E575" i="2"/>
  <c r="F574" i="2"/>
  <c r="E574" i="2"/>
  <c r="E573" i="2"/>
  <c r="F572" i="2"/>
  <c r="E571" i="2"/>
  <c r="E570" i="2"/>
  <c r="E569" i="2"/>
  <c r="F568" i="2"/>
  <c r="K568" i="2" s="1"/>
  <c r="F566" i="2"/>
  <c r="E566" i="2"/>
  <c r="E565" i="2"/>
  <c r="G564" i="2"/>
  <c r="F564" i="2"/>
  <c r="K564" i="2" s="1"/>
  <c r="E564" i="2"/>
  <c r="F563" i="2"/>
  <c r="G560" i="2"/>
  <c r="F560" i="2"/>
  <c r="E560" i="2"/>
  <c r="G559" i="2"/>
  <c r="E559" i="2"/>
  <c r="E558" i="2"/>
  <c r="E557" i="2"/>
  <c r="G556" i="2"/>
  <c r="F556" i="2"/>
  <c r="K556" i="2" s="1"/>
  <c r="E556" i="2"/>
  <c r="F555" i="2"/>
  <c r="E555" i="2"/>
  <c r="E554" i="2"/>
  <c r="G552" i="2"/>
  <c r="F552" i="2"/>
  <c r="E552" i="2"/>
  <c r="E551" i="2"/>
  <c r="F550" i="2"/>
  <c r="I550" i="2" s="1"/>
  <c r="E549" i="2"/>
  <c r="G548" i="2"/>
  <c r="F548" i="2"/>
  <c r="E548" i="2"/>
  <c r="G547" i="2"/>
  <c r="E547" i="2"/>
  <c r="F547" i="2" s="1"/>
  <c r="E545" i="2"/>
  <c r="F544" i="2"/>
  <c r="K544" i="2" s="1"/>
  <c r="G543" i="2"/>
  <c r="F543" i="2"/>
  <c r="E543" i="2"/>
  <c r="F542" i="2"/>
  <c r="E542" i="2"/>
  <c r="G540" i="2"/>
  <c r="F540" i="2"/>
  <c r="K540" i="2" s="1"/>
  <c r="E540" i="2"/>
  <c r="E539" i="2"/>
  <c r="E538" i="2"/>
  <c r="G536" i="2"/>
  <c r="F536" i="2"/>
  <c r="E536" i="2"/>
  <c r="E535" i="2"/>
  <c r="F534" i="2"/>
  <c r="I534" i="2" s="1"/>
  <c r="E534" i="2"/>
  <c r="G533" i="2"/>
  <c r="E533" i="2"/>
  <c r="F532" i="2"/>
  <c r="G531" i="2"/>
  <c r="E531" i="2"/>
  <c r="F531" i="2" s="1"/>
  <c r="K531" i="2" s="1"/>
  <c r="G529" i="2"/>
  <c r="E529" i="2"/>
  <c r="G528" i="2"/>
  <c r="F528" i="2"/>
  <c r="K528" i="2" s="1"/>
  <c r="E528" i="2"/>
  <c r="E527" i="2"/>
  <c r="E526" i="2"/>
  <c r="G524" i="2"/>
  <c r="F524" i="2"/>
  <c r="J524" i="2" s="1"/>
  <c r="H524" i="2" s="1"/>
  <c r="E524" i="2"/>
  <c r="E523" i="2"/>
  <c r="E522" i="2"/>
  <c r="G520" i="2"/>
  <c r="F520" i="2"/>
  <c r="E520" i="2"/>
  <c r="E519" i="2"/>
  <c r="F518" i="2"/>
  <c r="I518" i="2" s="1"/>
  <c r="E518" i="2"/>
  <c r="G517" i="2"/>
  <c r="E517" i="2"/>
  <c r="F516" i="2"/>
  <c r="G515" i="2"/>
  <c r="E515" i="2"/>
  <c r="F515" i="2" s="1"/>
  <c r="K515" i="2" s="1"/>
  <c r="F514" i="2"/>
  <c r="E514" i="2"/>
  <c r="G512" i="2"/>
  <c r="F512" i="2"/>
  <c r="J512" i="2" s="1"/>
  <c r="H512" i="2" s="1"/>
  <c r="E512" i="2"/>
  <c r="E510" i="2"/>
  <c r="F508" i="2"/>
  <c r="E508" i="2"/>
  <c r="G506" i="2"/>
  <c r="F506" i="2"/>
  <c r="J506" i="2" s="1"/>
  <c r="H506" i="2" s="1"/>
  <c r="E506" i="2"/>
  <c r="F505" i="2"/>
  <c r="E505" i="2"/>
  <c r="E504" i="2"/>
  <c r="G502" i="2"/>
  <c r="F502" i="2"/>
  <c r="K502" i="2" s="1"/>
  <c r="E502" i="2"/>
  <c r="G501" i="2"/>
  <c r="F501" i="2"/>
  <c r="E501" i="2"/>
  <c r="F500" i="2"/>
  <c r="E500" i="2"/>
  <c r="E499" i="2"/>
  <c r="G498" i="2"/>
  <c r="F498" i="2"/>
  <c r="J498" i="2" s="1"/>
  <c r="H498" i="2" s="1"/>
  <c r="E498" i="2"/>
  <c r="E497" i="2"/>
  <c r="E496" i="2"/>
  <c r="G494" i="2"/>
  <c r="F494" i="2"/>
  <c r="E494" i="2"/>
  <c r="G493" i="2"/>
  <c r="E493" i="2"/>
  <c r="F493" i="2" s="1"/>
  <c r="F492" i="2"/>
  <c r="E491" i="2"/>
  <c r="G490" i="2"/>
  <c r="F490" i="2"/>
  <c r="K490" i="2" s="1"/>
  <c r="E490" i="2"/>
  <c r="F488" i="2"/>
  <c r="I488" i="2" s="1"/>
  <c r="E488" i="2"/>
  <c r="G487" i="2"/>
  <c r="E487" i="2"/>
  <c r="F486" i="2"/>
  <c r="G485" i="2"/>
  <c r="F485" i="2"/>
  <c r="E485" i="2"/>
  <c r="F484" i="2"/>
  <c r="E484" i="2"/>
  <c r="E483" i="2"/>
  <c r="G482" i="2"/>
  <c r="F482" i="2"/>
  <c r="K482" i="2" s="1"/>
  <c r="E482" i="2"/>
  <c r="E481" i="2"/>
  <c r="F480" i="2"/>
  <c r="G479" i="2"/>
  <c r="E479" i="2"/>
  <c r="G478" i="2"/>
  <c r="F478" i="2"/>
  <c r="J478" i="2" s="1"/>
  <c r="H478" i="2" s="1"/>
  <c r="E478" i="2"/>
  <c r="G477" i="2"/>
  <c r="F477" i="2"/>
  <c r="J477" i="2" s="1"/>
  <c r="H477" i="2" s="1"/>
  <c r="E477" i="2"/>
  <c r="E476" i="2"/>
  <c r="E475" i="2"/>
  <c r="G474" i="2"/>
  <c r="F474" i="2"/>
  <c r="E474" i="2"/>
  <c r="E473" i="2"/>
  <c r="F472" i="2"/>
  <c r="J472" i="2" s="1"/>
  <c r="H472" i="2" s="1"/>
  <c r="E472" i="2"/>
  <c r="E471" i="2"/>
  <c r="F470" i="2"/>
  <c r="G469" i="2"/>
  <c r="F469" i="2"/>
  <c r="E469" i="2"/>
  <c r="F468" i="2"/>
  <c r="I468" i="2" s="1"/>
  <c r="E468" i="2"/>
  <c r="G467" i="2"/>
  <c r="E467" i="2"/>
  <c r="G466" i="2"/>
  <c r="F466" i="2"/>
  <c r="E465" i="2"/>
  <c r="F465" i="2" s="1"/>
  <c r="K465" i="2" s="1"/>
  <c r="F464" i="2"/>
  <c r="I464" i="2" s="1"/>
  <c r="E464" i="2"/>
  <c r="E463" i="2"/>
  <c r="G462" i="2"/>
  <c r="F462" i="2"/>
  <c r="E462" i="2"/>
  <c r="G461" i="2"/>
  <c r="F461" i="2"/>
  <c r="E461" i="2"/>
  <c r="E459" i="2"/>
  <c r="G458" i="2"/>
  <c r="F458" i="2"/>
  <c r="E458" i="2"/>
  <c r="E457" i="2"/>
  <c r="F456" i="2"/>
  <c r="I456" i="2" s="1"/>
  <c r="E456" i="2"/>
  <c r="E455" i="2"/>
  <c r="G454" i="2"/>
  <c r="F454" i="2"/>
  <c r="K454" i="2" s="1"/>
  <c r="E454" i="2"/>
  <c r="F452" i="2"/>
  <c r="I452" i="2" s="1"/>
  <c r="E452" i="2"/>
  <c r="G450" i="2"/>
  <c r="F450" i="2"/>
  <c r="E450" i="2"/>
  <c r="E449" i="2"/>
  <c r="F449" i="2" s="1"/>
  <c r="F448" i="2"/>
  <c r="I448" i="2" s="1"/>
  <c r="E447" i="2"/>
  <c r="G446" i="2"/>
  <c r="E446" i="2"/>
  <c r="F446" i="2" s="1"/>
  <c r="K446" i="2" s="1"/>
  <c r="F445" i="2"/>
  <c r="E445" i="2"/>
  <c r="G445" i="2" s="1"/>
  <c r="G444" i="2"/>
  <c r="E444" i="2"/>
  <c r="G443" i="2"/>
  <c r="F443" i="2"/>
  <c r="K443" i="2" s="1"/>
  <c r="E443" i="2"/>
  <c r="G441" i="2"/>
  <c r="E441" i="2"/>
  <c r="F440" i="2"/>
  <c r="I440" i="2" s="1"/>
  <c r="F439" i="2"/>
  <c r="E439" i="2"/>
  <c r="E438" i="2"/>
  <c r="E437" i="2"/>
  <c r="G437" i="2" s="1"/>
  <c r="G436" i="2"/>
  <c r="E436" i="2"/>
  <c r="F436" i="2" s="1"/>
  <c r="J436" i="2" s="1"/>
  <c r="H436" i="2" s="1"/>
  <c r="G435" i="2"/>
  <c r="F435" i="2"/>
  <c r="E435" i="2"/>
  <c r="E433" i="2"/>
  <c r="G432" i="2"/>
  <c r="E432" i="2"/>
  <c r="G431" i="2"/>
  <c r="F431" i="2"/>
  <c r="J431" i="2" s="1"/>
  <c r="H431" i="2" s="1"/>
  <c r="E431" i="2"/>
  <c r="G430" i="2"/>
  <c r="F430" i="2"/>
  <c r="E430" i="2"/>
  <c r="E429" i="2"/>
  <c r="E428" i="2"/>
  <c r="F428" i="2" s="1"/>
  <c r="K428" i="2" s="1"/>
  <c r="G427" i="2"/>
  <c r="F427" i="2"/>
  <c r="J427" i="2" s="1"/>
  <c r="H427" i="2" s="1"/>
  <c r="E427" i="2"/>
  <c r="G426" i="2"/>
  <c r="F426" i="2"/>
  <c r="I426" i="2" s="1"/>
  <c r="E426" i="2"/>
  <c r="G425" i="2"/>
  <c r="E425" i="2"/>
  <c r="G423" i="2"/>
  <c r="E423" i="2"/>
  <c r="G422" i="2"/>
  <c r="F422" i="2"/>
  <c r="E422" i="2"/>
  <c r="F421" i="2"/>
  <c r="E421" i="2"/>
  <c r="E420" i="2"/>
  <c r="G419" i="2"/>
  <c r="F419" i="2"/>
  <c r="J419" i="2" s="1"/>
  <c r="H419" i="2" s="1"/>
  <c r="E419" i="2"/>
  <c r="G418" i="2"/>
  <c r="E418" i="2"/>
  <c r="F418" i="2" s="1"/>
  <c r="K418" i="2" s="1"/>
  <c r="G417" i="2"/>
  <c r="F417" i="2"/>
  <c r="I417" i="2" s="1"/>
  <c r="E417" i="2"/>
  <c r="E416" i="2"/>
  <c r="E415" i="2"/>
  <c r="F414" i="2"/>
  <c r="J414" i="2" s="1"/>
  <c r="H414" i="2" s="1"/>
  <c r="G413" i="2"/>
  <c r="G412" i="2"/>
  <c r="E412" i="2"/>
  <c r="G411" i="2"/>
  <c r="F411" i="2"/>
  <c r="K411" i="2" s="1"/>
  <c r="E411" i="2"/>
  <c r="E410" i="2"/>
  <c r="G409" i="2"/>
  <c r="E409" i="2"/>
  <c r="G408" i="2"/>
  <c r="F408" i="2"/>
  <c r="I408" i="2" s="1"/>
  <c r="E408" i="2"/>
  <c r="E407" i="2"/>
  <c r="E406" i="2"/>
  <c r="G405" i="2"/>
  <c r="G404" i="2"/>
  <c r="E404" i="2"/>
  <c r="F404" i="2" s="1"/>
  <c r="F403" i="2"/>
  <c r="G402" i="2"/>
  <c r="E402" i="2"/>
  <c r="E401" i="2"/>
  <c r="G400" i="2"/>
  <c r="E400" i="2"/>
  <c r="G399" i="2"/>
  <c r="F399" i="2"/>
  <c r="J399" i="2" s="1"/>
  <c r="H399" i="2" s="1"/>
  <c r="E399" i="2"/>
  <c r="F398" i="2"/>
  <c r="E397" i="2"/>
  <c r="K396" i="2"/>
  <c r="G395" i="2"/>
  <c r="F395" i="2"/>
  <c r="K395" i="2" s="1"/>
  <c r="E395" i="2"/>
  <c r="G394" i="2"/>
  <c r="F394" i="2"/>
  <c r="I394" i="2" s="1"/>
  <c r="E394" i="2"/>
  <c r="E392" i="2"/>
  <c r="G390" i="2"/>
  <c r="F390" i="2"/>
  <c r="E390" i="2"/>
  <c r="F389" i="2"/>
  <c r="E388" i="2"/>
  <c r="K387" i="2"/>
  <c r="G386" i="2"/>
  <c r="E386" i="2"/>
  <c r="F386" i="2" s="1"/>
  <c r="K386" i="2" s="1"/>
  <c r="G385" i="2"/>
  <c r="F385" i="2"/>
  <c r="I385" i="2" s="1"/>
  <c r="G384" i="2"/>
  <c r="E384" i="2"/>
  <c r="E383" i="2"/>
  <c r="G382" i="2"/>
  <c r="E382" i="2"/>
  <c r="F382" i="2" s="1"/>
  <c r="I382" i="2" s="1"/>
  <c r="F381" i="2"/>
  <c r="E381" i="2"/>
  <c r="G381" i="2" s="1"/>
  <c r="G380" i="2"/>
  <c r="E380" i="2"/>
  <c r="G379" i="2"/>
  <c r="F379" i="2"/>
  <c r="K379" i="2" s="1"/>
  <c r="E379" i="2"/>
  <c r="E378" i="2"/>
  <c r="G376" i="2"/>
  <c r="F376" i="2"/>
  <c r="I376" i="2" s="1"/>
  <c r="E376" i="2"/>
  <c r="E375" i="2"/>
  <c r="F374" i="2"/>
  <c r="F373" i="2"/>
  <c r="K373" i="2" s="1"/>
  <c r="E373" i="2"/>
  <c r="F371" i="2"/>
  <c r="E371" i="2"/>
  <c r="G371" i="2" s="1"/>
  <c r="G370" i="2"/>
  <c r="E370" i="2"/>
  <c r="F370" i="2" s="1"/>
  <c r="J370" i="2" s="1"/>
  <c r="H370" i="2" s="1"/>
  <c r="F369" i="2"/>
  <c r="K369" i="2" s="1"/>
  <c r="G368" i="2"/>
  <c r="F368" i="2"/>
  <c r="I368" i="2" s="1"/>
  <c r="E368" i="2"/>
  <c r="G367" i="2"/>
  <c r="F367" i="2"/>
  <c r="E367" i="2"/>
  <c r="G366" i="2"/>
  <c r="F366" i="2"/>
  <c r="E366" i="2"/>
  <c r="F365" i="2"/>
  <c r="K365" i="2" s="1"/>
  <c r="E365" i="2"/>
  <c r="E364" i="2"/>
  <c r="F363" i="2"/>
  <c r="K363" i="2" s="1"/>
  <c r="G363" i="2"/>
  <c r="G362" i="2"/>
  <c r="E362" i="2"/>
  <c r="F362" i="2" s="1"/>
  <c r="G361" i="2"/>
  <c r="F361" i="2"/>
  <c r="K361" i="2" s="1"/>
  <c r="E361" i="2"/>
  <c r="G360" i="2"/>
  <c r="F360" i="2"/>
  <c r="I360" i="2" s="1"/>
  <c r="E360" i="2"/>
  <c r="G358" i="2"/>
  <c r="F358" i="2"/>
  <c r="E358" i="2"/>
  <c r="E357" i="2"/>
  <c r="E356" i="2"/>
  <c r="F355" i="2"/>
  <c r="K355" i="2" s="1"/>
  <c r="E355" i="2"/>
  <c r="G355" i="2" s="1"/>
  <c r="G354" i="2"/>
  <c r="E354" i="2"/>
  <c r="F354" i="2" s="1"/>
  <c r="K354" i="2" s="1"/>
  <c r="G353" i="2"/>
  <c r="F353" i="2"/>
  <c r="K353" i="2" s="1"/>
  <c r="E353" i="2"/>
  <c r="E352" i="2"/>
  <c r="E350" i="2"/>
  <c r="F349" i="2"/>
  <c r="J349" i="2" s="1"/>
  <c r="H349" i="2" s="1"/>
  <c r="E349" i="2"/>
  <c r="E348" i="2"/>
  <c r="F347" i="2"/>
  <c r="G346" i="2"/>
  <c r="E346" i="2"/>
  <c r="F346" i="2" s="1"/>
  <c r="G345" i="2"/>
  <c r="F345" i="2"/>
  <c r="E345" i="2"/>
  <c r="G344" i="2"/>
  <c r="F344" i="2"/>
  <c r="I344" i="2" s="1"/>
  <c r="E344" i="2"/>
  <c r="G342" i="2"/>
  <c r="E340" i="2"/>
  <c r="F339" i="2"/>
  <c r="K339" i="2" s="1"/>
  <c r="E339" i="2"/>
  <c r="G339" i="2" s="1"/>
  <c r="F338" i="2"/>
  <c r="G337" i="2"/>
  <c r="F337" i="2"/>
  <c r="E337" i="2"/>
  <c r="I336" i="2"/>
  <c r="G335" i="2"/>
  <c r="F335" i="2"/>
  <c r="E335" i="2"/>
  <c r="F334" i="2"/>
  <c r="K334" i="2" s="1"/>
  <c r="E334" i="2"/>
  <c r="F333" i="2"/>
  <c r="J333" i="2" s="1"/>
  <c r="H333" i="2" s="1"/>
  <c r="E333" i="2"/>
  <c r="E332" i="2"/>
  <c r="F331" i="2"/>
  <c r="E331" i="2"/>
  <c r="G331" i="2" s="1"/>
  <c r="G330" i="2"/>
  <c r="E330" i="2"/>
  <c r="F330" i="2" s="1"/>
  <c r="K330" i="2" s="1"/>
  <c r="G329" i="2"/>
  <c r="F329" i="2"/>
  <c r="K329" i="2" s="1"/>
  <c r="E329" i="2"/>
  <c r="F327" i="2"/>
  <c r="G326" i="2"/>
  <c r="E326" i="2"/>
  <c r="E325" i="2"/>
  <c r="E324" i="2"/>
  <c r="F323" i="2"/>
  <c r="J323" i="2" s="1"/>
  <c r="H323" i="2" s="1"/>
  <c r="G322" i="2"/>
  <c r="F322" i="2"/>
  <c r="G321" i="2"/>
  <c r="F321" i="2"/>
  <c r="K321" i="2" s="1"/>
  <c r="E321" i="2"/>
  <c r="G320" i="2"/>
  <c r="F320" i="2"/>
  <c r="I320" i="2" s="1"/>
  <c r="E320" i="2"/>
  <c r="E319" i="2"/>
  <c r="K318" i="2"/>
  <c r="E316" i="2"/>
  <c r="F315" i="2"/>
  <c r="K315" i="2" s="1"/>
  <c r="E315" i="2"/>
  <c r="G315" i="2" s="1"/>
  <c r="G314" i="2"/>
  <c r="E314" i="2"/>
  <c r="F314" i="2" s="1"/>
  <c r="F313" i="2"/>
  <c r="I313" i="2" s="1"/>
  <c r="G312" i="2"/>
  <c r="G311" i="2"/>
  <c r="E311" i="2"/>
  <c r="E310" i="2"/>
  <c r="E308" i="2"/>
  <c r="F307" i="2"/>
  <c r="J307" i="2" s="1"/>
  <c r="H307" i="2" s="1"/>
  <c r="E307" i="2"/>
  <c r="G307" i="2" s="1"/>
  <c r="F306" i="2"/>
  <c r="I306" i="2" s="1"/>
  <c r="G305" i="2"/>
  <c r="F305" i="2"/>
  <c r="K305" i="2" s="1"/>
  <c r="E305" i="2"/>
  <c r="F304" i="2"/>
  <c r="E304" i="2"/>
  <c r="F303" i="2"/>
  <c r="E303" i="2"/>
  <c r="F301" i="2"/>
  <c r="K301" i="2" s="1"/>
  <c r="E301" i="2"/>
  <c r="E300" i="2"/>
  <c r="G298" i="2"/>
  <c r="E298" i="2"/>
  <c r="F298" i="2" s="1"/>
  <c r="K298" i="2" s="1"/>
  <c r="F297" i="2"/>
  <c r="F296" i="2"/>
  <c r="E296" i="2"/>
  <c r="E294" i="2"/>
  <c r="F294" i="2" s="1"/>
  <c r="E293" i="2"/>
  <c r="E292" i="2"/>
  <c r="E290" i="2"/>
  <c r="F290" i="2" s="1"/>
  <c r="J290" i="2" s="1"/>
  <c r="H290" i="2" s="1"/>
  <c r="G289" i="2"/>
  <c r="F289" i="2"/>
  <c r="E289" i="2"/>
  <c r="F288" i="2"/>
  <c r="E288" i="2"/>
  <c r="F287" i="2"/>
  <c r="J287" i="2" s="1"/>
  <c r="H287" i="2" s="1"/>
  <c r="E287" i="2"/>
  <c r="F286" i="2"/>
  <c r="E284" i="2"/>
  <c r="F284" i="2" s="1"/>
  <c r="K284" i="2" s="1"/>
  <c r="G282" i="2"/>
  <c r="E282" i="2"/>
  <c r="G281" i="2"/>
  <c r="F281" i="2"/>
  <c r="K281" i="2" s="1"/>
  <c r="E281" i="2"/>
  <c r="G280" i="2"/>
  <c r="E280" i="2"/>
  <c r="G278" i="2"/>
  <c r="F278" i="2"/>
  <c r="K278" i="2" s="1"/>
  <c r="E278" i="2"/>
  <c r="F277" i="2"/>
  <c r="K277" i="2" s="1"/>
  <c r="E276" i="2"/>
  <c r="F275" i="2"/>
  <c r="I275" i="2" s="1"/>
  <c r="E275" i="2"/>
  <c r="G275" i="2" s="1"/>
  <c r="E274" i="2"/>
  <c r="F274" i="2" s="1"/>
  <c r="K274" i="2" s="1"/>
  <c r="G273" i="2"/>
  <c r="F273" i="2"/>
  <c r="E273" i="2"/>
  <c r="F272" i="2"/>
  <c r="E272" i="2"/>
  <c r="F271" i="2"/>
  <c r="J271" i="2" s="1"/>
  <c r="H271" i="2" s="1"/>
  <c r="E271" i="2"/>
  <c r="F270" i="2"/>
  <c r="E269" i="2"/>
  <c r="F268" i="2"/>
  <c r="F267" i="2"/>
  <c r="E267" i="2"/>
  <c r="G267" i="2" s="1"/>
  <c r="G265" i="2"/>
  <c r="K265" i="2"/>
  <c r="G264" i="2"/>
  <c r="E264" i="2"/>
  <c r="E263" i="2"/>
  <c r="G262" i="2"/>
  <c r="F262" i="2"/>
  <c r="K262" i="2" s="1"/>
  <c r="E262" i="2"/>
  <c r="F261" i="2"/>
  <c r="E261" i="2"/>
  <c r="G260" i="2"/>
  <c r="E260" i="2"/>
  <c r="F259" i="2"/>
  <c r="I259" i="2" s="1"/>
  <c r="E259" i="2"/>
  <c r="G259" i="2" s="1"/>
  <c r="E258" i="2"/>
  <c r="F258" i="2" s="1"/>
  <c r="K258" i="2" s="1"/>
  <c r="G257" i="2"/>
  <c r="F257" i="2"/>
  <c r="E257" i="2"/>
  <c r="F256" i="2"/>
  <c r="E256" i="2"/>
  <c r="F255" i="2"/>
  <c r="J255" i="2" s="1"/>
  <c r="H255" i="2" s="1"/>
  <c r="E255" i="2"/>
  <c r="G254" i="2"/>
  <c r="F254" i="2"/>
  <c r="I254" i="2" s="1"/>
  <c r="E254" i="2"/>
  <c r="E253" i="2"/>
  <c r="E252" i="2"/>
  <c r="F252" i="2" s="1"/>
  <c r="J252" i="2" s="1"/>
  <c r="H252" i="2" s="1"/>
  <c r="F251" i="2"/>
  <c r="I251" i="2" s="1"/>
  <c r="E251" i="2"/>
  <c r="G251" i="2" s="1"/>
  <c r="E250" i="2"/>
  <c r="F249" i="2"/>
  <c r="K249" i="2" s="1"/>
  <c r="G248" i="2"/>
  <c r="G247" i="2"/>
  <c r="F247" i="2"/>
  <c r="E247" i="2"/>
  <c r="F246" i="2"/>
  <c r="F245" i="2"/>
  <c r="K245" i="2" s="1"/>
  <c r="E245" i="2"/>
  <c r="F243" i="2"/>
  <c r="I243" i="2" s="1"/>
  <c r="E243" i="2"/>
  <c r="G243" i="2" s="1"/>
  <c r="E242" i="2"/>
  <c r="G241" i="2"/>
  <c r="F241" i="2"/>
  <c r="E241" i="2"/>
  <c r="E240" i="2"/>
  <c r="F239" i="2"/>
  <c r="J239" i="2" s="1"/>
  <c r="H239" i="2" s="1"/>
  <c r="E239" i="2"/>
  <c r="E237" i="2"/>
  <c r="E236" i="2"/>
  <c r="F235" i="2"/>
  <c r="E235" i="2"/>
  <c r="G235" i="2" s="1"/>
  <c r="G233" i="2"/>
  <c r="F233" i="2"/>
  <c r="K233" i="2" s="1"/>
  <c r="E233" i="2"/>
  <c r="E232" i="2"/>
  <c r="E231" i="2"/>
  <c r="G231" i="2" s="1"/>
  <c r="F229" i="2"/>
  <c r="K229" i="2" s="1"/>
  <c r="E229" i="2"/>
  <c r="E228" i="2"/>
  <c r="I227" i="2"/>
  <c r="E226" i="2"/>
  <c r="G225" i="2"/>
  <c r="F225" i="2"/>
  <c r="E225" i="2"/>
  <c r="E224" i="2"/>
  <c r="E223" i="2"/>
  <c r="F222" i="2"/>
  <c r="K222" i="2" s="1"/>
  <c r="E222" i="2"/>
  <c r="E220" i="2"/>
  <c r="E219" i="2"/>
  <c r="G218" i="2"/>
  <c r="E218" i="2"/>
  <c r="F218" i="2" s="1"/>
  <c r="J218" i="2" s="1"/>
  <c r="H218" i="2" s="1"/>
  <c r="G217" i="2"/>
  <c r="F217" i="2"/>
  <c r="K217" i="2" s="1"/>
  <c r="E217" i="2"/>
  <c r="G216" i="2"/>
  <c r="F216" i="2"/>
  <c r="I216" i="2" s="1"/>
  <c r="E216" i="2"/>
  <c r="E215" i="2"/>
  <c r="E214" i="2"/>
  <c r="F213" i="2"/>
  <c r="E213" i="2"/>
  <c r="G212" i="2"/>
  <c r="F212" i="2"/>
  <c r="K212" i="2" s="1"/>
  <c r="E212" i="2"/>
  <c r="E210" i="2"/>
  <c r="G209" i="2"/>
  <c r="F209" i="2"/>
  <c r="K209" i="2" s="1"/>
  <c r="E209" i="2"/>
  <c r="G207" i="2"/>
  <c r="F207" i="2"/>
  <c r="J207" i="2" s="1"/>
  <c r="H207" i="2" s="1"/>
  <c r="G206" i="2"/>
  <c r="F206" i="2"/>
  <c r="E206" i="2"/>
  <c r="E205" i="2"/>
  <c r="F204" i="2"/>
  <c r="E204" i="2"/>
  <c r="G204" i="2" s="1"/>
  <c r="F203" i="2"/>
  <c r="K203" i="2" s="1"/>
  <c r="E203" i="2"/>
  <c r="G203" i="2" s="1"/>
  <c r="G202" i="2"/>
  <c r="G201" i="2"/>
  <c r="F201" i="2"/>
  <c r="J201" i="2" s="1"/>
  <c r="H201" i="2" s="1"/>
  <c r="E201" i="2"/>
  <c r="F199" i="2"/>
  <c r="E199" i="2"/>
  <c r="F198" i="2"/>
  <c r="G197" i="2"/>
  <c r="E197" i="2"/>
  <c r="E196" i="2"/>
  <c r="F195" i="2"/>
  <c r="E195" i="2"/>
  <c r="G195" i="2" s="1"/>
  <c r="G194" i="2"/>
  <c r="E194" i="2"/>
  <c r="F194" i="2" s="1"/>
  <c r="K194" i="2" s="1"/>
  <c r="G193" i="2"/>
  <c r="F193" i="2"/>
  <c r="K193" i="2" s="1"/>
  <c r="E193" i="2"/>
  <c r="E192" i="2"/>
  <c r="E191" i="2"/>
  <c r="F190" i="2"/>
  <c r="G189" i="2"/>
  <c r="F189" i="2"/>
  <c r="K189" i="2" s="1"/>
  <c r="E189" i="2"/>
  <c r="E188" i="2"/>
  <c r="G188" i="2" s="1"/>
  <c r="G186" i="2"/>
  <c r="E186" i="2"/>
  <c r="F186" i="2" s="1"/>
  <c r="J186" i="2" s="1"/>
  <c r="H186" i="2" s="1"/>
  <c r="G185" i="2"/>
  <c r="F185" i="2"/>
  <c r="K185" i="2" s="1"/>
  <c r="E185" i="2"/>
  <c r="G184" i="2"/>
  <c r="F184" i="2"/>
  <c r="I184" i="2" s="1"/>
  <c r="E184" i="2"/>
  <c r="G183" i="2"/>
  <c r="E183" i="2"/>
  <c r="E182" i="2"/>
  <c r="F181" i="2"/>
  <c r="E181" i="2"/>
  <c r="G180" i="2"/>
  <c r="F180" i="2"/>
  <c r="K180" i="2" s="1"/>
  <c r="E180" i="2"/>
  <c r="F179" i="2"/>
  <c r="K179" i="2" s="1"/>
  <c r="E179" i="2"/>
  <c r="E178" i="2"/>
  <c r="G177" i="2"/>
  <c r="F177" i="2"/>
  <c r="K177" i="2" s="1"/>
  <c r="E177" i="2"/>
  <c r="F176" i="2"/>
  <c r="E176" i="2"/>
  <c r="G176" i="2" s="1"/>
  <c r="G175" i="2"/>
  <c r="F175" i="2"/>
  <c r="J175" i="2" s="1"/>
  <c r="H175" i="2" s="1"/>
  <c r="E175" i="2"/>
  <c r="F174" i="2"/>
  <c r="K174" i="2" s="1"/>
  <c r="E173" i="2"/>
  <c r="F172" i="2"/>
  <c r="K172" i="2" s="1"/>
  <c r="E172" i="2"/>
  <c r="G172" i="2" s="1"/>
  <c r="F171" i="2"/>
  <c r="K171" i="2" s="1"/>
  <c r="E171" i="2"/>
  <c r="G171" i="2" s="1"/>
  <c r="G169" i="2"/>
  <c r="F169" i="2"/>
  <c r="E169" i="2"/>
  <c r="F167" i="2"/>
  <c r="E167" i="2"/>
  <c r="E166" i="2"/>
  <c r="G165" i="2"/>
  <c r="F165" i="2"/>
  <c r="I165" i="2" s="1"/>
  <c r="E165" i="2"/>
  <c r="E164" i="2"/>
  <c r="G163" i="2"/>
  <c r="F163" i="2"/>
  <c r="J163" i="2" s="1"/>
  <c r="H163" i="2" s="1"/>
  <c r="E163" i="2"/>
  <c r="F162" i="2"/>
  <c r="E162" i="2"/>
  <c r="E161" i="2"/>
  <c r="F160" i="2"/>
  <c r="F159" i="2"/>
  <c r="E159" i="2"/>
  <c r="G159" i="2" s="1"/>
  <c r="E158" i="2"/>
  <c r="G157" i="2"/>
  <c r="F157" i="2"/>
  <c r="E157" i="2"/>
  <c r="E156" i="2"/>
  <c r="F155" i="2"/>
  <c r="J155" i="2" s="1"/>
  <c r="H155" i="2" s="1"/>
  <c r="F154" i="2"/>
  <c r="E154" i="2"/>
  <c r="E153" i="2"/>
  <c r="G152" i="2"/>
  <c r="F152" i="2"/>
  <c r="K152" i="2" s="1"/>
  <c r="E152" i="2"/>
  <c r="E150" i="2"/>
  <c r="G149" i="2"/>
  <c r="F149" i="2"/>
  <c r="J149" i="2" s="1"/>
  <c r="H149" i="2" s="1"/>
  <c r="E149" i="2"/>
  <c r="G148" i="2"/>
  <c r="F148" i="2"/>
  <c r="E148" i="2"/>
  <c r="F146" i="2"/>
  <c r="K146" i="2" s="1"/>
  <c r="E146" i="2"/>
  <c r="E145" i="2"/>
  <c r="G144" i="2"/>
  <c r="F144" i="2"/>
  <c r="J144" i="2" s="1"/>
  <c r="H144" i="2" s="1"/>
  <c r="E144" i="2"/>
  <c r="E143" i="2"/>
  <c r="G143" i="2" s="1"/>
  <c r="G142" i="2"/>
  <c r="E142" i="2"/>
  <c r="G141" i="2"/>
  <c r="F141" i="2"/>
  <c r="E141" i="2"/>
  <c r="E140" i="2"/>
  <c r="J139" i="2"/>
  <c r="H139" i="2" s="1"/>
  <c r="F138" i="2"/>
  <c r="E138" i="2"/>
  <c r="E137" i="2"/>
  <c r="G136" i="2"/>
  <c r="F136" i="2"/>
  <c r="K136" i="2" s="1"/>
  <c r="E136" i="2"/>
  <c r="E135" i="2"/>
  <c r="F135" i="2" s="1"/>
  <c r="E134" i="2"/>
  <c r="F133" i="2"/>
  <c r="J133" i="2" s="1"/>
  <c r="H133" i="2" s="1"/>
  <c r="G132" i="2"/>
  <c r="E132" i="2"/>
  <c r="F130" i="2"/>
  <c r="K130" i="2" s="1"/>
  <c r="E129" i="2"/>
  <c r="G129" i="2" s="1"/>
  <c r="J128" i="2"/>
  <c r="H128" i="2" s="1"/>
  <c r="E127" i="2"/>
  <c r="G127" i="2" s="1"/>
  <c r="E126" i="2"/>
  <c r="G125" i="2"/>
  <c r="F125" i="2"/>
  <c r="E125" i="2"/>
  <c r="E124" i="2"/>
  <c r="G122" i="2"/>
  <c r="F122" i="2"/>
  <c r="K122" i="2" s="1"/>
  <c r="G121" i="2"/>
  <c r="F121" i="2"/>
  <c r="E121" i="2"/>
  <c r="E120" i="2"/>
  <c r="E119" i="2"/>
  <c r="G119" i="2" s="1"/>
  <c r="G118" i="2"/>
  <c r="E118" i="2"/>
  <c r="F118" i="2" s="1"/>
  <c r="K118" i="2" s="1"/>
  <c r="G117" i="2"/>
  <c r="F117" i="2"/>
  <c r="E117" i="2"/>
  <c r="F116" i="2"/>
  <c r="E116" i="2"/>
  <c r="E115" i="2"/>
  <c r="E114" i="2"/>
  <c r="G113" i="2"/>
  <c r="F113" i="2"/>
  <c r="K113" i="2" s="1"/>
  <c r="E113" i="2"/>
  <c r="G112" i="2"/>
  <c r="E112" i="2"/>
  <c r="E111" i="2"/>
  <c r="E110" i="2"/>
  <c r="G110" i="2" s="1"/>
  <c r="E109" i="2"/>
  <c r="G109" i="2" s="1"/>
  <c r="G108" i="2"/>
  <c r="F108" i="2"/>
  <c r="J108" i="2" s="1"/>
  <c r="H108" i="2" s="1"/>
  <c r="E108" i="2"/>
  <c r="G107" i="2"/>
  <c r="F107" i="2"/>
  <c r="I107" i="2" s="1"/>
  <c r="E107" i="2"/>
  <c r="G103" i="2"/>
  <c r="F103" i="2"/>
  <c r="E103" i="2"/>
  <c r="F102" i="2"/>
  <c r="G101" i="2"/>
  <c r="F101" i="2"/>
  <c r="J101" i="2" s="1"/>
  <c r="H101" i="2" s="1"/>
  <c r="E101" i="2"/>
  <c r="E99" i="2"/>
  <c r="G99" i="2" s="1"/>
  <c r="K98" i="2"/>
  <c r="F97" i="2"/>
  <c r="G95" i="2"/>
  <c r="F95" i="2"/>
  <c r="E95" i="2"/>
  <c r="E94" i="2"/>
  <c r="E92" i="2"/>
  <c r="G92" i="2" s="1"/>
  <c r="G90" i="2"/>
  <c r="F90" i="2"/>
  <c r="I90" i="2" s="1"/>
  <c r="E90" i="2"/>
  <c r="G89" i="2"/>
  <c r="F89" i="2"/>
  <c r="K89" i="2" s="1"/>
  <c r="E89" i="2"/>
  <c r="F88" i="2"/>
  <c r="J88" i="2" s="1"/>
  <c r="H88" i="2" s="1"/>
  <c r="E87" i="2"/>
  <c r="E85" i="2"/>
  <c r="K84" i="2"/>
  <c r="G84" i="2"/>
  <c r="E83" i="2"/>
  <c r="I82" i="2"/>
  <c r="G81" i="2"/>
  <c r="F81" i="2"/>
  <c r="K81" i="2" s="1"/>
  <c r="E81" i="2"/>
  <c r="E80" i="2"/>
  <c r="E78" i="2"/>
  <c r="F77" i="2"/>
  <c r="K77" i="2" s="1"/>
  <c r="E77" i="2"/>
  <c r="F76" i="2"/>
  <c r="K76" i="2" s="1"/>
  <c r="E76" i="2"/>
  <c r="G76" i="2" s="1"/>
  <c r="K74" i="2"/>
  <c r="G73" i="2"/>
  <c r="F73" i="2"/>
  <c r="I73" i="2" s="1"/>
  <c r="E73" i="2"/>
  <c r="G72" i="2"/>
  <c r="E72" i="2"/>
  <c r="E71" i="2"/>
  <c r="F71" i="2" s="1"/>
  <c r="F70" i="2"/>
  <c r="K70" i="2" s="1"/>
  <c r="E70" i="2"/>
  <c r="G69" i="2"/>
  <c r="F69" i="2"/>
  <c r="K69" i="2" s="1"/>
  <c r="E69" i="2"/>
  <c r="E68" i="2"/>
  <c r="G68" i="2" s="1"/>
  <c r="E67" i="2"/>
  <c r="G66" i="2"/>
  <c r="F66" i="2"/>
  <c r="K66" i="2" s="1"/>
  <c r="E66" i="2"/>
  <c r="G65" i="2"/>
  <c r="F65" i="2"/>
  <c r="J65" i="2" s="1"/>
  <c r="H65" i="2" s="1"/>
  <c r="E65" i="2"/>
  <c r="F63" i="2"/>
  <c r="I63" i="2" s="1"/>
  <c r="E63" i="2"/>
  <c r="F62" i="2"/>
  <c r="E61" i="2"/>
  <c r="G61" i="2" s="1"/>
  <c r="E60" i="2"/>
  <c r="G60" i="2" s="1"/>
  <c r="E59" i="2"/>
  <c r="I58" i="2"/>
  <c r="G57" i="2"/>
  <c r="K57" i="2"/>
  <c r="F56" i="2"/>
  <c r="I56" i="2" s="1"/>
  <c r="E56" i="2"/>
  <c r="G55" i="2"/>
  <c r="F55" i="2"/>
  <c r="I55" i="2" s="1"/>
  <c r="E55" i="2"/>
  <c r="E54" i="2"/>
  <c r="E53" i="2"/>
  <c r="F52" i="2"/>
  <c r="K52" i="2" s="1"/>
  <c r="E52" i="2"/>
  <c r="G52" i="2" s="1"/>
  <c r="E51" i="2"/>
  <c r="F51" i="2" s="1"/>
  <c r="F50" i="2"/>
  <c r="K50" i="2" s="1"/>
  <c r="E49" i="2"/>
  <c r="E48" i="2"/>
  <c r="G47" i="2"/>
  <c r="F47" i="2"/>
  <c r="K47" i="2" s="1"/>
  <c r="E47" i="2"/>
  <c r="E46" i="2"/>
  <c r="G46" i="2" s="1"/>
  <c r="E44" i="2"/>
  <c r="G44" i="2" s="1"/>
  <c r="G43" i="2"/>
  <c r="E43" i="2"/>
  <c r="F43" i="2" s="1"/>
  <c r="I43" i="2" s="1"/>
  <c r="G42" i="2"/>
  <c r="F42" i="2"/>
  <c r="K42" i="2" s="1"/>
  <c r="E42" i="2"/>
  <c r="E41" i="2"/>
  <c r="E39" i="2"/>
  <c r="F39" i="2" s="1"/>
  <c r="G38" i="2"/>
  <c r="F38" i="2"/>
  <c r="K38" i="2" s="1"/>
  <c r="E38" i="2"/>
  <c r="E37" i="2"/>
  <c r="G37" i="2" s="1"/>
  <c r="E35" i="2"/>
  <c r="F35" i="2" s="1"/>
  <c r="K35" i="2" s="1"/>
  <c r="G34" i="2"/>
  <c r="F34" i="2"/>
  <c r="J34" i="2" s="1"/>
  <c r="H34" i="2" s="1"/>
  <c r="E34" i="2"/>
  <c r="G33" i="2"/>
  <c r="F33" i="2"/>
  <c r="K33" i="2" s="1"/>
  <c r="E33" i="2"/>
  <c r="E32" i="2"/>
  <c r="E31" i="2"/>
  <c r="F31" i="2" s="1"/>
  <c r="E30" i="2"/>
  <c r="G29" i="2"/>
  <c r="F29" i="2"/>
  <c r="K29" i="2" s="1"/>
  <c r="E29" i="2"/>
  <c r="E28" i="2"/>
  <c r="G28" i="2" s="1"/>
  <c r="E27" i="2"/>
  <c r="F27" i="2" s="1"/>
  <c r="F26" i="2"/>
  <c r="I26" i="2" s="1"/>
  <c r="E25" i="2"/>
  <c r="G25" i="2" s="1"/>
  <c r="G24" i="2"/>
  <c r="F24" i="2"/>
  <c r="J24" i="2" s="1"/>
  <c r="H24" i="2" s="1"/>
  <c r="E24" i="2"/>
  <c r="E23" i="2"/>
  <c r="G23" i="2" s="1"/>
  <c r="E21" i="2"/>
  <c r="G21" i="2" s="1"/>
  <c r="K20" i="2"/>
  <c r="E19" i="2"/>
  <c r="F19" i="2" s="1"/>
  <c r="G18" i="2"/>
  <c r="F18" i="2"/>
  <c r="K18" i="2" s="1"/>
  <c r="E18" i="2"/>
  <c r="E16" i="2"/>
  <c r="G13" i="2"/>
  <c r="F13" i="2"/>
  <c r="K13" i="2" s="1"/>
  <c r="E13" i="2"/>
  <c r="E12" i="2"/>
  <c r="E11" i="2"/>
  <c r="E10" i="2"/>
  <c r="G10" i="2" s="1"/>
  <c r="G9" i="2"/>
  <c r="E9" i="2"/>
  <c r="F9" i="2" s="1"/>
  <c r="K9" i="2" s="1"/>
  <c r="G8" i="2"/>
  <c r="F8" i="2"/>
  <c r="K8" i="2" s="1"/>
  <c r="E8" i="2"/>
  <c r="E7" i="2"/>
  <c r="E6" i="2"/>
  <c r="F6" i="2" s="1"/>
  <c r="J6" i="2" s="1"/>
  <c r="H6" i="2" s="1"/>
  <c r="E5" i="2"/>
  <c r="G4" i="2"/>
  <c r="F4" i="2"/>
  <c r="J4" i="2" s="1"/>
  <c r="H4" i="2" s="1"/>
  <c r="E4" i="2"/>
  <c r="G6" i="1"/>
  <c r="G5" i="1"/>
  <c r="G4" i="1"/>
  <c r="G3" i="1"/>
  <c r="G2" i="1"/>
  <c r="K291" i="2" l="1"/>
  <c r="K1012" i="2"/>
  <c r="K198" i="2"/>
  <c r="K532" i="2"/>
  <c r="K347" i="2"/>
  <c r="J1020" i="2"/>
  <c r="H1020" i="2" s="1"/>
  <c r="J1031" i="2"/>
  <c r="H1031" i="2" s="1"/>
  <c r="J988" i="2"/>
  <c r="J249" i="2"/>
  <c r="I688" i="2"/>
  <c r="J233" i="2"/>
  <c r="H233" i="2" s="1"/>
  <c r="K252" i="2"/>
  <c r="I198" i="2"/>
  <c r="I217" i="2"/>
  <c r="J274" i="2"/>
  <c r="H274" i="2" s="1"/>
  <c r="J305" i="2"/>
  <c r="H305" i="2" s="1"/>
  <c r="J515" i="2"/>
  <c r="H515" i="2" s="1"/>
  <c r="I704" i="2"/>
  <c r="J382" i="2"/>
  <c r="H382" i="2" s="1"/>
  <c r="J804" i="2"/>
  <c r="H804" i="2" s="1"/>
  <c r="J217" i="2"/>
  <c r="H217" i="2" s="1"/>
  <c r="J395" i="2"/>
  <c r="H395" i="2" s="1"/>
  <c r="I88" i="2"/>
  <c r="K478" i="2"/>
  <c r="J550" i="2"/>
  <c r="H550" i="2" s="1"/>
  <c r="I323" i="2"/>
  <c r="K524" i="2"/>
  <c r="K703" i="2"/>
  <c r="K43" i="2"/>
  <c r="J516" i="2"/>
  <c r="J339" i="2"/>
  <c r="H339" i="2" s="1"/>
  <c r="I466" i="2"/>
  <c r="J572" i="2"/>
  <c r="K584" i="2" s="1"/>
  <c r="I854" i="2"/>
  <c r="I428" i="2"/>
  <c r="I544" i="2"/>
  <c r="I556" i="2"/>
  <c r="K774" i="2"/>
  <c r="J792" i="2"/>
  <c r="H792" i="2" s="1"/>
  <c r="I996" i="2"/>
  <c r="I299" i="2"/>
  <c r="I486" i="2"/>
  <c r="J728" i="2"/>
  <c r="H728" i="2" s="1"/>
  <c r="I903" i="2"/>
  <c r="J89" i="2"/>
  <c r="H89" i="2" s="1"/>
  <c r="I563" i="2"/>
  <c r="K382" i="2"/>
  <c r="J454" i="2"/>
  <c r="H454" i="2" s="1"/>
  <c r="I516" i="2"/>
  <c r="J544" i="2"/>
  <c r="J969" i="2"/>
  <c r="H969" i="2" s="1"/>
  <c r="K989" i="2"/>
  <c r="J43" i="2"/>
  <c r="H43" i="2" s="1"/>
  <c r="I47" i="2"/>
  <c r="I76" i="2"/>
  <c r="K186" i="2"/>
  <c r="I290" i="2"/>
  <c r="I502" i="2"/>
  <c r="I528" i="2"/>
  <c r="J534" i="2"/>
  <c r="H534" i="2" s="1"/>
  <c r="I540" i="2"/>
  <c r="I564" i="2"/>
  <c r="K728" i="2"/>
  <c r="K742" i="2"/>
  <c r="I969" i="2"/>
  <c r="K34" i="2"/>
  <c r="I298" i="2"/>
  <c r="K419" i="2"/>
  <c r="K673" i="2"/>
  <c r="J806" i="2"/>
  <c r="K831" i="2"/>
  <c r="J957" i="2"/>
  <c r="H957" i="2" s="1"/>
  <c r="K964" i="2"/>
  <c r="K977" i="2"/>
  <c r="I980" i="2"/>
  <c r="K1005" i="2"/>
  <c r="J76" i="2"/>
  <c r="H76" i="2" s="1"/>
  <c r="J275" i="2"/>
  <c r="H275" i="2" s="1"/>
  <c r="K290" i="2"/>
  <c r="I305" i="2"/>
  <c r="I307" i="2"/>
  <c r="I396" i="2"/>
  <c r="K461" i="2"/>
  <c r="I620" i="2"/>
  <c r="J753" i="2"/>
  <c r="H753" i="2" s="1"/>
  <c r="J828" i="2"/>
  <c r="H828" i="2" s="1"/>
  <c r="J932" i="2"/>
  <c r="K941" i="2" s="1"/>
  <c r="I934" i="2"/>
  <c r="K980" i="2"/>
  <c r="K1000" i="2"/>
  <c r="K275" i="2"/>
  <c r="K307" i="2"/>
  <c r="J396" i="2"/>
  <c r="H396" i="2" s="1"/>
  <c r="J528" i="2"/>
  <c r="H528" i="2" s="1"/>
  <c r="K851" i="2"/>
  <c r="I926" i="2"/>
  <c r="K1030" i="2"/>
  <c r="I1022" i="2"/>
  <c r="I89" i="2"/>
  <c r="J299" i="2"/>
  <c r="K426" i="2"/>
  <c r="I478" i="2"/>
  <c r="I743" i="2"/>
  <c r="J805" i="2"/>
  <c r="H805" i="2" s="1"/>
  <c r="J836" i="2"/>
  <c r="H836" i="2" s="1"/>
  <c r="J949" i="2"/>
  <c r="K988" i="2" s="1"/>
  <c r="K1004" i="2"/>
  <c r="J82" i="2"/>
  <c r="I233" i="2"/>
  <c r="I249" i="2"/>
  <c r="J306" i="2"/>
  <c r="J488" i="2"/>
  <c r="H488" i="2" s="1"/>
  <c r="K712" i="2"/>
  <c r="K718" i="2"/>
  <c r="K933" i="2"/>
  <c r="J981" i="2"/>
  <c r="H981" i="2" s="1"/>
  <c r="J999" i="2"/>
  <c r="H999" i="2" s="1"/>
  <c r="J1015" i="2"/>
  <c r="H1015" i="2" s="1"/>
  <c r="I284" i="2"/>
  <c r="J363" i="2"/>
  <c r="H363" i="2" s="1"/>
  <c r="I20" i="2"/>
  <c r="I24" i="2"/>
  <c r="K144" i="2"/>
  <c r="I160" i="2"/>
  <c r="J245" i="2"/>
  <c r="H245" i="2" s="1"/>
  <c r="I281" i="2"/>
  <c r="J284" i="2"/>
  <c r="H284" i="2" s="1"/>
  <c r="I321" i="2"/>
  <c r="I355" i="2"/>
  <c r="K394" i="2"/>
  <c r="I414" i="2"/>
  <c r="J532" i="2"/>
  <c r="K550" i="2" s="1"/>
  <c r="J647" i="2"/>
  <c r="H647" i="2" s="1"/>
  <c r="J736" i="2"/>
  <c r="I769" i="2"/>
  <c r="I782" i="2"/>
  <c r="I796" i="2"/>
  <c r="I823" i="2"/>
  <c r="K852" i="2"/>
  <c r="I855" i="2"/>
  <c r="I958" i="2"/>
  <c r="I972" i="2"/>
  <c r="J976" i="2"/>
  <c r="H976" i="2" s="1"/>
  <c r="I984" i="2"/>
  <c r="I1012" i="2"/>
  <c r="I1028" i="2"/>
  <c r="J465" i="2"/>
  <c r="H465" i="2" s="1"/>
  <c r="J20" i="2"/>
  <c r="K62" i="2" s="1"/>
  <c r="K128" i="2"/>
  <c r="J160" i="2"/>
  <c r="I185" i="2"/>
  <c r="J281" i="2"/>
  <c r="H281" i="2" s="1"/>
  <c r="J321" i="2"/>
  <c r="H321" i="2" s="1"/>
  <c r="K349" i="2"/>
  <c r="J355" i="2"/>
  <c r="H355" i="2" s="1"/>
  <c r="I361" i="2"/>
  <c r="K368" i="2"/>
  <c r="I370" i="2"/>
  <c r="I446" i="2"/>
  <c r="I477" i="2"/>
  <c r="I576" i="2"/>
  <c r="I580" i="2"/>
  <c r="K664" i="2"/>
  <c r="J686" i="2"/>
  <c r="H686" i="2" s="1"/>
  <c r="I691" i="2"/>
  <c r="K769" i="2"/>
  <c r="J814" i="2"/>
  <c r="H814" i="2" s="1"/>
  <c r="I820" i="2"/>
  <c r="I829" i="2"/>
  <c r="J855" i="2"/>
  <c r="H855" i="2" s="1"/>
  <c r="I895" i="2"/>
  <c r="I906" i="2"/>
  <c r="J915" i="2"/>
  <c r="H915" i="2" s="1"/>
  <c r="J923" i="2"/>
  <c r="H923" i="2" s="1"/>
  <c r="J941" i="2"/>
  <c r="K953" i="2" s="1"/>
  <c r="K972" i="2"/>
  <c r="K974" i="2"/>
  <c r="J984" i="2"/>
  <c r="H984" i="2" s="1"/>
  <c r="J1007" i="2"/>
  <c r="J1012" i="2"/>
  <c r="I1014" i="2"/>
  <c r="J1028" i="2"/>
  <c r="H1028" i="2" s="1"/>
  <c r="I1030" i="2"/>
  <c r="K820" i="2"/>
  <c r="J90" i="2"/>
  <c r="H90" i="2" s="1"/>
  <c r="I258" i="2"/>
  <c r="I347" i="2"/>
  <c r="K370" i="2"/>
  <c r="J428" i="2"/>
  <c r="H428" i="2" s="1"/>
  <c r="K477" i="2"/>
  <c r="J556" i="2"/>
  <c r="H556" i="2" s="1"/>
  <c r="J564" i="2"/>
  <c r="H564" i="2" s="1"/>
  <c r="J702" i="2"/>
  <c r="H702" i="2" s="1"/>
  <c r="I737" i="2"/>
  <c r="K787" i="2"/>
  <c r="J791" i="2"/>
  <c r="H791" i="2" s="1"/>
  <c r="I806" i="2"/>
  <c r="I871" i="2"/>
  <c r="J878" i="2"/>
  <c r="H878" i="2" s="1"/>
  <c r="K899" i="2"/>
  <c r="J903" i="2"/>
  <c r="H903" i="2" s="1"/>
  <c r="K926" i="2"/>
  <c r="I957" i="2"/>
  <c r="I981" i="2"/>
  <c r="J989" i="2"/>
  <c r="H989" i="2" s="1"/>
  <c r="J991" i="2"/>
  <c r="H991" i="2" s="1"/>
  <c r="J996" i="2"/>
  <c r="J361" i="2"/>
  <c r="H361" i="2" s="1"/>
  <c r="K895" i="2"/>
  <c r="K1014" i="2"/>
  <c r="I34" i="2"/>
  <c r="K90" i="2"/>
  <c r="I98" i="2"/>
  <c r="I186" i="2"/>
  <c r="J189" i="2"/>
  <c r="H189" i="2" s="1"/>
  <c r="J227" i="2"/>
  <c r="I252" i="2"/>
  <c r="J258" i="2"/>
  <c r="H258" i="2" s="1"/>
  <c r="J329" i="2"/>
  <c r="H329" i="2" s="1"/>
  <c r="J347" i="2"/>
  <c r="I354" i="2"/>
  <c r="I387" i="2"/>
  <c r="I419" i="2"/>
  <c r="K506" i="2"/>
  <c r="J518" i="2"/>
  <c r="H518" i="2" s="1"/>
  <c r="J531" i="2"/>
  <c r="H531" i="2" s="1"/>
  <c r="J576" i="2"/>
  <c r="K580" i="2"/>
  <c r="I589" i="2"/>
  <c r="K691" i="2"/>
  <c r="I695" i="2"/>
  <c r="I775" i="2"/>
  <c r="I777" i="2"/>
  <c r="J801" i="2"/>
  <c r="H801" i="2" s="1"/>
  <c r="J815" i="2"/>
  <c r="H815" i="2" s="1"/>
  <c r="K839" i="2"/>
  <c r="K868" i="2"/>
  <c r="J871" i="2"/>
  <c r="H871" i="2" s="1"/>
  <c r="I977" i="2"/>
  <c r="J983" i="2"/>
  <c r="H983" i="2" s="1"/>
  <c r="I1024" i="2"/>
  <c r="K108" i="2"/>
  <c r="I274" i="2"/>
  <c r="J354" i="2"/>
  <c r="H354" i="2" s="1"/>
  <c r="J387" i="2"/>
  <c r="J452" i="2"/>
  <c r="H452" i="2" s="1"/>
  <c r="J464" i="2"/>
  <c r="H464" i="2" s="1"/>
  <c r="I532" i="2"/>
  <c r="J663" i="2"/>
  <c r="H663" i="2" s="1"/>
  <c r="K695" i="2"/>
  <c r="I712" i="2"/>
  <c r="K758" i="2"/>
  <c r="K777" i="2"/>
  <c r="K801" i="2"/>
  <c r="K815" i="2"/>
  <c r="I836" i="2"/>
  <c r="J894" i="2"/>
  <c r="H894" i="2" s="1"/>
  <c r="I942" i="2"/>
  <c r="K966" i="2"/>
  <c r="J973" i="2"/>
  <c r="H973" i="2" s="1"/>
  <c r="J1004" i="2"/>
  <c r="H1004" i="2" s="1"/>
  <c r="K1008" i="2"/>
  <c r="I1017" i="2"/>
  <c r="J1024" i="2"/>
  <c r="K613" i="2"/>
  <c r="I613" i="2"/>
  <c r="I212" i="2"/>
  <c r="I268" i="2"/>
  <c r="I9" i="2"/>
  <c r="J9" i="2"/>
  <c r="H9" i="2" s="1"/>
  <c r="J26" i="2"/>
  <c r="J29" i="2"/>
  <c r="H29" i="2" s="1"/>
  <c r="J35" i="2"/>
  <c r="H35" i="2" s="1"/>
  <c r="J38" i="2"/>
  <c r="H38" i="2" s="1"/>
  <c r="J58" i="2"/>
  <c r="K65" i="2"/>
  <c r="K73" i="2"/>
  <c r="I108" i="2"/>
  <c r="I149" i="2"/>
  <c r="J152" i="2"/>
  <c r="H152" i="2" s="1"/>
  <c r="K218" i="2"/>
  <c r="I449" i="2"/>
  <c r="K449" i="2"/>
  <c r="J449" i="2"/>
  <c r="H449" i="2" s="1"/>
  <c r="J619" i="2"/>
  <c r="H619" i="2" s="1"/>
  <c r="K619" i="2"/>
  <c r="K744" i="2"/>
  <c r="I744" i="2"/>
  <c r="J752" i="2"/>
  <c r="H752" i="2" s="1"/>
  <c r="I752" i="2"/>
  <c r="J579" i="2"/>
  <c r="I579" i="2"/>
  <c r="I710" i="2"/>
  <c r="J710" i="2"/>
  <c r="H710" i="2" s="1"/>
  <c r="J768" i="2"/>
  <c r="H768" i="2" s="1"/>
  <c r="I768" i="2"/>
  <c r="I13" i="2"/>
  <c r="K58" i="2"/>
  <c r="I95" i="2"/>
  <c r="K101" i="2"/>
  <c r="K148" i="2"/>
  <c r="K149" i="2"/>
  <c r="K360" i="2"/>
  <c r="K427" i="2"/>
  <c r="I427" i="2"/>
  <c r="I445" i="2"/>
  <c r="J445" i="2"/>
  <c r="H445" i="2" s="1"/>
  <c r="K501" i="2"/>
  <c r="J501" i="2"/>
  <c r="H501" i="2" s="1"/>
  <c r="J604" i="2"/>
  <c r="H604" i="2" s="1"/>
  <c r="K604" i="2"/>
  <c r="K838" i="2"/>
  <c r="I838" i="2"/>
  <c r="I884" i="2"/>
  <c r="K331" i="2"/>
  <c r="I331" i="2"/>
  <c r="I291" i="2"/>
  <c r="J298" i="2"/>
  <c r="H298" i="2" s="1"/>
  <c r="J331" i="2"/>
  <c r="H331" i="2" s="1"/>
  <c r="K494" i="2"/>
  <c r="J494" i="2"/>
  <c r="H494" i="2" s="1"/>
  <c r="K672" i="2"/>
  <c r="J672" i="2"/>
  <c r="H672" i="2" s="1"/>
  <c r="I74" i="2"/>
  <c r="I209" i="2"/>
  <c r="I52" i="2"/>
  <c r="I66" i="2"/>
  <c r="J69" i="2"/>
  <c r="H69" i="2" s="1"/>
  <c r="J74" i="2"/>
  <c r="K97" i="2" s="1"/>
  <c r="J98" i="2"/>
  <c r="I118" i="2"/>
  <c r="I177" i="2"/>
  <c r="J185" i="2"/>
  <c r="H185" i="2" s="1"/>
  <c r="I194" i="2"/>
  <c r="J209" i="2"/>
  <c r="H209" i="2" s="1"/>
  <c r="J212" i="2"/>
  <c r="H212" i="2" s="1"/>
  <c r="J243" i="2"/>
  <c r="H243" i="2" s="1"/>
  <c r="J259" i="2"/>
  <c r="H259" i="2" s="1"/>
  <c r="I265" i="2"/>
  <c r="J268" i="2"/>
  <c r="H268" i="2" s="1"/>
  <c r="J291" i="2"/>
  <c r="K313" i="2"/>
  <c r="J313" i="2"/>
  <c r="I315" i="2"/>
  <c r="K346" i="2"/>
  <c r="J346" i="2"/>
  <c r="H346" i="2" s="1"/>
  <c r="I346" i="2"/>
  <c r="K548" i="2"/>
  <c r="J548" i="2"/>
  <c r="H548" i="2" s="1"/>
  <c r="K560" i="2"/>
  <c r="J560" i="2"/>
  <c r="H560" i="2" s="1"/>
  <c r="J613" i="2"/>
  <c r="H613" i="2" s="1"/>
  <c r="J668" i="2"/>
  <c r="H668" i="2" s="1"/>
  <c r="K668" i="2"/>
  <c r="I696" i="2"/>
  <c r="K696" i="2"/>
  <c r="J696" i="2"/>
  <c r="H696" i="2" s="1"/>
  <c r="I761" i="2"/>
  <c r="K761" i="2"/>
  <c r="J761" i="2"/>
  <c r="H761" i="2" s="1"/>
  <c r="K768" i="2"/>
  <c r="K844" i="2"/>
  <c r="I844" i="2"/>
  <c r="J907" i="2"/>
  <c r="H907" i="2" s="1"/>
  <c r="K907" i="2"/>
  <c r="J52" i="2"/>
  <c r="H52" i="2" s="1"/>
  <c r="J66" i="2"/>
  <c r="H66" i="2" s="1"/>
  <c r="J118" i="2"/>
  <c r="H118" i="2" s="1"/>
  <c r="I130" i="2"/>
  <c r="I136" i="2"/>
  <c r="I139" i="2"/>
  <c r="I146" i="2"/>
  <c r="I172" i="2"/>
  <c r="J177" i="2"/>
  <c r="H177" i="2" s="1"/>
  <c r="J180" i="2"/>
  <c r="H180" i="2" s="1"/>
  <c r="J194" i="2"/>
  <c r="H194" i="2" s="1"/>
  <c r="I207" i="2"/>
  <c r="I218" i="2"/>
  <c r="K243" i="2"/>
  <c r="K259" i="2"/>
  <c r="J265" i="2"/>
  <c r="H265" i="2" s="1"/>
  <c r="J315" i="2"/>
  <c r="H315" i="2" s="1"/>
  <c r="I369" i="2"/>
  <c r="K371" i="2"/>
  <c r="J371" i="2"/>
  <c r="H371" i="2" s="1"/>
  <c r="I371" i="2"/>
  <c r="J404" i="2"/>
  <c r="H404" i="2" s="1"/>
  <c r="I404" i="2"/>
  <c r="I422" i="2"/>
  <c r="J422" i="2"/>
  <c r="H422" i="2" s="1"/>
  <c r="K470" i="2"/>
  <c r="J470" i="2"/>
  <c r="J480" i="2"/>
  <c r="H480" i="2" s="1"/>
  <c r="I480" i="2"/>
  <c r="K677" i="2"/>
  <c r="I677" i="2"/>
  <c r="K887" i="2"/>
  <c r="J887" i="2"/>
  <c r="H887" i="2" s="1"/>
  <c r="I887" i="2"/>
  <c r="K720" i="2"/>
  <c r="I720" i="2"/>
  <c r="J783" i="2"/>
  <c r="K949" i="2" s="1"/>
  <c r="I783" i="2"/>
  <c r="J203" i="2"/>
  <c r="H203" i="2" s="1"/>
  <c r="K462" i="2"/>
  <c r="J462" i="2"/>
  <c r="H462" i="2" s="1"/>
  <c r="J596" i="2"/>
  <c r="K737" i="2" s="1"/>
  <c r="J824" i="2"/>
  <c r="I29" i="2"/>
  <c r="I33" i="2"/>
  <c r="J56" i="2"/>
  <c r="H56" i="2" s="1"/>
  <c r="I65" i="2"/>
  <c r="J73" i="2"/>
  <c r="H73" i="2" s="1"/>
  <c r="I133" i="2"/>
  <c r="J136" i="2"/>
  <c r="H136" i="2" s="1"/>
  <c r="I152" i="2"/>
  <c r="J172" i="2"/>
  <c r="H172" i="2" s="1"/>
  <c r="I175" i="2"/>
  <c r="J221" i="2"/>
  <c r="I339" i="2"/>
  <c r="J369" i="2"/>
  <c r="K485" i="2"/>
  <c r="J485" i="2"/>
  <c r="H485" i="2" s="1"/>
  <c r="K512" i="2"/>
  <c r="I719" i="2"/>
  <c r="J719" i="2"/>
  <c r="H719" i="2" s="1"/>
  <c r="J776" i="2"/>
  <c r="H776" i="2" s="1"/>
  <c r="I776" i="2"/>
  <c r="I862" i="2"/>
  <c r="K862" i="2"/>
  <c r="J862" i="2"/>
  <c r="H862" i="2" s="1"/>
  <c r="I925" i="2"/>
  <c r="K925" i="2"/>
  <c r="J925" i="2"/>
  <c r="H925" i="2" s="1"/>
  <c r="J760" i="2"/>
  <c r="H760" i="2" s="1"/>
  <c r="K823" i="2"/>
  <c r="I839" i="2"/>
  <c r="I912" i="2"/>
  <c r="I950" i="2"/>
  <c r="I964" i="2"/>
  <c r="J965" i="2"/>
  <c r="H965" i="2" s="1"/>
  <c r="J985" i="2"/>
  <c r="H985" i="2" s="1"/>
  <c r="J992" i="2"/>
  <c r="H992" i="2" s="1"/>
  <c r="K997" i="2"/>
  <c r="J468" i="2"/>
  <c r="H468" i="2" s="1"/>
  <c r="J482" i="2"/>
  <c r="H482" i="2" s="1"/>
  <c r="K498" i="2"/>
  <c r="I515" i="2"/>
  <c r="I531" i="2"/>
  <c r="J540" i="2"/>
  <c r="H540" i="2" s="1"/>
  <c r="I548" i="2"/>
  <c r="I568" i="2"/>
  <c r="J615" i="2"/>
  <c r="K620" i="2"/>
  <c r="K760" i="2"/>
  <c r="J782" i="2"/>
  <c r="H782" i="2" s="1"/>
  <c r="K786" i="2"/>
  <c r="I828" i="2"/>
  <c r="J846" i="2"/>
  <c r="J884" i="2"/>
  <c r="J917" i="2"/>
  <c r="H917" i="2" s="1"/>
  <c r="K950" i="2"/>
  <c r="K965" i="2"/>
  <c r="I973" i="2"/>
  <c r="I976" i="2"/>
  <c r="K985" i="2"/>
  <c r="K992" i="2"/>
  <c r="K1020" i="2"/>
  <c r="I386" i="2"/>
  <c r="I436" i="2"/>
  <c r="J664" i="2"/>
  <c r="H664" i="2" s="1"/>
  <c r="K704" i="2"/>
  <c r="J737" i="2"/>
  <c r="I805" i="2"/>
  <c r="I814" i="2"/>
  <c r="K867" i="2"/>
  <c r="K934" i="2"/>
  <c r="K1022" i="2"/>
  <c r="J386" i="2"/>
  <c r="H386" i="2" s="1"/>
  <c r="J975" i="2"/>
  <c r="H975" i="2" s="1"/>
  <c r="I998" i="2"/>
  <c r="I1006" i="2"/>
  <c r="I363" i="2"/>
  <c r="I395" i="2"/>
  <c r="I458" i="2"/>
  <c r="I462" i="2"/>
  <c r="I470" i="2"/>
  <c r="I472" i="2"/>
  <c r="J486" i="2"/>
  <c r="K492" i="2" s="1"/>
  <c r="I494" i="2"/>
  <c r="J502" i="2"/>
  <c r="H502" i="2" s="1"/>
  <c r="I512" i="2"/>
  <c r="I560" i="2"/>
  <c r="I596" i="2"/>
  <c r="J631" i="2"/>
  <c r="H631" i="2" s="1"/>
  <c r="I647" i="2"/>
  <c r="I663" i="2"/>
  <c r="K702" i="2"/>
  <c r="K710" i="2"/>
  <c r="J718" i="2"/>
  <c r="H718" i="2" s="1"/>
  <c r="I727" i="2"/>
  <c r="I736" i="2"/>
  <c r="I753" i="2"/>
  <c r="I792" i="2"/>
  <c r="J852" i="2"/>
  <c r="H852" i="2" s="1"/>
  <c r="J876" i="2"/>
  <c r="H876" i="2" s="1"/>
  <c r="K878" i="2"/>
  <c r="K883" i="2"/>
  <c r="K915" i="2"/>
  <c r="J933" i="2"/>
  <c r="H933" i="2" s="1"/>
  <c r="I966" i="2"/>
  <c r="I990" i="2"/>
  <c r="I1001" i="2"/>
  <c r="K1006" i="2"/>
  <c r="I1009" i="2"/>
  <c r="I1016" i="2"/>
  <c r="J1017" i="2"/>
  <c r="H1017" i="2" s="1"/>
  <c r="J1021" i="2"/>
  <c r="H1021" i="2" s="1"/>
  <c r="I982" i="2"/>
  <c r="K990" i="2"/>
  <c r="I993" i="2"/>
  <c r="I997" i="2"/>
  <c r="I1000" i="2"/>
  <c r="J1001" i="2"/>
  <c r="H1001" i="2" s="1"/>
  <c r="I1005" i="2"/>
  <c r="I1008" i="2"/>
  <c r="J1009" i="2"/>
  <c r="H1009" i="2" s="1"/>
  <c r="J1013" i="2"/>
  <c r="H1013" i="2" s="1"/>
  <c r="J1016" i="2"/>
  <c r="H1016" i="2" s="1"/>
  <c r="K1021" i="2"/>
  <c r="J1029" i="2"/>
  <c r="J563" i="2"/>
  <c r="I572" i="2"/>
  <c r="I584" i="2"/>
  <c r="J688" i="2"/>
  <c r="H688" i="2" s="1"/>
  <c r="K798" i="2"/>
  <c r="J868" i="2"/>
  <c r="H868" i="2" s="1"/>
  <c r="K894" i="2"/>
  <c r="I974" i="2"/>
  <c r="K982" i="2"/>
  <c r="K1013" i="2"/>
  <c r="J1023" i="2"/>
  <c r="H1023" i="2" s="1"/>
  <c r="I39" i="2"/>
  <c r="K39" i="2"/>
  <c r="G7" i="2"/>
  <c r="G12" i="2"/>
  <c r="F54" i="2"/>
  <c r="I54" i="2" s="1"/>
  <c r="F61" i="2"/>
  <c r="I61" i="2" s="1"/>
  <c r="G71" i="2"/>
  <c r="G78" i="2"/>
  <c r="G85" i="2"/>
  <c r="G124" i="2"/>
  <c r="F124" i="2"/>
  <c r="K124" i="2" s="1"/>
  <c r="F145" i="2"/>
  <c r="K145" i="2" s="1"/>
  <c r="J169" i="2"/>
  <c r="H169" i="2" s="1"/>
  <c r="K169" i="2"/>
  <c r="I169" i="2"/>
  <c r="K181" i="2"/>
  <c r="J181" i="2"/>
  <c r="H181" i="2" s="1"/>
  <c r="F188" i="2"/>
  <c r="K188" i="2" s="1"/>
  <c r="K195" i="2"/>
  <c r="J195" i="2"/>
  <c r="H195" i="2" s="1"/>
  <c r="K257" i="2"/>
  <c r="J257" i="2"/>
  <c r="H257" i="2" s="1"/>
  <c r="I257" i="2"/>
  <c r="K267" i="2"/>
  <c r="J267" i="2"/>
  <c r="H267" i="2" s="1"/>
  <c r="I267" i="2"/>
  <c r="J338" i="2"/>
  <c r="I338" i="2"/>
  <c r="K450" i="2"/>
  <c r="J450" i="2"/>
  <c r="H450" i="2" s="1"/>
  <c r="F453" i="2"/>
  <c r="J453" i="2" s="1"/>
  <c r="H453" i="2" s="1"/>
  <c r="J461" i="2"/>
  <c r="H461" i="2" s="1"/>
  <c r="I461" i="2"/>
  <c r="K493" i="2"/>
  <c r="J493" i="2"/>
  <c r="H493" i="2" s="1"/>
  <c r="I493" i="2"/>
  <c r="G578" i="2"/>
  <c r="F578" i="2"/>
  <c r="K578" i="2" s="1"/>
  <c r="G220" i="2"/>
  <c r="F3" i="2"/>
  <c r="I3" i="2" s="1"/>
  <c r="F7" i="2"/>
  <c r="J7" i="2" s="1"/>
  <c r="H7" i="2" s="1"/>
  <c r="F12" i="2"/>
  <c r="J12" i="2" s="1"/>
  <c r="H12" i="2" s="1"/>
  <c r="F64" i="2"/>
  <c r="J64" i="2" s="1"/>
  <c r="F78" i="2"/>
  <c r="J78" i="2" s="1"/>
  <c r="H78" i="2" s="1"/>
  <c r="F85" i="2"/>
  <c r="K85" i="2" s="1"/>
  <c r="F68" i="2"/>
  <c r="I68" i="2" s="1"/>
  <c r="K4" i="2"/>
  <c r="I8" i="2"/>
  <c r="F11" i="2"/>
  <c r="I11" i="2" s="1"/>
  <c r="K17" i="2"/>
  <c r="I19" i="2"/>
  <c r="I22" i="2"/>
  <c r="G27" i="2"/>
  <c r="J33" i="2"/>
  <c r="H33" i="2" s="1"/>
  <c r="F36" i="2"/>
  <c r="K36" i="2" s="1"/>
  <c r="F40" i="2"/>
  <c r="I40" i="2" s="1"/>
  <c r="I42" i="2"/>
  <c r="I45" i="2"/>
  <c r="F49" i="2"/>
  <c r="K49" i="2" s="1"/>
  <c r="I51" i="2"/>
  <c r="G54" i="2"/>
  <c r="K56" i="2"/>
  <c r="K63" i="2"/>
  <c r="J63" i="2"/>
  <c r="H63" i="2" s="1"/>
  <c r="J70" i="2"/>
  <c r="H70" i="2" s="1"/>
  <c r="I70" i="2"/>
  <c r="I77" i="2"/>
  <c r="F80" i="2"/>
  <c r="K80" i="2" s="1"/>
  <c r="J85" i="2"/>
  <c r="H85" i="2" s="1"/>
  <c r="F87" i="2"/>
  <c r="J87" i="2" s="1"/>
  <c r="H87" i="2" s="1"/>
  <c r="K91" i="2"/>
  <c r="F94" i="2"/>
  <c r="I94" i="2" s="1"/>
  <c r="I100" i="2"/>
  <c r="F106" i="2"/>
  <c r="G111" i="2"/>
  <c r="F111" i="2"/>
  <c r="K111" i="2" s="1"/>
  <c r="K116" i="2"/>
  <c r="J116" i="2"/>
  <c r="H116" i="2" s="1"/>
  <c r="I116" i="2"/>
  <c r="J138" i="2"/>
  <c r="H138" i="2" s="1"/>
  <c r="G138" i="2"/>
  <c r="K138" i="2"/>
  <c r="I138" i="2"/>
  <c r="G145" i="2"/>
  <c r="I195" i="2"/>
  <c r="J229" i="2"/>
  <c r="H229" i="2" s="1"/>
  <c r="F242" i="2"/>
  <c r="K242" i="2" s="1"/>
  <c r="G242" i="2"/>
  <c r="G310" i="2"/>
  <c r="F310" i="2"/>
  <c r="K310" i="2" s="1"/>
  <c r="F442" i="2"/>
  <c r="I442" i="2" s="1"/>
  <c r="F23" i="2"/>
  <c r="I23" i="2" s="1"/>
  <c r="F28" i="2"/>
  <c r="K28" i="2" s="1"/>
  <c r="F32" i="2"/>
  <c r="K32" i="2" s="1"/>
  <c r="F41" i="2"/>
  <c r="I41" i="2" s="1"/>
  <c r="F226" i="2"/>
  <c r="I226" i="2" s="1"/>
  <c r="G226" i="2"/>
  <c r="J31" i="2"/>
  <c r="H31" i="2" s="1"/>
  <c r="G32" i="2"/>
  <c r="G40" i="2"/>
  <c r="J42" i="2"/>
  <c r="H42" i="2" s="1"/>
  <c r="G49" i="2"/>
  <c r="G67" i="2"/>
  <c r="F67" i="2"/>
  <c r="K67" i="2" s="1"/>
  <c r="I81" i="2"/>
  <c r="F131" i="2"/>
  <c r="G164" i="2"/>
  <c r="G192" i="2"/>
  <c r="K204" i="2"/>
  <c r="J204" i="2"/>
  <c r="H204" i="2" s="1"/>
  <c r="G215" i="2"/>
  <c r="G224" i="2"/>
  <c r="F224" i="2"/>
  <c r="J224" i="2" s="1"/>
  <c r="H224" i="2" s="1"/>
  <c r="K235" i="2"/>
  <c r="J235" i="2"/>
  <c r="H235" i="2" s="1"/>
  <c r="I235" i="2"/>
  <c r="F276" i="2"/>
  <c r="J276" i="2" s="1"/>
  <c r="H276" i="2" s="1"/>
  <c r="K345" i="2"/>
  <c r="J345" i="2"/>
  <c r="H345" i="2" s="1"/>
  <c r="I345" i="2"/>
  <c r="G350" i="2"/>
  <c r="F350" i="2"/>
  <c r="I350" i="2" s="1"/>
  <c r="F37" i="2"/>
  <c r="J37" i="2" s="1"/>
  <c r="H37" i="2" s="1"/>
  <c r="K213" i="2"/>
  <c r="J213" i="2"/>
  <c r="H213" i="2" s="1"/>
  <c r="F238" i="2"/>
  <c r="J238" i="2" s="1"/>
  <c r="H238" i="2" s="1"/>
  <c r="K6" i="2"/>
  <c r="J51" i="2"/>
  <c r="H51" i="2" s="1"/>
  <c r="G87" i="2"/>
  <c r="G120" i="2"/>
  <c r="F120" i="2"/>
  <c r="J120" i="2" s="1"/>
  <c r="H120" i="2" s="1"/>
  <c r="F5" i="2"/>
  <c r="G35" i="2"/>
  <c r="I50" i="2"/>
  <c r="G70" i="2"/>
  <c r="G77" i="2"/>
  <c r="J81" i="2"/>
  <c r="H81" i="2" s="1"/>
  <c r="I84" i="2"/>
  <c r="F96" i="2"/>
  <c r="I96" i="2" s="1"/>
  <c r="I97" i="2"/>
  <c r="G116" i="2"/>
  <c r="I122" i="2"/>
  <c r="J141" i="2"/>
  <c r="H141" i="2" s="1"/>
  <c r="K141" i="2"/>
  <c r="I141" i="2"/>
  <c r="G156" i="2"/>
  <c r="F156" i="2"/>
  <c r="J156" i="2" s="1"/>
  <c r="H156" i="2" s="1"/>
  <c r="K159" i="2"/>
  <c r="J159" i="2"/>
  <c r="H159" i="2" s="1"/>
  <c r="I159" i="2"/>
  <c r="F164" i="2"/>
  <c r="J164" i="2" s="1"/>
  <c r="H164" i="2" s="1"/>
  <c r="J167" i="2"/>
  <c r="H167" i="2" s="1"/>
  <c r="I167" i="2"/>
  <c r="F192" i="2"/>
  <c r="K192" i="2" s="1"/>
  <c r="J199" i="2"/>
  <c r="H199" i="2" s="1"/>
  <c r="I199" i="2"/>
  <c r="I204" i="2"/>
  <c r="F215" i="2"/>
  <c r="K215" i="2" s="1"/>
  <c r="G263" i="2"/>
  <c r="G276" i="2"/>
  <c r="G473" i="2"/>
  <c r="F473" i="2"/>
  <c r="K473" i="2" s="1"/>
  <c r="G523" i="2"/>
  <c r="F523" i="2"/>
  <c r="K523" i="2" s="1"/>
  <c r="I12" i="2"/>
  <c r="K71" i="2"/>
  <c r="J71" i="2"/>
  <c r="H71" i="2" s="1"/>
  <c r="G211" i="2"/>
  <c r="F407" i="2"/>
  <c r="K407" i="2" s="1"/>
  <c r="G19" i="2"/>
  <c r="F46" i="2"/>
  <c r="J46" i="2" s="1"/>
  <c r="H46" i="2" s="1"/>
  <c r="G51" i="2"/>
  <c r="F92" i="2"/>
  <c r="K92" i="2" s="1"/>
  <c r="J270" i="2"/>
  <c r="H270" i="2" s="1"/>
  <c r="K270" i="2"/>
  <c r="I270" i="2"/>
  <c r="G41" i="2"/>
  <c r="J3" i="2"/>
  <c r="H3" i="2" s="1"/>
  <c r="G6" i="2"/>
  <c r="J8" i="2"/>
  <c r="H8" i="2" s="1"/>
  <c r="G11" i="2"/>
  <c r="J19" i="2"/>
  <c r="H19" i="2" s="1"/>
  <c r="G31" i="2"/>
  <c r="J39" i="2"/>
  <c r="H39" i="2" s="1"/>
  <c r="I71" i="2"/>
  <c r="G80" i="2"/>
  <c r="G94" i="2"/>
  <c r="J102" i="2"/>
  <c r="H102" i="2" s="1"/>
  <c r="I102" i="2"/>
  <c r="J113" i="2"/>
  <c r="H113" i="2" s="1"/>
  <c r="F129" i="2"/>
  <c r="K129" i="2" s="1"/>
  <c r="F10" i="2"/>
  <c r="F16" i="2"/>
  <c r="I18" i="2"/>
  <c r="K19" i="2"/>
  <c r="F21" i="2"/>
  <c r="F25" i="2"/>
  <c r="I27" i="2"/>
  <c r="F30" i="2"/>
  <c r="F44" i="2"/>
  <c r="I44" i="2" s="1"/>
  <c r="F48" i="2"/>
  <c r="K48" i="2" s="1"/>
  <c r="K51" i="2"/>
  <c r="F53" i="2"/>
  <c r="K53" i="2" s="1"/>
  <c r="G56" i="2"/>
  <c r="I57" i="2"/>
  <c r="F60" i="2"/>
  <c r="K60" i="2" s="1"/>
  <c r="G63" i="2"/>
  <c r="I4" i="2"/>
  <c r="G5" i="2"/>
  <c r="I6" i="2"/>
  <c r="J13" i="2"/>
  <c r="H13" i="2" s="1"/>
  <c r="G16" i="2"/>
  <c r="J18" i="2"/>
  <c r="H18" i="2" s="1"/>
  <c r="K24" i="2"/>
  <c r="J27" i="2"/>
  <c r="H27" i="2" s="1"/>
  <c r="G30" i="2"/>
  <c r="I31" i="2"/>
  <c r="I38" i="2"/>
  <c r="G39" i="2"/>
  <c r="J47" i="2"/>
  <c r="H47" i="2" s="1"/>
  <c r="G48" i="2"/>
  <c r="J50" i="2"/>
  <c r="G53" i="2"/>
  <c r="K55" i="2"/>
  <c r="J55" i="2"/>
  <c r="H55" i="2" s="1"/>
  <c r="J57" i="2"/>
  <c r="H57" i="2" s="1"/>
  <c r="J62" i="2"/>
  <c r="I62" i="2"/>
  <c r="I69" i="2"/>
  <c r="F72" i="2"/>
  <c r="J77" i="2"/>
  <c r="H77" i="2" s="1"/>
  <c r="I79" i="2"/>
  <c r="G83" i="2"/>
  <c r="F83" i="2"/>
  <c r="J84" i="2"/>
  <c r="H84" i="2" s="1"/>
  <c r="F86" i="2"/>
  <c r="F93" i="2"/>
  <c r="I93" i="2" s="1"/>
  <c r="J97" i="2"/>
  <c r="K133" i="2" s="1"/>
  <c r="K102" i="2"/>
  <c r="F112" i="2"/>
  <c r="K112" i="2" s="1"/>
  <c r="I121" i="2"/>
  <c r="K121" i="2"/>
  <c r="J121" i="2"/>
  <c r="H121" i="2" s="1"/>
  <c r="J125" i="2"/>
  <c r="H125" i="2" s="1"/>
  <c r="K125" i="2"/>
  <c r="I125" i="2"/>
  <c r="F132" i="2"/>
  <c r="J132" i="2" s="1"/>
  <c r="H132" i="2" s="1"/>
  <c r="F151" i="2"/>
  <c r="K151" i="2" s="1"/>
  <c r="J162" i="2"/>
  <c r="H162" i="2" s="1"/>
  <c r="G162" i="2"/>
  <c r="K162" i="2"/>
  <c r="I162" i="2"/>
  <c r="F183" i="2"/>
  <c r="K183" i="2" s="1"/>
  <c r="F197" i="2"/>
  <c r="J197" i="2" s="1"/>
  <c r="H197" i="2" s="1"/>
  <c r="G240" i="2"/>
  <c r="F240" i="2"/>
  <c r="I240" i="2" s="1"/>
  <c r="F263" i="2"/>
  <c r="J263" i="2" s="1"/>
  <c r="H263" i="2" s="1"/>
  <c r="J272" i="2"/>
  <c r="H272" i="2" s="1"/>
  <c r="K272" i="2"/>
  <c r="I272" i="2"/>
  <c r="G272" i="2"/>
  <c r="J314" i="2"/>
  <c r="H314" i="2" s="1"/>
  <c r="I314" i="2"/>
  <c r="K314" i="2"/>
  <c r="F343" i="2"/>
  <c r="K343" i="2" s="1"/>
  <c r="J390" i="2"/>
  <c r="H390" i="2" s="1"/>
  <c r="I390" i="2"/>
  <c r="F126" i="2"/>
  <c r="I126" i="2" s="1"/>
  <c r="K176" i="2"/>
  <c r="J176" i="2"/>
  <c r="H176" i="2" s="1"/>
  <c r="I176" i="2"/>
  <c r="J208" i="2"/>
  <c r="K221" i="2" s="1"/>
  <c r="I208" i="2"/>
  <c r="G269" i="2"/>
  <c r="F269" i="2"/>
  <c r="I269" i="2" s="1"/>
  <c r="J294" i="2"/>
  <c r="H294" i="2" s="1"/>
  <c r="I294" i="2"/>
  <c r="K294" i="2"/>
  <c r="G294" i="2"/>
  <c r="J413" i="2"/>
  <c r="H413" i="2" s="1"/>
  <c r="I413" i="2"/>
  <c r="F75" i="2"/>
  <c r="G115" i="2"/>
  <c r="F115" i="2"/>
  <c r="J115" i="2" s="1"/>
  <c r="H115" i="2" s="1"/>
  <c r="G126" i="2"/>
  <c r="G135" i="2"/>
  <c r="K135" i="2"/>
  <c r="J135" i="2"/>
  <c r="H135" i="2" s="1"/>
  <c r="I135" i="2"/>
  <c r="I147" i="2"/>
  <c r="I190" i="2"/>
  <c r="J211" i="2"/>
  <c r="H211" i="2" s="1"/>
  <c r="F220" i="2"/>
  <c r="I220" i="2" s="1"/>
  <c r="F231" i="2"/>
  <c r="K231" i="2" s="1"/>
  <c r="G407" i="2"/>
  <c r="K27" i="2"/>
  <c r="K31" i="2"/>
  <c r="I35" i="2"/>
  <c r="G59" i="2"/>
  <c r="F59" i="2"/>
  <c r="K95" i="2"/>
  <c r="J95" i="2"/>
  <c r="H95" i="2" s="1"/>
  <c r="I101" i="2"/>
  <c r="K103" i="2"/>
  <c r="J103" i="2"/>
  <c r="H103" i="2" s="1"/>
  <c r="I103" i="2"/>
  <c r="K107" i="2"/>
  <c r="J107" i="2"/>
  <c r="H107" i="2" s="1"/>
  <c r="K117" i="2"/>
  <c r="J117" i="2"/>
  <c r="H117" i="2" s="1"/>
  <c r="I117" i="2"/>
  <c r="J154" i="2"/>
  <c r="H154" i="2" s="1"/>
  <c r="G154" i="2"/>
  <c r="K154" i="2"/>
  <c r="I154" i="2"/>
  <c r="K157" i="2"/>
  <c r="J157" i="2"/>
  <c r="H157" i="2" s="1"/>
  <c r="I157" i="2"/>
  <c r="J206" i="2"/>
  <c r="H206" i="2" s="1"/>
  <c r="I206" i="2"/>
  <c r="K206" i="2"/>
  <c r="G237" i="2"/>
  <c r="F237" i="2"/>
  <c r="J237" i="2" s="1"/>
  <c r="H237" i="2" s="1"/>
  <c r="K261" i="2"/>
  <c r="J261" i="2"/>
  <c r="H261" i="2" s="1"/>
  <c r="F282" i="2"/>
  <c r="I282" i="2" s="1"/>
  <c r="F285" i="2"/>
  <c r="I285" i="2" s="1"/>
  <c r="J297" i="2"/>
  <c r="I297" i="2"/>
  <c r="G325" i="2"/>
  <c r="F325" i="2"/>
  <c r="I325" i="2" s="1"/>
  <c r="F134" i="2"/>
  <c r="J134" i="2" s="1"/>
  <c r="H134" i="2" s="1"/>
  <c r="J148" i="2"/>
  <c r="H148" i="2" s="1"/>
  <c r="F150" i="2"/>
  <c r="J150" i="2" s="1"/>
  <c r="H150" i="2" s="1"/>
  <c r="F166" i="2"/>
  <c r="J166" i="2" s="1"/>
  <c r="H166" i="2" s="1"/>
  <c r="F232" i="2"/>
  <c r="K232" i="2" s="1"/>
  <c r="J244" i="2"/>
  <c r="H244" i="2" s="1"/>
  <c r="J283" i="2"/>
  <c r="J286" i="2"/>
  <c r="H286" i="2" s="1"/>
  <c r="K286" i="2"/>
  <c r="J288" i="2"/>
  <c r="H288" i="2" s="1"/>
  <c r="K288" i="2"/>
  <c r="I288" i="2"/>
  <c r="G288" i="2"/>
  <c r="G292" i="2"/>
  <c r="F292" i="2"/>
  <c r="I292" i="2" s="1"/>
  <c r="K304" i="2"/>
  <c r="J304" i="2"/>
  <c r="H304" i="2" s="1"/>
  <c r="I304" i="2"/>
  <c r="J362" i="2"/>
  <c r="H362" i="2" s="1"/>
  <c r="I362" i="2"/>
  <c r="J393" i="2"/>
  <c r="H393" i="2" s="1"/>
  <c r="G416" i="2"/>
  <c r="F416" i="2"/>
  <c r="J416" i="2" s="1"/>
  <c r="H416" i="2" s="1"/>
  <c r="K474" i="2"/>
  <c r="J474" i="2"/>
  <c r="H474" i="2" s="1"/>
  <c r="F110" i="2"/>
  <c r="G134" i="2"/>
  <c r="F137" i="2"/>
  <c r="F140" i="2"/>
  <c r="I140" i="2" s="1"/>
  <c r="G150" i="2"/>
  <c r="F153" i="2"/>
  <c r="I153" i="2" s="1"/>
  <c r="F158" i="2"/>
  <c r="K158" i="2" s="1"/>
  <c r="G166" i="2"/>
  <c r="G173" i="2"/>
  <c r="F173" i="2"/>
  <c r="I173" i="2" s="1"/>
  <c r="F178" i="2"/>
  <c r="J178" i="2" s="1"/>
  <c r="H178" i="2" s="1"/>
  <c r="G178" i="2"/>
  <c r="F228" i="2"/>
  <c r="J228" i="2" s="1"/>
  <c r="H228" i="2" s="1"/>
  <c r="G232" i="2"/>
  <c r="F236" i="2"/>
  <c r="K236" i="2" s="1"/>
  <c r="G236" i="2"/>
  <c r="F250" i="2"/>
  <c r="J250" i="2" s="1"/>
  <c r="H250" i="2" s="1"/>
  <c r="K273" i="2"/>
  <c r="J273" i="2"/>
  <c r="H273" i="2" s="1"/>
  <c r="I273" i="2"/>
  <c r="F279" i="2"/>
  <c r="J279" i="2" s="1"/>
  <c r="H279" i="2" s="1"/>
  <c r="G319" i="2"/>
  <c r="F319" i="2"/>
  <c r="I319" i="2" s="1"/>
  <c r="I341" i="2"/>
  <c r="G375" i="2"/>
  <c r="G378" i="2"/>
  <c r="F378" i="2"/>
  <c r="I378" i="2" s="1"/>
  <c r="K458" i="2"/>
  <c r="J458" i="2"/>
  <c r="H458" i="2" s="1"/>
  <c r="F471" i="2"/>
  <c r="J471" i="2" s="1"/>
  <c r="H471" i="2" s="1"/>
  <c r="F497" i="2"/>
  <c r="I497" i="2" s="1"/>
  <c r="F99" i="2"/>
  <c r="F109" i="2"/>
  <c r="F114" i="2"/>
  <c r="F119" i="2"/>
  <c r="F123" i="2"/>
  <c r="F127" i="2"/>
  <c r="I128" i="2"/>
  <c r="J130" i="2"/>
  <c r="H130" i="2" s="1"/>
  <c r="G130" i="2"/>
  <c r="G137" i="2"/>
  <c r="G140" i="2"/>
  <c r="F143" i="2"/>
  <c r="I144" i="2"/>
  <c r="J146" i="2"/>
  <c r="H146" i="2" s="1"/>
  <c r="G146" i="2"/>
  <c r="G153" i="2"/>
  <c r="G158" i="2"/>
  <c r="G161" i="2"/>
  <c r="F161" i="2"/>
  <c r="I161" i="2" s="1"/>
  <c r="K163" i="2"/>
  <c r="I163" i="2"/>
  <c r="I168" i="2"/>
  <c r="I171" i="2"/>
  <c r="G182" i="2"/>
  <c r="F182" i="2"/>
  <c r="K182" i="2" s="1"/>
  <c r="K184" i="2"/>
  <c r="J184" i="2"/>
  <c r="H184" i="2" s="1"/>
  <c r="F187" i="2"/>
  <c r="J187" i="2" s="1"/>
  <c r="H187" i="2" s="1"/>
  <c r="G196" i="2"/>
  <c r="F196" i="2"/>
  <c r="J196" i="2" s="1"/>
  <c r="H196" i="2" s="1"/>
  <c r="I201" i="2"/>
  <c r="G205" i="2"/>
  <c r="F205" i="2"/>
  <c r="K205" i="2" s="1"/>
  <c r="F210" i="2"/>
  <c r="J210" i="2" s="1"/>
  <c r="H210" i="2" s="1"/>
  <c r="G210" i="2"/>
  <c r="I222" i="2"/>
  <c r="G228" i="2"/>
  <c r="F234" i="2"/>
  <c r="J234" i="2" s="1"/>
  <c r="G250" i="2"/>
  <c r="J277" i="2"/>
  <c r="H277" i="2" s="1"/>
  <c r="I283" i="2"/>
  <c r="K296" i="2"/>
  <c r="J296" i="2"/>
  <c r="H296" i="2" s="1"/>
  <c r="I296" i="2"/>
  <c r="G296" i="2"/>
  <c r="G304" i="2"/>
  <c r="G308" i="2"/>
  <c r="F308" i="2"/>
  <c r="K362" i="2"/>
  <c r="F375" i="2"/>
  <c r="K375" i="2" s="1"/>
  <c r="J381" i="2"/>
  <c r="H381" i="2" s="1"/>
  <c r="I381" i="2"/>
  <c r="F388" i="2"/>
  <c r="K388" i="2" s="1"/>
  <c r="G388" i="2"/>
  <c r="G429" i="2"/>
  <c r="F429" i="2"/>
  <c r="K429" i="2" s="1"/>
  <c r="G471" i="2"/>
  <c r="G497" i="2"/>
  <c r="I113" i="2"/>
  <c r="G114" i="2"/>
  <c r="J122" i="2"/>
  <c r="H122" i="2" s="1"/>
  <c r="K139" i="2"/>
  <c r="K155" i="2"/>
  <c r="I155" i="2"/>
  <c r="F170" i="2"/>
  <c r="J171" i="2"/>
  <c r="H171" i="2" s="1"/>
  <c r="I180" i="2"/>
  <c r="G191" i="2"/>
  <c r="F191" i="2"/>
  <c r="J191" i="2" s="1"/>
  <c r="H191" i="2" s="1"/>
  <c r="J193" i="2"/>
  <c r="H193" i="2" s="1"/>
  <c r="I193" i="2"/>
  <c r="F200" i="2"/>
  <c r="I200" i="2" s="1"/>
  <c r="K201" i="2"/>
  <c r="I203" i="2"/>
  <c r="G214" i="2"/>
  <c r="F214" i="2"/>
  <c r="K214" i="2" s="1"/>
  <c r="K216" i="2"/>
  <c r="J216" i="2"/>
  <c r="H216" i="2" s="1"/>
  <c r="G219" i="2"/>
  <c r="F219" i="2"/>
  <c r="K241" i="2"/>
  <c r="J241" i="2"/>
  <c r="H241" i="2" s="1"/>
  <c r="I241" i="2"/>
  <c r="G253" i="2"/>
  <c r="F253" i="2"/>
  <c r="I253" i="2" s="1"/>
  <c r="F260" i="2"/>
  <c r="J260" i="2" s="1"/>
  <c r="H260" i="2" s="1"/>
  <c r="I266" i="2"/>
  <c r="I286" i="2"/>
  <c r="K289" i="2"/>
  <c r="J289" i="2"/>
  <c r="H289" i="2" s="1"/>
  <c r="I289" i="2"/>
  <c r="F302" i="2"/>
  <c r="I302" i="2" s="1"/>
  <c r="K327" i="2"/>
  <c r="J327" i="2"/>
  <c r="H327" i="2" s="1"/>
  <c r="I327" i="2"/>
  <c r="G327" i="2"/>
  <c r="G348" i="2"/>
  <c r="F348" i="2"/>
  <c r="K348" i="2" s="1"/>
  <c r="F425" i="2"/>
  <c r="J425" i="2" s="1"/>
  <c r="H425" i="2" s="1"/>
  <c r="F455" i="2"/>
  <c r="J455" i="2" s="1"/>
  <c r="H455" i="2" s="1"/>
  <c r="G455" i="2"/>
  <c r="G476" i="2"/>
  <c r="F476" i="2"/>
  <c r="K476" i="2" s="1"/>
  <c r="G510" i="2"/>
  <c r="F510" i="2"/>
  <c r="K510" i="2" s="1"/>
  <c r="F607" i="2"/>
  <c r="F142" i="2"/>
  <c r="I142" i="2" s="1"/>
  <c r="I148" i="2"/>
  <c r="K165" i="2"/>
  <c r="J165" i="2"/>
  <c r="H165" i="2" s="1"/>
  <c r="J174" i="2"/>
  <c r="I174" i="2"/>
  <c r="G179" i="2"/>
  <c r="J179" i="2"/>
  <c r="H179" i="2" s="1"/>
  <c r="I179" i="2"/>
  <c r="K202" i="2"/>
  <c r="G223" i="2"/>
  <c r="F223" i="2"/>
  <c r="J223" i="2" s="1"/>
  <c r="H223" i="2" s="1"/>
  <c r="K225" i="2"/>
  <c r="J225" i="2"/>
  <c r="H225" i="2" s="1"/>
  <c r="I225" i="2"/>
  <c r="K247" i="2"/>
  <c r="I247" i="2"/>
  <c r="J247" i="2"/>
  <c r="H247" i="2" s="1"/>
  <c r="K251" i="2"/>
  <c r="J251" i="2"/>
  <c r="H251" i="2" s="1"/>
  <c r="J254" i="2"/>
  <c r="H254" i="2" s="1"/>
  <c r="K254" i="2"/>
  <c r="J256" i="2"/>
  <c r="H256" i="2" s="1"/>
  <c r="K256" i="2"/>
  <c r="I256" i="2"/>
  <c r="G256" i="2"/>
  <c r="G300" i="2"/>
  <c r="F300" i="2"/>
  <c r="K300" i="2" s="1"/>
  <c r="F317" i="2"/>
  <c r="K322" i="2"/>
  <c r="J322" i="2"/>
  <c r="H322" i="2" s="1"/>
  <c r="I322" i="2"/>
  <c r="K337" i="2"/>
  <c r="J337" i="2"/>
  <c r="H337" i="2" s="1"/>
  <c r="I337" i="2"/>
  <c r="G352" i="2"/>
  <c r="F352" i="2"/>
  <c r="I352" i="2" s="1"/>
  <c r="G356" i="2"/>
  <c r="F356" i="2"/>
  <c r="I356" i="2" s="1"/>
  <c r="G438" i="2"/>
  <c r="F438" i="2"/>
  <c r="I438" i="2" s="1"/>
  <c r="K312" i="2"/>
  <c r="J312" i="2"/>
  <c r="H312" i="2" s="1"/>
  <c r="I312" i="2"/>
  <c r="K403" i="2"/>
  <c r="J403" i="2"/>
  <c r="K414" i="2" s="1"/>
  <c r="I403" i="2"/>
  <c r="J418" i="2"/>
  <c r="H418" i="2" s="1"/>
  <c r="I418" i="2"/>
  <c r="G526" i="2"/>
  <c r="F526" i="2"/>
  <c r="K526" i="2" s="1"/>
  <c r="I333" i="2"/>
  <c r="G333" i="2"/>
  <c r="K335" i="2"/>
  <c r="J335" i="2"/>
  <c r="H335" i="2" s="1"/>
  <c r="I335" i="2"/>
  <c r="J358" i="2"/>
  <c r="H358" i="2" s="1"/>
  <c r="I358" i="2"/>
  <c r="K358" i="2"/>
  <c r="I365" i="2"/>
  <c r="G365" i="2"/>
  <c r="J365" i="2"/>
  <c r="H365" i="2" s="1"/>
  <c r="G372" i="2"/>
  <c r="I372" i="2"/>
  <c r="G392" i="2"/>
  <c r="F392" i="2"/>
  <c r="K392" i="2" s="1"/>
  <c r="I411" i="2"/>
  <c r="J411" i="2"/>
  <c r="H411" i="2" s="1"/>
  <c r="G415" i="2"/>
  <c r="F415" i="2"/>
  <c r="K415" i="2" s="1"/>
  <c r="G421" i="2"/>
  <c r="K421" i="2"/>
  <c r="J421" i="2"/>
  <c r="H421" i="2" s="1"/>
  <c r="I421" i="2"/>
  <c r="G433" i="2"/>
  <c r="F433" i="2"/>
  <c r="J433" i="2" s="1"/>
  <c r="H433" i="2" s="1"/>
  <c r="F444" i="2"/>
  <c r="I444" i="2" s="1"/>
  <c r="F460" i="2"/>
  <c r="K460" i="2" s="1"/>
  <c r="I469" i="2"/>
  <c r="K469" i="2"/>
  <c r="I474" i="2"/>
  <c r="F517" i="2"/>
  <c r="J517" i="2" s="1"/>
  <c r="H517" i="2" s="1"/>
  <c r="F533" i="2"/>
  <c r="I533" i="2" s="1"/>
  <c r="K547" i="2"/>
  <c r="J547" i="2"/>
  <c r="H547" i="2" s="1"/>
  <c r="I547" i="2"/>
  <c r="F553" i="2"/>
  <c r="J553" i="2" s="1"/>
  <c r="J230" i="2"/>
  <c r="J246" i="2"/>
  <c r="K338" i="2" s="1"/>
  <c r="J262" i="2"/>
  <c r="H262" i="2" s="1"/>
  <c r="J278" i="2"/>
  <c r="H278" i="2" s="1"/>
  <c r="I330" i="2"/>
  <c r="K333" i="2"/>
  <c r="G340" i="2"/>
  <c r="F340" i="2"/>
  <c r="J342" i="2"/>
  <c r="H342" i="2" s="1"/>
  <c r="I342" i="2"/>
  <c r="K344" i="2"/>
  <c r="J344" i="2"/>
  <c r="H344" i="2" s="1"/>
  <c r="I353" i="2"/>
  <c r="K359" i="2"/>
  <c r="J359" i="2"/>
  <c r="I359" i="2"/>
  <c r="J366" i="2"/>
  <c r="H366" i="2" s="1"/>
  <c r="I366" i="2"/>
  <c r="K366" i="2"/>
  <c r="I373" i="2"/>
  <c r="G373" i="2"/>
  <c r="J373" i="2"/>
  <c r="H373" i="2" s="1"/>
  <c r="I379" i="2"/>
  <c r="J379" i="2"/>
  <c r="H379" i="2" s="1"/>
  <c r="G383" i="2"/>
  <c r="F383" i="2"/>
  <c r="K383" i="2" s="1"/>
  <c r="J389" i="2"/>
  <c r="H389" i="2" s="1"/>
  <c r="I389" i="2"/>
  <c r="G401" i="2"/>
  <c r="F401" i="2"/>
  <c r="J401" i="2" s="1"/>
  <c r="H401" i="2" s="1"/>
  <c r="F412" i="2"/>
  <c r="K412" i="2" s="1"/>
  <c r="K422" i="2"/>
  <c r="K430" i="2"/>
  <c r="J430" i="2"/>
  <c r="H430" i="2" s="1"/>
  <c r="I430" i="2"/>
  <c r="J446" i="2"/>
  <c r="H446" i="2" s="1"/>
  <c r="K456" i="2"/>
  <c r="G456" i="2"/>
  <c r="J469" i="2"/>
  <c r="H469" i="2" s="1"/>
  <c r="F481" i="2"/>
  <c r="I481" i="2" s="1"/>
  <c r="G481" i="2"/>
  <c r="J490" i="2"/>
  <c r="H490" i="2" s="1"/>
  <c r="F495" i="2"/>
  <c r="I495" i="2" s="1"/>
  <c r="J500" i="2"/>
  <c r="H500" i="2" s="1"/>
  <c r="I500" i="2"/>
  <c r="J521" i="2"/>
  <c r="H521" i="2" s="1"/>
  <c r="F537" i="2"/>
  <c r="K555" i="2"/>
  <c r="J555" i="2"/>
  <c r="H555" i="2" s="1"/>
  <c r="I555" i="2"/>
  <c r="G555" i="2"/>
  <c r="J566" i="2"/>
  <c r="H566" i="2" s="1"/>
  <c r="I566" i="2"/>
  <c r="F571" i="2"/>
  <c r="K571" i="2" s="1"/>
  <c r="G571" i="2"/>
  <c r="F585" i="2"/>
  <c r="I585" i="2" s="1"/>
  <c r="G585" i="2"/>
  <c r="J628" i="2"/>
  <c r="H628" i="2" s="1"/>
  <c r="I628" i="2"/>
  <c r="K628" i="2"/>
  <c r="K167" i="2"/>
  <c r="I181" i="2"/>
  <c r="J190" i="2"/>
  <c r="H190" i="2" s="1"/>
  <c r="K199" i="2"/>
  <c r="I213" i="2"/>
  <c r="J222" i="2"/>
  <c r="H222" i="2" s="1"/>
  <c r="K239" i="2"/>
  <c r="I239" i="2"/>
  <c r="K255" i="2"/>
  <c r="I255" i="2"/>
  <c r="K271" i="2"/>
  <c r="I271" i="2"/>
  <c r="K287" i="2"/>
  <c r="I287" i="2"/>
  <c r="I301" i="2"/>
  <c r="G301" i="2"/>
  <c r="K303" i="2"/>
  <c r="J303" i="2"/>
  <c r="H303" i="2" s="1"/>
  <c r="I303" i="2"/>
  <c r="J309" i="2"/>
  <c r="H309" i="2" s="1"/>
  <c r="F311" i="2"/>
  <c r="J311" i="2" s="1"/>
  <c r="H311" i="2" s="1"/>
  <c r="J330" i="2"/>
  <c r="H330" i="2" s="1"/>
  <c r="G332" i="2"/>
  <c r="F332" i="2"/>
  <c r="J332" i="2" s="1"/>
  <c r="H332" i="2" s="1"/>
  <c r="J334" i="2"/>
  <c r="H334" i="2" s="1"/>
  <c r="I334" i="2"/>
  <c r="K336" i="2"/>
  <c r="J336" i="2"/>
  <c r="H336" i="2" s="1"/>
  <c r="J353" i="2"/>
  <c r="H353" i="2" s="1"/>
  <c r="G397" i="2"/>
  <c r="F397" i="2"/>
  <c r="K397" i="2" s="1"/>
  <c r="G410" i="2"/>
  <c r="F410" i="2"/>
  <c r="J410" i="2" s="1"/>
  <c r="H410" i="2" s="1"/>
  <c r="I439" i="2"/>
  <c r="K439" i="2"/>
  <c r="J439" i="2"/>
  <c r="H439" i="2" s="1"/>
  <c r="F463" i="2"/>
  <c r="I463" i="2" s="1"/>
  <c r="G463" i="2"/>
  <c r="F479" i="2"/>
  <c r="J479" i="2" s="1"/>
  <c r="H479" i="2" s="1"/>
  <c r="I482" i="2"/>
  <c r="J484" i="2"/>
  <c r="H484" i="2" s="1"/>
  <c r="I484" i="2"/>
  <c r="K505" i="2"/>
  <c r="J505" i="2"/>
  <c r="H505" i="2" s="1"/>
  <c r="I505" i="2"/>
  <c r="K514" i="2"/>
  <c r="G514" i="2"/>
  <c r="J514" i="2"/>
  <c r="H514" i="2" s="1"/>
  <c r="I514" i="2"/>
  <c r="G293" i="2"/>
  <c r="G324" i="2"/>
  <c r="F324" i="2"/>
  <c r="I324" i="2" s="1"/>
  <c r="G357" i="2"/>
  <c r="G364" i="2"/>
  <c r="F364" i="2"/>
  <c r="K364" i="2" s="1"/>
  <c r="G406" i="2"/>
  <c r="F406" i="2"/>
  <c r="I406" i="2" s="1"/>
  <c r="F424" i="2"/>
  <c r="I424" i="2" s="1"/>
  <c r="I443" i="2"/>
  <c r="J443" i="2"/>
  <c r="H443" i="2" s="1"/>
  <c r="F447" i="2"/>
  <c r="K447" i="2" s="1"/>
  <c r="G447" i="2"/>
  <c r="I530" i="2"/>
  <c r="F561" i="2"/>
  <c r="J561" i="2" s="1"/>
  <c r="H561" i="2" s="1"/>
  <c r="J582" i="2"/>
  <c r="H582" i="2" s="1"/>
  <c r="I582" i="2"/>
  <c r="F587" i="2"/>
  <c r="G167" i="2"/>
  <c r="K175" i="2"/>
  <c r="G181" i="2"/>
  <c r="I189" i="2"/>
  <c r="J198" i="2"/>
  <c r="G199" i="2"/>
  <c r="K207" i="2"/>
  <c r="G213" i="2"/>
  <c r="I221" i="2"/>
  <c r="G222" i="2"/>
  <c r="I229" i="2"/>
  <c r="G229" i="2"/>
  <c r="I230" i="2"/>
  <c r="G239" i="2"/>
  <c r="I245" i="2"/>
  <c r="G245" i="2"/>
  <c r="I246" i="2"/>
  <c r="G252" i="2"/>
  <c r="G255" i="2"/>
  <c r="G258" i="2"/>
  <c r="I261" i="2"/>
  <c r="G261" i="2"/>
  <c r="I262" i="2"/>
  <c r="F264" i="2"/>
  <c r="G271" i="2"/>
  <c r="G274" i="2"/>
  <c r="I277" i="2"/>
  <c r="I278" i="2"/>
  <c r="F280" i="2"/>
  <c r="G284" i="2"/>
  <c r="G287" i="2"/>
  <c r="G290" i="2"/>
  <c r="F293" i="2"/>
  <c r="I293" i="2" s="1"/>
  <c r="J301" i="2"/>
  <c r="H301" i="2" s="1"/>
  <c r="G303" i="2"/>
  <c r="G316" i="2"/>
  <c r="F316" i="2"/>
  <c r="J318" i="2"/>
  <c r="I318" i="2"/>
  <c r="K320" i="2"/>
  <c r="J320" i="2"/>
  <c r="H320" i="2" s="1"/>
  <c r="F326" i="2"/>
  <c r="K326" i="2" s="1"/>
  <c r="F328" i="2"/>
  <c r="I328" i="2" s="1"/>
  <c r="I329" i="2"/>
  <c r="G334" i="2"/>
  <c r="K342" i="2"/>
  <c r="I349" i="2"/>
  <c r="G349" i="2"/>
  <c r="J351" i="2"/>
  <c r="K398" i="2" s="1"/>
  <c r="I351" i="2"/>
  <c r="F357" i="2"/>
  <c r="K357" i="2" s="1"/>
  <c r="K367" i="2"/>
  <c r="J367" i="2"/>
  <c r="H367" i="2" s="1"/>
  <c r="I367" i="2"/>
  <c r="J374" i="2"/>
  <c r="K605" i="2" s="1"/>
  <c r="I374" i="2"/>
  <c r="F380" i="2"/>
  <c r="J380" i="2" s="1"/>
  <c r="H380" i="2" s="1"/>
  <c r="F384" i="2"/>
  <c r="K384" i="2" s="1"/>
  <c r="K390" i="2"/>
  <c r="J398" i="2"/>
  <c r="I398" i="2"/>
  <c r="F402" i="2"/>
  <c r="K402" i="2" s="1"/>
  <c r="F420" i="2"/>
  <c r="K420" i="2" s="1"/>
  <c r="G420" i="2"/>
  <c r="K435" i="2"/>
  <c r="J435" i="2"/>
  <c r="H435" i="2" s="1"/>
  <c r="I435" i="2"/>
  <c r="G439" i="2"/>
  <c r="K448" i="2"/>
  <c r="J448" i="2"/>
  <c r="H448" i="2" s="1"/>
  <c r="I450" i="2"/>
  <c r="J456" i="2"/>
  <c r="H456" i="2" s="1"/>
  <c r="K466" i="2"/>
  <c r="J466" i="2"/>
  <c r="H466" i="2" s="1"/>
  <c r="F487" i="2"/>
  <c r="I487" i="2" s="1"/>
  <c r="F489" i="2"/>
  <c r="J492" i="2"/>
  <c r="H492" i="2" s="1"/>
  <c r="I492" i="2"/>
  <c r="F503" i="2"/>
  <c r="I503" i="2" s="1"/>
  <c r="G505" i="2"/>
  <c r="G508" i="2"/>
  <c r="K508" i="2"/>
  <c r="J508" i="2"/>
  <c r="H508" i="2" s="1"/>
  <c r="I508" i="2"/>
  <c r="G519" i="2"/>
  <c r="F519" i="2"/>
  <c r="J519" i="2" s="1"/>
  <c r="H519" i="2" s="1"/>
  <c r="G535" i="2"/>
  <c r="F535" i="2"/>
  <c r="J535" i="2" s="1"/>
  <c r="H535" i="2" s="1"/>
  <c r="G539" i="2"/>
  <c r="F539" i="2"/>
  <c r="K539" i="2" s="1"/>
  <c r="K595" i="2"/>
  <c r="I595" i="2"/>
  <c r="J595" i="2"/>
  <c r="H595" i="2" s="1"/>
  <c r="G595" i="2"/>
  <c r="G602" i="2"/>
  <c r="F602" i="2"/>
  <c r="J602" i="2" s="1"/>
  <c r="H602" i="2" s="1"/>
  <c r="J376" i="2"/>
  <c r="H376" i="2" s="1"/>
  <c r="K385" i="2"/>
  <c r="I399" i="2"/>
  <c r="J408" i="2"/>
  <c r="H408" i="2" s="1"/>
  <c r="K417" i="2"/>
  <c r="I431" i="2"/>
  <c r="J440" i="2"/>
  <c r="F459" i="2"/>
  <c r="J459" i="2" s="1"/>
  <c r="H459" i="2" s="1"/>
  <c r="G459" i="2"/>
  <c r="K464" i="2"/>
  <c r="G464" i="2"/>
  <c r="K472" i="2"/>
  <c r="G472" i="2"/>
  <c r="I485" i="2"/>
  <c r="I490" i="2"/>
  <c r="I498" i="2"/>
  <c r="F513" i="2"/>
  <c r="K513" i="2" s="1"/>
  <c r="K520" i="2"/>
  <c r="J520" i="2"/>
  <c r="H520" i="2" s="1"/>
  <c r="G522" i="2"/>
  <c r="F522" i="2"/>
  <c r="K522" i="2" s="1"/>
  <c r="F529" i="2"/>
  <c r="K529" i="2" s="1"/>
  <c r="K536" i="2"/>
  <c r="J536" i="2"/>
  <c r="H536" i="2" s="1"/>
  <c r="K552" i="2"/>
  <c r="J552" i="2"/>
  <c r="H552" i="2" s="1"/>
  <c r="F565" i="2"/>
  <c r="I565" i="2" s="1"/>
  <c r="G565" i="2"/>
  <c r="K588" i="2"/>
  <c r="K612" i="2"/>
  <c r="I612" i="2"/>
  <c r="K543" i="2"/>
  <c r="F559" i="2"/>
  <c r="J559" i="2" s="1"/>
  <c r="H559" i="2" s="1"/>
  <c r="F577" i="2"/>
  <c r="K577" i="2" s="1"/>
  <c r="G577" i="2"/>
  <c r="G594" i="2"/>
  <c r="F594" i="2"/>
  <c r="I594" i="2" s="1"/>
  <c r="G599" i="2"/>
  <c r="F599" i="2"/>
  <c r="K599" i="2" s="1"/>
  <c r="G614" i="2"/>
  <c r="F614" i="2"/>
  <c r="I614" i="2" s="1"/>
  <c r="F681" i="2"/>
  <c r="K681" i="2" s="1"/>
  <c r="G681" i="2"/>
  <c r="G635" i="2"/>
  <c r="F635" i="2"/>
  <c r="I635" i="2" s="1"/>
  <c r="G650" i="2"/>
  <c r="F650" i="2"/>
  <c r="K650" i="2" s="1"/>
  <c r="F676" i="2"/>
  <c r="K676" i="2" s="1"/>
  <c r="G676" i="2"/>
  <c r="I543" i="2"/>
  <c r="F545" i="2"/>
  <c r="K545" i="2" s="1"/>
  <c r="G545" i="2"/>
  <c r="F549" i="2"/>
  <c r="J549" i="2" s="1"/>
  <c r="H549" i="2" s="1"/>
  <c r="G551" i="2"/>
  <c r="F551" i="2"/>
  <c r="I551" i="2" s="1"/>
  <c r="G562" i="2"/>
  <c r="F569" i="2"/>
  <c r="J569" i="2" s="1"/>
  <c r="H569" i="2" s="1"/>
  <c r="I592" i="2"/>
  <c r="K592" i="2"/>
  <c r="J592" i="2"/>
  <c r="H592" i="2" s="1"/>
  <c r="I600" i="2"/>
  <c r="K600" i="2"/>
  <c r="G626" i="2"/>
  <c r="F626" i="2"/>
  <c r="K626" i="2" s="1"/>
  <c r="G641" i="2"/>
  <c r="F641" i="2"/>
  <c r="I641" i="2" s="1"/>
  <c r="F651" i="2"/>
  <c r="I651" i="2" s="1"/>
  <c r="F665" i="2"/>
  <c r="K665" i="2" s="1"/>
  <c r="G665" i="2"/>
  <c r="G669" i="2"/>
  <c r="F669" i="2"/>
  <c r="I669" i="2" s="1"/>
  <c r="F683" i="2"/>
  <c r="K683" i="2" s="1"/>
  <c r="F733" i="2"/>
  <c r="K733" i="2" s="1"/>
  <c r="J360" i="2"/>
  <c r="H360" i="2" s="1"/>
  <c r="J368" i="2"/>
  <c r="H368" i="2" s="1"/>
  <c r="K376" i="2"/>
  <c r="K381" i="2"/>
  <c r="J385" i="2"/>
  <c r="H385" i="2" s="1"/>
  <c r="J394" i="2"/>
  <c r="H394" i="2" s="1"/>
  <c r="K399" i="2"/>
  <c r="K404" i="2"/>
  <c r="K408" i="2"/>
  <c r="K413" i="2"/>
  <c r="J417" i="2"/>
  <c r="H417" i="2" s="1"/>
  <c r="J426" i="2"/>
  <c r="H426" i="2" s="1"/>
  <c r="K431" i="2"/>
  <c r="K436" i="2"/>
  <c r="K440" i="2"/>
  <c r="K445" i="2"/>
  <c r="F499" i="2"/>
  <c r="J499" i="2" s="1"/>
  <c r="H499" i="2" s="1"/>
  <c r="F527" i="2"/>
  <c r="K527" i="2" s="1"/>
  <c r="J543" i="2"/>
  <c r="H543" i="2" s="1"/>
  <c r="G549" i="2"/>
  <c r="F562" i="2"/>
  <c r="J562" i="2" s="1"/>
  <c r="H562" i="2" s="1"/>
  <c r="G569" i="2"/>
  <c r="G583" i="2"/>
  <c r="F583" i="2"/>
  <c r="K583" i="2" s="1"/>
  <c r="G590" i="2"/>
  <c r="F590" i="2"/>
  <c r="I590" i="2" s="1"/>
  <c r="K615" i="2"/>
  <c r="J623" i="2"/>
  <c r="H623" i="2" s="1"/>
  <c r="I623" i="2"/>
  <c r="G651" i="2"/>
  <c r="G684" i="2"/>
  <c r="F684" i="2"/>
  <c r="I684" i="2" s="1"/>
  <c r="F457" i="2"/>
  <c r="K457" i="2" s="1"/>
  <c r="G465" i="2"/>
  <c r="F483" i="2"/>
  <c r="J483" i="2" s="1"/>
  <c r="H483" i="2" s="1"/>
  <c r="F491" i="2"/>
  <c r="J491" i="2" s="1"/>
  <c r="H491" i="2" s="1"/>
  <c r="G491" i="2"/>
  <c r="G496" i="2"/>
  <c r="G499" i="2"/>
  <c r="G504" i="2"/>
  <c r="G527" i="2"/>
  <c r="G558" i="2"/>
  <c r="F567" i="2"/>
  <c r="F593" i="2"/>
  <c r="J593" i="2" s="1"/>
  <c r="H593" i="2" s="1"/>
  <c r="G598" i="2"/>
  <c r="F598" i="2"/>
  <c r="I598" i="2" s="1"/>
  <c r="J600" i="2"/>
  <c r="H600" i="2" s="1"/>
  <c r="I605" i="2"/>
  <c r="G611" i="2"/>
  <c r="F611" i="2"/>
  <c r="I611" i="2" s="1"/>
  <c r="G630" i="2"/>
  <c r="J639" i="2"/>
  <c r="H639" i="2" s="1"/>
  <c r="I639" i="2"/>
  <c r="G646" i="2"/>
  <c r="F377" i="2"/>
  <c r="F391" i="2"/>
  <c r="F400" i="2"/>
  <c r="J400" i="2" s="1"/>
  <c r="H400" i="2" s="1"/>
  <c r="F405" i="2"/>
  <c r="F409" i="2"/>
  <c r="K409" i="2" s="1"/>
  <c r="F423" i="2"/>
  <c r="I423" i="2" s="1"/>
  <c r="G428" i="2"/>
  <c r="F432" i="2"/>
  <c r="J432" i="2" s="1"/>
  <c r="H432" i="2" s="1"/>
  <c r="F437" i="2"/>
  <c r="F441" i="2"/>
  <c r="K441" i="2" s="1"/>
  <c r="G449" i="2"/>
  <c r="I454" i="2"/>
  <c r="G457" i="2"/>
  <c r="I465" i="2"/>
  <c r="F467" i="2"/>
  <c r="J467" i="2" s="1"/>
  <c r="H467" i="2" s="1"/>
  <c r="F475" i="2"/>
  <c r="J475" i="2" s="1"/>
  <c r="H475" i="2" s="1"/>
  <c r="G475" i="2"/>
  <c r="G483" i="2"/>
  <c r="K488" i="2"/>
  <c r="G488" i="2"/>
  <c r="F496" i="2"/>
  <c r="K496" i="2" s="1"/>
  <c r="I501" i="2"/>
  <c r="F504" i="2"/>
  <c r="I506" i="2"/>
  <c r="I520" i="2"/>
  <c r="I524" i="2"/>
  <c r="I536" i="2"/>
  <c r="G542" i="2"/>
  <c r="K542" i="2"/>
  <c r="J542" i="2"/>
  <c r="H542" i="2" s="1"/>
  <c r="I542" i="2"/>
  <c r="F546" i="2"/>
  <c r="I546" i="2" s="1"/>
  <c r="I552" i="2"/>
  <c r="F558" i="2"/>
  <c r="K558" i="2" s="1"/>
  <c r="K575" i="2"/>
  <c r="I575" i="2"/>
  <c r="F581" i="2"/>
  <c r="K581" i="2" s="1"/>
  <c r="G581" i="2"/>
  <c r="G593" i="2"/>
  <c r="K608" i="2"/>
  <c r="G617" i="2"/>
  <c r="F617" i="2"/>
  <c r="I617" i="2" s="1"/>
  <c r="F621" i="2"/>
  <c r="J621" i="2" s="1"/>
  <c r="H621" i="2" s="1"/>
  <c r="K623" i="2"/>
  <c r="F630" i="2"/>
  <c r="K630" i="2" s="1"/>
  <c r="F646" i="2"/>
  <c r="K646" i="2" s="1"/>
  <c r="F662" i="2"/>
  <c r="J662" i="2" s="1"/>
  <c r="H662" i="2" s="1"/>
  <c r="J680" i="2"/>
  <c r="H680" i="2" s="1"/>
  <c r="I680" i="2"/>
  <c r="K680" i="2"/>
  <c r="G666" i="2"/>
  <c r="J666" i="2"/>
  <c r="H666" i="2" s="1"/>
  <c r="I666" i="2"/>
  <c r="K666" i="2"/>
  <c r="F693" i="2"/>
  <c r="J693" i="2" s="1"/>
  <c r="H693" i="2" s="1"/>
  <c r="I729" i="2"/>
  <c r="J729" i="2"/>
  <c r="H729" i="2" s="1"/>
  <c r="F773" i="2"/>
  <c r="K773" i="2" s="1"/>
  <c r="G886" i="2"/>
  <c r="F886" i="2"/>
  <c r="K886" i="2" s="1"/>
  <c r="G574" i="2"/>
  <c r="K574" i="2"/>
  <c r="I604" i="2"/>
  <c r="J609" i="2"/>
  <c r="H609" i="2" s="1"/>
  <c r="K609" i="2"/>
  <c r="G609" i="2"/>
  <c r="J618" i="2"/>
  <c r="H618" i="2" s="1"/>
  <c r="J644" i="2"/>
  <c r="I644" i="2"/>
  <c r="K644" i="2"/>
  <c r="F653" i="2"/>
  <c r="I653" i="2" s="1"/>
  <c r="G653" i="2"/>
  <c r="J655" i="2"/>
  <c r="H655" i="2" s="1"/>
  <c r="I655" i="2"/>
  <c r="K670" i="2"/>
  <c r="I670" i="2"/>
  <c r="J670" i="2"/>
  <c r="H670" i="2" s="1"/>
  <c r="I672" i="2"/>
  <c r="G687" i="2"/>
  <c r="F687" i="2"/>
  <c r="I687" i="2" s="1"/>
  <c r="F689" i="2"/>
  <c r="J689" i="2" s="1"/>
  <c r="H689" i="2" s="1"/>
  <c r="G689" i="2"/>
  <c r="J701" i="2"/>
  <c r="H701" i="2" s="1"/>
  <c r="I701" i="2"/>
  <c r="K701" i="2"/>
  <c r="G701" i="2"/>
  <c r="I721" i="2"/>
  <c r="K721" i="2"/>
  <c r="J721" i="2"/>
  <c r="H721" i="2" s="1"/>
  <c r="F667" i="2"/>
  <c r="I667" i="2" s="1"/>
  <c r="F685" i="2"/>
  <c r="J685" i="2" s="1"/>
  <c r="H685" i="2" s="1"/>
  <c r="G698" i="2"/>
  <c r="J735" i="2"/>
  <c r="H735" i="2" s="1"/>
  <c r="I735" i="2"/>
  <c r="G538" i="2"/>
  <c r="G554" i="2"/>
  <c r="G570" i="2"/>
  <c r="G586" i="2"/>
  <c r="F616" i="2"/>
  <c r="I616" i="2" s="1"/>
  <c r="G616" i="2"/>
  <c r="G622" i="2"/>
  <c r="F622" i="2"/>
  <c r="K622" i="2" s="1"/>
  <c r="F624" i="2"/>
  <c r="K624" i="2" s="1"/>
  <c r="G633" i="2"/>
  <c r="F633" i="2"/>
  <c r="J633" i="2" s="1"/>
  <c r="H633" i="2" s="1"/>
  <c r="G638" i="2"/>
  <c r="K638" i="2"/>
  <c r="G649" i="2"/>
  <c r="F649" i="2"/>
  <c r="J649" i="2" s="1"/>
  <c r="H649" i="2" s="1"/>
  <c r="K655" i="2"/>
  <c r="G658" i="2"/>
  <c r="F658" i="2"/>
  <c r="I658" i="2" s="1"/>
  <c r="J660" i="2"/>
  <c r="H660" i="2" s="1"/>
  <c r="I660" i="2"/>
  <c r="K660" i="2"/>
  <c r="G667" i="2"/>
  <c r="G670" i="2"/>
  <c r="G685" i="2"/>
  <c r="K698" i="2"/>
  <c r="K705" i="2"/>
  <c r="G722" i="2"/>
  <c r="F722" i="2"/>
  <c r="I722" i="2" s="1"/>
  <c r="G731" i="2"/>
  <c r="F731" i="2"/>
  <c r="I731" i="2" s="1"/>
  <c r="G803" i="2"/>
  <c r="J803" i="2"/>
  <c r="H803" i="2" s="1"/>
  <c r="I809" i="2"/>
  <c r="F507" i="2"/>
  <c r="J507" i="2" s="1"/>
  <c r="H507" i="2" s="1"/>
  <c r="J525" i="2"/>
  <c r="H525" i="2" s="1"/>
  <c r="F538" i="2"/>
  <c r="F541" i="2"/>
  <c r="J541" i="2" s="1"/>
  <c r="H541" i="2" s="1"/>
  <c r="F554" i="2"/>
  <c r="K554" i="2" s="1"/>
  <c r="F557" i="2"/>
  <c r="J557" i="2" s="1"/>
  <c r="H557" i="2" s="1"/>
  <c r="J568" i="2"/>
  <c r="K579" i="2" s="1"/>
  <c r="F570" i="2"/>
  <c r="K570" i="2" s="1"/>
  <c r="F573" i="2"/>
  <c r="J573" i="2" s="1"/>
  <c r="H573" i="2" s="1"/>
  <c r="I574" i="2"/>
  <c r="J584" i="2"/>
  <c r="K726" i="2" s="1"/>
  <c r="F586" i="2"/>
  <c r="K586" i="2" s="1"/>
  <c r="I597" i="2"/>
  <c r="F601" i="2"/>
  <c r="K601" i="2" s="1"/>
  <c r="G606" i="2"/>
  <c r="F606" i="2"/>
  <c r="K606" i="2" s="1"/>
  <c r="I609" i="2"/>
  <c r="G624" i="2"/>
  <c r="F629" i="2"/>
  <c r="J629" i="2" s="1"/>
  <c r="H629" i="2" s="1"/>
  <c r="J636" i="2"/>
  <c r="H636" i="2" s="1"/>
  <c r="I636" i="2"/>
  <c r="F645" i="2"/>
  <c r="K645" i="2" s="1"/>
  <c r="F671" i="2"/>
  <c r="K671" i="2" s="1"/>
  <c r="G723" i="2"/>
  <c r="F723" i="2"/>
  <c r="K723" i="2" s="1"/>
  <c r="G830" i="2"/>
  <c r="F830" i="2"/>
  <c r="K830" i="2" s="1"/>
  <c r="G452" i="2"/>
  <c r="K452" i="2"/>
  <c r="G468" i="2"/>
  <c r="K468" i="2"/>
  <c r="G484" i="2"/>
  <c r="K484" i="2"/>
  <c r="G500" i="2"/>
  <c r="K500" i="2"/>
  <c r="G518" i="2"/>
  <c r="K518" i="2"/>
  <c r="G534" i="2"/>
  <c r="K534" i="2"/>
  <c r="G557" i="2"/>
  <c r="G566" i="2"/>
  <c r="K566" i="2"/>
  <c r="G573" i="2"/>
  <c r="J574" i="2"/>
  <c r="H574" i="2" s="1"/>
  <c r="K582" i="2"/>
  <c r="I588" i="2"/>
  <c r="F591" i="2"/>
  <c r="G601" i="2"/>
  <c r="F603" i="2"/>
  <c r="K603" i="2" s="1"/>
  <c r="I610" i="2"/>
  <c r="I619" i="2"/>
  <c r="G619" i="2"/>
  <c r="G629" i="2"/>
  <c r="I631" i="2"/>
  <c r="K634" i="2"/>
  <c r="G634" i="2"/>
  <c r="J634" i="2"/>
  <c r="H634" i="2" s="1"/>
  <c r="F643" i="2"/>
  <c r="J643" i="2" s="1"/>
  <c r="H643" i="2" s="1"/>
  <c r="G645" i="2"/>
  <c r="F661" i="2"/>
  <c r="J661" i="2" s="1"/>
  <c r="H661" i="2" s="1"/>
  <c r="G671" i="2"/>
  <c r="K682" i="2"/>
  <c r="F699" i="2"/>
  <c r="K699" i="2" s="1"/>
  <c r="G699" i="2"/>
  <c r="G706" i="2"/>
  <c r="F706" i="2"/>
  <c r="I706" i="2" s="1"/>
  <c r="G716" i="2"/>
  <c r="F716" i="2"/>
  <c r="K716" i="2" s="1"/>
  <c r="F724" i="2"/>
  <c r="K724" i="2" s="1"/>
  <c r="J589" i="2"/>
  <c r="H589" i="2" s="1"/>
  <c r="J597" i="2"/>
  <c r="H597" i="2" s="1"/>
  <c r="J605" i="2"/>
  <c r="I608" i="2"/>
  <c r="G674" i="2"/>
  <c r="F674" i="2"/>
  <c r="G678" i="2"/>
  <c r="F678" i="2"/>
  <c r="I678" i="2" s="1"/>
  <c r="K708" i="2"/>
  <c r="I708" i="2"/>
  <c r="J708" i="2"/>
  <c r="G714" i="2"/>
  <c r="F714" i="2"/>
  <c r="K714" i="2" s="1"/>
  <c r="G740" i="2"/>
  <c r="F740" i="2"/>
  <c r="K740" i="2" s="1"/>
  <c r="G747" i="2"/>
  <c r="F747" i="2"/>
  <c r="K747" i="2" s="1"/>
  <c r="J759" i="2"/>
  <c r="H759" i="2" s="1"/>
  <c r="I759" i="2"/>
  <c r="G625" i="2"/>
  <c r="F625" i="2"/>
  <c r="J625" i="2" s="1"/>
  <c r="H625" i="2" s="1"/>
  <c r="F637" i="2"/>
  <c r="I637" i="2" s="1"/>
  <c r="G642" i="2"/>
  <c r="J652" i="2"/>
  <c r="H652" i="2" s="1"/>
  <c r="I652" i="2"/>
  <c r="G654" i="2"/>
  <c r="F657" i="2"/>
  <c r="G690" i="2"/>
  <c r="F690" i="2"/>
  <c r="K690" i="2" s="1"/>
  <c r="F694" i="2"/>
  <c r="I694" i="2" s="1"/>
  <c r="F697" i="2"/>
  <c r="J697" i="2" s="1"/>
  <c r="H697" i="2" s="1"/>
  <c r="G697" i="2"/>
  <c r="G709" i="2"/>
  <c r="F709" i="2"/>
  <c r="K711" i="2"/>
  <c r="I711" i="2"/>
  <c r="J745" i="2"/>
  <c r="H745" i="2" s="1"/>
  <c r="I745" i="2"/>
  <c r="G749" i="2"/>
  <c r="F749" i="2"/>
  <c r="K749" i="2" s="1"/>
  <c r="G785" i="2"/>
  <c r="F785" i="2"/>
  <c r="K785" i="2" s="1"/>
  <c r="K610" i="2"/>
  <c r="K618" i="2"/>
  <c r="F627" i="2"/>
  <c r="G637" i="2"/>
  <c r="F642" i="2"/>
  <c r="K642" i="2" s="1"/>
  <c r="F654" i="2"/>
  <c r="F659" i="2"/>
  <c r="I659" i="2" s="1"/>
  <c r="F675" i="2"/>
  <c r="K675" i="2" s="1"/>
  <c r="F679" i="2"/>
  <c r="G692" i="2"/>
  <c r="F692" i="2"/>
  <c r="J692" i="2" s="1"/>
  <c r="H692" i="2" s="1"/>
  <c r="G694" i="2"/>
  <c r="K750" i="2"/>
  <c r="F799" i="2"/>
  <c r="I799" i="2" s="1"/>
  <c r="G799" i="2"/>
  <c r="J827" i="2"/>
  <c r="H827" i="2" s="1"/>
  <c r="I827" i="2"/>
  <c r="J767" i="2"/>
  <c r="H767" i="2" s="1"/>
  <c r="I767" i="2"/>
  <c r="K892" i="2"/>
  <c r="I892" i="2"/>
  <c r="K756" i="2"/>
  <c r="J756" i="2"/>
  <c r="H756" i="2" s="1"/>
  <c r="I756" i="2"/>
  <c r="G756" i="2"/>
  <c r="K765" i="2"/>
  <c r="J765" i="2"/>
  <c r="H765" i="2" s="1"/>
  <c r="I765" i="2"/>
  <c r="K790" i="2"/>
  <c r="J790" i="2"/>
  <c r="H790" i="2" s="1"/>
  <c r="I790" i="2"/>
  <c r="K795" i="2"/>
  <c r="G822" i="2"/>
  <c r="F822" i="2"/>
  <c r="I822" i="2" s="1"/>
  <c r="F837" i="2"/>
  <c r="K837" i="2" s="1"/>
  <c r="G837" i="2"/>
  <c r="J863" i="2"/>
  <c r="I863" i="2"/>
  <c r="F885" i="2"/>
  <c r="K885" i="2" s="1"/>
  <c r="G885" i="2"/>
  <c r="J892" i="2"/>
  <c r="H892" i="2" s="1"/>
  <c r="F1002" i="2"/>
  <c r="K1002" i="2" s="1"/>
  <c r="G1002" i="2"/>
  <c r="G739" i="2"/>
  <c r="F739" i="2"/>
  <c r="K739" i="2" s="1"/>
  <c r="G748" i="2"/>
  <c r="G765" i="2"/>
  <c r="F779" i="2"/>
  <c r="J779" i="2" s="1"/>
  <c r="H779" i="2" s="1"/>
  <c r="K812" i="2"/>
  <c r="J812" i="2"/>
  <c r="H812" i="2" s="1"/>
  <c r="I812" i="2"/>
  <c r="G812" i="2"/>
  <c r="I833" i="2"/>
  <c r="G870" i="2"/>
  <c r="K870" i="2"/>
  <c r="J870" i="2"/>
  <c r="H870" i="2" s="1"/>
  <c r="I870" i="2"/>
  <c r="F946" i="2"/>
  <c r="K946" i="2" s="1"/>
  <c r="G946" i="2"/>
  <c r="F986" i="2"/>
  <c r="K986" i="2" s="1"/>
  <c r="G986" i="2"/>
  <c r="F632" i="2"/>
  <c r="I632" i="2" s="1"/>
  <c r="F640" i="2"/>
  <c r="I640" i="2" s="1"/>
  <c r="F648" i="2"/>
  <c r="I648" i="2" s="1"/>
  <c r="F656" i="2"/>
  <c r="I668" i="2"/>
  <c r="J677" i="2"/>
  <c r="H677" i="2" s="1"/>
  <c r="K686" i="2"/>
  <c r="F700" i="2"/>
  <c r="K700" i="2" s="1"/>
  <c r="F707" i="2"/>
  <c r="I707" i="2" s="1"/>
  <c r="F725" i="2"/>
  <c r="K725" i="2" s="1"/>
  <c r="K734" i="2"/>
  <c r="F748" i="2"/>
  <c r="K748" i="2" s="1"/>
  <c r="F757" i="2"/>
  <c r="I757" i="2" s="1"/>
  <c r="K766" i="2"/>
  <c r="G771" i="2"/>
  <c r="F771" i="2"/>
  <c r="J771" i="2" s="1"/>
  <c r="H771" i="2" s="1"/>
  <c r="G825" i="2"/>
  <c r="I843" i="2"/>
  <c r="G859" i="2"/>
  <c r="F859" i="2"/>
  <c r="I859" i="2" s="1"/>
  <c r="F900" i="2"/>
  <c r="I900" i="2" s="1"/>
  <c r="G943" i="2"/>
  <c r="F943" i="2"/>
  <c r="K943" i="2" s="1"/>
  <c r="G959" i="2"/>
  <c r="F959" i="2"/>
  <c r="K959" i="2" s="1"/>
  <c r="F970" i="2"/>
  <c r="J970" i="2" s="1"/>
  <c r="H970" i="2" s="1"/>
  <c r="G970" i="2"/>
  <c r="G763" i="2"/>
  <c r="F763" i="2"/>
  <c r="K763" i="2" s="1"/>
  <c r="J780" i="2"/>
  <c r="H780" i="2" s="1"/>
  <c r="I780" i="2"/>
  <c r="G808" i="2"/>
  <c r="K808" i="2"/>
  <c r="J808" i="2"/>
  <c r="H808" i="2" s="1"/>
  <c r="I808" i="2"/>
  <c r="K813" i="2"/>
  <c r="J817" i="2"/>
  <c r="H817" i="2" s="1"/>
  <c r="I817" i="2"/>
  <c r="K817" i="2"/>
  <c r="F825" i="2"/>
  <c r="J825" i="2" s="1"/>
  <c r="H825" i="2" s="1"/>
  <c r="G849" i="2"/>
  <c r="F849" i="2"/>
  <c r="J849" i="2" s="1"/>
  <c r="H849" i="2" s="1"/>
  <c r="F898" i="2"/>
  <c r="K898" i="2" s="1"/>
  <c r="F924" i="2"/>
  <c r="K924" i="2" s="1"/>
  <c r="K947" i="2"/>
  <c r="J947" i="2"/>
  <c r="K963" i="2" s="1"/>
  <c r="I947" i="2"/>
  <c r="G960" i="2"/>
  <c r="F960" i="2"/>
  <c r="J960" i="2" s="1"/>
  <c r="H960" i="2" s="1"/>
  <c r="G713" i="2"/>
  <c r="F713" i="2"/>
  <c r="I673" i="2"/>
  <c r="I682" i="2"/>
  <c r="I703" i="2"/>
  <c r="F715" i="2"/>
  <c r="K715" i="2" s="1"/>
  <c r="F717" i="2"/>
  <c r="I717" i="2" s="1"/>
  <c r="K732" i="2"/>
  <c r="J732" i="2"/>
  <c r="H732" i="2" s="1"/>
  <c r="I732" i="2"/>
  <c r="G732" i="2"/>
  <c r="K741" i="2"/>
  <c r="J741" i="2"/>
  <c r="H741" i="2" s="1"/>
  <c r="I741" i="2"/>
  <c r="I751" i="2"/>
  <c r="F755" i="2"/>
  <c r="K755" i="2" s="1"/>
  <c r="J758" i="2"/>
  <c r="H758" i="2" s="1"/>
  <c r="I758" i="2"/>
  <c r="K764" i="2"/>
  <c r="J764" i="2"/>
  <c r="H764" i="2" s="1"/>
  <c r="I764" i="2"/>
  <c r="G764" i="2"/>
  <c r="F772" i="2"/>
  <c r="J772" i="2" s="1"/>
  <c r="H772" i="2" s="1"/>
  <c r="K781" i="2"/>
  <c r="F789" i="2"/>
  <c r="I794" i="2"/>
  <c r="K794" i="2"/>
  <c r="J794" i="2"/>
  <c r="H794" i="2" s="1"/>
  <c r="G794" i="2"/>
  <c r="I800" i="2"/>
  <c r="K809" i="2"/>
  <c r="G817" i="2"/>
  <c r="G841" i="2"/>
  <c r="F841" i="2"/>
  <c r="J841" i="2" s="1"/>
  <c r="H841" i="2" s="1"/>
  <c r="G866" i="2"/>
  <c r="F866" i="2"/>
  <c r="J866" i="2" s="1"/>
  <c r="H866" i="2" s="1"/>
  <c r="J905" i="2"/>
  <c r="H905" i="2" s="1"/>
  <c r="I905" i="2"/>
  <c r="K905" i="2"/>
  <c r="G816" i="2"/>
  <c r="J847" i="2"/>
  <c r="F853" i="2"/>
  <c r="J853" i="2" s="1"/>
  <c r="H853" i="2" s="1"/>
  <c r="G853" i="2"/>
  <c r="G857" i="2"/>
  <c r="F864" i="2"/>
  <c r="K864" i="2" s="1"/>
  <c r="K879" i="2"/>
  <c r="J879" i="2"/>
  <c r="H879" i="2" s="1"/>
  <c r="I879" i="2"/>
  <c r="J1032" i="2"/>
  <c r="H1032" i="2" s="1"/>
  <c r="I1032" i="2"/>
  <c r="K1032" i="2"/>
  <c r="K719" i="2"/>
  <c r="J726" i="2"/>
  <c r="K783" i="2" s="1"/>
  <c r="K727" i="2"/>
  <c r="F730" i="2"/>
  <c r="I730" i="2" s="1"/>
  <c r="J734" i="2"/>
  <c r="H734" i="2" s="1"/>
  <c r="K735" i="2"/>
  <c r="F738" i="2"/>
  <c r="I738" i="2" s="1"/>
  <c r="J742" i="2"/>
  <c r="H742" i="2" s="1"/>
  <c r="K743" i="2"/>
  <c r="F746" i="2"/>
  <c r="I746" i="2" s="1"/>
  <c r="J750" i="2"/>
  <c r="H750" i="2" s="1"/>
  <c r="F754" i="2"/>
  <c r="I754" i="2" s="1"/>
  <c r="K759" i="2"/>
  <c r="F762" i="2"/>
  <c r="J766" i="2"/>
  <c r="H766" i="2" s="1"/>
  <c r="K767" i="2"/>
  <c r="F770" i="2"/>
  <c r="J774" i="2"/>
  <c r="H774" i="2" s="1"/>
  <c r="K775" i="2"/>
  <c r="F778" i="2"/>
  <c r="I778" i="2" s="1"/>
  <c r="J781" i="2"/>
  <c r="H781" i="2" s="1"/>
  <c r="F784" i="2"/>
  <c r="K784" i="2" s="1"/>
  <c r="F788" i="2"/>
  <c r="J788" i="2" s="1"/>
  <c r="H788" i="2" s="1"/>
  <c r="K791" i="2"/>
  <c r="F793" i="2"/>
  <c r="K793" i="2" s="1"/>
  <c r="F797" i="2"/>
  <c r="I797" i="2" s="1"/>
  <c r="K800" i="2"/>
  <c r="F802" i="2"/>
  <c r="K802" i="2" s="1"/>
  <c r="G807" i="2"/>
  <c r="F811" i="2"/>
  <c r="J813" i="2"/>
  <c r="H813" i="2" s="1"/>
  <c r="F816" i="2"/>
  <c r="K816" i="2" s="1"/>
  <c r="I826" i="2"/>
  <c r="K834" i="2"/>
  <c r="J834" i="2"/>
  <c r="H834" i="2" s="1"/>
  <c r="G834" i="2"/>
  <c r="G838" i="2"/>
  <c r="J838" i="2"/>
  <c r="H838" i="2" s="1"/>
  <c r="F857" i="2"/>
  <c r="J857" i="2" s="1"/>
  <c r="H857" i="2" s="1"/>
  <c r="J860" i="2"/>
  <c r="H860" i="2" s="1"/>
  <c r="G864" i="2"/>
  <c r="G875" i="2"/>
  <c r="F875" i="2"/>
  <c r="I875" i="2" s="1"/>
  <c r="G882" i="2"/>
  <c r="F896" i="2"/>
  <c r="J896" i="2" s="1"/>
  <c r="H896" i="2" s="1"/>
  <c r="G910" i="2"/>
  <c r="F910" i="2"/>
  <c r="J910" i="2" s="1"/>
  <c r="H910" i="2" s="1"/>
  <c r="I920" i="2"/>
  <c r="K937" i="2"/>
  <c r="J937" i="2"/>
  <c r="H937" i="2" s="1"/>
  <c r="I937" i="2"/>
  <c r="K940" i="2"/>
  <c r="I940" i="2"/>
  <c r="J940" i="2"/>
  <c r="H940" i="2" s="1"/>
  <c r="K1027" i="2"/>
  <c r="J1027" i="2"/>
  <c r="H1027" i="2" s="1"/>
  <c r="I1027" i="2"/>
  <c r="G730" i="2"/>
  <c r="G738" i="2"/>
  <c r="G746" i="2"/>
  <c r="G754" i="2"/>
  <c r="G762" i="2"/>
  <c r="G770" i="2"/>
  <c r="G778" i="2"/>
  <c r="J787" i="2"/>
  <c r="H787" i="2" s="1"/>
  <c r="G788" i="2"/>
  <c r="G793" i="2"/>
  <c r="K796" i="2"/>
  <c r="G796" i="2" s="1"/>
  <c r="G797" i="2"/>
  <c r="I810" i="2"/>
  <c r="F818" i="2"/>
  <c r="I819" i="2"/>
  <c r="J831" i="2"/>
  <c r="H831" i="2" s="1"/>
  <c r="J844" i="2"/>
  <c r="H844" i="2" s="1"/>
  <c r="I847" i="2"/>
  <c r="K850" i="2"/>
  <c r="J850" i="2"/>
  <c r="H850" i="2" s="1"/>
  <c r="G850" i="2"/>
  <c r="G854" i="2"/>
  <c r="J854" i="2"/>
  <c r="H854" i="2" s="1"/>
  <c r="K860" i="2"/>
  <c r="I860" i="2"/>
  <c r="J873" i="2"/>
  <c r="H873" i="2" s="1"/>
  <c r="G873" i="2"/>
  <c r="K873" i="2"/>
  <c r="I873" i="2"/>
  <c r="F880" i="2"/>
  <c r="J880" i="2" s="1"/>
  <c r="H880" i="2" s="1"/>
  <c r="F882" i="2"/>
  <c r="I882" i="2" s="1"/>
  <c r="G896" i="2"/>
  <c r="F954" i="2"/>
  <c r="J954" i="2" s="1"/>
  <c r="H954" i="2" s="1"/>
  <c r="I798" i="2"/>
  <c r="I807" i="2"/>
  <c r="J819" i="2"/>
  <c r="H819" i="2" s="1"/>
  <c r="F848" i="2"/>
  <c r="J848" i="2" s="1"/>
  <c r="H848" i="2" s="1"/>
  <c r="G891" i="2"/>
  <c r="F891" i="2"/>
  <c r="I891" i="2" s="1"/>
  <c r="F902" i="2"/>
  <c r="I902" i="2" s="1"/>
  <c r="I786" i="2"/>
  <c r="J795" i="2"/>
  <c r="H795" i="2" s="1"/>
  <c r="K804" i="2"/>
  <c r="J807" i="2"/>
  <c r="H807" i="2" s="1"/>
  <c r="F821" i="2"/>
  <c r="I821" i="2" s="1"/>
  <c r="K835" i="2"/>
  <c r="K869" i="2"/>
  <c r="K876" i="2"/>
  <c r="I876" i="2"/>
  <c r="J889" i="2"/>
  <c r="H889" i="2" s="1"/>
  <c r="G889" i="2"/>
  <c r="K889" i="2"/>
  <c r="I889" i="2"/>
  <c r="K956" i="2"/>
  <c r="J956" i="2"/>
  <c r="H956" i="2" s="1"/>
  <c r="J968" i="2"/>
  <c r="H968" i="2" s="1"/>
  <c r="I968" i="2"/>
  <c r="J979" i="2"/>
  <c r="K1019" i="2"/>
  <c r="J1019" i="2"/>
  <c r="H1019" i="2" s="1"/>
  <c r="I1019" i="2"/>
  <c r="I824" i="2"/>
  <c r="K827" i="2"/>
  <c r="J833" i="2"/>
  <c r="K846" i="2" s="1"/>
  <c r="F840" i="2"/>
  <c r="I840" i="2" s="1"/>
  <c r="F856" i="2"/>
  <c r="F872" i="2"/>
  <c r="F888" i="2"/>
  <c r="I888" i="2" s="1"/>
  <c r="G897" i="2"/>
  <c r="K897" i="2"/>
  <c r="J897" i="2"/>
  <c r="H897" i="2" s="1"/>
  <c r="F904" i="2"/>
  <c r="J904" i="2" s="1"/>
  <c r="H904" i="2" s="1"/>
  <c r="G904" i="2"/>
  <c r="J908" i="2"/>
  <c r="H908" i="2" s="1"/>
  <c r="K908" i="2"/>
  <c r="I908" i="2"/>
  <c r="F916" i="2"/>
  <c r="J916" i="2" s="1"/>
  <c r="H916" i="2" s="1"/>
  <c r="G916" i="2"/>
  <c r="G951" i="2"/>
  <c r="F951" i="2"/>
  <c r="J951" i="2" s="1"/>
  <c r="H951" i="2" s="1"/>
  <c r="I979" i="2"/>
  <c r="K995" i="2"/>
  <c r="J995" i="2"/>
  <c r="H995" i="2" s="1"/>
  <c r="G865" i="2"/>
  <c r="G881" i="2"/>
  <c r="G919" i="2"/>
  <c r="K921" i="2"/>
  <c r="I921" i="2"/>
  <c r="K931" i="2"/>
  <c r="J931" i="2"/>
  <c r="H931" i="2" s="1"/>
  <c r="F865" i="2"/>
  <c r="J865" i="2" s="1"/>
  <c r="H865" i="2" s="1"/>
  <c r="F881" i="2"/>
  <c r="J881" i="2" s="1"/>
  <c r="H881" i="2" s="1"/>
  <c r="F901" i="2"/>
  <c r="J901" i="2" s="1"/>
  <c r="H901" i="2" s="1"/>
  <c r="F919" i="2"/>
  <c r="I919" i="2" s="1"/>
  <c r="K929" i="2"/>
  <c r="J929" i="2"/>
  <c r="H929" i="2" s="1"/>
  <c r="I929" i="2"/>
  <c r="G936" i="2"/>
  <c r="F936" i="2"/>
  <c r="K936" i="2" s="1"/>
  <c r="K945" i="2"/>
  <c r="J945" i="2"/>
  <c r="H945" i="2" s="1"/>
  <c r="I945" i="2"/>
  <c r="G952" i="2"/>
  <c r="F952" i="2"/>
  <c r="K952" i="2" s="1"/>
  <c r="F962" i="2"/>
  <c r="J962" i="2" s="1"/>
  <c r="H962" i="2" s="1"/>
  <c r="F832" i="2"/>
  <c r="I835" i="2"/>
  <c r="F842" i="2"/>
  <c r="K842" i="2" s="1"/>
  <c r="F845" i="2"/>
  <c r="K845" i="2" s="1"/>
  <c r="I851" i="2"/>
  <c r="F858" i="2"/>
  <c r="F861" i="2"/>
  <c r="K861" i="2" s="1"/>
  <c r="I867" i="2"/>
  <c r="F874" i="2"/>
  <c r="K877" i="2"/>
  <c r="I883" i="2"/>
  <c r="F890" i="2"/>
  <c r="F893" i="2"/>
  <c r="G901" i="2"/>
  <c r="F909" i="2"/>
  <c r="J909" i="2" s="1"/>
  <c r="K928" i="2" s="1"/>
  <c r="K911" i="2"/>
  <c r="I911" i="2"/>
  <c r="J921" i="2"/>
  <c r="K932" i="2" s="1"/>
  <c r="I927" i="2"/>
  <c r="G927" i="2"/>
  <c r="K927" i="2"/>
  <c r="I931" i="2"/>
  <c r="K939" i="2"/>
  <c r="J939" i="2"/>
  <c r="H939" i="2" s="1"/>
  <c r="K948" i="2"/>
  <c r="J948" i="2"/>
  <c r="H948" i="2" s="1"/>
  <c r="I948" i="2"/>
  <c r="I967" i="2"/>
  <c r="I995" i="2"/>
  <c r="K1011" i="2"/>
  <c r="J1011" i="2"/>
  <c r="H1011" i="2" s="1"/>
  <c r="K1025" i="2"/>
  <c r="J1025" i="2"/>
  <c r="H1025" i="2" s="1"/>
  <c r="I1025" i="2"/>
  <c r="I899" i="2"/>
  <c r="G907" i="2"/>
  <c r="I907" i="2"/>
  <c r="K912" i="2"/>
  <c r="J928" i="2"/>
  <c r="I928" i="2"/>
  <c r="F930" i="2"/>
  <c r="I930" i="2" s="1"/>
  <c r="G935" i="2"/>
  <c r="F935" i="2"/>
  <c r="J935" i="2" s="1"/>
  <c r="H935" i="2" s="1"/>
  <c r="F938" i="2"/>
  <c r="J938" i="2" s="1"/>
  <c r="H938" i="2" s="1"/>
  <c r="J944" i="2"/>
  <c r="H944" i="2" s="1"/>
  <c r="I944" i="2"/>
  <c r="G944" i="2"/>
  <c r="K971" i="2"/>
  <c r="J971" i="2"/>
  <c r="K993" i="2" s="1"/>
  <c r="F978" i="2"/>
  <c r="J978" i="2" s="1"/>
  <c r="H978" i="2" s="1"/>
  <c r="K987" i="2"/>
  <c r="J987" i="2"/>
  <c r="H987" i="2" s="1"/>
  <c r="F994" i="2"/>
  <c r="K994" i="2" s="1"/>
  <c r="K1003" i="2"/>
  <c r="J1003" i="2"/>
  <c r="K1024" i="2" s="1"/>
  <c r="F1010" i="2"/>
  <c r="I1010" i="2" s="1"/>
  <c r="F918" i="2"/>
  <c r="K918" i="2" s="1"/>
  <c r="J920" i="2"/>
  <c r="H920" i="2" s="1"/>
  <c r="K955" i="2"/>
  <c r="J955" i="2"/>
  <c r="J963" i="2"/>
  <c r="G978" i="2"/>
  <c r="G994" i="2"/>
  <c r="G1010" i="2"/>
  <c r="F1026" i="2"/>
  <c r="J1026" i="2" s="1"/>
  <c r="H1026" i="2" s="1"/>
  <c r="G1026" i="2"/>
  <c r="G920" i="2"/>
  <c r="F922" i="2"/>
  <c r="J922" i="2" s="1"/>
  <c r="H922" i="2" s="1"/>
  <c r="I923" i="2"/>
  <c r="I932" i="2"/>
  <c r="J953" i="2"/>
  <c r="K958" i="2" s="1"/>
  <c r="I953" i="2"/>
  <c r="K961" i="2"/>
  <c r="J961" i="2"/>
  <c r="H961" i="2" s="1"/>
  <c r="I961" i="2"/>
  <c r="I971" i="2"/>
  <c r="I987" i="2"/>
  <c r="I1003" i="2"/>
  <c r="F1018" i="2"/>
  <c r="J1018" i="2" s="1"/>
  <c r="K1033" i="2"/>
  <c r="J1033" i="2"/>
  <c r="H1033" i="2" s="1"/>
  <c r="I1033" i="2"/>
  <c r="I917" i="2"/>
  <c r="K975" i="2"/>
  <c r="K983" i="2"/>
  <c r="K991" i="2"/>
  <c r="K999" i="2"/>
  <c r="K1015" i="2"/>
  <c r="K1023" i="2"/>
  <c r="K1031" i="2"/>
  <c r="H884" i="2" l="1"/>
  <c r="H847" i="2"/>
  <c r="K874" i="2"/>
  <c r="H846" i="2"/>
  <c r="G846" i="2"/>
  <c r="H833" i="2"/>
  <c r="H824" i="2"/>
  <c r="K824" i="2"/>
  <c r="G824" i="2" s="1"/>
  <c r="K789" i="2"/>
  <c r="G769" i="2"/>
  <c r="G582" i="2"/>
  <c r="H736" i="2"/>
  <c r="H615" i="2"/>
  <c r="G615" i="2"/>
  <c r="H544" i="2"/>
  <c r="G544" i="2"/>
  <c r="G958" i="2"/>
  <c r="K516" i="2"/>
  <c r="G516" i="2" s="1"/>
  <c r="H516" i="2"/>
  <c r="G396" i="2"/>
  <c r="K434" i="2"/>
  <c r="K489" i="2"/>
  <c r="G448" i="2"/>
  <c r="H440" i="2"/>
  <c r="G440" i="2"/>
  <c r="H64" i="2"/>
  <c r="H58" i="2"/>
  <c r="G58" i="2"/>
  <c r="G336" i="2"/>
  <c r="H174" i="2"/>
  <c r="G174" i="2"/>
  <c r="K295" i="2"/>
  <c r="H299" i="2"/>
  <c r="G286" i="2"/>
  <c r="G414" i="2"/>
  <c r="K283" i="2"/>
  <c r="G283" i="2" s="1"/>
  <c r="K230" i="2"/>
  <c r="G230" i="2" s="1"/>
  <c r="K227" i="2"/>
  <c r="G227" i="2" s="1"/>
  <c r="K208" i="2"/>
  <c r="G208" i="2" s="1"/>
  <c r="G934" i="2"/>
  <c r="H160" i="2"/>
  <c r="G926" i="2"/>
  <c r="G139" i="2"/>
  <c r="H996" i="2"/>
  <c r="G993" i="2"/>
  <c r="H979" i="2"/>
  <c r="H1024" i="2"/>
  <c r="G1024" i="2"/>
  <c r="H1012" i="2"/>
  <c r="G1012" i="2"/>
  <c r="G1000" i="2"/>
  <c r="H1003" i="2"/>
  <c r="G1003" i="2"/>
  <c r="H971" i="2"/>
  <c r="G971" i="2"/>
  <c r="H963" i="2"/>
  <c r="G963" i="2"/>
  <c r="H947" i="2"/>
  <c r="G947" i="2"/>
  <c r="H955" i="2"/>
  <c r="G955" i="2"/>
  <c r="H953" i="2"/>
  <c r="G953" i="2"/>
  <c r="H941" i="2"/>
  <c r="G941" i="2"/>
  <c r="H932" i="2"/>
  <c r="G932" i="2"/>
  <c r="H928" i="2"/>
  <c r="G928" i="2"/>
  <c r="K1007" i="2"/>
  <c r="G1007" i="2" s="1"/>
  <c r="H921" i="2"/>
  <c r="G921" i="2"/>
  <c r="K906" i="2"/>
  <c r="G906" i="2" s="1"/>
  <c r="H708" i="2"/>
  <c r="G708" i="2"/>
  <c r="H644" i="2"/>
  <c r="G644" i="2"/>
  <c r="G492" i="2"/>
  <c r="H486" i="2"/>
  <c r="H470" i="2"/>
  <c r="G470" i="2"/>
  <c r="K480" i="2"/>
  <c r="G480" i="2" s="1"/>
  <c r="H403" i="2"/>
  <c r="G403" i="2"/>
  <c r="H387" i="2"/>
  <c r="G387" i="2"/>
  <c r="H369" i="2"/>
  <c r="G369" i="2"/>
  <c r="H359" i="2"/>
  <c r="G359" i="2"/>
  <c r="H351" i="2"/>
  <c r="H291" i="2"/>
  <c r="G291" i="2"/>
  <c r="H249" i="2"/>
  <c r="G249" i="2"/>
  <c r="H318" i="2"/>
  <c r="G318" i="2"/>
  <c r="K317" i="2"/>
  <c r="H313" i="2"/>
  <c r="G313" i="2"/>
  <c r="H306" i="2"/>
  <c r="H297" i="2"/>
  <c r="G277" i="2"/>
  <c r="K268" i="2"/>
  <c r="G268" i="2" s="1"/>
  <c r="G270" i="2"/>
  <c r="H283" i="2"/>
  <c r="H227" i="2"/>
  <c r="H234" i="2"/>
  <c r="H208" i="2"/>
  <c r="H198" i="2"/>
  <c r="G198" i="2"/>
  <c r="G128" i="2"/>
  <c r="H50" i="2"/>
  <c r="G50" i="2"/>
  <c r="J22" i="2"/>
  <c r="K377" i="2" s="1"/>
  <c r="H1007" i="2"/>
  <c r="K1029" i="2"/>
  <c r="G1029" i="2" s="1"/>
  <c r="H1018" i="2"/>
  <c r="H1029" i="2"/>
  <c r="H988" i="2"/>
  <c r="G988" i="2"/>
  <c r="H949" i="2"/>
  <c r="G949" i="2"/>
  <c r="H909" i="2"/>
  <c r="H863" i="2"/>
  <c r="K863" i="2"/>
  <c r="G863" i="2" s="1"/>
  <c r="K810" i="2"/>
  <c r="G810" i="2" s="1"/>
  <c r="H806" i="2"/>
  <c r="H783" i="2"/>
  <c r="G783" i="2"/>
  <c r="H737" i="2"/>
  <c r="G737" i="2"/>
  <c r="H726" i="2"/>
  <c r="G726" i="2"/>
  <c r="K587" i="2"/>
  <c r="H605" i="2"/>
  <c r="G605" i="2"/>
  <c r="H596" i="2"/>
  <c r="H584" i="2"/>
  <c r="G584" i="2"/>
  <c r="H579" i="2"/>
  <c r="G579" i="2"/>
  <c r="H576" i="2"/>
  <c r="G576" i="2"/>
  <c r="H572" i="2"/>
  <c r="K572" i="2"/>
  <c r="G572" i="2" s="1"/>
  <c r="H568" i="2"/>
  <c r="G568" i="2"/>
  <c r="G550" i="2"/>
  <c r="H563" i="2"/>
  <c r="H553" i="2"/>
  <c r="H532" i="2"/>
  <c r="G532" i="2"/>
  <c r="H398" i="2"/>
  <c r="G398" i="2"/>
  <c r="K389" i="2"/>
  <c r="G389" i="2" s="1"/>
  <c r="H374" i="2"/>
  <c r="H347" i="2"/>
  <c r="G347" i="2"/>
  <c r="H338" i="2"/>
  <c r="G338" i="2"/>
  <c r="H246" i="2"/>
  <c r="H230" i="2"/>
  <c r="H221" i="2"/>
  <c r="G221" i="2"/>
  <c r="G133" i="2"/>
  <c r="G155" i="2"/>
  <c r="H98" i="2"/>
  <c r="G98" i="2"/>
  <c r="H97" i="2"/>
  <c r="G97" i="2"/>
  <c r="G102" i="2"/>
  <c r="H82" i="2"/>
  <c r="J533" i="2"/>
  <c r="H533" i="2" s="1"/>
  <c r="H74" i="2"/>
  <c r="G74" i="2"/>
  <c r="I571" i="2"/>
  <c r="K68" i="2"/>
  <c r="H62" i="2"/>
  <c r="G62" i="2"/>
  <c r="J188" i="2"/>
  <c r="H188" i="2" s="1"/>
  <c r="K442" i="2"/>
  <c r="I529" i="2"/>
  <c r="I134" i="2"/>
  <c r="J799" i="2"/>
  <c r="H799" i="2" s="1"/>
  <c r="K569" i="2"/>
  <c r="J681" i="2"/>
  <c r="H681" i="2" s="1"/>
  <c r="K240" i="2"/>
  <c r="I626" i="2"/>
  <c r="I569" i="2"/>
  <c r="J54" i="2"/>
  <c r="H54" i="2" s="1"/>
  <c r="I789" i="2"/>
  <c r="I36" i="2"/>
  <c r="K521" i="2"/>
  <c r="K517" i="2"/>
  <c r="I64" i="2"/>
  <c r="H26" i="2"/>
  <c r="I825" i="2"/>
  <c r="I692" i="2"/>
  <c r="J616" i="2"/>
  <c r="H616" i="2" s="1"/>
  <c r="I250" i="2"/>
  <c r="J442" i="2"/>
  <c r="J147" i="2"/>
  <c r="K160" i="2" s="1"/>
  <c r="G160" i="2" s="1"/>
  <c r="J36" i="2"/>
  <c r="K902" i="2" s="1"/>
  <c r="K661" i="2"/>
  <c r="K561" i="2"/>
  <c r="J384" i="2"/>
  <c r="H384" i="2" s="1"/>
  <c r="K126" i="2"/>
  <c r="I793" i="2"/>
  <c r="J700" i="2"/>
  <c r="J716" i="2"/>
  <c r="H716" i="2" s="1"/>
  <c r="I517" i="2"/>
  <c r="K23" i="2"/>
  <c r="I191" i="2"/>
  <c r="J91" i="2"/>
  <c r="K131" i="2" s="1"/>
  <c r="K967" i="2"/>
  <c r="J864" i="2"/>
  <c r="H864" i="2" s="1"/>
  <c r="J694" i="2"/>
  <c r="H694" i="2" s="1"/>
  <c r="J266" i="2"/>
  <c r="I87" i="2"/>
  <c r="I645" i="2"/>
  <c r="J665" i="2"/>
  <c r="H665" i="2" s="1"/>
  <c r="J292" i="2"/>
  <c r="H292" i="2" s="1"/>
  <c r="J645" i="2"/>
  <c r="H645" i="2" s="1"/>
  <c r="I705" i="2"/>
  <c r="K533" i="2"/>
  <c r="I471" i="2"/>
  <c r="J126" i="2"/>
  <c r="H126" i="2" s="1"/>
  <c r="I188" i="2"/>
  <c r="J124" i="2"/>
  <c r="H124" i="2" s="1"/>
  <c r="J882" i="2"/>
  <c r="H882" i="2" s="1"/>
  <c r="K853" i="2"/>
  <c r="I714" i="2"/>
  <c r="J706" i="2"/>
  <c r="H706" i="2" s="1"/>
  <c r="I665" i="2"/>
  <c r="J397" i="2"/>
  <c r="H397" i="2" s="1"/>
  <c r="K266" i="2"/>
  <c r="K471" i="2"/>
  <c r="J558" i="2"/>
  <c r="H558" i="2" s="1"/>
  <c r="I412" i="2"/>
  <c r="J100" i="2"/>
  <c r="K279" i="2" s="1"/>
  <c r="J350" i="2"/>
  <c r="H350" i="2" s="1"/>
  <c r="I952" i="2"/>
  <c r="J705" i="2"/>
  <c r="H705" i="2" s="1"/>
  <c r="J581" i="2"/>
  <c r="H581" i="2" s="1"/>
  <c r="J364" i="2"/>
  <c r="H364" i="2" s="1"/>
  <c r="J412" i="2"/>
  <c r="H412" i="2" s="1"/>
  <c r="I317" i="2"/>
  <c r="J510" i="2"/>
  <c r="H510" i="2" s="1"/>
  <c r="I425" i="2"/>
  <c r="K260" i="2"/>
  <c r="I234" i="2"/>
  <c r="K250" i="2"/>
  <c r="K292" i="2"/>
  <c r="K46" i="2"/>
  <c r="I785" i="2"/>
  <c r="J747" i="2"/>
  <c r="H747" i="2" s="1"/>
  <c r="I638" i="2"/>
  <c r="K616" i="2"/>
  <c r="K667" i="2"/>
  <c r="J683" i="2"/>
  <c r="K425" i="2"/>
  <c r="I166" i="2"/>
  <c r="J785" i="2"/>
  <c r="H785" i="2" s="1"/>
  <c r="I675" i="2"/>
  <c r="K410" i="2"/>
  <c r="J497" i="2"/>
  <c r="H497" i="2" s="1"/>
  <c r="I864" i="2"/>
  <c r="I924" i="2"/>
  <c r="I671" i="2"/>
  <c r="I410" i="2"/>
  <c r="I383" i="2"/>
  <c r="J415" i="2"/>
  <c r="H415" i="2" s="1"/>
  <c r="K497" i="2"/>
  <c r="K100" i="2"/>
  <c r="H20" i="2"/>
  <c r="G20" i="2"/>
  <c r="J671" i="2"/>
  <c r="H671" i="2" s="1"/>
  <c r="K649" i="2"/>
  <c r="J527" i="2"/>
  <c r="H527" i="2" s="1"/>
  <c r="K142" i="2"/>
  <c r="K919" i="2"/>
  <c r="I601" i="2"/>
  <c r="I886" i="2"/>
  <c r="J614" i="2"/>
  <c r="H614" i="2" s="1"/>
  <c r="K132" i="2"/>
  <c r="I693" i="2"/>
  <c r="J918" i="2"/>
  <c r="H918" i="2" s="1"/>
  <c r="J793" i="2"/>
  <c r="H793" i="2" s="1"/>
  <c r="I885" i="2"/>
  <c r="I837" i="2"/>
  <c r="J886" i="2"/>
  <c r="H886" i="2" s="1"/>
  <c r="K669" i="2"/>
  <c r="K635" i="2"/>
  <c r="K614" i="2"/>
  <c r="K530" i="2"/>
  <c r="K311" i="2"/>
  <c r="K341" i="2"/>
  <c r="K234" i="2"/>
  <c r="J231" i="2"/>
  <c r="H231" i="2" s="1"/>
  <c r="J473" i="2"/>
  <c r="H473" i="2" s="1"/>
  <c r="J530" i="2"/>
  <c r="K537" i="2" s="1"/>
  <c r="K244" i="2"/>
  <c r="I943" i="2"/>
  <c r="I935" i="2"/>
  <c r="J802" i="2"/>
  <c r="K811" i="2" s="1"/>
  <c r="I866" i="2"/>
  <c r="J885" i="2"/>
  <c r="H885" i="2" s="1"/>
  <c r="J837" i="2"/>
  <c r="H837" i="2" s="1"/>
  <c r="J714" i="2"/>
  <c r="H714" i="2" s="1"/>
  <c r="J678" i="2"/>
  <c r="H678" i="2" s="1"/>
  <c r="I724" i="2"/>
  <c r="I649" i="2"/>
  <c r="K731" i="2"/>
  <c r="J653" i="2"/>
  <c r="H653" i="2" s="1"/>
  <c r="K611" i="2"/>
  <c r="J583" i="2"/>
  <c r="H583" i="2" s="1"/>
  <c r="I583" i="2"/>
  <c r="J635" i="2"/>
  <c r="H635" i="2" s="1"/>
  <c r="J341" i="2"/>
  <c r="K567" i="2" s="1"/>
  <c r="I1026" i="2"/>
  <c r="K1026" i="2"/>
  <c r="J755" i="2"/>
  <c r="K780" i="2" s="1"/>
  <c r="G780" i="2" s="1"/>
  <c r="K866" i="2"/>
  <c r="I699" i="2"/>
  <c r="K685" i="2"/>
  <c r="K653" i="2"/>
  <c r="I384" i="2"/>
  <c r="I392" i="2"/>
  <c r="K134" i="2"/>
  <c r="I85" i="2"/>
  <c r="K61" i="2"/>
  <c r="J75" i="2"/>
  <c r="K106" i="2" s="1"/>
  <c r="K276" i="2"/>
  <c r="I849" i="2"/>
  <c r="J943" i="2"/>
  <c r="H943" i="2" s="1"/>
  <c r="J637" i="2"/>
  <c r="H637" i="2" s="1"/>
  <c r="I621" i="2"/>
  <c r="I380" i="2"/>
  <c r="J226" i="2"/>
  <c r="H226" i="2" s="1"/>
  <c r="J952" i="2"/>
  <c r="H952" i="2" s="1"/>
  <c r="K849" i="2"/>
  <c r="K637" i="2"/>
  <c r="I747" i="2"/>
  <c r="I716" i="2"/>
  <c r="J699" i="2"/>
  <c r="H699" i="2" s="1"/>
  <c r="J731" i="2"/>
  <c r="H731" i="2" s="1"/>
  <c r="J667" i="2"/>
  <c r="H667" i="2" s="1"/>
  <c r="K621" i="2"/>
  <c r="I562" i="2"/>
  <c r="K590" i="2"/>
  <c r="I676" i="2"/>
  <c r="K380" i="2"/>
  <c r="I460" i="2"/>
  <c r="I244" i="2"/>
  <c r="K22" i="2"/>
  <c r="J28" i="2"/>
  <c r="H28" i="2" s="1"/>
  <c r="J61" i="2"/>
  <c r="H61" i="2" s="1"/>
  <c r="K226" i="2"/>
  <c r="I263" i="2"/>
  <c r="I91" i="2"/>
  <c r="K350" i="2"/>
  <c r="I192" i="2"/>
  <c r="J183" i="2"/>
  <c r="H183" i="2" s="1"/>
  <c r="J220" i="2"/>
  <c r="H220" i="2" s="1"/>
  <c r="K45" i="2"/>
  <c r="J617" i="2"/>
  <c r="H617" i="2" s="1"/>
  <c r="I402" i="2"/>
  <c r="I553" i="2"/>
  <c r="I232" i="2"/>
  <c r="J282" i="2"/>
  <c r="H282" i="2" s="1"/>
  <c r="J919" i="2"/>
  <c r="H919" i="2" s="1"/>
  <c r="K910" i="2"/>
  <c r="I857" i="2"/>
  <c r="J789" i="2"/>
  <c r="K771" i="2"/>
  <c r="K859" i="2"/>
  <c r="K822" i="2"/>
  <c r="K799" i="2"/>
  <c r="J675" i="2"/>
  <c r="K678" i="2"/>
  <c r="K706" i="2"/>
  <c r="I643" i="2"/>
  <c r="I698" i="2"/>
  <c r="K693" i="2"/>
  <c r="I558" i="2"/>
  <c r="K641" i="2"/>
  <c r="K562" i="2"/>
  <c r="J545" i="2"/>
  <c r="H545" i="2" s="1"/>
  <c r="K487" i="2"/>
  <c r="J402" i="2"/>
  <c r="H402" i="2" s="1"/>
  <c r="I357" i="2"/>
  <c r="I521" i="2"/>
  <c r="J495" i="2"/>
  <c r="K228" i="2"/>
  <c r="K191" i="2"/>
  <c r="J429" i="2"/>
  <c r="H429" i="2" s="1"/>
  <c r="K282" i="2"/>
  <c r="J53" i="2"/>
  <c r="H53" i="2" s="1"/>
  <c r="K147" i="2"/>
  <c r="J240" i="2"/>
  <c r="H240" i="2" s="1"/>
  <c r="I67" i="2"/>
  <c r="I49" i="2"/>
  <c r="I53" i="2"/>
  <c r="I407" i="2"/>
  <c r="K263" i="2"/>
  <c r="J23" i="2"/>
  <c r="H23" i="2" s="1"/>
  <c r="J145" i="2"/>
  <c r="H145" i="2" s="1"/>
  <c r="K3" i="2"/>
  <c r="J698" i="2"/>
  <c r="H698" i="2" s="1"/>
  <c r="J936" i="2"/>
  <c r="H936" i="2" s="1"/>
  <c r="I784" i="2"/>
  <c r="K882" i="2"/>
  <c r="J924" i="2"/>
  <c r="H924" i="2" s="1"/>
  <c r="K825" i="2"/>
  <c r="I946" i="2"/>
  <c r="J722" i="2"/>
  <c r="H722" i="2" s="1"/>
  <c r="K689" i="2"/>
  <c r="J638" i="2"/>
  <c r="H638" i="2" s="1"/>
  <c r="I624" i="2"/>
  <c r="I689" i="2"/>
  <c r="J669" i="2"/>
  <c r="H669" i="2" s="1"/>
  <c r="K565" i="2"/>
  <c r="K519" i="2"/>
  <c r="J585" i="2"/>
  <c r="H585" i="2" s="1"/>
  <c r="J253" i="2"/>
  <c r="H253" i="2" s="1"/>
  <c r="K178" i="2"/>
  <c r="J325" i="2"/>
  <c r="H325" i="2" s="1"/>
  <c r="J285" i="2"/>
  <c r="K323" i="2" s="1"/>
  <c r="G323" i="2" s="1"/>
  <c r="J269" i="2"/>
  <c r="H269" i="2" s="1"/>
  <c r="K211" i="2"/>
  <c r="I578" i="2"/>
  <c r="I145" i="2"/>
  <c r="I309" i="2"/>
  <c r="J967" i="2"/>
  <c r="K901" i="2"/>
  <c r="K848" i="2"/>
  <c r="I910" i="2"/>
  <c r="I763" i="2"/>
  <c r="J859" i="2"/>
  <c r="H859" i="2" s="1"/>
  <c r="J946" i="2"/>
  <c r="H946" i="2" s="1"/>
  <c r="K694" i="2"/>
  <c r="I723" i="2"/>
  <c r="K722" i="2"/>
  <c r="I685" i="2"/>
  <c r="J611" i="2"/>
  <c r="H611" i="2" s="1"/>
  <c r="K551" i="2"/>
  <c r="J590" i="2"/>
  <c r="H590" i="2" s="1"/>
  <c r="I683" i="2"/>
  <c r="J641" i="2"/>
  <c r="H641" i="2" s="1"/>
  <c r="I549" i="2"/>
  <c r="I681" i="2"/>
  <c r="J577" i="2"/>
  <c r="H577" i="2" s="1"/>
  <c r="J565" i="2"/>
  <c r="H565" i="2" s="1"/>
  <c r="J529" i="2"/>
  <c r="H529" i="2" s="1"/>
  <c r="I561" i="2"/>
  <c r="I489" i="2"/>
  <c r="I364" i="2"/>
  <c r="K479" i="2"/>
  <c r="J481" i="2"/>
  <c r="H481" i="2" s="1"/>
  <c r="K401" i="2"/>
  <c r="J444" i="2"/>
  <c r="H444" i="2" s="1"/>
  <c r="J388" i="2"/>
  <c r="H388" i="2" s="1"/>
  <c r="I375" i="2"/>
  <c r="K150" i="2"/>
  <c r="K325" i="2"/>
  <c r="K285" i="2"/>
  <c r="K269" i="2"/>
  <c r="I343" i="2"/>
  <c r="J45" i="2"/>
  <c r="K75" i="2" s="1"/>
  <c r="J68" i="2"/>
  <c r="H68" i="2" s="1"/>
  <c r="J489" i="2"/>
  <c r="J424" i="2"/>
  <c r="K503" i="2" s="1"/>
  <c r="I295" i="2"/>
  <c r="K444" i="2"/>
  <c r="I607" i="2"/>
  <c r="K455" i="2"/>
  <c r="I348" i="2"/>
  <c r="I178" i="2"/>
  <c r="K94" i="2"/>
  <c r="I224" i="2"/>
  <c r="I453" i="2"/>
  <c r="J822" i="2"/>
  <c r="H822" i="2" s="1"/>
  <c r="J763" i="2"/>
  <c r="H763" i="2" s="1"/>
  <c r="K779" i="2"/>
  <c r="J658" i="2"/>
  <c r="H658" i="2" s="1"/>
  <c r="J723" i="2"/>
  <c r="H723" i="2" s="1"/>
  <c r="I519" i="2"/>
  <c r="J1010" i="2"/>
  <c r="H1010" i="2" s="1"/>
  <c r="I916" i="2"/>
  <c r="J821" i="2"/>
  <c r="H821" i="2" s="1"/>
  <c r="K617" i="2"/>
  <c r="J295" i="2"/>
  <c r="K328" i="2" s="1"/>
  <c r="K495" i="2"/>
  <c r="K438" i="2"/>
  <c r="J348" i="2"/>
  <c r="H348" i="2" s="1"/>
  <c r="I228" i="2"/>
  <c r="I279" i="2"/>
  <c r="K237" i="2"/>
  <c r="J67" i="2"/>
  <c r="H67" i="2" s="1"/>
  <c r="J32" i="2"/>
  <c r="H32" i="2" s="1"/>
  <c r="I197" i="2"/>
  <c r="J79" i="2"/>
  <c r="I7" i="2"/>
  <c r="K224" i="2"/>
  <c r="J94" i="2"/>
  <c r="H94" i="2" s="1"/>
  <c r="I936" i="2"/>
  <c r="K857" i="2"/>
  <c r="J902" i="2"/>
  <c r="I896" i="2"/>
  <c r="I725" i="2"/>
  <c r="I633" i="2"/>
  <c r="K1010" i="2"/>
  <c r="K916" i="2"/>
  <c r="K821" i="2"/>
  <c r="J816" i="2"/>
  <c r="H816" i="2" s="1"/>
  <c r="K896" i="2"/>
  <c r="I755" i="2"/>
  <c r="K843" i="2"/>
  <c r="J725" i="2"/>
  <c r="H725" i="2" s="1"/>
  <c r="K692" i="2"/>
  <c r="K629" i="2"/>
  <c r="K633" i="2"/>
  <c r="I545" i="2"/>
  <c r="I420" i="2"/>
  <c r="K309" i="2"/>
  <c r="I447" i="2"/>
  <c r="J357" i="2"/>
  <c r="H357" i="2" s="1"/>
  <c r="J537" i="2"/>
  <c r="I433" i="2"/>
  <c r="J438" i="2"/>
  <c r="H438" i="2" s="1"/>
  <c r="I455" i="2"/>
  <c r="J302" i="2"/>
  <c r="K79" i="2"/>
  <c r="G3" i="2"/>
  <c r="J674" i="2"/>
  <c r="H674" i="2" s="1"/>
  <c r="I674" i="2"/>
  <c r="I830" i="2"/>
  <c r="I962" i="2"/>
  <c r="J818" i="2"/>
  <c r="I818" i="2"/>
  <c r="K772" i="2"/>
  <c r="I959" i="2"/>
  <c r="I986" i="2"/>
  <c r="J757" i="2"/>
  <c r="H757" i="2" s="1"/>
  <c r="I739" i="2"/>
  <c r="J627" i="2"/>
  <c r="K627" i="2"/>
  <c r="K674" i="2"/>
  <c r="J830" i="2"/>
  <c r="H830" i="2" s="1"/>
  <c r="K573" i="2"/>
  <c r="I573" i="2"/>
  <c r="I538" i="2"/>
  <c r="J538" i="2"/>
  <c r="H538" i="2" s="1"/>
  <c r="I803" i="2"/>
  <c r="J687" i="2"/>
  <c r="H687" i="2" s="1"/>
  <c r="J441" i="2"/>
  <c r="H441" i="2" s="1"/>
  <c r="I441" i="2"/>
  <c r="K593" i="2"/>
  <c r="I567" i="2"/>
  <c r="K684" i="2"/>
  <c r="J651" i="2"/>
  <c r="H651" i="2" s="1"/>
  <c r="J626" i="2"/>
  <c r="H626" i="2" s="1"/>
  <c r="I650" i="2"/>
  <c r="I513" i="2"/>
  <c r="K535" i="2"/>
  <c r="J487" i="2"/>
  <c r="H487" i="2" s="1"/>
  <c r="I264" i="2"/>
  <c r="K264" i="2"/>
  <c r="J447" i="2"/>
  <c r="H447" i="2" s="1"/>
  <c r="J406" i="2"/>
  <c r="H406" i="2" s="1"/>
  <c r="J328" i="2"/>
  <c r="I479" i="2"/>
  <c r="I397" i="2"/>
  <c r="J340" i="2"/>
  <c r="H340" i="2" s="1"/>
  <c r="I340" i="2"/>
  <c r="J300" i="2"/>
  <c r="H300" i="2" s="1"/>
  <c r="I300" i="2"/>
  <c r="J236" i="2"/>
  <c r="H236" i="2" s="1"/>
  <c r="I388" i="2"/>
  <c r="K308" i="2"/>
  <c r="J308" i="2"/>
  <c r="H308" i="2" s="1"/>
  <c r="I236" i="2"/>
  <c r="K210" i="2"/>
  <c r="I210" i="2"/>
  <c r="I182" i="2"/>
  <c r="J123" i="2"/>
  <c r="K299" i="2" s="1"/>
  <c r="G299" i="2" s="1"/>
  <c r="I123" i="2"/>
  <c r="J173" i="2"/>
  <c r="H173" i="2" s="1"/>
  <c r="J140" i="2"/>
  <c r="H140" i="2" s="1"/>
  <c r="K140" i="2"/>
  <c r="I393" i="2"/>
  <c r="I17" i="2"/>
  <c r="K44" i="2"/>
  <c r="J44" i="2"/>
  <c r="H44" i="2" s="1"/>
  <c r="I129" i="2"/>
  <c r="I231" i="2"/>
  <c r="J151" i="2"/>
  <c r="K187" i="2" s="1"/>
  <c r="I132" i="2"/>
  <c r="I78" i="2"/>
  <c r="J192" i="2"/>
  <c r="H192" i="2" s="1"/>
  <c r="I37" i="2"/>
  <c r="I46" i="2"/>
  <c r="I92" i="2"/>
  <c r="K40" i="2"/>
  <c r="I457" i="2"/>
  <c r="J457" i="2"/>
  <c r="H457" i="2" s="1"/>
  <c r="K762" i="2"/>
  <c r="J762" i="2"/>
  <c r="H762" i="2" s="1"/>
  <c r="K651" i="2"/>
  <c r="J503" i="2"/>
  <c r="K248" i="2"/>
  <c r="I248" i="2"/>
  <c r="I332" i="2"/>
  <c r="K332" i="2"/>
  <c r="K5" i="2"/>
  <c r="I5" i="2"/>
  <c r="J17" i="2"/>
  <c r="K26" i="2" s="1"/>
  <c r="G26" i="2" s="1"/>
  <c r="I978" i="2"/>
  <c r="K875" i="2"/>
  <c r="I938" i="2"/>
  <c r="J875" i="2"/>
  <c r="H875" i="2" s="1"/>
  <c r="K754" i="2"/>
  <c r="J754" i="2"/>
  <c r="H754" i="2" s="1"/>
  <c r="K841" i="2"/>
  <c r="K960" i="2"/>
  <c r="J986" i="2"/>
  <c r="H986" i="2" s="1"/>
  <c r="I622" i="2"/>
  <c r="J437" i="2"/>
  <c r="H437" i="2" s="1"/>
  <c r="K437" i="2"/>
  <c r="I437" i="2"/>
  <c r="J630" i="2"/>
  <c r="H630" i="2" s="1"/>
  <c r="K546" i="2"/>
  <c r="J684" i="2"/>
  <c r="H684" i="2" s="1"/>
  <c r="J551" i="2"/>
  <c r="H551" i="2" s="1"/>
  <c r="J650" i="2"/>
  <c r="H650" i="2" s="1"/>
  <c r="K280" i="2"/>
  <c r="I280" i="2"/>
  <c r="K173" i="2"/>
  <c r="I143" i="2"/>
  <c r="K143" i="2"/>
  <c r="J143" i="2"/>
  <c r="H143" i="2" s="1"/>
  <c r="J137" i="2"/>
  <c r="H137" i="2" s="1"/>
  <c r="K137" i="2"/>
  <c r="I131" i="2"/>
  <c r="I994" i="2"/>
  <c r="J856" i="2"/>
  <c r="H856" i="2" s="1"/>
  <c r="K856" i="2"/>
  <c r="K954" i="2"/>
  <c r="J900" i="2"/>
  <c r="K909" i="2" s="1"/>
  <c r="K656" i="2"/>
  <c r="J656" i="2"/>
  <c r="H656" i="2" s="1"/>
  <c r="J724" i="2"/>
  <c r="H724" i="2" s="1"/>
  <c r="I326" i="2"/>
  <c r="J571" i="2"/>
  <c r="H571" i="2" s="1"/>
  <c r="J460" i="2"/>
  <c r="J392" i="2"/>
  <c r="H392" i="2" s="1"/>
  <c r="I526" i="2"/>
  <c r="J352" i="2"/>
  <c r="H352" i="2" s="1"/>
  <c r="I223" i="2"/>
  <c r="I308" i="2"/>
  <c r="K253" i="2"/>
  <c r="I214" i="2"/>
  <c r="I114" i="2"/>
  <c r="K114" i="2"/>
  <c r="I434" i="2"/>
  <c r="J375" i="2"/>
  <c r="H375" i="2" s="1"/>
  <c r="J319" i="2"/>
  <c r="H319" i="2" s="1"/>
  <c r="I137" i="2"/>
  <c r="K393" i="2"/>
  <c r="J40" i="2"/>
  <c r="H40" i="2" s="1"/>
  <c r="I115" i="2"/>
  <c r="J343" i="2"/>
  <c r="J83" i="2"/>
  <c r="H83" i="2" s="1"/>
  <c r="I83" i="2"/>
  <c r="K83" i="2"/>
  <c r="I16" i="2"/>
  <c r="J16" i="2"/>
  <c r="H16" i="2" s="1"/>
  <c r="I473" i="2"/>
  <c r="I183" i="2"/>
  <c r="K120" i="2"/>
  <c r="K37" i="2"/>
  <c r="I120" i="2"/>
  <c r="I238" i="2"/>
  <c r="J215" i="2"/>
  <c r="H215" i="2" s="1"/>
  <c r="J131" i="2"/>
  <c r="I310" i="2"/>
  <c r="I124" i="2"/>
  <c r="K87" i="2"/>
  <c r="I32" i="2"/>
  <c r="K54" i="2"/>
  <c r="K832" i="2"/>
  <c r="J832" i="2"/>
  <c r="H832" i="2" s="1"/>
  <c r="I772" i="2"/>
  <c r="J713" i="2"/>
  <c r="H713" i="2" s="1"/>
  <c r="K713" i="2"/>
  <c r="K451" i="2"/>
  <c r="I451" i="2"/>
  <c r="I110" i="2"/>
  <c r="J110" i="2"/>
  <c r="H110" i="2" s="1"/>
  <c r="K110" i="2"/>
  <c r="K316" i="2"/>
  <c r="J316" i="2"/>
  <c r="H316" i="2" s="1"/>
  <c r="I316" i="2"/>
  <c r="J463" i="2"/>
  <c r="H463" i="2" s="1"/>
  <c r="K127" i="2"/>
  <c r="J127" i="2"/>
  <c r="H127" i="2" s="1"/>
  <c r="I127" i="2"/>
  <c r="J248" i="2"/>
  <c r="H248" i="2" s="1"/>
  <c r="I72" i="2"/>
  <c r="J72" i="2"/>
  <c r="H72" i="2" s="1"/>
  <c r="I21" i="2"/>
  <c r="J21" i="2"/>
  <c r="H21" i="2" s="1"/>
  <c r="K21" i="2"/>
  <c r="I151" i="2"/>
  <c r="K78" i="2"/>
  <c r="I1018" i="2"/>
  <c r="J858" i="2"/>
  <c r="I858" i="2"/>
  <c r="J778" i="2"/>
  <c r="H778" i="2" s="1"/>
  <c r="K778" i="2"/>
  <c r="K757" i="2"/>
  <c r="K709" i="2"/>
  <c r="I709" i="2"/>
  <c r="I657" i="2"/>
  <c r="K657" i="2"/>
  <c r="I740" i="2"/>
  <c r="I570" i="2"/>
  <c r="J570" i="2"/>
  <c r="H570" i="2" s="1"/>
  <c r="K475" i="2"/>
  <c r="I475" i="2"/>
  <c r="J594" i="2"/>
  <c r="H594" i="2" s="1"/>
  <c r="I559" i="2"/>
  <c r="I510" i="2"/>
  <c r="I150" i="2"/>
  <c r="I187" i="2"/>
  <c r="I119" i="2"/>
  <c r="K119" i="2"/>
  <c r="J119" i="2"/>
  <c r="H119" i="2" s="1"/>
  <c r="K41" i="2"/>
  <c r="K962" i="2"/>
  <c r="K904" i="2"/>
  <c r="I904" i="2"/>
  <c r="K730" i="2"/>
  <c r="J730" i="2"/>
  <c r="H730" i="2" s="1"/>
  <c r="I841" i="2"/>
  <c r="I1002" i="2"/>
  <c r="I749" i="2"/>
  <c r="J740" i="2"/>
  <c r="H740" i="2" s="1"/>
  <c r="J603" i="2"/>
  <c r="H603" i="2" s="1"/>
  <c r="I603" i="2"/>
  <c r="J601" i="2"/>
  <c r="H601" i="2" s="1"/>
  <c r="I525" i="2"/>
  <c r="K525" i="2"/>
  <c r="J377" i="2"/>
  <c r="I377" i="2"/>
  <c r="I630" i="2"/>
  <c r="I593" i="2"/>
  <c r="I491" i="2"/>
  <c r="K491" i="2"/>
  <c r="K594" i="2"/>
  <c r="J513" i="2"/>
  <c r="K602" i="2"/>
  <c r="I535" i="2"/>
  <c r="K406" i="2"/>
  <c r="J994" i="2"/>
  <c r="H994" i="2" s="1"/>
  <c r="K938" i="2"/>
  <c r="J877" i="2"/>
  <c r="H877" i="2" s="1"/>
  <c r="I877" i="2"/>
  <c r="I901" i="2"/>
  <c r="I856" i="2"/>
  <c r="K717" i="2"/>
  <c r="I960" i="2"/>
  <c r="I898" i="2"/>
  <c r="K970" i="2"/>
  <c r="J843" i="2"/>
  <c r="K847" i="2" s="1"/>
  <c r="G847" i="2" s="1"/>
  <c r="K648" i="2"/>
  <c r="J648" i="2"/>
  <c r="H648" i="2" s="1"/>
  <c r="I748" i="2"/>
  <c r="J1002" i="2"/>
  <c r="H1002" i="2" s="1"/>
  <c r="I697" i="2"/>
  <c r="K659" i="2"/>
  <c r="J659" i="2"/>
  <c r="H659" i="2" s="1"/>
  <c r="J749" i="2"/>
  <c r="H749" i="2" s="1"/>
  <c r="J709" i="2"/>
  <c r="H709" i="2" s="1"/>
  <c r="I690" i="2"/>
  <c r="J690" i="2"/>
  <c r="H690" i="2" s="1"/>
  <c r="J657" i="2"/>
  <c r="K687" i="2"/>
  <c r="K538" i="2"/>
  <c r="I773" i="2"/>
  <c r="I662" i="2"/>
  <c r="J567" i="2"/>
  <c r="K826" i="2" s="1"/>
  <c r="G826" i="2" s="1"/>
  <c r="K467" i="2"/>
  <c r="I467" i="2"/>
  <c r="J646" i="2"/>
  <c r="H646" i="2" s="1"/>
  <c r="I733" i="2"/>
  <c r="J676" i="2"/>
  <c r="H676" i="2" s="1"/>
  <c r="K549" i="2"/>
  <c r="I599" i="2"/>
  <c r="J522" i="2"/>
  <c r="H522" i="2" s="1"/>
  <c r="I522" i="2"/>
  <c r="I539" i="2"/>
  <c r="K340" i="2"/>
  <c r="I587" i="2"/>
  <c r="J326" i="2"/>
  <c r="H326" i="2" s="1"/>
  <c r="J280" i="2"/>
  <c r="H280" i="2" s="1"/>
  <c r="K585" i="2"/>
  <c r="I537" i="2"/>
  <c r="K481" i="2"/>
  <c r="J526" i="2"/>
  <c r="H526" i="2" s="1"/>
  <c r="J356" i="2"/>
  <c r="H356" i="2" s="1"/>
  <c r="K352" i="2"/>
  <c r="J317" i="2"/>
  <c r="K223" i="2"/>
  <c r="J607" i="2"/>
  <c r="I476" i="2"/>
  <c r="I219" i="2"/>
  <c r="K219" i="2"/>
  <c r="J214" i="2"/>
  <c r="H214" i="2" s="1"/>
  <c r="I170" i="2"/>
  <c r="K302" i="2"/>
  <c r="J205" i="2"/>
  <c r="H205" i="2" s="1"/>
  <c r="K109" i="2"/>
  <c r="J109" i="2"/>
  <c r="H109" i="2" s="1"/>
  <c r="I109" i="2"/>
  <c r="J434" i="2"/>
  <c r="K319" i="2"/>
  <c r="I416" i="2"/>
  <c r="J232" i="2"/>
  <c r="H232" i="2" s="1"/>
  <c r="I237" i="2"/>
  <c r="J80" i="2"/>
  <c r="H80" i="2" s="1"/>
  <c r="K115" i="2"/>
  <c r="J11" i="2"/>
  <c r="H11" i="2" s="1"/>
  <c r="J30" i="2"/>
  <c r="H30" i="2" s="1"/>
  <c r="K30" i="2"/>
  <c r="K12" i="2"/>
  <c r="I211" i="2"/>
  <c r="K72" i="2"/>
  <c r="I215" i="2"/>
  <c r="J310" i="2"/>
  <c r="H310" i="2" s="1"/>
  <c r="I75" i="2"/>
  <c r="I28" i="2"/>
  <c r="I106" i="2"/>
  <c r="K11" i="2"/>
  <c r="J893" i="2"/>
  <c r="I893" i="2"/>
  <c r="J888" i="2"/>
  <c r="K888" i="2"/>
  <c r="K788" i="2"/>
  <c r="K405" i="2"/>
  <c r="J405" i="2"/>
  <c r="H405" i="2" s="1"/>
  <c r="I405" i="2"/>
  <c r="J200" i="2"/>
  <c r="K246" i="2" s="1"/>
  <c r="G246" i="2" s="1"/>
  <c r="J861" i="2"/>
  <c r="H861" i="2" s="1"/>
  <c r="I861" i="2"/>
  <c r="K865" i="2"/>
  <c r="I865" i="2"/>
  <c r="K541" i="2"/>
  <c r="I541" i="2"/>
  <c r="I504" i="2"/>
  <c r="J504" i="2"/>
  <c r="H504" i="2" s="1"/>
  <c r="J546" i="2"/>
  <c r="K607" i="2" s="1"/>
  <c r="I602" i="2"/>
  <c r="J890" i="2"/>
  <c r="H890" i="2" s="1"/>
  <c r="I890" i="2"/>
  <c r="I951" i="2"/>
  <c r="I954" i="2"/>
  <c r="I970" i="2"/>
  <c r="J739" i="2"/>
  <c r="H739" i="2" s="1"/>
  <c r="K679" i="2"/>
  <c r="J679" i="2"/>
  <c r="H679" i="2" s="1"/>
  <c r="K803" i="2"/>
  <c r="J391" i="2"/>
  <c r="K391" i="2"/>
  <c r="J182" i="2"/>
  <c r="H182" i="2" s="1"/>
  <c r="J41" i="2"/>
  <c r="H41" i="2" s="1"/>
  <c r="K1018" i="2"/>
  <c r="K978" i="2"/>
  <c r="K930" i="2"/>
  <c r="I832" i="2"/>
  <c r="I788" i="2"/>
  <c r="J717" i="2"/>
  <c r="H717" i="2" s="1"/>
  <c r="I432" i="2"/>
  <c r="K432" i="2"/>
  <c r="K559" i="2"/>
  <c r="I918" i="2"/>
  <c r="J845" i="2"/>
  <c r="H845" i="2" s="1"/>
  <c r="I845" i="2"/>
  <c r="K891" i="2"/>
  <c r="I869" i="2"/>
  <c r="J891" i="2"/>
  <c r="H891" i="2" s="1"/>
  <c r="K797" i="2"/>
  <c r="J797" i="2"/>
  <c r="H797" i="2" s="1"/>
  <c r="I816" i="2"/>
  <c r="I713" i="2"/>
  <c r="K935" i="2"/>
  <c r="I909" i="2"/>
  <c r="J874" i="2"/>
  <c r="I874" i="2"/>
  <c r="J842" i="2"/>
  <c r="H842" i="2" s="1"/>
  <c r="I842" i="2"/>
  <c r="K890" i="2"/>
  <c r="J840" i="2"/>
  <c r="H840" i="2" s="1"/>
  <c r="K840" i="2"/>
  <c r="J869" i="2"/>
  <c r="J784" i="2"/>
  <c r="H784" i="2" s="1"/>
  <c r="K770" i="2"/>
  <c r="J770" i="2"/>
  <c r="H770" i="2" s="1"/>
  <c r="J746" i="2"/>
  <c r="H746" i="2" s="1"/>
  <c r="K746" i="2"/>
  <c r="I853" i="2"/>
  <c r="J811" i="2"/>
  <c r="K829" i="2" s="1"/>
  <c r="G829" i="2" s="1"/>
  <c r="K707" i="2"/>
  <c r="I715" i="2"/>
  <c r="J898" i="2"/>
  <c r="H898" i="2" s="1"/>
  <c r="J959" i="2"/>
  <c r="H959" i="2" s="1"/>
  <c r="I771" i="2"/>
  <c r="J640" i="2"/>
  <c r="H640" i="2" s="1"/>
  <c r="K640" i="2"/>
  <c r="I779" i="2"/>
  <c r="J748" i="2"/>
  <c r="H748" i="2" s="1"/>
  <c r="I770" i="2"/>
  <c r="J654" i="2"/>
  <c r="H654" i="2" s="1"/>
  <c r="I654" i="2"/>
  <c r="K654" i="2"/>
  <c r="I661" i="2"/>
  <c r="K643" i="2"/>
  <c r="J624" i="2"/>
  <c r="H624" i="2" s="1"/>
  <c r="J591" i="2"/>
  <c r="H591" i="2" s="1"/>
  <c r="I591" i="2"/>
  <c r="K591" i="2"/>
  <c r="I629" i="2"/>
  <c r="J586" i="2"/>
  <c r="H586" i="2" s="1"/>
  <c r="I586" i="2"/>
  <c r="K557" i="2"/>
  <c r="I557" i="2"/>
  <c r="I507" i="2"/>
  <c r="K507" i="2"/>
  <c r="K658" i="2"/>
  <c r="J773" i="2"/>
  <c r="H773" i="2" s="1"/>
  <c r="K662" i="2"/>
  <c r="I581" i="2"/>
  <c r="K423" i="2"/>
  <c r="J423" i="2"/>
  <c r="H423" i="2" s="1"/>
  <c r="I646" i="2"/>
  <c r="J598" i="2"/>
  <c r="H598" i="2" s="1"/>
  <c r="K504" i="2"/>
  <c r="K483" i="2"/>
  <c r="I483" i="2"/>
  <c r="I391" i="2"/>
  <c r="J733" i="2"/>
  <c r="J599" i="2"/>
  <c r="H599" i="2" s="1"/>
  <c r="I577" i="2"/>
  <c r="I459" i="2"/>
  <c r="K459" i="2"/>
  <c r="J539" i="2"/>
  <c r="H539" i="2" s="1"/>
  <c r="K424" i="2"/>
  <c r="J587" i="2"/>
  <c r="K596" i="2" s="1"/>
  <c r="G596" i="2" s="1"/>
  <c r="J324" i="2"/>
  <c r="H324" i="2" s="1"/>
  <c r="K324" i="2"/>
  <c r="J264" i="2"/>
  <c r="H264" i="2" s="1"/>
  <c r="K463" i="2"/>
  <c r="I401" i="2"/>
  <c r="J383" i="2"/>
  <c r="H383" i="2" s="1"/>
  <c r="I311" i="2"/>
  <c r="K433" i="2"/>
  <c r="I415" i="2"/>
  <c r="K372" i="2"/>
  <c r="J372" i="2"/>
  <c r="H372" i="2" s="1"/>
  <c r="K356" i="2"/>
  <c r="I202" i="2"/>
  <c r="J476" i="2"/>
  <c r="H476" i="2" s="1"/>
  <c r="I260" i="2"/>
  <c r="J219" i="2"/>
  <c r="H219" i="2" s="1"/>
  <c r="J170" i="2"/>
  <c r="K200" i="2" s="1"/>
  <c r="I429" i="2"/>
  <c r="K378" i="2"/>
  <c r="I205" i="2"/>
  <c r="J168" i="2"/>
  <c r="K168" i="2"/>
  <c r="J99" i="2"/>
  <c r="H99" i="2" s="1"/>
  <c r="I99" i="2"/>
  <c r="K99" i="2"/>
  <c r="J378" i="2"/>
  <c r="H378" i="2" s="1"/>
  <c r="I158" i="2"/>
  <c r="J158" i="2"/>
  <c r="H158" i="2" s="1"/>
  <c r="K416" i="2"/>
  <c r="K166" i="2"/>
  <c r="I527" i="2"/>
  <c r="I80" i="2"/>
  <c r="I60" i="2"/>
  <c r="I10" i="2"/>
  <c r="J10" i="2"/>
  <c r="H10" i="2" s="1"/>
  <c r="K10" i="2"/>
  <c r="J407" i="2"/>
  <c r="H407" i="2" s="1"/>
  <c r="I523" i="2"/>
  <c r="K156" i="2"/>
  <c r="I112" i="2"/>
  <c r="I86" i="2"/>
  <c r="K16" i="2"/>
  <c r="K164" i="2"/>
  <c r="I242" i="2"/>
  <c r="J92" i="2"/>
  <c r="H92" i="2" s="1"/>
  <c r="J578" i="2"/>
  <c r="H578" i="2" s="1"/>
  <c r="J106" i="2"/>
  <c r="K190" i="2" s="1"/>
  <c r="G190" i="2" s="1"/>
  <c r="I700" i="2"/>
  <c r="K625" i="2"/>
  <c r="I625" i="2"/>
  <c r="K196" i="2"/>
  <c r="I196" i="2"/>
  <c r="I880" i="2"/>
  <c r="K738" i="2"/>
  <c r="J738" i="2"/>
  <c r="H738" i="2" s="1"/>
  <c r="I762" i="2"/>
  <c r="K400" i="2"/>
  <c r="I400" i="2"/>
  <c r="I499" i="2"/>
  <c r="K499" i="2"/>
  <c r="K922" i="2"/>
  <c r="I922" i="2"/>
  <c r="K858" i="2"/>
  <c r="J872" i="2"/>
  <c r="H872" i="2" s="1"/>
  <c r="K872" i="2"/>
  <c r="I848" i="2"/>
  <c r="J930" i="2"/>
  <c r="H930" i="2" s="1"/>
  <c r="I872" i="2"/>
  <c r="K818" i="2"/>
  <c r="J496" i="2"/>
  <c r="H496" i="2" s="1"/>
  <c r="I496" i="2"/>
  <c r="J161" i="2"/>
  <c r="H161" i="2" s="1"/>
  <c r="K161" i="2"/>
  <c r="K881" i="2"/>
  <c r="I881" i="2"/>
  <c r="K951" i="2"/>
  <c r="I811" i="2"/>
  <c r="K880" i="2"/>
  <c r="I802" i="2"/>
  <c r="J715" i="2"/>
  <c r="H715" i="2" s="1"/>
  <c r="K632" i="2"/>
  <c r="J632" i="2"/>
  <c r="H632" i="2" s="1"/>
  <c r="J707" i="2"/>
  <c r="H707" i="2" s="1"/>
  <c r="J642" i="2"/>
  <c r="H642" i="2" s="1"/>
  <c r="I642" i="2"/>
  <c r="K697" i="2"/>
  <c r="I679" i="2"/>
  <c r="I627" i="2"/>
  <c r="J622" i="2"/>
  <c r="H622" i="2" s="1"/>
  <c r="I656" i="2"/>
  <c r="J606" i="2"/>
  <c r="H606" i="2" s="1"/>
  <c r="I606" i="2"/>
  <c r="J554" i="2"/>
  <c r="H554" i="2" s="1"/>
  <c r="I554" i="2"/>
  <c r="J409" i="2"/>
  <c r="H409" i="2" s="1"/>
  <c r="I409" i="2"/>
  <c r="K598" i="2"/>
  <c r="J451" i="2"/>
  <c r="J420" i="2"/>
  <c r="H420" i="2" s="1"/>
  <c r="K293" i="2"/>
  <c r="J293" i="2"/>
  <c r="H293" i="2" s="1"/>
  <c r="J202" i="2"/>
  <c r="H202" i="2" s="1"/>
  <c r="J153" i="2"/>
  <c r="H153" i="2" s="1"/>
  <c r="K153" i="2"/>
  <c r="J114" i="2"/>
  <c r="H114" i="2" s="1"/>
  <c r="J60" i="2"/>
  <c r="H60" i="2" s="1"/>
  <c r="K93" i="2"/>
  <c r="J93" i="2"/>
  <c r="K998" i="2" s="1"/>
  <c r="G998" i="2" s="1"/>
  <c r="J25" i="2"/>
  <c r="H25" i="2" s="1"/>
  <c r="I25" i="2"/>
  <c r="K25" i="2"/>
  <c r="J129" i="2"/>
  <c r="H129" i="2" s="1"/>
  <c r="J523" i="2"/>
  <c r="H523" i="2" s="1"/>
  <c r="K197" i="2"/>
  <c r="I156" i="2"/>
  <c r="J112" i="2"/>
  <c r="H112" i="2" s="1"/>
  <c r="J86" i="2"/>
  <c r="J96" i="2"/>
  <c r="I276" i="2"/>
  <c r="I164" i="2"/>
  <c r="I30" i="2"/>
  <c r="J242" i="2"/>
  <c r="H242" i="2" s="1"/>
  <c r="I111" i="2"/>
  <c r="K220" i="2"/>
  <c r="J49" i="2"/>
  <c r="H49" i="2" s="1"/>
  <c r="K7" i="2"/>
  <c r="J142" i="2"/>
  <c r="H142" i="2" s="1"/>
  <c r="I59" i="2"/>
  <c r="J59" i="2"/>
  <c r="H59" i="2" s="1"/>
  <c r="J48" i="2"/>
  <c r="H48" i="2" s="1"/>
  <c r="I48" i="2"/>
  <c r="K96" i="2"/>
  <c r="J5" i="2"/>
  <c r="H5" i="2" s="1"/>
  <c r="J111" i="2"/>
  <c r="H111" i="2" s="1"/>
  <c r="K59" i="2"/>
  <c r="G541" i="2" l="1"/>
  <c r="G662" i="2"/>
  <c r="H888" i="2"/>
  <c r="G888" i="2"/>
  <c r="K893" i="2"/>
  <c r="G893" i="2" s="1"/>
  <c r="K884" i="2"/>
  <c r="G884" i="2" s="1"/>
  <c r="G848" i="2"/>
  <c r="H843" i="2"/>
  <c r="G843" i="2"/>
  <c r="H858" i="2"/>
  <c r="G858" i="2"/>
  <c r="H874" i="2"/>
  <c r="G874" i="2"/>
  <c r="K900" i="2"/>
  <c r="G900" i="2" s="1"/>
  <c r="K942" i="2"/>
  <c r="G942" i="2" s="1"/>
  <c r="K833" i="2"/>
  <c r="G833" i="2" s="1"/>
  <c r="H811" i="2"/>
  <c r="G811" i="2"/>
  <c r="H802" i="2"/>
  <c r="G802" i="2"/>
  <c r="H789" i="2"/>
  <c r="G789" i="2"/>
  <c r="K806" i="2"/>
  <c r="G806" i="2" s="1"/>
  <c r="H755" i="2"/>
  <c r="G755" i="2"/>
  <c r="H733" i="2"/>
  <c r="G733" i="2"/>
  <c r="K751" i="2"/>
  <c r="G751" i="2" s="1"/>
  <c r="K736" i="2"/>
  <c r="G736" i="2" s="1"/>
  <c r="H683" i="2"/>
  <c r="G683" i="2"/>
  <c r="H675" i="2"/>
  <c r="G675" i="2"/>
  <c r="K88" i="2"/>
  <c r="G88" i="2" s="1"/>
  <c r="K563" i="2"/>
  <c r="G563" i="2" s="1"/>
  <c r="G521" i="2"/>
  <c r="K64" i="2"/>
  <c r="G64" i="2" s="1"/>
  <c r="H434" i="2"/>
  <c r="G434" i="2"/>
  <c r="H489" i="2"/>
  <c r="G489" i="2"/>
  <c r="H460" i="2"/>
  <c r="G460" i="2"/>
  <c r="G309" i="2"/>
  <c r="G234" i="2"/>
  <c r="H295" i="2"/>
  <c r="G295" i="2"/>
  <c r="K297" i="2"/>
  <c r="G297" i="2" s="1"/>
  <c r="K979" i="2"/>
  <c r="G979" i="2" s="1"/>
  <c r="K996" i="2"/>
  <c r="G996" i="2" s="1"/>
  <c r="H967" i="2"/>
  <c r="G967" i="2"/>
  <c r="G962" i="2"/>
  <c r="G1018" i="2"/>
  <c r="H513" i="2"/>
  <c r="G513" i="2"/>
  <c r="G507" i="2"/>
  <c r="H495" i="2"/>
  <c r="G495" i="2"/>
  <c r="K553" i="2"/>
  <c r="G553" i="2" s="1"/>
  <c r="K486" i="2"/>
  <c r="G486" i="2" s="1"/>
  <c r="H391" i="2"/>
  <c r="G391" i="2"/>
  <c r="G393" i="2"/>
  <c r="H377" i="2"/>
  <c r="G377" i="2"/>
  <c r="K453" i="2"/>
  <c r="G453" i="2" s="1"/>
  <c r="K351" i="2"/>
  <c r="G351" i="2" s="1"/>
  <c r="K123" i="2"/>
  <c r="G123" i="2" s="1"/>
  <c r="H96" i="2"/>
  <c r="G244" i="2"/>
  <c r="H317" i="2"/>
  <c r="G317" i="2"/>
  <c r="K374" i="2"/>
  <c r="G374" i="2" s="1"/>
  <c r="K306" i="2"/>
  <c r="G306" i="2" s="1"/>
  <c r="H302" i="2"/>
  <c r="G302" i="2"/>
  <c r="H266" i="2"/>
  <c r="G266" i="2"/>
  <c r="K238" i="2"/>
  <c r="G238" i="2" s="1"/>
  <c r="H168" i="2"/>
  <c r="G168" i="2"/>
  <c r="H147" i="2"/>
  <c r="G147" i="2"/>
  <c r="H91" i="2"/>
  <c r="G91" i="2"/>
  <c r="G909" i="2"/>
  <c r="G772" i="2"/>
  <c r="G561" i="2"/>
  <c r="H22" i="2"/>
  <c r="G22" i="2"/>
  <c r="H900" i="2"/>
  <c r="H902" i="2"/>
  <c r="G902" i="2"/>
  <c r="H893" i="2"/>
  <c r="H869" i="2"/>
  <c r="G869" i="2"/>
  <c r="H818" i="2"/>
  <c r="G818" i="2"/>
  <c r="G779" i="2"/>
  <c r="H700" i="2"/>
  <c r="G700" i="2"/>
  <c r="H657" i="2"/>
  <c r="G657" i="2"/>
  <c r="H627" i="2"/>
  <c r="G627" i="2"/>
  <c r="H607" i="2"/>
  <c r="G607" i="2"/>
  <c r="H587" i="2"/>
  <c r="G587" i="2"/>
  <c r="H567" i="2"/>
  <c r="G567" i="2"/>
  <c r="H546" i="2"/>
  <c r="G546" i="2"/>
  <c r="H537" i="2"/>
  <c r="G537" i="2"/>
  <c r="H530" i="2"/>
  <c r="G530" i="2"/>
  <c r="G525" i="2"/>
  <c r="H451" i="2"/>
  <c r="G451" i="2"/>
  <c r="H503" i="2"/>
  <c r="G503" i="2"/>
  <c r="H442" i="2"/>
  <c r="G442" i="2"/>
  <c r="H424" i="2"/>
  <c r="G424" i="2"/>
  <c r="G279" i="2"/>
  <c r="H343" i="2"/>
  <c r="G343" i="2"/>
  <c r="H341" i="2"/>
  <c r="G341" i="2"/>
  <c r="H328" i="2"/>
  <c r="G328" i="2"/>
  <c r="H285" i="2"/>
  <c r="G285" i="2"/>
  <c r="H200" i="2"/>
  <c r="G200" i="2"/>
  <c r="H131" i="2"/>
  <c r="G131" i="2"/>
  <c r="G187" i="2"/>
  <c r="K170" i="2"/>
  <c r="G170" i="2" s="1"/>
  <c r="H170" i="2"/>
  <c r="H151" i="2"/>
  <c r="G151" i="2"/>
  <c r="H123" i="2"/>
  <c r="H106" i="2"/>
  <c r="G106" i="2"/>
  <c r="H93" i="2"/>
  <c r="G93" i="2"/>
  <c r="G96" i="2"/>
  <c r="H100" i="2"/>
  <c r="G100" i="2"/>
  <c r="K86" i="2"/>
  <c r="G86" i="2" s="1"/>
  <c r="K82" i="2"/>
  <c r="G82" i="2" s="1"/>
  <c r="H86" i="2"/>
  <c r="H79" i="2"/>
  <c r="G79" i="2"/>
  <c r="H75" i="2"/>
  <c r="G75" i="2"/>
  <c r="H45" i="2"/>
  <c r="G45" i="2"/>
  <c r="H36" i="2"/>
  <c r="G36" i="2"/>
  <c r="H17" i="2"/>
  <c r="G17" i="2"/>
</calcChain>
</file>

<file path=xl/sharedStrings.xml><?xml version="1.0" encoding="utf-8"?>
<sst xmlns="http://schemas.openxmlformats.org/spreadsheetml/2006/main" count="2258" uniqueCount="607">
  <si>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</si>
  <si>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</si>
  <si>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</si>
  <si>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</si>
  <si>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</si>
  <si>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</si>
  <si>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</si>
  <si>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</si>
  <si>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</si>
  <si>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</si>
  <si>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</si>
  <si>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</si>
  <si>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</si>
  <si>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Überschneidung</t>
  </si>
  <si>
    <t>Dave Troy : Soziale Kartografie – Überschneidung und Trennung in Städten</t>
  </si>
  <si>
    <t>file://conllu/de/ted-mdb.2150.conllu#s1_0</t>
  </si>
  <si>
    <t>2</t>
  </si>
  <si>
    <t>31</t>
  </si>
  <si>
    <t>denken (denken denken)</t>
  </si>
  <si>
    <t>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</si>
  <si>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file://conllu/de/ted-mdb.2150.conllu#s2_0</t>
  </si>
  <si>
    <t>3</t>
  </si>
  <si>
    <t>243</t>
  </si>
  <si>
    <t>sehen (sehen sehen)</t>
  </si>
  <si>
    <t>Sie können sehen , dass jeder Punkt eine Person darstellt , jede Linie eine Beziehung zwischen diesen Menschen und jede Farbe eine Gruppierung innerhalb dieses Netzwerkes . Ich bin hier auf der grünen Seite , unten , weit am an dem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 timore , da diese Leute , wie es scheint , in einer sehr kleinen Stadt wohnen . Wir sehen immer wieder die gleichen Leute , weil wir nicht die ganze Breite und Tiefe der Stadt erforschen . Auf der anderen Seite des Netzwerkes haben sie Menschen , die an Dingen wie Hip 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 , Politik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 Mitarbeiter bezeichnen , nahe bei den Geeks , zwischen Gamern und Geeks , am an dem entgegengesetzten Ende des Hip Hop Spektrums . Sie sehen also , dass die Spannungen , die wir aus San Francisco vernehmen , dass sich die Leute um Gentrifizierung sorgen , wegen diesen neuen Tech Firmen , die neuen Wohlstand bringen und sich in der Stadt ansiedeln , real sind . Sie sehen das hier dokumentiert . Sie sehen die LGBT Community , die nicht zu den Geeks passt , die Künstler ,</t>
  </si>
  <si>
    <t>file://conllu/de/ted-mdb.2150.conllu#s3_0</t>
  </si>
  <si>
    <t>4</t>
  </si>
  <si>
    <t>40</t>
  </si>
  <si>
    <t>Was?</t>
  </si>
  <si>
    <t>glauben (glauben zeigen)</t>
  </si>
  <si>
    <t>die Musiker . Und dies führt zu Dingen wie diesen : [ &amp;quot; Twitter raus &amp;quot;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 Fans sind vertreten . Andere Boy Groups , Countrysänger , Gospelmusiker , Funk , Rap und Stand- Up Komödianten . Und sogar eine ganze Gruppe rund um Drogen und Witze . Wie cool ist das denn ? Auch die Fußballmannschaft &amp;quot; Flamengo &amp;quot;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</si>
  <si>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file://conllu/de/ted-mdb.2150.conllu#s4_0</t>
  </si>
  <si>
    <t>5</t>
  </si>
  <si>
    <t>119</t>
  </si>
  <si>
    <t>Dank</t>
  </si>
  <si>
    <t>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</si>
  <si>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file://conllu/de/ted-mdb.2150.conllu#s5_0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</si>
  <si>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</si>
  <si>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</si>
  <si>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</si>
  <si>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</si>
  <si>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</si>
  <si>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</si>
  <si>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</si>
  <si>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</si>
  <si>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</si>
  <si>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</si>
  <si>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</si>
  <si>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</si>
  <si>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</si>
  <si>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</si>
  <si>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</si>
  <si>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</si>
  <si>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</si>
  <si>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</si>
  <si>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</si>
  <si>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</si>
  <si>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</si>
  <si>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</si>
  <si>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</si>
  <si>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</si>
  <si>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</si>
  <si>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</si>
  <si>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</si>
  <si>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</si>
  <si>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</si>
  <si>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</si>
  <si>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</si>
  <si>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</si>
  <si>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</si>
  <si>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</si>
  <si>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</si>
  <si>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</si>
  <si>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</si>
  <si>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</si>
  <si>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</si>
  <si>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</si>
  <si>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</si>
  <si>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</si>
  <si>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</si>
  <si>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</si>
  <si>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</si>
  <si>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</si>
  <si>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</si>
  <si>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</si>
  <si>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</si>
  <si>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</si>
  <si>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</si>
  <si>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</si>
  <si>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</si>
  <si>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</si>
  <si>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</si>
  <si>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</si>
  <si>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</si>
  <si>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</si>
  <si>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</si>
  <si>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</si>
  <si>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</si>
  <si>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</si>
  <si>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</si>
  <si>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</si>
  <si>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</si>
  <si>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</si>
  <si>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</si>
  <si>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Es</t>
  </si>
  <si>
    <t>gibt</t>
  </si>
  <si>
    <t>aber</t>
  </si>
  <si>
    <t>andere</t>
  </si>
  <si>
    <t>other_6</t>
  </si>
  <si>
    <t>Arten</t>
  </si>
  <si>
    <t>SBJ_5</t>
  </si>
  <si>
    <t>nachzudenken</t>
  </si>
  <si>
    <t>wie</t>
  </si>
  <si>
    <t>diese</t>
  </si>
  <si>
    <t>entstanden</t>
  </si>
  <si>
    <t>sind</t>
  </si>
  <si>
    <t>Heute</t>
  </si>
  <si>
    <t>möchte</t>
  </si>
  <si>
    <t>ich</t>
  </si>
  <si>
    <t>Ihnen</t>
  </si>
  <si>
    <t>OBJ_2</t>
  </si>
  <si>
    <t>eine</t>
  </si>
  <si>
    <t>neue</t>
  </si>
  <si>
    <t>Art</t>
  </si>
  <si>
    <t>Karte</t>
  </si>
  <si>
    <t>zeigen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</si>
  <si>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</si>
  <si>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</si>
  <si>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</si>
  <si>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</si>
  <si>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</si>
  <si>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</si>
  <si>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</si>
  <si>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</si>
  <si>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</si>
  <si>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</si>
  <si>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</si>
  <si>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</si>
  <si>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</si>
  <si>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</si>
  <si>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</si>
  <si>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 Ich bin hier auf der grünen Seite , unten , weit am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Klein-timore , da diese Leute , wie es scheint , in einer sehr kleinen Stadt wohnen . Wir sehen immer wieder die gleichen Leute , weil wir nicht die ganze Breite und Tiefe der Stadt erforschen . Auf der anderen Seite des Netzwerkes haben sie Menschen , die an Dingen wie Hip-Hop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 Sie sehen also , dass die Spannungen , die wir aus San Francisco vernehmen , dass sich die Leute um Gentrifizierung sorgen , wegen diesen neuen Tech-Firmen , die neuen Wohlstand bringen und sich in der Stadt ansiedeln , real sind . Sie sehen das hier dokumentiert . Sie sehen die LGBT-Community , die nicht zu den Geeks passt , die Künstler ,</t>
  </si>
  <si>
    <t>können</t>
  </si>
  <si>
    <t>sehen</t>
  </si>
  <si>
    <t>dass</t>
  </si>
  <si>
    <t>jeder</t>
  </si>
  <si>
    <t>Punkt</t>
  </si>
  <si>
    <t>Person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</si>
  <si>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</si>
  <si>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</si>
  <si>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</si>
  <si>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</si>
  <si>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</si>
  <si>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</si>
  <si>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</si>
  <si>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</si>
  <si>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</si>
  <si>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</si>
  <si>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</si>
  <si>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</si>
  <si>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</si>
  <si>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</si>
  <si>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</si>
  <si>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</si>
  <si>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</si>
  <si>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</si>
  <si>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</si>
  <si>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</si>
  <si>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</si>
  <si>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</si>
  <si>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</si>
  <si>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</si>
  <si>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</si>
  <si>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SBJ_6</t>
  </si>
  <si>
    <t>Auch</t>
  </si>
  <si>
    <t>TEDx</t>
  </si>
  <si>
    <t>rechts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</si>
  <si>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</si>
  <si>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</si>
  <si>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</si>
  <si>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</si>
  <si>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</si>
  <si>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</si>
  <si>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</si>
  <si>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</si>
  <si>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</si>
  <si>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</si>
  <si>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</si>
  <si>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</si>
  <si>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</si>
  <si>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</si>
  <si>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</si>
  <si>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Um</t>
  </si>
  <si>
    <t>OBJ_5</t>
  </si>
  <si>
    <t>ein</t>
  </si>
  <si>
    <t>Gefühl</t>
  </si>
  <si>
    <t>geben</t>
  </si>
  <si>
    <t>Teil</t>
  </si>
  <si>
    <t>OBJ_4</t>
  </si>
  <si>
    <t>nennen</t>
  </si>
  <si>
    <t>Klein-</t>
  </si>
  <si>
    <t>timore</t>
  </si>
  <si>
    <t>da</t>
  </si>
  <si>
    <t>Leute</t>
  </si>
  <si>
    <t>SBJ_7</t>
  </si>
  <si>
    <t>scheint</t>
  </si>
  <si>
    <t>einer</t>
  </si>
  <si>
    <t>sehr</t>
  </si>
  <si>
    <t>kleinen</t>
  </si>
  <si>
    <t>Stadt</t>
  </si>
  <si>
    <t>other_8</t>
  </si>
  <si>
    <t>wohnen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</si>
  <si>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</si>
  <si>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</si>
  <si>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</si>
  <si>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</si>
  <si>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</si>
  <si>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</si>
  <si>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</si>
  <si>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</si>
  <si>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OBJ_6</t>
  </si>
  <si>
    <t>Tiefe</t>
  </si>
  <si>
    <t>other_7</t>
  </si>
  <si>
    <t>erforschen</t>
  </si>
  <si>
    <t>haben</t>
  </si>
  <si>
    <t>sie</t>
  </si>
  <si>
    <t>Dingen</t>
  </si>
  <si>
    <t>Hip</t>
  </si>
  <si>
    <t>Hop</t>
  </si>
  <si>
    <t>interessiert</t>
  </si>
  <si>
    <t>sich</t>
  </si>
  <si>
    <t>mit</t>
  </si>
  <si>
    <t>Wohngebiet</t>
  </si>
  <si>
    <t>DC</t>
  </si>
  <si>
    <t>/</t>
  </si>
  <si>
    <t>Virigina</t>
  </si>
  <si>
    <t>identifizieren</t>
  </si>
  <si>
    <t>korrekten</t>
  </si>
  <si>
    <t>Stadtbezeichnung</t>
  </si>
  <si>
    <t>für</t>
  </si>
  <si>
    <t>In</t>
  </si>
  <si>
    <t>Mitte</t>
  </si>
  <si>
    <t>etwas</t>
  </si>
  <si>
    <t>das</t>
  </si>
  <si>
    <t>beiden</t>
  </si>
  <si>
    <t>Gruppierungen</t>
  </si>
  <si>
    <t>OBJ_7</t>
  </si>
  <si>
    <t>def-np.quant</t>
  </si>
  <si>
    <t>verbindet</t>
  </si>
  <si>
    <t>SBJ_8</t>
  </si>
  <si>
    <t>Sport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</si>
  <si>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</si>
  <si>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</si>
  <si>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</si>
  <si>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</si>
  <si>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</si>
  <si>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</si>
  <si>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</si>
  <si>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</si>
  <si>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</si>
  <si>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</si>
  <si>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</si>
  <si>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OBJ_3</t>
  </si>
  <si>
    <t>vielleicht</t>
  </si>
  <si>
    <t>kennen</t>
  </si>
  <si>
    <t>Diese</t>
  </si>
  <si>
    <t>Sportverbundenheit</t>
  </si>
  <si>
    <t>fungiert</t>
  </si>
  <si>
    <t>einzige</t>
  </si>
  <si>
    <t>Brücke</t>
  </si>
  <si>
    <t>Enden</t>
  </si>
  <si>
    <t>Schauen</t>
  </si>
  <si>
    <t>uns</t>
  </si>
  <si>
    <t>San</t>
  </si>
  <si>
    <t>Francisco</t>
  </si>
  <si>
    <t>dort</t>
  </si>
  <si>
    <t>anderes</t>
  </si>
  <si>
    <t>passiert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</si>
  <si>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</si>
  <si>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</si>
  <si>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</si>
  <si>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</si>
  <si>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</si>
  <si>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</si>
  <si>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</si>
  <si>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</si>
  <si>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</si>
  <si>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</si>
  <si>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</si>
  <si>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</si>
  <si>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</si>
  <si>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</si>
  <si>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</si>
  <si>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</si>
  <si>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</si>
  <si>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</si>
  <si>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</si>
  <si>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</si>
  <si>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</si>
  <si>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</si>
  <si>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</si>
  <si>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</si>
  <si>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</si>
  <si>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other_9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</si>
  <si>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</si>
  <si>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</si>
  <si>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</si>
  <si>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</si>
  <si>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</si>
  <si>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</si>
  <si>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</si>
  <si>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</si>
  <si>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</si>
  <si>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</si>
  <si>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</si>
  <si>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</si>
  <si>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ansiedeln</t>
  </si>
  <si>
    <t>real</t>
  </si>
  <si>
    <t>dokumentiert</t>
  </si>
  <si>
    <t>LGBT</t>
  </si>
  <si>
    <t>Community</t>
  </si>
  <si>
    <t>passt</t>
  </si>
  <si>
    <t>Künstler</t>
  </si>
  <si>
    <t>--</t>
  </si>
  <si>
    <t># text = die Musiker . Und dies führt zu Dingen wie diesen : [ " Twitter raus "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Bieber-Fans sind vertreten . Andere Boy-Groups , Countrysänger , Gospelmusiker , Funk , Rap und Stand-Up-Komödianten . Und sogar eine ganze Gruppe rund um Drogen und Witze . Wie cool ist das denn ? Auch die Fußballmannschaft " Flamengo "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</si>
  <si>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Musiker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</si>
  <si>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</si>
  <si>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</si>
  <si>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</si>
  <si>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</si>
  <si>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</si>
  <si>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</si>
  <si>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</si>
  <si>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</si>
  <si>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</si>
  <si>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</si>
  <si>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</si>
  <si>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zeigt</t>
  </si>
  <si>
    <t>was</t>
  </si>
  <si>
    <t>Boden</t>
  </si>
  <si>
    <t>glaube</t>
  </si>
  <si>
    <t>versuchen</t>
  </si>
  <si>
    <t>verstehen</t>
  </si>
  <si>
    <t>indem</t>
  </si>
  <si>
    <t>solche</t>
  </si>
  <si>
    <t>Karten</t>
  </si>
  <si>
    <t>anschauen</t>
  </si>
  <si>
    <t>Betrachten</t>
  </si>
  <si>
    <t>Rio</t>
  </si>
  <si>
    <t>de</t>
  </si>
  <si>
    <t>Janeiro</t>
  </si>
  <si>
    <t>sammelte</t>
  </si>
  <si>
    <t>letzten</t>
  </si>
  <si>
    <t>Daten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</si>
  <si>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</si>
  <si>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</si>
  <si>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</si>
  <si>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</si>
  <si>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</si>
  <si>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</si>
  <si>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</si>
  <si>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</si>
  <si>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SBJ_9</t>
  </si>
  <si>
    <t>heterogene</t>
  </si>
  <si>
    <t>other_10</t>
  </si>
  <si>
    <t>noch</t>
  </si>
  <si>
    <t>Gruppen</t>
  </si>
  <si>
    <t>Verwaltung</t>
  </si>
  <si>
    <t>Zeitungen</t>
  </si>
  <si>
    <t>Politk</t>
  </si>
  <si>
    <t>Kolummnisten</t>
  </si>
  <si>
    <t>TEDxRio</t>
  </si>
  <si>
    <t>is</t>
  </si>
  <si>
    <t>neben</t>
  </si>
  <si>
    <t>Bloggern</t>
  </si>
  <si>
    <t>Autoren</t>
  </si>
  <si>
    <t>enorme</t>
  </si>
  <si>
    <t>Vielfalt</t>
  </si>
  <si>
    <t>OBJ_8</t>
  </si>
  <si>
    <t>verschiedenen</t>
  </si>
  <si>
    <t>Musikarten</t>
  </si>
  <si>
    <t>Sogar</t>
  </si>
  <si>
    <t>Justin</t>
  </si>
  <si>
    <t>Bieber</t>
  </si>
  <si>
    <t>Fans</t>
  </si>
  <si>
    <t>vertreten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</si>
  <si>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</si>
  <si>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</si>
  <si>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</si>
  <si>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</si>
  <si>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</si>
  <si>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</si>
  <si>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</si>
  <si>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</si>
  <si>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</si>
  <si>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</si>
  <si>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sogar</t>
  </si>
  <si>
    <t>rund</t>
  </si>
  <si>
    <t>Drogen</t>
  </si>
  <si>
    <t>Witze</t>
  </si>
  <si>
    <t>Wie</t>
  </si>
  <si>
    <t>cool</t>
  </si>
  <si>
    <t>denn</t>
  </si>
  <si>
    <t>?</t>
  </si>
  <si>
    <t>Fußballmannschaft</t>
  </si>
  <si>
    <t>Flamengo</t>
  </si>
  <si>
    <t>Bandbreite</t>
  </si>
  <si>
    <t>Kunst</t>
  </si>
  <si>
    <t>Musik</t>
  </si>
  <si>
    <t>dargestellt</t>
  </si>
  <si>
    <t>denke</t>
  </si>
  <si>
    <t>könnte</t>
  </si>
  <si>
    <t>OBJ_9</t>
  </si>
  <si>
    <t>passen</t>
  </si>
  <si>
    <t>multikulturelle</t>
  </si>
  <si>
    <t>musikalisch</t>
  </si>
  <si>
    <t>vielfältige</t>
  </si>
  <si>
    <t>all</t>
  </si>
  <si>
    <t>unglaublich</t>
  </si>
  <si>
    <t>reichhaltiger</t>
  </si>
  <si>
    <t>Bestand</t>
  </si>
  <si>
    <t>Städte</t>
  </si>
  <si>
    <t>Vielleicht</t>
  </si>
  <si>
    <t>alles</t>
  </si>
  <si>
    <t>je</t>
  </si>
  <si>
    <t>zuvor</t>
  </si>
  <si>
    <t>hatten</t>
  </si>
  <si>
    <t>Was</t>
  </si>
  <si>
    <t>damit</t>
  </si>
  <si>
    <t>anfangen</t>
  </si>
  <si>
    <t>Erstes</t>
  </si>
  <si>
    <t>sollten</t>
  </si>
  <si>
    <t>Ist</t>
  </si>
  <si>
    <t>soziales</t>
  </si>
  <si>
    <t>Konzept</t>
  </si>
  <si>
    <t>wählen</t>
  </si>
  <si>
    <t>obwohl</t>
  </si>
  <si>
    <t>SBJ_10</t>
  </si>
  <si>
    <t>tun</t>
  </si>
  <si>
    <t>könnten</t>
  </si>
  <si>
    <t>SBJ_11</t>
  </si>
  <si>
    <t>darüber</t>
  </si>
  <si>
    <t>other_11</t>
  </si>
  <si>
    <t>Blick</t>
  </si>
  <si>
    <t>OBJ_10</t>
  </si>
  <si>
    <t>darauf</t>
  </si>
  <si>
    <t>betrachten</t>
  </si>
  <si>
    <t>OBJ_11</t>
  </si>
  <si>
    <t>riesigen</t>
  </si>
  <si>
    <t>Schulspeiseraum</t>
  </si>
  <si>
    <t>other_13</t>
  </si>
  <si>
    <t>beobachten</t>
  </si>
  <si>
    <t>SBJ_14</t>
  </si>
  <si>
    <t>other_15</t>
  </si>
  <si>
    <t>other_14</t>
  </si>
  <si>
    <t>seinen</t>
  </si>
  <si>
    <t>Stuhl</t>
  </si>
  <si>
    <t>OBJ_14</t>
  </si>
  <si>
    <t>indef-np</t>
  </si>
  <si>
    <t>sucht</t>
  </si>
  <si>
    <t>Zeit</t>
  </si>
  <si>
    <t>Bestuhlung</t>
  </si>
  <si>
    <t>rütteln</t>
  </si>
  <si>
    <t>Uns</t>
  </si>
  <si>
    <t>wird</t>
  </si>
  <si>
    <t>bewusst</t>
  </si>
  <si>
    <t>Rasse</t>
  </si>
  <si>
    <t>miserabler</t>
  </si>
  <si>
    <t>Vertreter</t>
  </si>
  <si>
    <t>Vielfältigkeit</t>
  </si>
  <si>
    <t>Verteter</t>
  </si>
  <si>
    <t>allen</t>
  </si>
  <si>
    <t>Rassen</t>
  </si>
  <si>
    <t>verteilt</t>
  </si>
  <si>
    <t>Nur</t>
  </si>
  <si>
    <t>erklärt</t>
  </si>
  <si>
    <t>nutzen</t>
  </si>
  <si>
    <t># text = 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</si>
  <si>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heikle</t>
  </si>
  <si>
    <t>Probleme</t>
  </si>
  <si>
    <t>anzugehen</t>
  </si>
  <si>
    <t>brauchen</t>
  </si>
  <si>
    <t>Denkens</t>
  </si>
  <si>
    <t>bezüglich</t>
  </si>
  <si>
    <t>Schlussendlich</t>
  </si>
  <si>
    <t>Fähigkeit</t>
  </si>
  <si>
    <t>Interventionen</t>
  </si>
  <si>
    <t>starten</t>
  </si>
  <si>
    <t>unsere</t>
  </si>
  <si>
    <t>umformen</t>
  </si>
  <si>
    <t>Potential</t>
  </si>
  <si>
    <t>Verpflichtung</t>
  </si>
  <si>
    <t>Jemand</t>
  </si>
  <si>
    <t>sagen</t>
  </si>
  <si>
    <t>geografisches</t>
  </si>
  <si>
    <t>Gebiet</t>
  </si>
  <si>
    <t>Reihe</t>
  </si>
  <si>
    <t>Gebäuden</t>
  </si>
  <si>
    <t>Summe</t>
  </si>
  <si>
    <t>leben</t>
  </si>
  <si>
    <t>dokumentieren</t>
  </si>
  <si>
    <t>hätten</t>
  </si>
  <si>
    <t>echte</t>
  </si>
  <si>
    <t>Chance</t>
  </si>
  <si>
    <t>erhalten</t>
  </si>
  <si>
    <t>gerne</t>
  </si>
  <si>
    <t>Danke</t>
  </si>
  <si>
    <t>Überschrift</t>
  </si>
  <si>
    <t>kartierung_staedte</t>
  </si>
  <si>
    <t>GEN</t>
  </si>
  <si>
    <t>menschen</t>
  </si>
  <si>
    <t>stadtentwicklung</t>
  </si>
  <si>
    <t>hoerer</t>
  </si>
  <si>
    <t>SIT</t>
  </si>
  <si>
    <t>sprecher</t>
  </si>
  <si>
    <t>parser error</t>
  </si>
  <si>
    <t>NEW</t>
  </si>
  <si>
    <t>baltimore</t>
  </si>
  <si>
    <t>maryland</t>
  </si>
  <si>
    <t>einwohner_baltimore</t>
  </si>
  <si>
    <t>ted</t>
  </si>
  <si>
    <t>EXPL</t>
  </si>
  <si>
    <t>GROUP</t>
  </si>
  <si>
    <t>OLD</t>
  </si>
  <si>
    <t>sportverbundenheit</t>
  </si>
  <si>
    <t>BOUND</t>
  </si>
  <si>
    <t>san_francisco</t>
  </si>
  <si>
    <t>rio</t>
  </si>
  <si>
    <t>letzten_wochen</t>
  </si>
  <si>
    <t>ted_rio</t>
  </si>
  <si>
    <t>justin_bieber_fans</t>
  </si>
  <si>
    <t>flamengo</t>
  </si>
  <si>
    <t>PRED</t>
  </si>
  <si>
    <t>rasse</t>
  </si>
  <si>
    <t>staedte</t>
  </si>
  <si>
    <t>visionen</t>
  </si>
  <si>
    <t>beziehungen_menschen</t>
  </si>
  <si>
    <t>Antezedens</t>
  </si>
  <si>
    <t>rand_rechts</t>
  </si>
  <si>
    <t>breite_und_tiefe</t>
  </si>
  <si>
    <t>name_baltimore</t>
  </si>
  <si>
    <t>virginia</t>
  </si>
  <si>
    <t>dc</t>
  </si>
  <si>
    <t>michael_phelps</t>
  </si>
  <si>
    <t>under_armour</t>
  </si>
  <si>
    <t>Relativpronomen</t>
  </si>
  <si>
    <t>nicht syntaktischer kopf</t>
  </si>
  <si>
    <t>gruppe_oben&gt;geeks,technikbegeisterte</t>
  </si>
  <si>
    <t>gruppe_oben</t>
  </si>
  <si>
    <t>kein AUTO_REF</t>
  </si>
  <si>
    <t>techfirmen</t>
  </si>
  <si>
    <t>vielfalt_menschen</t>
  </si>
  <si>
    <t>bandbreite</t>
  </si>
  <si>
    <t>Interrogativpronomen</t>
  </si>
  <si>
    <t>neues_denken</t>
  </si>
  <si>
    <t>faehigkeit</t>
  </si>
  <si>
    <t>verpflichtung</t>
  </si>
  <si>
    <t>transformation</t>
  </si>
  <si>
    <t>einwohner</t>
  </si>
  <si>
    <t>CAT</t>
  </si>
  <si>
    <t>summe_beziehungen</t>
  </si>
  <si>
    <t>Antwort Interrogativpronomen "Was?"</t>
  </si>
  <si>
    <t>Antwort des Sprechers 2 Sätze später</t>
  </si>
  <si>
    <t>karte_baltimore</t>
  </si>
  <si>
    <t>karte_baltimore_gruen</t>
  </si>
  <si>
    <t>karte_baltimore_lila</t>
  </si>
  <si>
    <t>geeks_baltimore</t>
  </si>
  <si>
    <t>karte_baltimore_orange</t>
  </si>
  <si>
    <t>musiker_baltimore</t>
  </si>
  <si>
    <t>musiker_geeks&gt;musiker_baltimore,geeks_baltimore</t>
  </si>
  <si>
    <t>football</t>
  </si>
  <si>
    <t>rand_links</t>
  </si>
  <si>
    <t>enden&gt;rand_rechts,rand_links</t>
  </si>
  <si>
    <t>dmv_baltimore</t>
  </si>
  <si>
    <t>karte_san_francisco</t>
  </si>
  <si>
    <t>generell in Städten</t>
  </si>
  <si>
    <t>später referenziert</t>
  </si>
  <si>
    <t>syntaktischer Kopf</t>
  </si>
  <si>
    <t>geeks_francisco</t>
  </si>
  <si>
    <t>technikbegeisterte_francisco</t>
  </si>
  <si>
    <t>karte_francisco_oben</t>
  </si>
  <si>
    <t>karte_francisco_blau</t>
  </si>
  <si>
    <t>mpn_fluegel_francisco</t>
  </si>
  <si>
    <t>twitter_mitarbeiter_francisco</t>
  </si>
  <si>
    <t>hiphop_francisco</t>
  </si>
  <si>
    <t>spannungen_francisco</t>
  </si>
  <si>
    <t>einwoher_francisco</t>
  </si>
  <si>
    <t>lgbt_community_francisco</t>
  </si>
  <si>
    <t>kuenstler_francisco</t>
  </si>
  <si>
    <t>musiker_francisco</t>
  </si>
  <si>
    <t>karte_francisco_links</t>
  </si>
  <si>
    <t>foto_schriftzug</t>
  </si>
  <si>
    <t>networking_karten</t>
  </si>
  <si>
    <t>boden_francisco</t>
  </si>
  <si>
    <t>auch IDIOM denkbar</t>
  </si>
  <si>
    <t>heterogenitaet_rio</t>
  </si>
  <si>
    <t>gruppen_rio</t>
  </si>
  <si>
    <t>boygroups_rio</t>
  </si>
  <si>
    <t>standup_comedians_rio</t>
  </si>
  <si>
    <t>gruppe_drogen_witze</t>
  </si>
  <si>
    <t>verstaendnis_rio</t>
  </si>
  <si>
    <t>daten_staedte</t>
  </si>
  <si>
    <t>datenbestand_frueher</t>
  </si>
  <si>
    <t>trennung_gruppen</t>
  </si>
  <si>
    <t>rolle_einwohner</t>
  </si>
  <si>
    <t>vielfalt_stadtentwicklung</t>
  </si>
  <si>
    <t>Stadt oder Karte?; siehe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</si>
</sst>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" activeCellId="1" sqref="A1 D2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>IF(A3=1,"_",IF(C3="_","???",C3))</f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 t="str">
        <f>IF(A4=1,"_",IF(C4="_","???",C4))</f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tr">
        <f>IF(A5=1,"_",IF(C5="_","???",C5))</f>
        <v>Was?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 t="str">
        <f>IF(A6=1,"_",IF(C6="_","???",C6))</f>
        <v>???</v>
      </c>
      <c r="H6" s="10" t="s">
        <v>12</v>
      </c>
      <c r="I6" s="11" t="s">
        <v>12</v>
      </c>
      <c r="J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3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L35" sqref="L35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37</v>
      </c>
      <c r="B1" s="13" t="s">
        <v>38</v>
      </c>
      <c r="C1" s="13" t="s">
        <v>39</v>
      </c>
      <c r="D1" s="13" t="s">
        <v>40</v>
      </c>
      <c r="E1" s="14" t="s">
        <v>41</v>
      </c>
      <c r="F1" s="15" t="s">
        <v>42</v>
      </c>
      <c r="G1" s="16" t="s">
        <v>43</v>
      </c>
      <c r="H1" s="17" t="s">
        <v>44</v>
      </c>
      <c r="I1" s="18" t="s">
        <v>45</v>
      </c>
      <c r="J1" s="18" t="s">
        <v>46</v>
      </c>
      <c r="K1" s="18" t="s">
        <v>47</v>
      </c>
      <c r="L1" s="19" t="s">
        <v>9</v>
      </c>
    </row>
    <row r="2" spans="1:12" x14ac:dyDescent="0.3">
      <c r="A2" t="s">
        <v>48</v>
      </c>
    </row>
    <row r="3" spans="1:12" x14ac:dyDescent="0.3">
      <c r="A3" t="s">
        <v>49</v>
      </c>
      <c r="B3" s="20" t="s">
        <v>50</v>
      </c>
      <c r="C3" s="20" t="s">
        <v>51</v>
      </c>
      <c r="D3" s="20" t="s">
        <v>52</v>
      </c>
      <c r="E3" s="21"/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3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507</v>
      </c>
    </row>
    <row r="4" spans="1:12" x14ac:dyDescent="0.3">
      <c r="A4" t="s">
        <v>53</v>
      </c>
      <c r="E4" s="21" t="str">
        <f t="shared" ref="E4:E13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54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55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56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57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13</v>
      </c>
      <c r="B9" s="20" t="s">
        <v>50</v>
      </c>
      <c r="C9" s="20" t="s">
        <v>58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59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60</v>
      </c>
      <c r="B11" s="20" t="s">
        <v>50</v>
      </c>
      <c r="C11" s="20" t="s">
        <v>58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61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62</v>
      </c>
      <c r="B13" s="20" t="s">
        <v>63</v>
      </c>
      <c r="C13" s="20" t="s">
        <v>58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5" spans="1:12" x14ac:dyDescent="0.3">
      <c r="A15" t="s">
        <v>64</v>
      </c>
    </row>
    <row r="16" spans="1:12" x14ac:dyDescent="0.3">
      <c r="A16" t="s">
        <v>65</v>
      </c>
      <c r="E16" s="21" t="str">
        <f t="shared" ref="E16:E47" si="2">IF(D16="?OLD","!!!","")</f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ref="H16:H47" ca="1" si="3">IF(J16&lt;&gt;1,"",IF(I16="SBJ","CB","?"))</f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66</v>
      </c>
      <c r="B17" s="20" t="s">
        <v>67</v>
      </c>
      <c r="C17" s="20" t="s">
        <v>68</v>
      </c>
      <c r="D17" s="20" t="s">
        <v>52</v>
      </c>
      <c r="E17" s="21" t="s">
        <v>510</v>
      </c>
      <c r="F17" s="22" t="s">
        <v>509</v>
      </c>
      <c r="G17" s="23" t="e">
        <f ca="1">IF(OR(E17="",E17="!!!"),"",IF(OR(J17=0,AND(J17=1,K17=1),AND(J17=1,I17="SBJ"),AND(J17=1,I17=0)),"?IN_FOCUS",IF(J17&lt;=2,"?ACTIVATED",IF(J17&lt;&gt;"","?FAMILIAR",IF(F17="NEW",IF(ISNA(VLOOKUP(E17,#REF!,1,FALSE())),"?TYPE_IDENTIFIABLE","?REFERENTIAL"),"_")))))</f>
        <v>#VALUE!</v>
      </c>
      <c r="H17" s="24" t="str">
        <f t="shared" ca="1" si="3"/>
        <v/>
      </c>
      <c r="I17" s="25" t="e">
        <f>IF(OR(E17="",E17="!!!",F17="NEW"),"",INDEX(B$2:B16,-1+SUMPRODUCT(MAX(ROW(E$2:E16)*(E17=E$2:E16)))))</f>
        <v>#VALUE!</v>
      </c>
      <c r="J17" s="25">
        <f ca="1">IF(OR(E17="",E17="!!!",F17="NEW"),"",COUNTBLANK(OFFSET(A$1,,,SUMPRODUCT(MAX(ROW(E$2:E17)*(E17=E$2:E17)))))-COUNTBLANK(OFFSET(A$1,,,SUMPRODUCT(MAX(ROW(E$1:E16)*(E2=E$1:E16))))))</f>
        <v>0</v>
      </c>
      <c r="K17" s="25" t="e">
        <f>IF(OR(E17="",E17="!!!",F17="NEW"),"",INDEX(J$1:J16,SUMPRODUCT(MAX(ROW(E$1:E16)*(E17=E$1:E16)))))</f>
        <v>#VALUE!</v>
      </c>
      <c r="L17" s="26"/>
    </row>
    <row r="18" spans="1:12" x14ac:dyDescent="0.3">
      <c r="A18" t="s">
        <v>69</v>
      </c>
      <c r="E18" s="21" t="str">
        <f t="shared" si="2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3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70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71</v>
      </c>
      <c r="B20" s="20" t="s">
        <v>63</v>
      </c>
      <c r="C20" s="20" t="s">
        <v>72</v>
      </c>
      <c r="D20" s="20" t="s">
        <v>52</v>
      </c>
      <c r="E20" s="21" t="s">
        <v>508</v>
      </c>
      <c r="F20" s="22" t="s">
        <v>509</v>
      </c>
      <c r="G20" s="23" t="e">
        <f ca="1">IF(OR(E20="",E20="!!!"),"",IF(OR(J20=0,AND(J20=1,K20=1),AND(J20=1,I20="SBJ"),AND(J20=1,I20=0)),"?IN_FOCUS",IF(J20&lt;=2,"?ACTIVATED",IF(J20&lt;&gt;"","?FAMILIAR",IF(F20="NEW",IF(ISNA(VLOOKUP(E20,#REF!,1,FALSE())),"?TYPE_IDENTIFIABLE","?REFERENTIAL"),"_")))))</f>
        <v>#VALUE!</v>
      </c>
      <c r="H20" s="24" t="str">
        <f t="shared" ca="1" si="3"/>
        <v/>
      </c>
      <c r="I20" s="25" t="e">
        <f>IF(OR(E20="",E20="!!!",F20="NEW"),"",INDEX(B$2:B19,-1+SUMPRODUCT(MAX(ROW(E$2:E19)*(E20=E$2:E19)))))</f>
        <v>#VALUE!</v>
      </c>
      <c r="J20" s="25">
        <f ca="1">IF(OR(E20="",E20="!!!",F20="NEW"),"",COUNTBLANK(OFFSET(A$1,,,SUMPRODUCT(MAX(ROW(E$2:E20)*(E20=E$2:E20)))))-COUNTBLANK(OFFSET(A$1,,,SUMPRODUCT(MAX(ROW(E$1:E19)*(E2=E$1:E19))))))</f>
        <v>0</v>
      </c>
      <c r="K20" s="25" t="e">
        <f>IF(OR(E20="",E20="!!!",F20="NEW"),"",INDEX(J$1:J19,SUMPRODUCT(MAX(ROW(E$1:E19)*(E20=E$1:E19)))))</f>
        <v>#VALUE!</v>
      </c>
      <c r="L20" s="26"/>
    </row>
    <row r="21" spans="1:12" x14ac:dyDescent="0.3">
      <c r="A21" t="s">
        <v>73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62</v>
      </c>
      <c r="B22" s="20" t="s">
        <v>74</v>
      </c>
      <c r="C22" s="20" t="s">
        <v>58</v>
      </c>
      <c r="E22" s="21" t="s">
        <v>534</v>
      </c>
      <c r="F22" s="22" t="s">
        <v>509</v>
      </c>
      <c r="G22" s="23" t="e">
        <f ca="1">IF(OR(E22="",E22="!!!"),"",IF(OR(J22=0,AND(J22=1,K22=1),AND(J22=1,I22="SBJ"),AND(J22=1,I22=0)),"?IN_FOCUS",IF(J22&lt;=2,"?ACTIVATED",IF(J22&lt;&gt;"","?FAMILIAR",IF(F22="NEW",IF(ISNA(VLOOKUP(E22,#REF!,1,FALSE())),"?TYPE_IDENTIFIABLE","?REFERENTIAL"),"_")))))</f>
        <v>#VALUE!</v>
      </c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576</v>
      </c>
    </row>
    <row r="23" spans="1:12" x14ac:dyDescent="0.3">
      <c r="A23" t="s">
        <v>75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76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77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66</v>
      </c>
      <c r="B26" s="20" t="s">
        <v>78</v>
      </c>
      <c r="C26" s="20" t="s">
        <v>68</v>
      </c>
      <c r="D26" s="20" t="s">
        <v>52</v>
      </c>
      <c r="E26" s="21" t="s">
        <v>510</v>
      </c>
      <c r="F26" s="22" t="str">
        <f>IF(OR(E26="",E26="!!!"),"",IF(NOT(ISNA(VLOOKUP(E26,E$1:E25,1,FALSE()))),"OLD",IF(AND(E26&lt;&gt;"",E26&lt;&gt;"!!!"),"NEW","")))</f>
        <v>OLD</v>
      </c>
      <c r="G26" s="23" t="str">
        <f ca="1">IF(OR(E26="",E26="!!!"),"",IF(OR(J26=0,AND(J26=1,K26=1),AND(J26=1,I26="SBJ"),AND(J26=1,I26=0)),"?IN_FOCUS",IF(J26&lt;=2,"?ACTIVATED",IF(J26&lt;&gt;"","?FAMILIAR",IF(F26="NEW",IF(ISNA(VLOOKUP(E26,#REF!,1,FALSE())),"?TYPE_IDENTIFIABLE","?REFERENTIAL"),"_")))))</f>
        <v>?IN_FOCUS</v>
      </c>
      <c r="H26" s="24" t="str">
        <f t="shared" ca="1" si="3"/>
        <v/>
      </c>
      <c r="I26" s="25" t="str">
        <f>IF(OR(E26="",E26="!!!",F26="NEW"),"",INDEX(B$2:B25,-1+SUMPRODUCT(MAX(ROW(E$2:E25)*(E26=E$2:E25)))))</f>
        <v>SBJ_2</v>
      </c>
      <c r="J26" s="25">
        <f ca="1">IF(OR(E26="",E26="!!!",F26="NEW"),"",COUNTBLANK(OFFSET(A$1,,,SUMPRODUCT(MAX(ROW(E$2:E26)*(E26=E$2:E26)))))-COUNTBLANK(OFFSET(A$1,,,SUMPRODUCT(MAX(ROW(E$1:E25)*(E2=E$1:E25))))))</f>
        <v>0</v>
      </c>
      <c r="K26" s="25">
        <f ca="1">IF(OR(E26="",E26="!!!",F26="NEW"),"",INDEX(J$1:J25,SUMPRODUCT(MAX(ROW(E$1:E25)*(E26=E$1:E25)))))</f>
        <v>0</v>
      </c>
      <c r="L26" s="26"/>
    </row>
    <row r="27" spans="1:12" x14ac:dyDescent="0.3">
      <c r="A27" t="s">
        <v>79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80</v>
      </c>
      <c r="B28" s="20" t="s">
        <v>50</v>
      </c>
      <c r="C28" s="20" t="s">
        <v>58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76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81</v>
      </c>
      <c r="B30" s="20" t="s">
        <v>82</v>
      </c>
      <c r="C30" s="20" t="s">
        <v>58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59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83</v>
      </c>
      <c r="B32" s="20" t="s">
        <v>63</v>
      </c>
      <c r="C32" s="20" t="s">
        <v>58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59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79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70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84</v>
      </c>
      <c r="B36" s="20" t="s">
        <v>63</v>
      </c>
      <c r="C36" s="20" t="s">
        <v>72</v>
      </c>
      <c r="D36" s="20" t="s">
        <v>52</v>
      </c>
      <c r="E36" s="21" t="s">
        <v>511</v>
      </c>
      <c r="F36" s="22" t="str">
        <f>IF(OR(E36="",E36="!!!"),"",IF(NOT(ISNA(VLOOKUP(E36,E$1:E35,1,FALSE()))),"OLD",IF(AND(E36&lt;&gt;"",E36&lt;&gt;"!!!"),"NEW","")))</f>
        <v>NEW</v>
      </c>
      <c r="G36" s="23" t="str">
        <f ca="1">IF(OR(E36="",E36="!!!"),"",IF(OR(J36=0,AND(J36=1,K36=1),AND(J36=1,I36="SBJ"),AND(J36=1,I36=0)),"?IN_FOCUS",IF(J36&lt;=2,"?ACTIVATED",IF(J36&lt;&gt;"","?FAMILIAR",IF(F36="NEW",IF(ISNA(VLOOKUP(E36,#REF!,1,FALSE())),"?TYPE_IDENTIFIABLE","?REFERENTIAL"),"_")))))</f>
        <v>?REFERENTIAL</v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76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70</v>
      </c>
      <c r="B38" s="20" t="s">
        <v>85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86</v>
      </c>
      <c r="B39" s="20" t="s">
        <v>87</v>
      </c>
      <c r="C39" s="20" t="s">
        <v>88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89</v>
      </c>
      <c r="B40" s="20" t="s">
        <v>87</v>
      </c>
      <c r="C40" s="20" t="s">
        <v>90</v>
      </c>
      <c r="D40" s="20" t="s">
        <v>52</v>
      </c>
      <c r="E40" s="21"/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 t="s">
        <v>515</v>
      </c>
    </row>
    <row r="41" spans="1:12" x14ac:dyDescent="0.3">
      <c r="A41" t="s">
        <v>91</v>
      </c>
      <c r="B41" s="20" t="s">
        <v>92</v>
      </c>
      <c r="C41" s="20" t="s">
        <v>93</v>
      </c>
      <c r="D41" s="20" t="s">
        <v>52</v>
      </c>
      <c r="E41" s="21" t="str">
        <f t="shared" si="2"/>
        <v>!!!</v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 t="s">
        <v>606</v>
      </c>
    </row>
    <row r="42" spans="1:12" x14ac:dyDescent="0.3">
      <c r="A42" t="s">
        <v>94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76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95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96</v>
      </c>
      <c r="B45" s="20" t="s">
        <v>74</v>
      </c>
      <c r="C45" s="20" t="s">
        <v>97</v>
      </c>
      <c r="D45" s="20" t="s">
        <v>52</v>
      </c>
      <c r="E45" s="21" t="s">
        <v>512</v>
      </c>
      <c r="F45" s="22" t="s">
        <v>513</v>
      </c>
      <c r="G45" s="23" t="e">
        <f ca="1">IF(OR(E45="",E45="!!!"),"",IF(OR(J45=0,AND(J45=1,K45=1),AND(J45=1,I45="SBJ"),AND(J45=1,I45=0)),"?IN_FOCUS",IF(J45&lt;=2,"?ACTIVATED",IF(J45&lt;&gt;"","?FAMILIAR",IF(F45="NEW",IF(ISNA(VLOOKUP(E45,#REF!,1,FALSE())),"?TYPE_IDENTIFIABLE","?REFERENTIAL"),"_")))))</f>
        <v>#VALUE!</v>
      </c>
      <c r="H45" s="24" t="str">
        <f t="shared" ca="1" si="3"/>
        <v/>
      </c>
      <c r="I45" s="25" t="e">
        <f>IF(OR(E45="",E45="!!!",F45="NEW"),"",INDEX(B$2:B44,-1+SUMPRODUCT(MAX(ROW(E$2:E44)*(E45=E$2:E44)))))</f>
        <v>#VALUE!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 t="e">
        <f>IF(OR(E45="",E45="!!!",F45="NEW"),"",INDEX(J$1:J44,SUMPRODUCT(MAX(ROW(E$1:E44)*(E45=E$1:E44)))))</f>
        <v>#VALUE!</v>
      </c>
      <c r="L45" s="26"/>
    </row>
    <row r="46" spans="1:12" x14ac:dyDescent="0.3">
      <c r="A46" t="s">
        <v>77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79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70</v>
      </c>
      <c r="E48" s="21" t="str">
        <f t="shared" ref="E48:E78" si="4">IF(D48="?OLD","!!!","")</f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ref="H48:H79" ca="1" si="5">IF(J48&lt;&gt;1,"",IF(I48="SBJ","CB","?"))</f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98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99</v>
      </c>
      <c r="B50" s="20" t="s">
        <v>63</v>
      </c>
      <c r="C50" s="20" t="s">
        <v>72</v>
      </c>
      <c r="D50" s="20" t="s">
        <v>52</v>
      </c>
      <c r="E50" s="21" t="s">
        <v>535</v>
      </c>
      <c r="F50" s="22" t="str">
        <f>IF(OR(E50="",E50="!!!"),"",IF(NOT(ISNA(VLOOKUP(E50,E$1:E49,1,FALSE()))),"OLD",IF(AND(E50&lt;&gt;"",E50&lt;&gt;"!!!"),"NEW","")))</f>
        <v>NEW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?REFERENTIAL</v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100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101</v>
      </c>
      <c r="B52" s="20" t="s">
        <v>74</v>
      </c>
      <c r="C52" s="20" t="s">
        <v>102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103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104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105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106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107</v>
      </c>
      <c r="B57" s="20" t="s">
        <v>108</v>
      </c>
      <c r="C57" s="20" t="s">
        <v>68</v>
      </c>
      <c r="D57" s="20" t="s">
        <v>52</v>
      </c>
      <c r="E57" s="21"/>
      <c r="F57" s="22"/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109</v>
      </c>
      <c r="B58" s="20" t="s">
        <v>110</v>
      </c>
      <c r="C58" s="20" t="s">
        <v>58</v>
      </c>
      <c r="E58" s="21"/>
      <c r="F58" s="22" t="s">
        <v>509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 t="s">
        <v>577</v>
      </c>
    </row>
    <row r="59" spans="1:12" x14ac:dyDescent="0.3">
      <c r="A59" t="s">
        <v>76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69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70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71</v>
      </c>
      <c r="B62" s="20" t="s">
        <v>87</v>
      </c>
      <c r="C62" s="20" t="s">
        <v>72</v>
      </c>
      <c r="D62" s="20" t="s">
        <v>52</v>
      </c>
      <c r="E62" s="21" t="s">
        <v>508</v>
      </c>
      <c r="F62" s="22" t="str">
        <f>IF(OR(E62="",E62="!!!"),"",IF(NOT(ISNA(VLOOKUP(E62,E$1:E61,1,FALSE()))),"OLD",IF(AND(E62&lt;&gt;"",E62&lt;&gt;"!!!"),"NEW","")))</f>
        <v>OLD</v>
      </c>
      <c r="G62" s="23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?IN_FOCUS</v>
      </c>
      <c r="H62" s="24" t="str">
        <f t="shared" ca="1" si="5"/>
        <v/>
      </c>
      <c r="I62" s="25" t="str">
        <f>IF(OR(E62="",E62="!!!",F62="NEW"),"",INDEX(B$2:B61,-1+SUMPRODUCT(MAX(ROW(E$2:E61)*(E62=E$2:E61)))))</f>
        <v>other_2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>
        <f ca="1">IF(OR(E62="",E62="!!!",F62="NEW"),"",INDEX(J$1:J61,SUMPRODUCT(MAX(ROW(E$1:E61)*(E62=E$1:E61)))))</f>
        <v>0</v>
      </c>
      <c r="L62" s="26"/>
    </row>
    <row r="63" spans="1:12" x14ac:dyDescent="0.3">
      <c r="A63" t="s">
        <v>73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62</v>
      </c>
      <c r="B64" s="20" t="s">
        <v>108</v>
      </c>
      <c r="C64" s="20" t="s">
        <v>58</v>
      </c>
      <c r="E64" s="21" t="s">
        <v>534</v>
      </c>
      <c r="F64" s="22" t="str">
        <f>IF(OR(E64="",E64="!!!"),"",IF(NOT(ISNA(VLOOKUP(E64,E$1:E63,1,FALSE()))),"OLD",IF(AND(E64&lt;&gt;"",E64&lt;&gt;"!!!"),"NEW","")))</f>
        <v>OLD</v>
      </c>
      <c r="G64" s="23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?IN_FOCUS</v>
      </c>
      <c r="H64" s="24" t="str">
        <f t="shared" ca="1" si="5"/>
        <v/>
      </c>
      <c r="I64" s="25" t="str">
        <f>IF(OR(E64="",E64="!!!",F64="NEW"),"",INDEX(B$2:B63,-1+SUMPRODUCT(MAX(ROW(E$2:E63)*(E64=E$2:E63)))))</f>
        <v>other_3</v>
      </c>
      <c r="J64" s="25">
        <f ca="1">IF(OR(E64="",E64="!!!",F64="NEW"),"",COUNTBLANK(OFFSET(A$1,,,SUMPRODUCT(MAX(ROW(E$2:E64)*(E64=E$2:E64)))))-COUNTBLANK(OFFSET(A$1,,,SUMPRODUCT(MAX(ROW(E$1:E63)*(E2=E$1:E63))))))</f>
        <v>0</v>
      </c>
      <c r="K64" s="25">
        <f ca="1">IF(OR(E64="",E64="!!!",F64="NEW"),"",INDEX(J$1:J63,SUMPRODUCT(MAX(ROW(E$1:E63)*(E64=E$1:E63)))))</f>
        <v>0</v>
      </c>
      <c r="L64" s="26"/>
    </row>
    <row r="65" spans="1:12" x14ac:dyDescent="0.3">
      <c r="A65" t="s">
        <v>111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59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112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113</v>
      </c>
      <c r="B68" s="20" t="s">
        <v>87</v>
      </c>
      <c r="C68" s="20" t="s">
        <v>90</v>
      </c>
      <c r="D68" s="20" t="s">
        <v>52</v>
      </c>
      <c r="E68" s="21" t="str">
        <f t="shared" si="4"/>
        <v>!!!</v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 t="s">
        <v>606</v>
      </c>
    </row>
    <row r="69" spans="1:12" x14ac:dyDescent="0.3">
      <c r="A69" t="s">
        <v>114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115</v>
      </c>
      <c r="E70" s="21" t="str">
        <f t="shared" si="4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103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116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117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118</v>
      </c>
      <c r="B74" s="20" t="s">
        <v>67</v>
      </c>
      <c r="C74" s="20" t="s">
        <v>97</v>
      </c>
      <c r="D74" s="20" t="s">
        <v>52</v>
      </c>
      <c r="E74" s="21" t="s">
        <v>514</v>
      </c>
      <c r="F74" s="22" t="s">
        <v>513</v>
      </c>
      <c r="G74" s="23" t="e">
        <f ca="1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4" t="str">
        <f t="shared" ca="1" si="5"/>
        <v/>
      </c>
      <c r="I74" s="25" t="e">
        <f>IF(OR(E74="",E74="!!!",F74="NEW"),"",INDEX(B$2:B73,-1+SUMPRODUCT(MAX(ROW(E$2:E73)*(E74=E$2:E73)))))</f>
        <v>#VALUE!</v>
      </c>
      <c r="J74" s="25">
        <f ca="1">IF(OR(E74="",E74="!!!",F74="NEW"),"",COUNTBLANK(OFFSET(A$1,,,SUMPRODUCT(MAX(ROW(E$2:E74)*(E74=E$2:E74)))))-COUNTBLANK(OFFSET(A$1,,,SUMPRODUCT(MAX(ROW(E$1:E73)*(E2=E$1:E73))))))</f>
        <v>0</v>
      </c>
      <c r="K74" s="25" t="e">
        <f>IF(OR(E74="",E74="!!!",F74="NEW"),"",INDEX(J$1:J73,SUMPRODUCT(MAX(ROW(E$1:E73)*(E74=E$1:E73)))))</f>
        <v>#VALUE!</v>
      </c>
      <c r="L74" s="26"/>
    </row>
    <row r="75" spans="1:12" x14ac:dyDescent="0.3">
      <c r="A75" t="s">
        <v>119</v>
      </c>
      <c r="B75" s="20" t="s">
        <v>120</v>
      </c>
      <c r="C75" s="20" t="s">
        <v>97</v>
      </c>
      <c r="D75" s="20" t="s">
        <v>52</v>
      </c>
      <c r="E75" s="21" t="s">
        <v>512</v>
      </c>
      <c r="F75" s="22" t="str">
        <f>IF(OR(E75="",E75="!!!"),"",IF(NOT(ISNA(VLOOKUP(E75,E$1:E74,1,FALSE()))),"OLD",IF(AND(E75&lt;&gt;"",E75&lt;&gt;"!!!"),"NEW","")))</f>
        <v>OLD</v>
      </c>
      <c r="G75" s="23" t="str">
        <f ca="1">IF(OR(E75="",E75="!!!"),"",IF(OR(J75=0,AND(J75=1,K75=1),AND(J75=1,I75="SBJ"),AND(J75=1,I75=0)),"?IN_FOCUS",IF(J75&lt;=2,"?ACTIVATED",IF(J75&lt;&gt;"","?FAMILIAR",IF(F75="NEW",IF(ISNA(VLOOKUP(E75,#REF!,1,FALSE())),"?TYPE_IDENTIFIABLE","?REFERENTIAL"),"_")))))</f>
        <v>?IN_FOCUS</v>
      </c>
      <c r="H75" s="24" t="str">
        <f t="shared" ca="1" si="5"/>
        <v/>
      </c>
      <c r="I75" s="25" t="str">
        <f>IF(OR(E75="",E75="!!!",F75="NEW"),"",INDEX(B$2:B74,-1+SUMPRODUCT(MAX(ROW(E$2:E74)*(E75=E$2:E74)))))</f>
        <v>other_3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/>
    </row>
    <row r="76" spans="1:12" x14ac:dyDescent="0.3">
      <c r="A76" t="s">
        <v>121</v>
      </c>
      <c r="E76" s="21" t="str">
        <f t="shared" si="4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5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122</v>
      </c>
      <c r="E77" s="21" t="str">
        <f t="shared" si="4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5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123</v>
      </c>
      <c r="B78" s="20" t="s">
        <v>120</v>
      </c>
      <c r="C78" s="20" t="s">
        <v>102</v>
      </c>
      <c r="E78" s="21" t="str">
        <f t="shared" si="4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5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124</v>
      </c>
      <c r="B79" s="20" t="s">
        <v>74</v>
      </c>
      <c r="C79" s="20" t="s">
        <v>51</v>
      </c>
      <c r="D79" s="20" t="s">
        <v>52</v>
      </c>
      <c r="E79" s="21" t="s">
        <v>592</v>
      </c>
      <c r="F79" s="22" t="s">
        <v>509</v>
      </c>
      <c r="G79" s="23" t="e">
        <f ca="1">IF(OR(E79="",E79="!!!"),"",IF(OR(J79=0,AND(J79=1,K79=1),AND(J79=1,I79="SBJ"),AND(J79=1,I79=0)),"?IN_FOCUS",IF(J79&lt;=2,"?ACTIVATED",IF(J79&lt;&gt;"","?FAMILIAR",IF(F79="NEW",IF(ISNA(VLOOKUP(E79,#REF!,1,FALSE())),"?TYPE_IDENTIFIABLE","?REFERENTIAL"),"_")))))</f>
        <v>#VALUE!</v>
      </c>
      <c r="H79" s="24" t="str">
        <f t="shared" ca="1" si="5"/>
        <v/>
      </c>
      <c r="I79" s="25" t="e">
        <f>IF(OR(E79="",E79="!!!",F79="NEW"),"",INDEX(B$2:B78,-1+SUMPRODUCT(MAX(ROW(E$2:E78)*(E79=E$2:E78)))))</f>
        <v>#VALUE!</v>
      </c>
      <c r="J79" s="25">
        <f ca="1">IF(OR(E79="",E79="!!!",F79="NEW"),"",COUNTBLANK(OFFSET(A$1,,,SUMPRODUCT(MAX(ROW(E$2:E79)*(E79=E$2:E79)))))-COUNTBLANK(OFFSET(A$1,,,SUMPRODUCT(MAX(ROW(E$1:E78)*(E2=E$1:E78))))))</f>
        <v>0</v>
      </c>
      <c r="K79" s="25" t="e">
        <f>IF(OR(E79="",E79="!!!",F79="NEW"),"",INDEX(J$1:J78,SUMPRODUCT(MAX(ROW(E$1:E78)*(E79=E$1:E78)))))</f>
        <v>#VALUE!</v>
      </c>
      <c r="L79" s="26"/>
    </row>
    <row r="80" spans="1:12" x14ac:dyDescent="0.3">
      <c r="A80" t="s">
        <v>125</v>
      </c>
      <c r="E80" s="21" t="str">
        <f t="shared" ref="E80:E103" si="6">IF(D80="?OLD","!!!","")</f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ref="H80:H103" ca="1" si="7">IF(J80&lt;&gt;1,"",IF(I80="SBJ","CB","?"))</f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103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104</v>
      </c>
      <c r="E82" s="21" t="s">
        <v>563</v>
      </c>
      <c r="F82" s="22" t="s">
        <v>513</v>
      </c>
      <c r="G82" s="23" t="e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#VALUE!</v>
      </c>
      <c r="H82" s="24" t="str">
        <f t="shared" ca="1" si="7"/>
        <v/>
      </c>
      <c r="I82" s="25" t="e">
        <f>IF(OR(E82="",E82="!!!",F82="NEW"),"",INDEX(B$2:B81,-1+SUMPRODUCT(MAX(ROW(E$2:E81)*(E82=E$2:E81)))))</f>
        <v>#VALUE!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 t="e">
        <f>IF(OR(E82="",E82="!!!",F82="NEW"),"",INDEX(J$1:J81,SUMPRODUCT(MAX(ROW(E$1:E81)*(E82=E$1:E81)))))</f>
        <v>#VALUE!</v>
      </c>
      <c r="L82" s="26"/>
    </row>
    <row r="83" spans="1:12" x14ac:dyDescent="0.3">
      <c r="A83" t="s">
        <v>126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127</v>
      </c>
      <c r="B84" s="20" t="s">
        <v>63</v>
      </c>
      <c r="C84" s="20" t="s">
        <v>68</v>
      </c>
      <c r="D84" s="20" t="s">
        <v>52</v>
      </c>
      <c r="E84" s="21"/>
      <c r="F84" s="22" t="s">
        <v>532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128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124</v>
      </c>
      <c r="B86" s="20" t="s">
        <v>78</v>
      </c>
      <c r="C86" s="20" t="s">
        <v>129</v>
      </c>
      <c r="E86" s="21"/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76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130</v>
      </c>
      <c r="B88" s="20" t="s">
        <v>67</v>
      </c>
      <c r="C88" s="20" t="s">
        <v>97</v>
      </c>
      <c r="D88" s="20" t="s">
        <v>52</v>
      </c>
      <c r="E88" s="21" t="s">
        <v>563</v>
      </c>
      <c r="F88" s="22" t="str">
        <f>IF(OR(E88="",E88="!!!"),"",IF(NOT(ISNA(VLOOKUP(E88,E$1:E87,1,FALSE()))),"OLD",IF(AND(E88&lt;&gt;"",E88&lt;&gt;"!!!"),"NEW","")))</f>
        <v>OLD</v>
      </c>
      <c r="G88" s="23" t="str">
        <f ca="1">IF(OR(E88="",E88="!!!"),"",IF(OR(J88=0,AND(J88=1,K88=1),AND(J88=1,I88="SBJ"),AND(J88=1,I88=0)),"?IN_FOCUS",IF(J88&lt;=2,"?ACTIVATED",IF(J88&lt;&gt;"","?FAMILIAR",IF(F88="NEW",IF(ISNA(VLOOKUP(E88,#REF!,1,FALSE())),"?TYPE_IDENTIFIABLE","?REFERENTIAL"),"_")))))</f>
        <v>?IN_FOCUS</v>
      </c>
      <c r="H88" s="24" t="str">
        <f t="shared" ca="1" si="7"/>
        <v/>
      </c>
      <c r="I88" s="25">
        <f>IF(OR(E88="",E88="!!!",F88="NEW"),"",INDEX(B$2:B87,-1+SUMPRODUCT(MAX(ROW(E$2:E87)*(E88=E$2:E87)))))</f>
        <v>0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126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121</v>
      </c>
      <c r="E90" s="21" t="str">
        <f t="shared" si="6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124</v>
      </c>
      <c r="B91" s="20" t="s">
        <v>82</v>
      </c>
      <c r="C91" s="20" t="s">
        <v>102</v>
      </c>
      <c r="E91" s="21"/>
      <c r="F91" s="22"/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131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132</v>
      </c>
      <c r="B93" s="20" t="s">
        <v>63</v>
      </c>
      <c r="C93" s="20" t="s">
        <v>72</v>
      </c>
      <c r="D93" s="20" t="s">
        <v>52</v>
      </c>
      <c r="E93" s="21" t="s">
        <v>536</v>
      </c>
      <c r="F93" s="22" t="str">
        <f>IF(OR(E93="",E93="!!!"),"",IF(NOT(ISNA(VLOOKUP(E93,E$1:E92,1,FALSE()))),"OLD",IF(AND(E93&lt;&gt;"",E93&lt;&gt;"!!!"),"NEW","")))</f>
        <v>NEW</v>
      </c>
      <c r="G93" s="23" t="str">
        <f ca="1">IF(OR(E93="",E93="!!!"),"",IF(OR(J93=0,AND(J93=1,K93=1),AND(J93=1,I93="SBJ"),AND(J93=1,I93=0)),"?IN_FOCUS",IF(J93&lt;=2,"?ACTIVATED",IF(J93&lt;&gt;"","?FAMILIAR",IF(F93="NEW",IF(ISNA(VLOOKUP(E93,#REF!,1,FALSE())),"?TYPE_IDENTIFIABLE","?REFERENTIAL"),"_")))))</f>
        <v>?REFERENTIAL</v>
      </c>
      <c r="H93" s="24" t="str">
        <f t="shared" ca="1" si="7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133</v>
      </c>
      <c r="E94" s="21" t="str">
        <f t="shared" si="6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7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134</v>
      </c>
      <c r="E95" s="21" t="str">
        <f t="shared" si="6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7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135</v>
      </c>
      <c r="B96" s="20" t="s">
        <v>63</v>
      </c>
      <c r="C96" s="20" t="s">
        <v>72</v>
      </c>
      <c r="D96" s="20" t="s">
        <v>52</v>
      </c>
      <c r="E96" s="21" t="s">
        <v>519</v>
      </c>
      <c r="F96" s="22" t="str">
        <f>IF(OR(E96="",E96="!!!"),"",IF(NOT(ISNA(VLOOKUP(E96,E$1:E95,1,FALSE()))),"OLD",IF(AND(E96&lt;&gt;"",E96&lt;&gt;"!!!"),"NEW","")))</f>
        <v>NEW</v>
      </c>
      <c r="G96" s="23" t="str">
        <f ca="1">IF(OR(E96="",E96="!!!"),"",IF(OR(J96=0,AND(J96=1,K96=1),AND(J96=1,I96="SBJ"),AND(J96=1,I96=0)),"?IN_FOCUS",IF(J96&lt;=2,"?ACTIVATED",IF(J96&lt;&gt;"","?FAMILIAR",IF(F96="NEW",IF(ISNA(VLOOKUP(E96,#REF!,1,FALSE())),"?TYPE_IDENTIFIABLE","?REFERENTIAL"),"_")))))</f>
        <v>?REFERENTIAL</v>
      </c>
      <c r="H96" s="24" t="str">
        <f ca="1">IF(J96&lt;&gt;1,"",IF(I96="SBJ","CB","?"))</f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136</v>
      </c>
      <c r="B97" s="20" t="s">
        <v>92</v>
      </c>
      <c r="C97" s="20" t="s">
        <v>137</v>
      </c>
      <c r="D97" s="20" t="s">
        <v>52</v>
      </c>
      <c r="E97" s="21" t="s">
        <v>514</v>
      </c>
      <c r="F97" s="22" t="str">
        <f>IF(OR(E97="",E97="!!!"),"",IF(NOT(ISNA(VLOOKUP(E97,E$1:E96,1,FALSE()))),"OLD",IF(AND(E97&lt;&gt;"",E97&lt;&gt;"!!!"),"NEW","")))</f>
        <v>OLD</v>
      </c>
      <c r="G97" s="23" t="str">
        <f ca="1">IF(OR(E97="",E97="!!!"),"",IF(OR(J97=0,AND(J97=1,K97=1),AND(J97=1,I97="SBJ"),AND(J97=1,I97=0)),"?IN_FOCUS",IF(J97&lt;=2,"?ACTIVATED",IF(J97&lt;&gt;"","?FAMILIAR",IF(F97="NEW",IF(ISNA(VLOOKUP(E97,#REF!,1,FALSE())),"?TYPE_IDENTIFIABLE","?REFERENTIAL"),"_")))))</f>
        <v>?IN_FOCUS</v>
      </c>
      <c r="H97" s="24" t="str">
        <f t="shared" ca="1" si="7"/>
        <v/>
      </c>
      <c r="I97" s="25" t="str">
        <f>IF(OR(E97="",E97="!!!",F97="NEW"),"",INDEX(B$2:B96,-1+SUMPRODUCT(MAX(ROW(E$2:E96)*(E97=E$2:E96)))))</f>
        <v>SBJ_2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138</v>
      </c>
      <c r="B98" s="20" t="s">
        <v>74</v>
      </c>
      <c r="C98" s="20" t="s">
        <v>58</v>
      </c>
      <c r="E98" s="21"/>
      <c r="F98" s="22"/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7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76</v>
      </c>
      <c r="E99" s="21" t="str">
        <f t="shared" si="6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7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139</v>
      </c>
      <c r="B100" s="20" t="s">
        <v>92</v>
      </c>
      <c r="C100" s="20" t="s">
        <v>51</v>
      </c>
      <c r="D100" s="20" t="s">
        <v>52</v>
      </c>
      <c r="E100" s="21" t="s">
        <v>517</v>
      </c>
      <c r="F100" s="22" t="s">
        <v>516</v>
      </c>
      <c r="G100" s="23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?REFERENTIAL</v>
      </c>
      <c r="H100" s="24" t="str">
        <f t="shared" ca="1" si="7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76</v>
      </c>
      <c r="E101" s="21" t="str">
        <f t="shared" si="6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7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140</v>
      </c>
      <c r="B102" s="20" t="s">
        <v>87</v>
      </c>
      <c r="C102" s="20" t="s">
        <v>51</v>
      </c>
      <c r="D102" s="20" t="s">
        <v>52</v>
      </c>
      <c r="E102" s="21" t="s">
        <v>518</v>
      </c>
      <c r="F102" s="22" t="str">
        <f>IF(OR(E102="",E102="!!!"),"",IF(NOT(ISNA(VLOOKUP(E102,E$1:E101,1,FALSE()))),"OLD",IF(AND(E102&lt;&gt;"",E102&lt;&gt;"!!!"),"NEW","")))</f>
        <v>NEW</v>
      </c>
      <c r="G102" s="23" t="str">
        <f ca="1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?REFERENTIAL</v>
      </c>
      <c r="H102" s="24" t="str">
        <f t="shared" ca="1" si="7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103</v>
      </c>
      <c r="E103" s="21" t="str">
        <f t="shared" si="6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7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5" spans="1:12" x14ac:dyDescent="0.3">
      <c r="A105" t="s">
        <v>141</v>
      </c>
    </row>
    <row r="106" spans="1:12" x14ac:dyDescent="0.3">
      <c r="A106" t="s">
        <v>96</v>
      </c>
      <c r="B106" s="20" t="s">
        <v>78</v>
      </c>
      <c r="C106" s="20" t="s">
        <v>97</v>
      </c>
      <c r="D106" s="20" t="s">
        <v>52</v>
      </c>
      <c r="E106" s="21" t="s">
        <v>512</v>
      </c>
      <c r="F106" s="22" t="str">
        <f>IF(OR(E106="",E106="!!!"),"",IF(NOT(ISNA(VLOOKUP(E106,E$1:E105,1,FALSE()))),"OLD",IF(AND(E106&lt;&gt;"",E106&lt;&gt;"!!!"),"NEW","")))</f>
        <v>OLD</v>
      </c>
      <c r="G106" s="23" t="str">
        <f ca="1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?IN_FOCUS</v>
      </c>
      <c r="H106" s="24" t="str">
        <f t="shared" ref="H106:H169" ca="1" si="8">IF(J106&lt;&gt;1,"",IF(I106="SBJ","CB","?"))</f>
        <v/>
      </c>
      <c r="I106" s="25" t="str">
        <f>IF(OR(E106="",E106="!!!",F106="NEW"),"",INDEX(B$2:B105,-1+SUMPRODUCT(MAX(ROW(E$2:E105)*(E106=E$2:E105)))))</f>
        <v>OBJ_2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142</v>
      </c>
      <c r="E107" s="21" t="str">
        <f t="shared" ref="E107:E169" si="9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8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143</v>
      </c>
      <c r="E108" s="21" t="str">
        <f t="shared" si="9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8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76</v>
      </c>
      <c r="E109" s="21" t="str">
        <f t="shared" si="9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8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144</v>
      </c>
      <c r="E110" s="21" t="str">
        <f t="shared" si="9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8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145</v>
      </c>
      <c r="B111" s="20" t="s">
        <v>74</v>
      </c>
      <c r="C111" s="20" t="s">
        <v>88</v>
      </c>
      <c r="E111" s="21" t="str">
        <f t="shared" si="9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8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146</v>
      </c>
      <c r="B112" s="20" t="s">
        <v>67</v>
      </c>
      <c r="C112" s="20" t="s">
        <v>58</v>
      </c>
      <c r="E112" s="21" t="str">
        <f t="shared" si="9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8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121</v>
      </c>
      <c r="E113" s="21" t="str">
        <f t="shared" si="9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8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147</v>
      </c>
      <c r="B114" s="20" t="s">
        <v>120</v>
      </c>
      <c r="C114" s="20" t="s">
        <v>102</v>
      </c>
      <c r="E114" s="21" t="str">
        <f t="shared" si="9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8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148</v>
      </c>
      <c r="E115" s="21" t="str">
        <f t="shared" si="9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8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76</v>
      </c>
      <c r="E116" s="21" t="str">
        <f t="shared" si="9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8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149</v>
      </c>
      <c r="B117" s="20" t="s">
        <v>92</v>
      </c>
      <c r="C117" s="20" t="s">
        <v>88</v>
      </c>
      <c r="E117" s="21" t="str">
        <f t="shared" si="9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8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150</v>
      </c>
      <c r="B118" s="20" t="s">
        <v>151</v>
      </c>
      <c r="C118" s="20" t="s">
        <v>58</v>
      </c>
      <c r="E118" s="21" t="str">
        <f t="shared" si="9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8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121</v>
      </c>
      <c r="E119" s="21" t="str">
        <f t="shared" si="9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8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152</v>
      </c>
      <c r="B120" s="20" t="s">
        <v>63</v>
      </c>
      <c r="C120" s="20" t="s">
        <v>102</v>
      </c>
      <c r="E120" s="21" t="str">
        <f t="shared" si="9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8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133</v>
      </c>
      <c r="E121" s="21" t="str">
        <f t="shared" si="9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8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153</v>
      </c>
      <c r="B122" s="20" t="s">
        <v>92</v>
      </c>
      <c r="C122" s="20" t="s">
        <v>90</v>
      </c>
      <c r="D122" s="20" t="s">
        <v>52</v>
      </c>
      <c r="E122" s="21"/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8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 t="s">
        <v>515</v>
      </c>
    </row>
    <row r="123" spans="1:12" x14ac:dyDescent="0.3">
      <c r="A123" t="s">
        <v>135</v>
      </c>
      <c r="B123" s="20" t="s">
        <v>74</v>
      </c>
      <c r="C123" s="20" t="s">
        <v>93</v>
      </c>
      <c r="D123" s="20" t="s">
        <v>52</v>
      </c>
      <c r="E123" s="21" t="s">
        <v>519</v>
      </c>
      <c r="F123" s="22" t="str">
        <f>IF(OR(E123="",E123="!!!"),"",IF(NOT(ISNA(VLOOKUP(E123,E$1:E122,1,FALSE()))),"OLD",IF(AND(E123&lt;&gt;"",E123&lt;&gt;"!!!"),"NEW","")))</f>
        <v>OLD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4" t="str">
        <f t="shared" ca="1" si="8"/>
        <v/>
      </c>
      <c r="I123" s="25" t="str">
        <f>IF(OR(E123="",E123="!!!",F123="NEW"),"",INDEX(B$2:B122,-1+SUMPRODUCT(MAX(ROW(E$2:E122)*(E123=E$2:E122)))))</f>
        <v>other_2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 t="str">
        <f ca="1">IF(OR(E123="",E123="!!!",F123="NEW"),"",INDEX(J$1:J122,SUMPRODUCT(MAX(ROW(E$1:E122)*(E123=E$1:E122)))))</f>
        <v/>
      </c>
      <c r="L123" s="26"/>
    </row>
    <row r="124" spans="1:12" x14ac:dyDescent="0.3">
      <c r="A124" t="s">
        <v>59</v>
      </c>
      <c r="E124" s="21" t="str">
        <f t="shared" si="9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8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149</v>
      </c>
      <c r="B125" s="20" t="s">
        <v>87</v>
      </c>
      <c r="C125" s="20" t="s">
        <v>88</v>
      </c>
      <c r="E125" s="21" t="str">
        <f t="shared" si="9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8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154</v>
      </c>
      <c r="B126" s="20" t="s">
        <v>92</v>
      </c>
      <c r="C126" s="20" t="s">
        <v>58</v>
      </c>
      <c r="E126" s="21" t="str">
        <f t="shared" si="9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8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121</v>
      </c>
      <c r="E127" s="21" t="str">
        <f t="shared" si="9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8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155</v>
      </c>
      <c r="B128" s="20" t="s">
        <v>74</v>
      </c>
      <c r="C128" s="20" t="s">
        <v>156</v>
      </c>
      <c r="D128" s="20" t="s">
        <v>52</v>
      </c>
      <c r="E128" s="21"/>
      <c r="F128" s="22" t="s">
        <v>509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8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157</v>
      </c>
      <c r="E129" s="21" t="str">
        <f t="shared" si="9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8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158</v>
      </c>
      <c r="B130" s="20" t="s">
        <v>87</v>
      </c>
      <c r="C130" s="20" t="s">
        <v>90</v>
      </c>
      <c r="D130" s="20" t="s">
        <v>52</v>
      </c>
      <c r="E130" s="21"/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8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 t="s">
        <v>515</v>
      </c>
    </row>
    <row r="131" spans="1:12" x14ac:dyDescent="0.3">
      <c r="A131" t="s">
        <v>159</v>
      </c>
      <c r="B131" s="20" t="s">
        <v>92</v>
      </c>
      <c r="C131" s="20" t="s">
        <v>93</v>
      </c>
      <c r="D131" s="20" t="s">
        <v>52</v>
      </c>
      <c r="E131" s="21" t="s">
        <v>563</v>
      </c>
      <c r="F131" s="22" t="str">
        <f>IF(OR(E131="",E131="!!!"),"",IF(NOT(ISNA(VLOOKUP(E131,E$1:E130,1,FALSE()))),"OLD",IF(AND(E131&lt;&gt;"",E131&lt;&gt;"!!!"),"NEW","")))</f>
        <v>OLD</v>
      </c>
      <c r="G131" s="23" t="str">
        <f ca="1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?IN_FOCUS</v>
      </c>
      <c r="H131" s="24" t="str">
        <f t="shared" ca="1" si="8"/>
        <v/>
      </c>
      <c r="I131" s="25" t="str">
        <f>IF(OR(E131="",E131="!!!",F131="NEW"),"",INDEX(B$2:B130,-1+SUMPRODUCT(MAX(ROW(E$2:E130)*(E131=E$2:E130)))))</f>
        <v>SBJ_2</v>
      </c>
      <c r="J131" s="25">
        <f ca="1">IF(OR(E131="",E131="!!!",F131="NEW"),"",COUNTBLANK(OFFSET(A$1,,,SUMPRODUCT(MAX(ROW(E$2:E131)*(E131=E$2:E131)))))-COUNTBLANK(OFFSET(A$1,,,SUMPRODUCT(MAX(ROW(E$1:E130)*(E2=E$1:E130))))))</f>
        <v>0</v>
      </c>
      <c r="K131" s="25">
        <f ca="1">IF(OR(E131="",E131="!!!",F131="NEW"),"",INDEX(J$1:J130,SUMPRODUCT(MAX(ROW(E$1:E130)*(E131=E$1:E130)))))</f>
        <v>0</v>
      </c>
      <c r="L131" s="26"/>
    </row>
    <row r="132" spans="1:12" x14ac:dyDescent="0.3">
      <c r="A132" t="s">
        <v>103</v>
      </c>
      <c r="E132" s="21" t="str">
        <f t="shared" si="9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8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160</v>
      </c>
      <c r="B133" s="20" t="s">
        <v>151</v>
      </c>
      <c r="C133" s="20" t="s">
        <v>97</v>
      </c>
      <c r="D133" s="20" t="s">
        <v>52</v>
      </c>
      <c r="E133" s="21" t="s">
        <v>514</v>
      </c>
      <c r="F133" s="22" t="str">
        <f>IF(OR(E133="",E133="!!!"),"",IF(NOT(ISNA(VLOOKUP(E133,E$1:E132,1,FALSE()))),"OLD",IF(AND(E133&lt;&gt;"",E133&lt;&gt;"!!!"),"NEW","")))</f>
        <v>OLD</v>
      </c>
      <c r="G133" s="23" t="str">
        <f ca="1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?IN_FOCUS</v>
      </c>
      <c r="H133" s="24" t="str">
        <f t="shared" ca="1" si="8"/>
        <v/>
      </c>
      <c r="I133" s="25" t="str">
        <f>IF(OR(E133="",E133="!!!",F133="NEW"),"",INDEX(B$2:B132,-1+SUMPRODUCT(MAX(ROW(E$2:E132)*(E133=E$2:E132)))))</f>
        <v>other_4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>
        <f ca="1">IF(OR(E133="",E133="!!!",F133="NEW"),"",INDEX(J$1:J132,SUMPRODUCT(MAX(ROW(E$1:E132)*(E133=E$1:E132)))))</f>
        <v>0</v>
      </c>
      <c r="L133" s="26"/>
    </row>
    <row r="134" spans="1:12" x14ac:dyDescent="0.3">
      <c r="A134" t="s">
        <v>161</v>
      </c>
      <c r="E134" s="21" t="str">
        <f t="shared" si="9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8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162</v>
      </c>
      <c r="E135" s="21" t="str">
        <f t="shared" si="9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8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163</v>
      </c>
      <c r="E136" s="21" t="str">
        <f t="shared" si="9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8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131</v>
      </c>
      <c r="E137" s="21" t="str">
        <f t="shared" si="9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8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164</v>
      </c>
      <c r="E138" s="21" t="str">
        <f t="shared" si="9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8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165</v>
      </c>
      <c r="B139" s="20" t="s">
        <v>74</v>
      </c>
      <c r="C139" s="20" t="s">
        <v>72</v>
      </c>
      <c r="D139" s="20" t="s">
        <v>52</v>
      </c>
      <c r="E139" s="21" t="s">
        <v>564</v>
      </c>
      <c r="F139" s="22" t="s">
        <v>513</v>
      </c>
      <c r="G139" s="23" t="e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#VALUE!</v>
      </c>
      <c r="H139" s="24" t="str">
        <f t="shared" ca="1" si="8"/>
        <v/>
      </c>
      <c r="I139" s="25" t="e">
        <f>IF(OR(E139="",E139="!!!",F139="NEW"),"",INDEX(B$2:B138,-1+SUMPRODUCT(MAX(ROW(E$2:E138)*(E139=E$2:E138)))))</f>
        <v>#VALUE!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 t="e">
        <f>IF(OR(E139="",E139="!!!",F139="NEW"),"",INDEX(J$1:J138,SUMPRODUCT(MAX(ROW(E$1:E138)*(E139=E$1:E138)))))</f>
        <v>#VALUE!</v>
      </c>
      <c r="L139" s="26"/>
    </row>
    <row r="140" spans="1:12" x14ac:dyDescent="0.3">
      <c r="A140" t="s">
        <v>76</v>
      </c>
      <c r="E140" s="21" t="str">
        <f t="shared" si="9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8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166</v>
      </c>
      <c r="E141" s="21" t="str">
        <f t="shared" si="9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8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76</v>
      </c>
      <c r="E142" s="21" t="str">
        <f t="shared" si="9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8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167</v>
      </c>
      <c r="E143" s="21" t="str">
        <f t="shared" si="9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8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79</v>
      </c>
      <c r="E144" s="21" t="str">
        <f t="shared" si="9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8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168</v>
      </c>
      <c r="E145" s="21" t="str">
        <f t="shared" si="9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8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169</v>
      </c>
      <c r="E146" s="21" t="str">
        <f t="shared" si="9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8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170</v>
      </c>
      <c r="B147" s="20" t="s">
        <v>92</v>
      </c>
      <c r="C147" s="20" t="s">
        <v>72</v>
      </c>
      <c r="D147" s="20" t="s">
        <v>52</v>
      </c>
      <c r="E147" s="21" t="s">
        <v>538</v>
      </c>
      <c r="F147" s="22" t="s">
        <v>513</v>
      </c>
      <c r="G147" s="23" t="e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#VALUE!</v>
      </c>
      <c r="H147" s="24" t="str">
        <f t="shared" ca="1" si="8"/>
        <v/>
      </c>
      <c r="I147" s="25" t="e">
        <f>IF(OR(E147="",E147="!!!",F147="NEW"),"",INDEX(B$2:B146,-1+SUMPRODUCT(MAX(ROW(E$2:E146)*(E147=E$2:E146)))))</f>
        <v>#VALUE!</v>
      </c>
      <c r="J147" s="25">
        <f ca="1">IF(OR(E147="",E147="!!!",F147="NEW"),"",COUNTBLANK(OFFSET(A$1,,,SUMPRODUCT(MAX(ROW(E$2:E147)*(E147=E$2:E147)))))-COUNTBLANK(OFFSET(A$1,,,SUMPRODUCT(MAX(ROW(E$1:E146)*(E2=E$1:E146))))))</f>
        <v>0</v>
      </c>
      <c r="K147" s="25" t="e">
        <f>IF(OR(E147="",E147="!!!",F147="NEW"),"",INDEX(J$1:J146,SUMPRODUCT(MAX(ROW(E$1:E146)*(E147=E$1:E146)))))</f>
        <v>#VALUE!</v>
      </c>
      <c r="L147" s="26"/>
    </row>
    <row r="148" spans="1:12" x14ac:dyDescent="0.3">
      <c r="A148" t="s">
        <v>76</v>
      </c>
      <c r="E148" s="21" t="str">
        <f t="shared" si="9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8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171</v>
      </c>
      <c r="E149" s="21" t="str">
        <f t="shared" si="9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8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70</v>
      </c>
      <c r="E150" s="21" t="str">
        <f t="shared" si="9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8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172</v>
      </c>
      <c r="B151" s="20" t="s">
        <v>173</v>
      </c>
      <c r="C151" s="20" t="s">
        <v>72</v>
      </c>
      <c r="D151" s="20" t="s">
        <v>52</v>
      </c>
      <c r="E151" s="21" t="s">
        <v>566</v>
      </c>
      <c r="F151" s="22" t="str">
        <f>IF(OR(E151="",E151="!!!"),"",IF(NOT(ISNA(VLOOKUP(E151,E$1:E150,1,FALSE()))),"OLD",IF(AND(E151&lt;&gt;"",E151&lt;&gt;"!!!"),"NEW","")))</f>
        <v>NEW</v>
      </c>
      <c r="G151" s="23" t="str">
        <f ca="1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?REFERENTIAL</v>
      </c>
      <c r="H151" s="24" t="str">
        <f t="shared" ca="1" si="8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115</v>
      </c>
      <c r="E152" s="21" t="str">
        <f t="shared" si="9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8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103</v>
      </c>
      <c r="E153" s="21" t="str">
        <f t="shared" si="9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8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174</v>
      </c>
      <c r="E154" s="21" t="str">
        <f t="shared" si="9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8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175</v>
      </c>
      <c r="B155" s="20" t="s">
        <v>67</v>
      </c>
      <c r="C155" s="20" t="s">
        <v>51</v>
      </c>
      <c r="D155" s="20" t="s">
        <v>52</v>
      </c>
      <c r="E155" s="21" t="s">
        <v>520</v>
      </c>
      <c r="F155" s="22" t="str">
        <f>IF(OR(E155="",E155="!!!"),"",IF(NOT(ISNA(VLOOKUP(E155,E$1:E154,1,FALSE()))),"OLD",IF(AND(E155&lt;&gt;"",E155&lt;&gt;"!!!"),"NEW","")))</f>
        <v>NEW</v>
      </c>
      <c r="G155" s="23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4" t="str">
        <f t="shared" ca="1" si="8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126</v>
      </c>
      <c r="E156" s="21" t="str">
        <f t="shared" si="9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8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166</v>
      </c>
      <c r="E157" s="21" t="str">
        <f t="shared" si="9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8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76</v>
      </c>
      <c r="E158" s="21" t="str">
        <f t="shared" si="9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8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167</v>
      </c>
      <c r="E159" s="21" t="str">
        <f t="shared" si="9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8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176</v>
      </c>
      <c r="E160" s="21"/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8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103</v>
      </c>
      <c r="E161" s="21" t="str">
        <f t="shared" si="9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8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177</v>
      </c>
      <c r="E162" s="21" t="str">
        <f t="shared" si="9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8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178</v>
      </c>
      <c r="B163" s="20" t="s">
        <v>151</v>
      </c>
      <c r="C163" s="20" t="s">
        <v>58</v>
      </c>
      <c r="E163" s="21" t="str">
        <f t="shared" si="9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8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179</v>
      </c>
      <c r="E164" s="21" t="str">
        <f t="shared" si="9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8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180</v>
      </c>
      <c r="E165" s="21" t="str">
        <f t="shared" si="9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8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131</v>
      </c>
      <c r="E166" s="21" t="str">
        <f t="shared" si="9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8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181</v>
      </c>
      <c r="E167" s="21" t="str">
        <f t="shared" si="9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8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165</v>
      </c>
      <c r="B168" s="20" t="s">
        <v>74</v>
      </c>
      <c r="C168" s="20" t="s">
        <v>182</v>
      </c>
      <c r="D168" s="20" t="s">
        <v>52</v>
      </c>
      <c r="E168" s="21" t="s">
        <v>571</v>
      </c>
      <c r="F168" s="22" t="s">
        <v>513</v>
      </c>
      <c r="G168" s="23" t="e">
        <f ca="1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#VALUE!</v>
      </c>
      <c r="H168" s="24" t="str">
        <f t="shared" ca="1" si="8"/>
        <v/>
      </c>
      <c r="I168" s="25" t="e">
        <f>IF(OR(E168="",E168="!!!",F168="NEW"),"",INDEX(B$2:B167,-1+SUMPRODUCT(MAX(ROW(E$2:E167)*(E168=E$2:E167)))))</f>
        <v>#VALUE!</v>
      </c>
      <c r="J168" s="25">
        <f ca="1">IF(OR(E168="",E168="!!!",F168="NEW"),"",COUNTBLANK(OFFSET(A$1,,,SUMPRODUCT(MAX(ROW(E$2:E168)*(E168=E$2:E168)))))-COUNTBLANK(OFFSET(A$1,,,SUMPRODUCT(MAX(ROW(E$1:E167)*(E2=E$1:E167))))))</f>
        <v>0</v>
      </c>
      <c r="K168" s="25" t="e">
        <f>IF(OR(E168="",E168="!!!",F168="NEW"),"",INDEX(J$1:J167,SUMPRODUCT(MAX(ROW(E$1:E167)*(E168=E$1:E167)))))</f>
        <v>#VALUE!</v>
      </c>
      <c r="L168" s="26"/>
    </row>
    <row r="169" spans="1:12" x14ac:dyDescent="0.3">
      <c r="A169" t="s">
        <v>183</v>
      </c>
      <c r="E169" s="21" t="str">
        <f t="shared" si="9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8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159</v>
      </c>
      <c r="B170" s="20" t="s">
        <v>92</v>
      </c>
      <c r="C170" s="20" t="s">
        <v>72</v>
      </c>
      <c r="D170" s="20" t="s">
        <v>52</v>
      </c>
      <c r="E170" s="21" t="s">
        <v>563</v>
      </c>
      <c r="F170" s="22" t="str">
        <f>IF(OR(E170="",E170="!!!"),"",IF(NOT(ISNA(VLOOKUP(E170,E$1:E169,1,FALSE()))),"OLD",IF(AND(E170&lt;&gt;"",E170&lt;&gt;"!!!"),"NEW","")))</f>
        <v>OLD</v>
      </c>
      <c r="G170" s="23" t="str">
        <f ca="1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?IN_FOCUS</v>
      </c>
      <c r="H170" s="24" t="str">
        <f t="shared" ref="H170:H233" ca="1" si="10">IF(J170&lt;&gt;1,"",IF(I170="SBJ","CB","?"))</f>
        <v/>
      </c>
      <c r="I170" s="25" t="str">
        <f>IF(OR(E170="",E170="!!!",F170="NEW"),"",INDEX(B$2:B169,-1+SUMPRODUCT(MAX(ROW(E$2:E169)*(E170=E$2:E169)))))</f>
        <v>other_4</v>
      </c>
      <c r="J170" s="25">
        <f ca="1">IF(OR(E170="",E170="!!!",F170="NEW"),"",COUNTBLANK(OFFSET(A$1,,,SUMPRODUCT(MAX(ROW(E$2:E170)*(E170=E$2:E170)))))-COUNTBLANK(OFFSET(A$1,,,SUMPRODUCT(MAX(ROW(E$1:E169)*(E2=E$1:E169))))))</f>
        <v>0</v>
      </c>
      <c r="K170" s="25">
        <f ca="1">IF(OR(E170="",E170="!!!",F170="NEW"),"",INDEX(J$1:J169,SUMPRODUCT(MAX(ROW(E$1:E169)*(E170=E$1:E169)))))</f>
        <v>0</v>
      </c>
      <c r="L170" s="26"/>
    </row>
    <row r="171" spans="1:12" x14ac:dyDescent="0.3">
      <c r="A171" t="s">
        <v>105</v>
      </c>
      <c r="E171" s="21" t="str">
        <f t="shared" ref="E171:E233" si="11">IF(D171="?OLD","!!!","")</f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0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130</v>
      </c>
      <c r="E172" s="21" t="str">
        <f t="shared" si="11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0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184</v>
      </c>
      <c r="E173" s="21" t="str">
        <f t="shared" si="11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0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185</v>
      </c>
      <c r="B174" s="20" t="s">
        <v>151</v>
      </c>
      <c r="C174" s="20" t="s">
        <v>58</v>
      </c>
      <c r="E174" s="21" t="s">
        <v>573</v>
      </c>
      <c r="F174" s="22" t="str">
        <f>IF(OR(E174="",E174="!!!"),"",IF(NOT(ISNA(VLOOKUP(E174,E$1:E173,1,FALSE()))),"OLD",IF(AND(E174&lt;&gt;"",E174&lt;&gt;"!!!"),"NEW","")))</f>
        <v>NEW</v>
      </c>
      <c r="G174" s="23" t="str">
        <f ca="1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?REFERENTIAL</v>
      </c>
      <c r="H174" s="24" t="str">
        <f t="shared" ca="1" si="10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59</v>
      </c>
      <c r="E175" s="21" t="str">
        <f t="shared" si="11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0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186</v>
      </c>
      <c r="B176" s="20" t="s">
        <v>92</v>
      </c>
      <c r="C176" s="20" t="s">
        <v>58</v>
      </c>
      <c r="E176" s="21" t="str">
        <f t="shared" si="11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0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76</v>
      </c>
      <c r="E177" s="21" t="str">
        <f t="shared" si="11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0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70</v>
      </c>
      <c r="B178" s="20" t="s">
        <v>110</v>
      </c>
      <c r="E178" s="21" t="str">
        <f t="shared" si="11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0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187</v>
      </c>
      <c r="E179" s="21" t="str">
        <f t="shared" si="11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0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188</v>
      </c>
      <c r="E180" s="21" t="str">
        <f t="shared" si="11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0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107</v>
      </c>
      <c r="E181" s="21" t="str">
        <f t="shared" si="11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0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189</v>
      </c>
      <c r="B182" s="20" t="s">
        <v>110</v>
      </c>
      <c r="C182" s="20" t="s">
        <v>58</v>
      </c>
      <c r="E182" s="21" t="str">
        <f t="shared" si="11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0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190</v>
      </c>
      <c r="E183" s="21" t="str">
        <f t="shared" si="11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0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115</v>
      </c>
      <c r="E184" s="21" t="str">
        <f t="shared" si="11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0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191</v>
      </c>
      <c r="E185" s="21" t="str">
        <f t="shared" si="11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0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70</v>
      </c>
      <c r="E186" s="21" t="str">
        <f t="shared" si="11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0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172</v>
      </c>
      <c r="B187" s="20" t="s">
        <v>74</v>
      </c>
      <c r="C187" s="20" t="s">
        <v>72</v>
      </c>
      <c r="D187" s="20" t="s">
        <v>52</v>
      </c>
      <c r="E187" s="21" t="s">
        <v>566</v>
      </c>
      <c r="F187" s="22" t="str">
        <f>IF(OR(E187="",E187="!!!"),"",IF(NOT(ISNA(VLOOKUP(E187,E$1:E186,1,FALSE()))),"OLD",IF(AND(E187&lt;&gt;"",E187&lt;&gt;"!!!"),"NEW","")))</f>
        <v>OLD</v>
      </c>
      <c r="G187" s="23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?IN_FOCUS</v>
      </c>
      <c r="H187" s="24" t="str">
        <f t="shared" ca="1" si="10"/>
        <v/>
      </c>
      <c r="I187" s="25" t="str">
        <f>IF(OR(E187="",E187="!!!",F187="NEW"),"",INDEX(B$2:B186,-1+SUMPRODUCT(MAX(ROW(E$2:E186)*(E187=E$2:E186)))))</f>
        <v>SBJ_6</v>
      </c>
      <c r="J187" s="25">
        <f ca="1">IF(OR(E187="",E187="!!!",F187="NEW"),"",COUNTBLANK(OFFSET(A$1,,,SUMPRODUCT(MAX(ROW(E$2:E187)*(E187=E$2:E187)))))-COUNTBLANK(OFFSET(A$1,,,SUMPRODUCT(MAX(ROW(E$1:E186)*(E2=E$1:E186))))))</f>
        <v>0</v>
      </c>
      <c r="K187" s="25" t="str">
        <f ca="1">IF(OR(E187="",E187="!!!",F187="NEW"),"",INDEX(J$1:J186,SUMPRODUCT(MAX(ROW(E$1:E186)*(E187=E$1:E186)))))</f>
        <v/>
      </c>
      <c r="L187" s="26"/>
    </row>
    <row r="188" spans="1:12" x14ac:dyDescent="0.3">
      <c r="A188" t="s">
        <v>103</v>
      </c>
      <c r="E188" s="21" t="str">
        <f t="shared" si="11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0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192</v>
      </c>
      <c r="E189" s="21" t="str">
        <f t="shared" si="11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0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119</v>
      </c>
      <c r="B190" s="20" t="s">
        <v>193</v>
      </c>
      <c r="C190" s="20" t="s">
        <v>97</v>
      </c>
      <c r="D190" s="20" t="s">
        <v>52</v>
      </c>
      <c r="E190" s="21" t="s">
        <v>512</v>
      </c>
      <c r="F190" s="22" t="str">
        <f>IF(OR(E190="",E190="!!!"),"",IF(NOT(ISNA(VLOOKUP(E190,E$1:E189,1,FALSE()))),"OLD",IF(AND(E190&lt;&gt;"",E190&lt;&gt;"!!!"),"NEW","")))</f>
        <v>OLD</v>
      </c>
      <c r="G190" s="23" t="str">
        <f ca="1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?IN_FOCUS</v>
      </c>
      <c r="H190" s="24" t="str">
        <f t="shared" ca="1" si="10"/>
        <v/>
      </c>
      <c r="I190" s="25" t="str">
        <f>IF(OR(E190="",E190="!!!",F190="NEW"),"",INDEX(B$2:B189,-1+SUMPRODUCT(MAX(ROW(E$2:E189)*(E190=E$2:E189)))))</f>
        <v>SBJ</v>
      </c>
      <c r="J190" s="25">
        <f ca="1">IF(OR(E190="",E190="!!!",F190="NEW"),"",COUNTBLANK(OFFSET(A$1,,,SUMPRODUCT(MAX(ROW(E$2:E190)*(E190=E$2:E190)))))-COUNTBLANK(OFFSET(A$1,,,SUMPRODUCT(MAX(ROW(E$1:E189)*(E2=E$1:E189))))))</f>
        <v>0</v>
      </c>
      <c r="K190" s="25">
        <f ca="1">IF(OR(E190="",E190="!!!",F190="NEW"),"",INDEX(J$1:J189,SUMPRODUCT(MAX(ROW(E$1:E189)*(E190=E$1:E189)))))</f>
        <v>0</v>
      </c>
      <c r="L190" s="26"/>
    </row>
    <row r="191" spans="1:12" x14ac:dyDescent="0.3">
      <c r="A191" t="s">
        <v>194</v>
      </c>
      <c r="E191" s="21" t="str">
        <f t="shared" si="11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0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195</v>
      </c>
      <c r="B192" s="20" t="s">
        <v>193</v>
      </c>
      <c r="C192" s="20" t="s">
        <v>102</v>
      </c>
      <c r="E192" s="21" t="str">
        <f t="shared" si="11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0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86</v>
      </c>
      <c r="E193" s="21" t="str">
        <f t="shared" si="11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0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196</v>
      </c>
      <c r="E194" s="21" t="str">
        <f t="shared" si="11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0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76</v>
      </c>
      <c r="E195" s="21" t="str">
        <f t="shared" si="11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0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134</v>
      </c>
      <c r="E196" s="21" t="str">
        <f t="shared" si="11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0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164</v>
      </c>
      <c r="E197" s="21" t="str">
        <f t="shared" si="11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0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197</v>
      </c>
      <c r="B198" s="20" t="s">
        <v>198</v>
      </c>
      <c r="C198" s="20" t="s">
        <v>72</v>
      </c>
      <c r="D198" s="20" t="s">
        <v>52</v>
      </c>
      <c r="E198" s="21" t="s">
        <v>564</v>
      </c>
      <c r="F198" s="22" t="str">
        <f>IF(OR(E198="",E198="!!!"),"",IF(NOT(ISNA(VLOOKUP(E198,E$1:E197,1,FALSE()))),"OLD",IF(AND(E198&lt;&gt;"",E198&lt;&gt;"!!!"),"NEW","")))</f>
        <v>OLD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?IN_FOCUS</v>
      </c>
      <c r="H198" s="24" t="str">
        <f t="shared" ca="1" si="10"/>
        <v/>
      </c>
      <c r="I198" s="25" t="str">
        <f>IF(OR(E198="",E198="!!!",F198="NEW"),"",INDEX(B$2:B197,-1+SUMPRODUCT(MAX(ROW(E$2:E197)*(E198=E$2:E197)))))</f>
        <v>other_3</v>
      </c>
      <c r="J198" s="25">
        <f ca="1">IF(OR(E198="",E198="!!!",F198="NEW"),"",COUNTBLANK(OFFSET(A$1,,,SUMPRODUCT(MAX(ROW(E$2:E198)*(E198=E$2:E198)))))-COUNTBLANK(OFFSET(A$1,,,SUMPRODUCT(MAX(ROW(E$1:E197)*(E2=E$1:E197))))))</f>
        <v>0</v>
      </c>
      <c r="K198" s="25">
        <f ca="1">IF(OR(E198="",E198="!!!",F198="NEW"),"",INDEX(J$1:J197,SUMPRODUCT(MAX(ROW(E$1:E197)*(E198=E$1:E197)))))</f>
        <v>0</v>
      </c>
      <c r="L198" s="26"/>
    </row>
    <row r="199" spans="1:12" x14ac:dyDescent="0.3">
      <c r="A199" t="s">
        <v>183</v>
      </c>
      <c r="E199" s="21" t="str">
        <f t="shared" si="11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0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159</v>
      </c>
      <c r="B200" s="20" t="s">
        <v>87</v>
      </c>
      <c r="C200" s="20" t="s">
        <v>72</v>
      </c>
      <c r="D200" s="20" t="s">
        <v>52</v>
      </c>
      <c r="E200" s="21" t="s">
        <v>563</v>
      </c>
      <c r="F200" s="22" t="str">
        <f>IF(OR(E200="",E200="!!!"),"",IF(NOT(ISNA(VLOOKUP(E200,E$1:E199,1,FALSE()))),"OLD",IF(AND(E200&lt;&gt;"",E200&lt;&gt;"!!!"),"NEW","")))</f>
        <v>OLD</v>
      </c>
      <c r="G200" s="23" t="str">
        <f ca="1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?IN_FOCUS</v>
      </c>
      <c r="H200" s="24" t="str">
        <f t="shared" ca="1" si="10"/>
        <v/>
      </c>
      <c r="I200" s="25" t="str">
        <f>IF(OR(E200="",E200="!!!",F200="NEW"),"",INDEX(B$2:B199,-1+SUMPRODUCT(MAX(ROW(E$2:E199)*(E200=E$2:E199)))))</f>
        <v>other_4</v>
      </c>
      <c r="J200" s="25">
        <f ca="1">IF(OR(E200="",E200="!!!",F200="NEW"),"",COUNTBLANK(OFFSET(A$1,,,SUMPRODUCT(MAX(ROW(E$2:E200)*(E200=E$2:E200)))))-COUNTBLANK(OFFSET(A$1,,,SUMPRODUCT(MAX(ROW(E$1:E199)*(E2=E$1:E199))))))</f>
        <v>0</v>
      </c>
      <c r="K200" s="25">
        <f ca="1">IF(OR(E200="",E200="!!!",F200="NEW"),"",INDEX(J$1:J199,SUMPRODUCT(MAX(ROW(E$1:E199)*(E200=E$1:E199)))))</f>
        <v>0</v>
      </c>
      <c r="L200" s="26"/>
    </row>
    <row r="201" spans="1:12" x14ac:dyDescent="0.3">
      <c r="A201" t="s">
        <v>199</v>
      </c>
      <c r="E201" s="21" t="str">
        <f t="shared" si="11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0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66</v>
      </c>
      <c r="B202" s="20" t="s">
        <v>85</v>
      </c>
      <c r="C202" s="20" t="s">
        <v>68</v>
      </c>
      <c r="D202" s="20" t="s">
        <v>52</v>
      </c>
      <c r="E202" s="21"/>
      <c r="F202" s="22" t="s">
        <v>509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0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200</v>
      </c>
      <c r="B203" s="20" t="s">
        <v>110</v>
      </c>
      <c r="C203" s="20" t="s">
        <v>58</v>
      </c>
      <c r="E203" s="21" t="str">
        <f t="shared" si="11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0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201</v>
      </c>
      <c r="E204" s="21" t="str">
        <f t="shared" si="11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0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76</v>
      </c>
      <c r="E205" s="21" t="str">
        <f t="shared" si="11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0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202</v>
      </c>
      <c r="E206" s="21" t="str">
        <f t="shared" si="11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0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113</v>
      </c>
      <c r="B207" s="20" t="s">
        <v>108</v>
      </c>
      <c r="C207" s="20" t="s">
        <v>90</v>
      </c>
      <c r="D207" s="20" t="s">
        <v>52</v>
      </c>
      <c r="E207" s="21"/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0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 t="s">
        <v>515</v>
      </c>
    </row>
    <row r="208" spans="1:12" x14ac:dyDescent="0.3">
      <c r="A208" t="s">
        <v>203</v>
      </c>
      <c r="B208" s="20" t="s">
        <v>110</v>
      </c>
      <c r="C208" s="20" t="s">
        <v>93</v>
      </c>
      <c r="D208" s="20" t="s">
        <v>52</v>
      </c>
      <c r="E208" s="21" t="s">
        <v>566</v>
      </c>
      <c r="F208" s="22" t="s">
        <v>523</v>
      </c>
      <c r="G208" s="23" t="str">
        <f ca="1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?IN_FOCUS</v>
      </c>
      <c r="H208" s="24" t="str">
        <f t="shared" ca="1" si="10"/>
        <v/>
      </c>
      <c r="I208" s="25" t="str">
        <f>IF(OR(E208="",E208="!!!",F208="NEW"),"",INDEX(B$2:B207,-1+SUMPRODUCT(MAX(ROW(E$2:E207)*(E208=E$2:E207)))))</f>
        <v>other_3</v>
      </c>
      <c r="J208" s="25">
        <f ca="1">IF(OR(E208="",E208="!!!",F208="NEW"),"",COUNTBLANK(OFFSET(A$1,,,SUMPRODUCT(MAX(ROW(E$2:E208)*(E208=E$2:E208)))))-COUNTBLANK(OFFSET(A$1,,,SUMPRODUCT(MAX(ROW(E$1:E207)*(E2=E$1:E207))))))</f>
        <v>0</v>
      </c>
      <c r="K208" s="25">
        <f ca="1">IF(OR(E208="",E208="!!!",F208="NEW"),"",INDEX(J$1:J207,SUMPRODUCT(MAX(ROW(E$1:E207)*(E208=E$1:E207)))))</f>
        <v>0</v>
      </c>
      <c r="L208" s="26"/>
    </row>
    <row r="209" spans="1:12" x14ac:dyDescent="0.3">
      <c r="A209" t="s">
        <v>76</v>
      </c>
      <c r="E209" s="21" t="str">
        <f t="shared" si="11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0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112</v>
      </c>
      <c r="E210" s="21" t="str">
        <f t="shared" si="11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0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130</v>
      </c>
      <c r="B211" s="20" t="s">
        <v>204</v>
      </c>
      <c r="C211" s="20" t="s">
        <v>97</v>
      </c>
      <c r="D211" s="20" t="s">
        <v>52</v>
      </c>
      <c r="E211" s="21"/>
      <c r="F211" s="22" t="s">
        <v>521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0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205</v>
      </c>
      <c r="E212" s="21" t="str">
        <f t="shared" si="11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0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76</v>
      </c>
      <c r="E213" s="21" t="str">
        <f t="shared" si="11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0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61</v>
      </c>
      <c r="E214" s="21" t="str">
        <f t="shared" si="11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0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206</v>
      </c>
      <c r="E215" s="21" t="str">
        <f t="shared" si="11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0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207</v>
      </c>
      <c r="E216" s="21" t="str">
        <f t="shared" si="11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0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208</v>
      </c>
      <c r="E217" s="21" t="str">
        <f t="shared" si="11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0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209</v>
      </c>
      <c r="B218" s="20" t="s">
        <v>210</v>
      </c>
      <c r="C218" s="20" t="s">
        <v>102</v>
      </c>
      <c r="E218" s="21" t="str">
        <f t="shared" si="11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0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211</v>
      </c>
      <c r="E219" s="21" t="str">
        <f t="shared" si="11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0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103</v>
      </c>
      <c r="E220" s="21" t="str">
        <f t="shared" si="11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0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212</v>
      </c>
      <c r="B221" s="20" t="s">
        <v>110</v>
      </c>
      <c r="C221" s="20" t="s">
        <v>68</v>
      </c>
      <c r="D221" s="20" t="s">
        <v>52</v>
      </c>
      <c r="E221" s="21" t="s">
        <v>566</v>
      </c>
      <c r="F221" s="22" t="s">
        <v>523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10"/>
        <v/>
      </c>
      <c r="I221" s="25" t="str">
        <f>IF(OR(E221="",E221="!!!",F221="NEW"),"",INDEX(B$2:B220,-1+SUMPRODUCT(MAX(ROW(E$2:E220)*(E221=E$2:E220)))))</f>
        <v>SBJ_5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143</v>
      </c>
      <c r="E222" s="21" t="str">
        <f t="shared" si="11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0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213</v>
      </c>
      <c r="E223" s="21" t="str">
        <f t="shared" si="11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0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214</v>
      </c>
      <c r="E224" s="21" t="str">
        <f t="shared" si="11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0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70</v>
      </c>
      <c r="E225" s="21" t="str">
        <f t="shared" si="11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0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215</v>
      </c>
      <c r="E226" s="21" t="str">
        <f t="shared" si="11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0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203</v>
      </c>
      <c r="B227" s="20" t="s">
        <v>193</v>
      </c>
      <c r="C227" s="20" t="s">
        <v>72</v>
      </c>
      <c r="D227" s="20" t="s">
        <v>52</v>
      </c>
      <c r="E227" s="21" t="s">
        <v>566</v>
      </c>
      <c r="F227" s="22" t="s">
        <v>523</v>
      </c>
      <c r="G227" s="23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?IN_FOCUS</v>
      </c>
      <c r="H227" s="24" t="str">
        <f t="shared" ca="1" si="10"/>
        <v/>
      </c>
      <c r="I227" s="25" t="str">
        <f>IF(OR(E227="",E227="!!!",F227="NEW"),"",INDEX(B$2:B226,-1+SUMPRODUCT(MAX(ROW(E$2:E226)*(E227=E$2:E226)))))</f>
        <v>SBJ_5</v>
      </c>
      <c r="J227" s="25">
        <f ca="1">IF(OR(E227="",E227="!!!",F227="NEW"),"",COUNTBLANK(OFFSET(A$1,,,SUMPRODUCT(MAX(ROW(E$2:E227)*(E227=E$2:E227)))))-COUNTBLANK(OFFSET(A$1,,,SUMPRODUCT(MAX(ROW(E$1:E226)*(E2=E$1:E226))))))</f>
        <v>0</v>
      </c>
      <c r="K227" s="25">
        <f ca="1">IF(OR(E227="",E227="!!!",F227="NEW"),"",INDEX(J$1:J226,SUMPRODUCT(MAX(ROW(E$1:E226)*(E227=E$1:E226)))))</f>
        <v>0</v>
      </c>
      <c r="L227" s="26"/>
    </row>
    <row r="228" spans="1:12" x14ac:dyDescent="0.3">
      <c r="A228" t="s">
        <v>76</v>
      </c>
      <c r="E228" s="21" t="str">
        <f t="shared" si="11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0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216</v>
      </c>
      <c r="E229" s="21" t="str">
        <f t="shared" si="11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0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66</v>
      </c>
      <c r="B230" s="20" t="s">
        <v>173</v>
      </c>
      <c r="C230" s="20" t="s">
        <v>68</v>
      </c>
      <c r="D230" s="20" t="s">
        <v>52</v>
      </c>
      <c r="E230" s="21" t="s">
        <v>566</v>
      </c>
      <c r="F230" s="22" t="s">
        <v>523</v>
      </c>
      <c r="G230" s="23" t="str">
        <f ca="1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?IN_FOCUS</v>
      </c>
      <c r="H230" s="24" t="str">
        <f t="shared" ca="1" si="10"/>
        <v/>
      </c>
      <c r="I230" s="25" t="str">
        <f>IF(OR(E230="",E230="!!!",F230="NEW"),"",INDEX(B$2:B229,-1+SUMPRODUCT(MAX(ROW(E$2:E229)*(E230=E$2:E229)))))</f>
        <v>OBJ_5</v>
      </c>
      <c r="J230" s="25">
        <f ca="1">IF(OR(E230="",E230="!!!",F230="NEW"),"",COUNTBLANK(OFFSET(A$1,,,SUMPRODUCT(MAX(ROW(E$2:E230)*(E230=E$2:E230)))))-COUNTBLANK(OFFSET(A$1,,,SUMPRODUCT(MAX(ROW(E$1:E229)*(E2=E$1:E229))))))</f>
        <v>0</v>
      </c>
      <c r="K230" s="25">
        <f ca="1">IF(OR(E230="",E230="!!!",F230="NEW"),"",INDEX(J$1:J229,SUMPRODUCT(MAX(ROW(E$1:E229)*(E230=E$1:E229)))))</f>
        <v>0</v>
      </c>
      <c r="L230" s="26"/>
    </row>
    <row r="231" spans="1:12" x14ac:dyDescent="0.3">
      <c r="A231" t="s">
        <v>217</v>
      </c>
      <c r="E231" s="21" t="str">
        <f t="shared" si="11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0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70</v>
      </c>
      <c r="E232" s="21" t="str">
        <f t="shared" si="11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0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218</v>
      </c>
      <c r="E233" s="21" t="str">
        <f t="shared" si="11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0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219</v>
      </c>
      <c r="B234" s="20" t="s">
        <v>220</v>
      </c>
      <c r="C234" s="20" t="s">
        <v>72</v>
      </c>
      <c r="D234" s="20" t="s">
        <v>52</v>
      </c>
      <c r="E234" s="21" t="s">
        <v>539</v>
      </c>
      <c r="F234" s="22" t="str">
        <f>IF(OR(E234="",E234="!!!"),"",IF(NOT(ISNA(VLOOKUP(E234,E$1:E233,1,FALSE()))),"OLD",IF(AND(E234&lt;&gt;"",E234&lt;&gt;"!!!"),"NEW","")))</f>
        <v>NEW</v>
      </c>
      <c r="G234" s="23" t="str">
        <f ca="1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?REFERENTIAL</v>
      </c>
      <c r="H234" s="24" t="str">
        <f t="shared" ref="H234:H297" ca="1" si="12">IF(J234&lt;&gt;1,"",IF(I234="SBJ","CB","?"))</f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59</v>
      </c>
      <c r="E235" s="21" t="str">
        <f t="shared" ref="E235:E296" si="13">IF(D235="?OLD","!!!","")</f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12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221</v>
      </c>
      <c r="B236" s="20" t="s">
        <v>222</v>
      </c>
      <c r="C236" s="20" t="s">
        <v>58</v>
      </c>
      <c r="E236" s="21" t="str">
        <f t="shared" si="13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2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131</v>
      </c>
      <c r="E237" s="21" t="str">
        <f t="shared" si="13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2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209</v>
      </c>
      <c r="B238" s="20" t="s">
        <v>222</v>
      </c>
      <c r="C238" s="20" t="s">
        <v>72</v>
      </c>
      <c r="D238" s="20" t="s">
        <v>52</v>
      </c>
      <c r="E238" s="21" t="s">
        <v>517</v>
      </c>
      <c r="F238" s="22" t="str">
        <f>IF(OR(E238="",E238="!!!"),"",IF(NOT(ISNA(VLOOKUP(E238,E$1:E237,1,FALSE()))),"OLD",IF(AND(E238&lt;&gt;"",E238&lt;&gt;"!!!"),"NEW","")))</f>
        <v>OLD</v>
      </c>
      <c r="G238" s="23" t="str">
        <f ca="1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?IN_FOCUS</v>
      </c>
      <c r="H238" s="24" t="str">
        <f t="shared" ca="1" si="12"/>
        <v/>
      </c>
      <c r="I238" s="25" t="str">
        <f>IF(OR(E238="",E238="!!!",F238="NEW"),"",INDEX(B$2:B237,-1+SUMPRODUCT(MAX(ROW(E$2:E237)*(E238=E$2:E237)))))</f>
        <v>other_4</v>
      </c>
      <c r="J238" s="25">
        <f ca="1">IF(OR(E238="",E238="!!!",F238="NEW"),"",COUNTBLANK(OFFSET(A$1,,,SUMPRODUCT(MAX(ROW(E$2:E238)*(E238=E$2:E238)))))-COUNTBLANK(OFFSET(A$1,,,SUMPRODUCT(MAX(ROW(E$1:E237)*(E2=E$1:E237))))))</f>
        <v>0</v>
      </c>
      <c r="K238" s="25" t="str">
        <f ca="1">IF(OR(E238="",E238="!!!",F238="NEW"),"",INDEX(J$1:J237,SUMPRODUCT(MAX(ROW(E$1:E237)*(E238=E$1:E237)))))</f>
        <v/>
      </c>
      <c r="L238" s="26"/>
    </row>
    <row r="239" spans="1:12" x14ac:dyDescent="0.3">
      <c r="A239" t="s">
        <v>223</v>
      </c>
      <c r="E239" s="21" t="str">
        <f t="shared" si="13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2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103</v>
      </c>
      <c r="E240" s="21" t="str">
        <f t="shared" si="13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2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180</v>
      </c>
      <c r="E241" s="21" t="str">
        <f t="shared" si="13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12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131</v>
      </c>
      <c r="E242" s="21" t="str">
        <f t="shared" si="13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12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181</v>
      </c>
      <c r="E243" s="21" t="str">
        <f t="shared" si="13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12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165</v>
      </c>
      <c r="B244" s="20" t="s">
        <v>74</v>
      </c>
      <c r="C244" s="20" t="s">
        <v>182</v>
      </c>
      <c r="D244" s="20" t="s">
        <v>52</v>
      </c>
      <c r="E244" s="21" t="s">
        <v>565</v>
      </c>
      <c r="F244" s="22" t="s">
        <v>513</v>
      </c>
      <c r="G244" s="23" t="e">
        <f ca="1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#VALUE!</v>
      </c>
      <c r="H244" s="24" t="str">
        <f t="shared" ca="1" si="12"/>
        <v/>
      </c>
      <c r="I244" s="25" t="e">
        <f>IF(OR(E244="",E244="!!!",F244="NEW"),"",INDEX(B$2:B243,-1+SUMPRODUCT(MAX(ROW(E$2:E243)*(E244=E$2:E243)))))</f>
        <v>#VALUE!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 t="e">
        <f>IF(OR(E244="",E244="!!!",F244="NEW"),"",INDEX(J$1:J243,SUMPRODUCT(MAX(ROW(E$1:E243)*(E244=E$1:E243)))))</f>
        <v>#VALUE!</v>
      </c>
      <c r="L244" s="26"/>
    </row>
    <row r="245" spans="1:12" x14ac:dyDescent="0.3">
      <c r="A245" t="s">
        <v>183</v>
      </c>
      <c r="E245" s="21" t="str">
        <f t="shared" si="13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12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159</v>
      </c>
      <c r="B246" s="20" t="s">
        <v>92</v>
      </c>
      <c r="C246" s="20" t="s">
        <v>72</v>
      </c>
      <c r="D246" s="20" t="s">
        <v>52</v>
      </c>
      <c r="E246" s="21" t="s">
        <v>563</v>
      </c>
      <c r="F246" s="22" t="str">
        <f>IF(OR(E246="",E246="!!!"),"",IF(NOT(ISNA(VLOOKUP(E246,E$1:E245,1,FALSE()))),"OLD",IF(AND(E246&lt;&gt;"",E246&lt;&gt;"!!!"),"NEW","")))</f>
        <v>OLD</v>
      </c>
      <c r="G246" s="23" t="str">
        <f ca="1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?IN_FOCUS</v>
      </c>
      <c r="H246" s="24" t="str">
        <f t="shared" ca="1" si="12"/>
        <v/>
      </c>
      <c r="I246" s="25" t="str">
        <f>IF(OR(E246="",E246="!!!",F246="NEW"),"",INDEX(B$2:B245,-1+SUMPRODUCT(MAX(ROW(E$2:E245)*(E246=E$2:E245)))))</f>
        <v>other_5</v>
      </c>
      <c r="J246" s="25">
        <f ca="1">IF(OR(E246="",E246="!!!",F246="NEW"),"",COUNTBLANK(OFFSET(A$1,,,SUMPRODUCT(MAX(ROW(E$2:E246)*(E246=E$2:E246)))))-COUNTBLANK(OFFSET(A$1,,,SUMPRODUCT(MAX(ROW(E$1:E245)*(E2=E$1:E245))))))</f>
        <v>0</v>
      </c>
      <c r="K246" s="25">
        <f ca="1">IF(OR(E246="",E246="!!!",F246="NEW"),"",INDEX(J$1:J245,SUMPRODUCT(MAX(ROW(E$1:E245)*(E246=E$1:E245)))))</f>
        <v>0</v>
      </c>
      <c r="L246" s="26"/>
    </row>
    <row r="247" spans="1:12" x14ac:dyDescent="0.3">
      <c r="A247" t="s">
        <v>224</v>
      </c>
      <c r="E247" s="21" t="str">
        <f t="shared" si="13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12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225</v>
      </c>
      <c r="B248" s="20" t="s">
        <v>151</v>
      </c>
      <c r="C248" s="20" t="s">
        <v>68</v>
      </c>
      <c r="D248" s="20" t="s">
        <v>52</v>
      </c>
      <c r="E248" s="21"/>
      <c r="F248" s="22" t="s">
        <v>509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12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135</v>
      </c>
      <c r="B249" s="20" t="s">
        <v>151</v>
      </c>
      <c r="C249" s="20" t="s">
        <v>58</v>
      </c>
      <c r="E249" s="21" t="s">
        <v>568</v>
      </c>
      <c r="F249" s="22" t="str">
        <f>IF(OR(E249="",E249="!!!"),"",IF(NOT(ISNA(VLOOKUP(E249,E$1:E248,1,FALSE()))),"OLD",IF(AND(E249&lt;&gt;"",E249&lt;&gt;"!!!"),"NEW","")))</f>
        <v>NEW</v>
      </c>
      <c r="G249" s="23" t="str">
        <f ca="1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?REFERENTIAL</v>
      </c>
      <c r="H249" s="24" t="str">
        <f t="shared" ca="1" si="12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 t="s">
        <v>537</v>
      </c>
    </row>
    <row r="250" spans="1:12" x14ac:dyDescent="0.3">
      <c r="A250" t="s">
        <v>76</v>
      </c>
      <c r="E250" s="21" t="str">
        <f t="shared" si="13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12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70</v>
      </c>
      <c r="B251" s="20" t="s">
        <v>110</v>
      </c>
      <c r="E251" s="21" t="str">
        <f t="shared" si="13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12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79</v>
      </c>
      <c r="E252" s="21" t="str">
        <f t="shared" si="13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12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226</v>
      </c>
      <c r="B253" s="20" t="s">
        <v>87</v>
      </c>
      <c r="C253" s="20" t="s">
        <v>58</v>
      </c>
      <c r="E253" s="21" t="str">
        <f t="shared" si="13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12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112</v>
      </c>
      <c r="E254" s="21" t="str">
        <f t="shared" si="13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12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227</v>
      </c>
      <c r="E255" s="21" t="str">
        <f t="shared" si="13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12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12</v>
      </c>
      <c r="E256" s="21" t="str">
        <f t="shared" si="13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12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228</v>
      </c>
      <c r="B257" s="20" t="s">
        <v>108</v>
      </c>
      <c r="C257" s="20" t="s">
        <v>58</v>
      </c>
      <c r="E257" s="21" t="str">
        <f t="shared" si="13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12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229</v>
      </c>
      <c r="E258" s="21" t="str">
        <f t="shared" si="13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12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115</v>
      </c>
      <c r="E259" s="21" t="str">
        <f t="shared" si="13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12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59</v>
      </c>
      <c r="E260" s="21" t="str">
        <f t="shared" si="13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12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230</v>
      </c>
      <c r="B261" s="20" t="s">
        <v>220</v>
      </c>
      <c r="E261" s="21" t="str">
        <f t="shared" si="13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12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184</v>
      </c>
      <c r="E262" s="21" t="str">
        <f t="shared" si="13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12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231</v>
      </c>
      <c r="E263" s="21" t="str">
        <f t="shared" si="13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12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168</v>
      </c>
      <c r="E264" s="21" t="str">
        <f t="shared" si="13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12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232</v>
      </c>
      <c r="B265" s="20" t="s">
        <v>108</v>
      </c>
      <c r="C265" s="20" t="s">
        <v>72</v>
      </c>
      <c r="D265" s="20" t="s">
        <v>52</v>
      </c>
      <c r="E265" s="21"/>
      <c r="F265" s="22" t="s">
        <v>532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12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233</v>
      </c>
      <c r="B266" s="20" t="s">
        <v>222</v>
      </c>
      <c r="C266" s="20" t="s">
        <v>51</v>
      </c>
      <c r="D266" s="20" t="s">
        <v>52</v>
      </c>
      <c r="E266" s="21" t="s">
        <v>542</v>
      </c>
      <c r="F266" s="22" t="s">
        <v>516</v>
      </c>
      <c r="G266" s="23" t="str">
        <f ca="1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?REFERENTIAL</v>
      </c>
      <c r="H266" s="24" t="str">
        <f t="shared" ca="1" si="12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234</v>
      </c>
      <c r="E267" s="21" t="str">
        <f t="shared" si="13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12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140</v>
      </c>
      <c r="B268" s="20" t="s">
        <v>210</v>
      </c>
      <c r="C268" s="20" t="s">
        <v>51</v>
      </c>
      <c r="D268" s="20" t="s">
        <v>52</v>
      </c>
      <c r="E268" s="21" t="s">
        <v>518</v>
      </c>
      <c r="F268" s="22" t="str">
        <f>IF(OR(E268="",E268="!!!"),"",IF(NOT(ISNA(VLOOKUP(E268,E$1:E267,1,FALSE()))),"OLD",IF(AND(E268&lt;&gt;"",E268&lt;&gt;"!!!"),"NEW","")))</f>
        <v>OLD</v>
      </c>
      <c r="G268" s="23" t="str">
        <f ca="1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?IN_FOCUS</v>
      </c>
      <c r="H268" s="24" t="str">
        <f t="shared" ca="1" si="12"/>
        <v/>
      </c>
      <c r="I268" s="25" t="str">
        <f>IF(OR(E268="",E268="!!!",F268="NEW"),"",INDEX(B$2:B267,-1+SUMPRODUCT(MAX(ROW(E$2:E267)*(E268=E$2:E267)))))</f>
        <v>other_5</v>
      </c>
      <c r="J268" s="25">
        <f ca="1">IF(OR(E268="",E268="!!!",F268="NEW"),"",COUNTBLANK(OFFSET(A$1,,,SUMPRODUCT(MAX(ROW(E$2:E268)*(E268=E$2:E268)))))-COUNTBLANK(OFFSET(A$1,,,SUMPRODUCT(MAX(ROW(E$1:E267)*(E2=E$1:E267))))))</f>
        <v>0</v>
      </c>
      <c r="K268" s="25" t="str">
        <f ca="1">IF(OR(E268="",E268="!!!",F268="NEW"),"",INDEX(J$1:J267,SUMPRODUCT(MAX(ROW(E$1:E267)*(E268=E$1:E267)))))</f>
        <v/>
      </c>
      <c r="L268" s="26"/>
    </row>
    <row r="269" spans="1:12" x14ac:dyDescent="0.3">
      <c r="A269" t="s">
        <v>234</v>
      </c>
      <c r="E269" s="21" t="str">
        <f t="shared" si="13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12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235</v>
      </c>
      <c r="B270" s="20" t="s">
        <v>210</v>
      </c>
      <c r="C270" s="20" t="s">
        <v>51</v>
      </c>
      <c r="D270" s="20" t="s">
        <v>52</v>
      </c>
      <c r="E270" s="21" t="s">
        <v>541</v>
      </c>
      <c r="F270" s="22" t="str">
        <f>IF(OR(E270="",E270="!!!"),"",IF(NOT(ISNA(VLOOKUP(E270,E$1:E269,1,FALSE()))),"OLD",IF(AND(E270&lt;&gt;"",E270&lt;&gt;"!!!"),"NEW","")))</f>
        <v>NEW</v>
      </c>
      <c r="G270" s="23" t="str">
        <f ca="1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?REFERENTIAL</v>
      </c>
      <c r="H270" s="24" t="str">
        <f t="shared" ca="1" si="12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236</v>
      </c>
      <c r="E271" s="21" t="str">
        <f t="shared" si="13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12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76</v>
      </c>
      <c r="E272" s="21" t="str">
        <f t="shared" si="13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12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191</v>
      </c>
      <c r="E273" s="21" t="str">
        <f t="shared" si="13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12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231</v>
      </c>
      <c r="E274" s="21" t="str">
        <f t="shared" si="13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12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131</v>
      </c>
      <c r="E275" s="21" t="str">
        <f t="shared" si="13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12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237</v>
      </c>
      <c r="E276" s="21" t="str">
        <f t="shared" si="13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12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238</v>
      </c>
      <c r="B277" s="20" t="s">
        <v>74</v>
      </c>
      <c r="C277" s="20" t="s">
        <v>72</v>
      </c>
      <c r="D277" s="20" t="s">
        <v>52</v>
      </c>
      <c r="E277" s="21" t="s">
        <v>540</v>
      </c>
      <c r="F277" s="22" t="str">
        <f>IF(OR(E277="",E277="!!!"),"",IF(NOT(ISNA(VLOOKUP(E277,E$1:E276,1,FALSE()))),"OLD",IF(AND(E277&lt;&gt;"",E277&lt;&gt;"!!!"),"NEW","")))</f>
        <v>NEW</v>
      </c>
      <c r="G277" s="23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?REFERENTIAL</v>
      </c>
      <c r="H277" s="24" t="str">
        <f t="shared" ca="1" si="12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239</v>
      </c>
      <c r="E278" s="21" t="str">
        <f t="shared" si="13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12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139</v>
      </c>
      <c r="B279" s="20" t="s">
        <v>92</v>
      </c>
      <c r="C279" s="20" t="s">
        <v>51</v>
      </c>
      <c r="D279" s="20" t="s">
        <v>52</v>
      </c>
      <c r="E279" s="21" t="s">
        <v>517</v>
      </c>
      <c r="F279" s="22" t="str">
        <f>IF(OR(E279="",E279="!!!"),"",IF(NOT(ISNA(VLOOKUP(E279,E$1:E278,1,FALSE()))),"OLD",IF(AND(E279&lt;&gt;"",E279&lt;&gt;"!!!"),"NEW","")))</f>
        <v>OLD</v>
      </c>
      <c r="G279" s="23" t="str">
        <f ca="1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?IN_FOCUS</v>
      </c>
      <c r="H279" s="24" t="str">
        <f t="shared" ca="1" si="12"/>
        <v/>
      </c>
      <c r="I279" s="25" t="str">
        <f>IF(OR(E279="",E279="!!!",F279="NEW"),"",INDEX(B$2:B278,-1+SUMPRODUCT(MAX(ROW(E$2:E278)*(E279=E$2:E278)))))</f>
        <v>other_7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103</v>
      </c>
      <c r="E280" s="21" t="str">
        <f t="shared" si="13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12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240</v>
      </c>
      <c r="E281" s="21" t="str">
        <f t="shared" si="13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12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131</v>
      </c>
      <c r="E282" s="21" t="str">
        <f t="shared" si="13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12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241</v>
      </c>
      <c r="B283" s="20" t="s">
        <v>92</v>
      </c>
      <c r="C283" s="20" t="s">
        <v>72</v>
      </c>
      <c r="D283" s="20" t="s">
        <v>52</v>
      </c>
      <c r="E283" s="21" t="s">
        <v>567</v>
      </c>
      <c r="F283" s="22" t="s">
        <v>513</v>
      </c>
      <c r="G283" s="23" t="e">
        <f ca="1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#VALUE!</v>
      </c>
      <c r="H283" s="24" t="str">
        <f t="shared" ca="1" si="12"/>
        <v/>
      </c>
      <c r="I283" s="25" t="e">
        <f>IF(OR(E283="",E283="!!!",F283="NEW"),"",INDEX(B$2:B282,-1+SUMPRODUCT(MAX(ROW(E$2:E282)*(E283=E$2:E282)))))</f>
        <v>#VALUE!</v>
      </c>
      <c r="J283" s="25">
        <f ca="1">IF(OR(E283="",E283="!!!",F283="NEW"),"",COUNTBLANK(OFFSET(A$1,,,SUMPRODUCT(MAX(ROW(E$2:E283)*(E283=E$2:E283)))))-COUNTBLANK(OFFSET(A$1,,,SUMPRODUCT(MAX(ROW(E$1:E282)*(E2=E$1:E282))))))</f>
        <v>0</v>
      </c>
      <c r="K283" s="25" t="e">
        <f>IF(OR(E283="",E283="!!!",F283="NEW"),"",INDEX(J$1:J282,SUMPRODUCT(MAX(ROW(E$1:E282)*(E283=E$1:E282)))))</f>
        <v>#VALUE!</v>
      </c>
      <c r="L283" s="26"/>
    </row>
    <row r="284" spans="1:12" x14ac:dyDescent="0.3">
      <c r="A284" t="s">
        <v>143</v>
      </c>
      <c r="E284" s="21" t="str">
        <f t="shared" si="13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12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96</v>
      </c>
      <c r="B285" s="20" t="s">
        <v>85</v>
      </c>
      <c r="C285" s="20" t="s">
        <v>97</v>
      </c>
      <c r="D285" s="20" t="s">
        <v>52</v>
      </c>
      <c r="E285" s="21" t="s">
        <v>512</v>
      </c>
      <c r="F285" s="22" t="str">
        <f>IF(OR(E285="",E285="!!!"),"",IF(NOT(ISNA(VLOOKUP(E285,E$1:E284,1,FALSE()))),"OLD",IF(AND(E285&lt;&gt;"",E285&lt;&gt;"!!!"),"NEW","")))</f>
        <v>OLD</v>
      </c>
      <c r="G285" s="23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?IN_FOCUS</v>
      </c>
      <c r="H285" s="24" t="str">
        <f t="shared" ca="1" si="12"/>
        <v/>
      </c>
      <c r="I285" s="25" t="str">
        <f>IF(OR(E285="",E285="!!!",F285="NEW"),"",INDEX(B$2:B284,-1+SUMPRODUCT(MAX(ROW(E$2:E284)*(E285=E$2:E284)))))</f>
        <v>OBJ_5</v>
      </c>
      <c r="J285" s="25">
        <f ca="1">IF(OR(E285="",E285="!!!",F285="NEW"),"",COUNTBLANK(OFFSET(A$1,,,SUMPRODUCT(MAX(ROW(E$2:E285)*(E285=E$2:E285)))))-COUNTBLANK(OFFSET(A$1,,,SUMPRODUCT(MAX(ROW(E$1:E284)*(E2=E$1:E284))))))</f>
        <v>0</v>
      </c>
      <c r="K285" s="25">
        <f ca="1">IF(OR(E285="",E285="!!!",F285="NEW"),"",INDEX(J$1:J284,SUMPRODUCT(MAX(ROW(E$1:E284)*(E285=E$1:E284)))))</f>
        <v>0</v>
      </c>
      <c r="L285" s="26"/>
    </row>
    <row r="286" spans="1:12" x14ac:dyDescent="0.3">
      <c r="A286" t="s">
        <v>242</v>
      </c>
      <c r="E286" s="21" t="s">
        <v>524</v>
      </c>
      <c r="F286" s="22" t="str">
        <f>IF(OR(E286="",E286="!!!"),"",IF(NOT(ISNA(VLOOKUP(E286,E$1:E285,1,FALSE()))),"OLD",IF(AND(E286&lt;&gt;"",E286&lt;&gt;"!!!"),"NEW","")))</f>
        <v>NEW</v>
      </c>
      <c r="G286" s="23" t="str">
        <f ca="1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?REFERENTIAL</v>
      </c>
      <c r="H286" s="24" t="str">
        <f t="shared" ca="1" si="12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76</v>
      </c>
      <c r="E287" s="21" t="str">
        <f t="shared" si="13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12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243</v>
      </c>
      <c r="B288" s="20" t="s">
        <v>204</v>
      </c>
      <c r="E288" s="21" t="str">
        <f t="shared" si="13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12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70</v>
      </c>
      <c r="E289" s="21" t="str">
        <f t="shared" si="13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12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244</v>
      </c>
      <c r="E290" s="21" t="str">
        <f t="shared" si="13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12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245</v>
      </c>
      <c r="B291" s="20" t="s">
        <v>246</v>
      </c>
      <c r="C291" s="20" t="s">
        <v>247</v>
      </c>
      <c r="D291" s="20" t="s">
        <v>52</v>
      </c>
      <c r="E291" s="21" t="s">
        <v>569</v>
      </c>
      <c r="F291" s="22" t="s">
        <v>522</v>
      </c>
      <c r="G291" s="23" t="e">
        <f ca="1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#VALUE!</v>
      </c>
      <c r="H291" s="24" t="str">
        <f t="shared" ca="1" si="12"/>
        <v/>
      </c>
      <c r="I291" s="25" t="e">
        <f>IF(OR(E291="",E291="!!!",F291="NEW"),"",INDEX(B$2:B290,-1+SUMPRODUCT(MAX(ROW(E$2:E290)*(E291=E$2:E290)))))</f>
        <v>#VALUE!</v>
      </c>
      <c r="J291" s="25">
        <f ca="1">IF(OR(E291="",E291="!!!",F291="NEW"),"",COUNTBLANK(OFFSET(A$1,,,SUMPRODUCT(MAX(ROW(E$2:E291)*(E291=E$2:E291)))))-COUNTBLANK(OFFSET(A$1,,,SUMPRODUCT(MAX(ROW(E$1:E290)*(E2=E$1:E290))))))</f>
        <v>0</v>
      </c>
      <c r="K291" s="25" t="e">
        <f>IF(OR(E291="",E291="!!!",F291="NEW"),"",INDEX(J$1:J290,SUMPRODUCT(MAX(ROW(E$1:E290)*(E291=E$1:E290)))))</f>
        <v>#VALUE!</v>
      </c>
      <c r="L291" s="26"/>
    </row>
    <row r="292" spans="1:12" x14ac:dyDescent="0.3">
      <c r="A292" t="s">
        <v>248</v>
      </c>
      <c r="E292" s="21" t="str">
        <f t="shared" si="13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12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76</v>
      </c>
      <c r="E293" s="21" t="str">
        <f t="shared" si="13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12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59</v>
      </c>
      <c r="E294" s="21" t="str">
        <f t="shared" si="13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12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243</v>
      </c>
      <c r="B295" s="20" t="s">
        <v>249</v>
      </c>
      <c r="C295" s="20" t="s">
        <v>90</v>
      </c>
      <c r="D295" s="20" t="s">
        <v>52</v>
      </c>
      <c r="E295" s="21" t="s">
        <v>524</v>
      </c>
      <c r="F295" s="22" t="s">
        <v>523</v>
      </c>
      <c r="G295" s="23" t="str">
        <f ca="1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?IN_FOCUS</v>
      </c>
      <c r="H295" s="24" t="str">
        <f t="shared" ca="1" si="12"/>
        <v/>
      </c>
      <c r="I295" s="25">
        <f>IF(OR(E295="",E295="!!!",F295="NEW"),"",INDEX(B$2:B294,-1+SUMPRODUCT(MAX(ROW(E$2:E294)*(E295=E$2:E294)))))</f>
        <v>0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 t="str">
        <f ca="1">IF(OR(E295="",E295="!!!",F295="NEW"),"",INDEX(J$1:J294,SUMPRODUCT(MAX(ROW(E$1:E294)*(E295=E$1:E294)))))</f>
        <v/>
      </c>
      <c r="L295" s="26"/>
    </row>
    <row r="296" spans="1:12" x14ac:dyDescent="0.3">
      <c r="A296" t="s">
        <v>126</v>
      </c>
      <c r="E296" s="21" t="str">
        <f t="shared" si="13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12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250</v>
      </c>
      <c r="B297" s="20" t="s">
        <v>222</v>
      </c>
      <c r="C297" s="20" t="s">
        <v>58</v>
      </c>
      <c r="E297" s="21"/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12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103</v>
      </c>
      <c r="E298" s="21" t="str">
        <f t="shared" ref="E298:E361" si="14">IF(D298="?OLD","!!!","")</f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ref="H298:H361" ca="1" si="15">IF(J298&lt;&gt;1,"",IF(I298="SBJ","CB","?"))</f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212</v>
      </c>
      <c r="B299" s="20" t="s">
        <v>198</v>
      </c>
      <c r="C299" s="20" t="s">
        <v>68</v>
      </c>
      <c r="D299" s="20" t="s">
        <v>52</v>
      </c>
      <c r="E299" s="21" t="s">
        <v>519</v>
      </c>
      <c r="F299" s="22" t="s">
        <v>523</v>
      </c>
      <c r="G299" s="23" t="str">
        <f ca="1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?IN_FOCUS</v>
      </c>
      <c r="H299" s="24" t="str">
        <f t="shared" ca="1" si="15"/>
        <v/>
      </c>
      <c r="I299" s="25" t="str">
        <f>IF(OR(E299="",E299="!!!",F299="NEW"),"",INDEX(B$2:B298,-1+SUMPRODUCT(MAX(ROW(E$2:E298)*(E299=E$2:E298)))))</f>
        <v>other_3</v>
      </c>
      <c r="J299" s="25">
        <f ca="1">IF(OR(E299="",E299="!!!",F299="NEW"),"",COUNTBLANK(OFFSET(A$1,,,SUMPRODUCT(MAX(ROW(E$2:E299)*(E299=E$2:E299)))))-COUNTBLANK(OFFSET(A$1,,,SUMPRODUCT(MAX(ROW(E$1:E298)*(E2=E$1:E298))))))</f>
        <v>0</v>
      </c>
      <c r="K299" s="25">
        <f ca="1">IF(OR(E299="",E299="!!!",F299="NEW"),"",INDEX(J$1:J298,SUMPRODUCT(MAX(ROW(E$1:E298)*(E299=E$1:E298)))))</f>
        <v>0</v>
      </c>
      <c r="L299" s="26"/>
    </row>
    <row r="300" spans="1:12" x14ac:dyDescent="0.3">
      <c r="A300" t="s">
        <v>224</v>
      </c>
      <c r="E300" s="21" t="str">
        <f t="shared" si="1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1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70</v>
      </c>
      <c r="E301" s="21" t="str">
        <f t="shared" si="1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1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139</v>
      </c>
      <c r="B302" s="20" t="s">
        <v>67</v>
      </c>
      <c r="C302" s="20" t="s">
        <v>51</v>
      </c>
      <c r="D302" s="20" t="s">
        <v>52</v>
      </c>
      <c r="E302" s="21" t="s">
        <v>517</v>
      </c>
      <c r="F302" s="22" t="str">
        <f>IF(OR(E302="",E302="!!!"),"",IF(NOT(ISNA(VLOOKUP(E302,E$1:E301,1,FALSE()))),"OLD",IF(AND(E302&lt;&gt;"",E302&lt;&gt;"!!!"),"NEW","")))</f>
        <v>OLD</v>
      </c>
      <c r="G302" s="23" t="str">
        <f ca="1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?IN_FOCUS</v>
      </c>
      <c r="H302" s="24" t="str">
        <f t="shared" ca="1" si="15"/>
        <v/>
      </c>
      <c r="I302" s="25" t="str">
        <f>IF(OR(E302="",E302="!!!",F302="NEW"),"",INDEX(B$2:B301,-1+SUMPRODUCT(MAX(ROW(E$2:E301)*(E302=E$2:E301)))))</f>
        <v>other_4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>
        <f ca="1">IF(OR(E302="",E302="!!!",F302="NEW"),"",INDEX(J$1:J301,SUMPRODUCT(MAX(ROW(E$1:E301)*(E302=E$1:E301)))))</f>
        <v>0</v>
      </c>
      <c r="L302" s="26"/>
    </row>
    <row r="303" spans="1:12" x14ac:dyDescent="0.3">
      <c r="A303" t="s">
        <v>251</v>
      </c>
      <c r="E303" s="21" t="str">
        <f t="shared" si="14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15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76</v>
      </c>
      <c r="E304" s="21" t="str">
        <f t="shared" si="1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1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70</v>
      </c>
      <c r="E305" s="21" t="str">
        <f t="shared" si="1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1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139</v>
      </c>
      <c r="B306" s="20" t="s">
        <v>74</v>
      </c>
      <c r="C306" s="20" t="s">
        <v>51</v>
      </c>
      <c r="D306" s="20" t="s">
        <v>52</v>
      </c>
      <c r="E306" s="21" t="s">
        <v>517</v>
      </c>
      <c r="F306" s="22" t="str">
        <f>IF(OR(E306="",E306="!!!"),"",IF(NOT(ISNA(VLOOKUP(E306,E$1:E305,1,FALSE()))),"OLD",IF(AND(E306&lt;&gt;"",E306&lt;&gt;"!!!"),"NEW","")))</f>
        <v>OLD</v>
      </c>
      <c r="G306" s="23" t="str">
        <f ca="1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?IN_FOCUS</v>
      </c>
      <c r="H306" s="24" t="str">
        <f t="shared" ca="1" si="15"/>
        <v/>
      </c>
      <c r="I306" s="25" t="str">
        <f>IF(OR(E306="",E306="!!!",F306="NEW"),"",INDEX(B$2:B305,-1+SUMPRODUCT(MAX(ROW(E$2:E305)*(E306=E$2:E305)))))</f>
        <v>SBJ_2</v>
      </c>
      <c r="J306" s="25">
        <f ca="1">IF(OR(E306="",E306="!!!",F306="NEW"),"",COUNTBLANK(OFFSET(A$1,,,SUMPRODUCT(MAX(ROW(E$2:E306)*(E306=E$2:E306)))))-COUNTBLANK(OFFSET(A$1,,,SUMPRODUCT(MAX(ROW(E$1:E305)*(E2=E$1:E305))))))</f>
        <v>0</v>
      </c>
      <c r="K306" s="25">
        <f ca="1">IF(OR(E306="",E306="!!!",F306="NEW"),"",INDEX(J$1:J305,SUMPRODUCT(MAX(ROW(E$1:E305)*(E306=E$1:E305)))))</f>
        <v>0</v>
      </c>
      <c r="L306" s="26"/>
    </row>
    <row r="307" spans="1:12" x14ac:dyDescent="0.3">
      <c r="A307" t="s">
        <v>252</v>
      </c>
      <c r="E307" s="21" t="str">
        <f t="shared" si="14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15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253</v>
      </c>
      <c r="E308" s="21" t="str">
        <f t="shared" si="1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1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254</v>
      </c>
      <c r="B309" s="20" t="s">
        <v>92</v>
      </c>
      <c r="C309" s="20" t="s">
        <v>51</v>
      </c>
      <c r="D309" s="20" t="s">
        <v>52</v>
      </c>
      <c r="E309" s="21" t="s">
        <v>570</v>
      </c>
      <c r="F309" s="22" t="s">
        <v>516</v>
      </c>
      <c r="G309" s="23" t="str">
        <f ca="1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?REFERENTIAL</v>
      </c>
      <c r="H309" s="24" t="str">
        <f t="shared" ca="1" si="1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255</v>
      </c>
      <c r="E310" s="21" t="str">
        <f t="shared" si="1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1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134</v>
      </c>
      <c r="E311" s="21" t="str">
        <f t="shared" si="1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1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256</v>
      </c>
      <c r="B312" s="20" t="s">
        <v>120</v>
      </c>
      <c r="C312" s="20" t="s">
        <v>72</v>
      </c>
      <c r="D312" s="20" t="s">
        <v>52</v>
      </c>
      <c r="E312" s="21"/>
      <c r="F312" s="22" t="s">
        <v>532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1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257</v>
      </c>
      <c r="B313" s="20" t="s">
        <v>74</v>
      </c>
      <c r="C313" s="20" t="s">
        <v>51</v>
      </c>
      <c r="D313" s="20" t="s">
        <v>52</v>
      </c>
      <c r="E313" s="21" t="s">
        <v>543</v>
      </c>
      <c r="F313" s="22" t="str">
        <f>IF(OR(E313="",E313="!!!"),"",IF(NOT(ISNA(VLOOKUP(E313,E$1:E312,1,FALSE()))),"OLD",IF(AND(E313&lt;&gt;"",E313&lt;&gt;"!!!"),"NEW","")))</f>
        <v>NEW</v>
      </c>
      <c r="G313" s="23" t="str">
        <f ca="1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?REFERENTIAL</v>
      </c>
      <c r="H313" s="24" t="str">
        <f t="shared" ca="1" si="1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258</v>
      </c>
      <c r="E314" s="21" t="str">
        <f t="shared" si="1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1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76</v>
      </c>
      <c r="E315" s="21" t="str">
        <f t="shared" si="1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1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70</v>
      </c>
      <c r="E316" s="21" t="str">
        <f t="shared" si="1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1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139</v>
      </c>
      <c r="B317" s="20" t="s">
        <v>74</v>
      </c>
      <c r="C317" s="20" t="s">
        <v>51</v>
      </c>
      <c r="D317" s="20" t="s">
        <v>52</v>
      </c>
      <c r="E317" s="21" t="s">
        <v>517</v>
      </c>
      <c r="F317" s="22" t="str">
        <f>IF(OR(E317="",E317="!!!"),"",IF(NOT(ISNA(VLOOKUP(E317,E$1:E316,1,FALSE()))),"OLD",IF(AND(E317&lt;&gt;"",E317&lt;&gt;"!!!"),"NEW","")))</f>
        <v>OLD</v>
      </c>
      <c r="G317" s="23" t="str">
        <f ca="1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?IN_FOCUS</v>
      </c>
      <c r="H317" s="24" t="str">
        <f t="shared" ca="1" si="15"/>
        <v/>
      </c>
      <c r="I317" s="25" t="str">
        <f>IF(OR(E317="",E317="!!!",F317="NEW"),"",INDEX(B$2:B316,-1+SUMPRODUCT(MAX(ROW(E$2:E316)*(E317=E$2:E316)))))</f>
        <v>other_3</v>
      </c>
      <c r="J317" s="25">
        <f ca="1">IF(OR(E317="",E317="!!!",F317="NEW"),"",COUNTBLANK(OFFSET(A$1,,,SUMPRODUCT(MAX(ROW(E$2:E317)*(E317=E$2:E317)))))-COUNTBLANK(OFFSET(A$1,,,SUMPRODUCT(MAX(ROW(E$1:E316)*(E2=E$1:E316))))))</f>
        <v>0</v>
      </c>
      <c r="K317" s="25">
        <f ca="1">IF(OR(E317="",E317="!!!",F317="NEW"),"",INDEX(J$1:J316,SUMPRODUCT(MAX(ROW(E$1:E316)*(E317=E$1:E316)))))</f>
        <v>0</v>
      </c>
      <c r="L317" s="26"/>
    </row>
    <row r="318" spans="1:12" x14ac:dyDescent="0.3">
      <c r="A318" t="s">
        <v>259</v>
      </c>
      <c r="B318" s="20" t="s">
        <v>92</v>
      </c>
      <c r="C318" s="20" t="s">
        <v>51</v>
      </c>
      <c r="D318" s="20" t="s">
        <v>52</v>
      </c>
      <c r="E318" s="21" t="s">
        <v>544</v>
      </c>
      <c r="F318" s="22" t="s">
        <v>516</v>
      </c>
      <c r="G318" s="23" t="str">
        <f ca="1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?REFERENTIAL</v>
      </c>
      <c r="H318" s="24" t="str">
        <f t="shared" ca="1" si="1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260</v>
      </c>
      <c r="E319" s="21" t="str">
        <f t="shared" si="1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1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261</v>
      </c>
      <c r="E320" s="21" t="str">
        <f t="shared" si="1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1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76</v>
      </c>
      <c r="E321" s="21" t="str">
        <f t="shared" si="1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1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70</v>
      </c>
      <c r="B322" s="20" t="s">
        <v>262</v>
      </c>
      <c r="C322" s="20" t="s">
        <v>68</v>
      </c>
      <c r="D322" s="20" t="s">
        <v>52</v>
      </c>
      <c r="E322" s="21"/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1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 t="s">
        <v>545</v>
      </c>
    </row>
    <row r="323" spans="1:12" x14ac:dyDescent="0.3">
      <c r="A323" t="s">
        <v>225</v>
      </c>
      <c r="B323" s="20" t="s">
        <v>151</v>
      </c>
      <c r="C323" s="20" t="s">
        <v>68</v>
      </c>
      <c r="D323" s="20" t="s">
        <v>52</v>
      </c>
      <c r="E323" s="21" t="s">
        <v>512</v>
      </c>
      <c r="F323" s="22" t="str">
        <f>IF(OR(E323="",E323="!!!"),"",IF(NOT(ISNA(VLOOKUP(E323,E$1:E322,1,FALSE()))),"OLD",IF(AND(E323&lt;&gt;"",E323&lt;&gt;"!!!"),"NEW","")))</f>
        <v>OLD</v>
      </c>
      <c r="G323" s="23" t="str">
        <f ca="1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?IN_FOCUS</v>
      </c>
      <c r="H323" s="24" t="str">
        <f t="shared" ca="1" si="15"/>
        <v/>
      </c>
      <c r="I323" s="25" t="str">
        <f>IF(OR(E323="",E323="!!!",F323="NEW"),"",INDEX(B$2:B322,-1+SUMPRODUCT(MAX(ROW(E$2:E322)*(E323=E$2:E322)))))</f>
        <v>SBJ_4</v>
      </c>
      <c r="J323" s="25">
        <f ca="1">IF(OR(E323="",E323="!!!",F323="NEW"),"",COUNTBLANK(OFFSET(A$1,,,SUMPRODUCT(MAX(ROW(E$2:E323)*(E323=E$2:E323)))))-COUNTBLANK(OFFSET(A$1,,,SUMPRODUCT(MAX(ROW(E$1:E322)*(E2=E$1:E322))))))</f>
        <v>0</v>
      </c>
      <c r="K323" s="25">
        <f ca="1">IF(OR(E323="",E323="!!!",F323="NEW"),"",INDEX(J$1:J322,SUMPRODUCT(MAX(ROW(E$1:E322)*(E323=E$1:E322)))))</f>
        <v>0</v>
      </c>
      <c r="L323" s="26"/>
    </row>
    <row r="324" spans="1:12" x14ac:dyDescent="0.3">
      <c r="A324" t="s">
        <v>263</v>
      </c>
      <c r="E324" s="21" t="str">
        <f t="shared" si="1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1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264</v>
      </c>
      <c r="E325" s="21" t="str">
        <f t="shared" si="14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1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103</v>
      </c>
      <c r="E326" s="21" t="str">
        <f t="shared" si="14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1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265</v>
      </c>
      <c r="B327" s="20" t="s">
        <v>74</v>
      </c>
      <c r="C327" s="20" t="s">
        <v>90</v>
      </c>
      <c r="D327" s="20" t="s">
        <v>52</v>
      </c>
      <c r="E327" s="21"/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1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 t="s">
        <v>515</v>
      </c>
    </row>
    <row r="328" spans="1:12" x14ac:dyDescent="0.3">
      <c r="A328" t="s">
        <v>266</v>
      </c>
      <c r="B328" s="20" t="s">
        <v>67</v>
      </c>
      <c r="C328" s="20" t="s">
        <v>93</v>
      </c>
      <c r="D328" s="20" t="s">
        <v>52</v>
      </c>
      <c r="E328" s="21" t="s">
        <v>524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15"/>
        <v/>
      </c>
      <c r="I328" s="25" t="str">
        <f>IF(OR(E328="",E328="!!!",F328="NEW"),"",INDEX(B$2:B327,-1+SUMPRODUCT(MAX(ROW(E$2:E327)*(E328=E$2:E327)))))</f>
        <v>SBJ_8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267</v>
      </c>
      <c r="E329" s="21" t="str">
        <f t="shared" si="1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1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191</v>
      </c>
      <c r="E330" s="21" t="str">
        <f t="shared" si="1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1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268</v>
      </c>
      <c r="E331" s="21" t="str">
        <f t="shared" si="14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15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269</v>
      </c>
      <c r="B332" s="20" t="s">
        <v>63</v>
      </c>
      <c r="C332" s="20" t="s">
        <v>58</v>
      </c>
      <c r="E332" s="21" t="str">
        <f t="shared" si="1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1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133</v>
      </c>
      <c r="E333" s="21" t="str">
        <f t="shared" si="14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1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134</v>
      </c>
      <c r="E334" s="21" t="str">
        <f t="shared" si="1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1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244</v>
      </c>
      <c r="E335" s="21" t="str">
        <f t="shared" si="1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1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270</v>
      </c>
      <c r="B336" s="20" t="s">
        <v>92</v>
      </c>
      <c r="C336" s="20" t="s">
        <v>247</v>
      </c>
      <c r="D336" s="20" t="s">
        <v>52</v>
      </c>
      <c r="E336" s="21" t="s">
        <v>572</v>
      </c>
      <c r="F336" s="22" t="s">
        <v>522</v>
      </c>
      <c r="G336" s="23" t="e">
        <f ca="1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#VALUE!</v>
      </c>
      <c r="H336" s="24" t="str">
        <f t="shared" ca="1" si="15"/>
        <v/>
      </c>
      <c r="I336" s="25" t="e">
        <f>IF(OR(E336="",E336="!!!",F336="NEW"),"",INDEX(B$2:B335,-1+SUMPRODUCT(MAX(ROW(E$2:E335)*(E336=E$2:E335)))))</f>
        <v>#VALUE!</v>
      </c>
      <c r="J336" s="25">
        <f ca="1">IF(OR(E336="",E336="!!!",F336="NEW"),"",COUNTBLANK(OFFSET(A$1,,,SUMPRODUCT(MAX(ROW(E$2:E336)*(E336=E$2:E336)))))-COUNTBLANK(OFFSET(A$1,,,SUMPRODUCT(MAX(ROW(E$1:E335)*(E2=E$1:E335))))))</f>
        <v>0</v>
      </c>
      <c r="K336" s="25" t="e">
        <f>IF(OR(E336="",E336="!!!",F336="NEW"),"",INDEX(J$1:J335,SUMPRODUCT(MAX(ROW(E$1:E335)*(E336=E$1:E335)))))</f>
        <v>#VALUE!</v>
      </c>
      <c r="L336" s="26"/>
    </row>
    <row r="337" spans="1:12" x14ac:dyDescent="0.3">
      <c r="A337" t="s">
        <v>183</v>
      </c>
      <c r="E337" s="21" t="str">
        <f t="shared" si="1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1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159</v>
      </c>
      <c r="B338" s="20" t="s">
        <v>87</v>
      </c>
      <c r="C338" s="20" t="s">
        <v>72</v>
      </c>
      <c r="D338" s="20" t="s">
        <v>52</v>
      </c>
      <c r="E338" s="21" t="s">
        <v>563</v>
      </c>
      <c r="F338" s="22" t="str">
        <f>IF(OR(E338="",E338="!!!"),"",IF(NOT(ISNA(VLOOKUP(E338,E$1:E337,1,FALSE()))),"OLD",IF(AND(E338&lt;&gt;"",E338&lt;&gt;"!!!"),"NEW","")))</f>
        <v>OLD</v>
      </c>
      <c r="G338" s="23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4" t="str">
        <f t="shared" ca="1" si="15"/>
        <v/>
      </c>
      <c r="I338" s="25" t="str">
        <f>IF(OR(E338="",E338="!!!",F338="NEW"),"",INDEX(B$2:B337,-1+SUMPRODUCT(MAX(ROW(E$2:E337)*(E338=E$2:E337)))))</f>
        <v>other_4</v>
      </c>
      <c r="J338" s="25">
        <f ca="1">IF(OR(E338="",E338="!!!",F338="NEW"),"",COUNTBLANK(OFFSET(A$1,,,SUMPRODUCT(MAX(ROW(E$2:E338)*(E338=E$2:E338)))))-COUNTBLANK(OFFSET(A$1,,,SUMPRODUCT(MAX(ROW(E$1:E337)*(E2=E$1:E337))))))</f>
        <v>0</v>
      </c>
      <c r="K338" s="25">
        <f ca="1">IF(OR(E338="",E338="!!!",F338="NEW"),"",INDEX(J$1:J337,SUMPRODUCT(MAX(ROW(E$1:E337)*(E338=E$1:E337)))))</f>
        <v>0</v>
      </c>
      <c r="L338" s="26"/>
    </row>
    <row r="339" spans="1:12" x14ac:dyDescent="0.3">
      <c r="A339" t="s">
        <v>103</v>
      </c>
      <c r="E339" s="21" t="str">
        <f t="shared" si="1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1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271</v>
      </c>
      <c r="B340" s="20" t="s">
        <v>74</v>
      </c>
      <c r="C340" s="20" t="s">
        <v>58</v>
      </c>
      <c r="E340" s="21" t="str">
        <f t="shared" si="14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15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66</v>
      </c>
      <c r="B341" s="20" t="s">
        <v>67</v>
      </c>
      <c r="C341" s="20" t="s">
        <v>68</v>
      </c>
      <c r="D341" s="20" t="s">
        <v>52</v>
      </c>
      <c r="E341" s="21" t="s">
        <v>66</v>
      </c>
      <c r="F341" s="22" t="s">
        <v>523</v>
      </c>
      <c r="G341" s="23" t="e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#VALUE!</v>
      </c>
      <c r="H341" s="24" t="str">
        <f t="shared" ca="1" si="15"/>
        <v/>
      </c>
      <c r="I341" s="25" t="e">
        <f>IF(OR(E341="",E341="!!!",F341="NEW"),"",INDEX(B$2:B340,-1+SUMPRODUCT(MAX(ROW(E$2:E340)*(E341=E$2:E340)))))</f>
        <v>#VALUE!</v>
      </c>
      <c r="J341" s="25">
        <f ca="1">IF(OR(E341="",E341="!!!",F341="NEW"),"",COUNTBLANK(OFFSET(A$1,,,SUMPRODUCT(MAX(ROW(E$2:E341)*(E341=E$2:E341)))))-COUNTBLANK(OFFSET(A$1,,,SUMPRODUCT(MAX(ROW(E$1:E340)*(E2=E$1:E340))))))</f>
        <v>0</v>
      </c>
      <c r="K341" s="25" t="e">
        <f>IF(OR(E341="",E341="!!!",F341="NEW"),"",INDEX(J$1:J340,SUMPRODUCT(MAX(ROW(E$1:E340)*(E341=E$1:E340)))))</f>
        <v>#VALUE!</v>
      </c>
      <c r="L341" s="26"/>
    </row>
    <row r="342" spans="1:12" x14ac:dyDescent="0.3">
      <c r="A342" t="s">
        <v>272</v>
      </c>
      <c r="B342" s="20" t="s">
        <v>120</v>
      </c>
      <c r="C342" s="20" t="s">
        <v>68</v>
      </c>
      <c r="D342" s="20" t="s">
        <v>52</v>
      </c>
      <c r="E342" s="21"/>
      <c r="F342" s="22" t="s">
        <v>525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15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273</v>
      </c>
      <c r="B343" s="20" t="s">
        <v>120</v>
      </c>
      <c r="C343" s="20" t="s">
        <v>51</v>
      </c>
      <c r="D343" s="20" t="s">
        <v>52</v>
      </c>
      <c r="E343" s="21" t="s">
        <v>526</v>
      </c>
      <c r="F343" s="22" t="str">
        <f>IF(OR(E343="",E343="!!!"),"",IF(NOT(ISNA(VLOOKUP(E343,E$1:E342,1,FALSE()))),"OLD",IF(AND(E343&lt;&gt;"",E343&lt;&gt;"!!!"),"NEW","")))</f>
        <v>NEW</v>
      </c>
      <c r="G343" s="23" t="str">
        <f ca="1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?REFERENTIAL</v>
      </c>
      <c r="H343" s="24" t="str">
        <f t="shared" ca="1" si="15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274</v>
      </c>
      <c r="E344" s="21" t="str">
        <f t="shared" si="14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15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79</v>
      </c>
      <c r="E345" s="21" t="str">
        <f t="shared" si="14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15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103</v>
      </c>
      <c r="E346" s="21" t="str">
        <f t="shared" si="14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15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96</v>
      </c>
      <c r="B347" s="20" t="s">
        <v>67</v>
      </c>
      <c r="C347" s="20" t="s">
        <v>97</v>
      </c>
      <c r="D347" s="20" t="s">
        <v>52</v>
      </c>
      <c r="E347" s="21" t="s">
        <v>512</v>
      </c>
      <c r="F347" s="22" t="str">
        <f>IF(OR(E347="",E347="!!!"),"",IF(NOT(ISNA(VLOOKUP(E347,E$1:E346,1,FALSE()))),"OLD",IF(AND(E347&lt;&gt;"",E347&lt;&gt;"!!!"),"NEW","")))</f>
        <v>OLD</v>
      </c>
      <c r="G347" s="23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24" t="str">
        <f t="shared" ca="1" si="15"/>
        <v/>
      </c>
      <c r="I347" s="25" t="str">
        <f>IF(OR(E347="",E347="!!!",F347="NEW"),"",INDEX(B$2:B346,-1+SUMPRODUCT(MAX(ROW(E$2:E346)*(E347=E$2:E346)))))</f>
        <v>SBJ_3</v>
      </c>
      <c r="J347" s="25">
        <f ca="1">IF(OR(E347="",E347="!!!",F347="NEW"),"",COUNTBLANK(OFFSET(A$1,,,SUMPRODUCT(MAX(ROW(E$2:E347)*(E347=E$2:E347)))))-COUNTBLANK(OFFSET(A$1,,,SUMPRODUCT(MAX(ROW(E$1:E346)*(E2=E$1:E346))))))</f>
        <v>0</v>
      </c>
      <c r="K347" s="25">
        <f ca="1">IF(OR(E347="",E347="!!!",F347="NEW"),"",INDEX(J$1:J346,SUMPRODUCT(MAX(ROW(E$1:E346)*(E347=E$1:E346)))))</f>
        <v>0</v>
      </c>
      <c r="L347" s="26"/>
    </row>
    <row r="348" spans="1:12" x14ac:dyDescent="0.3">
      <c r="A348" t="s">
        <v>143</v>
      </c>
      <c r="E348" s="21" t="str">
        <f t="shared" si="14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15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76</v>
      </c>
      <c r="E349" s="21" t="str">
        <f t="shared" si="14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15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144</v>
      </c>
      <c r="E350" s="21" t="str">
        <f t="shared" si="14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15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275</v>
      </c>
      <c r="E351" s="21" t="s">
        <v>574</v>
      </c>
      <c r="F351" s="22" t="s">
        <v>513</v>
      </c>
      <c r="G351" s="23" t="e">
        <f ca="1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#VALUE!</v>
      </c>
      <c r="H351" s="24" t="str">
        <f t="shared" ca="1" si="15"/>
        <v/>
      </c>
      <c r="I351" s="25" t="e">
        <f>IF(OR(E351="",E351="!!!",F351="NEW"),"",INDEX(B$2:B350,-1+SUMPRODUCT(MAX(ROW(E$2:E350)*(E351=E$2:E350)))))</f>
        <v>#VALUE!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 t="e">
        <f>IF(OR(E351="",E351="!!!",F351="NEW"),"",INDEX(J$1:J350,SUMPRODUCT(MAX(ROW(E$1:E350)*(E351=E$1:E350)))))</f>
        <v>#VALUE!</v>
      </c>
      <c r="L351" s="26" t="s">
        <v>549</v>
      </c>
    </row>
    <row r="352" spans="1:12" x14ac:dyDescent="0.3">
      <c r="A352" t="s">
        <v>242</v>
      </c>
      <c r="E352" s="21" t="str">
        <f t="shared" si="14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15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276</v>
      </c>
      <c r="E353" s="21" t="str">
        <f t="shared" si="14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15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277</v>
      </c>
      <c r="E354" s="21" t="str">
        <f t="shared" si="14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15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103</v>
      </c>
      <c r="E355" s="21" t="str">
        <f t="shared" si="14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15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180</v>
      </c>
      <c r="E356" s="21" t="str">
        <f t="shared" si="14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15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131</v>
      </c>
      <c r="E357" s="21" t="str">
        <f t="shared" si="14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15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278</v>
      </c>
      <c r="E358" s="21" t="str">
        <f t="shared" si="14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15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165</v>
      </c>
      <c r="B359" s="20" t="s">
        <v>74</v>
      </c>
      <c r="C359" s="20" t="s">
        <v>72</v>
      </c>
      <c r="D359" s="20" t="s">
        <v>52</v>
      </c>
      <c r="E359" s="21" t="s">
        <v>581</v>
      </c>
      <c r="F359" s="22" t="s">
        <v>513</v>
      </c>
      <c r="G359" s="23" t="e">
        <f ca="1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#VALUE!</v>
      </c>
      <c r="H359" s="24" t="str">
        <f t="shared" ca="1" si="15"/>
        <v/>
      </c>
      <c r="I359" s="25" t="e">
        <f>IF(OR(E359="",E359="!!!",F359="NEW"),"",INDEX(B$2:B358,-1+SUMPRODUCT(MAX(ROW(E$2:E358)*(E359=E$2:E358)))))</f>
        <v>#VALUE!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e">
        <f>IF(OR(E359="",E359="!!!",F359="NEW"),"",INDEX(J$1:J358,SUMPRODUCT(MAX(ROW(E$1:E358)*(E359=E$1:E358)))))</f>
        <v>#VALUE!</v>
      </c>
      <c r="L359" s="26"/>
    </row>
    <row r="360" spans="1:12" x14ac:dyDescent="0.3">
      <c r="A360" t="s">
        <v>105</v>
      </c>
      <c r="E360" s="21" t="str">
        <f t="shared" si="14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15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130</v>
      </c>
      <c r="E361" s="21" t="str">
        <f t="shared" si="14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15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134</v>
      </c>
      <c r="E362" s="21" t="str">
        <f t="shared" ref="E362:E425" si="16">IF(D362="?OLD","!!!","")</f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ref="H362:H425" ca="1" si="17">IF(J362&lt;&gt;1,"",IF(I362="SBJ","CB","?"))</f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279</v>
      </c>
      <c r="B363" s="20" t="s">
        <v>262</v>
      </c>
      <c r="C363" s="20" t="s">
        <v>72</v>
      </c>
      <c r="D363" s="20" t="s">
        <v>52</v>
      </c>
      <c r="E363" s="21"/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1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 t="s">
        <v>546</v>
      </c>
    </row>
    <row r="364" spans="1:12" x14ac:dyDescent="0.3">
      <c r="A364" t="s">
        <v>12</v>
      </c>
      <c r="E364" s="21" t="str">
        <f t="shared" si="16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17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76</v>
      </c>
      <c r="E365" s="21" t="str">
        <f t="shared" si="16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1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280</v>
      </c>
      <c r="B366" s="20" t="s">
        <v>92</v>
      </c>
      <c r="C366" s="20" t="s">
        <v>58</v>
      </c>
      <c r="E366" s="21" t="str">
        <f t="shared" si="1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1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12</v>
      </c>
      <c r="E367" s="21" t="str">
        <f t="shared" si="1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1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59</v>
      </c>
      <c r="E368" s="21" t="str">
        <f t="shared" si="1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1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281</v>
      </c>
      <c r="B369" s="20" t="s">
        <v>92</v>
      </c>
      <c r="C369" s="20" t="s">
        <v>58</v>
      </c>
      <c r="E369" s="21" t="s">
        <v>582</v>
      </c>
      <c r="F369" s="22" t="str">
        <f>IF(OR(E369="",E369="!!!"),"",IF(NOT(ISNA(VLOOKUP(E369,E$1:E368,1,FALSE()))),"OLD",IF(AND(E369&lt;&gt;"",E369&lt;&gt;"!!!"),"NEW","")))</f>
        <v>NEW</v>
      </c>
      <c r="G369" s="23" t="str">
        <f ca="1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?REFERENTIAL</v>
      </c>
      <c r="H369" s="24" t="str">
        <f t="shared" ca="1" si="1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76</v>
      </c>
      <c r="E370" s="21" t="str">
        <f t="shared" si="16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17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134</v>
      </c>
      <c r="B371" s="20" t="s">
        <v>198</v>
      </c>
      <c r="E371" s="21" t="str">
        <f t="shared" si="1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1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130</v>
      </c>
      <c r="B372" s="20" t="s">
        <v>85</v>
      </c>
      <c r="C372" s="20" t="s">
        <v>97</v>
      </c>
      <c r="D372" s="20" t="s">
        <v>52</v>
      </c>
      <c r="E372" s="21"/>
      <c r="F372" s="22" t="s">
        <v>521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1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61</v>
      </c>
      <c r="E373" s="21" t="str">
        <f t="shared" si="16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17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139</v>
      </c>
      <c r="B374" s="20" t="s">
        <v>92</v>
      </c>
      <c r="C374" s="20" t="s">
        <v>58</v>
      </c>
      <c r="E374" s="21" t="s">
        <v>517</v>
      </c>
      <c r="F374" s="22" t="str">
        <f>IF(OR(E374="",E374="!!!"),"",IF(NOT(ISNA(VLOOKUP(E374,E$1:E373,1,FALSE()))),"OLD",IF(AND(E374&lt;&gt;"",E374&lt;&gt;"!!!"),"NEW","")))</f>
        <v>OLD</v>
      </c>
      <c r="G374" s="23" t="str">
        <f ca="1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?IN_FOCUS</v>
      </c>
      <c r="H374" s="24" t="str">
        <f t="shared" ca="1" si="17"/>
        <v/>
      </c>
      <c r="I374" s="25" t="str">
        <f>IF(OR(E374="",E374="!!!",F374="NEW"),"",INDEX(B$2:B373,-1+SUMPRODUCT(MAX(ROW(E$2:E373)*(E374=E$2:E373)))))</f>
        <v>other_3</v>
      </c>
      <c r="J374" s="25">
        <f ca="1">IF(OR(E374="",E374="!!!",F374="NEW"),"",COUNTBLANK(OFFSET(A$1,,,SUMPRODUCT(MAX(ROW(E$2:E374)*(E374=E$2:E374)))))-COUNTBLANK(OFFSET(A$1,,,SUMPRODUCT(MAX(ROW(E$1:E373)*(E2=E$1:E373))))))</f>
        <v>0</v>
      </c>
      <c r="K374" s="25">
        <f ca="1">IF(OR(E374="",E374="!!!",F374="NEW"),"",INDEX(J$1:J373,SUMPRODUCT(MAX(ROW(E$1:E373)*(E374=E$1:E373)))))</f>
        <v>0</v>
      </c>
      <c r="L374" s="26"/>
    </row>
    <row r="375" spans="1:12" x14ac:dyDescent="0.3">
      <c r="A375" t="s">
        <v>59</v>
      </c>
      <c r="E375" s="21" t="str">
        <f t="shared" si="1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1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181</v>
      </c>
      <c r="E376" s="21" t="str">
        <f t="shared" si="1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1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62</v>
      </c>
      <c r="B377" s="20" t="s">
        <v>87</v>
      </c>
      <c r="C377" s="20" t="s">
        <v>58</v>
      </c>
      <c r="E377" s="21" t="s">
        <v>534</v>
      </c>
      <c r="F377" s="22" t="str">
        <f>IF(OR(E377="",E377="!!!"),"",IF(NOT(ISNA(VLOOKUP(E377,E$1:E376,1,FALSE()))),"OLD",IF(AND(E377&lt;&gt;"",E377&lt;&gt;"!!!"),"NEW","")))</f>
        <v>OLD</v>
      </c>
      <c r="G377" s="23" t="str">
        <f ca="1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?IN_FOCUS</v>
      </c>
      <c r="H377" s="24" t="str">
        <f t="shared" ca="1" si="17"/>
        <v/>
      </c>
      <c r="I377" s="25" t="str">
        <f>IF(OR(E377="",E377="!!!",F377="NEW"),"",INDEX(B$2:B376,-1+SUMPRODUCT(MAX(ROW(E$2:E376)*(E377=E$2:E376)))))</f>
        <v>other_6</v>
      </c>
      <c r="J377" s="25">
        <f ca="1">IF(OR(E377="",E377="!!!",F377="NEW"),"",COUNTBLANK(OFFSET(A$1,,,SUMPRODUCT(MAX(ROW(E$2:E377)*(E377=E$2:E377)))))-COUNTBLANK(OFFSET(A$1,,,SUMPRODUCT(MAX(ROW(E$1:E376)*(E2=E$1:E376))))))</f>
        <v>0</v>
      </c>
      <c r="K377" s="25">
        <f ca="1">IF(OR(E377="",E377="!!!",F377="NEW"),"",INDEX(J$1:J376,SUMPRODUCT(MAX(ROW(E$1:E376)*(E377=E$1:E376)))))</f>
        <v>0</v>
      </c>
      <c r="L377" s="26" t="s">
        <v>575</v>
      </c>
    </row>
    <row r="378" spans="1:12" x14ac:dyDescent="0.3">
      <c r="A378" t="s">
        <v>282</v>
      </c>
      <c r="E378" s="21" t="str">
        <f t="shared" si="16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1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105</v>
      </c>
      <c r="E379" s="21" t="str">
        <f t="shared" si="1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1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76</v>
      </c>
      <c r="E380" s="21" t="str">
        <f t="shared" si="16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1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130</v>
      </c>
      <c r="E381" s="21" t="str">
        <f t="shared" si="1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1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105</v>
      </c>
      <c r="E382" s="21" t="str">
        <f t="shared" si="16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17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106</v>
      </c>
      <c r="E383" s="21" t="str">
        <f t="shared" si="1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1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283</v>
      </c>
      <c r="E384" s="21" t="str">
        <f t="shared" si="1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1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113</v>
      </c>
      <c r="B385" s="20" t="s">
        <v>87</v>
      </c>
      <c r="C385" s="20" t="s">
        <v>90</v>
      </c>
      <c r="D385" s="20" t="s">
        <v>52</v>
      </c>
      <c r="E385" s="21"/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1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 t="s">
        <v>515</v>
      </c>
    </row>
    <row r="386" spans="1:12" x14ac:dyDescent="0.3">
      <c r="A386" t="s">
        <v>284</v>
      </c>
      <c r="E386" s="21" t="str">
        <f t="shared" si="16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17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285</v>
      </c>
      <c r="B387" s="20" t="s">
        <v>85</v>
      </c>
      <c r="C387" s="20" t="s">
        <v>93</v>
      </c>
      <c r="D387" s="20" t="s">
        <v>52</v>
      </c>
      <c r="E387" s="21" t="s">
        <v>547</v>
      </c>
      <c r="F387" s="22" t="s">
        <v>522</v>
      </c>
      <c r="G387" s="23" t="e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#VALUE!</v>
      </c>
      <c r="H387" s="24" t="str">
        <f t="shared" ca="1" si="17"/>
        <v/>
      </c>
      <c r="I387" s="25" t="e">
        <f>IF(OR(E387="",E387="!!!",F387="NEW"),"",INDEX(B$2:B386,-1+SUMPRODUCT(MAX(ROW(E$2:E386)*(E387=E$2:E386)))))</f>
        <v>#VALUE!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 t="e">
        <f>IF(OR(E387="",E387="!!!",F387="NEW"),"",INDEX(J$1:J386,SUMPRODUCT(MAX(ROW(E$1:E386)*(E387=E$1:E386)))))</f>
        <v>#VALUE!</v>
      </c>
      <c r="L387" s="26"/>
    </row>
    <row r="388" spans="1:12" x14ac:dyDescent="0.3">
      <c r="A388" t="s">
        <v>131</v>
      </c>
      <c r="E388" s="21" t="str">
        <f t="shared" si="16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17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172</v>
      </c>
      <c r="B389" s="20" t="s">
        <v>87</v>
      </c>
      <c r="C389" s="20" t="s">
        <v>72</v>
      </c>
      <c r="D389" s="20" t="s">
        <v>52</v>
      </c>
      <c r="E389" s="21" t="s">
        <v>578</v>
      </c>
      <c r="F389" s="22" t="str">
        <f>IF(OR(E389="",E389="!!!"),"",IF(NOT(ISNA(VLOOKUP(E389,E$1:E388,1,FALSE()))),"OLD",IF(AND(E389&lt;&gt;"",E389&lt;&gt;"!!!"),"NEW","")))</f>
        <v>NEW</v>
      </c>
      <c r="G389" s="23" t="str">
        <f ca="1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?REFERENTIAL</v>
      </c>
      <c r="H389" s="24" t="str">
        <f t="shared" ca="1" si="17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59</v>
      </c>
      <c r="E390" s="21" t="str">
        <f t="shared" si="16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17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286</v>
      </c>
      <c r="B391" s="20" t="s">
        <v>108</v>
      </c>
      <c r="C391" s="20" t="s">
        <v>58</v>
      </c>
      <c r="E391" s="21" t="s">
        <v>579</v>
      </c>
      <c r="F391" s="22" t="str">
        <f>IF(OR(E391="",E391="!!!"),"",IF(NOT(ISNA(VLOOKUP(E391,E$1:E390,1,FALSE()))),"OLD",IF(AND(E391&lt;&gt;"",E391&lt;&gt;"!!!"),"NEW","")))</f>
        <v>NEW</v>
      </c>
      <c r="G391" s="23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24" t="str">
        <f t="shared" ca="1" si="17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76</v>
      </c>
      <c r="E392" s="21" t="str">
        <f t="shared" si="16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17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70</v>
      </c>
      <c r="B393" s="20" t="s">
        <v>173</v>
      </c>
      <c r="E393" s="21" t="s">
        <v>548</v>
      </c>
      <c r="F393" s="22" t="s">
        <v>523</v>
      </c>
      <c r="G393" s="23" t="e">
        <f ca="1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#VALUE!</v>
      </c>
      <c r="H393" s="24" t="str">
        <f t="shared" ca="1" si="17"/>
        <v/>
      </c>
      <c r="I393" s="25" t="e">
        <f>IF(OR(E393="",E393="!!!",F393="NEW"),"",INDEX(B$2:B392,-1+SUMPRODUCT(MAX(ROW(E$2:E392)*(E393=E$2:E392)))))</f>
        <v>#VALUE!</v>
      </c>
      <c r="J393" s="25">
        <f ca="1">IF(OR(E393="",E393="!!!",F393="NEW"),"",COUNTBLANK(OFFSET(A$1,,,SUMPRODUCT(MAX(ROW(E$2:E393)*(E393=E$2:E393)))))-COUNTBLANK(OFFSET(A$1,,,SUMPRODUCT(MAX(ROW(E$1:E392)*(E2=E$1:E392))))))</f>
        <v>0</v>
      </c>
      <c r="K393" s="25" t="e">
        <f>IF(OR(E393="",E393="!!!",F393="NEW"),"",INDEX(J$1:J392,SUMPRODUCT(MAX(ROW(E$1:E392)*(E393=E$1:E392)))))</f>
        <v>#VALUE!</v>
      </c>
      <c r="L393" s="26"/>
    </row>
    <row r="394" spans="1:12" x14ac:dyDescent="0.3">
      <c r="A394" t="s">
        <v>70</v>
      </c>
      <c r="E394" s="21" t="str">
        <f t="shared" si="16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17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287</v>
      </c>
      <c r="E395" s="21" t="str">
        <f t="shared" si="16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17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288</v>
      </c>
      <c r="B396" s="20" t="s">
        <v>220</v>
      </c>
      <c r="C396" s="20" t="s">
        <v>72</v>
      </c>
      <c r="D396" s="20" t="s">
        <v>52</v>
      </c>
      <c r="E396" s="21" t="s">
        <v>580</v>
      </c>
      <c r="F396" s="22" t="s">
        <v>513</v>
      </c>
      <c r="G396" s="23" t="e">
        <f ca="1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#VALUE!</v>
      </c>
      <c r="H396" s="24" t="str">
        <f t="shared" ca="1" si="17"/>
        <v/>
      </c>
      <c r="I396" s="25" t="e">
        <f>IF(OR(E396="",E396="!!!",F396="NEW"),"",INDEX(B$2:B395,-1+SUMPRODUCT(MAX(ROW(E$2:E395)*(E396=E$2:E395)))))</f>
        <v>#VALUE!</v>
      </c>
      <c r="J396" s="25">
        <f ca="1">IF(OR(E396="",E396="!!!",F396="NEW"),"",COUNTBLANK(OFFSET(A$1,,,SUMPRODUCT(MAX(ROW(E$2:E396)*(E396=E$2:E396)))))-COUNTBLANK(OFFSET(A$1,,,SUMPRODUCT(MAX(ROW(E$1:E395)*(E2=E$1:E395))))))</f>
        <v>0</v>
      </c>
      <c r="K396" s="25" t="e">
        <f>IF(OR(E396="",E396="!!!",F396="NEW"),"",INDEX(J$1:J395,SUMPRODUCT(MAX(ROW(E$1:E395)*(E396=E$1:E395)))))</f>
        <v>#VALUE!</v>
      </c>
      <c r="L396" s="26"/>
    </row>
    <row r="397" spans="1:12" x14ac:dyDescent="0.3">
      <c r="A397" t="s">
        <v>131</v>
      </c>
      <c r="E397" s="21" t="str">
        <f t="shared" si="16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17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124</v>
      </c>
      <c r="B398" s="20" t="s">
        <v>222</v>
      </c>
      <c r="C398" s="20" t="s">
        <v>72</v>
      </c>
      <c r="D398" s="20" t="s">
        <v>52</v>
      </c>
      <c r="E398" s="21" t="s">
        <v>574</v>
      </c>
      <c r="F398" s="22" t="str">
        <f>IF(OR(E398="",E398="!!!"),"",IF(NOT(ISNA(VLOOKUP(E398,E$1:E397,1,FALSE()))),"OLD",IF(AND(E398&lt;&gt;"",E398&lt;&gt;"!!!"),"NEW","")))</f>
        <v>OLD</v>
      </c>
      <c r="G398" s="23" t="str">
        <f ca="1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?IN_FOCUS</v>
      </c>
      <c r="H398" s="24" t="str">
        <f t="shared" ca="1" si="17"/>
        <v/>
      </c>
      <c r="I398" s="25">
        <f>IF(OR(E398="",E398="!!!",F398="NEW"),"",INDEX(B$2:B397,-1+SUMPRODUCT(MAX(ROW(E$2:E397)*(E398=E$2:E397)))))</f>
        <v>0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289</v>
      </c>
      <c r="E399" s="21" t="str">
        <f t="shared" si="16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17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76</v>
      </c>
      <c r="E400" s="21" t="str">
        <f t="shared" si="16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17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290</v>
      </c>
      <c r="E401" s="21" t="str">
        <f t="shared" si="16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17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121</v>
      </c>
      <c r="E402" s="21" t="str">
        <f t="shared" si="16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17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285</v>
      </c>
      <c r="B403" s="20" t="s">
        <v>74</v>
      </c>
      <c r="C403" s="20" t="s">
        <v>102</v>
      </c>
      <c r="E403" s="21" t="s">
        <v>583</v>
      </c>
      <c r="F403" s="22" t="str">
        <f>IF(OR(E403="",E403="!!!"),"",IF(NOT(ISNA(VLOOKUP(E403,E$1:E402,1,FALSE()))),"OLD",IF(AND(E403&lt;&gt;"",E403&lt;&gt;"!!!"),"NEW","")))</f>
        <v>NEW</v>
      </c>
      <c r="G403" s="23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?REFERENTIAL</v>
      </c>
      <c r="H403" s="24" t="str">
        <f t="shared" ca="1" si="17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 t="s">
        <v>549</v>
      </c>
    </row>
    <row r="404" spans="1:12" x14ac:dyDescent="0.3">
      <c r="A404" t="s">
        <v>76</v>
      </c>
      <c r="E404" s="21" t="str">
        <f t="shared" si="16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17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70</v>
      </c>
      <c r="B405" s="20" t="s">
        <v>110</v>
      </c>
      <c r="C405" s="20" t="s">
        <v>68</v>
      </c>
      <c r="D405" s="20" t="s">
        <v>52</v>
      </c>
      <c r="E405" s="21"/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17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 t="s">
        <v>545</v>
      </c>
    </row>
    <row r="406" spans="1:12" x14ac:dyDescent="0.3">
      <c r="A406" t="s">
        <v>291</v>
      </c>
      <c r="E406" s="21" t="str">
        <f t="shared" si="16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17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292</v>
      </c>
      <c r="E407" s="21" t="str">
        <f t="shared" si="16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17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59</v>
      </c>
      <c r="E408" s="21" t="str">
        <f t="shared" si="16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1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293</v>
      </c>
      <c r="E409" s="21" t="str">
        <f t="shared" si="1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1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126</v>
      </c>
      <c r="E410" s="21" t="str">
        <f t="shared" si="1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1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76</v>
      </c>
      <c r="E411" s="21" t="str">
        <f t="shared" si="16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17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144</v>
      </c>
      <c r="E412" s="21" t="str">
        <f t="shared" si="16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1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66</v>
      </c>
      <c r="B413" s="20" t="s">
        <v>173</v>
      </c>
      <c r="C413" s="20" t="s">
        <v>68</v>
      </c>
      <c r="D413" s="20" t="s">
        <v>52</v>
      </c>
      <c r="E413" s="21"/>
      <c r="F413" s="22" t="s">
        <v>509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1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225</v>
      </c>
      <c r="B414" s="20" t="s">
        <v>173</v>
      </c>
      <c r="C414" s="20" t="s">
        <v>68</v>
      </c>
      <c r="D414" s="20" t="s">
        <v>52</v>
      </c>
      <c r="E414" s="21" t="s">
        <v>583</v>
      </c>
      <c r="F414" s="22" t="str">
        <f>IF(OR(E414="",E414="!!!"),"",IF(NOT(ISNA(VLOOKUP(E414,E$1:E413,1,FALSE()))),"OLD",IF(AND(E414&lt;&gt;"",E414&lt;&gt;"!!!"),"NEW","")))</f>
        <v>OLD</v>
      </c>
      <c r="G414" s="23" t="str">
        <f ca="1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?IN_FOCUS</v>
      </c>
      <c r="H414" s="24" t="str">
        <f t="shared" ca="1" si="17"/>
        <v/>
      </c>
      <c r="I414" s="25" t="str">
        <f>IF(OR(E414="",E414="!!!",F414="NEW"),"",INDEX(B$2:B413,-1+SUMPRODUCT(MAX(ROW(E$2:E413)*(E414=E$2:E413)))))</f>
        <v>other_3</v>
      </c>
      <c r="J414" s="25">
        <f ca="1">IF(OR(E414="",E414="!!!",F414="NEW"),"",COUNTBLANK(OFFSET(A$1,,,SUMPRODUCT(MAX(ROW(E$2:E414)*(E414=E$2:E414)))))-COUNTBLANK(OFFSET(A$1,,,SUMPRODUCT(MAX(ROW(E$1:E413)*(E2=E$1:E413))))))</f>
        <v>0</v>
      </c>
      <c r="K414" s="25" t="str">
        <f ca="1">IF(OR(E414="",E414="!!!",F414="NEW"),"",INDEX(J$1:J413,SUMPRODUCT(MAX(ROW(E$1:E413)*(E414=E$1:E413)))))</f>
        <v/>
      </c>
      <c r="L414" s="26"/>
    </row>
    <row r="415" spans="1:12" x14ac:dyDescent="0.3">
      <c r="A415" t="s">
        <v>191</v>
      </c>
      <c r="E415" s="21" t="str">
        <f t="shared" si="1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1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294</v>
      </c>
      <c r="E416" s="21" t="str">
        <f t="shared" si="16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1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12</v>
      </c>
      <c r="E417" s="21" t="str">
        <f t="shared" si="16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17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295</v>
      </c>
      <c r="B418" s="20" t="s">
        <v>108</v>
      </c>
      <c r="C418" s="20" t="s">
        <v>58</v>
      </c>
      <c r="E418" s="21" t="str">
        <f t="shared" si="16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17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296</v>
      </c>
      <c r="E419" s="21" t="str">
        <f t="shared" si="16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1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76</v>
      </c>
      <c r="E420" s="21" t="str">
        <f t="shared" si="1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1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297</v>
      </c>
      <c r="E421" s="21" t="str">
        <f t="shared" si="16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1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298</v>
      </c>
      <c r="E422" s="21" t="str">
        <f t="shared" si="1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1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134</v>
      </c>
      <c r="E423" s="21" t="str">
        <f t="shared" si="1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1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172</v>
      </c>
      <c r="B424" s="20" t="s">
        <v>108</v>
      </c>
      <c r="C424" s="20" t="s">
        <v>72</v>
      </c>
      <c r="D424" s="20" t="s">
        <v>52</v>
      </c>
      <c r="E424" s="21" t="s">
        <v>578</v>
      </c>
      <c r="F424" s="22" t="str">
        <f>IF(OR(E424="",E424="!!!"),"",IF(NOT(ISNA(VLOOKUP(E424,E$1:E423,1,FALSE()))),"OLD",IF(AND(E424&lt;&gt;"",E424&lt;&gt;"!!!"),"NEW","")))</f>
        <v>OLD</v>
      </c>
      <c r="G424" s="23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?IN_FOCUS</v>
      </c>
      <c r="H424" s="24" t="str">
        <f t="shared" ca="1" si="17"/>
        <v/>
      </c>
      <c r="I424" s="25" t="str">
        <f>IF(OR(E424="",E424="!!!",F424="NEW"),"",INDEX(B$2:B423,-1+SUMPRODUCT(MAX(ROW(E$2:E423)*(E424=E$2:E423)))))</f>
        <v>other_5</v>
      </c>
      <c r="J424" s="25">
        <f ca="1">IF(OR(E424="",E424="!!!",F424="NEW"),"",COUNTBLANK(OFFSET(A$1,,,SUMPRODUCT(MAX(ROW(E$2:E424)*(E424=E$2:E424)))))-COUNTBLANK(OFFSET(A$1,,,SUMPRODUCT(MAX(ROW(E$1:E423)*(E2=E$1:E423))))))</f>
        <v>0</v>
      </c>
      <c r="K424" s="25" t="str">
        <f ca="1">IF(OR(E424="",E424="!!!",F424="NEW"),"",INDEX(J$1:J423,SUMPRODUCT(MAX(ROW(E$1:E423)*(E424=E$1:E423)))))</f>
        <v/>
      </c>
      <c r="L424" s="26"/>
    </row>
    <row r="425" spans="1:12" x14ac:dyDescent="0.3">
      <c r="A425" t="s">
        <v>76</v>
      </c>
      <c r="E425" s="21" t="str">
        <f t="shared" si="1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1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133</v>
      </c>
      <c r="E426" s="21" t="str">
        <f t="shared" ref="E426:E488" si="18">IF(D426="?OLD","!!!","")</f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ref="H426:H489" ca="1" si="19">IF(J426&lt;&gt;1,"",IF(I426="SBJ","CB","?"))</f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299</v>
      </c>
      <c r="B427" s="20" t="s">
        <v>222</v>
      </c>
      <c r="C427" s="20" t="s">
        <v>58</v>
      </c>
      <c r="E427" s="21" t="str">
        <f t="shared" si="1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1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59</v>
      </c>
      <c r="E428" s="21" t="str">
        <f t="shared" si="1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1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172</v>
      </c>
      <c r="B429" s="20" t="s">
        <v>210</v>
      </c>
      <c r="C429" s="20" t="s">
        <v>58</v>
      </c>
      <c r="E429" s="21" t="str">
        <f t="shared" si="18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1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76</v>
      </c>
      <c r="E430" s="21" t="str">
        <f t="shared" si="1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1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79</v>
      </c>
      <c r="E431" s="21" t="str">
        <f t="shared" si="1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1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168</v>
      </c>
      <c r="E432" s="21" t="str">
        <f t="shared" si="1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1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300</v>
      </c>
      <c r="E433" s="21" t="str">
        <f t="shared" si="18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19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301</v>
      </c>
      <c r="B434" s="20" t="s">
        <v>210</v>
      </c>
      <c r="C434" s="20" t="s">
        <v>72</v>
      </c>
      <c r="D434" s="20" t="s">
        <v>52</v>
      </c>
      <c r="E434" s="21" t="s">
        <v>590</v>
      </c>
      <c r="F434" s="22" t="s">
        <v>513</v>
      </c>
      <c r="G434" s="23" t="e">
        <f ca="1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#VALUE!</v>
      </c>
      <c r="H434" s="24" t="str">
        <f t="shared" ca="1" si="19"/>
        <v/>
      </c>
      <c r="I434" s="25" t="e">
        <f>IF(OR(E434="",E434="!!!",F434="NEW"),"",INDEX(B$2:B433,-1+SUMPRODUCT(MAX(ROW(E$2:E433)*(E434=E$2:E433)))))</f>
        <v>#VALUE!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 t="e">
        <f>IF(OR(E434="",E434="!!!",F434="NEW"),"",INDEX(J$1:J433,SUMPRODUCT(MAX(ROW(E$1:E433)*(E434=E$1:E433)))))</f>
        <v>#VALUE!</v>
      </c>
      <c r="L434" s="26"/>
    </row>
    <row r="435" spans="1:12" x14ac:dyDescent="0.3">
      <c r="A435" t="s">
        <v>183</v>
      </c>
      <c r="E435" s="21" t="str">
        <f t="shared" si="1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1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227</v>
      </c>
      <c r="E436" s="21" t="str">
        <f t="shared" si="18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19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12</v>
      </c>
      <c r="E437" s="21" t="str">
        <f t="shared" si="18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19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228</v>
      </c>
      <c r="E438" s="21" t="str">
        <f t="shared" si="18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19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12</v>
      </c>
      <c r="E439" s="21" t="str">
        <f t="shared" si="18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19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302</v>
      </c>
      <c r="B440" s="20" t="s">
        <v>303</v>
      </c>
      <c r="C440" s="20" t="s">
        <v>72</v>
      </c>
      <c r="D440" s="20" t="s">
        <v>52</v>
      </c>
      <c r="E440" s="21" t="s">
        <v>584</v>
      </c>
      <c r="F440" s="22" t="str">
        <f>IF(OR(E440="",E440="!!!"),"",IF(NOT(ISNA(VLOOKUP(E440,E$1:E439,1,FALSE()))),"OLD",IF(AND(E440&lt;&gt;"",E440&lt;&gt;"!!!"),"NEW","")))</f>
        <v>NEW</v>
      </c>
      <c r="G440" s="23" t="str">
        <f ca="1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?REFERENTIAL</v>
      </c>
      <c r="H440" s="24" t="str">
        <f t="shared" ca="1" si="19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103</v>
      </c>
      <c r="E441" s="21" t="str">
        <f t="shared" si="18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19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96</v>
      </c>
      <c r="B442" s="20" t="s">
        <v>67</v>
      </c>
      <c r="C442" s="20" t="s">
        <v>97</v>
      </c>
      <c r="D442" s="20" t="s">
        <v>52</v>
      </c>
      <c r="E442" s="21" t="s">
        <v>512</v>
      </c>
      <c r="F442" s="22" t="str">
        <f>IF(OR(E442="",E442="!!!"),"",IF(NOT(ISNA(VLOOKUP(E442,E$1:E441,1,FALSE()))),"OLD",IF(AND(E442&lt;&gt;"",E442&lt;&gt;"!!!"),"NEW","")))</f>
        <v>OLD</v>
      </c>
      <c r="G442" s="23" t="str">
        <f ca="1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?IN_FOCUS</v>
      </c>
      <c r="H442" s="24" t="str">
        <f t="shared" ca="1" si="19"/>
        <v/>
      </c>
      <c r="I442" s="25" t="str">
        <f>IF(OR(E442="",E442="!!!",F442="NEW"),"",INDEX(B$2:B441,-1+SUMPRODUCT(MAX(ROW(E$2:E441)*(E442=E$2:E441)))))</f>
        <v>SBJ_2</v>
      </c>
      <c r="J442" s="25">
        <f ca="1">IF(OR(E442="",E442="!!!",F442="NEW"),"",COUNTBLANK(OFFSET(A$1,,,SUMPRODUCT(MAX(ROW(E$2:E442)*(E442=E$2:E442)))))-COUNTBLANK(OFFSET(A$1,,,SUMPRODUCT(MAX(ROW(E$1:E441)*(E2=E$1:E441))))))</f>
        <v>0</v>
      </c>
      <c r="K442" s="25">
        <f ca="1">IF(OR(E442="",E442="!!!",F442="NEW"),"",INDEX(J$1:J441,SUMPRODUCT(MAX(ROW(E$1:E441)*(E442=E$1:E441)))))</f>
        <v>0</v>
      </c>
      <c r="L442" s="26"/>
    </row>
    <row r="443" spans="1:12" x14ac:dyDescent="0.3">
      <c r="A443" t="s">
        <v>143</v>
      </c>
      <c r="E443" s="21" t="str">
        <f t="shared" si="18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19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304</v>
      </c>
      <c r="E444" s="21" t="str">
        <f t="shared" si="18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19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76</v>
      </c>
      <c r="E445" s="21" t="str">
        <f t="shared" si="18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19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144</v>
      </c>
      <c r="E446" s="21" t="str">
        <f t="shared" si="18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19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70</v>
      </c>
      <c r="E447" s="21" t="str">
        <f t="shared" si="18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19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305</v>
      </c>
      <c r="B448" s="20" t="s">
        <v>151</v>
      </c>
      <c r="C448" s="20" t="s">
        <v>72</v>
      </c>
      <c r="D448" s="20" t="s">
        <v>52</v>
      </c>
      <c r="E448" s="21" t="s">
        <v>585</v>
      </c>
      <c r="F448" s="22" t="str">
        <f>IF(OR(E448="",E448="!!!"),"",IF(NOT(ISNA(VLOOKUP(E448,E$1:E447,1,FALSE()))),"OLD",IF(AND(E448&lt;&gt;"",E448&lt;&gt;"!!!"),"NEW","")))</f>
        <v>NEW</v>
      </c>
      <c r="G448" s="23" t="str">
        <f ca="1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?REFERENTIAL</v>
      </c>
      <c r="H448" s="24" t="str">
        <f t="shared" ca="1" si="19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76</v>
      </c>
      <c r="E449" s="21" t="str">
        <f t="shared" si="18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19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70</v>
      </c>
      <c r="B450" s="20" t="s">
        <v>193</v>
      </c>
      <c r="E450" s="21" t="str">
        <f t="shared" si="18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19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66</v>
      </c>
      <c r="B451" s="20" t="s">
        <v>110</v>
      </c>
      <c r="C451" s="20" t="s">
        <v>68</v>
      </c>
      <c r="D451" s="20" t="s">
        <v>52</v>
      </c>
      <c r="E451" s="21" t="s">
        <v>510</v>
      </c>
      <c r="F451" s="22" t="s">
        <v>523</v>
      </c>
      <c r="G451" s="23" t="str">
        <f ca="1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?IN_FOCUS</v>
      </c>
      <c r="H451" s="24" t="str">
        <f t="shared" ca="1" si="19"/>
        <v/>
      </c>
      <c r="I451" s="25" t="str">
        <f>IF(OR(E451="",E451="!!!",F451="NEW"),"",INDEX(B$2:B450,-1+SUMPRODUCT(MAX(ROW(E$2:E450)*(E451=E$2:E450)))))</f>
        <v>SBJ</v>
      </c>
      <c r="J451" s="25">
        <f ca="1">IF(OR(E451="",E451="!!!",F451="NEW"),"",COUNTBLANK(OFFSET(A$1,,,SUMPRODUCT(MAX(ROW(E$2:E451)*(E451=E$2:E451)))))-COUNTBLANK(OFFSET(A$1,,,SUMPRODUCT(MAX(ROW(E$1:E450)*(E2=E$1:E450))))))</f>
        <v>0</v>
      </c>
      <c r="K451" s="25">
        <f ca="1">IF(OR(E451="",E451="!!!",F451="NEW"),"",INDEX(J$1:J450,SUMPRODUCT(MAX(ROW(E$1:E450)*(E451=E$1:E450)))))</f>
        <v>0</v>
      </c>
      <c r="L451" s="26"/>
    </row>
    <row r="452" spans="1:12" x14ac:dyDescent="0.3">
      <c r="A452" t="s">
        <v>306</v>
      </c>
      <c r="E452" s="21" t="str">
        <f t="shared" si="1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1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273</v>
      </c>
      <c r="B453" s="20" t="s">
        <v>87</v>
      </c>
      <c r="C453" s="20" t="s">
        <v>51</v>
      </c>
      <c r="D453" s="20" t="s">
        <v>52</v>
      </c>
      <c r="E453" s="21" t="s">
        <v>526</v>
      </c>
      <c r="F453" s="22" t="str">
        <f>IF(OR(E453="",E453="!!!"),"",IF(NOT(ISNA(VLOOKUP(E453,E$1:E452,1,FALSE()))),"OLD",IF(AND(E453&lt;&gt;"",E453&lt;&gt;"!!!"),"NEW","")))</f>
        <v>OLD</v>
      </c>
      <c r="G453" s="23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?IN_FOCUS</v>
      </c>
      <c r="H453" s="24" t="str">
        <f t="shared" ca="1" si="19"/>
        <v/>
      </c>
      <c r="I453" s="25" t="str">
        <f>IF(OR(E453="",E453="!!!",F453="NEW"),"",INDEX(B$2:B452,-1+SUMPRODUCT(MAX(ROW(E$2:E452)*(E453=E$2:E452)))))</f>
        <v>OBJ_2</v>
      </c>
      <c r="J453" s="25">
        <f ca="1">IF(OR(E453="",E453="!!!",F453="NEW"),"",COUNTBLANK(OFFSET(A$1,,,SUMPRODUCT(MAX(ROW(E$2:E453)*(E453=E$2:E453)))))-COUNTBLANK(OFFSET(A$1,,,SUMPRODUCT(MAX(ROW(E$1:E452)*(E2=E$1:E452))))))</f>
        <v>0</v>
      </c>
      <c r="K453" s="25" t="str">
        <f ca="1">IF(OR(E453="",E453="!!!",F453="NEW"),"",INDEX(J$1:J452,SUMPRODUCT(MAX(ROW(E$1:E452)*(E453=E$1:E452)))))</f>
        <v/>
      </c>
      <c r="L453" s="26"/>
    </row>
    <row r="454" spans="1:12" x14ac:dyDescent="0.3">
      <c r="A454" t="s">
        <v>274</v>
      </c>
      <c r="E454" s="21" t="str">
        <f t="shared" si="1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1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307</v>
      </c>
      <c r="E455" s="21" t="str">
        <f t="shared" si="1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1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76</v>
      </c>
      <c r="E456" s="21" t="str">
        <f t="shared" si="1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1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144</v>
      </c>
      <c r="E457" s="21" t="str">
        <f t="shared" si="1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1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230</v>
      </c>
      <c r="B458" s="20" t="s">
        <v>262</v>
      </c>
      <c r="E458" s="21" t="str">
        <f t="shared" si="1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1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70</v>
      </c>
      <c r="E459" s="21" t="str">
        <f t="shared" si="1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1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203</v>
      </c>
      <c r="B460" s="20" t="s">
        <v>151</v>
      </c>
      <c r="C460" s="20" t="s">
        <v>72</v>
      </c>
      <c r="D460" s="20" t="s">
        <v>52</v>
      </c>
      <c r="E460" s="21" t="s">
        <v>586</v>
      </c>
      <c r="F460" s="22" t="str">
        <f>IF(OR(E460="",E460="!!!"),"",IF(NOT(ISNA(VLOOKUP(E460,E$1:E459,1,FALSE()))),"OLD",IF(AND(E460&lt;&gt;"",E460&lt;&gt;"!!!"),"NEW","")))</f>
        <v>NEW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?REFERENTIAL</v>
      </c>
      <c r="H460" s="24" t="str">
        <f t="shared" ca="1" si="1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187</v>
      </c>
      <c r="E461" s="21" t="str">
        <f t="shared" si="1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1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308</v>
      </c>
      <c r="B462" s="20" t="s">
        <v>74</v>
      </c>
      <c r="C462" s="20" t="s">
        <v>58</v>
      </c>
      <c r="E462" s="21" t="str">
        <f t="shared" si="1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1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309</v>
      </c>
      <c r="E463" s="21" t="str">
        <f t="shared" si="1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1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76</v>
      </c>
      <c r="E464" s="21" t="str">
        <f t="shared" si="1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1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310</v>
      </c>
      <c r="E465" s="21" t="str">
        <f t="shared" si="1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1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153</v>
      </c>
      <c r="B466" s="20" t="s">
        <v>74</v>
      </c>
      <c r="C466" s="20" t="s">
        <v>90</v>
      </c>
      <c r="D466" s="20" t="s">
        <v>52</v>
      </c>
      <c r="E466" s="21"/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1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 t="s">
        <v>515</v>
      </c>
    </row>
    <row r="467" spans="1:12" x14ac:dyDescent="0.3">
      <c r="A467" t="s">
        <v>311</v>
      </c>
      <c r="E467" s="21" t="str">
        <f t="shared" si="1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1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312</v>
      </c>
      <c r="E468" s="21" t="str">
        <f t="shared" si="1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1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12</v>
      </c>
      <c r="E469" s="21" t="str">
        <f t="shared" si="1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1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313</v>
      </c>
      <c r="B470" s="20" t="s">
        <v>63</v>
      </c>
      <c r="C470" s="20" t="s">
        <v>93</v>
      </c>
      <c r="D470" s="20" t="s">
        <v>52</v>
      </c>
      <c r="E470" s="21" t="s">
        <v>550</v>
      </c>
      <c r="F470" s="22" t="str">
        <f>IF(OR(E470="",E470="!!!"),"",IF(NOT(ISNA(VLOOKUP(E470,E$1:E469,1,FALSE()))),"OLD",IF(AND(E470&lt;&gt;"",E470&lt;&gt;"!!!"),"NEW","")))</f>
        <v>NEW</v>
      </c>
      <c r="G470" s="23" t="str">
        <f ca="1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?REFERENTIAL</v>
      </c>
      <c r="H470" s="24" t="str">
        <f t="shared" ca="1" si="1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76</v>
      </c>
      <c r="E471" s="21" t="str">
        <f t="shared" si="1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1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70</v>
      </c>
      <c r="B472" s="20" t="s">
        <v>85</v>
      </c>
      <c r="E472" s="21" t="str">
        <f t="shared" si="18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19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311</v>
      </c>
      <c r="E473" s="21" t="str">
        <f t="shared" si="18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19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314</v>
      </c>
      <c r="B474" s="20" t="s">
        <v>198</v>
      </c>
      <c r="C474" s="20" t="s">
        <v>58</v>
      </c>
      <c r="E474" s="21" t="str">
        <f t="shared" si="18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19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315</v>
      </c>
      <c r="E475" s="21" t="str">
        <f t="shared" si="18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19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59</v>
      </c>
      <c r="E476" s="21" t="str">
        <f t="shared" si="18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19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230</v>
      </c>
      <c r="B477" s="20" t="s">
        <v>193</v>
      </c>
      <c r="E477" s="21" t="str">
        <f t="shared" si="18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19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61</v>
      </c>
      <c r="E478" s="21" t="str">
        <f t="shared" si="18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19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131</v>
      </c>
      <c r="E479" s="21" t="str">
        <f t="shared" si="18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19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209</v>
      </c>
      <c r="B480" s="20" t="s">
        <v>87</v>
      </c>
      <c r="C480" s="20" t="s">
        <v>72</v>
      </c>
      <c r="D480" s="20" t="s">
        <v>52</v>
      </c>
      <c r="E480" s="21" t="s">
        <v>526</v>
      </c>
      <c r="F480" s="22" t="str">
        <f>IF(OR(E480="",E480="!!!"),"",IF(NOT(ISNA(VLOOKUP(E480,E$1:E479,1,FALSE()))),"OLD",IF(AND(E480&lt;&gt;"",E480&lt;&gt;"!!!"),"NEW","")))</f>
        <v>OLD</v>
      </c>
      <c r="G480" s="23" t="str">
        <f ca="1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?IN_FOCUS</v>
      </c>
      <c r="H480" s="24" t="str">
        <f t="shared" ca="1" si="19"/>
        <v/>
      </c>
      <c r="I480" s="25" t="str">
        <f>IF(OR(E480="",E480="!!!",F480="NEW"),"",INDEX(B$2:B479,-1+SUMPRODUCT(MAX(ROW(E$2:E479)*(E480=E$2:E479)))))</f>
        <v>other_5</v>
      </c>
      <c r="J480" s="25">
        <f ca="1">IF(OR(E480="",E480="!!!",F480="NEW"),"",COUNTBLANK(OFFSET(A$1,,,SUMPRODUCT(MAX(ROW(E$2:E480)*(E480=E$2:E480)))))-COUNTBLANK(OFFSET(A$1,,,SUMPRODUCT(MAX(ROW(E$1:E479)*(E2=E$1:E479))))))</f>
        <v>0</v>
      </c>
      <c r="K480" s="25">
        <f ca="1">IF(OR(E480="",E480="!!!",F480="NEW"),"",INDEX(J$1:J479,SUMPRODUCT(MAX(ROW(E$1:E479)*(E480=E$1:E479)))))</f>
        <v>0</v>
      </c>
      <c r="L480" s="26"/>
    </row>
    <row r="481" spans="1:12" x14ac:dyDescent="0.3">
      <c r="A481" t="s">
        <v>316</v>
      </c>
      <c r="E481" s="21" t="str">
        <f t="shared" si="18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19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76</v>
      </c>
      <c r="E482" s="21" t="str">
        <f t="shared" si="18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19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317</v>
      </c>
      <c r="E483" s="21" t="str">
        <f t="shared" si="18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19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115</v>
      </c>
      <c r="E484" s="21" t="str">
        <f t="shared" si="18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19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103</v>
      </c>
      <c r="E485" s="21" t="str">
        <f t="shared" si="18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19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96</v>
      </c>
      <c r="B486" s="20" t="s">
        <v>151</v>
      </c>
      <c r="C486" s="20" t="s">
        <v>97</v>
      </c>
      <c r="D486" s="20" t="s">
        <v>52</v>
      </c>
      <c r="E486" s="21" t="s">
        <v>512</v>
      </c>
      <c r="F486" s="22" t="str">
        <f>IF(OR(E486="",E486="!!!"),"",IF(NOT(ISNA(VLOOKUP(E486,E$1:E485,1,FALSE()))),"OLD",IF(AND(E486&lt;&gt;"",E486&lt;&gt;"!!!"),"NEW","")))</f>
        <v>OLD</v>
      </c>
      <c r="G486" s="23" t="str">
        <f ca="1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?IN_FOCUS</v>
      </c>
      <c r="H486" s="24" t="str">
        <f t="shared" ca="1" si="19"/>
        <v/>
      </c>
      <c r="I486" s="25" t="str">
        <f>IF(OR(E486="",E486="!!!",F486="NEW"),"",INDEX(B$2:B485,-1+SUMPRODUCT(MAX(ROW(E$2:E485)*(E486=E$2:E485)))))</f>
        <v>SBJ_2</v>
      </c>
      <c r="J486" s="25">
        <f ca="1">IF(OR(E486="",E486="!!!",F486="NEW"),"",COUNTBLANK(OFFSET(A$1,,,SUMPRODUCT(MAX(ROW(E$2:E486)*(E486=E$2:E486)))))-COUNTBLANK(OFFSET(A$1,,,SUMPRODUCT(MAX(ROW(E$1:E485)*(E2=E$1:E485))))))</f>
        <v>0</v>
      </c>
      <c r="K486" s="25">
        <f ca="1">IF(OR(E486="",E486="!!!",F486="NEW"),"",INDEX(J$1:J485,SUMPRODUCT(MAX(ROW(E$1:E485)*(E486=E$1:E485)))))</f>
        <v>0</v>
      </c>
      <c r="L486" s="26"/>
    </row>
    <row r="487" spans="1:12" x14ac:dyDescent="0.3">
      <c r="A487" t="s">
        <v>143</v>
      </c>
      <c r="E487" s="21" t="str">
        <f t="shared" si="18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19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243</v>
      </c>
      <c r="E488" s="21" t="str">
        <f t="shared" si="18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19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162</v>
      </c>
      <c r="E489" s="21" t="s">
        <v>574</v>
      </c>
      <c r="F489" s="22" t="str">
        <f>IF(OR(E489="",E489="!!!"),"",IF(NOT(ISNA(VLOOKUP(E489,E$1:E488,1,FALSE()))),"OLD",IF(AND(E489&lt;&gt;"",E489&lt;&gt;"!!!"),"NEW","")))</f>
        <v>OLD</v>
      </c>
      <c r="G489" s="23" t="str">
        <f ca="1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4" t="str">
        <f t="shared" ca="1" si="19"/>
        <v/>
      </c>
      <c r="I489" s="25" t="str">
        <f>IF(OR(E489="",E489="!!!",F489="NEW"),"",INDEX(B$2:B488,-1+SUMPRODUCT(MAX(ROW(E$2:E488)*(E489=E$2:E488)))))</f>
        <v>other_7</v>
      </c>
      <c r="J489" s="25">
        <f ca="1">IF(OR(E489="",E489="!!!",F489="NEW"),"",COUNTBLANK(OFFSET(A$1,,,SUMPRODUCT(MAX(ROW(E$2:E489)*(E489=E$2:E489)))))-COUNTBLANK(OFFSET(A$1,,,SUMPRODUCT(MAX(ROW(E$1:E488)*(E2=E$1:E488))))))</f>
        <v>0</v>
      </c>
      <c r="K489" s="25">
        <f ca="1">IF(OR(E489="",E489="!!!",F489="NEW"),"",INDEX(J$1:J488,SUMPRODUCT(MAX(ROW(E$1:E488)*(E489=E$1:E488)))))</f>
        <v>0</v>
      </c>
      <c r="L489" s="26" t="s">
        <v>549</v>
      </c>
    </row>
    <row r="490" spans="1:12" x14ac:dyDescent="0.3">
      <c r="A490" t="s">
        <v>318</v>
      </c>
      <c r="E490" s="21" t="str">
        <f t="shared" ref="E490:E508" si="20">IF(D490="?OLD","!!!","")</f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ref="H490:H508" ca="1" si="21">IF(J490&lt;&gt;1,"",IF(I490="SBJ","CB","?"))</f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103</v>
      </c>
      <c r="E491" s="21" t="str">
        <f t="shared" si="2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2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96</v>
      </c>
      <c r="B492" s="20" t="s">
        <v>262</v>
      </c>
      <c r="C492" s="20" t="s">
        <v>97</v>
      </c>
      <c r="D492" s="20" t="s">
        <v>52</v>
      </c>
      <c r="E492" s="21" t="s">
        <v>512</v>
      </c>
      <c r="F492" s="22" t="str">
        <f>IF(OR(E492="",E492="!!!"),"",IF(NOT(ISNA(VLOOKUP(E492,E$1:E491,1,FALSE()))),"OLD",IF(AND(E492&lt;&gt;"",E492&lt;&gt;"!!!"),"NEW","")))</f>
        <v>OLD</v>
      </c>
      <c r="G492" s="23" t="str">
        <f ca="1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?IN_FOCUS</v>
      </c>
      <c r="H492" s="24" t="str">
        <f t="shared" ca="1" si="21"/>
        <v/>
      </c>
      <c r="I492" s="25" t="str">
        <f>IF(OR(E492="",E492="!!!",F492="NEW"),"",INDEX(B$2:B491,-1+SUMPRODUCT(MAX(ROW(E$2:E491)*(E492=E$2:E491)))))</f>
        <v>SBJ_3</v>
      </c>
      <c r="J492" s="25">
        <f ca="1">IF(OR(E492="",E492="!!!",F492="NEW"),"",COUNTBLANK(OFFSET(A$1,,,SUMPRODUCT(MAX(ROW(E$2:E492)*(E492=E$2:E492)))))-COUNTBLANK(OFFSET(A$1,,,SUMPRODUCT(MAX(ROW(E$1:E491)*(E2=E$1:E491))))))</f>
        <v>0</v>
      </c>
      <c r="K492" s="25">
        <f ca="1">IF(OR(E492="",E492="!!!",F492="NEW"),"",INDEX(J$1:J491,SUMPRODUCT(MAX(ROW(E$1:E491)*(E492=E$1:E491)))))</f>
        <v>0</v>
      </c>
      <c r="L492" s="26"/>
    </row>
    <row r="493" spans="1:12" x14ac:dyDescent="0.3">
      <c r="A493" t="s">
        <v>143</v>
      </c>
      <c r="E493" s="21" t="str">
        <f t="shared" si="2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2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70</v>
      </c>
      <c r="E494" s="21" t="str">
        <f t="shared" si="2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2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319</v>
      </c>
      <c r="B495" s="20" t="s">
        <v>198</v>
      </c>
      <c r="C495" s="20" t="s">
        <v>51</v>
      </c>
      <c r="D495" s="20" t="s">
        <v>52</v>
      </c>
      <c r="E495" s="21" t="s">
        <v>587</v>
      </c>
      <c r="F495" s="22" t="str">
        <f>IF(OR(E495="",E495="!!!"),"",IF(NOT(ISNA(VLOOKUP(E495,E$1:E494,1,FALSE()))),"OLD",IF(AND(E495&lt;&gt;"",E495&lt;&gt;"!!!"),"NEW","")))</f>
        <v>NEW</v>
      </c>
      <c r="G495" s="23" t="str">
        <f ca="1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?REFERENTIAL</v>
      </c>
      <c r="H495" s="24" t="str">
        <f t="shared" ca="1" si="2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12</v>
      </c>
      <c r="E496" s="21" t="str">
        <f t="shared" si="2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2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320</v>
      </c>
      <c r="E497" s="21" t="str">
        <f t="shared" si="2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2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76</v>
      </c>
      <c r="E498" s="21" t="str">
        <f t="shared" si="20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2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70</v>
      </c>
      <c r="B499" s="20" t="s">
        <v>204</v>
      </c>
      <c r="E499" s="21" t="str">
        <f t="shared" si="20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21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217</v>
      </c>
      <c r="E500" s="21" t="str">
        <f t="shared" si="20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21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86</v>
      </c>
      <c r="E501" s="21" t="str">
        <f t="shared" si="20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21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134</v>
      </c>
      <c r="E502" s="21" t="str">
        <f t="shared" si="20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21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172</v>
      </c>
      <c r="B503" s="20" t="s">
        <v>222</v>
      </c>
      <c r="C503" s="20" t="s">
        <v>72</v>
      </c>
      <c r="D503" s="20" t="s">
        <v>52</v>
      </c>
      <c r="E503" s="21" t="s">
        <v>578</v>
      </c>
      <c r="F503" s="22" t="str">
        <f>IF(OR(E503="",E503="!!!"),"",IF(NOT(ISNA(VLOOKUP(E503,E$1:E502,1,FALSE()))),"OLD",IF(AND(E503&lt;&gt;"",E503&lt;&gt;"!!!"),"NEW","")))</f>
        <v>OLD</v>
      </c>
      <c r="G503" s="23" t="str">
        <f ca="1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?IN_FOCUS</v>
      </c>
      <c r="H503" s="24" t="str">
        <f t="shared" ca="1" si="21"/>
        <v/>
      </c>
      <c r="I503" s="25" t="str">
        <f>IF(OR(E503="",E503="!!!",F503="NEW"),"",INDEX(B$2:B502,-1+SUMPRODUCT(MAX(ROW(E$2:E502)*(E503=E$2:E502)))))</f>
        <v>other_6</v>
      </c>
      <c r="J503" s="25">
        <f ca="1">IF(OR(E503="",E503="!!!",F503="NEW"),"",COUNTBLANK(OFFSET(A$1,,,SUMPRODUCT(MAX(ROW(E$2:E503)*(E503=E$2:E503)))))-COUNTBLANK(OFFSET(A$1,,,SUMPRODUCT(MAX(ROW(E$1:E502)*(E2=E$1:E502))))))</f>
        <v>0</v>
      </c>
      <c r="K503" s="25">
        <f ca="1">IF(OR(E503="",E503="!!!",F503="NEW"),"",INDEX(J$1:J502,SUMPRODUCT(MAX(ROW(E$1:E502)*(E503=E$1:E502)))))</f>
        <v>0</v>
      </c>
      <c r="L503" s="26"/>
    </row>
    <row r="504" spans="1:12" x14ac:dyDescent="0.3">
      <c r="A504" t="s">
        <v>321</v>
      </c>
      <c r="E504" s="21" t="str">
        <f t="shared" si="20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21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76</v>
      </c>
      <c r="E505" s="21" t="str">
        <f t="shared" si="20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21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70</v>
      </c>
      <c r="E506" s="21" t="str">
        <f t="shared" si="20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21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322</v>
      </c>
      <c r="B507" s="20" t="s">
        <v>87</v>
      </c>
      <c r="C507" s="20" t="s">
        <v>72</v>
      </c>
      <c r="D507" s="20" t="s">
        <v>52</v>
      </c>
      <c r="E507" s="21" t="s">
        <v>588</v>
      </c>
      <c r="F507" s="22" t="str">
        <f>IF(OR(E507="",E507="!!!"),"",IF(NOT(ISNA(VLOOKUP(E507,E$1:E506,1,FALSE()))),"OLD",IF(AND(E507&lt;&gt;"",E507&lt;&gt;"!!!"),"NEW","")))</f>
        <v>NEW</v>
      </c>
      <c r="G507" s="23" t="str">
        <f ca="1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?REFERENTIAL</v>
      </c>
      <c r="H507" s="24" t="str">
        <f t="shared" ca="1" si="21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76</v>
      </c>
      <c r="E508" s="21" t="str">
        <f t="shared" si="20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21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10" spans="1:12" x14ac:dyDescent="0.3">
      <c r="A510" t="s">
        <v>323</v>
      </c>
      <c r="E510" s="21" t="str">
        <f>IF(D510="?OLD","!!!","")</f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ca="1">IF(J510&lt;&gt;1,"",IF(I510="SBJ","CB","?"))</f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324</v>
      </c>
    </row>
    <row r="512" spans="1:12" x14ac:dyDescent="0.3">
      <c r="A512" t="s">
        <v>70</v>
      </c>
      <c r="E512" s="21" t="str">
        <f t="shared" ref="E512:E575" si="22">IF(D512="?OLD","!!!","")</f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ref="H512:H575" ca="1" si="23">IF(J512&lt;&gt;1,"",IF(I512="SBJ","CB","?"))</f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325</v>
      </c>
      <c r="B513" s="20" t="s">
        <v>151</v>
      </c>
      <c r="C513" s="20" t="s">
        <v>72</v>
      </c>
      <c r="D513" s="20" t="s">
        <v>52</v>
      </c>
      <c r="E513" s="21" t="s">
        <v>589</v>
      </c>
      <c r="F513" s="22" t="str">
        <f>IF(OR(E513="",E513="!!!"),"",IF(NOT(ISNA(VLOOKUP(E513,E$1:E512,1,FALSE()))),"OLD",IF(AND(E513&lt;&gt;"",E513&lt;&gt;"!!!"),"NEW","")))</f>
        <v>NEW</v>
      </c>
      <c r="G513" s="23" t="str">
        <f ca="1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?REFERENTIAL</v>
      </c>
      <c r="H513" s="24" t="str">
        <f t="shared" ca="1" si="23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103</v>
      </c>
      <c r="E514" s="21" t="str">
        <f t="shared" si="22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23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326</v>
      </c>
      <c r="E515" s="21" t="str">
        <f t="shared" si="22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23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327</v>
      </c>
      <c r="B516" s="20" t="s">
        <v>67</v>
      </c>
      <c r="C516" s="20" t="s">
        <v>90</v>
      </c>
      <c r="D516" s="20" t="s">
        <v>52</v>
      </c>
      <c r="E516" s="21" t="s">
        <v>585</v>
      </c>
      <c r="F516" s="22" t="str">
        <f>IF(OR(E516="",E516="!!!"),"",IF(NOT(ISNA(VLOOKUP(E516,E$1:E515,1,FALSE()))),"OLD",IF(AND(E516&lt;&gt;"",E516&lt;&gt;"!!!"),"NEW","")))</f>
        <v>OLD</v>
      </c>
      <c r="G516" s="23" t="str">
        <f ca="1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?IN_FOCUS</v>
      </c>
      <c r="H516" s="24" t="str">
        <f t="shared" ca="1" si="23"/>
        <v/>
      </c>
      <c r="I516" s="25" t="str">
        <f>IF(OR(E516="",E516="!!!",F516="NEW"),"",INDEX(B$2:B515,-1+SUMPRODUCT(MAX(ROW(E$2:E515)*(E516=E$2:E515)))))</f>
        <v>SBJ_3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 t="str">
        <f ca="1">IF(OR(E516="",E516="!!!",F516="NEW"),"",INDEX(J$1:J515,SUMPRODUCT(MAX(ROW(E$1:E515)*(E516=E$1:E515)))))</f>
        <v/>
      </c>
      <c r="L516" s="26"/>
    </row>
    <row r="517" spans="1:12" x14ac:dyDescent="0.3">
      <c r="A517" t="s">
        <v>328</v>
      </c>
      <c r="E517" s="21" t="str">
        <f t="shared" si="22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23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86</v>
      </c>
      <c r="B518" s="20" t="s">
        <v>74</v>
      </c>
      <c r="C518" s="20" t="s">
        <v>88</v>
      </c>
      <c r="E518" s="21" t="str">
        <f t="shared" si="22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23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226</v>
      </c>
      <c r="B519" s="20" t="s">
        <v>63</v>
      </c>
      <c r="C519" s="20" t="s">
        <v>58</v>
      </c>
      <c r="E519" s="21" t="str">
        <f t="shared" si="22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23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112</v>
      </c>
      <c r="E520" s="21" t="str">
        <f t="shared" si="22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23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153</v>
      </c>
      <c r="B521" s="20" t="s">
        <v>63</v>
      </c>
      <c r="C521" s="20" t="s">
        <v>90</v>
      </c>
      <c r="D521" s="20" t="s">
        <v>52</v>
      </c>
      <c r="E521" s="21" t="s">
        <v>591</v>
      </c>
      <c r="F521" s="22" t="s">
        <v>513</v>
      </c>
      <c r="G521" s="23" t="e">
        <f ca="1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#VALUE!</v>
      </c>
      <c r="H521" s="24" t="str">
        <f t="shared" ca="1" si="23"/>
        <v/>
      </c>
      <c r="I521" s="25" t="e">
        <f>IF(OR(E521="",E521="!!!",F521="NEW"),"",INDEX(B$2:B520,-1+SUMPRODUCT(MAX(ROW(E$2:E520)*(E521=E$2:E520)))))</f>
        <v>#VALUE!</v>
      </c>
      <c r="J521" s="25">
        <f ca="1">IF(OR(E521="",E521="!!!",F521="NEW"),"",COUNTBLANK(OFFSET(A$1,,,SUMPRODUCT(MAX(ROW(E$2:E521)*(E521=E$2:E521)))))-COUNTBLANK(OFFSET(A$1,,,SUMPRODUCT(MAX(ROW(E$1:E520)*(E2=E$1:E520))))))</f>
        <v>0</v>
      </c>
      <c r="K521" s="25" t="e">
        <f>IF(OR(E521="",E521="!!!",F521="NEW"),"",INDEX(J$1:J520,SUMPRODUCT(MAX(ROW(E$1:E520)*(E521=E$1:E520)))))</f>
        <v>#VALUE!</v>
      </c>
      <c r="L521" s="26"/>
    </row>
    <row r="522" spans="1:12" x14ac:dyDescent="0.3">
      <c r="A522" t="s">
        <v>54</v>
      </c>
      <c r="E522" s="21" t="str">
        <f t="shared" si="2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2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253</v>
      </c>
      <c r="E523" s="21" t="str">
        <f t="shared" si="2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2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329</v>
      </c>
      <c r="E524" s="21" t="str">
        <f t="shared" si="2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2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294</v>
      </c>
      <c r="B525" s="20" t="s">
        <v>151</v>
      </c>
      <c r="C525" s="20" t="s">
        <v>51</v>
      </c>
      <c r="D525" s="20" t="s">
        <v>52</v>
      </c>
      <c r="E525" s="21"/>
      <c r="F525" s="22" t="s">
        <v>532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2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330</v>
      </c>
      <c r="E526" s="21" t="str">
        <f t="shared" si="22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23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329</v>
      </c>
      <c r="E527" s="21" t="str">
        <f t="shared" si="22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23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255</v>
      </c>
      <c r="E528" s="21" t="str">
        <f t="shared" si="22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23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331</v>
      </c>
      <c r="E529" s="21" t="str">
        <f t="shared" si="22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23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332</v>
      </c>
      <c r="B530" s="20" t="s">
        <v>262</v>
      </c>
      <c r="C530" s="20" t="s">
        <v>72</v>
      </c>
      <c r="D530" s="20" t="s">
        <v>52</v>
      </c>
      <c r="E530" s="21" t="s">
        <v>591</v>
      </c>
      <c r="F530" s="22" t="s">
        <v>523</v>
      </c>
      <c r="G530" s="23" t="str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?IN_FOCUS</v>
      </c>
      <c r="H530" s="24" t="str">
        <f t="shared" ca="1" si="23"/>
        <v/>
      </c>
      <c r="I530" s="25" t="str">
        <f>IF(OR(E530="",E530="!!!",F530="NEW"),"",INDEX(B$2:B529,-1+SUMPRODUCT(MAX(ROW(E$2:E529)*(E530=E$2:E529)))))</f>
        <v>other_2</v>
      </c>
      <c r="J530" s="25">
        <f ca="1">IF(OR(E530="",E530="!!!",F530="NEW"),"",COUNTBLANK(OFFSET(A$1,,,SUMPRODUCT(MAX(ROW(E$2:E530)*(E530=E$2:E530)))))-COUNTBLANK(OFFSET(A$1,,,SUMPRODUCT(MAX(ROW(E$1:E529)*(E2=E$1:E529))))))</f>
        <v>0</v>
      </c>
      <c r="K530" s="25">
        <f ca="1">IF(OR(E530="",E530="!!!",F530="NEW"),"",INDEX(J$1:J529,SUMPRODUCT(MAX(ROW(E$1:E529)*(E530=E$1:E529)))))</f>
        <v>0</v>
      </c>
      <c r="L530" s="26"/>
    </row>
    <row r="531" spans="1:12" x14ac:dyDescent="0.3">
      <c r="A531" t="s">
        <v>333</v>
      </c>
      <c r="E531" s="21" t="str">
        <f t="shared" si="22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23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118</v>
      </c>
      <c r="B532" s="20" t="s">
        <v>151</v>
      </c>
      <c r="C532" s="20" t="s">
        <v>97</v>
      </c>
      <c r="D532" s="20" t="s">
        <v>52</v>
      </c>
      <c r="E532" s="21" t="s">
        <v>514</v>
      </c>
      <c r="F532" s="22" t="str">
        <f>IF(OR(E532="",E532="!!!"),"",IF(NOT(ISNA(VLOOKUP(E532,E$1:E531,1,FALSE()))),"OLD",IF(AND(E532&lt;&gt;"",E532&lt;&gt;"!!!"),"NEW","")))</f>
        <v>OLD</v>
      </c>
      <c r="G532" s="23" t="str">
        <f ca="1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?IN_FOCUS</v>
      </c>
      <c r="H532" s="24" t="str">
        <f t="shared" ca="1" si="23"/>
        <v/>
      </c>
      <c r="I532" s="25" t="str">
        <f>IF(OR(E532="",E532="!!!",F532="NEW"),"",INDEX(B$2:B531,-1+SUMPRODUCT(MAX(ROW(E$2:E531)*(E532=E$2:E531)))))</f>
        <v>SBJ_3</v>
      </c>
      <c r="J532" s="25">
        <f ca="1">IF(OR(E532="",E532="!!!",F532="NEW"),"",COUNTBLANK(OFFSET(A$1,,,SUMPRODUCT(MAX(ROW(E$2:E532)*(E532=E$2:E532)))))-COUNTBLANK(OFFSET(A$1,,,SUMPRODUCT(MAX(ROW(E$1:E531)*(E2=E$1:E531))))))</f>
        <v>0</v>
      </c>
      <c r="K532" s="25">
        <f ca="1">IF(OR(E532="",E532="!!!",F532="NEW"),"",INDEX(J$1:J531,SUMPRODUCT(MAX(ROW(E$1:E531)*(E532=E$1:E531)))))</f>
        <v>0</v>
      </c>
      <c r="L532" s="26"/>
    </row>
    <row r="533" spans="1:12" x14ac:dyDescent="0.3">
      <c r="A533" t="s">
        <v>334</v>
      </c>
      <c r="E533" s="21" t="str">
        <f t="shared" si="22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23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335</v>
      </c>
      <c r="B534" s="20" t="s">
        <v>92</v>
      </c>
      <c r="C534" s="20" t="s">
        <v>88</v>
      </c>
      <c r="E534" s="21" t="str">
        <f t="shared" si="22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23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336</v>
      </c>
      <c r="B535" s="20" t="s">
        <v>74</v>
      </c>
      <c r="C535" s="20" t="s">
        <v>129</v>
      </c>
      <c r="E535" s="21" t="str">
        <f t="shared" si="22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23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103</v>
      </c>
      <c r="E536" s="21" t="str">
        <f t="shared" si="22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23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104</v>
      </c>
      <c r="B537" s="20" t="s">
        <v>67</v>
      </c>
      <c r="C537" s="20" t="s">
        <v>97</v>
      </c>
      <c r="D537" s="20" t="s">
        <v>52</v>
      </c>
      <c r="E537" s="21" t="s">
        <v>591</v>
      </c>
      <c r="F537" s="22" t="str">
        <f>IF(OR(E537="",E537="!!!"),"",IF(NOT(ISNA(VLOOKUP(E537,E$1:E536,1,FALSE()))),"OLD",IF(AND(E537&lt;&gt;"",E537&lt;&gt;"!!!"),"NEW","")))</f>
        <v>OLD</v>
      </c>
      <c r="G537" s="23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24" t="str">
        <f t="shared" ca="1" si="23"/>
        <v/>
      </c>
      <c r="I537" s="25" t="str">
        <f>IF(OR(E537="",E537="!!!",F537="NEW"),"",INDEX(B$2:B536,-1+SUMPRODUCT(MAX(ROW(E$2:E536)*(E537=E$2:E536)))))</f>
        <v>OBJ_3</v>
      </c>
      <c r="J537" s="25">
        <f ca="1">IF(OR(E537="",E537="!!!",F537="NEW"),"",COUNTBLANK(OFFSET(A$1,,,SUMPRODUCT(MAX(ROW(E$2:E537)*(E537=E$2:E537)))))-COUNTBLANK(OFFSET(A$1,,,SUMPRODUCT(MAX(ROW(E$1:E536)*(E2=E$1:E536))))))</f>
        <v>0</v>
      </c>
      <c r="K537" s="25">
        <f ca="1">IF(OR(E537="",E537="!!!",F537="NEW"),"",INDEX(J$1:J536,SUMPRODUCT(MAX(ROW(E$1:E536)*(E537=E$1:E536)))))</f>
        <v>0</v>
      </c>
      <c r="L537" s="26"/>
    </row>
    <row r="538" spans="1:12" x14ac:dyDescent="0.3">
      <c r="A538" t="s">
        <v>337</v>
      </c>
      <c r="E538" s="21" t="str">
        <f t="shared" si="22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23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163</v>
      </c>
      <c r="E539" s="21" t="str">
        <f t="shared" si="22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23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76</v>
      </c>
      <c r="E540" s="21" t="str">
        <f t="shared" si="22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23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338</v>
      </c>
      <c r="B541" s="20" t="s">
        <v>67</v>
      </c>
      <c r="C541" s="20" t="s">
        <v>68</v>
      </c>
      <c r="D541" s="20" t="s">
        <v>52</v>
      </c>
      <c r="E541" s="21" t="s">
        <v>585</v>
      </c>
      <c r="F541" s="22" t="str">
        <f>IF(OR(E541="",E541="!!!"),"",IF(NOT(ISNA(VLOOKUP(E541,E$1:E540,1,FALSE()))),"OLD",IF(AND(E541&lt;&gt;"",E541&lt;&gt;"!!!"),"NEW","")))</f>
        <v>OLD</v>
      </c>
      <c r="G541" s="23" t="str">
        <f ca="1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?IN_FOCUS</v>
      </c>
      <c r="H541" s="24" t="str">
        <f t="shared" ca="1" si="23"/>
        <v/>
      </c>
      <c r="I541" s="25" t="str">
        <f>IF(OR(E541="",E541="!!!",F541="NEW"),"",INDEX(B$2:B540,-1+SUMPRODUCT(MAX(ROW(E$2:E540)*(E541=E$2:E540)))))</f>
        <v>SBJ_2</v>
      </c>
      <c r="J541" s="25">
        <f ca="1">IF(OR(E541="",E541="!!!",F541="NEW"),"",COUNTBLANK(OFFSET(A$1,,,SUMPRODUCT(MAX(ROW(E$2:E541)*(E541=E$2:E541)))))-COUNTBLANK(OFFSET(A$1,,,SUMPRODUCT(MAX(ROW(E$1:E540)*(E2=E$1:E540))))))</f>
        <v>0</v>
      </c>
      <c r="K541" s="25">
        <f ca="1">IF(OR(E541="",E541="!!!",F541="NEW"),"",INDEX(J$1:J540,SUMPRODUCT(MAX(ROW(E$1:E540)*(E541=E$1:E540)))))</f>
        <v>0</v>
      </c>
      <c r="L541" s="26"/>
    </row>
    <row r="542" spans="1:12" x14ac:dyDescent="0.3">
      <c r="A542" t="s">
        <v>163</v>
      </c>
      <c r="E542" s="21" t="str">
        <f t="shared" si="22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23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168</v>
      </c>
      <c r="E543" s="21" t="str">
        <f t="shared" si="22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23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339</v>
      </c>
      <c r="B544" s="20" t="s">
        <v>63</v>
      </c>
      <c r="C544" s="20" t="s">
        <v>72</v>
      </c>
      <c r="D544" s="20" t="s">
        <v>52</v>
      </c>
      <c r="E544" s="21" t="s">
        <v>593</v>
      </c>
      <c r="F544" s="22" t="str">
        <f>IF(OR(E544="",E544="!!!"),"",IF(NOT(ISNA(VLOOKUP(E544,E$1:E543,1,FALSE()))),"OLD",IF(AND(E544&lt;&gt;"",E544&lt;&gt;"!!!"),"NEW","")))</f>
        <v>NEW</v>
      </c>
      <c r="G544" s="23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?REFERENTIAL</v>
      </c>
      <c r="H544" s="24" t="str">
        <f t="shared" ca="1" si="23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 t="s">
        <v>594</v>
      </c>
    </row>
    <row r="545" spans="1:12" x14ac:dyDescent="0.3">
      <c r="A545" t="s">
        <v>73</v>
      </c>
      <c r="E545" s="21" t="str">
        <f t="shared" si="22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23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273</v>
      </c>
      <c r="B546" s="20" t="s">
        <v>74</v>
      </c>
      <c r="C546" s="20" t="s">
        <v>51</v>
      </c>
      <c r="D546" s="20" t="s">
        <v>52</v>
      </c>
      <c r="E546" s="21" t="s">
        <v>526</v>
      </c>
      <c r="F546" s="22" t="str">
        <f>IF(OR(E546="",E546="!!!"),"",IF(NOT(ISNA(VLOOKUP(E546,E$1:E545,1,FALSE()))),"OLD",IF(AND(E546&lt;&gt;"",E546&lt;&gt;"!!!"),"NEW","")))</f>
        <v>OLD</v>
      </c>
      <c r="G546" s="23" t="str">
        <f ca="1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?IN_FOCUS</v>
      </c>
      <c r="H546" s="24" t="str">
        <f t="shared" ca="1" si="23"/>
        <v/>
      </c>
      <c r="I546" s="25" t="str">
        <f>IF(OR(E546="",E546="!!!",F546="NEW"),"",INDEX(B$2:B545,-1+SUMPRODUCT(MAX(ROW(E$2:E545)*(E546=E$2:E545)))))</f>
        <v>other_5</v>
      </c>
      <c r="J546" s="25">
        <f ca="1">IF(OR(E546="",E546="!!!",F546="NEW"),"",COUNTBLANK(OFFSET(A$1,,,SUMPRODUCT(MAX(ROW(E$2:E546)*(E546=E$2:E546)))))-COUNTBLANK(OFFSET(A$1,,,SUMPRODUCT(MAX(ROW(E$1:E545)*(E2=E$1:E545))))))</f>
        <v>0</v>
      </c>
      <c r="K546" s="25">
        <f ca="1">IF(OR(E546="",E546="!!!",F546="NEW"),"",INDEX(J$1:J545,SUMPRODUCT(MAX(ROW(E$1:E545)*(E546=E$1:E545)))))</f>
        <v>0</v>
      </c>
      <c r="L546" s="26"/>
    </row>
    <row r="547" spans="1:12" x14ac:dyDescent="0.3">
      <c r="A547" t="s">
        <v>274</v>
      </c>
      <c r="E547" s="21" t="str">
        <f t="shared" si="22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23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277</v>
      </c>
      <c r="E548" s="21" t="str">
        <f t="shared" si="22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23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103</v>
      </c>
      <c r="E549" s="21" t="str">
        <f t="shared" si="22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23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160</v>
      </c>
      <c r="B550" s="20" t="s">
        <v>78</v>
      </c>
      <c r="C550" s="20" t="s">
        <v>97</v>
      </c>
      <c r="D550" s="20" t="s">
        <v>52</v>
      </c>
      <c r="E550" s="21" t="s">
        <v>514</v>
      </c>
      <c r="F550" s="22" t="str">
        <f>IF(OR(E550="",E550="!!!"),"",IF(NOT(ISNA(VLOOKUP(E550,E$1:E549,1,FALSE()))),"OLD",IF(AND(E550&lt;&gt;"",E550&lt;&gt;"!!!"),"NEW","")))</f>
        <v>OLD</v>
      </c>
      <c r="G550" s="23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4" t="str">
        <f t="shared" ca="1" si="23"/>
        <v/>
      </c>
      <c r="I550" s="25" t="str">
        <f>IF(OR(E550="",E550="!!!",F550="NEW"),"",INDEX(B$2:B549,-1+SUMPRODUCT(MAX(ROW(E$2:E549)*(E550=E$2:E549)))))</f>
        <v>SBJ_3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>
        <f ca="1">IF(OR(E550="",E550="!!!",F550="NEW"),"",INDEX(J$1:J549,SUMPRODUCT(MAX(ROW(E$1:E549)*(E550=E$1:E549)))))</f>
        <v>0</v>
      </c>
      <c r="L550" s="26"/>
    </row>
    <row r="551" spans="1:12" x14ac:dyDescent="0.3">
      <c r="A551" t="s">
        <v>340</v>
      </c>
      <c r="E551" s="21" t="str">
        <f t="shared" si="22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23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76</v>
      </c>
      <c r="E552" s="21" t="str">
        <f t="shared" si="22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23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225</v>
      </c>
      <c r="B553" s="20" t="s">
        <v>151</v>
      </c>
      <c r="C553" s="20" t="s">
        <v>68</v>
      </c>
      <c r="D553" s="20" t="s">
        <v>52</v>
      </c>
      <c r="E553" s="21" t="s">
        <v>512</v>
      </c>
      <c r="F553" s="22" t="str">
        <f>IF(OR(E553="",E553="!!!"),"",IF(NOT(ISNA(VLOOKUP(E553,E$1:E552,1,FALSE()))),"OLD",IF(AND(E553&lt;&gt;"",E553&lt;&gt;"!!!"),"NEW","")))</f>
        <v>OLD</v>
      </c>
      <c r="G553" s="23" t="str">
        <f ca="1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?IN_FOCUS</v>
      </c>
      <c r="H553" s="24" t="str">
        <f t="shared" ca="1" si="23"/>
        <v/>
      </c>
      <c r="I553" s="25" t="str">
        <f>IF(OR(E553="",E553="!!!",F553="NEW"),"",INDEX(B$2:B552,-1+SUMPRODUCT(MAX(ROW(E$2:E552)*(E553=E$2:E552)))))</f>
        <v>OBJ_3</v>
      </c>
      <c r="J553" s="25">
        <f ca="1">IF(OR(E553="",E553="!!!",F553="NEW"),"",COUNTBLANK(OFFSET(A$1,,,SUMPRODUCT(MAX(ROW(E$2:E553)*(E553=E$2:E553)))))-COUNTBLANK(OFFSET(A$1,,,SUMPRODUCT(MAX(ROW(E$1:E552)*(E2=E$1:E552))))))</f>
        <v>0</v>
      </c>
      <c r="K553" s="25">
        <f ca="1">IF(OR(E553="",E553="!!!",F553="NEW"),"",INDEX(J$1:J552,SUMPRODUCT(MAX(ROW(E$1:E552)*(E553=E$1:E552)))))</f>
        <v>0</v>
      </c>
      <c r="L553" s="26"/>
    </row>
    <row r="554" spans="1:12" x14ac:dyDescent="0.3">
      <c r="A554" t="s">
        <v>142</v>
      </c>
      <c r="E554" s="21" t="str">
        <f t="shared" si="22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23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341</v>
      </c>
      <c r="E555" s="21" t="str">
        <f t="shared" si="22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23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76</v>
      </c>
      <c r="E556" s="21" t="str">
        <f t="shared" si="22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23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243</v>
      </c>
      <c r="B557" s="20" t="s">
        <v>151</v>
      </c>
      <c r="E557" s="21" t="str">
        <f t="shared" si="22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23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342</v>
      </c>
      <c r="E558" s="21" t="str">
        <f t="shared" si="22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23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76</v>
      </c>
      <c r="E559" s="21" t="str">
        <f t="shared" si="22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23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343</v>
      </c>
      <c r="E560" s="21" t="str">
        <f t="shared" si="22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23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225</v>
      </c>
      <c r="B561" s="20" t="s">
        <v>151</v>
      </c>
      <c r="C561" s="20" t="s">
        <v>68</v>
      </c>
      <c r="D561" s="20" t="s">
        <v>52</v>
      </c>
      <c r="E561" s="21" t="s">
        <v>512</v>
      </c>
      <c r="F561" s="22" t="str">
        <f>IF(OR(E561="",E561="!!!"),"",IF(NOT(ISNA(VLOOKUP(E561,E$1:E560,1,FALSE()))),"OLD",IF(AND(E561&lt;&gt;"",E561&lt;&gt;"!!!"),"NEW","")))</f>
        <v>OLD</v>
      </c>
      <c r="G561" s="23" t="str">
        <f ca="1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?IN_FOCUS</v>
      </c>
      <c r="H561" s="24" t="str">
        <f t="shared" ca="1" si="23"/>
        <v/>
      </c>
      <c r="I561" s="25" t="str">
        <f>IF(OR(E561="",E561="!!!",F561="NEW"),"",INDEX(B$2:B560,-1+SUMPRODUCT(MAX(ROW(E$2:E560)*(E561=E$2:E560)))))</f>
        <v>SBJ_3</v>
      </c>
      <c r="J561" s="25">
        <f ca="1">IF(OR(E561="",E561="!!!",F561="NEW"),"",COUNTBLANK(OFFSET(A$1,,,SUMPRODUCT(MAX(ROW(E$2:E561)*(E561=E$2:E561)))))-COUNTBLANK(OFFSET(A$1,,,SUMPRODUCT(MAX(ROW(E$1:E560)*(E2=E$1:E560))))))</f>
        <v>0</v>
      </c>
      <c r="K561" s="25">
        <f ca="1">IF(OR(E561="",E561="!!!",F561="NEW"),"",INDEX(J$1:J560,SUMPRODUCT(MAX(ROW(E$1:E560)*(E561=E$1:E560)))))</f>
        <v>0</v>
      </c>
      <c r="L561" s="26"/>
    </row>
    <row r="562" spans="1:12" x14ac:dyDescent="0.3">
      <c r="A562" t="s">
        <v>344</v>
      </c>
      <c r="B562" s="20" t="s">
        <v>92</v>
      </c>
      <c r="C562" s="20" t="s">
        <v>68</v>
      </c>
      <c r="D562" s="20" t="s">
        <v>52</v>
      </c>
      <c r="E562" s="21"/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23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 t="s">
        <v>515</v>
      </c>
    </row>
    <row r="563" spans="1:12" x14ac:dyDescent="0.3">
      <c r="A563" t="s">
        <v>345</v>
      </c>
      <c r="B563" s="20" t="s">
        <v>262</v>
      </c>
      <c r="C563" s="20" t="s">
        <v>90</v>
      </c>
      <c r="E563" s="21" t="s">
        <v>592</v>
      </c>
      <c r="F563" s="22" t="str">
        <f>IF(OR(E563="",E563="!!!"),"",IF(NOT(ISNA(VLOOKUP(E563,E$1:E562,1,FALSE()))),"OLD",IF(AND(E563&lt;&gt;"",E563&lt;&gt;"!!!"),"NEW","")))</f>
        <v>OLD</v>
      </c>
      <c r="G563" s="23" t="str">
        <f ca="1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?IN_FOCUS</v>
      </c>
      <c r="H563" s="24" t="str">
        <f t="shared" ca="1" si="23"/>
        <v/>
      </c>
      <c r="I563" s="25" t="str">
        <f>IF(OR(E563="",E563="!!!",F563="NEW"),"",INDEX(B$2:B562,-1+SUMPRODUCT(MAX(ROW(E$2:E562)*(E563=E$2:E562)))))</f>
        <v>other_3</v>
      </c>
      <c r="J563" s="25">
        <f ca="1">IF(OR(E563="",E563="!!!",F563="NEW"),"",COUNTBLANK(OFFSET(A$1,,,SUMPRODUCT(MAX(ROW(E$2:E563)*(E563=E$2:E563)))))-COUNTBLANK(OFFSET(A$1,,,SUMPRODUCT(MAX(ROW(E$1:E562)*(E2=E$1:E562))))))</f>
        <v>0</v>
      </c>
      <c r="K563" s="25">
        <f ca="1">IF(OR(E563="",E563="!!!",F563="NEW"),"",INDEX(J$1:J562,SUMPRODUCT(MAX(ROW(E$1:E562)*(E563=E$1:E562)))))</f>
        <v>0</v>
      </c>
      <c r="L563" s="26"/>
    </row>
    <row r="564" spans="1:12" x14ac:dyDescent="0.3">
      <c r="A564" t="s">
        <v>346</v>
      </c>
      <c r="E564" s="21" t="str">
        <f t="shared" si="22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23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103</v>
      </c>
      <c r="E565" s="21" t="str">
        <f t="shared" si="22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23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347</v>
      </c>
      <c r="B566" s="20" t="s">
        <v>78</v>
      </c>
      <c r="C566" s="20" t="s">
        <v>58</v>
      </c>
      <c r="E566" s="21" t="str">
        <f t="shared" si="22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23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66</v>
      </c>
      <c r="B567" s="20" t="s">
        <v>151</v>
      </c>
      <c r="C567" s="20" t="s">
        <v>68</v>
      </c>
      <c r="D567" s="20" t="s">
        <v>52</v>
      </c>
      <c r="E567" s="21" t="s">
        <v>66</v>
      </c>
      <c r="F567" s="22" t="str">
        <f>IF(OR(E567="",E567="!!!"),"",IF(NOT(ISNA(VLOOKUP(E567,E$1:E566,1,FALSE()))),"OLD",IF(AND(E567&lt;&gt;"",E567&lt;&gt;"!!!"),"NEW","")))</f>
        <v>OLD</v>
      </c>
      <c r="G567" s="23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4" t="str">
        <f t="shared" ca="1" si="23"/>
        <v/>
      </c>
      <c r="I567" s="25" t="str">
        <f>IF(OR(E567="",E567="!!!",F567="NEW"),"",INDEX(B$2:B566,-1+SUMPRODUCT(MAX(ROW(E$2:E566)*(E567=E$2:E566)))))</f>
        <v>SBJ_2</v>
      </c>
      <c r="J567" s="25">
        <f ca="1">IF(OR(E567="",E567="!!!",F567="NEW"),"",COUNTBLANK(OFFSET(A$1,,,SUMPRODUCT(MAX(ROW(E$2:E567)*(E567=E$2:E567)))))-COUNTBLANK(OFFSET(A$1,,,SUMPRODUCT(MAX(ROW(E$1:E566)*(E2=E$1:E566))))))</f>
        <v>0</v>
      </c>
      <c r="K567" s="25">
        <f ca="1">IF(OR(E567="",E567="!!!",F567="NEW"),"",INDEX(J$1:J566,SUMPRODUCT(MAX(ROW(E$1:E566)*(E567=E$1:E566)))))</f>
        <v>0</v>
      </c>
      <c r="L567" s="26"/>
    </row>
    <row r="568" spans="1:12" x14ac:dyDescent="0.3">
      <c r="A568" t="s">
        <v>348</v>
      </c>
      <c r="B568" s="20" t="s">
        <v>63</v>
      </c>
      <c r="C568" s="20" t="s">
        <v>51</v>
      </c>
      <c r="D568" s="20" t="s">
        <v>52</v>
      </c>
      <c r="E568" s="21" t="s">
        <v>527</v>
      </c>
      <c r="F568" s="22" t="str">
        <f>IF(OR(E568="",E568="!!!"),"",IF(NOT(ISNA(VLOOKUP(E568,E$1:E567,1,FALSE()))),"OLD",IF(AND(E568&lt;&gt;"",E568&lt;&gt;"!!!"),"NEW","")))</f>
        <v>NEW</v>
      </c>
      <c r="G568" s="23" t="str">
        <f ca="1"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?REFERENTIAL</v>
      </c>
      <c r="H568" s="24" t="str">
        <f t="shared" ca="1" si="23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349</v>
      </c>
      <c r="E569" s="21" t="str">
        <f t="shared" si="22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23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350</v>
      </c>
      <c r="E570" s="21" t="str">
        <f t="shared" si="22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23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103</v>
      </c>
      <c r="E571" s="21" t="str">
        <f t="shared" si="22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23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160</v>
      </c>
      <c r="B572" s="20" t="s">
        <v>67</v>
      </c>
      <c r="C572" s="20" t="s">
        <v>97</v>
      </c>
      <c r="D572" s="20" t="s">
        <v>52</v>
      </c>
      <c r="E572" s="21" t="s">
        <v>514</v>
      </c>
      <c r="F572" s="22" t="str">
        <f>IF(OR(E572="",E572="!!!"),"",IF(NOT(ISNA(VLOOKUP(E572,E$1:E571,1,FALSE()))),"OLD",IF(AND(E572&lt;&gt;"",E572&lt;&gt;"!!!"),"NEW","")))</f>
        <v>OLD</v>
      </c>
      <c r="G572" s="23" t="str">
        <f ca="1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?IN_FOCUS</v>
      </c>
      <c r="H572" s="24" t="str">
        <f t="shared" ca="1" si="23"/>
        <v/>
      </c>
      <c r="I572" s="25" t="str">
        <f>IF(OR(E572="",E572="!!!",F572="NEW"),"",INDEX(B$2:B571,-1+SUMPRODUCT(MAX(ROW(E$2:E571)*(E572=E$2:E571)))))</f>
        <v>SBJ</v>
      </c>
      <c r="J572" s="25">
        <f ca="1">IF(OR(E572="",E572="!!!",F572="NEW"),"",COUNTBLANK(OFFSET(A$1,,,SUMPRODUCT(MAX(ROW(E$2:E572)*(E572=E$2:E572)))))-COUNTBLANK(OFFSET(A$1,,,SUMPRODUCT(MAX(ROW(E$1:E571)*(E2=E$1:E571))))))</f>
        <v>0</v>
      </c>
      <c r="K572" s="25">
        <f ca="1">IF(OR(E572="",E572="!!!",F572="NEW"),"",INDEX(J$1:J571,SUMPRODUCT(MAX(ROW(E$1:E571)*(E572=E$1:E571)))))</f>
        <v>0</v>
      </c>
      <c r="L572" s="26"/>
    </row>
    <row r="573" spans="1:12" x14ac:dyDescent="0.3">
      <c r="A573" t="s">
        <v>351</v>
      </c>
      <c r="E573" s="21" t="str">
        <f t="shared" si="22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23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70</v>
      </c>
      <c r="E574" s="21" t="str">
        <f t="shared" si="22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23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352</v>
      </c>
      <c r="E575" s="21" t="str">
        <f t="shared" si="22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23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336</v>
      </c>
      <c r="B576" s="20" t="s">
        <v>63</v>
      </c>
      <c r="C576" s="20" t="s">
        <v>72</v>
      </c>
      <c r="D576" s="20" t="s">
        <v>52</v>
      </c>
      <c r="E576" s="21" t="s">
        <v>528</v>
      </c>
      <c r="F576" s="22" t="s">
        <v>513</v>
      </c>
      <c r="G576" s="23" t="e">
        <f ca="1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#VALUE!</v>
      </c>
      <c r="H576" s="24" t="str">
        <f t="shared" ref="H576:H639" ca="1" si="24">IF(J576&lt;&gt;1,"",IF(I576="SBJ","CB","?"))</f>
        <v/>
      </c>
      <c r="I576" s="25" t="e">
        <f>IF(OR(E576="",E576="!!!",F576="NEW"),"",INDEX(B$2:B575,-1+SUMPRODUCT(MAX(ROW(E$2:E575)*(E576=E$2:E575)))))</f>
        <v>#VALUE!</v>
      </c>
      <c r="J576" s="25">
        <f ca="1">IF(OR(E576="",E576="!!!",F576="NEW"),"",COUNTBLANK(OFFSET(A$1,,,SUMPRODUCT(MAX(ROW(E$2:E576)*(E576=E$2:E576)))))-COUNTBLANK(OFFSET(A$1,,,SUMPRODUCT(MAX(ROW(E$1:E575)*(E2=E$1:E575))))))</f>
        <v>0</v>
      </c>
      <c r="K576" s="25" t="e">
        <f>IF(OR(E576="",E576="!!!",F576="NEW"),"",INDEX(J$1:J575,SUMPRODUCT(MAX(ROW(E$1:E575)*(E576=E$1:E575)))))</f>
        <v>#VALUE!</v>
      </c>
      <c r="L576" s="26"/>
    </row>
    <row r="577" spans="1:12" x14ac:dyDescent="0.3">
      <c r="A577" t="s">
        <v>353</v>
      </c>
      <c r="B577" s="20" t="s">
        <v>120</v>
      </c>
      <c r="C577" s="20" t="s">
        <v>58</v>
      </c>
      <c r="E577" s="21" t="str">
        <f t="shared" ref="E577:E639" si="25">IF(D577="?OLD","!!!","")</f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24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61</v>
      </c>
      <c r="E578" s="21" t="str">
        <f t="shared" si="25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24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348</v>
      </c>
      <c r="B579" s="20" t="s">
        <v>63</v>
      </c>
      <c r="C579" s="20" t="s">
        <v>51</v>
      </c>
      <c r="D579" s="20" t="s">
        <v>52</v>
      </c>
      <c r="E579" s="21" t="s">
        <v>527</v>
      </c>
      <c r="F579" s="22" t="str">
        <f>IF(OR(E579="",E579="!!!"),"",IF(NOT(ISNA(VLOOKUP(E579,E$1:E578,1,FALSE()))),"OLD",IF(AND(E579&lt;&gt;"",E579&lt;&gt;"!!!"),"NEW","")))</f>
        <v>OLD</v>
      </c>
      <c r="G579" s="23" t="str">
        <f ca="1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?IN_FOCUS</v>
      </c>
      <c r="H579" s="24" t="str">
        <f t="shared" ca="1" si="24"/>
        <v/>
      </c>
      <c r="I579" s="25" t="str">
        <f>IF(OR(E579="",E579="!!!",F579="NEW"),"",INDEX(B$2:B578,-1+SUMPRODUCT(MAX(ROW(E$2:E578)*(E579=E$2:E578)))))</f>
        <v>other_2</v>
      </c>
      <c r="J579" s="25">
        <f ca="1">IF(OR(E579="",E579="!!!",F579="NEW"),"",COUNTBLANK(OFFSET(A$1,,,SUMPRODUCT(MAX(ROW(E$2:E579)*(E579=E$2:E579)))))-COUNTBLANK(OFFSET(A$1,,,SUMPRODUCT(MAX(ROW(E$1:E578)*(E2=E$1:E578))))))</f>
        <v>0</v>
      </c>
      <c r="K579" s="25" t="str">
        <f ca="1">IF(OR(E579="",E579="!!!",F579="NEW"),"",INDEX(J$1:J578,SUMPRODUCT(MAX(ROW(E$1:E578)*(E579=E$1:E578)))))</f>
        <v/>
      </c>
      <c r="L579" s="26"/>
    </row>
    <row r="580" spans="1:12" x14ac:dyDescent="0.3">
      <c r="A580" t="s">
        <v>103</v>
      </c>
      <c r="E580" s="21" t="str">
        <f t="shared" si="25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24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354</v>
      </c>
      <c r="E581" s="21" t="str">
        <f t="shared" si="25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24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355</v>
      </c>
      <c r="B582" s="20" t="s">
        <v>262</v>
      </c>
      <c r="C582" s="20" t="s">
        <v>102</v>
      </c>
      <c r="E582" s="21" t="s">
        <v>595</v>
      </c>
      <c r="F582" s="22" t="str">
        <f>IF(OR(E582="",E582="!!!"),"",IF(NOT(ISNA(VLOOKUP(E582,E$1:E581,1,FALSE()))),"OLD",IF(AND(E582&lt;&gt;"",E582&lt;&gt;"!!!"),"NEW","")))</f>
        <v>NEW</v>
      </c>
      <c r="G582" s="23" t="str">
        <f ca="1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?REFERENTIAL</v>
      </c>
      <c r="H582" s="24" t="str">
        <f t="shared" ca="1" si="24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 t="s">
        <v>549</v>
      </c>
    </row>
    <row r="583" spans="1:12" x14ac:dyDescent="0.3">
      <c r="A583" t="s">
        <v>356</v>
      </c>
      <c r="B583" s="20" t="s">
        <v>87</v>
      </c>
      <c r="C583" s="20" t="s">
        <v>88</v>
      </c>
      <c r="E583" s="21" t="str">
        <f t="shared" si="25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24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357</v>
      </c>
      <c r="B584" s="20" t="s">
        <v>193</v>
      </c>
      <c r="C584" s="20" t="s">
        <v>97</v>
      </c>
      <c r="D584" s="20" t="s">
        <v>52</v>
      </c>
      <c r="E584" s="21" t="s">
        <v>514</v>
      </c>
      <c r="F584" s="22" t="str">
        <f>IF(OR(E584="",E584="!!!"),"",IF(NOT(ISNA(VLOOKUP(E584,E$1:E583,1,FALSE()))),"OLD",IF(AND(E584&lt;&gt;"",E584&lt;&gt;"!!!"),"NEW","")))</f>
        <v>OLD</v>
      </c>
      <c r="G584" s="23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4" t="str">
        <f t="shared" ca="1" si="24"/>
        <v/>
      </c>
      <c r="I584" s="25" t="str">
        <f>IF(OR(E584="",E584="!!!",F584="NEW"),"",INDEX(B$2:B583,-1+SUMPRODUCT(MAX(ROW(E$2:E583)*(E584=E$2:E583)))))</f>
        <v>SBJ_2</v>
      </c>
      <c r="J584" s="25">
        <f ca="1">IF(OR(E584="",E584="!!!",F584="NEW"),"",COUNTBLANK(OFFSET(A$1,,,SUMPRODUCT(MAX(ROW(E$2:E584)*(E584=E$2:E584)))))-COUNTBLANK(OFFSET(A$1,,,SUMPRODUCT(MAX(ROW(E$1:E583)*(E2=E$1:E583))))))</f>
        <v>0</v>
      </c>
      <c r="K584" s="25">
        <f ca="1">IF(OR(E584="",E584="!!!",F584="NEW"),"",INDEX(J$1:J583,SUMPRODUCT(MAX(ROW(E$1:E583)*(E584=E$1:E583)))))</f>
        <v>0</v>
      </c>
      <c r="L584" s="26"/>
    </row>
    <row r="585" spans="1:12" x14ac:dyDescent="0.3">
      <c r="A585" t="s">
        <v>61</v>
      </c>
      <c r="E585" s="21" t="str">
        <f t="shared" si="25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24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358</v>
      </c>
      <c r="B586" s="20" t="s">
        <v>108</v>
      </c>
      <c r="C586" s="20" t="s">
        <v>90</v>
      </c>
      <c r="D586" s="20" t="s">
        <v>52</v>
      </c>
      <c r="E586" s="21"/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24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 t="s">
        <v>515</v>
      </c>
    </row>
    <row r="587" spans="1:12" x14ac:dyDescent="0.3">
      <c r="A587" t="s">
        <v>209</v>
      </c>
      <c r="B587" s="20" t="s">
        <v>87</v>
      </c>
      <c r="C587" s="20" t="s">
        <v>93</v>
      </c>
      <c r="D587" s="20" t="s">
        <v>52</v>
      </c>
      <c r="E587" s="21" t="s">
        <v>527</v>
      </c>
      <c r="F587" s="22" t="str">
        <f>IF(OR(E587="",E587="!!!"),"",IF(NOT(ISNA(VLOOKUP(E587,E$1:E586,1,FALSE()))),"OLD",IF(AND(E587&lt;&gt;"",E587&lt;&gt;"!!!"),"NEW","")))</f>
        <v>OLD</v>
      </c>
      <c r="G587" s="23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?IN_FOCUS</v>
      </c>
      <c r="H587" s="24" t="str">
        <f t="shared" ca="1" si="24"/>
        <v/>
      </c>
      <c r="I587" s="25" t="str">
        <f>IF(OR(E587="",E587="!!!",F587="NEW"),"",INDEX(B$2:B586,-1+SUMPRODUCT(MAX(ROW(E$2:E586)*(E587=E$2:E586)))))</f>
        <v>other_2</v>
      </c>
      <c r="J587" s="25">
        <f ca="1">IF(OR(E587="",E587="!!!",F587="NEW"),"",COUNTBLANK(OFFSET(A$1,,,SUMPRODUCT(MAX(ROW(E$2:E587)*(E587=E$2:E587)))))-COUNTBLANK(OFFSET(A$1,,,SUMPRODUCT(MAX(ROW(E$1:E586)*(E2=E$1:E586))))))</f>
        <v>0</v>
      </c>
      <c r="K587" s="25">
        <f ca="1">IF(OR(E587="",E587="!!!",F587="NEW"),"",INDEX(J$1:J586,SUMPRODUCT(MAX(ROW(E$1:E586)*(E587=E$1:E586)))))</f>
        <v>0</v>
      </c>
      <c r="L587" s="26"/>
    </row>
    <row r="588" spans="1:12" x14ac:dyDescent="0.3">
      <c r="A588" t="s">
        <v>163</v>
      </c>
      <c r="E588" s="21" t="str">
        <f t="shared" si="25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24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54</v>
      </c>
      <c r="E589" s="21" t="str">
        <f t="shared" si="25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24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359</v>
      </c>
      <c r="B590" s="20" t="s">
        <v>204</v>
      </c>
      <c r="C590" s="20" t="s">
        <v>88</v>
      </c>
      <c r="E590" s="21" t="str">
        <f t="shared" si="25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24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126</v>
      </c>
      <c r="E591" s="21" t="str">
        <f t="shared" si="25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24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360</v>
      </c>
      <c r="E592" s="21" t="str">
        <f t="shared" si="25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24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207</v>
      </c>
      <c r="E593" s="21" t="str">
        <f t="shared" si="25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24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361</v>
      </c>
      <c r="E594" s="21" t="str">
        <f t="shared" si="25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24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103</v>
      </c>
      <c r="E595" s="21" t="str">
        <f t="shared" si="25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24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104</v>
      </c>
      <c r="B596" s="20" t="s">
        <v>362</v>
      </c>
      <c r="C596" s="20" t="s">
        <v>97</v>
      </c>
      <c r="D596" s="20" t="s">
        <v>52</v>
      </c>
      <c r="E596" s="21" t="s">
        <v>527</v>
      </c>
      <c r="F596" s="22" t="str">
        <f>IF(OR(E596="",E596="!!!"),"",IF(NOT(ISNA(VLOOKUP(E596,E$1:E595,1,FALSE()))),"OLD",IF(AND(E596&lt;&gt;"",E596&lt;&gt;"!!!"),"NEW","")))</f>
        <v>OLD</v>
      </c>
      <c r="G596" s="23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?IN_FOCUS</v>
      </c>
      <c r="H596" s="24" t="str">
        <f t="shared" ca="1" si="24"/>
        <v/>
      </c>
      <c r="I596" s="25" t="str">
        <f>IF(OR(E596="",E596="!!!",F596="NEW"),"",INDEX(B$2:B595,-1+SUMPRODUCT(MAX(ROW(E$2:E595)*(E596=E$2:E595)))))</f>
        <v>other_5</v>
      </c>
      <c r="J596" s="25">
        <f ca="1">IF(OR(E596="",E596="!!!",F596="NEW"),"",COUNTBLANK(OFFSET(A$1,,,SUMPRODUCT(MAX(ROW(E$2:E596)*(E596=E$2:E596)))))-COUNTBLANK(OFFSET(A$1,,,SUMPRODUCT(MAX(ROW(E$1:E595)*(E2=E$1:E595))))))</f>
        <v>0</v>
      </c>
      <c r="K596" s="25">
        <f ca="1">IF(OR(E596="",E596="!!!",F596="NEW"),"",INDEX(J$1:J595,SUMPRODUCT(MAX(ROW(E$1:E595)*(E596=E$1:E595)))))</f>
        <v>0</v>
      </c>
      <c r="L596" s="26"/>
    </row>
    <row r="597" spans="1:12" x14ac:dyDescent="0.3">
      <c r="A597" t="s">
        <v>126</v>
      </c>
      <c r="E597" s="21" t="str">
        <f t="shared" si="25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24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121</v>
      </c>
      <c r="E598" s="21" t="str">
        <f t="shared" si="25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24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207</v>
      </c>
      <c r="E599" s="21" t="str">
        <f t="shared" si="25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24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363</v>
      </c>
      <c r="E600" s="21" t="str">
        <f t="shared" si="25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24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209</v>
      </c>
      <c r="B601" s="20" t="s">
        <v>249</v>
      </c>
      <c r="C601" s="20" t="s">
        <v>102</v>
      </c>
      <c r="E601" s="21" t="str">
        <f t="shared" si="25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24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76</v>
      </c>
      <c r="E602" s="21" t="str">
        <f t="shared" si="25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24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217</v>
      </c>
      <c r="E603" s="21" t="str">
        <f t="shared" si="25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24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112</v>
      </c>
      <c r="E604" s="21" t="str">
        <f t="shared" si="25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24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139</v>
      </c>
      <c r="B605" s="20" t="s">
        <v>303</v>
      </c>
      <c r="C605" s="20" t="s">
        <v>51</v>
      </c>
      <c r="D605" s="20" t="s">
        <v>52</v>
      </c>
      <c r="E605" s="21" t="s">
        <v>517</v>
      </c>
      <c r="F605" s="22" t="str">
        <f>IF(OR(E605="",E605="!!!"),"",IF(NOT(ISNA(VLOOKUP(E605,E$1:E604,1,FALSE()))),"OLD",IF(AND(E605&lt;&gt;"",E605&lt;&gt;"!!!"),"NEW","")))</f>
        <v>OLD</v>
      </c>
      <c r="G605" s="23" t="str">
        <f ca="1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?IN_FOCUS</v>
      </c>
      <c r="H605" s="24" t="str">
        <f t="shared" ca="1" si="24"/>
        <v/>
      </c>
      <c r="I605" s="25" t="str">
        <f>IF(OR(E605="",E605="!!!",F605="NEW"),"",INDEX(B$2:B604,-1+SUMPRODUCT(MAX(ROW(E$2:E604)*(E605=E$2:E604)))))</f>
        <v>other_4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>
        <f ca="1">IF(OR(E605="",E605="!!!",F605="NEW"),"",INDEX(J$1:J604,SUMPRODUCT(MAX(ROW(E$1:E604)*(E605=E$1:E604)))))</f>
        <v>0</v>
      </c>
      <c r="L605" s="26"/>
    </row>
    <row r="606" spans="1:12" x14ac:dyDescent="0.3">
      <c r="A606" t="s">
        <v>95</v>
      </c>
      <c r="E606" s="21" t="str">
        <f t="shared" si="25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24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273</v>
      </c>
      <c r="B607" s="20" t="s">
        <v>364</v>
      </c>
      <c r="C607" s="20" t="s">
        <v>51</v>
      </c>
      <c r="D607" s="20" t="s">
        <v>52</v>
      </c>
      <c r="E607" s="21" t="s">
        <v>526</v>
      </c>
      <c r="F607" s="22" t="str">
        <f>IF(OR(E607="",E607="!!!"),"",IF(NOT(ISNA(VLOOKUP(E607,E$1:E606,1,FALSE()))),"OLD",IF(AND(E607&lt;&gt;"",E607&lt;&gt;"!!!"),"NEW","")))</f>
        <v>OLD</v>
      </c>
      <c r="G607" s="23" t="str">
        <f ca="1"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?IN_FOCUS</v>
      </c>
      <c r="H607" s="24" t="str">
        <f t="shared" ca="1" si="24"/>
        <v/>
      </c>
      <c r="I607" s="25" t="str">
        <f>IF(OR(E607="",E607="!!!",F607="NEW"),"",INDEX(B$2:B606,-1+SUMPRODUCT(MAX(ROW(E$2:E606)*(E607=E$2:E606)))))</f>
        <v>other_3</v>
      </c>
      <c r="J607" s="25">
        <f ca="1">IF(OR(E607="",E607="!!!",F607="NEW"),"",COUNTBLANK(OFFSET(A$1,,,SUMPRODUCT(MAX(ROW(E$2:E607)*(E607=E$2:E607)))))-COUNTBLANK(OFFSET(A$1,,,SUMPRODUCT(MAX(ROW(E$1:E606)*(E2=E$1:E606))))))</f>
        <v>0</v>
      </c>
      <c r="K607" s="25">
        <f ca="1">IF(OR(E607="",E607="!!!",F607="NEW"),"",INDEX(J$1:J606,SUMPRODUCT(MAX(ROW(E$1:E606)*(E607=E$1:E606)))))</f>
        <v>0</v>
      </c>
      <c r="L607" s="26"/>
    </row>
    <row r="608" spans="1:12" x14ac:dyDescent="0.3">
      <c r="A608" t="s">
        <v>274</v>
      </c>
      <c r="E608" s="21" t="str">
        <f t="shared" si="25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24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103</v>
      </c>
      <c r="E609" s="21" t="str">
        <f t="shared" si="25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24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104</v>
      </c>
      <c r="B610" s="20" t="s">
        <v>303</v>
      </c>
      <c r="C610" s="20" t="s">
        <v>97</v>
      </c>
      <c r="D610" s="20" t="s">
        <v>52</v>
      </c>
      <c r="E610" s="21"/>
      <c r="F610" s="22" t="s">
        <v>521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24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105</v>
      </c>
      <c r="E611" s="21" t="str">
        <f t="shared" si="25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24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213</v>
      </c>
      <c r="E612" s="21" t="str">
        <f t="shared" si="25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24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365</v>
      </c>
      <c r="E613" s="21" t="str">
        <f t="shared" si="25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24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70</v>
      </c>
      <c r="E614" s="21" t="str">
        <f t="shared" si="25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24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366</v>
      </c>
      <c r="B615" s="20" t="s">
        <v>362</v>
      </c>
      <c r="C615" s="20" t="s">
        <v>72</v>
      </c>
      <c r="D615" s="20" t="s">
        <v>52</v>
      </c>
      <c r="E615" s="21" t="s">
        <v>596</v>
      </c>
      <c r="F615" s="22" t="str">
        <f>IF(OR(E615="",E615="!!!"),"",IF(NOT(ISNA(VLOOKUP(E615,E$1:E614,1,FALSE()))),"OLD",IF(AND(E615&lt;&gt;"",E615&lt;&gt;"!!!"),"NEW","")))</f>
        <v>NEW</v>
      </c>
      <c r="G615" s="23" t="str">
        <f ca="1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?REFERENTIAL</v>
      </c>
      <c r="H615" s="24" t="str">
        <f t="shared" ca="1" si="24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79</v>
      </c>
      <c r="E616" s="21" t="str">
        <f t="shared" si="25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24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135</v>
      </c>
      <c r="B617" s="20" t="s">
        <v>210</v>
      </c>
      <c r="C617" s="20" t="s">
        <v>58</v>
      </c>
      <c r="E617" s="21" t="str">
        <f t="shared" si="25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24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306</v>
      </c>
      <c r="E618" s="21" t="str">
        <f t="shared" si="25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24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367</v>
      </c>
      <c r="B619" s="20" t="s">
        <v>210</v>
      </c>
      <c r="C619" s="20" t="s">
        <v>58</v>
      </c>
      <c r="E619" s="21" t="str">
        <f t="shared" si="25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24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76</v>
      </c>
      <c r="E620" s="21" t="str">
        <f t="shared" si="25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24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368</v>
      </c>
      <c r="B621" s="20" t="s">
        <v>303</v>
      </c>
      <c r="C621" s="20" t="s">
        <v>58</v>
      </c>
      <c r="E621" s="21" t="str">
        <f t="shared" si="25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24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76</v>
      </c>
      <c r="E622" s="21" t="str">
        <f t="shared" si="25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24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369</v>
      </c>
      <c r="B623" s="20" t="s">
        <v>303</v>
      </c>
      <c r="C623" s="20" t="s">
        <v>58</v>
      </c>
      <c r="E623" s="21" t="str">
        <f t="shared" si="25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24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59</v>
      </c>
      <c r="E624" s="21" t="str">
        <f t="shared" si="25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24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370</v>
      </c>
      <c r="B625" s="20" t="s">
        <v>303</v>
      </c>
      <c r="C625" s="20" t="s">
        <v>58</v>
      </c>
      <c r="E625" s="21" t="str">
        <f t="shared" si="25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24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103</v>
      </c>
      <c r="E626" s="21" t="str">
        <f t="shared" si="25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24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371</v>
      </c>
      <c r="B627" s="20" t="s">
        <v>249</v>
      </c>
      <c r="C627" s="20" t="s">
        <v>51</v>
      </c>
      <c r="D627" s="20" t="s">
        <v>52</v>
      </c>
      <c r="E627" s="21" t="s">
        <v>529</v>
      </c>
      <c r="F627" s="22" t="str">
        <f>IF(OR(E627="",E627="!!!"),"",IF(NOT(ISNA(VLOOKUP(E627,E$1:E626,1,FALSE()))),"OLD",IF(AND(E627&lt;&gt;"",E627&lt;&gt;"!!!"),"NEW","")))</f>
        <v>NEW</v>
      </c>
      <c r="G627" s="23" t="str">
        <f ca="1"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?REFERENTIAL</v>
      </c>
      <c r="H627" s="24" t="str">
        <f t="shared" ca="1" si="24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372</v>
      </c>
      <c r="E628" s="21" t="str">
        <f t="shared" si="25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24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166</v>
      </c>
      <c r="E629" s="21" t="str">
        <f t="shared" si="25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24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176</v>
      </c>
      <c r="E630" s="21" t="str">
        <f t="shared" si="25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24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76</v>
      </c>
      <c r="E631" s="21" t="str">
        <f t="shared" si="25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24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176</v>
      </c>
      <c r="E632" s="21" t="str">
        <f t="shared" si="25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24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373</v>
      </c>
      <c r="E633" s="21" t="str">
        <f t="shared" si="25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24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374</v>
      </c>
      <c r="B634" s="20" t="s">
        <v>222</v>
      </c>
      <c r="C634" s="20" t="s">
        <v>58</v>
      </c>
      <c r="E634" s="21" t="str">
        <f t="shared" si="25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24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59</v>
      </c>
      <c r="E635" s="21" t="str">
        <f t="shared" si="25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24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375</v>
      </c>
      <c r="B636" s="20" t="s">
        <v>210</v>
      </c>
      <c r="C636" s="20" t="s">
        <v>58</v>
      </c>
      <c r="E636" s="21" t="str">
        <f t="shared" si="25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24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103</v>
      </c>
      <c r="E637" s="21" t="str">
        <f t="shared" si="25"/>
        <v/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24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104</v>
      </c>
      <c r="B638" s="20" t="s">
        <v>249</v>
      </c>
      <c r="C638" s="20" t="s">
        <v>97</v>
      </c>
      <c r="D638" s="20" t="s">
        <v>52</v>
      </c>
      <c r="E638" s="21"/>
      <c r="F638" s="22" t="s">
        <v>521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24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105</v>
      </c>
      <c r="E639" s="21" t="str">
        <f t="shared" si="25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24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106</v>
      </c>
      <c r="E640" s="21" t="str">
        <f t="shared" ref="E640:E703" si="26">IF(D640="?OLD","!!!","")</f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ref="H640:H703" ca="1" si="27">IF(J640&lt;&gt;1,"",IF(I640="SBJ","CB","?"))</f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283</v>
      </c>
      <c r="E641" s="21" t="str">
        <f t="shared" si="26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27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113</v>
      </c>
      <c r="B642" s="20" t="s">
        <v>303</v>
      </c>
      <c r="C642" s="20" t="s">
        <v>90</v>
      </c>
      <c r="D642" s="20" t="s">
        <v>52</v>
      </c>
      <c r="E642" s="21"/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27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 t="s">
        <v>515</v>
      </c>
    </row>
    <row r="643" spans="1:12" x14ac:dyDescent="0.3">
      <c r="A643" t="s">
        <v>376</v>
      </c>
      <c r="E643" s="21" t="str">
        <f t="shared" si="26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27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377</v>
      </c>
      <c r="B644" s="20" t="s">
        <v>378</v>
      </c>
      <c r="C644" s="20" t="s">
        <v>93</v>
      </c>
      <c r="D644" s="20" t="s">
        <v>52</v>
      </c>
      <c r="E644" s="21" t="s">
        <v>551</v>
      </c>
      <c r="F644" s="22" t="str">
        <f>IF(OR(E644="",E644="!!!"),"",IF(NOT(ISNA(VLOOKUP(E644,E$1:E643,1,FALSE()))),"OLD",IF(AND(E644&lt;&gt;"",E644&lt;&gt;"!!!"),"NEW","")))</f>
        <v>NEW</v>
      </c>
      <c r="G644" s="23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?REFERENTIAL</v>
      </c>
      <c r="H644" s="24" t="str">
        <f t="shared" ca="1" si="27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79</v>
      </c>
      <c r="E645" s="21" t="str">
        <f t="shared" si="26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27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135</v>
      </c>
      <c r="B646" s="20" t="s">
        <v>303</v>
      </c>
      <c r="C646" s="20" t="s">
        <v>58</v>
      </c>
      <c r="E646" s="21" t="str">
        <f t="shared" si="26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27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76</v>
      </c>
      <c r="E647" s="21" t="str">
        <f t="shared" si="26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27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229</v>
      </c>
      <c r="E648" s="21" t="str">
        <f t="shared" si="26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27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79</v>
      </c>
      <c r="E649" s="21" t="str">
        <f t="shared" si="26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27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379</v>
      </c>
      <c r="E650" s="21" t="str">
        <f t="shared" si="26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27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380</v>
      </c>
      <c r="B651" s="20" t="s">
        <v>210</v>
      </c>
      <c r="C651" s="20" t="s">
        <v>58</v>
      </c>
      <c r="E651" s="21" t="str">
        <f t="shared" si="26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27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103</v>
      </c>
      <c r="E652" s="21" t="str">
        <f t="shared" si="26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27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381</v>
      </c>
      <c r="B653" s="20" t="s">
        <v>249</v>
      </c>
      <c r="C653" s="20" t="s">
        <v>51</v>
      </c>
      <c r="D653" s="20" t="s">
        <v>52</v>
      </c>
      <c r="E653" s="21"/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27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 t="s">
        <v>515</v>
      </c>
    </row>
    <row r="654" spans="1:12" x14ac:dyDescent="0.3">
      <c r="A654" t="s">
        <v>382</v>
      </c>
      <c r="E654" s="21" t="str">
        <f t="shared" si="26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27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383</v>
      </c>
      <c r="E655" s="21" t="str">
        <f t="shared" si="26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27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12</v>
      </c>
      <c r="E656" s="21" t="str">
        <f t="shared" si="26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27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384</v>
      </c>
      <c r="E657" s="21" t="s">
        <v>530</v>
      </c>
      <c r="F657" s="22" t="str">
        <f>IF(OR(E657="",E657="!!!"),"",IF(NOT(ISNA(VLOOKUP(E657,E$1:E656,1,FALSE()))),"OLD",IF(AND(E657&lt;&gt;"",E657&lt;&gt;"!!!"),"NEW","")))</f>
        <v>NEW</v>
      </c>
      <c r="G657" s="23" t="str">
        <f ca="1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?REFERENTIAL</v>
      </c>
      <c r="H657" s="24" t="str">
        <f t="shared" ca="1" si="27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115</v>
      </c>
      <c r="E658" s="21" t="str">
        <f t="shared" si="26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27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385</v>
      </c>
      <c r="E659" s="21" t="str">
        <f t="shared" si="26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27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103</v>
      </c>
      <c r="E660" s="21" t="str">
        <f t="shared" si="26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27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386</v>
      </c>
      <c r="E661" s="21" t="str">
        <f t="shared" si="26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27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387</v>
      </c>
      <c r="B662" s="20" t="s">
        <v>87</v>
      </c>
      <c r="C662" s="20" t="s">
        <v>51</v>
      </c>
      <c r="D662" s="20" t="s">
        <v>52</v>
      </c>
      <c r="E662" s="21" t="s">
        <v>597</v>
      </c>
      <c r="F662" s="22" t="str">
        <f>IF(OR(E662="",E662="!!!"),"",IF(NOT(ISNA(VLOOKUP(E662,E$1:E661,1,FALSE()))),"OLD",IF(AND(E662&lt;&gt;"",E662&lt;&gt;"!!!"),"NEW","")))</f>
        <v>NEW</v>
      </c>
      <c r="G662" s="23" t="str">
        <f ca="1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?REFERENTIAL</v>
      </c>
      <c r="H662" s="24" t="str">
        <f t="shared" ca="1" si="27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12</v>
      </c>
      <c r="E663" s="21" t="str">
        <f t="shared" si="26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27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388</v>
      </c>
      <c r="E664" s="21" t="str">
        <f t="shared" si="26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27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76</v>
      </c>
      <c r="E665" s="21" t="str">
        <f t="shared" si="26"/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27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389</v>
      </c>
      <c r="B666" s="20" t="s">
        <v>108</v>
      </c>
      <c r="C666" s="20" t="s">
        <v>58</v>
      </c>
      <c r="E666" s="21" t="str">
        <f t="shared" si="2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2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76</v>
      </c>
      <c r="E667" s="21" t="str">
        <f t="shared" si="26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2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390</v>
      </c>
      <c r="B668" s="20" t="s">
        <v>108</v>
      </c>
      <c r="C668" s="20" t="s">
        <v>58</v>
      </c>
      <c r="E668" s="21" t="str">
        <f t="shared" si="2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2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76</v>
      </c>
      <c r="E669" s="21" t="str">
        <f t="shared" si="26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2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391</v>
      </c>
      <c r="B670" s="20" t="s">
        <v>108</v>
      </c>
      <c r="C670" s="20" t="s">
        <v>58</v>
      </c>
      <c r="E670" s="21" t="str">
        <f t="shared" si="2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2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76</v>
      </c>
      <c r="E671" s="21" t="str">
        <f t="shared" si="26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2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392</v>
      </c>
      <c r="B672" s="20" t="s">
        <v>108</v>
      </c>
      <c r="C672" s="20" t="s">
        <v>58</v>
      </c>
      <c r="E672" s="21" t="str">
        <f t="shared" si="2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2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59</v>
      </c>
      <c r="E673" s="21" t="str">
        <f t="shared" si="26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2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393</v>
      </c>
      <c r="B674" s="20" t="s">
        <v>108</v>
      </c>
      <c r="C674" s="20" t="s">
        <v>58</v>
      </c>
      <c r="E674" s="21" t="str">
        <f t="shared" si="2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2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394</v>
      </c>
      <c r="B675" s="20" t="s">
        <v>222</v>
      </c>
      <c r="C675" s="20" t="s">
        <v>51</v>
      </c>
      <c r="D675" s="20" t="s">
        <v>52</v>
      </c>
      <c r="E675" s="21" t="s">
        <v>598</v>
      </c>
      <c r="F675" s="22" t="str">
        <f>IF(OR(E675="",E675="!!!"),"",IF(NOT(ISNA(VLOOKUP(E675,E$1:E674,1,FALSE()))),"OLD",IF(AND(E675&lt;&gt;"",E675&lt;&gt;"!!!"),"NEW","")))</f>
        <v>NEW</v>
      </c>
      <c r="G675" s="23" t="str">
        <f ca="1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?REFERENTIAL</v>
      </c>
      <c r="H675" s="24" t="str">
        <f t="shared" ca="1" si="2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12</v>
      </c>
      <c r="E676" s="21" t="str">
        <f t="shared" si="2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2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395</v>
      </c>
      <c r="E677" s="21" t="str">
        <f t="shared" si="26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2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103</v>
      </c>
      <c r="E678" s="21" t="str">
        <f t="shared" si="2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2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326</v>
      </c>
      <c r="E679" s="21" t="str">
        <f t="shared" si="2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2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396</v>
      </c>
      <c r="E680" s="21" t="str">
        <f t="shared" si="2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2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121</v>
      </c>
      <c r="E681" s="21" t="str">
        <f t="shared" si="2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2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218</v>
      </c>
      <c r="E682" s="21" t="str">
        <f t="shared" si="2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2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285</v>
      </c>
      <c r="B683" s="20" t="s">
        <v>108</v>
      </c>
      <c r="C683" s="20" t="s">
        <v>102</v>
      </c>
      <c r="E683" s="21" t="s">
        <v>599</v>
      </c>
      <c r="F683" s="22" t="str">
        <f>IF(OR(E683="",E683="!!!"),"",IF(NOT(ISNA(VLOOKUP(E683,E$1:E682,1,FALSE()))),"OLD",IF(AND(E683&lt;&gt;"",E683&lt;&gt;"!!!"),"NEW","")))</f>
        <v>NEW</v>
      </c>
      <c r="G683" s="23" t="str">
        <f ca="1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?REFERENTIAL</v>
      </c>
      <c r="H683" s="24" t="str">
        <f t="shared" ca="1" si="2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397</v>
      </c>
      <c r="E684" s="21" t="str">
        <f t="shared" si="26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2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187</v>
      </c>
      <c r="E685" s="21" t="str">
        <f t="shared" si="26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2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398</v>
      </c>
      <c r="B686" s="20" t="s">
        <v>222</v>
      </c>
      <c r="C686" s="20" t="s">
        <v>58</v>
      </c>
      <c r="E686" s="21" t="str">
        <f t="shared" si="2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2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59</v>
      </c>
      <c r="E687" s="21" t="str">
        <f t="shared" si="2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2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399</v>
      </c>
      <c r="B688" s="20" t="s">
        <v>210</v>
      </c>
      <c r="C688" s="20" t="s">
        <v>58</v>
      </c>
      <c r="E688" s="21" t="str">
        <f t="shared" si="2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2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103</v>
      </c>
      <c r="E689" s="21" t="str">
        <f t="shared" si="26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2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400</v>
      </c>
      <c r="E690" s="21" t="str">
        <f t="shared" si="26"/>
        <v/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27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401</v>
      </c>
      <c r="E691" s="21" t="str">
        <f t="shared" si="26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27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126</v>
      </c>
      <c r="E692" s="21" t="str">
        <f t="shared" si="26"/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ca="1" si="27"/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243</v>
      </c>
      <c r="E693" s="21" t="str">
        <f t="shared" si="26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27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402</v>
      </c>
      <c r="E694" s="21" t="str">
        <f t="shared" si="26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27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403</v>
      </c>
      <c r="E695" s="21" t="str">
        <f t="shared" si="26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27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174</v>
      </c>
      <c r="E696" s="21" t="str">
        <f t="shared" si="26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27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70</v>
      </c>
      <c r="E697" s="21" t="str">
        <f t="shared" si="26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27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404</v>
      </c>
      <c r="B698" s="20" t="s">
        <v>173</v>
      </c>
      <c r="C698" s="20" t="s">
        <v>72</v>
      </c>
      <c r="D698" s="20" t="s">
        <v>52</v>
      </c>
      <c r="E698" s="21"/>
      <c r="F698" s="22" t="s">
        <v>532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27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329</v>
      </c>
      <c r="E699" s="21" t="str">
        <f t="shared" si="26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27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405</v>
      </c>
      <c r="B700" s="20" t="s">
        <v>222</v>
      </c>
      <c r="C700" s="20" t="s">
        <v>51</v>
      </c>
      <c r="D700" s="20" t="s">
        <v>52</v>
      </c>
      <c r="E700" s="21" t="s">
        <v>531</v>
      </c>
      <c r="F700" s="22" t="str">
        <f>IF(OR(E700="",E700="!!!"),"",IF(NOT(ISNA(VLOOKUP(E700,E$1:E699,1,FALSE()))),"OLD",IF(AND(E700&lt;&gt;"",E700&lt;&gt;"!!!"),"NEW","")))</f>
        <v>NEW</v>
      </c>
      <c r="G700" s="23" t="str">
        <f ca="1"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?REFERENTIAL</v>
      </c>
      <c r="H700" s="24" t="str">
        <f t="shared" ca="1" si="27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329</v>
      </c>
      <c r="E701" s="21" t="str">
        <f t="shared" si="26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27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126</v>
      </c>
      <c r="E702" s="21" t="str">
        <f t="shared" si="26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27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385</v>
      </c>
      <c r="E703" s="21" t="str">
        <f t="shared" si="26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27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103</v>
      </c>
      <c r="E704" s="21" t="str">
        <f t="shared" ref="E704:E766" si="28">IF(D704="?OLD","!!!","")</f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ref="H704:H767" ca="1" si="29">IF(J704&lt;&gt;1,"",IF(I704="SBJ","CB","?"))</f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96</v>
      </c>
      <c r="B705" s="20" t="s">
        <v>85</v>
      </c>
      <c r="C705" s="20" t="s">
        <v>97</v>
      </c>
      <c r="D705" s="20" t="s">
        <v>52</v>
      </c>
      <c r="E705" s="21"/>
      <c r="F705" s="22" t="s">
        <v>509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29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224</v>
      </c>
      <c r="E706" s="21" t="str">
        <f t="shared" si="28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29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113</v>
      </c>
      <c r="B707" s="20" t="s">
        <v>92</v>
      </c>
      <c r="C707" s="20" t="s">
        <v>90</v>
      </c>
      <c r="D707" s="20" t="s">
        <v>52</v>
      </c>
      <c r="E707" s="21"/>
      <c r="F707" s="22" t="str">
        <f>IF(OR(E707="",E707="!!!"),"",IF(NOT(ISNA(VLOOKUP(E707,E$1:E706,1,FALSE()))),"OLD",IF(AND(E707&lt;&gt;"",E707&lt;&gt;"!!!"),"NEW","")))</f>
        <v/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4" t="str">
        <f t="shared" ca="1" si="29"/>
        <v/>
      </c>
      <c r="I707" s="25" t="str">
        <f>IF(OR(E707="",E707="!!!",F707="NEW"),"",INDEX(B$2:B706,-1+SUMPRODUCT(MAX(ROW(E$2:E706)*(E707=E$2:E706)))))</f>
        <v/>
      </c>
      <c r="J707" s="25" t="str">
        <f ca="1">IF(OR(E707="",E707="!!!",F707="NEW"),"",COUNTBLANK(OFFSET(A$1,,,SUMPRODUCT(MAX(ROW(E$2:E707)*(E707=E$2:E707)))))-COUNTBLANK(OFFSET(A$1,,,SUMPRODUCT(MAX(ROW(E$1:E706)*(E2=E$1:E706))))))</f>
        <v/>
      </c>
      <c r="K707" s="25" t="str">
        <f>IF(OR(E707="",E707="!!!",F707="NEW"),"",INDEX(J$1:J706,SUMPRODUCT(MAX(ROW(E$1:E706)*(E707=E$1:E706)))))</f>
        <v/>
      </c>
      <c r="L707" s="26" t="s">
        <v>515</v>
      </c>
    </row>
    <row r="708" spans="1:12" x14ac:dyDescent="0.3">
      <c r="A708" t="s">
        <v>406</v>
      </c>
      <c r="B708" s="20" t="s">
        <v>262</v>
      </c>
      <c r="C708" s="20" t="s">
        <v>93</v>
      </c>
      <c r="D708" s="20" t="s">
        <v>52</v>
      </c>
      <c r="E708" s="21" t="s">
        <v>552</v>
      </c>
      <c r="F708" s="22" t="str">
        <f>IF(OR(E708="",E708="!!!"),"",IF(NOT(ISNA(VLOOKUP(E708,E$1:E707,1,FALSE()))),"OLD",IF(AND(E708&lt;&gt;"",E708&lt;&gt;"!!!"),"NEW","")))</f>
        <v>NEW</v>
      </c>
      <c r="G708" s="23" t="str">
        <f ca="1"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?REFERENTIAL</v>
      </c>
      <c r="H708" s="24" t="str">
        <f t="shared" ca="1" si="29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73</v>
      </c>
      <c r="E709" s="21" t="str">
        <f t="shared" si="28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29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250</v>
      </c>
      <c r="B710" s="20" t="s">
        <v>92</v>
      </c>
      <c r="C710" s="20" t="s">
        <v>58</v>
      </c>
      <c r="E710" s="21" t="str">
        <f t="shared" si="28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29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76</v>
      </c>
      <c r="E711" s="21" t="str">
        <f t="shared" si="28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29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367</v>
      </c>
      <c r="B712" s="20" t="s">
        <v>87</v>
      </c>
      <c r="C712" s="20" t="s">
        <v>58</v>
      </c>
      <c r="E712" s="21" t="str">
        <f t="shared" si="28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29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76</v>
      </c>
      <c r="E713" s="21" t="str">
        <f t="shared" si="28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29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407</v>
      </c>
      <c r="B714" s="20" t="s">
        <v>87</v>
      </c>
      <c r="C714" s="20" t="s">
        <v>58</v>
      </c>
      <c r="E714" s="21" t="str">
        <f t="shared" si="28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29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59</v>
      </c>
      <c r="E715" s="21" t="str">
        <f t="shared" si="28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29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408</v>
      </c>
      <c r="B716" s="20" t="s">
        <v>87</v>
      </c>
      <c r="C716" s="20" t="s">
        <v>58</v>
      </c>
      <c r="E716" s="21" t="str">
        <f t="shared" si="28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29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76</v>
      </c>
      <c r="E717" s="21" t="str">
        <f t="shared" si="28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29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8" spans="1:12" x14ac:dyDescent="0.3">
      <c r="A718" t="s">
        <v>106</v>
      </c>
      <c r="E718" s="21" t="str">
        <f t="shared" si="28"/>
        <v/>
      </c>
      <c r="F718" s="22" t="str">
        <f>IF(OR(E718="",E718="!!!"),"",IF(NOT(ISNA(VLOOKUP(E718,E$1:E717,1,FALSE()))),"OLD",IF(AND(E718&lt;&gt;"",E718&lt;&gt;"!!!"),"NEW","")))</f>
        <v/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t="shared" ca="1" si="29"/>
        <v/>
      </c>
      <c r="I718" s="25" t="str">
        <f>IF(OR(E718="",E718="!!!",F718="NEW"),"",INDEX(B$2:B717,-1+SUMPRODUCT(MAX(ROW(E$2:E717)*(E718=E$2:E717)))))</f>
        <v/>
      </c>
      <c r="J718" s="25" t="str">
        <f ca="1">IF(OR(E718="",E718="!!!",F718="NEW"),"",COUNTBLANK(OFFSET(A$1,,,SUMPRODUCT(MAX(ROW(E$2:E718)*(E718=E$2:E718)))))-COUNTBLANK(OFFSET(A$1,,,SUMPRODUCT(MAX(ROW(E$1:E717)*(E2=E$1:E717))))))</f>
        <v/>
      </c>
      <c r="K718" s="25" t="str">
        <f>IF(OR(E718="",E718="!!!",F718="NEW"),"",INDEX(J$1:J717,SUMPRODUCT(MAX(ROW(E$1:E717)*(E718=E$1:E717)))))</f>
        <v/>
      </c>
      <c r="L718" s="26"/>
    </row>
    <row r="719" spans="1:12" x14ac:dyDescent="0.3">
      <c r="A719" t="s">
        <v>61</v>
      </c>
      <c r="E719" s="21" t="str">
        <f t="shared" si="28"/>
        <v/>
      </c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ca="1" si="29"/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/>
    </row>
    <row r="720" spans="1:12" x14ac:dyDescent="0.3">
      <c r="A720" t="s">
        <v>206</v>
      </c>
      <c r="E720" s="21" t="str">
        <f t="shared" si="28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29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188</v>
      </c>
      <c r="E721" s="21" t="str">
        <f t="shared" si="2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2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181</v>
      </c>
      <c r="E722" s="21" t="str">
        <f t="shared" si="28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2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123</v>
      </c>
      <c r="B723" s="20" t="s">
        <v>92</v>
      </c>
      <c r="C723" s="20" t="s">
        <v>102</v>
      </c>
      <c r="E723" s="21" t="str">
        <f t="shared" si="2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2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409</v>
      </c>
      <c r="E724" s="21" t="str">
        <f t="shared" si="2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2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103</v>
      </c>
      <c r="E725" s="21" t="str">
        <f t="shared" si="2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2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160</v>
      </c>
      <c r="B726" s="20" t="s">
        <v>85</v>
      </c>
      <c r="C726" s="20" t="s">
        <v>97</v>
      </c>
      <c r="D726" s="20" t="s">
        <v>52</v>
      </c>
      <c r="E726" s="21" t="s">
        <v>514</v>
      </c>
      <c r="F726" s="22" t="str">
        <f>IF(OR(E726="",E726="!!!"),"",IF(NOT(ISNA(VLOOKUP(E726,E$1:E725,1,FALSE()))),"OLD",IF(AND(E726&lt;&gt;"",E726&lt;&gt;"!!!"),"NEW","")))</f>
        <v>OLD</v>
      </c>
      <c r="G726" s="23" t="str">
        <f ca="1"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?IN_FOCUS</v>
      </c>
      <c r="H726" s="24" t="str">
        <f t="shared" ca="1" si="29"/>
        <v/>
      </c>
      <c r="I726" s="25" t="str">
        <f>IF(OR(E726="",E726="!!!",F726="NEW"),"",INDEX(B$2:B725,-1+SUMPRODUCT(MAX(ROW(E$2:E725)*(E726=E$2:E725)))))</f>
        <v>OBJ_5</v>
      </c>
      <c r="J726" s="25">
        <f ca="1">IF(OR(E726="",E726="!!!",F726="NEW"),"",COUNTBLANK(OFFSET(A$1,,,SUMPRODUCT(MAX(ROW(E$2:E726)*(E726=E$2:E726)))))-COUNTBLANK(OFFSET(A$1,,,SUMPRODUCT(MAX(ROW(E$1:E725)*(E2=E$1:E725))))))</f>
        <v>0</v>
      </c>
      <c r="K726" s="25">
        <f ca="1">IF(OR(E726="",E726="!!!",F726="NEW"),"",INDEX(J$1:J725,SUMPRODUCT(MAX(ROW(E$1:E725)*(E726=E$1:E725)))))</f>
        <v>0</v>
      </c>
      <c r="L726" s="26"/>
    </row>
    <row r="727" spans="1:12" x14ac:dyDescent="0.3">
      <c r="A727" t="s">
        <v>410</v>
      </c>
      <c r="E727" s="21" t="str">
        <f t="shared" si="2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2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76</v>
      </c>
      <c r="E728" s="21" t="str">
        <f t="shared" si="2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2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144</v>
      </c>
      <c r="E729" s="21" t="str">
        <f t="shared" si="2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2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411</v>
      </c>
      <c r="E730" s="21" t="str">
        <f t="shared" si="28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2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86</v>
      </c>
      <c r="B731" s="20" t="s">
        <v>108</v>
      </c>
      <c r="C731" s="20" t="s">
        <v>88</v>
      </c>
      <c r="E731" s="21" t="str">
        <f t="shared" si="2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2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131</v>
      </c>
      <c r="E732" s="21" t="str">
        <f t="shared" si="2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2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123</v>
      </c>
      <c r="B733" s="20" t="s">
        <v>87</v>
      </c>
      <c r="C733" s="20" t="s">
        <v>72</v>
      </c>
      <c r="D733" s="20" t="s">
        <v>52</v>
      </c>
      <c r="E733" s="21" t="s">
        <v>600</v>
      </c>
      <c r="F733" s="22" t="str">
        <f>IF(OR(E733="",E733="!!!"),"",IF(NOT(ISNA(VLOOKUP(E733,E$1:E732,1,FALSE()))),"OLD",IF(AND(E733&lt;&gt;"",E733&lt;&gt;"!!!"),"NEW","")))</f>
        <v>NEW</v>
      </c>
      <c r="G733" s="23" t="str">
        <f ca="1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?REFERENTIAL</v>
      </c>
      <c r="H733" s="24" t="str">
        <f t="shared" ca="1" si="2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76</v>
      </c>
      <c r="E734" s="21" t="str">
        <f t="shared" si="28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2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112</v>
      </c>
      <c r="E735" s="21" t="str">
        <f t="shared" si="2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2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66</v>
      </c>
      <c r="B736" s="20" t="s">
        <v>362</v>
      </c>
      <c r="C736" s="20" t="s">
        <v>68</v>
      </c>
      <c r="D736" s="20" t="s">
        <v>52</v>
      </c>
      <c r="E736" s="21" t="s">
        <v>510</v>
      </c>
      <c r="F736" s="22" t="str">
        <f>IF(OR(E736="",E736="!!!"),"",IF(NOT(ISNA(VLOOKUP(E736,E$1:E735,1,FALSE()))),"OLD",IF(AND(E736&lt;&gt;"",E736&lt;&gt;"!!!"),"NEW","")))</f>
        <v>OLD</v>
      </c>
      <c r="G736" s="23" t="str">
        <f ca="1"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?IN_FOCUS</v>
      </c>
      <c r="H736" s="24" t="str">
        <f t="shared" ca="1" si="29"/>
        <v/>
      </c>
      <c r="I736" s="25" t="str">
        <f>IF(OR(E736="",E736="!!!",F736="NEW"),"",INDEX(B$2:B735,-1+SUMPRODUCT(MAX(ROW(E$2:E735)*(E736=E$2:E735)))))</f>
        <v>SBJ_5</v>
      </c>
      <c r="J736" s="25">
        <f ca="1">IF(OR(E736="",E736="!!!",F736="NEW"),"",COUNTBLANK(OFFSET(A$1,,,SUMPRODUCT(MAX(ROW(E$2:E736)*(E736=E$2:E736)))))-COUNTBLANK(OFFSET(A$1,,,SUMPRODUCT(MAX(ROW(E$1:E735)*(E2=E$1:E735))))))</f>
        <v>0</v>
      </c>
      <c r="K736" s="25">
        <f ca="1">IF(OR(E736="",E736="!!!",F736="NEW"),"",INDEX(J$1:J735,SUMPRODUCT(MAX(ROW(E$1:E735)*(E736=E$1:E735)))))</f>
        <v>0</v>
      </c>
      <c r="L736" s="26"/>
    </row>
    <row r="737" spans="1:12" x14ac:dyDescent="0.3">
      <c r="A737" t="s">
        <v>348</v>
      </c>
      <c r="B737" s="20" t="s">
        <v>412</v>
      </c>
      <c r="C737" s="20" t="s">
        <v>51</v>
      </c>
      <c r="D737" s="20" t="s">
        <v>52</v>
      </c>
      <c r="E737" s="21" t="s">
        <v>527</v>
      </c>
      <c r="F737" s="22" t="str">
        <f>IF(OR(E737="",E737="!!!"),"",IF(NOT(ISNA(VLOOKUP(E737,E$1:E736,1,FALSE()))),"OLD",IF(AND(E737&lt;&gt;"",E737&lt;&gt;"!!!"),"NEW","")))</f>
        <v>OLD</v>
      </c>
      <c r="G737" s="23" t="str">
        <f ca="1"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?IN_FOCUS</v>
      </c>
      <c r="H737" s="24" t="str">
        <f t="shared" ca="1" si="29"/>
        <v/>
      </c>
      <c r="I737" s="25" t="str">
        <f>IF(OR(E737="",E737="!!!",F737="NEW"),"",INDEX(B$2:B736,-1+SUMPRODUCT(MAX(ROW(E$2:E736)*(E737=E$2:E736)))))</f>
        <v>SBJ_9</v>
      </c>
      <c r="J737" s="25">
        <f ca="1">IF(OR(E737="",E737="!!!",F737="NEW"),"",COUNTBLANK(OFFSET(A$1,,,SUMPRODUCT(MAX(ROW(E$2:E737)*(E737=E$2:E737)))))-COUNTBLANK(OFFSET(A$1,,,SUMPRODUCT(MAX(ROW(E$1:E736)*(E2=E$1:E736))))))</f>
        <v>0</v>
      </c>
      <c r="K737" s="25">
        <f ca="1">IF(OR(E737="",E737="!!!",F737="NEW"),"",INDEX(J$1:J736,SUMPRODUCT(MAX(ROW(E$1:E736)*(E737=E$1:E736)))))</f>
        <v>0</v>
      </c>
      <c r="L737" s="26"/>
    </row>
    <row r="738" spans="1:12" x14ac:dyDescent="0.3">
      <c r="A738" t="s">
        <v>342</v>
      </c>
      <c r="E738" s="21" t="str">
        <f t="shared" si="28"/>
        <v/>
      </c>
      <c r="F738" s="22" t="str">
        <f>IF(OR(E738="",E738="!!!"),"",IF(NOT(ISNA(VLOOKUP(E738,E$1:E737,1,FALSE()))),"OLD",IF(AND(E738&lt;&gt;"",E738&lt;&gt;"!!!"),"NEW","")))</f>
        <v/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4" t="str">
        <f t="shared" ca="1" si="29"/>
        <v/>
      </c>
      <c r="I738" s="25" t="str">
        <f>IF(OR(E738="",E738="!!!",F738="NEW"),"",INDEX(B$2:B737,-1+SUMPRODUCT(MAX(ROW(E$2:E737)*(E738=E$2:E737)))))</f>
        <v/>
      </c>
      <c r="J738" s="25" t="str">
        <f ca="1">IF(OR(E738="",E738="!!!",F738="NEW"),"",COUNTBLANK(OFFSET(A$1,,,SUMPRODUCT(MAX(ROW(E$2:E738)*(E738=E$2:E738)))))-COUNTBLANK(OFFSET(A$1,,,SUMPRODUCT(MAX(ROW(E$1:E737)*(E2=E$1:E737))))))</f>
        <v/>
      </c>
      <c r="K738" s="25" t="str">
        <f>IF(OR(E738="",E738="!!!",F738="NEW"),"",INDEX(J$1:J737,SUMPRODUCT(MAX(ROW(E$1:E737)*(E738=E$1:E737)))))</f>
        <v/>
      </c>
      <c r="L738" s="26"/>
    </row>
    <row r="739" spans="1:12" x14ac:dyDescent="0.3">
      <c r="A739" t="s">
        <v>76</v>
      </c>
      <c r="E739" s="21" t="str">
        <f t="shared" si="28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29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413</v>
      </c>
      <c r="E740" s="21" t="str">
        <f t="shared" si="28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29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76</v>
      </c>
      <c r="E741" s="21" t="str">
        <f t="shared" si="28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29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191</v>
      </c>
      <c r="E742" s="21" t="str">
        <f t="shared" si="2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2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121</v>
      </c>
      <c r="E743" s="21" t="str">
        <f t="shared" si="2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2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207</v>
      </c>
      <c r="E744" s="21" t="str">
        <f t="shared" si="2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2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414</v>
      </c>
      <c r="E745" s="21" t="str">
        <f t="shared" si="2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2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76</v>
      </c>
      <c r="E746" s="21" t="str">
        <f t="shared" si="28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29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415</v>
      </c>
      <c r="E747" s="21" t="str">
        <f t="shared" si="28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29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416</v>
      </c>
      <c r="E748" s="21" t="str">
        <f t="shared" si="28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29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209</v>
      </c>
      <c r="B749" s="20" t="s">
        <v>378</v>
      </c>
      <c r="C749" s="20" t="s">
        <v>102</v>
      </c>
      <c r="E749" s="21" t="str">
        <f t="shared" si="28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29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103</v>
      </c>
      <c r="E750" s="21" t="str">
        <f t="shared" si="28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29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212</v>
      </c>
      <c r="B751" s="20" t="s">
        <v>108</v>
      </c>
      <c r="C751" s="20" t="s">
        <v>68</v>
      </c>
      <c r="D751" s="20" t="s">
        <v>52</v>
      </c>
      <c r="E751" s="21" t="s">
        <v>510</v>
      </c>
      <c r="F751" s="22" t="s">
        <v>523</v>
      </c>
      <c r="G751" s="23" t="str">
        <f ca="1"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?IN_FOCUS</v>
      </c>
      <c r="H751" s="24" t="str">
        <f t="shared" ca="1" si="29"/>
        <v/>
      </c>
      <c r="I751" s="25" t="str">
        <f>IF(OR(E751="",E751="!!!",F751="NEW"),"",INDEX(B$2:B750,-1+SUMPRODUCT(MAX(ROW(E$2:E750)*(E751=E$2:E750)))))</f>
        <v>SBJ_9</v>
      </c>
      <c r="J751" s="25">
        <f ca="1">IF(OR(E751="",E751="!!!",F751="NEW"),"",COUNTBLANK(OFFSET(A$1,,,SUMPRODUCT(MAX(ROW(E$2:E751)*(E751=E$2:E751)))))-COUNTBLANK(OFFSET(A$1,,,SUMPRODUCT(MAX(ROW(E$1:E750)*(E2=E$1:E750))))))</f>
        <v>0</v>
      </c>
      <c r="K751" s="25">
        <f ca="1">IF(OR(E751="",E751="!!!",F751="NEW"),"",INDEX(J$1:J750,SUMPRODUCT(MAX(ROW(E$1:E750)*(E751=E$1:E750)))))</f>
        <v>0</v>
      </c>
      <c r="L751" s="26"/>
    </row>
    <row r="752" spans="1:12" x14ac:dyDescent="0.3">
      <c r="A752" t="s">
        <v>224</v>
      </c>
      <c r="E752" s="21" t="str">
        <f t="shared" si="28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29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417</v>
      </c>
      <c r="B753" s="20" t="s">
        <v>222</v>
      </c>
      <c r="C753" s="20" t="s">
        <v>88</v>
      </c>
      <c r="E753" s="21" t="str">
        <f t="shared" si="28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29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113</v>
      </c>
      <c r="B754" s="20" t="s">
        <v>222</v>
      </c>
      <c r="C754" s="20" t="s">
        <v>90</v>
      </c>
      <c r="D754" s="20" t="s">
        <v>52</v>
      </c>
      <c r="E754" s="21"/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29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 t="s">
        <v>515</v>
      </c>
    </row>
    <row r="755" spans="1:12" x14ac:dyDescent="0.3">
      <c r="A755" t="s">
        <v>353</v>
      </c>
      <c r="B755" s="20" t="s">
        <v>173</v>
      </c>
      <c r="C755" s="20" t="s">
        <v>93</v>
      </c>
      <c r="D755" s="20" t="s">
        <v>52</v>
      </c>
      <c r="E755" s="21" t="s">
        <v>601</v>
      </c>
      <c r="F755" s="22" t="str">
        <f>IF(OR(E755="",E755="!!!"),"",IF(NOT(ISNA(VLOOKUP(E755,E$1:E754,1,FALSE()))),"OLD",IF(AND(E755&lt;&gt;"",E755&lt;&gt;"!!!"),"NEW","")))</f>
        <v>NEW</v>
      </c>
      <c r="G755" s="23" t="str">
        <f ca="1"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?REFERENTIAL</v>
      </c>
      <c r="H755" s="24" t="str">
        <f t="shared" ca="1" si="29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76</v>
      </c>
      <c r="E756" s="21" t="str">
        <f t="shared" si="28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29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194</v>
      </c>
      <c r="E757" s="21" t="str">
        <f t="shared" si="28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29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418</v>
      </c>
      <c r="E758" s="21" t="str">
        <f t="shared" si="28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29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419</v>
      </c>
      <c r="E759" s="21" t="str">
        <f t="shared" si="28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29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420</v>
      </c>
      <c r="B760" s="20" t="s">
        <v>173</v>
      </c>
      <c r="C760" s="20" t="s">
        <v>102</v>
      </c>
      <c r="E760" s="21" t="str">
        <f t="shared" si="28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29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79</v>
      </c>
      <c r="E761" s="21" t="str">
        <f t="shared" si="28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29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353</v>
      </c>
      <c r="B762" s="20" t="s">
        <v>222</v>
      </c>
      <c r="C762" s="20" t="s">
        <v>58</v>
      </c>
      <c r="E762" s="21" t="str">
        <f t="shared" si="28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29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69</v>
      </c>
      <c r="E763" s="21" t="str">
        <f t="shared" si="28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29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421</v>
      </c>
      <c r="B764" s="20" t="s">
        <v>210</v>
      </c>
      <c r="C764" s="20" t="s">
        <v>58</v>
      </c>
      <c r="E764" s="21" t="str">
        <f t="shared" si="28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29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103</v>
      </c>
      <c r="E765" s="21" t="str">
        <f t="shared" si="28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29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422</v>
      </c>
      <c r="B766" s="20" t="s">
        <v>362</v>
      </c>
      <c r="C766" s="20" t="s">
        <v>58</v>
      </c>
      <c r="E766" s="21" t="str">
        <f t="shared" si="28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29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419</v>
      </c>
      <c r="B767" s="20" t="s">
        <v>364</v>
      </c>
      <c r="C767" s="20" t="s">
        <v>68</v>
      </c>
      <c r="D767" s="20" t="s">
        <v>52</v>
      </c>
      <c r="E767" s="21"/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29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 t="s">
        <v>515</v>
      </c>
    </row>
    <row r="768" spans="1:12" x14ac:dyDescent="0.3">
      <c r="A768" t="s">
        <v>191</v>
      </c>
      <c r="E768" s="21" t="str">
        <f t="shared" ref="E768:E831" si="30">IF(D768="?OLD","!!!","")</f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ref="H768:H831" ca="1" si="31">IF(J768&lt;&gt;1,"",IF(I768="SBJ","CB","?"))</f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423</v>
      </c>
      <c r="B769" s="20" t="s">
        <v>193</v>
      </c>
      <c r="C769" s="20" t="s">
        <v>88</v>
      </c>
      <c r="E769" s="21" t="s">
        <v>602</v>
      </c>
      <c r="F769" s="22" t="str">
        <f>IF(OR(E769="",E769="!!!"),"",IF(NOT(ISNA(VLOOKUP(E769,E$1:E768,1,FALSE()))),"OLD",IF(AND(E769&lt;&gt;"",E769&lt;&gt;"!!!"),"NEW","")))</f>
        <v>NEW</v>
      </c>
      <c r="G769" s="23" t="str">
        <f ca="1"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?REFERENTIAL</v>
      </c>
      <c r="H769" s="24" t="str">
        <f t="shared" ca="1" si="31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 t="s">
        <v>549</v>
      </c>
    </row>
    <row r="770" spans="1:12" x14ac:dyDescent="0.3">
      <c r="A770" t="s">
        <v>76</v>
      </c>
      <c r="E770" s="21" t="str">
        <f t="shared" si="30"/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t="shared" ca="1" si="31"/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338</v>
      </c>
      <c r="B771" s="20" t="s">
        <v>220</v>
      </c>
      <c r="C771" s="20" t="s">
        <v>68</v>
      </c>
      <c r="D771" s="20" t="s">
        <v>52</v>
      </c>
      <c r="E771" s="21"/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31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 t="s">
        <v>545</v>
      </c>
    </row>
    <row r="772" spans="1:12" x14ac:dyDescent="0.3">
      <c r="A772" t="s">
        <v>66</v>
      </c>
      <c r="B772" s="20" t="s">
        <v>173</v>
      </c>
      <c r="C772" s="20" t="s">
        <v>68</v>
      </c>
      <c r="D772" s="20" t="s">
        <v>52</v>
      </c>
      <c r="E772" s="21" t="s">
        <v>510</v>
      </c>
      <c r="F772" s="22" t="str">
        <f>IF(OR(E772="",E772="!!!"),"",IF(NOT(ISNA(VLOOKUP(E772,E$1:E771,1,FALSE()))),"OLD",IF(AND(E772&lt;&gt;"",E772&lt;&gt;"!!!"),"NEW","")))</f>
        <v>OLD</v>
      </c>
      <c r="G772" s="23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?IN_FOCUS</v>
      </c>
      <c r="H772" s="24" t="str">
        <f t="shared" ca="1" si="31"/>
        <v/>
      </c>
      <c r="I772" s="25" t="str">
        <f>IF(OR(E772="",E772="!!!",F772="NEW"),"",INDEX(B$2:B771,-1+SUMPRODUCT(MAX(ROW(E$2:E771)*(E772=E$2:E771)))))</f>
        <v>other_6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424</v>
      </c>
      <c r="E773" s="21" t="str">
        <f t="shared" si="30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31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425</v>
      </c>
      <c r="E774" s="21" t="str">
        <f t="shared" si="30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31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426</v>
      </c>
      <c r="E775" s="21" t="str">
        <f t="shared" si="30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31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103</v>
      </c>
      <c r="E776" s="21" t="str">
        <f t="shared" si="30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31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427</v>
      </c>
      <c r="B777" s="20" t="s">
        <v>120</v>
      </c>
      <c r="C777" s="20" t="s">
        <v>68</v>
      </c>
      <c r="D777" s="20" t="s">
        <v>52</v>
      </c>
      <c r="E777" s="21"/>
      <c r="F777" s="22" t="s">
        <v>50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31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 t="s">
        <v>553</v>
      </c>
    </row>
    <row r="778" spans="1:12" x14ac:dyDescent="0.3">
      <c r="A778" t="s">
        <v>142</v>
      </c>
      <c r="E778" s="21" t="str">
        <f t="shared" si="30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31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66</v>
      </c>
      <c r="B779" s="20" t="s">
        <v>67</v>
      </c>
      <c r="C779" s="20" t="s">
        <v>68</v>
      </c>
      <c r="D779" s="20" t="s">
        <v>52</v>
      </c>
      <c r="E779" s="21" t="s">
        <v>510</v>
      </c>
      <c r="F779" s="22" t="str">
        <f>IF(OR(E779="",E779="!!!"),"",IF(NOT(ISNA(VLOOKUP(E779,E$1:E778,1,FALSE()))),"OLD",IF(AND(E779&lt;&gt;"",E779&lt;&gt;"!!!"),"NEW","")))</f>
        <v>OLD</v>
      </c>
      <c r="G779" s="23" t="str">
        <f ca="1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?IN_FOCUS</v>
      </c>
      <c r="H779" s="24" t="str">
        <f t="shared" ca="1" si="31"/>
        <v/>
      </c>
      <c r="I779" s="25" t="str">
        <f>IF(OR(E779="",E779="!!!",F779="NEW"),"",INDEX(B$2:B778,-1+SUMPRODUCT(MAX(ROW(E$2:E778)*(E779=E$2:E778)))))</f>
        <v>SBJ_6</v>
      </c>
      <c r="J779" s="25">
        <f ca="1">IF(OR(E779="",E779="!!!",F779="NEW"),"",COUNTBLANK(OFFSET(A$1,,,SUMPRODUCT(MAX(ROW(E$2:E779)*(E779=E$2:E779)))))-COUNTBLANK(OFFSET(A$1,,,SUMPRODUCT(MAX(ROW(E$1:E778)*(E2=E$1:E778))))))</f>
        <v>0</v>
      </c>
      <c r="K779" s="25">
        <f ca="1">IF(OR(E779="",E779="!!!",F779="NEW"),"",INDEX(J$1:J778,SUMPRODUCT(MAX(ROW(E$1:E778)*(E779=E$1:E778)))))</f>
        <v>0</v>
      </c>
      <c r="L779" s="26"/>
    </row>
    <row r="780" spans="1:12" x14ac:dyDescent="0.3">
      <c r="A780" t="s">
        <v>428</v>
      </c>
      <c r="E780" s="21" t="s">
        <v>601</v>
      </c>
      <c r="F780" s="22" t="str">
        <f>IF(OR(E780="",E780="!!!"),"",IF(NOT(ISNA(VLOOKUP(E780,E$1:E779,1,FALSE()))),"OLD",IF(AND(E780&lt;&gt;"",E780&lt;&gt;"!!!"),"NEW","")))</f>
        <v>OLD</v>
      </c>
      <c r="G780" s="23" t="str">
        <f ca="1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4" t="str">
        <f t="shared" ca="1" si="31"/>
        <v/>
      </c>
      <c r="I780" s="25" t="str">
        <f>IF(OR(E780="",E780="!!!",F780="NEW"),"",INDEX(B$2:B779,-1+SUMPRODUCT(MAX(ROW(E$2:E779)*(E780=E$2:E779)))))</f>
        <v>SBJ_6</v>
      </c>
      <c r="J780" s="25">
        <f ca="1">IF(OR(E780="",E780="!!!",F780="NEW"),"",COUNTBLANK(OFFSET(A$1,,,SUMPRODUCT(MAX(ROW(E$2:E780)*(E780=E$2:E780)))))-COUNTBLANK(OFFSET(A$1,,,SUMPRODUCT(MAX(ROW(E$1:E779)*(E2=E$1:E779))))))</f>
        <v>0</v>
      </c>
      <c r="K780" s="25" t="str">
        <f ca="1">IF(OR(E780="",E780="!!!",F780="NEW"),"",INDEX(J$1:J779,SUMPRODUCT(MAX(ROW(E$1:E779)*(E780=E$1:E779)))))</f>
        <v/>
      </c>
      <c r="L780" s="26"/>
    </row>
    <row r="781" spans="1:12" x14ac:dyDescent="0.3">
      <c r="A781" t="s">
        <v>429</v>
      </c>
      <c r="E781" s="21" t="str">
        <f t="shared" si="30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31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403</v>
      </c>
      <c r="E782" s="21" t="str">
        <f t="shared" si="30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31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160</v>
      </c>
      <c r="B783" s="20" t="s">
        <v>151</v>
      </c>
      <c r="C783" s="20" t="s">
        <v>97</v>
      </c>
      <c r="D783" s="20" t="s">
        <v>52</v>
      </c>
      <c r="E783" s="21" t="s">
        <v>514</v>
      </c>
      <c r="F783" s="22" t="str">
        <f>IF(OR(E783="",E783="!!!"),"",IF(NOT(ISNA(VLOOKUP(E783,E$1:E782,1,FALSE()))),"OLD",IF(AND(E783&lt;&gt;"",E783&lt;&gt;"!!!"),"NEW","")))</f>
        <v>OLD</v>
      </c>
      <c r="G783" s="23" t="str">
        <f ca="1"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?IN_FOCUS</v>
      </c>
      <c r="H783" s="24" t="str">
        <f t="shared" ca="1" si="31"/>
        <v/>
      </c>
      <c r="I783" s="25" t="str">
        <f>IF(OR(E783="",E783="!!!",F783="NEW"),"",INDEX(B$2:B782,-1+SUMPRODUCT(MAX(ROW(E$2:E782)*(E783=E$2:E782)))))</f>
        <v>SBJ_4</v>
      </c>
      <c r="J783" s="25">
        <f ca="1">IF(OR(E783="",E783="!!!",F783="NEW"),"",COUNTBLANK(OFFSET(A$1,,,SUMPRODUCT(MAX(ROW(E$2:E783)*(E783=E$2:E783)))))-COUNTBLANK(OFFSET(A$1,,,SUMPRODUCT(MAX(ROW(E$1:E782)*(E2=E$1:E782))))))</f>
        <v>0</v>
      </c>
      <c r="K783" s="25">
        <f ca="1">IF(OR(E783="",E783="!!!",F783="NEW"),"",INDEX(J$1:J782,SUMPRODUCT(MAX(ROW(E$1:E782)*(E783=E$1:E782)))))</f>
        <v>0</v>
      </c>
      <c r="L783" s="26"/>
    </row>
    <row r="784" spans="1:12" x14ac:dyDescent="0.3">
      <c r="A784" t="s">
        <v>410</v>
      </c>
      <c r="E784" s="21" t="str">
        <f t="shared" si="30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31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76</v>
      </c>
      <c r="E785" s="21" t="str">
        <f t="shared" si="30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31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191</v>
      </c>
      <c r="E786" s="21" t="str">
        <f t="shared" si="30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31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430</v>
      </c>
      <c r="B787" s="20" t="s">
        <v>92</v>
      </c>
      <c r="C787" s="20" t="s">
        <v>58</v>
      </c>
      <c r="E787" s="21" t="str">
        <f t="shared" si="30"/>
        <v/>
      </c>
      <c r="F787" s="22" t="str">
        <f>IF(OR(E787="",E787="!!!"),"",IF(NOT(ISNA(VLOOKUP(E787,E$1:E786,1,FALSE()))),"OLD",IF(AND(E787&lt;&gt;"",E787&lt;&gt;"!!!"),"NEW","")))</f>
        <v/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31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/>
    </row>
    <row r="788" spans="1:12" x14ac:dyDescent="0.3">
      <c r="A788" t="s">
        <v>431</v>
      </c>
      <c r="E788" s="21" t="str">
        <f t="shared" si="30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31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66</v>
      </c>
      <c r="B789" s="20" t="s">
        <v>85</v>
      </c>
      <c r="C789" s="20" t="s">
        <v>68</v>
      </c>
      <c r="D789" s="20" t="s">
        <v>52</v>
      </c>
      <c r="E789" s="21" t="s">
        <v>510</v>
      </c>
      <c r="F789" s="22" t="str">
        <f>IF(OR(E789="",E789="!!!"),"",IF(NOT(ISNA(VLOOKUP(E789,E$1:E788,1,FALSE()))),"OLD",IF(AND(E789&lt;&gt;"",E789&lt;&gt;"!!!"),"NEW","")))</f>
        <v>OLD</v>
      </c>
      <c r="G789" s="23" t="str">
        <f ca="1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?IN_FOCUS</v>
      </c>
      <c r="H789" s="24" t="str">
        <f t="shared" ca="1" si="31"/>
        <v/>
      </c>
      <c r="I789" s="25" t="str">
        <f>IF(OR(E789="",E789="!!!",F789="NEW"),"",INDEX(B$2:B788,-1+SUMPRODUCT(MAX(ROW(E$2:E788)*(E789=E$2:E788)))))</f>
        <v>SBJ_2</v>
      </c>
      <c r="J789" s="25">
        <f ca="1">IF(OR(E789="",E789="!!!",F789="NEW"),"",COUNTBLANK(OFFSET(A$1,,,SUMPRODUCT(MAX(ROW(E$2:E789)*(E789=E$2:E789)))))-COUNTBLANK(OFFSET(A$1,,,SUMPRODUCT(MAX(ROW(E$1:E788)*(E2=E$1:E788))))))</f>
        <v>0</v>
      </c>
      <c r="K789" s="25">
        <f ca="1">IF(OR(E789="",E789="!!!",F789="NEW"),"",INDEX(J$1:J788,SUMPRODUCT(MAX(ROW(E$1:E788)*(E789=E$1:E788)))))</f>
        <v>0</v>
      </c>
      <c r="L789" s="26"/>
    </row>
    <row r="790" spans="1:12" x14ac:dyDescent="0.3">
      <c r="A790" t="s">
        <v>341</v>
      </c>
      <c r="E790" s="21" t="str">
        <f t="shared" si="30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31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86</v>
      </c>
      <c r="E791" s="21" t="str">
        <f t="shared" si="30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31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342</v>
      </c>
      <c r="E792" s="21" t="str">
        <f t="shared" si="30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31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54</v>
      </c>
      <c r="E793" s="21" t="str">
        <f t="shared" si="30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31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432</v>
      </c>
      <c r="E794" s="21" t="str">
        <f t="shared" si="30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31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113</v>
      </c>
      <c r="B795" s="20" t="s">
        <v>87</v>
      </c>
      <c r="C795" s="20" t="s">
        <v>90</v>
      </c>
      <c r="D795" s="20" t="s">
        <v>52</v>
      </c>
      <c r="E795" s="21"/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31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 t="s">
        <v>515</v>
      </c>
    </row>
    <row r="796" spans="1:12" x14ac:dyDescent="0.3">
      <c r="A796" t="s">
        <v>60</v>
      </c>
      <c r="B796" s="20" t="s">
        <v>85</v>
      </c>
      <c r="C796" s="20" t="s">
        <v>93</v>
      </c>
      <c r="D796" s="20" t="s">
        <v>52</v>
      </c>
      <c r="E796" s="21" t="s">
        <v>603</v>
      </c>
      <c r="F796" s="22" t="str">
        <f>IF(OR(E796="",E796="!!!"),"",IF(NOT(ISNA(VLOOKUP(E796,E$1:E795,1,FALSE()))),"OLD",IF(AND(E796&lt;&gt;"",E796&lt;&gt;"!!!"),"NEW","")))</f>
        <v>NEW</v>
      </c>
      <c r="G796" s="23" t="str">
        <f ca="1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?REFERENTIAL</v>
      </c>
      <c r="H796" s="24" t="str">
        <f t="shared" ca="1" si="31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194</v>
      </c>
      <c r="E797" s="21" t="str">
        <f t="shared" si="30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31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433</v>
      </c>
      <c r="E798" s="21" t="str">
        <f t="shared" si="30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31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434</v>
      </c>
      <c r="B799" s="20" t="s">
        <v>74</v>
      </c>
      <c r="C799" s="20" t="s">
        <v>102</v>
      </c>
      <c r="E799" s="21" t="str">
        <f t="shared" si="30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31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403</v>
      </c>
      <c r="E800" s="21" t="str">
        <f t="shared" si="30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31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432</v>
      </c>
      <c r="E801" s="21" t="str">
        <f t="shared" si="30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31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130</v>
      </c>
      <c r="E802" s="21" t="s">
        <v>603</v>
      </c>
      <c r="F802" s="22" t="str">
        <f>IF(OR(E802="",E802="!!!"),"",IF(NOT(ISNA(VLOOKUP(E802,E$1:E801,1,FALSE()))),"OLD",IF(AND(E802&lt;&gt;"",E802&lt;&gt;"!!!"),"NEW","")))</f>
        <v>OLD</v>
      </c>
      <c r="G802" s="23" t="str">
        <f ca="1"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?IN_FOCUS</v>
      </c>
      <c r="H802" s="24" t="str">
        <f t="shared" ca="1" si="31"/>
        <v/>
      </c>
      <c r="I802" s="25" t="str">
        <f>IF(OR(E802="",E802="!!!",F802="NEW"),"",INDEX(B$2:B801,-1+SUMPRODUCT(MAX(ROW(E$2:E801)*(E802=E$2:E801)))))</f>
        <v>SBJ_4</v>
      </c>
      <c r="J802" s="25">
        <f ca="1">IF(OR(E802="",E802="!!!",F802="NEW"),"",COUNTBLANK(OFFSET(A$1,,,SUMPRODUCT(MAX(ROW(E$2:E802)*(E802=E$2:E802)))))-COUNTBLANK(OFFSET(A$1,,,SUMPRODUCT(MAX(ROW(E$1:E801)*(E2=E$1:E801))))))</f>
        <v>0</v>
      </c>
      <c r="K802" s="25" t="str">
        <f ca="1">IF(OR(E802="",E802="!!!",F802="NEW"),"",INDEX(J$1:J801,SUMPRODUCT(MAX(ROW(E$1:E801)*(E802=E$1:E801)))))</f>
        <v/>
      </c>
      <c r="L802" s="26"/>
    </row>
    <row r="803" spans="1:12" x14ac:dyDescent="0.3">
      <c r="A803" t="s">
        <v>242</v>
      </c>
      <c r="B803" s="20" t="s">
        <v>204</v>
      </c>
      <c r="C803" s="20" t="s">
        <v>68</v>
      </c>
      <c r="D803" s="20" t="s">
        <v>52</v>
      </c>
      <c r="E803" s="21"/>
      <c r="F803" s="22" t="s">
        <v>532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31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76</v>
      </c>
      <c r="E804" s="21" t="str">
        <f t="shared" si="30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31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144</v>
      </c>
      <c r="E805" s="21" t="str">
        <f t="shared" si="30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31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66</v>
      </c>
      <c r="B806" s="20" t="s">
        <v>362</v>
      </c>
      <c r="C806" s="20" t="s">
        <v>68</v>
      </c>
      <c r="D806" s="20" t="s">
        <v>52</v>
      </c>
      <c r="E806" s="21" t="s">
        <v>510</v>
      </c>
      <c r="F806" s="22" t="str">
        <f>IF(OR(E806="",E806="!!!"),"",IF(NOT(ISNA(VLOOKUP(E806,E$1:E805,1,FALSE()))),"OLD",IF(AND(E806&lt;&gt;"",E806&lt;&gt;"!!!"),"NEW","")))</f>
        <v>OLD</v>
      </c>
      <c r="G806" s="23" t="str">
        <f ca="1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?IN_FOCUS</v>
      </c>
      <c r="H806" s="24" t="str">
        <f t="shared" ca="1" si="31"/>
        <v/>
      </c>
      <c r="I806" s="25" t="str">
        <f>IF(OR(E806="",E806="!!!",F806="NEW"),"",INDEX(B$2:B805,-1+SUMPRODUCT(MAX(ROW(E$2:E805)*(E806=E$2:E805)))))</f>
        <v>SBJ_4</v>
      </c>
      <c r="J806" s="25">
        <f ca="1">IF(OR(E806="",E806="!!!",F806="NEW"),"",COUNTBLANK(OFFSET(A$1,,,SUMPRODUCT(MAX(ROW(E$2:E806)*(E806=E$2:E806)))))-COUNTBLANK(OFFSET(A$1,,,SUMPRODUCT(MAX(ROW(E$1:E805)*(E2=E$1:E805))))))</f>
        <v>0</v>
      </c>
      <c r="K806" s="25">
        <f ca="1">IF(OR(E806="",E806="!!!",F806="NEW"),"",INDEX(J$1:J805,SUMPRODUCT(MAX(ROW(E$1:E805)*(E806=E$1:E805)))))</f>
        <v>0</v>
      </c>
      <c r="L806" s="26"/>
    </row>
    <row r="807" spans="1:12" x14ac:dyDescent="0.3">
      <c r="A807" t="s">
        <v>435</v>
      </c>
      <c r="E807" s="21" t="str">
        <f t="shared" si="30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31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76</v>
      </c>
      <c r="E808" s="21" t="str">
        <f t="shared" si="30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31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436</v>
      </c>
      <c r="E809" s="21" t="str">
        <f t="shared" si="30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31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66</v>
      </c>
      <c r="B810" s="20" t="s">
        <v>437</v>
      </c>
      <c r="C810" s="20" t="s">
        <v>68</v>
      </c>
      <c r="D810" s="20" t="s">
        <v>52</v>
      </c>
      <c r="E810" s="21" t="s">
        <v>510</v>
      </c>
      <c r="F810" s="22" t="str">
        <f>IF(OR(E810="",E810="!!!"),"",IF(NOT(ISNA(VLOOKUP(E810,E$1:E809,1,FALSE()))),"OLD",IF(AND(E810&lt;&gt;"",E810&lt;&gt;"!!!"),"NEW","")))</f>
        <v>OLD</v>
      </c>
      <c r="G810" s="23" t="str">
        <f ca="1"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?IN_FOCUS</v>
      </c>
      <c r="H810" s="24" t="str">
        <f t="shared" ca="1" si="31"/>
        <v/>
      </c>
      <c r="I810" s="25" t="str">
        <f>IF(OR(E810="",E810="!!!",F810="NEW"),"",INDEX(B$2:B809,-1+SUMPRODUCT(MAX(ROW(E$2:E809)*(E810=E$2:E809)))))</f>
        <v>SBJ_9</v>
      </c>
      <c r="J810" s="25">
        <f ca="1">IF(OR(E810="",E810="!!!",F810="NEW"),"",COUNTBLANK(OFFSET(A$1,,,SUMPRODUCT(MAX(ROW(E$2:E810)*(E810=E$2:E810)))))-COUNTBLANK(OFFSET(A$1,,,SUMPRODUCT(MAX(ROW(E$1:E809)*(E2=E$1:E809))))))</f>
        <v>0</v>
      </c>
      <c r="K810" s="25">
        <f ca="1">IF(OR(E810="",E810="!!!",F810="NEW"),"",INDEX(J$1:J809,SUMPRODUCT(MAX(ROW(E$1:E809)*(E810=E$1:E809)))))</f>
        <v>0</v>
      </c>
      <c r="L810" s="26"/>
    </row>
    <row r="811" spans="1:12" x14ac:dyDescent="0.3">
      <c r="A811" t="s">
        <v>130</v>
      </c>
      <c r="B811" s="20" t="s">
        <v>437</v>
      </c>
      <c r="C811" s="20" t="s">
        <v>97</v>
      </c>
      <c r="D811" s="20" t="s">
        <v>52</v>
      </c>
      <c r="E811" s="21" t="s">
        <v>603</v>
      </c>
      <c r="F811" s="22" t="str">
        <f>IF(OR(E811="",E811="!!!"),"",IF(NOT(ISNA(VLOOKUP(E811,E$1:E810,1,FALSE()))),"OLD",IF(AND(E811&lt;&gt;"",E811&lt;&gt;"!!!"),"NEW","")))</f>
        <v>OLD</v>
      </c>
      <c r="G811" s="23" t="str">
        <f ca="1"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?IN_FOCUS</v>
      </c>
      <c r="H811" s="24" t="str">
        <f t="shared" ca="1" si="31"/>
        <v/>
      </c>
      <c r="I811" s="25">
        <f>IF(OR(E811="",E811="!!!",F811="NEW"),"",INDEX(B$2:B810,-1+SUMPRODUCT(MAX(ROW(E$2:E810)*(E811=E$2:E810)))))</f>
        <v>0</v>
      </c>
      <c r="J811" s="25">
        <f ca="1">IF(OR(E811="",E811="!!!",F811="NEW"),"",COUNTBLANK(OFFSET(A$1,,,SUMPRODUCT(MAX(ROW(E$2:E811)*(E811=E$2:E811)))))-COUNTBLANK(OFFSET(A$1,,,SUMPRODUCT(MAX(ROW(E$1:E810)*(E2=E$1:E810))))))</f>
        <v>0</v>
      </c>
      <c r="K811" s="25">
        <f ca="1">IF(OR(E811="",E811="!!!",F811="NEW"),"",INDEX(J$1:J810,SUMPRODUCT(MAX(ROW(E$1:E810)*(E811=E$1:E810)))))</f>
        <v>0</v>
      </c>
      <c r="L811" s="26"/>
    </row>
    <row r="812" spans="1:12" x14ac:dyDescent="0.3">
      <c r="A812" t="s">
        <v>283</v>
      </c>
      <c r="E812" s="21" t="str">
        <f t="shared" si="30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31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217</v>
      </c>
      <c r="E813" s="21" t="str">
        <f t="shared" si="30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31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438</v>
      </c>
      <c r="E814" s="21" t="str">
        <f t="shared" si="30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31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439</v>
      </c>
      <c r="E815" s="21" t="str">
        <f t="shared" si="30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31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403</v>
      </c>
      <c r="E816" s="21" t="str">
        <f t="shared" si="30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31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65</v>
      </c>
      <c r="E817" s="21" t="str">
        <f t="shared" si="30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31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96</v>
      </c>
      <c r="B818" s="20" t="s">
        <v>440</v>
      </c>
      <c r="C818" s="20" t="s">
        <v>97</v>
      </c>
      <c r="D818" s="20" t="s">
        <v>52</v>
      </c>
      <c r="E818" s="21" t="s">
        <v>512</v>
      </c>
      <c r="F818" s="22" t="str">
        <f>IF(OR(E818="",E818="!!!"),"",IF(NOT(ISNA(VLOOKUP(E818,E$1:E817,1,FALSE()))),"OLD",IF(AND(E818&lt;&gt;"",E818&lt;&gt;"!!!"),"NEW","")))</f>
        <v>OLD</v>
      </c>
      <c r="G818" s="23" t="str">
        <f ca="1"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?IN_FOCUS</v>
      </c>
      <c r="H818" s="24" t="str">
        <f t="shared" ca="1" si="31"/>
        <v/>
      </c>
      <c r="I818" s="25" t="str">
        <f>IF(OR(E818="",E818="!!!",F818="NEW"),"",INDEX(B$2:B817,-1+SUMPRODUCT(MAX(ROW(E$2:E817)*(E818=E$2:E817)))))</f>
        <v>SBJ_3</v>
      </c>
      <c r="J818" s="25">
        <f ca="1">IF(OR(E818="",E818="!!!",F818="NEW"),"",COUNTBLANK(OFFSET(A$1,,,SUMPRODUCT(MAX(ROW(E$2:E818)*(E818=E$2:E818)))))-COUNTBLANK(OFFSET(A$1,,,SUMPRODUCT(MAX(ROW(E$1:E817)*(E2=E$1:E817))))))</f>
        <v>0</v>
      </c>
      <c r="K818" s="25">
        <f ca="1">IF(OR(E818="",E818="!!!",F818="NEW"),"",INDEX(J$1:J817,SUMPRODUCT(MAX(ROW(E$1:E817)*(E818=E$1:E817)))))</f>
        <v>0</v>
      </c>
      <c r="L818" s="26"/>
    </row>
    <row r="819" spans="1:12" x14ac:dyDescent="0.3">
      <c r="A819" t="s">
        <v>441</v>
      </c>
      <c r="E819" s="21" t="str">
        <f t="shared" si="30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31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75</v>
      </c>
      <c r="E820" s="21" t="str">
        <f t="shared" si="30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31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76</v>
      </c>
      <c r="E821" s="21" t="str">
        <f t="shared" si="30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31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231</v>
      </c>
      <c r="E822" s="21" t="str">
        <f t="shared" si="30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31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89</v>
      </c>
      <c r="B823" s="20" t="s">
        <v>442</v>
      </c>
      <c r="C823" s="20" t="s">
        <v>90</v>
      </c>
      <c r="D823" s="20" t="s">
        <v>52</v>
      </c>
      <c r="E823" s="21"/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31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 t="s">
        <v>515</v>
      </c>
    </row>
    <row r="824" spans="1:12" x14ac:dyDescent="0.3">
      <c r="A824" t="s">
        <v>353</v>
      </c>
      <c r="B824" s="20" t="s">
        <v>364</v>
      </c>
      <c r="C824" s="20" t="s">
        <v>93</v>
      </c>
      <c r="D824" s="20" t="s">
        <v>52</v>
      </c>
      <c r="E824" s="21" t="s">
        <v>601</v>
      </c>
      <c r="F824" s="22" t="str">
        <f>IF(OR(E824="",E824="!!!"),"",IF(NOT(ISNA(VLOOKUP(E824,E$1:E823,1,FALSE()))),"OLD",IF(AND(E824&lt;&gt;"",E824&lt;&gt;"!!!"),"NEW","")))</f>
        <v>OLD</v>
      </c>
      <c r="G824" s="23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4" t="str">
        <f t="shared" ca="1" si="31"/>
        <v/>
      </c>
      <c r="I824" s="25">
        <f>IF(OR(E824="",E824="!!!",F824="NEW"),"",INDEX(B$2:B823,-1+SUMPRODUCT(MAX(ROW(E$2:E823)*(E824=E$2:E823)))))</f>
        <v>0</v>
      </c>
      <c r="J824" s="25">
        <f ca="1">IF(OR(E824="",E824="!!!",F824="NEW"),"",COUNTBLANK(OFFSET(A$1,,,SUMPRODUCT(MAX(ROW(E$2:E824)*(E824=E$2:E824)))))-COUNTBLANK(OFFSET(A$1,,,SUMPRODUCT(MAX(ROW(E$1:E823)*(E2=E$1:E823))))))</f>
        <v>0</v>
      </c>
      <c r="K824" s="25">
        <f ca="1">IF(OR(E824="",E824="!!!",F824="NEW"),"",INDEX(J$1:J823,SUMPRODUCT(MAX(ROW(E$1:E823)*(E824=E$1:E823)))))</f>
        <v>0</v>
      </c>
      <c r="L824" s="26"/>
    </row>
    <row r="825" spans="1:12" x14ac:dyDescent="0.3">
      <c r="A825" t="s">
        <v>224</v>
      </c>
      <c r="E825" s="21" t="str">
        <f t="shared" si="30"/>
        <v/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31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66</v>
      </c>
      <c r="B826" s="20" t="s">
        <v>437</v>
      </c>
      <c r="C826" s="20" t="s">
        <v>68</v>
      </c>
      <c r="D826" s="20" t="s">
        <v>52</v>
      </c>
      <c r="E826" s="21" t="s">
        <v>66</v>
      </c>
      <c r="F826" s="22" t="str">
        <f>IF(OR(E826="",E826="!!!"),"",IF(NOT(ISNA(VLOOKUP(E826,E$1:E825,1,FALSE()))),"OLD",IF(AND(E826&lt;&gt;"",E826&lt;&gt;"!!!"),"NEW","")))</f>
        <v>OLD</v>
      </c>
      <c r="G826" s="23" t="str">
        <f ca="1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?IN_FOCUS</v>
      </c>
      <c r="H826" s="24" t="str">
        <f t="shared" ca="1" si="31"/>
        <v/>
      </c>
      <c r="I826" s="25" t="str">
        <f>IF(OR(E826="",E826="!!!",F826="NEW"),"",INDEX(B$2:B825,-1+SUMPRODUCT(MAX(ROW(E$2:E825)*(E826=E$2:E825)))))</f>
        <v>SBJ_3</v>
      </c>
      <c r="J826" s="25">
        <f ca="1">IF(OR(E826="",E826="!!!",F826="NEW"),"",COUNTBLANK(OFFSET(A$1,,,SUMPRODUCT(MAX(ROW(E$2:E826)*(E826=E$2:E826)))))-COUNTBLANK(OFFSET(A$1,,,SUMPRODUCT(MAX(ROW(E$1:E825)*(E2=E$1:E825))))))</f>
        <v>0</v>
      </c>
      <c r="K826" s="25">
        <f ca="1">IF(OR(E826="",E826="!!!",F826="NEW"),"",INDEX(J$1:J825,SUMPRODUCT(MAX(ROW(E$1:E825)*(E826=E$1:E825)))))</f>
        <v>0</v>
      </c>
      <c r="L826" s="26"/>
    </row>
    <row r="827" spans="1:12" x14ac:dyDescent="0.3">
      <c r="A827" t="s">
        <v>278</v>
      </c>
      <c r="E827" s="21" t="str">
        <f t="shared" si="30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31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443</v>
      </c>
      <c r="B828" s="20" t="s">
        <v>444</v>
      </c>
      <c r="C828" s="20" t="s">
        <v>102</v>
      </c>
      <c r="E828" s="21" t="str">
        <f t="shared" si="30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31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445</v>
      </c>
      <c r="E829" s="21" t="s">
        <v>603</v>
      </c>
      <c r="F829" s="22" t="str">
        <f>IF(OR(E829="",E829="!!!"),"",IF(NOT(ISNA(VLOOKUP(E829,E$1:E828,1,FALSE()))),"OLD",IF(AND(E829&lt;&gt;"",E829&lt;&gt;"!!!"),"NEW","")))</f>
        <v>OLD</v>
      </c>
      <c r="G829" s="23" t="str">
        <f ca="1"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?IN_FOCUS</v>
      </c>
      <c r="H829" s="24" t="str">
        <f t="shared" ca="1" si="31"/>
        <v/>
      </c>
      <c r="I829" s="25" t="str">
        <f>IF(OR(E829="",E829="!!!",F829="NEW"),"",INDEX(B$2:B828,-1+SUMPRODUCT(MAX(ROW(E$2:E828)*(E829=E$2:E828)))))</f>
        <v>SBJ_10</v>
      </c>
      <c r="J829" s="25">
        <f ca="1">IF(OR(E829="",E829="!!!",F829="NEW"),"",COUNTBLANK(OFFSET(A$1,,,SUMPRODUCT(MAX(ROW(E$2:E829)*(E829=E$2:E829)))))-COUNTBLANK(OFFSET(A$1,,,SUMPRODUCT(MAX(ROW(E$1:E828)*(E2=E$1:E828))))))</f>
        <v>0</v>
      </c>
      <c r="K829" s="25">
        <f ca="1">IF(OR(E829="",E829="!!!",F829="NEW"),"",INDEX(J$1:J828,SUMPRODUCT(MAX(ROW(E$1:E828)*(E829=E$1:E828)))))</f>
        <v>0</v>
      </c>
      <c r="L829" s="26" t="s">
        <v>549</v>
      </c>
    </row>
    <row r="830" spans="1:12" x14ac:dyDescent="0.3">
      <c r="A830" t="s">
        <v>59</v>
      </c>
      <c r="E830" s="21" t="str">
        <f t="shared" si="30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31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446</v>
      </c>
      <c r="E831" s="21" t="str">
        <f t="shared" si="30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31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70</v>
      </c>
      <c r="E832" s="21" t="str">
        <f t="shared" ref="E832:E895" si="32">IF(D832="?OLD","!!!","")</f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ref="H832:H895" ca="1" si="33">IF(J832&lt;&gt;1,"",IF(I832="SBJ","CB","?"))</f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209</v>
      </c>
      <c r="B833" s="20" t="s">
        <v>447</v>
      </c>
      <c r="C833" s="20" t="s">
        <v>72</v>
      </c>
      <c r="D833" s="20" t="s">
        <v>52</v>
      </c>
      <c r="E833" s="21" t="s">
        <v>534</v>
      </c>
      <c r="F833" s="22" t="str">
        <f>IF(OR(E833="",E833="!!!"),"",IF(NOT(ISNA(VLOOKUP(E833,E$1:E832,1,FALSE()))),"OLD",IF(AND(E833&lt;&gt;"",E833&lt;&gt;"!!!"),"NEW","")))</f>
        <v>OLD</v>
      </c>
      <c r="G833" s="23" t="str">
        <f ca="1"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?IN_FOCUS</v>
      </c>
      <c r="H833" s="24" t="str">
        <f t="shared" ca="1" si="33"/>
        <v/>
      </c>
      <c r="I833" s="25" t="str">
        <f>IF(OR(E833="",E833="!!!",F833="NEW"),"",INDEX(B$2:B832,-1+SUMPRODUCT(MAX(ROW(E$2:E832)*(E833=E$2:E832)))))</f>
        <v>other_5</v>
      </c>
      <c r="J833" s="25">
        <f ca="1">IF(OR(E833="",E833="!!!",F833="NEW"),"",COUNTBLANK(OFFSET(A$1,,,SUMPRODUCT(MAX(ROW(E$2:E833)*(E833=E$2:E833)))))-COUNTBLANK(OFFSET(A$1,,,SUMPRODUCT(MAX(ROW(E$1:E832)*(E2=E$1:E832))))))</f>
        <v>0</v>
      </c>
      <c r="K833" s="25">
        <f ca="1">IF(OR(E833="",E833="!!!",F833="NEW"),"",INDEX(J$1:J832,SUMPRODUCT(MAX(ROW(E$1:E832)*(E833=E$1:E832)))))</f>
        <v>0</v>
      </c>
      <c r="L833" s="26"/>
    </row>
    <row r="834" spans="1:12" x14ac:dyDescent="0.3">
      <c r="A834" t="s">
        <v>112</v>
      </c>
      <c r="E834" s="21" t="str">
        <f t="shared" si="32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33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278</v>
      </c>
      <c r="E835" s="21" t="str">
        <f t="shared" si="32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33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448</v>
      </c>
      <c r="E836" s="21" t="str">
        <f t="shared" si="32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33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449</v>
      </c>
      <c r="B837" s="20" t="s">
        <v>450</v>
      </c>
      <c r="C837" s="20" t="s">
        <v>102</v>
      </c>
      <c r="E837" s="21" t="str">
        <f t="shared" si="32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33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76</v>
      </c>
      <c r="E838" s="21" t="str">
        <f t="shared" si="32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33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451</v>
      </c>
      <c r="E839" s="21" t="str">
        <f t="shared" si="32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33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76</v>
      </c>
      <c r="E840" s="21" t="str">
        <f t="shared" si="3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3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112</v>
      </c>
      <c r="E841" s="21" t="str">
        <f t="shared" si="3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3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230</v>
      </c>
      <c r="E842" s="21" t="str">
        <f t="shared" si="3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3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145</v>
      </c>
      <c r="B843" s="20" t="s">
        <v>452</v>
      </c>
      <c r="C843" s="20" t="s">
        <v>88</v>
      </c>
      <c r="E843" s="21" t="s">
        <v>558</v>
      </c>
      <c r="F843" s="22" t="s">
        <v>509</v>
      </c>
      <c r="G843" s="23" t="e">
        <f ca="1"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#VALUE!</v>
      </c>
      <c r="H843" s="24" t="str">
        <f t="shared" ca="1" si="33"/>
        <v/>
      </c>
      <c r="I843" s="25" t="e">
        <f>IF(OR(E843="",E843="!!!",F843="NEW"),"",INDEX(B$2:B842,-1+SUMPRODUCT(MAX(ROW(E$2:E842)*(E843=E$2:E842)))))</f>
        <v>#VALUE!</v>
      </c>
      <c r="J843" s="25">
        <f ca="1">IF(OR(E843="",E843="!!!",F843="NEW"),"",COUNTBLANK(OFFSET(A$1,,,SUMPRODUCT(MAX(ROW(E$2:E843)*(E843=E$2:E843)))))-COUNTBLANK(OFFSET(A$1,,,SUMPRODUCT(MAX(ROW(E$1:E842)*(E2=E$1:E842))))))</f>
        <v>0</v>
      </c>
      <c r="K843" s="25" t="e">
        <f>IF(OR(E843="",E843="!!!",F843="NEW"),"",INDEX(J$1:J842,SUMPRODUCT(MAX(ROW(E$1:E842)*(E843=E$1:E842)))))</f>
        <v>#VALUE!</v>
      </c>
      <c r="L843" s="26"/>
    </row>
    <row r="844" spans="1:12" x14ac:dyDescent="0.3">
      <c r="A844" t="s">
        <v>61</v>
      </c>
      <c r="E844" s="21" t="str">
        <f t="shared" si="32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3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358</v>
      </c>
      <c r="B845" s="20" t="s">
        <v>453</v>
      </c>
      <c r="C845" s="20" t="s">
        <v>90</v>
      </c>
      <c r="D845" s="20" t="s">
        <v>52</v>
      </c>
      <c r="E845" s="21"/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33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 t="s">
        <v>515</v>
      </c>
    </row>
    <row r="846" spans="1:12" x14ac:dyDescent="0.3">
      <c r="A846" t="s">
        <v>209</v>
      </c>
      <c r="B846" s="20" t="s">
        <v>454</v>
      </c>
      <c r="C846" s="20" t="s">
        <v>93</v>
      </c>
      <c r="D846" s="20" t="s">
        <v>52</v>
      </c>
      <c r="E846" s="21" t="s">
        <v>534</v>
      </c>
      <c r="F846" s="22" t="str">
        <f>IF(OR(E846="",E846="!!!"),"",IF(NOT(ISNA(VLOOKUP(E846,E$1:E845,1,FALSE()))),"OLD",IF(AND(E846&lt;&gt;"",E846&lt;&gt;"!!!"),"NEW","")))</f>
        <v>OLD</v>
      </c>
      <c r="G846" s="23" t="str">
        <f ca="1"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?IN_FOCUS</v>
      </c>
      <c r="H846" s="24" t="str">
        <f t="shared" ca="1" si="33"/>
        <v/>
      </c>
      <c r="I846" s="25" t="str">
        <f>IF(OR(E846="",E846="!!!",F846="NEW"),"",INDEX(B$2:B845,-1+SUMPRODUCT(MAX(ROW(E$2:E845)*(E846=E$2:E845)))))</f>
        <v>OBJ_11</v>
      </c>
      <c r="J846" s="25">
        <f ca="1">IF(OR(E846="",E846="!!!",F846="NEW"),"",COUNTBLANK(OFFSET(A$1,,,SUMPRODUCT(MAX(ROW(E$2:E846)*(E846=E$2:E846)))))-COUNTBLANK(OFFSET(A$1,,,SUMPRODUCT(MAX(ROW(E$1:E845)*(E2=E$1:E845))))))</f>
        <v>0</v>
      </c>
      <c r="K846" s="25">
        <f ca="1">IF(OR(E846="",E846="!!!",F846="NEW"),"",INDEX(J$1:J845,SUMPRODUCT(MAX(ROW(E$1:E845)*(E846=E$1:E845)))))</f>
        <v>0</v>
      </c>
      <c r="L846" s="26"/>
    </row>
    <row r="847" spans="1:12" x14ac:dyDescent="0.3">
      <c r="A847" t="s">
        <v>455</v>
      </c>
      <c r="E847" s="21" t="s">
        <v>558</v>
      </c>
      <c r="F847" s="22" t="str">
        <f>IF(OR(E847="",E847="!!!"),"",IF(NOT(ISNA(VLOOKUP(E847,E$1:E846,1,FALSE()))),"OLD",IF(AND(E847&lt;&gt;"",E847&lt;&gt;"!!!"),"NEW","")))</f>
        <v>OLD</v>
      </c>
      <c r="G847" s="23" t="str">
        <f ca="1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?IN_FOCUS</v>
      </c>
      <c r="H847" s="24" t="str">
        <f t="shared" ca="1" si="33"/>
        <v/>
      </c>
      <c r="I847" s="25" t="str">
        <f>IF(OR(E847="",E847="!!!",F847="NEW"),"",INDEX(B$2:B846,-1+SUMPRODUCT(MAX(ROW(E$2:E846)*(E847=E$2:E846)))))</f>
        <v>SBJ_14</v>
      </c>
      <c r="J847" s="25">
        <f ca="1">IF(OR(E847="",E847="!!!",F847="NEW"),"",COUNTBLANK(OFFSET(A$1,,,SUMPRODUCT(MAX(ROW(E$2:E847)*(E847=E$2:E847)))))-COUNTBLANK(OFFSET(A$1,,,SUMPRODUCT(MAX(ROW(E$1:E846)*(E2=E$1:E846))))))</f>
        <v>0</v>
      </c>
      <c r="K847" s="25">
        <f ca="1">IF(OR(E847="",E847="!!!",F847="NEW"),"",INDEX(J$1:J846,SUMPRODUCT(MAX(ROW(E$1:E846)*(E847=E$1:E846)))))</f>
        <v>0</v>
      </c>
      <c r="L847" s="26"/>
    </row>
    <row r="848" spans="1:12" x14ac:dyDescent="0.3">
      <c r="A848" t="s">
        <v>456</v>
      </c>
      <c r="B848" s="20" t="s">
        <v>457</v>
      </c>
      <c r="C848" s="20" t="s">
        <v>458</v>
      </c>
      <c r="E848" s="21" t="s">
        <v>604</v>
      </c>
      <c r="F848" s="22" t="str">
        <f>IF(OR(E848="",E848="!!!"),"",IF(NOT(ISNA(VLOOKUP(E848,E$1:E847,1,FALSE()))),"OLD",IF(AND(E848&lt;&gt;"",E848&lt;&gt;"!!!"),"NEW","")))</f>
        <v>NEW</v>
      </c>
      <c r="G848" s="23" t="str">
        <f ca="1"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?REFERENTIAL</v>
      </c>
      <c r="H848" s="24" t="str">
        <f t="shared" ca="1" si="3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459</v>
      </c>
      <c r="E849" s="21" t="str">
        <f t="shared" si="3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3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103</v>
      </c>
      <c r="E850" s="21" t="str">
        <f t="shared" si="32"/>
        <v/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33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1" spans="1:12" x14ac:dyDescent="0.3">
      <c r="A851" t="s">
        <v>422</v>
      </c>
      <c r="B851" s="20" t="s">
        <v>108</v>
      </c>
      <c r="C851" s="20" t="s">
        <v>129</v>
      </c>
      <c r="E851" s="21" t="str">
        <f t="shared" si="3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3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126</v>
      </c>
      <c r="E852" s="21" t="str">
        <f t="shared" si="3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3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130</v>
      </c>
      <c r="E853" s="21" t="str">
        <f t="shared" si="32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3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460</v>
      </c>
      <c r="B854" s="20" t="s">
        <v>222</v>
      </c>
      <c r="C854" s="20" t="s">
        <v>58</v>
      </c>
      <c r="E854" s="21" t="str">
        <f t="shared" si="3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3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76</v>
      </c>
      <c r="E855" s="21" t="str">
        <f t="shared" si="32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33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79</v>
      </c>
      <c r="E856" s="21" t="str">
        <f t="shared" si="3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3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358</v>
      </c>
      <c r="B857" s="20" t="s">
        <v>364</v>
      </c>
      <c r="C857" s="20" t="s">
        <v>90</v>
      </c>
      <c r="D857" s="20" t="s">
        <v>52</v>
      </c>
      <c r="E857" s="21"/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33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 t="s">
        <v>515</v>
      </c>
    </row>
    <row r="858" spans="1:12" x14ac:dyDescent="0.3">
      <c r="A858" t="s">
        <v>461</v>
      </c>
      <c r="B858" s="20" t="s">
        <v>303</v>
      </c>
      <c r="C858" s="20" t="s">
        <v>93</v>
      </c>
      <c r="D858" s="20" t="s">
        <v>52</v>
      </c>
      <c r="E858" s="21" t="s">
        <v>604</v>
      </c>
      <c r="F858" s="22" t="str">
        <f>IF(OR(E858="",E858="!!!"),"",IF(NOT(ISNA(VLOOKUP(E858,E$1:E857,1,FALSE()))),"OLD",IF(AND(E858&lt;&gt;"",E858&lt;&gt;"!!!"),"NEW","")))</f>
        <v>OLD</v>
      </c>
      <c r="G858" s="23" t="str">
        <f ca="1"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?IN_FOCUS</v>
      </c>
      <c r="H858" s="24" t="str">
        <f t="shared" ca="1" si="33"/>
        <v/>
      </c>
      <c r="I858" s="25" t="str">
        <f>IF(OR(E858="",E858="!!!",F858="NEW"),"",INDEX(B$2:B857,-1+SUMPRODUCT(MAX(ROW(E$2:E857)*(E858=E$2:E857)))))</f>
        <v>OBJ_14</v>
      </c>
      <c r="J858" s="25">
        <f ca="1">IF(OR(E858="",E858="!!!",F858="NEW"),"",COUNTBLANK(OFFSET(A$1,,,SUMPRODUCT(MAX(ROW(E$2:E858)*(E858=E$2:E858)))))-COUNTBLANK(OFFSET(A$1,,,SUMPRODUCT(MAX(ROW(E$1:E857)*(E2=E$1:E857))))))</f>
        <v>0</v>
      </c>
      <c r="K858" s="25" t="str">
        <f ca="1">IF(OR(E858="",E858="!!!",F858="NEW"),"",INDEX(J$1:J857,SUMPRODUCT(MAX(ROW(E$1:E857)*(E858=E$1:E857)))))</f>
        <v/>
      </c>
      <c r="L858" s="26"/>
    </row>
    <row r="859" spans="1:12" x14ac:dyDescent="0.3">
      <c r="A859" t="s">
        <v>242</v>
      </c>
      <c r="E859" s="21" t="str">
        <f t="shared" si="3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3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86</v>
      </c>
      <c r="E860" s="21" t="str">
        <f t="shared" si="3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3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462</v>
      </c>
      <c r="E861" s="21" t="str">
        <f t="shared" si="32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3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103</v>
      </c>
      <c r="E862" s="21" t="str">
        <f t="shared" si="32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3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463</v>
      </c>
      <c r="B863" s="20" t="s">
        <v>193</v>
      </c>
      <c r="C863" s="20" t="s">
        <v>68</v>
      </c>
      <c r="D863" s="20" t="s">
        <v>52</v>
      </c>
      <c r="E863" s="21" t="s">
        <v>510</v>
      </c>
      <c r="F863" s="22" t="str">
        <f>IF(OR(E863="",E863="!!!"),"",IF(NOT(ISNA(VLOOKUP(E863,E$1:E862,1,FALSE()))),"OLD",IF(AND(E863&lt;&gt;"",E863&lt;&gt;"!!!"),"NEW","")))</f>
        <v>OLD</v>
      </c>
      <c r="G863" s="23" t="str">
        <f ca="1"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?IN_FOCUS</v>
      </c>
      <c r="H863" s="24" t="str">
        <f t="shared" ca="1" si="33"/>
        <v/>
      </c>
      <c r="I863" s="25" t="str">
        <f>IF(OR(E863="",E863="!!!",F863="NEW"),"",INDEX(B$2:B862,-1+SUMPRODUCT(MAX(ROW(E$2:E862)*(E863=E$2:E862)))))</f>
        <v>SBJ_10</v>
      </c>
      <c r="J863" s="25">
        <f ca="1">IF(OR(E863="",E863="!!!",F863="NEW"),"",COUNTBLANK(OFFSET(A$1,,,SUMPRODUCT(MAX(ROW(E$2:E863)*(E863=E$2:E863)))))-COUNTBLANK(OFFSET(A$1,,,SUMPRODUCT(MAX(ROW(E$1:E862)*(E2=E$1:E862))))))</f>
        <v>0</v>
      </c>
      <c r="K863" s="25">
        <f ca="1">IF(OR(E863="",E863="!!!",F863="NEW"),"",INDEX(J$1:J862,SUMPRODUCT(MAX(ROW(E$1:E862)*(E863=E$1:E862)))))</f>
        <v>0</v>
      </c>
      <c r="L863" s="26"/>
    </row>
    <row r="864" spans="1:12" x14ac:dyDescent="0.3">
      <c r="A864" t="s">
        <v>464</v>
      </c>
      <c r="E864" s="21" t="str">
        <f t="shared" si="3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3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283</v>
      </c>
      <c r="E865" s="21" t="str">
        <f t="shared" si="32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3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465</v>
      </c>
      <c r="E866" s="21" t="str">
        <f t="shared" si="3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3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76</v>
      </c>
      <c r="E867" s="21" t="str">
        <f t="shared" si="3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3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144</v>
      </c>
      <c r="E868" s="21" t="str">
        <f t="shared" si="3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3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466</v>
      </c>
      <c r="B869" s="20" t="s">
        <v>173</v>
      </c>
      <c r="C869" s="20" t="s">
        <v>51</v>
      </c>
      <c r="D869" s="20" t="s">
        <v>52</v>
      </c>
      <c r="E869" s="21" t="s">
        <v>533</v>
      </c>
      <c r="F869" s="22" t="s">
        <v>509</v>
      </c>
      <c r="G869" s="23" t="e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#VALUE!</v>
      </c>
      <c r="H869" s="24" t="str">
        <f t="shared" ca="1" si="33"/>
        <v/>
      </c>
      <c r="I869" s="25" t="e">
        <f>IF(OR(E869="",E869="!!!",F869="NEW"),"",INDEX(B$2:B868,-1+SUMPRODUCT(MAX(ROW(E$2:E868)*(E869=E$2:E868)))))</f>
        <v>#VALUE!</v>
      </c>
      <c r="J869" s="25">
        <f ca="1">IF(OR(E869="",E869="!!!",F869="NEW"),"",COUNTBLANK(OFFSET(A$1,,,SUMPRODUCT(MAX(ROW(E$2:E869)*(E869=E$2:E869)))))-COUNTBLANK(OFFSET(A$1,,,SUMPRODUCT(MAX(ROW(E$1:E868)*(E2=E$1:E868))))))</f>
        <v>0</v>
      </c>
      <c r="K869" s="25" t="e">
        <f>IF(OR(E869="",E869="!!!",F869="NEW"),"",INDEX(J$1:J868,SUMPRODUCT(MAX(ROW(E$1:E868)*(E869=E$1:E868)))))</f>
        <v>#VALUE!</v>
      </c>
      <c r="L869" s="26"/>
    </row>
    <row r="870" spans="1:12" x14ac:dyDescent="0.3">
      <c r="A870" t="s">
        <v>194</v>
      </c>
      <c r="E870" s="21" t="str">
        <f t="shared" si="32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3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467</v>
      </c>
      <c r="E871" s="21" t="str">
        <f t="shared" si="32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33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468</v>
      </c>
      <c r="B872" s="20" t="s">
        <v>110</v>
      </c>
      <c r="C872" s="20" t="s">
        <v>102</v>
      </c>
      <c r="E872" s="21" t="str">
        <f t="shared" si="32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33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239</v>
      </c>
      <c r="E873" s="21" t="str">
        <f t="shared" si="32"/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33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469</v>
      </c>
      <c r="B874" s="20" t="s">
        <v>108</v>
      </c>
      <c r="C874" s="20" t="s">
        <v>58</v>
      </c>
      <c r="E874" s="21" t="s">
        <v>551</v>
      </c>
      <c r="F874" s="22" t="str">
        <f>IF(OR(E874="",E874="!!!"),"",IF(NOT(ISNA(VLOOKUP(E874,E$1:E873,1,FALSE()))),"OLD",IF(AND(E874&lt;&gt;"",E874&lt;&gt;"!!!"),"NEW","")))</f>
        <v>OLD</v>
      </c>
      <c r="G874" s="23" t="str">
        <f ca="1"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?IN_FOCUS</v>
      </c>
      <c r="H874" s="24" t="str">
        <f t="shared" ca="1" si="33"/>
        <v/>
      </c>
      <c r="I874" s="25" t="str">
        <f>IF(OR(E874="",E874="!!!",F874="NEW"),"",INDEX(B$2:B873,-1+SUMPRODUCT(MAX(ROW(E$2:E873)*(E874=E$2:E873)))))</f>
        <v>OBJ_8</v>
      </c>
      <c r="J874" s="25">
        <f ca="1">IF(OR(E874="",E874="!!!",F874="NEW"),"",COUNTBLANK(OFFSET(A$1,,,SUMPRODUCT(MAX(ROW(E$2:E874)*(E874=E$2:E874)))))-COUNTBLANK(OFFSET(A$1,,,SUMPRODUCT(MAX(ROW(E$1:E873)*(E2=E$1:E873))))))</f>
        <v>0</v>
      </c>
      <c r="K874" s="25" t="str">
        <f ca="1">IF(OR(E874="",E874="!!!",F874="NEW"),"",INDEX(J$1:J873,SUMPRODUCT(MAX(ROW(E$1:E873)*(E874=E$1:E873)))))</f>
        <v/>
      </c>
      <c r="L874" s="26"/>
    </row>
    <row r="875" spans="1:12" x14ac:dyDescent="0.3">
      <c r="A875" t="s">
        <v>126</v>
      </c>
      <c r="E875" s="21" t="str">
        <f t="shared" si="32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33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103</v>
      </c>
      <c r="E876" s="21" t="str">
        <f t="shared" si="32"/>
        <v/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33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212</v>
      </c>
      <c r="B877" s="20" t="s">
        <v>173</v>
      </c>
      <c r="C877" s="20" t="s">
        <v>68</v>
      </c>
      <c r="D877" s="20" t="s">
        <v>52</v>
      </c>
      <c r="E877" s="21"/>
      <c r="F877" s="22" t="s">
        <v>509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33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224</v>
      </c>
      <c r="E878" s="21" t="str">
        <f t="shared" si="32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33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470</v>
      </c>
      <c r="B879" s="20" t="s">
        <v>437</v>
      </c>
      <c r="C879" s="20" t="s">
        <v>58</v>
      </c>
      <c r="E879" s="21" t="str">
        <f t="shared" si="32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33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306</v>
      </c>
      <c r="E880" s="21" t="str">
        <f t="shared" si="32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33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471</v>
      </c>
      <c r="B881" s="20" t="s">
        <v>442</v>
      </c>
      <c r="C881" s="20" t="s">
        <v>88</v>
      </c>
      <c r="E881" s="21" t="str">
        <f t="shared" si="32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33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109</v>
      </c>
      <c r="B882" s="20" t="s">
        <v>364</v>
      </c>
      <c r="C882" s="20" t="s">
        <v>129</v>
      </c>
      <c r="E882" s="21" t="str">
        <f t="shared" si="32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33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73</v>
      </c>
      <c r="E883" s="21" t="str">
        <f t="shared" si="32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33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472</v>
      </c>
      <c r="B884" s="20" t="s">
        <v>364</v>
      </c>
      <c r="C884" s="20" t="s">
        <v>58</v>
      </c>
      <c r="E884" s="21" t="s">
        <v>533</v>
      </c>
      <c r="F884" s="22" t="str">
        <f>IF(OR(E884="",E884="!!!"),"",IF(NOT(ISNA(VLOOKUP(E884,E$1:E883,1,FALSE()))),"OLD",IF(AND(E884&lt;&gt;"",E884&lt;&gt;"!!!"),"NEW","")))</f>
        <v>OLD</v>
      </c>
      <c r="G884" s="23" t="str">
        <f ca="1"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?IN_FOCUS</v>
      </c>
      <c r="H884" s="24" t="str">
        <f t="shared" ca="1" si="33"/>
        <v/>
      </c>
      <c r="I884" s="25" t="str">
        <f>IF(OR(E884="",E884="!!!",F884="NEW"),"",INDEX(B$2:B883,-1+SUMPRODUCT(MAX(ROW(E$2:E883)*(E884=E$2:E883)))))</f>
        <v>SBJ_6</v>
      </c>
      <c r="J884" s="25">
        <f ca="1">IF(OR(E884="",E884="!!!",F884="NEW"),"",COUNTBLANK(OFFSET(A$1,,,SUMPRODUCT(MAX(ROW(E$2:E884)*(E884=E$2:E884)))))-COUNTBLANK(OFFSET(A$1,,,SUMPRODUCT(MAX(ROW(E$1:E883)*(E2=E$1:E883))))))</f>
        <v>0</v>
      </c>
      <c r="K884" s="25">
        <f ca="1">IF(OR(E884="",E884="!!!",F884="NEW"),"",INDEX(J$1:J883,SUMPRODUCT(MAX(ROW(E$1:E883)*(E884=E$1:E883)))))</f>
        <v>0</v>
      </c>
      <c r="L884" s="26"/>
    </row>
    <row r="885" spans="1:12" x14ac:dyDescent="0.3">
      <c r="A885" t="s">
        <v>69</v>
      </c>
      <c r="E885" s="21" t="str">
        <f t="shared" si="32"/>
        <v/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33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70</v>
      </c>
      <c r="E886" s="21" t="str">
        <f t="shared" si="32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33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218</v>
      </c>
      <c r="E887" s="21" t="str">
        <f t="shared" si="32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33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124</v>
      </c>
      <c r="B888" s="20" t="s">
        <v>442</v>
      </c>
      <c r="C888" s="20" t="s">
        <v>72</v>
      </c>
      <c r="D888" s="20" t="s">
        <v>52</v>
      </c>
      <c r="E888" s="21" t="s">
        <v>592</v>
      </c>
      <c r="F888" s="22" t="str">
        <f>IF(OR(E888="",E888="!!!"),"",IF(NOT(ISNA(VLOOKUP(E888,E$1:E887,1,FALSE()))),"OLD",IF(AND(E888&lt;&gt;"",E888&lt;&gt;"!!!"),"NEW","")))</f>
        <v>OLD</v>
      </c>
      <c r="G888" s="23" t="str">
        <f ca="1"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?IN_FOCUS</v>
      </c>
      <c r="H888" s="24" t="str">
        <f t="shared" ca="1" si="33"/>
        <v/>
      </c>
      <c r="I888" s="25" t="str">
        <f>IF(OR(E888="",E888="!!!",F888="NEW"),"",INDEX(B$2:B887,-1+SUMPRODUCT(MAX(ROW(E$2:E887)*(E888=E$2:E887)))))</f>
        <v>OBJ_3</v>
      </c>
      <c r="J888" s="25">
        <f ca="1">IF(OR(E888="",E888="!!!",F888="NEW"),"",COUNTBLANK(OFFSET(A$1,,,SUMPRODUCT(MAX(ROW(E$2:E888)*(E888=E$2:E888)))))-COUNTBLANK(OFFSET(A$1,,,SUMPRODUCT(MAX(ROW(E$1:E887)*(E2=E$1:E887))))))</f>
        <v>0</v>
      </c>
      <c r="K888" s="25">
        <f ca="1">IF(OR(E888="",E888="!!!",F888="NEW"),"",INDEX(J$1:J887,SUMPRODUCT(MAX(ROW(E$1:E887)*(E888=E$1:E887)))))</f>
        <v>0</v>
      </c>
      <c r="L888" s="26"/>
    </row>
    <row r="889" spans="1:12" x14ac:dyDescent="0.3">
      <c r="A889" t="s">
        <v>473</v>
      </c>
      <c r="E889" s="21" t="str">
        <f t="shared" si="32"/>
        <v/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33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103</v>
      </c>
      <c r="E890" s="21" t="str">
        <f t="shared" si="32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33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474</v>
      </c>
      <c r="E891" s="21" t="str">
        <f t="shared" si="32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33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70</v>
      </c>
      <c r="E892" s="21" t="str">
        <f t="shared" si="32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33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466</v>
      </c>
      <c r="B893" s="20" t="s">
        <v>412</v>
      </c>
      <c r="C893" s="20" t="s">
        <v>72</v>
      </c>
      <c r="D893" s="20" t="s">
        <v>52</v>
      </c>
      <c r="E893" s="21" t="s">
        <v>533</v>
      </c>
      <c r="F893" s="22" t="str">
        <f>IF(OR(E893="",E893="!!!"),"",IF(NOT(ISNA(VLOOKUP(E893,E$1:E892,1,FALSE()))),"OLD",IF(AND(E893&lt;&gt;"",E893&lt;&gt;"!!!"),"NEW","")))</f>
        <v>OLD</v>
      </c>
      <c r="G893" s="23" t="str">
        <f ca="1"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?IN_FOCUS</v>
      </c>
      <c r="H893" s="24" t="str">
        <f t="shared" ca="1" si="33"/>
        <v/>
      </c>
      <c r="I893" s="25" t="str">
        <f>IF(OR(E893="",E893="!!!",F893="NEW"),"",INDEX(B$2:B892,-1+SUMPRODUCT(MAX(ROW(E$2:E892)*(E893=E$2:E892)))))</f>
        <v>other_10</v>
      </c>
      <c r="J893" s="25">
        <f ca="1">IF(OR(E893="",E893="!!!",F893="NEW"),"",COUNTBLANK(OFFSET(A$1,,,SUMPRODUCT(MAX(ROW(E$2:E893)*(E893=E$2:E893)))))-COUNTBLANK(OFFSET(A$1,,,SUMPRODUCT(MAX(ROW(E$1:E892)*(E2=E$1:E892))))))</f>
        <v>0</v>
      </c>
      <c r="K893" s="25">
        <f ca="1">IF(OR(E893="",E893="!!!",F893="NEW"),"",INDEX(J$1:J892,SUMPRODUCT(MAX(ROW(E$1:E892)*(E893=E$1:E892)))))</f>
        <v>0</v>
      </c>
      <c r="L893" s="26"/>
    </row>
    <row r="894" spans="1:12" x14ac:dyDescent="0.3">
      <c r="A894" t="s">
        <v>86</v>
      </c>
      <c r="E894" s="21" t="str">
        <f t="shared" si="32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33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446</v>
      </c>
      <c r="E895" s="21" t="str">
        <f t="shared" si="32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33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76</v>
      </c>
      <c r="E896" s="21" t="str">
        <f t="shared" ref="E896:E912" si="34">IF(D896="?OLD","!!!","")</f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ref="H896:H912" ca="1" si="35">IF(J896&lt;&gt;1,"",IF(I896="SBJ","CB","?"))</f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475</v>
      </c>
      <c r="E897" s="21" t="str">
        <f t="shared" si="34"/>
        <v/>
      </c>
      <c r="F897" s="22" t="str">
        <f>IF(OR(E897="",E897="!!!"),"",IF(NOT(ISNA(VLOOKUP(E897,E$1:E896,1,FALSE()))),"OLD",IF(AND(E897&lt;&gt;"",E897&lt;&gt;"!!!"),"NEW","")))</f>
        <v/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4" t="str">
        <f t="shared" ca="1" si="35"/>
        <v/>
      </c>
      <c r="I897" s="25" t="str">
        <f>IF(OR(E897="",E897="!!!",F897="NEW"),"",INDEX(B$2:B896,-1+SUMPRODUCT(MAX(ROW(E$2:E896)*(E897=E$2:E896)))))</f>
        <v/>
      </c>
      <c r="J897" s="25" t="str">
        <f ca="1">IF(OR(E897="",E897="!!!",F897="NEW"),"",COUNTBLANK(OFFSET(A$1,,,SUMPRODUCT(MAX(ROW(E$2:E897)*(E897=E$2:E897)))))-COUNTBLANK(OFFSET(A$1,,,SUMPRODUCT(MAX(ROW(E$1:E896)*(E2=E$1:E896))))))</f>
        <v/>
      </c>
      <c r="K897" s="25" t="str">
        <f>IF(OR(E897="",E897="!!!",F897="NEW"),"",INDEX(J$1:J896,SUMPRODUCT(MAX(ROW(E$1:E896)*(E897=E$1:E896)))))</f>
        <v/>
      </c>
      <c r="L897" s="26"/>
    </row>
    <row r="898" spans="1:12" x14ac:dyDescent="0.3">
      <c r="A898" t="s">
        <v>106</v>
      </c>
      <c r="E898" s="21" t="str">
        <f t="shared" si="34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35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70</v>
      </c>
      <c r="E899" s="21" t="str">
        <f t="shared" si="34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35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469</v>
      </c>
      <c r="B900" s="20" t="s">
        <v>249</v>
      </c>
      <c r="C900" s="20" t="s">
        <v>72</v>
      </c>
      <c r="D900" s="20" t="s">
        <v>52</v>
      </c>
      <c r="E900" s="21" t="s">
        <v>605</v>
      </c>
      <c r="F900" s="22" t="str">
        <f>IF(OR(E900="",E900="!!!"),"",IF(NOT(ISNA(VLOOKUP(E900,E$1:E899,1,FALSE()))),"OLD",IF(AND(E900&lt;&gt;"",E900&lt;&gt;"!!!"),"NEW","")))</f>
        <v>NEW</v>
      </c>
      <c r="G900" s="23" t="str">
        <f ca="1"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?REFERENTIAL</v>
      </c>
      <c r="H900" s="24" t="str">
        <f t="shared" ca="1" si="35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131</v>
      </c>
      <c r="E901" s="21" t="str">
        <f t="shared" si="3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3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84</v>
      </c>
      <c r="B902" s="20" t="s">
        <v>303</v>
      </c>
      <c r="C902" s="20" t="s">
        <v>72</v>
      </c>
      <c r="D902" s="20" t="s">
        <v>52</v>
      </c>
      <c r="E902" s="21" t="s">
        <v>511</v>
      </c>
      <c r="F902" s="22" t="str">
        <f>IF(OR(E902="",E902="!!!"),"",IF(NOT(ISNA(VLOOKUP(E902,E$1:E901,1,FALSE()))),"OLD",IF(AND(E902&lt;&gt;"",E902&lt;&gt;"!!!"),"NEW","")))</f>
        <v>OLD</v>
      </c>
      <c r="G902" s="23" t="str">
        <f ca="1"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?IN_FOCUS</v>
      </c>
      <c r="H902" s="24" t="str">
        <f t="shared" ca="1" si="35"/>
        <v/>
      </c>
      <c r="I902" s="25" t="str">
        <f>IF(OR(E902="",E902="!!!",F902="NEW"),"",INDEX(B$2:B901,-1+SUMPRODUCT(MAX(ROW(E$2:E901)*(E902=E$2:E901)))))</f>
        <v>other_2</v>
      </c>
      <c r="J902" s="25">
        <f ca="1">IF(OR(E902="",E902="!!!",F902="NEW"),"",COUNTBLANK(OFFSET(A$1,,,SUMPRODUCT(MAX(ROW(E$2:E902)*(E902=E$2:E902)))))-COUNTBLANK(OFFSET(A$1,,,SUMPRODUCT(MAX(ROW(E$1:E901)*(E2=E$1:E901))))))</f>
        <v>0</v>
      </c>
      <c r="K902" s="25" t="str">
        <f ca="1">IF(OR(E902="",E902="!!!",F902="NEW"),"",INDEX(J$1:J901,SUMPRODUCT(MAX(ROW(E$1:E901)*(E902=E$1:E901)))))</f>
        <v/>
      </c>
      <c r="L902" s="26"/>
    </row>
    <row r="903" spans="1:12" x14ac:dyDescent="0.3">
      <c r="A903" t="s">
        <v>217</v>
      </c>
      <c r="E903" s="21" t="str">
        <f t="shared" si="34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3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103</v>
      </c>
      <c r="E904" s="21" t="str">
        <f t="shared" si="34"/>
        <v/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35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65</v>
      </c>
      <c r="E905" s="21" t="str">
        <f t="shared" si="34"/>
        <v/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35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66</v>
      </c>
      <c r="B906" s="20" t="s">
        <v>110</v>
      </c>
      <c r="C906" s="20" t="s">
        <v>68</v>
      </c>
      <c r="D906" s="20" t="s">
        <v>52</v>
      </c>
      <c r="E906" s="21" t="s">
        <v>510</v>
      </c>
      <c r="F906" s="22" t="str">
        <f>IF(OR(E906="",E906="!!!"),"",IF(NOT(ISNA(VLOOKUP(E906,E$1:E905,1,FALSE()))),"OLD",IF(AND(E906&lt;&gt;"",E906&lt;&gt;"!!!"),"NEW","")))</f>
        <v>OLD</v>
      </c>
      <c r="G906" s="23" t="str">
        <f ca="1"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?IN_FOCUS</v>
      </c>
      <c r="H906" s="24" t="str">
        <f t="shared" ca="1" si="35"/>
        <v/>
      </c>
      <c r="I906" s="25" t="str">
        <f>IF(OR(E906="",E906="!!!",F906="NEW"),"",INDEX(B$2:B905,-1+SUMPRODUCT(MAX(ROW(E$2:E905)*(E906=E$2:E905)))))</f>
        <v>OBJ_5</v>
      </c>
      <c r="J906" s="25">
        <f ca="1">IF(OR(E906="",E906="!!!",F906="NEW"),"",COUNTBLANK(OFFSET(A$1,,,SUMPRODUCT(MAX(ROW(E$2:E906)*(E906=E$2:E906)))))-COUNTBLANK(OFFSET(A$1,,,SUMPRODUCT(MAX(ROW(E$1:E905)*(E2=E$1:E905))))))</f>
        <v>0</v>
      </c>
      <c r="K906" s="25">
        <f ca="1">IF(OR(E906="",E906="!!!",F906="NEW"),"",INDEX(J$1:J905,SUMPRODUCT(MAX(ROW(E$1:E905)*(E906=E$1:E905)))))</f>
        <v>0</v>
      </c>
      <c r="L906" s="26"/>
    </row>
    <row r="907" spans="1:12" x14ac:dyDescent="0.3">
      <c r="A907" t="s">
        <v>341</v>
      </c>
      <c r="E907" s="21" t="str">
        <f t="shared" si="3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3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113</v>
      </c>
      <c r="B908" s="20" t="s">
        <v>222</v>
      </c>
      <c r="C908" s="20" t="s">
        <v>90</v>
      </c>
      <c r="D908" s="20" t="s">
        <v>52</v>
      </c>
      <c r="E908" s="21"/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35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 t="s">
        <v>515</v>
      </c>
    </row>
    <row r="909" spans="1:12" x14ac:dyDescent="0.3">
      <c r="A909" t="s">
        <v>377</v>
      </c>
      <c r="B909" s="20" t="s">
        <v>220</v>
      </c>
      <c r="C909" s="20" t="s">
        <v>93</v>
      </c>
      <c r="D909" s="20" t="s">
        <v>52</v>
      </c>
      <c r="E909" s="21" t="s">
        <v>605</v>
      </c>
      <c r="F909" s="22" t="str">
        <f>IF(OR(E909="",E909="!!!"),"",IF(NOT(ISNA(VLOOKUP(E909,E$1:E908,1,FALSE()))),"OLD",IF(AND(E909&lt;&gt;"",E909&lt;&gt;"!!!"),"NEW","")))</f>
        <v>OLD</v>
      </c>
      <c r="G909" s="23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?IN_FOCUS</v>
      </c>
      <c r="H909" s="24" t="str">
        <f t="shared" ca="1" si="35"/>
        <v/>
      </c>
      <c r="I909" s="25" t="str">
        <f>IF(OR(E909="",E909="!!!",F909="NEW"),"",INDEX(B$2:B908,-1+SUMPRODUCT(MAX(ROW(E$2:E908)*(E909=E$2:E908)))))</f>
        <v>SBJ_8</v>
      </c>
      <c r="J909" s="25">
        <f ca="1">IF(OR(E909="",E909="!!!",F909="NEW"),"",COUNTBLANK(OFFSET(A$1,,,SUMPRODUCT(MAX(ROW(E$2:E909)*(E909=E$2:E909)))))-COUNTBLANK(OFFSET(A$1,,,SUMPRODUCT(MAX(ROW(E$1:E908)*(E2=E$1:E908))))))</f>
        <v>0</v>
      </c>
      <c r="K909" s="25" t="str">
        <f ca="1">IF(OR(E909="",E909="!!!",F909="NEW"),"",INDEX(J$1:J908,SUMPRODUCT(MAX(ROW(E$1:E908)*(E909=E$1:E908)))))</f>
        <v/>
      </c>
      <c r="L909" s="26"/>
    </row>
    <row r="910" spans="1:12" x14ac:dyDescent="0.3">
      <c r="A910" t="s">
        <v>86</v>
      </c>
      <c r="E910" s="21" t="str">
        <f t="shared" si="34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35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476</v>
      </c>
      <c r="E911" s="21" t="str">
        <f t="shared" si="34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35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76</v>
      </c>
      <c r="E912" s="21" t="str">
        <f t="shared" si="34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35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4" spans="1:12" x14ac:dyDescent="0.3">
      <c r="A914" t="s">
        <v>477</v>
      </c>
    </row>
    <row r="915" spans="1:12" x14ac:dyDescent="0.3">
      <c r="A915" t="s">
        <v>187</v>
      </c>
      <c r="E915" s="21" t="str">
        <f t="shared" ref="E915:E946" si="36">IF(D915="?OLD","!!!","")</f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ref="H915:H946" ca="1" si="37">IF(J915&lt;&gt;1,"",IF(I915="SBJ","CB","?"))</f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478</v>
      </c>
      <c r="E916" s="21" t="str">
        <f t="shared" si="36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37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479</v>
      </c>
      <c r="B917" s="20" t="s">
        <v>262</v>
      </c>
      <c r="C917" s="20" t="s">
        <v>58</v>
      </c>
      <c r="E917" s="21" t="str">
        <f t="shared" si="36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37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480</v>
      </c>
      <c r="E918" s="21" t="str">
        <f t="shared" si="36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37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76</v>
      </c>
      <c r="E919" s="21" t="str">
        <f t="shared" si="36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37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481</v>
      </c>
      <c r="E920" s="21" t="str">
        <f t="shared" si="36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37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66</v>
      </c>
      <c r="B921" s="20" t="s">
        <v>67</v>
      </c>
      <c r="C921" s="20" t="s">
        <v>68</v>
      </c>
      <c r="D921" s="20" t="s">
        <v>52</v>
      </c>
      <c r="E921" s="21" t="s">
        <v>510</v>
      </c>
      <c r="F921" s="22" t="str">
        <f>IF(OR(E921="",E921="!!!"),"",IF(NOT(ISNA(VLOOKUP(E921,E$1:E920,1,FALSE()))),"OLD",IF(AND(E921&lt;&gt;"",E921&lt;&gt;"!!!"),"NEW","")))</f>
        <v>OLD</v>
      </c>
      <c r="G921" s="23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4" t="str">
        <f t="shared" ca="1" si="37"/>
        <v/>
      </c>
      <c r="I921" s="25" t="str">
        <f>IF(OR(E921="",E921="!!!",F921="NEW"),"",INDEX(B$2:B920,-1+SUMPRODUCT(MAX(ROW(E$2:E920)*(E921=E$2:E920)))))</f>
        <v>SBJ_5</v>
      </c>
      <c r="J921" s="25">
        <f ca="1">IF(OR(E921="",E921="!!!",F921="NEW"),"",COUNTBLANK(OFFSET(A$1,,,SUMPRODUCT(MAX(ROW(E$2:E921)*(E921=E$2:E921)))))-COUNTBLANK(OFFSET(A$1,,,SUMPRODUCT(MAX(ROW(E$1:E920)*(E2=E$1:E920))))))</f>
        <v>0</v>
      </c>
      <c r="K921" s="25">
        <f ca="1">IF(OR(E921="",E921="!!!",F921="NEW"),"",INDEX(J$1:J920,SUMPRODUCT(MAX(ROW(E$1:E920)*(E921=E$1:E920)))))</f>
        <v>0</v>
      </c>
      <c r="L921" s="26"/>
    </row>
    <row r="922" spans="1:12" x14ac:dyDescent="0.3">
      <c r="A922" t="s">
        <v>121</v>
      </c>
      <c r="E922" s="21" t="str">
        <f t="shared" si="36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37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122</v>
      </c>
      <c r="E923" s="21" t="str">
        <f t="shared" si="36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37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123</v>
      </c>
      <c r="B924" s="20" t="s">
        <v>120</v>
      </c>
      <c r="C924" s="20" t="s">
        <v>102</v>
      </c>
      <c r="E924" s="21" t="str">
        <f t="shared" si="36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37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183</v>
      </c>
      <c r="E925" s="21" t="str">
        <f t="shared" si="36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37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482</v>
      </c>
      <c r="B926" s="20" t="s">
        <v>87</v>
      </c>
      <c r="C926" s="20" t="s">
        <v>72</v>
      </c>
      <c r="D926" s="20" t="s">
        <v>52</v>
      </c>
      <c r="E926" s="21" t="s">
        <v>554</v>
      </c>
      <c r="F926" s="22" t="str">
        <f>IF(OR(E926="",E926="!!!"),"",IF(NOT(ISNA(VLOOKUP(E926,E$1:E925,1,FALSE()))),"OLD",IF(AND(E926&lt;&gt;"",E926&lt;&gt;"!!!"),"NEW","")))</f>
        <v>NEW</v>
      </c>
      <c r="G926" s="23" t="str">
        <f ca="1"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?REFERENTIAL</v>
      </c>
      <c r="H926" s="24" t="str">
        <f t="shared" ca="1" si="37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483</v>
      </c>
      <c r="E927" s="21" t="str">
        <f t="shared" si="36"/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37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469</v>
      </c>
      <c r="B928" s="20" t="s">
        <v>74</v>
      </c>
      <c r="C928" s="20" t="s">
        <v>58</v>
      </c>
      <c r="E928" s="21"/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37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103</v>
      </c>
      <c r="E929" s="21" t="str">
        <f t="shared" si="36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37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484</v>
      </c>
      <c r="B930" s="20" t="s">
        <v>262</v>
      </c>
      <c r="C930" s="20" t="s">
        <v>51</v>
      </c>
      <c r="D930" s="20" t="s">
        <v>52</v>
      </c>
      <c r="E930" s="21"/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37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 t="s">
        <v>515</v>
      </c>
    </row>
    <row r="931" spans="1:12" x14ac:dyDescent="0.3">
      <c r="A931" t="s">
        <v>224</v>
      </c>
      <c r="E931" s="21" t="str">
        <f t="shared" si="36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37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2" spans="1:12" x14ac:dyDescent="0.3">
      <c r="A932" t="s">
        <v>66</v>
      </c>
      <c r="B932" s="20" t="s">
        <v>151</v>
      </c>
      <c r="C932" s="20" t="s">
        <v>68</v>
      </c>
      <c r="D932" s="20" t="s">
        <v>52</v>
      </c>
      <c r="E932" s="21" t="s">
        <v>510</v>
      </c>
      <c r="F932" s="22" t="str">
        <f>IF(OR(E932="",E932="!!!"),"",IF(NOT(ISNA(VLOOKUP(E932,E$1:E931,1,FALSE()))),"OLD",IF(AND(E932&lt;&gt;"",E932&lt;&gt;"!!!"),"NEW","")))</f>
        <v>OLD</v>
      </c>
      <c r="G932" s="23" t="str">
        <f ca="1"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?IN_FOCUS</v>
      </c>
      <c r="H932" s="24" t="str">
        <f t="shared" ca="1" si="37"/>
        <v/>
      </c>
      <c r="I932" s="25" t="str">
        <f>IF(OR(E932="",E932="!!!",F932="NEW"),"",INDEX(B$2:B931,-1+SUMPRODUCT(MAX(ROW(E$2:E931)*(E932=E$2:E931)))))</f>
        <v>SBJ_2</v>
      </c>
      <c r="J932" s="25">
        <f ca="1">IF(OR(E932="",E932="!!!",F932="NEW"),"",COUNTBLANK(OFFSET(A$1,,,SUMPRODUCT(MAX(ROW(E$2:E932)*(E932=E$2:E932)))))-COUNTBLANK(OFFSET(A$1,,,SUMPRODUCT(MAX(ROW(E$1:E931)*(E2=E$1:E931))))))</f>
        <v>0</v>
      </c>
      <c r="K932" s="25">
        <f ca="1">IF(OR(E932="",E932="!!!",F932="NEW"),"",INDEX(J$1:J931,SUMPRODUCT(MAX(ROW(E$1:E931)*(E932=E$1:E931)))))</f>
        <v>0</v>
      </c>
      <c r="L932" s="26"/>
    </row>
    <row r="933" spans="1:12" x14ac:dyDescent="0.3">
      <c r="A933" t="s">
        <v>70</v>
      </c>
      <c r="E933" s="21" t="str">
        <f t="shared" si="36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37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485</v>
      </c>
      <c r="B934" s="20" t="s">
        <v>262</v>
      </c>
      <c r="C934" s="20" t="s">
        <v>72</v>
      </c>
      <c r="D934" s="20" t="s">
        <v>52</v>
      </c>
      <c r="E934" s="21" t="s">
        <v>555</v>
      </c>
      <c r="F934" s="22" t="str">
        <f>IF(OR(E934="",E934="!!!"),"",IF(NOT(ISNA(VLOOKUP(E934,E$1:E933,1,FALSE()))),"OLD",IF(AND(E934&lt;&gt;"",E934&lt;&gt;"!!!"),"NEW","")))</f>
        <v>NEW</v>
      </c>
      <c r="G934" s="23" t="str">
        <f ca="1"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?REFERENTIAL</v>
      </c>
      <c r="H934" s="24" t="str">
        <f t="shared" ca="1" si="37"/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76</v>
      </c>
      <c r="E935" s="21" t="str">
        <f t="shared" si="36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37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486</v>
      </c>
      <c r="B936" s="20" t="s">
        <v>193</v>
      </c>
      <c r="C936" s="20" t="s">
        <v>58</v>
      </c>
      <c r="E936" s="21" t="str">
        <f t="shared" si="36"/>
        <v/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37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86</v>
      </c>
      <c r="E937" s="21" t="str">
        <f t="shared" si="36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37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487</v>
      </c>
      <c r="E938" s="21" t="str">
        <f t="shared" si="36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37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76</v>
      </c>
      <c r="E939" s="21" t="str">
        <f t="shared" si="36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37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70</v>
      </c>
      <c r="B940" s="20" t="s">
        <v>110</v>
      </c>
      <c r="E940" s="21" t="str">
        <f t="shared" si="36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37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488</v>
      </c>
      <c r="B941" s="20" t="s">
        <v>108</v>
      </c>
      <c r="C941" s="20" t="s">
        <v>137</v>
      </c>
      <c r="D941" s="20" t="s">
        <v>52</v>
      </c>
      <c r="E941" s="21" t="s">
        <v>510</v>
      </c>
      <c r="F941" s="22" t="str">
        <f>IF(OR(E941="",E941="!!!"),"",IF(NOT(ISNA(VLOOKUP(E941,E$1:E940,1,FALSE()))),"OLD",IF(AND(E941&lt;&gt;"",E941&lt;&gt;"!!!"),"NEW","")))</f>
        <v>OLD</v>
      </c>
      <c r="G941" s="23" t="str">
        <f ca="1"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?IN_FOCUS</v>
      </c>
      <c r="H941" s="24" t="str">
        <f t="shared" ca="1" si="37"/>
        <v/>
      </c>
      <c r="I941" s="25" t="str">
        <f>IF(OR(E941="",E941="!!!",F941="NEW"),"",INDEX(B$2:B940,-1+SUMPRODUCT(MAX(ROW(E$2:E940)*(E941=E$2:E940)))))</f>
        <v>SBJ_3</v>
      </c>
      <c r="J941" s="25">
        <f ca="1">IF(OR(E941="",E941="!!!",F941="NEW"),"",COUNTBLANK(OFFSET(A$1,,,SUMPRODUCT(MAX(ROW(E$2:E941)*(E941=E$2:E941)))))-COUNTBLANK(OFFSET(A$1,,,SUMPRODUCT(MAX(ROW(E$1:E940)*(E2=E$1:E940))))))</f>
        <v>0</v>
      </c>
      <c r="K941" s="25">
        <f ca="1">IF(OR(E941="",E941="!!!",F941="NEW"),"",INDEX(J$1:J940,SUMPRODUCT(MAX(ROW(E$1:E940)*(E941=E$1:E940)))))</f>
        <v>0</v>
      </c>
      <c r="L941" s="26"/>
    </row>
    <row r="942" spans="1:12" x14ac:dyDescent="0.3">
      <c r="A942" t="s">
        <v>421</v>
      </c>
      <c r="B942" s="20" t="s">
        <v>193</v>
      </c>
      <c r="C942" s="20" t="s">
        <v>58</v>
      </c>
      <c r="E942" s="21" t="s">
        <v>534</v>
      </c>
      <c r="F942" s="22" t="str">
        <f>IF(OR(E942="",E942="!!!"),"",IF(NOT(ISNA(VLOOKUP(E942,E$1:E941,1,FALSE()))),"OLD",IF(AND(E942&lt;&gt;"",E942&lt;&gt;"!!!"),"NEW","")))</f>
        <v>OLD</v>
      </c>
      <c r="G942" s="23" t="str">
        <f ca="1"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?IN_FOCUS</v>
      </c>
      <c r="H942" s="24" t="str">
        <f t="shared" ca="1" si="37"/>
        <v/>
      </c>
      <c r="I942" s="25" t="str">
        <f>IF(OR(E942="",E942="!!!",F942="NEW"),"",INDEX(B$2:B941,-1+SUMPRODUCT(MAX(ROW(E$2:E941)*(E942=E$2:E941)))))</f>
        <v>other_14</v>
      </c>
      <c r="J942" s="25">
        <f ca="1">IF(OR(E942="",E942="!!!",F942="NEW"),"",COUNTBLANK(OFFSET(A$1,,,SUMPRODUCT(MAX(ROW(E$2:E942)*(E942=E$2:E942)))))-COUNTBLANK(OFFSET(A$1,,,SUMPRODUCT(MAX(ROW(E$1:E941)*(E2=E$1:E941))))))</f>
        <v>0</v>
      </c>
      <c r="K942" s="25">
        <f ca="1">IF(OR(E942="",E942="!!!",F942="NEW"),"",INDEX(J$1:J941,SUMPRODUCT(MAX(ROW(E$1:E941)*(E942=E$1:E941)))))</f>
        <v>0</v>
      </c>
      <c r="L942" s="26"/>
    </row>
    <row r="943" spans="1:12" x14ac:dyDescent="0.3">
      <c r="A943" t="s">
        <v>61</v>
      </c>
      <c r="E943" s="21" t="str">
        <f t="shared" si="36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37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206</v>
      </c>
      <c r="E944" s="21" t="str">
        <f t="shared" si="36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37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311</v>
      </c>
      <c r="E945" s="21" t="str">
        <f t="shared" si="36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37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6" spans="1:12" x14ac:dyDescent="0.3">
      <c r="A946" t="s">
        <v>123</v>
      </c>
      <c r="B946" s="20" t="s">
        <v>87</v>
      </c>
      <c r="C946" s="20" t="s">
        <v>102</v>
      </c>
      <c r="E946" s="21" t="str">
        <f t="shared" si="36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37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489</v>
      </c>
      <c r="E947" s="21" t="s">
        <v>557</v>
      </c>
      <c r="F947" s="22" t="str">
        <f>IF(OR(E947="",E947="!!!"),"",IF(NOT(ISNA(VLOOKUP(E947,E$1:E946,1,FALSE()))),"OLD",IF(AND(E947&lt;&gt;"",E947&lt;&gt;"!!!"),"NEW","")))</f>
        <v>NEW</v>
      </c>
      <c r="G947" s="23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?REFERENTIAL</v>
      </c>
      <c r="H947" s="24" t="str">
        <f t="shared" ref="H947:H978" ca="1" si="38">IF(J947&lt;&gt;1,"",IF(I947="SBJ","CB","?"))</f>
        <v/>
      </c>
      <c r="I947" s="25" t="str">
        <f>IF(OR(E947="",E947="!!!",F947="NEW"),"",INDEX(B$2:B946,-1+SUMPRODUCT(MAX(ROW(E$2:E946)*(E947=E$2:E946)))))</f>
        <v/>
      </c>
      <c r="J947" s="25" t="str">
        <f ca="1">IF(OR(E947="",E947="!!!",F947="NEW"),"",COUNTBLANK(OFFSET(A$1,,,SUMPRODUCT(MAX(ROW(E$2:E947)*(E947=E$2:E947)))))-COUNTBLANK(OFFSET(A$1,,,SUMPRODUCT(MAX(ROW(E$1:E946)*(E2=E$1:E946))))))</f>
        <v/>
      </c>
      <c r="K947" s="25" t="str">
        <f>IF(OR(E947="",E947="!!!",F947="NEW"),"",INDEX(J$1:J946,SUMPRODUCT(MAX(ROW(E$1:E946)*(E947=E$1:E946)))))</f>
        <v/>
      </c>
      <c r="L947" s="26" t="s">
        <v>537</v>
      </c>
    </row>
    <row r="948" spans="1:12" x14ac:dyDescent="0.3">
      <c r="A948" t="s">
        <v>103</v>
      </c>
      <c r="E948" s="21" t="str">
        <f t="shared" ref="E948:E978" si="39">IF(D948="?OLD","!!!","")</f>
        <v/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38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160</v>
      </c>
      <c r="B949" s="20" t="s">
        <v>110</v>
      </c>
      <c r="C949" s="20" t="s">
        <v>97</v>
      </c>
      <c r="D949" s="20" t="s">
        <v>52</v>
      </c>
      <c r="E949" s="21" t="s">
        <v>514</v>
      </c>
      <c r="F949" s="22" t="str">
        <f>IF(OR(E949="",E949="!!!"),"",IF(NOT(ISNA(VLOOKUP(E949,E$1:E948,1,FALSE()))),"OLD",IF(AND(E949&lt;&gt;"",E949&lt;&gt;"!!!"),"NEW","")))</f>
        <v>OLD</v>
      </c>
      <c r="G949" s="23" t="str">
        <f ca="1"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?IN_FOCUS</v>
      </c>
      <c r="H949" s="24" t="str">
        <f t="shared" ca="1" si="38"/>
        <v/>
      </c>
      <c r="I949" s="25" t="str">
        <f>IF(OR(E949="",E949="!!!",F949="NEW"),"",INDEX(B$2:B948,-1+SUMPRODUCT(MAX(ROW(E$2:E948)*(E949=E$2:E948)))))</f>
        <v>SBJ_3</v>
      </c>
      <c r="J949" s="25">
        <f ca="1">IF(OR(E949="",E949="!!!",F949="NEW"),"",COUNTBLANK(OFFSET(A$1,,,SUMPRODUCT(MAX(ROW(E$2:E949)*(E949=E$2:E949)))))-COUNTBLANK(OFFSET(A$1,,,SUMPRODUCT(MAX(ROW(E$1:E948)*(E2=E$1:E948))))))</f>
        <v>0</v>
      </c>
      <c r="K949" s="25">
        <f ca="1">IF(OR(E949="",E949="!!!",F949="NEW"),"",INDEX(J$1:J948,SUMPRODUCT(MAX(ROW(E$1:E948)*(E949=E$1:E948)))))</f>
        <v>0</v>
      </c>
      <c r="L949" s="26"/>
    </row>
    <row r="950" spans="1:12" x14ac:dyDescent="0.3">
      <c r="A950" t="s">
        <v>340</v>
      </c>
      <c r="E950" s="21" t="str">
        <f t="shared" si="39"/>
        <v/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38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76</v>
      </c>
      <c r="E951" s="21" t="str">
        <f t="shared" si="39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38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144</v>
      </c>
      <c r="E952" s="21" t="str">
        <f t="shared" si="39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38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66</v>
      </c>
      <c r="B953" s="20" t="s">
        <v>173</v>
      </c>
      <c r="C953" s="20" t="s">
        <v>68</v>
      </c>
      <c r="D953" s="20" t="s">
        <v>52</v>
      </c>
      <c r="E953" s="21" t="s">
        <v>510</v>
      </c>
      <c r="F953" s="22" t="str">
        <f>IF(OR(E953="",E953="!!!"),"",IF(NOT(ISNA(VLOOKUP(E953,E$1:E952,1,FALSE()))),"OLD",IF(AND(E953&lt;&gt;"",E953&lt;&gt;"!!!"),"NEW","")))</f>
        <v>OLD</v>
      </c>
      <c r="G953" s="23" t="str">
        <f ca="1"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?IN_FOCUS</v>
      </c>
      <c r="H953" s="24" t="str">
        <f t="shared" ca="1" si="38"/>
        <v/>
      </c>
      <c r="I953" s="25" t="str">
        <f>IF(OR(E953="",E953="!!!",F953="NEW"),"",INDEX(B$2:B952,-1+SUMPRODUCT(MAX(ROW(E$2:E952)*(E953=E$2:E952)))))</f>
        <v>other_6</v>
      </c>
      <c r="J953" s="25">
        <f ca="1">IF(OR(E953="",E953="!!!",F953="NEW"),"",COUNTBLANK(OFFSET(A$1,,,SUMPRODUCT(MAX(ROW(E$2:E953)*(E953=E$2:E953)))))-COUNTBLANK(OFFSET(A$1,,,SUMPRODUCT(MAX(ROW(E$1:E952)*(E2=E$1:E952))))))</f>
        <v>0</v>
      </c>
      <c r="K953" s="25">
        <f ca="1">IF(OR(E953="",E953="!!!",F953="NEW"),"",INDEX(J$1:J952,SUMPRODUCT(MAX(ROW(E$1:E952)*(E953=E$1:E952)))))</f>
        <v>0</v>
      </c>
      <c r="L953" s="26"/>
    </row>
    <row r="954" spans="1:12" x14ac:dyDescent="0.3">
      <c r="A954" t="s">
        <v>158</v>
      </c>
      <c r="B954" s="20" t="s">
        <v>222</v>
      </c>
      <c r="C954" s="20" t="s">
        <v>90</v>
      </c>
      <c r="D954" s="20" t="s">
        <v>52</v>
      </c>
      <c r="E954" s="21"/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38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 t="s">
        <v>515</v>
      </c>
    </row>
    <row r="955" spans="1:12" x14ac:dyDescent="0.3">
      <c r="A955" t="s">
        <v>490</v>
      </c>
      <c r="B955" s="20" t="s">
        <v>220</v>
      </c>
      <c r="C955" s="20" t="s">
        <v>93</v>
      </c>
      <c r="D955" s="20" t="s">
        <v>52</v>
      </c>
      <c r="E955" s="21" t="s">
        <v>555</v>
      </c>
      <c r="F955" s="22" t="str">
        <f>IF(OR(E955="",E955="!!!"),"",IF(NOT(ISNA(VLOOKUP(E955,E$1:E954,1,FALSE()))),"OLD",IF(AND(E955&lt;&gt;"",E955&lt;&gt;"!!!"),"NEW","")))</f>
        <v>OLD</v>
      </c>
      <c r="G955" s="23" t="str">
        <f ca="1"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?IN_FOCUS</v>
      </c>
      <c r="H955" s="24" t="str">
        <f t="shared" ca="1" si="38"/>
        <v/>
      </c>
      <c r="I955" s="25" t="str">
        <f>IF(OR(E955="",E955="!!!",F955="NEW"),"",INDEX(B$2:B954,-1+SUMPRODUCT(MAX(ROW(E$2:E954)*(E955=E$2:E954)))))</f>
        <v>OBJ_3</v>
      </c>
      <c r="J955" s="25">
        <f ca="1">IF(OR(E955="",E955="!!!",F955="NEW"),"",COUNTBLANK(OFFSET(A$1,,,SUMPRODUCT(MAX(ROW(E$2:E955)*(E955=E$2:E955)))))-COUNTBLANK(OFFSET(A$1,,,SUMPRODUCT(MAX(ROW(E$1:E954)*(E2=E$1:E954))))))</f>
        <v>0</v>
      </c>
      <c r="K955" s="25" t="str">
        <f ca="1">IF(OR(E955="",E955="!!!",F955="NEW"),"",INDEX(J$1:J954,SUMPRODUCT(MAX(ROW(E$1:E954)*(E955=E$1:E954)))))</f>
        <v/>
      </c>
      <c r="L955" s="26"/>
    </row>
    <row r="956" spans="1:12" x14ac:dyDescent="0.3">
      <c r="A956" t="s">
        <v>224</v>
      </c>
      <c r="E956" s="21" t="str">
        <f t="shared" si="39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38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103</v>
      </c>
      <c r="E957" s="21" t="str">
        <f t="shared" si="39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38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212</v>
      </c>
      <c r="B958" s="20" t="s">
        <v>173</v>
      </c>
      <c r="C958" s="20" t="s">
        <v>68</v>
      </c>
      <c r="D958" s="20" t="s">
        <v>52</v>
      </c>
      <c r="E958" s="21" t="s">
        <v>510</v>
      </c>
      <c r="F958" s="22" t="str">
        <f>IF(OR(E958="",E958="!!!"),"",IF(NOT(ISNA(VLOOKUP(E958,E$1:E957,1,FALSE()))),"OLD",IF(AND(E958&lt;&gt;"",E958&lt;&gt;"!!!"),"NEW","")))</f>
        <v>OLD</v>
      </c>
      <c r="G958" s="23" t="str">
        <f ca="1"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?IN_FOCUS</v>
      </c>
      <c r="H958" s="24" t="str">
        <f t="shared" ca="1" si="38"/>
        <v/>
      </c>
      <c r="I958" s="25" t="str">
        <f>IF(OR(E958="",E958="!!!",F958="NEW"),"",INDEX(B$2:B957,-1+SUMPRODUCT(MAX(ROW(E$2:E957)*(E958=E$2:E957)))))</f>
        <v>SBJ_6</v>
      </c>
      <c r="J958" s="25">
        <f ca="1">IF(OR(E958="",E958="!!!",F958="NEW"),"",COUNTBLANK(OFFSET(A$1,,,SUMPRODUCT(MAX(ROW(E$2:E958)*(E958=E$2:E958)))))-COUNTBLANK(OFFSET(A$1,,,SUMPRODUCT(MAX(ROW(E$1:E957)*(E2=E$1:E957))))))</f>
        <v>0</v>
      </c>
      <c r="K958" s="25">
        <f ca="1">IF(OR(E958="",E958="!!!",F958="NEW"),"",INDEX(J$1:J957,SUMPRODUCT(MAX(ROW(E$1:E957)*(E958=E$1:E957)))))</f>
        <v>0</v>
      </c>
      <c r="L958" s="26"/>
    </row>
    <row r="959" spans="1:12" x14ac:dyDescent="0.3">
      <c r="A959" t="s">
        <v>224</v>
      </c>
      <c r="E959" s="21" t="str">
        <f t="shared" si="39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38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396</v>
      </c>
      <c r="E960" s="21" t="str">
        <f t="shared" si="39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38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70</v>
      </c>
      <c r="E961" s="21" t="str">
        <f t="shared" si="39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38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491</v>
      </c>
      <c r="B962" s="20" t="s">
        <v>220</v>
      </c>
      <c r="C962" s="20" t="s">
        <v>72</v>
      </c>
      <c r="D962" s="20" t="s">
        <v>52</v>
      </c>
      <c r="E962" s="21" t="s">
        <v>556</v>
      </c>
      <c r="F962" s="22" t="str">
        <f>IF(OR(E962="",E962="!!!"),"",IF(NOT(ISNA(VLOOKUP(E962,E$1:E961,1,FALSE()))),"OLD",IF(AND(E962&lt;&gt;"",E962&lt;&gt;"!!!"),"NEW","")))</f>
        <v>NEW</v>
      </c>
      <c r="G962" s="23" t="str">
        <f ca="1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?REFERENTIAL</v>
      </c>
      <c r="H962" s="24" t="str">
        <f t="shared" ca="1" si="38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/>
    </row>
    <row r="963" spans="1:12" x14ac:dyDescent="0.3">
      <c r="A963" t="s">
        <v>130</v>
      </c>
      <c r="B963" s="20" t="s">
        <v>173</v>
      </c>
      <c r="C963" s="20" t="s">
        <v>97</v>
      </c>
      <c r="D963" s="20" t="s">
        <v>52</v>
      </c>
      <c r="E963" s="21" t="s">
        <v>557</v>
      </c>
      <c r="F963" s="22" t="str">
        <f>IF(OR(E963="",E963="!!!"),"",IF(NOT(ISNA(VLOOKUP(E963,E$1:E962,1,FALSE()))),"OLD",IF(AND(E963&lt;&gt;"",E963&lt;&gt;"!!!"),"NEW","")))</f>
        <v>OLD</v>
      </c>
      <c r="G963" s="23" t="str">
        <f ca="1"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?IN_FOCUS</v>
      </c>
      <c r="H963" s="24" t="str">
        <f t="shared" ca="1" si="38"/>
        <v/>
      </c>
      <c r="I963" s="25">
        <f>IF(OR(E963="",E963="!!!",F963="NEW"),"",INDEX(B$2:B962,-1+SUMPRODUCT(MAX(ROW(E$2:E962)*(E963=E$2:E962)))))</f>
        <v>0</v>
      </c>
      <c r="J963" s="25">
        <f ca="1">IF(OR(E963="",E963="!!!",F963="NEW"),"",COUNTBLANK(OFFSET(A$1,,,SUMPRODUCT(MAX(ROW(E$2:E963)*(E963=E$2:E963)))))-COUNTBLANK(OFFSET(A$1,,,SUMPRODUCT(MAX(ROW(E$1:E962)*(E2=E$1:E962))))))</f>
        <v>0</v>
      </c>
      <c r="K963" s="25" t="str">
        <f ca="1">IF(OR(E963="",E963="!!!",F963="NEW"),"",INDEX(J$1:J962,SUMPRODUCT(MAX(ROW(E$1:E962)*(E963=E$1:E962)))))</f>
        <v/>
      </c>
      <c r="L963" s="26"/>
    </row>
    <row r="964" spans="1:12" x14ac:dyDescent="0.3">
      <c r="A964" t="s">
        <v>86</v>
      </c>
      <c r="E964" s="21" t="str">
        <f t="shared" si="39"/>
        <v/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ca="1" si="38"/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438</v>
      </c>
      <c r="E965" s="21" t="str">
        <f t="shared" si="39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38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103</v>
      </c>
      <c r="E966" s="21" t="str">
        <f t="shared" si="39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38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427</v>
      </c>
      <c r="B967" s="20" t="s">
        <v>204</v>
      </c>
      <c r="C967" s="20" t="s">
        <v>68</v>
      </c>
      <c r="D967" s="20" t="s">
        <v>52</v>
      </c>
      <c r="E967" s="21" t="s">
        <v>560</v>
      </c>
      <c r="F967" s="22" t="s">
        <v>559</v>
      </c>
      <c r="G967" s="23" t="e">
        <f ca="1"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#VALUE!</v>
      </c>
      <c r="H967" s="24" t="str">
        <f t="shared" ca="1" si="38"/>
        <v/>
      </c>
      <c r="I967" s="25" t="e">
        <f>IF(OR(E967="",E967="!!!",F967="NEW"),"",INDEX(B$2:B966,-1+SUMPRODUCT(MAX(ROW(E$2:E966)*(E967=E$2:E966)))))</f>
        <v>#VALUE!</v>
      </c>
      <c r="J967" s="25">
        <f ca="1">IF(OR(E967="",E967="!!!",F967="NEW"),"",COUNTBLANK(OFFSET(A$1,,,SUMPRODUCT(MAX(ROW(E$2:E967)*(E967=E$2:E967)))))-COUNTBLANK(OFFSET(A$1,,,SUMPRODUCT(MAX(ROW(E$1:E966)*(E2=E$1:E966))))))</f>
        <v>0</v>
      </c>
      <c r="K967" s="25" t="e">
        <f>IF(OR(E967="",E967="!!!",F967="NEW"),"",INDEX(J$1:J966,SUMPRODUCT(MAX(ROW(E$1:E966)*(E967=E$1:E966)))))</f>
        <v>#VALUE!</v>
      </c>
      <c r="L967" s="26" t="s">
        <v>562</v>
      </c>
    </row>
    <row r="968" spans="1:12" x14ac:dyDescent="0.3">
      <c r="A968" t="s">
        <v>126</v>
      </c>
      <c r="E968" s="21" t="str">
        <f t="shared" si="39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38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304</v>
      </c>
      <c r="E969" s="21" t="str">
        <f t="shared" si="39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38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121</v>
      </c>
      <c r="E970" s="21" t="str">
        <f t="shared" si="39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38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209</v>
      </c>
      <c r="B971" s="20" t="s">
        <v>220</v>
      </c>
      <c r="C971" s="20" t="s">
        <v>102</v>
      </c>
      <c r="E971" s="21" t="s">
        <v>534</v>
      </c>
      <c r="F971" s="22" t="str">
        <f>IF(OR(E971="",E971="!!!"),"",IF(NOT(ISNA(VLOOKUP(E971,E$1:E970,1,FALSE()))),"OLD",IF(AND(E971&lt;&gt;"",E971&lt;&gt;"!!!"),"NEW","")))</f>
        <v>OLD</v>
      </c>
      <c r="G971" s="23" t="str">
        <f ca="1"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?IN_FOCUS</v>
      </c>
      <c r="H971" s="24" t="str">
        <f t="shared" ca="1" si="38"/>
        <v/>
      </c>
      <c r="I971" s="25" t="str">
        <f>IF(OR(E971="",E971="!!!",F971="NEW"),"",INDEX(B$2:B970,-1+SUMPRODUCT(MAX(ROW(E$2:E970)*(E971=E$2:E970)))))</f>
        <v>OBJ_5</v>
      </c>
      <c r="J971" s="25">
        <f ca="1">IF(OR(E971="",E971="!!!",F971="NEW"),"",COUNTBLANK(OFFSET(A$1,,,SUMPRODUCT(MAX(ROW(E$2:E971)*(E971=E$2:E971)))))-COUNTBLANK(OFFSET(A$1,,,SUMPRODUCT(MAX(ROW(E$1:E970)*(E2=E$1:E970))))))</f>
        <v>0</v>
      </c>
      <c r="K971" s="25">
        <f ca="1">IF(OR(E971="",E971="!!!",F971="NEW"),"",INDEX(J$1:J970,SUMPRODUCT(MAX(ROW(E$1:E970)*(E971=E$1:E970)))))</f>
        <v>0</v>
      </c>
      <c r="L971" s="26"/>
    </row>
    <row r="972" spans="1:12" x14ac:dyDescent="0.3">
      <c r="A972" t="s">
        <v>403</v>
      </c>
      <c r="E972" s="21" t="str">
        <f t="shared" si="39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38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492</v>
      </c>
      <c r="B973" s="20" t="s">
        <v>173</v>
      </c>
      <c r="C973" s="20" t="s">
        <v>88</v>
      </c>
      <c r="E973" s="21" t="str">
        <f t="shared" si="39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38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411</v>
      </c>
      <c r="E974" s="21" t="str">
        <f t="shared" si="39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38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493</v>
      </c>
      <c r="E975" s="21" t="str">
        <f t="shared" si="39"/>
        <v/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38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76</v>
      </c>
      <c r="E976" s="21" t="str">
        <f t="shared" si="39"/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t="shared" ca="1" si="38"/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194</v>
      </c>
      <c r="E977" s="21" t="str">
        <f t="shared" si="39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38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8" spans="1:12" x14ac:dyDescent="0.3">
      <c r="A978" t="s">
        <v>494</v>
      </c>
      <c r="E978" s="21" t="str">
        <f t="shared" si="39"/>
        <v/>
      </c>
      <c r="F978" s="22" t="str">
        <f>IF(OR(E978="",E978="!!!"),"",IF(NOT(ISNA(VLOOKUP(E978,E$1:E977,1,FALSE()))),"OLD",IF(AND(E978&lt;&gt;"",E978&lt;&gt;"!!!"),"NEW","")))</f>
        <v/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4" t="str">
        <f t="shared" ca="1" si="38"/>
        <v/>
      </c>
      <c r="I978" s="25" t="str">
        <f>IF(OR(E978="",E978="!!!",F978="NEW"),"",INDEX(B$2:B977,-1+SUMPRODUCT(MAX(ROW(E$2:E977)*(E978=E$2:E977)))))</f>
        <v/>
      </c>
      <c r="J978" s="25" t="str">
        <f ca="1">IF(OR(E978="",E978="!!!",F978="NEW"),"",COUNTBLANK(OFFSET(A$1,,,SUMPRODUCT(MAX(ROW(E$2:E978)*(E978=E$2:E978)))))-COUNTBLANK(OFFSET(A$1,,,SUMPRODUCT(MAX(ROW(E$1:E977)*(E2=E$1:E977))))))</f>
        <v/>
      </c>
      <c r="K978" s="25" t="str">
        <f>IF(OR(E978="",E978="!!!",F978="NEW"),"",INDEX(J$1:J977,SUMPRODUCT(MAX(ROW(E$1:E977)*(E978=E$1:E977)))))</f>
        <v/>
      </c>
      <c r="L978" s="26"/>
    </row>
    <row r="979" spans="1:12" x14ac:dyDescent="0.3">
      <c r="A979" t="s">
        <v>495</v>
      </c>
      <c r="B979" s="20" t="s">
        <v>246</v>
      </c>
      <c r="C979" s="20" t="s">
        <v>102</v>
      </c>
      <c r="E979" s="21"/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ref="H979:H1010" ca="1" si="40">IF(J979&lt;&gt;1,"",IF(I979="SBJ","CB","?"))</f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76</v>
      </c>
      <c r="E980" s="21" t="str">
        <f t="shared" ref="E980:E1010" si="41">IF(D980="?OLD","!!!","")</f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40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121</v>
      </c>
      <c r="E981" s="21" t="str">
        <f t="shared" si="41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40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496</v>
      </c>
      <c r="B982" s="20" t="s">
        <v>210</v>
      </c>
      <c r="C982" s="20" t="s">
        <v>102</v>
      </c>
      <c r="E982" s="21" t="str">
        <f t="shared" si="41"/>
        <v/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40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73</v>
      </c>
      <c r="E983" s="21" t="str">
        <f t="shared" si="41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40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81</v>
      </c>
      <c r="B984" s="20" t="s">
        <v>303</v>
      </c>
      <c r="C984" s="20" t="s">
        <v>58</v>
      </c>
      <c r="E984" s="21" t="str">
        <f t="shared" si="41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40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59</v>
      </c>
      <c r="E985" s="21" t="str">
        <f t="shared" si="41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40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497</v>
      </c>
      <c r="B986" s="20" t="s">
        <v>364</v>
      </c>
      <c r="C986" s="20" t="s">
        <v>58</v>
      </c>
      <c r="E986" s="21" t="str">
        <f t="shared" si="41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40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103</v>
      </c>
      <c r="E987" s="21" t="str">
        <f t="shared" si="41"/>
        <v/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40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160</v>
      </c>
      <c r="B988" s="20" t="s">
        <v>204</v>
      </c>
      <c r="C988" s="20" t="s">
        <v>97</v>
      </c>
      <c r="D988" s="20" t="s">
        <v>52</v>
      </c>
      <c r="E988" s="21" t="s">
        <v>514</v>
      </c>
      <c r="F988" s="22" t="str">
        <f>IF(OR(E988="",E988="!!!"),"",IF(NOT(ISNA(VLOOKUP(E988,E$1:E987,1,FALSE()))),"OLD",IF(AND(E988&lt;&gt;"",E988&lt;&gt;"!!!"),"NEW","")))</f>
        <v>OLD</v>
      </c>
      <c r="G988" s="23" t="str">
        <f ca="1"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?IN_FOCUS</v>
      </c>
      <c r="H988" s="24" t="str">
        <f t="shared" ca="1" si="40"/>
        <v/>
      </c>
      <c r="I988" s="25" t="str">
        <f>IF(OR(E988="",E988="!!!",F988="NEW"),"",INDEX(B$2:B987,-1+SUMPRODUCT(MAX(ROW(E$2:E987)*(E988=E$2:E987)))))</f>
        <v>SBJ_5</v>
      </c>
      <c r="J988" s="25">
        <f ca="1">IF(OR(E988="",E988="!!!",F988="NEW"),"",COUNTBLANK(OFFSET(A$1,,,SUMPRODUCT(MAX(ROW(E$2:E988)*(E988=E$2:E988)))))-COUNTBLANK(OFFSET(A$1,,,SUMPRODUCT(MAX(ROW(E$1:E987)*(E2=E$1:E987))))))</f>
        <v>0</v>
      </c>
      <c r="K988" s="25">
        <f ca="1">IF(OR(E988="",E988="!!!",F988="NEW"),"",INDEX(J$1:J987,SUMPRODUCT(MAX(ROW(E$1:E987)*(E988=E$1:E987)))))</f>
        <v>0</v>
      </c>
      <c r="L988" s="26"/>
    </row>
    <row r="989" spans="1:12" x14ac:dyDescent="0.3">
      <c r="A989" t="s">
        <v>340</v>
      </c>
      <c r="E989" s="21" t="str">
        <f t="shared" si="41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40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106</v>
      </c>
      <c r="E990" s="21" t="str">
        <f t="shared" si="41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40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76</v>
      </c>
      <c r="E991" s="21" t="str">
        <f t="shared" si="41"/>
        <v/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40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121</v>
      </c>
      <c r="E992" s="21" t="str">
        <f t="shared" si="41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40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209</v>
      </c>
      <c r="B993" s="20" t="s">
        <v>249</v>
      </c>
      <c r="C993" s="20" t="s">
        <v>102</v>
      </c>
      <c r="E993" s="21" t="s">
        <v>534</v>
      </c>
      <c r="F993" s="22" t="str">
        <f>IF(OR(E993="",E993="!!!"),"",IF(NOT(ISNA(VLOOKUP(E993,E$1:E992,1,FALSE()))),"OLD",IF(AND(E993&lt;&gt;"",E993&lt;&gt;"!!!"),"NEW","")))</f>
        <v>OLD</v>
      </c>
      <c r="G993" s="23" t="str">
        <f ca="1"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?IN_FOCUS</v>
      </c>
      <c r="H993" s="24" t="str">
        <f t="shared" ca="1" si="40"/>
        <v/>
      </c>
      <c r="I993" s="25" t="str">
        <f>IF(OR(E993="",E993="!!!",F993="NEW"),"",INDEX(B$2:B992,-1+SUMPRODUCT(MAX(ROW(E$2:E992)*(E993=E$2:E992)))))</f>
        <v>OBJ_6</v>
      </c>
      <c r="J993" s="25">
        <f ca="1">IF(OR(E993="",E993="!!!",F993="NEW"),"",COUNTBLANK(OFFSET(A$1,,,SUMPRODUCT(MAX(ROW(E$2:E993)*(E993=E$2:E993)))))-COUNTBLANK(OFFSET(A$1,,,SUMPRODUCT(MAX(ROW(E$1:E992)*(E2=E$1:E992))))))</f>
        <v>0</v>
      </c>
      <c r="K993" s="25">
        <f ca="1">IF(OR(E993="",E993="!!!",F993="NEW"),"",INDEX(J$1:J992,SUMPRODUCT(MAX(ROW(E$1:E992)*(E993=E$1:E992)))))</f>
        <v>0</v>
      </c>
      <c r="L993" s="26"/>
    </row>
    <row r="994" spans="1:12" x14ac:dyDescent="0.3">
      <c r="A994" t="s">
        <v>126</v>
      </c>
      <c r="E994" s="21" t="str">
        <f t="shared" si="41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40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70</v>
      </c>
      <c r="E995" s="21" t="str">
        <f t="shared" si="41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40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498</v>
      </c>
      <c r="B996" s="20" t="s">
        <v>246</v>
      </c>
      <c r="C996" s="20" t="s">
        <v>72</v>
      </c>
      <c r="D996" s="20" t="s">
        <v>52</v>
      </c>
      <c r="E996" s="21" t="s">
        <v>560</v>
      </c>
      <c r="F996" s="22" t="s">
        <v>523</v>
      </c>
      <c r="G996" s="23" t="str">
        <f ca="1"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?IN_FOCUS</v>
      </c>
      <c r="H996" s="24" t="str">
        <f t="shared" ca="1" si="40"/>
        <v/>
      </c>
      <c r="I996" s="25" t="str">
        <f>IF(OR(E996="",E996="!!!",F996="NEW"),"",INDEX(B$2:B995,-1+SUMPRODUCT(MAX(ROW(E$2:E995)*(E996=E$2:E995)))))</f>
        <v>SBJ_7</v>
      </c>
      <c r="J996" s="25">
        <f ca="1">IF(OR(E996="",E996="!!!",F996="NEW"),"",COUNTBLANK(OFFSET(A$1,,,SUMPRODUCT(MAX(ROW(E$2:E996)*(E996=E$2:E996)))))-COUNTBLANK(OFFSET(A$1,,,SUMPRODUCT(MAX(ROW(E$1:E995)*(E2=E$1:E995))))))</f>
        <v>0</v>
      </c>
      <c r="K996" s="25">
        <f ca="1">IF(OR(E996="",E996="!!!",F996="NEW"),"",INDEX(J$1:J995,SUMPRODUCT(MAX(ROW(E$1:E995)*(E996=E$1:E995)))))</f>
        <v>0</v>
      </c>
      <c r="L996" s="26" t="s">
        <v>561</v>
      </c>
    </row>
    <row r="997" spans="1:12" x14ac:dyDescent="0.3">
      <c r="A997" t="s">
        <v>131</v>
      </c>
      <c r="E997" s="21" t="str">
        <f t="shared" si="41"/>
        <v/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40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8" spans="1:12" x14ac:dyDescent="0.3">
      <c r="A998" t="s">
        <v>132</v>
      </c>
      <c r="B998" s="20" t="s">
        <v>210</v>
      </c>
      <c r="C998" s="20" t="s">
        <v>72</v>
      </c>
      <c r="D998" s="20" t="s">
        <v>52</v>
      </c>
      <c r="E998" s="21" t="s">
        <v>536</v>
      </c>
      <c r="F998" s="22" t="str">
        <f>IF(OR(E998="",E998="!!!"),"",IF(NOT(ISNA(VLOOKUP(E998,E$1:E997,1,FALSE()))),"OLD",IF(AND(E998&lt;&gt;"",E998&lt;&gt;"!!!"),"NEW","")))</f>
        <v>OLD</v>
      </c>
      <c r="G998" s="23" t="str">
        <f ca="1"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?IN_FOCUS</v>
      </c>
      <c r="H998" s="24" t="str">
        <f t="shared" ca="1" si="40"/>
        <v/>
      </c>
      <c r="I998" s="25" t="str">
        <f>IF(OR(E998="",E998="!!!",F998="NEW"),"",INDEX(B$2:B997,-1+SUMPRODUCT(MAX(ROW(E$2:E997)*(E998=E$2:E997)))))</f>
        <v>other_2</v>
      </c>
      <c r="J998" s="25">
        <f ca="1">IF(OR(E998="",E998="!!!",F998="NEW"),"",COUNTBLANK(OFFSET(A$1,,,SUMPRODUCT(MAX(ROW(E$2:E998)*(E998=E$2:E998)))))-COUNTBLANK(OFFSET(A$1,,,SUMPRODUCT(MAX(ROW(E$1:E997)*(E2=E$1:E997))))))</f>
        <v>0</v>
      </c>
      <c r="K998" s="25" t="str">
        <f ca="1">IF(OR(E998="",E998="!!!",F998="NEW"),"",INDEX(J$1:J997,SUMPRODUCT(MAX(ROW(E$1:E997)*(E998=E$1:E997)))))</f>
        <v/>
      </c>
      <c r="L998" s="26"/>
    </row>
    <row r="999" spans="1:12" x14ac:dyDescent="0.3">
      <c r="A999" t="s">
        <v>131</v>
      </c>
      <c r="E999" s="21" t="str">
        <f t="shared" si="41"/>
        <v/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40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203</v>
      </c>
      <c r="B1000" s="20" t="s">
        <v>303</v>
      </c>
      <c r="C1000" s="20" t="s">
        <v>72</v>
      </c>
      <c r="D1000" s="20" t="s">
        <v>52</v>
      </c>
      <c r="E1000" s="21" t="s">
        <v>558</v>
      </c>
      <c r="F1000" s="22" t="s">
        <v>516</v>
      </c>
      <c r="G1000" s="23" t="str">
        <f ca="1"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?REFERENTIAL</v>
      </c>
      <c r="H1000" s="24" t="str">
        <f t="shared" ca="1" si="40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76</v>
      </c>
      <c r="E1001" s="21" t="str">
        <f t="shared" si="41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40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70</v>
      </c>
      <c r="B1002" s="20" t="s">
        <v>440</v>
      </c>
      <c r="E1002" s="21" t="str">
        <f t="shared" si="41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40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275</v>
      </c>
      <c r="E1003" s="21" t="s">
        <v>534</v>
      </c>
      <c r="F1003" s="22" t="str">
        <f>IF(OR(E1003="",E1003="!!!"),"",IF(NOT(ISNA(VLOOKUP(E1003,E$1:E1002,1,FALSE()))),"OLD",IF(AND(E1003&lt;&gt;"",E1003&lt;&gt;"!!!"),"NEW","")))</f>
        <v>OLD</v>
      </c>
      <c r="G1003" s="23" t="str">
        <f ca="1"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?IN_FOCUS</v>
      </c>
      <c r="H1003" s="24" t="str">
        <f t="shared" ca="1" si="40"/>
        <v/>
      </c>
      <c r="I1003" s="25" t="str">
        <f>IF(OR(E1003="",E1003="!!!",F1003="NEW"),"",INDEX(B$2:B1002,-1+SUMPRODUCT(MAX(ROW(E$2:E1002)*(E1003=E$2:E1002)))))</f>
        <v>SBJ_8</v>
      </c>
      <c r="J1003" s="25">
        <f ca="1">IF(OR(E1003="",E1003="!!!",F1003="NEW"),"",COUNTBLANK(OFFSET(A$1,,,SUMPRODUCT(MAX(ROW(E$2:E1003)*(E1003=E$2:E1003)))))-COUNTBLANK(OFFSET(A$1,,,SUMPRODUCT(MAX(ROW(E$1:E1002)*(E2=E$1:E1002))))))</f>
        <v>0</v>
      </c>
      <c r="K1003" s="25">
        <f ca="1">IF(OR(E1003="",E1003="!!!",F1003="NEW"),"",INDEX(J$1:J1002,SUMPRODUCT(MAX(ROW(E$1:E1002)*(E1003=E$1:E1002)))))</f>
        <v>0</v>
      </c>
      <c r="L1003" s="26"/>
    </row>
    <row r="1004" spans="1:12" x14ac:dyDescent="0.3">
      <c r="A1004" t="s">
        <v>499</v>
      </c>
      <c r="E1004" s="21" t="str">
        <f t="shared" si="41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40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103</v>
      </c>
      <c r="E1005" s="21" t="str">
        <f t="shared" si="41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40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65</v>
      </c>
      <c r="E1006" s="21" t="str">
        <f t="shared" si="41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40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66</v>
      </c>
      <c r="B1007" s="20" t="s">
        <v>173</v>
      </c>
      <c r="C1007" s="20" t="s">
        <v>68</v>
      </c>
      <c r="D1007" s="20" t="s">
        <v>52</v>
      </c>
      <c r="E1007" s="21" t="s">
        <v>510</v>
      </c>
      <c r="F1007" s="22" t="str">
        <f>IF(OR(E1007="",E1007="!!!"),"",IF(NOT(ISNA(VLOOKUP(E1007,E$1:E1006,1,FALSE()))),"OLD",IF(AND(E1007&lt;&gt;"",E1007&lt;&gt;"!!!"),"NEW","")))</f>
        <v>OLD</v>
      </c>
      <c r="G1007" s="23" t="str">
        <f ca="1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?IN_FOCUS</v>
      </c>
      <c r="H1007" s="24" t="str">
        <f t="shared" ca="1" si="40"/>
        <v/>
      </c>
      <c r="I1007" s="25" t="str">
        <f>IF(OR(E1007="",E1007="!!!",F1007="NEW"),"",INDEX(B$2:B1006,-1+SUMPRODUCT(MAX(ROW(E$2:E1006)*(E1007=E$2:E1006)))))</f>
        <v>SBJ_6</v>
      </c>
      <c r="J1007" s="25">
        <f ca="1">IF(OR(E1007="",E1007="!!!",F1007="NEW"),"",COUNTBLANK(OFFSET(A$1,,,SUMPRODUCT(MAX(ROW(E$2:E1007)*(E1007=E$2:E1007)))))-COUNTBLANK(OFFSET(A$1,,,SUMPRODUCT(MAX(ROW(E$1:E1006)*(E2=E$1:E1006))))))</f>
        <v>0</v>
      </c>
      <c r="K1007" s="25">
        <f ca="1">IF(OR(E1007="",E1007="!!!",F1007="NEW"),"",INDEX(J$1:J1006,SUMPRODUCT(MAX(ROW(E$1:E1006)*(E1007=E$1:E1006)))))</f>
        <v>0</v>
      </c>
      <c r="L1007" s="26"/>
    </row>
    <row r="1008" spans="1:12" x14ac:dyDescent="0.3">
      <c r="A1008" t="s">
        <v>429</v>
      </c>
      <c r="E1008" s="21" t="str">
        <f t="shared" si="41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40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142</v>
      </c>
      <c r="E1009" s="21" t="str">
        <f t="shared" si="41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40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76</v>
      </c>
      <c r="E1010" s="21" t="str">
        <f t="shared" si="41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40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70</v>
      </c>
      <c r="E1011" s="21" t="str">
        <f t="shared" ref="E1011:E1033" si="42">IF(D1011="?OLD","!!!","")</f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ref="H1011:H1033" ca="1" si="43">IF(J1011&lt;&gt;1,"",IF(I1011="SBJ","CB","?"))</f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132</v>
      </c>
      <c r="B1012" s="20" t="s">
        <v>246</v>
      </c>
      <c r="C1012" s="20" t="s">
        <v>72</v>
      </c>
      <c r="D1012" s="20" t="s">
        <v>52</v>
      </c>
      <c r="E1012" s="21" t="s">
        <v>536</v>
      </c>
      <c r="F1012" s="22" t="str">
        <f>IF(OR(E1012="",E1012="!!!"),"",IF(NOT(ISNA(VLOOKUP(E1012,E$1:E1011,1,FALSE()))),"OLD",IF(AND(E1012&lt;&gt;"",E1012&lt;&gt;"!!!"),"NEW","")))</f>
        <v>OLD</v>
      </c>
      <c r="G1012" s="23" t="str">
        <f ca="1"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?IN_FOCUS</v>
      </c>
      <c r="H1012" s="24" t="str">
        <f t="shared" ca="1" si="43"/>
        <v/>
      </c>
      <c r="I1012" s="25" t="str">
        <f>IF(OR(E1012="",E1012="!!!",F1012="NEW"),"",INDEX(B$2:B1011,-1+SUMPRODUCT(MAX(ROW(E$2:E1011)*(E1012=E$2:E1011)))))</f>
        <v>other_8</v>
      </c>
      <c r="J1012" s="25">
        <f ca="1">IF(OR(E1012="",E1012="!!!",F1012="NEW"),"",COUNTBLANK(OFFSET(A$1,,,SUMPRODUCT(MAX(ROW(E$2:E1012)*(E1012=E$2:E1012)))))-COUNTBLANK(OFFSET(A$1,,,SUMPRODUCT(MAX(ROW(E$1:E1011)*(E2=E$1:E1011))))))</f>
        <v>0</v>
      </c>
      <c r="K1012" s="25">
        <f ca="1">IF(OR(E1012="",E1012="!!!",F1012="NEW"),"",INDEX(J$1:J1011,SUMPRODUCT(MAX(ROW(E$1:E1011)*(E1012=E$1:E1011)))))</f>
        <v>0</v>
      </c>
      <c r="L1012" s="26"/>
    </row>
    <row r="1013" spans="1:12" x14ac:dyDescent="0.3">
      <c r="A1013" t="s">
        <v>360</v>
      </c>
      <c r="E1013" s="21" t="str">
        <f t="shared" si="42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43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86</v>
      </c>
      <c r="E1014" s="21" t="str">
        <f t="shared" si="42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43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500</v>
      </c>
      <c r="E1015" s="21" t="str">
        <f t="shared" si="42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43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76</v>
      </c>
      <c r="E1016" s="21" t="str">
        <f t="shared" si="42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43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501</v>
      </c>
      <c r="E1017" s="21" t="str">
        <f t="shared" si="42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43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66</v>
      </c>
      <c r="B1018" s="20" t="s">
        <v>173</v>
      </c>
      <c r="C1018" s="20" t="s">
        <v>68</v>
      </c>
      <c r="D1018" s="20" t="s">
        <v>52</v>
      </c>
      <c r="E1018" s="21" t="s">
        <v>510</v>
      </c>
      <c r="F1018" s="22" t="str">
        <f>IF(OR(E1018="",E1018="!!!"),"",IF(NOT(ISNA(VLOOKUP(E1018,E$1:E1017,1,FALSE()))),"OLD",IF(AND(E1018&lt;&gt;"",E1018&lt;&gt;"!!!"),"NEW","")))</f>
        <v>OLD</v>
      </c>
      <c r="G1018" s="23" t="str">
        <f ca="1"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?IN_FOCUS</v>
      </c>
      <c r="H1018" s="24" t="str">
        <f t="shared" ca="1" si="43"/>
        <v/>
      </c>
      <c r="I1018" s="25" t="str">
        <f>IF(OR(E1018="",E1018="!!!",F1018="NEW"),"",INDEX(B$2:B1017,-1+SUMPRODUCT(MAX(ROW(E$2:E1017)*(E1018=E$2:E1017)))))</f>
        <v>SBJ_6</v>
      </c>
      <c r="J1018" s="25">
        <f ca="1">IF(OR(E1018="",E1018="!!!",F1018="NEW"),"",COUNTBLANK(OFFSET(A$1,,,SUMPRODUCT(MAX(ROW(E$2:E1018)*(E1018=E$2:E1018)))))-COUNTBLANK(OFFSET(A$1,,,SUMPRODUCT(MAX(ROW(E$1:E1017)*(E2=E$1:E1017))))))</f>
        <v>0</v>
      </c>
      <c r="K1018" s="25">
        <f ca="1">IF(OR(E1018="",E1018="!!!",F1018="NEW"),"",INDEX(J$1:J1017,SUMPRODUCT(MAX(ROW(E$1:E1017)*(E1018=E$1:E1017)))))</f>
        <v>0</v>
      </c>
      <c r="L1018" s="26"/>
    </row>
    <row r="1019" spans="1:12" x14ac:dyDescent="0.3">
      <c r="A1019" t="s">
        <v>121</v>
      </c>
      <c r="E1019" s="21" t="str">
        <f t="shared" si="42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43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502</v>
      </c>
      <c r="E1020" s="21" t="str">
        <f t="shared" si="42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43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503</v>
      </c>
      <c r="B1021" s="20" t="s">
        <v>220</v>
      </c>
      <c r="C1021" s="20" t="s">
        <v>102</v>
      </c>
      <c r="E1021" s="21" t="str">
        <f t="shared" si="42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43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76</v>
      </c>
      <c r="E1022" s="21" t="str">
        <f t="shared" si="4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4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70</v>
      </c>
      <c r="E1023" s="21" t="str">
        <f t="shared" si="42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4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421</v>
      </c>
      <c r="B1024" s="20" t="s">
        <v>220</v>
      </c>
      <c r="C1024" s="20" t="s">
        <v>72</v>
      </c>
      <c r="D1024" s="20" t="s">
        <v>52</v>
      </c>
      <c r="E1024" s="21" t="s">
        <v>534</v>
      </c>
      <c r="F1024" s="22" t="str">
        <f>IF(OR(E1024="",E1024="!!!"),"",IF(NOT(ISNA(VLOOKUP(E1024,E$1:E1023,1,FALSE()))),"OLD",IF(AND(E1024&lt;&gt;"",E1024&lt;&gt;"!!!"),"NEW","")))</f>
        <v>OLD</v>
      </c>
      <c r="G1024" s="23" t="str">
        <f ca="1"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?IN_FOCUS</v>
      </c>
      <c r="H1024" s="24" t="str">
        <f t="shared" ca="1" si="43"/>
        <v/>
      </c>
      <c r="I1024" s="25">
        <f>IF(OR(E1024="",E1024="!!!",F1024="NEW"),"",INDEX(B$2:B1023,-1+SUMPRODUCT(MAX(ROW(E$2:E1023)*(E1024=E$2:E1023)))))</f>
        <v>0</v>
      </c>
      <c r="J1024" s="25">
        <f ca="1">IF(OR(E1024="",E1024="!!!",F1024="NEW"),"",COUNTBLANK(OFFSET(A$1,,,SUMPRODUCT(MAX(ROW(E$2:E1024)*(E1024=E$2:E1024)))))-COUNTBLANK(OFFSET(A$1,,,SUMPRODUCT(MAX(ROW(E$1:E1023)*(E2=E$1:E1023))))))</f>
        <v>0</v>
      </c>
      <c r="K1024" s="25">
        <f ca="1">IF(OR(E1024="",E1024="!!!",F1024="NEW"),"",INDEX(J$1:J1023,SUMPRODUCT(MAX(ROW(E$1:E1023)*(E1024=E$1:E1023)))))</f>
        <v>0</v>
      </c>
      <c r="L1024" s="26"/>
    </row>
    <row r="1025" spans="1:12" x14ac:dyDescent="0.3">
      <c r="A1025" t="s">
        <v>86</v>
      </c>
      <c r="E1025" s="21" t="str">
        <f t="shared" si="42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4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504</v>
      </c>
      <c r="E1026" s="21" t="str">
        <f t="shared" si="4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4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76</v>
      </c>
      <c r="E1027" s="21" t="str">
        <f t="shared" si="4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4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70</v>
      </c>
      <c r="B1028" s="20" t="s">
        <v>204</v>
      </c>
      <c r="E1028" s="21" t="str">
        <f t="shared" si="4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4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66</v>
      </c>
      <c r="B1029" s="20" t="s">
        <v>204</v>
      </c>
      <c r="C1029" s="20" t="s">
        <v>68</v>
      </c>
      <c r="D1029" s="20" t="s">
        <v>52</v>
      </c>
      <c r="E1029" s="21" t="s">
        <v>510</v>
      </c>
      <c r="F1029" s="22" t="str">
        <f>IF(OR(E1029="",E1029="!!!"),"",IF(NOT(ISNA(VLOOKUP(E1029,E$1:E1028,1,FALSE()))),"OLD",IF(AND(E1029&lt;&gt;"",E1029&lt;&gt;"!!!"),"NEW","")))</f>
        <v>OLD</v>
      </c>
      <c r="G1029" s="23" t="str">
        <f ca="1"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?IN_FOCUS</v>
      </c>
      <c r="H1029" s="24" t="str">
        <f t="shared" ca="1" si="43"/>
        <v/>
      </c>
      <c r="I1029" s="25" t="str">
        <f>IF(OR(E1029="",E1029="!!!",F1029="NEW"),"",INDEX(B$2:B1028,-1+SUMPRODUCT(MAX(ROW(E$2:E1028)*(E1029=E$2:E1028)))))</f>
        <v>SBJ_6</v>
      </c>
      <c r="J1029" s="25">
        <f ca="1">IF(OR(E1029="",E1029="!!!",F1029="NEW"),"",COUNTBLANK(OFFSET(A$1,,,SUMPRODUCT(MAX(ROW(E$2:E1029)*(E1029=E$2:E1029)))))-COUNTBLANK(OFFSET(A$1,,,SUMPRODUCT(MAX(ROW(E$1:E1028)*(E2=E$1:E1028))))))</f>
        <v>0</v>
      </c>
      <c r="K1029" s="25">
        <f ca="1">IF(OR(E1029="",E1029="!!!",F1029="NEW"),"",INDEX(J$1:J1028,SUMPRODUCT(MAX(ROW(E$1:E1028)*(E1029=E$1:E1028)))))</f>
        <v>0</v>
      </c>
      <c r="L1029" s="26"/>
    </row>
    <row r="1030" spans="1:12" x14ac:dyDescent="0.3">
      <c r="A1030" t="s">
        <v>505</v>
      </c>
      <c r="E1030" s="21" t="str">
        <f t="shared" si="4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4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501</v>
      </c>
      <c r="E1031" s="21" t="str">
        <f t="shared" si="4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4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103</v>
      </c>
      <c r="E1032" s="21" t="str">
        <f t="shared" si="42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4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506</v>
      </c>
      <c r="B1033" s="20" t="s">
        <v>50</v>
      </c>
      <c r="C1033" s="20" t="s">
        <v>58</v>
      </c>
      <c r="E1033" s="21" t="str">
        <f t="shared" si="4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4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2024-05-20T20:26:28Z</dcterms:created>
  <dcterms:modified xsi:type="dcterms:W3CDTF">2024-12-05T10:16:14Z</dcterms:modified>
</cp:coreProperties>
</file>