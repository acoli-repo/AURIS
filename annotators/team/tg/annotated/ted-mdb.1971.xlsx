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annotated\"/>
    </mc:Choice>
  </mc:AlternateContent>
  <xr:revisionPtr revIDLastSave="0" documentId="13_ncr:1_{D9212AAB-B397-42E4-9B96-6A49C4F55396}" xr6:coauthVersionLast="47" xr6:coauthVersionMax="47" xr10:uidLastSave="{00000000-0000-0000-0000-000000000000}"/>
  <bookViews>
    <workbookView xWindow="2256" yWindow="1404" windowWidth="16368" windowHeight="1083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161" i="2" l="1"/>
  <c r="E648" i="2"/>
  <c r="E647" i="2"/>
  <c r="E646" i="2"/>
  <c r="E645" i="2"/>
  <c r="G645" i="2" s="1"/>
  <c r="E644" i="2"/>
  <c r="G644" i="2" s="1"/>
  <c r="E643" i="2"/>
  <c r="F643" i="2" s="1"/>
  <c r="E642" i="2"/>
  <c r="G641" i="2"/>
  <c r="F641" i="2"/>
  <c r="J641" i="2" s="1"/>
  <c r="H641" i="2" s="1"/>
  <c r="E641" i="2"/>
  <c r="F640" i="2"/>
  <c r="E640" i="2"/>
  <c r="E639" i="2"/>
  <c r="F638" i="2"/>
  <c r="I638" i="2" s="1"/>
  <c r="G636" i="2"/>
  <c r="E636" i="2"/>
  <c r="F636" i="2" s="1"/>
  <c r="I636" i="2" s="1"/>
  <c r="F635" i="2"/>
  <c r="J635" i="2" s="1"/>
  <c r="H635" i="2" s="1"/>
  <c r="E635" i="2"/>
  <c r="G635" i="2" s="1"/>
  <c r="G633" i="2"/>
  <c r="F633" i="2"/>
  <c r="I633" i="2" s="1"/>
  <c r="E633" i="2"/>
  <c r="E632" i="2"/>
  <c r="E631" i="2"/>
  <c r="F630" i="2"/>
  <c r="E629" i="2"/>
  <c r="F628" i="2"/>
  <c r="I628" i="2" s="1"/>
  <c r="G627" i="2"/>
  <c r="F627" i="2"/>
  <c r="J627" i="2" s="1"/>
  <c r="H627" i="2" s="1"/>
  <c r="E627" i="2"/>
  <c r="G626" i="2"/>
  <c r="F626" i="2"/>
  <c r="J626" i="2" s="1"/>
  <c r="H626" i="2" s="1"/>
  <c r="E626" i="2"/>
  <c r="E625" i="2"/>
  <c r="F624" i="2"/>
  <c r="E623" i="2"/>
  <c r="G622" i="2"/>
  <c r="F622" i="2"/>
  <c r="K622" i="2" s="1"/>
  <c r="F621" i="2"/>
  <c r="K621" i="2" s="1"/>
  <c r="E621" i="2"/>
  <c r="G621" i="2" s="1"/>
  <c r="F619" i="2"/>
  <c r="J619" i="2" s="1"/>
  <c r="H619" i="2" s="1"/>
  <c r="E617" i="2"/>
  <c r="E616" i="2"/>
  <c r="G615" i="2"/>
  <c r="E615" i="2"/>
  <c r="G614" i="2"/>
  <c r="F614" i="2"/>
  <c r="K614" i="2" s="1"/>
  <c r="E614" i="2"/>
  <c r="E613" i="2"/>
  <c r="G611" i="2"/>
  <c r="F611" i="2"/>
  <c r="E611" i="2"/>
  <c r="G610" i="2"/>
  <c r="F610" i="2"/>
  <c r="E610" i="2"/>
  <c r="F609" i="2"/>
  <c r="I609" i="2" s="1"/>
  <c r="E609" i="2"/>
  <c r="F608" i="2"/>
  <c r="I608" i="2" s="1"/>
  <c r="E608" i="2"/>
  <c r="E607" i="2"/>
  <c r="G606" i="2"/>
  <c r="F606" i="2"/>
  <c r="K606" i="2" s="1"/>
  <c r="E606" i="2"/>
  <c r="F605" i="2"/>
  <c r="K605" i="2" s="1"/>
  <c r="E605" i="2"/>
  <c r="G605" i="2" s="1"/>
  <c r="G603" i="2"/>
  <c r="F603" i="2"/>
  <c r="J603" i="2" s="1"/>
  <c r="H603" i="2" s="1"/>
  <c r="E603" i="2"/>
  <c r="G602" i="2"/>
  <c r="E602" i="2"/>
  <c r="E600" i="2"/>
  <c r="G599" i="2"/>
  <c r="E599" i="2"/>
  <c r="G598" i="2"/>
  <c r="F598" i="2"/>
  <c r="I598" i="2" s="1"/>
  <c r="E598" i="2"/>
  <c r="G595" i="2"/>
  <c r="F595" i="2"/>
  <c r="E595" i="2"/>
  <c r="G594" i="2"/>
  <c r="F594" i="2"/>
  <c r="J594" i="2" s="1"/>
  <c r="H594" i="2" s="1"/>
  <c r="E594" i="2"/>
  <c r="F593" i="2"/>
  <c r="J593" i="2" s="1"/>
  <c r="H593" i="2" s="1"/>
  <c r="E593" i="2"/>
  <c r="F592" i="2"/>
  <c r="I592" i="2" s="1"/>
  <c r="E592" i="2"/>
  <c r="E591" i="2"/>
  <c r="G590" i="2"/>
  <c r="K590" i="2"/>
  <c r="F589" i="2"/>
  <c r="K589" i="2" s="1"/>
  <c r="E589" i="2"/>
  <c r="G589" i="2" s="1"/>
  <c r="G587" i="2"/>
  <c r="F587" i="2"/>
  <c r="K587" i="2" s="1"/>
  <c r="E587" i="2"/>
  <c r="G586" i="2"/>
  <c r="E586" i="2"/>
  <c r="E585" i="2"/>
  <c r="G582" i="2"/>
  <c r="F582" i="2"/>
  <c r="K582" i="2" s="1"/>
  <c r="E582" i="2"/>
  <c r="E580" i="2"/>
  <c r="G579" i="2"/>
  <c r="F579" i="2"/>
  <c r="E579" i="2"/>
  <c r="G578" i="2"/>
  <c r="F578" i="2"/>
  <c r="J578" i="2" s="1"/>
  <c r="H578" i="2" s="1"/>
  <c r="E578" i="2"/>
  <c r="F577" i="2"/>
  <c r="J577" i="2" s="1"/>
  <c r="H577" i="2" s="1"/>
  <c r="F576" i="2"/>
  <c r="I576" i="2" s="1"/>
  <c r="E576" i="2"/>
  <c r="E575" i="2"/>
  <c r="G574" i="2"/>
  <c r="F574" i="2"/>
  <c r="K574" i="2" s="1"/>
  <c r="E574" i="2"/>
  <c r="F573" i="2"/>
  <c r="K573" i="2" s="1"/>
  <c r="E573" i="2"/>
  <c r="G573" i="2" s="1"/>
  <c r="G572" i="2"/>
  <c r="E572" i="2"/>
  <c r="G571" i="2"/>
  <c r="F571" i="2"/>
  <c r="K571" i="2" s="1"/>
  <c r="E571" i="2"/>
  <c r="G570" i="2"/>
  <c r="E570" i="2"/>
  <c r="E569" i="2"/>
  <c r="G566" i="2"/>
  <c r="F566" i="2"/>
  <c r="J566" i="2" s="1"/>
  <c r="H566" i="2" s="1"/>
  <c r="E566" i="2"/>
  <c r="G563" i="2"/>
  <c r="F563" i="2"/>
  <c r="E563" i="2"/>
  <c r="F562" i="2"/>
  <c r="J562" i="2" s="1"/>
  <c r="H562" i="2" s="1"/>
  <c r="F561" i="2"/>
  <c r="J561" i="2" s="1"/>
  <c r="H561" i="2" s="1"/>
  <c r="E561" i="2"/>
  <c r="F560" i="2"/>
  <c r="I560" i="2" s="1"/>
  <c r="E559" i="2"/>
  <c r="G558" i="2"/>
  <c r="F558" i="2"/>
  <c r="K558" i="2" s="1"/>
  <c r="E558" i="2"/>
  <c r="F557" i="2"/>
  <c r="K557" i="2" s="1"/>
  <c r="E557" i="2"/>
  <c r="G557" i="2" s="1"/>
  <c r="G555" i="2"/>
  <c r="F555" i="2"/>
  <c r="K555" i="2" s="1"/>
  <c r="E555" i="2"/>
  <c r="E552" i="2"/>
  <c r="F550" i="2"/>
  <c r="J550" i="2" s="1"/>
  <c r="H550" i="2" s="1"/>
  <c r="E549" i="2"/>
  <c r="E548" i="2"/>
  <c r="G547" i="2"/>
  <c r="F547" i="2"/>
  <c r="E547" i="2"/>
  <c r="F546" i="2"/>
  <c r="J546" i="2" s="1"/>
  <c r="H546" i="2" s="1"/>
  <c r="G545" i="2"/>
  <c r="E545" i="2"/>
  <c r="E544" i="2"/>
  <c r="E543" i="2"/>
  <c r="G542" i="2"/>
  <c r="F542" i="2"/>
  <c r="K542" i="2" s="1"/>
  <c r="E542" i="2"/>
  <c r="G540" i="2"/>
  <c r="E540" i="2"/>
  <c r="G539" i="2"/>
  <c r="E539" i="2"/>
  <c r="F538" i="2"/>
  <c r="J538" i="2" s="1"/>
  <c r="H538" i="2" s="1"/>
  <c r="E538" i="2"/>
  <c r="G537" i="2"/>
  <c r="F537" i="2"/>
  <c r="J537" i="2" s="1"/>
  <c r="H537" i="2" s="1"/>
  <c r="E537" i="2"/>
  <c r="E536" i="2"/>
  <c r="F535" i="2"/>
  <c r="J535" i="2" s="1"/>
  <c r="H535" i="2" s="1"/>
  <c r="E535" i="2"/>
  <c r="G535" i="2" s="1"/>
  <c r="E534" i="2"/>
  <c r="G533" i="2"/>
  <c r="F533" i="2"/>
  <c r="J533" i="2" s="1"/>
  <c r="H533" i="2" s="1"/>
  <c r="E533" i="2"/>
  <c r="F532" i="2"/>
  <c r="E532" i="2"/>
  <c r="G531" i="2"/>
  <c r="E531" i="2"/>
  <c r="G530" i="2"/>
  <c r="F530" i="2"/>
  <c r="K530" i="2" s="1"/>
  <c r="E530" i="2"/>
  <c r="E529" i="2"/>
  <c r="G528" i="2"/>
  <c r="E528" i="2"/>
  <c r="F527" i="2"/>
  <c r="J527" i="2" s="1"/>
  <c r="H527" i="2" s="1"/>
  <c r="E527" i="2"/>
  <c r="G527" i="2" s="1"/>
  <c r="G526" i="2"/>
  <c r="E526" i="2"/>
  <c r="G525" i="2"/>
  <c r="F525" i="2"/>
  <c r="J525" i="2" s="1"/>
  <c r="H525" i="2" s="1"/>
  <c r="E525" i="2"/>
  <c r="E524" i="2"/>
  <c r="G523" i="2"/>
  <c r="E523" i="2"/>
  <c r="G522" i="2"/>
  <c r="F522" i="2"/>
  <c r="K522" i="2" s="1"/>
  <c r="E522" i="2"/>
  <c r="F521" i="2"/>
  <c r="K521" i="2" s="1"/>
  <c r="E521" i="2"/>
  <c r="G520" i="2"/>
  <c r="E520" i="2"/>
  <c r="F519" i="2"/>
  <c r="I519" i="2" s="1"/>
  <c r="E519" i="2"/>
  <c r="G519" i="2" s="1"/>
  <c r="G518" i="2"/>
  <c r="E518" i="2"/>
  <c r="G517" i="2"/>
  <c r="F517" i="2"/>
  <c r="J517" i="2" s="1"/>
  <c r="H517" i="2" s="1"/>
  <c r="E517" i="2"/>
  <c r="F516" i="2"/>
  <c r="G515" i="2"/>
  <c r="E515" i="2"/>
  <c r="G514" i="2"/>
  <c r="F514" i="2"/>
  <c r="J514" i="2" s="1"/>
  <c r="H514" i="2" s="1"/>
  <c r="E514" i="2"/>
  <c r="F513" i="2"/>
  <c r="K513" i="2" s="1"/>
  <c r="E513" i="2"/>
  <c r="F511" i="2"/>
  <c r="I511" i="2" s="1"/>
  <c r="E511" i="2"/>
  <c r="G511" i="2" s="1"/>
  <c r="G509" i="2"/>
  <c r="F509" i="2"/>
  <c r="I509" i="2" s="1"/>
  <c r="E509" i="2"/>
  <c r="F508" i="2"/>
  <c r="K508" i="2" s="1"/>
  <c r="E508" i="2"/>
  <c r="E507" i="2"/>
  <c r="G506" i="2"/>
  <c r="F506" i="2"/>
  <c r="J506" i="2" s="1"/>
  <c r="H506" i="2" s="1"/>
  <c r="E506" i="2"/>
  <c r="F505" i="2"/>
  <c r="E505" i="2"/>
  <c r="G503" i="2"/>
  <c r="F503" i="2"/>
  <c r="E503" i="2"/>
  <c r="E502" i="2"/>
  <c r="F501" i="2"/>
  <c r="J501" i="2" s="1"/>
  <c r="H501" i="2" s="1"/>
  <c r="E501" i="2"/>
  <c r="E500" i="2"/>
  <c r="E499" i="2"/>
  <c r="G498" i="2"/>
  <c r="F498" i="2"/>
  <c r="J498" i="2" s="1"/>
  <c r="H498" i="2" s="1"/>
  <c r="E498" i="2"/>
  <c r="F497" i="2"/>
  <c r="E497" i="2"/>
  <c r="G497" i="2" s="1"/>
  <c r="E496" i="2"/>
  <c r="G495" i="2"/>
  <c r="F495" i="2"/>
  <c r="I495" i="2" s="1"/>
  <c r="E495" i="2"/>
  <c r="G493" i="2"/>
  <c r="F493" i="2"/>
  <c r="E493" i="2"/>
  <c r="G491" i="2"/>
  <c r="E491" i="2"/>
  <c r="K490" i="2"/>
  <c r="E489" i="2"/>
  <c r="E488" i="2"/>
  <c r="F487" i="2"/>
  <c r="J487" i="2" s="1"/>
  <c r="H487" i="2" s="1"/>
  <c r="F486" i="2"/>
  <c r="I486" i="2" s="1"/>
  <c r="E486" i="2"/>
  <c r="G486" i="2" s="1"/>
  <c r="G485" i="2"/>
  <c r="E485" i="2"/>
  <c r="G484" i="2"/>
  <c r="F484" i="2"/>
  <c r="E484" i="2"/>
  <c r="G483" i="2"/>
  <c r="E483" i="2"/>
  <c r="G482" i="2"/>
  <c r="F482" i="2"/>
  <c r="J482" i="2" s="1"/>
  <c r="H482" i="2" s="1"/>
  <c r="E482" i="2"/>
  <c r="F481" i="2"/>
  <c r="K481" i="2" s="1"/>
  <c r="E481" i="2"/>
  <c r="G479" i="2"/>
  <c r="F479" i="2"/>
  <c r="J479" i="2" s="1"/>
  <c r="H479" i="2" s="1"/>
  <c r="E479" i="2"/>
  <c r="F478" i="2"/>
  <c r="J478" i="2" s="1"/>
  <c r="H478" i="2" s="1"/>
  <c r="E478" i="2"/>
  <c r="G478" i="2" s="1"/>
  <c r="E477" i="2"/>
  <c r="G476" i="2"/>
  <c r="F476" i="2"/>
  <c r="I476" i="2" s="1"/>
  <c r="E476" i="2"/>
  <c r="E473" i="2"/>
  <c r="G471" i="2"/>
  <c r="F471" i="2"/>
  <c r="I471" i="2" s="1"/>
  <c r="E471" i="2"/>
  <c r="E470" i="2"/>
  <c r="G470" i="2" s="1"/>
  <c r="G469" i="2"/>
  <c r="E469" i="2"/>
  <c r="G468" i="2"/>
  <c r="F468" i="2"/>
  <c r="J468" i="2" s="1"/>
  <c r="H468" i="2" s="1"/>
  <c r="E468" i="2"/>
  <c r="G467" i="2"/>
  <c r="F467" i="2"/>
  <c r="J467" i="2" s="1"/>
  <c r="H467" i="2" s="1"/>
  <c r="E467" i="2"/>
  <c r="E466" i="2"/>
  <c r="F465" i="2"/>
  <c r="I465" i="2" s="1"/>
  <c r="E465" i="2"/>
  <c r="G463" i="2"/>
  <c r="F463" i="2"/>
  <c r="K463" i="2" s="1"/>
  <c r="E463" i="2"/>
  <c r="E462" i="2"/>
  <c r="G461" i="2"/>
  <c r="E461" i="2"/>
  <c r="G460" i="2"/>
  <c r="F460" i="2"/>
  <c r="E460" i="2"/>
  <c r="F459" i="2"/>
  <c r="K459" i="2" s="1"/>
  <c r="E459" i="2"/>
  <c r="F458" i="2"/>
  <c r="I458" i="2" s="1"/>
  <c r="F457" i="2"/>
  <c r="I457" i="2" s="1"/>
  <c r="E457" i="2"/>
  <c r="E456" i="2"/>
  <c r="G455" i="2"/>
  <c r="F455" i="2"/>
  <c r="I455" i="2" s="1"/>
  <c r="E454" i="2"/>
  <c r="G454" i="2" s="1"/>
  <c r="G453" i="2"/>
  <c r="E453" i="2"/>
  <c r="G452" i="2"/>
  <c r="F452" i="2"/>
  <c r="J452" i="2" s="1"/>
  <c r="H452" i="2" s="1"/>
  <c r="E452" i="2"/>
  <c r="F451" i="2"/>
  <c r="E450" i="2"/>
  <c r="F449" i="2"/>
  <c r="E448" i="2"/>
  <c r="G447" i="2"/>
  <c r="K447" i="2"/>
  <c r="G445" i="2"/>
  <c r="E445" i="2"/>
  <c r="G444" i="2"/>
  <c r="F444" i="2"/>
  <c r="K444" i="2" s="1"/>
  <c r="E444" i="2"/>
  <c r="F443" i="2"/>
  <c r="F442" i="2"/>
  <c r="J442" i="2" s="1"/>
  <c r="H442" i="2" s="1"/>
  <c r="G441" i="2"/>
  <c r="F441" i="2"/>
  <c r="K441" i="2" s="1"/>
  <c r="E441" i="2"/>
  <c r="F440" i="2"/>
  <c r="G439" i="2"/>
  <c r="F439" i="2"/>
  <c r="I439" i="2" s="1"/>
  <c r="E439" i="2"/>
  <c r="F438" i="2"/>
  <c r="K438" i="2" s="1"/>
  <c r="E438" i="2"/>
  <c r="G438" i="2" s="1"/>
  <c r="F437" i="2"/>
  <c r="K437" i="2" s="1"/>
  <c r="G436" i="2"/>
  <c r="F436" i="2"/>
  <c r="K436" i="2" s="1"/>
  <c r="F435" i="2"/>
  <c r="I435" i="2" s="1"/>
  <c r="E435" i="2"/>
  <c r="G435" i="2" s="1"/>
  <c r="F434" i="2"/>
  <c r="F433" i="2"/>
  <c r="K433" i="2" s="1"/>
  <c r="E433" i="2"/>
  <c r="G432" i="2"/>
  <c r="F432" i="2"/>
  <c r="K432" i="2" s="1"/>
  <c r="E432" i="2"/>
  <c r="F431" i="2"/>
  <c r="J431" i="2" s="1"/>
  <c r="H431" i="2" s="1"/>
  <c r="E431" i="2"/>
  <c r="G431" i="2" s="1"/>
  <c r="F430" i="2"/>
  <c r="I430" i="2" s="1"/>
  <c r="E430" i="2"/>
  <c r="G430" i="2" s="1"/>
  <c r="G429" i="2"/>
  <c r="E429" i="2"/>
  <c r="F429" i="2" s="1"/>
  <c r="K429" i="2" s="1"/>
  <c r="G428" i="2"/>
  <c r="F428" i="2"/>
  <c r="K428" i="2" s="1"/>
  <c r="E428" i="2"/>
  <c r="K427" i="2"/>
  <c r="F426" i="2"/>
  <c r="I426" i="2" s="1"/>
  <c r="E426" i="2"/>
  <c r="G425" i="2"/>
  <c r="F425" i="2"/>
  <c r="E425" i="2"/>
  <c r="F424" i="2"/>
  <c r="E423" i="2"/>
  <c r="G422" i="2"/>
  <c r="F422" i="2"/>
  <c r="K422" i="2" s="1"/>
  <c r="E422" i="2"/>
  <c r="G421" i="2"/>
  <c r="F421" i="2"/>
  <c r="J421" i="2" s="1"/>
  <c r="H421" i="2" s="1"/>
  <c r="E421" i="2"/>
  <c r="F420" i="2"/>
  <c r="I420" i="2" s="1"/>
  <c r="E420" i="2"/>
  <c r="G420" i="2" s="1"/>
  <c r="G419" i="2"/>
  <c r="E419" i="2"/>
  <c r="F419" i="2" s="1"/>
  <c r="I419" i="2" s="1"/>
  <c r="G418" i="2"/>
  <c r="F418" i="2"/>
  <c r="K418" i="2" s="1"/>
  <c r="E418" i="2"/>
  <c r="G417" i="2"/>
  <c r="E417" i="2"/>
  <c r="F416" i="2"/>
  <c r="J416" i="2" s="1"/>
  <c r="H416" i="2" s="1"/>
  <c r="E416" i="2"/>
  <c r="E415" i="2"/>
  <c r="I414" i="2"/>
  <c r="G413" i="2"/>
  <c r="F413" i="2"/>
  <c r="K413" i="2" s="1"/>
  <c r="E413" i="2"/>
  <c r="I412" i="2"/>
  <c r="G411" i="2"/>
  <c r="E411" i="2"/>
  <c r="F411" i="2" s="1"/>
  <c r="I411" i="2" s="1"/>
  <c r="G410" i="2"/>
  <c r="F410" i="2"/>
  <c r="K410" i="2" s="1"/>
  <c r="E410" i="2"/>
  <c r="G409" i="2"/>
  <c r="E409" i="2"/>
  <c r="F408" i="2"/>
  <c r="E408" i="2"/>
  <c r="E406" i="2"/>
  <c r="G404" i="2"/>
  <c r="F404" i="2"/>
  <c r="J404" i="2" s="1"/>
  <c r="H404" i="2" s="1"/>
  <c r="E404" i="2"/>
  <c r="F403" i="2"/>
  <c r="F402" i="2"/>
  <c r="I402" i="2" s="1"/>
  <c r="G401" i="2"/>
  <c r="E401" i="2"/>
  <c r="F401" i="2" s="1"/>
  <c r="I401" i="2" s="1"/>
  <c r="G400" i="2"/>
  <c r="F400" i="2"/>
  <c r="K400" i="2" s="1"/>
  <c r="E400" i="2"/>
  <c r="E399" i="2"/>
  <c r="F398" i="2"/>
  <c r="E397" i="2"/>
  <c r="F396" i="2"/>
  <c r="J396" i="2" s="1"/>
  <c r="H396" i="2" s="1"/>
  <c r="G395" i="2"/>
  <c r="F395" i="2"/>
  <c r="J395" i="2" s="1"/>
  <c r="H395" i="2" s="1"/>
  <c r="E395" i="2"/>
  <c r="G393" i="2"/>
  <c r="E393" i="2"/>
  <c r="F393" i="2" s="1"/>
  <c r="I393" i="2" s="1"/>
  <c r="G392" i="2"/>
  <c r="F392" i="2"/>
  <c r="K392" i="2" s="1"/>
  <c r="E392" i="2"/>
  <c r="F390" i="2"/>
  <c r="E390" i="2"/>
  <c r="E389" i="2"/>
  <c r="F388" i="2"/>
  <c r="J388" i="2" s="1"/>
  <c r="H388" i="2" s="1"/>
  <c r="G387" i="2"/>
  <c r="F387" i="2"/>
  <c r="K387" i="2" s="1"/>
  <c r="E387" i="2"/>
  <c r="F385" i="2"/>
  <c r="I385" i="2" s="1"/>
  <c r="G384" i="2"/>
  <c r="F384" i="2"/>
  <c r="K384" i="2" s="1"/>
  <c r="E384" i="2"/>
  <c r="F382" i="2"/>
  <c r="E382" i="2"/>
  <c r="E381" i="2"/>
  <c r="G380" i="2"/>
  <c r="F380" i="2"/>
  <c r="K380" i="2" s="1"/>
  <c r="E380" i="2"/>
  <c r="G379" i="2"/>
  <c r="F379" i="2"/>
  <c r="K379" i="2" s="1"/>
  <c r="E378" i="2"/>
  <c r="G378" i="2" s="1"/>
  <c r="G377" i="2"/>
  <c r="E377" i="2"/>
  <c r="F377" i="2" s="1"/>
  <c r="I377" i="2" s="1"/>
  <c r="G376" i="2"/>
  <c r="F376" i="2"/>
  <c r="K376" i="2" s="1"/>
  <c r="E376" i="2"/>
  <c r="E375" i="2"/>
  <c r="F374" i="2"/>
  <c r="E374" i="2"/>
  <c r="E373" i="2"/>
  <c r="G372" i="2"/>
  <c r="F372" i="2"/>
  <c r="K372" i="2" s="1"/>
  <c r="E372" i="2"/>
  <c r="F371" i="2"/>
  <c r="E370" i="2"/>
  <c r="G370" i="2" s="1"/>
  <c r="G369" i="2"/>
  <c r="E369" i="2"/>
  <c r="F369" i="2" s="1"/>
  <c r="I369" i="2" s="1"/>
  <c r="F368" i="2"/>
  <c r="K368" i="2" s="1"/>
  <c r="G367" i="2"/>
  <c r="F367" i="2"/>
  <c r="E367" i="2"/>
  <c r="E366" i="2"/>
  <c r="E365" i="2"/>
  <c r="F364" i="2"/>
  <c r="K364" i="2" s="1"/>
  <c r="F363" i="2"/>
  <c r="E362" i="2"/>
  <c r="G362" i="2" s="1"/>
  <c r="F361" i="2"/>
  <c r="I361" i="2" s="1"/>
  <c r="G360" i="2"/>
  <c r="F360" i="2"/>
  <c r="K360" i="2" s="1"/>
  <c r="E360" i="2"/>
  <c r="F358" i="2"/>
  <c r="E358" i="2"/>
  <c r="E357" i="2"/>
  <c r="G356" i="2"/>
  <c r="F356" i="2"/>
  <c r="K356" i="2" s="1"/>
  <c r="E356" i="2"/>
  <c r="G355" i="2"/>
  <c r="F355" i="2"/>
  <c r="J355" i="2" s="1"/>
  <c r="H355" i="2" s="1"/>
  <c r="E355" i="2"/>
  <c r="E354" i="2"/>
  <c r="F353" i="2"/>
  <c r="I353" i="2" s="1"/>
  <c r="G352" i="2"/>
  <c r="F352" i="2"/>
  <c r="K352" i="2" s="1"/>
  <c r="E352" i="2"/>
  <c r="F351" i="2"/>
  <c r="J351" i="2" s="1"/>
  <c r="H351" i="2" s="1"/>
  <c r="E350" i="2"/>
  <c r="E349" i="2"/>
  <c r="G348" i="2"/>
  <c r="F348" i="2"/>
  <c r="K348" i="2" s="1"/>
  <c r="E348" i="2"/>
  <c r="G347" i="2"/>
  <c r="F347" i="2"/>
  <c r="K347" i="2" s="1"/>
  <c r="E347" i="2"/>
  <c r="E346" i="2"/>
  <c r="G345" i="2"/>
  <c r="E345" i="2"/>
  <c r="F345" i="2" s="1"/>
  <c r="I345" i="2" s="1"/>
  <c r="G344" i="2"/>
  <c r="F344" i="2"/>
  <c r="K344" i="2" s="1"/>
  <c r="E344" i="2"/>
  <c r="E343" i="2"/>
  <c r="F342" i="2"/>
  <c r="I342" i="2" s="1"/>
  <c r="E341" i="2"/>
  <c r="G340" i="2"/>
  <c r="F340" i="2"/>
  <c r="K340" i="2" s="1"/>
  <c r="E340" i="2"/>
  <c r="G339" i="2"/>
  <c r="F339" i="2"/>
  <c r="K339" i="2" s="1"/>
  <c r="E339" i="2"/>
  <c r="F338" i="2"/>
  <c r="G336" i="2"/>
  <c r="F336" i="2"/>
  <c r="K336" i="2" s="1"/>
  <c r="E336" i="2"/>
  <c r="F334" i="2"/>
  <c r="I334" i="2" s="1"/>
  <c r="E334" i="2"/>
  <c r="G332" i="2"/>
  <c r="F332" i="2"/>
  <c r="J332" i="2" s="1"/>
  <c r="H332" i="2" s="1"/>
  <c r="E332" i="2"/>
  <c r="G331" i="2"/>
  <c r="F331" i="2"/>
  <c r="J331" i="2" s="1"/>
  <c r="H331" i="2" s="1"/>
  <c r="E331" i="2"/>
  <c r="F330" i="2"/>
  <c r="E330" i="2"/>
  <c r="F328" i="2"/>
  <c r="E327" i="2"/>
  <c r="F326" i="2"/>
  <c r="I326" i="2" s="1"/>
  <c r="E326" i="2"/>
  <c r="E325" i="2"/>
  <c r="G324" i="2"/>
  <c r="F324" i="2"/>
  <c r="K324" i="2" s="1"/>
  <c r="E324" i="2"/>
  <c r="G323" i="2"/>
  <c r="F323" i="2"/>
  <c r="I323" i="2" s="1"/>
  <c r="E323" i="2"/>
  <c r="G322" i="2"/>
  <c r="E322" i="2"/>
  <c r="E321" i="2"/>
  <c r="F320" i="2"/>
  <c r="K320" i="2" s="1"/>
  <c r="G319" i="2"/>
  <c r="F319" i="2"/>
  <c r="E319" i="2"/>
  <c r="E317" i="2"/>
  <c r="G316" i="2"/>
  <c r="F316" i="2"/>
  <c r="K316" i="2" s="1"/>
  <c r="E316" i="2"/>
  <c r="G315" i="2"/>
  <c r="F315" i="2"/>
  <c r="E315" i="2"/>
  <c r="E314" i="2"/>
  <c r="G313" i="2"/>
  <c r="F313" i="2"/>
  <c r="I313" i="2" s="1"/>
  <c r="E313" i="2"/>
  <c r="G312" i="2"/>
  <c r="F312" i="2"/>
  <c r="E312" i="2"/>
  <c r="E311" i="2"/>
  <c r="F310" i="2"/>
  <c r="J310" i="2" s="1"/>
  <c r="H310" i="2" s="1"/>
  <c r="E310" i="2"/>
  <c r="G310" i="2" s="1"/>
  <c r="G308" i="2"/>
  <c r="F308" i="2"/>
  <c r="J308" i="2" s="1"/>
  <c r="H308" i="2" s="1"/>
  <c r="E308" i="2"/>
  <c r="G307" i="2"/>
  <c r="F307" i="2"/>
  <c r="K307" i="2" s="1"/>
  <c r="E307" i="2"/>
  <c r="F306" i="2"/>
  <c r="I306" i="2" s="1"/>
  <c r="G305" i="2"/>
  <c r="F305" i="2"/>
  <c r="E305" i="2"/>
  <c r="G303" i="2"/>
  <c r="F303" i="2"/>
  <c r="J303" i="2" s="1"/>
  <c r="H303" i="2" s="1"/>
  <c r="E303" i="2"/>
  <c r="E301" i="2"/>
  <c r="G300" i="2"/>
  <c r="F300" i="2"/>
  <c r="J300" i="2" s="1"/>
  <c r="H300" i="2" s="1"/>
  <c r="E300" i="2"/>
  <c r="G299" i="2"/>
  <c r="F299" i="2"/>
  <c r="I299" i="2" s="1"/>
  <c r="E299" i="2"/>
  <c r="G298" i="2"/>
  <c r="F298" i="2"/>
  <c r="E298" i="2"/>
  <c r="G296" i="2"/>
  <c r="F296" i="2"/>
  <c r="K296" i="2" s="1"/>
  <c r="E296" i="2"/>
  <c r="F295" i="2"/>
  <c r="E295" i="2"/>
  <c r="E294" i="2"/>
  <c r="G294" i="2" s="1"/>
  <c r="E293" i="2"/>
  <c r="F292" i="2"/>
  <c r="I292" i="2" s="1"/>
  <c r="G291" i="2"/>
  <c r="F291" i="2"/>
  <c r="K291" i="2" s="1"/>
  <c r="E291" i="2"/>
  <c r="E290" i="2"/>
  <c r="G289" i="2"/>
  <c r="F289" i="2"/>
  <c r="I289" i="2" s="1"/>
  <c r="E289" i="2"/>
  <c r="F288" i="2"/>
  <c r="E288" i="2"/>
  <c r="G287" i="2"/>
  <c r="E287" i="2"/>
  <c r="F286" i="2"/>
  <c r="J286" i="2" s="1"/>
  <c r="H286" i="2" s="1"/>
  <c r="E286" i="2"/>
  <c r="E285" i="2"/>
  <c r="G284" i="2"/>
  <c r="F284" i="2"/>
  <c r="K284" i="2" s="1"/>
  <c r="E284" i="2"/>
  <c r="G283" i="2"/>
  <c r="F283" i="2"/>
  <c r="J283" i="2" s="1"/>
  <c r="H283" i="2" s="1"/>
  <c r="E283" i="2"/>
  <c r="F282" i="2"/>
  <c r="J282" i="2" s="1"/>
  <c r="H282" i="2" s="1"/>
  <c r="F281" i="2"/>
  <c r="E281" i="2"/>
  <c r="G280" i="2"/>
  <c r="E280" i="2"/>
  <c r="G279" i="2"/>
  <c r="F279" i="2"/>
  <c r="E279" i="2"/>
  <c r="F278" i="2"/>
  <c r="E277" i="2"/>
  <c r="F277" i="2" s="1"/>
  <c r="K277" i="2" s="1"/>
  <c r="F276" i="2"/>
  <c r="J276" i="2" s="1"/>
  <c r="H276" i="2" s="1"/>
  <c r="G275" i="2"/>
  <c r="F275" i="2"/>
  <c r="J275" i="2" s="1"/>
  <c r="H275" i="2" s="1"/>
  <c r="E275" i="2"/>
  <c r="E274" i="2"/>
  <c r="F273" i="2"/>
  <c r="E272" i="2"/>
  <c r="G271" i="2"/>
  <c r="F271" i="2"/>
  <c r="J271" i="2" s="1"/>
  <c r="H271" i="2" s="1"/>
  <c r="E271" i="2"/>
  <c r="E270" i="2"/>
  <c r="G268" i="2"/>
  <c r="F268" i="2"/>
  <c r="I268" i="2" s="1"/>
  <c r="E268" i="2"/>
  <c r="E267" i="2"/>
  <c r="G267" i="2" s="1"/>
  <c r="G266" i="2"/>
  <c r="F266" i="2"/>
  <c r="J266" i="2" s="1"/>
  <c r="H266" i="2" s="1"/>
  <c r="E266" i="2"/>
  <c r="F265" i="2"/>
  <c r="F264" i="2"/>
  <c r="E264" i="2"/>
  <c r="F262" i="2"/>
  <c r="K262" i="2" s="1"/>
  <c r="E262" i="2"/>
  <c r="G262" i="2" s="1"/>
  <c r="G261" i="2"/>
  <c r="E261" i="2"/>
  <c r="G260" i="2"/>
  <c r="F260" i="2"/>
  <c r="E260" i="2"/>
  <c r="F259" i="2"/>
  <c r="K259" i="2" s="1"/>
  <c r="E259" i="2"/>
  <c r="G259" i="2" s="1"/>
  <c r="E258" i="2"/>
  <c r="G257" i="2"/>
  <c r="F257" i="2"/>
  <c r="K257" i="2" s="1"/>
  <c r="E257" i="2"/>
  <c r="G256" i="2"/>
  <c r="F256" i="2"/>
  <c r="J256" i="2" s="1"/>
  <c r="H256" i="2" s="1"/>
  <c r="E256" i="2"/>
  <c r="E255" i="2"/>
  <c r="E254" i="2"/>
  <c r="G253" i="2"/>
  <c r="E253" i="2"/>
  <c r="F253" i="2" s="1"/>
  <c r="K253" i="2" s="1"/>
  <c r="G252" i="2"/>
  <c r="F252" i="2"/>
  <c r="K252" i="2" s="1"/>
  <c r="E252" i="2"/>
  <c r="G251" i="2"/>
  <c r="F251" i="2"/>
  <c r="E251" i="2"/>
  <c r="E249" i="2"/>
  <c r="G248" i="2"/>
  <c r="F248" i="2"/>
  <c r="K248" i="2" s="1"/>
  <c r="E248" i="2"/>
  <c r="F247" i="2"/>
  <c r="J247" i="2" s="1"/>
  <c r="H247" i="2" s="1"/>
  <c r="E247" i="2"/>
  <c r="G247" i="2" s="1"/>
  <c r="E246" i="2"/>
  <c r="E245" i="2"/>
  <c r="G245" i="2" s="1"/>
  <c r="G243" i="2"/>
  <c r="F243" i="2"/>
  <c r="J243" i="2" s="1"/>
  <c r="H243" i="2" s="1"/>
  <c r="E243" i="2"/>
  <c r="G242" i="2"/>
  <c r="F242" i="2"/>
  <c r="E242" i="2"/>
  <c r="F241" i="2"/>
  <c r="J241" i="2" s="1"/>
  <c r="H241" i="2" s="1"/>
  <c r="F240" i="2"/>
  <c r="K240" i="2" s="1"/>
  <c r="E240" i="2"/>
  <c r="G240" i="2" s="1"/>
  <c r="G239" i="2"/>
  <c r="F239" i="2"/>
  <c r="E239" i="2"/>
  <c r="F238" i="2"/>
  <c r="E238" i="2"/>
  <c r="F237" i="2"/>
  <c r="I237" i="2" s="1"/>
  <c r="E237" i="2"/>
  <c r="G237" i="2" s="1"/>
  <c r="G236" i="2"/>
  <c r="E236" i="2"/>
  <c r="F236" i="2" s="1"/>
  <c r="I236" i="2" s="1"/>
  <c r="G235" i="2"/>
  <c r="F235" i="2"/>
  <c r="J235" i="2" s="1"/>
  <c r="H235" i="2" s="1"/>
  <c r="E235" i="2"/>
  <c r="G234" i="2"/>
  <c r="F234" i="2"/>
  <c r="E234" i="2"/>
  <c r="E233" i="2"/>
  <c r="F232" i="2"/>
  <c r="K232" i="2" s="1"/>
  <c r="E232" i="2"/>
  <c r="F231" i="2"/>
  <c r="J231" i="2" s="1"/>
  <c r="H231" i="2" s="1"/>
  <c r="E231" i="2"/>
  <c r="G231" i="2" s="1"/>
  <c r="G230" i="2"/>
  <c r="I230" i="2"/>
  <c r="E229" i="2"/>
  <c r="F228" i="2"/>
  <c r="K228" i="2" s="1"/>
  <c r="E227" i="2"/>
  <c r="F226" i="2"/>
  <c r="K226" i="2" s="1"/>
  <c r="E226" i="2"/>
  <c r="G226" i="2" s="1"/>
  <c r="G225" i="2"/>
  <c r="E225" i="2"/>
  <c r="G224" i="2"/>
  <c r="F224" i="2"/>
  <c r="J224" i="2" s="1"/>
  <c r="H224" i="2" s="1"/>
  <c r="E224" i="2"/>
  <c r="G223" i="2"/>
  <c r="F223" i="2"/>
  <c r="I223" i="2" s="1"/>
  <c r="E223" i="2"/>
  <c r="F222" i="2"/>
  <c r="E222" i="2"/>
  <c r="F220" i="2"/>
  <c r="I220" i="2" s="1"/>
  <c r="E220" i="2"/>
  <c r="G220" i="2" s="1"/>
  <c r="E219" i="2"/>
  <c r="G218" i="2"/>
  <c r="F218" i="2"/>
  <c r="K218" i="2" s="1"/>
  <c r="E218" i="2"/>
  <c r="G216" i="2"/>
  <c r="F216" i="2"/>
  <c r="J216" i="2" s="1"/>
  <c r="H216" i="2" s="1"/>
  <c r="E216" i="2"/>
  <c r="E215" i="2"/>
  <c r="G215" i="2" s="1"/>
  <c r="F212" i="2"/>
  <c r="E211" i="2"/>
  <c r="F210" i="2"/>
  <c r="G209" i="2"/>
  <c r="E209" i="2"/>
  <c r="G208" i="2"/>
  <c r="F208" i="2"/>
  <c r="J208" i="2" s="1"/>
  <c r="H208" i="2" s="1"/>
  <c r="E208" i="2"/>
  <c r="I207" i="2"/>
  <c r="E206" i="2"/>
  <c r="E205" i="2"/>
  <c r="I204" i="2"/>
  <c r="E203" i="2"/>
  <c r="G202" i="2"/>
  <c r="F202" i="2"/>
  <c r="K202" i="2" s="1"/>
  <c r="E202" i="2"/>
  <c r="G201" i="2"/>
  <c r="E201" i="2"/>
  <c r="G200" i="2"/>
  <c r="F200" i="2"/>
  <c r="J200" i="2" s="1"/>
  <c r="H200" i="2" s="1"/>
  <c r="E200" i="2"/>
  <c r="E199" i="2"/>
  <c r="G197" i="2"/>
  <c r="E197" i="2"/>
  <c r="F196" i="2"/>
  <c r="I196" i="2" s="1"/>
  <c r="E196" i="2"/>
  <c r="G196" i="2" s="1"/>
  <c r="E195" i="2"/>
  <c r="G194" i="2"/>
  <c r="F194" i="2"/>
  <c r="K194" i="2" s="1"/>
  <c r="E194" i="2"/>
  <c r="G192" i="2"/>
  <c r="F192" i="2"/>
  <c r="J192" i="2" s="1"/>
  <c r="H192" i="2" s="1"/>
  <c r="E192" i="2"/>
  <c r="I191" i="2"/>
  <c r="E190" i="2"/>
  <c r="G189" i="2"/>
  <c r="E189" i="2"/>
  <c r="F188" i="2"/>
  <c r="E188" i="2"/>
  <c r="G188" i="2" s="1"/>
  <c r="E187" i="2"/>
  <c r="F187" i="2" s="1"/>
  <c r="G186" i="2"/>
  <c r="F186" i="2"/>
  <c r="K186" i="2" s="1"/>
  <c r="E186" i="2"/>
  <c r="F185" i="2"/>
  <c r="I185" i="2" s="1"/>
  <c r="E184" i="2"/>
  <c r="G183" i="2"/>
  <c r="F183" i="2"/>
  <c r="K183" i="2" s="1"/>
  <c r="E183" i="2"/>
  <c r="E181" i="2"/>
  <c r="F181" i="2" s="1"/>
  <c r="F180" i="2"/>
  <c r="I180" i="2" s="1"/>
  <c r="E180" i="2"/>
  <c r="G180" i="2" s="1"/>
  <c r="G179" i="2"/>
  <c r="E179" i="2"/>
  <c r="F179" i="2" s="1"/>
  <c r="J179" i="2" s="1"/>
  <c r="H179" i="2" s="1"/>
  <c r="G176" i="2"/>
  <c r="F176" i="2"/>
  <c r="I176" i="2" s="1"/>
  <c r="E176" i="2"/>
  <c r="F175" i="2"/>
  <c r="I175" i="2" s="1"/>
  <c r="E173" i="2"/>
  <c r="F172" i="2"/>
  <c r="I172" i="2" s="1"/>
  <c r="G171" i="2"/>
  <c r="E171" i="2"/>
  <c r="F171" i="2" s="1"/>
  <c r="J171" i="2" s="1"/>
  <c r="H171" i="2" s="1"/>
  <c r="F170" i="2"/>
  <c r="E169" i="2"/>
  <c r="E168" i="2"/>
  <c r="G167" i="2"/>
  <c r="F167" i="2"/>
  <c r="K167" i="2" s="1"/>
  <c r="E167" i="2"/>
  <c r="G166" i="2"/>
  <c r="F166" i="2"/>
  <c r="J166" i="2" s="1"/>
  <c r="H166" i="2" s="1"/>
  <c r="E166" i="2"/>
  <c r="E165" i="2"/>
  <c r="E164" i="2"/>
  <c r="G164" i="2" s="1"/>
  <c r="F163" i="2"/>
  <c r="I163" i="2" s="1"/>
  <c r="G162" i="2"/>
  <c r="F162" i="2"/>
  <c r="K162" i="2" s="1"/>
  <c r="E162" i="2"/>
  <c r="F161" i="2"/>
  <c r="I161" i="2" s="1"/>
  <c r="E160" i="2"/>
  <c r="E159" i="2"/>
  <c r="G158" i="2"/>
  <c r="F158" i="2"/>
  <c r="K158" i="2" s="1"/>
  <c r="E158" i="2"/>
  <c r="G157" i="2"/>
  <c r="F157" i="2"/>
  <c r="J157" i="2" s="1"/>
  <c r="H157" i="2" s="1"/>
  <c r="E157" i="2"/>
  <c r="F156" i="2"/>
  <c r="F155" i="2"/>
  <c r="K155" i="2" s="1"/>
  <c r="G154" i="2"/>
  <c r="F154" i="2"/>
  <c r="K154" i="2" s="1"/>
  <c r="E154" i="2"/>
  <c r="G153" i="2"/>
  <c r="F153" i="2"/>
  <c r="J153" i="2" s="1"/>
  <c r="H153" i="2" s="1"/>
  <c r="E153" i="2"/>
  <c r="F152" i="2"/>
  <c r="I152" i="2" s="1"/>
  <c r="G151" i="2"/>
  <c r="F151" i="2"/>
  <c r="E151" i="2"/>
  <c r="E150" i="2"/>
  <c r="E149" i="2"/>
  <c r="E148" i="2"/>
  <c r="G148" i="2" s="1"/>
  <c r="G147" i="2"/>
  <c r="F147" i="2"/>
  <c r="J147" i="2" s="1"/>
  <c r="H147" i="2" s="1"/>
  <c r="F146" i="2"/>
  <c r="J146" i="2" s="1"/>
  <c r="H146" i="2" s="1"/>
  <c r="G144" i="2"/>
  <c r="F144" i="2"/>
  <c r="I144" i="2" s="1"/>
  <c r="E144" i="2"/>
  <c r="F142" i="2"/>
  <c r="E142" i="2"/>
  <c r="E140" i="2"/>
  <c r="G140" i="2" s="1"/>
  <c r="G139" i="2"/>
  <c r="F139" i="2"/>
  <c r="J139" i="2" s="1"/>
  <c r="H139" i="2" s="1"/>
  <c r="E139" i="2"/>
  <c r="G138" i="2"/>
  <c r="F138" i="2"/>
  <c r="K138" i="2" s="1"/>
  <c r="E138" i="2"/>
  <c r="G136" i="2"/>
  <c r="F136" i="2"/>
  <c r="I136" i="2" s="1"/>
  <c r="E136" i="2"/>
  <c r="G135" i="2"/>
  <c r="F135" i="2"/>
  <c r="E135" i="2"/>
  <c r="E133" i="2"/>
  <c r="E132" i="2"/>
  <c r="G132" i="2" s="1"/>
  <c r="F131" i="2"/>
  <c r="J131" i="2" s="1"/>
  <c r="H131" i="2" s="1"/>
  <c r="G130" i="2"/>
  <c r="F130" i="2"/>
  <c r="K130" i="2" s="1"/>
  <c r="E130" i="2"/>
  <c r="F128" i="2"/>
  <c r="G127" i="2"/>
  <c r="F127" i="2"/>
  <c r="E127" i="2"/>
  <c r="E126" i="2"/>
  <c r="E125" i="2"/>
  <c r="E124" i="2"/>
  <c r="G124" i="2" s="1"/>
  <c r="F123" i="2"/>
  <c r="G122" i="2"/>
  <c r="F122" i="2"/>
  <c r="K122" i="2" s="1"/>
  <c r="E122" i="2"/>
  <c r="G121" i="2"/>
  <c r="E121" i="2"/>
  <c r="G120" i="2"/>
  <c r="F120" i="2"/>
  <c r="E120" i="2"/>
  <c r="F119" i="2"/>
  <c r="E118" i="2"/>
  <c r="E117" i="2"/>
  <c r="E116" i="2"/>
  <c r="G116" i="2" s="1"/>
  <c r="G115" i="2"/>
  <c r="F115" i="2"/>
  <c r="K115" i="2" s="1"/>
  <c r="E115" i="2"/>
  <c r="G114" i="2"/>
  <c r="F114" i="2"/>
  <c r="K114" i="2" s="1"/>
  <c r="E114" i="2"/>
  <c r="F112" i="2"/>
  <c r="G111" i="2"/>
  <c r="F111" i="2"/>
  <c r="E111" i="2"/>
  <c r="E110" i="2"/>
  <c r="E109" i="2"/>
  <c r="G107" i="2"/>
  <c r="F107" i="2"/>
  <c r="K107" i="2" s="1"/>
  <c r="E107" i="2"/>
  <c r="F106" i="2"/>
  <c r="K106" i="2" s="1"/>
  <c r="G105" i="2"/>
  <c r="E105" i="2"/>
  <c r="F104" i="2"/>
  <c r="G103" i="2"/>
  <c r="F103" i="2"/>
  <c r="E103" i="2"/>
  <c r="F102" i="2"/>
  <c r="E102" i="2"/>
  <c r="E101" i="2"/>
  <c r="E100" i="2"/>
  <c r="G100" i="2" s="1"/>
  <c r="G99" i="2"/>
  <c r="F99" i="2"/>
  <c r="J99" i="2" s="1"/>
  <c r="H99" i="2" s="1"/>
  <c r="E99" i="2"/>
  <c r="G98" i="2"/>
  <c r="F98" i="2"/>
  <c r="K98" i="2" s="1"/>
  <c r="E98" i="2"/>
  <c r="G97" i="2"/>
  <c r="F97" i="2"/>
  <c r="I97" i="2" s="1"/>
  <c r="E97" i="2"/>
  <c r="G96" i="2"/>
  <c r="F96" i="2"/>
  <c r="E96" i="2"/>
  <c r="E95" i="2"/>
  <c r="E94" i="2"/>
  <c r="G91" i="2"/>
  <c r="F91" i="2"/>
  <c r="K91" i="2" s="1"/>
  <c r="E91" i="2"/>
  <c r="F90" i="2"/>
  <c r="G89" i="2"/>
  <c r="G88" i="2"/>
  <c r="F88" i="2"/>
  <c r="E88" i="2"/>
  <c r="G87" i="2"/>
  <c r="F87" i="2"/>
  <c r="E87" i="2"/>
  <c r="E86" i="2"/>
  <c r="E85" i="2"/>
  <c r="G82" i="2"/>
  <c r="F82" i="2"/>
  <c r="K82" i="2" s="1"/>
  <c r="E82" i="2"/>
  <c r="E81" i="2"/>
  <c r="G80" i="2"/>
  <c r="F80" i="2"/>
  <c r="E80" i="2"/>
  <c r="E76" i="2"/>
  <c r="G76" i="2" s="1"/>
  <c r="J75" i="2"/>
  <c r="H75" i="2" s="1"/>
  <c r="J74" i="2"/>
  <c r="H74" i="2" s="1"/>
  <c r="G72" i="2"/>
  <c r="F72" i="2"/>
  <c r="E72" i="2"/>
  <c r="F71" i="2"/>
  <c r="E69" i="2"/>
  <c r="G67" i="2"/>
  <c r="F67" i="2"/>
  <c r="J67" i="2" s="1"/>
  <c r="H67" i="2" s="1"/>
  <c r="E67" i="2"/>
  <c r="G66" i="2"/>
  <c r="F66" i="2"/>
  <c r="K66" i="2" s="1"/>
  <c r="E66" i="2"/>
  <c r="G65" i="2"/>
  <c r="E65" i="2"/>
  <c r="G63" i="2"/>
  <c r="F63" i="2"/>
  <c r="E62" i="2"/>
  <c r="E61" i="2"/>
  <c r="E60" i="2"/>
  <c r="G60" i="2" s="1"/>
  <c r="G59" i="2"/>
  <c r="F59" i="2"/>
  <c r="K59" i="2" s="1"/>
  <c r="E59" i="2"/>
  <c r="G58" i="2"/>
  <c r="F58" i="2"/>
  <c r="K58" i="2" s="1"/>
  <c r="E58" i="2"/>
  <c r="G57" i="2"/>
  <c r="E57" i="2"/>
  <c r="E56" i="2"/>
  <c r="G55" i="2"/>
  <c r="F55" i="2"/>
  <c r="K55" i="2" s="1"/>
  <c r="E55" i="2"/>
  <c r="G54" i="2"/>
  <c r="F54" i="2"/>
  <c r="K54" i="2" s="1"/>
  <c r="E54" i="2"/>
  <c r="F53" i="2"/>
  <c r="I53" i="2" s="1"/>
  <c r="E53" i="2"/>
  <c r="G53" i="2" s="1"/>
  <c r="E52" i="2"/>
  <c r="G51" i="2"/>
  <c r="F51" i="2"/>
  <c r="I51" i="2" s="1"/>
  <c r="E51" i="2"/>
  <c r="F50" i="2"/>
  <c r="K50" i="2" s="1"/>
  <c r="G48" i="2"/>
  <c r="E48" i="2"/>
  <c r="F47" i="2"/>
  <c r="J47" i="2" s="1"/>
  <c r="H47" i="2" s="1"/>
  <c r="G46" i="2"/>
  <c r="F46" i="2"/>
  <c r="K46" i="2" s="1"/>
  <c r="E46" i="2"/>
  <c r="E45" i="2"/>
  <c r="G45" i="2" s="1"/>
  <c r="F44" i="2"/>
  <c r="I44" i="2" s="1"/>
  <c r="G43" i="2"/>
  <c r="F43" i="2"/>
  <c r="K43" i="2" s="1"/>
  <c r="E43" i="2"/>
  <c r="F42" i="2"/>
  <c r="I42" i="2" s="1"/>
  <c r="E42" i="2"/>
  <c r="F41" i="2"/>
  <c r="J41" i="2" s="1"/>
  <c r="H41" i="2" s="1"/>
  <c r="E40" i="2"/>
  <c r="G40" i="2" s="1"/>
  <c r="E39" i="2"/>
  <c r="F38" i="2"/>
  <c r="I38" i="2" s="1"/>
  <c r="E38" i="2"/>
  <c r="F37" i="2"/>
  <c r="K37" i="2" s="1"/>
  <c r="E37" i="2"/>
  <c r="G37" i="2" s="1"/>
  <c r="E36" i="2"/>
  <c r="F36" i="2" s="1"/>
  <c r="F35" i="2"/>
  <c r="J35" i="2" s="1"/>
  <c r="H35" i="2" s="1"/>
  <c r="E34" i="2"/>
  <c r="G34" i="2" s="1"/>
  <c r="F33" i="2"/>
  <c r="I33" i="2" s="1"/>
  <c r="E33" i="2"/>
  <c r="G32" i="2"/>
  <c r="F32" i="2"/>
  <c r="K32" i="2" s="1"/>
  <c r="E32" i="2"/>
  <c r="E31" i="2"/>
  <c r="F31" i="2" s="1"/>
  <c r="E30" i="2"/>
  <c r="G30" i="2" s="1"/>
  <c r="F29" i="2"/>
  <c r="I29" i="2" s="1"/>
  <c r="E29" i="2"/>
  <c r="G29" i="2" s="1"/>
  <c r="G28" i="2"/>
  <c r="E28" i="2"/>
  <c r="F28" i="2" s="1"/>
  <c r="K28" i="2" s="1"/>
  <c r="G27" i="2"/>
  <c r="F27" i="2"/>
  <c r="J27" i="2" s="1"/>
  <c r="H27" i="2" s="1"/>
  <c r="E27" i="2"/>
  <c r="E26" i="2"/>
  <c r="G25" i="2"/>
  <c r="E25" i="2"/>
  <c r="F24" i="2"/>
  <c r="I24" i="2" s="1"/>
  <c r="E24" i="2"/>
  <c r="G23" i="2"/>
  <c r="F23" i="2"/>
  <c r="K23" i="2" s="1"/>
  <c r="E23" i="2"/>
  <c r="E21" i="2"/>
  <c r="G21" i="2" s="1"/>
  <c r="G20" i="2"/>
  <c r="E20" i="2"/>
  <c r="F20" i="2" s="1"/>
  <c r="J20" i="2" s="1"/>
  <c r="H20" i="2" s="1"/>
  <c r="F19" i="2"/>
  <c r="K19" i="2" s="1"/>
  <c r="G18" i="2"/>
  <c r="F18" i="2"/>
  <c r="K18" i="2" s="1"/>
  <c r="E18" i="2"/>
  <c r="F17" i="2"/>
  <c r="G16" i="2"/>
  <c r="E16" i="2"/>
  <c r="F15" i="2"/>
  <c r="J15" i="2" s="1"/>
  <c r="H15" i="2" s="1"/>
  <c r="E15" i="2"/>
  <c r="G14" i="2"/>
  <c r="F14" i="2"/>
  <c r="J14" i="2" s="1"/>
  <c r="H14" i="2" s="1"/>
  <c r="E14" i="2"/>
  <c r="E13" i="2"/>
  <c r="G13" i="2" s="1"/>
  <c r="E12" i="2"/>
  <c r="F12" i="2" s="1"/>
  <c r="K12" i="2" s="1"/>
  <c r="J11" i="2"/>
  <c r="H11" i="2" s="1"/>
  <c r="G11" i="2"/>
  <c r="F11" i="2"/>
  <c r="K11" i="2" s="1"/>
  <c r="E11" i="2"/>
  <c r="F10" i="2"/>
  <c r="I10" i="2" s="1"/>
  <c r="E10" i="2"/>
  <c r="G9" i="2"/>
  <c r="F9" i="2"/>
  <c r="I9" i="2" s="1"/>
  <c r="E9" i="2"/>
  <c r="E8" i="2"/>
  <c r="G7" i="2"/>
  <c r="E7" i="2"/>
  <c r="F6" i="2"/>
  <c r="I6" i="2" s="1"/>
  <c r="F5" i="2"/>
  <c r="J5" i="2" s="1"/>
  <c r="H5" i="2" s="1"/>
  <c r="E5" i="2"/>
  <c r="G5" i="2" s="1"/>
  <c r="E4" i="2"/>
  <c r="F4" i="2" s="1"/>
  <c r="J3" i="2"/>
  <c r="H3" i="2" s="1"/>
  <c r="G3" i="1"/>
  <c r="G2" i="1"/>
  <c r="K83" i="2" l="1"/>
  <c r="K492" i="2"/>
  <c r="K123" i="2"/>
  <c r="I603" i="2"/>
  <c r="J606" i="2"/>
  <c r="H606" i="2" s="1"/>
  <c r="I324" i="2"/>
  <c r="K641" i="2"/>
  <c r="I35" i="2"/>
  <c r="J66" i="2"/>
  <c r="H66" i="2" s="1"/>
  <c r="J413" i="2"/>
  <c r="H413" i="2" s="1"/>
  <c r="J636" i="2"/>
  <c r="H636" i="2" s="1"/>
  <c r="K457" i="2"/>
  <c r="J176" i="2"/>
  <c r="H176" i="2" s="1"/>
  <c r="K120" i="2"/>
  <c r="K308" i="2"/>
  <c r="K331" i="2"/>
  <c r="I241" i="2"/>
  <c r="K99" i="2"/>
  <c r="I122" i="2"/>
  <c r="K408" i="2"/>
  <c r="I300" i="2"/>
  <c r="K576" i="2"/>
  <c r="I99" i="2"/>
  <c r="J196" i="2"/>
  <c r="H196" i="2" s="1"/>
  <c r="J236" i="2"/>
  <c r="H236" i="2" s="1"/>
  <c r="I388" i="2"/>
  <c r="K200" i="2"/>
  <c r="K216" i="2"/>
  <c r="J226" i="2"/>
  <c r="H226" i="2" s="1"/>
  <c r="I240" i="2"/>
  <c r="I271" i="2"/>
  <c r="K425" i="2"/>
  <c r="I587" i="2"/>
  <c r="J598" i="2"/>
  <c r="H598" i="2" s="1"/>
  <c r="J28" i="2"/>
  <c r="H28" i="2" s="1"/>
  <c r="I123" i="2"/>
  <c r="K161" i="2"/>
  <c r="K192" i="2"/>
  <c r="K243" i="2"/>
  <c r="I530" i="2"/>
  <c r="I533" i="2"/>
  <c r="K598" i="2"/>
  <c r="I308" i="2"/>
  <c r="J340" i="2"/>
  <c r="H340" i="2" s="1"/>
  <c r="I387" i="2"/>
  <c r="K482" i="2"/>
  <c r="J323" i="2"/>
  <c r="H323" i="2" s="1"/>
  <c r="J29" i="2"/>
  <c r="H29" i="2" s="1"/>
  <c r="I67" i="2"/>
  <c r="K236" i="2"/>
  <c r="I339" i="2"/>
  <c r="I436" i="2"/>
  <c r="K608" i="2"/>
  <c r="J180" i="2"/>
  <c r="H180" i="2" s="1"/>
  <c r="I183" i="2"/>
  <c r="I266" i="2"/>
  <c r="J306" i="2"/>
  <c r="I431" i="2"/>
  <c r="K479" i="2"/>
  <c r="I550" i="2"/>
  <c r="K44" i="2"/>
  <c r="J51" i="2"/>
  <c r="H51" i="2" s="1"/>
  <c r="I106" i="2"/>
  <c r="J115" i="2"/>
  <c r="H115" i="2" s="1"/>
  <c r="K15" i="2"/>
  <c r="K42" i="2"/>
  <c r="K180" i="2"/>
  <c r="J194" i="2"/>
  <c r="H194" i="2" s="1"/>
  <c r="I286" i="2"/>
  <c r="I347" i="2"/>
  <c r="I380" i="2"/>
  <c r="K431" i="2"/>
  <c r="J347" i="2"/>
  <c r="H347" i="2" s="1"/>
  <c r="J587" i="2"/>
  <c r="H587" i="2" s="1"/>
  <c r="I12" i="2"/>
  <c r="J19" i="2"/>
  <c r="K24" i="2"/>
  <c r="K47" i="2"/>
  <c r="I59" i="2"/>
  <c r="I107" i="2"/>
  <c r="I114" i="2"/>
  <c r="I138" i="2"/>
  <c r="J316" i="2"/>
  <c r="H316" i="2" s="1"/>
  <c r="J360" i="2"/>
  <c r="H360" i="2" s="1"/>
  <c r="I396" i="2"/>
  <c r="J410" i="2"/>
  <c r="H410" i="2" s="1"/>
  <c r="I555" i="2"/>
  <c r="J574" i="2"/>
  <c r="H574" i="2" s="1"/>
  <c r="J59" i="2"/>
  <c r="H59" i="2" s="1"/>
  <c r="I75" i="2"/>
  <c r="I91" i="2"/>
  <c r="K97" i="2"/>
  <c r="J107" i="2"/>
  <c r="H107" i="2" s="1"/>
  <c r="I331" i="2"/>
  <c r="J368" i="2"/>
  <c r="K396" i="2"/>
  <c r="I619" i="2"/>
  <c r="K231" i="2"/>
  <c r="I478" i="2"/>
  <c r="J38" i="2"/>
  <c r="H38" i="2" s="1"/>
  <c r="I46" i="2"/>
  <c r="K67" i="2"/>
  <c r="K75" i="2"/>
  <c r="I83" i="2"/>
  <c r="K143" i="2"/>
  <c r="I153" i="2"/>
  <c r="J158" i="2"/>
  <c r="H158" i="2" s="1"/>
  <c r="J172" i="2"/>
  <c r="I202" i="2"/>
  <c r="I252" i="2"/>
  <c r="I276" i="2"/>
  <c r="I282" i="2"/>
  <c r="K300" i="2"/>
  <c r="J324" i="2"/>
  <c r="H324" i="2" s="1"/>
  <c r="I364" i="2"/>
  <c r="J380" i="2"/>
  <c r="H380" i="2" s="1"/>
  <c r="I403" i="2"/>
  <c r="J426" i="2"/>
  <c r="H426" i="2" s="1"/>
  <c r="K478" i="2"/>
  <c r="K511" i="2"/>
  <c r="J521" i="2"/>
  <c r="H521" i="2" s="1"/>
  <c r="I622" i="2"/>
  <c r="J628" i="2"/>
  <c r="J6" i="2"/>
  <c r="H6" i="2" s="1"/>
  <c r="J420" i="2"/>
  <c r="H420" i="2" s="1"/>
  <c r="J557" i="2"/>
  <c r="H557" i="2" s="1"/>
  <c r="I20" i="2"/>
  <c r="I58" i="2"/>
  <c r="I98" i="2"/>
  <c r="I139" i="2"/>
  <c r="I147" i="2"/>
  <c r="K153" i="2"/>
  <c r="K157" i="2"/>
  <c r="I179" i="2"/>
  <c r="J202" i="2"/>
  <c r="H202" i="2" s="1"/>
  <c r="I235" i="2"/>
  <c r="K276" i="2"/>
  <c r="I284" i="2"/>
  <c r="I307" i="2"/>
  <c r="J336" i="2"/>
  <c r="H336" i="2" s="1"/>
  <c r="J364" i="2"/>
  <c r="I395" i="2"/>
  <c r="J414" i="2"/>
  <c r="I441" i="2"/>
  <c r="I487" i="2"/>
  <c r="I593" i="2"/>
  <c r="J609" i="2"/>
  <c r="H609" i="2" s="1"/>
  <c r="J622" i="2"/>
  <c r="H622" i="2" s="1"/>
  <c r="K395" i="2"/>
  <c r="K139" i="2"/>
  <c r="I146" i="2"/>
  <c r="K147" i="2"/>
  <c r="J163" i="2"/>
  <c r="K185" i="2" s="1"/>
  <c r="J210" i="2"/>
  <c r="I218" i="2"/>
  <c r="K235" i="2"/>
  <c r="I243" i="2"/>
  <c r="I247" i="2"/>
  <c r="I257" i="2"/>
  <c r="J268" i="2"/>
  <c r="H268" i="2" s="1"/>
  <c r="K271" i="2"/>
  <c r="I275" i="2"/>
  <c r="J277" i="2"/>
  <c r="H277" i="2" s="1"/>
  <c r="K323" i="2"/>
  <c r="I332" i="2"/>
  <c r="J339" i="2"/>
  <c r="H339" i="2" s="1"/>
  <c r="K355" i="2"/>
  <c r="J379" i="2"/>
  <c r="H379" i="2" s="1"/>
  <c r="I421" i="2"/>
  <c r="J432" i="2"/>
  <c r="H432" i="2" s="1"/>
  <c r="J435" i="2"/>
  <c r="H435" i="2" s="1"/>
  <c r="I437" i="2"/>
  <c r="I444" i="2"/>
  <c r="K465" i="2"/>
  <c r="J471" i="2"/>
  <c r="H471" i="2" s="1"/>
  <c r="K498" i="2"/>
  <c r="I506" i="2"/>
  <c r="J509" i="2"/>
  <c r="H509" i="2" s="1"/>
  <c r="I516" i="2"/>
  <c r="K519" i="2"/>
  <c r="I525" i="2"/>
  <c r="J530" i="2"/>
  <c r="H530" i="2" s="1"/>
  <c r="K533" i="2"/>
  <c r="I566" i="2"/>
  <c r="J590" i="2"/>
  <c r="H590" i="2" s="1"/>
  <c r="K487" i="2"/>
  <c r="K53" i="2"/>
  <c r="I43" i="2"/>
  <c r="I82" i="2"/>
  <c r="I131" i="2"/>
  <c r="I157" i="2"/>
  <c r="K163" i="2"/>
  <c r="I171" i="2"/>
  <c r="K275" i="2"/>
  <c r="I283" i="2"/>
  <c r="J292" i="2"/>
  <c r="K332" i="2"/>
  <c r="J348" i="2"/>
  <c r="H348" i="2" s="1"/>
  <c r="I372" i="2"/>
  <c r="J402" i="2"/>
  <c r="K403" i="2" s="1"/>
  <c r="I404" i="2"/>
  <c r="K421" i="2"/>
  <c r="J437" i="2"/>
  <c r="K440" i="2" s="1"/>
  <c r="I452" i="2"/>
  <c r="J455" i="2"/>
  <c r="H455" i="2" s="1"/>
  <c r="J458" i="2"/>
  <c r="K468" i="2"/>
  <c r="I479" i="2"/>
  <c r="K495" i="2"/>
  <c r="K506" i="2"/>
  <c r="K566" i="2"/>
  <c r="I577" i="2"/>
  <c r="I627" i="2"/>
  <c r="K635" i="2"/>
  <c r="K136" i="2"/>
  <c r="K283" i="2"/>
  <c r="J372" i="2"/>
  <c r="H372" i="2" s="1"/>
  <c r="J384" i="2"/>
  <c r="H384" i="2" s="1"/>
  <c r="K390" i="2"/>
  <c r="K404" i="2"/>
  <c r="I449" i="2"/>
  <c r="K452" i="2"/>
  <c r="J542" i="2"/>
  <c r="H542" i="2" s="1"/>
  <c r="I574" i="2"/>
  <c r="I614" i="2"/>
  <c r="K627" i="2"/>
  <c r="K3" i="2"/>
  <c r="G3" i="2" s="1"/>
  <c r="K38" i="2"/>
  <c r="J43" i="2"/>
  <c r="H43" i="2" s="1"/>
  <c r="K51" i="2"/>
  <c r="J91" i="2"/>
  <c r="H91" i="2" s="1"/>
  <c r="J106" i="2"/>
  <c r="K119" i="2" s="1"/>
  <c r="J138" i="2"/>
  <c r="H138" i="2" s="1"/>
  <c r="J218" i="2"/>
  <c r="H218" i="2" s="1"/>
  <c r="I253" i="2"/>
  <c r="J284" i="2"/>
  <c r="H284" i="2" s="1"/>
  <c r="J307" i="2"/>
  <c r="H307" i="2" s="1"/>
  <c r="J342" i="2"/>
  <c r="H342" i="2" s="1"/>
  <c r="I379" i="2"/>
  <c r="J387" i="2"/>
  <c r="H387" i="2" s="1"/>
  <c r="J403" i="2"/>
  <c r="I413" i="2"/>
  <c r="I428" i="2"/>
  <c r="J436" i="2"/>
  <c r="H436" i="2" s="1"/>
  <c r="J443" i="2"/>
  <c r="K471" i="2"/>
  <c r="J486" i="2"/>
  <c r="H486" i="2" s="1"/>
  <c r="I501" i="2"/>
  <c r="K517" i="2"/>
  <c r="I535" i="2"/>
  <c r="I561" i="2"/>
  <c r="J573" i="2"/>
  <c r="H573" i="2" s="1"/>
  <c r="I582" i="2"/>
  <c r="K603" i="2"/>
  <c r="J614" i="2"/>
  <c r="H614" i="2" s="1"/>
  <c r="I74" i="2"/>
  <c r="J83" i="2"/>
  <c r="J98" i="2"/>
  <c r="H98" i="2" s="1"/>
  <c r="J123" i="2"/>
  <c r="K128" i="2" s="1"/>
  <c r="I130" i="2"/>
  <c r="I154" i="2"/>
  <c r="I167" i="2"/>
  <c r="I186" i="2"/>
  <c r="J212" i="2"/>
  <c r="I228" i="2"/>
  <c r="K237" i="2"/>
  <c r="J253" i="2"/>
  <c r="H253" i="2" s="1"/>
  <c r="I262" i="2"/>
  <c r="J334" i="2"/>
  <c r="H334" i="2" s="1"/>
  <c r="I356" i="2"/>
  <c r="I422" i="2"/>
  <c r="I427" i="2"/>
  <c r="J428" i="2"/>
  <c r="H428" i="2" s="1"/>
  <c r="K467" i="2"/>
  <c r="I481" i="2"/>
  <c r="K486" i="2"/>
  <c r="I508" i="2"/>
  <c r="I558" i="2"/>
  <c r="I571" i="2"/>
  <c r="J582" i="2"/>
  <c r="H582" i="2" s="1"/>
  <c r="J621" i="2"/>
  <c r="H621" i="2" s="1"/>
  <c r="K14" i="2"/>
  <c r="I90" i="2"/>
  <c r="I115" i="2"/>
  <c r="J130" i="2"/>
  <c r="H130" i="2" s="1"/>
  <c r="J154" i="2"/>
  <c r="H154" i="2" s="1"/>
  <c r="I162" i="2"/>
  <c r="J186" i="2"/>
  <c r="H186" i="2" s="1"/>
  <c r="K196" i="2"/>
  <c r="J248" i="2"/>
  <c r="H248" i="2" s="1"/>
  <c r="J262" i="2"/>
  <c r="H262" i="2" s="1"/>
  <c r="J326" i="2"/>
  <c r="H326" i="2" s="1"/>
  <c r="I340" i="2"/>
  <c r="J344" i="2"/>
  <c r="H344" i="2" s="1"/>
  <c r="I348" i="2"/>
  <c r="J352" i="2"/>
  <c r="H352" i="2" s="1"/>
  <c r="J356" i="2"/>
  <c r="H356" i="2" s="1"/>
  <c r="I363" i="2"/>
  <c r="I371" i="2"/>
  <c r="J400" i="2"/>
  <c r="H400" i="2" s="1"/>
  <c r="J422" i="2"/>
  <c r="H422" i="2" s="1"/>
  <c r="J427" i="2"/>
  <c r="K458" i="2" s="1"/>
  <c r="K439" i="2"/>
  <c r="J490" i="2"/>
  <c r="I498" i="2"/>
  <c r="K514" i="2"/>
  <c r="J558" i="2"/>
  <c r="H558" i="2" s="1"/>
  <c r="J589" i="2"/>
  <c r="H589" i="2" s="1"/>
  <c r="I606" i="2"/>
  <c r="J90" i="2"/>
  <c r="J162" i="2"/>
  <c r="H162" i="2" s="1"/>
  <c r="I355" i="2"/>
  <c r="J363" i="2"/>
  <c r="J371" i="2"/>
  <c r="K424" i="2" s="1"/>
  <c r="K638" i="2"/>
  <c r="I3" i="2"/>
  <c r="K6" i="2"/>
  <c r="I11" i="2"/>
  <c r="J18" i="2"/>
  <c r="H18" i="2" s="1"/>
  <c r="J33" i="2"/>
  <c r="H33" i="2" s="1"/>
  <c r="J53" i="2"/>
  <c r="H53" i="2" s="1"/>
  <c r="J58" i="2"/>
  <c r="H58" i="2" s="1"/>
  <c r="J82" i="2"/>
  <c r="H82" i="2" s="1"/>
  <c r="J122" i="2"/>
  <c r="H122" i="2" s="1"/>
  <c r="K135" i="2"/>
  <c r="I194" i="2"/>
  <c r="I210" i="2"/>
  <c r="K220" i="2"/>
  <c r="I226" i="2"/>
  <c r="I232" i="2"/>
  <c r="J252" i="2"/>
  <c r="H252" i="2" s="1"/>
  <c r="K268" i="2"/>
  <c r="I316" i="2"/>
  <c r="J328" i="2"/>
  <c r="K374" i="2"/>
  <c r="J412" i="2"/>
  <c r="K414" i="2" s="1"/>
  <c r="J451" i="2"/>
  <c r="H451" i="2" s="1"/>
  <c r="K525" i="2"/>
  <c r="J555" i="2"/>
  <c r="H555" i="2" s="1"/>
  <c r="K10" i="2"/>
  <c r="K96" i="2"/>
  <c r="J114" i="2"/>
  <c r="H114" i="2" s="1"/>
  <c r="K127" i="2"/>
  <c r="K144" i="2"/>
  <c r="J418" i="2"/>
  <c r="H418" i="2" s="1"/>
  <c r="J440" i="2"/>
  <c r="H440" i="2" s="1"/>
  <c r="I468" i="2"/>
  <c r="J522" i="2"/>
  <c r="H522" i="2" s="1"/>
  <c r="J571" i="2"/>
  <c r="H571" i="2" s="1"/>
  <c r="I590" i="2"/>
  <c r="J605" i="2"/>
  <c r="H605" i="2" s="1"/>
  <c r="G165" i="2"/>
  <c r="K643" i="2"/>
  <c r="J643" i="2"/>
  <c r="H643" i="2" s="1"/>
  <c r="I643" i="2"/>
  <c r="J17" i="2"/>
  <c r="H17" i="2" s="1"/>
  <c r="K27" i="2"/>
  <c r="G85" i="2"/>
  <c r="F85" i="2"/>
  <c r="I85" i="2" s="1"/>
  <c r="G190" i="2"/>
  <c r="G219" i="2"/>
  <c r="F219" i="2"/>
  <c r="I219" i="2" s="1"/>
  <c r="G270" i="2"/>
  <c r="F270" i="2"/>
  <c r="K270" i="2" s="1"/>
  <c r="G78" i="2"/>
  <c r="G86" i="2"/>
  <c r="G125" i="2"/>
  <c r="F125" i="2"/>
  <c r="K125" i="2" s="1"/>
  <c r="G246" i="2"/>
  <c r="F246" i="2"/>
  <c r="J246" i="2" s="1"/>
  <c r="H246" i="2" s="1"/>
  <c r="K4" i="2"/>
  <c r="K31" i="2"/>
  <c r="K36" i="2"/>
  <c r="G94" i="2"/>
  <c r="G118" i="2"/>
  <c r="F141" i="2"/>
  <c r="I141" i="2" s="1"/>
  <c r="G160" i="2"/>
  <c r="G184" i="2"/>
  <c r="F184" i="2"/>
  <c r="K184" i="2" s="1"/>
  <c r="K9" i="2"/>
  <c r="G10" i="2"/>
  <c r="J12" i="2"/>
  <c r="H12" i="2" s="1"/>
  <c r="G15" i="2"/>
  <c r="I23" i="2"/>
  <c r="G24" i="2"/>
  <c r="J32" i="2"/>
  <c r="H32" i="2" s="1"/>
  <c r="G33" i="2"/>
  <c r="G38" i="2"/>
  <c r="K41" i="2"/>
  <c r="G42" i="2"/>
  <c r="J44" i="2"/>
  <c r="H44" i="2" s="1"/>
  <c r="I54" i="2"/>
  <c r="F57" i="2"/>
  <c r="K57" i="2" s="1"/>
  <c r="G61" i="2"/>
  <c r="F61" i="2"/>
  <c r="K61" i="2" s="1"/>
  <c r="J63" i="2"/>
  <c r="H63" i="2" s="1"/>
  <c r="I63" i="2"/>
  <c r="F65" i="2"/>
  <c r="K65" i="2" s="1"/>
  <c r="I66" i="2"/>
  <c r="F70" i="2"/>
  <c r="J70" i="2" s="1"/>
  <c r="H70" i="2" s="1"/>
  <c r="K80" i="2"/>
  <c r="F94" i="2"/>
  <c r="I94" i="2" s="1"/>
  <c r="K103" i="2"/>
  <c r="J103" i="2"/>
  <c r="H103" i="2" s="1"/>
  <c r="I103" i="2"/>
  <c r="F118" i="2"/>
  <c r="J118" i="2" s="1"/>
  <c r="H118" i="2" s="1"/>
  <c r="J142" i="2"/>
  <c r="H142" i="2" s="1"/>
  <c r="I142" i="2"/>
  <c r="G142" i="2"/>
  <c r="K142" i="2"/>
  <c r="F160" i="2"/>
  <c r="J160" i="2" s="1"/>
  <c r="H160" i="2" s="1"/>
  <c r="K170" i="2"/>
  <c r="J170" i="2"/>
  <c r="K172" i="2" s="1"/>
  <c r="I170" i="2"/>
  <c r="F190" i="2"/>
  <c r="I190" i="2" s="1"/>
  <c r="F195" i="2"/>
  <c r="I195" i="2" s="1"/>
  <c r="G195" i="2"/>
  <c r="F73" i="2"/>
  <c r="I73" i="2" s="1"/>
  <c r="F86" i="2"/>
  <c r="J86" i="2" s="1"/>
  <c r="H86" i="2" s="1"/>
  <c r="F95" i="2"/>
  <c r="K95" i="2" s="1"/>
  <c r="G126" i="2"/>
  <c r="G4" i="2"/>
  <c r="I5" i="2"/>
  <c r="F8" i="2"/>
  <c r="K8" i="2" s="1"/>
  <c r="J10" i="2"/>
  <c r="H10" i="2" s="1"/>
  <c r="F13" i="2"/>
  <c r="K13" i="2" s="1"/>
  <c r="I14" i="2"/>
  <c r="I19" i="2"/>
  <c r="K20" i="2"/>
  <c r="F22" i="2"/>
  <c r="J22" i="2" s="1"/>
  <c r="H22" i="2" s="1"/>
  <c r="F26" i="2"/>
  <c r="K26" i="2" s="1"/>
  <c r="I28" i="2"/>
  <c r="K29" i="2"/>
  <c r="G36" i="2"/>
  <c r="I37" i="2"/>
  <c r="F40" i="2"/>
  <c r="J40" i="2" s="1"/>
  <c r="H40" i="2" s="1"/>
  <c r="J42" i="2"/>
  <c r="H42" i="2" s="1"/>
  <c r="F45" i="2"/>
  <c r="K45" i="2" s="1"/>
  <c r="F49" i="2"/>
  <c r="J49" i="2" s="1"/>
  <c r="J54" i="2"/>
  <c r="H54" i="2" s="1"/>
  <c r="F56" i="2"/>
  <c r="K56" i="2" s="1"/>
  <c r="K63" i="2"/>
  <c r="K87" i="2"/>
  <c r="J87" i="2"/>
  <c r="H87" i="2" s="1"/>
  <c r="I87" i="2"/>
  <c r="G95" i="2"/>
  <c r="F126" i="2"/>
  <c r="J126" i="2" s="1"/>
  <c r="H126" i="2" s="1"/>
  <c r="G149" i="2"/>
  <c r="F149" i="2"/>
  <c r="I149" i="2" s="1"/>
  <c r="J156" i="2"/>
  <c r="H156" i="2" s="1"/>
  <c r="I156" i="2"/>
  <c r="I188" i="2"/>
  <c r="K188" i="2"/>
  <c r="J188" i="2"/>
  <c r="H188" i="2" s="1"/>
  <c r="F221" i="2"/>
  <c r="I221" i="2" s="1"/>
  <c r="I31" i="2"/>
  <c r="J71" i="2"/>
  <c r="H71" i="2" s="1"/>
  <c r="I71" i="2"/>
  <c r="F78" i="2"/>
  <c r="K78" i="2" s="1"/>
  <c r="G109" i="2"/>
  <c r="F109" i="2"/>
  <c r="I109" i="2" s="1"/>
  <c r="F165" i="2"/>
  <c r="J165" i="2" s="1"/>
  <c r="H165" i="2" s="1"/>
  <c r="K178" i="2"/>
  <c r="J178" i="2"/>
  <c r="I178" i="2"/>
  <c r="G199" i="2"/>
  <c r="F199" i="2"/>
  <c r="K199" i="2" s="1"/>
  <c r="G8" i="2"/>
  <c r="I18" i="2"/>
  <c r="G26" i="2"/>
  <c r="I32" i="2"/>
  <c r="I41" i="2"/>
  <c r="J46" i="2"/>
  <c r="H46" i="2" s="1"/>
  <c r="I50" i="2"/>
  <c r="G56" i="2"/>
  <c r="G62" i="2"/>
  <c r="G69" i="2"/>
  <c r="F69" i="2"/>
  <c r="I69" i="2" s="1"/>
  <c r="F81" i="2"/>
  <c r="I81" i="2" s="1"/>
  <c r="G101" i="2"/>
  <c r="F101" i="2"/>
  <c r="I101" i="2" s="1"/>
  <c r="G110" i="2"/>
  <c r="G133" i="2"/>
  <c r="F133" i="2"/>
  <c r="I133" i="2" s="1"/>
  <c r="G150" i="2"/>
  <c r="K239" i="2"/>
  <c r="J239" i="2"/>
  <c r="H239" i="2" s="1"/>
  <c r="G258" i="2"/>
  <c r="F258" i="2"/>
  <c r="K258" i="2" s="1"/>
  <c r="F399" i="2"/>
  <c r="I399" i="2" s="1"/>
  <c r="G399" i="2"/>
  <c r="J23" i="2"/>
  <c r="H23" i="2" s="1"/>
  <c r="G31" i="2"/>
  <c r="J37" i="2"/>
  <c r="H37" i="2" s="1"/>
  <c r="I4" i="2"/>
  <c r="K5" i="2"/>
  <c r="F7" i="2"/>
  <c r="K7" i="2" s="1"/>
  <c r="J9" i="2"/>
  <c r="H9" i="2" s="1"/>
  <c r="G12" i="2"/>
  <c r="I13" i="2"/>
  <c r="F16" i="2"/>
  <c r="K16" i="2" s="1"/>
  <c r="F21" i="2"/>
  <c r="F25" i="2"/>
  <c r="J25" i="2" s="1"/>
  <c r="H25" i="2" s="1"/>
  <c r="I27" i="2"/>
  <c r="F30" i="2"/>
  <c r="J30" i="2" s="1"/>
  <c r="H30" i="2" s="1"/>
  <c r="F34" i="2"/>
  <c r="I34" i="2" s="1"/>
  <c r="I36" i="2"/>
  <c r="F39" i="2"/>
  <c r="K39" i="2" s="1"/>
  <c r="F48" i="2"/>
  <c r="K48" i="2" s="1"/>
  <c r="J50" i="2"/>
  <c r="J55" i="2"/>
  <c r="H55" i="2" s="1"/>
  <c r="I55" i="2"/>
  <c r="F62" i="2"/>
  <c r="K62" i="2" s="1"/>
  <c r="F64" i="2"/>
  <c r="J64" i="2" s="1"/>
  <c r="H64" i="2" s="1"/>
  <c r="K71" i="2"/>
  <c r="F79" i="2"/>
  <c r="G81" i="2"/>
  <c r="F93" i="2"/>
  <c r="J93" i="2" s="1"/>
  <c r="H93" i="2" s="1"/>
  <c r="F110" i="2"/>
  <c r="K110" i="2" s="1"/>
  <c r="F150" i="2"/>
  <c r="K150" i="2" s="1"/>
  <c r="G169" i="2"/>
  <c r="G174" i="2"/>
  <c r="G206" i="2"/>
  <c r="G233" i="2"/>
  <c r="J4" i="2"/>
  <c r="H4" i="2" s="1"/>
  <c r="I8" i="2"/>
  <c r="I15" i="2"/>
  <c r="I17" i="2"/>
  <c r="J24" i="2"/>
  <c r="H24" i="2" s="1"/>
  <c r="J31" i="2"/>
  <c r="H31" i="2" s="1"/>
  <c r="K33" i="2"/>
  <c r="J36" i="2"/>
  <c r="H36" i="2" s="1"/>
  <c r="G39" i="2"/>
  <c r="I47" i="2"/>
  <c r="G52" i="2"/>
  <c r="F52" i="2"/>
  <c r="I52" i="2" s="1"/>
  <c r="K72" i="2"/>
  <c r="K74" i="2"/>
  <c r="G74" i="2" s="1"/>
  <c r="F77" i="2"/>
  <c r="J77" i="2" s="1"/>
  <c r="H77" i="2" s="1"/>
  <c r="K88" i="2"/>
  <c r="J102" i="2"/>
  <c r="H102" i="2" s="1"/>
  <c r="I102" i="2"/>
  <c r="G102" i="2"/>
  <c r="K102" i="2"/>
  <c r="K111" i="2"/>
  <c r="G117" i="2"/>
  <c r="F117" i="2"/>
  <c r="I117" i="2" s="1"/>
  <c r="F134" i="2"/>
  <c r="I134" i="2" s="1"/>
  <c r="K151" i="2"/>
  <c r="F169" i="2"/>
  <c r="J169" i="2" s="1"/>
  <c r="H169" i="2" s="1"/>
  <c r="F174" i="2"/>
  <c r="I174" i="2" s="1"/>
  <c r="F206" i="2"/>
  <c r="J206" i="2" s="1"/>
  <c r="H206" i="2" s="1"/>
  <c r="F233" i="2"/>
  <c r="J233" i="2" s="1"/>
  <c r="H233" i="2" s="1"/>
  <c r="F89" i="2"/>
  <c r="I89" i="2" s="1"/>
  <c r="F105" i="2"/>
  <c r="I105" i="2" s="1"/>
  <c r="I113" i="2"/>
  <c r="F121" i="2"/>
  <c r="I121" i="2" s="1"/>
  <c r="I129" i="2"/>
  <c r="I137" i="2"/>
  <c r="F145" i="2"/>
  <c r="J155" i="2"/>
  <c r="H155" i="2" s="1"/>
  <c r="I166" i="2"/>
  <c r="J175" i="2"/>
  <c r="K624" i="2" s="1"/>
  <c r="K181" i="2"/>
  <c r="J185" i="2"/>
  <c r="K187" i="2"/>
  <c r="F193" i="2"/>
  <c r="G205" i="2"/>
  <c r="F215" i="2"/>
  <c r="I215" i="2" s="1"/>
  <c r="K260" i="2"/>
  <c r="J260" i="2"/>
  <c r="H260" i="2" s="1"/>
  <c r="I260" i="2"/>
  <c r="I182" i="2"/>
  <c r="F198" i="2"/>
  <c r="J198" i="2" s="1"/>
  <c r="H198" i="2" s="1"/>
  <c r="K208" i="2"/>
  <c r="G211" i="2"/>
  <c r="F211" i="2"/>
  <c r="F213" i="2"/>
  <c r="J220" i="2"/>
  <c r="H220" i="2" s="1"/>
  <c r="K223" i="2"/>
  <c r="J223" i="2"/>
  <c r="H223" i="2" s="1"/>
  <c r="I310" i="2"/>
  <c r="K310" i="2"/>
  <c r="I80" i="2"/>
  <c r="I88" i="2"/>
  <c r="I96" i="2"/>
  <c r="J97" i="2"/>
  <c r="H97" i="2" s="1"/>
  <c r="I104" i="2"/>
  <c r="I112" i="2"/>
  <c r="I120" i="2"/>
  <c r="I128" i="2"/>
  <c r="J182" i="2"/>
  <c r="H182" i="2" s="1"/>
  <c r="G227" i="2"/>
  <c r="F227" i="2"/>
  <c r="K227" i="2" s="1"/>
  <c r="G229" i="2"/>
  <c r="G274" i="2"/>
  <c r="G302" i="2"/>
  <c r="J460" i="2"/>
  <c r="H460" i="2" s="1"/>
  <c r="K460" i="2"/>
  <c r="I460" i="2"/>
  <c r="I72" i="2"/>
  <c r="F60" i="2"/>
  <c r="F68" i="2"/>
  <c r="J72" i="2"/>
  <c r="H72" i="2" s="1"/>
  <c r="F76" i="2"/>
  <c r="J80" i="2"/>
  <c r="H80" i="2" s="1"/>
  <c r="F84" i="2"/>
  <c r="J88" i="2"/>
  <c r="H88" i="2" s="1"/>
  <c r="F92" i="2"/>
  <c r="J96" i="2"/>
  <c r="H96" i="2" s="1"/>
  <c r="F100" i="2"/>
  <c r="J104" i="2"/>
  <c r="F108" i="2"/>
  <c r="I111" i="2"/>
  <c r="J112" i="2"/>
  <c r="F116" i="2"/>
  <c r="I116" i="2" s="1"/>
  <c r="I119" i="2"/>
  <c r="J120" i="2"/>
  <c r="H120" i="2" s="1"/>
  <c r="F124" i="2"/>
  <c r="I124" i="2" s="1"/>
  <c r="I127" i="2"/>
  <c r="J128" i="2"/>
  <c r="F132" i="2"/>
  <c r="I135" i="2"/>
  <c r="J136" i="2"/>
  <c r="H136" i="2" s="1"/>
  <c r="F140" i="2"/>
  <c r="I143" i="2"/>
  <c r="J144" i="2"/>
  <c r="H144" i="2" s="1"/>
  <c r="F148" i="2"/>
  <c r="I148" i="2" s="1"/>
  <c r="I151" i="2"/>
  <c r="J152" i="2"/>
  <c r="G155" i="2"/>
  <c r="F159" i="2"/>
  <c r="K159" i="2" s="1"/>
  <c r="J161" i="2"/>
  <c r="F164" i="2"/>
  <c r="K164" i="2" s="1"/>
  <c r="K166" i="2"/>
  <c r="F168" i="2"/>
  <c r="J168" i="2" s="1"/>
  <c r="H168" i="2" s="1"/>
  <c r="K171" i="2"/>
  <c r="F173" i="2"/>
  <c r="K173" i="2" s="1"/>
  <c r="F177" i="2"/>
  <c r="K179" i="2"/>
  <c r="G181" i="2"/>
  <c r="K182" i="2"/>
  <c r="G187" i="2"/>
  <c r="F197" i="2"/>
  <c r="K197" i="2" s="1"/>
  <c r="J204" i="2"/>
  <c r="K207" i="2"/>
  <c r="J207" i="2"/>
  <c r="K210" i="2" s="1"/>
  <c r="F214" i="2"/>
  <c r="K214" i="2" s="1"/>
  <c r="K224" i="2"/>
  <c r="F229" i="2"/>
  <c r="J229" i="2" s="1"/>
  <c r="H229" i="2" s="1"/>
  <c r="K234" i="2"/>
  <c r="J234" i="2"/>
  <c r="H234" i="2" s="1"/>
  <c r="I234" i="2"/>
  <c r="F274" i="2"/>
  <c r="K274" i="2" s="1"/>
  <c r="J302" i="2"/>
  <c r="H302" i="2" s="1"/>
  <c r="G373" i="2"/>
  <c r="F373" i="2"/>
  <c r="I373" i="2" s="1"/>
  <c r="J111" i="2"/>
  <c r="H111" i="2" s="1"/>
  <c r="J119" i="2"/>
  <c r="J127" i="2"/>
  <c r="H127" i="2" s="1"/>
  <c r="J135" i="2"/>
  <c r="H135" i="2" s="1"/>
  <c r="J143" i="2"/>
  <c r="J151" i="2"/>
  <c r="H151" i="2" s="1"/>
  <c r="I158" i="2"/>
  <c r="G159" i="2"/>
  <c r="J167" i="2"/>
  <c r="H167" i="2" s="1"/>
  <c r="G168" i="2"/>
  <c r="G173" i="2"/>
  <c r="K176" i="2"/>
  <c r="I181" i="2"/>
  <c r="J183" i="2"/>
  <c r="H183" i="2" s="1"/>
  <c r="I187" i="2"/>
  <c r="F189" i="2"/>
  <c r="I189" i="2" s="1"/>
  <c r="J191" i="2"/>
  <c r="J222" i="2"/>
  <c r="H222" i="2" s="1"/>
  <c r="I222" i="2"/>
  <c r="G222" i="2"/>
  <c r="K222" i="2"/>
  <c r="J242" i="2"/>
  <c r="H242" i="2" s="1"/>
  <c r="I242" i="2"/>
  <c r="K242" i="2"/>
  <c r="G293" i="2"/>
  <c r="F293" i="2"/>
  <c r="K293" i="2" s="1"/>
  <c r="I155" i="2"/>
  <c r="J181" i="2"/>
  <c r="H181" i="2" s="1"/>
  <c r="J187" i="2"/>
  <c r="H187" i="2" s="1"/>
  <c r="G203" i="2"/>
  <c r="F203" i="2"/>
  <c r="K203" i="2" s="1"/>
  <c r="F205" i="2"/>
  <c r="K205" i="2" s="1"/>
  <c r="K230" i="2"/>
  <c r="J230" i="2"/>
  <c r="H230" i="2" s="1"/>
  <c r="K238" i="2"/>
  <c r="J238" i="2"/>
  <c r="H238" i="2" s="1"/>
  <c r="I238" i="2"/>
  <c r="G238" i="2"/>
  <c r="G254" i="2"/>
  <c r="F254" i="2"/>
  <c r="I254" i="2" s="1"/>
  <c r="F201" i="2"/>
  <c r="J201" i="2" s="1"/>
  <c r="H201" i="2" s="1"/>
  <c r="F209" i="2"/>
  <c r="I212" i="2"/>
  <c r="F217" i="2"/>
  <c r="F225" i="2"/>
  <c r="J225" i="2" s="1"/>
  <c r="H225" i="2" s="1"/>
  <c r="J228" i="2"/>
  <c r="J237" i="2"/>
  <c r="H237" i="2" s="1"/>
  <c r="I239" i="2"/>
  <c r="F244" i="2"/>
  <c r="I256" i="2"/>
  <c r="K256" i="2"/>
  <c r="J273" i="2"/>
  <c r="H273" i="2" s="1"/>
  <c r="K273" i="2"/>
  <c r="I273" i="2"/>
  <c r="K303" i="2"/>
  <c r="F322" i="2"/>
  <c r="I322" i="2" s="1"/>
  <c r="G249" i="2"/>
  <c r="F249" i="2"/>
  <c r="I249" i="2" s="1"/>
  <c r="K251" i="2"/>
  <c r="J251" i="2"/>
  <c r="H251" i="2" s="1"/>
  <c r="F269" i="2"/>
  <c r="I279" i="2"/>
  <c r="K279" i="2"/>
  <c r="K281" i="2"/>
  <c r="J281" i="2"/>
  <c r="H281" i="2" s="1"/>
  <c r="I281" i="2"/>
  <c r="G281" i="2"/>
  <c r="J291" i="2"/>
  <c r="H291" i="2" s="1"/>
  <c r="I291" i="2"/>
  <c r="I295" i="2"/>
  <c r="K295" i="2"/>
  <c r="J295" i="2"/>
  <c r="H295" i="2" s="1"/>
  <c r="G295" i="2"/>
  <c r="K315" i="2"/>
  <c r="J315" i="2"/>
  <c r="H315" i="2" s="1"/>
  <c r="I315" i="2"/>
  <c r="G389" i="2"/>
  <c r="F389" i="2"/>
  <c r="K389" i="2" s="1"/>
  <c r="G406" i="2"/>
  <c r="F406" i="2"/>
  <c r="J406" i="2" s="1"/>
  <c r="H406" i="2" s="1"/>
  <c r="K541" i="2"/>
  <c r="I541" i="2"/>
  <c r="K547" i="2"/>
  <c r="I547" i="2"/>
  <c r="I192" i="2"/>
  <c r="I200" i="2"/>
  <c r="I208" i="2"/>
  <c r="I216" i="2"/>
  <c r="I224" i="2"/>
  <c r="J232" i="2"/>
  <c r="H232" i="2" s="1"/>
  <c r="K241" i="2"/>
  <c r="I264" i="2"/>
  <c r="K264" i="2"/>
  <c r="J264" i="2"/>
  <c r="H264" i="2" s="1"/>
  <c r="G264" i="2"/>
  <c r="J279" i="2"/>
  <c r="H279" i="2" s="1"/>
  <c r="F383" i="2"/>
  <c r="I383" i="2" s="1"/>
  <c r="I251" i="2"/>
  <c r="G285" i="2"/>
  <c r="F285" i="2"/>
  <c r="K285" i="2" s="1"/>
  <c r="F359" i="2"/>
  <c r="I359" i="2" s="1"/>
  <c r="I231" i="2"/>
  <c r="G232" i="2"/>
  <c r="J240" i="2"/>
  <c r="H240" i="2" s="1"/>
  <c r="F245" i="2"/>
  <c r="K245" i="2" s="1"/>
  <c r="K247" i="2"/>
  <c r="F250" i="2"/>
  <c r="J250" i="2" s="1"/>
  <c r="H250" i="2" s="1"/>
  <c r="F255" i="2"/>
  <c r="I255" i="2" s="1"/>
  <c r="J259" i="2"/>
  <c r="H259" i="2" s="1"/>
  <c r="I259" i="2"/>
  <c r="F261" i="2"/>
  <c r="K261" i="2" s="1"/>
  <c r="J265" i="2"/>
  <c r="I265" i="2"/>
  <c r="G286" i="2"/>
  <c r="K286" i="2"/>
  <c r="J288" i="2"/>
  <c r="H288" i="2" s="1"/>
  <c r="I288" i="2"/>
  <c r="K288" i="2"/>
  <c r="G288" i="2"/>
  <c r="K299" i="2"/>
  <c r="J299" i="2"/>
  <c r="H299" i="2" s="1"/>
  <c r="G314" i="2"/>
  <c r="F314" i="2"/>
  <c r="J314" i="2" s="1"/>
  <c r="H314" i="2" s="1"/>
  <c r="G359" i="2"/>
  <c r="F450" i="2"/>
  <c r="I450" i="2" s="1"/>
  <c r="G450" i="2"/>
  <c r="G255" i="2"/>
  <c r="K278" i="2"/>
  <c r="J278" i="2"/>
  <c r="H278" i="2" s="1"/>
  <c r="I278" i="2"/>
  <c r="F309" i="2"/>
  <c r="I309" i="2" s="1"/>
  <c r="G321" i="2"/>
  <c r="F321" i="2"/>
  <c r="J321" i="2" s="1"/>
  <c r="H321" i="2" s="1"/>
  <c r="G462" i="2"/>
  <c r="F462" i="2"/>
  <c r="I462" i="2" s="1"/>
  <c r="K298" i="2"/>
  <c r="K305" i="2"/>
  <c r="J305" i="2"/>
  <c r="H305" i="2" s="1"/>
  <c r="J312" i="2"/>
  <c r="H312" i="2" s="1"/>
  <c r="I312" i="2"/>
  <c r="I319" i="2"/>
  <c r="G330" i="2"/>
  <c r="K330" i="2"/>
  <c r="G346" i="2"/>
  <c r="F346" i="2"/>
  <c r="I346" i="2" s="1"/>
  <c r="G349" i="2"/>
  <c r="F349" i="2"/>
  <c r="K349" i="2" s="1"/>
  <c r="K416" i="2"/>
  <c r="G325" i="2"/>
  <c r="F325" i="2"/>
  <c r="J325" i="2" s="1"/>
  <c r="H325" i="2" s="1"/>
  <c r="F333" i="2"/>
  <c r="I333" i="2" s="1"/>
  <c r="G341" i="2"/>
  <c r="F341" i="2"/>
  <c r="J341" i="2" s="1"/>
  <c r="H341" i="2" s="1"/>
  <c r="G365" i="2"/>
  <c r="F365" i="2"/>
  <c r="I365" i="2" s="1"/>
  <c r="F417" i="2"/>
  <c r="J417" i="2" s="1"/>
  <c r="H417" i="2" s="1"/>
  <c r="F466" i="2"/>
  <c r="K466" i="2" s="1"/>
  <c r="F472" i="2"/>
  <c r="J472" i="2" s="1"/>
  <c r="H472" i="2" s="1"/>
  <c r="J319" i="2"/>
  <c r="H319" i="2" s="1"/>
  <c r="F327" i="2"/>
  <c r="I327" i="2" s="1"/>
  <c r="I330" i="2"/>
  <c r="F335" i="2"/>
  <c r="I335" i="2" s="1"/>
  <c r="I338" i="2"/>
  <c r="F343" i="2"/>
  <c r="K343" i="2" s="1"/>
  <c r="G350" i="2"/>
  <c r="G354" i="2"/>
  <c r="F354" i="2"/>
  <c r="I354" i="2" s="1"/>
  <c r="G357" i="2"/>
  <c r="F357" i="2"/>
  <c r="K357" i="2" s="1"/>
  <c r="F375" i="2"/>
  <c r="K375" i="2" s="1"/>
  <c r="G381" i="2"/>
  <c r="F381" i="2"/>
  <c r="K381" i="2" s="1"/>
  <c r="F391" i="2"/>
  <c r="I391" i="2" s="1"/>
  <c r="G397" i="2"/>
  <c r="F397" i="2"/>
  <c r="J397" i="2" s="1"/>
  <c r="H397" i="2" s="1"/>
  <c r="G423" i="2"/>
  <c r="F423" i="2"/>
  <c r="J423" i="2" s="1"/>
  <c r="H423" i="2" s="1"/>
  <c r="G466" i="2"/>
  <c r="F263" i="2"/>
  <c r="I263" i="2" s="1"/>
  <c r="F267" i="2"/>
  <c r="F272" i="2"/>
  <c r="G277" i="2"/>
  <c r="F290" i="2"/>
  <c r="K290" i="2" s="1"/>
  <c r="F297" i="2"/>
  <c r="I297" i="2" s="1"/>
  <c r="I298" i="2"/>
  <c r="G301" i="2"/>
  <c r="F301" i="2"/>
  <c r="F304" i="2"/>
  <c r="I305" i="2"/>
  <c r="F311" i="2"/>
  <c r="K311" i="2" s="1"/>
  <c r="K312" i="2"/>
  <c r="F318" i="2"/>
  <c r="K319" i="2"/>
  <c r="G327" i="2"/>
  <c r="F329" i="2"/>
  <c r="I329" i="2" s="1"/>
  <c r="J330" i="2"/>
  <c r="H330" i="2" s="1"/>
  <c r="F337" i="2"/>
  <c r="I337" i="2" s="1"/>
  <c r="J338" i="2"/>
  <c r="H338" i="2" s="1"/>
  <c r="G343" i="2"/>
  <c r="F350" i="2"/>
  <c r="J350" i="2" s="1"/>
  <c r="H350" i="2" s="1"/>
  <c r="G366" i="2"/>
  <c r="G375" i="2"/>
  <c r="I248" i="2"/>
  <c r="J257" i="2"/>
  <c r="H257" i="2" s="1"/>
  <c r="G263" i="2"/>
  <c r="K266" i="2"/>
  <c r="G272" i="2"/>
  <c r="F280" i="2"/>
  <c r="K280" i="2" s="1"/>
  <c r="F287" i="2"/>
  <c r="I287" i="2" s="1"/>
  <c r="G290" i="2"/>
  <c r="F294" i="2"/>
  <c r="J298" i="2"/>
  <c r="H298" i="2" s="1"/>
  <c r="K306" i="2"/>
  <c r="G311" i="2"/>
  <c r="K313" i="2"/>
  <c r="J313" i="2"/>
  <c r="H313" i="2" s="1"/>
  <c r="J320" i="2"/>
  <c r="K328" i="2" s="1"/>
  <c r="I320" i="2"/>
  <c r="G337" i="2"/>
  <c r="K358" i="2"/>
  <c r="J358" i="2"/>
  <c r="H358" i="2" s="1"/>
  <c r="I358" i="2"/>
  <c r="G358" i="2"/>
  <c r="F366" i="2"/>
  <c r="I366" i="2" s="1"/>
  <c r="J376" i="2"/>
  <c r="H376" i="2" s="1"/>
  <c r="K382" i="2"/>
  <c r="J392" i="2"/>
  <c r="H392" i="2" s="1"/>
  <c r="F409" i="2"/>
  <c r="I409" i="2" s="1"/>
  <c r="F474" i="2"/>
  <c r="J474" i="2" s="1"/>
  <c r="H474" i="2" s="1"/>
  <c r="F477" i="2"/>
  <c r="I477" i="2" s="1"/>
  <c r="G477" i="2"/>
  <c r="F543" i="2"/>
  <c r="K543" i="2" s="1"/>
  <c r="G543" i="2"/>
  <c r="I277" i="2"/>
  <c r="K289" i="2"/>
  <c r="J289" i="2"/>
  <c r="H289" i="2" s="1"/>
  <c r="J296" i="2"/>
  <c r="H296" i="2" s="1"/>
  <c r="I296" i="2"/>
  <c r="I303" i="2"/>
  <c r="G317" i="2"/>
  <c r="F317" i="2"/>
  <c r="K326" i="2"/>
  <c r="G326" i="2"/>
  <c r="K334" i="2"/>
  <c r="G334" i="2"/>
  <c r="I351" i="2"/>
  <c r="K367" i="2"/>
  <c r="J367" i="2"/>
  <c r="H367" i="2" s="1"/>
  <c r="I367" i="2"/>
  <c r="G415" i="2"/>
  <c r="F415" i="2"/>
  <c r="K415" i="2" s="1"/>
  <c r="J434" i="2"/>
  <c r="F446" i="2"/>
  <c r="F456" i="2"/>
  <c r="I456" i="2" s="1"/>
  <c r="G456" i="2"/>
  <c r="I424" i="2"/>
  <c r="J433" i="2"/>
  <c r="H433" i="2" s="1"/>
  <c r="F453" i="2"/>
  <c r="K453" i="2" s="1"/>
  <c r="K455" i="2"/>
  <c r="I459" i="2"/>
  <c r="F469" i="2"/>
  <c r="K469" i="2" s="1"/>
  <c r="F480" i="2"/>
  <c r="I480" i="2" s="1"/>
  <c r="K484" i="2"/>
  <c r="J484" i="2"/>
  <c r="H484" i="2" s="1"/>
  <c r="K610" i="2"/>
  <c r="J610" i="2"/>
  <c r="H610" i="2" s="1"/>
  <c r="I328" i="2"/>
  <c r="I336" i="2"/>
  <c r="I344" i="2"/>
  <c r="J345" i="2"/>
  <c r="H345" i="2" s="1"/>
  <c r="I352" i="2"/>
  <c r="J353" i="2"/>
  <c r="I360" i="2"/>
  <c r="J361" i="2"/>
  <c r="K363" i="2" s="1"/>
  <c r="I368" i="2"/>
  <c r="J369" i="2"/>
  <c r="H369" i="2" s="1"/>
  <c r="G374" i="2"/>
  <c r="I376" i="2"/>
  <c r="J377" i="2"/>
  <c r="H377" i="2" s="1"/>
  <c r="G382" i="2"/>
  <c r="I384" i="2"/>
  <c r="J385" i="2"/>
  <c r="G390" i="2"/>
  <c r="I392" i="2"/>
  <c r="J393" i="2"/>
  <c r="H393" i="2" s="1"/>
  <c r="I400" i="2"/>
  <c r="J401" i="2"/>
  <c r="H401" i="2" s="1"/>
  <c r="K402" i="2"/>
  <c r="G408" i="2"/>
  <c r="I410" i="2"/>
  <c r="J411" i="2"/>
  <c r="H411" i="2" s="1"/>
  <c r="K412" i="2"/>
  <c r="G416" i="2"/>
  <c r="I418" i="2"/>
  <c r="J419" i="2"/>
  <c r="H419" i="2" s="1"/>
  <c r="K420" i="2"/>
  <c r="I425" i="2"/>
  <c r="J430" i="2"/>
  <c r="H430" i="2" s="1"/>
  <c r="I432" i="2"/>
  <c r="G433" i="2"/>
  <c r="I434" i="2"/>
  <c r="K435" i="2"/>
  <c r="J439" i="2"/>
  <c r="H439" i="2" s="1"/>
  <c r="J441" i="2"/>
  <c r="H441" i="2" s="1"/>
  <c r="I443" i="2"/>
  <c r="J444" i="2"/>
  <c r="H444" i="2" s="1"/>
  <c r="I447" i="2"/>
  <c r="J449" i="2"/>
  <c r="H449" i="2" s="1"/>
  <c r="G459" i="2"/>
  <c r="I463" i="2"/>
  <c r="J465" i="2"/>
  <c r="H465" i="2" s="1"/>
  <c r="G465" i="2"/>
  <c r="F502" i="2"/>
  <c r="J502" i="2" s="1"/>
  <c r="H502" i="2" s="1"/>
  <c r="G502" i="2"/>
  <c r="K345" i="2"/>
  <c r="K361" i="2"/>
  <c r="K369" i="2"/>
  <c r="K377" i="2"/>
  <c r="K385" i="2"/>
  <c r="K393" i="2"/>
  <c r="K401" i="2"/>
  <c r="K411" i="2"/>
  <c r="K419" i="2"/>
  <c r="I429" i="2"/>
  <c r="K430" i="2"/>
  <c r="I438" i="2"/>
  <c r="J447" i="2"/>
  <c r="H447" i="2" s="1"/>
  <c r="J463" i="2"/>
  <c r="H463" i="2" s="1"/>
  <c r="K476" i="2"/>
  <c r="J476" i="2"/>
  <c r="H476" i="2" s="1"/>
  <c r="J481" i="2"/>
  <c r="H481" i="2" s="1"/>
  <c r="G481" i="2"/>
  <c r="F483" i="2"/>
  <c r="K483" i="2" s="1"/>
  <c r="I484" i="2"/>
  <c r="F496" i="2"/>
  <c r="J496" i="2" s="1"/>
  <c r="H496" i="2" s="1"/>
  <c r="G496" i="2"/>
  <c r="J513" i="2"/>
  <c r="H513" i="2" s="1"/>
  <c r="I374" i="2"/>
  <c r="I382" i="2"/>
  <c r="I390" i="2"/>
  <c r="I398" i="2"/>
  <c r="I408" i="2"/>
  <c r="I416" i="2"/>
  <c r="J424" i="2"/>
  <c r="H424" i="2" s="1"/>
  <c r="K426" i="2"/>
  <c r="J429" i="2"/>
  <c r="H429" i="2" s="1"/>
  <c r="I433" i="2"/>
  <c r="J438" i="2"/>
  <c r="H438" i="2" s="1"/>
  <c r="I440" i="2"/>
  <c r="I442" i="2"/>
  <c r="F445" i="2"/>
  <c r="I445" i="2" s="1"/>
  <c r="I451" i="2"/>
  <c r="J459" i="2"/>
  <c r="H459" i="2" s="1"/>
  <c r="F461" i="2"/>
  <c r="K461" i="2" s="1"/>
  <c r="I467" i="2"/>
  <c r="F485" i="2"/>
  <c r="K485" i="2" s="1"/>
  <c r="K503" i="2"/>
  <c r="I503" i="2"/>
  <c r="G549" i="2"/>
  <c r="F549" i="2"/>
  <c r="K549" i="2" s="1"/>
  <c r="F623" i="2"/>
  <c r="I623" i="2" s="1"/>
  <c r="G623" i="2"/>
  <c r="F362" i="2"/>
  <c r="F370" i="2"/>
  <c r="K370" i="2" s="1"/>
  <c r="J374" i="2"/>
  <c r="H374" i="2" s="1"/>
  <c r="F378" i="2"/>
  <c r="J382" i="2"/>
  <c r="H382" i="2" s="1"/>
  <c r="F386" i="2"/>
  <c r="J390" i="2"/>
  <c r="H390" i="2" s="1"/>
  <c r="F394" i="2"/>
  <c r="J398" i="2"/>
  <c r="H398" i="2" s="1"/>
  <c r="J408" i="2"/>
  <c r="H408" i="2" s="1"/>
  <c r="F448" i="2"/>
  <c r="K448" i="2" s="1"/>
  <c r="F464" i="2"/>
  <c r="G473" i="2"/>
  <c r="G489" i="2"/>
  <c r="F489" i="2"/>
  <c r="J489" i="2" s="1"/>
  <c r="H489" i="2" s="1"/>
  <c r="K497" i="2"/>
  <c r="J497" i="2"/>
  <c r="H497" i="2" s="1"/>
  <c r="G500" i="2"/>
  <c r="F500" i="2"/>
  <c r="K500" i="2" s="1"/>
  <c r="K563" i="2"/>
  <c r="I563" i="2"/>
  <c r="F581" i="2"/>
  <c r="I581" i="2" s="1"/>
  <c r="J595" i="2"/>
  <c r="H595" i="2" s="1"/>
  <c r="K595" i="2"/>
  <c r="I595" i="2"/>
  <c r="J425" i="2"/>
  <c r="H425" i="2" s="1"/>
  <c r="G426" i="2"/>
  <c r="G448" i="2"/>
  <c r="F454" i="2"/>
  <c r="J454" i="2" s="1"/>
  <c r="H454" i="2" s="1"/>
  <c r="J457" i="2"/>
  <c r="H457" i="2" s="1"/>
  <c r="G457" i="2"/>
  <c r="F470" i="2"/>
  <c r="K470" i="2" s="1"/>
  <c r="F473" i="2"/>
  <c r="J473" i="2" s="1"/>
  <c r="H473" i="2" s="1"/>
  <c r="F475" i="2"/>
  <c r="I497" i="2"/>
  <c r="G613" i="2"/>
  <c r="F613" i="2"/>
  <c r="K613" i="2" s="1"/>
  <c r="K493" i="2"/>
  <c r="I505" i="2"/>
  <c r="G505" i="2"/>
  <c r="F510" i="2"/>
  <c r="F515" i="2"/>
  <c r="K515" i="2" s="1"/>
  <c r="F520" i="2"/>
  <c r="I520" i="2" s="1"/>
  <c r="J532" i="2"/>
  <c r="H532" i="2" s="1"/>
  <c r="G532" i="2"/>
  <c r="K537" i="2"/>
  <c r="F539" i="2"/>
  <c r="J539" i="2" s="1"/>
  <c r="H539" i="2" s="1"/>
  <c r="J541" i="2"/>
  <c r="K546" i="2" s="1"/>
  <c r="J547" i="2"/>
  <c r="H547" i="2" s="1"/>
  <c r="F554" i="2"/>
  <c r="J554" i="2" s="1"/>
  <c r="F575" i="2"/>
  <c r="I575" i="2" s="1"/>
  <c r="G575" i="2"/>
  <c r="F601" i="2"/>
  <c r="J601" i="2" s="1"/>
  <c r="G632" i="2"/>
  <c r="F632" i="2"/>
  <c r="I632" i="2" s="1"/>
  <c r="F499" i="2"/>
  <c r="J499" i="2" s="1"/>
  <c r="H499" i="2" s="1"/>
  <c r="F507" i="2"/>
  <c r="J507" i="2" s="1"/>
  <c r="H507" i="2" s="1"/>
  <c r="F512" i="2"/>
  <c r="J512" i="2" s="1"/>
  <c r="H512" i="2" s="1"/>
  <c r="G524" i="2"/>
  <c r="G529" i="2"/>
  <c r="F534" i="2"/>
  <c r="J534" i="2" s="1"/>
  <c r="H534" i="2" s="1"/>
  <c r="F569" i="2"/>
  <c r="J569" i="2" s="1"/>
  <c r="H569" i="2" s="1"/>
  <c r="J611" i="2"/>
  <c r="H611" i="2" s="1"/>
  <c r="K611" i="2"/>
  <c r="I611" i="2"/>
  <c r="F488" i="2"/>
  <c r="J488" i="2" s="1"/>
  <c r="H488" i="2" s="1"/>
  <c r="I490" i="2"/>
  <c r="J492" i="2"/>
  <c r="H492" i="2" s="1"/>
  <c r="I493" i="2"/>
  <c r="J495" i="2"/>
  <c r="H495" i="2" s="1"/>
  <c r="G499" i="2"/>
  <c r="J505" i="2"/>
  <c r="H505" i="2" s="1"/>
  <c r="G507" i="2"/>
  <c r="K509" i="2"/>
  <c r="F524" i="2"/>
  <c r="I524" i="2" s="1"/>
  <c r="F529" i="2"/>
  <c r="I529" i="2" s="1"/>
  <c r="I532" i="2"/>
  <c r="G534" i="2"/>
  <c r="K535" i="2"/>
  <c r="G569" i="2"/>
  <c r="F591" i="2"/>
  <c r="I591" i="2" s="1"/>
  <c r="G591" i="2"/>
  <c r="F617" i="2"/>
  <c r="K617" i="2" s="1"/>
  <c r="I482" i="2"/>
  <c r="G488" i="2"/>
  <c r="J493" i="2"/>
  <c r="H493" i="2" s="1"/>
  <c r="K501" i="2"/>
  <c r="F504" i="2"/>
  <c r="J504" i="2" s="1"/>
  <c r="K505" i="2"/>
  <c r="J516" i="2"/>
  <c r="H516" i="2" s="1"/>
  <c r="I517" i="2"/>
  <c r="I521" i="2"/>
  <c r="G521" i="2"/>
  <c r="I522" i="2"/>
  <c r="F526" i="2"/>
  <c r="I526" i="2" s="1"/>
  <c r="I527" i="2"/>
  <c r="F531" i="2"/>
  <c r="J531" i="2" s="1"/>
  <c r="H531" i="2" s="1"/>
  <c r="K532" i="2"/>
  <c r="G536" i="2"/>
  <c r="F536" i="2"/>
  <c r="K536" i="2" s="1"/>
  <c r="I538" i="2"/>
  <c r="K538" i="2"/>
  <c r="G538" i="2"/>
  <c r="F540" i="2"/>
  <c r="J540" i="2" s="1"/>
  <c r="H540" i="2" s="1"/>
  <c r="G544" i="2"/>
  <c r="F544" i="2"/>
  <c r="K544" i="2" s="1"/>
  <c r="F548" i="2"/>
  <c r="K548" i="2" s="1"/>
  <c r="G548" i="2"/>
  <c r="K579" i="2"/>
  <c r="I579" i="2"/>
  <c r="K592" i="2"/>
  <c r="G617" i="2"/>
  <c r="K527" i="2"/>
  <c r="F559" i="2"/>
  <c r="K559" i="2" s="1"/>
  <c r="G559" i="2"/>
  <c r="F585" i="2"/>
  <c r="K585" i="2" s="1"/>
  <c r="G625" i="2"/>
  <c r="F625" i="2"/>
  <c r="K625" i="2" s="1"/>
  <c r="F634" i="2"/>
  <c r="F491" i="2"/>
  <c r="I492" i="2"/>
  <c r="F494" i="2"/>
  <c r="J494" i="2" s="1"/>
  <c r="G501" i="2"/>
  <c r="J503" i="2"/>
  <c r="H503" i="2" s="1"/>
  <c r="J508" i="2"/>
  <c r="H508" i="2" s="1"/>
  <c r="G508" i="2"/>
  <c r="I513" i="2"/>
  <c r="G513" i="2"/>
  <c r="I514" i="2"/>
  <c r="F518" i="2"/>
  <c r="I518" i="2" s="1"/>
  <c r="F523" i="2"/>
  <c r="J523" i="2" s="1"/>
  <c r="H523" i="2" s="1"/>
  <c r="F528" i="2"/>
  <c r="F553" i="2"/>
  <c r="I553" i="2" s="1"/>
  <c r="J560" i="2"/>
  <c r="H560" i="2" s="1"/>
  <c r="K560" i="2"/>
  <c r="F565" i="2"/>
  <c r="I565" i="2" s="1"/>
  <c r="G585" i="2"/>
  <c r="F607" i="2"/>
  <c r="I607" i="2" s="1"/>
  <c r="G607" i="2"/>
  <c r="I630" i="2"/>
  <c r="J511" i="2"/>
  <c r="H511" i="2" s="1"/>
  <c r="J519" i="2"/>
  <c r="H519" i="2" s="1"/>
  <c r="I546" i="2"/>
  <c r="I557" i="2"/>
  <c r="I562" i="2"/>
  <c r="F572" i="2"/>
  <c r="K572" i="2" s="1"/>
  <c r="I573" i="2"/>
  <c r="I578" i="2"/>
  <c r="F588" i="2"/>
  <c r="I589" i="2"/>
  <c r="I594" i="2"/>
  <c r="I605" i="2"/>
  <c r="I610" i="2"/>
  <c r="F620" i="2"/>
  <c r="I621" i="2"/>
  <c r="G552" i="2"/>
  <c r="G600" i="2"/>
  <c r="G616" i="2"/>
  <c r="G639" i="2"/>
  <c r="F639" i="2"/>
  <c r="K639" i="2" s="1"/>
  <c r="I537" i="2"/>
  <c r="I542" i="2"/>
  <c r="F545" i="2"/>
  <c r="F552" i="2"/>
  <c r="K552" i="2" s="1"/>
  <c r="K561" i="2"/>
  <c r="F568" i="2"/>
  <c r="F584" i="2"/>
  <c r="K584" i="2" s="1"/>
  <c r="K593" i="2"/>
  <c r="F600" i="2"/>
  <c r="K600" i="2" s="1"/>
  <c r="K609" i="2"/>
  <c r="F616" i="2"/>
  <c r="K616" i="2" s="1"/>
  <c r="K633" i="2"/>
  <c r="K640" i="2"/>
  <c r="J640" i="2"/>
  <c r="H640" i="2" s="1"/>
  <c r="I640" i="2"/>
  <c r="G640" i="2"/>
  <c r="F564" i="2"/>
  <c r="I564" i="2" s="1"/>
  <c r="F580" i="2"/>
  <c r="I580" i="2" s="1"/>
  <c r="F596" i="2"/>
  <c r="I596" i="2" s="1"/>
  <c r="F612" i="2"/>
  <c r="I612" i="2" s="1"/>
  <c r="G629" i="2"/>
  <c r="F629" i="2"/>
  <c r="K629" i="2" s="1"/>
  <c r="F631" i="2"/>
  <c r="J631" i="2" s="1"/>
  <c r="H631" i="2" s="1"/>
  <c r="F551" i="2"/>
  <c r="K551" i="2" s="1"/>
  <c r="G561" i="2"/>
  <c r="K562" i="2"/>
  <c r="F567" i="2"/>
  <c r="F570" i="2"/>
  <c r="K570" i="2" s="1"/>
  <c r="K578" i="2"/>
  <c r="G580" i="2"/>
  <c r="F583" i="2"/>
  <c r="F586" i="2"/>
  <c r="K586" i="2" s="1"/>
  <c r="G593" i="2"/>
  <c r="K594" i="2"/>
  <c r="F599" i="2"/>
  <c r="K599" i="2" s="1"/>
  <c r="F602" i="2"/>
  <c r="K602" i="2" s="1"/>
  <c r="G609" i="2"/>
  <c r="F615" i="2"/>
  <c r="K615" i="2" s="1"/>
  <c r="F618" i="2"/>
  <c r="J624" i="2"/>
  <c r="H624" i="2" s="1"/>
  <c r="I624" i="2"/>
  <c r="K626" i="2"/>
  <c r="I626" i="2"/>
  <c r="G631" i="2"/>
  <c r="J563" i="2"/>
  <c r="H563" i="2" s="1"/>
  <c r="J576" i="2"/>
  <c r="H576" i="2" s="1"/>
  <c r="G576" i="2"/>
  <c r="J579" i="2"/>
  <c r="H579" i="2" s="1"/>
  <c r="J592" i="2"/>
  <c r="H592" i="2" s="1"/>
  <c r="G592" i="2"/>
  <c r="J608" i="2"/>
  <c r="H608" i="2" s="1"/>
  <c r="G608" i="2"/>
  <c r="I635" i="2"/>
  <c r="J630" i="2"/>
  <c r="J638" i="2"/>
  <c r="F642" i="2"/>
  <c r="J642" i="2" s="1"/>
  <c r="H642" i="2" s="1"/>
  <c r="G643" i="2"/>
  <c r="G642" i="2"/>
  <c r="F648" i="2"/>
  <c r="I648" i="2" s="1"/>
  <c r="K628" i="2"/>
  <c r="K636" i="2"/>
  <c r="F647" i="2"/>
  <c r="K647" i="2" s="1"/>
  <c r="G648" i="2"/>
  <c r="I641" i="2"/>
  <c r="F646" i="2"/>
  <c r="K646" i="2" s="1"/>
  <c r="G647" i="2"/>
  <c r="J633" i="2"/>
  <c r="H633" i="2" s="1"/>
  <c r="F645" i="2"/>
  <c r="G646" i="2"/>
  <c r="F644" i="2"/>
  <c r="K619" i="2" l="1"/>
  <c r="G619" i="2" s="1"/>
  <c r="H490" i="2"/>
  <c r="G490" i="2"/>
  <c r="H364" i="2"/>
  <c r="G364" i="2"/>
  <c r="K175" i="2"/>
  <c r="G175" i="2" s="1"/>
  <c r="K79" i="2"/>
  <c r="H50" i="2"/>
  <c r="G50" i="2"/>
  <c r="I22" i="2"/>
  <c r="I45" i="2"/>
  <c r="G41" i="2"/>
  <c r="H638" i="2"/>
  <c r="G638" i="2"/>
  <c r="H414" i="2"/>
  <c r="G414" i="2"/>
  <c r="H412" i="2"/>
  <c r="G412" i="2"/>
  <c r="H403" i="2"/>
  <c r="G403" i="2"/>
  <c r="K213" i="2"/>
  <c r="G75" i="2"/>
  <c r="G487" i="2"/>
  <c r="G562" i="2"/>
  <c r="H630" i="2"/>
  <c r="H628" i="2"/>
  <c r="G628" i="2"/>
  <c r="G624" i="2"/>
  <c r="H601" i="2"/>
  <c r="K577" i="2"/>
  <c r="G577" i="2" s="1"/>
  <c r="G546" i="2"/>
  <c r="G560" i="2"/>
  <c r="H554" i="2"/>
  <c r="H541" i="2"/>
  <c r="G541" i="2"/>
  <c r="K516" i="2"/>
  <c r="G516" i="2" s="1"/>
  <c r="H504" i="2"/>
  <c r="H494" i="2"/>
  <c r="G492" i="2"/>
  <c r="K475" i="2"/>
  <c r="K442" i="2"/>
  <c r="G442" i="2" s="1"/>
  <c r="K464" i="2"/>
  <c r="H458" i="2"/>
  <c r="G458" i="2"/>
  <c r="H427" i="2"/>
  <c r="G427" i="2"/>
  <c r="G273" i="2"/>
  <c r="K282" i="2"/>
  <c r="G282" i="2" s="1"/>
  <c r="H443" i="2"/>
  <c r="K451" i="2"/>
  <c r="G451" i="2" s="1"/>
  <c r="G440" i="2"/>
  <c r="K434" i="2"/>
  <c r="G434" i="2" s="1"/>
  <c r="H437" i="2"/>
  <c r="G437" i="2"/>
  <c r="H434" i="2"/>
  <c r="G424" i="2"/>
  <c r="G396" i="2"/>
  <c r="K191" i="2"/>
  <c r="G191" i="2" s="1"/>
  <c r="G241" i="2"/>
  <c r="K398" i="2"/>
  <c r="G398" i="2" s="1"/>
  <c r="H402" i="2"/>
  <c r="G402" i="2"/>
  <c r="K386" i="2"/>
  <c r="H385" i="2"/>
  <c r="G385" i="2"/>
  <c r="K351" i="2"/>
  <c r="G351" i="2" s="1"/>
  <c r="H371" i="2"/>
  <c r="H368" i="2"/>
  <c r="G368" i="2"/>
  <c r="H363" i="2"/>
  <c r="G363" i="2"/>
  <c r="H361" i="2"/>
  <c r="G361" i="2"/>
  <c r="H353" i="2"/>
  <c r="H328" i="2"/>
  <c r="G328" i="2"/>
  <c r="H320" i="2"/>
  <c r="G320" i="2"/>
  <c r="K318" i="2"/>
  <c r="K304" i="2"/>
  <c r="H306" i="2"/>
  <c r="G306" i="2"/>
  <c r="H292" i="2"/>
  <c r="G276" i="2"/>
  <c r="G278" i="2"/>
  <c r="H265" i="2"/>
  <c r="H170" i="2"/>
  <c r="G170" i="2"/>
  <c r="G182" i="2"/>
  <c r="H161" i="2"/>
  <c r="G161" i="2"/>
  <c r="H210" i="2"/>
  <c r="G210" i="2"/>
  <c r="H207" i="2"/>
  <c r="G207" i="2"/>
  <c r="H228" i="2"/>
  <c r="G228" i="2"/>
  <c r="H212" i="2"/>
  <c r="H204" i="2"/>
  <c r="K177" i="2"/>
  <c r="H191" i="2"/>
  <c r="H185" i="2"/>
  <c r="G185" i="2"/>
  <c r="H178" i="2"/>
  <c r="G178" i="2"/>
  <c r="H172" i="2"/>
  <c r="G172" i="2"/>
  <c r="H175" i="2"/>
  <c r="H163" i="2"/>
  <c r="G163" i="2"/>
  <c r="H152" i="2"/>
  <c r="H143" i="2"/>
  <c r="G143" i="2"/>
  <c r="H128" i="2"/>
  <c r="G128" i="2"/>
  <c r="H123" i="2"/>
  <c r="G123" i="2"/>
  <c r="H119" i="2"/>
  <c r="G119" i="2"/>
  <c r="H106" i="2"/>
  <c r="G106" i="2"/>
  <c r="H112" i="2"/>
  <c r="H104" i="2"/>
  <c r="H83" i="2"/>
  <c r="G83" i="2"/>
  <c r="K90" i="2"/>
  <c r="G90" i="2" s="1"/>
  <c r="H90" i="2"/>
  <c r="G47" i="2"/>
  <c r="G71" i="2"/>
  <c r="K17" i="2"/>
  <c r="G17" i="2" s="1"/>
  <c r="I245" i="2"/>
  <c r="J335" i="2"/>
  <c r="K580" i="2"/>
  <c r="H49" i="2"/>
  <c r="G44" i="2"/>
  <c r="I496" i="2"/>
  <c r="J453" i="2"/>
  <c r="H453" i="2" s="1"/>
  <c r="K35" i="2"/>
  <c r="G35" i="2" s="1"/>
  <c r="J137" i="2"/>
  <c r="I543" i="2"/>
  <c r="I350" i="2"/>
  <c r="I600" i="2"/>
  <c r="K623" i="2"/>
  <c r="I483" i="2"/>
  <c r="J327" i="2"/>
  <c r="H327" i="2" s="1"/>
  <c r="I539" i="2"/>
  <c r="I57" i="2"/>
  <c r="J318" i="2"/>
  <c r="K329" i="2" s="1"/>
  <c r="J520" i="2"/>
  <c r="H520" i="2" s="1"/>
  <c r="I534" i="2"/>
  <c r="J48" i="2"/>
  <c r="H48" i="2" s="1"/>
  <c r="K499" i="2"/>
  <c r="K539" i="2"/>
  <c r="J129" i="2"/>
  <c r="K327" i="2"/>
  <c r="J133" i="2"/>
  <c r="H133" i="2" s="1"/>
  <c r="I570" i="2"/>
  <c r="I625" i="2"/>
  <c r="J515" i="2"/>
  <c r="H515" i="2" s="1"/>
  <c r="J113" i="2"/>
  <c r="J149" i="2"/>
  <c r="H149" i="2" s="1"/>
  <c r="J639" i="2"/>
  <c r="H639" i="2" s="1"/>
  <c r="J213" i="2"/>
  <c r="K581" i="2" s="1"/>
  <c r="K149" i="2"/>
  <c r="J285" i="2"/>
  <c r="H285" i="2" s="1"/>
  <c r="K472" i="2"/>
  <c r="K346" i="2"/>
  <c r="I642" i="2"/>
  <c r="K534" i="2"/>
  <c r="J197" i="2"/>
  <c r="H197" i="2" s="1"/>
  <c r="G6" i="2"/>
  <c r="J637" i="2"/>
  <c r="J500" i="2"/>
  <c r="H500" i="2" s="1"/>
  <c r="J227" i="2"/>
  <c r="H227" i="2" s="1"/>
  <c r="I227" i="2"/>
  <c r="J57" i="2"/>
  <c r="H57" i="2" s="1"/>
  <c r="H19" i="2"/>
  <c r="G19" i="2"/>
  <c r="J510" i="2"/>
  <c r="I56" i="2"/>
  <c r="J625" i="2"/>
  <c r="H625" i="2" s="1"/>
  <c r="I510" i="2"/>
  <c r="J462" i="2"/>
  <c r="H462" i="2" s="1"/>
  <c r="I293" i="2"/>
  <c r="I584" i="2"/>
  <c r="K564" i="2"/>
  <c r="I499" i="2"/>
  <c r="J69" i="2"/>
  <c r="H69" i="2" s="1"/>
  <c r="I95" i="2"/>
  <c r="I357" i="2"/>
  <c r="J215" i="2"/>
  <c r="H215" i="2" s="1"/>
  <c r="K229" i="2"/>
  <c r="K174" i="2"/>
  <c r="I258" i="2"/>
  <c r="K85" i="2"/>
  <c r="I453" i="2"/>
  <c r="J415" i="2"/>
  <c r="H415" i="2" s="1"/>
  <c r="I318" i="2"/>
  <c r="J357" i="2"/>
  <c r="H357" i="2" s="1"/>
  <c r="K417" i="2"/>
  <c r="K215" i="2"/>
  <c r="I586" i="2"/>
  <c r="I567" i="2"/>
  <c r="J591" i="2"/>
  <c r="H591" i="2" s="1"/>
  <c r="K520" i="2"/>
  <c r="K488" i="2"/>
  <c r="J354" i="2"/>
  <c r="H354" i="2" s="1"/>
  <c r="I349" i="2"/>
  <c r="K462" i="2"/>
  <c r="J81" i="2"/>
  <c r="H81" i="2" s="1"/>
  <c r="K335" i="2"/>
  <c r="I397" i="2"/>
  <c r="K399" i="2"/>
  <c r="J89" i="2"/>
  <c r="H89" i="2" s="1"/>
  <c r="J399" i="2"/>
  <c r="H399" i="2" s="1"/>
  <c r="J647" i="2"/>
  <c r="H647" i="2" s="1"/>
  <c r="I637" i="2"/>
  <c r="K596" i="2"/>
  <c r="K496" i="2"/>
  <c r="K354" i="2"/>
  <c r="I417" i="2"/>
  <c r="J359" i="2"/>
  <c r="H359" i="2" s="1"/>
  <c r="K406" i="2"/>
  <c r="J45" i="2"/>
  <c r="H45" i="2" s="1"/>
  <c r="I65" i="2"/>
  <c r="J280" i="2"/>
  <c r="H280" i="2" s="1"/>
  <c r="J480" i="2"/>
  <c r="I49" i="2"/>
  <c r="K642" i="2"/>
  <c r="I504" i="2"/>
  <c r="J634" i="2"/>
  <c r="J567" i="2"/>
  <c r="K568" i="2" s="1"/>
  <c r="J623" i="2"/>
  <c r="H623" i="2" s="1"/>
  <c r="I285" i="2"/>
  <c r="I118" i="2"/>
  <c r="K502" i="2"/>
  <c r="J477" i="2"/>
  <c r="H477" i="2" s="1"/>
  <c r="K341" i="2"/>
  <c r="K397" i="2"/>
  <c r="J337" i="2"/>
  <c r="H337" i="2" s="1"/>
  <c r="K49" i="2"/>
  <c r="J85" i="2"/>
  <c r="H85" i="2" s="1"/>
  <c r="I583" i="2"/>
  <c r="I502" i="2"/>
  <c r="K477" i="2"/>
  <c r="K337" i="2"/>
  <c r="I269" i="2"/>
  <c r="I164" i="2"/>
  <c r="K168" i="2"/>
  <c r="I203" i="2"/>
  <c r="J164" i="2"/>
  <c r="H164" i="2" s="1"/>
  <c r="K117" i="2"/>
  <c r="J16" i="2"/>
  <c r="H16" i="2" s="1"/>
  <c r="K221" i="2"/>
  <c r="K165" i="2"/>
  <c r="J553" i="2"/>
  <c r="K588" i="2" s="1"/>
  <c r="J602" i="2"/>
  <c r="H602" i="2" s="1"/>
  <c r="J524" i="2"/>
  <c r="H524" i="2" s="1"/>
  <c r="I613" i="2"/>
  <c r="I446" i="2"/>
  <c r="J333" i="2"/>
  <c r="K342" i="2" s="1"/>
  <c r="G342" i="2" s="1"/>
  <c r="I389" i="2"/>
  <c r="J293" i="2"/>
  <c r="H293" i="2" s="1"/>
  <c r="I197" i="2"/>
  <c r="K69" i="2"/>
  <c r="I40" i="2"/>
  <c r="I93" i="2"/>
  <c r="J258" i="2"/>
  <c r="H258" i="2" s="1"/>
  <c r="K133" i="2"/>
  <c r="I7" i="2"/>
  <c r="J221" i="2"/>
  <c r="K292" i="2" s="1"/>
  <c r="G292" i="2" s="1"/>
  <c r="K118" i="2"/>
  <c r="I125" i="2"/>
  <c r="J26" i="2"/>
  <c r="H26" i="2" s="1"/>
  <c r="J7" i="2"/>
  <c r="H7" i="2" s="1"/>
  <c r="K250" i="2"/>
  <c r="K40" i="2"/>
  <c r="J565" i="2"/>
  <c r="K567" i="2" s="1"/>
  <c r="K553" i="2"/>
  <c r="I634" i="2"/>
  <c r="J613" i="2"/>
  <c r="H613" i="2" s="1"/>
  <c r="J475" i="2"/>
  <c r="J446" i="2"/>
  <c r="J450" i="2"/>
  <c r="H450" i="2" s="1"/>
  <c r="J383" i="2"/>
  <c r="J389" i="2"/>
  <c r="H389" i="2" s="1"/>
  <c r="J373" i="2"/>
  <c r="H373" i="2" s="1"/>
  <c r="I302" i="2"/>
  <c r="I64" i="2"/>
  <c r="J8" i="2"/>
  <c r="H8" i="2" s="1"/>
  <c r="K86" i="2"/>
  <c r="J39" i="2"/>
  <c r="H39" i="2" s="1"/>
  <c r="I544" i="2"/>
  <c r="I569" i="2"/>
  <c r="J575" i="2"/>
  <c r="H575" i="2" s="1"/>
  <c r="J469" i="2"/>
  <c r="H469" i="2" s="1"/>
  <c r="J543" i="2"/>
  <c r="H543" i="2" s="1"/>
  <c r="J464" i="2"/>
  <c r="I472" i="2"/>
  <c r="K450" i="2"/>
  <c r="J269" i="2"/>
  <c r="K383" i="2" s="1"/>
  <c r="K302" i="2"/>
  <c r="J121" i="2"/>
  <c r="H121" i="2" s="1"/>
  <c r="K113" i="2"/>
  <c r="K81" i="2"/>
  <c r="K64" i="2"/>
  <c r="I39" i="2"/>
  <c r="J65" i="2"/>
  <c r="H65" i="2" s="1"/>
  <c r="I26" i="2"/>
  <c r="J648" i="2"/>
  <c r="H648" i="2" s="1"/>
  <c r="I602" i="2"/>
  <c r="J584" i="2"/>
  <c r="I540" i="2"/>
  <c r="K531" i="2"/>
  <c r="K569" i="2"/>
  <c r="K575" i="2"/>
  <c r="I488" i="2"/>
  <c r="I469" i="2"/>
  <c r="I474" i="2"/>
  <c r="I381" i="2"/>
  <c r="J365" i="2"/>
  <c r="H365" i="2" s="1"/>
  <c r="K321" i="2"/>
  <c r="J255" i="2"/>
  <c r="H255" i="2" s="1"/>
  <c r="J322" i="2"/>
  <c r="H322" i="2" s="1"/>
  <c r="I214" i="2"/>
  <c r="K233" i="2"/>
  <c r="I79" i="2"/>
  <c r="K73" i="2"/>
  <c r="K246" i="2"/>
  <c r="I126" i="2"/>
  <c r="J536" i="2"/>
  <c r="H536" i="2" s="1"/>
  <c r="J297" i="2"/>
  <c r="K371" i="2" s="1"/>
  <c r="G371" i="2" s="1"/>
  <c r="J448" i="2"/>
  <c r="H448" i="2" s="1"/>
  <c r="J309" i="2"/>
  <c r="K338" i="2" s="1"/>
  <c r="G338" i="2" s="1"/>
  <c r="K101" i="2"/>
  <c r="J110" i="2"/>
  <c r="H110" i="2" s="1"/>
  <c r="J79" i="2"/>
  <c r="K108" i="2" s="1"/>
  <c r="J56" i="2"/>
  <c r="H56" i="2" s="1"/>
  <c r="K160" i="2"/>
  <c r="I246" i="2"/>
  <c r="I536" i="2"/>
  <c r="J629" i="2"/>
  <c r="H629" i="2" s="1"/>
  <c r="K631" i="2"/>
  <c r="J607" i="2"/>
  <c r="H607" i="2" s="1"/>
  <c r="J570" i="2"/>
  <c r="H570" i="2" s="1"/>
  <c r="J581" i="2"/>
  <c r="J456" i="2"/>
  <c r="H456" i="2" s="1"/>
  <c r="K350" i="2"/>
  <c r="K309" i="2"/>
  <c r="I250" i="2"/>
  <c r="J189" i="2"/>
  <c r="H189" i="2" s="1"/>
  <c r="I229" i="2"/>
  <c r="J101" i="2"/>
  <c r="H101" i="2" s="1"/>
  <c r="J254" i="2"/>
  <c r="H254" i="2" s="1"/>
  <c r="J141" i="2"/>
  <c r="K146" i="2" s="1"/>
  <c r="G146" i="2" s="1"/>
  <c r="J620" i="2"/>
  <c r="K634" i="2" s="1"/>
  <c r="I620" i="2"/>
  <c r="I528" i="2"/>
  <c r="J528" i="2"/>
  <c r="H528" i="2" s="1"/>
  <c r="J362" i="2"/>
  <c r="H362" i="2" s="1"/>
  <c r="I362" i="2"/>
  <c r="K325" i="2"/>
  <c r="I341" i="2"/>
  <c r="J329" i="2"/>
  <c r="K333" i="2" s="1"/>
  <c r="I311" i="2"/>
  <c r="I217" i="2"/>
  <c r="I108" i="2"/>
  <c r="J108" i="2"/>
  <c r="K112" i="2" s="1"/>
  <c r="G112" i="2" s="1"/>
  <c r="I76" i="2"/>
  <c r="K76" i="2"/>
  <c r="J76" i="2"/>
  <c r="H76" i="2" s="1"/>
  <c r="J217" i="2"/>
  <c r="K193" i="2"/>
  <c r="I193" i="2"/>
  <c r="I233" i="2"/>
  <c r="I21" i="2"/>
  <c r="K21" i="2"/>
  <c r="I150" i="2"/>
  <c r="J195" i="2"/>
  <c r="H195" i="2" s="1"/>
  <c r="I160" i="2"/>
  <c r="J94" i="2"/>
  <c r="H94" i="2" s="1"/>
  <c r="J219" i="2"/>
  <c r="H219" i="2" s="1"/>
  <c r="I165" i="2"/>
  <c r="I616" i="2"/>
  <c r="I599" i="2"/>
  <c r="I618" i="2"/>
  <c r="I639" i="2"/>
  <c r="K607" i="2"/>
  <c r="I548" i="2"/>
  <c r="K524" i="2"/>
  <c r="I585" i="2"/>
  <c r="I559" i="2"/>
  <c r="I494" i="2"/>
  <c r="J544" i="2"/>
  <c r="H544" i="2" s="1"/>
  <c r="I512" i="2"/>
  <c r="K591" i="2"/>
  <c r="K512" i="2"/>
  <c r="K632" i="2"/>
  <c r="J583" i="2"/>
  <c r="I554" i="2"/>
  <c r="I394" i="2"/>
  <c r="J394" i="2"/>
  <c r="K446" i="2" s="1"/>
  <c r="J549" i="2"/>
  <c r="H549" i="2" s="1"/>
  <c r="J483" i="2"/>
  <c r="H483" i="2" s="1"/>
  <c r="J586" i="2"/>
  <c r="H586" i="2" s="1"/>
  <c r="I317" i="2"/>
  <c r="K317" i="2"/>
  <c r="J317" i="2"/>
  <c r="H317" i="2" s="1"/>
  <c r="K474" i="2"/>
  <c r="J343" i="2"/>
  <c r="H343" i="2" s="1"/>
  <c r="I280" i="2"/>
  <c r="J445" i="2"/>
  <c r="H445" i="2" s="1"/>
  <c r="J381" i="2"/>
  <c r="H381" i="2" s="1"/>
  <c r="J346" i="2"/>
  <c r="H346" i="2" s="1"/>
  <c r="I304" i="2"/>
  <c r="I343" i="2"/>
  <c r="J349" i="2"/>
  <c r="H349" i="2" s="1"/>
  <c r="K359" i="2"/>
  <c r="K255" i="2"/>
  <c r="K322" i="2"/>
  <c r="J245" i="2"/>
  <c r="H245" i="2" s="1"/>
  <c r="J205" i="2"/>
  <c r="H205" i="2" s="1"/>
  <c r="J148" i="2"/>
  <c r="H148" i="2" s="1"/>
  <c r="K148" i="2"/>
  <c r="J214" i="2"/>
  <c r="K217" i="2" s="1"/>
  <c r="J193" i="2"/>
  <c r="K198" i="2" s="1"/>
  <c r="J117" i="2"/>
  <c r="H117" i="2" s="1"/>
  <c r="J174" i="2"/>
  <c r="H174" i="2" s="1"/>
  <c r="K134" i="2"/>
  <c r="J150" i="2"/>
  <c r="H150" i="2" s="1"/>
  <c r="I110" i="2"/>
  <c r="K126" i="2"/>
  <c r="J73" i="2"/>
  <c r="K84" i="2" s="1"/>
  <c r="K195" i="2"/>
  <c r="I78" i="2"/>
  <c r="K219" i="2"/>
  <c r="I48" i="2"/>
  <c r="J568" i="2"/>
  <c r="J124" i="2"/>
  <c r="H124" i="2" s="1"/>
  <c r="K124" i="2"/>
  <c r="K545" i="2"/>
  <c r="J545" i="2"/>
  <c r="H545" i="2" s="1"/>
  <c r="I523" i="2"/>
  <c r="I617" i="2"/>
  <c r="K454" i="2"/>
  <c r="I375" i="2"/>
  <c r="I205" i="2"/>
  <c r="K206" i="2"/>
  <c r="I270" i="2"/>
  <c r="I647" i="2"/>
  <c r="J552" i="2"/>
  <c r="H552" i="2" s="1"/>
  <c r="J572" i="2"/>
  <c r="H572" i="2" s="1"/>
  <c r="I572" i="2"/>
  <c r="K523" i="2"/>
  <c r="I597" i="2"/>
  <c r="J564" i="2"/>
  <c r="J617" i="2"/>
  <c r="H617" i="2" s="1"/>
  <c r="I507" i="2"/>
  <c r="J632" i="2"/>
  <c r="H632" i="2" s="1"/>
  <c r="K489" i="2"/>
  <c r="I464" i="2"/>
  <c r="K494" i="2"/>
  <c r="K480" i="2"/>
  <c r="I454" i="2"/>
  <c r="K456" i="2"/>
  <c r="J409" i="2"/>
  <c r="H409" i="2" s="1"/>
  <c r="K423" i="2"/>
  <c r="K366" i="2"/>
  <c r="I325" i="2"/>
  <c r="K272" i="2"/>
  <c r="J272" i="2"/>
  <c r="H272" i="2" s="1"/>
  <c r="I423" i="2"/>
  <c r="J391" i="2"/>
  <c r="K550" i="2" s="1"/>
  <c r="G550" i="2" s="1"/>
  <c r="J375" i="2"/>
  <c r="H375" i="2" s="1"/>
  <c r="K254" i="2"/>
  <c r="K373" i="2"/>
  <c r="J140" i="2"/>
  <c r="H140" i="2" s="1"/>
  <c r="K140" i="2"/>
  <c r="I92" i="2"/>
  <c r="J92" i="2"/>
  <c r="K104" i="2" s="1"/>
  <c r="G104" i="2" s="1"/>
  <c r="J177" i="2"/>
  <c r="K212" i="2" s="1"/>
  <c r="G212" i="2" s="1"/>
  <c r="I213" i="2"/>
  <c r="J145" i="2"/>
  <c r="K152" i="2" s="1"/>
  <c r="G152" i="2" s="1"/>
  <c r="I145" i="2"/>
  <c r="J13" i="2"/>
  <c r="H13" i="2" s="1"/>
  <c r="K169" i="2"/>
  <c r="J134" i="2"/>
  <c r="I30" i="2"/>
  <c r="K30" i="2"/>
  <c r="I173" i="2"/>
  <c r="I62" i="2"/>
  <c r="J109" i="2"/>
  <c r="H109" i="2" s="1"/>
  <c r="I177" i="2"/>
  <c r="J61" i="2"/>
  <c r="H61" i="2" s="1"/>
  <c r="I61" i="2"/>
  <c r="J21" i="2"/>
  <c r="H21" i="2" s="1"/>
  <c r="J184" i="2"/>
  <c r="H184" i="2" s="1"/>
  <c r="K141" i="2"/>
  <c r="K105" i="2"/>
  <c r="J270" i="2"/>
  <c r="H270" i="2" s="1"/>
  <c r="J190" i="2"/>
  <c r="H190" i="2" s="1"/>
  <c r="K70" i="2"/>
  <c r="J95" i="2"/>
  <c r="H95" i="2" s="1"/>
  <c r="K491" i="2"/>
  <c r="J491" i="2"/>
  <c r="H491" i="2" s="1"/>
  <c r="J585" i="2"/>
  <c r="H585" i="2" s="1"/>
  <c r="K526" i="2"/>
  <c r="J526" i="2"/>
  <c r="H526" i="2" s="1"/>
  <c r="I209" i="2"/>
  <c r="K209" i="2"/>
  <c r="I100" i="2"/>
  <c r="J100" i="2"/>
  <c r="H100" i="2" s="1"/>
  <c r="K100" i="2"/>
  <c r="I545" i="2"/>
  <c r="J366" i="2"/>
  <c r="H366" i="2" s="1"/>
  <c r="I261" i="2"/>
  <c r="J261" i="2"/>
  <c r="H261" i="2" s="1"/>
  <c r="K648" i="2"/>
  <c r="J616" i="2"/>
  <c r="H616" i="2" s="1"/>
  <c r="K644" i="2"/>
  <c r="J644" i="2"/>
  <c r="H644" i="2" s="1"/>
  <c r="I644" i="2"/>
  <c r="I551" i="2"/>
  <c r="K554" i="2"/>
  <c r="K507" i="2"/>
  <c r="I500" i="2"/>
  <c r="I489" i="2"/>
  <c r="I378" i="2"/>
  <c r="J378" i="2"/>
  <c r="H378" i="2" s="1"/>
  <c r="J551" i="2"/>
  <c r="K409" i="2"/>
  <c r="K287" i="2"/>
  <c r="J287" i="2"/>
  <c r="H287" i="2" s="1"/>
  <c r="I267" i="2"/>
  <c r="J267" i="2"/>
  <c r="H267" i="2" s="1"/>
  <c r="K267" i="2"/>
  <c r="K391" i="2"/>
  <c r="I466" i="2"/>
  <c r="I314" i="2"/>
  <c r="J249" i="2"/>
  <c r="H249" i="2" s="1"/>
  <c r="J116" i="2"/>
  <c r="H116" i="2" s="1"/>
  <c r="K116" i="2"/>
  <c r="I274" i="2"/>
  <c r="K211" i="2"/>
  <c r="J211" i="2"/>
  <c r="H211" i="2" s="1"/>
  <c r="I211" i="2"/>
  <c r="I140" i="2"/>
  <c r="I159" i="2"/>
  <c r="J62" i="2"/>
  <c r="H62" i="2" s="1"/>
  <c r="I206" i="2"/>
  <c r="I168" i="2"/>
  <c r="I199" i="2"/>
  <c r="K145" i="2"/>
  <c r="J203" i="2"/>
  <c r="H203" i="2" s="1"/>
  <c r="K121" i="2"/>
  <c r="I184" i="2"/>
  <c r="K94" i="2"/>
  <c r="K22" i="2"/>
  <c r="G22" i="2" s="1"/>
  <c r="I86" i="2"/>
  <c r="K190" i="2"/>
  <c r="K645" i="2"/>
  <c r="J645" i="2"/>
  <c r="H645" i="2" s="1"/>
  <c r="J588" i="2"/>
  <c r="K612" i="2" s="1"/>
  <c r="I588" i="2"/>
  <c r="J461" i="2"/>
  <c r="H461" i="2" s="1"/>
  <c r="I461" i="2"/>
  <c r="J304" i="2"/>
  <c r="K504" i="2" s="1"/>
  <c r="K244" i="2"/>
  <c r="J244" i="2"/>
  <c r="K265" i="2" s="1"/>
  <c r="G265" i="2" s="1"/>
  <c r="I244" i="2"/>
  <c r="J68" i="2"/>
  <c r="H68" i="2" s="1"/>
  <c r="K68" i="2"/>
  <c r="I615" i="2"/>
  <c r="I552" i="2"/>
  <c r="I491" i="2"/>
  <c r="J529" i="2"/>
  <c r="H529" i="2" s="1"/>
  <c r="J311" i="2"/>
  <c r="H311" i="2" s="1"/>
  <c r="I294" i="2"/>
  <c r="K294" i="2"/>
  <c r="J294" i="2"/>
  <c r="H294" i="2" s="1"/>
  <c r="I301" i="2"/>
  <c r="K301" i="2"/>
  <c r="J301" i="2"/>
  <c r="H301" i="2" s="1"/>
  <c r="K34" i="2"/>
  <c r="J34" i="2"/>
  <c r="H34" i="2" s="1"/>
  <c r="J604" i="2"/>
  <c r="I604" i="2"/>
  <c r="I568" i="2"/>
  <c r="I631" i="2"/>
  <c r="J597" i="2"/>
  <c r="K601" i="2" s="1"/>
  <c r="J548" i="2"/>
  <c r="H548" i="2" s="1"/>
  <c r="K540" i="2"/>
  <c r="J646" i="2"/>
  <c r="H646" i="2" s="1"/>
  <c r="I629" i="2"/>
  <c r="J600" i="2"/>
  <c r="H600" i="2" s="1"/>
  <c r="J615" i="2"/>
  <c r="H615" i="2" s="1"/>
  <c r="K529" i="2"/>
  <c r="K518" i="2"/>
  <c r="J518" i="2"/>
  <c r="H518" i="2" s="1"/>
  <c r="J618" i="2"/>
  <c r="K637" i="2" s="1"/>
  <c r="J559" i="2"/>
  <c r="H559" i="2" s="1"/>
  <c r="I531" i="2"/>
  <c r="J599" i="2"/>
  <c r="H599" i="2" s="1"/>
  <c r="J596" i="2"/>
  <c r="I601" i="2"/>
  <c r="I515" i="2"/>
  <c r="K473" i="2"/>
  <c r="I473" i="2"/>
  <c r="I448" i="2"/>
  <c r="J580" i="2"/>
  <c r="H580" i="2" s="1"/>
  <c r="I485" i="2"/>
  <c r="J485" i="2"/>
  <c r="H485" i="2" s="1"/>
  <c r="K445" i="2"/>
  <c r="K362" i="2"/>
  <c r="K263" i="2"/>
  <c r="J263" i="2"/>
  <c r="H263" i="2" s="1"/>
  <c r="K365" i="2"/>
  <c r="I272" i="2"/>
  <c r="J466" i="2"/>
  <c r="H466" i="2" s="1"/>
  <c r="I321" i="2"/>
  <c r="K314" i="2"/>
  <c r="I406" i="2"/>
  <c r="I84" i="2"/>
  <c r="J84" i="2"/>
  <c r="K92" i="2" s="1"/>
  <c r="J274" i="2"/>
  <c r="H274" i="2" s="1"/>
  <c r="J159" i="2"/>
  <c r="H159" i="2" s="1"/>
  <c r="J105" i="2"/>
  <c r="H105" i="2" s="1"/>
  <c r="I198" i="2"/>
  <c r="J173" i="2"/>
  <c r="H173" i="2" s="1"/>
  <c r="I169" i="2"/>
  <c r="K25" i="2"/>
  <c r="J199" i="2"/>
  <c r="H199" i="2" s="1"/>
  <c r="J78" i="2"/>
  <c r="H78" i="2" s="1"/>
  <c r="K89" i="2"/>
  <c r="J125" i="2"/>
  <c r="H125" i="2" s="1"/>
  <c r="I70" i="2"/>
  <c r="K109" i="2"/>
  <c r="I556" i="2"/>
  <c r="J556" i="2"/>
  <c r="I386" i="2"/>
  <c r="J386" i="2"/>
  <c r="K388" i="2" s="1"/>
  <c r="G388" i="2" s="1"/>
  <c r="I201" i="2"/>
  <c r="K201" i="2"/>
  <c r="J60" i="2"/>
  <c r="H60" i="2" s="1"/>
  <c r="I60" i="2"/>
  <c r="K60" i="2"/>
  <c r="I645" i="2"/>
  <c r="I646" i="2"/>
  <c r="K620" i="2"/>
  <c r="K556" i="2"/>
  <c r="K528" i="2"/>
  <c r="J612" i="2"/>
  <c r="K630" i="2" s="1"/>
  <c r="G630" i="2" s="1"/>
  <c r="I470" i="2"/>
  <c r="J470" i="2"/>
  <c r="H470" i="2" s="1"/>
  <c r="I475" i="2"/>
  <c r="I370" i="2"/>
  <c r="J370" i="2"/>
  <c r="H370" i="2" s="1"/>
  <c r="I549" i="2"/>
  <c r="K394" i="2"/>
  <c r="K378" i="2"/>
  <c r="I415" i="2"/>
  <c r="J290" i="2"/>
  <c r="H290" i="2" s="1"/>
  <c r="I290" i="2"/>
  <c r="K249" i="2"/>
  <c r="K225" i="2"/>
  <c r="I225" i="2"/>
  <c r="J209" i="2"/>
  <c r="H209" i="2" s="1"/>
  <c r="J132" i="2"/>
  <c r="H132" i="2" s="1"/>
  <c r="K132" i="2"/>
  <c r="I132" i="2"/>
  <c r="I68" i="2"/>
  <c r="K137" i="2"/>
  <c r="K77" i="2"/>
  <c r="I77" i="2"/>
  <c r="K52" i="2"/>
  <c r="J52" i="2"/>
  <c r="H52" i="2" s="1"/>
  <c r="K189" i="2"/>
  <c r="K129" i="2"/>
  <c r="I25" i="2"/>
  <c r="I16" i="2"/>
  <c r="K618" i="2" l="1"/>
  <c r="G618" i="2" s="1"/>
  <c r="K583" i="2"/>
  <c r="K597" i="2"/>
  <c r="G597" i="2" s="1"/>
  <c r="H596" i="2"/>
  <c r="G596" i="2"/>
  <c r="H568" i="2"/>
  <c r="G568" i="2"/>
  <c r="H551" i="2"/>
  <c r="G551" i="2"/>
  <c r="K604" i="2"/>
  <c r="G604" i="2" s="1"/>
  <c r="K156" i="2"/>
  <c r="G156" i="2" s="1"/>
  <c r="G504" i="2"/>
  <c r="G474" i="2"/>
  <c r="G77" i="2"/>
  <c r="H637" i="2"/>
  <c r="G637" i="2"/>
  <c r="K510" i="2"/>
  <c r="G510" i="2" s="1"/>
  <c r="K565" i="2"/>
  <c r="G565" i="2" s="1"/>
  <c r="G601" i="2"/>
  <c r="K93" i="2"/>
  <c r="G93" i="2" s="1"/>
  <c r="G68" i="2"/>
  <c r="K131" i="2"/>
  <c r="G131" i="2" s="1"/>
  <c r="G70" i="2"/>
  <c r="G64" i="2"/>
  <c r="H634" i="2"/>
  <c r="G634" i="2"/>
  <c r="H620" i="2"/>
  <c r="G620" i="2"/>
  <c r="H618" i="2"/>
  <c r="H597" i="2"/>
  <c r="H612" i="2"/>
  <c r="G612" i="2"/>
  <c r="H604" i="2"/>
  <c r="H583" i="2"/>
  <c r="G583" i="2"/>
  <c r="H581" i="2"/>
  <c r="G581" i="2"/>
  <c r="H567" i="2"/>
  <c r="G567" i="2"/>
  <c r="G512" i="2"/>
  <c r="G554" i="2"/>
  <c r="G472" i="2"/>
  <c r="H588" i="2"/>
  <c r="G588" i="2"/>
  <c r="H584" i="2"/>
  <c r="G584" i="2"/>
  <c r="H565" i="2"/>
  <c r="H564" i="2"/>
  <c r="G564" i="2"/>
  <c r="H556" i="2"/>
  <c r="G556" i="2"/>
  <c r="H553" i="2"/>
  <c r="G553" i="2"/>
  <c r="H510" i="2"/>
  <c r="G494" i="2"/>
  <c r="H480" i="2"/>
  <c r="G480" i="2"/>
  <c r="H475" i="2"/>
  <c r="G475" i="2"/>
  <c r="H464" i="2"/>
  <c r="G464" i="2"/>
  <c r="H446" i="2"/>
  <c r="G446" i="2"/>
  <c r="K449" i="2"/>
  <c r="G449" i="2" s="1"/>
  <c r="K443" i="2"/>
  <c r="G443" i="2" s="1"/>
  <c r="H394" i="2"/>
  <c r="G394" i="2"/>
  <c r="H213" i="2"/>
  <c r="G213" i="2"/>
  <c r="G198" i="2"/>
  <c r="G250" i="2"/>
  <c r="H391" i="2"/>
  <c r="G391" i="2"/>
  <c r="H383" i="2"/>
  <c r="G383" i="2"/>
  <c r="H386" i="2"/>
  <c r="G386" i="2"/>
  <c r="H335" i="2"/>
  <c r="G335" i="2"/>
  <c r="K353" i="2"/>
  <c r="G353" i="2" s="1"/>
  <c r="H333" i="2"/>
  <c r="G333" i="2"/>
  <c r="H329" i="2"/>
  <c r="G329" i="2"/>
  <c r="H318" i="2"/>
  <c r="G318" i="2"/>
  <c r="H309" i="2"/>
  <c r="G309" i="2"/>
  <c r="H304" i="2"/>
  <c r="G304" i="2"/>
  <c r="K297" i="2"/>
  <c r="G297" i="2" s="1"/>
  <c r="H297" i="2"/>
  <c r="K269" i="2"/>
  <c r="G269" i="2" s="1"/>
  <c r="H269" i="2"/>
  <c r="H244" i="2"/>
  <c r="G244" i="2"/>
  <c r="H221" i="2"/>
  <c r="G221" i="2"/>
  <c r="H217" i="2"/>
  <c r="G217" i="2"/>
  <c r="H214" i="2"/>
  <c r="G214" i="2"/>
  <c r="K204" i="2"/>
  <c r="G204" i="2" s="1"/>
  <c r="H193" i="2"/>
  <c r="G193" i="2"/>
  <c r="H177" i="2"/>
  <c r="G177" i="2"/>
  <c r="H134" i="2"/>
  <c r="G134" i="2"/>
  <c r="H145" i="2"/>
  <c r="G145" i="2"/>
  <c r="H141" i="2"/>
  <c r="G141" i="2"/>
  <c r="H137" i="2"/>
  <c r="G137" i="2"/>
  <c r="H129" i="2"/>
  <c r="G129" i="2"/>
  <c r="H108" i="2"/>
  <c r="G108" i="2"/>
  <c r="H113" i="2"/>
  <c r="G113" i="2"/>
  <c r="H92" i="2"/>
  <c r="G92" i="2"/>
  <c r="H79" i="2"/>
  <c r="G79" i="2"/>
  <c r="H84" i="2"/>
  <c r="G84" i="2"/>
  <c r="H73" i="2"/>
  <c r="G73" i="2"/>
  <c r="G49" i="2"/>
</calcChain>
</file>

<file path=xl/sharedStrings.xml><?xml version="1.0" encoding="utf-8"?>
<sst xmlns="http://schemas.openxmlformats.org/spreadsheetml/2006/main" count="1368" uniqueCount="506">
  <si>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</si>
  <si>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</si>
  <si>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</si>
  <si>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</si>
  <si>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</si>
  <si>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</si>
  <si>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</si>
  <si>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</si>
  <si>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</si>
  <si>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</si>
  <si>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</si>
  <si>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123</t>
  </si>
  <si>
    <t>Vielmehr?</t>
  </si>
  <si>
    <t>sein (sein nehmen)</t>
  </si>
  <si>
    <t>Ich bin in Sierra Leone geboren und aufgewachsen , einem kleinen und sehr schönen Land in Westafrika , einem Land reich sowohl an Bodenschätzen als auch an kreativen Talenten . Allerdings ist Sierra Leone berüchtigt für einen jahrzehntelangen Rebellenkrieg in den 90ern , in dem ganze Dörfer niedergebrannt wurden . Schätzungsweise 8 000 Männern , Frauen und Kindern wurden in dieser Zeit Arme und Beine amputiert . Meine Familie und ich brachten uns vor einem dieser Angriffe in Sicherheit , als ich 12 war . In diesem Moment nahm ich mir vor , alles zu tun , um sicherzustellen , dass meine eigenen Kinder nicht dasselbe erleben müssen , was wir erlebt haben . Vielmehr sollten sie Teil von einem Sierra Leone sein , in dem Krieg und Amputationen nicht als Strategie zur zu der Machtgewinnung genutzt werden . Ich beobachtete Menschen , die ich kannte , liebte , wie sie sich von dieser Verwüstung erholten , aber eine Sache quälte mich zutiefst , und zwar , dass viele der Amputierten in diesem Land nicht ihre Prothesen benutzten . Der Grund , wie ich später herausfand , waren die Prothesenschäfte , die Schmerzen verursachten , weil sie nicht gut passten . Der Prothesenschaft ist der Teil , in welchen der Amputierte seinen Stumpf steckt , der mit der eigentlichen Prothese verbunden ist . Selbst in den Industrieländern dauert es drei Wochen bis hin zu Jahren , bis sich ein Patient an den Schaft gewöhnt , wenn überhaupt . Prothesenbauer benutzen immer noch konventionelle Methoden , wie Pressen und Gießen , um Unibody Prothesenschäfte herzustellen . Solche Schäfte üben oft unerträglichen Druck auf die Glieder der Patienten aus und verursachen Druckwunden und Blasen . Ganz gleich , wie leistungsfähig die Knöchelprothese ist , wenn der Prothesenschaft unbequem ist , werden Sie die Prothese nicht nutzen , und das ist heutzutage einfach inakzeptabel . Damals , als ich Professor Hugh Herr vor zweieinhalb Jahren traf , und er mich fragte , ob ich eine Lösung für dieses Problem hätte , sagte ich : &amp;quot; Nein , noch nicht , aber ich würde sie liebend gerne finden . &amp;quot; Also habe ich für meine Doktorarbeit am an dem MIT Media Lab maßgefertige Prothesenschäfte entworfen , schnell und günstig , mit mehr Tragekomfort als herkömmliche Prothesen . Mittels Magnetresonanztomografie ( MRT ) erfasste ich die genaue Form der Anatomie des Patienten , benutzte die Berechnungstechnologie FEM ,</t>
  </si>
  <si>
    <t>file://conllu/de/ted-mdb.1971.conllu#s1_0</t>
  </si>
  <si>
    <t>_</t>
  </si>
  <si>
    <t>2</t>
  </si>
  <si>
    <t>224</t>
  </si>
  <si>
    <t>hoffen</t>
  </si>
  <si>
    <t>um besser vorherzusehen , welche inneren Belastungen bei normaler Nutzung entstehen , und lies danach einen Prothesenschaft herstellen . Wir benutzen 3D Drucker , um Prothesenschäfte aus mehreren Materialen herzustellen , die den Druck dort verringern , wo es die Anatomie des Patienten nötig macht . Kurz gesagt , wir benutzen Daten , um neuartige Schäfte schnell und günstig herzustellen . In einem Versuch , den wir vor kurzem am an dem Media Lab durchführten , hat einer unserer Patienten , ein US Veteran , der seit über 20 Jahren amputiert ist und schon dutzende Prothesen getragen hat , Folgendes über unsere ausgedruckten Prothesen gesagt : &amp;quot; Sie ist so weich , als würde man auf Kissen laufen , und verdammt sexy . &amp;quot; ( Lachen ) Heutzutage sollten Behinderungen niemanden mehr daran hindern , ein sinnsvolles Leben zu führen . Meine Hoffnung und mein Wunsch ist es , dass die Werkzeuge und Prozesse , die wir in unserer Forschungsgruppe entwickeln , genutzt werden können , um hochfunktionale Prothesen herzustellen , für die , die sie brauchen . Für mich ist es ein Anfang , um die Seelen derer zu heilen , die vom von dem Krieg und Krankheiten betroffen sind , ist für mich komfortable und erschwingliche Schnittstellen für ihre Körper herzustellen . Ob in Sierra Leone oder in Boston , ich hoffe , dass dies nicht nur ihren Sinn für menschliches Können wiederherstellt , sondern verändert . Vielen Dank</t>
  </si>
  <si>
    <t>file://conllu/de/ted-mdb.1971.conllu#s2_0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</si>
  <si>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</si>
  <si>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</si>
  <si>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</si>
  <si>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</si>
  <si>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</si>
  <si>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</si>
  <si>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</si>
  <si>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</si>
  <si>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</si>
  <si>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</si>
  <si>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</si>
  <si>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Ich bin in Sierra Leone geboren und aufgewachsen , einem kleinen und sehr schönen Land in Westafrika , einem Land reich sowohl an Bodenschätzen als auch an kreativen Talenten . Allerdings ist Sierra Leone berüchtigt für einen jahrzehntelangen Rebellenkrieg in den 90ern , in dem ganze Dörfer niedergebrannt wurden . Schätzungsweise 8 000 Männern , Frauen und Kindern wurden in dieser Zeit Arme und Beine amputiert . Meine Familie und ich brachten uns vor einem dieser Angriffe in Sicherheit , als ich 12 war . In diesem Moment nahm ich mir vor , alles zu tun , um sicherzustellen , dass meine eigenen Kinder nicht dasselbe erleben müssen , was wir erlebt haben . Vielmehr sollten sie Teil von einem Sierra Leone sein , in dem Krieg und Amputationen nicht als Strategie zur Machtgewinnung genutzt werden . Ich beobachtete Menschen , die ich kannte , liebte , wie sie sich von dieser Verwüstung erholten , aber eine Sache quälte mich zutiefst , und zwar , dass viele der Amputierten in diesem Land nicht ihre Prothesen benutzten . Der Grund , wie ich später herausfand , waren die Prothesenschäfte , die Schmerzen verursachten , weil sie nicht gut passten . Der Prothesenschaft ist der Teil , in welchen der Amputierte seinen Stumpf steckt , der mit der eigentlichen Prothese verbunden ist . Selbst in den Industrieländern dauert es drei Wochen bis hin zu Jahren , bis sich ein Patient an den Schaft gewöhnt , wenn überhaupt . Prothesenbauer benutzen immer noch konventionelle Methoden , wie Pressen und Gießen , um Unibody-Prothesenschäfte herzustellen . Solche Schäfte üben oft unerträglichen Druck auf die Glieder der Patienten aus und verursachen Druckwunden und Blasen . Ganz gleich , wie leistungsfähig die Knöchelprothese ist , wenn der Prothesenschaft unbequem ist , werden Sie die Prothese nicht nutzen , und das ist heutzutage einfach inakzeptabel . Damals , als ich Professor Hugh Herr vor zweieinhalb Jahren traf , und er mich fragte , ob ich eine Lösung für dieses Problem hätte , sagte ich : " Nein , noch nicht , aber ich würde sie liebend gerne finden . " Also habe ich für meine Doktorarbeit am MIT Media Lab maßgefertige Prothesenschäfte entworfen , schnell und günstig , mit mehr Tragekomfort als herkömmliche Prothesen . Mittels Magnetresonanztomografie ( MRT ) erfasste ich die genaue Form der Anatomie des Patienten , benutzte die Berechnungstechnologie FEM ,</t>
  </si>
  <si>
    <t>Ich</t>
  </si>
  <si>
    <t>SBJ_2</t>
  </si>
  <si>
    <t>pron.pper</t>
  </si>
  <si>
    <t>?OLD</t>
  </si>
  <si>
    <t>bin</t>
  </si>
  <si>
    <t>in</t>
  </si>
  <si>
    <t>Sierra</t>
  </si>
  <si>
    <t>other_2</t>
  </si>
  <si>
    <t>ne</t>
  </si>
  <si>
    <t>Leone</t>
  </si>
  <si>
    <t>geboren</t>
  </si>
  <si>
    <t>und</t>
  </si>
  <si>
    <t>aufgewachsen</t>
  </si>
  <si>
    <t>,</t>
  </si>
  <si>
    <t>einem</t>
  </si>
  <si>
    <t>kleinen</t>
  </si>
  <si>
    <t>sehr</t>
  </si>
  <si>
    <t>schönen</t>
  </si>
  <si>
    <t>Land</t>
  </si>
  <si>
    <t>other_3</t>
  </si>
  <si>
    <t>indef-np.a</t>
  </si>
  <si>
    <t>Westafrika</t>
  </si>
  <si>
    <t>other_4</t>
  </si>
  <si>
    <t>other_5</t>
  </si>
  <si>
    <t>reich</t>
  </si>
  <si>
    <t>sowohl</t>
  </si>
  <si>
    <t>an</t>
  </si>
  <si>
    <t>Bodenschätzen</t>
  </si>
  <si>
    <t>indef-np.bare</t>
  </si>
  <si>
    <t>als</t>
  </si>
  <si>
    <t>auch</t>
  </si>
  <si>
    <t>kreativen</t>
  </si>
  <si>
    <t>Talenten</t>
  </si>
  <si>
    <t>.</t>
  </si>
  <si>
    <t>Allerdings</t>
  </si>
  <si>
    <t>ist</t>
  </si>
  <si>
    <t>SBJ_3</t>
  </si>
  <si>
    <t>berüchtigt</t>
  </si>
  <si>
    <t>für</t>
  </si>
  <si>
    <t>einen</t>
  </si>
  <si>
    <t>jahrzehntelangen</t>
  </si>
  <si>
    <t>Rebellenkrieg</t>
  </si>
  <si>
    <t>den</t>
  </si>
  <si>
    <t>90ern</t>
  </si>
  <si>
    <t>def-np.the</t>
  </si>
  <si>
    <t>dem</t>
  </si>
  <si>
    <t>ganze</t>
  </si>
  <si>
    <t>Dörfer</t>
  </si>
  <si>
    <t>niedergebrannt</t>
  </si>
  <si>
    <t>wurden</t>
  </si>
  <si>
    <t>Schätzungsweise</t>
  </si>
  <si>
    <t>8</t>
  </si>
  <si>
    <t>000</t>
  </si>
  <si>
    <t>Männern</t>
  </si>
  <si>
    <t>OBJ_3</t>
  </si>
  <si>
    <t>indef-np.quant</t>
  </si>
  <si>
    <t>Frauen</t>
  </si>
  <si>
    <t>Kindern</t>
  </si>
  <si>
    <t>dieser</t>
  </si>
  <si>
    <t>pron.pds</t>
  </si>
  <si>
    <t>Zeit</t>
  </si>
  <si>
    <t>def-np.dem</t>
  </si>
  <si>
    <t>Arme</t>
  </si>
  <si>
    <t>Beine</t>
  </si>
  <si>
    <t>amputiert</t>
  </si>
  <si>
    <t>Meine</t>
  </si>
  <si>
    <t>pron.ppos</t>
  </si>
  <si>
    <t>Familie</t>
  </si>
  <si>
    <t>ich</t>
  </si>
  <si>
    <t>brachten</t>
  </si>
  <si>
    <t>uns</t>
  </si>
  <si>
    <t>pron</t>
  </si>
  <si>
    <t>vor</t>
  </si>
  <si>
    <t>Angriffe</t>
  </si>
  <si>
    <t>Sicherheit</t>
  </si>
  <si>
    <t>SBJ_4</t>
  </si>
  <si>
    <t>12</t>
  </si>
  <si>
    <t>war</t>
  </si>
  <si>
    <t>In</t>
  </si>
  <si>
    <t>diesem</t>
  </si>
  <si>
    <t>Moment</t>
  </si>
  <si>
    <t>nahm</t>
  </si>
  <si>
    <t>SBJ</t>
  </si>
  <si>
    <t>mir</t>
  </si>
  <si>
    <t>OBJ</t>
  </si>
  <si>
    <t>alles</t>
  </si>
  <si>
    <t>OBJ_2</t>
  </si>
  <si>
    <t>pron.pind</t>
  </si>
  <si>
    <t>zu</t>
  </si>
  <si>
    <t>tun</t>
  </si>
  <si>
    <t>um</t>
  </si>
  <si>
    <t>sicherzustellen</t>
  </si>
  <si>
    <t>dass</t>
  </si>
  <si>
    <t>meine</t>
  </si>
  <si>
    <t>eigenen</t>
  </si>
  <si>
    <t>Kinder</t>
  </si>
  <si>
    <t>nicht</t>
  </si>
  <si>
    <t>dasselbe</t>
  </si>
  <si>
    <t>erleben</t>
  </si>
  <si>
    <t>müssen</t>
  </si>
  <si>
    <t>was</t>
  </si>
  <si>
    <t>wir</t>
  </si>
  <si>
    <t>erlebt</t>
  </si>
  <si>
    <t>haben</t>
  </si>
  <si>
    <t>Vielmehr</t>
  </si>
  <si>
    <t>sollten</t>
  </si>
  <si>
    <t>sie</t>
  </si>
  <si>
    <t>Teil</t>
  </si>
  <si>
    <t>von</t>
  </si>
  <si>
    <t>sein</t>
  </si>
  <si>
    <t>Krieg</t>
  </si>
  <si>
    <t>other</t>
  </si>
  <si>
    <t>Amputationen</t>
  </si>
  <si>
    <t>Strategie</t>
  </si>
  <si>
    <t>der</t>
  </si>
  <si>
    <t>Machtgewinnung</t>
  </si>
  <si>
    <t>genutzt</t>
  </si>
  <si>
    <t>werden</t>
  </si>
  <si>
    <t>beobachtete</t>
  </si>
  <si>
    <t>Menschen</t>
  </si>
  <si>
    <t>die</t>
  </si>
  <si>
    <t>OBJ_5</t>
  </si>
  <si>
    <t>SBJ_5</t>
  </si>
  <si>
    <t>kannte</t>
  </si>
  <si>
    <t>liebte</t>
  </si>
  <si>
    <t>wie</t>
  </si>
  <si>
    <t>sich</t>
  </si>
  <si>
    <t>OBJ_4</t>
  </si>
  <si>
    <t>Verwüstung</t>
  </si>
  <si>
    <t>erholten</t>
  </si>
  <si>
    <t>aber</t>
  </si>
  <si>
    <t>eine</t>
  </si>
  <si>
    <t>Sache</t>
  </si>
  <si>
    <t>quälte</t>
  </si>
  <si>
    <t>mich</t>
  </si>
  <si>
    <t>zutiefst</t>
  </si>
  <si>
    <t>zwar</t>
  </si>
  <si>
    <t>viele</t>
  </si>
  <si>
    <t>Amputierten</t>
  </si>
  <si>
    <t>other_6</t>
  </si>
  <si>
    <t>ihre</t>
  </si>
  <si>
    <t>Prothesen</t>
  </si>
  <si>
    <t>indef-np</t>
  </si>
  <si>
    <t>benutzten</t>
  </si>
  <si>
    <t>Der</t>
  </si>
  <si>
    <t>Grund</t>
  </si>
  <si>
    <t>SBJ_6</t>
  </si>
  <si>
    <t>später</t>
  </si>
  <si>
    <t>herausfand</t>
  </si>
  <si>
    <t>waren</t>
  </si>
  <si>
    <t>Prothesenschäfte</t>
  </si>
  <si>
    <t>Schmerzen</t>
  </si>
  <si>
    <t>verursachten</t>
  </si>
  <si>
    <t>weil</t>
  </si>
  <si>
    <t>gut</t>
  </si>
  <si>
    <t>passten</t>
  </si>
  <si>
    <t>Prothesenschaft</t>
  </si>
  <si>
    <t>welchen</t>
  </si>
  <si>
    <t>pron.pint</t>
  </si>
  <si>
    <t>Amputierte</t>
  </si>
  <si>
    <t>seinen</t>
  </si>
  <si>
    <t>Stumpf</t>
  </si>
  <si>
    <t>steckt</t>
  </si>
  <si>
    <t>mit</t>
  </si>
  <si>
    <t>eigentlichen</t>
  </si>
  <si>
    <t>Prothese</t>
  </si>
  <si>
    <t>verbunden</t>
  </si>
  <si>
    <t>Selbst</t>
  </si>
  <si>
    <t>Industrieländern</t>
  </si>
  <si>
    <t>dauert</t>
  </si>
  <si>
    <t>es</t>
  </si>
  <si>
    <t>drei</t>
  </si>
  <si>
    <t>Wochen</t>
  </si>
  <si>
    <t>bis</t>
  </si>
  <si>
    <t>hin</t>
  </si>
  <si>
    <t>Jahren</t>
  </si>
  <si>
    <t>ein</t>
  </si>
  <si>
    <t>Patient</t>
  </si>
  <si>
    <t>Schaft</t>
  </si>
  <si>
    <t>gewöhnt</t>
  </si>
  <si>
    <t>wenn</t>
  </si>
  <si>
    <t>überhaupt</t>
  </si>
  <si>
    <t>Prothesenbauer</t>
  </si>
  <si>
    <t>benutzen</t>
  </si>
  <si>
    <t>immer</t>
  </si>
  <si>
    <t>noch</t>
  </si>
  <si>
    <t>konventionelle</t>
  </si>
  <si>
    <t>Methoden</t>
  </si>
  <si>
    <t>Pressen</t>
  </si>
  <si>
    <t>Gießen</t>
  </si>
  <si>
    <t>other_7</t>
  </si>
  <si>
    <t>Unibody</t>
  </si>
  <si>
    <t>herzustellen</t>
  </si>
  <si>
    <t>Solche</t>
  </si>
  <si>
    <t>Schäfte</t>
  </si>
  <si>
    <t>üben</t>
  </si>
  <si>
    <t>oft</t>
  </si>
  <si>
    <t>unerträglichen</t>
  </si>
  <si>
    <t>Druck</t>
  </si>
  <si>
    <t>OBJ_6</t>
  </si>
  <si>
    <t>auf</t>
  </si>
  <si>
    <t>Glieder</t>
  </si>
  <si>
    <t>Patienten</t>
  </si>
  <si>
    <t>other_8</t>
  </si>
  <si>
    <t>aus</t>
  </si>
  <si>
    <t>verursachen</t>
  </si>
  <si>
    <t>Druckwunden</t>
  </si>
  <si>
    <t>Blasen</t>
  </si>
  <si>
    <t>Ganz</t>
  </si>
  <si>
    <t>gleich</t>
  </si>
  <si>
    <t>leistungsfähig</t>
  </si>
  <si>
    <t>Knöchelprothese</t>
  </si>
  <si>
    <t>SBJ_7</t>
  </si>
  <si>
    <t>unbequem</t>
  </si>
  <si>
    <t>Sie</t>
  </si>
  <si>
    <t>nutzen</t>
  </si>
  <si>
    <t>das</t>
  </si>
  <si>
    <t>heutzutage</t>
  </si>
  <si>
    <t>einfach</t>
  </si>
  <si>
    <t>inakzeptabel</t>
  </si>
  <si>
    <t>Damals</t>
  </si>
  <si>
    <t>Professor</t>
  </si>
  <si>
    <t>Hugh</t>
  </si>
  <si>
    <t>Herr</t>
  </si>
  <si>
    <t>zweieinhalb</t>
  </si>
  <si>
    <t>traf</t>
  </si>
  <si>
    <t>er</t>
  </si>
  <si>
    <t>fragte</t>
  </si>
  <si>
    <t>ob</t>
  </si>
  <si>
    <t>Lösung</t>
  </si>
  <si>
    <t>dieses</t>
  </si>
  <si>
    <t>Problem</t>
  </si>
  <si>
    <t>hätte</t>
  </si>
  <si>
    <t>sagte</t>
  </si>
  <si>
    <t>:</t>
  </si>
  <si>
    <t>&amp;quot;</t>
  </si>
  <si>
    <t>Nein</t>
  </si>
  <si>
    <t>würde</t>
  </si>
  <si>
    <t>liebend</t>
  </si>
  <si>
    <t>gerne</t>
  </si>
  <si>
    <t>finden</t>
  </si>
  <si>
    <t>Also</t>
  </si>
  <si>
    <t>habe</t>
  </si>
  <si>
    <t>Doktorarbeit</t>
  </si>
  <si>
    <t>MIT</t>
  </si>
  <si>
    <t>Media</t>
  </si>
  <si>
    <t>Lab</t>
  </si>
  <si>
    <t>maßgefertige</t>
  </si>
  <si>
    <t>entworfen</t>
  </si>
  <si>
    <t>schnell</t>
  </si>
  <si>
    <t>günstig</t>
  </si>
  <si>
    <t>mehr</t>
  </si>
  <si>
    <t>Tragekomfort</t>
  </si>
  <si>
    <t>herkömmliche</t>
  </si>
  <si>
    <t>Mittels</t>
  </si>
  <si>
    <t>Magnetresonanztomografie</t>
  </si>
  <si>
    <t>(</t>
  </si>
  <si>
    <t>MRT</t>
  </si>
  <si>
    <t>)</t>
  </si>
  <si>
    <t>erfasste</t>
  </si>
  <si>
    <t>genaue</t>
  </si>
  <si>
    <t>Form</t>
  </si>
  <si>
    <t>Anatomie</t>
  </si>
  <si>
    <t>des</t>
  </si>
  <si>
    <t>benutzte</t>
  </si>
  <si>
    <t>Berechnungstechnologie</t>
  </si>
  <si>
    <t>FEM</t>
  </si>
  <si>
    <t>--</t>
  </si>
  <si>
    <t># text = um besser vorherzusehen , welche inneren Belastungen bei normaler Nutzung entstehen , und lies danach einen Prothesenschaft herstellen . Wir benutzen 3D-Drucker , um Prothesenschäfte aus mehreren Materialen herzustellen , die den Druck dort verringern , wo es die Anatomie des Patienten nötig macht . Kurz gesagt , wir benutzen Daten , um neuartige Schäfte schnell und günstig herzustellen . In einem Versuch , den wir vor kurzem am Media Lab durchführten , hat einer unserer Patienten , ein US-Veteran , der seit über 20 Jahren amputiert ist und schon dutzende Prothesen getragen hat , Folgendes über unsere ausgedruckten Prothesen gesagt : \" Sie ist so weich , als würde man auf Kissen laufen , und verdammt sexy . \" ( Lachen ) Heutzutage sollten Behinderungen niemanden mehr daran hindern , ein sinnsvolles Leben zu führen . Meine Hoffnung und mein Wunsch ist es , dass die Werkzeuge und Prozesse , die wir in unserer Forschungsgruppe entwickeln , genutzt werden können , um hochfunktionale Prothesen herzustellen , für die , die sie brauchen . Für mich ist es ein Anfang , um die Seelen derer zu heilen , die vom Krieg und Krankheiten betroffen sind , ist für mich komfortable und erschwingliche Schnittstellen für ihre Körper herzustellen . Ob in Sierra Leone oder in Boston , ich hoffe , dass dies nicht nur ihren Sinn für menschliches Können wiederherstellt , sondern verändert . Vielen Dank</t>
  </si>
  <si>
    <t>besser</t>
  </si>
  <si>
    <t>vorherzusehen</t>
  </si>
  <si>
    <t>welche</t>
  </si>
  <si>
    <t>other_14</t>
  </si>
  <si>
    <t>inneren</t>
  </si>
  <si>
    <t>Belastungen</t>
  </si>
  <si>
    <t>SBJ_13</t>
  </si>
  <si>
    <t>bei</t>
  </si>
  <si>
    <t>normaler</t>
  </si>
  <si>
    <t>Nutzung</t>
  </si>
  <si>
    <t>other_13</t>
  </si>
  <si>
    <t>entstehen</t>
  </si>
  <si>
    <t>lies</t>
  </si>
  <si>
    <t>danach</t>
  </si>
  <si>
    <t>OBJ_14</t>
  </si>
  <si>
    <t>herstellen</t>
  </si>
  <si>
    <t>Wir</t>
  </si>
  <si>
    <t>SBJ_12</t>
  </si>
  <si>
    <t>3D</t>
  </si>
  <si>
    <t>Drucker</t>
  </si>
  <si>
    <t>OBJ_11</t>
  </si>
  <si>
    <t>OBJ_12</t>
  </si>
  <si>
    <t>mehreren</t>
  </si>
  <si>
    <t>Materialen</t>
  </si>
  <si>
    <t>other_12</t>
  </si>
  <si>
    <t>dort</t>
  </si>
  <si>
    <t>verringern</t>
  </si>
  <si>
    <t>wo</t>
  </si>
  <si>
    <t>OBJ_13</t>
  </si>
  <si>
    <t>nötig</t>
  </si>
  <si>
    <t>macht</t>
  </si>
  <si>
    <t>Kurz</t>
  </si>
  <si>
    <t>other_11</t>
  </si>
  <si>
    <t>gesagt</t>
  </si>
  <si>
    <t>SBJ_11</t>
  </si>
  <si>
    <t>Daten</t>
  </si>
  <si>
    <t>neuartige</t>
  </si>
  <si>
    <t>Versuch</t>
  </si>
  <si>
    <t>other_9</t>
  </si>
  <si>
    <t>kurzem</t>
  </si>
  <si>
    <t>durchführten</t>
  </si>
  <si>
    <t>hat</t>
  </si>
  <si>
    <t>einer</t>
  </si>
  <si>
    <t>unserer</t>
  </si>
  <si>
    <t>OBJ_8</t>
  </si>
  <si>
    <t>US</t>
  </si>
  <si>
    <t>Veteran</t>
  </si>
  <si>
    <t>SBJ_10</t>
  </si>
  <si>
    <t>seit</t>
  </si>
  <si>
    <t>über</t>
  </si>
  <si>
    <t>20</t>
  </si>
  <si>
    <t>other_10</t>
  </si>
  <si>
    <t>schon</t>
  </si>
  <si>
    <t>dutzende</t>
  </si>
  <si>
    <t>getragen</t>
  </si>
  <si>
    <t>Folgendes</t>
  </si>
  <si>
    <t>SBJ_9</t>
  </si>
  <si>
    <t>unsere</t>
  </si>
  <si>
    <t>ausgedruckten</t>
  </si>
  <si>
    <t>so</t>
  </si>
  <si>
    <t>weich</t>
  </si>
  <si>
    <t>man</t>
  </si>
  <si>
    <t>Kissen</t>
  </si>
  <si>
    <t>laufen</t>
  </si>
  <si>
    <t>verdammt</t>
  </si>
  <si>
    <t>sexy</t>
  </si>
  <si>
    <t>Lachen</t>
  </si>
  <si>
    <t>Heutzutage</t>
  </si>
  <si>
    <t>Behinderungen</t>
  </si>
  <si>
    <t>SBJ_8</t>
  </si>
  <si>
    <t>niemanden</t>
  </si>
  <si>
    <t>daran</t>
  </si>
  <si>
    <t>pron.padv</t>
  </si>
  <si>
    <t>hindern</t>
  </si>
  <si>
    <t>sinnsvolles</t>
  </si>
  <si>
    <t>Leben</t>
  </si>
  <si>
    <t>OBJ_10</t>
  </si>
  <si>
    <t>führen</t>
  </si>
  <si>
    <t>Hoffnung</t>
  </si>
  <si>
    <t>mein</t>
  </si>
  <si>
    <t>Wunsch</t>
  </si>
  <si>
    <t>Werkzeuge</t>
  </si>
  <si>
    <t>Prozesse</t>
  </si>
  <si>
    <t>OBJ_9</t>
  </si>
  <si>
    <t>Forschungsgruppe</t>
  </si>
  <si>
    <t>entwickeln</t>
  </si>
  <si>
    <t>können</t>
  </si>
  <si>
    <t>hochfunktionale</t>
  </si>
  <si>
    <t>brauchen</t>
  </si>
  <si>
    <t>Für</t>
  </si>
  <si>
    <t>Anfang</t>
  </si>
  <si>
    <t>Seelen</t>
  </si>
  <si>
    <t>derer</t>
  </si>
  <si>
    <t>heilen</t>
  </si>
  <si>
    <t>Krankheiten</t>
  </si>
  <si>
    <t>betroffen</t>
  </si>
  <si>
    <t>sind</t>
  </si>
  <si>
    <t>komfortable</t>
  </si>
  <si>
    <t>erschwingliche</t>
  </si>
  <si>
    <t>Schnittstellen</t>
  </si>
  <si>
    <t>Körper</t>
  </si>
  <si>
    <t>Ob</t>
  </si>
  <si>
    <t>oder</t>
  </si>
  <si>
    <t>Boston</t>
  </si>
  <si>
    <t>hoffe</t>
  </si>
  <si>
    <t>dies</t>
  </si>
  <si>
    <t>nur</t>
  </si>
  <si>
    <t>ihren</t>
  </si>
  <si>
    <t>Sinn</t>
  </si>
  <si>
    <t>menschliches</t>
  </si>
  <si>
    <t>Können</t>
  </si>
  <si>
    <t>wiederherstellt</t>
  </si>
  <si>
    <t>sondern</t>
  </si>
  <si>
    <t>verändert</t>
  </si>
  <si>
    <t>Vielen</t>
  </si>
  <si>
    <t>Dank</t>
  </si>
  <si>
    <t>SIT</t>
  </si>
  <si>
    <t>sprecher</t>
  </si>
  <si>
    <t>erstes Auftreten Personaldeixis Sprecher</t>
  </si>
  <si>
    <t>sierra_leone</t>
  </si>
  <si>
    <t>westafrika</t>
  </si>
  <si>
    <t>90er</t>
  </si>
  <si>
    <t>Antezedens</t>
  </si>
  <si>
    <t>nicht syntaktischer Kopf</t>
  </si>
  <si>
    <t>familie_sprecher</t>
  </si>
  <si>
    <t>familie&gt;sprecher,familie_sprecher</t>
  </si>
  <si>
    <t>GROUP</t>
  </si>
  <si>
    <t>konkrete Zeitspanne (Dekade)</t>
  </si>
  <si>
    <t>sprecher_12</t>
  </si>
  <si>
    <t>familie</t>
  </si>
  <si>
    <t>OLD</t>
  </si>
  <si>
    <t>sprecher_kinder</t>
  </si>
  <si>
    <t>menschen</t>
  </si>
  <si>
    <t>GEN</t>
  </si>
  <si>
    <t>amputierte_menschen</t>
  </si>
  <si>
    <t>syntaktischer Kopf</t>
  </si>
  <si>
    <t>prothesenschaft</t>
  </si>
  <si>
    <t>prothese</t>
  </si>
  <si>
    <t>industrielaender</t>
  </si>
  <si>
    <t>EXPL</t>
  </si>
  <si>
    <t>Teil der Verbvalenz</t>
  </si>
  <si>
    <t>PRED</t>
  </si>
  <si>
    <t>amputierte_menschen_nichtnutzung</t>
  </si>
  <si>
    <t>spezifische Untergruppe der amputierten Menschen</t>
  </si>
  <si>
    <t>prothesenbauer</t>
  </si>
  <si>
    <t>prothesenschaft_unibody</t>
  </si>
  <si>
    <t>patient_amputiert</t>
  </si>
  <si>
    <t>spezifische Untergruppe der amputierten Menschen, die sich behandeln lässt</t>
  </si>
  <si>
    <t>unspezifisch im Sinne von "man"</t>
  </si>
  <si>
    <t>nichtnutzung_prothese</t>
  </si>
  <si>
    <t>prof_hugh</t>
  </si>
  <si>
    <t>nichtnutzung_loesung</t>
  </si>
  <si>
    <t>parser error</t>
  </si>
  <si>
    <t>mit_lab</t>
  </si>
  <si>
    <t>mrt</t>
  </si>
  <si>
    <t>parer error</t>
  </si>
  <si>
    <t>prothesenschaft_passend</t>
  </si>
  <si>
    <t>spezifische Untergruppe der Prothesenschäfte</t>
  </si>
  <si>
    <t>fem</t>
  </si>
  <si>
    <t>patient_anatomie</t>
  </si>
  <si>
    <t>patient_gliederform</t>
  </si>
  <si>
    <t>druck</t>
  </si>
  <si>
    <t>Prothesenschäfte im Allgemeinen</t>
  </si>
  <si>
    <t>die Form an genau der Stelle, an der die Prothese anliegt</t>
  </si>
  <si>
    <t>mit_mitarbeiter</t>
  </si>
  <si>
    <t>patient_veteran</t>
  </si>
  <si>
    <t>prothesen_mit</t>
  </si>
  <si>
    <t>Prothesen im Allgemeinen</t>
  </si>
  <si>
    <t>boston</t>
  </si>
  <si>
    <t>arbeit_sprecher</t>
  </si>
  <si>
    <t>der Wunsch entspricht der Lösung des Problems der Nichtnutzung von Prothesen</t>
  </si>
  <si>
    <t>doerfer_sierra</t>
  </si>
  <si>
    <t>NEW</t>
  </si>
  <si>
    <t>Antezedens; Problem der Nichtnutzung hier aufgemacht; siehe log</t>
  </si>
  <si>
    <t xml:space="preserve">Antezedens; entspricht auch dem Wunsch des Sprechers </t>
  </si>
  <si>
    <t>AMBIG: SIT denkbar; allerdings handelt es sich um eine konkrete Forschungsgruppe der MIT Lab Mitarbeiter</t>
  </si>
  <si>
    <t>auch ID mit_lab denkbar</t>
  </si>
  <si>
    <t>dieselbe Entität der Prothesen, die diese MIT Lab Gruppe herstellt</t>
  </si>
  <si>
    <t>brandschatzung</t>
  </si>
  <si>
    <t>Antezedens für Temporaldeixis als Sprecher 12 Jahre alt war</t>
  </si>
  <si>
    <t>parser error: syntaktisch gebundenes Relativpronomen</t>
  </si>
  <si>
    <t>spezifische Untergruppe an Menschen, die Sprecher kennt; Antezedens</t>
  </si>
  <si>
    <t>krieg_und_amputationen</t>
  </si>
  <si>
    <t>Antezedens für "diese Verwüstung"</t>
  </si>
  <si>
    <t>Bezug "Krieg und Amputationen" (GEN) wegen Dem.Pron. Gewählt</t>
  </si>
  <si>
    <t>spezifische Untergruppe an Prothesen, die nicht passt, Druckschmerzen bereitet und erst später genauer beschrieben wird</t>
  </si>
  <si>
    <t>spezifische Untergruppe an Prothesenschäften, die zu Druckschmerz führen</t>
  </si>
  <si>
    <t>"Knöchel"prothese unklar</t>
  </si>
  <si>
    <t>doktorarbeit_sprecher</t>
  </si>
  <si>
    <t>usa</t>
  </si>
  <si>
    <t>zwar nicht syntaktischer Kopf, aber Bezug konkrete lokale Entität</t>
  </si>
  <si>
    <t>syntaktisch gebundenes Korrelat</t>
  </si>
  <si>
    <t>hoffnung_sprecher</t>
  </si>
  <si>
    <t>parser error nach Pos.Pron.</t>
  </si>
  <si>
    <t>werkzeuge_und_prozesse</t>
  </si>
  <si>
    <t>mit_gruppe</t>
  </si>
  <si>
    <t>seelen_betroffener</t>
  </si>
  <si>
    <t>REF=OLD, weil als GROUP etabliert</t>
  </si>
  <si>
    <t>Antezedens für folgende solcher Angriffe</t>
  </si>
  <si>
    <t>patient_glieder</t>
  </si>
  <si>
    <t>glauben_patient</t>
  </si>
  <si>
    <t>parser error: Relativpronomen</t>
  </si>
  <si>
    <t>parser error nach Pos.Pron.; spezifische Untergruppe an Prothesen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</si>
</sst>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3" sqref="E3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>IF(A2=1,"_",IF(C2="_","???",C2))</f>
        <v>Vielmehr?</v>
      </c>
      <c r="H2" s="10" t="s">
        <v>16</v>
      </c>
      <c r="I2" s="11" t="s">
        <v>16</v>
      </c>
      <c r="J2" s="12"/>
    </row>
    <row r="3" spans="1:10" ht="60" customHeight="1" x14ac:dyDescent="0.3">
      <c r="A3" s="6" t="s">
        <v>17</v>
      </c>
      <c r="B3" s="6" t="s">
        <v>18</v>
      </c>
      <c r="C3" s="6" t="s">
        <v>16</v>
      </c>
      <c r="D3" s="7" t="s">
        <v>19</v>
      </c>
      <c r="E3" s="8" t="s">
        <v>20</v>
      </c>
      <c r="F3" s="6" t="s">
        <v>21</v>
      </c>
      <c r="G3" s="9" t="str">
        <f>IF(A3=1,"_",IF(C3="_","???",C3))</f>
        <v>???</v>
      </c>
      <c r="H3" s="10" t="s">
        <v>16</v>
      </c>
      <c r="I3" s="11" t="s">
        <v>16</v>
      </c>
      <c r="J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48"/>
  <sheetViews>
    <sheetView tabSelected="1" workbookViewId="0">
      <pane xSplit="1" ySplit="1" topLeftCell="B462" activePane="bottomRight" state="frozen"/>
      <selection pane="topRight" activeCell="B1" sqref="B1"/>
      <selection pane="bottomLeft" activeCell="A2" sqref="A2"/>
      <selection pane="bottomRight" activeCell="L560" sqref="L560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22</v>
      </c>
      <c r="B1" s="13" t="s">
        <v>23</v>
      </c>
      <c r="C1" s="13" t="s">
        <v>24</v>
      </c>
      <c r="D1" s="13" t="s">
        <v>25</v>
      </c>
      <c r="E1" s="14" t="s">
        <v>26</v>
      </c>
      <c r="F1" s="15" t="s">
        <v>27</v>
      </c>
      <c r="G1" s="16" t="s">
        <v>28</v>
      </c>
      <c r="H1" s="17" t="s">
        <v>29</v>
      </c>
      <c r="I1" s="18" t="s">
        <v>30</v>
      </c>
      <c r="J1" s="18" t="s">
        <v>31</v>
      </c>
      <c r="K1" s="18" t="s">
        <v>32</v>
      </c>
      <c r="L1" s="19" t="s">
        <v>9</v>
      </c>
    </row>
    <row r="2" spans="1:12" x14ac:dyDescent="0.3">
      <c r="A2" t="s">
        <v>33</v>
      </c>
    </row>
    <row r="3" spans="1:12" x14ac:dyDescent="0.3">
      <c r="A3" t="s">
        <v>34</v>
      </c>
      <c r="B3" s="20" t="s">
        <v>35</v>
      </c>
      <c r="C3" s="20" t="s">
        <v>36</v>
      </c>
      <c r="D3" s="20" t="s">
        <v>37</v>
      </c>
      <c r="E3" s="21" t="s">
        <v>420</v>
      </c>
      <c r="F3" s="22" t="s">
        <v>419</v>
      </c>
      <c r="G3" s="23" t="e">
        <f ca="1">IF(OR(E3="",E3="!!!"),"",IF(OR(J3=0,AND(J3=1,K3=1),AND(J3=1,I3="SBJ"),AND(J3=1,I3=0)),"?IN_FOCUS",IF(J3&lt;=2,"?ACTIVATED",IF(J3&lt;&gt;"","?FAMILIAR",IF(F3="NEW",IF(ISNA(VLOOKUP(E3,#REF!,1,FALSE())),"?TYPE_IDENTIFIABLE","?REFERENTIAL"),"_")))))</f>
        <v>#VALUE!</v>
      </c>
      <c r="H3" s="24" t="str">
        <f t="shared" ref="H3:H66" ca="1" si="0">IF(J3&lt;&gt;1,"",IF(I3="SBJ","CB","?"))</f>
        <v/>
      </c>
      <c r="I3" s="25" t="e">
        <f>IF(OR(E3="",E3="!!!",F3="NEW"),"",INDEX(B2:B$2,-1+SUMPRODUCT(MAX(ROW(E2:E$2)*(E3=E2:E$2)))))</f>
        <v>#VALUE!</v>
      </c>
      <c r="J3" s="25">
        <f ca="1">IF(OR(E3="",E3="!!!",F3="NEW"),"",COUNTBLANK(OFFSET(A$1,,,SUMPRODUCT(MAX(ROW(E$2:E3)*(E3=E$2:E3)))))-COUNTBLANK(OFFSET(A$1,,,SUMPRODUCT(MAX(ROW(E$1:E2)*(E2=E$1:E2))))))</f>
        <v>0</v>
      </c>
      <c r="K3" s="25" t="e">
        <f>IF(OR(E3="",E3="!!!",F3="NEW"),"",INDEX(J$1:J2,SUMPRODUCT(MAX(ROW(E$1:E2)*(E3=E$1:E2)))))</f>
        <v>#VALUE!</v>
      </c>
      <c r="L3" s="26" t="s">
        <v>421</v>
      </c>
    </row>
    <row r="4" spans="1:12" x14ac:dyDescent="0.3">
      <c r="A4" t="s">
        <v>38</v>
      </c>
      <c r="E4" s="21" t="str">
        <f t="shared" ref="E4:E66" si="1">IF(D4="?OLD","!!!","")</f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0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39</v>
      </c>
      <c r="E5" s="21" t="str">
        <f t="shared" si="1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40</v>
      </c>
      <c r="B6" s="20" t="s">
        <v>41</v>
      </c>
      <c r="C6" s="20" t="s">
        <v>42</v>
      </c>
      <c r="D6" s="20" t="s">
        <v>37</v>
      </c>
      <c r="E6" s="21" t="s">
        <v>422</v>
      </c>
      <c r="F6" s="22" t="str">
        <f>IF(OR(E6="",E6="!!!"),"",IF(NOT(ISNA(VLOOKUP(E6,E$1:E5,1,FALSE()))),"OLD",IF(AND(E6&lt;&gt;"",E6&lt;&gt;"!!!"),"NEW","")))</f>
        <v>NEW</v>
      </c>
      <c r="G6" s="23" t="str">
        <f ca="1">IF(OR(E6="",E6="!!!"),"",IF(OR(J6=0,AND(J6=1,K6=1),AND(J6=1,I6="SBJ"),AND(J6=1,I6=0)),"?IN_FOCUS",IF(J6&lt;=2,"?ACTIVATED",IF(J6&lt;&gt;"","?FAMILIAR",IF(F6="NEW",IF(ISNA(VLOOKUP(E6,#REF!,1,FALSE())),"?TYPE_IDENTIFIABLE","?REFERENTIAL"),"_")))))</f>
        <v>?REFERENTIAL</v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43</v>
      </c>
      <c r="E7" s="21" t="str">
        <f t="shared" si="1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44</v>
      </c>
      <c r="E8" s="21" t="str">
        <f t="shared" si="1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45</v>
      </c>
      <c r="E9" s="21" t="str">
        <f t="shared" si="1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0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46</v>
      </c>
      <c r="E10" s="21" t="str">
        <f t="shared" si="1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0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47</v>
      </c>
      <c r="E11" s="21" t="str">
        <f t="shared" si="1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48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49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45</v>
      </c>
      <c r="E14" s="21" t="str">
        <f t="shared" si="1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0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50</v>
      </c>
      <c r="E15" s="21" t="str">
        <f t="shared" si="1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6" spans="1:12" x14ac:dyDescent="0.3">
      <c r="A16" t="s">
        <v>51</v>
      </c>
      <c r="E16" s="21" t="str">
        <f t="shared" si="1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0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52</v>
      </c>
      <c r="B17" s="20" t="s">
        <v>53</v>
      </c>
      <c r="C17" s="20" t="s">
        <v>54</v>
      </c>
      <c r="E17" s="21"/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0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8" spans="1:12" x14ac:dyDescent="0.3">
      <c r="A18" t="s">
        <v>39</v>
      </c>
      <c r="E18" s="21" t="str">
        <f t="shared" si="1"/>
        <v/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ca="1" si="0"/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55</v>
      </c>
      <c r="B19" s="20" t="s">
        <v>56</v>
      </c>
      <c r="C19" s="20" t="s">
        <v>42</v>
      </c>
      <c r="D19" s="20" t="s">
        <v>37</v>
      </c>
      <c r="E19" s="21" t="s">
        <v>423</v>
      </c>
      <c r="F19" s="22" t="str">
        <f>IF(OR(E19="",E19="!!!"),"",IF(NOT(ISNA(VLOOKUP(E19,E$1:E18,1,FALSE()))),"OLD",IF(AND(E19&lt;&gt;"",E19&lt;&gt;"!!!"),"NEW","")))</f>
        <v>NEW</v>
      </c>
      <c r="G19" s="23" t="str">
        <f ca="1">IF(OR(E19="",E19="!!!"),"",IF(OR(J19=0,AND(J19=1,K19=1),AND(J19=1,I19="SBJ"),AND(J19=1,I19=0)),"?IN_FOCUS",IF(J19&lt;=2,"?ACTIVATED",IF(J19&lt;&gt;"","?FAMILIAR",IF(F19="NEW",IF(ISNA(VLOOKUP(E19,#REF!,1,FALSE())),"?TYPE_IDENTIFIABLE","?REFERENTIAL"),"_")))))</f>
        <v>?REFERENTIAL</v>
      </c>
      <c r="H19" s="24" t="str">
        <f t="shared" ca="1" si="0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47</v>
      </c>
      <c r="E20" s="21" t="str">
        <f t="shared" si="1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0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48</v>
      </c>
      <c r="E21" s="21" t="str">
        <f t="shared" si="1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0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52</v>
      </c>
      <c r="B22" s="20" t="s">
        <v>57</v>
      </c>
      <c r="C22" s="20" t="s">
        <v>54</v>
      </c>
      <c r="E22" s="21"/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0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58</v>
      </c>
      <c r="E23" s="21" t="str">
        <f t="shared" si="1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0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59</v>
      </c>
      <c r="E24" s="21" t="str">
        <f t="shared" si="1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0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60</v>
      </c>
      <c r="E25" s="21" t="str">
        <f t="shared" si="1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0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61</v>
      </c>
      <c r="B26" s="20" t="s">
        <v>56</v>
      </c>
      <c r="C26" s="20" t="s">
        <v>62</v>
      </c>
      <c r="E26" s="21" t="str">
        <f t="shared" si="1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0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63</v>
      </c>
      <c r="E27" s="21" t="str">
        <f t="shared" si="1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0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64</v>
      </c>
      <c r="E28" s="21" t="str">
        <f t="shared" si="1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0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60</v>
      </c>
      <c r="E29" s="21" t="str">
        <f t="shared" si="1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0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65</v>
      </c>
      <c r="E30" s="21" t="str">
        <f t="shared" si="1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0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66</v>
      </c>
      <c r="B31" s="20" t="s">
        <v>57</v>
      </c>
      <c r="C31" s="20" t="s">
        <v>62</v>
      </c>
      <c r="E31" s="21" t="str">
        <f t="shared" si="1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0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67</v>
      </c>
      <c r="E32" s="21" t="str">
        <f t="shared" si="1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0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68</v>
      </c>
      <c r="E33" s="21" t="str">
        <f t="shared" si="1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0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69</v>
      </c>
      <c r="E34" s="21" t="str">
        <f t="shared" si="1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0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40</v>
      </c>
      <c r="B35" s="20" t="s">
        <v>70</v>
      </c>
      <c r="C35" s="20" t="s">
        <v>42</v>
      </c>
      <c r="D35" s="20" t="s">
        <v>37</v>
      </c>
      <c r="E35" s="21" t="s">
        <v>422</v>
      </c>
      <c r="F35" s="22" t="str">
        <f>IF(OR(E35="",E35="!!!"),"",IF(NOT(ISNA(VLOOKUP(E35,E$1:E34,1,FALSE()))),"OLD",IF(AND(E35&lt;&gt;"",E35&lt;&gt;"!!!"),"NEW","")))</f>
        <v>OLD</v>
      </c>
      <c r="G35" s="23" t="str">
        <f ca="1">IF(OR(E35="",E35="!!!"),"",IF(OR(J35=0,AND(J35=1,K35=1),AND(J35=1,I35="SBJ"),AND(J35=1,I35=0)),"?IN_FOCUS",IF(J35&lt;=2,"?ACTIVATED",IF(J35&lt;&gt;"","?FAMILIAR",IF(F35="NEW",IF(ISNA(VLOOKUP(E35,#REF!,1,FALSE())),"?TYPE_IDENTIFIABLE","?REFERENTIAL"),"_")))))</f>
        <v>?IN_FOCUS</v>
      </c>
      <c r="H35" s="24" t="str">
        <f t="shared" ca="1" si="0"/>
        <v/>
      </c>
      <c r="I35" s="25" t="str">
        <f>IF(OR(E35="",E35="!!!",F35="NEW"),"",INDEX(B$2:B34,-1+SUMPRODUCT(MAX(ROW(E$2:E34)*(E35=E$2:E34)))))</f>
        <v>other_2</v>
      </c>
      <c r="J35" s="25">
        <f ca="1">IF(OR(E35="",E35="!!!",F35="NEW"),"",COUNTBLANK(OFFSET(A$1,,,SUMPRODUCT(MAX(ROW(E$2:E35)*(E35=E$2:E35)))))-COUNTBLANK(OFFSET(A$1,,,SUMPRODUCT(MAX(ROW(E$1:E34)*(E2=E$1:E34))))))</f>
        <v>0</v>
      </c>
      <c r="K35" s="25" t="str">
        <f ca="1">IF(OR(E35="",E35="!!!",F35="NEW"),"",INDEX(J$1:J34,SUMPRODUCT(MAX(ROW(E$1:E34)*(E35=E$1:E34)))))</f>
        <v/>
      </c>
      <c r="L35" s="26"/>
    </row>
    <row r="36" spans="1:12" x14ac:dyDescent="0.3">
      <c r="A36" t="s">
        <v>43</v>
      </c>
      <c r="E36" s="21" t="str">
        <f t="shared" si="1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0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71</v>
      </c>
      <c r="E37" s="21" t="str">
        <f t="shared" si="1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0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72</v>
      </c>
      <c r="E38" s="21" t="str">
        <f t="shared" si="1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0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73</v>
      </c>
      <c r="E39" s="21" t="str">
        <f t="shared" si="1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0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74</v>
      </c>
      <c r="E40" s="21" t="str">
        <f t="shared" si="1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0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75</v>
      </c>
      <c r="B41" s="20" t="s">
        <v>53</v>
      </c>
      <c r="C41" s="20" t="s">
        <v>54</v>
      </c>
      <c r="E41" s="21"/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0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39</v>
      </c>
      <c r="E42" s="21" t="str">
        <f t="shared" si="1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0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76</v>
      </c>
      <c r="E43" s="21" t="str">
        <f t="shared" si="1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0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77</v>
      </c>
      <c r="B44" s="20" t="s">
        <v>53</v>
      </c>
      <c r="C44" s="20" t="s">
        <v>78</v>
      </c>
      <c r="D44" s="20" t="s">
        <v>37</v>
      </c>
      <c r="E44" s="21" t="s">
        <v>424</v>
      </c>
      <c r="F44" s="22" t="str">
        <f>IF(OR(E44="",E44="!!!"),"",IF(NOT(ISNA(VLOOKUP(E44,E$1:E43,1,FALSE()))),"OLD",IF(AND(E44&lt;&gt;"",E44&lt;&gt;"!!!"),"NEW","")))</f>
        <v>NEW</v>
      </c>
      <c r="G44" s="23" t="str">
        <f ca="1">IF(OR(E44="",E44="!!!"),"",IF(OR(J44=0,AND(J44=1,K44=1),AND(J44=1,I44="SBJ"),AND(J44=1,I44=0)),"?IN_FOCUS",IF(J44&lt;=2,"?ACTIVATED",IF(J44&lt;&gt;"","?FAMILIAR",IF(F44="NEW",IF(ISNA(VLOOKUP(E44,#REF!,1,FALSE())),"?TYPE_IDENTIFIABLE","?REFERENTIAL"),"_")))))</f>
        <v>?REFERENTIAL</v>
      </c>
      <c r="H44" s="24" t="str">
        <f t="shared" ca="1" si="0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 t="s">
        <v>430</v>
      </c>
    </row>
    <row r="45" spans="1:12" x14ac:dyDescent="0.3">
      <c r="A45" t="s">
        <v>47</v>
      </c>
      <c r="E45" s="21" t="str">
        <f t="shared" si="1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0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39</v>
      </c>
      <c r="E46" s="21" t="str">
        <f t="shared" si="1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0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79</v>
      </c>
      <c r="E47" s="21"/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0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80</v>
      </c>
      <c r="E48" s="21" t="str">
        <f t="shared" si="1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0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81</v>
      </c>
      <c r="B49" s="20" t="s">
        <v>57</v>
      </c>
      <c r="C49" s="20" t="s">
        <v>78</v>
      </c>
      <c r="D49" s="20" t="s">
        <v>37</v>
      </c>
      <c r="E49" s="21" t="s">
        <v>474</v>
      </c>
      <c r="F49" s="22" t="str">
        <f>IF(OR(E49="",E49="!!!"),"",IF(NOT(ISNA(VLOOKUP(E49,E$1:E48,1,FALSE()))),"OLD",IF(AND(E49&lt;&gt;"",E49&lt;&gt;"!!!"),"NEW","")))</f>
        <v>NEW</v>
      </c>
      <c r="G49" s="23" t="str">
        <f ca="1">IF(OR(E49="",E49="!!!"),"",IF(OR(J49=0,AND(J49=1,K49=1),AND(J49=1,I49="SBJ"),AND(J49=1,I49=0)),"?IN_FOCUS",IF(J49&lt;=2,"?ACTIVATED",IF(J49&lt;&gt;"","?FAMILIAR",IF(F49="NEW",IF(ISNA(VLOOKUP(E49,#REF!,1,FALSE())),"?TYPE_IDENTIFIABLE","?REFERENTIAL"),"_")))))</f>
        <v>?REFERENTIAL</v>
      </c>
      <c r="H49" s="24" t="str">
        <f t="shared" ca="1" si="0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82</v>
      </c>
      <c r="E50" s="21" t="s">
        <v>481</v>
      </c>
      <c r="F50" s="22" t="str">
        <f>IF(OR(E50="",E50="!!!"),"",IF(NOT(ISNA(VLOOKUP(E50,E$1:E49,1,FALSE()))),"OLD",IF(AND(E50&lt;&gt;"",E50&lt;&gt;"!!!"),"NEW","")))</f>
        <v>NEW</v>
      </c>
      <c r="G50" s="23" t="str">
        <f ca="1">IF(OR(E50="",E50="!!!"),"",IF(OR(J50=0,AND(J50=1,K50=1),AND(J50=1,I50="SBJ"),AND(J50=1,I50=0)),"?IN_FOCUS",IF(J50&lt;=2,"?ACTIVATED",IF(J50&lt;&gt;"","?FAMILIAR",IF(F50="NEW",IF(ISNA(VLOOKUP(E50,#REF!,1,FALSE())),"?TYPE_IDENTIFIABLE","?REFERENTIAL"),"_")))))</f>
        <v>?REFERENTIAL</v>
      </c>
      <c r="H50" s="24" t="str">
        <f t="shared" ca="1" si="0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 t="s">
        <v>501</v>
      </c>
    </row>
    <row r="51" spans="1:12" x14ac:dyDescent="0.3">
      <c r="A51" t="s">
        <v>83</v>
      </c>
      <c r="E51" s="21" t="str">
        <f t="shared" si="1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0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67</v>
      </c>
      <c r="E52" s="21" t="str">
        <f t="shared" si="1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0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84</v>
      </c>
      <c r="E53" s="21" t="str">
        <f t="shared" si="1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0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85</v>
      </c>
      <c r="E54" s="21" t="str">
        <f t="shared" si="1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0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86</v>
      </c>
      <c r="E55" s="21" t="str">
        <f t="shared" si="1"/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ca="1" si="0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87</v>
      </c>
      <c r="B56" s="20" t="s">
        <v>88</v>
      </c>
      <c r="C56" s="20" t="s">
        <v>89</v>
      </c>
      <c r="E56" s="21" t="str">
        <f t="shared" si="1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0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47</v>
      </c>
      <c r="E57" s="21" t="str">
        <f t="shared" si="1"/>
        <v/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0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90</v>
      </c>
      <c r="B58" s="20" t="s">
        <v>56</v>
      </c>
      <c r="C58" s="20" t="s">
        <v>62</v>
      </c>
      <c r="E58" s="21" t="str">
        <f t="shared" si="1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0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45</v>
      </c>
      <c r="E59" s="21" t="str">
        <f t="shared" si="1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0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91</v>
      </c>
      <c r="B60" s="20" t="s">
        <v>56</v>
      </c>
      <c r="C60" s="20" t="s">
        <v>62</v>
      </c>
      <c r="E60" s="21" t="str">
        <f t="shared" si="1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0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83</v>
      </c>
      <c r="E61" s="21" t="str">
        <f t="shared" si="1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0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39</v>
      </c>
      <c r="E62" s="21" t="str">
        <f t="shared" si="1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0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92</v>
      </c>
      <c r="B63" s="20" t="s">
        <v>56</v>
      </c>
      <c r="C63" s="20" t="s">
        <v>93</v>
      </c>
      <c r="D63" s="20" t="s">
        <v>37</v>
      </c>
      <c r="E63" s="21"/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0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 t="s">
        <v>426</v>
      </c>
    </row>
    <row r="64" spans="1:12" x14ac:dyDescent="0.3">
      <c r="A64" t="s">
        <v>94</v>
      </c>
      <c r="B64" s="20" t="s">
        <v>53</v>
      </c>
      <c r="C64" s="20" t="s">
        <v>95</v>
      </c>
      <c r="D64" s="20" t="s">
        <v>37</v>
      </c>
      <c r="E64" s="21" t="s">
        <v>424</v>
      </c>
      <c r="F64" s="22" t="str">
        <f>IF(OR(E64="",E64="!!!"),"",IF(NOT(ISNA(VLOOKUP(E64,E$1:E63,1,FALSE()))),"OLD",IF(AND(E64&lt;&gt;"",E64&lt;&gt;"!!!"),"NEW","")))</f>
        <v>OLD</v>
      </c>
      <c r="G64" s="23" t="str">
        <f ca="1">IF(OR(E64="",E64="!!!"),"",IF(OR(J64=0,AND(J64=1,K64=1),AND(J64=1,I64="SBJ"),AND(J64=1,I64=0)),"?IN_FOCUS",IF(J64&lt;=2,"?ACTIVATED",IF(J64&lt;&gt;"","?FAMILIAR",IF(F64="NEW",IF(ISNA(VLOOKUP(E64,#REF!,1,FALSE())),"?TYPE_IDENTIFIABLE","?REFERENTIAL"),"_")))))</f>
        <v>?IN_FOCUS</v>
      </c>
      <c r="H64" s="24" t="str">
        <f t="shared" ca="1" si="0"/>
        <v/>
      </c>
      <c r="I64" s="25" t="str">
        <f>IF(OR(E64="",E64="!!!",F64="NEW"),"",INDEX(B$2:B63,-1+SUMPRODUCT(MAX(ROW(E$2:E63)*(E64=E$2:E63)))))</f>
        <v>other_3</v>
      </c>
      <c r="J64" s="25">
        <f ca="1">IF(OR(E64="",E64="!!!",F64="NEW"),"",COUNTBLANK(OFFSET(A$1,,,SUMPRODUCT(MAX(ROW(E$2:E64)*(E64=E$2:E64)))))-COUNTBLANK(OFFSET(A$1,,,SUMPRODUCT(MAX(ROW(E$1:E63)*(E2=E$1:E63))))))</f>
        <v>0</v>
      </c>
      <c r="K64" s="25" t="str">
        <f ca="1">IF(OR(E64="",E64="!!!",F64="NEW"),"",INDEX(J$1:J63,SUMPRODUCT(MAX(ROW(E$1:E63)*(E64=E$1:E63)))))</f>
        <v/>
      </c>
      <c r="L64" s="26"/>
    </row>
    <row r="65" spans="1:12" x14ac:dyDescent="0.3">
      <c r="A65" t="s">
        <v>96</v>
      </c>
      <c r="B65" s="20" t="s">
        <v>88</v>
      </c>
      <c r="C65" s="20" t="s">
        <v>62</v>
      </c>
      <c r="E65" s="21" t="str">
        <f t="shared" si="1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0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45</v>
      </c>
      <c r="E66" s="21" t="str">
        <f t="shared" si="1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0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97</v>
      </c>
      <c r="B67" s="20" t="s">
        <v>56</v>
      </c>
      <c r="C67" s="20" t="s">
        <v>62</v>
      </c>
      <c r="E67" s="21" t="str">
        <f t="shared" ref="E67:E130" si="2">IF(D67="?OLD","!!!","")</f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ref="H67:H130" ca="1" si="3">IF(J67&lt;&gt;1,"",IF(I67="SBJ","CB","?"))</f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98</v>
      </c>
      <c r="E68" s="21"/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3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67</v>
      </c>
      <c r="E69" s="21" t="str">
        <f t="shared" si="2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3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99</v>
      </c>
      <c r="B70" s="20" t="s">
        <v>53</v>
      </c>
      <c r="C70" s="20" t="s">
        <v>100</v>
      </c>
      <c r="D70" s="20" t="s">
        <v>37</v>
      </c>
      <c r="E70" s="21" t="s">
        <v>420</v>
      </c>
      <c r="F70" s="22" t="str">
        <f>IF(OR(E70="",E70="!!!"),"",IF(NOT(ISNA(VLOOKUP(E70,E$1:E69,1,FALSE()))),"OLD",IF(AND(E70&lt;&gt;"",E70&lt;&gt;"!!!"),"NEW","")))</f>
        <v>OLD</v>
      </c>
      <c r="G70" s="23" t="str">
        <f ca="1">IF(OR(E70="",E70="!!!"),"",IF(OR(J70=0,AND(J70=1,K70=1),AND(J70=1,I70="SBJ"),AND(J70=1,I70=0)),"?IN_FOCUS",IF(J70&lt;=2,"?ACTIVATED",IF(J70&lt;&gt;"","?FAMILIAR",IF(F70="NEW",IF(ISNA(VLOOKUP(E70,#REF!,1,FALSE())),"?TYPE_IDENTIFIABLE","?REFERENTIAL"),"_")))))</f>
        <v>?IN_FOCUS</v>
      </c>
      <c r="H70" s="24" t="str">
        <f t="shared" ca="1" si="3"/>
        <v/>
      </c>
      <c r="I70" s="25" t="str">
        <f>IF(OR(E70="",E70="!!!",F70="NEW"),"",INDEX(B$2:B69,-1+SUMPRODUCT(MAX(ROW(E$2:E69)*(E70=E$2:E69)))))</f>
        <v>SBJ_2</v>
      </c>
      <c r="J70" s="25">
        <f ca="1">IF(OR(E70="",E70="!!!",F70="NEW"),"",COUNTBLANK(OFFSET(A$1,,,SUMPRODUCT(MAX(ROW(E$2:E70)*(E70=E$2:E70)))))-COUNTBLANK(OFFSET(A$1,,,SUMPRODUCT(MAX(ROW(E$1:E69)*(E2=E$1:E69))))))</f>
        <v>0</v>
      </c>
      <c r="K70" s="25">
        <f ca="1">IF(OR(E70="",E70="!!!",F70="NEW"),"",INDEX(J$1:J69,SUMPRODUCT(MAX(ROW(E$1:E69)*(E70=E$1:E69)))))</f>
        <v>0</v>
      </c>
      <c r="L70" s="26"/>
    </row>
    <row r="71" spans="1:12" x14ac:dyDescent="0.3">
      <c r="A71" t="s">
        <v>101</v>
      </c>
      <c r="B71" s="20" t="s">
        <v>35</v>
      </c>
      <c r="C71" s="20" t="s">
        <v>62</v>
      </c>
      <c r="E71" s="21" t="s">
        <v>427</v>
      </c>
      <c r="F71" s="22" t="str">
        <f>IF(OR(E71="",E71="!!!"),"",IF(NOT(ISNA(VLOOKUP(E71,E$1:E70,1,FALSE()))),"OLD",IF(AND(E71&lt;&gt;"",E71&lt;&gt;"!!!"),"NEW","")))</f>
        <v>NEW</v>
      </c>
      <c r="G71" s="23" t="str">
        <f ca="1">IF(OR(E71="",E71="!!!"),"",IF(OR(J71=0,AND(J71=1,K71=1),AND(J71=1,I71="SBJ"),AND(J71=1,I71=0)),"?IN_FOCUS",IF(J71&lt;=2,"?ACTIVATED",IF(J71&lt;&gt;"","?FAMILIAR",IF(F71="NEW",IF(ISNA(VLOOKUP(E71,#REF!,1,FALSE())),"?TYPE_IDENTIFIABLE","?REFERENTIAL"),"_")))))</f>
        <v>?REFERENTIAL</v>
      </c>
      <c r="H71" s="24" t="str">
        <f t="shared" ca="1" si="3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45</v>
      </c>
      <c r="E72" s="21" t="str">
        <f t="shared" si="2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3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102</v>
      </c>
      <c r="B73" s="20" t="s">
        <v>70</v>
      </c>
      <c r="C73" s="20" t="s">
        <v>36</v>
      </c>
      <c r="D73" s="20" t="s">
        <v>37</v>
      </c>
      <c r="E73" s="21" t="s">
        <v>420</v>
      </c>
      <c r="F73" s="22" t="str">
        <f>IF(OR(E73="",E73="!!!"),"",IF(NOT(ISNA(VLOOKUP(E73,E$1:E72,1,FALSE()))),"OLD",IF(AND(E73&lt;&gt;"",E73&lt;&gt;"!!!"),"NEW","")))</f>
        <v>OLD</v>
      </c>
      <c r="G73" s="23" t="str">
        <f ca="1">IF(OR(E73="",E73="!!!"),"",IF(OR(J73=0,AND(J73=1,K73=1),AND(J73=1,I73="SBJ"),AND(J73=1,I73=0)),"?IN_FOCUS",IF(J73&lt;=2,"?ACTIVATED",IF(J73&lt;&gt;"","?FAMILIAR",IF(F73="NEW",IF(ISNA(VLOOKUP(E73,#REF!,1,FALSE())),"?TYPE_IDENTIFIABLE","?REFERENTIAL"),"_")))))</f>
        <v>?IN_FOCUS</v>
      </c>
      <c r="H73" s="24" t="str">
        <f t="shared" ca="1" si="3"/>
        <v/>
      </c>
      <c r="I73" s="25" t="str">
        <f>IF(OR(E73="",E73="!!!",F73="NEW"),"",INDEX(B$2:B72,-1+SUMPRODUCT(MAX(ROW(E$2:E72)*(E73=E$2:E72)))))</f>
        <v>other_3</v>
      </c>
      <c r="J73" s="25">
        <f ca="1">IF(OR(E73="",E73="!!!",F73="NEW"),"",COUNTBLANK(OFFSET(A$1,,,SUMPRODUCT(MAX(ROW(E$2:E73)*(E73=E$2:E73)))))-COUNTBLANK(OFFSET(A$1,,,SUMPRODUCT(MAX(ROW(E$1:E72)*(E2=E$1:E72))))))</f>
        <v>0</v>
      </c>
      <c r="K73" s="25">
        <f ca="1">IF(OR(E73="",E73="!!!",F73="NEW"),"",INDEX(J$1:J72,SUMPRODUCT(MAX(ROW(E$1:E72)*(E73=E$1:E72)))))</f>
        <v>0</v>
      </c>
      <c r="L73" s="26"/>
    </row>
    <row r="74" spans="1:12" ht="28.8" x14ac:dyDescent="0.3">
      <c r="A74" t="s">
        <v>103</v>
      </c>
      <c r="E74" s="21" t="s">
        <v>431</v>
      </c>
      <c r="F74" s="22" t="s">
        <v>419</v>
      </c>
      <c r="G74" s="23" t="e">
        <f ca="1">IF(OR(E74="",E74="!!!"),"",IF(OR(J74=0,AND(J74=1,K74=1),AND(J74=1,I74="SBJ"),AND(J74=1,I74=0)),"?IN_FOCUS",IF(J74&lt;=2,"?ACTIVATED",IF(J74&lt;&gt;"","?FAMILIAR",IF(F74="NEW",IF(ISNA(VLOOKUP(E74,#REF!,1,FALSE())),"?TYPE_IDENTIFIABLE","?REFERENTIAL"),"_")))))</f>
        <v>#VALUE!</v>
      </c>
      <c r="H74" s="24" t="str">
        <f t="shared" ca="1" si="3"/>
        <v/>
      </c>
      <c r="I74" s="25" t="e">
        <f>IF(OR(E74="",E74="!!!",F74="NEW"),"",INDEX(B$2:B73,-1+SUMPRODUCT(MAX(ROW(E$2:E73)*(E74=E$2:E73)))))</f>
        <v>#VALUE!</v>
      </c>
      <c r="J74" s="25">
        <f ca="1">IF(OR(E74="",E74="!!!",F74="NEW"),"",COUNTBLANK(OFFSET(A$1,,,SUMPRODUCT(MAX(ROW(E$2:E74)*(E74=E$2:E74)))))-COUNTBLANK(OFFSET(A$1,,,SUMPRODUCT(MAX(ROW(E$1:E73)*(E2=E$1:E73))))))</f>
        <v>0</v>
      </c>
      <c r="K74" s="25" t="e">
        <f>IF(OR(E74="",E74="!!!",F74="NEW"),"",INDEX(J$1:J73,SUMPRODUCT(MAX(ROW(E$1:E73)*(E74=E$1:E73)))))</f>
        <v>#VALUE!</v>
      </c>
      <c r="L74" s="26" t="s">
        <v>482</v>
      </c>
    </row>
    <row r="75" spans="1:12" x14ac:dyDescent="0.3">
      <c r="A75" t="s">
        <v>104</v>
      </c>
      <c r="B75" s="20" t="s">
        <v>88</v>
      </c>
      <c r="C75" s="20" t="s">
        <v>105</v>
      </c>
      <c r="D75" s="20" t="s">
        <v>37</v>
      </c>
      <c r="E75" s="21" t="s">
        <v>428</v>
      </c>
      <c r="F75" s="22" t="s">
        <v>429</v>
      </c>
      <c r="G75" s="23" t="e">
        <f ca="1">IF(OR(E75="",E75="!!!"),"",IF(OR(J75=0,AND(J75=1,K75=1),AND(J75=1,I75="SBJ"),AND(J75=1,I75=0)),"?IN_FOCUS",IF(J75&lt;=2,"?ACTIVATED",IF(J75&lt;&gt;"","?FAMILIAR",IF(F75="NEW",IF(ISNA(VLOOKUP(E75,#REF!,1,FALSE())),"?TYPE_IDENTIFIABLE","?REFERENTIAL"),"_")))))</f>
        <v>#VALUE!</v>
      </c>
      <c r="H75" s="24" t="str">
        <f t="shared" ca="1" si="3"/>
        <v/>
      </c>
      <c r="I75" s="25" t="e">
        <f>IF(OR(E75="",E75="!!!",F75="NEW"),"",INDEX(B$2:B74,-1+SUMPRODUCT(MAX(ROW(E$2:E74)*(E75=E$2:E74)))))</f>
        <v>#VALUE!</v>
      </c>
      <c r="J75" s="25">
        <f ca="1">IF(OR(E75="",E75="!!!",F75="NEW"),"",COUNTBLANK(OFFSET(A$1,,,SUMPRODUCT(MAX(ROW(E$2:E75)*(E75=E$2:E75)))))-COUNTBLANK(OFFSET(A$1,,,SUMPRODUCT(MAX(ROW(E$1:E74)*(E2=E$1:E74))))))</f>
        <v>0</v>
      </c>
      <c r="K75" s="25" t="e">
        <f>IF(OR(E75="",E75="!!!",F75="NEW"),"",INDEX(J$1:J74,SUMPRODUCT(MAX(ROW(E$1:E74)*(E75=E$1:E74)))))</f>
        <v>#VALUE!</v>
      </c>
      <c r="L75" s="26"/>
    </row>
    <row r="76" spans="1:12" x14ac:dyDescent="0.3">
      <c r="A76" t="s">
        <v>106</v>
      </c>
      <c r="E76" s="21" t="str">
        <f t="shared" si="2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3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48</v>
      </c>
      <c r="E77" s="21"/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3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92</v>
      </c>
      <c r="B78" s="20" t="s">
        <v>56</v>
      </c>
      <c r="C78" s="20" t="s">
        <v>93</v>
      </c>
      <c r="D78" s="20" t="s">
        <v>37</v>
      </c>
      <c r="E78" s="21"/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3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 t="s">
        <v>426</v>
      </c>
    </row>
    <row r="79" spans="1:12" x14ac:dyDescent="0.3">
      <c r="A79" t="s">
        <v>107</v>
      </c>
      <c r="B79" s="20" t="s">
        <v>53</v>
      </c>
      <c r="C79" s="20" t="s">
        <v>95</v>
      </c>
      <c r="D79" s="20" t="s">
        <v>37</v>
      </c>
      <c r="E79" s="21" t="s">
        <v>481</v>
      </c>
      <c r="F79" s="22" t="str">
        <f>IF(OR(E79="",E79="!!!"),"",IF(NOT(ISNA(VLOOKUP(E79,E$1:E78,1,FALSE()))),"OLD",IF(AND(E79&lt;&gt;"",E79&lt;&gt;"!!!"),"NEW","")))</f>
        <v>OLD</v>
      </c>
      <c r="G79" s="23" t="str">
        <f ca="1">IF(OR(E79="",E79="!!!"),"",IF(OR(J79=0,AND(J79=1,K79=1),AND(J79=1,I79="SBJ"),AND(J79=1,I79=0)),"?IN_FOCUS",IF(J79&lt;=2,"?ACTIVATED",IF(J79&lt;&gt;"","?FAMILIAR",IF(F79="NEW",IF(ISNA(VLOOKUP(E79,#REF!,1,FALSE())),"?TYPE_IDENTIFIABLE","?REFERENTIAL"),"_")))))</f>
        <v>?IN_FOCUS</v>
      </c>
      <c r="H79" s="24" t="str">
        <f t="shared" ca="1" si="3"/>
        <v/>
      </c>
      <c r="I79" s="25">
        <f>IF(OR(E79="",E79="!!!",F79="NEW"),"",INDEX(B$2:B78,-1+SUMPRODUCT(MAX(ROW(E$2:E78)*(E79=E$2:E78)))))</f>
        <v>0</v>
      </c>
      <c r="J79" s="25">
        <f ca="1">IF(OR(E79="",E79="!!!",F79="NEW"),"",COUNTBLANK(OFFSET(A$1,,,SUMPRODUCT(MAX(ROW(E$2:E79)*(E79=E$2:E79)))))-COUNTBLANK(OFFSET(A$1,,,SUMPRODUCT(MAX(ROW(E$1:E78)*(E2=E$1:E78))))))</f>
        <v>0</v>
      </c>
      <c r="K79" s="25" t="str">
        <f ca="1">IF(OR(E79="",E79="!!!",F79="NEW"),"",INDEX(J$1:J78,SUMPRODUCT(MAX(ROW(E$1:E78)*(E79=E$1:E78)))))</f>
        <v/>
      </c>
      <c r="L79" s="26"/>
    </row>
    <row r="80" spans="1:12" x14ac:dyDescent="0.3">
      <c r="A80" t="s">
        <v>39</v>
      </c>
      <c r="E80" s="21" t="str">
        <f t="shared" si="2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3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108</v>
      </c>
      <c r="B81" s="20" t="s">
        <v>53</v>
      </c>
      <c r="C81" s="20" t="s">
        <v>62</v>
      </c>
      <c r="E81" s="21" t="str">
        <f t="shared" si="2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3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47</v>
      </c>
      <c r="E82" s="21" t="str">
        <f t="shared" si="2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3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63</v>
      </c>
      <c r="E83" s="21"/>
      <c r="F83" s="22"/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3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102</v>
      </c>
      <c r="B84" s="20" t="s">
        <v>109</v>
      </c>
      <c r="C84" s="20" t="s">
        <v>36</v>
      </c>
      <c r="D84" s="20" t="s">
        <v>37</v>
      </c>
      <c r="E84" s="21" t="s">
        <v>420</v>
      </c>
      <c r="F84" s="22" t="str">
        <f>IF(OR(E84="",E84="!!!"),"",IF(NOT(ISNA(VLOOKUP(E84,E$1:E83,1,FALSE()))),"OLD",IF(AND(E84&lt;&gt;"",E84&lt;&gt;"!!!"),"NEW","")))</f>
        <v>OLD</v>
      </c>
      <c r="G84" s="23" t="str">
        <f ca="1">IF(OR(E84="",E84="!!!"),"",IF(OR(J84=0,AND(J84=1,K84=1),AND(J84=1,I84="SBJ"),AND(J84=1,I84=0)),"?IN_FOCUS",IF(J84&lt;=2,"?ACTIVATED",IF(J84&lt;&gt;"","?FAMILIAR",IF(F84="NEW",IF(ISNA(VLOOKUP(E84,#REF!,1,FALSE())),"?TYPE_IDENTIFIABLE","?REFERENTIAL"),"_")))))</f>
        <v>?IN_FOCUS</v>
      </c>
      <c r="H84" s="24" t="str">
        <f t="shared" ca="1" si="3"/>
        <v/>
      </c>
      <c r="I84" s="25" t="str">
        <f>IF(OR(E84="",E84="!!!",F84="NEW"),"",INDEX(B$2:B83,-1+SUMPRODUCT(MAX(ROW(E$2:E83)*(E84=E$2:E83)))))</f>
        <v>SBJ_3</v>
      </c>
      <c r="J84" s="25">
        <f ca="1">IF(OR(E84="",E84="!!!",F84="NEW"),"",COUNTBLANK(OFFSET(A$1,,,SUMPRODUCT(MAX(ROW(E$2:E84)*(E84=E$2:E84)))))-COUNTBLANK(OFFSET(A$1,,,SUMPRODUCT(MAX(ROW(E$1:E83)*(E2=E$1:E83))))))</f>
        <v>0</v>
      </c>
      <c r="K84" s="25">
        <f ca="1">IF(OR(E84="",E84="!!!",F84="NEW"),"",INDEX(J$1:J83,SUMPRODUCT(MAX(ROW(E$1:E83)*(E84=E$1:E83)))))</f>
        <v>0</v>
      </c>
      <c r="L84" s="26"/>
    </row>
    <row r="85" spans="1:12" x14ac:dyDescent="0.3">
      <c r="A85" t="s">
        <v>110</v>
      </c>
      <c r="E85" s="21" t="str">
        <f t="shared" si="2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3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111</v>
      </c>
      <c r="E86" s="21" t="str">
        <f t="shared" si="2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3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67</v>
      </c>
      <c r="E87" s="21" t="str">
        <f t="shared" si="2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3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112</v>
      </c>
      <c r="E88" s="21" t="str">
        <f t="shared" si="2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3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113</v>
      </c>
      <c r="B89" s="20" t="s">
        <v>53</v>
      </c>
      <c r="C89" s="20" t="s">
        <v>93</v>
      </c>
      <c r="D89" s="20" t="s">
        <v>37</v>
      </c>
      <c r="E89" s="21"/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3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 t="s">
        <v>426</v>
      </c>
    </row>
    <row r="90" spans="1:12" x14ac:dyDescent="0.3">
      <c r="A90" t="s">
        <v>114</v>
      </c>
      <c r="B90" s="20" t="s">
        <v>41</v>
      </c>
      <c r="C90" s="20" t="s">
        <v>95</v>
      </c>
      <c r="D90" s="20" t="s">
        <v>37</v>
      </c>
      <c r="E90" s="21" t="s">
        <v>431</v>
      </c>
      <c r="F90" s="22" t="str">
        <f>IF(OR(E90="",E90="!!!"),"",IF(NOT(ISNA(VLOOKUP(E90,E$1:E89,1,FALSE()))),"OLD",IF(AND(E90&lt;&gt;"",E90&lt;&gt;"!!!"),"NEW","")))</f>
        <v>OLD</v>
      </c>
      <c r="G90" s="23" t="str">
        <f ca="1">IF(OR(E90="",E90="!!!"),"",IF(OR(J90=0,AND(J90=1,K90=1),AND(J90=1,I90="SBJ"),AND(J90=1,I90=0)),"?IN_FOCUS",IF(J90&lt;=2,"?ACTIVATED",IF(J90&lt;&gt;"","?FAMILIAR",IF(F90="NEW",IF(ISNA(VLOOKUP(E90,#REF!,1,FALSE())),"?TYPE_IDENTIFIABLE","?REFERENTIAL"),"_")))))</f>
        <v>?IN_FOCUS</v>
      </c>
      <c r="H90" s="24" t="str">
        <f t="shared" ca="1" si="3"/>
        <v/>
      </c>
      <c r="I90" s="25">
        <f>IF(OR(E90="",E90="!!!",F90="NEW"),"",INDEX(B$2:B89,-1+SUMPRODUCT(MAX(ROW(E$2:E89)*(E90=E$2:E89)))))</f>
        <v>0</v>
      </c>
      <c r="J90" s="25">
        <f ca="1">IF(OR(E90="",E90="!!!",F90="NEW"),"",COUNTBLANK(OFFSET(A$1,,,SUMPRODUCT(MAX(ROW(E$2:E90)*(E90=E$2:E90)))))-COUNTBLANK(OFFSET(A$1,,,SUMPRODUCT(MAX(ROW(E$1:E89)*(E2=E$1:E89))))))</f>
        <v>0</v>
      </c>
      <c r="K90" s="25">
        <f ca="1">IF(OR(E90="",E90="!!!",F90="NEW"),"",INDEX(J$1:J89,SUMPRODUCT(MAX(ROW(E$1:E89)*(E90=E$1:E89)))))</f>
        <v>0</v>
      </c>
      <c r="L90" s="26"/>
    </row>
    <row r="91" spans="1:12" x14ac:dyDescent="0.3">
      <c r="A91" t="s">
        <v>115</v>
      </c>
      <c r="E91" s="21" t="str">
        <f t="shared" si="2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3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102</v>
      </c>
      <c r="B92" s="20" t="s">
        <v>116</v>
      </c>
      <c r="C92" s="20" t="s">
        <v>36</v>
      </c>
      <c r="D92" s="20" t="s">
        <v>37</v>
      </c>
      <c r="E92" s="21" t="s">
        <v>420</v>
      </c>
      <c r="F92" s="22" t="str">
        <f>IF(OR(E92="",E92="!!!"),"",IF(NOT(ISNA(VLOOKUP(E92,E$1:E91,1,FALSE()))),"OLD",IF(AND(E92&lt;&gt;"",E92&lt;&gt;"!!!"),"NEW","")))</f>
        <v>OLD</v>
      </c>
      <c r="G92" s="23" t="str">
        <f ca="1">IF(OR(E92="",E92="!!!"),"",IF(OR(J92=0,AND(J92=1,K92=1),AND(J92=1,I92="SBJ"),AND(J92=1,I92=0)),"?IN_FOCUS",IF(J92&lt;=2,"?ACTIVATED",IF(J92&lt;&gt;"","?FAMILIAR",IF(F92="NEW",IF(ISNA(VLOOKUP(E92,#REF!,1,FALSE())),"?TYPE_IDENTIFIABLE","?REFERENTIAL"),"_")))))</f>
        <v>?IN_FOCUS</v>
      </c>
      <c r="H92" s="24" t="str">
        <f t="shared" ca="1" si="3"/>
        <v/>
      </c>
      <c r="I92" s="25" t="str">
        <f>IF(OR(E92="",E92="!!!",F92="NEW"),"",INDEX(B$2:B91,-1+SUMPRODUCT(MAX(ROW(E$2:E91)*(E92=E$2:E91)))))</f>
        <v>SBJ_4</v>
      </c>
      <c r="J92" s="25">
        <f ca="1">IF(OR(E92="",E92="!!!",F92="NEW"),"",COUNTBLANK(OFFSET(A$1,,,SUMPRODUCT(MAX(ROW(E$2:E92)*(E92=E$2:E92)))))-COUNTBLANK(OFFSET(A$1,,,SUMPRODUCT(MAX(ROW(E$1:E91)*(E2=E$1:E91))))))</f>
        <v>0</v>
      </c>
      <c r="K92" s="25">
        <f ca="1">IF(OR(E92="",E92="!!!",F92="NEW"),"",INDEX(J$1:J91,SUMPRODUCT(MAX(ROW(E$1:E91)*(E92=E$1:E91)))))</f>
        <v>0</v>
      </c>
      <c r="L92" s="26"/>
    </row>
    <row r="93" spans="1:12" x14ac:dyDescent="0.3">
      <c r="A93" t="s">
        <v>117</v>
      </c>
      <c r="B93" s="20" t="s">
        <v>118</v>
      </c>
      <c r="E93" s="21" t="s">
        <v>420</v>
      </c>
      <c r="F93" s="22" t="str">
        <f>IF(OR(E93="",E93="!!!"),"",IF(NOT(ISNA(VLOOKUP(E93,E$1:E92,1,FALSE()))),"OLD",IF(AND(E93&lt;&gt;"",E93&lt;&gt;"!!!"),"NEW","")))</f>
        <v>OLD</v>
      </c>
      <c r="G93" s="23" t="str">
        <f ca="1">IF(OR(E93="",E93="!!!"),"",IF(OR(J93=0,AND(J93=1,K93=1),AND(J93=1,I93="SBJ"),AND(J93=1,I93=0)),"?IN_FOCUS",IF(J93&lt;=2,"?ACTIVATED",IF(J93&lt;&gt;"","?FAMILIAR",IF(F93="NEW",IF(ISNA(VLOOKUP(E93,#REF!,1,FALSE())),"?TYPE_IDENTIFIABLE","?REFERENTIAL"),"_")))))</f>
        <v>?IN_FOCUS</v>
      </c>
      <c r="H93" s="24" t="str">
        <f t="shared" ca="1" si="3"/>
        <v/>
      </c>
      <c r="I93" s="25" t="str">
        <f>IF(OR(E93="",E93="!!!",F93="NEW"),"",INDEX(B$2:B92,-1+SUMPRODUCT(MAX(ROW(E$2:E92)*(E93=E$2:E92)))))</f>
        <v>SBJ</v>
      </c>
      <c r="J93" s="25">
        <f ca="1">IF(OR(E93="",E93="!!!",F93="NEW"),"",COUNTBLANK(OFFSET(A$1,,,SUMPRODUCT(MAX(ROW(E$2:E93)*(E93=E$2:E93)))))-COUNTBLANK(OFFSET(A$1,,,SUMPRODUCT(MAX(ROW(E$1:E92)*(E2=E$1:E92))))))</f>
        <v>0</v>
      </c>
      <c r="K93" s="25">
        <f ca="1">IF(OR(E93="",E93="!!!",F93="NEW"),"",INDEX(J$1:J92,SUMPRODUCT(MAX(ROW(E$1:E92)*(E93=E$1:E92)))))</f>
        <v>0</v>
      </c>
      <c r="L93" s="26" t="s">
        <v>455</v>
      </c>
    </row>
    <row r="94" spans="1:12" x14ac:dyDescent="0.3">
      <c r="A94" t="s">
        <v>106</v>
      </c>
      <c r="E94" s="21" t="str">
        <f t="shared" si="2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3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47</v>
      </c>
      <c r="E95" s="21" t="str">
        <f t="shared" si="2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3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119</v>
      </c>
      <c r="B96" s="20" t="s">
        <v>120</v>
      </c>
      <c r="C96" s="20" t="s">
        <v>121</v>
      </c>
      <c r="E96" s="21" t="str">
        <f t="shared" si="2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3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122</v>
      </c>
      <c r="E97" s="21" t="str">
        <f t="shared" si="2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3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123</v>
      </c>
      <c r="E98" s="21" t="str">
        <f t="shared" si="2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3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47</v>
      </c>
      <c r="E99" s="21" t="str">
        <f t="shared" si="2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3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124</v>
      </c>
      <c r="E100" s="21" t="str">
        <f t="shared" si="2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3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125</v>
      </c>
      <c r="E101" s="21" t="str">
        <f t="shared" si="2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3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47</v>
      </c>
      <c r="E102" s="21" t="str">
        <f t="shared" si="2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3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126</v>
      </c>
      <c r="E103" s="21" t="str">
        <f t="shared" si="2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3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127</v>
      </c>
      <c r="B104" s="20" t="s">
        <v>53</v>
      </c>
      <c r="C104" s="20" t="s">
        <v>100</v>
      </c>
      <c r="D104" s="20" t="s">
        <v>37</v>
      </c>
      <c r="E104" s="21" t="s">
        <v>420</v>
      </c>
      <c r="F104" s="22" t="str">
        <f>IF(OR(E104="",E104="!!!"),"",IF(NOT(ISNA(VLOOKUP(E104,E$1:E103,1,FALSE()))),"OLD",IF(AND(E104&lt;&gt;"",E104&lt;&gt;"!!!"),"NEW","")))</f>
        <v>OLD</v>
      </c>
      <c r="G104" s="23" t="str">
        <f ca="1"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?IN_FOCUS</v>
      </c>
      <c r="H104" s="24" t="str">
        <f t="shared" ca="1" si="3"/>
        <v/>
      </c>
      <c r="I104" s="25" t="str">
        <f>IF(OR(E104="",E104="!!!",F104="NEW"),"",INDEX(B$2:B103,-1+SUMPRODUCT(MAX(ROW(E$2:E103)*(E104=E$2:E103)))))</f>
        <v>OBJ</v>
      </c>
      <c r="J104" s="25">
        <f ca="1">IF(OR(E104="",E104="!!!",F104="NEW"),"",COUNTBLANK(OFFSET(A$1,,,SUMPRODUCT(MAX(ROW(E$2:E104)*(E104=E$2:E104)))))-COUNTBLANK(OFFSET(A$1,,,SUMPRODUCT(MAX(ROW(E$1:E103)*(E2=E$1:E103))))))</f>
        <v>0</v>
      </c>
      <c r="K104" s="25">
        <f ca="1">IF(OR(E104="",E104="!!!",F104="NEW"),"",INDEX(J$1:J103,SUMPRODUCT(MAX(ROW(E$1:E103)*(E104=E$1:E103)))))</f>
        <v>0</v>
      </c>
      <c r="L104" s="26"/>
    </row>
    <row r="105" spans="1:12" x14ac:dyDescent="0.3">
      <c r="A105" t="s">
        <v>128</v>
      </c>
      <c r="E105" s="21" t="str">
        <f t="shared" si="2"/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t="shared" ca="1" si="3"/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6" spans="1:12" x14ac:dyDescent="0.3">
      <c r="A106" t="s">
        <v>129</v>
      </c>
      <c r="B106" s="20" t="s">
        <v>35</v>
      </c>
      <c r="C106" s="20" t="s">
        <v>62</v>
      </c>
      <c r="E106" s="21" t="s">
        <v>434</v>
      </c>
      <c r="F106" s="22" t="str">
        <f>IF(OR(E106="",E106="!!!"),"",IF(NOT(ISNA(VLOOKUP(E106,E$1:E105,1,FALSE()))),"OLD",IF(AND(E106&lt;&gt;"",E106&lt;&gt;"!!!"),"NEW","")))</f>
        <v>NEW</v>
      </c>
      <c r="G106" s="23" t="str">
        <f ca="1"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?REFERENTIAL</v>
      </c>
      <c r="H106" s="24" t="str">
        <f t="shared" ca="1" si="3"/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 t="s">
        <v>425</v>
      </c>
    </row>
    <row r="107" spans="1:12" x14ac:dyDescent="0.3">
      <c r="A107" t="s">
        <v>130</v>
      </c>
      <c r="E107" s="21" t="str">
        <f t="shared" si="2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3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131</v>
      </c>
      <c r="B108" s="20" t="s">
        <v>35</v>
      </c>
      <c r="E108" s="21" t="s">
        <v>481</v>
      </c>
      <c r="F108" s="22" t="str">
        <f>IF(OR(E108="",E108="!!!"),"",IF(NOT(ISNA(VLOOKUP(E108,E$1:E107,1,FALSE()))),"OLD",IF(AND(E108&lt;&gt;"",E108&lt;&gt;"!!!"),"NEW","")))</f>
        <v>OLD</v>
      </c>
      <c r="G108" s="23" t="str">
        <f ca="1"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?IN_FOCUS</v>
      </c>
      <c r="H108" s="24" t="str">
        <f t="shared" ca="1" si="3"/>
        <v/>
      </c>
      <c r="I108" s="25" t="str">
        <f>IF(OR(E108="",E108="!!!",F108="NEW"),"",INDEX(B$2:B107,-1+SUMPRODUCT(MAX(ROW(E$2:E107)*(E108=E$2:E107)))))</f>
        <v>other_3</v>
      </c>
      <c r="J108" s="25">
        <f ca="1">IF(OR(E108="",E108="!!!",F108="NEW"),"",COUNTBLANK(OFFSET(A$1,,,SUMPRODUCT(MAX(ROW(E$2:E108)*(E108=E$2:E108)))))-COUNTBLANK(OFFSET(A$1,,,SUMPRODUCT(MAX(ROW(E$1:E107)*(E2=E$1:E107))))))</f>
        <v>0</v>
      </c>
      <c r="K108" s="25">
        <f ca="1">IF(OR(E108="",E108="!!!",F108="NEW"),"",INDEX(J$1:J107,SUMPRODUCT(MAX(ROW(E$1:E107)*(E108=E$1:E107)))))</f>
        <v>0</v>
      </c>
      <c r="L108" s="26"/>
    </row>
    <row r="109" spans="1:12" x14ac:dyDescent="0.3">
      <c r="A109" t="s">
        <v>132</v>
      </c>
      <c r="E109" s="21" t="str">
        <f t="shared" si="2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3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133</v>
      </c>
      <c r="E110" s="21" t="str">
        <f t="shared" si="2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3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47</v>
      </c>
      <c r="E111" s="21" t="str">
        <f t="shared" si="2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3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ht="28.8" x14ac:dyDescent="0.3">
      <c r="A112" t="s">
        <v>134</v>
      </c>
      <c r="B112" s="20" t="s">
        <v>88</v>
      </c>
      <c r="C112" s="20" t="s">
        <v>105</v>
      </c>
      <c r="D112" s="20" t="s">
        <v>37</v>
      </c>
      <c r="E112" s="21"/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3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 t="s">
        <v>483</v>
      </c>
    </row>
    <row r="113" spans="1:12" x14ac:dyDescent="0.3">
      <c r="A113" t="s">
        <v>135</v>
      </c>
      <c r="B113" s="20" t="s">
        <v>70</v>
      </c>
      <c r="C113" s="20" t="s">
        <v>105</v>
      </c>
      <c r="D113" s="20" t="s">
        <v>37</v>
      </c>
      <c r="E113" s="21" t="s">
        <v>432</v>
      </c>
      <c r="F113" s="22" t="s">
        <v>433</v>
      </c>
      <c r="G113" s="23" t="e">
        <f ca="1"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#VALUE!</v>
      </c>
      <c r="H113" s="24" t="str">
        <f t="shared" ca="1" si="3"/>
        <v/>
      </c>
      <c r="I113" s="25" t="e">
        <f>IF(OR(E113="",E113="!!!",F113="NEW"),"",INDEX(B$2:B112,-1+SUMPRODUCT(MAX(ROW(E$2:E112)*(E113=E$2:E112)))))</f>
        <v>#VALUE!</v>
      </c>
      <c r="J113" s="25">
        <f ca="1">IF(OR(E113="",E113="!!!",F113="NEW"),"",COUNTBLANK(OFFSET(A$1,,,SUMPRODUCT(MAX(ROW(E$2:E113)*(E113=E$2:E113)))))-COUNTBLANK(OFFSET(A$1,,,SUMPRODUCT(MAX(ROW(E$1:E112)*(E2=E$1:E112))))))</f>
        <v>0</v>
      </c>
      <c r="K113" s="25" t="e">
        <f>IF(OR(E113="",E113="!!!",F113="NEW"),"",INDEX(J$1:J112,SUMPRODUCT(MAX(ROW(E$1:E112)*(E113=E$1:E112)))))</f>
        <v>#VALUE!</v>
      </c>
      <c r="L113" s="26" t="s">
        <v>500</v>
      </c>
    </row>
    <row r="114" spans="1:12" x14ac:dyDescent="0.3">
      <c r="A114" t="s">
        <v>136</v>
      </c>
      <c r="E114" s="21" t="str">
        <f t="shared" si="2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3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137</v>
      </c>
      <c r="E115" s="21" t="str">
        <f t="shared" si="2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3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67</v>
      </c>
      <c r="E116" s="21" t="str">
        <f t="shared" si="2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3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138</v>
      </c>
      <c r="E117" s="21" t="str">
        <f t="shared" si="2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3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139</v>
      </c>
      <c r="E118" s="21" t="str">
        <f t="shared" si="2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3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140</v>
      </c>
      <c r="B119" s="20" t="s">
        <v>116</v>
      </c>
      <c r="C119" s="20" t="s">
        <v>105</v>
      </c>
      <c r="D119" s="20" t="s">
        <v>37</v>
      </c>
      <c r="E119" s="21" t="s">
        <v>434</v>
      </c>
      <c r="F119" s="22" t="str">
        <f>IF(OR(E119="",E119="!!!"),"",IF(NOT(ISNA(VLOOKUP(E119,E$1:E118,1,FALSE()))),"OLD",IF(AND(E119&lt;&gt;"",E119&lt;&gt;"!!!"),"NEW","")))</f>
        <v>OLD</v>
      </c>
      <c r="G119" s="23" t="str">
        <f ca="1"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?IN_FOCUS</v>
      </c>
      <c r="H119" s="24" t="str">
        <f t="shared" ca="1" si="3"/>
        <v/>
      </c>
      <c r="I119" s="25" t="str">
        <f>IF(OR(E119="",E119="!!!",F119="NEW"),"",INDEX(B$2:B118,-1+SUMPRODUCT(MAX(ROW(E$2:E118)*(E119=E$2:E118)))))</f>
        <v>SBJ_2</v>
      </c>
      <c r="J119" s="25">
        <f ca="1">IF(OR(E119="",E119="!!!",F119="NEW"),"",COUNTBLANK(OFFSET(A$1,,,SUMPRODUCT(MAX(ROW(E$2:E119)*(E119=E$2:E119)))))-COUNTBLANK(OFFSET(A$1,,,SUMPRODUCT(MAX(ROW(E$1:E118)*(E2=E$1:E118))))))</f>
        <v>0</v>
      </c>
      <c r="K119" s="25" t="str">
        <f ca="1">IF(OR(E119="",E119="!!!",F119="NEW"),"",INDEX(J$1:J118,SUMPRODUCT(MAX(ROW(E$1:E118)*(E119=E$1:E118)))))</f>
        <v/>
      </c>
      <c r="L119" s="26"/>
    </row>
    <row r="120" spans="1:12" x14ac:dyDescent="0.3">
      <c r="A120" t="s">
        <v>141</v>
      </c>
      <c r="B120" s="20" t="s">
        <v>118</v>
      </c>
      <c r="C120" s="20" t="s">
        <v>62</v>
      </c>
      <c r="E120" s="21" t="str">
        <f t="shared" si="2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3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142</v>
      </c>
      <c r="E121" s="21" t="str">
        <f t="shared" si="2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3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48</v>
      </c>
      <c r="E122" s="21" t="str">
        <f t="shared" si="2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3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40</v>
      </c>
      <c r="B123" s="20" t="s">
        <v>41</v>
      </c>
      <c r="C123" s="20" t="s">
        <v>42</v>
      </c>
      <c r="D123" s="20" t="s">
        <v>37</v>
      </c>
      <c r="E123" s="21" t="s">
        <v>422</v>
      </c>
      <c r="F123" s="22" t="str">
        <f>IF(OR(E123="",E123="!!!"),"",IF(NOT(ISNA(VLOOKUP(E123,E$1:E122,1,FALSE()))),"OLD",IF(AND(E123&lt;&gt;"",E123&lt;&gt;"!!!"),"NEW","")))</f>
        <v>OLD</v>
      </c>
      <c r="G123" s="23" t="str">
        <f ca="1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?IN_FOCUS</v>
      </c>
      <c r="H123" s="24" t="str">
        <f t="shared" ca="1" si="3"/>
        <v/>
      </c>
      <c r="I123" s="25" t="str">
        <f>IF(OR(E123="",E123="!!!",F123="NEW"),"",INDEX(B$2:B122,-1+SUMPRODUCT(MAX(ROW(E$2:E122)*(E123=E$2:E122)))))</f>
        <v>SBJ_3</v>
      </c>
      <c r="J123" s="25">
        <f ca="1">IF(OR(E123="",E123="!!!",F123="NEW"),"",COUNTBLANK(OFFSET(A$1,,,SUMPRODUCT(MAX(ROW(E$2:E123)*(E123=E$2:E123)))))-COUNTBLANK(OFFSET(A$1,,,SUMPRODUCT(MAX(ROW(E$1:E122)*(E2=E$1:E122))))))</f>
        <v>0</v>
      </c>
      <c r="K123" s="25">
        <f ca="1">IF(OR(E123="",E123="!!!",F123="NEW"),"",INDEX(J$1:J122,SUMPRODUCT(MAX(ROW(E$1:E122)*(E123=E$1:E122)))))</f>
        <v>0</v>
      </c>
      <c r="L123" s="26"/>
    </row>
    <row r="124" spans="1:12" x14ac:dyDescent="0.3">
      <c r="A124" t="s">
        <v>43</v>
      </c>
      <c r="E124" s="21" t="str">
        <f t="shared" si="2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3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143</v>
      </c>
      <c r="E125" s="21" t="str">
        <f t="shared" si="2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3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47</v>
      </c>
      <c r="E126" s="21" t="str">
        <f t="shared" si="2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3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39</v>
      </c>
      <c r="E127" s="21" t="str">
        <f t="shared" si="2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3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79</v>
      </c>
      <c r="E128" s="21"/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3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144</v>
      </c>
      <c r="B129" s="20" t="s">
        <v>145</v>
      </c>
      <c r="C129" s="20" t="s">
        <v>78</v>
      </c>
      <c r="D129" s="20" t="s">
        <v>37</v>
      </c>
      <c r="E129" s="21" t="s">
        <v>485</v>
      </c>
      <c r="F129" s="22" t="s">
        <v>475</v>
      </c>
      <c r="G129" s="23" t="str">
        <f ca="1"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?REFERENTIAL</v>
      </c>
      <c r="H129" s="24" t="str">
        <f t="shared" ca="1" si="3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 t="s">
        <v>486</v>
      </c>
    </row>
    <row r="130" spans="1:12" x14ac:dyDescent="0.3">
      <c r="A130" t="s">
        <v>45</v>
      </c>
      <c r="E130" s="21" t="str">
        <f t="shared" si="2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3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146</v>
      </c>
      <c r="B131" s="20" t="s">
        <v>145</v>
      </c>
      <c r="C131" s="20" t="s">
        <v>62</v>
      </c>
      <c r="E131" s="21"/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ref="H131:H194" ca="1" si="4">IF(J131&lt;&gt;1,"",IF(I131="SBJ","CB","?"))</f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130</v>
      </c>
      <c r="E132" s="21" t="str">
        <f t="shared" ref="E132:E194" si="5">IF(D132="?OLD","!!!","")</f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4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63</v>
      </c>
      <c r="E133" s="21" t="str">
        <f t="shared" si="5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4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147</v>
      </c>
      <c r="B134" s="20" t="s">
        <v>145</v>
      </c>
      <c r="C134" s="20" t="s">
        <v>62</v>
      </c>
      <c r="E134" s="21"/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4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122</v>
      </c>
      <c r="B135" s="20" t="s">
        <v>41</v>
      </c>
      <c r="C135" s="20" t="s">
        <v>121</v>
      </c>
      <c r="E135" s="21" t="str">
        <f t="shared" si="5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4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148</v>
      </c>
      <c r="E136" s="21" t="str">
        <f t="shared" si="5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4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149</v>
      </c>
      <c r="B137" s="20" t="s">
        <v>145</v>
      </c>
      <c r="C137" s="20" t="s">
        <v>78</v>
      </c>
      <c r="D137" s="20" t="s">
        <v>37</v>
      </c>
      <c r="E137" s="21"/>
      <c r="F137" s="22" t="s">
        <v>436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4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150</v>
      </c>
      <c r="E138" s="21" t="str">
        <f t="shared" si="5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4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151</v>
      </c>
      <c r="E139" s="21" t="str">
        <f t="shared" si="5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4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0" spans="1:12" x14ac:dyDescent="0.3">
      <c r="A140" t="s">
        <v>67</v>
      </c>
      <c r="E140" s="21" t="str">
        <f t="shared" si="5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4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34</v>
      </c>
      <c r="B141" s="20" t="s">
        <v>70</v>
      </c>
      <c r="C141" s="20" t="s">
        <v>36</v>
      </c>
      <c r="D141" s="20" t="s">
        <v>37</v>
      </c>
      <c r="E141" s="21" t="s">
        <v>420</v>
      </c>
      <c r="F141" s="22" t="str">
        <f>IF(OR(E141="",E141="!!!"),"",IF(NOT(ISNA(VLOOKUP(E141,E$1:E140,1,FALSE()))),"OLD",IF(AND(E141&lt;&gt;"",E141&lt;&gt;"!!!"),"NEW","")))</f>
        <v>OLD</v>
      </c>
      <c r="G141" s="23" t="str">
        <f ca="1"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?IN_FOCUS</v>
      </c>
      <c r="H141" s="24" t="str">
        <f t="shared" ca="1" si="4"/>
        <v/>
      </c>
      <c r="I141" s="25" t="str">
        <f>IF(OR(E141="",E141="!!!",F141="NEW"),"",INDEX(B$2:B140,-1+SUMPRODUCT(MAX(ROW(E$2:E140)*(E141=E$2:E140)))))</f>
        <v>other_3</v>
      </c>
      <c r="J141" s="25">
        <f ca="1">IF(OR(E141="",E141="!!!",F141="NEW"),"",COUNTBLANK(OFFSET(A$1,,,SUMPRODUCT(MAX(ROW(E$2:E141)*(E141=E$2:E141)))))-COUNTBLANK(OFFSET(A$1,,,SUMPRODUCT(MAX(ROW(E$1:E140)*(E2=E$1:E140))))))</f>
        <v>0</v>
      </c>
      <c r="K141" s="25">
        <f ca="1">IF(OR(E141="",E141="!!!",F141="NEW"),"",INDEX(J$1:J140,SUMPRODUCT(MAX(ROW(E$1:E140)*(E141=E$1:E140)))))</f>
        <v>0</v>
      </c>
      <c r="L141" s="26"/>
    </row>
    <row r="142" spans="1:12" x14ac:dyDescent="0.3">
      <c r="A142" t="s">
        <v>152</v>
      </c>
      <c r="E142" s="21" t="str">
        <f t="shared" si="5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4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ht="28.8" x14ac:dyDescent="0.3">
      <c r="A143" t="s">
        <v>153</v>
      </c>
      <c r="B143" s="20" t="s">
        <v>88</v>
      </c>
      <c r="C143" s="20" t="s">
        <v>62</v>
      </c>
      <c r="E143" s="21" t="s">
        <v>435</v>
      </c>
      <c r="F143" s="22" t="s">
        <v>475</v>
      </c>
      <c r="G143" s="23" t="str">
        <f ca="1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?REFERENTIAL</v>
      </c>
      <c r="H143" s="24" t="str">
        <f t="shared" ca="1" si="4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 t="s">
        <v>484</v>
      </c>
    </row>
    <row r="144" spans="1:12" x14ac:dyDescent="0.3">
      <c r="A144" t="s">
        <v>47</v>
      </c>
      <c r="E144" s="21" t="str">
        <f t="shared" si="5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4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154</v>
      </c>
      <c r="B145" s="20" t="s">
        <v>155</v>
      </c>
      <c r="E145" s="21"/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4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102</v>
      </c>
      <c r="B146" s="20" t="s">
        <v>156</v>
      </c>
      <c r="C146" s="20" t="s">
        <v>36</v>
      </c>
      <c r="D146" s="20" t="s">
        <v>37</v>
      </c>
      <c r="E146" s="21" t="s">
        <v>420</v>
      </c>
      <c r="F146" s="22" t="str">
        <f>IF(OR(E146="",E146="!!!"),"",IF(NOT(ISNA(VLOOKUP(E146,E$1:E145,1,FALSE()))),"OLD",IF(AND(E146&lt;&gt;"",E146&lt;&gt;"!!!"),"NEW","")))</f>
        <v>OLD</v>
      </c>
      <c r="G146" s="23" t="str">
        <f ca="1"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?IN_FOCUS</v>
      </c>
      <c r="H146" s="24" t="str">
        <f t="shared" ca="1" si="4"/>
        <v/>
      </c>
      <c r="I146" s="25" t="str">
        <f>IF(OR(E146="",E146="!!!",F146="NEW"),"",INDEX(B$2:B145,-1+SUMPRODUCT(MAX(ROW(E$2:E145)*(E146=E$2:E145)))))</f>
        <v>SBJ_3</v>
      </c>
      <c r="J146" s="25">
        <f ca="1">IF(OR(E146="",E146="!!!",F146="NEW"),"",COUNTBLANK(OFFSET(A$1,,,SUMPRODUCT(MAX(ROW(E$2:E146)*(E146=E$2:E146)))))-COUNTBLANK(OFFSET(A$1,,,SUMPRODUCT(MAX(ROW(E$1:E145)*(E2=E$1:E145))))))</f>
        <v>0</v>
      </c>
      <c r="K146" s="25">
        <f ca="1">IF(OR(E146="",E146="!!!",F146="NEW"),"",INDEX(J$1:J145,SUMPRODUCT(MAX(ROW(E$1:E145)*(E146=E$1:E145)))))</f>
        <v>0</v>
      </c>
      <c r="L146" s="26"/>
    </row>
    <row r="147" spans="1:12" x14ac:dyDescent="0.3">
      <c r="A147" t="s">
        <v>157</v>
      </c>
      <c r="E147" s="21"/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4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47</v>
      </c>
      <c r="E148" s="21" t="str">
        <f t="shared" si="5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4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158</v>
      </c>
      <c r="E149" s="21" t="str">
        <f t="shared" si="5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4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47</v>
      </c>
      <c r="E150" s="21" t="str">
        <f t="shared" si="5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4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159</v>
      </c>
      <c r="E151" s="21" t="str">
        <f t="shared" si="5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4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140</v>
      </c>
      <c r="B152" s="20" t="s">
        <v>109</v>
      </c>
      <c r="C152" s="20" t="s">
        <v>105</v>
      </c>
      <c r="D152" s="20" t="s">
        <v>37</v>
      </c>
      <c r="E152" s="21" t="s">
        <v>435</v>
      </c>
      <c r="F152" s="22" t="str">
        <f>IF(OR(E152="",E152="!!!"),"",IF(NOT(ISNA(VLOOKUP(E152,E$1:E151,1,FALSE()))),"OLD",IF(AND(E152&lt;&gt;"",E152&lt;&gt;"!!!"),"NEW","")))</f>
        <v>OLD</v>
      </c>
      <c r="G152" s="23" t="str">
        <f ca="1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?IN_FOCUS</v>
      </c>
      <c r="H152" s="24" t="str">
        <f t="shared" ca="1" si="4"/>
        <v/>
      </c>
      <c r="I152" s="25" t="str">
        <f>IF(OR(E152="",E152="!!!",F152="NEW"),"",INDEX(B$2:B151,-1+SUMPRODUCT(MAX(ROW(E$2:E151)*(E152=E$2:E151)))))</f>
        <v>OBJ_3</v>
      </c>
      <c r="J152" s="25">
        <f ca="1">IF(OR(E152="",E152="!!!",F152="NEW"),"",COUNTBLANK(OFFSET(A$1,,,SUMPRODUCT(MAX(ROW(E$2:E152)*(E152=E$2:E152)))))-COUNTBLANK(OFFSET(A$1,,,SUMPRODUCT(MAX(ROW(E$1:E151)*(E2=E$1:E151))))))</f>
        <v>0</v>
      </c>
      <c r="K152" s="25" t="str">
        <f ca="1">IF(OR(E152="",E152="!!!",F152="NEW"),"",INDEX(J$1:J151,SUMPRODUCT(MAX(ROW(E$1:E151)*(E152=E$1:E151)))))</f>
        <v/>
      </c>
      <c r="L152" s="26"/>
    </row>
    <row r="153" spans="1:12" x14ac:dyDescent="0.3">
      <c r="A153" t="s">
        <v>160</v>
      </c>
      <c r="B153" s="20" t="s">
        <v>161</v>
      </c>
      <c r="E153" s="21" t="str">
        <f t="shared" si="5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4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142</v>
      </c>
      <c r="E154" s="21" t="str">
        <f t="shared" si="5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4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92</v>
      </c>
      <c r="B155" s="20" t="s">
        <v>57</v>
      </c>
      <c r="C155" s="20" t="s">
        <v>93</v>
      </c>
      <c r="D155" s="20" t="s">
        <v>37</v>
      </c>
      <c r="E155" s="21"/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4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 t="s">
        <v>426</v>
      </c>
    </row>
    <row r="156" spans="1:12" ht="28.8" x14ac:dyDescent="0.3">
      <c r="A156" t="s">
        <v>162</v>
      </c>
      <c r="B156" s="20" t="s">
        <v>56</v>
      </c>
      <c r="C156" s="20" t="s">
        <v>95</v>
      </c>
      <c r="D156" s="20" t="s">
        <v>37</v>
      </c>
      <c r="E156" s="21" t="s">
        <v>485</v>
      </c>
      <c r="F156" s="22" t="str">
        <f>IF(OR(E156="",E156="!!!"),"",IF(NOT(ISNA(VLOOKUP(E156,E$1:E155,1,FALSE()))),"OLD",IF(AND(E156&lt;&gt;"",E156&lt;&gt;"!!!"),"NEW","")))</f>
        <v>OLD</v>
      </c>
      <c r="G156" s="23" t="str">
        <f ca="1"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?IN_FOCUS</v>
      </c>
      <c r="H156" s="24" t="str">
        <f t="shared" ca="1" si="4"/>
        <v/>
      </c>
      <c r="I156" s="25" t="str">
        <f>IF(OR(E156="",E156="!!!",F156="NEW"),"",INDEX(B$2:B155,-1+SUMPRODUCT(MAX(ROW(E$2:E155)*(E156=E$2:E155)))))</f>
        <v>other</v>
      </c>
      <c r="J156" s="25">
        <f ca="1">IF(OR(E156="",E156="!!!",F156="NEW"),"",COUNTBLANK(OFFSET(A$1,,,SUMPRODUCT(MAX(ROW(E$2:E156)*(E156=E$2:E156)))))-COUNTBLANK(OFFSET(A$1,,,SUMPRODUCT(MAX(ROW(E$1:E155)*(E2=E$1:E155))))))</f>
        <v>0</v>
      </c>
      <c r="K156" s="25" t="str">
        <f ca="1">IF(OR(E156="",E156="!!!",F156="NEW"),"",INDEX(J$1:J155,SUMPRODUCT(MAX(ROW(E$1:E155)*(E156=E$1:E155)))))</f>
        <v/>
      </c>
      <c r="L156" s="26" t="s">
        <v>487</v>
      </c>
    </row>
    <row r="157" spans="1:12" x14ac:dyDescent="0.3">
      <c r="A157" t="s">
        <v>163</v>
      </c>
      <c r="E157" s="21" t="str">
        <f t="shared" si="5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4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47</v>
      </c>
      <c r="E158" s="21" t="str">
        <f t="shared" si="5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4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164</v>
      </c>
      <c r="E159" s="21" t="str">
        <f t="shared" si="5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4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165</v>
      </c>
      <c r="E160" s="21" t="str">
        <f t="shared" si="5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4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166</v>
      </c>
      <c r="B161" s="20" t="s">
        <v>156</v>
      </c>
      <c r="C161" s="20" t="s">
        <v>54</v>
      </c>
      <c r="E161" s="21" t="str">
        <f t="shared" si="5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4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167</v>
      </c>
      <c r="E162" s="21" t="str">
        <f t="shared" si="5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4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168</v>
      </c>
      <c r="B163" s="20" t="s">
        <v>155</v>
      </c>
      <c r="C163" s="20" t="s">
        <v>36</v>
      </c>
      <c r="D163" s="20" t="s">
        <v>37</v>
      </c>
      <c r="E163" s="21" t="s">
        <v>420</v>
      </c>
      <c r="F163" s="22" t="str">
        <f>IF(OR(E163="",E163="!!!"),"",IF(NOT(ISNA(VLOOKUP(E163,E$1:E162,1,FALSE()))),"OLD",IF(AND(E163&lt;&gt;"",E163&lt;&gt;"!!!"),"NEW","")))</f>
        <v>OLD</v>
      </c>
      <c r="G163" s="23" t="str">
        <f ca="1"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?IN_FOCUS</v>
      </c>
      <c r="H163" s="24" t="str">
        <f t="shared" ca="1" si="4"/>
        <v/>
      </c>
      <c r="I163" s="25" t="str">
        <f>IF(OR(E163="",E163="!!!",F163="NEW"),"",INDEX(B$2:B162,-1+SUMPRODUCT(MAX(ROW(E$2:E162)*(E163=E$2:E162)))))</f>
        <v>SBJ_5</v>
      </c>
      <c r="J163" s="25">
        <f ca="1">IF(OR(E163="",E163="!!!",F163="NEW"),"",COUNTBLANK(OFFSET(A$1,,,SUMPRODUCT(MAX(ROW(E$2:E163)*(E163=E$2:E163)))))-COUNTBLANK(OFFSET(A$1,,,SUMPRODUCT(MAX(ROW(E$1:E162)*(E2=E$1:E162))))))</f>
        <v>0</v>
      </c>
      <c r="K163" s="25">
        <f ca="1">IF(OR(E163="",E163="!!!",F163="NEW"),"",INDEX(J$1:J162,SUMPRODUCT(MAX(ROW(E$1:E162)*(E163=E$1:E162)))))</f>
        <v>0</v>
      </c>
      <c r="L163" s="26"/>
    </row>
    <row r="164" spans="1:12" x14ac:dyDescent="0.3">
      <c r="A164" t="s">
        <v>169</v>
      </c>
      <c r="E164" s="21" t="str">
        <f t="shared" si="5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4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47</v>
      </c>
      <c r="E165" s="21" t="str">
        <f t="shared" si="5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4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45</v>
      </c>
      <c r="E166" s="21" t="str">
        <f t="shared" si="5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4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170</v>
      </c>
      <c r="E167" s="21" t="str">
        <f t="shared" si="5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4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47</v>
      </c>
      <c r="E168" s="21" t="str">
        <f t="shared" si="5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4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126</v>
      </c>
      <c r="E169" s="21" t="str">
        <f t="shared" si="5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4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ht="28.8" x14ac:dyDescent="0.3">
      <c r="A170" t="s">
        <v>171</v>
      </c>
      <c r="B170" s="20" t="s">
        <v>109</v>
      </c>
      <c r="C170" s="20" t="s">
        <v>105</v>
      </c>
      <c r="D170" s="20" t="s">
        <v>37</v>
      </c>
      <c r="E170" s="21" t="s">
        <v>445</v>
      </c>
      <c r="F170" s="22" t="str">
        <f>IF(OR(E170="",E170="!!!"),"",IF(NOT(ISNA(VLOOKUP(E170,E$1:E169,1,FALSE()))),"OLD",IF(AND(E170&lt;&gt;"",E170&lt;&gt;"!!!"),"NEW","")))</f>
        <v>NEW</v>
      </c>
      <c r="G170" s="23" t="str">
        <f ca="1"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?REFERENTIAL</v>
      </c>
      <c r="H170" s="24" t="str">
        <f t="shared" ca="1" si="4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 t="s">
        <v>446</v>
      </c>
    </row>
    <row r="171" spans="1:12" x14ac:dyDescent="0.3">
      <c r="A171" t="s">
        <v>148</v>
      </c>
      <c r="E171" s="21" t="str">
        <f t="shared" si="5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4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172</v>
      </c>
      <c r="B172" s="20" t="s">
        <v>109</v>
      </c>
      <c r="C172" s="20" t="s">
        <v>78</v>
      </c>
      <c r="D172" s="20" t="s">
        <v>37</v>
      </c>
      <c r="E172" s="21" t="s">
        <v>437</v>
      </c>
      <c r="F172" s="22" t="str">
        <f>IF(OR(E172="",E172="!!!"),"",IF(NOT(ISNA(VLOOKUP(E172,E$1:E171,1,FALSE()))),"OLD",IF(AND(E172&lt;&gt;"",E172&lt;&gt;"!!!"),"NEW","")))</f>
        <v>NEW</v>
      </c>
      <c r="G172" s="23" t="str">
        <f ca="1"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?REFERENTIAL</v>
      </c>
      <c r="H172" s="24" t="str">
        <f t="shared" ca="1" si="4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39</v>
      </c>
      <c r="E173" s="21" t="str">
        <f t="shared" si="5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4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113</v>
      </c>
      <c r="B174" s="20" t="s">
        <v>173</v>
      </c>
      <c r="C174" s="20" t="s">
        <v>93</v>
      </c>
      <c r="D174" s="20" t="s">
        <v>37</v>
      </c>
      <c r="E174" s="21"/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4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 t="s">
        <v>426</v>
      </c>
    </row>
    <row r="175" spans="1:12" x14ac:dyDescent="0.3">
      <c r="A175" t="s">
        <v>52</v>
      </c>
      <c r="B175" s="20" t="s">
        <v>57</v>
      </c>
      <c r="C175" s="20" t="s">
        <v>95</v>
      </c>
      <c r="D175" s="20" t="s">
        <v>37</v>
      </c>
      <c r="E175" s="21" t="s">
        <v>422</v>
      </c>
      <c r="F175" s="22" t="str">
        <f>IF(OR(E175="",E175="!!!"),"",IF(NOT(ISNA(VLOOKUP(E175,E$1:E174,1,FALSE()))),"OLD",IF(AND(E175&lt;&gt;"",E175&lt;&gt;"!!!"),"NEW","")))</f>
        <v>OLD</v>
      </c>
      <c r="G175" s="23" t="str">
        <f ca="1"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?IN_FOCUS</v>
      </c>
      <c r="H175" s="24" t="str">
        <f t="shared" ca="1" si="4"/>
        <v/>
      </c>
      <c r="I175" s="25" t="str">
        <f>IF(OR(E175="",E175="!!!",F175="NEW"),"",INDEX(B$2:B174,-1+SUMPRODUCT(MAX(ROW(E$2:E174)*(E175=E$2:E174)))))</f>
        <v>other_2</v>
      </c>
      <c r="J175" s="25">
        <f ca="1">IF(OR(E175="",E175="!!!",F175="NEW"),"",COUNTBLANK(OFFSET(A$1,,,SUMPRODUCT(MAX(ROW(E$2:E175)*(E175=E$2:E175)))))-COUNTBLANK(OFFSET(A$1,,,SUMPRODUCT(MAX(ROW(E$1:E174)*(E2=E$1:E174))))))</f>
        <v>0</v>
      </c>
      <c r="K175" s="25">
        <f ca="1">IF(OR(E175="",E175="!!!",F175="NEW"),"",INDEX(J$1:J174,SUMPRODUCT(MAX(ROW(E$1:E174)*(E175=E$1:E174)))))</f>
        <v>0</v>
      </c>
      <c r="L175" s="26"/>
    </row>
    <row r="176" spans="1:12" x14ac:dyDescent="0.3">
      <c r="A176" t="s">
        <v>130</v>
      </c>
      <c r="E176" s="21" t="str">
        <f t="shared" si="5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4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174</v>
      </c>
      <c r="E177" s="21" t="s">
        <v>445</v>
      </c>
      <c r="F177" s="22" t="str">
        <f>IF(OR(E177="",E177="!!!"),"",IF(NOT(ISNA(VLOOKUP(E177,E$1:E176,1,FALSE()))),"OLD",IF(AND(E177&lt;&gt;"",E177&lt;&gt;"!!!"),"NEW","")))</f>
        <v>OLD</v>
      </c>
      <c r="G177" s="23" t="str">
        <f ca="1"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?IN_FOCUS</v>
      </c>
      <c r="H177" s="24" t="str">
        <f t="shared" ca="1" si="4"/>
        <v/>
      </c>
      <c r="I177" s="25" t="str">
        <f>IF(OR(E177="",E177="!!!",F177="NEW"),"",INDEX(B$2:B176,-1+SUMPRODUCT(MAX(ROW(E$2:E176)*(E177=E$2:E176)))))</f>
        <v>SBJ_4</v>
      </c>
      <c r="J177" s="25">
        <f ca="1">IF(OR(E177="",E177="!!!",F177="NEW"),"",COUNTBLANK(OFFSET(A$1,,,SUMPRODUCT(MAX(ROW(E$2:E177)*(E177=E$2:E177)))))-COUNTBLANK(OFFSET(A$1,,,SUMPRODUCT(MAX(ROW(E$1:E176)*(E2=E$1:E176))))))</f>
        <v>0</v>
      </c>
      <c r="K177" s="25" t="str">
        <f ca="1">IF(OR(E177="",E177="!!!",F177="NEW"),"",INDEX(J$1:J176,SUMPRODUCT(MAX(ROW(E$1:E176)*(E177=E$1:E176)))))</f>
        <v/>
      </c>
      <c r="L177" s="26"/>
    </row>
    <row r="178" spans="1:12" x14ac:dyDescent="0.3">
      <c r="A178" t="s">
        <v>175</v>
      </c>
      <c r="B178" s="20" t="s">
        <v>161</v>
      </c>
      <c r="C178" s="20" t="s">
        <v>176</v>
      </c>
      <c r="E178" s="21" t="s">
        <v>440</v>
      </c>
      <c r="F178" s="22" t="s">
        <v>436</v>
      </c>
      <c r="G178" s="23" t="e">
        <f ca="1"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#VALUE!</v>
      </c>
      <c r="H178" s="24" t="str">
        <f t="shared" ca="1" si="4"/>
        <v/>
      </c>
      <c r="I178" s="25" t="e">
        <f>IF(OR(E178="",E178="!!!",F178="NEW"),"",INDEX(B$2:B177,-1+SUMPRODUCT(MAX(ROW(E$2:E177)*(E178=E$2:E177)))))</f>
        <v>#VALUE!</v>
      </c>
      <c r="J178" s="25">
        <f ca="1">IF(OR(E178="",E178="!!!",F178="NEW"),"",COUNTBLANK(OFFSET(A$1,,,SUMPRODUCT(MAX(ROW(E$2:E178)*(E178=E$2:E178)))))-COUNTBLANK(OFFSET(A$1,,,SUMPRODUCT(MAX(ROW(E$1:E177)*(E2=E$1:E177))))))</f>
        <v>0</v>
      </c>
      <c r="K178" s="25" t="e">
        <f>IF(OR(E178="",E178="!!!",F178="NEW"),"",INDEX(J$1:J177,SUMPRODUCT(MAX(ROW(E$1:E177)*(E178=E$1:E177)))))</f>
        <v>#VALUE!</v>
      </c>
      <c r="L178" s="26" t="s">
        <v>470</v>
      </c>
    </row>
    <row r="179" spans="1:12" x14ac:dyDescent="0.3">
      <c r="A179" t="s">
        <v>177</v>
      </c>
      <c r="E179" s="21" t="str">
        <f t="shared" si="5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4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67</v>
      </c>
      <c r="E180" s="21" t="str">
        <f t="shared" si="5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4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178</v>
      </c>
      <c r="E181" s="21" t="str">
        <f t="shared" si="5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4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ht="43.2" x14ac:dyDescent="0.3">
      <c r="A182" t="s">
        <v>179</v>
      </c>
      <c r="B182" s="20" t="s">
        <v>109</v>
      </c>
      <c r="C182" s="20" t="s">
        <v>78</v>
      </c>
      <c r="D182" s="20" t="s">
        <v>37</v>
      </c>
      <c r="E182" s="21" t="s">
        <v>448</v>
      </c>
      <c r="F182" s="22" t="s">
        <v>475</v>
      </c>
      <c r="G182" s="23" t="str">
        <f ca="1"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?REFERENTIAL</v>
      </c>
      <c r="H182" s="24" t="str">
        <f t="shared" ca="1" si="4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 t="s">
        <v>488</v>
      </c>
    </row>
    <row r="183" spans="1:12" x14ac:dyDescent="0.3">
      <c r="A183" t="s">
        <v>47</v>
      </c>
      <c r="E183" s="21" t="str">
        <f t="shared" si="5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4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159</v>
      </c>
      <c r="E184" s="21" t="str">
        <f t="shared" si="5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4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102</v>
      </c>
      <c r="B185" s="20" t="s">
        <v>180</v>
      </c>
      <c r="C185" s="20" t="s">
        <v>36</v>
      </c>
      <c r="D185" s="20" t="s">
        <v>37</v>
      </c>
      <c r="E185" s="21" t="s">
        <v>420</v>
      </c>
      <c r="F185" s="22" t="str">
        <f>IF(OR(E185="",E185="!!!"),"",IF(NOT(ISNA(VLOOKUP(E185,E$1:E184,1,FALSE()))),"OLD",IF(AND(E185&lt;&gt;"",E185&lt;&gt;"!!!"),"NEW","")))</f>
        <v>OLD</v>
      </c>
      <c r="G185" s="23" t="str">
        <f ca="1"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?IN_FOCUS</v>
      </c>
      <c r="H185" s="24" t="str">
        <f t="shared" ca="1" si="4"/>
        <v/>
      </c>
      <c r="I185" s="25" t="str">
        <f>IF(OR(E185="",E185="!!!",F185="NEW"),"",INDEX(B$2:B184,-1+SUMPRODUCT(MAX(ROW(E$2:E184)*(E185=E$2:E184)))))</f>
        <v>OBJ_5</v>
      </c>
      <c r="J185" s="25">
        <f ca="1">IF(OR(E185="",E185="!!!",F185="NEW"),"",COUNTBLANK(OFFSET(A$1,,,SUMPRODUCT(MAX(ROW(E$2:E185)*(E185=E$2:E185)))))-COUNTBLANK(OFFSET(A$1,,,SUMPRODUCT(MAX(ROW(E$1:E184)*(E2=E$1:E184))))))</f>
        <v>0</v>
      </c>
      <c r="K185" s="25">
        <f ca="1">IF(OR(E185="",E185="!!!",F185="NEW"),"",INDEX(J$1:J184,SUMPRODUCT(MAX(ROW(E$1:E184)*(E185=E$1:E184)))))</f>
        <v>0</v>
      </c>
      <c r="L185" s="26"/>
    </row>
    <row r="186" spans="1:12" x14ac:dyDescent="0.3">
      <c r="A186" t="s">
        <v>181</v>
      </c>
      <c r="E186" s="21" t="str">
        <f t="shared" si="5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4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182</v>
      </c>
      <c r="E187" s="21" t="str">
        <f t="shared" si="5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4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47</v>
      </c>
      <c r="E188" s="21" t="str">
        <f t="shared" si="5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4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183</v>
      </c>
      <c r="E189" s="21" t="str">
        <f t="shared" si="5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4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154</v>
      </c>
      <c r="E190" s="21" t="str">
        <f t="shared" si="5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4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184</v>
      </c>
      <c r="B191" s="20" t="s">
        <v>70</v>
      </c>
      <c r="C191" s="20" t="s">
        <v>78</v>
      </c>
      <c r="D191" s="20" t="s">
        <v>37</v>
      </c>
      <c r="E191" s="21"/>
      <c r="F191" s="22" t="s">
        <v>444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4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47</v>
      </c>
      <c r="E192" s="21" t="str">
        <f t="shared" si="5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4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154</v>
      </c>
      <c r="B193" s="20" t="s">
        <v>156</v>
      </c>
      <c r="E193" s="21"/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4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185</v>
      </c>
      <c r="B194" s="20" t="s">
        <v>155</v>
      </c>
      <c r="C194" s="20" t="s">
        <v>62</v>
      </c>
      <c r="E194" s="21" t="str">
        <f t="shared" si="5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4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186</v>
      </c>
      <c r="E195" s="21" t="str">
        <f t="shared" ref="E195:E258" si="6">IF(D195="?OLD","!!!","")</f>
        <v/>
      </c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ref="H195:H258" ca="1" si="7">IF(J195&lt;&gt;1,"",IF(I195="SBJ","CB","?"))</f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/>
    </row>
    <row r="196" spans="1:12" x14ac:dyDescent="0.3">
      <c r="A196" t="s">
        <v>47</v>
      </c>
      <c r="E196" s="21" t="str">
        <f t="shared" si="6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7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187</v>
      </c>
      <c r="E197" s="21" t="str">
        <f t="shared" si="6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7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140</v>
      </c>
      <c r="B198" s="20" t="s">
        <v>180</v>
      </c>
      <c r="C198" s="20" t="s">
        <v>105</v>
      </c>
      <c r="D198" s="20" t="s">
        <v>37</v>
      </c>
      <c r="E198" s="21" t="s">
        <v>448</v>
      </c>
      <c r="F198" s="22" t="str">
        <f>IF(OR(E198="",E198="!!!"),"",IF(NOT(ISNA(VLOOKUP(E198,E$1:E197,1,FALSE()))),"OLD",IF(AND(E198&lt;&gt;"",E198&lt;&gt;"!!!"),"NEW","")))</f>
        <v>OLD</v>
      </c>
      <c r="G198" s="23" t="str">
        <f ca="1"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?IN_FOCUS</v>
      </c>
      <c r="H198" s="24" t="str">
        <f t="shared" ca="1" si="7"/>
        <v/>
      </c>
      <c r="I198" s="25" t="str">
        <f>IF(OR(E198="",E198="!!!",F198="NEW"),"",INDEX(B$2:B197,-1+SUMPRODUCT(MAX(ROW(E$2:E197)*(E198=E$2:E197)))))</f>
        <v>SBJ_4</v>
      </c>
      <c r="J198" s="25">
        <f ca="1">IF(OR(E198="",E198="!!!",F198="NEW"),"",COUNTBLANK(OFFSET(A$1,,,SUMPRODUCT(MAX(ROW(E$2:E198)*(E198=E$2:E198)))))-COUNTBLANK(OFFSET(A$1,,,SUMPRODUCT(MAX(ROW(E$1:E197)*(E2=E$1:E197))))))</f>
        <v>0</v>
      </c>
      <c r="K198" s="25" t="str">
        <f ca="1">IF(OR(E198="",E198="!!!",F198="NEW"),"",INDEX(J$1:J197,SUMPRODUCT(MAX(ROW(E$1:E197)*(E198=E$1:E197)))))</f>
        <v/>
      </c>
      <c r="L198" s="26"/>
    </row>
    <row r="199" spans="1:12" x14ac:dyDescent="0.3">
      <c r="A199" t="s">
        <v>130</v>
      </c>
      <c r="E199" s="21" t="str">
        <f t="shared" si="6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7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188</v>
      </c>
      <c r="E200" s="21" t="str">
        <f t="shared" si="6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7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189</v>
      </c>
      <c r="E201" s="21" t="str">
        <f t="shared" si="6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7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67</v>
      </c>
      <c r="E202" s="21" t="str">
        <f t="shared" si="6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7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178</v>
      </c>
      <c r="E203" s="21" t="str">
        <f t="shared" si="6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7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190</v>
      </c>
      <c r="B204" s="20" t="s">
        <v>109</v>
      </c>
      <c r="C204" s="20" t="s">
        <v>78</v>
      </c>
      <c r="D204" s="20" t="s">
        <v>37</v>
      </c>
      <c r="E204" s="21" t="s">
        <v>439</v>
      </c>
      <c r="F204" s="22" t="s">
        <v>436</v>
      </c>
      <c r="G204" s="23" t="e">
        <f ca="1"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#VALUE!</v>
      </c>
      <c r="H204" s="24" t="str">
        <f t="shared" ca="1" si="7"/>
        <v/>
      </c>
      <c r="I204" s="25" t="e">
        <f>IF(OR(E204="",E204="!!!",F204="NEW"),"",INDEX(B$2:B203,-1+SUMPRODUCT(MAX(ROW(E$2:E203)*(E204=E$2:E203)))))</f>
        <v>#VALUE!</v>
      </c>
      <c r="J204" s="25">
        <f ca="1">IF(OR(E204="",E204="!!!",F204="NEW"),"",COUNTBLANK(OFFSET(A$1,,,SUMPRODUCT(MAX(ROW(E$2:E204)*(E204=E$2:E204)))))-COUNTBLANK(OFFSET(A$1,,,SUMPRODUCT(MAX(ROW(E$1:E203)*(E2=E$1:E203))))))</f>
        <v>0</v>
      </c>
      <c r="K204" s="25" t="e">
        <f>IF(OR(E204="",E204="!!!",F204="NEW"),"",INDEX(J$1:J203,SUMPRODUCT(MAX(ROW(E$1:E203)*(E204=E$1:E203)))))</f>
        <v>#VALUE!</v>
      </c>
      <c r="L204" s="26" t="s">
        <v>465</v>
      </c>
    </row>
    <row r="205" spans="1:12" x14ac:dyDescent="0.3">
      <c r="A205" t="s">
        <v>69</v>
      </c>
      <c r="E205" s="21" t="str">
        <f t="shared" si="6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7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148</v>
      </c>
      <c r="E206" s="21" t="str">
        <f t="shared" si="6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7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141</v>
      </c>
      <c r="B207" s="20" t="s">
        <v>88</v>
      </c>
      <c r="C207" s="20" t="s">
        <v>78</v>
      </c>
      <c r="D207" s="20" t="s">
        <v>37</v>
      </c>
      <c r="E207" s="21"/>
      <c r="F207" s="22" t="s">
        <v>444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7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47</v>
      </c>
      <c r="E208" s="21" t="str">
        <f t="shared" si="6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7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39</v>
      </c>
      <c r="E209" s="21" t="str">
        <f t="shared" si="6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7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191</v>
      </c>
      <c r="B210" s="20" t="s">
        <v>57</v>
      </c>
      <c r="C210" s="20" t="s">
        <v>192</v>
      </c>
      <c r="E210" s="21"/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7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148</v>
      </c>
      <c r="E211" s="21" t="str">
        <f t="shared" si="6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7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193</v>
      </c>
      <c r="B212" s="20" t="s">
        <v>156</v>
      </c>
      <c r="C212" s="20" t="s">
        <v>78</v>
      </c>
      <c r="D212" s="20" t="s">
        <v>37</v>
      </c>
      <c r="E212" s="21" t="s">
        <v>437</v>
      </c>
      <c r="F212" s="22" t="str">
        <f>IF(OR(E212="",E212="!!!"),"",IF(NOT(ISNA(VLOOKUP(E212,E$1:E211,1,FALSE()))),"OLD",IF(AND(E212&lt;&gt;"",E212&lt;&gt;"!!!"),"NEW","")))</f>
        <v>OLD</v>
      </c>
      <c r="G212" s="23" t="str">
        <f ca="1"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?IN_FOCUS</v>
      </c>
      <c r="H212" s="24" t="str">
        <f t="shared" ca="1" si="7"/>
        <v/>
      </c>
      <c r="I212" s="25" t="str">
        <f>IF(OR(E212="",E212="!!!",F212="NEW"),"",INDEX(B$2:B211,-1+SUMPRODUCT(MAX(ROW(E$2:E211)*(E212=E$2:E211)))))</f>
        <v>SBJ_4</v>
      </c>
      <c r="J212" s="25">
        <f ca="1">IF(OR(E212="",E212="!!!",F212="NEW"),"",COUNTBLANK(OFFSET(A$1,,,SUMPRODUCT(MAX(ROW(E$2:E212)*(E212=E$2:E212)))))-COUNTBLANK(OFFSET(A$1,,,SUMPRODUCT(MAX(ROW(E$1:E211)*(E2=E$1:E211))))))</f>
        <v>0</v>
      </c>
      <c r="K212" s="25" t="str">
        <f ca="1">IF(OR(E212="",E212="!!!",F212="NEW"),"",INDEX(J$1:J211,SUMPRODUCT(MAX(ROW(E$1:E211)*(E212=E$1:E211)))))</f>
        <v/>
      </c>
      <c r="L212" s="26"/>
    </row>
    <row r="213" spans="1:12" x14ac:dyDescent="0.3">
      <c r="A213" t="s">
        <v>194</v>
      </c>
      <c r="E213" s="21" t="s">
        <v>437</v>
      </c>
      <c r="F213" s="22" t="str">
        <f>IF(OR(E213="",E213="!!!"),"",IF(NOT(ISNA(VLOOKUP(E213,E$1:E212,1,FALSE()))),"OLD",IF(AND(E213&lt;&gt;"",E213&lt;&gt;"!!!"),"NEW","")))</f>
        <v>OLD</v>
      </c>
      <c r="G213" s="23" t="str">
        <f ca="1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?IN_FOCUS</v>
      </c>
      <c r="H213" s="24" t="str">
        <f t="shared" ca="1" si="7"/>
        <v/>
      </c>
      <c r="I213" s="25" t="str">
        <f>IF(OR(E213="",E213="!!!",F213="NEW"),"",INDEX(B$2:B212,-1+SUMPRODUCT(MAX(ROW(E$2:E212)*(E213=E$2:E212)))))</f>
        <v>SBJ_5</v>
      </c>
      <c r="J213" s="25">
        <f ca="1">IF(OR(E213="",E213="!!!",F213="NEW"),"",COUNTBLANK(OFFSET(A$1,,,SUMPRODUCT(MAX(ROW(E$2:E213)*(E213=E$2:E213)))))-COUNTBLANK(OFFSET(A$1,,,SUMPRODUCT(MAX(ROW(E$1:E212)*(E2=E$1:E212))))))</f>
        <v>0</v>
      </c>
      <c r="K213" s="25">
        <f ca="1">IF(OR(E213="",E213="!!!",F213="NEW"),"",INDEX(J$1:J212,SUMPRODUCT(MAX(ROW(E$1:E212)*(E213=E$1:E212)))))</f>
        <v>0</v>
      </c>
      <c r="L213" s="26"/>
    </row>
    <row r="214" spans="1:12" x14ac:dyDescent="0.3">
      <c r="A214" t="s">
        <v>195</v>
      </c>
      <c r="B214" s="20" t="s">
        <v>155</v>
      </c>
      <c r="C214" s="20" t="s">
        <v>176</v>
      </c>
      <c r="E214" s="21"/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7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196</v>
      </c>
      <c r="E215" s="21" t="str">
        <f t="shared" si="6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7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47</v>
      </c>
      <c r="E216" s="21" t="str">
        <f t="shared" si="6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7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148</v>
      </c>
      <c r="B217" s="20" t="s">
        <v>156</v>
      </c>
      <c r="E217" s="21"/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7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197</v>
      </c>
      <c r="E218" s="21" t="str">
        <f t="shared" si="6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7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148</v>
      </c>
      <c r="E219" s="21" t="str">
        <f t="shared" si="6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7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198</v>
      </c>
      <c r="E220" s="21" t="str">
        <f t="shared" si="6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7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199</v>
      </c>
      <c r="B221" s="20" t="s">
        <v>57</v>
      </c>
      <c r="C221" s="20" t="s">
        <v>78</v>
      </c>
      <c r="D221" s="20" t="s">
        <v>37</v>
      </c>
      <c r="E221" s="21" t="s">
        <v>440</v>
      </c>
      <c r="F221" s="22" t="str">
        <f>IF(OR(E221="",E221="!!!"),"",IF(NOT(ISNA(VLOOKUP(E221,E$1:E220,1,FALSE()))),"OLD",IF(AND(E221&lt;&gt;"",E221&lt;&gt;"!!!"),"NEW","")))</f>
        <v>OLD</v>
      </c>
      <c r="G221" s="23" t="str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?IN_FOCUS</v>
      </c>
      <c r="H221" s="24" t="str">
        <f t="shared" ca="1" si="7"/>
        <v/>
      </c>
      <c r="I221" s="25" t="str">
        <f>IF(OR(E221="",E221="!!!",F221="NEW"),"",INDEX(B$2:B220,-1+SUMPRODUCT(MAX(ROW(E$2:E220)*(E221=E$2:E220)))))</f>
        <v>OBJ_4</v>
      </c>
      <c r="J221" s="25">
        <f ca="1">IF(OR(E221="",E221="!!!",F221="NEW"),"",COUNTBLANK(OFFSET(A$1,,,SUMPRODUCT(MAX(ROW(E$2:E221)*(E221=E$2:E221)))))-COUNTBLANK(OFFSET(A$1,,,SUMPRODUCT(MAX(ROW(E$1:E220)*(E2=E$1:E220))))))</f>
        <v>0</v>
      </c>
      <c r="K221" s="25">
        <f ca="1">IF(OR(E221="",E221="!!!",F221="NEW"),"",INDEX(J$1:J220,SUMPRODUCT(MAX(ROW(E$1:E220)*(E221=E$1:E220)))))</f>
        <v>0</v>
      </c>
      <c r="L221" s="26"/>
    </row>
    <row r="222" spans="1:12" x14ac:dyDescent="0.3">
      <c r="A222" t="s">
        <v>200</v>
      </c>
      <c r="E222" s="21" t="str">
        <f t="shared" si="6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7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69</v>
      </c>
      <c r="E223" s="21" t="str">
        <f t="shared" si="6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7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67</v>
      </c>
      <c r="E224" s="21" t="str">
        <f t="shared" si="6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7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201</v>
      </c>
      <c r="E225" s="21" t="str">
        <f t="shared" si="6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7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39</v>
      </c>
      <c r="E226" s="21" t="str">
        <f t="shared" si="6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7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76</v>
      </c>
      <c r="E227" s="21" t="str">
        <f t="shared" si="6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7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202</v>
      </c>
      <c r="B228" s="20" t="s">
        <v>57</v>
      </c>
      <c r="C228" s="20" t="s">
        <v>78</v>
      </c>
      <c r="D228" s="20" t="s">
        <v>37</v>
      </c>
      <c r="E228" s="21" t="s">
        <v>441</v>
      </c>
      <c r="F228" s="22" t="str">
        <f>IF(OR(E228="",E228="!!!"),"",IF(NOT(ISNA(VLOOKUP(E228,E$1:E227,1,FALSE()))),"OLD",IF(AND(E228&lt;&gt;"",E228&lt;&gt;"!!!"),"NEW","")))</f>
        <v>NEW</v>
      </c>
      <c r="G228" s="23" t="str">
        <f ca="1"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?REFERENTIAL</v>
      </c>
      <c r="H228" s="24" t="str">
        <f t="shared" ca="1" si="7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203</v>
      </c>
      <c r="E229" s="21" t="str">
        <f t="shared" si="6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7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204</v>
      </c>
      <c r="B230" s="20" t="s">
        <v>109</v>
      </c>
      <c r="C230" s="20" t="s">
        <v>36</v>
      </c>
      <c r="D230" s="20" t="s">
        <v>37</v>
      </c>
      <c r="E230" s="21"/>
      <c r="F230" s="22" t="s">
        <v>442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7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 t="s">
        <v>443</v>
      </c>
    </row>
    <row r="231" spans="1:12" x14ac:dyDescent="0.3">
      <c r="A231" t="s">
        <v>205</v>
      </c>
      <c r="E231" s="21" t="str">
        <f t="shared" si="6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7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206</v>
      </c>
      <c r="B232" s="20" t="s">
        <v>56</v>
      </c>
      <c r="C232" s="20" t="s">
        <v>89</v>
      </c>
      <c r="E232" s="21" t="str">
        <f t="shared" si="6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7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207</v>
      </c>
      <c r="E233" s="21" t="str">
        <f t="shared" si="6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7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208</v>
      </c>
      <c r="E234" s="21" t="str">
        <f t="shared" si="6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7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122</v>
      </c>
      <c r="B235" s="20" t="s">
        <v>57</v>
      </c>
      <c r="C235" s="20" t="s">
        <v>121</v>
      </c>
      <c r="E235" s="21" t="str">
        <f t="shared" si="6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7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209</v>
      </c>
      <c r="B236" s="20" t="s">
        <v>56</v>
      </c>
      <c r="C236" s="20" t="s">
        <v>62</v>
      </c>
      <c r="E236" s="21" t="str">
        <f t="shared" si="6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7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47</v>
      </c>
      <c r="E237" s="21" t="str">
        <f t="shared" si="6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7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207</v>
      </c>
      <c r="E238" s="21" t="str">
        <f t="shared" si="6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7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160</v>
      </c>
      <c r="B239" s="20" t="s">
        <v>155</v>
      </c>
      <c r="E239" s="21" t="str">
        <f t="shared" si="6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7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210</v>
      </c>
      <c r="E240" s="21" t="str">
        <f t="shared" si="6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7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ht="28.8" x14ac:dyDescent="0.3">
      <c r="A241" t="s">
        <v>211</v>
      </c>
      <c r="B241" s="20" t="s">
        <v>156</v>
      </c>
      <c r="C241" s="20" t="s">
        <v>54</v>
      </c>
      <c r="E241" s="21" t="s">
        <v>449</v>
      </c>
      <c r="F241" s="22" t="str">
        <f>IF(OR(E241="",E241="!!!"),"",IF(NOT(ISNA(VLOOKUP(E241,E$1:E240,1,FALSE()))),"OLD",IF(AND(E241&lt;&gt;"",E241&lt;&gt;"!!!"),"NEW","")))</f>
        <v>NEW</v>
      </c>
      <c r="G241" s="23" t="str">
        <f ca="1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?REFERENTIAL</v>
      </c>
      <c r="H241" s="24" t="str">
        <f t="shared" ca="1" si="7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 t="s">
        <v>450</v>
      </c>
    </row>
    <row r="242" spans="1:12" x14ac:dyDescent="0.3">
      <c r="A242" t="s">
        <v>60</v>
      </c>
      <c r="E242" s="21" t="str">
        <f t="shared" si="6"/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7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76</v>
      </c>
      <c r="E243" s="21" t="str">
        <f t="shared" si="6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7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212</v>
      </c>
      <c r="B244" s="20" t="s">
        <v>57</v>
      </c>
      <c r="C244" s="20" t="s">
        <v>78</v>
      </c>
      <c r="D244" s="20" t="s">
        <v>37</v>
      </c>
      <c r="E244" s="21" t="s">
        <v>439</v>
      </c>
      <c r="F244" s="22" t="str">
        <f>IF(OR(E244="",E244="!!!"),"",IF(NOT(ISNA(VLOOKUP(E244,E$1:E243,1,FALSE()))),"OLD",IF(AND(E244&lt;&gt;"",E244&lt;&gt;"!!!"),"NEW","")))</f>
        <v>OLD</v>
      </c>
      <c r="G244" s="23" t="str">
        <f ca="1"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?IN_FOCUS</v>
      </c>
      <c r="H244" s="24" t="str">
        <f t="shared" ca="1" si="7"/>
        <v/>
      </c>
      <c r="I244" s="25" t="str">
        <f>IF(OR(E244="",E244="!!!",F244="NEW"),"",INDEX(B$2:B243,-1+SUMPRODUCT(MAX(ROW(E$2:E243)*(E244=E$2:E243)))))</f>
        <v>SBJ_4</v>
      </c>
      <c r="J244" s="25">
        <f ca="1">IF(OR(E244="",E244="!!!",F244="NEW"),"",COUNTBLANK(OFFSET(A$1,,,SUMPRODUCT(MAX(ROW(E$2:E244)*(E244=E$2:E244)))))-COUNTBLANK(OFFSET(A$1,,,SUMPRODUCT(MAX(ROW(E$1:E243)*(E2=E$1:E243))))))</f>
        <v>0</v>
      </c>
      <c r="K244" s="25">
        <f ca="1">IF(OR(E244="",E244="!!!",F244="NEW"),"",INDEX(J$1:J243,SUMPRODUCT(MAX(ROW(E$1:E243)*(E244=E$1:E243)))))</f>
        <v>0</v>
      </c>
      <c r="L244" s="26"/>
    </row>
    <row r="245" spans="1:12" x14ac:dyDescent="0.3">
      <c r="A245" t="s">
        <v>213</v>
      </c>
      <c r="E245" s="21" t="str">
        <f t="shared" si="6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7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47</v>
      </c>
      <c r="E246" s="21" t="str">
        <f t="shared" si="6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7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214</v>
      </c>
      <c r="E247" s="21" t="str">
        <f t="shared" si="6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7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215</v>
      </c>
      <c r="E248" s="21" t="str">
        <f t="shared" si="6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7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67</v>
      </c>
      <c r="E249" s="21" t="str">
        <f t="shared" si="6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7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216</v>
      </c>
      <c r="B250" s="20" t="s">
        <v>156</v>
      </c>
      <c r="C250" s="20" t="s">
        <v>62</v>
      </c>
      <c r="E250" s="21" t="s">
        <v>447</v>
      </c>
      <c r="F250" s="22" t="str">
        <f>IF(OR(E250="",E250="!!!"),"",IF(NOT(ISNA(VLOOKUP(E250,E$1:E249,1,FALSE()))),"OLD",IF(AND(E250&lt;&gt;"",E250&lt;&gt;"!!!"),"NEW","")))</f>
        <v>NEW</v>
      </c>
      <c r="G250" s="23" t="str">
        <f ca="1"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?REFERENTIAL</v>
      </c>
      <c r="H250" s="24" t="str">
        <f t="shared" ca="1" si="7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217</v>
      </c>
      <c r="E251" s="21" t="str">
        <f t="shared" si="6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7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218</v>
      </c>
      <c r="E252" s="21" t="str">
        <f t="shared" si="6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7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219</v>
      </c>
      <c r="E253" s="21" t="str">
        <f t="shared" si="6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7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220</v>
      </c>
      <c r="E254" s="21" t="str">
        <f t="shared" si="6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7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221</v>
      </c>
      <c r="B255" s="20" t="s">
        <v>155</v>
      </c>
      <c r="C255" s="20" t="s">
        <v>62</v>
      </c>
      <c r="E255" s="21" t="str">
        <f t="shared" si="6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7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47</v>
      </c>
      <c r="E256" s="21" t="str">
        <f t="shared" si="6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7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159</v>
      </c>
      <c r="E257" s="21" t="str">
        <f t="shared" si="6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7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222</v>
      </c>
      <c r="B258" s="20" t="s">
        <v>173</v>
      </c>
      <c r="C258" s="20" t="s">
        <v>62</v>
      </c>
      <c r="E258" s="21" t="str">
        <f t="shared" si="6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7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45</v>
      </c>
      <c r="E259" s="21" t="str">
        <f t="shared" ref="E259:E322" si="8">IF(D259="?OLD","!!!","")</f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ref="H259:H322" ca="1" si="9">IF(J259&lt;&gt;1,"",IF(I259="SBJ","CB","?"))</f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223</v>
      </c>
      <c r="B260" s="20" t="s">
        <v>224</v>
      </c>
      <c r="C260" s="20" t="s">
        <v>62</v>
      </c>
      <c r="E260" s="21" t="str">
        <f t="shared" si="8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9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47</v>
      </c>
      <c r="E261" s="21" t="str">
        <f t="shared" si="8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9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124</v>
      </c>
      <c r="E262" s="21" t="str">
        <f t="shared" si="8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9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225</v>
      </c>
      <c r="B263" s="20" t="s">
        <v>155</v>
      </c>
      <c r="C263" s="20" t="s">
        <v>42</v>
      </c>
      <c r="D263" s="20" t="s">
        <v>37</v>
      </c>
      <c r="E263" s="21"/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9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 t="s">
        <v>426</v>
      </c>
    </row>
    <row r="264" spans="1:12" x14ac:dyDescent="0.3">
      <c r="A264" t="s">
        <v>16</v>
      </c>
      <c r="E264" s="21" t="str">
        <f t="shared" si="8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9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ht="28.8" x14ac:dyDescent="0.3">
      <c r="A265" t="s">
        <v>184</v>
      </c>
      <c r="E265" s="21" t="s">
        <v>448</v>
      </c>
      <c r="F265" s="22" t="str">
        <f>IF(OR(E265="",E265="!!!"),"",IF(NOT(ISNA(VLOOKUP(E265,E$1:E264,1,FALSE()))),"OLD",IF(AND(E265&lt;&gt;"",E265&lt;&gt;"!!!"),"NEW","")))</f>
        <v>OLD</v>
      </c>
      <c r="G265" s="23" t="str">
        <f ca="1"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?IN_FOCUS</v>
      </c>
      <c r="H265" s="24" t="str">
        <f t="shared" ca="1" si="9"/>
        <v/>
      </c>
      <c r="I265" s="25" t="str">
        <f>IF(OR(E265="",E265="!!!",F265="NEW"),"",INDEX(B$2:B264,-1+SUMPRODUCT(MAX(ROW(E$2:E264)*(E265=E$2:E264)))))</f>
        <v>SBJ_6</v>
      </c>
      <c r="J265" s="25">
        <f ca="1">IF(OR(E265="",E265="!!!",F265="NEW"),"",COUNTBLANK(OFFSET(A$1,,,SUMPRODUCT(MAX(ROW(E$2:E265)*(E265=E$2:E265)))))-COUNTBLANK(OFFSET(A$1,,,SUMPRODUCT(MAX(ROW(E$1:E264)*(E2=E$1:E264))))))</f>
        <v>0</v>
      </c>
      <c r="K265" s="25">
        <f ca="1">IF(OR(E265="",E265="!!!",F265="NEW"),"",INDEX(J$1:J264,SUMPRODUCT(MAX(ROW(E$1:E264)*(E265=E$1:E264)))))</f>
        <v>0</v>
      </c>
      <c r="L265" s="26" t="s">
        <v>489</v>
      </c>
    </row>
    <row r="266" spans="1:12" x14ac:dyDescent="0.3">
      <c r="A266" t="s">
        <v>226</v>
      </c>
      <c r="E266" s="21" t="str">
        <f t="shared" si="8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9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67</v>
      </c>
      <c r="E267" s="21" t="str">
        <f t="shared" si="8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9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227</v>
      </c>
      <c r="B268" s="20" t="s">
        <v>224</v>
      </c>
      <c r="C268" s="20" t="s">
        <v>121</v>
      </c>
      <c r="E268" s="21" t="str">
        <f t="shared" si="8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9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228</v>
      </c>
      <c r="B269" s="20" t="s">
        <v>180</v>
      </c>
      <c r="C269" s="20" t="s">
        <v>93</v>
      </c>
      <c r="E269" s="21" t="s">
        <v>448</v>
      </c>
      <c r="F269" s="22" t="str">
        <f>IF(OR(E269="",E269="!!!"),"",IF(NOT(ISNA(VLOOKUP(E269,E$1:E268,1,FALSE()))),"OLD",IF(AND(E269&lt;&gt;"",E269&lt;&gt;"!!!"),"NEW","")))</f>
        <v>OLD</v>
      </c>
      <c r="G269" s="23" t="str">
        <f ca="1"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?IN_FOCUS</v>
      </c>
      <c r="H269" s="24" t="str">
        <f t="shared" ca="1" si="9"/>
        <v/>
      </c>
      <c r="I269" s="25">
        <f>IF(OR(E269="",E269="!!!",F269="NEW"),"",INDEX(B$2:B268,-1+SUMPRODUCT(MAX(ROW(E$2:E268)*(E269=E$2:E268)))))</f>
        <v>0</v>
      </c>
      <c r="J269" s="25">
        <f ca="1">IF(OR(E269="",E269="!!!",F269="NEW"),"",COUNTBLANK(OFFSET(A$1,,,SUMPRODUCT(MAX(ROW(E$2:E269)*(E269=E$2:E269)))))-COUNTBLANK(OFFSET(A$1,,,SUMPRODUCT(MAX(ROW(E$1:E268)*(E2=E$1:E268))))))</f>
        <v>0</v>
      </c>
      <c r="K269" s="25">
        <f ca="1">IF(OR(E269="",E269="!!!",F269="NEW"),"",INDEX(J$1:J268,SUMPRODUCT(MAX(ROW(E$1:E268)*(E269=E$1:E268)))))</f>
        <v>0</v>
      </c>
      <c r="L269" s="26"/>
    </row>
    <row r="270" spans="1:12" x14ac:dyDescent="0.3">
      <c r="A270" t="s">
        <v>229</v>
      </c>
      <c r="E270" s="21" t="str">
        <f t="shared" si="8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9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230</v>
      </c>
      <c r="E271" s="21" t="str">
        <f t="shared" si="8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9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231</v>
      </c>
      <c r="E272" s="21" t="str">
        <f t="shared" si="8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9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232</v>
      </c>
      <c r="B273" s="20" t="s">
        <v>233</v>
      </c>
      <c r="C273" s="20" t="s">
        <v>62</v>
      </c>
      <c r="E273" s="21"/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9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234</v>
      </c>
      <c r="E274" s="21" t="str">
        <f t="shared" si="8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9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154</v>
      </c>
      <c r="E275" s="21" t="str">
        <f t="shared" si="8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9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235</v>
      </c>
      <c r="B276" s="20" t="s">
        <v>224</v>
      </c>
      <c r="C276" s="20" t="s">
        <v>78</v>
      </c>
      <c r="D276" s="20" t="s">
        <v>37</v>
      </c>
      <c r="E276" s="21" t="s">
        <v>502</v>
      </c>
      <c r="F276" s="22" t="str">
        <f>IF(OR(E276="",E276="!!!"),"",IF(NOT(ISNA(VLOOKUP(E276,E$1:E275,1,FALSE()))),"OLD",IF(AND(E276&lt;&gt;"",E276&lt;&gt;"!!!"),"NEW","")))</f>
        <v>NEW</v>
      </c>
      <c r="G276" s="23" t="str">
        <f ca="1"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?REFERENTIAL</v>
      </c>
      <c r="H276" s="24" t="str">
        <f t="shared" ca="1" si="9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148</v>
      </c>
      <c r="E277" s="21" t="str">
        <f t="shared" si="8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9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236</v>
      </c>
      <c r="B278" s="20" t="s">
        <v>237</v>
      </c>
      <c r="C278" s="20" t="s">
        <v>78</v>
      </c>
      <c r="D278" s="20" t="s">
        <v>37</v>
      </c>
      <c r="E278" s="21" t="s">
        <v>449</v>
      </c>
      <c r="F278" s="22" t="str">
        <f>IF(OR(E278="",E278="!!!"),"",IF(NOT(ISNA(VLOOKUP(E278,E$1:E277,1,FALSE()))),"OLD",IF(AND(E278&lt;&gt;"",E278&lt;&gt;"!!!"),"NEW","")))</f>
        <v>OLD</v>
      </c>
      <c r="G278" s="23" t="str">
        <f ca="1"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?IN_FOCUS</v>
      </c>
      <c r="H278" s="24" t="str">
        <f t="shared" ca="1" si="9"/>
        <v/>
      </c>
      <c r="I278" s="25" t="str">
        <f>IF(OR(E278="",E278="!!!",F278="NEW"),"",INDEX(B$2:B277,-1+SUMPRODUCT(MAX(ROW(E$2:E277)*(E278=E$2:E277)))))</f>
        <v>SBJ_5</v>
      </c>
      <c r="J278" s="25">
        <f ca="1">IF(OR(E278="",E278="!!!",F278="NEW"),"",COUNTBLANK(OFFSET(A$1,,,SUMPRODUCT(MAX(ROW(E$2:E278)*(E278=E$2:E278)))))-COUNTBLANK(OFFSET(A$1,,,SUMPRODUCT(MAX(ROW(E$1:E277)*(E2=E$1:E277))))))</f>
        <v>0</v>
      </c>
      <c r="K278" s="25" t="str">
        <f ca="1">IF(OR(E278="",E278="!!!",F278="NEW"),"",INDEX(J$1:J277,SUMPRODUCT(MAX(ROW(E$1:E277)*(E278=E$1:E277)))))</f>
        <v/>
      </c>
      <c r="L278" s="26"/>
    </row>
    <row r="279" spans="1:12" x14ac:dyDescent="0.3">
      <c r="A279" t="s">
        <v>238</v>
      </c>
      <c r="E279" s="21" t="str">
        <f t="shared" si="8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9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45</v>
      </c>
      <c r="E280" s="21" t="str">
        <f t="shared" si="8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9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239</v>
      </c>
      <c r="E281" s="21" t="str">
        <f t="shared" si="8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9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240</v>
      </c>
      <c r="B282" s="20" t="s">
        <v>233</v>
      </c>
      <c r="C282" s="20" t="s">
        <v>62</v>
      </c>
      <c r="E282" s="21"/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9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45</v>
      </c>
      <c r="E283" s="21" t="str">
        <f t="shared" si="8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9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241</v>
      </c>
      <c r="B284" s="20" t="s">
        <v>224</v>
      </c>
      <c r="C284" s="20" t="s">
        <v>62</v>
      </c>
      <c r="E284" s="21" t="str">
        <f t="shared" si="8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9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67</v>
      </c>
      <c r="E285" s="21" t="str">
        <f t="shared" si="8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9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242</v>
      </c>
      <c r="E286" s="21" t="str">
        <f t="shared" si="8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9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243</v>
      </c>
      <c r="E287" s="21" t="str">
        <f t="shared" si="8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9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47</v>
      </c>
      <c r="E288" s="21" t="str">
        <f t="shared" si="8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9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159</v>
      </c>
      <c r="E289" s="21" t="str">
        <f t="shared" si="8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9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244</v>
      </c>
      <c r="E290" s="21" t="str">
        <f t="shared" si="8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9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154</v>
      </c>
      <c r="E291" s="21" t="str">
        <f t="shared" si="8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245</v>
      </c>
      <c r="B292" s="20" t="s">
        <v>156</v>
      </c>
      <c r="C292" s="20" t="s">
        <v>78</v>
      </c>
      <c r="D292" s="20" t="s">
        <v>37</v>
      </c>
      <c r="E292" s="21" t="s">
        <v>440</v>
      </c>
      <c r="F292" s="22" t="str">
        <f>IF(OR(E292="",E292="!!!"),"",IF(NOT(ISNA(VLOOKUP(E292,E$1:E291,1,FALSE()))),"OLD",IF(AND(E292&lt;&gt;"",E292&lt;&gt;"!!!"),"NEW","")))</f>
        <v>OLD</v>
      </c>
      <c r="G292" s="23" t="str">
        <f ca="1"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?IN_FOCUS</v>
      </c>
      <c r="H292" s="24" t="str">
        <f t="shared" ca="1" si="9"/>
        <v/>
      </c>
      <c r="I292" s="25" t="str">
        <f>IF(OR(E292="",E292="!!!",F292="NEW"),"",INDEX(B$2:B291,-1+SUMPRODUCT(MAX(ROW(E$2:E291)*(E292=E$2:E291)))))</f>
        <v>other_5</v>
      </c>
      <c r="J292" s="25">
        <f ca="1">IF(OR(E292="",E292="!!!",F292="NEW"),"",COUNTBLANK(OFFSET(A$1,,,SUMPRODUCT(MAX(ROW(E$2:E292)*(E292=E$2:E292)))))-COUNTBLANK(OFFSET(A$1,,,SUMPRODUCT(MAX(ROW(E$1:E291)*(E2=E$1:E291))))))</f>
        <v>0</v>
      </c>
      <c r="K292" s="25">
        <f ca="1">IF(OR(E292="",E292="!!!",F292="NEW"),"",INDEX(J$1:J291,SUMPRODUCT(MAX(ROW(E$1:E291)*(E292=E$1:E291)))))</f>
        <v>0</v>
      </c>
      <c r="L292" s="26" t="s">
        <v>490</v>
      </c>
    </row>
    <row r="293" spans="1:12" x14ac:dyDescent="0.3">
      <c r="A293" t="s">
        <v>69</v>
      </c>
      <c r="E293" s="21" t="str">
        <f t="shared" si="8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9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47</v>
      </c>
      <c r="E294" s="21" t="str">
        <f t="shared" si="8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214</v>
      </c>
      <c r="E295" s="21" t="str">
        <f t="shared" si="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148</v>
      </c>
      <c r="E296" s="21" t="str">
        <f t="shared" si="8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9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190</v>
      </c>
      <c r="B297" s="20" t="s">
        <v>246</v>
      </c>
      <c r="C297" s="20" t="s">
        <v>78</v>
      </c>
      <c r="D297" s="20" t="s">
        <v>37</v>
      </c>
      <c r="E297" s="21" t="s">
        <v>439</v>
      </c>
      <c r="F297" s="22" t="str">
        <f>IF(OR(E297="",E297="!!!"),"",IF(NOT(ISNA(VLOOKUP(E297,E$1:E296,1,FALSE()))),"OLD",IF(AND(E297&lt;&gt;"",E297&lt;&gt;"!!!"),"NEW","")))</f>
        <v>OLD</v>
      </c>
      <c r="G297" s="23" t="str">
        <f ca="1"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?IN_FOCUS</v>
      </c>
      <c r="H297" s="24" t="str">
        <f t="shared" ca="1" si="9"/>
        <v/>
      </c>
      <c r="I297" s="25" t="str">
        <f>IF(OR(E297="",E297="!!!",F297="NEW"),"",INDEX(B$2:B296,-1+SUMPRODUCT(MAX(ROW(E$2:E296)*(E297=E$2:E296)))))</f>
        <v>other_5</v>
      </c>
      <c r="J297" s="25">
        <f ca="1">IF(OR(E297="",E297="!!!",F297="NEW"),"",COUNTBLANK(OFFSET(A$1,,,SUMPRODUCT(MAX(ROW(E$2:E297)*(E297=E$2:E297)))))-COUNTBLANK(OFFSET(A$1,,,SUMPRODUCT(MAX(ROW(E$1:E296)*(E2=E$1:E296))))))</f>
        <v>0</v>
      </c>
      <c r="K297" s="25">
        <f ca="1">IF(OR(E297="",E297="!!!",F297="NEW"),"",INDEX(J$1:J296,SUMPRODUCT(MAX(ROW(E$1:E296)*(E297=E$1:E296)))))</f>
        <v>0</v>
      </c>
      <c r="L297" s="26"/>
    </row>
    <row r="298" spans="1:12" x14ac:dyDescent="0.3">
      <c r="A298" t="s">
        <v>247</v>
      </c>
      <c r="E298" s="21" t="str">
        <f t="shared" si="8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9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69</v>
      </c>
      <c r="E299" s="21" t="str">
        <f t="shared" si="8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9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47</v>
      </c>
      <c r="E300" s="21" t="str">
        <f t="shared" si="8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9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151</v>
      </c>
      <c r="E301" s="21" t="str">
        <f t="shared" si="8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9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248</v>
      </c>
      <c r="B302" s="20" t="s">
        <v>180</v>
      </c>
      <c r="C302" s="20" t="s">
        <v>36</v>
      </c>
      <c r="D302" s="20" t="s">
        <v>37</v>
      </c>
      <c r="E302" s="21"/>
      <c r="F302" s="22" t="s">
        <v>436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9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 t="s">
        <v>451</v>
      </c>
    </row>
    <row r="303" spans="1:12" x14ac:dyDescent="0.3">
      <c r="A303" t="s">
        <v>154</v>
      </c>
      <c r="E303" s="21" t="str">
        <f t="shared" si="8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9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199</v>
      </c>
      <c r="B304" s="20" t="s">
        <v>233</v>
      </c>
      <c r="C304" s="20" t="s">
        <v>78</v>
      </c>
      <c r="D304" s="20" t="s">
        <v>37</v>
      </c>
      <c r="E304" s="21" t="s">
        <v>440</v>
      </c>
      <c r="F304" s="22" t="str">
        <f>IF(OR(E304="",E304="!!!"),"",IF(NOT(ISNA(VLOOKUP(E304,E$1:E303,1,FALSE()))),"OLD",IF(AND(E304&lt;&gt;"",E304&lt;&gt;"!!!"),"NEW","")))</f>
        <v>OLD</v>
      </c>
      <c r="G304" s="23" t="str">
        <f ca="1"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?IN_FOCUS</v>
      </c>
      <c r="H304" s="24" t="str">
        <f t="shared" ca="1" si="9"/>
        <v/>
      </c>
      <c r="I304" s="25" t="str">
        <f>IF(OR(E304="",E304="!!!",F304="NEW"),"",INDEX(B$2:B303,-1+SUMPRODUCT(MAX(ROW(E$2:E303)*(E304=E$2:E303)))))</f>
        <v>SBJ_5</v>
      </c>
      <c r="J304" s="25">
        <f ca="1">IF(OR(E304="",E304="!!!",F304="NEW"),"",COUNTBLANK(OFFSET(A$1,,,SUMPRODUCT(MAX(ROW(E$2:E304)*(E304=E$2:E304)))))-COUNTBLANK(OFFSET(A$1,,,SUMPRODUCT(MAX(ROW(E$1:E303)*(E2=E$1:E303))))))</f>
        <v>0</v>
      </c>
      <c r="K304" s="25">
        <f ca="1">IF(OR(E304="",E304="!!!",F304="NEW"),"",INDEX(J$1:J303,SUMPRODUCT(MAX(ROW(E$1:E303)*(E304=E$1:E303)))))</f>
        <v>0</v>
      </c>
      <c r="L304" s="26"/>
    </row>
    <row r="305" spans="1:12" x14ac:dyDescent="0.3">
      <c r="A305" t="s">
        <v>130</v>
      </c>
      <c r="E305" s="21" t="str">
        <f t="shared" si="8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9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ht="28.8" x14ac:dyDescent="0.3">
      <c r="A306" t="s">
        <v>249</v>
      </c>
      <c r="E306" s="21" t="s">
        <v>452</v>
      </c>
      <c r="F306" s="22" t="str">
        <f>IF(OR(E306="",E306="!!!"),"",IF(NOT(ISNA(VLOOKUP(E306,E$1:E305,1,FALSE()))),"OLD",IF(AND(E306&lt;&gt;"",E306&lt;&gt;"!!!"),"NEW","")))</f>
        <v>NEW</v>
      </c>
      <c r="G306" s="23" t="str">
        <f ca="1"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?REFERENTIAL</v>
      </c>
      <c r="H306" s="24" t="str">
        <f t="shared" ca="1" si="9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 t="s">
        <v>476</v>
      </c>
    </row>
    <row r="307" spans="1:12" x14ac:dyDescent="0.3">
      <c r="A307" t="s">
        <v>47</v>
      </c>
      <c r="E307" s="21" t="str">
        <f t="shared" si="8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9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45</v>
      </c>
      <c r="E308" s="21" t="str">
        <f t="shared" si="8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9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250</v>
      </c>
      <c r="B309" s="20" t="s">
        <v>156</v>
      </c>
      <c r="C309" s="20" t="s">
        <v>93</v>
      </c>
      <c r="D309" s="20" t="s">
        <v>37</v>
      </c>
      <c r="E309" s="21" t="s">
        <v>452</v>
      </c>
      <c r="F309" s="22" t="str">
        <f>IF(OR(E309="",E309="!!!"),"",IF(NOT(ISNA(VLOOKUP(E309,E$1:E308,1,FALSE()))),"OLD",IF(AND(E309&lt;&gt;"",E309&lt;&gt;"!!!"),"NEW","")))</f>
        <v>OLD</v>
      </c>
      <c r="G309" s="23" t="str">
        <f ca="1"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?IN_FOCUS</v>
      </c>
      <c r="H309" s="24" t="str">
        <f t="shared" ca="1" si="9"/>
        <v/>
      </c>
      <c r="I309" s="25">
        <f>IF(OR(E309="",E309="!!!",F309="NEW"),"",INDEX(B$2:B308,-1+SUMPRODUCT(MAX(ROW(E$2:E308)*(E309=E$2:E308)))))</f>
        <v>0</v>
      </c>
      <c r="J309" s="25">
        <f ca="1">IF(OR(E309="",E309="!!!",F309="NEW"),"",COUNTBLANK(OFFSET(A$1,,,SUMPRODUCT(MAX(ROW(E$2:E309)*(E309=E$2:E309)))))-COUNTBLANK(OFFSET(A$1,,,SUMPRODUCT(MAX(ROW(E$1:E308)*(E2=E$1:E308))))))</f>
        <v>0</v>
      </c>
      <c r="K309" s="25" t="str">
        <f ca="1">IF(OR(E309="",E309="!!!",F309="NEW"),"",INDEX(J$1:J308,SUMPRODUCT(MAX(ROW(E$1:E308)*(E309=E$1:E308)))))</f>
        <v/>
      </c>
      <c r="L309" s="26"/>
    </row>
    <row r="310" spans="1:12" x14ac:dyDescent="0.3">
      <c r="A310" t="s">
        <v>69</v>
      </c>
      <c r="E310" s="21" t="str">
        <f t="shared" si="8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9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251</v>
      </c>
      <c r="E311" s="21" t="str">
        <f t="shared" si="8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9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252</v>
      </c>
      <c r="E312" s="21" t="str">
        <f t="shared" si="8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9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253</v>
      </c>
      <c r="E313" s="21" t="str">
        <f t="shared" si="8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9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67</v>
      </c>
      <c r="E314" s="21" t="str">
        <f t="shared" si="8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9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254</v>
      </c>
      <c r="E315" s="21" t="str">
        <f t="shared" si="8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9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47</v>
      </c>
      <c r="E316" s="21" t="str">
        <f t="shared" si="8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9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63</v>
      </c>
      <c r="E317" s="21" t="str">
        <f t="shared" si="8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9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102</v>
      </c>
      <c r="B318" s="20" t="s">
        <v>156</v>
      </c>
      <c r="C318" s="20" t="s">
        <v>36</v>
      </c>
      <c r="D318" s="20" t="s">
        <v>37</v>
      </c>
      <c r="E318" s="21" t="s">
        <v>420</v>
      </c>
      <c r="F318" s="22" t="str">
        <f>IF(OR(E318="",E318="!!!"),"",IF(NOT(ISNA(VLOOKUP(E318,E$1:E317,1,FALSE()))),"OLD",IF(AND(E318&lt;&gt;"",E318&lt;&gt;"!!!"),"NEW","")))</f>
        <v>OLD</v>
      </c>
      <c r="G318" s="23" t="str">
        <f ca="1"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?IN_FOCUS</v>
      </c>
      <c r="H318" s="24" t="str">
        <f t="shared" ca="1" si="9"/>
        <v/>
      </c>
      <c r="I318" s="25" t="str">
        <f>IF(OR(E318="",E318="!!!",F318="NEW"),"",INDEX(B$2:B317,-1+SUMPRODUCT(MAX(ROW(E$2:E317)*(E318=E$2:E317)))))</f>
        <v>SBJ_6</v>
      </c>
      <c r="J318" s="25">
        <f ca="1">IF(OR(E318="",E318="!!!",F318="NEW"),"",COUNTBLANK(OFFSET(A$1,,,SUMPRODUCT(MAX(ROW(E$2:E318)*(E318=E$2:E318)))))-COUNTBLANK(OFFSET(A$1,,,SUMPRODUCT(MAX(ROW(E$1:E317)*(E2=E$1:E317))))))</f>
        <v>0</v>
      </c>
      <c r="K318" s="25">
        <f ca="1">IF(OR(E318="",E318="!!!",F318="NEW"),"",INDEX(J$1:J317,SUMPRODUCT(MAX(ROW(E$1:E317)*(E318=E$1:E317)))))</f>
        <v>0</v>
      </c>
      <c r="L318" s="26"/>
    </row>
    <row r="319" spans="1:12" x14ac:dyDescent="0.3">
      <c r="A319" t="s">
        <v>255</v>
      </c>
      <c r="B319" s="20" t="s">
        <v>155</v>
      </c>
      <c r="C319" s="20" t="s">
        <v>62</v>
      </c>
      <c r="E319" s="21" t="str">
        <f t="shared" si="8"/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t="shared" ca="1" si="9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256</v>
      </c>
      <c r="B320" s="20" t="s">
        <v>173</v>
      </c>
      <c r="C320" s="20" t="s">
        <v>42</v>
      </c>
      <c r="D320" s="20" t="s">
        <v>37</v>
      </c>
      <c r="E320" s="21" t="s">
        <v>453</v>
      </c>
      <c r="F320" s="22" t="str">
        <f>IF(OR(E320="",E320="!!!"),"",IF(NOT(ISNA(VLOOKUP(E320,E$1:E319,1,FALSE()))),"OLD",IF(AND(E320&lt;&gt;"",E320&lt;&gt;"!!!"),"NEW","")))</f>
        <v>NEW</v>
      </c>
      <c r="G320" s="23" t="str">
        <f ca="1"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?REFERENTIAL</v>
      </c>
      <c r="H320" s="24" t="str">
        <f t="shared" ca="1" si="9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257</v>
      </c>
      <c r="E321" s="21" t="str">
        <f t="shared" si="8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9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106</v>
      </c>
      <c r="E322" s="21" t="str">
        <f t="shared" si="8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9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258</v>
      </c>
      <c r="E323" s="21" t="str">
        <f t="shared" ref="E323:E384" si="10">IF(D323="?OLD","!!!","")</f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ref="H323:H386" ca="1" si="11">IF(J323&lt;&gt;1,"",IF(I323="SBJ","CB","?"))</f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209</v>
      </c>
      <c r="B324" s="20" t="s">
        <v>57</v>
      </c>
      <c r="C324" s="20" t="s">
        <v>89</v>
      </c>
      <c r="E324" s="21" t="str">
        <f t="shared" si="10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11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259</v>
      </c>
      <c r="E325" s="21" t="str">
        <f t="shared" si="10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11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47</v>
      </c>
      <c r="E326" s="21" t="str">
        <f t="shared" si="10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11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45</v>
      </c>
      <c r="E327" s="21" t="str">
        <f t="shared" si="10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11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260</v>
      </c>
      <c r="B328" s="20" t="s">
        <v>156</v>
      </c>
      <c r="C328" s="20" t="s">
        <v>36</v>
      </c>
      <c r="D328" s="20" t="s">
        <v>37</v>
      </c>
      <c r="E328" s="21" t="s">
        <v>453</v>
      </c>
      <c r="F328" s="22" t="str">
        <f>IF(OR(E328="",E328="!!!"),"",IF(NOT(ISNA(VLOOKUP(E328,E$1:E327,1,FALSE()))),"OLD",IF(AND(E328&lt;&gt;"",E328&lt;&gt;"!!!"),"NEW","")))</f>
        <v>OLD</v>
      </c>
      <c r="G328" s="23" t="str">
        <f ca="1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?IN_FOCUS</v>
      </c>
      <c r="H328" s="24" t="str">
        <f t="shared" ca="1" si="11"/>
        <v/>
      </c>
      <c r="I328" s="25" t="str">
        <f>IF(OR(E328="",E328="!!!",F328="NEW"),"",INDEX(B$2:B327,-1+SUMPRODUCT(MAX(ROW(E$2:E327)*(E328=E$2:E327)))))</f>
        <v>other_6</v>
      </c>
      <c r="J328" s="25">
        <f ca="1">IF(OR(E328="",E328="!!!",F328="NEW"),"",COUNTBLANK(OFFSET(A$1,,,SUMPRODUCT(MAX(ROW(E$2:E328)*(E328=E$2:E328)))))-COUNTBLANK(OFFSET(A$1,,,SUMPRODUCT(MAX(ROW(E$1:E327)*(E2=E$1:E327))))))</f>
        <v>0</v>
      </c>
      <c r="K328" s="25" t="str">
        <f ca="1">IF(OR(E328="",E328="!!!",F328="NEW"),"",INDEX(J$1:J327,SUMPRODUCT(MAX(ROW(E$1:E327)*(E328=E$1:E327)))))</f>
        <v/>
      </c>
      <c r="L328" s="26"/>
    </row>
    <row r="329" spans="1:12" x14ac:dyDescent="0.3">
      <c r="A329" t="s">
        <v>168</v>
      </c>
      <c r="B329" s="20" t="s">
        <v>155</v>
      </c>
      <c r="C329" s="20" t="s">
        <v>36</v>
      </c>
      <c r="D329" s="20" t="s">
        <v>37</v>
      </c>
      <c r="E329" s="21" t="s">
        <v>420</v>
      </c>
      <c r="F329" s="22" t="str">
        <f>IF(OR(E329="",E329="!!!"),"",IF(NOT(ISNA(VLOOKUP(E329,E$1:E328,1,FALSE()))),"OLD",IF(AND(E329&lt;&gt;"",E329&lt;&gt;"!!!"),"NEW","")))</f>
        <v>OLD</v>
      </c>
      <c r="G329" s="23" t="str">
        <f ca="1"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?IN_FOCUS</v>
      </c>
      <c r="H329" s="24" t="str">
        <f t="shared" ca="1" si="11"/>
        <v/>
      </c>
      <c r="I329" s="25" t="str">
        <f>IF(OR(E329="",E329="!!!",F329="NEW"),"",INDEX(B$2:B328,-1+SUMPRODUCT(MAX(ROW(E$2:E328)*(E329=E$2:E328)))))</f>
        <v>SBJ_5</v>
      </c>
      <c r="J329" s="25">
        <f ca="1">IF(OR(E329="",E329="!!!",F329="NEW"),"",COUNTBLANK(OFFSET(A$1,,,SUMPRODUCT(MAX(ROW(E$2:E329)*(E329=E$2:E329)))))-COUNTBLANK(OFFSET(A$1,,,SUMPRODUCT(MAX(ROW(E$1:E328)*(E2=E$1:E328))))))</f>
        <v>0</v>
      </c>
      <c r="K329" s="25">
        <f ca="1">IF(OR(E329="",E329="!!!",F329="NEW"),"",INDEX(J$1:J328,SUMPRODUCT(MAX(ROW(E$1:E328)*(E329=E$1:E328)))))</f>
        <v>0</v>
      </c>
      <c r="L329" s="26"/>
    </row>
    <row r="330" spans="1:12" x14ac:dyDescent="0.3">
      <c r="A330" t="s">
        <v>261</v>
      </c>
      <c r="E330" s="21" t="str">
        <f t="shared" si="10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11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47</v>
      </c>
      <c r="E331" s="21" t="str">
        <f t="shared" si="10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11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262</v>
      </c>
      <c r="E332" s="21" t="str">
        <f t="shared" si="10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11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102</v>
      </c>
      <c r="B333" s="20" t="s">
        <v>180</v>
      </c>
      <c r="C333" s="20" t="s">
        <v>36</v>
      </c>
      <c r="D333" s="20" t="s">
        <v>37</v>
      </c>
      <c r="E333" s="21" t="s">
        <v>420</v>
      </c>
      <c r="F333" s="22" t="str">
        <f>IF(OR(E333="",E333="!!!"),"",IF(NOT(ISNA(VLOOKUP(E333,E$1:E332,1,FALSE()))),"OLD",IF(AND(E333&lt;&gt;"",E333&lt;&gt;"!!!"),"NEW","")))</f>
        <v>OLD</v>
      </c>
      <c r="G333" s="23" t="str">
        <f ca="1"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?IN_FOCUS</v>
      </c>
      <c r="H333" s="24" t="str">
        <f t="shared" ca="1" si="11"/>
        <v/>
      </c>
      <c r="I333" s="25" t="str">
        <f>IF(OR(E333="",E333="!!!",F333="NEW"),"",INDEX(B$2:B332,-1+SUMPRODUCT(MAX(ROW(E$2:E332)*(E333=E$2:E332)))))</f>
        <v>OBJ_5</v>
      </c>
      <c r="J333" s="25">
        <f ca="1">IF(OR(E333="",E333="!!!",F333="NEW"),"",COUNTBLANK(OFFSET(A$1,,,SUMPRODUCT(MAX(ROW(E$2:E333)*(E333=E$2:E333)))))-COUNTBLANK(OFFSET(A$1,,,SUMPRODUCT(MAX(ROW(E$1:E332)*(E2=E$1:E332))))))</f>
        <v>0</v>
      </c>
      <c r="K333" s="25">
        <f ca="1">IF(OR(E333="",E333="!!!",F333="NEW"),"",INDEX(J$1:J332,SUMPRODUCT(MAX(ROW(E$1:E332)*(E333=E$1:E332)))))</f>
        <v>0</v>
      </c>
      <c r="L333" s="26"/>
    </row>
    <row r="334" spans="1:12" x14ac:dyDescent="0.3">
      <c r="A334" t="s">
        <v>165</v>
      </c>
      <c r="E334" s="21" t="str">
        <f t="shared" si="10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11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ht="28.8" x14ac:dyDescent="0.3">
      <c r="A335" t="s">
        <v>263</v>
      </c>
      <c r="B335" s="20" t="s">
        <v>233</v>
      </c>
      <c r="C335" s="20" t="s">
        <v>54</v>
      </c>
      <c r="E335" s="21" t="s">
        <v>454</v>
      </c>
      <c r="F335" s="22" t="str">
        <f>IF(OR(E335="",E335="!!!"),"",IF(NOT(ISNA(VLOOKUP(E335,E$1:E334,1,FALSE()))),"OLD",IF(AND(E335&lt;&gt;"",E335&lt;&gt;"!!!"),"NEW","")))</f>
        <v>NEW</v>
      </c>
      <c r="G335" s="23" t="str">
        <f ca="1"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?REFERENTIAL</v>
      </c>
      <c r="H335" s="24" t="str">
        <f t="shared" ca="1" si="11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 t="s">
        <v>477</v>
      </c>
    </row>
    <row r="336" spans="1:12" x14ac:dyDescent="0.3">
      <c r="A336" t="s">
        <v>72</v>
      </c>
      <c r="E336" s="21" t="str">
        <f t="shared" si="10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11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264</v>
      </c>
      <c r="B337" s="20" t="s">
        <v>237</v>
      </c>
      <c r="C337" s="20" t="s">
        <v>93</v>
      </c>
      <c r="D337" s="20" t="s">
        <v>37</v>
      </c>
      <c r="E337" s="21"/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11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 t="s">
        <v>426</v>
      </c>
    </row>
    <row r="338" spans="1:12" x14ac:dyDescent="0.3">
      <c r="A338" t="s">
        <v>265</v>
      </c>
      <c r="B338" s="20" t="s">
        <v>224</v>
      </c>
      <c r="C338" s="20" t="s">
        <v>95</v>
      </c>
      <c r="D338" s="20" t="s">
        <v>37</v>
      </c>
      <c r="E338" s="21" t="s">
        <v>452</v>
      </c>
      <c r="F338" s="22" t="str">
        <f>IF(OR(E338="",E338="!!!"),"",IF(NOT(ISNA(VLOOKUP(E338,E$1:E337,1,FALSE()))),"OLD",IF(AND(E338&lt;&gt;"",E338&lt;&gt;"!!!"),"NEW","")))</f>
        <v>OLD</v>
      </c>
      <c r="G338" s="23" t="str">
        <f ca="1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?IN_FOCUS</v>
      </c>
      <c r="H338" s="24" t="str">
        <f t="shared" ca="1" si="11"/>
        <v/>
      </c>
      <c r="I338" s="25" t="str">
        <f>IF(OR(E338="",E338="!!!",F338="NEW"),"",INDEX(B$2:B337,-1+SUMPRODUCT(MAX(ROW(E$2:E337)*(E338=E$2:E337)))))</f>
        <v>SBJ_5</v>
      </c>
      <c r="J338" s="25">
        <f ca="1">IF(OR(E338="",E338="!!!",F338="NEW"),"",COUNTBLANK(OFFSET(A$1,,,SUMPRODUCT(MAX(ROW(E$2:E338)*(E338=E$2:E338)))))-COUNTBLANK(OFFSET(A$1,,,SUMPRODUCT(MAX(ROW(E$1:E337)*(E2=E$1:E337))))))</f>
        <v>0</v>
      </c>
      <c r="K338" s="25">
        <f ca="1">IF(OR(E338="",E338="!!!",F338="NEW"),"",INDEX(J$1:J337,SUMPRODUCT(MAX(ROW(E$1:E337)*(E338=E$1:E337)))))</f>
        <v>0</v>
      </c>
      <c r="L338" s="26"/>
    </row>
    <row r="339" spans="1:12" x14ac:dyDescent="0.3">
      <c r="A339" t="s">
        <v>266</v>
      </c>
      <c r="E339" s="21" t="str">
        <f t="shared" si="10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11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47</v>
      </c>
      <c r="E340" s="21" t="str">
        <f t="shared" si="10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11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267</v>
      </c>
      <c r="E341" s="21" t="str">
        <f t="shared" si="10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11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102</v>
      </c>
      <c r="B342" s="20" t="s">
        <v>70</v>
      </c>
      <c r="C342" s="20" t="s">
        <v>36</v>
      </c>
      <c r="D342" s="20" t="s">
        <v>37</v>
      </c>
      <c r="E342" s="21" t="s">
        <v>420</v>
      </c>
      <c r="F342" s="22" t="str">
        <f>IF(OR(E342="",E342="!!!"),"",IF(NOT(ISNA(VLOOKUP(E342,E$1:E341,1,FALSE()))),"OLD",IF(AND(E342&lt;&gt;"",E342&lt;&gt;"!!!"),"NEW","")))</f>
        <v>OLD</v>
      </c>
      <c r="G342" s="23" t="str">
        <f ca="1"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?IN_FOCUS</v>
      </c>
      <c r="H342" s="24" t="str">
        <f t="shared" ca="1" si="11"/>
        <v/>
      </c>
      <c r="I342" s="25" t="str">
        <f>IF(OR(E342="",E342="!!!",F342="NEW"),"",INDEX(B$2:B341,-1+SUMPRODUCT(MAX(ROW(E$2:E341)*(E342=E$2:E341)))))</f>
        <v>SBJ_6</v>
      </c>
      <c r="J342" s="25">
        <f ca="1">IF(OR(E342="",E342="!!!",F342="NEW"),"",COUNTBLANK(OFFSET(A$1,,,SUMPRODUCT(MAX(ROW(E$2:E342)*(E342=E$2:E342)))))-COUNTBLANK(OFFSET(A$1,,,SUMPRODUCT(MAX(ROW(E$1:E341)*(E2=E$1:E341))))))</f>
        <v>0</v>
      </c>
      <c r="K342" s="25">
        <f ca="1">IF(OR(E342="",E342="!!!",F342="NEW"),"",INDEX(J$1:J341,SUMPRODUCT(MAX(ROW(E$1:E341)*(E342=E$1:E341)))))</f>
        <v>0</v>
      </c>
      <c r="L342" s="26"/>
    </row>
    <row r="343" spans="1:12" x14ac:dyDescent="0.3">
      <c r="A343" t="s">
        <v>268</v>
      </c>
      <c r="E343" s="21" t="str">
        <f t="shared" si="10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11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269</v>
      </c>
      <c r="E344" s="21" t="str">
        <f t="shared" si="10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11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270</v>
      </c>
      <c r="E345" s="21" t="str">
        <f t="shared" si="10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11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47</v>
      </c>
      <c r="E346" s="21" t="str">
        <f t="shared" si="10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11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219</v>
      </c>
      <c r="E347" s="21" t="str">
        <f t="shared" si="10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11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130</v>
      </c>
      <c r="E348" s="21" t="str">
        <f t="shared" si="10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11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47</v>
      </c>
      <c r="E349" s="21" t="str">
        <f t="shared" si="10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11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164</v>
      </c>
      <c r="E350" s="21" t="str">
        <f t="shared" si="10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11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102</v>
      </c>
      <c r="B351" s="20" t="s">
        <v>180</v>
      </c>
      <c r="C351" s="20" t="s">
        <v>36</v>
      </c>
      <c r="D351" s="20" t="s">
        <v>37</v>
      </c>
      <c r="E351" s="21" t="s">
        <v>420</v>
      </c>
      <c r="F351" s="22" t="str">
        <f>IF(OR(E351="",E351="!!!"),"",IF(NOT(ISNA(VLOOKUP(E351,E$1:E350,1,FALSE()))),"OLD",IF(AND(E351&lt;&gt;"",E351&lt;&gt;"!!!"),"NEW","")))</f>
        <v>OLD</v>
      </c>
      <c r="G351" s="23" t="str">
        <f ca="1"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?IN_FOCUS</v>
      </c>
      <c r="H351" s="24" t="str">
        <f t="shared" ca="1" si="11"/>
        <v/>
      </c>
      <c r="I351" s="25" t="str">
        <f>IF(OR(E351="",E351="!!!",F351="NEW"),"",INDEX(B$2:B350,-1+SUMPRODUCT(MAX(ROW(E$2:E350)*(E351=E$2:E350)))))</f>
        <v>SBJ_3</v>
      </c>
      <c r="J351" s="25">
        <f ca="1">IF(OR(E351="",E351="!!!",F351="NEW"),"",COUNTBLANK(OFFSET(A$1,,,SUMPRODUCT(MAX(ROW(E$2:E351)*(E351=E$2:E351)))))-COUNTBLANK(OFFSET(A$1,,,SUMPRODUCT(MAX(ROW(E$1:E350)*(E2=E$1:E350))))))</f>
        <v>0</v>
      </c>
      <c r="K351" s="25">
        <f ca="1">IF(OR(E351="",E351="!!!",F351="NEW"),"",INDEX(J$1:J350,SUMPRODUCT(MAX(ROW(E$1:E350)*(E351=E$1:E350)))))</f>
        <v>0</v>
      </c>
      <c r="L351" s="26"/>
    </row>
    <row r="352" spans="1:12" x14ac:dyDescent="0.3">
      <c r="A352" t="s">
        <v>271</v>
      </c>
      <c r="E352" s="21" t="str">
        <f t="shared" si="10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11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140</v>
      </c>
      <c r="B353" s="20" t="s">
        <v>180</v>
      </c>
      <c r="C353" s="20" t="s">
        <v>105</v>
      </c>
      <c r="D353" s="20" t="s">
        <v>37</v>
      </c>
      <c r="E353" s="21" t="s">
        <v>454</v>
      </c>
      <c r="F353" s="22" t="str">
        <f>IF(OR(E353="",E353="!!!"),"",IF(NOT(ISNA(VLOOKUP(E353,E$1:E352,1,FALSE()))),"OLD",IF(AND(E353&lt;&gt;"",E353&lt;&gt;"!!!"),"NEW","")))</f>
        <v>OLD</v>
      </c>
      <c r="G353" s="23" t="str">
        <f ca="1"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?IN_FOCUS</v>
      </c>
      <c r="H353" s="24" t="str">
        <f t="shared" ca="1" si="11"/>
        <v/>
      </c>
      <c r="I353" s="25" t="str">
        <f>IF(OR(E353="",E353="!!!",F353="NEW"),"",INDEX(B$2:B352,-1+SUMPRODUCT(MAX(ROW(E$2:E352)*(E353=E$2:E352)))))</f>
        <v>OBJ_6</v>
      </c>
      <c r="J353" s="25">
        <f ca="1">IF(OR(E353="",E353="!!!",F353="NEW"),"",COUNTBLANK(OFFSET(A$1,,,SUMPRODUCT(MAX(ROW(E$2:E353)*(E353=E$2:E353)))))-COUNTBLANK(OFFSET(A$1,,,SUMPRODUCT(MAX(ROW(E$1:E352)*(E2=E$1:E352))))))</f>
        <v>0</v>
      </c>
      <c r="K353" s="25" t="str">
        <f ca="1">IF(OR(E353="",E353="!!!",F353="NEW"),"",INDEX(J$1:J352,SUMPRODUCT(MAX(ROW(E$1:E352)*(E353=E$1:E352)))))</f>
        <v/>
      </c>
      <c r="L353" s="26"/>
    </row>
    <row r="354" spans="1:12" x14ac:dyDescent="0.3">
      <c r="A354" t="s">
        <v>272</v>
      </c>
      <c r="E354" s="21" t="str">
        <f t="shared" si="10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11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273</v>
      </c>
      <c r="E355" s="21" t="str">
        <f t="shared" si="10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11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274</v>
      </c>
      <c r="E356" s="21" t="str">
        <f t="shared" si="10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11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67</v>
      </c>
      <c r="E357" s="21" t="str">
        <f t="shared" si="10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11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269</v>
      </c>
      <c r="E358" s="21" t="str">
        <f t="shared" si="10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11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275</v>
      </c>
      <c r="B359" s="20" t="s">
        <v>161</v>
      </c>
      <c r="C359" s="20" t="s">
        <v>42</v>
      </c>
      <c r="D359" s="20" t="s">
        <v>37</v>
      </c>
      <c r="E359" s="21"/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11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 t="s">
        <v>455</v>
      </c>
    </row>
    <row r="360" spans="1:12" x14ac:dyDescent="0.3">
      <c r="A360" t="s">
        <v>276</v>
      </c>
      <c r="E360" s="21" t="str">
        <f t="shared" si="10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11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102</v>
      </c>
      <c r="B361" s="20" t="s">
        <v>109</v>
      </c>
      <c r="C361" s="20" t="s">
        <v>36</v>
      </c>
      <c r="D361" s="20" t="s">
        <v>37</v>
      </c>
      <c r="E361" s="21" t="s">
        <v>420</v>
      </c>
      <c r="F361" s="22" t="str">
        <f>IF(OR(E361="",E361="!!!"),"",IF(NOT(ISNA(VLOOKUP(E361,E$1:E360,1,FALSE()))),"OLD",IF(AND(E361&lt;&gt;"",E361&lt;&gt;"!!!"),"NEW","")))</f>
        <v>OLD</v>
      </c>
      <c r="G361" s="23" t="str">
        <f ca="1"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?IN_FOCUS</v>
      </c>
      <c r="H361" s="24" t="str">
        <f t="shared" ca="1" si="11"/>
        <v/>
      </c>
      <c r="I361" s="25" t="str">
        <f>IF(OR(E361="",E361="!!!",F361="NEW"),"",INDEX(B$2:B360,-1+SUMPRODUCT(MAX(ROW(E$2:E360)*(E361=E$2:E360)))))</f>
        <v>SBJ_6</v>
      </c>
      <c r="J361" s="25">
        <f ca="1">IF(OR(E361="",E361="!!!",F361="NEW"),"",COUNTBLANK(OFFSET(A$1,,,SUMPRODUCT(MAX(ROW(E$2:E361)*(E361=E$2:E361)))))-COUNTBLANK(OFFSET(A$1,,,SUMPRODUCT(MAX(ROW(E$1:E360)*(E2=E$1:E360))))))</f>
        <v>0</v>
      </c>
      <c r="K361" s="25">
        <f ca="1">IF(OR(E361="",E361="!!!",F361="NEW"),"",INDEX(J$1:J360,SUMPRODUCT(MAX(ROW(E$1:E360)*(E361=E$1:E360)))))</f>
        <v>0</v>
      </c>
      <c r="L361" s="26"/>
    </row>
    <row r="362" spans="1:12" x14ac:dyDescent="0.3">
      <c r="A362" t="s">
        <v>72</v>
      </c>
      <c r="E362" s="21" t="str">
        <f t="shared" si="10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11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127</v>
      </c>
      <c r="B363" s="20" t="s">
        <v>57</v>
      </c>
      <c r="C363" s="20" t="s">
        <v>100</v>
      </c>
      <c r="D363" s="20" t="s">
        <v>37</v>
      </c>
      <c r="E363" s="21" t="s">
        <v>420</v>
      </c>
      <c r="F363" s="22" t="str">
        <f>IF(OR(E363="",E363="!!!"),"",IF(NOT(ISNA(VLOOKUP(E363,E$1:E362,1,FALSE()))),"OLD",IF(AND(E363&lt;&gt;"",E363&lt;&gt;"!!!"),"NEW","")))</f>
        <v>OLD</v>
      </c>
      <c r="G363" s="23" t="str">
        <f ca="1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?IN_FOCUS</v>
      </c>
      <c r="H363" s="24" t="str">
        <f t="shared" ca="1" si="11"/>
        <v/>
      </c>
      <c r="I363" s="25" t="str">
        <f>IF(OR(E363="",E363="!!!",F363="NEW"),"",INDEX(B$2:B362,-1+SUMPRODUCT(MAX(ROW(E$2:E362)*(E363=E$2:E362)))))</f>
        <v>SBJ_4</v>
      </c>
      <c r="J363" s="25">
        <f ca="1">IF(OR(E363="",E363="!!!",F363="NEW"),"",COUNTBLANK(OFFSET(A$1,,,SUMPRODUCT(MAX(ROW(E$2:E363)*(E363=E$2:E363)))))-COUNTBLANK(OFFSET(A$1,,,SUMPRODUCT(MAX(ROW(E$1:E362)*(E2=E$1:E362))))))</f>
        <v>0</v>
      </c>
      <c r="K363" s="25">
        <f ca="1">IF(OR(E363="",E363="!!!",F363="NEW"),"",INDEX(J$1:J362,SUMPRODUCT(MAX(ROW(E$1:E362)*(E363=E$1:E362)))))</f>
        <v>0</v>
      </c>
      <c r="L363" s="26"/>
    </row>
    <row r="364" spans="1:12" x14ac:dyDescent="0.3">
      <c r="A364" t="s">
        <v>277</v>
      </c>
      <c r="B364" s="20" t="s">
        <v>56</v>
      </c>
      <c r="C364" s="20" t="s">
        <v>62</v>
      </c>
      <c r="E364" s="21" t="s">
        <v>491</v>
      </c>
      <c r="F364" s="22" t="str">
        <f>IF(OR(E364="",E364="!!!"),"",IF(NOT(ISNA(VLOOKUP(E364,E$1:E363,1,FALSE()))),"OLD",IF(AND(E364&lt;&gt;"",E364&lt;&gt;"!!!"),"NEW","")))</f>
        <v>NEW</v>
      </c>
      <c r="G364" s="23" t="str">
        <f ca="1"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?REFERENTIAL</v>
      </c>
      <c r="H364" s="24" t="str">
        <f t="shared" ca="1" si="11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 t="s">
        <v>455</v>
      </c>
    </row>
    <row r="365" spans="1:12" x14ac:dyDescent="0.3">
      <c r="A365" t="s">
        <v>60</v>
      </c>
      <c r="E365" s="21" t="str">
        <f t="shared" si="10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11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79</v>
      </c>
      <c r="E366" s="21" t="str">
        <f t="shared" si="10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11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278</v>
      </c>
      <c r="E367" s="21" t="str">
        <f t="shared" si="10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11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279</v>
      </c>
      <c r="B368" s="20" t="s">
        <v>56</v>
      </c>
      <c r="C368" s="20" t="s">
        <v>42</v>
      </c>
      <c r="D368" s="20" t="s">
        <v>37</v>
      </c>
      <c r="E368" s="21" t="s">
        <v>456</v>
      </c>
      <c r="F368" s="22" t="str">
        <f>IF(OR(E368="",E368="!!!"),"",IF(NOT(ISNA(VLOOKUP(E368,E$1:E367,1,FALSE()))),"OLD",IF(AND(E368&lt;&gt;"",E368&lt;&gt;"!!!"),"NEW","")))</f>
        <v>NEW</v>
      </c>
      <c r="G368" s="23" t="str">
        <f ca="1"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?REFERENTIAL</v>
      </c>
      <c r="H368" s="24" t="str">
        <f t="shared" ca="1" si="11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280</v>
      </c>
      <c r="E369" s="21" t="str">
        <f t="shared" si="10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11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281</v>
      </c>
      <c r="E370" s="21" t="str">
        <f t="shared" si="10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11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184</v>
      </c>
      <c r="E371" s="21" t="s">
        <v>459</v>
      </c>
      <c r="F371" s="22" t="str">
        <f>IF(OR(E371="",E371="!!!"),"",IF(NOT(ISNA(VLOOKUP(E371,E$1:E370,1,FALSE()))),"OLD",IF(AND(E371&lt;&gt;"",E371&lt;&gt;"!!!"),"NEW","")))</f>
        <v>NEW</v>
      </c>
      <c r="G371" s="23" t="str">
        <f ca="1"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?REFERENTIAL</v>
      </c>
      <c r="H371" s="24" t="str">
        <f t="shared" ca="1" si="11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 t="s">
        <v>460</v>
      </c>
    </row>
    <row r="372" spans="1:12" x14ac:dyDescent="0.3">
      <c r="A372" t="s">
        <v>282</v>
      </c>
      <c r="E372" s="21" t="str">
        <f t="shared" si="10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11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47</v>
      </c>
      <c r="E373" s="21" t="str">
        <f t="shared" si="10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11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283</v>
      </c>
      <c r="E374" s="21" t="str">
        <f t="shared" si="10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11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45</v>
      </c>
      <c r="E375" s="21" t="str">
        <f t="shared" si="10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11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284</v>
      </c>
      <c r="E376" s="21" t="str">
        <f t="shared" si="10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11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47</v>
      </c>
      <c r="E377" s="21" t="str">
        <f t="shared" si="10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11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197</v>
      </c>
      <c r="E378" s="21" t="str">
        <f t="shared" si="10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11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285</v>
      </c>
      <c r="B379" s="20" t="s">
        <v>173</v>
      </c>
      <c r="C379" s="20" t="s">
        <v>105</v>
      </c>
      <c r="D379" s="20" t="s">
        <v>37</v>
      </c>
      <c r="E379" s="21"/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11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 t="s">
        <v>455</v>
      </c>
    </row>
    <row r="380" spans="1:12" x14ac:dyDescent="0.3">
      <c r="A380" t="s">
        <v>286</v>
      </c>
      <c r="B380" s="20" t="s">
        <v>57</v>
      </c>
      <c r="C380" s="20" t="s">
        <v>62</v>
      </c>
      <c r="E380" s="21" t="str">
        <f t="shared" si="10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11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63</v>
      </c>
      <c r="E381" s="21" t="str">
        <f t="shared" si="10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11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287</v>
      </c>
      <c r="E382" s="21" t="str">
        <f t="shared" si="10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11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175</v>
      </c>
      <c r="B383" s="20" t="s">
        <v>173</v>
      </c>
      <c r="C383" s="20" t="s">
        <v>62</v>
      </c>
      <c r="E383" s="21" t="s">
        <v>448</v>
      </c>
      <c r="F383" s="22" t="str">
        <f>IF(OR(E383="",E383="!!!"),"",IF(NOT(ISNA(VLOOKUP(E383,E$1:E382,1,FALSE()))),"OLD",IF(AND(E383&lt;&gt;"",E383&lt;&gt;"!!!"),"NEW","")))</f>
        <v>OLD</v>
      </c>
      <c r="G383" s="23" t="str">
        <f ca="1"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?IN_FOCUS</v>
      </c>
      <c r="H383" s="24" t="str">
        <f t="shared" ca="1" si="11"/>
        <v/>
      </c>
      <c r="I383" s="25" t="str">
        <f>IF(OR(E383="",E383="!!!",F383="NEW"),"",INDEX(B$2:B382,-1+SUMPRODUCT(MAX(ROW(E$2:E382)*(E383=E$2:E382)))))</f>
        <v>SBJ_6</v>
      </c>
      <c r="J383" s="25">
        <f ca="1">IF(OR(E383="",E383="!!!",F383="NEW"),"",COUNTBLANK(OFFSET(A$1,,,SUMPRODUCT(MAX(ROW(E$2:E383)*(E383=E$2:E383)))))-COUNTBLANK(OFFSET(A$1,,,SUMPRODUCT(MAX(ROW(E$1:E382)*(E2=E$1:E382))))))</f>
        <v>0</v>
      </c>
      <c r="K383" s="25">
        <f ca="1">IF(OR(E383="",E383="!!!",F383="NEW"),"",INDEX(J$1:J382,SUMPRODUCT(MAX(ROW(E$1:E382)*(E383=E$1:E382)))))</f>
        <v>0</v>
      </c>
      <c r="L383" s="26"/>
    </row>
    <row r="384" spans="1:12" x14ac:dyDescent="0.3">
      <c r="A384" t="s">
        <v>67</v>
      </c>
      <c r="E384" s="21" t="str">
        <f t="shared" si="10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11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288</v>
      </c>
      <c r="B385" s="20" t="s">
        <v>155</v>
      </c>
      <c r="C385" s="20" t="s">
        <v>42</v>
      </c>
      <c r="D385" s="20" t="s">
        <v>37</v>
      </c>
      <c r="E385" s="21"/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11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 t="s">
        <v>458</v>
      </c>
    </row>
    <row r="386" spans="1:12" x14ac:dyDescent="0.3">
      <c r="A386" t="s">
        <v>289</v>
      </c>
      <c r="E386" s="21"/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11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290</v>
      </c>
      <c r="E387" s="21" t="str">
        <f t="shared" ref="E387:E404" si="12">IF(D387="?OLD","!!!","")</f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ref="H387:H404" ca="1" si="13">IF(J387&lt;&gt;1,"",IF(I387="SBJ","CB","?"))</f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291</v>
      </c>
      <c r="B388" s="20" t="s">
        <v>173</v>
      </c>
      <c r="C388" s="20" t="s">
        <v>42</v>
      </c>
      <c r="D388" s="20" t="s">
        <v>37</v>
      </c>
      <c r="E388" s="21" t="s">
        <v>457</v>
      </c>
      <c r="F388" s="22" t="str">
        <f>IF(OR(E388="",E388="!!!"),"",IF(NOT(ISNA(VLOOKUP(E388,E$1:E387,1,FALSE()))),"OLD",IF(AND(E388&lt;&gt;"",E388&lt;&gt;"!!!"),"NEW","")))</f>
        <v>NEW</v>
      </c>
      <c r="G388" s="23" t="str">
        <f ca="1"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?REFERENTIAL</v>
      </c>
      <c r="H388" s="24" t="str">
        <f t="shared" ca="1" si="13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292</v>
      </c>
      <c r="E389" s="21" t="str">
        <f t="shared" si="12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13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293</v>
      </c>
      <c r="E390" s="21" t="str">
        <f t="shared" si="12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13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102</v>
      </c>
      <c r="B391" s="20" t="s">
        <v>156</v>
      </c>
      <c r="C391" s="20" t="s">
        <v>36</v>
      </c>
      <c r="D391" s="20" t="s">
        <v>37</v>
      </c>
      <c r="E391" s="21" t="s">
        <v>420</v>
      </c>
      <c r="F391" s="22" t="str">
        <f>IF(OR(E391="",E391="!!!"),"",IF(NOT(ISNA(VLOOKUP(E391,E$1:E390,1,FALSE()))),"OLD",IF(AND(E391&lt;&gt;"",E391&lt;&gt;"!!!"),"NEW","")))</f>
        <v>OLD</v>
      </c>
      <c r="G391" s="23" t="str">
        <f ca="1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?IN_FOCUS</v>
      </c>
      <c r="H391" s="24" t="str">
        <f t="shared" ca="1" si="13"/>
        <v/>
      </c>
      <c r="I391" s="25" t="str">
        <f>IF(OR(E391="",E391="!!!",F391="NEW"),"",INDEX(B$2:B390,-1+SUMPRODUCT(MAX(ROW(E$2:E390)*(E391=E$2:E390)))))</f>
        <v>other_5</v>
      </c>
      <c r="J391" s="25">
        <f ca="1">IF(OR(E391="",E391="!!!",F391="NEW"),"",COUNTBLANK(OFFSET(A$1,,,SUMPRODUCT(MAX(ROW(E$2:E391)*(E391=E$2:E391)))))-COUNTBLANK(OFFSET(A$1,,,SUMPRODUCT(MAX(ROW(E$1:E390)*(E2=E$1:E390))))))</f>
        <v>0</v>
      </c>
      <c r="K391" s="25">
        <f ca="1">IF(OR(E391="",E391="!!!",F391="NEW"),"",INDEX(J$1:J390,SUMPRODUCT(MAX(ROW(E$1:E390)*(E391=E$1:E390)))))</f>
        <v>0</v>
      </c>
      <c r="L391" s="26"/>
    </row>
    <row r="392" spans="1:12" x14ac:dyDescent="0.3">
      <c r="A392" t="s">
        <v>154</v>
      </c>
      <c r="E392" s="21" t="str">
        <f t="shared" si="12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13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294</v>
      </c>
      <c r="E393" s="21" t="str">
        <f t="shared" si="12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13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ht="28.8" x14ac:dyDescent="0.3">
      <c r="A394" t="s">
        <v>295</v>
      </c>
      <c r="B394" s="20" t="s">
        <v>155</v>
      </c>
      <c r="C394" s="20" t="s">
        <v>78</v>
      </c>
      <c r="D394" s="20" t="s">
        <v>37</v>
      </c>
      <c r="E394" s="21" t="s">
        <v>463</v>
      </c>
      <c r="F394" s="22" t="str">
        <f>IF(OR(E394="",E394="!!!"),"",IF(NOT(ISNA(VLOOKUP(E394,E$1:E393,1,FALSE()))),"OLD",IF(AND(E394&lt;&gt;"",E394&lt;&gt;"!!!"),"NEW","")))</f>
        <v>NEW</v>
      </c>
      <c r="G394" s="23" t="str">
        <f ca="1"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?REFERENTIAL</v>
      </c>
      <c r="H394" s="24" t="str">
        <f t="shared" ca="1" si="13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 t="s">
        <v>466</v>
      </c>
    </row>
    <row r="395" spans="1:12" x14ac:dyDescent="0.3">
      <c r="A395" t="s">
        <v>148</v>
      </c>
      <c r="E395" s="21" t="str">
        <f t="shared" si="12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13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296</v>
      </c>
      <c r="B396" s="20" t="s">
        <v>173</v>
      </c>
      <c r="C396" s="20" t="s">
        <v>78</v>
      </c>
      <c r="D396" s="20" t="s">
        <v>37</v>
      </c>
      <c r="E396" s="21" t="s">
        <v>462</v>
      </c>
      <c r="F396" s="22" t="str">
        <f>IF(OR(E396="",E396="!!!"),"",IF(NOT(ISNA(VLOOKUP(E396,E$1:E395,1,FALSE()))),"OLD",IF(AND(E396&lt;&gt;"",E396&lt;&gt;"!!!"),"NEW","")))</f>
        <v>NEW</v>
      </c>
      <c r="G396" s="23" t="str">
        <f ca="1"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?REFERENTIAL</v>
      </c>
      <c r="H396" s="24" t="str">
        <f t="shared" ca="1" si="13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297</v>
      </c>
      <c r="E397" s="21" t="str">
        <f t="shared" si="12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13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236</v>
      </c>
      <c r="B398" s="20" t="s">
        <v>224</v>
      </c>
      <c r="C398" s="20" t="s">
        <v>78</v>
      </c>
      <c r="D398" s="20" t="s">
        <v>37</v>
      </c>
      <c r="E398" s="21" t="s">
        <v>449</v>
      </c>
      <c r="F398" s="22" t="str">
        <f>IF(OR(E398="",E398="!!!"),"",IF(NOT(ISNA(VLOOKUP(E398,E$1:E397,1,FALSE()))),"OLD",IF(AND(E398&lt;&gt;"",E398&lt;&gt;"!!!"),"NEW","")))</f>
        <v>OLD</v>
      </c>
      <c r="G398" s="23" t="str">
        <f ca="1"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?IN_FOCUS</v>
      </c>
      <c r="H398" s="24" t="str">
        <f t="shared" ca="1" si="13"/>
        <v/>
      </c>
      <c r="I398" s="25" t="str">
        <f>IF(OR(E398="",E398="!!!",F398="NEW"),"",INDEX(B$2:B397,-1+SUMPRODUCT(MAX(ROW(E$2:E397)*(E398=E$2:E397)))))</f>
        <v>other_8</v>
      </c>
      <c r="J398" s="25">
        <f ca="1">IF(OR(E398="",E398="!!!",F398="NEW"),"",COUNTBLANK(OFFSET(A$1,,,SUMPRODUCT(MAX(ROW(E$2:E398)*(E398=E$2:E398)))))-COUNTBLANK(OFFSET(A$1,,,SUMPRODUCT(MAX(ROW(E$1:E397)*(E2=E$1:E397))))))</f>
        <v>0</v>
      </c>
      <c r="K398" s="25">
        <f ca="1">IF(OR(E398="",E398="!!!",F398="NEW"),"",INDEX(J$1:J397,SUMPRODUCT(MAX(ROW(E$1:E397)*(E398=E$1:E397)))))</f>
        <v>0</v>
      </c>
      <c r="L398" s="26"/>
    </row>
    <row r="399" spans="1:12" x14ac:dyDescent="0.3">
      <c r="A399" t="s">
        <v>47</v>
      </c>
      <c r="E399" s="21" t="str">
        <f t="shared" si="12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13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298</v>
      </c>
      <c r="E400" s="21" t="str">
        <f t="shared" si="12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13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154</v>
      </c>
      <c r="E401" s="21" t="str">
        <f t="shared" si="12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13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299</v>
      </c>
      <c r="B402" s="20" t="s">
        <v>155</v>
      </c>
      <c r="C402" s="20" t="s">
        <v>78</v>
      </c>
      <c r="D402" s="20" t="s">
        <v>37</v>
      </c>
      <c r="E402" s="21"/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13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 t="s">
        <v>426</v>
      </c>
    </row>
    <row r="403" spans="1:12" x14ac:dyDescent="0.3">
      <c r="A403" t="s">
        <v>300</v>
      </c>
      <c r="B403" s="20" t="s">
        <v>173</v>
      </c>
      <c r="C403" s="20" t="s">
        <v>42</v>
      </c>
      <c r="D403" s="20" t="s">
        <v>37</v>
      </c>
      <c r="E403" s="21" t="s">
        <v>461</v>
      </c>
      <c r="F403" s="22" t="str">
        <f>IF(OR(E403="",E403="!!!"),"",IF(NOT(ISNA(VLOOKUP(E403,E$1:E402,1,FALSE()))),"OLD",IF(AND(E403&lt;&gt;"",E403&lt;&gt;"!!!"),"NEW","")))</f>
        <v>NEW</v>
      </c>
      <c r="G403" s="23" t="str">
        <f ca="1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?REFERENTIAL</v>
      </c>
      <c r="H403" s="24" t="str">
        <f t="shared" ca="1" si="13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47</v>
      </c>
      <c r="E404" s="21" t="str">
        <f t="shared" si="12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13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6" spans="1:12" x14ac:dyDescent="0.3">
      <c r="A406" t="s">
        <v>301</v>
      </c>
      <c r="E406" s="21" t="str">
        <f>IF(D406="?OLD","!!!","")</f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ca="1">IF(J406&lt;&gt;1,"",IF(I406="SBJ","CB","?"))</f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302</v>
      </c>
    </row>
    <row r="408" spans="1:12" x14ac:dyDescent="0.3">
      <c r="A408" t="s">
        <v>124</v>
      </c>
      <c r="E408" s="21" t="str">
        <f t="shared" ref="E408:E471" si="14">IF(D408="?OLD","!!!","")</f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ref="H408:H471" ca="1" si="15">IF(J408&lt;&gt;1,"",IF(I408="SBJ","CB","?"))</f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303</v>
      </c>
      <c r="E409" s="21" t="str">
        <f t="shared" si="14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15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304</v>
      </c>
      <c r="E410" s="21" t="str">
        <f t="shared" si="14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15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47</v>
      </c>
      <c r="E411" s="21" t="str">
        <f t="shared" si="14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15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305</v>
      </c>
      <c r="B412" s="20" t="s">
        <v>306</v>
      </c>
      <c r="C412" s="20" t="s">
        <v>105</v>
      </c>
      <c r="D412" s="20" t="s">
        <v>37</v>
      </c>
      <c r="E412" s="21"/>
      <c r="F412" s="22"/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15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 t="s">
        <v>426</v>
      </c>
    </row>
    <row r="413" spans="1:12" x14ac:dyDescent="0.3">
      <c r="A413" t="s">
        <v>307</v>
      </c>
      <c r="E413" s="21" t="str">
        <f t="shared" si="14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15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308</v>
      </c>
      <c r="B414" s="20" t="s">
        <v>309</v>
      </c>
      <c r="C414" s="20" t="s">
        <v>62</v>
      </c>
      <c r="E414" s="21"/>
      <c r="F414" s="22" t="s">
        <v>436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15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 t="s">
        <v>438</v>
      </c>
    </row>
    <row r="415" spans="1:12" x14ac:dyDescent="0.3">
      <c r="A415" t="s">
        <v>310</v>
      </c>
      <c r="E415" s="21" t="str">
        <f t="shared" si="14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15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311</v>
      </c>
      <c r="E416" s="21" t="str">
        <f t="shared" si="14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15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312</v>
      </c>
      <c r="B417" s="20" t="s">
        <v>313</v>
      </c>
      <c r="C417" s="20" t="s">
        <v>62</v>
      </c>
      <c r="E417" s="21" t="str">
        <f t="shared" si="14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15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314</v>
      </c>
      <c r="E418" s="21" t="str">
        <f t="shared" si="14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15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47</v>
      </c>
      <c r="E419" s="21" t="str">
        <f t="shared" si="14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15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45</v>
      </c>
      <c r="E420" s="21" t="str">
        <f t="shared" si="14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15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315</v>
      </c>
      <c r="E421" s="21" t="str">
        <f t="shared" si="14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15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316</v>
      </c>
      <c r="E422" s="21" t="str">
        <f t="shared" si="14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15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73</v>
      </c>
      <c r="E423" s="21" t="str">
        <f t="shared" si="14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15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190</v>
      </c>
      <c r="B424" s="20" t="s">
        <v>317</v>
      </c>
      <c r="C424" s="20" t="s">
        <v>54</v>
      </c>
      <c r="E424" s="21"/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15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318</v>
      </c>
      <c r="E425" s="21" t="str">
        <f t="shared" si="14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15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67</v>
      </c>
      <c r="E426" s="21" t="str">
        <f t="shared" si="14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15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ht="43.2" x14ac:dyDescent="0.3">
      <c r="A427" t="s">
        <v>319</v>
      </c>
      <c r="B427" s="20" t="s">
        <v>320</v>
      </c>
      <c r="C427" s="20" t="s">
        <v>105</v>
      </c>
      <c r="D427" s="20" t="s">
        <v>37</v>
      </c>
      <c r="E427" s="21" t="s">
        <v>467</v>
      </c>
      <c r="F427" s="22" t="s">
        <v>475</v>
      </c>
      <c r="G427" s="23" t="str">
        <f ca="1"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?REFERENTIAL</v>
      </c>
      <c r="H427" s="24" t="str">
        <f t="shared" ca="1" si="15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 t="s">
        <v>478</v>
      </c>
    </row>
    <row r="428" spans="1:12" x14ac:dyDescent="0.3">
      <c r="A428" t="s">
        <v>217</v>
      </c>
      <c r="E428" s="21" t="str">
        <f t="shared" si="14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15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321</v>
      </c>
      <c r="E429" s="21" t="str">
        <f t="shared" si="14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15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16</v>
      </c>
      <c r="E430" s="21" t="str">
        <f t="shared" si="14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15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322</v>
      </c>
      <c r="B431" s="20" t="s">
        <v>323</v>
      </c>
      <c r="C431" s="20" t="s">
        <v>62</v>
      </c>
      <c r="E431" s="21" t="str">
        <f t="shared" si="14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15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47</v>
      </c>
      <c r="E432" s="21" t="str">
        <f t="shared" si="14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15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124</v>
      </c>
      <c r="E433" s="21" t="str">
        <f t="shared" si="14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15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184</v>
      </c>
      <c r="B434" s="20" t="s">
        <v>324</v>
      </c>
      <c r="C434" s="20" t="s">
        <v>62</v>
      </c>
      <c r="E434" s="21" t="s">
        <v>459</v>
      </c>
      <c r="F434" s="22" t="str">
        <f>IF(OR(E434="",E434="!!!"),"",IF(NOT(ISNA(VLOOKUP(E434,E$1:E433,1,FALSE()))),"OLD",IF(AND(E434&lt;&gt;"",E434&lt;&gt;"!!!"),"NEW","")))</f>
        <v>OLD</v>
      </c>
      <c r="G434" s="23" t="str">
        <f ca="1"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?IN_FOCUS</v>
      </c>
      <c r="H434" s="24" t="str">
        <f t="shared" ca="1" si="15"/>
        <v/>
      </c>
      <c r="I434" s="25">
        <f>IF(OR(E434="",E434="!!!",F434="NEW"),"",INDEX(B$2:B433,-1+SUMPRODUCT(MAX(ROW(E$2:E433)*(E434=E$2:E433)))))</f>
        <v>0</v>
      </c>
      <c r="J434" s="25">
        <f ca="1">IF(OR(E434="",E434="!!!",F434="NEW"),"",COUNTBLANK(OFFSET(A$1,,,SUMPRODUCT(MAX(ROW(E$2:E434)*(E434=E$2:E434)))))-COUNTBLANK(OFFSET(A$1,,,SUMPRODUCT(MAX(ROW(E$1:E433)*(E2=E$1:E433))))))</f>
        <v>0</v>
      </c>
      <c r="K434" s="25" t="str">
        <f ca="1">IF(OR(E434="",E434="!!!",F434="NEW"),"",INDEX(J$1:J433,SUMPRODUCT(MAX(ROW(E$1:E433)*(E434=E$1:E433)))))</f>
        <v/>
      </c>
      <c r="L434" s="26"/>
    </row>
    <row r="435" spans="1:12" x14ac:dyDescent="0.3">
      <c r="A435" t="s">
        <v>238</v>
      </c>
      <c r="E435" s="21" t="str">
        <f t="shared" si="14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15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325</v>
      </c>
      <c r="B436" s="20" t="s">
        <v>313</v>
      </c>
      <c r="C436" s="20" t="s">
        <v>105</v>
      </c>
      <c r="D436" s="20" t="s">
        <v>37</v>
      </c>
      <c r="E436" s="21"/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15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 t="s">
        <v>426</v>
      </c>
    </row>
    <row r="437" spans="1:12" x14ac:dyDescent="0.3">
      <c r="A437" t="s">
        <v>326</v>
      </c>
      <c r="B437" s="20" t="s">
        <v>327</v>
      </c>
      <c r="C437" s="20" t="s">
        <v>62</v>
      </c>
      <c r="E437" s="21"/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15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226</v>
      </c>
      <c r="E438" s="21" t="str">
        <f t="shared" si="14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15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47</v>
      </c>
      <c r="E439" s="21" t="str">
        <f t="shared" si="14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15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154</v>
      </c>
      <c r="B440" s="20" t="s">
        <v>320</v>
      </c>
      <c r="E440" s="21"/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15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76</v>
      </c>
      <c r="E441" s="21" t="str">
        <f t="shared" si="14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15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232</v>
      </c>
      <c r="B442" s="20" t="s">
        <v>324</v>
      </c>
      <c r="C442" s="20" t="s">
        <v>78</v>
      </c>
      <c r="D442" s="20" t="s">
        <v>37</v>
      </c>
      <c r="E442" s="21" t="s">
        <v>464</v>
      </c>
      <c r="F442" s="22" t="str">
        <f>IF(OR(E442="",E442="!!!"),"",IF(NOT(ISNA(VLOOKUP(E442,E$1:E441,1,FALSE()))),"OLD",IF(AND(E442&lt;&gt;"",E442&lt;&gt;"!!!"),"NEW","")))</f>
        <v>NEW</v>
      </c>
      <c r="G442" s="23" t="str">
        <f ca="1"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?REFERENTIAL</v>
      </c>
      <c r="H442" s="24" t="str">
        <f t="shared" ca="1" si="15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328</v>
      </c>
      <c r="E443" s="21"/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15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329</v>
      </c>
      <c r="E444" s="21" t="str">
        <f t="shared" si="14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15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47</v>
      </c>
      <c r="E445" s="21" t="str">
        <f t="shared" si="14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15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330</v>
      </c>
      <c r="E446" s="21"/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15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204</v>
      </c>
      <c r="B447" s="20" t="s">
        <v>309</v>
      </c>
      <c r="C447" s="20" t="s">
        <v>36</v>
      </c>
      <c r="D447" s="20" t="s">
        <v>37</v>
      </c>
      <c r="E447" s="21"/>
      <c r="F447" s="22" t="s">
        <v>442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15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154</v>
      </c>
      <c r="E448" s="21" t="str">
        <f t="shared" si="14"/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15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296</v>
      </c>
      <c r="B449" s="20" t="s">
        <v>331</v>
      </c>
      <c r="C449" s="20" t="s">
        <v>78</v>
      </c>
      <c r="D449" s="20" t="s">
        <v>37</v>
      </c>
      <c r="E449" s="21" t="s">
        <v>462</v>
      </c>
      <c r="F449" s="22" t="str">
        <f>IF(OR(E449="",E449="!!!"),"",IF(NOT(ISNA(VLOOKUP(E449,E$1:E448,1,FALSE()))),"OLD",IF(AND(E449&lt;&gt;"",E449&lt;&gt;"!!!"),"NEW","")))</f>
        <v>OLD</v>
      </c>
      <c r="G449" s="23" t="str">
        <f ca="1"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?IN_FOCUS</v>
      </c>
      <c r="H449" s="24" t="str">
        <f t="shared" ca="1" si="15"/>
        <v/>
      </c>
      <c r="I449" s="25" t="str">
        <f>IF(OR(E449="",E449="!!!",F449="NEW"),"",INDEX(B$2:B448,-1+SUMPRODUCT(MAX(ROW(E$2:E448)*(E449=E$2:E448)))))</f>
        <v>other_6</v>
      </c>
      <c r="J449" s="25">
        <f ca="1">IF(OR(E449="",E449="!!!",F449="NEW"),"",COUNTBLANK(OFFSET(A$1,,,SUMPRODUCT(MAX(ROW(E$2:E449)*(E449=E$2:E449)))))-COUNTBLANK(OFFSET(A$1,,,SUMPRODUCT(MAX(ROW(E$1:E448)*(E2=E$1:E448))))))</f>
        <v>0</v>
      </c>
      <c r="K449" s="25" t="str">
        <f ca="1">IF(OR(E449="",E449="!!!",F449="NEW"),"",INDEX(J$1:J448,SUMPRODUCT(MAX(ROW(E$1:E448)*(E449=E$1:E448)))))</f>
        <v/>
      </c>
      <c r="L449" s="26"/>
    </row>
    <row r="450" spans="1:12" x14ac:dyDescent="0.3">
      <c r="A450" t="s">
        <v>297</v>
      </c>
      <c r="E450" s="21" t="str">
        <f t="shared" si="14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15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236</v>
      </c>
      <c r="B451" s="20" t="s">
        <v>306</v>
      </c>
      <c r="C451" s="20" t="s">
        <v>78</v>
      </c>
      <c r="D451" s="20" t="s">
        <v>37</v>
      </c>
      <c r="E451" s="21" t="s">
        <v>449</v>
      </c>
      <c r="F451" s="22" t="str">
        <f>IF(OR(E451="",E451="!!!"),"",IF(NOT(ISNA(VLOOKUP(E451,E$1:E450,1,FALSE()))),"OLD",IF(AND(E451&lt;&gt;"",E451&lt;&gt;"!!!"),"NEW","")))</f>
        <v>OLD</v>
      </c>
      <c r="G451" s="23" t="str">
        <f ca="1"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?IN_FOCUS</v>
      </c>
      <c r="H451" s="24" t="str">
        <f t="shared" ca="1" si="15"/>
        <v/>
      </c>
      <c r="I451" s="25" t="str">
        <f>IF(OR(E451="",E451="!!!",F451="NEW"),"",INDEX(B$2:B450,-1+SUMPRODUCT(MAX(ROW(E$2:E450)*(E451=E$2:E450)))))</f>
        <v>other_7</v>
      </c>
      <c r="J451" s="25">
        <f ca="1">IF(OR(E451="",E451="!!!",F451="NEW"),"",COUNTBLANK(OFFSET(A$1,,,SUMPRODUCT(MAX(ROW(E$2:E451)*(E451=E$2:E451)))))-COUNTBLANK(OFFSET(A$1,,,SUMPRODUCT(MAX(ROW(E$1:E450)*(E2=E$1:E450))))))</f>
        <v>0</v>
      </c>
      <c r="K451" s="25">
        <f ca="1">IF(OR(E451="",E451="!!!",F451="NEW"),"",INDEX(J$1:J450,SUMPRODUCT(MAX(ROW(E$1:E450)*(E451=E$1:E450)))))</f>
        <v>0</v>
      </c>
      <c r="L451" s="26"/>
    </row>
    <row r="452" spans="1:12" x14ac:dyDescent="0.3">
      <c r="A452" t="s">
        <v>332</v>
      </c>
      <c r="E452" s="21" t="str">
        <f t="shared" si="14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15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333</v>
      </c>
      <c r="E453" s="21" t="str">
        <f t="shared" si="14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15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67</v>
      </c>
      <c r="E454" s="21" t="str">
        <f t="shared" si="14"/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15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334</v>
      </c>
      <c r="B455" s="20" t="s">
        <v>335</v>
      </c>
      <c r="C455" s="20" t="s">
        <v>42</v>
      </c>
      <c r="D455" s="20" t="s">
        <v>37</v>
      </c>
      <c r="E455" s="21"/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15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 t="s">
        <v>455</v>
      </c>
    </row>
    <row r="456" spans="1:12" x14ac:dyDescent="0.3">
      <c r="A456" t="s">
        <v>336</v>
      </c>
      <c r="E456" s="21" t="str">
        <f t="shared" si="14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15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47</v>
      </c>
      <c r="E457" s="21" t="str">
        <f t="shared" si="14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15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135</v>
      </c>
      <c r="B458" s="20" t="s">
        <v>337</v>
      </c>
      <c r="C458" s="20" t="s">
        <v>105</v>
      </c>
      <c r="D458" s="20" t="s">
        <v>37</v>
      </c>
      <c r="E458" s="21" t="s">
        <v>467</v>
      </c>
      <c r="F458" s="22" t="str">
        <f>IF(OR(E458="",E458="!!!"),"",IF(NOT(ISNA(VLOOKUP(E458,E$1:E457,1,FALSE()))),"OLD",IF(AND(E458&lt;&gt;"",E458&lt;&gt;"!!!"),"NEW","")))</f>
        <v>OLD</v>
      </c>
      <c r="G458" s="23" t="str">
        <f ca="1"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?IN_FOCUS</v>
      </c>
      <c r="H458" s="24" t="str">
        <f t="shared" ca="1" si="15"/>
        <v/>
      </c>
      <c r="I458" s="25" t="str">
        <f>IF(OR(E458="",E458="!!!",F458="NEW"),"",INDEX(B$2:B457,-1+SUMPRODUCT(MAX(ROW(E$2:E457)*(E458=E$2:E457)))))</f>
        <v>SBJ_12</v>
      </c>
      <c r="J458" s="25">
        <f ca="1">IF(OR(E458="",E458="!!!",F458="NEW"),"",COUNTBLANK(OFFSET(A$1,,,SUMPRODUCT(MAX(ROW(E$2:E458)*(E458=E$2:E458)))))-COUNTBLANK(OFFSET(A$1,,,SUMPRODUCT(MAX(ROW(E$1:E457)*(E2=E$1:E457))))))</f>
        <v>0</v>
      </c>
      <c r="K458" s="25" t="str">
        <f ca="1">IF(OR(E458="",E458="!!!",F458="NEW"),"",INDEX(J$1:J457,SUMPRODUCT(MAX(ROW(E$1:E457)*(E458=E$1:E457)))))</f>
        <v/>
      </c>
      <c r="L458" s="26"/>
    </row>
    <row r="459" spans="1:12" x14ac:dyDescent="0.3">
      <c r="A459" t="s">
        <v>217</v>
      </c>
      <c r="E459" s="21" t="str">
        <f t="shared" si="14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15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338</v>
      </c>
      <c r="B460" s="20" t="s">
        <v>323</v>
      </c>
      <c r="C460" s="20" t="s">
        <v>62</v>
      </c>
      <c r="E460" s="21" t="str">
        <f t="shared" si="14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15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47</v>
      </c>
      <c r="E461" s="21" t="str">
        <f t="shared" si="14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15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124</v>
      </c>
      <c r="E462" s="21" t="str">
        <f t="shared" si="14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15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339</v>
      </c>
      <c r="E463" s="21" t="str">
        <f t="shared" si="14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15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228</v>
      </c>
      <c r="B464" s="20" t="s">
        <v>324</v>
      </c>
      <c r="C464" s="20" t="s">
        <v>62</v>
      </c>
      <c r="E464" s="21" t="s">
        <v>459</v>
      </c>
      <c r="F464" s="22" t="str">
        <f>IF(OR(E464="",E464="!!!"),"",IF(NOT(ISNA(VLOOKUP(E464,E$1:E463,1,FALSE()))),"OLD",IF(AND(E464&lt;&gt;"",E464&lt;&gt;"!!!"),"NEW","")))</f>
        <v>OLD</v>
      </c>
      <c r="G464" s="23" t="str">
        <f ca="1"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?IN_FOCUS</v>
      </c>
      <c r="H464" s="24" t="str">
        <f t="shared" ca="1" si="15"/>
        <v/>
      </c>
      <c r="I464" s="25" t="str">
        <f>IF(OR(E464="",E464="!!!",F464="NEW"),"",INDEX(B$2:B463,-1+SUMPRODUCT(MAX(ROW(E$2:E463)*(E464=E$2:E463)))))</f>
        <v>OBJ_12</v>
      </c>
      <c r="J464" s="25">
        <f ca="1">IF(OR(E464="",E464="!!!",F464="NEW"),"",COUNTBLANK(OFFSET(A$1,,,SUMPRODUCT(MAX(ROW(E$2:E464)*(E464=E$2:E464)))))-COUNTBLANK(OFFSET(A$1,,,SUMPRODUCT(MAX(ROW(E$1:E463)*(E2=E$1:E463))))))</f>
        <v>0</v>
      </c>
      <c r="K464" s="25">
        <f ca="1">IF(OR(E464="",E464="!!!",F464="NEW"),"",INDEX(J$1:J463,SUMPRODUCT(MAX(ROW(E$1:E463)*(E464=E$1:E463)))))</f>
        <v>0</v>
      </c>
      <c r="L464" s="26"/>
    </row>
    <row r="465" spans="1:12" x14ac:dyDescent="0.3">
      <c r="A465" t="s">
        <v>283</v>
      </c>
      <c r="E465" s="21" t="str">
        <f t="shared" si="14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15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45</v>
      </c>
      <c r="E466" s="21" t="str">
        <f t="shared" si="14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15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284</v>
      </c>
      <c r="E467" s="21" t="str">
        <f t="shared" si="14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15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226</v>
      </c>
      <c r="E468" s="21" t="str">
        <f t="shared" si="14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15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67</v>
      </c>
      <c r="E469" s="21" t="str">
        <f t="shared" si="14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15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112</v>
      </c>
      <c r="E470" s="21" t="str">
        <f t="shared" si="14"/>
        <v/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t="shared" ca="1" si="15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48</v>
      </c>
      <c r="E471" s="21" t="str">
        <f t="shared" si="14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15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340</v>
      </c>
      <c r="B472" s="20" t="s">
        <v>341</v>
      </c>
      <c r="C472" s="20" t="s">
        <v>54</v>
      </c>
      <c r="E472" s="21"/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ref="H472:H535" ca="1" si="16">IF(J472&lt;&gt;1,"",IF(I472="SBJ","CB","?"))</f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47</v>
      </c>
      <c r="E473" s="21" t="str">
        <f t="shared" ref="E473:E535" si="17">IF(D473="?OLD","!!!","")</f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16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76</v>
      </c>
      <c r="B474" s="20" t="s">
        <v>323</v>
      </c>
      <c r="C474" s="20" t="s">
        <v>105</v>
      </c>
      <c r="D474" s="20" t="s">
        <v>37</v>
      </c>
      <c r="E474" s="21"/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16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135</v>
      </c>
      <c r="B475" s="20" t="s">
        <v>337</v>
      </c>
      <c r="C475" s="20" t="s">
        <v>105</v>
      </c>
      <c r="D475" s="20" t="s">
        <v>37</v>
      </c>
      <c r="E475" s="21" t="s">
        <v>467</v>
      </c>
      <c r="F475" s="22" t="str">
        <f>IF(OR(E475="",E475="!!!"),"",IF(NOT(ISNA(VLOOKUP(E475,E$1:E474,1,FALSE()))),"OLD",IF(AND(E475&lt;&gt;"",E475&lt;&gt;"!!!"),"NEW","")))</f>
        <v>OLD</v>
      </c>
      <c r="G475" s="23" t="str">
        <f ca="1"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?IN_FOCUS</v>
      </c>
      <c r="H475" s="24" t="str">
        <f t="shared" ca="1" si="16"/>
        <v/>
      </c>
      <c r="I475" s="25" t="str">
        <f>IF(OR(E475="",E475="!!!",F475="NEW"),"",INDEX(B$2:B474,-1+SUMPRODUCT(MAX(ROW(E$2:E474)*(E475=E$2:E474)))))</f>
        <v>SBJ_11</v>
      </c>
      <c r="J475" s="25">
        <f ca="1">IF(OR(E475="",E475="!!!",F475="NEW"),"",COUNTBLANK(OFFSET(A$1,,,SUMPRODUCT(MAX(ROW(E$2:E475)*(E475=E$2:E475)))))-COUNTBLANK(OFFSET(A$1,,,SUMPRODUCT(MAX(ROW(E$1:E474)*(E2=E$1:E474))))))</f>
        <v>0</v>
      </c>
      <c r="K475" s="25">
        <f ca="1">IF(OR(E475="",E475="!!!",F475="NEW"),"",INDEX(J$1:J474,SUMPRODUCT(MAX(ROW(E$1:E474)*(E475=E$1:E474)))))</f>
        <v>0</v>
      </c>
      <c r="L475" s="26"/>
    </row>
    <row r="476" spans="1:12" x14ac:dyDescent="0.3">
      <c r="A476" t="s">
        <v>106</v>
      </c>
      <c r="E476" s="21" t="str">
        <f t="shared" si="17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16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342</v>
      </c>
      <c r="B477" s="20" t="s">
        <v>335</v>
      </c>
      <c r="C477" s="20" t="s">
        <v>62</v>
      </c>
      <c r="E477" s="21" t="str">
        <f t="shared" si="17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16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60</v>
      </c>
      <c r="E478" s="21" t="str">
        <f t="shared" si="17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16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79</v>
      </c>
      <c r="E479" s="21" t="str">
        <f t="shared" si="17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16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279</v>
      </c>
      <c r="B480" s="20" t="s">
        <v>335</v>
      </c>
      <c r="C480" s="20" t="s">
        <v>42</v>
      </c>
      <c r="D480" s="20" t="s">
        <v>37</v>
      </c>
      <c r="E480" s="21" t="s">
        <v>456</v>
      </c>
      <c r="F480" s="22" t="str">
        <f>IF(OR(E480="",E480="!!!"),"",IF(NOT(ISNA(VLOOKUP(E480,E$1:E479,1,FALSE()))),"OLD",IF(AND(E480&lt;&gt;"",E480&lt;&gt;"!!!"),"NEW","")))</f>
        <v>OLD</v>
      </c>
      <c r="G480" s="23" t="str">
        <f ca="1"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?IN_FOCUS</v>
      </c>
      <c r="H480" s="24" t="str">
        <f t="shared" ca="1" si="16"/>
        <v/>
      </c>
      <c r="I480" s="25" t="str">
        <f>IF(OR(E480="",E480="!!!",F480="NEW"),"",INDEX(B$2:B479,-1+SUMPRODUCT(MAX(ROW(E$2:E479)*(E480=E$2:E479)))))</f>
        <v>other_4</v>
      </c>
      <c r="J480" s="25">
        <f ca="1">IF(OR(E480="",E480="!!!",F480="NEW"),"",COUNTBLANK(OFFSET(A$1,,,SUMPRODUCT(MAX(ROW(E$2:E480)*(E480=E$2:E480)))))-COUNTBLANK(OFFSET(A$1,,,SUMPRODUCT(MAX(ROW(E$1:E479)*(E2=E$1:E479))))))</f>
        <v>0</v>
      </c>
      <c r="K480" s="25" t="str">
        <f ca="1">IF(OR(E480="",E480="!!!",F480="NEW"),"",INDEX(J$1:J479,SUMPRODUCT(MAX(ROW(E$1:E479)*(E480=E$1:E479)))))</f>
        <v/>
      </c>
      <c r="L480" s="26"/>
    </row>
    <row r="481" spans="1:12" x14ac:dyDescent="0.3">
      <c r="A481" t="s">
        <v>280</v>
      </c>
      <c r="E481" s="21" t="str">
        <f t="shared" si="17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16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343</v>
      </c>
      <c r="E482" s="21" t="str">
        <f t="shared" si="17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16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47</v>
      </c>
      <c r="E483" s="21" t="str">
        <f t="shared" si="17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16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344</v>
      </c>
      <c r="E484" s="21" t="str">
        <f t="shared" si="17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16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345</v>
      </c>
      <c r="E485" s="21" t="str">
        <f t="shared" si="17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16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346</v>
      </c>
      <c r="E486" s="21" t="str">
        <f t="shared" si="17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16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7" spans="1:12" x14ac:dyDescent="0.3">
      <c r="A487" t="s">
        <v>236</v>
      </c>
      <c r="B487" s="20" t="s">
        <v>347</v>
      </c>
      <c r="C487" s="20" t="s">
        <v>54</v>
      </c>
      <c r="E487" s="21" t="s">
        <v>468</v>
      </c>
      <c r="F487" s="22" t="str">
        <f>IF(OR(E487="",E487="!!!"),"",IF(NOT(ISNA(VLOOKUP(E487,E$1:E486,1,FALSE()))),"OLD",IF(AND(E487&lt;&gt;"",E487&lt;&gt;"!!!"),"NEW","")))</f>
        <v>NEW</v>
      </c>
      <c r="G487" s="23" t="str">
        <f ca="1"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?REFERENTIAL</v>
      </c>
      <c r="H487" s="24" t="str">
        <f t="shared" ca="1" si="16"/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/>
    </row>
    <row r="488" spans="1:12" x14ac:dyDescent="0.3">
      <c r="A488" t="s">
        <v>47</v>
      </c>
      <c r="E488" s="21" t="str">
        <f t="shared" si="17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16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89" spans="1:12" x14ac:dyDescent="0.3">
      <c r="A489" t="s">
        <v>210</v>
      </c>
      <c r="E489" s="21" t="str">
        <f t="shared" si="17"/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ca="1" si="16"/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ht="28.8" x14ac:dyDescent="0.3">
      <c r="A490" t="s">
        <v>348</v>
      </c>
      <c r="B490" s="20" t="s">
        <v>237</v>
      </c>
      <c r="C490" s="20" t="s">
        <v>42</v>
      </c>
      <c r="D490" s="20" t="s">
        <v>37</v>
      </c>
      <c r="E490" s="21" t="s">
        <v>492</v>
      </c>
      <c r="F490" s="22" t="s">
        <v>475</v>
      </c>
      <c r="G490" s="23" t="str">
        <f ca="1"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?REFERENTIAL</v>
      </c>
      <c r="H490" s="24" t="str">
        <f t="shared" ca="1" si="16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 t="s">
        <v>493</v>
      </c>
    </row>
    <row r="491" spans="1:12" x14ac:dyDescent="0.3">
      <c r="A491" t="s">
        <v>16</v>
      </c>
      <c r="E491" s="21" t="str">
        <f t="shared" si="17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16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349</v>
      </c>
      <c r="E492" s="21"/>
      <c r="F492" s="22" t="s">
        <v>444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16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47</v>
      </c>
      <c r="E493" s="21" t="str">
        <f t="shared" si="17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16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148</v>
      </c>
      <c r="B494" s="20" t="s">
        <v>350</v>
      </c>
      <c r="C494" s="20" t="s">
        <v>105</v>
      </c>
      <c r="D494" s="20" t="s">
        <v>37</v>
      </c>
      <c r="E494" s="21"/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16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 t="s">
        <v>504</v>
      </c>
    </row>
    <row r="495" spans="1:12" x14ac:dyDescent="0.3">
      <c r="A495" t="s">
        <v>351</v>
      </c>
      <c r="E495" s="21" t="str">
        <f t="shared" si="17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16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352</v>
      </c>
      <c r="E496" s="21" t="str">
        <f t="shared" si="17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16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353</v>
      </c>
      <c r="E497" s="21" t="str">
        <f t="shared" si="17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16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209</v>
      </c>
      <c r="B498" s="20" t="s">
        <v>354</v>
      </c>
      <c r="C498" s="20" t="s">
        <v>89</v>
      </c>
      <c r="E498" s="21" t="str">
        <f t="shared" si="17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16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98</v>
      </c>
      <c r="E499" s="21" t="str">
        <f t="shared" si="17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16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0" spans="1:12" x14ac:dyDescent="0.3">
      <c r="A500" t="s">
        <v>69</v>
      </c>
      <c r="E500" s="21" t="str">
        <f t="shared" si="17"/>
        <v/>
      </c>
      <c r="F500" s="22" t="str">
        <f>IF(OR(E500="",E500="!!!"),"",IF(NOT(ISNA(VLOOKUP(E500,E$1:E499,1,FALSE()))),"OLD",IF(AND(E500&lt;&gt;"",E500&lt;&gt;"!!!"),"NEW","")))</f>
        <v/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t="shared" ca="1" si="16"/>
        <v/>
      </c>
      <c r="I500" s="25" t="str">
        <f>IF(OR(E500="",E500="!!!",F500="NEW"),"",INDEX(B$2:B499,-1+SUMPRODUCT(MAX(ROW(E$2:E499)*(E500=E$2:E499)))))</f>
        <v/>
      </c>
      <c r="J500" s="25" t="str">
        <f ca="1">IF(OR(E500="",E500="!!!",F500="NEW"),"",COUNTBLANK(OFFSET(A$1,,,SUMPRODUCT(MAX(ROW(E$2:E500)*(E500=E$2:E500)))))-COUNTBLANK(OFFSET(A$1,,,SUMPRODUCT(MAX(ROW(E$1:E499)*(E2=E$1:E499))))))</f>
        <v/>
      </c>
      <c r="K500" s="25" t="str">
        <f>IF(OR(E500="",E500="!!!",F500="NEW"),"",INDEX(J$1:J499,SUMPRODUCT(MAX(ROW(E$1:E499)*(E500=E$1:E499)))))</f>
        <v/>
      </c>
      <c r="L500" s="26"/>
    </row>
    <row r="501" spans="1:12" x14ac:dyDescent="0.3">
      <c r="A501" t="s">
        <v>45</v>
      </c>
      <c r="E501" s="21" t="str">
        <f t="shared" si="17"/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ca="1" si="16"/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2" spans="1:12" x14ac:dyDescent="0.3">
      <c r="A502" t="s">
        <v>355</v>
      </c>
      <c r="E502" s="21" t="str">
        <f t="shared" si="17"/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16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356</v>
      </c>
      <c r="E503" s="21" t="str">
        <f t="shared" si="17"/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16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175</v>
      </c>
      <c r="B504" s="20" t="s">
        <v>323</v>
      </c>
      <c r="C504" s="20" t="s">
        <v>62</v>
      </c>
      <c r="E504" s="21" t="s">
        <v>440</v>
      </c>
      <c r="F504" s="22" t="str">
        <f>IF(OR(E504="",E504="!!!"),"",IF(NOT(ISNA(VLOOKUP(E504,E$1:E503,1,FALSE()))),"OLD",IF(AND(E504&lt;&gt;"",E504&lt;&gt;"!!!"),"NEW","")))</f>
        <v>OLD</v>
      </c>
      <c r="G504" s="23" t="str">
        <f ca="1"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?IN_FOCUS</v>
      </c>
      <c r="H504" s="24" t="str">
        <f t="shared" ca="1" si="16"/>
        <v/>
      </c>
      <c r="I504" s="25" t="str">
        <f>IF(OR(E504="",E504="!!!",F504="NEW"),"",INDEX(B$2:B503,-1+SUMPRODUCT(MAX(ROW(E$2:E503)*(E504=E$2:E503)))))</f>
        <v>OBJ_6</v>
      </c>
      <c r="J504" s="25">
        <f ca="1">IF(OR(E504="",E504="!!!",F504="NEW"),"",COUNTBLANK(OFFSET(A$1,,,SUMPRODUCT(MAX(ROW(E$2:E504)*(E504=E$2:E504)))))-COUNTBLANK(OFFSET(A$1,,,SUMPRODUCT(MAX(ROW(E$1:E503)*(E2=E$1:E503))))))</f>
        <v>0</v>
      </c>
      <c r="K504" s="25">
        <f ca="1">IF(OR(E504="",E504="!!!",F504="NEW"),"",INDEX(J$1:J503,SUMPRODUCT(MAX(ROW(E$1:E503)*(E504=E$1:E503)))))</f>
        <v>0</v>
      </c>
      <c r="L504" s="26"/>
    </row>
    <row r="505" spans="1:12" x14ac:dyDescent="0.3">
      <c r="A505" t="s">
        <v>357</v>
      </c>
      <c r="E505" s="21" t="str">
        <f t="shared" si="17"/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16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344</v>
      </c>
      <c r="E506" s="21" t="str">
        <f t="shared" si="17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16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47</v>
      </c>
      <c r="E507" s="21" t="str">
        <f t="shared" si="17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16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358</v>
      </c>
      <c r="B508" s="20" t="s">
        <v>359</v>
      </c>
      <c r="C508" s="20" t="s">
        <v>62</v>
      </c>
      <c r="E508" s="21" t="str">
        <f t="shared" si="17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16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352</v>
      </c>
      <c r="E509" s="21" t="str">
        <f t="shared" si="17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16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360</v>
      </c>
      <c r="E510" s="21" t="s">
        <v>467</v>
      </c>
      <c r="F510" s="22" t="str">
        <f>IF(OR(E510="",E510="!!!"),"",IF(NOT(ISNA(VLOOKUP(E510,E$1:E509,1,FALSE()))),"OLD",IF(AND(E510&lt;&gt;"",E510&lt;&gt;"!!!"),"NEW","")))</f>
        <v>OLD</v>
      </c>
      <c r="G510" s="23" t="str">
        <f ca="1"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?IN_FOCUS</v>
      </c>
      <c r="H510" s="24" t="str">
        <f t="shared" ca="1" si="16"/>
        <v/>
      </c>
      <c r="I510" s="25" t="str">
        <f>IF(OR(E510="",E510="!!!",F510="NEW"),"",INDEX(B$2:B509,-1+SUMPRODUCT(MAX(ROW(E$2:E509)*(E510=E$2:E509)))))</f>
        <v>SBJ_11</v>
      </c>
      <c r="J510" s="25">
        <f ca="1">IF(OR(E510="",E510="!!!",F510="NEW"),"",COUNTBLANK(OFFSET(A$1,,,SUMPRODUCT(MAX(ROW(E$2:E510)*(E510=E$2:E510)))))-COUNTBLANK(OFFSET(A$1,,,SUMPRODUCT(MAX(ROW(E$1:E509)*(E2=E$1:E509))))))</f>
        <v>0</v>
      </c>
      <c r="K510" s="25">
        <f ca="1">IF(OR(E510="",E510="!!!",F510="NEW"),"",INDEX(J$1:J509,SUMPRODUCT(MAX(ROW(E$1:E509)*(E510=E$1:E509)))))</f>
        <v>0</v>
      </c>
      <c r="L510" s="26" t="s">
        <v>479</v>
      </c>
    </row>
    <row r="511" spans="1:12" x14ac:dyDescent="0.3">
      <c r="A511" t="s">
        <v>361</v>
      </c>
      <c r="E511" s="21" t="str">
        <f t="shared" si="17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16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ht="28.8" x14ac:dyDescent="0.3">
      <c r="A512" t="s">
        <v>175</v>
      </c>
      <c r="B512" s="20" t="s">
        <v>341</v>
      </c>
      <c r="C512" s="20" t="s">
        <v>176</v>
      </c>
      <c r="E512" s="21" t="s">
        <v>469</v>
      </c>
      <c r="F512" s="22" t="str">
        <f>IF(OR(E512="",E512="!!!"),"",IF(NOT(ISNA(VLOOKUP(E512,E$1:E511,1,FALSE()))),"OLD",IF(AND(E512&lt;&gt;"",E512&lt;&gt;"!!!"),"NEW","")))</f>
        <v>NEW</v>
      </c>
      <c r="G512" s="23" t="str">
        <f ca="1"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?REFERENTIAL</v>
      </c>
      <c r="H512" s="24" t="str">
        <f t="shared" ca="1" si="16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 t="s">
        <v>505</v>
      </c>
    </row>
    <row r="513" spans="1:12" x14ac:dyDescent="0.3">
      <c r="A513" t="s">
        <v>336</v>
      </c>
      <c r="E513" s="21" t="str">
        <f t="shared" si="17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16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268</v>
      </c>
      <c r="E514" s="21" t="str">
        <f t="shared" si="17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16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269</v>
      </c>
      <c r="E515" s="21" t="str">
        <f t="shared" si="17"/>
        <v/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16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248</v>
      </c>
      <c r="B516" s="20" t="s">
        <v>350</v>
      </c>
      <c r="C516" s="20" t="s">
        <v>36</v>
      </c>
      <c r="D516" s="20" t="s">
        <v>37</v>
      </c>
      <c r="E516" s="21" t="s">
        <v>469</v>
      </c>
      <c r="F516" s="22" t="str">
        <f>IF(OR(E516="",E516="!!!"),"",IF(NOT(ISNA(VLOOKUP(E516,E$1:E515,1,FALSE()))),"OLD",IF(AND(E516&lt;&gt;"",E516&lt;&gt;"!!!"),"NEW","")))</f>
        <v>OLD</v>
      </c>
      <c r="G516" s="23" t="str">
        <f ca="1"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?IN_FOCUS</v>
      </c>
      <c r="H516" s="24" t="str">
        <f t="shared" ca="1" si="16"/>
        <v/>
      </c>
      <c r="I516" s="25" t="str">
        <f>IF(OR(E516="",E516="!!!",F516="NEW"),"",INDEX(B$2:B515,-1+SUMPRODUCT(MAX(ROW(E$2:E515)*(E516=E$2:E515)))))</f>
        <v>other_9</v>
      </c>
      <c r="J516" s="25">
        <f ca="1">IF(OR(E516="",E516="!!!",F516="NEW"),"",COUNTBLANK(OFFSET(A$1,,,SUMPRODUCT(MAX(ROW(E$2:E516)*(E516=E$2:E516)))))-COUNTBLANK(OFFSET(A$1,,,SUMPRODUCT(MAX(ROW(E$1:E515)*(E2=E$1:E515))))))</f>
        <v>0</v>
      </c>
      <c r="K516" s="25" t="str">
        <f ca="1">IF(OR(E516="",E516="!!!",F516="NEW"),"",INDEX(J$1:J515,SUMPRODUCT(MAX(ROW(E$1:E515)*(E516=E$1:E515)))))</f>
        <v/>
      </c>
      <c r="L516" s="26"/>
    </row>
    <row r="517" spans="1:12" x14ac:dyDescent="0.3">
      <c r="A517" t="s">
        <v>69</v>
      </c>
      <c r="E517" s="21" t="str">
        <f t="shared" si="17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16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362</v>
      </c>
      <c r="E518" s="21" t="str">
        <f t="shared" si="17"/>
        <v/>
      </c>
      <c r="F518" s="22" t="str">
        <f>IF(OR(E518="",E518="!!!"),"",IF(NOT(ISNA(VLOOKUP(E518,E$1:E517,1,FALSE()))),"OLD",IF(AND(E518&lt;&gt;"",E518&lt;&gt;"!!!"),"NEW","")))</f>
        <v/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t="shared" ca="1" si="16"/>
        <v/>
      </c>
      <c r="I518" s="25" t="str">
        <f>IF(OR(E518="",E518="!!!",F518="NEW"),"",INDEX(B$2:B517,-1+SUMPRODUCT(MAX(ROW(E$2:E517)*(E518=E$2:E517)))))</f>
        <v/>
      </c>
      <c r="J518" s="25" t="str">
        <f ca="1">IF(OR(E518="",E518="!!!",F518="NEW"),"",COUNTBLANK(OFFSET(A$1,,,SUMPRODUCT(MAX(ROW(E$2:E518)*(E518=E$2:E518)))))-COUNTBLANK(OFFSET(A$1,,,SUMPRODUCT(MAX(ROW(E$1:E517)*(E2=E$1:E517))))))</f>
        <v/>
      </c>
      <c r="K518" s="25" t="str">
        <f>IF(OR(E518="",E518="!!!",F518="NEW"),"",INDEX(J$1:J517,SUMPRODUCT(MAX(ROW(E$1:E517)*(E518=E$1:E517)))))</f>
        <v/>
      </c>
      <c r="L518" s="26"/>
    </row>
    <row r="519" spans="1:12" x14ac:dyDescent="0.3">
      <c r="A519" t="s">
        <v>363</v>
      </c>
      <c r="E519" s="21" t="str">
        <f t="shared" si="17"/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t="shared" ca="1" si="16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47</v>
      </c>
      <c r="E520" s="21" t="str">
        <f t="shared" si="17"/>
        <v/>
      </c>
      <c r="F520" s="22" t="str">
        <f>IF(OR(E520="",E520="!!!"),"",IF(NOT(ISNA(VLOOKUP(E520,E$1:E519,1,FALSE()))),"OLD",IF(AND(E520&lt;&gt;"",E520&lt;&gt;"!!!"),"NEW","")))</f>
        <v/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16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63</v>
      </c>
      <c r="E521" s="21" t="str">
        <f t="shared" si="17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16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271</v>
      </c>
      <c r="E522" s="21" t="str">
        <f t="shared" si="17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16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364</v>
      </c>
      <c r="B523" s="20" t="s">
        <v>337</v>
      </c>
      <c r="C523" s="20" t="s">
        <v>121</v>
      </c>
      <c r="E523" s="21" t="str">
        <f t="shared" si="17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16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234</v>
      </c>
      <c r="E524" s="21" t="str">
        <f t="shared" si="17"/>
        <v/>
      </c>
      <c r="F524" s="22" t="str">
        <f>IF(OR(E524="",E524="!!!"),"",IF(NOT(ISNA(VLOOKUP(E524,E$1:E523,1,FALSE()))),"OLD",IF(AND(E524&lt;&gt;"",E524&lt;&gt;"!!!"),"NEW","")))</f>
        <v/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t="shared" ca="1" si="16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365</v>
      </c>
      <c r="B525" s="20" t="s">
        <v>335</v>
      </c>
      <c r="C525" s="20" t="s">
        <v>62</v>
      </c>
      <c r="E525" s="21" t="str">
        <f t="shared" si="17"/>
        <v/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16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366</v>
      </c>
      <c r="E526" s="21" t="str">
        <f t="shared" si="17"/>
        <v/>
      </c>
      <c r="F526" s="22" t="str">
        <f>IF(OR(E526="",E526="!!!"),"",IF(NOT(ISNA(VLOOKUP(E526,E$1:E525,1,FALSE()))),"OLD",IF(AND(E526&lt;&gt;"",E526&lt;&gt;"!!!"),"NEW","")))</f>
        <v/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t="shared" ca="1" si="16"/>
        <v/>
      </c>
      <c r="I526" s="25" t="str">
        <f>IF(OR(E526="",E526="!!!",F526="NEW"),"",INDEX(B$2:B525,-1+SUMPRODUCT(MAX(ROW(E$2:E525)*(E526=E$2:E525)))))</f>
        <v/>
      </c>
      <c r="J526" s="25" t="str">
        <f ca="1">IF(OR(E526="",E526="!!!",F526="NEW"),"",COUNTBLANK(OFFSET(A$1,,,SUMPRODUCT(MAX(ROW(E$2:E526)*(E526=E$2:E526)))))-COUNTBLANK(OFFSET(A$1,,,SUMPRODUCT(MAX(ROW(E$1:E525)*(E2=E$1:E525))))))</f>
        <v/>
      </c>
      <c r="K526" s="25" t="str">
        <f>IF(OR(E526="",E526="!!!",F526="NEW"),"",INDEX(J$1:J525,SUMPRODUCT(MAX(ROW(E$1:E525)*(E526=E$1:E525)))))</f>
        <v/>
      </c>
      <c r="L526" s="26"/>
    </row>
    <row r="527" spans="1:12" x14ac:dyDescent="0.3">
      <c r="A527" t="s">
        <v>47</v>
      </c>
      <c r="E527" s="21" t="str">
        <f t="shared" si="17"/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ca="1" si="16"/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45</v>
      </c>
      <c r="E528" s="21" t="str">
        <f t="shared" si="17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16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367</v>
      </c>
      <c r="E529" s="21" t="str">
        <f t="shared" si="17"/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16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368</v>
      </c>
      <c r="E530" s="21" t="str">
        <f t="shared" si="17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16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67</v>
      </c>
      <c r="E531" s="21" t="str">
        <f t="shared" si="17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16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269</v>
      </c>
      <c r="E532" s="21" t="str">
        <f t="shared" si="17"/>
        <v/>
      </c>
      <c r="F532" s="22" t="str">
        <f>IF(OR(E532="",E532="!!!"),"",IF(NOT(ISNA(VLOOKUP(E532,E$1:E531,1,FALSE()))),"OLD",IF(AND(E532&lt;&gt;"",E532&lt;&gt;"!!!"),"NEW","")))</f>
        <v/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t="shared" ca="1" si="16"/>
        <v/>
      </c>
      <c r="I532" s="25" t="str">
        <f>IF(OR(E532="",E532="!!!",F532="NEW"),"",INDEX(B$2:B531,-1+SUMPRODUCT(MAX(ROW(E$2:E531)*(E532=E$2:E531)))))</f>
        <v/>
      </c>
      <c r="J532" s="25" t="str">
        <f ca="1">IF(OR(E532="",E532="!!!",F532="NEW"),"",COUNTBLANK(OFFSET(A$1,,,SUMPRODUCT(MAX(ROW(E$2:E532)*(E532=E$2:E532)))))-COUNTBLANK(OFFSET(A$1,,,SUMPRODUCT(MAX(ROW(E$1:E531)*(E2=E$1:E531))))))</f>
        <v/>
      </c>
      <c r="K532" s="25" t="str">
        <f>IF(OR(E532="",E532="!!!",F532="NEW"),"",INDEX(J$1:J531,SUMPRODUCT(MAX(ROW(E$1:E531)*(E532=E$1:E531)))))</f>
        <v/>
      </c>
      <c r="L532" s="26"/>
    </row>
    <row r="533" spans="1:12" x14ac:dyDescent="0.3">
      <c r="A533" t="s">
        <v>290</v>
      </c>
      <c r="E533" s="21" t="str">
        <f t="shared" si="17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16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369</v>
      </c>
      <c r="B534" s="20" t="s">
        <v>313</v>
      </c>
      <c r="C534" s="20" t="s">
        <v>62</v>
      </c>
      <c r="E534" s="21" t="str">
        <f t="shared" si="17"/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ca="1" si="16"/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292</v>
      </c>
      <c r="E535" s="21" t="str">
        <f t="shared" si="17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16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370</v>
      </c>
      <c r="B536" s="20" t="s">
        <v>323</v>
      </c>
      <c r="C536" s="20" t="s">
        <v>62</v>
      </c>
      <c r="E536" s="21" t="str">
        <f t="shared" ref="E536:E599" si="18">IF(D536="?OLD","!!!","")</f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ref="H536:H599" ca="1" si="19">IF(J536&lt;&gt;1,"",IF(I536="SBJ","CB","?"))</f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139</v>
      </c>
      <c r="E537" s="21" t="str">
        <f t="shared" si="18"/>
        <v/>
      </c>
      <c r="F537" s="22" t="str">
        <f>IF(OR(E537="",E537="!!!"),"",IF(NOT(ISNA(VLOOKUP(E537,E$1:E536,1,FALSE()))),"OLD",IF(AND(E537&lt;&gt;"",E537&lt;&gt;"!!!"),"NEW","")))</f>
        <v/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t="shared" ca="1" si="19"/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371</v>
      </c>
      <c r="B538" s="20" t="s">
        <v>372</v>
      </c>
      <c r="C538" s="20" t="s">
        <v>62</v>
      </c>
      <c r="E538" s="21" t="str">
        <f t="shared" si="18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19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373</v>
      </c>
      <c r="B539" s="20" t="s">
        <v>224</v>
      </c>
      <c r="C539" s="20" t="s">
        <v>121</v>
      </c>
      <c r="E539" s="21" t="str">
        <f t="shared" si="18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19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285</v>
      </c>
      <c r="E540" s="21" t="str">
        <f t="shared" si="18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19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374</v>
      </c>
      <c r="B541" s="20" t="s">
        <v>341</v>
      </c>
      <c r="C541" s="20" t="s">
        <v>375</v>
      </c>
      <c r="D541" s="20" t="s">
        <v>37</v>
      </c>
      <c r="E541" s="21"/>
      <c r="F541" s="22"/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t="shared" ca="1" si="19"/>
        <v/>
      </c>
      <c r="I541" s="25" t="str">
        <f>IF(OR(E541="",E541="!!!",F541="NEW"),"",INDEX(B$2:B540,-1+SUMPRODUCT(MAX(ROW(E$2:E540)*(E541=E$2:E540)))))</f>
        <v/>
      </c>
      <c r="J541" s="25" t="str">
        <f ca="1">IF(OR(E541="",E541="!!!",F541="NEW"),"",COUNTBLANK(OFFSET(A$1,,,SUMPRODUCT(MAX(ROW(E$2:E541)*(E541=E$2:E541)))))-COUNTBLANK(OFFSET(A$1,,,SUMPRODUCT(MAX(ROW(E$1:E540)*(E2=E$1:E540))))))</f>
        <v/>
      </c>
      <c r="K541" s="25" t="str">
        <f>IF(OR(E541="",E541="!!!",F541="NEW"),"",INDEX(J$1:J540,SUMPRODUCT(MAX(ROW(E$1:E540)*(E541=E$1:E540)))))</f>
        <v/>
      </c>
      <c r="L541" s="26" t="s">
        <v>494</v>
      </c>
    </row>
    <row r="542" spans="1:12" x14ac:dyDescent="0.3">
      <c r="A542" t="s">
        <v>376</v>
      </c>
      <c r="E542" s="21" t="str">
        <f t="shared" si="18"/>
        <v/>
      </c>
      <c r="F542" s="22" t="str">
        <f>IF(OR(E542="",E542="!!!"),"",IF(NOT(ISNA(VLOOKUP(E542,E$1:E541,1,FALSE()))),"OLD",IF(AND(E542&lt;&gt;"",E542&lt;&gt;"!!!"),"NEW","")))</f>
        <v/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t="shared" ca="1" si="19"/>
        <v/>
      </c>
      <c r="I542" s="25" t="str">
        <f>IF(OR(E542="",E542="!!!",F542="NEW"),"",INDEX(B$2:B541,-1+SUMPRODUCT(MAX(ROW(E$2:E541)*(E542=E$2:E541)))))</f>
        <v/>
      </c>
      <c r="J542" s="25" t="str">
        <f ca="1">IF(OR(E542="",E542="!!!",F542="NEW"),"",COUNTBLANK(OFFSET(A$1,,,SUMPRODUCT(MAX(ROW(E$2:E542)*(E542=E$2:E542)))))-COUNTBLANK(OFFSET(A$1,,,SUMPRODUCT(MAX(ROW(E$1:E541)*(E2=E$1:E541))))))</f>
        <v/>
      </c>
      <c r="K542" s="25" t="str">
        <f>IF(OR(E542="",E542="!!!",F542="NEW"),"",INDEX(J$1:J541,SUMPRODUCT(MAX(ROW(E$1:E541)*(E542=E$1:E541)))))</f>
        <v/>
      </c>
      <c r="L542" s="26"/>
    </row>
    <row r="543" spans="1:12" x14ac:dyDescent="0.3">
      <c r="A543" t="s">
        <v>47</v>
      </c>
      <c r="E543" s="21" t="str">
        <f t="shared" si="18"/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19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210</v>
      </c>
      <c r="E544" s="21" t="str">
        <f t="shared" si="18"/>
        <v/>
      </c>
      <c r="F544" s="22" t="str">
        <f>IF(OR(E544="",E544="!!!"),"",IF(NOT(ISNA(VLOOKUP(E544,E$1:E543,1,FALSE()))),"OLD",IF(AND(E544&lt;&gt;"",E544&lt;&gt;"!!!"),"NEW","")))</f>
        <v/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t="shared" ca="1" si="19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/>
    </row>
    <row r="545" spans="1:12" x14ac:dyDescent="0.3">
      <c r="A545" t="s">
        <v>377</v>
      </c>
      <c r="E545" s="21" t="str">
        <f t="shared" si="18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19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378</v>
      </c>
      <c r="B546" s="20" t="s">
        <v>379</v>
      </c>
      <c r="C546" s="20" t="s">
        <v>54</v>
      </c>
      <c r="E546" s="21"/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19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7" spans="1:12" x14ac:dyDescent="0.3">
      <c r="A547" t="s">
        <v>122</v>
      </c>
      <c r="E547" s="21" t="str">
        <f t="shared" si="18"/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t="shared" ca="1" si="19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380</v>
      </c>
      <c r="E548" s="21" t="str">
        <f t="shared" si="18"/>
        <v/>
      </c>
      <c r="F548" s="22" t="str">
        <f>IF(OR(E548="",E548="!!!"),"",IF(NOT(ISNA(VLOOKUP(E548,E$1:E547,1,FALSE()))),"OLD",IF(AND(E548&lt;&gt;"",E548&lt;&gt;"!!!"),"NEW","")))</f>
        <v/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4" t="str">
        <f t="shared" ca="1" si="19"/>
        <v/>
      </c>
      <c r="I548" s="25" t="str">
        <f>IF(OR(E548="",E548="!!!",F548="NEW"),"",INDEX(B$2:B547,-1+SUMPRODUCT(MAX(ROW(E$2:E547)*(E548=E$2:E547)))))</f>
        <v/>
      </c>
      <c r="J548" s="25" t="str">
        <f ca="1">IF(OR(E548="",E548="!!!",F548="NEW"),"",COUNTBLANK(OFFSET(A$1,,,SUMPRODUCT(MAX(ROW(E$2:E548)*(E548=E$2:E548)))))-COUNTBLANK(OFFSET(A$1,,,SUMPRODUCT(MAX(ROW(E$1:E547)*(E2=E$1:E547))))))</f>
        <v/>
      </c>
      <c r="K548" s="25" t="str">
        <f>IF(OR(E548="",E548="!!!",F548="NEW"),"",INDEX(J$1:J547,SUMPRODUCT(MAX(ROW(E$1:E547)*(E548=E$1:E547)))))</f>
        <v/>
      </c>
      <c r="L548" s="26"/>
    </row>
    <row r="549" spans="1:12" x14ac:dyDescent="0.3">
      <c r="A549" t="s">
        <v>67</v>
      </c>
      <c r="E549" s="21" t="str">
        <f t="shared" si="18"/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ca="1" si="19"/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99</v>
      </c>
      <c r="B550" s="20" t="s">
        <v>173</v>
      </c>
      <c r="C550" s="20" t="s">
        <v>100</v>
      </c>
      <c r="D550" s="20" t="s">
        <v>37</v>
      </c>
      <c r="E550" s="21" t="s">
        <v>420</v>
      </c>
      <c r="F550" s="22" t="str">
        <f>IF(OR(E550="",E550="!!!"),"",IF(NOT(ISNA(VLOOKUP(E550,E$1:E549,1,FALSE()))),"OLD",IF(AND(E550&lt;&gt;"",E550&lt;&gt;"!!!"),"NEW","")))</f>
        <v>OLD</v>
      </c>
      <c r="G550" s="23" t="str">
        <f ca="1"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?IN_FOCUS</v>
      </c>
      <c r="H550" s="24" t="str">
        <f t="shared" ca="1" si="19"/>
        <v/>
      </c>
      <c r="I550" s="25" t="str">
        <f>IF(OR(E550="",E550="!!!",F550="NEW"),"",INDEX(B$2:B549,-1+SUMPRODUCT(MAX(ROW(E$2:E549)*(E550=E$2:E549)))))</f>
        <v>SBJ_5</v>
      </c>
      <c r="J550" s="25">
        <f ca="1">IF(OR(E550="",E550="!!!",F550="NEW"),"",COUNTBLANK(OFFSET(A$1,,,SUMPRODUCT(MAX(ROW(E$2:E550)*(E550=E$2:E550)))))-COUNTBLANK(OFFSET(A$1,,,SUMPRODUCT(MAX(ROW(E$1:E549)*(E2=E$1:E549))))))</f>
        <v>0</v>
      </c>
      <c r="K550" s="25">
        <f ca="1">IF(OR(E550="",E550="!!!",F550="NEW"),"",INDEX(J$1:J549,SUMPRODUCT(MAX(ROW(E$1:E549)*(E550=E$1:E549)))))</f>
        <v>0</v>
      </c>
      <c r="L550" s="26"/>
    </row>
    <row r="551" spans="1:12" x14ac:dyDescent="0.3">
      <c r="A551" t="s">
        <v>381</v>
      </c>
      <c r="B551" s="20" t="s">
        <v>156</v>
      </c>
      <c r="C551" s="20" t="s">
        <v>62</v>
      </c>
      <c r="E551" s="21" t="s">
        <v>495</v>
      </c>
      <c r="F551" s="22" t="str">
        <f>IF(OR(E551="",E551="!!!"),"",IF(NOT(ISNA(VLOOKUP(E551,E$1:E550,1,FALSE()))),"OLD",IF(AND(E551&lt;&gt;"",E551&lt;&gt;"!!!"),"NEW","")))</f>
        <v>NEW</v>
      </c>
      <c r="G551" s="23" t="str">
        <f ca="1"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?REFERENTIAL</v>
      </c>
      <c r="H551" s="24" t="str">
        <f t="shared" ca="1" si="19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 t="s">
        <v>496</v>
      </c>
    </row>
    <row r="552" spans="1:12" x14ac:dyDescent="0.3">
      <c r="A552" t="s">
        <v>45</v>
      </c>
      <c r="E552" s="21" t="str">
        <f t="shared" si="18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19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382</v>
      </c>
      <c r="B553" s="20" t="s">
        <v>224</v>
      </c>
      <c r="C553" s="20" t="s">
        <v>100</v>
      </c>
      <c r="D553" s="20" t="s">
        <v>37</v>
      </c>
      <c r="E553" s="21" t="s">
        <v>420</v>
      </c>
      <c r="F553" s="22" t="str">
        <f>IF(OR(E553="",E553="!!!"),"",IF(NOT(ISNA(VLOOKUP(E553,E$1:E552,1,FALSE()))),"OLD",IF(AND(E553&lt;&gt;"",E553&lt;&gt;"!!!"),"NEW","")))</f>
        <v>OLD</v>
      </c>
      <c r="G553" s="23" t="str">
        <f ca="1"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?IN_FOCUS</v>
      </c>
      <c r="H553" s="24" t="str">
        <f t="shared" ca="1" si="19"/>
        <v/>
      </c>
      <c r="I553" s="25" t="str">
        <f>IF(OR(E553="",E553="!!!",F553="NEW"),"",INDEX(B$2:B552,-1+SUMPRODUCT(MAX(ROW(E$2:E552)*(E553=E$2:E552)))))</f>
        <v>other_6</v>
      </c>
      <c r="J553" s="25">
        <f ca="1">IF(OR(E553="",E553="!!!",F553="NEW"),"",COUNTBLANK(OFFSET(A$1,,,SUMPRODUCT(MAX(ROW(E$2:E553)*(E553=E$2:E553)))))-COUNTBLANK(OFFSET(A$1,,,SUMPRODUCT(MAX(ROW(E$1:E552)*(E2=E$1:E552))))))</f>
        <v>0</v>
      </c>
      <c r="K553" s="25">
        <f ca="1">IF(OR(E553="",E553="!!!",F553="NEW"),"",INDEX(J$1:J552,SUMPRODUCT(MAX(ROW(E$1:E552)*(E553=E$1:E552)))))</f>
        <v>0</v>
      </c>
      <c r="L553" s="26"/>
    </row>
    <row r="554" spans="1:12" ht="28.8" x14ac:dyDescent="0.3">
      <c r="A554" t="s">
        <v>383</v>
      </c>
      <c r="B554" s="20" t="s">
        <v>173</v>
      </c>
      <c r="C554" s="20" t="s">
        <v>62</v>
      </c>
      <c r="E554" s="21" t="s">
        <v>454</v>
      </c>
      <c r="F554" s="22" t="str">
        <f>IF(OR(E554="",E554="!!!"),"",IF(NOT(ISNA(VLOOKUP(E554,E$1:E553,1,FALSE()))),"OLD",IF(AND(E554&lt;&gt;"",E554&lt;&gt;"!!!"),"NEW","")))</f>
        <v>OLD</v>
      </c>
      <c r="G554" s="23" t="str">
        <f ca="1"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?IN_FOCUS</v>
      </c>
      <c r="H554" s="24" t="str">
        <f t="shared" ca="1" si="19"/>
        <v/>
      </c>
      <c r="I554" s="25" t="str">
        <f>IF(OR(E554="",E554="!!!",F554="NEW"),"",INDEX(B$2:B553,-1+SUMPRODUCT(MAX(ROW(E$2:E553)*(E554=E$2:E553)))))</f>
        <v>SBJ_6</v>
      </c>
      <c r="J554" s="25">
        <f ca="1">IF(OR(E554="",E554="!!!",F554="NEW"),"",COUNTBLANK(OFFSET(A$1,,,SUMPRODUCT(MAX(ROW(E$2:E554)*(E554=E$2:E554)))))-COUNTBLANK(OFFSET(A$1,,,SUMPRODUCT(MAX(ROW(E$1:E553)*(E2=E$1:E553))))))</f>
        <v>0</v>
      </c>
      <c r="K554" s="25">
        <f ca="1">IF(OR(E554="",E554="!!!",F554="NEW"),"",INDEX(J$1:J553,SUMPRODUCT(MAX(ROW(E$1:E553)*(E554=E$1:E553)))))</f>
        <v>0</v>
      </c>
      <c r="L554" s="26" t="s">
        <v>473</v>
      </c>
    </row>
    <row r="555" spans="1:12" x14ac:dyDescent="0.3">
      <c r="A555" t="s">
        <v>69</v>
      </c>
      <c r="E555" s="21" t="str">
        <f t="shared" si="18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19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204</v>
      </c>
      <c r="E556" s="21"/>
      <c r="F556" s="22" t="s">
        <v>444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19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47</v>
      </c>
      <c r="E557" s="21" t="str">
        <f t="shared" si="18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19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126</v>
      </c>
      <c r="E558" s="21" t="str">
        <f t="shared" si="18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19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154</v>
      </c>
      <c r="E559" s="21" t="str">
        <f t="shared" si="18"/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t="shared" ca="1" si="19"/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384</v>
      </c>
      <c r="B560" s="20" t="s">
        <v>246</v>
      </c>
      <c r="C560" s="20" t="s">
        <v>78</v>
      </c>
      <c r="D560" s="20" t="s">
        <v>37</v>
      </c>
      <c r="E560" s="21" t="s">
        <v>497</v>
      </c>
      <c r="F560" s="22" t="str">
        <f>IF(OR(E560="",E560="!!!"),"",IF(NOT(ISNA(VLOOKUP(E560,E$1:E559,1,FALSE()))),"OLD",IF(AND(E560&lt;&gt;"",E560&lt;&gt;"!!!"),"NEW","")))</f>
        <v>NEW</v>
      </c>
      <c r="G560" s="23" t="str">
        <f ca="1"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?REFERENTIAL</v>
      </c>
      <c r="H560" s="24" t="str">
        <f t="shared" ca="1" si="19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45</v>
      </c>
      <c r="E561" s="21" t="str">
        <f t="shared" si="18"/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19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385</v>
      </c>
      <c r="B562" s="20" t="s">
        <v>237</v>
      </c>
      <c r="C562" s="20" t="s">
        <v>62</v>
      </c>
      <c r="E562" s="21"/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19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47</v>
      </c>
      <c r="E563" s="21" t="str">
        <f t="shared" si="18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19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154</v>
      </c>
      <c r="B564" s="20" t="s">
        <v>386</v>
      </c>
      <c r="E564" s="21"/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19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135</v>
      </c>
      <c r="B565" s="20" t="s">
        <v>359</v>
      </c>
      <c r="C565" s="20" t="s">
        <v>105</v>
      </c>
      <c r="D565" s="20" t="s">
        <v>37</v>
      </c>
      <c r="E565" s="21" t="s">
        <v>467</v>
      </c>
      <c r="F565" s="22" t="str">
        <f>IF(OR(E565="",E565="!!!"),"",IF(NOT(ISNA(VLOOKUP(E565,E$1:E564,1,FALSE()))),"OLD",IF(AND(E565&lt;&gt;"",E565&lt;&gt;"!!!"),"NEW","")))</f>
        <v>OLD</v>
      </c>
      <c r="G565" s="23" t="str">
        <f ca="1"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?IN_FOCUS</v>
      </c>
      <c r="H565" s="24" t="str">
        <f t="shared" ca="1" si="19"/>
        <v/>
      </c>
      <c r="I565" s="25">
        <f>IF(OR(E565="",E565="!!!",F565="NEW"),"",INDEX(B$2:B564,-1+SUMPRODUCT(MAX(ROW(E$2:E564)*(E565=E$2:E564)))))</f>
        <v>0</v>
      </c>
      <c r="J565" s="25">
        <f ca="1">IF(OR(E565="",E565="!!!",F565="NEW"),"",COUNTBLANK(OFFSET(A$1,,,SUMPRODUCT(MAX(ROW(E$2:E565)*(E565=E$2:E565)))))-COUNTBLANK(OFFSET(A$1,,,SUMPRODUCT(MAX(ROW(E$1:E564)*(E2=E$1:E564))))))</f>
        <v>0</v>
      </c>
      <c r="K565" s="25">
        <f ca="1">IF(OR(E565="",E565="!!!",F565="NEW"),"",INDEX(J$1:J564,SUMPRODUCT(MAX(ROW(E$1:E564)*(E565=E$1:E564)))))</f>
        <v>0</v>
      </c>
      <c r="L565" s="26"/>
    </row>
    <row r="566" spans="1:12" x14ac:dyDescent="0.3">
      <c r="A566" t="s">
        <v>39</v>
      </c>
      <c r="E566" s="21" t="str">
        <f t="shared" si="18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19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346</v>
      </c>
      <c r="B567" s="20" t="s">
        <v>354</v>
      </c>
      <c r="C567" s="20" t="s">
        <v>100</v>
      </c>
      <c r="D567" s="20" t="s">
        <v>37</v>
      </c>
      <c r="E567" s="21" t="s">
        <v>467</v>
      </c>
      <c r="F567" s="22" t="str">
        <f>IF(OR(E567="",E567="!!!"),"",IF(NOT(ISNA(VLOOKUP(E567,E$1:E566,1,FALSE()))),"OLD",IF(AND(E567&lt;&gt;"",E567&lt;&gt;"!!!"),"NEW","")))</f>
        <v>OLD</v>
      </c>
      <c r="G567" s="23" t="str">
        <f ca="1"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?IN_FOCUS</v>
      </c>
      <c r="H567" s="24" t="str">
        <f t="shared" ca="1" si="19"/>
        <v/>
      </c>
      <c r="I567" s="25" t="str">
        <f>IF(OR(E567="",E567="!!!",F567="NEW"),"",INDEX(B$2:B566,-1+SUMPRODUCT(MAX(ROW(E$2:E566)*(E567=E$2:E566)))))</f>
        <v>SBJ_9</v>
      </c>
      <c r="J567" s="25">
        <f ca="1">IF(OR(E567="",E567="!!!",F567="NEW"),"",COUNTBLANK(OFFSET(A$1,,,SUMPRODUCT(MAX(ROW(E$2:E567)*(E567=E$2:E567)))))-COUNTBLANK(OFFSET(A$1,,,SUMPRODUCT(MAX(ROW(E$1:E566)*(E2=E$1:E566))))))</f>
        <v>0</v>
      </c>
      <c r="K567" s="25">
        <f ca="1">IF(OR(E567="",E567="!!!",F567="NEW"),"",INDEX(J$1:J566,SUMPRODUCT(MAX(ROW(E$1:E566)*(E567=E$1:E566)))))</f>
        <v>0</v>
      </c>
      <c r="L567" s="26"/>
    </row>
    <row r="568" spans="1:12" x14ac:dyDescent="0.3">
      <c r="A568" t="s">
        <v>387</v>
      </c>
      <c r="B568" s="20" t="s">
        <v>341</v>
      </c>
      <c r="C568" s="20" t="s">
        <v>62</v>
      </c>
      <c r="E568" s="21" t="s">
        <v>498</v>
      </c>
      <c r="F568" s="22" t="str">
        <f>IF(OR(E568="",E568="!!!"),"",IF(NOT(ISNA(VLOOKUP(E568,E$1:E567,1,FALSE()))),"OLD",IF(AND(E568&lt;&gt;"",E568&lt;&gt;"!!!"),"NEW","")))</f>
        <v>NEW</v>
      </c>
      <c r="G568" s="23" t="str">
        <f ca="1"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?REFERENTIAL</v>
      </c>
      <c r="H568" s="24" t="str">
        <f t="shared" ca="1" si="19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 t="s">
        <v>496</v>
      </c>
    </row>
    <row r="569" spans="1:12" x14ac:dyDescent="0.3">
      <c r="A569" t="s">
        <v>388</v>
      </c>
      <c r="E569" s="21" t="str">
        <f t="shared" si="18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19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47</v>
      </c>
      <c r="E570" s="21" t="str">
        <f t="shared" si="18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19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150</v>
      </c>
      <c r="E571" s="21" t="str">
        <f t="shared" si="18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19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151</v>
      </c>
      <c r="E572" s="21" t="str">
        <f t="shared" si="18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19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3" spans="1:12" x14ac:dyDescent="0.3">
      <c r="A573" t="s">
        <v>389</v>
      </c>
      <c r="E573" s="21" t="str">
        <f t="shared" si="18"/>
        <v/>
      </c>
      <c r="F573" s="22" t="str">
        <f>IF(OR(E573="",E573="!!!"),"",IF(NOT(ISNA(VLOOKUP(E573,E$1:E572,1,FALSE()))),"OLD",IF(AND(E573&lt;&gt;"",E573&lt;&gt;"!!!"),"NEW","")))</f>
        <v/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t="shared" ca="1" si="19"/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47</v>
      </c>
      <c r="E574" s="21" t="str">
        <f t="shared" si="18"/>
        <v/>
      </c>
      <c r="F574" s="22" t="str">
        <f>IF(OR(E574="",E574="!!!"),"",IF(NOT(ISNA(VLOOKUP(E574,E$1:E573,1,FALSE()))),"OLD",IF(AND(E574&lt;&gt;"",E574&lt;&gt;"!!!"),"NEW","")))</f>
        <v/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t="shared" ca="1" si="19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/>
    </row>
    <row r="575" spans="1:12" x14ac:dyDescent="0.3">
      <c r="A575" t="s">
        <v>124</v>
      </c>
      <c r="E575" s="21" t="str">
        <f t="shared" si="18"/>
        <v/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19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390</v>
      </c>
      <c r="E576" s="21" t="str">
        <f t="shared" si="18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19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7" spans="1:12" ht="28.8" x14ac:dyDescent="0.3">
      <c r="A577" t="s">
        <v>175</v>
      </c>
      <c r="B577" s="20" t="s">
        <v>347</v>
      </c>
      <c r="C577" s="20" t="s">
        <v>62</v>
      </c>
      <c r="E577" s="21" t="s">
        <v>469</v>
      </c>
      <c r="F577" s="22" t="str">
        <f>IF(OR(E577="",E577="!!!"),"",IF(NOT(ISNA(VLOOKUP(E577,E$1:E576,1,FALSE()))),"OLD",IF(AND(E577&lt;&gt;"",E577&lt;&gt;"!!!"),"NEW","")))</f>
        <v>OLD</v>
      </c>
      <c r="G577" s="23" t="str">
        <f ca="1"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?IN_FOCUS</v>
      </c>
      <c r="H577" s="24" t="str">
        <f t="shared" ca="1" si="19"/>
        <v/>
      </c>
      <c r="I577" s="25" t="str">
        <f>IF(OR(E577="",E577="!!!",F577="NEW"),"",INDEX(B$2:B576,-1+SUMPRODUCT(MAX(ROW(E$2:E576)*(E577=E$2:E576)))))</f>
        <v>SBJ_10</v>
      </c>
      <c r="J577" s="25">
        <f ca="1">IF(OR(E577="",E577="!!!",F577="NEW"),"",COUNTBLANK(OFFSET(A$1,,,SUMPRODUCT(MAX(ROW(E$2:E577)*(E577=E$2:E577)))))-COUNTBLANK(OFFSET(A$1,,,SUMPRODUCT(MAX(ROW(E$1:E576)*(E2=E$1:E576))))))</f>
        <v>0</v>
      </c>
      <c r="K577" s="25">
        <f ca="1">IF(OR(E577="",E577="!!!",F577="NEW"),"",INDEX(J$1:J576,SUMPRODUCT(MAX(ROW(E$1:E576)*(E577=E$1:E576)))))</f>
        <v>0</v>
      </c>
      <c r="L577" s="26" t="s">
        <v>480</v>
      </c>
    </row>
    <row r="578" spans="1:12" x14ac:dyDescent="0.3">
      <c r="A578" t="s">
        <v>226</v>
      </c>
      <c r="E578" s="21" t="str">
        <f t="shared" si="18"/>
        <v/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19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47</v>
      </c>
      <c r="E579" s="21" t="str">
        <f t="shared" si="18"/>
        <v/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ca="1" si="19"/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72</v>
      </c>
      <c r="E580" s="21" t="str">
        <f t="shared" si="18"/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19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154</v>
      </c>
      <c r="E581" s="21" t="s">
        <v>437</v>
      </c>
      <c r="F581" s="22" t="str">
        <f>IF(OR(E581="",E581="!!!"),"",IF(NOT(ISNA(VLOOKUP(E581,E$1:E580,1,FALSE()))),"OLD",IF(AND(E581&lt;&gt;"",E581&lt;&gt;"!!!"),"NEW","")))</f>
        <v>OLD</v>
      </c>
      <c r="G581" s="23" t="str">
        <f ca="1"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?IN_FOCUS</v>
      </c>
      <c r="H581" s="24" t="str">
        <f t="shared" ca="1" si="19"/>
        <v/>
      </c>
      <c r="I581" s="25">
        <f>IF(OR(E581="",E581="!!!",F581="NEW"),"",INDEX(B$2:B580,-1+SUMPRODUCT(MAX(ROW(E$2:E580)*(E581=E$2:E580)))))</f>
        <v>0</v>
      </c>
      <c r="J581" s="25">
        <f ca="1">IF(OR(E581="",E581="!!!",F581="NEW"),"",COUNTBLANK(OFFSET(A$1,,,SUMPRODUCT(MAX(ROW(E$2:E581)*(E581=E$2:E581)))))-COUNTBLANK(OFFSET(A$1,,,SUMPRODUCT(MAX(ROW(E$1:E580)*(E2=E$1:E580))))))</f>
        <v>0</v>
      </c>
      <c r="K581" s="25">
        <f ca="1">IF(OR(E581="",E581="!!!",F581="NEW"),"",INDEX(J$1:J580,SUMPRODUCT(MAX(ROW(E$1:E580)*(E581=E$1:E580)))))</f>
        <v>0</v>
      </c>
      <c r="L581" s="26"/>
    </row>
    <row r="582" spans="1:12" x14ac:dyDescent="0.3">
      <c r="A582" t="s">
        <v>47</v>
      </c>
      <c r="E582" s="21" t="str">
        <f t="shared" si="18"/>
        <v/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19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154</v>
      </c>
      <c r="B583" s="20" t="s">
        <v>379</v>
      </c>
      <c r="E583" s="21"/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19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140</v>
      </c>
      <c r="B584" s="20" t="s">
        <v>350</v>
      </c>
      <c r="C584" s="20" t="s">
        <v>105</v>
      </c>
      <c r="D584" s="20" t="s">
        <v>37</v>
      </c>
      <c r="E584" s="21" t="s">
        <v>469</v>
      </c>
      <c r="F584" s="22" t="str">
        <f>IF(OR(E584="",E584="!!!"),"",IF(NOT(ISNA(VLOOKUP(E584,E$1:E583,1,FALSE()))),"OLD",IF(AND(E584&lt;&gt;"",E584&lt;&gt;"!!!"),"NEW","")))</f>
        <v>OLD</v>
      </c>
      <c r="G584" s="23" t="str">
        <f ca="1"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?IN_FOCUS</v>
      </c>
      <c r="H584" s="24" t="str">
        <f t="shared" ca="1" si="19"/>
        <v/>
      </c>
      <c r="I584" s="25" t="str">
        <f>IF(OR(E584="",E584="!!!",F584="NEW"),"",INDEX(B$2:B583,-1+SUMPRODUCT(MAX(ROW(E$2:E583)*(E584=E$2:E583)))))</f>
        <v>OBJ_8</v>
      </c>
      <c r="J584" s="25">
        <f ca="1">IF(OR(E584="",E584="!!!",F584="NEW"),"",COUNTBLANK(OFFSET(A$1,,,SUMPRODUCT(MAX(ROW(E$2:E584)*(E584=E$2:E584)))))-COUNTBLANK(OFFSET(A$1,,,SUMPRODUCT(MAX(ROW(E$1:E583)*(E2=E$1:E583))))))</f>
        <v>0</v>
      </c>
      <c r="K584" s="25">
        <f ca="1">IF(OR(E584="",E584="!!!",F584="NEW"),"",INDEX(J$1:J583,SUMPRODUCT(MAX(ROW(E$1:E583)*(E584=E$1:E583)))))</f>
        <v>0</v>
      </c>
      <c r="L584" s="26"/>
    </row>
    <row r="585" spans="1:12" x14ac:dyDescent="0.3">
      <c r="A585" t="s">
        <v>391</v>
      </c>
      <c r="E585" s="21" t="str">
        <f t="shared" si="18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19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67</v>
      </c>
      <c r="E586" s="21" t="str">
        <f t="shared" si="18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19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392</v>
      </c>
      <c r="E587" s="21" t="str">
        <f t="shared" si="18"/>
        <v/>
      </c>
      <c r="F587" s="22" t="str">
        <f>IF(OR(E587="",E587="!!!"),"",IF(NOT(ISNA(VLOOKUP(E587,E$1:E586,1,FALSE()))),"OLD",IF(AND(E587&lt;&gt;"",E587&lt;&gt;"!!!"),"NEW","")))</f>
        <v/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4" t="str">
        <f t="shared" ca="1" si="19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8" spans="1:12" x14ac:dyDescent="0.3">
      <c r="A588" t="s">
        <v>168</v>
      </c>
      <c r="B588" s="20" t="s">
        <v>237</v>
      </c>
      <c r="C588" s="20" t="s">
        <v>36</v>
      </c>
      <c r="D588" s="20" t="s">
        <v>37</v>
      </c>
      <c r="E588" s="21" t="s">
        <v>420</v>
      </c>
      <c r="F588" s="22" t="str">
        <f>IF(OR(E588="",E588="!!!"),"",IF(NOT(ISNA(VLOOKUP(E588,E$1:E587,1,FALSE()))),"OLD",IF(AND(E588&lt;&gt;"",E588&lt;&gt;"!!!"),"NEW","")))</f>
        <v>OLD</v>
      </c>
      <c r="G588" s="23" t="str">
        <f ca="1"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?IN_FOCUS</v>
      </c>
      <c r="H588" s="24" t="str">
        <f t="shared" ca="1" si="19"/>
        <v/>
      </c>
      <c r="I588" s="25" t="str">
        <f>IF(OR(E588="",E588="!!!",F588="NEW"),"",INDEX(B$2:B587,-1+SUMPRODUCT(MAX(ROW(E$2:E587)*(E588=E$2:E587)))))</f>
        <v>other_7</v>
      </c>
      <c r="J588" s="25">
        <f ca="1">IF(OR(E588="",E588="!!!",F588="NEW"),"",COUNTBLANK(OFFSET(A$1,,,SUMPRODUCT(MAX(ROW(E$2:E588)*(E588=E$2:E588)))))-COUNTBLANK(OFFSET(A$1,,,SUMPRODUCT(MAX(ROW(E$1:E587)*(E2=E$1:E587))))))</f>
        <v>0</v>
      </c>
      <c r="K588" s="25">
        <f ca="1">IF(OR(E588="",E588="!!!",F588="NEW"),"",INDEX(J$1:J587,SUMPRODUCT(MAX(ROW(E$1:E587)*(E588=E$1:E587)))))</f>
        <v>0</v>
      </c>
      <c r="L588" s="26"/>
    </row>
    <row r="589" spans="1:12" x14ac:dyDescent="0.3">
      <c r="A589" t="s">
        <v>69</v>
      </c>
      <c r="E589" s="21" t="str">
        <f t="shared" si="18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19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204</v>
      </c>
      <c r="B590" s="20" t="s">
        <v>156</v>
      </c>
      <c r="C590" s="20" t="s">
        <v>36</v>
      </c>
      <c r="D590" s="20" t="s">
        <v>37</v>
      </c>
      <c r="E590" s="21"/>
      <c r="F590" s="22" t="s">
        <v>442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19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210</v>
      </c>
      <c r="E591" s="21" t="str">
        <f t="shared" si="18"/>
        <v/>
      </c>
      <c r="F591" s="22" t="str">
        <f>IF(OR(E591="",E591="!!!"),"",IF(NOT(ISNA(VLOOKUP(E591,E$1:E590,1,FALSE()))),"OLD",IF(AND(E591&lt;&gt;"",E591&lt;&gt;"!!!"),"NEW","")))</f>
        <v/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t="shared" ca="1" si="19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/>
    </row>
    <row r="592" spans="1:12" x14ac:dyDescent="0.3">
      <c r="A592" t="s">
        <v>393</v>
      </c>
      <c r="B592" s="20" t="s">
        <v>56</v>
      </c>
      <c r="C592" s="20" t="s">
        <v>54</v>
      </c>
      <c r="E592" s="21" t="str">
        <f t="shared" si="18"/>
        <v/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19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3" spans="1:12" x14ac:dyDescent="0.3">
      <c r="A593" t="s">
        <v>47</v>
      </c>
      <c r="E593" s="21" t="str">
        <f t="shared" si="18"/>
        <v/>
      </c>
      <c r="F593" s="22" t="str">
        <f>IF(OR(E593="",E593="!!!"),"",IF(NOT(ISNA(VLOOKUP(E593,E$1:E592,1,FALSE()))),"OLD",IF(AND(E593&lt;&gt;"",E593&lt;&gt;"!!!"),"NEW","")))</f>
        <v/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4" t="str">
        <f t="shared" ca="1" si="19"/>
        <v/>
      </c>
      <c r="I593" s="25" t="str">
        <f>IF(OR(E593="",E593="!!!",F593="NEW"),"",INDEX(B$2:B592,-1+SUMPRODUCT(MAX(ROW(E$2:E592)*(E593=E$2:E592)))))</f>
        <v/>
      </c>
      <c r="J593" s="25" t="str">
        <f ca="1">IF(OR(E593="",E593="!!!",F593="NEW"),"",COUNTBLANK(OFFSET(A$1,,,SUMPRODUCT(MAX(ROW(E$2:E593)*(E593=E$2:E593)))))-COUNTBLANK(OFFSET(A$1,,,SUMPRODUCT(MAX(ROW(E$1:E592)*(E2=E$1:E592))))))</f>
        <v/>
      </c>
      <c r="K593" s="25" t="str">
        <f>IF(OR(E593="",E593="!!!",F593="NEW"),"",INDEX(J$1:J592,SUMPRODUCT(MAX(ROW(E$1:E592)*(E593=E$1:E592)))))</f>
        <v/>
      </c>
      <c r="L593" s="26"/>
    </row>
    <row r="594" spans="1:12" x14ac:dyDescent="0.3">
      <c r="A594" t="s">
        <v>124</v>
      </c>
      <c r="E594" s="21" t="str">
        <f t="shared" si="18"/>
        <v/>
      </c>
      <c r="F594" s="22" t="str">
        <f>IF(OR(E594="",E594="!!!"),"",IF(NOT(ISNA(VLOOKUP(E594,E$1:E593,1,FALSE()))),"OLD",IF(AND(E594&lt;&gt;"",E594&lt;&gt;"!!!"),"NEW","")))</f>
        <v/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4" t="str">
        <f t="shared" ca="1" si="19"/>
        <v/>
      </c>
      <c r="I594" s="25" t="str">
        <f>IF(OR(E594="",E594="!!!",F594="NEW"),"",INDEX(B$2:B593,-1+SUMPRODUCT(MAX(ROW(E$2:E593)*(E594=E$2:E593)))))</f>
        <v/>
      </c>
      <c r="J594" s="25" t="str">
        <f ca="1">IF(OR(E594="",E594="!!!",F594="NEW"),"",COUNTBLANK(OFFSET(A$1,,,SUMPRODUCT(MAX(ROW(E$2:E594)*(E594=E$2:E594)))))-COUNTBLANK(OFFSET(A$1,,,SUMPRODUCT(MAX(ROW(E$1:E593)*(E2=E$1:E593))))))</f>
        <v/>
      </c>
      <c r="K594" s="25" t="str">
        <f>IF(OR(E594="",E594="!!!",F594="NEW"),"",INDEX(J$1:J593,SUMPRODUCT(MAX(ROW(E$1:E593)*(E594=E$1:E593)))))</f>
        <v/>
      </c>
      <c r="L594" s="26"/>
    </row>
    <row r="595" spans="1:12" x14ac:dyDescent="0.3">
      <c r="A595" t="s">
        <v>154</v>
      </c>
      <c r="E595" s="21" t="str">
        <f t="shared" si="18"/>
        <v/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ca="1" si="19"/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394</v>
      </c>
      <c r="B596" s="20" t="s">
        <v>233</v>
      </c>
      <c r="C596" s="20" t="s">
        <v>78</v>
      </c>
      <c r="D596" s="20" t="s">
        <v>37</v>
      </c>
      <c r="E596" s="21" t="s">
        <v>499</v>
      </c>
      <c r="F596" s="22" t="str">
        <f>IF(OR(E596="",E596="!!!"),"",IF(NOT(ISNA(VLOOKUP(E596,E$1:E595,1,FALSE()))),"OLD",IF(AND(E596&lt;&gt;"",E596&lt;&gt;"!!!"),"NEW","")))</f>
        <v>NEW</v>
      </c>
      <c r="G596" s="23" t="str">
        <f ca="1"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?REFERENTIAL</v>
      </c>
      <c r="H596" s="24" t="str">
        <f t="shared" ca="1" si="19"/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 t="s">
        <v>426</v>
      </c>
    </row>
    <row r="597" spans="1:12" x14ac:dyDescent="0.3">
      <c r="A597" t="s">
        <v>395</v>
      </c>
      <c r="E597" s="21" t="s">
        <v>437</v>
      </c>
      <c r="F597" s="22" t="s">
        <v>433</v>
      </c>
      <c r="G597" s="23" t="str">
        <f ca="1"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?IN_FOCUS</v>
      </c>
      <c r="H597" s="24" t="str">
        <f t="shared" ca="1" si="19"/>
        <v/>
      </c>
      <c r="I597" s="25">
        <f>IF(OR(E597="",E597="!!!",F597="NEW"),"",INDEX(B$2:B596,-1+SUMPRODUCT(MAX(ROW(E$2:E596)*(E597=E$2:E596)))))</f>
        <v>0</v>
      </c>
      <c r="J597" s="25">
        <f ca="1">IF(OR(E597="",E597="!!!",F597="NEW"),"",COUNTBLANK(OFFSET(A$1,,,SUMPRODUCT(MAX(ROW(E$2:E597)*(E597=E$2:E597)))))-COUNTBLANK(OFFSET(A$1,,,SUMPRODUCT(MAX(ROW(E$1:E596)*(E2=E$1:E596))))))</f>
        <v>0</v>
      </c>
      <c r="K597" s="25">
        <f ca="1">IF(OR(E597="",E597="!!!",F597="NEW"),"",INDEX(J$1:J596,SUMPRODUCT(MAX(ROW(E$1:E596)*(E597=E$1:E596)))))</f>
        <v>0</v>
      </c>
      <c r="L597" s="26"/>
    </row>
    <row r="598" spans="1:12" x14ac:dyDescent="0.3">
      <c r="A598" t="s">
        <v>122</v>
      </c>
      <c r="E598" s="21" t="str">
        <f t="shared" si="18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19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396</v>
      </c>
      <c r="E599" s="21" t="str">
        <f t="shared" si="18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19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47</v>
      </c>
      <c r="E600" s="21" t="str">
        <f t="shared" ref="E600:E648" si="20">IF(D600="?OLD","!!!","")</f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ref="H600:H648" ca="1" si="21">IF(J600&lt;&gt;1,"",IF(I600="SBJ","CB","?"))</f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154</v>
      </c>
      <c r="B601" s="20" t="s">
        <v>180</v>
      </c>
      <c r="E601" s="21"/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21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142</v>
      </c>
      <c r="E602" s="21" t="str">
        <f t="shared" si="20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21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79</v>
      </c>
      <c r="E603" s="21" t="str">
        <f t="shared" si="20"/>
        <v/>
      </c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21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144</v>
      </c>
      <c r="B604" s="20" t="s">
        <v>173</v>
      </c>
      <c r="C604" s="20" t="s">
        <v>78</v>
      </c>
      <c r="D604" s="20" t="s">
        <v>37</v>
      </c>
      <c r="E604" s="21"/>
      <c r="F604" s="22" t="s">
        <v>436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21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45</v>
      </c>
      <c r="E605" s="21" t="str">
        <f t="shared" si="20"/>
        <v/>
      </c>
      <c r="F605" s="22" t="str">
        <f>IF(OR(E605="",E605="!!!"),"",IF(NOT(ISNA(VLOOKUP(E605,E$1:E604,1,FALSE()))),"OLD",IF(AND(E605&lt;&gt;"",E605&lt;&gt;"!!!"),"NEW","")))</f>
        <v/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4" t="str">
        <f t="shared" ca="1" si="21"/>
        <v/>
      </c>
      <c r="I605" s="25" t="str">
        <f>IF(OR(E605="",E605="!!!",F605="NEW"),"",INDEX(B$2:B604,-1+SUMPRODUCT(MAX(ROW(E$2:E604)*(E605=E$2:E604)))))</f>
        <v/>
      </c>
      <c r="J605" s="25" t="str">
        <f ca="1">IF(OR(E605="",E605="!!!",F605="NEW"),"",COUNTBLANK(OFFSET(A$1,,,SUMPRODUCT(MAX(ROW(E$2:E605)*(E605=E$2:E605)))))-COUNTBLANK(OFFSET(A$1,,,SUMPRODUCT(MAX(ROW(E$1:E604)*(E2=E$1:E604))))))</f>
        <v/>
      </c>
      <c r="K605" s="25" t="str">
        <f>IF(OR(E605="",E605="!!!",F605="NEW"),"",INDEX(J$1:J604,SUMPRODUCT(MAX(ROW(E$1:E604)*(E605=E$1:E604)))))</f>
        <v/>
      </c>
      <c r="L605" s="26"/>
    </row>
    <row r="606" spans="1:12" x14ac:dyDescent="0.3">
      <c r="A606" t="s">
        <v>397</v>
      </c>
      <c r="B606" s="20" t="s">
        <v>224</v>
      </c>
      <c r="C606" s="20" t="s">
        <v>62</v>
      </c>
      <c r="E606" s="21" t="str">
        <f t="shared" si="20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21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398</v>
      </c>
      <c r="E607" s="21" t="str">
        <f t="shared" si="20"/>
        <v/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21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8" spans="1:12" x14ac:dyDescent="0.3">
      <c r="A608" t="s">
        <v>399</v>
      </c>
      <c r="E608" s="21" t="str">
        <f t="shared" si="20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21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47</v>
      </c>
      <c r="E609" s="21" t="str">
        <f t="shared" si="20"/>
        <v/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21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  <row r="610" spans="1:12" x14ac:dyDescent="0.3">
      <c r="A610" t="s">
        <v>69</v>
      </c>
      <c r="E610" s="21" t="str">
        <f t="shared" si="20"/>
        <v/>
      </c>
      <c r="F610" s="22" t="str">
        <f>IF(OR(E610="",E610="!!!"),"",IF(NOT(ISNA(VLOOKUP(E610,E$1:E609,1,FALSE()))),"OLD",IF(AND(E610&lt;&gt;"",E610&lt;&gt;"!!!"),"NEW","")))</f>
        <v/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ca="1" si="21"/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72</v>
      </c>
      <c r="E611" s="21" t="str">
        <f t="shared" si="20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21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168</v>
      </c>
      <c r="B612" s="20" t="s">
        <v>53</v>
      </c>
      <c r="C612" s="20" t="s">
        <v>36</v>
      </c>
      <c r="D612" s="20" t="s">
        <v>37</v>
      </c>
      <c r="E612" s="21" t="s">
        <v>420</v>
      </c>
      <c r="F612" s="22" t="str">
        <f>IF(OR(E612="",E612="!!!"),"",IF(NOT(ISNA(VLOOKUP(E612,E$1:E611,1,FALSE()))),"OLD",IF(AND(E612&lt;&gt;"",E612&lt;&gt;"!!!"),"NEW","")))</f>
        <v>OLD</v>
      </c>
      <c r="G612" s="23" t="str">
        <f ca="1"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?IN_FOCUS</v>
      </c>
      <c r="H612" s="24" t="str">
        <f t="shared" ca="1" si="21"/>
        <v/>
      </c>
      <c r="I612" s="25" t="str">
        <f>IF(OR(E612="",E612="!!!",F612="NEW"),"",INDEX(B$2:B611,-1+SUMPRODUCT(MAX(ROW(E$2:E611)*(E612=E$2:E611)))))</f>
        <v>other_8</v>
      </c>
      <c r="J612" s="25">
        <f ca="1">IF(OR(E612="",E612="!!!",F612="NEW"),"",COUNTBLANK(OFFSET(A$1,,,SUMPRODUCT(MAX(ROW(E$2:E612)*(E612=E$2:E612)))))-COUNTBLANK(OFFSET(A$1,,,SUMPRODUCT(MAX(ROW(E$1:E611)*(E2=E$1:E611))))))</f>
        <v>0</v>
      </c>
      <c r="K612" s="25">
        <f ca="1">IF(OR(E612="",E612="!!!",F612="NEW"),"",INDEX(J$1:J611,SUMPRODUCT(MAX(ROW(E$1:E611)*(E612=E$1:E611)))))</f>
        <v>0</v>
      </c>
      <c r="L612" s="26"/>
    </row>
    <row r="613" spans="1:12" x14ac:dyDescent="0.3">
      <c r="A613" t="s">
        <v>400</v>
      </c>
      <c r="E613" s="21" t="str">
        <f t="shared" si="20"/>
        <v/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21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45</v>
      </c>
      <c r="E614" s="21" t="str">
        <f t="shared" si="20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21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401</v>
      </c>
      <c r="E615" s="21" t="str">
        <f t="shared" si="20"/>
        <v/>
      </c>
      <c r="F615" s="22" t="str">
        <f>IF(OR(E615="",E615="!!!"),"",IF(NOT(ISNA(VLOOKUP(E615,E$1:E614,1,FALSE()))),"OLD",IF(AND(E615&lt;&gt;"",E615&lt;&gt;"!!!"),"NEW","")))</f>
        <v/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4" t="str">
        <f t="shared" ca="1" si="21"/>
        <v/>
      </c>
      <c r="I615" s="25" t="str">
        <f>IF(OR(E615="",E615="!!!",F615="NEW"),"",INDEX(B$2:B614,-1+SUMPRODUCT(MAX(ROW(E$2:E614)*(E615=E$2:E614)))))</f>
        <v/>
      </c>
      <c r="J615" s="25" t="str">
        <f ca="1">IF(OR(E615="",E615="!!!",F615="NEW"),"",COUNTBLANK(OFFSET(A$1,,,SUMPRODUCT(MAX(ROW(E$2:E615)*(E615=E$2:E615)))))-COUNTBLANK(OFFSET(A$1,,,SUMPRODUCT(MAX(ROW(E$1:E614)*(E2=E$1:E614))))))</f>
        <v/>
      </c>
      <c r="K615" s="25" t="str">
        <f>IF(OR(E615="",E615="!!!",F615="NEW"),"",INDEX(J$1:J614,SUMPRODUCT(MAX(ROW(E$1:E614)*(E615=E$1:E614)))))</f>
        <v/>
      </c>
      <c r="L615" s="26"/>
    </row>
    <row r="616" spans="1:12" x14ac:dyDescent="0.3">
      <c r="A616" t="s">
        <v>402</v>
      </c>
      <c r="B616" s="20" t="s">
        <v>120</v>
      </c>
      <c r="C616" s="20" t="s">
        <v>62</v>
      </c>
      <c r="E616" s="21" t="str">
        <f t="shared" si="20"/>
        <v/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ca="1" si="21"/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72</v>
      </c>
      <c r="E617" s="21" t="str">
        <f t="shared" si="20"/>
        <v/>
      </c>
      <c r="F617" s="22" t="str">
        <f>IF(OR(E617="",E617="!!!"),"",IF(NOT(ISNA(VLOOKUP(E617,E$1:E616,1,FALSE()))),"OLD",IF(AND(E617&lt;&gt;"",E617&lt;&gt;"!!!"),"NEW","")))</f>
        <v/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t="shared" ca="1" si="21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174</v>
      </c>
      <c r="E618" s="21" t="s">
        <v>449</v>
      </c>
      <c r="F618" s="22" t="str">
        <f>IF(OR(E618="",E618="!!!"),"",IF(NOT(ISNA(VLOOKUP(E618,E$1:E617,1,FALSE()))),"OLD",IF(AND(E618&lt;&gt;"",E618&lt;&gt;"!!!"),"NEW","")))</f>
        <v>OLD</v>
      </c>
      <c r="G618" s="23" t="str">
        <f ca="1"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?IN_FOCUS</v>
      </c>
      <c r="H618" s="24" t="str">
        <f t="shared" ca="1" si="21"/>
        <v/>
      </c>
      <c r="I618" s="25" t="str">
        <f>IF(OR(E618="",E618="!!!",F618="NEW"),"",INDEX(B$2:B617,-1+SUMPRODUCT(MAX(ROW(E$2:E617)*(E618=E$2:E617)))))</f>
        <v>other_14</v>
      </c>
      <c r="J618" s="25">
        <f ca="1">IF(OR(E618="",E618="!!!",F618="NEW"),"",COUNTBLANK(OFFSET(A$1,,,SUMPRODUCT(MAX(ROW(E$2:E618)*(E618=E$2:E618)))))-COUNTBLANK(OFFSET(A$1,,,SUMPRODUCT(MAX(ROW(E$1:E617)*(E2=E$1:E617))))))</f>
        <v>0</v>
      </c>
      <c r="K618" s="25">
        <f ca="1">IF(OR(E618="",E618="!!!",F618="NEW"),"",INDEX(J$1:J617,SUMPRODUCT(MAX(ROW(E$1:E617)*(E618=E$1:E617)))))</f>
        <v>0</v>
      </c>
      <c r="L618" s="26"/>
    </row>
    <row r="619" spans="1:12" x14ac:dyDescent="0.3">
      <c r="A619" t="s">
        <v>403</v>
      </c>
      <c r="B619" s="20" t="s">
        <v>41</v>
      </c>
      <c r="C619" s="20" t="s">
        <v>176</v>
      </c>
      <c r="E619" s="21" t="s">
        <v>462</v>
      </c>
      <c r="F619" s="22" t="str">
        <f>IF(OR(E619="",E619="!!!"),"",IF(NOT(ISNA(VLOOKUP(E619,E$1:E618,1,FALSE()))),"OLD",IF(AND(E619&lt;&gt;"",E619&lt;&gt;"!!!"),"NEW","")))</f>
        <v>OLD</v>
      </c>
      <c r="G619" s="23" t="str">
        <f ca="1"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?IN_FOCUS</v>
      </c>
      <c r="H619" s="24" t="str">
        <f t="shared" ca="1" si="21"/>
        <v/>
      </c>
      <c r="I619" s="25" t="str">
        <f>IF(OR(E619="",E619="!!!",F619="NEW"),"",INDEX(B$2:B618,-1+SUMPRODUCT(MAX(ROW(E$2:E618)*(E619=E$2:E618)))))</f>
        <v>OBJ_13</v>
      </c>
      <c r="J619" s="25">
        <f ca="1">IF(OR(E619="",E619="!!!",F619="NEW"),"",COUNTBLANK(OFFSET(A$1,,,SUMPRODUCT(MAX(ROW(E$2:E619)*(E619=E$2:E619)))))-COUNTBLANK(OFFSET(A$1,,,SUMPRODUCT(MAX(ROW(E$1:E618)*(E2=E$1:E618))))))</f>
        <v>0</v>
      </c>
      <c r="K619" s="25">
        <f ca="1">IF(OR(E619="",E619="!!!",F619="NEW"),"",INDEX(J$1:J618,SUMPRODUCT(MAX(ROW(E$1:E618)*(E619=E$1:E618)))))</f>
        <v>0</v>
      </c>
      <c r="L619" s="26" t="s">
        <v>496</v>
      </c>
    </row>
    <row r="620" spans="1:12" x14ac:dyDescent="0.3">
      <c r="A620" t="s">
        <v>226</v>
      </c>
      <c r="E620" s="21" t="s">
        <v>472</v>
      </c>
      <c r="F620" s="22" t="str">
        <f>IF(OR(E620="",E620="!!!"),"",IF(NOT(ISNA(VLOOKUP(E620,E$1:E619,1,FALSE()))),"OLD",IF(AND(E620&lt;&gt;"",E620&lt;&gt;"!!!"),"NEW","")))</f>
        <v>NEW</v>
      </c>
      <c r="G620" s="23" t="str">
        <f ca="1"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?REFERENTIAL</v>
      </c>
      <c r="H620" s="24" t="str">
        <f t="shared" ca="1" si="21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 t="s">
        <v>425</v>
      </c>
    </row>
    <row r="621" spans="1:12" x14ac:dyDescent="0.3">
      <c r="A621" t="s">
        <v>67</v>
      </c>
      <c r="E621" s="21" t="str">
        <f t="shared" si="20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21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404</v>
      </c>
      <c r="B622" s="20" t="s">
        <v>116</v>
      </c>
      <c r="C622" s="20" t="s">
        <v>42</v>
      </c>
      <c r="D622" s="20" t="s">
        <v>37</v>
      </c>
      <c r="E622" s="21"/>
      <c r="F622" s="22" t="str">
        <f>IF(OR(E622="",E622="!!!"),"",IF(NOT(ISNA(VLOOKUP(E622,E$1:E621,1,FALSE()))),"OLD",IF(AND(E622&lt;&gt;"",E622&lt;&gt;"!!!"),"NEW","")))</f>
        <v/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t="shared" ca="1" si="21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 t="s">
        <v>455</v>
      </c>
    </row>
    <row r="623" spans="1:12" x14ac:dyDescent="0.3">
      <c r="A623" t="s">
        <v>39</v>
      </c>
      <c r="E623" s="21" t="str">
        <f t="shared" si="20"/>
        <v/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21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40</v>
      </c>
      <c r="B624" s="20" t="s">
        <v>145</v>
      </c>
      <c r="C624" s="20" t="s">
        <v>42</v>
      </c>
      <c r="D624" s="20" t="s">
        <v>37</v>
      </c>
      <c r="E624" s="21" t="s">
        <v>422</v>
      </c>
      <c r="F624" s="22" t="str">
        <f>IF(OR(E624="",E624="!!!"),"",IF(NOT(ISNA(VLOOKUP(E624,E$1:E623,1,FALSE()))),"OLD",IF(AND(E624&lt;&gt;"",E624&lt;&gt;"!!!"),"NEW","")))</f>
        <v>OLD</v>
      </c>
      <c r="G624" s="23" t="str">
        <f ca="1"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?IN_FOCUS</v>
      </c>
      <c r="H624" s="24" t="str">
        <f t="shared" ca="1" si="21"/>
        <v/>
      </c>
      <c r="I624" s="25" t="str">
        <f>IF(OR(E624="",E624="!!!",F624="NEW"),"",INDEX(B$2:B623,-1+SUMPRODUCT(MAX(ROW(E$2:E623)*(E624=E$2:E623)))))</f>
        <v>other_5</v>
      </c>
      <c r="J624" s="25">
        <f ca="1">IF(OR(E624="",E624="!!!",F624="NEW"),"",COUNTBLANK(OFFSET(A$1,,,SUMPRODUCT(MAX(ROW(E$2:E624)*(E624=E$2:E624)))))-COUNTBLANK(OFFSET(A$1,,,SUMPRODUCT(MAX(ROW(E$1:E623)*(E2=E$1:E623))))))</f>
        <v>0</v>
      </c>
      <c r="K624" s="25">
        <f ca="1">IF(OR(E624="",E624="!!!",F624="NEW"),"",INDEX(J$1:J623,SUMPRODUCT(MAX(ROW(E$1:E623)*(E624=E$1:E623)))))</f>
        <v>0</v>
      </c>
      <c r="L624" s="26"/>
    </row>
    <row r="625" spans="1:12" x14ac:dyDescent="0.3">
      <c r="A625" t="s">
        <v>43</v>
      </c>
      <c r="E625" s="21" t="str">
        <f t="shared" si="20"/>
        <v/>
      </c>
      <c r="F625" s="22" t="str">
        <f>IF(OR(E625="",E625="!!!"),"",IF(NOT(ISNA(VLOOKUP(E625,E$1:E624,1,FALSE()))),"OLD",IF(AND(E625&lt;&gt;"",E625&lt;&gt;"!!!"),"NEW","")))</f>
        <v/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4" t="str">
        <f t="shared" ca="1" si="21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6" spans="1:12" x14ac:dyDescent="0.3">
      <c r="A626" t="s">
        <v>405</v>
      </c>
      <c r="E626" s="21" t="str">
        <f t="shared" si="20"/>
        <v/>
      </c>
      <c r="F626" s="22" t="str">
        <f>IF(OR(E626="",E626="!!!"),"",IF(NOT(ISNA(VLOOKUP(E626,E$1:E625,1,FALSE()))),"OLD",IF(AND(E626&lt;&gt;"",E626&lt;&gt;"!!!"),"NEW","")))</f>
        <v/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4" t="str">
        <f t="shared" ca="1" si="21"/>
        <v/>
      </c>
      <c r="I626" s="25" t="str">
        <f>IF(OR(E626="",E626="!!!",F626="NEW"),"",INDEX(B$2:B625,-1+SUMPRODUCT(MAX(ROW(E$2:E625)*(E626=E$2:E625)))))</f>
        <v/>
      </c>
      <c r="J626" s="25" t="str">
        <f ca="1">IF(OR(E626="",E626="!!!",F626="NEW"),"",COUNTBLANK(OFFSET(A$1,,,SUMPRODUCT(MAX(ROW(E$2:E626)*(E626=E$2:E626)))))-COUNTBLANK(OFFSET(A$1,,,SUMPRODUCT(MAX(ROW(E$1:E625)*(E2=E$1:E625))))))</f>
        <v/>
      </c>
      <c r="K626" s="25" t="str">
        <f>IF(OR(E626="",E626="!!!",F626="NEW"),"",INDEX(J$1:J625,SUMPRODUCT(MAX(ROW(E$1:E625)*(E626=E$1:E625)))))</f>
        <v/>
      </c>
      <c r="L626" s="26"/>
    </row>
    <row r="627" spans="1:12" x14ac:dyDescent="0.3">
      <c r="A627" t="s">
        <v>39</v>
      </c>
      <c r="E627" s="21" t="str">
        <f t="shared" si="20"/>
        <v/>
      </c>
      <c r="F627" s="22" t="str">
        <f>IF(OR(E627="",E627="!!!"),"",IF(NOT(ISNA(VLOOKUP(E627,E$1:E626,1,FALSE()))),"OLD",IF(AND(E627&lt;&gt;"",E627&lt;&gt;"!!!"),"NEW","")))</f>
        <v/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4" t="str">
        <f t="shared" ca="1" si="21"/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  <row r="628" spans="1:12" x14ac:dyDescent="0.3">
      <c r="A628" t="s">
        <v>406</v>
      </c>
      <c r="B628" s="20" t="s">
        <v>41</v>
      </c>
      <c r="C628" s="20" t="s">
        <v>42</v>
      </c>
      <c r="D628" s="20" t="s">
        <v>37</v>
      </c>
      <c r="E628" s="21" t="s">
        <v>471</v>
      </c>
      <c r="F628" s="22" t="str">
        <f>IF(OR(E628="",E628="!!!"),"",IF(NOT(ISNA(VLOOKUP(E628,E$1:E627,1,FALSE()))),"OLD",IF(AND(E628&lt;&gt;"",E628&lt;&gt;"!!!"),"NEW","")))</f>
        <v>NEW</v>
      </c>
      <c r="G628" s="23" t="str">
        <f ca="1"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?REFERENTIAL</v>
      </c>
      <c r="H628" s="24" t="str">
        <f t="shared" ca="1" si="21"/>
        <v/>
      </c>
      <c r="I628" s="25" t="str">
        <f>IF(OR(E628="",E628="!!!",F628="NEW"),"",INDEX(B$2:B627,-1+SUMPRODUCT(MAX(ROW(E$2:E627)*(E628=E$2:E627)))))</f>
        <v/>
      </c>
      <c r="J628" s="25" t="str">
        <f ca="1">IF(OR(E628="",E628="!!!",F628="NEW"),"",COUNTBLANK(OFFSET(A$1,,,SUMPRODUCT(MAX(ROW(E$2:E628)*(E628=E$2:E628)))))-COUNTBLANK(OFFSET(A$1,,,SUMPRODUCT(MAX(ROW(E$1:E627)*(E2=E$1:E627))))))</f>
        <v/>
      </c>
      <c r="K628" s="25" t="str">
        <f>IF(OR(E628="",E628="!!!",F628="NEW"),"",INDEX(J$1:J627,SUMPRODUCT(MAX(ROW(E$1:E627)*(E628=E$1:E627)))))</f>
        <v/>
      </c>
      <c r="L628" s="26"/>
    </row>
    <row r="629" spans="1:12" x14ac:dyDescent="0.3">
      <c r="A629" t="s">
        <v>47</v>
      </c>
      <c r="E629" s="21" t="str">
        <f t="shared" si="20"/>
        <v/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21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102</v>
      </c>
      <c r="B630" s="20" t="s">
        <v>116</v>
      </c>
      <c r="C630" s="20" t="s">
        <v>36</v>
      </c>
      <c r="D630" s="20" t="s">
        <v>37</v>
      </c>
      <c r="E630" s="21" t="s">
        <v>420</v>
      </c>
      <c r="F630" s="22" t="str">
        <f>IF(OR(E630="",E630="!!!"),"",IF(NOT(ISNA(VLOOKUP(E630,E$1:E629,1,FALSE()))),"OLD",IF(AND(E630&lt;&gt;"",E630&lt;&gt;"!!!"),"NEW","")))</f>
        <v>OLD</v>
      </c>
      <c r="G630" s="23" t="str">
        <f ca="1"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?IN_FOCUS</v>
      </c>
      <c r="H630" s="24" t="str">
        <f t="shared" ca="1" si="21"/>
        <v/>
      </c>
      <c r="I630" s="25" t="str">
        <f>IF(OR(E630="",E630="!!!",F630="NEW"),"",INDEX(B$2:B629,-1+SUMPRODUCT(MAX(ROW(E$2:E629)*(E630=E$2:E629)))))</f>
        <v>other_3</v>
      </c>
      <c r="J630" s="25">
        <f ca="1">IF(OR(E630="",E630="!!!",F630="NEW"),"",COUNTBLANK(OFFSET(A$1,,,SUMPRODUCT(MAX(ROW(E$2:E630)*(E630=E$2:E630)))))-COUNTBLANK(OFFSET(A$1,,,SUMPRODUCT(MAX(ROW(E$1:E629)*(E2=E$1:E629))))))</f>
        <v>0</v>
      </c>
      <c r="K630" s="25">
        <f ca="1">IF(OR(E630="",E630="!!!",F630="NEW"),"",INDEX(J$1:J629,SUMPRODUCT(MAX(ROW(E$1:E629)*(E630=E$1:E629)))))</f>
        <v>0</v>
      </c>
      <c r="L630" s="26"/>
    </row>
    <row r="631" spans="1:12" x14ac:dyDescent="0.3">
      <c r="A631" t="s">
        <v>407</v>
      </c>
      <c r="E631" s="21" t="str">
        <f t="shared" si="20"/>
        <v/>
      </c>
      <c r="F631" s="22" t="str">
        <f>IF(OR(E631="",E631="!!!"),"",IF(NOT(ISNA(VLOOKUP(E631,E$1:E630,1,FALSE()))),"OLD",IF(AND(E631&lt;&gt;"",E631&lt;&gt;"!!!"),"NEW","")))</f>
        <v/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21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47</v>
      </c>
      <c r="E632" s="21" t="str">
        <f t="shared" si="20"/>
        <v/>
      </c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21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/>
    </row>
    <row r="633" spans="1:12" x14ac:dyDescent="0.3">
      <c r="A633" t="s">
        <v>126</v>
      </c>
      <c r="E633" s="21" t="str">
        <f t="shared" si="20"/>
        <v/>
      </c>
      <c r="F633" s="22" t="str">
        <f>IF(OR(E633="",E633="!!!"),"",IF(NOT(ISNA(VLOOKUP(E633,E$1:E632,1,FALSE()))),"OLD",IF(AND(E633&lt;&gt;"",E633&lt;&gt;"!!!"),"NEW","")))</f>
        <v/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4" t="str">
        <f t="shared" ca="1" si="21"/>
        <v/>
      </c>
      <c r="I633" s="25" t="str">
        <f>IF(OR(E633="",E633="!!!",F633="NEW"),"",INDEX(B$2:B632,-1+SUMPRODUCT(MAX(ROW(E$2:E632)*(E633=E$2:E632)))))</f>
        <v/>
      </c>
      <c r="J633" s="25" t="str">
        <f ca="1">IF(OR(E633="",E633="!!!",F633="NEW"),"",COUNTBLANK(OFFSET(A$1,,,SUMPRODUCT(MAX(ROW(E$2:E633)*(E633=E$2:E633)))))-COUNTBLANK(OFFSET(A$1,,,SUMPRODUCT(MAX(ROW(E$1:E632)*(E2=E$1:E632))))))</f>
        <v/>
      </c>
      <c r="K633" s="25" t="str">
        <f>IF(OR(E633="",E633="!!!",F633="NEW"),"",INDEX(J$1:J632,SUMPRODUCT(MAX(ROW(E$1:E632)*(E633=E$1:E632)))))</f>
        <v/>
      </c>
      <c r="L633" s="26"/>
    </row>
    <row r="634" spans="1:12" x14ac:dyDescent="0.3">
      <c r="A634" t="s">
        <v>408</v>
      </c>
      <c r="B634" s="20" t="s">
        <v>35</v>
      </c>
      <c r="C634" s="20" t="s">
        <v>93</v>
      </c>
      <c r="D634" s="20" t="s">
        <v>37</v>
      </c>
      <c r="E634" s="21" t="s">
        <v>472</v>
      </c>
      <c r="F634" s="22" t="str">
        <f>IF(OR(E634="",E634="!!!"),"",IF(NOT(ISNA(VLOOKUP(E634,E$1:E633,1,FALSE()))),"OLD",IF(AND(E634&lt;&gt;"",E634&lt;&gt;"!!!"),"NEW","")))</f>
        <v>OLD</v>
      </c>
      <c r="G634" s="23" t="str">
        <f ca="1"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?IN_FOCUS</v>
      </c>
      <c r="H634" s="24" t="str">
        <f t="shared" ca="1" si="21"/>
        <v/>
      </c>
      <c r="I634" s="25">
        <f>IF(OR(E634="",E634="!!!",F634="NEW"),"",INDEX(B$2:B633,-1+SUMPRODUCT(MAX(ROW(E$2:E633)*(E634=E$2:E633)))))</f>
        <v>0</v>
      </c>
      <c r="J634" s="25">
        <f ca="1">IF(OR(E634="",E634="!!!",F634="NEW"),"",COUNTBLANK(OFFSET(A$1,,,SUMPRODUCT(MAX(ROW(E$2:E634)*(E634=E$2:E634)))))-COUNTBLANK(OFFSET(A$1,,,SUMPRODUCT(MAX(ROW(E$1:E633)*(E2=E$1:E633))))))</f>
        <v>0</v>
      </c>
      <c r="K634" s="25" t="str">
        <f ca="1">IF(OR(E634="",E634="!!!",F634="NEW"),"",INDEX(J$1:J633,SUMPRODUCT(MAX(ROW(E$1:E633)*(E634=E$1:E633)))))</f>
        <v/>
      </c>
      <c r="L634" s="26"/>
    </row>
    <row r="635" spans="1:12" x14ac:dyDescent="0.3">
      <c r="A635" t="s">
        <v>130</v>
      </c>
      <c r="E635" s="21" t="str">
        <f t="shared" si="20"/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ca="1" si="21"/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409</v>
      </c>
      <c r="E636" s="21" t="str">
        <f t="shared" si="20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21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7" spans="1:12" x14ac:dyDescent="0.3">
      <c r="A637" t="s">
        <v>410</v>
      </c>
      <c r="E637" s="21" t="s">
        <v>462</v>
      </c>
      <c r="F637" s="22" t="s">
        <v>433</v>
      </c>
      <c r="G637" s="23" t="str">
        <f ca="1"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?IN_FOCUS</v>
      </c>
      <c r="H637" s="24" t="str">
        <f t="shared" ca="1" si="21"/>
        <v/>
      </c>
      <c r="I637" s="25" t="str">
        <f>IF(OR(E637="",E637="!!!",F637="NEW"),"",INDEX(B$2:B636,-1+SUMPRODUCT(MAX(ROW(E$2:E636)*(E637=E$2:E636)))))</f>
        <v>other_2</v>
      </c>
      <c r="J637" s="25">
        <f ca="1">IF(OR(E637="",E637="!!!",F637="NEW"),"",COUNTBLANK(OFFSET(A$1,,,SUMPRODUCT(MAX(ROW(E$2:E637)*(E637=E$2:E637)))))-COUNTBLANK(OFFSET(A$1,,,SUMPRODUCT(MAX(ROW(E$1:E636)*(E2=E$1:E636))))))</f>
        <v>0</v>
      </c>
      <c r="K637" s="25">
        <f ca="1">IF(OR(E637="",E637="!!!",F637="NEW"),"",INDEX(J$1:J636,SUMPRODUCT(MAX(ROW(E$1:E636)*(E637=E$1:E636)))))</f>
        <v>0</v>
      </c>
      <c r="L637" s="26"/>
    </row>
    <row r="638" spans="1:12" x14ac:dyDescent="0.3">
      <c r="A638" t="s">
        <v>411</v>
      </c>
      <c r="B638" s="20" t="s">
        <v>120</v>
      </c>
      <c r="C638" s="20" t="s">
        <v>176</v>
      </c>
      <c r="E638" s="21" t="s">
        <v>503</v>
      </c>
      <c r="F638" s="22" t="str">
        <f>IF(OR(E638="",E638="!!!"),"",IF(NOT(ISNA(VLOOKUP(E638,E$1:E637,1,FALSE()))),"OLD",IF(AND(E638&lt;&gt;"",E638&lt;&gt;"!!!"),"NEW","")))</f>
        <v>NEW</v>
      </c>
      <c r="G638" s="23" t="str">
        <f ca="1"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?REFERENTIAL</v>
      </c>
      <c r="H638" s="24" t="str">
        <f t="shared" ca="1" si="21"/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72</v>
      </c>
      <c r="E639" s="21" t="str">
        <f t="shared" si="20"/>
        <v/>
      </c>
      <c r="F639" s="22" t="str">
        <f>IF(OR(E639="",E639="!!!"),"",IF(NOT(ISNA(VLOOKUP(E639,E$1:E638,1,FALSE()))),"OLD",IF(AND(E639&lt;&gt;"",E639&lt;&gt;"!!!"),"NEW","")))</f>
        <v/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t="shared" ca="1" si="21"/>
        <v/>
      </c>
      <c r="I639" s="25" t="str">
        <f>IF(OR(E639="",E639="!!!",F639="NEW"),"",INDEX(B$2:B638,-1+SUMPRODUCT(MAX(ROW(E$2:E638)*(E639=E$2:E638)))))</f>
        <v/>
      </c>
      <c r="J639" s="25" t="str">
        <f ca="1">IF(OR(E639="",E639="!!!",F639="NEW"),"",COUNTBLANK(OFFSET(A$1,,,SUMPRODUCT(MAX(ROW(E$2:E639)*(E639=E$2:E639)))))-COUNTBLANK(OFFSET(A$1,,,SUMPRODUCT(MAX(ROW(E$1:E638)*(E2=E$1:E638))))))</f>
        <v/>
      </c>
      <c r="K639" s="25" t="str">
        <f>IF(OR(E639="",E639="!!!",F639="NEW"),"",INDEX(J$1:J638,SUMPRODUCT(MAX(ROW(E$1:E638)*(E639=E$1:E638)))))</f>
        <v/>
      </c>
      <c r="L639" s="26"/>
    </row>
    <row r="640" spans="1:12" x14ac:dyDescent="0.3">
      <c r="A640" t="s">
        <v>412</v>
      </c>
      <c r="E640" s="21" t="str">
        <f t="shared" si="20"/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ca="1" si="21"/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413</v>
      </c>
      <c r="B641" s="20" t="s">
        <v>41</v>
      </c>
      <c r="C641" s="20" t="s">
        <v>62</v>
      </c>
      <c r="E641" s="21" t="str">
        <f t="shared" si="20"/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ca="1" si="21"/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2" spans="1:12" x14ac:dyDescent="0.3">
      <c r="A642" t="s">
        <v>414</v>
      </c>
      <c r="E642" s="21" t="str">
        <f t="shared" si="20"/>
        <v/>
      </c>
      <c r="F642" s="22" t="str">
        <f>IF(OR(E642="",E642="!!!"),"",IF(NOT(ISNA(VLOOKUP(E642,E$1:E641,1,FALSE()))),"OLD",IF(AND(E642&lt;&gt;"",E642&lt;&gt;"!!!"),"NEW","")))</f>
        <v/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t="shared" ca="1" si="21"/>
        <v/>
      </c>
      <c r="I642" s="25" t="str">
        <f>IF(OR(E642="",E642="!!!",F642="NEW"),"",INDEX(B$2:B641,-1+SUMPRODUCT(MAX(ROW(E$2:E641)*(E642=E$2:E641)))))</f>
        <v/>
      </c>
      <c r="J642" s="25" t="str">
        <f ca="1">IF(OR(E642="",E642="!!!",F642="NEW"),"",COUNTBLANK(OFFSET(A$1,,,SUMPRODUCT(MAX(ROW(E$2:E642)*(E642=E$2:E642)))))-COUNTBLANK(OFFSET(A$1,,,SUMPRODUCT(MAX(ROW(E$1:E641)*(E2=E$1:E641))))))</f>
        <v/>
      </c>
      <c r="K642" s="25" t="str">
        <f>IF(OR(E642="",E642="!!!",F642="NEW"),"",INDEX(J$1:J641,SUMPRODUCT(MAX(ROW(E$1:E641)*(E642=E$1:E641)))))</f>
        <v/>
      </c>
      <c r="L642" s="26"/>
    </row>
    <row r="643" spans="1:12" x14ac:dyDescent="0.3">
      <c r="A643" t="s">
        <v>47</v>
      </c>
      <c r="E643" s="21" t="str">
        <f t="shared" si="20"/>
        <v/>
      </c>
      <c r="F643" s="22" t="str">
        <f>IF(OR(E643="",E643="!!!"),"",IF(NOT(ISNA(VLOOKUP(E643,E$1:E642,1,FALSE()))),"OLD",IF(AND(E643&lt;&gt;"",E643&lt;&gt;"!!!"),"NEW","")))</f>
        <v/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4" t="str">
        <f t="shared" ca="1" si="21"/>
        <v/>
      </c>
      <c r="I643" s="25" t="str">
        <f>IF(OR(E643="",E643="!!!",F643="NEW"),"",INDEX(B$2:B642,-1+SUMPRODUCT(MAX(ROW(E$2:E642)*(E643=E$2:E642)))))</f>
        <v/>
      </c>
      <c r="J643" s="25" t="str">
        <f ca="1">IF(OR(E643="",E643="!!!",F643="NEW"),"",COUNTBLANK(OFFSET(A$1,,,SUMPRODUCT(MAX(ROW(E$2:E643)*(E643=E$2:E643)))))-COUNTBLANK(OFFSET(A$1,,,SUMPRODUCT(MAX(ROW(E$1:E642)*(E2=E$1:E642))))))</f>
        <v/>
      </c>
      <c r="K643" s="25" t="str">
        <f>IF(OR(E643="",E643="!!!",F643="NEW"),"",INDEX(J$1:J642,SUMPRODUCT(MAX(ROW(E$1:E642)*(E643=E$1:E642)))))</f>
        <v/>
      </c>
      <c r="L643" s="26"/>
    </row>
    <row r="644" spans="1:12" x14ac:dyDescent="0.3">
      <c r="A644" t="s">
        <v>415</v>
      </c>
      <c r="E644" s="21" t="str">
        <f t="shared" si="20"/>
        <v/>
      </c>
      <c r="F644" s="22" t="str">
        <f>IF(OR(E644="",E644="!!!"),"",IF(NOT(ISNA(VLOOKUP(E644,E$1:E643,1,FALSE()))),"OLD",IF(AND(E644&lt;&gt;"",E644&lt;&gt;"!!!"),"NEW","")))</f>
        <v/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t="shared" ca="1" si="21"/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416</v>
      </c>
      <c r="E645" s="21" t="str">
        <f t="shared" si="20"/>
        <v/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21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67</v>
      </c>
      <c r="E646" s="21" t="str">
        <f t="shared" si="20"/>
        <v/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21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417</v>
      </c>
      <c r="B647" s="20" t="s">
        <v>118</v>
      </c>
      <c r="C647" s="20" t="s">
        <v>121</v>
      </c>
      <c r="E647" s="21" t="str">
        <f t="shared" si="20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21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418</v>
      </c>
      <c r="E648" s="21" t="str">
        <f t="shared" si="20"/>
        <v/>
      </c>
      <c r="F648" s="22" t="str">
        <f>IF(OR(E648="",E648="!!!"),"",IF(NOT(ISNA(VLOOKUP(E648,E$1:E647,1,FALSE()))),"OLD",IF(AND(E648&lt;&gt;"",E648&lt;&gt;"!!!"),"NEW","")))</f>
        <v/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4" t="str">
        <f t="shared" ca="1" si="21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2024-05-20T20:26:22Z</dcterms:created>
  <dcterms:modified xsi:type="dcterms:W3CDTF">2024-12-05T10:11:07Z</dcterms:modified>
</cp:coreProperties>
</file>