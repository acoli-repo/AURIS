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tabea\Desktop\Git\AURIS\annotators\team\tg\in-progress\"/>
    </mc:Choice>
  </mc:AlternateContent>
  <xr:revisionPtr revIDLastSave="0" documentId="13_ncr:1_{E5A408D4-127F-4080-8CA4-63B3F24EFE7F}" xr6:coauthVersionLast="47" xr6:coauthVersionMax="47" xr10:uidLastSave="{00000000-0000-0000-0000-000000000000}"/>
  <bookViews>
    <workbookView xWindow="-108" yWindow="-108" windowWidth="23256" windowHeight="1245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293" i="2" l="1"/>
  <c r="E1001" i="2" l="1"/>
  <c r="E1000" i="2"/>
  <c r="E999" i="2"/>
  <c r="F998" i="2"/>
  <c r="K998" i="2" s="1"/>
  <c r="E998" i="2"/>
  <c r="G998" i="2" s="1"/>
  <c r="E997" i="2"/>
  <c r="F996" i="2"/>
  <c r="E995" i="2"/>
  <c r="G994" i="2"/>
  <c r="E994" i="2"/>
  <c r="F994" i="2" s="1"/>
  <c r="G993" i="2"/>
  <c r="F993" i="2"/>
  <c r="E993" i="2"/>
  <c r="E992" i="2"/>
  <c r="G991" i="2"/>
  <c r="E991" i="2"/>
  <c r="G990" i="2"/>
  <c r="F990" i="2"/>
  <c r="K990" i="2" s="1"/>
  <c r="E990" i="2"/>
  <c r="F989" i="2"/>
  <c r="E989" i="2"/>
  <c r="E988" i="2"/>
  <c r="E987" i="2"/>
  <c r="G986" i="2"/>
  <c r="E986" i="2"/>
  <c r="F985" i="2"/>
  <c r="J985" i="2" s="1"/>
  <c r="H985" i="2" s="1"/>
  <c r="F984" i="2"/>
  <c r="I984" i="2" s="1"/>
  <c r="E984" i="2"/>
  <c r="G983" i="2"/>
  <c r="E983" i="2"/>
  <c r="F982" i="2"/>
  <c r="J982" i="2" s="1"/>
  <c r="H982" i="2" s="1"/>
  <c r="E981" i="2"/>
  <c r="E980" i="2"/>
  <c r="F979" i="2"/>
  <c r="J979" i="2" s="1"/>
  <c r="H979" i="2" s="1"/>
  <c r="G978" i="2"/>
  <c r="F978" i="2"/>
  <c r="I978" i="2" s="1"/>
  <c r="E978" i="2"/>
  <c r="E977" i="2"/>
  <c r="E976" i="2"/>
  <c r="E975" i="2"/>
  <c r="G974" i="2"/>
  <c r="F974" i="2"/>
  <c r="E974" i="2"/>
  <c r="F973" i="2"/>
  <c r="E973" i="2"/>
  <c r="G973" i="2" s="1"/>
  <c r="E972" i="2"/>
  <c r="G971" i="2"/>
  <c r="G970" i="2"/>
  <c r="F970" i="2"/>
  <c r="J970" i="2" s="1"/>
  <c r="H970" i="2" s="1"/>
  <c r="E970" i="2"/>
  <c r="G969" i="2"/>
  <c r="F969" i="2"/>
  <c r="J969" i="2" s="1"/>
  <c r="H969" i="2" s="1"/>
  <c r="E969" i="2"/>
  <c r="F968" i="2"/>
  <c r="I968" i="2" s="1"/>
  <c r="E968" i="2"/>
  <c r="G967" i="2"/>
  <c r="E967" i="2"/>
  <c r="G966" i="2"/>
  <c r="F966" i="2"/>
  <c r="I966" i="2" s="1"/>
  <c r="E966" i="2"/>
  <c r="E965" i="2"/>
  <c r="G965" i="2" s="1"/>
  <c r="E964" i="2"/>
  <c r="G963" i="2"/>
  <c r="E963" i="2"/>
  <c r="G962" i="2"/>
  <c r="F962" i="2"/>
  <c r="J962" i="2" s="1"/>
  <c r="H962" i="2" s="1"/>
  <c r="E962" i="2"/>
  <c r="E959" i="2"/>
  <c r="E958" i="2"/>
  <c r="E957" i="2"/>
  <c r="G956" i="2"/>
  <c r="F956" i="2"/>
  <c r="I956" i="2" s="1"/>
  <c r="E956" i="2"/>
  <c r="F955" i="2"/>
  <c r="E954" i="2"/>
  <c r="G953" i="2"/>
  <c r="E953" i="2"/>
  <c r="G952" i="2"/>
  <c r="F952" i="2"/>
  <c r="K952" i="2" s="1"/>
  <c r="E952" i="2"/>
  <c r="G951" i="2"/>
  <c r="F951" i="2"/>
  <c r="E951" i="2"/>
  <c r="F950" i="2"/>
  <c r="E950" i="2"/>
  <c r="G949" i="2"/>
  <c r="E949" i="2"/>
  <c r="G948" i="2"/>
  <c r="F948" i="2"/>
  <c r="I948" i="2" s="1"/>
  <c r="E948" i="2"/>
  <c r="E947" i="2"/>
  <c r="G945" i="2"/>
  <c r="E945" i="2"/>
  <c r="G944" i="2"/>
  <c r="F944" i="2"/>
  <c r="K944" i="2" s="1"/>
  <c r="E943" i="2"/>
  <c r="E939" i="2"/>
  <c r="G938" i="2"/>
  <c r="F938" i="2"/>
  <c r="E938" i="2"/>
  <c r="F937" i="2"/>
  <c r="I937" i="2" s="1"/>
  <c r="E937" i="2"/>
  <c r="G937" i="2" s="1"/>
  <c r="G935" i="2"/>
  <c r="E935" i="2"/>
  <c r="G934" i="2"/>
  <c r="F934" i="2"/>
  <c r="J934" i="2" s="1"/>
  <c r="H934" i="2" s="1"/>
  <c r="E934" i="2"/>
  <c r="G933" i="2"/>
  <c r="E933" i="2"/>
  <c r="F932" i="2"/>
  <c r="E931" i="2"/>
  <c r="G930" i="2"/>
  <c r="F930" i="2"/>
  <c r="I930" i="2" s="1"/>
  <c r="E930" i="2"/>
  <c r="E929" i="2"/>
  <c r="G929" i="2" s="1"/>
  <c r="E928" i="2"/>
  <c r="F926" i="2"/>
  <c r="J926" i="2" s="1"/>
  <c r="F925" i="2"/>
  <c r="J925" i="2" s="1"/>
  <c r="H925" i="2" s="1"/>
  <c r="E925" i="2"/>
  <c r="G925" i="2" s="1"/>
  <c r="F924" i="2"/>
  <c r="E924" i="2"/>
  <c r="E923" i="2"/>
  <c r="G922" i="2"/>
  <c r="F922" i="2"/>
  <c r="J922" i="2" s="1"/>
  <c r="H922" i="2" s="1"/>
  <c r="E922" i="2"/>
  <c r="G921" i="2"/>
  <c r="F921" i="2"/>
  <c r="K921" i="2" s="1"/>
  <c r="E921" i="2"/>
  <c r="G919" i="2"/>
  <c r="E919" i="2"/>
  <c r="F918" i="2"/>
  <c r="E917" i="2"/>
  <c r="G915" i="2"/>
  <c r="E915" i="2"/>
  <c r="G912" i="2"/>
  <c r="F912" i="2"/>
  <c r="I912" i="2" s="1"/>
  <c r="E912" i="2"/>
  <c r="E911" i="2"/>
  <c r="E910" i="2"/>
  <c r="E909" i="2"/>
  <c r="G908" i="2"/>
  <c r="F908" i="2"/>
  <c r="J908" i="2" s="1"/>
  <c r="H908" i="2" s="1"/>
  <c r="E908" i="2"/>
  <c r="F907" i="2"/>
  <c r="F906" i="2"/>
  <c r="E906" i="2"/>
  <c r="G904" i="2"/>
  <c r="F904" i="2"/>
  <c r="J904" i="2" s="1"/>
  <c r="H904" i="2" s="1"/>
  <c r="E904" i="2"/>
  <c r="G903" i="2"/>
  <c r="F903" i="2"/>
  <c r="J903" i="2" s="1"/>
  <c r="H903" i="2" s="1"/>
  <c r="E903" i="2"/>
  <c r="E902" i="2"/>
  <c r="G900" i="2"/>
  <c r="F900" i="2"/>
  <c r="K900" i="2" s="1"/>
  <c r="E900" i="2"/>
  <c r="E899" i="2"/>
  <c r="G897" i="2"/>
  <c r="E897" i="2"/>
  <c r="G896" i="2"/>
  <c r="F896" i="2"/>
  <c r="I896" i="2" s="1"/>
  <c r="E896" i="2"/>
  <c r="E895" i="2"/>
  <c r="E894" i="2"/>
  <c r="E893" i="2"/>
  <c r="G892" i="2"/>
  <c r="F892" i="2"/>
  <c r="K892" i="2" s="1"/>
  <c r="E892" i="2"/>
  <c r="G891" i="2"/>
  <c r="F891" i="2"/>
  <c r="J891" i="2" s="1"/>
  <c r="H891" i="2" s="1"/>
  <c r="E891" i="2"/>
  <c r="F890" i="2"/>
  <c r="E890" i="2"/>
  <c r="E889" i="2"/>
  <c r="G888" i="2"/>
  <c r="F888" i="2"/>
  <c r="J888" i="2" s="1"/>
  <c r="H888" i="2" s="1"/>
  <c r="E888" i="2"/>
  <c r="G887" i="2"/>
  <c r="F887" i="2"/>
  <c r="I887" i="2" s="1"/>
  <c r="E887" i="2"/>
  <c r="E886" i="2"/>
  <c r="G885" i="2"/>
  <c r="G882" i="2"/>
  <c r="F882" i="2"/>
  <c r="K882" i="2" s="1"/>
  <c r="E882" i="2"/>
  <c r="E881" i="2"/>
  <c r="E880" i="2"/>
  <c r="E879" i="2"/>
  <c r="F878" i="2"/>
  <c r="G877" i="2"/>
  <c r="F877" i="2"/>
  <c r="E877" i="2"/>
  <c r="E876" i="2"/>
  <c r="F875" i="2"/>
  <c r="F874" i="2"/>
  <c r="K874" i="2" s="1"/>
  <c r="E874" i="2"/>
  <c r="E873" i="2"/>
  <c r="E872" i="2"/>
  <c r="E871" i="2"/>
  <c r="G871" i="2" s="1"/>
  <c r="G870" i="2"/>
  <c r="E870" i="2"/>
  <c r="F870" i="2" s="1"/>
  <c r="J870" i="2" s="1"/>
  <c r="H870" i="2" s="1"/>
  <c r="G869" i="2"/>
  <c r="F869" i="2"/>
  <c r="I869" i="2" s="1"/>
  <c r="E869" i="2"/>
  <c r="G867" i="2"/>
  <c r="F867" i="2"/>
  <c r="E867" i="2"/>
  <c r="F866" i="2"/>
  <c r="K866" i="2" s="1"/>
  <c r="E866" i="2"/>
  <c r="E865" i="2"/>
  <c r="E863" i="2"/>
  <c r="G863" i="2" s="1"/>
  <c r="G862" i="2"/>
  <c r="E862" i="2"/>
  <c r="F862" i="2" s="1"/>
  <c r="K862" i="2" s="1"/>
  <c r="G861" i="2"/>
  <c r="F861" i="2"/>
  <c r="I861" i="2" s="1"/>
  <c r="E861" i="2"/>
  <c r="G860" i="2"/>
  <c r="G859" i="2"/>
  <c r="F859" i="2"/>
  <c r="E859" i="2"/>
  <c r="F858" i="2"/>
  <c r="K858" i="2" s="1"/>
  <c r="E857" i="2"/>
  <c r="E856" i="2"/>
  <c r="E853" i="2"/>
  <c r="G853" i="2" s="1"/>
  <c r="F852" i="2"/>
  <c r="K852" i="2" s="1"/>
  <c r="G851" i="2"/>
  <c r="F851" i="2"/>
  <c r="I851" i="2" s="1"/>
  <c r="E851" i="2"/>
  <c r="G850" i="2"/>
  <c r="E850" i="2"/>
  <c r="G849" i="2"/>
  <c r="F849" i="2"/>
  <c r="E849" i="2"/>
  <c r="E847" i="2"/>
  <c r="E846" i="2"/>
  <c r="E845" i="2"/>
  <c r="G845" i="2" s="1"/>
  <c r="G844" i="2"/>
  <c r="E844" i="2"/>
  <c r="F844" i="2" s="1"/>
  <c r="K844" i="2" s="1"/>
  <c r="F843" i="2"/>
  <c r="E842" i="2"/>
  <c r="G841" i="2"/>
  <c r="F841" i="2"/>
  <c r="E841" i="2"/>
  <c r="E840" i="2"/>
  <c r="F839" i="2"/>
  <c r="E839" i="2"/>
  <c r="E838" i="2"/>
  <c r="E835" i="2"/>
  <c r="G835" i="2" s="1"/>
  <c r="G834" i="2"/>
  <c r="E834" i="2"/>
  <c r="F834" i="2" s="1"/>
  <c r="G833" i="2"/>
  <c r="F833" i="2"/>
  <c r="K833" i="2" s="1"/>
  <c r="E833" i="2"/>
  <c r="G832" i="2"/>
  <c r="F832" i="2"/>
  <c r="I832" i="2" s="1"/>
  <c r="E832" i="2"/>
  <c r="E831" i="2"/>
  <c r="E830" i="2"/>
  <c r="G829" i="2"/>
  <c r="F829" i="2"/>
  <c r="K829" i="2" s="1"/>
  <c r="E829" i="2"/>
  <c r="G828" i="2"/>
  <c r="F828" i="2"/>
  <c r="E828" i="2"/>
  <c r="E827" i="2"/>
  <c r="G827" i="2" s="1"/>
  <c r="E826" i="2"/>
  <c r="F826" i="2" s="1"/>
  <c r="K826" i="2" s="1"/>
  <c r="F825" i="2"/>
  <c r="G824" i="2"/>
  <c r="F824" i="2"/>
  <c r="J824" i="2" s="1"/>
  <c r="H824" i="2" s="1"/>
  <c r="E824" i="2"/>
  <c r="G823" i="2"/>
  <c r="E823" i="2"/>
  <c r="F823" i="2" s="1"/>
  <c r="G822" i="2"/>
  <c r="F822" i="2"/>
  <c r="E822" i="2"/>
  <c r="E821" i="2"/>
  <c r="E820" i="2"/>
  <c r="F819" i="2"/>
  <c r="K819" i="2" s="1"/>
  <c r="E818" i="2"/>
  <c r="G817" i="2"/>
  <c r="E817" i="2"/>
  <c r="F817" i="2" s="1"/>
  <c r="G816" i="2"/>
  <c r="F816" i="2"/>
  <c r="K816" i="2" s="1"/>
  <c r="E816" i="2"/>
  <c r="G815" i="2"/>
  <c r="E815" i="2"/>
  <c r="F815" i="2" s="1"/>
  <c r="G814" i="2"/>
  <c r="F814" i="2"/>
  <c r="E814" i="2"/>
  <c r="E813" i="2"/>
  <c r="F811" i="2"/>
  <c r="K811" i="2" s="1"/>
  <c r="E811" i="2"/>
  <c r="E810" i="2"/>
  <c r="G809" i="2"/>
  <c r="E809" i="2"/>
  <c r="F809" i="2" s="1"/>
  <c r="K809" i="2" s="1"/>
  <c r="G808" i="2"/>
  <c r="F808" i="2"/>
  <c r="K808" i="2" s="1"/>
  <c r="E808" i="2"/>
  <c r="G807" i="2"/>
  <c r="E807" i="2"/>
  <c r="F807" i="2" s="1"/>
  <c r="J807" i="2" s="1"/>
  <c r="H807" i="2" s="1"/>
  <c r="G806" i="2"/>
  <c r="F806" i="2"/>
  <c r="J806" i="2" s="1"/>
  <c r="H806" i="2" s="1"/>
  <c r="E806" i="2"/>
  <c r="G804" i="2"/>
  <c r="F803" i="2"/>
  <c r="K803" i="2" s="1"/>
  <c r="E803" i="2"/>
  <c r="E802" i="2"/>
  <c r="G801" i="2"/>
  <c r="F801" i="2"/>
  <c r="J801" i="2" s="1"/>
  <c r="H801" i="2" s="1"/>
  <c r="G800" i="2"/>
  <c r="F800" i="2"/>
  <c r="K800" i="2" s="1"/>
  <c r="E800" i="2"/>
  <c r="G798" i="2"/>
  <c r="F798" i="2"/>
  <c r="J798" i="2" s="1"/>
  <c r="H798" i="2" s="1"/>
  <c r="E798" i="2"/>
  <c r="G797" i="2"/>
  <c r="E797" i="2"/>
  <c r="E795" i="2"/>
  <c r="E794" i="2"/>
  <c r="F793" i="2"/>
  <c r="I793" i="2" s="1"/>
  <c r="G792" i="2"/>
  <c r="F792" i="2"/>
  <c r="K792" i="2" s="1"/>
  <c r="E792" i="2"/>
  <c r="E791" i="2"/>
  <c r="F790" i="2"/>
  <c r="J790" i="2" s="1"/>
  <c r="H790" i="2" s="1"/>
  <c r="G789" i="2"/>
  <c r="F789" i="2"/>
  <c r="K789" i="2" s="1"/>
  <c r="E789" i="2"/>
  <c r="G788" i="2"/>
  <c r="F787" i="2"/>
  <c r="K787" i="2" s="1"/>
  <c r="E787" i="2"/>
  <c r="G785" i="2"/>
  <c r="E785" i="2"/>
  <c r="F785" i="2" s="1"/>
  <c r="I785" i="2" s="1"/>
  <c r="G783" i="2"/>
  <c r="F783" i="2"/>
  <c r="E783" i="2"/>
  <c r="E781" i="2"/>
  <c r="G780" i="2"/>
  <c r="F780" i="2"/>
  <c r="J780" i="2" s="1"/>
  <c r="H780" i="2" s="1"/>
  <c r="E780" i="2"/>
  <c r="E779" i="2"/>
  <c r="G778" i="2"/>
  <c r="F778" i="2"/>
  <c r="E778" i="2"/>
  <c r="F777" i="2"/>
  <c r="E777" i="2"/>
  <c r="E776" i="2"/>
  <c r="G775" i="2"/>
  <c r="E775" i="2"/>
  <c r="F775" i="2" s="1"/>
  <c r="I775" i="2" s="1"/>
  <c r="G774" i="2"/>
  <c r="F774" i="2"/>
  <c r="E774" i="2"/>
  <c r="F773" i="2"/>
  <c r="G772" i="2"/>
  <c r="F772" i="2"/>
  <c r="I772" i="2" s="1"/>
  <c r="E772" i="2"/>
  <c r="G771" i="2"/>
  <c r="E771" i="2"/>
  <c r="E770" i="2"/>
  <c r="G769" i="2"/>
  <c r="F769" i="2"/>
  <c r="K769" i="2" s="1"/>
  <c r="E769" i="2"/>
  <c r="F768" i="2"/>
  <c r="E767" i="2"/>
  <c r="G766" i="2"/>
  <c r="F766" i="2"/>
  <c r="J766" i="2" s="1"/>
  <c r="H766" i="2" s="1"/>
  <c r="E766" i="2"/>
  <c r="F762" i="2"/>
  <c r="J762" i="2" s="1"/>
  <c r="H762" i="2" s="1"/>
  <c r="E762" i="2"/>
  <c r="F761" i="2"/>
  <c r="E759" i="2"/>
  <c r="F758" i="2"/>
  <c r="K758" i="2" s="1"/>
  <c r="E758" i="2"/>
  <c r="G758" i="2" s="1"/>
  <c r="G757" i="2"/>
  <c r="E757" i="2"/>
  <c r="F757" i="2" s="1"/>
  <c r="K757" i="2" s="1"/>
  <c r="G756" i="2"/>
  <c r="F756" i="2"/>
  <c r="E756" i="2"/>
  <c r="E754" i="2"/>
  <c r="F753" i="2"/>
  <c r="K753" i="2" s="1"/>
  <c r="E753" i="2"/>
  <c r="G752" i="2"/>
  <c r="F752" i="2"/>
  <c r="E752" i="2"/>
  <c r="E750" i="2"/>
  <c r="G750" i="2" s="1"/>
  <c r="G749" i="2"/>
  <c r="E749" i="2"/>
  <c r="F749" i="2" s="1"/>
  <c r="K749" i="2" s="1"/>
  <c r="K748" i="2"/>
  <c r="G747" i="2"/>
  <c r="F747" i="2"/>
  <c r="E747" i="2"/>
  <c r="E746" i="2"/>
  <c r="E745" i="2"/>
  <c r="F744" i="2"/>
  <c r="K744" i="2" s="1"/>
  <c r="E744" i="2"/>
  <c r="F743" i="2"/>
  <c r="F742" i="2"/>
  <c r="E742" i="2"/>
  <c r="E741" i="2"/>
  <c r="E739" i="2"/>
  <c r="G738" i="2"/>
  <c r="F738" i="2"/>
  <c r="K738" i="2" s="1"/>
  <c r="E738" i="2"/>
  <c r="F735" i="2"/>
  <c r="K735" i="2" s="1"/>
  <c r="E735" i="2"/>
  <c r="G735" i="2" s="1"/>
  <c r="F734" i="2"/>
  <c r="I734" i="2" s="1"/>
  <c r="G733" i="2"/>
  <c r="F733" i="2"/>
  <c r="E733" i="2"/>
  <c r="F732" i="2"/>
  <c r="F731" i="2"/>
  <c r="E731" i="2"/>
  <c r="E730" i="2"/>
  <c r="G728" i="2"/>
  <c r="F728" i="2"/>
  <c r="K728" i="2" s="1"/>
  <c r="E728" i="2"/>
  <c r="F727" i="2"/>
  <c r="E726" i="2"/>
  <c r="G725" i="2"/>
  <c r="F725" i="2"/>
  <c r="E725" i="2"/>
  <c r="E724" i="2"/>
  <c r="G723" i="2"/>
  <c r="E723" i="2"/>
  <c r="E722" i="2"/>
  <c r="G720" i="2"/>
  <c r="F720" i="2"/>
  <c r="K720" i="2" s="1"/>
  <c r="E720" i="2"/>
  <c r="E718" i="2"/>
  <c r="G717" i="2"/>
  <c r="F717" i="2"/>
  <c r="E717" i="2"/>
  <c r="G716" i="2"/>
  <c r="F716" i="2"/>
  <c r="E716" i="2"/>
  <c r="F714" i="2"/>
  <c r="E714" i="2"/>
  <c r="G712" i="2"/>
  <c r="F712" i="2"/>
  <c r="I712" i="2" s="1"/>
  <c r="E712" i="2"/>
  <c r="G710" i="2"/>
  <c r="E710" i="2"/>
  <c r="F709" i="2"/>
  <c r="I709" i="2" s="1"/>
  <c r="E708" i="2"/>
  <c r="G707" i="2"/>
  <c r="E706" i="2"/>
  <c r="G704" i="2"/>
  <c r="F704" i="2"/>
  <c r="J704" i="2" s="1"/>
  <c r="H704" i="2" s="1"/>
  <c r="E704" i="2"/>
  <c r="E703" i="2"/>
  <c r="G701" i="2"/>
  <c r="F701" i="2"/>
  <c r="E701" i="2"/>
  <c r="G700" i="2"/>
  <c r="F700" i="2"/>
  <c r="J700" i="2" s="1"/>
  <c r="H700" i="2" s="1"/>
  <c r="E700" i="2"/>
  <c r="F699" i="2"/>
  <c r="J699" i="2" s="1"/>
  <c r="H699" i="2" s="1"/>
  <c r="E699" i="2"/>
  <c r="F698" i="2"/>
  <c r="K698" i="2" s="1"/>
  <c r="E698" i="2"/>
  <c r="E695" i="2"/>
  <c r="G694" i="2"/>
  <c r="F694" i="2"/>
  <c r="I694" i="2" s="1"/>
  <c r="E694" i="2"/>
  <c r="E693" i="2"/>
  <c r="G693" i="2" s="1"/>
  <c r="G692" i="2"/>
  <c r="E692" i="2"/>
  <c r="G691" i="2"/>
  <c r="F691" i="2"/>
  <c r="I691" i="2" s="1"/>
  <c r="E691" i="2"/>
  <c r="E689" i="2"/>
  <c r="E688" i="2"/>
  <c r="E687" i="2"/>
  <c r="F686" i="2"/>
  <c r="J686" i="2" s="1"/>
  <c r="H686" i="2" s="1"/>
  <c r="G683" i="2"/>
  <c r="F683" i="2"/>
  <c r="E683" i="2"/>
  <c r="G682" i="2"/>
  <c r="F682" i="2"/>
  <c r="J682" i="2" s="1"/>
  <c r="H682" i="2" s="1"/>
  <c r="E682" i="2"/>
  <c r="G681" i="2"/>
  <c r="F681" i="2"/>
  <c r="J681" i="2" s="1"/>
  <c r="H681" i="2" s="1"/>
  <c r="E681" i="2"/>
  <c r="F680" i="2"/>
  <c r="K680" i="2" s="1"/>
  <c r="E679" i="2"/>
  <c r="G678" i="2"/>
  <c r="F678" i="2"/>
  <c r="I678" i="2" s="1"/>
  <c r="E678" i="2"/>
  <c r="E677" i="2"/>
  <c r="G673" i="2"/>
  <c r="F673" i="2"/>
  <c r="I673" i="2" s="1"/>
  <c r="E673" i="2"/>
  <c r="F672" i="2"/>
  <c r="E671" i="2"/>
  <c r="E670" i="2"/>
  <c r="E669" i="2"/>
  <c r="G668" i="2"/>
  <c r="F668" i="2"/>
  <c r="J668" i="2" s="1"/>
  <c r="H668" i="2" s="1"/>
  <c r="E668" i="2"/>
  <c r="E667" i="2"/>
  <c r="G666" i="2"/>
  <c r="F666" i="2"/>
  <c r="J666" i="2" s="1"/>
  <c r="H666" i="2" s="1"/>
  <c r="E666" i="2"/>
  <c r="F665" i="2"/>
  <c r="J665" i="2" s="1"/>
  <c r="H665" i="2" s="1"/>
  <c r="G664" i="2"/>
  <c r="E664" i="2"/>
  <c r="G663" i="2"/>
  <c r="F663" i="2"/>
  <c r="E663" i="2"/>
  <c r="G660" i="2"/>
  <c r="E660" i="2"/>
  <c r="G659" i="2"/>
  <c r="F659" i="2"/>
  <c r="I659" i="2" s="1"/>
  <c r="E659" i="2"/>
  <c r="E658" i="2"/>
  <c r="G657" i="2"/>
  <c r="E657" i="2"/>
  <c r="G656" i="2"/>
  <c r="F656" i="2"/>
  <c r="J656" i="2" s="1"/>
  <c r="H656" i="2" s="1"/>
  <c r="E656" i="2"/>
  <c r="F655" i="2"/>
  <c r="J655" i="2" s="1"/>
  <c r="H655" i="2" s="1"/>
  <c r="E655" i="2"/>
  <c r="G655" i="2" s="1"/>
  <c r="E654" i="2"/>
  <c r="G653" i="2"/>
  <c r="F653" i="2"/>
  <c r="E653" i="2"/>
  <c r="E652" i="2"/>
  <c r="G651" i="2"/>
  <c r="F651" i="2"/>
  <c r="I651" i="2" s="1"/>
  <c r="E651" i="2"/>
  <c r="E650" i="2"/>
  <c r="G649" i="2"/>
  <c r="E649" i="2"/>
  <c r="G648" i="2"/>
  <c r="J648" i="2"/>
  <c r="H648" i="2" s="1"/>
  <c r="F647" i="2"/>
  <c r="J647" i="2" s="1"/>
  <c r="H647" i="2" s="1"/>
  <c r="E647" i="2"/>
  <c r="G647" i="2" s="1"/>
  <c r="G645" i="2"/>
  <c r="F645" i="2"/>
  <c r="E645" i="2"/>
  <c r="G644" i="2"/>
  <c r="E644" i="2"/>
  <c r="G643" i="2"/>
  <c r="F643" i="2"/>
  <c r="E643" i="2"/>
  <c r="E641" i="2"/>
  <c r="G639" i="2"/>
  <c r="E639" i="2"/>
  <c r="G638" i="2"/>
  <c r="F638" i="2"/>
  <c r="J638" i="2" s="1"/>
  <c r="H638" i="2" s="1"/>
  <c r="E638" i="2"/>
  <c r="F637" i="2"/>
  <c r="J637" i="2" s="1"/>
  <c r="H637" i="2" s="1"/>
  <c r="E637" i="2"/>
  <c r="G637" i="2" s="1"/>
  <c r="E636" i="2"/>
  <c r="F635" i="2"/>
  <c r="E634" i="2"/>
  <c r="G633" i="2"/>
  <c r="F633" i="2"/>
  <c r="I633" i="2" s="1"/>
  <c r="E633" i="2"/>
  <c r="E632" i="2"/>
  <c r="G631" i="2"/>
  <c r="E631" i="2"/>
  <c r="G630" i="2"/>
  <c r="F630" i="2"/>
  <c r="J630" i="2" s="1"/>
  <c r="H630" i="2" s="1"/>
  <c r="E630" i="2"/>
  <c r="F629" i="2"/>
  <c r="J629" i="2" s="1"/>
  <c r="H629" i="2" s="1"/>
  <c r="E629" i="2"/>
  <c r="G629" i="2" s="1"/>
  <c r="G628" i="2"/>
  <c r="E628" i="2"/>
  <c r="G627" i="2"/>
  <c r="F627" i="2"/>
  <c r="E627" i="2"/>
  <c r="G625" i="2"/>
  <c r="F625" i="2"/>
  <c r="J625" i="2" s="1"/>
  <c r="H625" i="2" s="1"/>
  <c r="E625" i="2"/>
  <c r="E624" i="2"/>
  <c r="G622" i="2"/>
  <c r="F622" i="2"/>
  <c r="J622" i="2" s="1"/>
  <c r="H622" i="2" s="1"/>
  <c r="E619" i="2"/>
  <c r="G617" i="2"/>
  <c r="F617" i="2"/>
  <c r="E617" i="2"/>
  <c r="G616" i="2"/>
  <c r="E616" i="2"/>
  <c r="G615" i="2"/>
  <c r="F615" i="2"/>
  <c r="E615" i="2"/>
  <c r="E614" i="2"/>
  <c r="G613" i="2"/>
  <c r="E613" i="2"/>
  <c r="G612" i="2"/>
  <c r="F612" i="2"/>
  <c r="J612" i="2" s="1"/>
  <c r="H612" i="2" s="1"/>
  <c r="E612" i="2"/>
  <c r="E611" i="2"/>
  <c r="G607" i="2"/>
  <c r="F607" i="2"/>
  <c r="K607" i="2" s="1"/>
  <c r="E607" i="2"/>
  <c r="G606" i="2"/>
  <c r="E606" i="2"/>
  <c r="G605" i="2"/>
  <c r="F605" i="2"/>
  <c r="I605" i="2" s="1"/>
  <c r="E605" i="2"/>
  <c r="E604" i="2"/>
  <c r="G602" i="2"/>
  <c r="F602" i="2"/>
  <c r="E602" i="2"/>
  <c r="F601" i="2"/>
  <c r="E601" i="2"/>
  <c r="E600" i="2"/>
  <c r="G599" i="2"/>
  <c r="F599" i="2"/>
  <c r="K599" i="2" s="1"/>
  <c r="E599" i="2"/>
  <c r="E598" i="2"/>
  <c r="F597" i="2"/>
  <c r="J597" i="2" s="1"/>
  <c r="H597" i="2" s="1"/>
  <c r="E596" i="2"/>
  <c r="G594" i="2"/>
  <c r="F594" i="2"/>
  <c r="J594" i="2" s="1"/>
  <c r="H594" i="2" s="1"/>
  <c r="E594" i="2"/>
  <c r="G592" i="2"/>
  <c r="E592" i="2"/>
  <c r="G589" i="2"/>
  <c r="F589" i="2"/>
  <c r="J589" i="2" s="1"/>
  <c r="H589" i="2" s="1"/>
  <c r="E589" i="2"/>
  <c r="E588" i="2"/>
  <c r="G587" i="2"/>
  <c r="F587" i="2"/>
  <c r="I587" i="2" s="1"/>
  <c r="E587" i="2"/>
  <c r="F586" i="2"/>
  <c r="E586" i="2"/>
  <c r="E585" i="2"/>
  <c r="G584" i="2"/>
  <c r="F584" i="2"/>
  <c r="J584" i="2" s="1"/>
  <c r="H584" i="2" s="1"/>
  <c r="E584" i="2"/>
  <c r="E583" i="2"/>
  <c r="G581" i="2"/>
  <c r="F581" i="2"/>
  <c r="E581" i="2"/>
  <c r="G578" i="2"/>
  <c r="E578" i="2"/>
  <c r="G577" i="2"/>
  <c r="F577" i="2"/>
  <c r="J577" i="2" s="1"/>
  <c r="H577" i="2" s="1"/>
  <c r="E577" i="2"/>
  <c r="G575" i="2"/>
  <c r="E575" i="2"/>
  <c r="G574" i="2"/>
  <c r="F574" i="2"/>
  <c r="E574" i="2"/>
  <c r="F573" i="2"/>
  <c r="K573" i="2" s="1"/>
  <c r="E573" i="2"/>
  <c r="E572" i="2"/>
  <c r="G571" i="2"/>
  <c r="F571" i="2"/>
  <c r="E571" i="2"/>
  <c r="F570" i="2"/>
  <c r="J570" i="2" s="1"/>
  <c r="H570" i="2" s="1"/>
  <c r="E570" i="2"/>
  <c r="F569" i="2"/>
  <c r="I569" i="2" s="1"/>
  <c r="E569" i="2"/>
  <c r="E568" i="2"/>
  <c r="E567" i="2"/>
  <c r="G566" i="2"/>
  <c r="F566" i="2"/>
  <c r="K566" i="2" s="1"/>
  <c r="E566" i="2"/>
  <c r="F565" i="2"/>
  <c r="E565" i="2"/>
  <c r="G565" i="2" s="1"/>
  <c r="G564" i="2"/>
  <c r="E564" i="2"/>
  <c r="F563" i="2"/>
  <c r="J563" i="2" s="1"/>
  <c r="H563" i="2" s="1"/>
  <c r="G562" i="2"/>
  <c r="E562" i="2"/>
  <c r="F560" i="2"/>
  <c r="I560" i="2" s="1"/>
  <c r="E560" i="2"/>
  <c r="G559" i="2"/>
  <c r="E559" i="2"/>
  <c r="G558" i="2"/>
  <c r="F558" i="2"/>
  <c r="J558" i="2" s="1"/>
  <c r="H558" i="2" s="1"/>
  <c r="E558" i="2"/>
  <c r="E557" i="2"/>
  <c r="G557" i="2" s="1"/>
  <c r="E556" i="2"/>
  <c r="F555" i="2"/>
  <c r="F554" i="2"/>
  <c r="J554" i="2" s="1"/>
  <c r="H554" i="2" s="1"/>
  <c r="E554" i="2"/>
  <c r="F553" i="2"/>
  <c r="I553" i="2" s="1"/>
  <c r="E553" i="2"/>
  <c r="F552" i="2"/>
  <c r="E551" i="2"/>
  <c r="G548" i="2"/>
  <c r="F548" i="2"/>
  <c r="K548" i="2" s="1"/>
  <c r="E548" i="2"/>
  <c r="F547" i="2"/>
  <c r="E547" i="2"/>
  <c r="G547" i="2" s="1"/>
  <c r="G546" i="2"/>
  <c r="G545" i="2"/>
  <c r="F545" i="2"/>
  <c r="J545" i="2" s="1"/>
  <c r="H545" i="2" s="1"/>
  <c r="E545" i="2"/>
  <c r="F544" i="2"/>
  <c r="K544" i="2" s="1"/>
  <c r="E544" i="2"/>
  <c r="G544" i="2" s="1"/>
  <c r="G543" i="2"/>
  <c r="F543" i="2"/>
  <c r="I543" i="2" s="1"/>
  <c r="E543" i="2"/>
  <c r="E542" i="2"/>
  <c r="E539" i="2"/>
  <c r="F538" i="2"/>
  <c r="K538" i="2" s="1"/>
  <c r="E538" i="2"/>
  <c r="G538" i="2" s="1"/>
  <c r="F537" i="2"/>
  <c r="E537" i="2"/>
  <c r="G537" i="2" s="1"/>
  <c r="G535" i="2"/>
  <c r="F535" i="2"/>
  <c r="J535" i="2" s="1"/>
  <c r="H535" i="2" s="1"/>
  <c r="E535" i="2"/>
  <c r="F533" i="2"/>
  <c r="J533" i="2" s="1"/>
  <c r="H533" i="2" s="1"/>
  <c r="E533" i="2"/>
  <c r="G532" i="2"/>
  <c r="F532" i="2"/>
  <c r="I532" i="2" s="1"/>
  <c r="E532" i="2"/>
  <c r="E531" i="2"/>
  <c r="E530" i="2"/>
  <c r="G527" i="2"/>
  <c r="F527" i="2"/>
  <c r="K527" i="2" s="1"/>
  <c r="E527" i="2"/>
  <c r="F526" i="2"/>
  <c r="E526" i="2"/>
  <c r="G526" i="2" s="1"/>
  <c r="G525" i="2"/>
  <c r="E525" i="2"/>
  <c r="G524" i="2"/>
  <c r="F524" i="2"/>
  <c r="E524" i="2"/>
  <c r="E523" i="2"/>
  <c r="E522" i="2"/>
  <c r="F521" i="2"/>
  <c r="I521" i="2" s="1"/>
  <c r="E520" i="2"/>
  <c r="G519" i="2"/>
  <c r="F519" i="2"/>
  <c r="K519" i="2" s="1"/>
  <c r="E519" i="2"/>
  <c r="F518" i="2"/>
  <c r="I518" i="2" s="1"/>
  <c r="E518" i="2"/>
  <c r="G518" i="2" s="1"/>
  <c r="E517" i="2"/>
  <c r="G516" i="2"/>
  <c r="F516" i="2"/>
  <c r="E516" i="2"/>
  <c r="F515" i="2"/>
  <c r="E514" i="2"/>
  <c r="E513" i="2"/>
  <c r="G512" i="2"/>
  <c r="E512" i="2"/>
  <c r="G511" i="2"/>
  <c r="F511" i="2"/>
  <c r="K511" i="2" s="1"/>
  <c r="E511" i="2"/>
  <c r="F510" i="2"/>
  <c r="I510" i="2" s="1"/>
  <c r="G509" i="2"/>
  <c r="E509" i="2"/>
  <c r="G508" i="2"/>
  <c r="F508" i="2"/>
  <c r="E508" i="2"/>
  <c r="E507" i="2"/>
  <c r="E506" i="2"/>
  <c r="E505" i="2"/>
  <c r="G504" i="2"/>
  <c r="E504" i="2"/>
  <c r="G503" i="2"/>
  <c r="F503" i="2"/>
  <c r="K503" i="2" s="1"/>
  <c r="E503" i="2"/>
  <c r="F502" i="2"/>
  <c r="I502" i="2" s="1"/>
  <c r="E502" i="2"/>
  <c r="G502" i="2" s="1"/>
  <c r="G498" i="2"/>
  <c r="F498" i="2"/>
  <c r="E498" i="2"/>
  <c r="E496" i="2"/>
  <c r="E495" i="2"/>
  <c r="G494" i="2"/>
  <c r="E494" i="2"/>
  <c r="G493" i="2"/>
  <c r="F493" i="2"/>
  <c r="K493" i="2" s="1"/>
  <c r="E493" i="2"/>
  <c r="F492" i="2"/>
  <c r="I492" i="2" s="1"/>
  <c r="E492" i="2"/>
  <c r="G490" i="2"/>
  <c r="F490" i="2"/>
  <c r="E490" i="2"/>
  <c r="E489" i="2"/>
  <c r="E487" i="2"/>
  <c r="G484" i="2"/>
  <c r="E484" i="2"/>
  <c r="G483" i="2"/>
  <c r="F483" i="2"/>
  <c r="K483" i="2" s="1"/>
  <c r="E483" i="2"/>
  <c r="I482" i="2"/>
  <c r="E481" i="2"/>
  <c r="G480" i="2"/>
  <c r="F480" i="2"/>
  <c r="I480" i="2" s="1"/>
  <c r="E480" i="2"/>
  <c r="E479" i="2"/>
  <c r="F478" i="2"/>
  <c r="I478" i="2" s="1"/>
  <c r="E475" i="2"/>
  <c r="E474" i="2"/>
  <c r="G473" i="2"/>
  <c r="F473" i="2"/>
  <c r="K473" i="2" s="1"/>
  <c r="E473" i="2"/>
  <c r="F472" i="2"/>
  <c r="E471" i="2"/>
  <c r="G470" i="2"/>
  <c r="F470" i="2"/>
  <c r="I470" i="2" s="1"/>
  <c r="E470" i="2"/>
  <c r="G469" i="2"/>
  <c r="E469" i="2"/>
  <c r="E467" i="2"/>
  <c r="G465" i="2"/>
  <c r="J465" i="2"/>
  <c r="H465" i="2" s="1"/>
  <c r="E464" i="2"/>
  <c r="G464" i="2" s="1"/>
  <c r="E463" i="2"/>
  <c r="F462" i="2"/>
  <c r="E461" i="2"/>
  <c r="G460" i="2"/>
  <c r="F460" i="2"/>
  <c r="I460" i="2" s="1"/>
  <c r="E460" i="2"/>
  <c r="E459" i="2"/>
  <c r="E458" i="2"/>
  <c r="G457" i="2"/>
  <c r="F457" i="2"/>
  <c r="K457" i="2" s="1"/>
  <c r="E457" i="2"/>
  <c r="F456" i="2"/>
  <c r="G454" i="2"/>
  <c r="F454" i="2"/>
  <c r="I454" i="2" s="1"/>
  <c r="E454" i="2"/>
  <c r="G453" i="2"/>
  <c r="E453" i="2"/>
  <c r="E450" i="2"/>
  <c r="E449" i="2"/>
  <c r="G448" i="2"/>
  <c r="E448" i="2"/>
  <c r="G447" i="2"/>
  <c r="F447" i="2"/>
  <c r="J447" i="2" s="1"/>
  <c r="H447" i="2" s="1"/>
  <c r="E447" i="2"/>
  <c r="E446" i="2"/>
  <c r="G446" i="2" s="1"/>
  <c r="G445" i="2"/>
  <c r="E445" i="2"/>
  <c r="F445" i="2" s="1"/>
  <c r="K445" i="2" s="1"/>
  <c r="G444" i="2"/>
  <c r="F444" i="2"/>
  <c r="K444" i="2" s="1"/>
  <c r="E444" i="2"/>
  <c r="G443" i="2"/>
  <c r="E443" i="2"/>
  <c r="F443" i="2" s="1"/>
  <c r="G442" i="2"/>
  <c r="E441" i="2"/>
  <c r="E440" i="2"/>
  <c r="F439" i="2"/>
  <c r="K439" i="2" s="1"/>
  <c r="E438" i="2"/>
  <c r="G437" i="2"/>
  <c r="E437" i="2"/>
  <c r="F437" i="2" s="1"/>
  <c r="K437" i="2" s="1"/>
  <c r="G436" i="2"/>
  <c r="F436" i="2"/>
  <c r="K436" i="2" s="1"/>
  <c r="E436" i="2"/>
  <c r="F435" i="2"/>
  <c r="G434" i="2"/>
  <c r="F434" i="2"/>
  <c r="E434" i="2"/>
  <c r="E433" i="2"/>
  <c r="E430" i="2"/>
  <c r="F429" i="2"/>
  <c r="K429" i="2" s="1"/>
  <c r="E429" i="2"/>
  <c r="E428" i="2"/>
  <c r="F427" i="2"/>
  <c r="G426" i="2"/>
  <c r="F426" i="2"/>
  <c r="K426" i="2" s="1"/>
  <c r="E426" i="2"/>
  <c r="F425" i="2"/>
  <c r="G422" i="2"/>
  <c r="F422" i="2"/>
  <c r="E422" i="2"/>
  <c r="F421" i="2"/>
  <c r="E421" i="2"/>
  <c r="E420" i="2"/>
  <c r="F419" i="2"/>
  <c r="K419" i="2" s="1"/>
  <c r="E418" i="2"/>
  <c r="G417" i="2"/>
  <c r="E417" i="2"/>
  <c r="F417" i="2" s="1"/>
  <c r="K417" i="2" s="1"/>
  <c r="G416" i="2"/>
  <c r="F416" i="2"/>
  <c r="K416" i="2" s="1"/>
  <c r="E416" i="2"/>
  <c r="G415" i="2"/>
  <c r="E415" i="2"/>
  <c r="F415" i="2" s="1"/>
  <c r="G414" i="2"/>
  <c r="F414" i="2"/>
  <c r="E414" i="2"/>
  <c r="E413" i="2"/>
  <c r="E412" i="2"/>
  <c r="F411" i="2"/>
  <c r="F409" i="2"/>
  <c r="K409" i="2" s="1"/>
  <c r="G408" i="2"/>
  <c r="F408" i="2"/>
  <c r="K408" i="2" s="1"/>
  <c r="E408" i="2"/>
  <c r="F407" i="2"/>
  <c r="G406" i="2"/>
  <c r="F406" i="2"/>
  <c r="E406" i="2"/>
  <c r="F405" i="2"/>
  <c r="E405" i="2"/>
  <c r="E404" i="2"/>
  <c r="F403" i="2"/>
  <c r="K403" i="2" s="1"/>
  <c r="E402" i="2"/>
  <c r="F401" i="2"/>
  <c r="G400" i="2"/>
  <c r="F400" i="2"/>
  <c r="K400" i="2" s="1"/>
  <c r="E400" i="2"/>
  <c r="G399" i="2"/>
  <c r="E399" i="2"/>
  <c r="F399" i="2" s="1"/>
  <c r="G398" i="2"/>
  <c r="F398" i="2"/>
  <c r="E398" i="2"/>
  <c r="F397" i="2"/>
  <c r="E397" i="2"/>
  <c r="E396" i="2"/>
  <c r="F395" i="2"/>
  <c r="I395" i="2" s="1"/>
  <c r="E394" i="2"/>
  <c r="G393" i="2"/>
  <c r="E393" i="2"/>
  <c r="F393" i="2" s="1"/>
  <c r="G392" i="2"/>
  <c r="F392" i="2"/>
  <c r="K392" i="2" s="1"/>
  <c r="G391" i="2"/>
  <c r="E391" i="2"/>
  <c r="F391" i="2" s="1"/>
  <c r="G390" i="2"/>
  <c r="F390" i="2"/>
  <c r="E390" i="2"/>
  <c r="F387" i="2"/>
  <c r="E387" i="2"/>
  <c r="E386" i="2"/>
  <c r="K385" i="2"/>
  <c r="E384" i="2"/>
  <c r="G383" i="2"/>
  <c r="E383" i="2"/>
  <c r="F383" i="2" s="1"/>
  <c r="K383" i="2" s="1"/>
  <c r="G382" i="2"/>
  <c r="F382" i="2"/>
  <c r="K382" i="2" s="1"/>
  <c r="E382" i="2"/>
  <c r="F381" i="2"/>
  <c r="G380" i="2"/>
  <c r="F380" i="2"/>
  <c r="E380" i="2"/>
  <c r="E379" i="2"/>
  <c r="E378" i="2"/>
  <c r="F377" i="2"/>
  <c r="K377" i="2" s="1"/>
  <c r="E377" i="2"/>
  <c r="G375" i="2"/>
  <c r="E375" i="2"/>
  <c r="F375" i="2" s="1"/>
  <c r="K375" i="2" s="1"/>
  <c r="G374" i="2"/>
  <c r="F374" i="2"/>
  <c r="I374" i="2" s="1"/>
  <c r="E374" i="2"/>
  <c r="G373" i="2"/>
  <c r="E373" i="2"/>
  <c r="G370" i="2"/>
  <c r="F370" i="2"/>
  <c r="E370" i="2"/>
  <c r="F369" i="2"/>
  <c r="E369" i="2"/>
  <c r="F367" i="2"/>
  <c r="K367" i="2" s="1"/>
  <c r="E367" i="2"/>
  <c r="E366" i="2"/>
  <c r="G365" i="2"/>
  <c r="E365" i="2"/>
  <c r="F365" i="2" s="1"/>
  <c r="K365" i="2" s="1"/>
  <c r="G364" i="2"/>
  <c r="F364" i="2"/>
  <c r="I364" i="2" s="1"/>
  <c r="E364" i="2"/>
  <c r="G363" i="2"/>
  <c r="E363" i="2"/>
  <c r="G362" i="2"/>
  <c r="F362" i="2"/>
  <c r="E362" i="2"/>
  <c r="E360" i="2"/>
  <c r="F359" i="2"/>
  <c r="K359" i="2" s="1"/>
  <c r="E359" i="2"/>
  <c r="E358" i="2"/>
  <c r="G357" i="2"/>
  <c r="E357" i="2"/>
  <c r="F357" i="2" s="1"/>
  <c r="K357" i="2" s="1"/>
  <c r="G356" i="2"/>
  <c r="F356" i="2"/>
  <c r="I356" i="2" s="1"/>
  <c r="E356" i="2"/>
  <c r="G355" i="2"/>
  <c r="E355" i="2"/>
  <c r="G352" i="2"/>
  <c r="F352" i="2"/>
  <c r="E352" i="2"/>
  <c r="F351" i="2"/>
  <c r="E351" i="2"/>
  <c r="F349" i="2"/>
  <c r="K349" i="2" s="1"/>
  <c r="E349" i="2"/>
  <c r="E348" i="2"/>
  <c r="G347" i="2"/>
  <c r="E347" i="2"/>
  <c r="F347" i="2" s="1"/>
  <c r="K347" i="2" s="1"/>
  <c r="F346" i="2"/>
  <c r="I346" i="2" s="1"/>
  <c r="G345" i="2"/>
  <c r="E345" i="2"/>
  <c r="G344" i="2"/>
  <c r="E343" i="2"/>
  <c r="E342" i="2"/>
  <c r="F339" i="2"/>
  <c r="I339" i="2" s="1"/>
  <c r="E339" i="2"/>
  <c r="E338" i="2"/>
  <c r="G337" i="2"/>
  <c r="E337" i="2"/>
  <c r="F337" i="2" s="1"/>
  <c r="K337" i="2" s="1"/>
  <c r="G336" i="2"/>
  <c r="F336" i="2"/>
  <c r="J336" i="2" s="1"/>
  <c r="H336" i="2" s="1"/>
  <c r="E336" i="2"/>
  <c r="E335" i="2"/>
  <c r="G334" i="2"/>
  <c r="F334" i="2"/>
  <c r="J334" i="2" s="1"/>
  <c r="H334" i="2" s="1"/>
  <c r="E334" i="2"/>
  <c r="E333" i="2"/>
  <c r="E332" i="2"/>
  <c r="F331" i="2"/>
  <c r="K331" i="2" s="1"/>
  <c r="E331" i="2"/>
  <c r="E330" i="2"/>
  <c r="G329" i="2"/>
  <c r="E329" i="2"/>
  <c r="F329" i="2" s="1"/>
  <c r="K329" i="2" s="1"/>
  <c r="F328" i="2"/>
  <c r="J328" i="2" s="1"/>
  <c r="H328" i="2" s="1"/>
  <c r="E327" i="2"/>
  <c r="G324" i="2"/>
  <c r="F324" i="2"/>
  <c r="J324" i="2" s="1"/>
  <c r="H324" i="2" s="1"/>
  <c r="E324" i="2"/>
  <c r="E323" i="2"/>
  <c r="G322" i="2"/>
  <c r="E322" i="2"/>
  <c r="F321" i="2"/>
  <c r="E320" i="2"/>
  <c r="G319" i="2"/>
  <c r="E319" i="2"/>
  <c r="F319" i="2" s="1"/>
  <c r="K319" i="2" s="1"/>
  <c r="G318" i="2"/>
  <c r="F318" i="2"/>
  <c r="J318" i="2" s="1"/>
  <c r="H318" i="2" s="1"/>
  <c r="E318" i="2"/>
  <c r="G316" i="2"/>
  <c r="F316" i="2"/>
  <c r="J316" i="2" s="1"/>
  <c r="H316" i="2" s="1"/>
  <c r="E316" i="2"/>
  <c r="F315" i="2"/>
  <c r="E315" i="2"/>
  <c r="G314" i="2"/>
  <c r="E314" i="2"/>
  <c r="F313" i="2"/>
  <c r="K313" i="2" s="1"/>
  <c r="E313" i="2"/>
  <c r="E312" i="2"/>
  <c r="G311" i="2"/>
  <c r="E311" i="2"/>
  <c r="F311" i="2" s="1"/>
  <c r="F310" i="2"/>
  <c r="J310" i="2" s="1"/>
  <c r="H310" i="2" s="1"/>
  <c r="G309" i="2"/>
  <c r="E309" i="2"/>
  <c r="G306" i="2"/>
  <c r="F306" i="2"/>
  <c r="J306" i="2" s="1"/>
  <c r="H306" i="2" s="1"/>
  <c r="E306" i="2"/>
  <c r="G305" i="2"/>
  <c r="F305" i="2"/>
  <c r="K305" i="2" s="1"/>
  <c r="E305" i="2"/>
  <c r="G304" i="2"/>
  <c r="F304" i="2"/>
  <c r="E304" i="2"/>
  <c r="F303" i="2"/>
  <c r="K303" i="2" s="1"/>
  <c r="E303" i="2"/>
  <c r="G301" i="2"/>
  <c r="E301" i="2"/>
  <c r="F301" i="2" s="1"/>
  <c r="I301" i="2" s="1"/>
  <c r="G300" i="2"/>
  <c r="F300" i="2"/>
  <c r="K300" i="2" s="1"/>
  <c r="E300" i="2"/>
  <c r="G298" i="2"/>
  <c r="F298" i="2"/>
  <c r="J298" i="2" s="1"/>
  <c r="H298" i="2" s="1"/>
  <c r="E298" i="2"/>
  <c r="F297" i="2"/>
  <c r="E296" i="2"/>
  <c r="F295" i="2"/>
  <c r="K295" i="2" s="1"/>
  <c r="E295" i="2"/>
  <c r="E294" i="2"/>
  <c r="G293" i="2"/>
  <c r="F293" i="2"/>
  <c r="K293" i="2" s="1"/>
  <c r="F292" i="2"/>
  <c r="G289" i="2"/>
  <c r="E289" i="2"/>
  <c r="G288" i="2"/>
  <c r="F288" i="2"/>
  <c r="J288" i="2" s="1"/>
  <c r="H288" i="2" s="1"/>
  <c r="E288" i="2"/>
  <c r="F287" i="2"/>
  <c r="E287" i="2"/>
  <c r="F285" i="2"/>
  <c r="K285" i="2" s="1"/>
  <c r="E285" i="2"/>
  <c r="E284" i="2"/>
  <c r="G283" i="2"/>
  <c r="E283" i="2"/>
  <c r="F283" i="2" s="1"/>
  <c r="K283" i="2" s="1"/>
  <c r="F282" i="2"/>
  <c r="E279" i="2"/>
  <c r="F278" i="2"/>
  <c r="J278" i="2" s="1"/>
  <c r="H278" i="2" s="1"/>
  <c r="E277" i="2"/>
  <c r="E276" i="2"/>
  <c r="E274" i="2"/>
  <c r="G273" i="2"/>
  <c r="E273" i="2"/>
  <c r="F273" i="2" s="1"/>
  <c r="K273" i="2" s="1"/>
  <c r="G272" i="2"/>
  <c r="F272" i="2"/>
  <c r="K272" i="2" s="1"/>
  <c r="E272" i="2"/>
  <c r="G270" i="2"/>
  <c r="F270" i="2"/>
  <c r="J270" i="2" s="1"/>
  <c r="H270" i="2" s="1"/>
  <c r="E270" i="2"/>
  <c r="G269" i="2"/>
  <c r="F269" i="2"/>
  <c r="K269" i="2" s="1"/>
  <c r="E269" i="2"/>
  <c r="G268" i="2"/>
  <c r="E267" i="2"/>
  <c r="F266" i="2"/>
  <c r="J266" i="2" s="1"/>
  <c r="H266" i="2" s="1"/>
  <c r="E266" i="2"/>
  <c r="E265" i="2"/>
  <c r="F264" i="2"/>
  <c r="K264" i="2" s="1"/>
  <c r="F263" i="2"/>
  <c r="G262" i="2"/>
  <c r="F262" i="2"/>
  <c r="E262" i="2"/>
  <c r="F261" i="2"/>
  <c r="G259" i="2"/>
  <c r="F259" i="2"/>
  <c r="K259" i="2" s="1"/>
  <c r="E259" i="2"/>
  <c r="E257" i="2"/>
  <c r="F256" i="2"/>
  <c r="E255" i="2"/>
  <c r="G255" i="2" s="1"/>
  <c r="F254" i="2"/>
  <c r="J254" i="2" s="1"/>
  <c r="H254" i="2" s="1"/>
  <c r="E253" i="2"/>
  <c r="E252" i="2"/>
  <c r="E251" i="2"/>
  <c r="G251" i="2" s="1"/>
  <c r="F248" i="2"/>
  <c r="K248" i="2" s="1"/>
  <c r="E248" i="2"/>
  <c r="G248" i="2" s="1"/>
  <c r="E247" i="2"/>
  <c r="G246" i="2"/>
  <c r="F246" i="2"/>
  <c r="E246" i="2"/>
  <c r="F243" i="2"/>
  <c r="I243" i="2" s="1"/>
  <c r="G242" i="2"/>
  <c r="F242" i="2"/>
  <c r="K242" i="2" s="1"/>
  <c r="E242" i="2"/>
  <c r="F241" i="2"/>
  <c r="E241" i="2"/>
  <c r="G240" i="2"/>
  <c r="E240" i="2"/>
  <c r="G239" i="2"/>
  <c r="F239" i="2"/>
  <c r="E239" i="2"/>
  <c r="E238" i="2"/>
  <c r="F237" i="2"/>
  <c r="J237" i="2" s="1"/>
  <c r="H237" i="2" s="1"/>
  <c r="E237" i="2"/>
  <c r="G237" i="2" s="1"/>
  <c r="E236" i="2"/>
  <c r="G236" i="2" s="1"/>
  <c r="G235" i="2"/>
  <c r="F235" i="2"/>
  <c r="I235" i="2" s="1"/>
  <c r="E235" i="2"/>
  <c r="F234" i="2"/>
  <c r="F233" i="2"/>
  <c r="E233" i="2"/>
  <c r="G232" i="2"/>
  <c r="E232" i="2"/>
  <c r="G231" i="2"/>
  <c r="F231" i="2"/>
  <c r="E231" i="2"/>
  <c r="E228" i="2"/>
  <c r="F227" i="2"/>
  <c r="J227" i="2" s="1"/>
  <c r="H227" i="2" s="1"/>
  <c r="E227" i="2"/>
  <c r="G227" i="2" s="1"/>
  <c r="G226" i="2"/>
  <c r="G225" i="2"/>
  <c r="F225" i="2"/>
  <c r="I225" i="2" s="1"/>
  <c r="E225" i="2"/>
  <c r="G224" i="2"/>
  <c r="F224" i="2"/>
  <c r="K224" i="2" s="1"/>
  <c r="E224" i="2"/>
  <c r="F223" i="2"/>
  <c r="G221" i="2"/>
  <c r="F221" i="2"/>
  <c r="E221" i="2"/>
  <c r="E217" i="2"/>
  <c r="G217" i="2" s="1"/>
  <c r="E216" i="2"/>
  <c r="G216" i="2" s="1"/>
  <c r="G215" i="2"/>
  <c r="F215" i="2"/>
  <c r="I215" i="2" s="1"/>
  <c r="E215" i="2"/>
  <c r="G214" i="2"/>
  <c r="F214" i="2"/>
  <c r="K214" i="2" s="1"/>
  <c r="E214" i="2"/>
  <c r="F213" i="2"/>
  <c r="E213" i="2"/>
  <c r="E212" i="2"/>
  <c r="G211" i="2"/>
  <c r="F211" i="2"/>
  <c r="E211" i="2"/>
  <c r="E210" i="2"/>
  <c r="E209" i="2"/>
  <c r="G209" i="2" s="1"/>
  <c r="E208" i="2"/>
  <c r="G208" i="2" s="1"/>
  <c r="G207" i="2"/>
  <c r="F207" i="2"/>
  <c r="I207" i="2" s="1"/>
  <c r="E207" i="2"/>
  <c r="F206" i="2"/>
  <c r="E205" i="2"/>
  <c r="G204" i="2"/>
  <c r="E204" i="2"/>
  <c r="G203" i="2"/>
  <c r="F203" i="2"/>
  <c r="J203" i="2" s="1"/>
  <c r="H203" i="2" s="1"/>
  <c r="E203" i="2"/>
  <c r="E201" i="2"/>
  <c r="G201" i="2" s="1"/>
  <c r="E200" i="2"/>
  <c r="G200" i="2" s="1"/>
  <c r="I199" i="2"/>
  <c r="G198" i="2"/>
  <c r="F198" i="2"/>
  <c r="I198" i="2" s="1"/>
  <c r="E198" i="2"/>
  <c r="F197" i="2"/>
  <c r="I197" i="2" s="1"/>
  <c r="E197" i="2"/>
  <c r="G196" i="2"/>
  <c r="E196" i="2"/>
  <c r="G193" i="2"/>
  <c r="F193" i="2"/>
  <c r="J193" i="2" s="1"/>
  <c r="H193" i="2" s="1"/>
  <c r="E193" i="2"/>
  <c r="F192" i="2"/>
  <c r="K192" i="2" s="1"/>
  <c r="E192" i="2"/>
  <c r="E191" i="2"/>
  <c r="G190" i="2"/>
  <c r="E190" i="2"/>
  <c r="F190" i="2" s="1"/>
  <c r="K190" i="2" s="1"/>
  <c r="G189" i="2"/>
  <c r="F189" i="2"/>
  <c r="I189" i="2" s="1"/>
  <c r="E189" i="2"/>
  <c r="G188" i="2"/>
  <c r="F188" i="2"/>
  <c r="I188" i="2" s="1"/>
  <c r="E188" i="2"/>
  <c r="E187" i="2"/>
  <c r="E186" i="2"/>
  <c r="G185" i="2"/>
  <c r="F185" i="2"/>
  <c r="J185" i="2" s="1"/>
  <c r="H185" i="2" s="1"/>
  <c r="E185" i="2"/>
  <c r="F184" i="2"/>
  <c r="K184" i="2" s="1"/>
  <c r="E184" i="2"/>
  <c r="G184" i="2" s="1"/>
  <c r="G182" i="2"/>
  <c r="E182" i="2"/>
  <c r="F182" i="2" s="1"/>
  <c r="K182" i="2" s="1"/>
  <c r="G181" i="2"/>
  <c r="F181" i="2"/>
  <c r="I181" i="2" s="1"/>
  <c r="E181" i="2"/>
  <c r="E179" i="2"/>
  <c r="G177" i="2"/>
  <c r="F177" i="2"/>
  <c r="K177" i="2" s="1"/>
  <c r="E177" i="2"/>
  <c r="E176" i="2"/>
  <c r="G176" i="2" s="1"/>
  <c r="E175" i="2"/>
  <c r="F174" i="2"/>
  <c r="G173" i="2"/>
  <c r="F173" i="2"/>
  <c r="I173" i="2" s="1"/>
  <c r="E173" i="2"/>
  <c r="F172" i="2"/>
  <c r="J172" i="2" s="1"/>
  <c r="H172" i="2" s="1"/>
  <c r="E171" i="2"/>
  <c r="E170" i="2"/>
  <c r="G169" i="2"/>
  <c r="F169" i="2"/>
  <c r="K169" i="2" s="1"/>
  <c r="E169" i="2"/>
  <c r="F168" i="2"/>
  <c r="K168" i="2" s="1"/>
  <c r="E168" i="2"/>
  <c r="F167" i="2"/>
  <c r="J167" i="2" s="1"/>
  <c r="H167" i="2" s="1"/>
  <c r="E167" i="2"/>
  <c r="G163" i="2"/>
  <c r="F163" i="2"/>
  <c r="I163" i="2" s="1"/>
  <c r="E163" i="2"/>
  <c r="G162" i="2"/>
  <c r="E162" i="2"/>
  <c r="F162" i="2" s="1"/>
  <c r="E161" i="2"/>
  <c r="G160" i="2"/>
  <c r="E160" i="2"/>
  <c r="F159" i="2"/>
  <c r="E158" i="2"/>
  <c r="E154" i="2"/>
  <c r="F153" i="2"/>
  <c r="I153" i="2" s="1"/>
  <c r="G152" i="2"/>
  <c r="F152" i="2"/>
  <c r="J152" i="2" s="1"/>
  <c r="H152" i="2" s="1"/>
  <c r="E152" i="2"/>
  <c r="E151" i="2"/>
  <c r="E150" i="2"/>
  <c r="G149" i="2"/>
  <c r="F149" i="2"/>
  <c r="K149" i="2" s="1"/>
  <c r="E149" i="2"/>
  <c r="F148" i="2"/>
  <c r="K148" i="2" s="1"/>
  <c r="E148" i="2"/>
  <c r="F147" i="2"/>
  <c r="J147" i="2" s="1"/>
  <c r="H147" i="2" s="1"/>
  <c r="E147" i="2"/>
  <c r="G145" i="2"/>
  <c r="F145" i="2"/>
  <c r="I145" i="2" s="1"/>
  <c r="E145" i="2"/>
  <c r="E143" i="2"/>
  <c r="G142" i="2"/>
  <c r="E142" i="2"/>
  <c r="F141" i="2"/>
  <c r="E140" i="2"/>
  <c r="E139" i="2"/>
  <c r="E138" i="2"/>
  <c r="G137" i="2"/>
  <c r="F137" i="2"/>
  <c r="I137" i="2" s="1"/>
  <c r="E137" i="2"/>
  <c r="G136" i="2"/>
  <c r="F136" i="2"/>
  <c r="J136" i="2" s="1"/>
  <c r="H136" i="2" s="1"/>
  <c r="E136" i="2"/>
  <c r="E135" i="2"/>
  <c r="G132" i="2"/>
  <c r="F132" i="2"/>
  <c r="K132" i="2" s="1"/>
  <c r="E132" i="2"/>
  <c r="F130" i="2"/>
  <c r="K130" i="2" s="1"/>
  <c r="E130" i="2"/>
  <c r="F129" i="2"/>
  <c r="J129" i="2" s="1"/>
  <c r="H129" i="2" s="1"/>
  <c r="E128" i="2"/>
  <c r="F128" i="2" s="1"/>
  <c r="F127" i="2"/>
  <c r="J127" i="2" s="1"/>
  <c r="H127" i="2" s="1"/>
  <c r="E126" i="2"/>
  <c r="E125" i="2"/>
  <c r="G124" i="2"/>
  <c r="F124" i="2"/>
  <c r="K124" i="2" s="1"/>
  <c r="E124" i="2"/>
  <c r="E123" i="2"/>
  <c r="E122" i="2"/>
  <c r="E121" i="2"/>
  <c r="G121" i="2" s="1"/>
  <c r="G120" i="2"/>
  <c r="E120" i="2"/>
  <c r="F120" i="2" s="1"/>
  <c r="F119" i="2"/>
  <c r="E118" i="2"/>
  <c r="E117" i="2"/>
  <c r="G116" i="2"/>
  <c r="F116" i="2"/>
  <c r="I116" i="2" s="1"/>
  <c r="E116" i="2"/>
  <c r="F114" i="2"/>
  <c r="J114" i="2" s="1"/>
  <c r="H114" i="2" s="1"/>
  <c r="E113" i="2"/>
  <c r="G113" i="2" s="1"/>
  <c r="G110" i="2"/>
  <c r="E110" i="2"/>
  <c r="F110" i="2" s="1"/>
  <c r="G109" i="2"/>
  <c r="F109" i="2"/>
  <c r="K109" i="2" s="1"/>
  <c r="E109" i="2"/>
  <c r="E108" i="2"/>
  <c r="G106" i="2"/>
  <c r="F106" i="2"/>
  <c r="I106" i="2" s="1"/>
  <c r="E106" i="2"/>
  <c r="E105" i="2"/>
  <c r="F104" i="2"/>
  <c r="J104" i="2" s="1"/>
  <c r="H104" i="2" s="1"/>
  <c r="E104" i="2"/>
  <c r="G104" i="2" s="1"/>
  <c r="E101" i="2"/>
  <c r="G101" i="2" s="1"/>
  <c r="G100" i="2"/>
  <c r="E100" i="2"/>
  <c r="F100" i="2" s="1"/>
  <c r="G99" i="2"/>
  <c r="F99" i="2"/>
  <c r="K99" i="2" s="1"/>
  <c r="E98" i="2"/>
  <c r="E97" i="2"/>
  <c r="F96" i="2"/>
  <c r="I96" i="2" s="1"/>
  <c r="F94" i="2"/>
  <c r="J94" i="2" s="1"/>
  <c r="H94" i="2" s="1"/>
  <c r="E93" i="2"/>
  <c r="G93" i="2" s="1"/>
  <c r="G92" i="2"/>
  <c r="E92" i="2"/>
  <c r="F92" i="2" s="1"/>
  <c r="G91" i="2"/>
  <c r="F91" i="2"/>
  <c r="K91" i="2" s="1"/>
  <c r="E91" i="2"/>
  <c r="E89" i="2"/>
  <c r="G88" i="2"/>
  <c r="F88" i="2"/>
  <c r="I88" i="2" s="1"/>
  <c r="E88" i="2"/>
  <c r="E87" i="2"/>
  <c r="J86" i="2"/>
  <c r="H86" i="2" s="1"/>
  <c r="E85" i="2"/>
  <c r="G85" i="2" s="1"/>
  <c r="G84" i="2"/>
  <c r="E84" i="2"/>
  <c r="F84" i="2" s="1"/>
  <c r="G83" i="2"/>
  <c r="F83" i="2"/>
  <c r="K83" i="2" s="1"/>
  <c r="E83" i="2"/>
  <c r="E82" i="2"/>
  <c r="E81" i="2"/>
  <c r="F80" i="2"/>
  <c r="I80" i="2" s="1"/>
  <c r="E79" i="2"/>
  <c r="F78" i="2"/>
  <c r="I78" i="2" s="1"/>
  <c r="G78" i="2"/>
  <c r="E77" i="2"/>
  <c r="G77" i="2" s="1"/>
  <c r="F76" i="2"/>
  <c r="G75" i="2"/>
  <c r="F75" i="2"/>
  <c r="K75" i="2" s="1"/>
  <c r="E75" i="2"/>
  <c r="E74" i="2"/>
  <c r="E73" i="2"/>
  <c r="F72" i="2"/>
  <c r="I72" i="2" s="1"/>
  <c r="E71" i="2"/>
  <c r="F70" i="2"/>
  <c r="J70" i="2" s="1"/>
  <c r="E69" i="2"/>
  <c r="G69" i="2" s="1"/>
  <c r="F68" i="2"/>
  <c r="G67" i="2"/>
  <c r="F67" i="2"/>
  <c r="K67" i="2" s="1"/>
  <c r="E67" i="2"/>
  <c r="E66" i="2"/>
  <c r="E63" i="2"/>
  <c r="G62" i="2"/>
  <c r="F62" i="2"/>
  <c r="I62" i="2" s="1"/>
  <c r="E62" i="2"/>
  <c r="E61" i="2"/>
  <c r="F60" i="2"/>
  <c r="J60" i="2" s="1"/>
  <c r="H60" i="2" s="1"/>
  <c r="E60" i="2"/>
  <c r="G60" i="2" s="1"/>
  <c r="E59" i="2"/>
  <c r="G59" i="2" s="1"/>
  <c r="G58" i="2"/>
  <c r="E58" i="2"/>
  <c r="F58" i="2" s="1"/>
  <c r="G57" i="2"/>
  <c r="K57" i="2"/>
  <c r="E56" i="2"/>
  <c r="G54" i="2"/>
  <c r="F54" i="2"/>
  <c r="I54" i="2" s="1"/>
  <c r="E54" i="2"/>
  <c r="E53" i="2"/>
  <c r="F52" i="2"/>
  <c r="J52" i="2" s="1"/>
  <c r="H52" i="2" s="1"/>
  <c r="E52" i="2"/>
  <c r="G52" i="2" s="1"/>
  <c r="E51" i="2"/>
  <c r="G51" i="2" s="1"/>
  <c r="G50" i="2"/>
  <c r="E50" i="2"/>
  <c r="F50" i="2" s="1"/>
  <c r="G49" i="2"/>
  <c r="F49" i="2"/>
  <c r="K49" i="2" s="1"/>
  <c r="E49" i="2"/>
  <c r="E48" i="2"/>
  <c r="E47" i="2"/>
  <c r="G46" i="2"/>
  <c r="F46" i="2"/>
  <c r="I46" i="2" s="1"/>
  <c r="E46" i="2"/>
  <c r="F44" i="2"/>
  <c r="J44" i="2" s="1"/>
  <c r="H44" i="2" s="1"/>
  <c r="E44" i="2"/>
  <c r="G44" i="2" s="1"/>
  <c r="G42" i="2"/>
  <c r="E42" i="2"/>
  <c r="F42" i="2" s="1"/>
  <c r="G41" i="2"/>
  <c r="F41" i="2"/>
  <c r="K41" i="2" s="1"/>
  <c r="E41" i="2"/>
  <c r="E40" i="2"/>
  <c r="E39" i="2"/>
  <c r="I38" i="2"/>
  <c r="E37" i="2"/>
  <c r="F36" i="2"/>
  <c r="J36" i="2" s="1"/>
  <c r="H36" i="2" s="1"/>
  <c r="E36" i="2"/>
  <c r="G36" i="2" s="1"/>
  <c r="E35" i="2"/>
  <c r="G35" i="2" s="1"/>
  <c r="G34" i="2"/>
  <c r="E34" i="2"/>
  <c r="F34" i="2" s="1"/>
  <c r="F33" i="2"/>
  <c r="E32" i="2"/>
  <c r="E31" i="2"/>
  <c r="F30" i="2"/>
  <c r="I30" i="2" s="1"/>
  <c r="F28" i="2"/>
  <c r="I28" i="2" s="1"/>
  <c r="E28" i="2"/>
  <c r="G28" i="2" s="1"/>
  <c r="E25" i="2"/>
  <c r="G25" i="2" s="1"/>
  <c r="G24" i="2"/>
  <c r="E24" i="2"/>
  <c r="F24" i="2" s="1"/>
  <c r="F23" i="2"/>
  <c r="K23" i="2" s="1"/>
  <c r="E22" i="2"/>
  <c r="E21" i="2"/>
  <c r="G20" i="2"/>
  <c r="F20" i="2"/>
  <c r="J20" i="2" s="1"/>
  <c r="H20" i="2" s="1"/>
  <c r="E20" i="2"/>
  <c r="E19" i="2"/>
  <c r="F18" i="2"/>
  <c r="I18" i="2" s="1"/>
  <c r="E18" i="2"/>
  <c r="G18" i="2" s="1"/>
  <c r="E17" i="2"/>
  <c r="G17" i="2" s="1"/>
  <c r="G13" i="2"/>
  <c r="F13" i="2"/>
  <c r="K13" i="2" s="1"/>
  <c r="E13" i="2"/>
  <c r="E12" i="2"/>
  <c r="E11" i="2"/>
  <c r="G10" i="2"/>
  <c r="F10" i="2"/>
  <c r="J10" i="2" s="1"/>
  <c r="H10" i="2" s="1"/>
  <c r="E10" i="2"/>
  <c r="I8" i="2"/>
  <c r="E7" i="2"/>
  <c r="G7" i="2" s="1"/>
  <c r="G6" i="2"/>
  <c r="E6" i="2"/>
  <c r="F6" i="2" s="1"/>
  <c r="F5" i="2"/>
  <c r="K5" i="2" s="1"/>
  <c r="E4" i="2"/>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J8" i="2" l="1"/>
  <c r="K321" i="2"/>
  <c r="K297" i="2"/>
  <c r="K119" i="2"/>
  <c r="J18" i="2"/>
  <c r="H18" i="2" s="1"/>
  <c r="K824" i="2"/>
  <c r="J733" i="2"/>
  <c r="H733" i="2" s="1"/>
  <c r="J159" i="2"/>
  <c r="J460" i="2"/>
  <c r="H460" i="2" s="1"/>
  <c r="I193" i="2"/>
  <c r="I214" i="2"/>
  <c r="I224" i="2"/>
  <c r="I231" i="2"/>
  <c r="K339" i="2"/>
  <c r="K414" i="2"/>
  <c r="K266" i="2"/>
  <c r="J365" i="2"/>
  <c r="H365" i="2" s="1"/>
  <c r="J130" i="2"/>
  <c r="H130" i="2" s="1"/>
  <c r="J694" i="2"/>
  <c r="H694" i="2" s="1"/>
  <c r="I686" i="2"/>
  <c r="J747" i="2"/>
  <c r="H747" i="2" s="1"/>
  <c r="J313" i="2"/>
  <c r="H313" i="2" s="1"/>
  <c r="K686" i="2"/>
  <c r="I367" i="2"/>
  <c r="I955" i="2"/>
  <c r="J116" i="2"/>
  <c r="H116" i="2" s="1"/>
  <c r="J199" i="2"/>
  <c r="K203" i="2"/>
  <c r="I411" i="2"/>
  <c r="I457" i="2"/>
  <c r="K480" i="2"/>
  <c r="I656" i="2"/>
  <c r="K691" i="2"/>
  <c r="I758" i="2"/>
  <c r="K199" i="2"/>
  <c r="K454" i="2"/>
  <c r="J457" i="2"/>
  <c r="H457" i="2" s="1"/>
  <c r="J758" i="2"/>
  <c r="H758" i="2" s="1"/>
  <c r="J890" i="2"/>
  <c r="H890" i="2" s="1"/>
  <c r="I318" i="2"/>
  <c r="I408" i="2"/>
  <c r="J543" i="2"/>
  <c r="H543" i="2" s="1"/>
  <c r="J148" i="2"/>
  <c r="H148" i="2" s="1"/>
  <c r="K145" i="2"/>
  <c r="J168" i="2"/>
  <c r="H168" i="2" s="1"/>
  <c r="J367" i="2"/>
  <c r="H367" i="2" s="1"/>
  <c r="K589" i="2"/>
  <c r="I359" i="2"/>
  <c r="K521" i="2"/>
  <c r="K532" i="2"/>
  <c r="I538" i="2"/>
  <c r="J553" i="2"/>
  <c r="H553" i="2" s="1"/>
  <c r="J569" i="2"/>
  <c r="H569" i="2" s="1"/>
  <c r="K643" i="2"/>
  <c r="J744" i="2"/>
  <c r="H744" i="2" s="1"/>
  <c r="I934" i="2"/>
  <c r="I86" i="2"/>
  <c r="J189" i="2"/>
  <c r="H189" i="2" s="1"/>
  <c r="K207" i="2"/>
  <c r="K223" i="2"/>
  <c r="I242" i="2"/>
  <c r="I292" i="2"/>
  <c r="I334" i="2"/>
  <c r="I337" i="2"/>
  <c r="K352" i="2"/>
  <c r="K434" i="2"/>
  <c r="J508" i="2"/>
  <c r="H508" i="2" s="1"/>
  <c r="K535" i="2"/>
  <c r="J735" i="2"/>
  <c r="H735" i="2" s="1"/>
  <c r="I790" i="2"/>
  <c r="I926" i="2"/>
  <c r="K970" i="2"/>
  <c r="I94" i="2"/>
  <c r="K62" i="2"/>
  <c r="J96" i="2"/>
  <c r="K189" i="2"/>
  <c r="J409" i="2"/>
  <c r="I503" i="2"/>
  <c r="I545" i="2"/>
  <c r="I749" i="2"/>
  <c r="K470" i="2"/>
  <c r="I254" i="2"/>
  <c r="I269" i="2"/>
  <c r="I288" i="2"/>
  <c r="I377" i="2"/>
  <c r="J503" i="2"/>
  <c r="H503" i="2" s="1"/>
  <c r="J511" i="2"/>
  <c r="H511" i="2" s="1"/>
  <c r="K638" i="2"/>
  <c r="J749" i="2"/>
  <c r="H749" i="2" s="1"/>
  <c r="K896" i="2"/>
  <c r="K912" i="2"/>
  <c r="J207" i="2"/>
  <c r="H207" i="2" s="1"/>
  <c r="K612" i="2"/>
  <c r="J80" i="2"/>
  <c r="K790" i="2" s="1"/>
  <c r="K106" i="2"/>
  <c r="I168" i="2"/>
  <c r="K241" i="2"/>
  <c r="J411" i="2"/>
  <c r="H411" i="2" s="1"/>
  <c r="J527" i="2"/>
  <c r="H527" i="2" s="1"/>
  <c r="I533" i="2"/>
  <c r="K584" i="2"/>
  <c r="I824" i="2"/>
  <c r="J892" i="2"/>
  <c r="H892" i="2" s="1"/>
  <c r="I104" i="2"/>
  <c r="J28" i="2"/>
  <c r="H28" i="2" s="1"/>
  <c r="J145" i="2"/>
  <c r="H145" i="2" s="1"/>
  <c r="I185" i="2"/>
  <c r="J188" i="2"/>
  <c r="H188" i="2" s="1"/>
  <c r="I190" i="2"/>
  <c r="I365" i="2"/>
  <c r="J429" i="2"/>
  <c r="H429" i="2" s="1"/>
  <c r="I668" i="2"/>
  <c r="J775" i="2"/>
  <c r="H775" i="2" s="1"/>
  <c r="K867" i="2"/>
  <c r="K887" i="2"/>
  <c r="K46" i="2"/>
  <c r="K54" i="2"/>
  <c r="J78" i="2"/>
  <c r="H78" i="2" s="1"/>
  <c r="J395" i="2"/>
  <c r="H395" i="2" s="1"/>
  <c r="I419" i="2"/>
  <c r="I445" i="2"/>
  <c r="J473" i="2"/>
  <c r="H473" i="2" s="1"/>
  <c r="I483" i="2"/>
  <c r="I519" i="2"/>
  <c r="K545" i="2"/>
  <c r="I548" i="2"/>
  <c r="K597" i="2"/>
  <c r="I612" i="2"/>
  <c r="K633" i="2"/>
  <c r="I801" i="2"/>
  <c r="K806" i="2"/>
  <c r="J978" i="2"/>
  <c r="H978" i="2" s="1"/>
  <c r="K38" i="2"/>
  <c r="J198" i="2"/>
  <c r="H198" i="2" s="1"/>
  <c r="K656" i="2"/>
  <c r="I237" i="2"/>
  <c r="I36" i="2"/>
  <c r="I52" i="2"/>
  <c r="J181" i="2"/>
  <c r="H181" i="2" s="1"/>
  <c r="J225" i="2"/>
  <c r="H225" i="2" s="1"/>
  <c r="I234" i="2"/>
  <c r="J248" i="2"/>
  <c r="H248" i="2" s="1"/>
  <c r="K270" i="2"/>
  <c r="K395" i="2"/>
  <c r="I429" i="2"/>
  <c r="J454" i="2"/>
  <c r="H454" i="2" s="1"/>
  <c r="I563" i="2"/>
  <c r="J566" i="2"/>
  <c r="H566" i="2" s="1"/>
  <c r="I589" i="2"/>
  <c r="I594" i="2"/>
  <c r="I597" i="2"/>
  <c r="K668" i="2"/>
  <c r="I757" i="2"/>
  <c r="J772" i="2"/>
  <c r="H772" i="2" s="1"/>
  <c r="K775" i="2"/>
  <c r="I806" i="2"/>
  <c r="I300" i="2"/>
  <c r="K116" i="2"/>
  <c r="I141" i="2"/>
  <c r="K225" i="2"/>
  <c r="J273" i="2"/>
  <c r="H273" i="2" s="1"/>
  <c r="I283" i="2"/>
  <c r="I383" i="2"/>
  <c r="I392" i="2"/>
  <c r="J417" i="2"/>
  <c r="H417" i="2" s="1"/>
  <c r="K594" i="2"/>
  <c r="J605" i="2"/>
  <c r="H605" i="2" s="1"/>
  <c r="K630" i="2"/>
  <c r="K673" i="2"/>
  <c r="K682" i="2"/>
  <c r="I766" i="2"/>
  <c r="I792" i="2"/>
  <c r="J829" i="2"/>
  <c r="H829" i="2" s="1"/>
  <c r="J300" i="2"/>
  <c r="H300" i="2" s="1"/>
  <c r="I148" i="2"/>
  <c r="I278" i="2"/>
  <c r="J283" i="2"/>
  <c r="H283" i="2" s="1"/>
  <c r="K288" i="2"/>
  <c r="J357" i="2"/>
  <c r="H357" i="2" s="1"/>
  <c r="J383" i="2"/>
  <c r="H383" i="2" s="1"/>
  <c r="I426" i="2"/>
  <c r="K766" i="2"/>
  <c r="J792" i="2"/>
  <c r="H792" i="2" s="1"/>
  <c r="I844" i="2"/>
  <c r="J30" i="2"/>
  <c r="K174" i="2" s="1"/>
  <c r="I221" i="2"/>
  <c r="K306" i="2"/>
  <c r="J419" i="2"/>
  <c r="H419" i="2" s="1"/>
  <c r="J470" i="2"/>
  <c r="H470" i="2" s="1"/>
  <c r="I511" i="2"/>
  <c r="J516" i="2"/>
  <c r="H516" i="2" s="1"/>
  <c r="K798" i="2"/>
  <c r="I892" i="2"/>
  <c r="I44" i="2"/>
  <c r="J88" i="2"/>
  <c r="H88" i="2" s="1"/>
  <c r="I114" i="2"/>
  <c r="I285" i="2"/>
  <c r="I295" i="2"/>
  <c r="I303" i="2"/>
  <c r="I316" i="2"/>
  <c r="K318" i="2"/>
  <c r="I328" i="2"/>
  <c r="I331" i="2"/>
  <c r="J337" i="2"/>
  <c r="H337" i="2" s="1"/>
  <c r="I349" i="2"/>
  <c r="I357" i="2"/>
  <c r="J385" i="2"/>
  <c r="H385" i="2" s="1"/>
  <c r="I403" i="2"/>
  <c r="I409" i="2"/>
  <c r="I439" i="2"/>
  <c r="J462" i="2"/>
  <c r="K472" i="2" s="1"/>
  <c r="K465" i="2"/>
  <c r="J478" i="2"/>
  <c r="H478" i="2" s="1"/>
  <c r="J519" i="2"/>
  <c r="H519" i="2" s="1"/>
  <c r="J524" i="2"/>
  <c r="H524" i="2" s="1"/>
  <c r="J548" i="2"/>
  <c r="H548" i="2" s="1"/>
  <c r="K560" i="2"/>
  <c r="K563" i="2"/>
  <c r="I566" i="2"/>
  <c r="I584" i="2"/>
  <c r="J587" i="2"/>
  <c r="H587" i="2" s="1"/>
  <c r="K622" i="2"/>
  <c r="J678" i="2"/>
  <c r="H678" i="2" s="1"/>
  <c r="J709" i="2"/>
  <c r="I753" i="2"/>
  <c r="I762" i="2"/>
  <c r="K801" i="2"/>
  <c r="J819" i="2"/>
  <c r="H819" i="2" s="1"/>
  <c r="J844" i="2"/>
  <c r="H844" i="2" s="1"/>
  <c r="I852" i="2"/>
  <c r="K903" i="2"/>
  <c r="K908" i="2"/>
  <c r="J948" i="2"/>
  <c r="H948" i="2" s="1"/>
  <c r="I962" i="2"/>
  <c r="K979" i="2"/>
  <c r="I427" i="2"/>
  <c r="I666" i="2"/>
  <c r="I738" i="2"/>
  <c r="I862" i="2"/>
  <c r="J38" i="2"/>
  <c r="I60" i="2"/>
  <c r="K80" i="2"/>
  <c r="J106" i="2"/>
  <c r="H106" i="2" s="1"/>
  <c r="I174" i="2"/>
  <c r="K185" i="2"/>
  <c r="I203" i="2"/>
  <c r="J215" i="2"/>
  <c r="H215" i="2" s="1"/>
  <c r="I227" i="2"/>
  <c r="K233" i="2"/>
  <c r="I256" i="2"/>
  <c r="I264" i="2"/>
  <c r="I293" i="2"/>
  <c r="I310" i="2"/>
  <c r="J339" i="2"/>
  <c r="H339" i="2" s="1"/>
  <c r="J375" i="2"/>
  <c r="H375" i="2" s="1"/>
  <c r="I382" i="2"/>
  <c r="I385" i="2"/>
  <c r="K398" i="2"/>
  <c r="I400" i="2"/>
  <c r="I473" i="2"/>
  <c r="J480" i="2"/>
  <c r="H480" i="2" s="1"/>
  <c r="J498" i="2"/>
  <c r="H498" i="2" s="1"/>
  <c r="J521" i="2"/>
  <c r="H521" i="2" s="1"/>
  <c r="I527" i="2"/>
  <c r="I535" i="2"/>
  <c r="J538" i="2"/>
  <c r="H538" i="2" s="1"/>
  <c r="I544" i="2"/>
  <c r="I630" i="2"/>
  <c r="K648" i="2"/>
  <c r="I698" i="2"/>
  <c r="K704" i="2"/>
  <c r="J712" i="2"/>
  <c r="H712" i="2" s="1"/>
  <c r="I720" i="2"/>
  <c r="J738" i="2"/>
  <c r="H738" i="2" s="1"/>
  <c r="I748" i="2"/>
  <c r="J757" i="2"/>
  <c r="H757" i="2" s="1"/>
  <c r="I780" i="2"/>
  <c r="J785" i="2"/>
  <c r="H785" i="2" s="1"/>
  <c r="J793" i="2"/>
  <c r="J809" i="2"/>
  <c r="H809" i="2" s="1"/>
  <c r="I816" i="2"/>
  <c r="J862" i="2"/>
  <c r="H862" i="2" s="1"/>
  <c r="K934" i="2"/>
  <c r="I436" i="2"/>
  <c r="I704" i="2"/>
  <c r="K10" i="2"/>
  <c r="K20" i="2"/>
  <c r="J46" i="2"/>
  <c r="H46" i="2" s="1"/>
  <c r="I70" i="2"/>
  <c r="K88" i="2"/>
  <c r="J141" i="2"/>
  <c r="J163" i="2"/>
  <c r="H163" i="2" s="1"/>
  <c r="K215" i="2"/>
  <c r="J243" i="2"/>
  <c r="K261" i="2" s="1"/>
  <c r="J256" i="2"/>
  <c r="J264" i="2"/>
  <c r="I270" i="2"/>
  <c r="J293" i="2"/>
  <c r="H293" i="2" s="1"/>
  <c r="J301" i="2"/>
  <c r="H301" i="2" s="1"/>
  <c r="K310" i="2"/>
  <c r="I329" i="2"/>
  <c r="I347" i="2"/>
  <c r="K351" i="2"/>
  <c r="J359" i="2"/>
  <c r="H359" i="2" s="1"/>
  <c r="K558" i="2"/>
  <c r="I577" i="2"/>
  <c r="K709" i="2"/>
  <c r="J720" i="2"/>
  <c r="H720" i="2" s="1"/>
  <c r="I728" i="2"/>
  <c r="J748" i="2"/>
  <c r="K761" i="2" s="1"/>
  <c r="K785" i="2"/>
  <c r="K793" i="2"/>
  <c r="I800" i="2"/>
  <c r="J816" i="2"/>
  <c r="H816" i="2" s="1"/>
  <c r="J952" i="2"/>
  <c r="H952" i="2" s="1"/>
  <c r="K962" i="2"/>
  <c r="J966" i="2"/>
  <c r="H966" i="2" s="1"/>
  <c r="J651" i="2"/>
  <c r="H651" i="2" s="1"/>
  <c r="J54" i="2"/>
  <c r="H54" i="2" s="1"/>
  <c r="K152" i="2"/>
  <c r="K163" i="2"/>
  <c r="K198" i="2"/>
  <c r="J235" i="2"/>
  <c r="H235" i="2" s="1"/>
  <c r="I263" i="2"/>
  <c r="K301" i="2"/>
  <c r="J321" i="2"/>
  <c r="H321" i="2" s="1"/>
  <c r="J329" i="2"/>
  <c r="H329" i="2" s="1"/>
  <c r="J347" i="2"/>
  <c r="H347" i="2" s="1"/>
  <c r="K369" i="2"/>
  <c r="J377" i="2"/>
  <c r="H377" i="2" s="1"/>
  <c r="I417" i="2"/>
  <c r="J437" i="2"/>
  <c r="H437" i="2" s="1"/>
  <c r="I444" i="2"/>
  <c r="K447" i="2"/>
  <c r="I493" i="2"/>
  <c r="K625" i="2"/>
  <c r="I638" i="2"/>
  <c r="I680" i="2"/>
  <c r="J691" i="2"/>
  <c r="H691" i="2" s="1"/>
  <c r="J728" i="2"/>
  <c r="H728" i="2" s="1"/>
  <c r="I735" i="2"/>
  <c r="J800" i="2"/>
  <c r="H800" i="2" s="1"/>
  <c r="I808" i="2"/>
  <c r="J811" i="2"/>
  <c r="H811" i="2" s="1"/>
  <c r="I908" i="2"/>
  <c r="K966" i="2"/>
  <c r="I970" i="2"/>
  <c r="J259" i="2"/>
  <c r="H259" i="2" s="1"/>
  <c r="I375" i="2"/>
  <c r="I416" i="2"/>
  <c r="I809" i="2"/>
  <c r="J62" i="2"/>
  <c r="H62" i="2" s="1"/>
  <c r="I130" i="2"/>
  <c r="I159" i="2"/>
  <c r="I211" i="2"/>
  <c r="K235" i="2"/>
  <c r="J263" i="2"/>
  <c r="J673" i="2"/>
  <c r="H673" i="2" s="1"/>
  <c r="J808" i="2"/>
  <c r="H808" i="2" s="1"/>
  <c r="K822" i="2"/>
  <c r="I982" i="2"/>
  <c r="K72" i="2"/>
  <c r="I272" i="2"/>
  <c r="I298" i="2"/>
  <c r="I648" i="2"/>
  <c r="J930" i="2"/>
  <c r="H930" i="2" s="1"/>
  <c r="J72" i="2"/>
  <c r="K136" i="2"/>
  <c r="I177" i="2"/>
  <c r="K298" i="2"/>
  <c r="J331" i="2"/>
  <c r="H331" i="2" s="1"/>
  <c r="J349" i="2"/>
  <c r="H349" i="2" s="1"/>
  <c r="K370" i="2"/>
  <c r="J403" i="2"/>
  <c r="H403" i="2" s="1"/>
  <c r="K422" i="2"/>
  <c r="J439" i="2"/>
  <c r="H439" i="2" s="1"/>
  <c r="K651" i="2"/>
  <c r="J990" i="2"/>
  <c r="H990" i="2" s="1"/>
  <c r="K92" i="2"/>
  <c r="J92" i="2"/>
  <c r="H92" i="2" s="1"/>
  <c r="K42" i="2"/>
  <c r="J42" i="2"/>
  <c r="H42" i="2" s="1"/>
  <c r="K110" i="2"/>
  <c r="J110" i="2"/>
  <c r="H110" i="2" s="1"/>
  <c r="K50" i="2"/>
  <c r="J50" i="2"/>
  <c r="H50" i="2" s="1"/>
  <c r="K120" i="2"/>
  <c r="J120" i="2"/>
  <c r="H120" i="2" s="1"/>
  <c r="K58" i="2"/>
  <c r="J58" i="2"/>
  <c r="H58" i="2" s="1"/>
  <c r="K24" i="2"/>
  <c r="J24" i="2"/>
  <c r="H24" i="2" s="1"/>
  <c r="J34" i="2"/>
  <c r="H34" i="2" s="1"/>
  <c r="K34" i="2"/>
  <c r="K68" i="2"/>
  <c r="J68" i="2"/>
  <c r="K70" i="2" s="1"/>
  <c r="K162" i="2"/>
  <c r="I162" i="2"/>
  <c r="K76" i="2"/>
  <c r="J76" i="2"/>
  <c r="K100" i="2"/>
  <c r="J100" i="2"/>
  <c r="H100" i="2" s="1"/>
  <c r="J6" i="2"/>
  <c r="H6" i="2" s="1"/>
  <c r="K6" i="2"/>
  <c r="J16" i="2"/>
  <c r="K16" i="2"/>
  <c r="K84" i="2"/>
  <c r="J84" i="2"/>
  <c r="H84" i="2" s="1"/>
  <c r="I144" i="2"/>
  <c r="G187" i="2"/>
  <c r="F212" i="2"/>
  <c r="J212" i="2" s="1"/>
  <c r="H212" i="2" s="1"/>
  <c r="F98" i="2"/>
  <c r="I98" i="2" s="1"/>
  <c r="F108" i="2"/>
  <c r="K108" i="2" s="1"/>
  <c r="F118" i="2"/>
  <c r="K118" i="2" s="1"/>
  <c r="F158" i="2"/>
  <c r="K158" i="2" s="1"/>
  <c r="G161" i="2"/>
  <c r="G170" i="2"/>
  <c r="F180" i="2"/>
  <c r="K180" i="2" s="1"/>
  <c r="F187" i="2"/>
  <c r="J187" i="2" s="1"/>
  <c r="H187" i="2" s="1"/>
  <c r="J192" i="2"/>
  <c r="H192" i="2" s="1"/>
  <c r="G205" i="2"/>
  <c r="G212" i="2"/>
  <c r="F222" i="2"/>
  <c r="J262" i="2"/>
  <c r="H262" i="2" s="1"/>
  <c r="I262" i="2"/>
  <c r="K311" i="2"/>
  <c r="J311" i="2"/>
  <c r="H311" i="2" s="1"/>
  <c r="I311" i="2"/>
  <c r="G433" i="2"/>
  <c r="F433" i="2"/>
  <c r="K433" i="2" s="1"/>
  <c r="G568" i="2"/>
  <c r="F568" i="2"/>
  <c r="J568" i="2" s="1"/>
  <c r="H568" i="2" s="1"/>
  <c r="F134" i="2"/>
  <c r="F12" i="2"/>
  <c r="I12" i="2" s="1"/>
  <c r="F140" i="2"/>
  <c r="K140" i="2" s="1"/>
  <c r="G143" i="2"/>
  <c r="G150" i="2"/>
  <c r="F3" i="2"/>
  <c r="J3" i="2" s="1"/>
  <c r="K30" i="2" s="1"/>
  <c r="G4" i="2"/>
  <c r="I6" i="2"/>
  <c r="K8" i="2"/>
  <c r="F11" i="2"/>
  <c r="K11" i="2" s="1"/>
  <c r="G12" i="2"/>
  <c r="I16" i="2"/>
  <c r="K18" i="2"/>
  <c r="F21" i="2"/>
  <c r="K21" i="2" s="1"/>
  <c r="G22" i="2"/>
  <c r="I24" i="2"/>
  <c r="K28" i="2"/>
  <c r="F31" i="2"/>
  <c r="K31" i="2" s="1"/>
  <c r="G32" i="2"/>
  <c r="I34" i="2"/>
  <c r="K36" i="2"/>
  <c r="F39" i="2"/>
  <c r="K39" i="2" s="1"/>
  <c r="G40" i="2"/>
  <c r="I42" i="2"/>
  <c r="K44" i="2"/>
  <c r="F47" i="2"/>
  <c r="J47" i="2" s="1"/>
  <c r="H47" i="2" s="1"/>
  <c r="G48" i="2"/>
  <c r="I50" i="2"/>
  <c r="K52" i="2"/>
  <c r="F55" i="2"/>
  <c r="G56" i="2"/>
  <c r="I58" i="2"/>
  <c r="K60" i="2"/>
  <c r="F63" i="2"/>
  <c r="K63" i="2" s="1"/>
  <c r="G66" i="2"/>
  <c r="I68" i="2"/>
  <c r="F73" i="2"/>
  <c r="K73" i="2" s="1"/>
  <c r="G74" i="2"/>
  <c r="I76" i="2"/>
  <c r="K78" i="2"/>
  <c r="F81" i="2"/>
  <c r="K81" i="2" s="1"/>
  <c r="G82" i="2"/>
  <c r="I84" i="2"/>
  <c r="K86" i="2"/>
  <c r="F89" i="2"/>
  <c r="I89" i="2" s="1"/>
  <c r="G90" i="2"/>
  <c r="I92" i="2"/>
  <c r="K94" i="2"/>
  <c r="F97" i="2"/>
  <c r="K97" i="2" s="1"/>
  <c r="G98" i="2"/>
  <c r="I100" i="2"/>
  <c r="K104" i="2"/>
  <c r="F107" i="2"/>
  <c r="G108" i="2"/>
  <c r="I110" i="2"/>
  <c r="K114" i="2"/>
  <c r="F117" i="2"/>
  <c r="J117" i="2" s="1"/>
  <c r="H117" i="2" s="1"/>
  <c r="G118" i="2"/>
  <c r="I120" i="2"/>
  <c r="F123" i="2"/>
  <c r="I123" i="2" s="1"/>
  <c r="G128" i="2"/>
  <c r="I129" i="2"/>
  <c r="I132" i="2"/>
  <c r="G140" i="2"/>
  <c r="F143" i="2"/>
  <c r="K143" i="2" s="1"/>
  <c r="J144" i="2"/>
  <c r="K234" i="2" s="1"/>
  <c r="F146" i="2"/>
  <c r="J146" i="2" s="1"/>
  <c r="I147" i="2"/>
  <c r="I149" i="2"/>
  <c r="G158" i="2"/>
  <c r="F161" i="2"/>
  <c r="J161" i="2" s="1"/>
  <c r="H161" i="2" s="1"/>
  <c r="J162" i="2"/>
  <c r="H162" i="2" s="1"/>
  <c r="F166" i="2"/>
  <c r="J166" i="2" s="1"/>
  <c r="K206" i="2" s="1"/>
  <c r="I167" i="2"/>
  <c r="I169" i="2"/>
  <c r="K172" i="2"/>
  <c r="G175" i="2"/>
  <c r="F175" i="2"/>
  <c r="K175" i="2" s="1"/>
  <c r="K181" i="2"/>
  <c r="K197" i="2"/>
  <c r="J197" i="2"/>
  <c r="H197" i="2" s="1"/>
  <c r="G197" i="2"/>
  <c r="F205" i="2"/>
  <c r="K205" i="2" s="1"/>
  <c r="K213" i="2"/>
  <c r="K231" i="2"/>
  <c r="J231" i="2"/>
  <c r="H231" i="2" s="1"/>
  <c r="G238" i="2"/>
  <c r="F238" i="2"/>
  <c r="K238" i="2" s="1"/>
  <c r="F271" i="2"/>
  <c r="K271" i="2" s="1"/>
  <c r="F327" i="2"/>
  <c r="K327" i="2" s="1"/>
  <c r="G327" i="2"/>
  <c r="K717" i="2"/>
  <c r="I717" i="2"/>
  <c r="G245" i="2"/>
  <c r="K245" i="2"/>
  <c r="I41" i="2"/>
  <c r="G47" i="2"/>
  <c r="I57" i="2"/>
  <c r="G63" i="2"/>
  <c r="I67" i="2"/>
  <c r="G73" i="2"/>
  <c r="I75" i="2"/>
  <c r="G81" i="2"/>
  <c r="I83" i="2"/>
  <c r="G89" i="2"/>
  <c r="I91" i="2"/>
  <c r="G97" i="2"/>
  <c r="I99" i="2"/>
  <c r="I109" i="2"/>
  <c r="G117" i="2"/>
  <c r="I119" i="2"/>
  <c r="G123" i="2"/>
  <c r="I124" i="2"/>
  <c r="G139" i="2"/>
  <c r="J173" i="2"/>
  <c r="H173" i="2" s="1"/>
  <c r="G210" i="2"/>
  <c r="F210" i="2"/>
  <c r="I210" i="2" s="1"/>
  <c r="K246" i="2"/>
  <c r="J246" i="2"/>
  <c r="H246" i="2" s="1"/>
  <c r="I246" i="2"/>
  <c r="F275" i="2"/>
  <c r="I275" i="2" s="1"/>
  <c r="G296" i="2"/>
  <c r="F296" i="2"/>
  <c r="K296" i="2" s="1"/>
  <c r="G440" i="2"/>
  <c r="F440" i="2"/>
  <c r="K440" i="2" s="1"/>
  <c r="F170" i="2"/>
  <c r="I170" i="2" s="1"/>
  <c r="F178" i="2"/>
  <c r="I178" i="2" s="1"/>
  <c r="F202" i="2"/>
  <c r="K202" i="2" s="1"/>
  <c r="F40" i="2"/>
  <c r="K40" i="2" s="1"/>
  <c r="F66" i="2"/>
  <c r="K66" i="2" s="1"/>
  <c r="F74" i="2"/>
  <c r="K74" i="2" s="1"/>
  <c r="K90" i="2"/>
  <c r="I5" i="2"/>
  <c r="I13" i="2"/>
  <c r="I49" i="2"/>
  <c r="J5" i="2"/>
  <c r="K33" i="2" s="1"/>
  <c r="F9" i="2"/>
  <c r="I9" i="2" s="1"/>
  <c r="J13" i="2"/>
  <c r="H13" i="2" s="1"/>
  <c r="F19" i="2"/>
  <c r="J23" i="2"/>
  <c r="J33" i="2"/>
  <c r="K278" i="2" s="1"/>
  <c r="F37" i="2"/>
  <c r="I37" i="2" s="1"/>
  <c r="J41" i="2"/>
  <c r="H41" i="2" s="1"/>
  <c r="F45" i="2"/>
  <c r="J49" i="2"/>
  <c r="H49" i="2" s="1"/>
  <c r="F53" i="2"/>
  <c r="J57" i="2"/>
  <c r="H57" i="2" s="1"/>
  <c r="F61" i="2"/>
  <c r="J67" i="2"/>
  <c r="H67" i="2" s="1"/>
  <c r="F71" i="2"/>
  <c r="I71" i="2" s="1"/>
  <c r="J75" i="2"/>
  <c r="H75" i="2" s="1"/>
  <c r="F79" i="2"/>
  <c r="J83" i="2"/>
  <c r="H83" i="2" s="1"/>
  <c r="F87" i="2"/>
  <c r="I87" i="2" s="1"/>
  <c r="J91" i="2"/>
  <c r="H91" i="2" s="1"/>
  <c r="F95" i="2"/>
  <c r="J99" i="2"/>
  <c r="H99" i="2" s="1"/>
  <c r="F105" i="2"/>
  <c r="I105" i="2" s="1"/>
  <c r="J109" i="2"/>
  <c r="H109" i="2" s="1"/>
  <c r="F115" i="2"/>
  <c r="J119" i="2"/>
  <c r="K144" i="2" s="1"/>
  <c r="F122" i="2"/>
  <c r="K122" i="2" s="1"/>
  <c r="F126" i="2"/>
  <c r="I128" i="2"/>
  <c r="J137" i="2"/>
  <c r="H137" i="2" s="1"/>
  <c r="F139" i="2"/>
  <c r="K139" i="2" s="1"/>
  <c r="F142" i="2"/>
  <c r="K142" i="2" s="1"/>
  <c r="J153" i="2"/>
  <c r="K159" i="2" s="1"/>
  <c r="F157" i="2"/>
  <c r="K157" i="2" s="1"/>
  <c r="F160" i="2"/>
  <c r="K160" i="2" s="1"/>
  <c r="K173" i="2"/>
  <c r="G179" i="2"/>
  <c r="K188" i="2"/>
  <c r="G191" i="2"/>
  <c r="F191" i="2"/>
  <c r="I191" i="2" s="1"/>
  <c r="F220" i="2"/>
  <c r="F232" i="2"/>
  <c r="K232" i="2" s="1"/>
  <c r="I239" i="2"/>
  <c r="F257" i="2"/>
  <c r="K257" i="2" s="1"/>
  <c r="G257" i="2"/>
  <c r="K287" i="2"/>
  <c r="J406" i="2"/>
  <c r="H406" i="2" s="1"/>
  <c r="I406" i="2"/>
  <c r="G459" i="2"/>
  <c r="F459" i="2"/>
  <c r="I459" i="2" s="1"/>
  <c r="F183" i="2"/>
  <c r="I183" i="2" s="1"/>
  <c r="F4" i="2"/>
  <c r="K4" i="2" s="1"/>
  <c r="F82" i="2"/>
  <c r="I82" i="2" s="1"/>
  <c r="G11" i="2"/>
  <c r="I23" i="2"/>
  <c r="G31" i="2"/>
  <c r="G39" i="2"/>
  <c r="J4" i="2"/>
  <c r="H4" i="2" s="1"/>
  <c r="G19" i="2"/>
  <c r="G53" i="2"/>
  <c r="G61" i="2"/>
  <c r="G71" i="2"/>
  <c r="G79" i="2"/>
  <c r="G87" i="2"/>
  <c r="G95" i="2"/>
  <c r="G105" i="2"/>
  <c r="G122" i="2"/>
  <c r="G126" i="2"/>
  <c r="J128" i="2"/>
  <c r="H128" i="2" s="1"/>
  <c r="G135" i="2"/>
  <c r="I136" i="2"/>
  <c r="K137" i="2"/>
  <c r="G151" i="2"/>
  <c r="I152" i="2"/>
  <c r="K153" i="2"/>
  <c r="G171" i="2"/>
  <c r="I172" i="2"/>
  <c r="F179" i="2"/>
  <c r="K179" i="2" s="1"/>
  <c r="F186" i="2"/>
  <c r="J186" i="2" s="1"/>
  <c r="H186" i="2" s="1"/>
  <c r="J206" i="2"/>
  <c r="K239" i="2"/>
  <c r="J239" i="2"/>
  <c r="H239" i="2" s="1"/>
  <c r="F247" i="2"/>
  <c r="K247" i="2" s="1"/>
  <c r="G247" i="2"/>
  <c r="G252" i="2"/>
  <c r="F252" i="2"/>
  <c r="K252" i="2" s="1"/>
  <c r="G258" i="2"/>
  <c r="K258" i="2"/>
  <c r="F279" i="2"/>
  <c r="J279" i="2" s="1"/>
  <c r="H279" i="2" s="1"/>
  <c r="G279" i="2"/>
  <c r="K456" i="2"/>
  <c r="J456" i="2"/>
  <c r="K665" i="2" s="1"/>
  <c r="I456" i="2"/>
  <c r="F150" i="2"/>
  <c r="K150" i="2" s="1"/>
  <c r="F32" i="2"/>
  <c r="K32" i="2" s="1"/>
  <c r="F48" i="2"/>
  <c r="I48" i="2" s="1"/>
  <c r="F56" i="2"/>
  <c r="K56" i="2" s="1"/>
  <c r="F7" i="2"/>
  <c r="I10" i="2"/>
  <c r="J11" i="2"/>
  <c r="H11" i="2" s="1"/>
  <c r="F17" i="2"/>
  <c r="I20" i="2"/>
  <c r="F25" i="2"/>
  <c r="F35" i="2"/>
  <c r="J35" i="2" s="1"/>
  <c r="H35" i="2" s="1"/>
  <c r="J43" i="2"/>
  <c r="F51" i="2"/>
  <c r="F59" i="2"/>
  <c r="J59" i="2" s="1"/>
  <c r="H59" i="2" s="1"/>
  <c r="F69" i="2"/>
  <c r="F77" i="2"/>
  <c r="F85" i="2"/>
  <c r="J85" i="2" s="1"/>
  <c r="H85" i="2" s="1"/>
  <c r="F93" i="2"/>
  <c r="F101" i="2"/>
  <c r="J101" i="2" s="1"/>
  <c r="H101" i="2" s="1"/>
  <c r="F113" i="2"/>
  <c r="J113" i="2" s="1"/>
  <c r="H113" i="2" s="1"/>
  <c r="F121" i="2"/>
  <c r="F125" i="2"/>
  <c r="I125" i="2" s="1"/>
  <c r="I127" i="2"/>
  <c r="K128" i="2"/>
  <c r="G130" i="2"/>
  <c r="J132" i="2"/>
  <c r="H132" i="2" s="1"/>
  <c r="F135" i="2"/>
  <c r="F138" i="2"/>
  <c r="I138" i="2" s="1"/>
  <c r="G148" i="2"/>
  <c r="J149" i="2"/>
  <c r="H149" i="2" s="1"/>
  <c r="F151" i="2"/>
  <c r="K151" i="2" s="1"/>
  <c r="F154" i="2"/>
  <c r="I154" i="2" s="1"/>
  <c r="G168" i="2"/>
  <c r="J169" i="2"/>
  <c r="H169" i="2" s="1"/>
  <c r="F171" i="2"/>
  <c r="K171" i="2" s="1"/>
  <c r="J177" i="2"/>
  <c r="H177" i="2" s="1"/>
  <c r="I182" i="2"/>
  <c r="I184" i="2"/>
  <c r="G186" i="2"/>
  <c r="K193" i="2"/>
  <c r="K211" i="2"/>
  <c r="J211" i="2"/>
  <c r="H211" i="2" s="1"/>
  <c r="F253" i="2"/>
  <c r="J253" i="2" s="1"/>
  <c r="H253" i="2" s="1"/>
  <c r="F277" i="2"/>
  <c r="J277" i="2" s="1"/>
  <c r="H277" i="2" s="1"/>
  <c r="G323" i="2"/>
  <c r="F323" i="2"/>
  <c r="J323" i="2" s="1"/>
  <c r="H323" i="2" s="1"/>
  <c r="K393" i="2"/>
  <c r="J393" i="2"/>
  <c r="H393" i="2" s="1"/>
  <c r="I393" i="2"/>
  <c r="F22" i="2"/>
  <c r="J22" i="2" s="1"/>
  <c r="H22" i="2" s="1"/>
  <c r="G21" i="2"/>
  <c r="I33" i="2"/>
  <c r="G37" i="2"/>
  <c r="J124" i="2"/>
  <c r="H124" i="2" s="1"/>
  <c r="G125" i="2"/>
  <c r="K129" i="2"/>
  <c r="G138" i="2"/>
  <c r="G147" i="2"/>
  <c r="K147" i="2"/>
  <c r="G154" i="2"/>
  <c r="G167" i="2"/>
  <c r="K167" i="2"/>
  <c r="F176" i="2"/>
  <c r="J184" i="2"/>
  <c r="H184" i="2" s="1"/>
  <c r="I192" i="2"/>
  <c r="G192" i="2"/>
  <c r="F196" i="2"/>
  <c r="K196" i="2" s="1"/>
  <c r="F204" i="2"/>
  <c r="J204" i="2" s="1"/>
  <c r="H204" i="2" s="1"/>
  <c r="I206" i="2"/>
  <c r="K221" i="2"/>
  <c r="J221" i="2"/>
  <c r="H221" i="2" s="1"/>
  <c r="G228" i="2"/>
  <c r="F228" i="2"/>
  <c r="K228" i="2" s="1"/>
  <c r="F240" i="2"/>
  <c r="K240" i="2" s="1"/>
  <c r="G253" i="2"/>
  <c r="F265" i="2"/>
  <c r="K265" i="2" s="1"/>
  <c r="G265" i="2"/>
  <c r="G277" i="2"/>
  <c r="K282" i="2"/>
  <c r="J282" i="2"/>
  <c r="K672" i="2" s="1"/>
  <c r="I282" i="2"/>
  <c r="G294" i="2"/>
  <c r="F294" i="2"/>
  <c r="I294" i="2" s="1"/>
  <c r="F299" i="2"/>
  <c r="G330" i="2"/>
  <c r="F330" i="2"/>
  <c r="J330" i="2" s="1"/>
  <c r="H330" i="2" s="1"/>
  <c r="F332" i="2"/>
  <c r="J332" i="2" s="1"/>
  <c r="H332" i="2" s="1"/>
  <c r="J390" i="2"/>
  <c r="H390" i="2" s="1"/>
  <c r="I390" i="2"/>
  <c r="G413" i="2"/>
  <c r="G420" i="2"/>
  <c r="F420" i="2"/>
  <c r="J420" i="2" s="1"/>
  <c r="H420" i="2" s="1"/>
  <c r="I490" i="2"/>
  <c r="K490" i="2"/>
  <c r="G619" i="2"/>
  <c r="F619" i="2"/>
  <c r="K619" i="2" s="1"/>
  <c r="J174" i="2"/>
  <c r="J182" i="2"/>
  <c r="H182" i="2" s="1"/>
  <c r="J190" i="2"/>
  <c r="H190" i="2" s="1"/>
  <c r="G213" i="2"/>
  <c r="K227" i="2"/>
  <c r="G233" i="2"/>
  <c r="K237" i="2"/>
  <c r="G241" i="2"/>
  <c r="I248" i="2"/>
  <c r="I259" i="2"/>
  <c r="J261" i="2"/>
  <c r="K268" i="2"/>
  <c r="I268" i="2"/>
  <c r="I273" i="2"/>
  <c r="G287" i="2"/>
  <c r="F289" i="2"/>
  <c r="I289" i="2" s="1"/>
  <c r="G302" i="2"/>
  <c r="J302" i="2"/>
  <c r="H302" i="2" s="1"/>
  <c r="K304" i="2"/>
  <c r="I304" i="2"/>
  <c r="J315" i="2"/>
  <c r="H315" i="2" s="1"/>
  <c r="I315" i="2"/>
  <c r="G315" i="2"/>
  <c r="F317" i="2"/>
  <c r="K317" i="2" s="1"/>
  <c r="I324" i="2"/>
  <c r="G332" i="2"/>
  <c r="G338" i="2"/>
  <c r="F338" i="2"/>
  <c r="I338" i="2" s="1"/>
  <c r="G342" i="2"/>
  <c r="F342" i="2"/>
  <c r="J342" i="2" s="1"/>
  <c r="H342" i="2" s="1"/>
  <c r="F345" i="2"/>
  <c r="J345" i="2" s="1"/>
  <c r="H345" i="2" s="1"/>
  <c r="K356" i="2"/>
  <c r="J356" i="2"/>
  <c r="H356" i="2" s="1"/>
  <c r="G360" i="2"/>
  <c r="F360" i="2"/>
  <c r="J360" i="2" s="1"/>
  <c r="H360" i="2" s="1"/>
  <c r="F363" i="2"/>
  <c r="J363" i="2" s="1"/>
  <c r="H363" i="2" s="1"/>
  <c r="K374" i="2"/>
  <c r="J374" i="2"/>
  <c r="H374" i="2" s="1"/>
  <c r="G378" i="2"/>
  <c r="F378" i="2"/>
  <c r="J378" i="2" s="1"/>
  <c r="H378" i="2" s="1"/>
  <c r="J398" i="2"/>
  <c r="H398" i="2" s="1"/>
  <c r="I398" i="2"/>
  <c r="K406" i="2"/>
  <c r="F413" i="2"/>
  <c r="K413" i="2" s="1"/>
  <c r="K421" i="2"/>
  <c r="J421" i="2"/>
  <c r="H421" i="2" s="1"/>
  <c r="I421" i="2"/>
  <c r="G421" i="2"/>
  <c r="J427" i="2"/>
  <c r="G430" i="2"/>
  <c r="F430" i="2"/>
  <c r="K430" i="2" s="1"/>
  <c r="I437" i="2"/>
  <c r="K498" i="2"/>
  <c r="I498" i="2"/>
  <c r="K516" i="2"/>
  <c r="I516" i="2"/>
  <c r="I213" i="2"/>
  <c r="J214" i="2"/>
  <c r="H214" i="2" s="1"/>
  <c r="I223" i="2"/>
  <c r="J224" i="2"/>
  <c r="H224" i="2" s="1"/>
  <c r="I233" i="2"/>
  <c r="J234" i="2"/>
  <c r="K243" i="2" s="1"/>
  <c r="I241" i="2"/>
  <c r="J242" i="2"/>
  <c r="H242" i="2" s="1"/>
  <c r="G284" i="2"/>
  <c r="F284" i="2"/>
  <c r="J284" i="2" s="1"/>
  <c r="H284" i="2" s="1"/>
  <c r="J292" i="2"/>
  <c r="K462" i="2" s="1"/>
  <c r="K328" i="2"/>
  <c r="G333" i="2"/>
  <c r="F335" i="2"/>
  <c r="K335" i="2" s="1"/>
  <c r="I336" i="2"/>
  <c r="G343" i="2"/>
  <c r="J352" i="2"/>
  <c r="H352" i="2" s="1"/>
  <c r="I352" i="2"/>
  <c r="J370" i="2"/>
  <c r="H370" i="2" s="1"/>
  <c r="I370" i="2"/>
  <c r="G379" i="2"/>
  <c r="J414" i="2"/>
  <c r="H414" i="2" s="1"/>
  <c r="I414" i="2"/>
  <c r="G441" i="2"/>
  <c r="J445" i="2"/>
  <c r="H445" i="2" s="1"/>
  <c r="I462" i="2"/>
  <c r="F468" i="2"/>
  <c r="K468" i="2" s="1"/>
  <c r="G479" i="2"/>
  <c r="F479" i="2"/>
  <c r="I479" i="2" s="1"/>
  <c r="G507" i="2"/>
  <c r="F507" i="2"/>
  <c r="I507" i="2" s="1"/>
  <c r="J565" i="2"/>
  <c r="H565" i="2" s="1"/>
  <c r="I565" i="2"/>
  <c r="J602" i="2"/>
  <c r="H602" i="2" s="1"/>
  <c r="K602" i="2"/>
  <c r="I602" i="2"/>
  <c r="F201" i="2"/>
  <c r="K201" i="2" s="1"/>
  <c r="F209" i="2"/>
  <c r="J213" i="2"/>
  <c r="H213" i="2" s="1"/>
  <c r="F217" i="2"/>
  <c r="J223" i="2"/>
  <c r="H223" i="2" s="1"/>
  <c r="J233" i="2"/>
  <c r="H233" i="2" s="1"/>
  <c r="J241" i="2"/>
  <c r="H241" i="2" s="1"/>
  <c r="G274" i="2"/>
  <c r="F274" i="2"/>
  <c r="K274" i="2" s="1"/>
  <c r="K286" i="2"/>
  <c r="J304" i="2"/>
  <c r="H304" i="2" s="1"/>
  <c r="I313" i="2"/>
  <c r="K315" i="2"/>
  <c r="F333" i="2"/>
  <c r="I333" i="2" s="1"/>
  <c r="G335" i="2"/>
  <c r="K336" i="2"/>
  <c r="F343" i="2"/>
  <c r="K343" i="2" s="1"/>
  <c r="F361" i="2"/>
  <c r="J361" i="2" s="1"/>
  <c r="H361" i="2" s="1"/>
  <c r="F379" i="2"/>
  <c r="J379" i="2" s="1"/>
  <c r="H379" i="2" s="1"/>
  <c r="G386" i="2"/>
  <c r="F386" i="2"/>
  <c r="J386" i="2" s="1"/>
  <c r="H386" i="2" s="1"/>
  <c r="J422" i="2"/>
  <c r="H422" i="2" s="1"/>
  <c r="I422" i="2"/>
  <c r="F441" i="2"/>
  <c r="I441" i="2" s="1"/>
  <c r="F200" i="2"/>
  <c r="J200" i="2" s="1"/>
  <c r="H200" i="2" s="1"/>
  <c r="F208" i="2"/>
  <c r="J208" i="2" s="1"/>
  <c r="H208" i="2" s="1"/>
  <c r="F216" i="2"/>
  <c r="J226" i="2"/>
  <c r="H226" i="2" s="1"/>
  <c r="F236" i="2"/>
  <c r="F244" i="2"/>
  <c r="I244" i="2" s="1"/>
  <c r="F251" i="2"/>
  <c r="K251" i="2" s="1"/>
  <c r="F255" i="2"/>
  <c r="J260" i="2"/>
  <c r="H260" i="2" s="1"/>
  <c r="I261" i="2"/>
  <c r="F267" i="2"/>
  <c r="J267" i="2" s="1"/>
  <c r="H267" i="2" s="1"/>
  <c r="J268" i="2"/>
  <c r="H268" i="2" s="1"/>
  <c r="J272" i="2"/>
  <c r="H272" i="2" s="1"/>
  <c r="F276" i="2"/>
  <c r="J276" i="2" s="1"/>
  <c r="H276" i="2" s="1"/>
  <c r="G286" i="2"/>
  <c r="J303" i="2"/>
  <c r="H303" i="2" s="1"/>
  <c r="G303" i="2"/>
  <c r="J305" i="2"/>
  <c r="H305" i="2" s="1"/>
  <c r="I305" i="2"/>
  <c r="K316" i="2"/>
  <c r="I319" i="2"/>
  <c r="I321" i="2"/>
  <c r="J346" i="2"/>
  <c r="K478" i="2" s="1"/>
  <c r="J350" i="2"/>
  <c r="H350" i="2" s="1"/>
  <c r="F355" i="2"/>
  <c r="I355" i="2" s="1"/>
  <c r="K364" i="2"/>
  <c r="J364" i="2"/>
  <c r="H364" i="2" s="1"/>
  <c r="F368" i="2"/>
  <c r="J368" i="2" s="1"/>
  <c r="H368" i="2" s="1"/>
  <c r="F373" i="2"/>
  <c r="K373" i="2" s="1"/>
  <c r="K387" i="2"/>
  <c r="J387" i="2"/>
  <c r="H387" i="2" s="1"/>
  <c r="I387" i="2"/>
  <c r="G387" i="2"/>
  <c r="G396" i="2"/>
  <c r="F396" i="2"/>
  <c r="J396" i="2" s="1"/>
  <c r="H396" i="2" s="1"/>
  <c r="I401" i="2"/>
  <c r="J434" i="2"/>
  <c r="H434" i="2" s="1"/>
  <c r="I434" i="2"/>
  <c r="K442" i="2"/>
  <c r="F488" i="2"/>
  <c r="K683" i="2"/>
  <c r="I683" i="2"/>
  <c r="K254" i="2"/>
  <c r="G260" i="2"/>
  <c r="G267" i="2"/>
  <c r="J269" i="2"/>
  <c r="H269" i="2" s="1"/>
  <c r="G276" i="2"/>
  <c r="J295" i="2"/>
  <c r="H295" i="2" s="1"/>
  <c r="G295" i="2"/>
  <c r="J297" i="2"/>
  <c r="I297" i="2"/>
  <c r="I306" i="2"/>
  <c r="G312" i="2"/>
  <c r="F312" i="2"/>
  <c r="I312" i="2" s="1"/>
  <c r="F314" i="2"/>
  <c r="J314" i="2" s="1"/>
  <c r="H314" i="2" s="1"/>
  <c r="J319" i="2"/>
  <c r="H319" i="2" s="1"/>
  <c r="K324" i="2"/>
  <c r="K344" i="2"/>
  <c r="K362" i="2"/>
  <c r="K380" i="2"/>
  <c r="K397" i="2"/>
  <c r="J397" i="2"/>
  <c r="H397" i="2" s="1"/>
  <c r="I397" i="2"/>
  <c r="G397" i="2"/>
  <c r="J401" i="2"/>
  <c r="K425" i="2" s="1"/>
  <c r="G404" i="2"/>
  <c r="F404" i="2"/>
  <c r="K404" i="2" s="1"/>
  <c r="J442" i="2"/>
  <c r="H442" i="2" s="1"/>
  <c r="I442" i="2"/>
  <c r="J472" i="2"/>
  <c r="I472" i="2"/>
  <c r="G475" i="2"/>
  <c r="G496" i="2"/>
  <c r="F496" i="2"/>
  <c r="K496" i="2" s="1"/>
  <c r="G523" i="2"/>
  <c r="F523" i="2"/>
  <c r="J523" i="2" s="1"/>
  <c r="H523" i="2" s="1"/>
  <c r="F536" i="2"/>
  <c r="K262" i="2"/>
  <c r="I266" i="2"/>
  <c r="G266" i="2"/>
  <c r="J285" i="2"/>
  <c r="H285" i="2" s="1"/>
  <c r="G285" i="2"/>
  <c r="J287" i="2"/>
  <c r="H287" i="2" s="1"/>
  <c r="I287" i="2"/>
  <c r="F309" i="2"/>
  <c r="I309" i="2" s="1"/>
  <c r="G320" i="2"/>
  <c r="F320" i="2"/>
  <c r="K320" i="2" s="1"/>
  <c r="F322" i="2"/>
  <c r="J322" i="2" s="1"/>
  <c r="H322" i="2" s="1"/>
  <c r="K334" i="2"/>
  <c r="J344" i="2"/>
  <c r="H344" i="2" s="1"/>
  <c r="I344" i="2"/>
  <c r="J351" i="2"/>
  <c r="H351" i="2" s="1"/>
  <c r="I351" i="2"/>
  <c r="G351" i="2"/>
  <c r="J362" i="2"/>
  <c r="H362" i="2" s="1"/>
  <c r="I362" i="2"/>
  <c r="J369" i="2"/>
  <c r="H369" i="2" s="1"/>
  <c r="I369" i="2"/>
  <c r="G369" i="2"/>
  <c r="J380" i="2"/>
  <c r="H380" i="2" s="1"/>
  <c r="I380" i="2"/>
  <c r="K390" i="2"/>
  <c r="K405" i="2"/>
  <c r="J405" i="2"/>
  <c r="H405" i="2" s="1"/>
  <c r="I405" i="2"/>
  <c r="G405" i="2"/>
  <c r="G412" i="2"/>
  <c r="F412" i="2"/>
  <c r="K412" i="2" s="1"/>
  <c r="G450" i="2"/>
  <c r="F450" i="2"/>
  <c r="K450" i="2" s="1"/>
  <c r="F475" i="2"/>
  <c r="K475" i="2" s="1"/>
  <c r="J490" i="2"/>
  <c r="H490" i="2" s="1"/>
  <c r="F576" i="2"/>
  <c r="K576" i="2" s="1"/>
  <c r="J615" i="2"/>
  <c r="H615" i="2" s="1"/>
  <c r="I615" i="2"/>
  <c r="G658" i="2"/>
  <c r="F658" i="2"/>
  <c r="K658" i="2" s="1"/>
  <c r="I381" i="2"/>
  <c r="J382" i="2"/>
  <c r="H382" i="2" s="1"/>
  <c r="I391" i="2"/>
  <c r="J392" i="2"/>
  <c r="H392" i="2" s="1"/>
  <c r="I399" i="2"/>
  <c r="J400" i="2"/>
  <c r="H400" i="2" s="1"/>
  <c r="I407" i="2"/>
  <c r="J408" i="2"/>
  <c r="H408" i="2" s="1"/>
  <c r="I415" i="2"/>
  <c r="J416" i="2"/>
  <c r="H416" i="2" s="1"/>
  <c r="I425" i="2"/>
  <c r="J426" i="2"/>
  <c r="H426" i="2" s="1"/>
  <c r="I435" i="2"/>
  <c r="J436" i="2"/>
  <c r="H436" i="2" s="1"/>
  <c r="I443" i="2"/>
  <c r="J444" i="2"/>
  <c r="H444" i="2" s="1"/>
  <c r="F455" i="2"/>
  <c r="J455" i="2" s="1"/>
  <c r="H455" i="2" s="1"/>
  <c r="F471" i="2"/>
  <c r="J471" i="2" s="1"/>
  <c r="H471" i="2" s="1"/>
  <c r="J537" i="2"/>
  <c r="H537" i="2" s="1"/>
  <c r="I537" i="2"/>
  <c r="G542" i="2"/>
  <c r="F542" i="2"/>
  <c r="J542" i="2" s="1"/>
  <c r="H542" i="2" s="1"/>
  <c r="J547" i="2"/>
  <c r="H547" i="2" s="1"/>
  <c r="I547" i="2"/>
  <c r="J552" i="2"/>
  <c r="H552" i="2" s="1"/>
  <c r="K552" i="2"/>
  <c r="I552" i="2"/>
  <c r="J581" i="2"/>
  <c r="H581" i="2" s="1"/>
  <c r="K581" i="2"/>
  <c r="I581" i="2"/>
  <c r="F669" i="2"/>
  <c r="I669" i="2" s="1"/>
  <c r="G669" i="2"/>
  <c r="J381" i="2"/>
  <c r="J391" i="2"/>
  <c r="H391" i="2" s="1"/>
  <c r="J399" i="2"/>
  <c r="H399" i="2" s="1"/>
  <c r="J407" i="2"/>
  <c r="J415" i="2"/>
  <c r="H415" i="2" s="1"/>
  <c r="J425" i="2"/>
  <c r="J435" i="2"/>
  <c r="J443" i="2"/>
  <c r="H443" i="2" s="1"/>
  <c r="G455" i="2"/>
  <c r="F458" i="2"/>
  <c r="J458" i="2" s="1"/>
  <c r="H458" i="2" s="1"/>
  <c r="F461" i="2"/>
  <c r="J461" i="2" s="1"/>
  <c r="H461" i="2" s="1"/>
  <c r="G471" i="2"/>
  <c r="F474" i="2"/>
  <c r="J474" i="2" s="1"/>
  <c r="H474" i="2" s="1"/>
  <c r="F481" i="2"/>
  <c r="I481" i="2" s="1"/>
  <c r="F501" i="2"/>
  <c r="G514" i="2"/>
  <c r="F514" i="2"/>
  <c r="K514" i="2" s="1"/>
  <c r="F517" i="2"/>
  <c r="K517" i="2" s="1"/>
  <c r="K526" i="2"/>
  <c r="J526" i="2"/>
  <c r="H526" i="2" s="1"/>
  <c r="J571" i="2"/>
  <c r="H571" i="2" s="1"/>
  <c r="K571" i="2"/>
  <c r="I571" i="2"/>
  <c r="K714" i="2"/>
  <c r="I714" i="2"/>
  <c r="G313" i="2"/>
  <c r="G331" i="2"/>
  <c r="G339" i="2"/>
  <c r="F348" i="2"/>
  <c r="I348" i="2" s="1"/>
  <c r="G349" i="2"/>
  <c r="F358" i="2"/>
  <c r="G359" i="2"/>
  <c r="F366" i="2"/>
  <c r="G367" i="2"/>
  <c r="G377" i="2"/>
  <c r="K381" i="2"/>
  <c r="F384" i="2"/>
  <c r="G385" i="2"/>
  <c r="K391" i="2"/>
  <c r="F394" i="2"/>
  <c r="I394" i="2" s="1"/>
  <c r="K399" i="2"/>
  <c r="F402" i="2"/>
  <c r="K407" i="2"/>
  <c r="F410" i="2"/>
  <c r="I410" i="2" s="1"/>
  <c r="K415" i="2"/>
  <c r="F418" i="2"/>
  <c r="I418" i="2" s="1"/>
  <c r="F428" i="2"/>
  <c r="I428" i="2" s="1"/>
  <c r="G429" i="2"/>
  <c r="K435" i="2"/>
  <c r="F438" i="2"/>
  <c r="I438" i="2" s="1"/>
  <c r="K443" i="2"/>
  <c r="F446" i="2"/>
  <c r="J446" i="2" s="1"/>
  <c r="H446" i="2" s="1"/>
  <c r="I447" i="2"/>
  <c r="G449" i="2"/>
  <c r="G458" i="2"/>
  <c r="G461" i="2"/>
  <c r="F464" i="2"/>
  <c r="J464" i="2" s="1"/>
  <c r="H464" i="2" s="1"/>
  <c r="I465" i="2"/>
  <c r="G467" i="2"/>
  <c r="G474" i="2"/>
  <c r="G481" i="2"/>
  <c r="G489" i="2"/>
  <c r="F491" i="2"/>
  <c r="I491" i="2" s="1"/>
  <c r="G497" i="2"/>
  <c r="G517" i="2"/>
  <c r="J555" i="2"/>
  <c r="I555" i="2"/>
  <c r="J574" i="2"/>
  <c r="H574" i="2" s="1"/>
  <c r="K574" i="2"/>
  <c r="I574" i="2"/>
  <c r="F600" i="2"/>
  <c r="J600" i="2" s="1"/>
  <c r="H600" i="2" s="1"/>
  <c r="G600" i="2"/>
  <c r="K645" i="2"/>
  <c r="J645" i="2"/>
  <c r="H645" i="2" s="1"/>
  <c r="I645" i="2"/>
  <c r="F689" i="2"/>
  <c r="K689" i="2" s="1"/>
  <c r="G689" i="2"/>
  <c r="G348" i="2"/>
  <c r="G358" i="2"/>
  <c r="G366" i="2"/>
  <c r="G376" i="2"/>
  <c r="G384" i="2"/>
  <c r="G394" i="2"/>
  <c r="G402" i="2"/>
  <c r="G418" i="2"/>
  <c r="G428" i="2"/>
  <c r="G438" i="2"/>
  <c r="F449" i="2"/>
  <c r="K449" i="2" s="1"/>
  <c r="K460" i="2"/>
  <c r="F467" i="2"/>
  <c r="K467" i="2" s="1"/>
  <c r="F489" i="2"/>
  <c r="J489" i="2" s="1"/>
  <c r="H489" i="2" s="1"/>
  <c r="J497" i="2"/>
  <c r="H497" i="2" s="1"/>
  <c r="K508" i="2"/>
  <c r="I508" i="2"/>
  <c r="J515" i="2"/>
  <c r="H515" i="2" s="1"/>
  <c r="I515" i="2"/>
  <c r="K524" i="2"/>
  <c r="I524" i="2"/>
  <c r="I526" i="2"/>
  <c r="G561" i="2"/>
  <c r="K561" i="2"/>
  <c r="F588" i="2"/>
  <c r="K588" i="2" s="1"/>
  <c r="G588" i="2"/>
  <c r="G604" i="2"/>
  <c r="F604" i="2"/>
  <c r="K604" i="2" s="1"/>
  <c r="J617" i="2"/>
  <c r="H617" i="2" s="1"/>
  <c r="I617" i="2"/>
  <c r="K617" i="2"/>
  <c r="F660" i="2"/>
  <c r="K660" i="2" s="1"/>
  <c r="J672" i="2"/>
  <c r="H672" i="2" s="1"/>
  <c r="J727" i="2"/>
  <c r="I727" i="2"/>
  <c r="F463" i="2"/>
  <c r="I463" i="2" s="1"/>
  <c r="F598" i="2"/>
  <c r="K598" i="2" s="1"/>
  <c r="F654" i="2"/>
  <c r="K654" i="2" s="1"/>
  <c r="G654" i="2"/>
  <c r="F448" i="2"/>
  <c r="I448" i="2" s="1"/>
  <c r="F453" i="2"/>
  <c r="K453" i="2" s="1"/>
  <c r="G463" i="2"/>
  <c r="F466" i="2"/>
  <c r="I466" i="2" s="1"/>
  <c r="F469" i="2"/>
  <c r="J469" i="2" s="1"/>
  <c r="H469" i="2" s="1"/>
  <c r="G482" i="2"/>
  <c r="K482" i="2"/>
  <c r="J482" i="2"/>
  <c r="H482" i="2" s="1"/>
  <c r="J483" i="2"/>
  <c r="H483" i="2" s="1"/>
  <c r="G492" i="2"/>
  <c r="K492" i="2"/>
  <c r="J492" i="2"/>
  <c r="H492" i="2" s="1"/>
  <c r="J493" i="2"/>
  <c r="H493" i="2" s="1"/>
  <c r="G506" i="2"/>
  <c r="F506" i="2"/>
  <c r="J506" i="2" s="1"/>
  <c r="H506" i="2" s="1"/>
  <c r="F509" i="2"/>
  <c r="K509" i="2" s="1"/>
  <c r="G522" i="2"/>
  <c r="F522" i="2"/>
  <c r="J522" i="2" s="1"/>
  <c r="H522" i="2" s="1"/>
  <c r="F525" i="2"/>
  <c r="J525" i="2" s="1"/>
  <c r="H525" i="2" s="1"/>
  <c r="G531" i="2"/>
  <c r="F531" i="2"/>
  <c r="K531" i="2" s="1"/>
  <c r="G583" i="2"/>
  <c r="F583" i="2"/>
  <c r="K583" i="2" s="1"/>
  <c r="K586" i="2"/>
  <c r="I586" i="2"/>
  <c r="F593" i="2"/>
  <c r="I593" i="2" s="1"/>
  <c r="G598" i="2"/>
  <c r="I643" i="2"/>
  <c r="J643" i="2"/>
  <c r="H643" i="2" s="1"/>
  <c r="J502" i="2"/>
  <c r="H502" i="2" s="1"/>
  <c r="J510" i="2"/>
  <c r="K515" i="2" s="1"/>
  <c r="J518" i="2"/>
  <c r="H518" i="2" s="1"/>
  <c r="J544" i="2"/>
  <c r="H544" i="2" s="1"/>
  <c r="F546" i="2"/>
  <c r="J546" i="2" s="1"/>
  <c r="H546" i="2" s="1"/>
  <c r="I554" i="2"/>
  <c r="F564" i="2"/>
  <c r="J564" i="2" s="1"/>
  <c r="H564" i="2" s="1"/>
  <c r="I570" i="2"/>
  <c r="G573" i="2"/>
  <c r="I573" i="2"/>
  <c r="F578" i="2"/>
  <c r="K578" i="2" s="1"/>
  <c r="F595" i="2"/>
  <c r="I595" i="2" s="1"/>
  <c r="F606" i="2"/>
  <c r="I606" i="2" s="1"/>
  <c r="K635" i="2"/>
  <c r="J635" i="2"/>
  <c r="I635" i="2"/>
  <c r="F652" i="2"/>
  <c r="J652" i="2" s="1"/>
  <c r="H652" i="2" s="1"/>
  <c r="G667" i="2"/>
  <c r="F667" i="2"/>
  <c r="I667" i="2" s="1"/>
  <c r="F679" i="2"/>
  <c r="I679" i="2" s="1"/>
  <c r="G679" i="2"/>
  <c r="G724" i="2"/>
  <c r="F724" i="2"/>
  <c r="K724" i="2" s="1"/>
  <c r="F487" i="2"/>
  <c r="J487" i="2" s="1"/>
  <c r="H487" i="2" s="1"/>
  <c r="F495" i="2"/>
  <c r="K502" i="2"/>
  <c r="F505" i="2"/>
  <c r="J505" i="2" s="1"/>
  <c r="H505" i="2" s="1"/>
  <c r="F513" i="2"/>
  <c r="J513" i="2" s="1"/>
  <c r="H513" i="2" s="1"/>
  <c r="K518" i="2"/>
  <c r="F551" i="2"/>
  <c r="J551" i="2" s="1"/>
  <c r="H551" i="2" s="1"/>
  <c r="F567" i="2"/>
  <c r="J567" i="2" s="1"/>
  <c r="H567" i="2" s="1"/>
  <c r="F585" i="2"/>
  <c r="J585" i="2" s="1"/>
  <c r="H585" i="2" s="1"/>
  <c r="G614" i="2"/>
  <c r="F614" i="2"/>
  <c r="J614" i="2" s="1"/>
  <c r="H614" i="2" s="1"/>
  <c r="J627" i="2"/>
  <c r="H627" i="2" s="1"/>
  <c r="I627" i="2"/>
  <c r="F646" i="2"/>
  <c r="I646" i="2" s="1"/>
  <c r="G650" i="2"/>
  <c r="F650" i="2"/>
  <c r="J650" i="2" s="1"/>
  <c r="H650" i="2" s="1"/>
  <c r="G652" i="2"/>
  <c r="G677" i="2"/>
  <c r="F677" i="2"/>
  <c r="J677" i="2" s="1"/>
  <c r="H677" i="2" s="1"/>
  <c r="F695" i="2"/>
  <c r="K695" i="2" s="1"/>
  <c r="G695" i="2"/>
  <c r="G703" i="2"/>
  <c r="F703" i="2"/>
  <c r="J703" i="2" s="1"/>
  <c r="H703" i="2" s="1"/>
  <c r="F484" i="2"/>
  <c r="G487" i="2"/>
  <c r="F494" i="2"/>
  <c r="I494" i="2" s="1"/>
  <c r="G495" i="2"/>
  <c r="F504" i="2"/>
  <c r="I504" i="2" s="1"/>
  <c r="G505" i="2"/>
  <c r="F512" i="2"/>
  <c r="I512" i="2" s="1"/>
  <c r="G513" i="2"/>
  <c r="F520" i="2"/>
  <c r="F530" i="2"/>
  <c r="J530" i="2" s="1"/>
  <c r="H530" i="2" s="1"/>
  <c r="F534" i="2"/>
  <c r="K537" i="2"/>
  <c r="F539" i="2"/>
  <c r="K539" i="2" s="1"/>
  <c r="K547" i="2"/>
  <c r="G551" i="2"/>
  <c r="G554" i="2"/>
  <c r="F557" i="2"/>
  <c r="J557" i="2" s="1"/>
  <c r="H557" i="2" s="1"/>
  <c r="I558" i="2"/>
  <c r="J560" i="2"/>
  <c r="H560" i="2" s="1"/>
  <c r="G560" i="2"/>
  <c r="K565" i="2"/>
  <c r="G567" i="2"/>
  <c r="G570" i="2"/>
  <c r="F575" i="2"/>
  <c r="J575" i="2" s="1"/>
  <c r="H575" i="2" s="1"/>
  <c r="G585" i="2"/>
  <c r="K587" i="2"/>
  <c r="F592" i="2"/>
  <c r="I592" i="2" s="1"/>
  <c r="G601" i="2"/>
  <c r="K601" i="2"/>
  <c r="I601" i="2"/>
  <c r="F616" i="2"/>
  <c r="J616" i="2" s="1"/>
  <c r="H616" i="2" s="1"/>
  <c r="I625" i="2"/>
  <c r="F644" i="2"/>
  <c r="K644" i="2" s="1"/>
  <c r="K659" i="2"/>
  <c r="K663" i="2"/>
  <c r="J663" i="2"/>
  <c r="H663" i="2" s="1"/>
  <c r="I663" i="2"/>
  <c r="K725" i="2"/>
  <c r="I725" i="2"/>
  <c r="G520" i="2"/>
  <c r="G530" i="2"/>
  <c r="K533" i="2"/>
  <c r="G539" i="2"/>
  <c r="K553" i="2"/>
  <c r="K569" i="2"/>
  <c r="J573" i="2"/>
  <c r="H573" i="2" s="1"/>
  <c r="K577" i="2"/>
  <c r="F582" i="2"/>
  <c r="J582" i="2" s="1"/>
  <c r="J599" i="2"/>
  <c r="H599" i="2" s="1"/>
  <c r="I599" i="2"/>
  <c r="K605" i="2"/>
  <c r="F618" i="2"/>
  <c r="G624" i="2"/>
  <c r="F624" i="2"/>
  <c r="K624" i="2" s="1"/>
  <c r="J633" i="2"/>
  <c r="H633" i="2" s="1"/>
  <c r="F636" i="2"/>
  <c r="K636" i="2" s="1"/>
  <c r="G641" i="2"/>
  <c r="F641" i="2"/>
  <c r="I641" i="2" s="1"/>
  <c r="F707" i="2"/>
  <c r="J707" i="2" s="1"/>
  <c r="H707" i="2" s="1"/>
  <c r="F556" i="2"/>
  <c r="I556" i="2" s="1"/>
  <c r="F572" i="2"/>
  <c r="K572" i="2" s="1"/>
  <c r="G596" i="2"/>
  <c r="G611" i="2"/>
  <c r="F626" i="2"/>
  <c r="I626" i="2" s="1"/>
  <c r="K627" i="2"/>
  <c r="F634" i="2"/>
  <c r="K634" i="2" s="1"/>
  <c r="G636" i="2"/>
  <c r="K653" i="2"/>
  <c r="J653" i="2"/>
  <c r="H653" i="2" s="1"/>
  <c r="I653" i="2"/>
  <c r="F671" i="2"/>
  <c r="J671" i="2" s="1"/>
  <c r="H671" i="2" s="1"/>
  <c r="F685" i="2"/>
  <c r="J685" i="2" s="1"/>
  <c r="H685" i="2" s="1"/>
  <c r="K701" i="2"/>
  <c r="I701" i="2"/>
  <c r="G719" i="2"/>
  <c r="F719" i="2"/>
  <c r="K719" i="2" s="1"/>
  <c r="J743" i="2"/>
  <c r="I743" i="2"/>
  <c r="J532" i="2"/>
  <c r="H532" i="2" s="1"/>
  <c r="G533" i="2"/>
  <c r="K543" i="2"/>
  <c r="G553" i="2"/>
  <c r="K554" i="2"/>
  <c r="G556" i="2"/>
  <c r="F559" i="2"/>
  <c r="I559" i="2" s="1"/>
  <c r="F562" i="2"/>
  <c r="I562" i="2" s="1"/>
  <c r="G569" i="2"/>
  <c r="K570" i="2"/>
  <c r="G572" i="2"/>
  <c r="J586" i="2"/>
  <c r="H586" i="2" s="1"/>
  <c r="G586" i="2"/>
  <c r="F596" i="2"/>
  <c r="I596" i="2" s="1"/>
  <c r="J601" i="2"/>
  <c r="H601" i="2" s="1"/>
  <c r="J607" i="2"/>
  <c r="H607" i="2" s="1"/>
  <c r="I607" i="2"/>
  <c r="F611" i="2"/>
  <c r="J611" i="2" s="1"/>
  <c r="H611" i="2" s="1"/>
  <c r="K615" i="2"/>
  <c r="I622" i="2"/>
  <c r="F628" i="2"/>
  <c r="I628" i="2" s="1"/>
  <c r="G632" i="2"/>
  <c r="F632" i="2"/>
  <c r="J632" i="2" s="1"/>
  <c r="H632" i="2" s="1"/>
  <c r="G634" i="2"/>
  <c r="J659" i="2"/>
  <c r="H659" i="2" s="1"/>
  <c r="F664" i="2"/>
  <c r="I664" i="2" s="1"/>
  <c r="G671" i="2"/>
  <c r="F713" i="2"/>
  <c r="G722" i="2"/>
  <c r="F722" i="2"/>
  <c r="J722" i="2" s="1"/>
  <c r="H722" i="2" s="1"/>
  <c r="I629" i="2"/>
  <c r="I637" i="2"/>
  <c r="I647" i="2"/>
  <c r="I655" i="2"/>
  <c r="I665" i="2"/>
  <c r="F676" i="2"/>
  <c r="J676" i="2" s="1"/>
  <c r="K678" i="2"/>
  <c r="I682" i="2"/>
  <c r="F692" i="2"/>
  <c r="J692" i="2" s="1"/>
  <c r="H692" i="2" s="1"/>
  <c r="K694" i="2"/>
  <c r="I700" i="2"/>
  <c r="F710" i="2"/>
  <c r="K710" i="2" s="1"/>
  <c r="K712" i="2"/>
  <c r="I716" i="2"/>
  <c r="J732" i="2"/>
  <c r="K825" i="2" s="1"/>
  <c r="I732" i="2"/>
  <c r="G746" i="2"/>
  <c r="F746" i="2"/>
  <c r="K746" i="2" s="1"/>
  <c r="F791" i="2"/>
  <c r="J791" i="2" s="1"/>
  <c r="H791" i="2" s="1"/>
  <c r="G791" i="2"/>
  <c r="F799" i="2"/>
  <c r="J799" i="2" s="1"/>
  <c r="K878" i="2" s="1"/>
  <c r="F751" i="2"/>
  <c r="K817" i="2"/>
  <c r="J817" i="2"/>
  <c r="H817" i="2" s="1"/>
  <c r="I817" i="2"/>
  <c r="K629" i="2"/>
  <c r="K637" i="2"/>
  <c r="K647" i="2"/>
  <c r="K655" i="2"/>
  <c r="G670" i="2"/>
  <c r="G688" i="2"/>
  <c r="G706" i="2"/>
  <c r="F726" i="2"/>
  <c r="I726" i="2" s="1"/>
  <c r="K747" i="2"/>
  <c r="I747" i="2"/>
  <c r="F812" i="2"/>
  <c r="F603" i="2"/>
  <c r="J603" i="2" s="1"/>
  <c r="F613" i="2"/>
  <c r="J613" i="2" s="1"/>
  <c r="H613" i="2" s="1"/>
  <c r="J623" i="2"/>
  <c r="F631" i="2"/>
  <c r="J631" i="2" s="1"/>
  <c r="H631" i="2" s="1"/>
  <c r="F639" i="2"/>
  <c r="J639" i="2" s="1"/>
  <c r="H639" i="2" s="1"/>
  <c r="F649" i="2"/>
  <c r="J649" i="2" s="1"/>
  <c r="H649" i="2" s="1"/>
  <c r="F657" i="2"/>
  <c r="J657" i="2" s="1"/>
  <c r="H657" i="2" s="1"/>
  <c r="K666" i="2"/>
  <c r="F670" i="2"/>
  <c r="I670" i="2" s="1"/>
  <c r="K681" i="2"/>
  <c r="F688" i="2"/>
  <c r="J688" i="2" s="1"/>
  <c r="H688" i="2" s="1"/>
  <c r="K699" i="2"/>
  <c r="F706" i="2"/>
  <c r="J706" i="2" s="1"/>
  <c r="H706" i="2" s="1"/>
  <c r="G726" i="2"/>
  <c r="G741" i="2"/>
  <c r="F741" i="2"/>
  <c r="K741" i="2" s="1"/>
  <c r="K752" i="2"/>
  <c r="J752" i="2"/>
  <c r="H752" i="2" s="1"/>
  <c r="F755" i="2"/>
  <c r="I755" i="2" s="1"/>
  <c r="F760" i="2"/>
  <c r="I760" i="2" s="1"/>
  <c r="F767" i="2"/>
  <c r="K767" i="2" s="1"/>
  <c r="G767" i="2"/>
  <c r="G770" i="2"/>
  <c r="F770" i="2"/>
  <c r="J770" i="2" s="1"/>
  <c r="H770" i="2" s="1"/>
  <c r="G779" i="2"/>
  <c r="K828" i="2"/>
  <c r="J828" i="2"/>
  <c r="H828" i="2" s="1"/>
  <c r="I828" i="2"/>
  <c r="G831" i="2"/>
  <c r="F831" i="2"/>
  <c r="K831" i="2" s="1"/>
  <c r="K834" i="2"/>
  <c r="J834" i="2"/>
  <c r="H834" i="2" s="1"/>
  <c r="I834" i="2"/>
  <c r="I672" i="2"/>
  <c r="F684" i="2"/>
  <c r="I684" i="2" s="1"/>
  <c r="F702" i="2"/>
  <c r="I702" i="2" s="1"/>
  <c r="J715" i="2"/>
  <c r="H715" i="2" s="1"/>
  <c r="J716" i="2"/>
  <c r="H716" i="2" s="1"/>
  <c r="F718" i="2"/>
  <c r="I718" i="2" s="1"/>
  <c r="G730" i="2"/>
  <c r="F730" i="2"/>
  <c r="I730" i="2" s="1"/>
  <c r="K733" i="2"/>
  <c r="I733" i="2"/>
  <c r="K742" i="2"/>
  <c r="J742" i="2"/>
  <c r="H742" i="2" s="1"/>
  <c r="I742" i="2"/>
  <c r="G742" i="2"/>
  <c r="F779" i="2"/>
  <c r="I779" i="2" s="1"/>
  <c r="K783" i="2"/>
  <c r="J783" i="2"/>
  <c r="H783" i="2" s="1"/>
  <c r="I783" i="2"/>
  <c r="G802" i="2"/>
  <c r="F802" i="2"/>
  <c r="K802" i="2" s="1"/>
  <c r="J823" i="2"/>
  <c r="H823" i="2" s="1"/>
  <c r="I823" i="2"/>
  <c r="F687" i="2"/>
  <c r="K687" i="2" s="1"/>
  <c r="F690" i="2"/>
  <c r="G699" i="2"/>
  <c r="K700" i="2"/>
  <c r="I705" i="2"/>
  <c r="F708" i="2"/>
  <c r="K708" i="2" s="1"/>
  <c r="K716" i="2"/>
  <c r="G718" i="2"/>
  <c r="F721" i="2"/>
  <c r="K756" i="2"/>
  <c r="J756" i="2"/>
  <c r="H756" i="2" s="1"/>
  <c r="I756" i="2"/>
  <c r="I761" i="2"/>
  <c r="J768" i="2"/>
  <c r="H768" i="2" s="1"/>
  <c r="J825" i="2"/>
  <c r="I825" i="2"/>
  <c r="J680" i="2"/>
  <c r="H680" i="2" s="1"/>
  <c r="I681" i="2"/>
  <c r="J683" i="2"/>
  <c r="H683" i="2" s="1"/>
  <c r="G687" i="2"/>
  <c r="F693" i="2"/>
  <c r="J698" i="2"/>
  <c r="H698" i="2" s="1"/>
  <c r="G698" i="2"/>
  <c r="I699" i="2"/>
  <c r="J701" i="2"/>
  <c r="H701" i="2" s="1"/>
  <c r="G705" i="2"/>
  <c r="G708" i="2"/>
  <c r="F711" i="2"/>
  <c r="J714" i="2"/>
  <c r="H714" i="2" s="1"/>
  <c r="G714" i="2"/>
  <c r="J717" i="2"/>
  <c r="H717" i="2" s="1"/>
  <c r="F723" i="2"/>
  <c r="J723" i="2" s="1"/>
  <c r="H723" i="2" s="1"/>
  <c r="J725" i="2"/>
  <c r="H725" i="2" s="1"/>
  <c r="K731" i="2"/>
  <c r="J731" i="2"/>
  <c r="H731" i="2" s="1"/>
  <c r="I731" i="2"/>
  <c r="G731" i="2"/>
  <c r="K774" i="2"/>
  <c r="J774" i="2"/>
  <c r="H774" i="2" s="1"/>
  <c r="I774" i="2"/>
  <c r="J777" i="2"/>
  <c r="H777" i="2" s="1"/>
  <c r="G777" i="2"/>
  <c r="K777" i="2"/>
  <c r="I777" i="2"/>
  <c r="I787" i="2"/>
  <c r="F781" i="2"/>
  <c r="K781" i="2" s="1"/>
  <c r="G794" i="2"/>
  <c r="F794" i="2"/>
  <c r="J794" i="2" s="1"/>
  <c r="H794" i="2" s="1"/>
  <c r="G813" i="2"/>
  <c r="G899" i="2"/>
  <c r="F899" i="2"/>
  <c r="I899" i="2" s="1"/>
  <c r="K727" i="2"/>
  <c r="J734" i="2"/>
  <c r="F740" i="2"/>
  <c r="G781" i="2"/>
  <c r="F786" i="2"/>
  <c r="I786" i="2" s="1"/>
  <c r="F796" i="2"/>
  <c r="J796" i="2" s="1"/>
  <c r="H796" i="2" s="1"/>
  <c r="F805" i="2"/>
  <c r="G810" i="2"/>
  <c r="F810" i="2"/>
  <c r="J810" i="2" s="1"/>
  <c r="H810" i="2" s="1"/>
  <c r="F813" i="2"/>
  <c r="I813" i="2" s="1"/>
  <c r="F729" i="2"/>
  <c r="I729" i="2" s="1"/>
  <c r="F739" i="2"/>
  <c r="F745" i="2"/>
  <c r="K745" i="2" s="1"/>
  <c r="F750" i="2"/>
  <c r="F754" i="2"/>
  <c r="J754" i="2" s="1"/>
  <c r="H754" i="2" s="1"/>
  <c r="F759" i="2"/>
  <c r="J759" i="2" s="1"/>
  <c r="H759" i="2" s="1"/>
  <c r="F765" i="2"/>
  <c r="I765" i="2" s="1"/>
  <c r="J769" i="2"/>
  <c r="H769" i="2" s="1"/>
  <c r="K772" i="2"/>
  <c r="G776" i="2"/>
  <c r="F776" i="2"/>
  <c r="J776" i="2" s="1"/>
  <c r="H776" i="2" s="1"/>
  <c r="K778" i="2"/>
  <c r="I778" i="2"/>
  <c r="F788" i="2"/>
  <c r="J788" i="2" s="1"/>
  <c r="H788" i="2" s="1"/>
  <c r="J803" i="2"/>
  <c r="H803" i="2" s="1"/>
  <c r="I803" i="2"/>
  <c r="G803" i="2"/>
  <c r="K814" i="2"/>
  <c r="G821" i="2"/>
  <c r="F821" i="2"/>
  <c r="K821" i="2" s="1"/>
  <c r="I974" i="2"/>
  <c r="J974" i="2"/>
  <c r="H974" i="2" s="1"/>
  <c r="K974" i="2"/>
  <c r="G739" i="2"/>
  <c r="I744" i="2"/>
  <c r="G745" i="2"/>
  <c r="J753" i="2"/>
  <c r="H753" i="2" s="1"/>
  <c r="G754" i="2"/>
  <c r="G759" i="2"/>
  <c r="K762" i="2"/>
  <c r="I773" i="2"/>
  <c r="K780" i="2"/>
  <c r="J814" i="2"/>
  <c r="H814" i="2" s="1"/>
  <c r="I814" i="2"/>
  <c r="F927" i="2"/>
  <c r="I927" i="2" s="1"/>
  <c r="J773" i="2"/>
  <c r="H773" i="2" s="1"/>
  <c r="G795" i="2"/>
  <c r="I807" i="2"/>
  <c r="J822" i="2"/>
  <c r="H822" i="2" s="1"/>
  <c r="I822" i="2"/>
  <c r="K877" i="2"/>
  <c r="J877" i="2"/>
  <c r="H877" i="2" s="1"/>
  <c r="I877" i="2"/>
  <c r="G744" i="2"/>
  <c r="I752" i="2"/>
  <c r="G753" i="2"/>
  <c r="J761" i="2"/>
  <c r="G762" i="2"/>
  <c r="I768" i="2"/>
  <c r="I769" i="2"/>
  <c r="F771" i="2"/>
  <c r="I771" i="2" s="1"/>
  <c r="J778" i="2"/>
  <c r="H778" i="2" s="1"/>
  <c r="J787" i="2"/>
  <c r="H787" i="2" s="1"/>
  <c r="G787" i="2"/>
  <c r="J789" i="2"/>
  <c r="H789" i="2" s="1"/>
  <c r="I789" i="2"/>
  <c r="F795" i="2"/>
  <c r="J795" i="2" s="1"/>
  <c r="H795" i="2" s="1"/>
  <c r="F797" i="2"/>
  <c r="K797" i="2" s="1"/>
  <c r="I798" i="2"/>
  <c r="K804" i="2"/>
  <c r="J804" i="2"/>
  <c r="H804" i="2" s="1"/>
  <c r="I804" i="2"/>
  <c r="J815" i="2"/>
  <c r="H815" i="2" s="1"/>
  <c r="I815" i="2"/>
  <c r="K839" i="2"/>
  <c r="J839" i="2"/>
  <c r="H839" i="2" s="1"/>
  <c r="K861" i="2"/>
  <c r="J861" i="2"/>
  <c r="H861" i="2" s="1"/>
  <c r="J866" i="2"/>
  <c r="H866" i="2" s="1"/>
  <c r="I888" i="2"/>
  <c r="K888" i="2"/>
  <c r="I891" i="2"/>
  <c r="K891" i="2"/>
  <c r="I922" i="2"/>
  <c r="K922" i="2"/>
  <c r="I925" i="2"/>
  <c r="K925" i="2"/>
  <c r="F928" i="2"/>
  <c r="J928" i="2" s="1"/>
  <c r="H928" i="2" s="1"/>
  <c r="G928" i="2"/>
  <c r="F820" i="2"/>
  <c r="K820" i="2" s="1"/>
  <c r="F827" i="2"/>
  <c r="K827" i="2" s="1"/>
  <c r="G847" i="2"/>
  <c r="F847" i="2"/>
  <c r="J847" i="2" s="1"/>
  <c r="H847" i="2" s="1"/>
  <c r="F850" i="2"/>
  <c r="I850" i="2" s="1"/>
  <c r="K859" i="2"/>
  <c r="K869" i="2"/>
  <c r="J869" i="2"/>
  <c r="H869" i="2" s="1"/>
  <c r="F893" i="2"/>
  <c r="I893" i="2" s="1"/>
  <c r="G893" i="2"/>
  <c r="G947" i="2"/>
  <c r="F947" i="2"/>
  <c r="I947" i="2" s="1"/>
  <c r="G959" i="2"/>
  <c r="F959" i="2"/>
  <c r="J959" i="2" s="1"/>
  <c r="H959" i="2" s="1"/>
  <c r="G820" i="2"/>
  <c r="G838" i="2"/>
  <c r="F838" i="2"/>
  <c r="J838" i="2" s="1"/>
  <c r="H838" i="2" s="1"/>
  <c r="I878" i="2"/>
  <c r="G881" i="2"/>
  <c r="F881" i="2"/>
  <c r="I881" i="2" s="1"/>
  <c r="G894" i="2"/>
  <c r="F894" i="2"/>
  <c r="I894" i="2" s="1"/>
  <c r="J906" i="2"/>
  <c r="H906" i="2" s="1"/>
  <c r="G917" i="2"/>
  <c r="F917" i="2"/>
  <c r="K917" i="2" s="1"/>
  <c r="I932" i="2"/>
  <c r="I938" i="2"/>
  <c r="J938" i="2"/>
  <c r="H938" i="2" s="1"/>
  <c r="F964" i="2"/>
  <c r="J964" i="2" s="1"/>
  <c r="H964" i="2" s="1"/>
  <c r="G964" i="2"/>
  <c r="K807" i="2"/>
  <c r="G811" i="2"/>
  <c r="K815" i="2"/>
  <c r="F818" i="2"/>
  <c r="G819" i="2"/>
  <c r="K823" i="2"/>
  <c r="G826" i="2"/>
  <c r="F830" i="2"/>
  <c r="K830" i="2" s="1"/>
  <c r="F840" i="2"/>
  <c r="J840" i="2" s="1"/>
  <c r="H840" i="2" s="1"/>
  <c r="F842" i="2"/>
  <c r="K842" i="2" s="1"/>
  <c r="I843" i="2"/>
  <c r="G976" i="2"/>
  <c r="F976" i="2"/>
  <c r="I976" i="2" s="1"/>
  <c r="G818" i="2"/>
  <c r="I829" i="2"/>
  <c r="G830" i="2"/>
  <c r="K832" i="2"/>
  <c r="J832" i="2"/>
  <c r="H832" i="2" s="1"/>
  <c r="G840" i="2"/>
  <c r="G842" i="2"/>
  <c r="J843" i="2"/>
  <c r="F848" i="2"/>
  <c r="J848" i="2" s="1"/>
  <c r="H848" i="2" s="1"/>
  <c r="J852" i="2"/>
  <c r="G857" i="2"/>
  <c r="F857" i="2"/>
  <c r="J857" i="2" s="1"/>
  <c r="H857" i="2" s="1"/>
  <c r="K860" i="2"/>
  <c r="I870" i="2"/>
  <c r="K870" i="2"/>
  <c r="G873" i="2"/>
  <c r="F873" i="2"/>
  <c r="J873" i="2" s="1"/>
  <c r="H873" i="2" s="1"/>
  <c r="G876" i="2"/>
  <c r="F876" i="2"/>
  <c r="J876" i="2" s="1"/>
  <c r="H876" i="2" s="1"/>
  <c r="J878" i="2"/>
  <c r="K918" i="2" s="1"/>
  <c r="F909" i="2"/>
  <c r="J909" i="2" s="1"/>
  <c r="H909" i="2" s="1"/>
  <c r="G909" i="2"/>
  <c r="K938" i="2"/>
  <c r="J951" i="2"/>
  <c r="H951" i="2" s="1"/>
  <c r="I811" i="2"/>
  <c r="I819" i="2"/>
  <c r="I826" i="2"/>
  <c r="I833" i="2"/>
  <c r="K851" i="2"/>
  <c r="J851" i="2"/>
  <c r="H851" i="2" s="1"/>
  <c r="I904" i="2"/>
  <c r="K904" i="2"/>
  <c r="I907" i="2"/>
  <c r="G910" i="2"/>
  <c r="F910" i="2"/>
  <c r="J910" i="2" s="1"/>
  <c r="H910" i="2" s="1"/>
  <c r="J924" i="2"/>
  <c r="H924" i="2" s="1"/>
  <c r="J973" i="2"/>
  <c r="H973" i="2" s="1"/>
  <c r="I973" i="2"/>
  <c r="K994" i="2"/>
  <c r="I994" i="2"/>
  <c r="J994" i="2"/>
  <c r="H994" i="2" s="1"/>
  <c r="J826" i="2"/>
  <c r="H826" i="2" s="1"/>
  <c r="J833" i="2"/>
  <c r="H833" i="2" s="1"/>
  <c r="I839" i="2"/>
  <c r="G839" i="2"/>
  <c r="K841" i="2"/>
  <c r="J841" i="2"/>
  <c r="H841" i="2" s="1"/>
  <c r="I841" i="2"/>
  <c r="K849" i="2"/>
  <c r="J858" i="2"/>
  <c r="I858" i="2"/>
  <c r="G865" i="2"/>
  <c r="F865" i="2"/>
  <c r="J865" i="2" s="1"/>
  <c r="H865" i="2" s="1"/>
  <c r="G868" i="2"/>
  <c r="I868" i="2"/>
  <c r="J874" i="2"/>
  <c r="H874" i="2" s="1"/>
  <c r="J907" i="2"/>
  <c r="K955" i="2" s="1"/>
  <c r="G942" i="2"/>
  <c r="I942" i="2"/>
  <c r="F957" i="2"/>
  <c r="K957" i="2" s="1"/>
  <c r="G957" i="2"/>
  <c r="G866" i="2"/>
  <c r="G874" i="2"/>
  <c r="G886" i="2"/>
  <c r="G902" i="2"/>
  <c r="I903" i="2"/>
  <c r="G920" i="2"/>
  <c r="I921" i="2"/>
  <c r="F939" i="2"/>
  <c r="J939" i="2" s="1"/>
  <c r="H939" i="2" s="1"/>
  <c r="F946" i="2"/>
  <c r="I946" i="2" s="1"/>
  <c r="G958" i="2"/>
  <c r="F975" i="2"/>
  <c r="I975" i="2" s="1"/>
  <c r="F980" i="2"/>
  <c r="I980" i="2" s="1"/>
  <c r="G980" i="2"/>
  <c r="F988" i="2"/>
  <c r="I988" i="2" s="1"/>
  <c r="G988" i="2"/>
  <c r="F846" i="2"/>
  <c r="I849" i="2"/>
  <c r="F856" i="2"/>
  <c r="I859" i="2"/>
  <c r="F864" i="2"/>
  <c r="I867" i="2"/>
  <c r="F872" i="2"/>
  <c r="J872" i="2" s="1"/>
  <c r="H872" i="2" s="1"/>
  <c r="I875" i="2"/>
  <c r="F880" i="2"/>
  <c r="J882" i="2"/>
  <c r="H882" i="2" s="1"/>
  <c r="F886" i="2"/>
  <c r="J886" i="2" s="1"/>
  <c r="H886" i="2" s="1"/>
  <c r="J887" i="2"/>
  <c r="H887" i="2" s="1"/>
  <c r="F889" i="2"/>
  <c r="I889" i="2" s="1"/>
  <c r="I890" i="2"/>
  <c r="J900" i="2"/>
  <c r="H900" i="2" s="1"/>
  <c r="F902" i="2"/>
  <c r="J902" i="2" s="1"/>
  <c r="H902" i="2" s="1"/>
  <c r="F905" i="2"/>
  <c r="I905" i="2" s="1"/>
  <c r="I906" i="2"/>
  <c r="J918" i="2"/>
  <c r="K982" i="2" s="1"/>
  <c r="J920" i="2"/>
  <c r="H920" i="2" s="1"/>
  <c r="J921" i="2"/>
  <c r="H921" i="2" s="1"/>
  <c r="F923" i="2"/>
  <c r="I923" i="2" s="1"/>
  <c r="I924" i="2"/>
  <c r="F929" i="2"/>
  <c r="K929" i="2" s="1"/>
  <c r="K930" i="2"/>
  <c r="J937" i="2"/>
  <c r="H937" i="2" s="1"/>
  <c r="G939" i="2"/>
  <c r="F943" i="2"/>
  <c r="J943" i="2" s="1"/>
  <c r="H943" i="2" s="1"/>
  <c r="J944" i="2"/>
  <c r="H944" i="2" s="1"/>
  <c r="I951" i="2"/>
  <c r="F958" i="2"/>
  <c r="K958" i="2" s="1"/>
  <c r="F965" i="2"/>
  <c r="K965" i="2" s="1"/>
  <c r="G975" i="2"/>
  <c r="F977" i="2"/>
  <c r="J977" i="2" s="1"/>
  <c r="H977" i="2" s="1"/>
  <c r="K993" i="2"/>
  <c r="J993" i="2"/>
  <c r="H993" i="2" s="1"/>
  <c r="J996" i="2"/>
  <c r="H996" i="2" s="1"/>
  <c r="I996" i="2"/>
  <c r="F835" i="2"/>
  <c r="F845" i="2"/>
  <c r="G846" i="2"/>
  <c r="J849" i="2"/>
  <c r="H849" i="2" s="1"/>
  <c r="F853" i="2"/>
  <c r="G856" i="2"/>
  <c r="J859" i="2"/>
  <c r="H859" i="2" s="1"/>
  <c r="F863" i="2"/>
  <c r="I866" i="2"/>
  <c r="J867" i="2"/>
  <c r="H867" i="2" s="1"/>
  <c r="F871" i="2"/>
  <c r="G872" i="2"/>
  <c r="I874" i="2"/>
  <c r="J875" i="2"/>
  <c r="F879" i="2"/>
  <c r="G880" i="2"/>
  <c r="G889" i="2"/>
  <c r="F895" i="2"/>
  <c r="J895" i="2" s="1"/>
  <c r="H895" i="2" s="1"/>
  <c r="F911" i="2"/>
  <c r="J911" i="2" s="1"/>
  <c r="H911" i="2" s="1"/>
  <c r="G923" i="2"/>
  <c r="F931" i="2"/>
  <c r="I931" i="2" s="1"/>
  <c r="F936" i="2"/>
  <c r="I936" i="2" s="1"/>
  <c r="K937" i="2"/>
  <c r="G943" i="2"/>
  <c r="J950" i="2"/>
  <c r="H950" i="2" s="1"/>
  <c r="G950" i="2"/>
  <c r="K950" i="2"/>
  <c r="J956" i="2"/>
  <c r="H956" i="2" s="1"/>
  <c r="F967" i="2"/>
  <c r="K967" i="2" s="1"/>
  <c r="K969" i="2"/>
  <c r="F972" i="2"/>
  <c r="K972" i="2" s="1"/>
  <c r="G972" i="2"/>
  <c r="K973" i="2"/>
  <c r="G977" i="2"/>
  <c r="K978" i="2"/>
  <c r="G997" i="2"/>
  <c r="F997" i="2"/>
  <c r="J997" i="2" s="1"/>
  <c r="H997" i="2" s="1"/>
  <c r="G879" i="2"/>
  <c r="G895" i="2"/>
  <c r="J896" i="2"/>
  <c r="H896" i="2" s="1"/>
  <c r="F898" i="2"/>
  <c r="F901" i="2"/>
  <c r="G911" i="2"/>
  <c r="J912" i="2"/>
  <c r="H912" i="2" s="1"/>
  <c r="F916" i="2"/>
  <c r="J916" i="2" s="1"/>
  <c r="H916" i="2" s="1"/>
  <c r="F919" i="2"/>
  <c r="J919" i="2" s="1"/>
  <c r="H919" i="2" s="1"/>
  <c r="G931" i="2"/>
  <c r="F933" i="2"/>
  <c r="J933" i="2" s="1"/>
  <c r="H933" i="2" s="1"/>
  <c r="I952" i="2"/>
  <c r="K956" i="2"/>
  <c r="G981" i="2"/>
  <c r="I981" i="2"/>
  <c r="F983" i="2"/>
  <c r="I983" i="2" s="1"/>
  <c r="G989" i="2"/>
  <c r="I989" i="2"/>
  <c r="F991" i="2"/>
  <c r="K991" i="2" s="1"/>
  <c r="I993" i="2"/>
  <c r="I882" i="2"/>
  <c r="F897" i="2"/>
  <c r="I897" i="2" s="1"/>
  <c r="I900" i="2"/>
  <c r="F915" i="2"/>
  <c r="J915" i="2" s="1"/>
  <c r="H915" i="2" s="1"/>
  <c r="I918" i="2"/>
  <c r="I944" i="2"/>
  <c r="K948" i="2"/>
  <c r="I950" i="2"/>
  <c r="J955" i="2"/>
  <c r="I969" i="2"/>
  <c r="J981" i="2"/>
  <c r="H981" i="2" s="1"/>
  <c r="I985" i="2"/>
  <c r="J989" i="2"/>
  <c r="H989" i="2" s="1"/>
  <c r="G992" i="2"/>
  <c r="G890" i="2"/>
  <c r="K890" i="2"/>
  <c r="G906" i="2"/>
  <c r="K906" i="2"/>
  <c r="G924" i="2"/>
  <c r="K924" i="2"/>
  <c r="J932" i="2"/>
  <c r="H932" i="2" s="1"/>
  <c r="F949" i="2"/>
  <c r="K949" i="2" s="1"/>
  <c r="K951" i="2"/>
  <c r="F954" i="2"/>
  <c r="I954" i="2" s="1"/>
  <c r="G954" i="2"/>
  <c r="J968" i="2"/>
  <c r="H968" i="2" s="1"/>
  <c r="G968" i="2"/>
  <c r="K968" i="2"/>
  <c r="I979" i="2"/>
  <c r="K981" i="2"/>
  <c r="J984" i="2"/>
  <c r="H984" i="2" s="1"/>
  <c r="G984" i="2"/>
  <c r="K984" i="2"/>
  <c r="K989" i="2"/>
  <c r="F992" i="2"/>
  <c r="I992" i="2" s="1"/>
  <c r="F935" i="2"/>
  <c r="F945" i="2"/>
  <c r="J945" i="2" s="1"/>
  <c r="H945" i="2" s="1"/>
  <c r="F953" i="2"/>
  <c r="J953" i="2" s="1"/>
  <c r="H953" i="2" s="1"/>
  <c r="F963" i="2"/>
  <c r="F987" i="2"/>
  <c r="J987" i="2" s="1"/>
  <c r="H987" i="2" s="1"/>
  <c r="I990" i="2"/>
  <c r="F995" i="2"/>
  <c r="I998" i="2"/>
  <c r="F986" i="2"/>
  <c r="I986" i="2" s="1"/>
  <c r="G987" i="2"/>
  <c r="G995" i="2"/>
  <c r="J998" i="2"/>
  <c r="H998" i="2" s="1"/>
  <c r="F1001" i="2"/>
  <c r="I1001" i="2" s="1"/>
  <c r="F1000" i="2"/>
  <c r="J1000" i="2" s="1"/>
  <c r="H1000" i="2" s="1"/>
  <c r="G1001" i="2"/>
  <c r="F999" i="2"/>
  <c r="K999" i="2" s="1"/>
  <c r="G1000" i="2"/>
  <c r="G999" i="2"/>
  <c r="H8" i="2" l="1"/>
  <c r="H635" i="2"/>
  <c r="K690" i="2"/>
  <c r="H582" i="2"/>
  <c r="H407" i="2"/>
  <c r="H409" i="2"/>
  <c r="K292" i="2"/>
  <c r="H264" i="2"/>
  <c r="H263" i="2"/>
  <c r="K263" i="2"/>
  <c r="H153" i="2"/>
  <c r="H96" i="2"/>
  <c r="I39" i="2"/>
  <c r="K734" i="2"/>
  <c r="H734" i="2"/>
  <c r="H709" i="2"/>
  <c r="H727" i="2"/>
  <c r="K127" i="2"/>
  <c r="H603" i="2"/>
  <c r="H761" i="2"/>
  <c r="H748" i="2"/>
  <c r="I11" i="2"/>
  <c r="H793" i="2"/>
  <c r="H852" i="2"/>
  <c r="H843" i="2"/>
  <c r="G979" i="2"/>
  <c r="H955" i="2"/>
  <c r="H918" i="2"/>
  <c r="K907" i="2"/>
  <c r="H878" i="2"/>
  <c r="H875" i="2"/>
  <c r="K875" i="2"/>
  <c r="H825" i="2"/>
  <c r="H799" i="2"/>
  <c r="K773" i="2"/>
  <c r="K768" i="2"/>
  <c r="H743" i="2"/>
  <c r="K732" i="2"/>
  <c r="H676" i="2"/>
  <c r="H623" i="2"/>
  <c r="H555" i="2"/>
  <c r="K536" i="2"/>
  <c r="H510" i="2"/>
  <c r="K488" i="2"/>
  <c r="H472" i="2"/>
  <c r="K55" i="2"/>
  <c r="H462" i="2"/>
  <c r="H23" i="2"/>
  <c r="H456" i="2"/>
  <c r="H435" i="2"/>
  <c r="K411" i="2"/>
  <c r="G411" i="2" s="1"/>
  <c r="K427" i="2"/>
  <c r="H425" i="2"/>
  <c r="H401" i="2"/>
  <c r="H381" i="2"/>
  <c r="H346" i="2"/>
  <c r="H297" i="2"/>
  <c r="H292" i="2"/>
  <c r="H282" i="2"/>
  <c r="H256" i="2"/>
  <c r="H243" i="2"/>
  <c r="H234" i="2"/>
  <c r="K222" i="2"/>
  <c r="H199" i="2"/>
  <c r="H174" i="2"/>
  <c r="H166" i="2"/>
  <c r="K134" i="2"/>
  <c r="H146" i="2"/>
  <c r="H141" i="2"/>
  <c r="H119" i="2"/>
  <c r="I47" i="2"/>
  <c r="H80" i="2"/>
  <c r="H76" i="2"/>
  <c r="J97" i="2"/>
  <c r="H97" i="2" s="1"/>
  <c r="H72" i="2"/>
  <c r="I97" i="2"/>
  <c r="H68" i="2"/>
  <c r="J81" i="2"/>
  <c r="H81" i="2" s="1"/>
  <c r="J108" i="2"/>
  <c r="H108" i="2" s="1"/>
  <c r="I158" i="2"/>
  <c r="H43" i="2"/>
  <c r="I81" i="2"/>
  <c r="I90" i="2"/>
  <c r="J73" i="2"/>
  <c r="H73" i="2" s="1"/>
  <c r="K551" i="2"/>
  <c r="J140" i="2"/>
  <c r="H140" i="2" s="1"/>
  <c r="I180" i="2"/>
  <c r="J850" i="2"/>
  <c r="H850" i="2" s="1"/>
  <c r="J802" i="2"/>
  <c r="H802" i="2" s="1"/>
  <c r="I140" i="2"/>
  <c r="J74" i="2"/>
  <c r="H74" i="2" s="1"/>
  <c r="K1000" i="2"/>
  <c r="J107" i="2"/>
  <c r="K843" i="2" s="1"/>
  <c r="I468" i="2"/>
  <c r="I73" i="2"/>
  <c r="J468" i="2"/>
  <c r="J55" i="2"/>
  <c r="K556" i="2"/>
  <c r="J39" i="2"/>
  <c r="H39" i="2" s="1"/>
  <c r="J327" i="2"/>
  <c r="H327" i="2" s="1"/>
  <c r="I55" i="2"/>
  <c r="H38" i="2"/>
  <c r="K692" i="2"/>
  <c r="I108" i="2"/>
  <c r="I327" i="2"/>
  <c r="J63" i="2"/>
  <c r="H63" i="2" s="1"/>
  <c r="I232" i="2"/>
  <c r="K788" i="2"/>
  <c r="J868" i="2"/>
  <c r="H868" i="2" s="1"/>
  <c r="J138" i="2"/>
  <c r="H138" i="2" s="1"/>
  <c r="J654" i="2"/>
  <c r="H654" i="2" s="1"/>
  <c r="K355" i="2"/>
  <c r="K330" i="2"/>
  <c r="J90" i="2"/>
  <c r="H90" i="2" s="1"/>
  <c r="I781" i="2"/>
  <c r="I796" i="2"/>
  <c r="J710" i="2"/>
  <c r="H710" i="2" s="1"/>
  <c r="J929" i="2"/>
  <c r="H929" i="2" s="1"/>
  <c r="K838" i="2"/>
  <c r="I909" i="2"/>
  <c r="K567" i="2"/>
  <c r="I467" i="2"/>
  <c r="I455" i="2"/>
  <c r="K361" i="2"/>
  <c r="I107" i="2"/>
  <c r="K671" i="2"/>
  <c r="J781" i="2"/>
  <c r="H781" i="2" s="1"/>
  <c r="K715" i="2"/>
  <c r="K593" i="2"/>
  <c r="J355" i="2"/>
  <c r="H355" i="2" s="1"/>
  <c r="H33" i="2"/>
  <c r="J991" i="2"/>
  <c r="H991" i="2" s="1"/>
  <c r="I902" i="2"/>
  <c r="K868" i="2"/>
  <c r="K910" i="2"/>
  <c r="K909" i="2"/>
  <c r="J976" i="2"/>
  <c r="H976" i="2" s="1"/>
  <c r="K850" i="2"/>
  <c r="I676" i="2"/>
  <c r="I546" i="2"/>
  <c r="J646" i="2"/>
  <c r="K463" i="2"/>
  <c r="I143" i="2"/>
  <c r="K664" i="2"/>
  <c r="K497" i="2"/>
  <c r="K170" i="2"/>
  <c r="H30" i="2"/>
  <c r="J812" i="2"/>
  <c r="I618" i="2"/>
  <c r="K507" i="2"/>
  <c r="J244" i="2"/>
  <c r="K299" i="2" s="1"/>
  <c r="I63" i="2"/>
  <c r="K522" i="2"/>
  <c r="J689" i="2"/>
  <c r="H689" i="2" s="1"/>
  <c r="J158" i="2"/>
  <c r="H158" i="2" s="1"/>
  <c r="K881" i="2"/>
  <c r="K927" i="2"/>
  <c r="J767" i="2"/>
  <c r="H767" i="2" s="1"/>
  <c r="J726" i="2"/>
  <c r="H726" i="2" s="1"/>
  <c r="K652" i="2"/>
  <c r="J679" i="2"/>
  <c r="H679" i="2" s="1"/>
  <c r="J507" i="2"/>
  <c r="H507" i="2" s="1"/>
  <c r="I253" i="2"/>
  <c r="I139" i="2"/>
  <c r="J118" i="2"/>
  <c r="H118" i="2" s="1"/>
  <c r="K386" i="2"/>
  <c r="J881" i="2"/>
  <c r="H881" i="2" s="1"/>
  <c r="I299" i="2"/>
  <c r="H16" i="2"/>
  <c r="K679" i="2"/>
  <c r="J730" i="2"/>
  <c r="H730" i="2" s="1"/>
  <c r="K628" i="2"/>
  <c r="K575" i="2"/>
  <c r="I677" i="2"/>
  <c r="K646" i="2"/>
  <c r="K667" i="2"/>
  <c r="K474" i="2"/>
  <c r="J488" i="2"/>
  <c r="K676" i="2" s="1"/>
  <c r="K302" i="2"/>
  <c r="K363" i="2"/>
  <c r="J31" i="2"/>
  <c r="H31" i="2" s="1"/>
  <c r="I252" i="2"/>
  <c r="K186" i="2"/>
  <c r="K688" i="2"/>
  <c r="J299" i="2"/>
  <c r="K346" i="2" s="1"/>
  <c r="J343" i="2"/>
  <c r="H343" i="2" s="1"/>
  <c r="K342" i="2"/>
  <c r="I228" i="2"/>
  <c r="J139" i="2"/>
  <c r="H139" i="2" s="1"/>
  <c r="I31" i="2"/>
  <c r="J180" i="2"/>
  <c r="J275" i="2"/>
  <c r="I723" i="2"/>
  <c r="I575" i="2"/>
  <c r="J228" i="2"/>
  <c r="H228" i="2" s="1"/>
  <c r="I118" i="2"/>
  <c r="J988" i="2"/>
  <c r="H988" i="2" s="1"/>
  <c r="J967" i="2"/>
  <c r="H967" i="2" s="1"/>
  <c r="K770" i="2"/>
  <c r="J755" i="2"/>
  <c r="J667" i="2"/>
  <c r="H667" i="2" s="1"/>
  <c r="I724" i="2"/>
  <c r="I652" i="2"/>
  <c r="I583" i="2"/>
  <c r="I689" i="2"/>
  <c r="K491" i="2"/>
  <c r="K333" i="2"/>
  <c r="I284" i="2"/>
  <c r="J232" i="2"/>
  <c r="H232" i="2" s="1"/>
  <c r="K703" i="2"/>
  <c r="I585" i="2"/>
  <c r="I458" i="2"/>
  <c r="I360" i="2"/>
  <c r="K123" i="2"/>
  <c r="I258" i="2"/>
  <c r="J1001" i="2"/>
  <c r="H1001" i="2" s="1"/>
  <c r="H5" i="2"/>
  <c r="K923" i="2"/>
  <c r="J946" i="2"/>
  <c r="I886" i="2"/>
  <c r="I967" i="2"/>
  <c r="J958" i="2"/>
  <c r="H958" i="2" s="1"/>
  <c r="K779" i="2"/>
  <c r="J820" i="2"/>
  <c r="H820" i="2" s="1"/>
  <c r="K976" i="2"/>
  <c r="I838" i="2"/>
  <c r="J779" i="2"/>
  <c r="H779" i="2" s="1"/>
  <c r="K461" i="2"/>
  <c r="I322" i="2"/>
  <c r="I373" i="2"/>
  <c r="I378" i="2"/>
  <c r="K360" i="2"/>
  <c r="I142" i="2"/>
  <c r="J258" i="2"/>
  <c r="H258" i="2" s="1"/>
  <c r="I187" i="2"/>
  <c r="I713" i="2"/>
  <c r="J222" i="2"/>
  <c r="K401" i="2" s="1"/>
  <c r="I943" i="2"/>
  <c r="K939" i="2"/>
  <c r="K946" i="2"/>
  <c r="J942" i="2"/>
  <c r="H942" i="2" s="1"/>
  <c r="J860" i="2"/>
  <c r="H860" i="2" s="1"/>
  <c r="I840" i="2"/>
  <c r="K899" i="2"/>
  <c r="I802" i="2"/>
  <c r="K791" i="2"/>
  <c r="J618" i="2"/>
  <c r="K525" i="2"/>
  <c r="K458" i="2"/>
  <c r="J467" i="2"/>
  <c r="H467" i="2" s="1"/>
  <c r="J481" i="2"/>
  <c r="H481" i="2" s="1"/>
  <c r="K322" i="2"/>
  <c r="I496" i="2"/>
  <c r="K284" i="2"/>
  <c r="J373" i="2"/>
  <c r="H373" i="2" s="1"/>
  <c r="I343" i="2"/>
  <c r="I157" i="2"/>
  <c r="J123" i="2"/>
  <c r="H123" i="2" s="1"/>
  <c r="J949" i="2"/>
  <c r="H949" i="2" s="1"/>
  <c r="K997" i="2"/>
  <c r="K893" i="2"/>
  <c r="K776" i="2"/>
  <c r="I754" i="2"/>
  <c r="I688" i="2"/>
  <c r="J695" i="2"/>
  <c r="H695" i="2" s="1"/>
  <c r="I517" i="2"/>
  <c r="I160" i="2"/>
  <c r="K631" i="2"/>
  <c r="J713" i="2"/>
  <c r="K740" i="2" s="1"/>
  <c r="I611" i="2"/>
  <c r="J517" i="2"/>
  <c r="H517" i="2" s="1"/>
  <c r="I949" i="2"/>
  <c r="I939" i="2"/>
  <c r="K1001" i="2"/>
  <c r="K611" i="2"/>
  <c r="I603" i="2"/>
  <c r="I695" i="2"/>
  <c r="J610" i="2"/>
  <c r="J724" i="2"/>
  <c r="H724" i="2" s="1"/>
  <c r="I469" i="2"/>
  <c r="J335" i="2"/>
  <c r="H335" i="2" s="1"/>
  <c r="I335" i="2"/>
  <c r="J157" i="2"/>
  <c r="K220" i="2" s="1"/>
  <c r="J252" i="2"/>
  <c r="H252" i="2" s="1"/>
  <c r="J82" i="2"/>
  <c r="H82" i="2" s="1"/>
  <c r="J56" i="2"/>
  <c r="H56" i="2" s="1"/>
  <c r="I440" i="2"/>
  <c r="H3" i="2"/>
  <c r="K260" i="2"/>
  <c r="K332" i="2"/>
  <c r="I240" i="2"/>
  <c r="I179" i="2"/>
  <c r="K22" i="2"/>
  <c r="I857" i="2"/>
  <c r="I797" i="2"/>
  <c r="I636" i="2"/>
  <c r="I719" i="2"/>
  <c r="K707" i="2"/>
  <c r="J624" i="2"/>
  <c r="H624" i="2" s="1"/>
  <c r="I616" i="2"/>
  <c r="K600" i="2"/>
  <c r="K481" i="2"/>
  <c r="J669" i="2"/>
  <c r="H669" i="2" s="1"/>
  <c r="I412" i="2"/>
  <c r="K523" i="2"/>
  <c r="K396" i="2"/>
  <c r="K469" i="2"/>
  <c r="I420" i="2"/>
  <c r="J240" i="2"/>
  <c r="H240" i="2" s="1"/>
  <c r="J32" i="2"/>
  <c r="H32" i="2" s="1"/>
  <c r="I32" i="2"/>
  <c r="I202" i="2"/>
  <c r="I212" i="2"/>
  <c r="I685" i="2"/>
  <c r="I588" i="2"/>
  <c r="I999" i="2"/>
  <c r="J917" i="2"/>
  <c r="H917" i="2" s="1"/>
  <c r="K954" i="2"/>
  <c r="K992" i="2"/>
  <c r="K920" i="2"/>
  <c r="I865" i="2"/>
  <c r="K857" i="2"/>
  <c r="I959" i="2"/>
  <c r="I706" i="2"/>
  <c r="K603" i="2"/>
  <c r="J719" i="2"/>
  <c r="H719" i="2" s="1"/>
  <c r="J595" i="2"/>
  <c r="K610" i="2" s="1"/>
  <c r="I631" i="2"/>
  <c r="I453" i="2"/>
  <c r="J412" i="2"/>
  <c r="H412" i="2" s="1"/>
  <c r="I361" i="2"/>
  <c r="I345" i="2"/>
  <c r="J619" i="2"/>
  <c r="H619" i="2" s="1"/>
  <c r="K420" i="2"/>
  <c r="K48" i="2"/>
  <c r="I56" i="2"/>
  <c r="K212" i="2"/>
  <c r="K3" i="2"/>
  <c r="K865" i="2"/>
  <c r="J947" i="2"/>
  <c r="H947" i="2" s="1"/>
  <c r="J894" i="2"/>
  <c r="H894" i="2" s="1"/>
  <c r="K959" i="2"/>
  <c r="K723" i="2"/>
  <c r="J760" i="2"/>
  <c r="I799" i="2"/>
  <c r="J592" i="2"/>
  <c r="H592" i="2" s="1"/>
  <c r="J539" i="2"/>
  <c r="H539" i="2" s="1"/>
  <c r="I634" i="2"/>
  <c r="J514" i="2"/>
  <c r="H514" i="2" s="1"/>
  <c r="I461" i="2"/>
  <c r="I523" i="2"/>
  <c r="J441" i="2"/>
  <c r="H441" i="2" s="1"/>
  <c r="K345" i="2"/>
  <c r="I619" i="2"/>
  <c r="I330" i="2"/>
  <c r="K204" i="2"/>
  <c r="I3" i="2"/>
  <c r="K125" i="2"/>
  <c r="I220" i="2"/>
  <c r="J178" i="2"/>
  <c r="J210" i="2"/>
  <c r="H210" i="2" s="1"/>
  <c r="J271" i="2"/>
  <c r="J122" i="2"/>
  <c r="H122" i="2" s="1"/>
  <c r="I977" i="2"/>
  <c r="I707" i="2"/>
  <c r="J983" i="2"/>
  <c r="H983" i="2" s="1"/>
  <c r="J980" i="2"/>
  <c r="H980" i="2" s="1"/>
  <c r="K980" i="2"/>
  <c r="I957" i="2"/>
  <c r="J827" i="2"/>
  <c r="H827" i="2" s="1"/>
  <c r="K794" i="2"/>
  <c r="I690" i="2"/>
  <c r="I770" i="2"/>
  <c r="K760" i="2"/>
  <c r="J746" i="2"/>
  <c r="H746" i="2" s="1"/>
  <c r="K649" i="2"/>
  <c r="I722" i="2"/>
  <c r="K616" i="2"/>
  <c r="I671" i="2"/>
  <c r="J636" i="2"/>
  <c r="H636" i="2" s="1"/>
  <c r="I514" i="2"/>
  <c r="K455" i="2"/>
  <c r="J576" i="2"/>
  <c r="K618" i="2" s="1"/>
  <c r="K276" i="2"/>
  <c r="I302" i="2"/>
  <c r="J154" i="2"/>
  <c r="H154" i="2" s="1"/>
  <c r="K279" i="2"/>
  <c r="K191" i="2"/>
  <c r="K187" i="2"/>
  <c r="I991" i="2"/>
  <c r="J897" i="2"/>
  <c r="H897" i="2" s="1"/>
  <c r="J999" i="2"/>
  <c r="H999" i="2" s="1"/>
  <c r="K943" i="2"/>
  <c r="I715" i="2"/>
  <c r="I610" i="2"/>
  <c r="I539" i="2"/>
  <c r="I509" i="2"/>
  <c r="J588" i="2"/>
  <c r="H588" i="2" s="1"/>
  <c r="I501" i="2"/>
  <c r="I350" i="2"/>
  <c r="J333" i="2"/>
  <c r="H333" i="2" s="1"/>
  <c r="I649" i="2"/>
  <c r="J992" i="2"/>
  <c r="H992" i="2" s="1"/>
  <c r="J936" i="2"/>
  <c r="K931" i="2"/>
  <c r="I965" i="2"/>
  <c r="K977" i="2"/>
  <c r="K886" i="2"/>
  <c r="K942" i="2"/>
  <c r="K876" i="2"/>
  <c r="J899" i="2"/>
  <c r="H899" i="2" s="1"/>
  <c r="K718" i="2"/>
  <c r="K639" i="2"/>
  <c r="J628" i="2"/>
  <c r="H628" i="2" s="1"/>
  <c r="I644" i="2"/>
  <c r="K592" i="2"/>
  <c r="I703" i="2"/>
  <c r="I531" i="2"/>
  <c r="J509" i="2"/>
  <c r="H509" i="2" s="1"/>
  <c r="J491" i="2"/>
  <c r="J501" i="2"/>
  <c r="K510" i="2" s="1"/>
  <c r="J536" i="2"/>
  <c r="K916" i="2" s="1"/>
  <c r="K138" i="2"/>
  <c r="K568" i="2"/>
  <c r="J309" i="2"/>
  <c r="H309" i="2" s="1"/>
  <c r="K963" i="2"/>
  <c r="I963" i="2"/>
  <c r="I845" i="2"/>
  <c r="K845" i="2"/>
  <c r="J845" i="2"/>
  <c r="H845" i="2" s="1"/>
  <c r="K864" i="2"/>
  <c r="I864" i="2"/>
  <c r="K818" i="2"/>
  <c r="J818" i="2"/>
  <c r="H818" i="2" s="1"/>
  <c r="K534" i="2"/>
  <c r="J534" i="2"/>
  <c r="K555" i="2" s="1"/>
  <c r="K376" i="2"/>
  <c r="J376" i="2"/>
  <c r="H376" i="2" s="1"/>
  <c r="K255" i="2"/>
  <c r="I255" i="2"/>
  <c r="K17" i="2"/>
  <c r="I17" i="2"/>
  <c r="J274" i="2"/>
  <c r="H274" i="2" s="1"/>
  <c r="K69" i="2"/>
  <c r="I69" i="2"/>
  <c r="I205" i="2"/>
  <c r="K117" i="2"/>
  <c r="I1000" i="2"/>
  <c r="I945" i="2"/>
  <c r="K945" i="2"/>
  <c r="K889" i="2"/>
  <c r="K975" i="2"/>
  <c r="J879" i="2"/>
  <c r="H879" i="2" s="1"/>
  <c r="K879" i="2"/>
  <c r="I863" i="2"/>
  <c r="K863" i="2"/>
  <c r="J863" i="2"/>
  <c r="H863" i="2" s="1"/>
  <c r="J905" i="2"/>
  <c r="K856" i="2"/>
  <c r="I856" i="2"/>
  <c r="K840" i="2"/>
  <c r="I860" i="2"/>
  <c r="K897" i="2"/>
  <c r="K947" i="2"/>
  <c r="J893" i="2"/>
  <c r="H893" i="2" s="1"/>
  <c r="I928" i="2"/>
  <c r="J927" i="2"/>
  <c r="K936" i="2" s="1"/>
  <c r="I750" i="2"/>
  <c r="K750" i="2"/>
  <c r="J813" i="2"/>
  <c r="H813" i="2" s="1"/>
  <c r="K711" i="2"/>
  <c r="I711" i="2"/>
  <c r="J711" i="2"/>
  <c r="K713" i="2" s="1"/>
  <c r="K693" i="2"/>
  <c r="I693" i="2"/>
  <c r="J693" i="2"/>
  <c r="H693" i="2" s="1"/>
  <c r="J721" i="2"/>
  <c r="J705" i="2"/>
  <c r="H705" i="2" s="1"/>
  <c r="K705" i="2"/>
  <c r="I687" i="2"/>
  <c r="K684" i="2"/>
  <c r="J831" i="2"/>
  <c r="H831" i="2" s="1"/>
  <c r="I767" i="2"/>
  <c r="I710" i="2"/>
  <c r="K726" i="2"/>
  <c r="K559" i="2"/>
  <c r="J559" i="2"/>
  <c r="H559" i="2" s="1"/>
  <c r="J641" i="2"/>
  <c r="H641" i="2" s="1"/>
  <c r="I564" i="2"/>
  <c r="I557" i="2"/>
  <c r="K557" i="2"/>
  <c r="K677" i="2"/>
  <c r="I567" i="2"/>
  <c r="K595" i="2"/>
  <c r="K564" i="2"/>
  <c r="I654" i="2"/>
  <c r="J593" i="2"/>
  <c r="K796" i="2" s="1"/>
  <c r="J660" i="2"/>
  <c r="H660" i="2" s="1"/>
  <c r="J604" i="2"/>
  <c r="H604" i="2" s="1"/>
  <c r="I561" i="2"/>
  <c r="I464" i="2"/>
  <c r="K464" i="2"/>
  <c r="J394" i="2"/>
  <c r="H394" i="2" s="1"/>
  <c r="K394" i="2"/>
  <c r="J366" i="2"/>
  <c r="H366" i="2" s="1"/>
  <c r="K366" i="2"/>
  <c r="K669" i="2"/>
  <c r="I542" i="2"/>
  <c r="J658" i="2"/>
  <c r="H658" i="2" s="1"/>
  <c r="I536" i="2"/>
  <c r="I488" i="2"/>
  <c r="K350" i="2"/>
  <c r="I274" i="2"/>
  <c r="I217" i="2"/>
  <c r="J217" i="2"/>
  <c r="H217" i="2" s="1"/>
  <c r="I430" i="2"/>
  <c r="K378" i="2"/>
  <c r="K289" i="2"/>
  <c r="J255" i="2"/>
  <c r="H255" i="2" s="1"/>
  <c r="I196" i="2"/>
  <c r="I277" i="2"/>
  <c r="K35" i="2"/>
  <c r="I35" i="2"/>
  <c r="I21" i="2"/>
  <c r="J143" i="2"/>
  <c r="H143" i="2" s="1"/>
  <c r="J98" i="2"/>
  <c r="H98" i="2" s="1"/>
  <c r="J40" i="2"/>
  <c r="H40" i="2" s="1"/>
  <c r="K459" i="2"/>
  <c r="I257" i="2"/>
  <c r="I161" i="2"/>
  <c r="J142" i="2"/>
  <c r="H142" i="2" s="1"/>
  <c r="K95" i="2"/>
  <c r="J95" i="2"/>
  <c r="H95" i="2" s="1"/>
  <c r="I74" i="2"/>
  <c r="K29" i="2"/>
  <c r="J29" i="2"/>
  <c r="K898" i="2" s="1"/>
  <c r="I4" i="2"/>
  <c r="J320" i="2"/>
  <c r="H320" i="2" s="1"/>
  <c r="J170" i="2"/>
  <c r="H170" i="2" s="1"/>
  <c r="I245" i="2"/>
  <c r="I238" i="2"/>
  <c r="J17" i="2"/>
  <c r="H17" i="2" s="1"/>
  <c r="J134" i="2"/>
  <c r="K141" i="2" s="1"/>
  <c r="J205" i="2"/>
  <c r="H205" i="2" s="1"/>
  <c r="J48" i="2"/>
  <c r="H48" i="2" s="1"/>
  <c r="J125" i="2"/>
  <c r="H125" i="2" s="1"/>
  <c r="J183" i="2"/>
  <c r="J740" i="2"/>
  <c r="K751" i="2" s="1"/>
  <c r="I475" i="2"/>
  <c r="J9" i="2"/>
  <c r="K9" i="2"/>
  <c r="K277" i="2"/>
  <c r="K935" i="2"/>
  <c r="I935" i="2"/>
  <c r="I885" i="2"/>
  <c r="K885" i="2"/>
  <c r="I795" i="2"/>
  <c r="K795" i="2"/>
  <c r="J771" i="2"/>
  <c r="H771" i="2" s="1"/>
  <c r="I818" i="2"/>
  <c r="I821" i="2"/>
  <c r="K813" i="2"/>
  <c r="I794" i="2"/>
  <c r="K670" i="2"/>
  <c r="I831" i="2"/>
  <c r="I613" i="2"/>
  <c r="K520" i="2"/>
  <c r="J520" i="2"/>
  <c r="H520" i="2" s="1"/>
  <c r="K484" i="2"/>
  <c r="J484" i="2"/>
  <c r="H484" i="2" s="1"/>
  <c r="I495" i="2"/>
  <c r="K495" i="2"/>
  <c r="J561" i="2"/>
  <c r="H561" i="2" s="1"/>
  <c r="K438" i="2"/>
  <c r="J438" i="2"/>
  <c r="H438" i="2" s="1"/>
  <c r="K542" i="2"/>
  <c r="I450" i="2"/>
  <c r="I320" i="2"/>
  <c r="J475" i="2"/>
  <c r="H475" i="2" s="1"/>
  <c r="I404" i="2"/>
  <c r="K236" i="2"/>
  <c r="I236" i="2"/>
  <c r="J479" i="2"/>
  <c r="H479" i="2" s="1"/>
  <c r="J430" i="2"/>
  <c r="H430" i="2" s="1"/>
  <c r="I376" i="2"/>
  <c r="J294" i="2"/>
  <c r="H294" i="2" s="1"/>
  <c r="J196" i="2"/>
  <c r="H196" i="2" s="1"/>
  <c r="I93" i="2"/>
  <c r="K93" i="2"/>
  <c r="I59" i="2"/>
  <c r="K59" i="2"/>
  <c r="J257" i="2"/>
  <c r="H257" i="2" s="1"/>
  <c r="K71" i="2"/>
  <c r="J71" i="2"/>
  <c r="H71" i="2" s="1"/>
  <c r="J296" i="2"/>
  <c r="H296" i="2" s="1"/>
  <c r="I134" i="2"/>
  <c r="J245" i="2"/>
  <c r="H245" i="2" s="1"/>
  <c r="J238" i="2"/>
  <c r="H238" i="2" s="1"/>
  <c r="I433" i="2"/>
  <c r="K161" i="2"/>
  <c r="I29" i="2"/>
  <c r="J12" i="2"/>
  <c r="H12" i="2" s="1"/>
  <c r="K613" i="2"/>
  <c r="K43" i="2"/>
  <c r="I43" i="2"/>
  <c r="J963" i="2"/>
  <c r="H963" i="2" s="1"/>
  <c r="J670" i="2"/>
  <c r="H670" i="2" s="1"/>
  <c r="K494" i="2"/>
  <c r="J494" i="2"/>
  <c r="H494" i="2" s="1"/>
  <c r="K596" i="2"/>
  <c r="K933" i="2"/>
  <c r="I995" i="2"/>
  <c r="K995" i="2"/>
  <c r="K983" i="2"/>
  <c r="I958" i="2"/>
  <c r="J885" i="2"/>
  <c r="H885" i="2" s="1"/>
  <c r="J931" i="2"/>
  <c r="H931" i="2" s="1"/>
  <c r="J923" i="2"/>
  <c r="H923" i="2" s="1"/>
  <c r="K880" i="2"/>
  <c r="I880" i="2"/>
  <c r="K846" i="2"/>
  <c r="I846" i="2"/>
  <c r="J975" i="2"/>
  <c r="H975" i="2" s="1"/>
  <c r="I827" i="2"/>
  <c r="I964" i="2"/>
  <c r="J830" i="2"/>
  <c r="H830" i="2" s="1"/>
  <c r="K928" i="2"/>
  <c r="J750" i="2"/>
  <c r="H750" i="2" s="1"/>
  <c r="I740" i="2"/>
  <c r="J821" i="2"/>
  <c r="H821" i="2" s="1"/>
  <c r="I776" i="2"/>
  <c r="I810" i="2"/>
  <c r="I805" i="2"/>
  <c r="K706" i="2"/>
  <c r="I721" i="2"/>
  <c r="I812" i="2"/>
  <c r="I746" i="2"/>
  <c r="K722" i="2"/>
  <c r="J708" i="2"/>
  <c r="H708" i="2" s="1"/>
  <c r="K641" i="2"/>
  <c r="I582" i="2"/>
  <c r="J634" i="2"/>
  <c r="H634" i="2" s="1"/>
  <c r="J596" i="2"/>
  <c r="H596" i="2" s="1"/>
  <c r="K582" i="2"/>
  <c r="J718" i="2"/>
  <c r="H718" i="2" s="1"/>
  <c r="J644" i="2"/>
  <c r="H644" i="2" s="1"/>
  <c r="I551" i="2"/>
  <c r="I487" i="2"/>
  <c r="K487" i="2"/>
  <c r="J562" i="2"/>
  <c r="H562" i="2" s="1"/>
  <c r="J702" i="2"/>
  <c r="K721" i="2" s="1"/>
  <c r="J531" i="2"/>
  <c r="H531" i="2" s="1"/>
  <c r="I522" i="2"/>
  <c r="I471" i="2"/>
  <c r="I489" i="2"/>
  <c r="J410" i="2"/>
  <c r="K410" i="2"/>
  <c r="K358" i="2"/>
  <c r="J358" i="2"/>
  <c r="H358" i="2" s="1"/>
  <c r="I474" i="2"/>
  <c r="J450" i="2"/>
  <c r="H450" i="2" s="1"/>
  <c r="K309" i="2"/>
  <c r="J496" i="2"/>
  <c r="H496" i="2" s="1"/>
  <c r="J404" i="2"/>
  <c r="H404" i="2" s="1"/>
  <c r="I314" i="2"/>
  <c r="K226" i="2"/>
  <c r="I226" i="2"/>
  <c r="I260" i="2"/>
  <c r="I209" i="2"/>
  <c r="J209" i="2"/>
  <c r="H209" i="2" s="1"/>
  <c r="K479" i="2"/>
  <c r="K217" i="2"/>
  <c r="I332" i="2"/>
  <c r="K294" i="2"/>
  <c r="K323" i="2"/>
  <c r="J191" i="2"/>
  <c r="H191" i="2" s="1"/>
  <c r="I122" i="2"/>
  <c r="J89" i="2"/>
  <c r="H89" i="2" s="1"/>
  <c r="K25" i="2"/>
  <c r="I25" i="2"/>
  <c r="K7" i="2"/>
  <c r="I7" i="2"/>
  <c r="J459" i="2"/>
  <c r="H459" i="2" s="1"/>
  <c r="J160" i="2"/>
  <c r="H160" i="2" s="1"/>
  <c r="J115" i="2"/>
  <c r="K115" i="2"/>
  <c r="J45" i="2"/>
  <c r="K96" i="2" s="1"/>
  <c r="K45" i="2"/>
  <c r="I22" i="2"/>
  <c r="I296" i="2"/>
  <c r="I271" i="2"/>
  <c r="J69" i="2"/>
  <c r="H69" i="2" s="1"/>
  <c r="I568" i="2"/>
  <c r="J433" i="2"/>
  <c r="H433" i="2" s="1"/>
  <c r="I222" i="2"/>
  <c r="J202" i="2"/>
  <c r="I45" i="2"/>
  <c r="K98" i="2"/>
  <c r="K154" i="2"/>
  <c r="I446" i="2"/>
  <c r="K446" i="2"/>
  <c r="K79" i="2"/>
  <c r="J79" i="2"/>
  <c r="H79" i="2" s="1"/>
  <c r="K786" i="2"/>
  <c r="J786" i="2"/>
  <c r="K901" i="2" s="1"/>
  <c r="J606" i="2"/>
  <c r="H606" i="2" s="1"/>
  <c r="I916" i="2"/>
  <c r="K915" i="2"/>
  <c r="I915" i="2"/>
  <c r="I847" i="2"/>
  <c r="I745" i="2"/>
  <c r="K739" i="2"/>
  <c r="J739" i="2"/>
  <c r="H739" i="2" s="1"/>
  <c r="J805" i="2"/>
  <c r="I741" i="2"/>
  <c r="I692" i="2"/>
  <c r="I751" i="2"/>
  <c r="K512" i="2"/>
  <c r="J512" i="2"/>
  <c r="H512" i="2" s="1"/>
  <c r="I449" i="2"/>
  <c r="K384" i="2"/>
  <c r="J384" i="2"/>
  <c r="H384" i="2" s="1"/>
  <c r="I639" i="2"/>
  <c r="J453" i="2"/>
  <c r="H453" i="2" s="1"/>
  <c r="I576" i="2"/>
  <c r="K314" i="2"/>
  <c r="I384" i="2"/>
  <c r="I368" i="2"/>
  <c r="I267" i="2"/>
  <c r="K267" i="2"/>
  <c r="I216" i="2"/>
  <c r="K216" i="2"/>
  <c r="J201" i="2"/>
  <c r="H201" i="2" s="1"/>
  <c r="I201" i="2"/>
  <c r="I286" i="2"/>
  <c r="J216" i="2"/>
  <c r="H216" i="2" s="1"/>
  <c r="I413" i="2"/>
  <c r="I265" i="2"/>
  <c r="I135" i="2"/>
  <c r="J135" i="2"/>
  <c r="H135" i="2" s="1"/>
  <c r="J121" i="2"/>
  <c r="H121" i="2" s="1"/>
  <c r="I121" i="2"/>
  <c r="K85" i="2"/>
  <c r="I85" i="2"/>
  <c r="K51" i="2"/>
  <c r="I51" i="2"/>
  <c r="I247" i="2"/>
  <c r="I117" i="2"/>
  <c r="J87" i="2"/>
  <c r="H87" i="2" s="1"/>
  <c r="K87" i="2"/>
  <c r="I66" i="2"/>
  <c r="K19" i="2"/>
  <c r="J19" i="2"/>
  <c r="H19" i="2" s="1"/>
  <c r="J93" i="2"/>
  <c r="H93" i="2" s="1"/>
  <c r="J25" i="2"/>
  <c r="H25" i="2" s="1"/>
  <c r="I79" i="2"/>
  <c r="I115" i="2"/>
  <c r="K89" i="2"/>
  <c r="K614" i="2"/>
  <c r="I614" i="2"/>
  <c r="K126" i="2"/>
  <c r="J126" i="2"/>
  <c r="H126" i="2" s="1"/>
  <c r="J954" i="2"/>
  <c r="H954" i="2" s="1"/>
  <c r="K418" i="2"/>
  <c r="J418" i="2"/>
  <c r="H418" i="2" s="1"/>
  <c r="I251" i="2"/>
  <c r="J251" i="2"/>
  <c r="H251" i="2" s="1"/>
  <c r="K441" i="2"/>
  <c r="K338" i="2"/>
  <c r="J338" i="2"/>
  <c r="H338" i="2" s="1"/>
  <c r="I176" i="2"/>
  <c r="J176" i="2"/>
  <c r="H176" i="2" s="1"/>
  <c r="J171" i="2"/>
  <c r="H171" i="2" s="1"/>
  <c r="I171" i="2"/>
  <c r="K101" i="2"/>
  <c r="I101" i="2"/>
  <c r="K12" i="2"/>
  <c r="J150" i="2"/>
  <c r="H150" i="2" s="1"/>
  <c r="J175" i="2"/>
  <c r="H175" i="2" s="1"/>
  <c r="I175" i="2"/>
  <c r="J965" i="2"/>
  <c r="H965" i="2" s="1"/>
  <c r="J972" i="2"/>
  <c r="H972" i="2" s="1"/>
  <c r="I972" i="2"/>
  <c r="K911" i="2"/>
  <c r="I911" i="2"/>
  <c r="I901" i="2"/>
  <c r="I853" i="2"/>
  <c r="K853" i="2"/>
  <c r="J853" i="2"/>
  <c r="H853" i="2" s="1"/>
  <c r="I830" i="2"/>
  <c r="I873" i="2"/>
  <c r="I820" i="2"/>
  <c r="I848" i="2"/>
  <c r="I987" i="2"/>
  <c r="K987" i="2"/>
  <c r="J935" i="2"/>
  <c r="H935" i="2" s="1"/>
  <c r="I920" i="2"/>
  <c r="J901" i="2"/>
  <c r="I997" i="2"/>
  <c r="J871" i="2"/>
  <c r="H871" i="2" s="1"/>
  <c r="I871" i="2"/>
  <c r="K871" i="2"/>
  <c r="K872" i="2"/>
  <c r="I872" i="2"/>
  <c r="K988" i="2"/>
  <c r="K902" i="2"/>
  <c r="J957" i="2"/>
  <c r="H957" i="2" s="1"/>
  <c r="I910" i="2"/>
  <c r="J846" i="2"/>
  <c r="H846" i="2" s="1"/>
  <c r="I879" i="2"/>
  <c r="I876" i="2"/>
  <c r="K873" i="2"/>
  <c r="K964" i="2"/>
  <c r="K894" i="2"/>
  <c r="J842" i="2"/>
  <c r="H842" i="2" s="1"/>
  <c r="J856" i="2"/>
  <c r="H856" i="2" s="1"/>
  <c r="K847" i="2"/>
  <c r="J880" i="2"/>
  <c r="H880" i="2" s="1"/>
  <c r="J797" i="2"/>
  <c r="H797" i="2" s="1"/>
  <c r="K810" i="2"/>
  <c r="K754" i="2"/>
  <c r="K730" i="2"/>
  <c r="K771" i="2"/>
  <c r="I708" i="2"/>
  <c r="J741" i="2"/>
  <c r="H741" i="2" s="1"/>
  <c r="J751" i="2"/>
  <c r="K932" i="2" s="1"/>
  <c r="I791" i="2"/>
  <c r="I624" i="2"/>
  <c r="J626" i="2"/>
  <c r="K626" i="2"/>
  <c r="J572" i="2"/>
  <c r="H572" i="2" s="1"/>
  <c r="I572" i="2"/>
  <c r="J687" i="2"/>
  <c r="H687" i="2" s="1"/>
  <c r="K606" i="2"/>
  <c r="J578" i="2"/>
  <c r="H578" i="2" s="1"/>
  <c r="J690" i="2"/>
  <c r="K585" i="2"/>
  <c r="I578" i="2"/>
  <c r="K546" i="2"/>
  <c r="J583" i="2"/>
  <c r="H583" i="2" s="1"/>
  <c r="I525" i="2"/>
  <c r="I520" i="2"/>
  <c r="I506" i="2"/>
  <c r="K489" i="2"/>
  <c r="K466" i="2"/>
  <c r="J466" i="2"/>
  <c r="K501" i="2" s="1"/>
  <c r="K448" i="2"/>
  <c r="J448" i="2"/>
  <c r="H448" i="2" s="1"/>
  <c r="J598" i="2"/>
  <c r="H598" i="2" s="1"/>
  <c r="K562" i="2"/>
  <c r="I604" i="2"/>
  <c r="J495" i="2"/>
  <c r="H495" i="2" s="1"/>
  <c r="I600" i="2"/>
  <c r="I497" i="2"/>
  <c r="J449" i="2"/>
  <c r="H449" i="2" s="1"/>
  <c r="K428" i="2"/>
  <c r="J428" i="2"/>
  <c r="H428" i="2" s="1"/>
  <c r="J348" i="2"/>
  <c r="H348" i="2" s="1"/>
  <c r="K348" i="2"/>
  <c r="I658" i="2"/>
  <c r="I534" i="2"/>
  <c r="K312" i="2"/>
  <c r="J312" i="2"/>
  <c r="H312" i="2" s="1"/>
  <c r="J286" i="2"/>
  <c r="H286" i="2" s="1"/>
  <c r="I396" i="2"/>
  <c r="K379" i="2"/>
  <c r="K368" i="2"/>
  <c r="J289" i="2"/>
  <c r="H289" i="2" s="1"/>
  <c r="I208" i="2"/>
  <c r="K208" i="2"/>
  <c r="I386" i="2"/>
  <c r="I276" i="2"/>
  <c r="K244" i="2"/>
  <c r="I379" i="2"/>
  <c r="I484" i="2"/>
  <c r="I363" i="2"/>
  <c r="I358" i="2"/>
  <c r="I317" i="2"/>
  <c r="J995" i="2"/>
  <c r="H995" i="2" s="1"/>
  <c r="J413" i="2"/>
  <c r="H413" i="2" s="1"/>
  <c r="J265" i="2"/>
  <c r="H265" i="2" s="1"/>
  <c r="I204" i="2"/>
  <c r="I323" i="2"/>
  <c r="K253" i="2"/>
  <c r="J21" i="2"/>
  <c r="H21" i="2" s="1"/>
  <c r="J66" i="2"/>
  <c r="H66" i="2" s="1"/>
  <c r="I279" i="2"/>
  <c r="J247" i="2"/>
  <c r="H247" i="2" s="1"/>
  <c r="I186" i="2"/>
  <c r="K135" i="2"/>
  <c r="J220" i="2"/>
  <c r="K805" i="2" s="1"/>
  <c r="J179" i="2"/>
  <c r="H179" i="2" s="1"/>
  <c r="J61" i="2"/>
  <c r="H61" i="2" s="1"/>
  <c r="K61" i="2"/>
  <c r="I40" i="2"/>
  <c r="J440" i="2"/>
  <c r="H440" i="2" s="1"/>
  <c r="K146" i="2"/>
  <c r="G146" i="2" s="1"/>
  <c r="I146" i="2"/>
  <c r="K121" i="2"/>
  <c r="J51" i="2"/>
  <c r="H51" i="2" s="1"/>
  <c r="I95" i="2"/>
  <c r="K178" i="2"/>
  <c r="K47" i="2"/>
  <c r="I126" i="2"/>
  <c r="K82" i="2"/>
  <c r="I759" i="2"/>
  <c r="K759" i="2"/>
  <c r="K953" i="2"/>
  <c r="I953" i="2"/>
  <c r="K835" i="2"/>
  <c r="J835" i="2"/>
  <c r="H835" i="2" s="1"/>
  <c r="I835" i="2"/>
  <c r="J864" i="2"/>
  <c r="K530" i="2"/>
  <c r="I530" i="2"/>
  <c r="K505" i="2"/>
  <c r="I505" i="2"/>
  <c r="I598" i="2"/>
  <c r="I660" i="2"/>
  <c r="K53" i="2"/>
  <c r="J53" i="2"/>
  <c r="H53" i="2" s="1"/>
  <c r="K986" i="2"/>
  <c r="J986" i="2"/>
  <c r="H986" i="2" s="1"/>
  <c r="K971" i="2"/>
  <c r="I971" i="2"/>
  <c r="J971" i="2"/>
  <c r="H971" i="2" s="1"/>
  <c r="I933" i="2"/>
  <c r="I919" i="2"/>
  <c r="K919" i="2"/>
  <c r="J898" i="2"/>
  <c r="I898" i="2"/>
  <c r="I929" i="2"/>
  <c r="K895" i="2"/>
  <c r="I895" i="2"/>
  <c r="J889" i="2"/>
  <c r="H889" i="2" s="1"/>
  <c r="I842" i="2"/>
  <c r="I917" i="2"/>
  <c r="K765" i="2"/>
  <c r="J765" i="2"/>
  <c r="K729" i="2"/>
  <c r="J729" i="2"/>
  <c r="K799" i="2" s="1"/>
  <c r="I788" i="2"/>
  <c r="J745" i="2"/>
  <c r="H745" i="2" s="1"/>
  <c r="I739" i="2"/>
  <c r="K702" i="2"/>
  <c r="K657" i="2"/>
  <c r="K623" i="2"/>
  <c r="J664" i="2"/>
  <c r="H664" i="2" s="1"/>
  <c r="K632" i="2"/>
  <c r="I632" i="2"/>
  <c r="I657" i="2"/>
  <c r="K504" i="2"/>
  <c r="J504" i="2"/>
  <c r="H504" i="2" s="1"/>
  <c r="J684" i="2"/>
  <c r="K743" i="2" s="1"/>
  <c r="K650" i="2"/>
  <c r="I650" i="2"/>
  <c r="K513" i="2"/>
  <c r="I513" i="2"/>
  <c r="I623" i="2"/>
  <c r="K506" i="2"/>
  <c r="J556" i="2"/>
  <c r="H556" i="2" s="1"/>
  <c r="K402" i="2"/>
  <c r="J402" i="2"/>
  <c r="H402" i="2" s="1"/>
  <c r="K471" i="2"/>
  <c r="I402" i="2"/>
  <c r="J463" i="2"/>
  <c r="H463" i="2" s="1"/>
  <c r="I366" i="2"/>
  <c r="K200" i="2"/>
  <c r="I200" i="2"/>
  <c r="J317" i="2"/>
  <c r="I342" i="2"/>
  <c r="J236" i="2"/>
  <c r="H236" i="2" s="1"/>
  <c r="K209" i="2"/>
  <c r="I151" i="2"/>
  <c r="J151" i="2"/>
  <c r="H151" i="2" s="1"/>
  <c r="K113" i="2"/>
  <c r="I113" i="2"/>
  <c r="K77" i="2"/>
  <c r="I77" i="2"/>
  <c r="K210" i="2"/>
  <c r="K105" i="2"/>
  <c r="J105" i="2"/>
  <c r="H105" i="2" s="1"/>
  <c r="J37" i="2"/>
  <c r="H37" i="2" s="1"/>
  <c r="K37" i="2"/>
  <c r="K275" i="2"/>
  <c r="I150" i="2"/>
  <c r="K176" i="2"/>
  <c r="K166" i="2"/>
  <c r="I166" i="2"/>
  <c r="J77" i="2"/>
  <c r="H77" i="2" s="1"/>
  <c r="J7" i="2"/>
  <c r="H7" i="2" s="1"/>
  <c r="I19" i="2"/>
  <c r="I61" i="2"/>
  <c r="I53" i="2"/>
  <c r="H721" i="2" l="1"/>
  <c r="H702" i="2"/>
  <c r="H626" i="2"/>
  <c r="H491" i="2"/>
  <c r="H468" i="2"/>
  <c r="H410" i="2"/>
  <c r="H202" i="2"/>
  <c r="H180" i="2"/>
  <c r="H178" i="2"/>
  <c r="K107" i="2"/>
  <c r="H115" i="2"/>
  <c r="H690" i="2"/>
  <c r="K755" i="2"/>
  <c r="K685" i="2"/>
  <c r="H760" i="2"/>
  <c r="H755" i="2"/>
  <c r="H946" i="2"/>
  <c r="G946" i="2"/>
  <c r="H936" i="2"/>
  <c r="H927" i="2"/>
  <c r="H9" i="2"/>
  <c r="K812" i="2"/>
  <c r="H812" i="2"/>
  <c r="H786" i="2"/>
  <c r="K848" i="2"/>
  <c r="H901" i="2"/>
  <c r="H898" i="2"/>
  <c r="K905" i="2"/>
  <c r="H905" i="2"/>
  <c r="K996" i="2"/>
  <c r="K926" i="2"/>
  <c r="H271" i="2"/>
  <c r="K985" i="2"/>
  <c r="H864" i="2"/>
  <c r="H805" i="2"/>
  <c r="H751" i="2"/>
  <c r="H729" i="2"/>
  <c r="H713" i="2"/>
  <c r="H711" i="2"/>
  <c r="H684" i="2"/>
  <c r="H646" i="2"/>
  <c r="H618" i="2"/>
  <c r="H595" i="2"/>
  <c r="H593" i="2"/>
  <c r="H576" i="2"/>
  <c r="H534" i="2"/>
  <c r="H501" i="2"/>
  <c r="H488" i="2"/>
  <c r="H466" i="2"/>
  <c r="G43" i="2"/>
  <c r="H317" i="2"/>
  <c r="H299" i="2"/>
  <c r="H275" i="2"/>
  <c r="K183" i="2"/>
  <c r="K256" i="2"/>
  <c r="H244" i="2"/>
  <c r="H220" i="2"/>
  <c r="H183" i="2"/>
  <c r="H157" i="2"/>
  <c r="H134" i="2"/>
  <c r="H55" i="2"/>
  <c r="H29" i="2"/>
</calcChain>
</file>

<file path=xl/sharedStrings.xml><?xml version="1.0" encoding="utf-8"?>
<sst xmlns="http://schemas.openxmlformats.org/spreadsheetml/2006/main" count="2391" uniqueCount="813">
  <si>
    <t>ID</t>
  </si>
  <si>
    <t>PRED_ID</t>
  </si>
  <si>
    <t>MARKER_AUTO</t>
  </si>
  <si>
    <t>PREDICATE</t>
  </si>
  <si>
    <t>TEXT</t>
  </si>
  <si>
    <t>SENTENCE</t>
  </si>
  <si>
    <t>MARKER</t>
  </si>
  <si>
    <t>TARGET</t>
  </si>
  <si>
    <t>RELATION</t>
  </si>
  <si>
    <t>COMMENT</t>
  </si>
  <si>
    <t>1</t>
  </si>
  <si>
    <t>_</t>
  </si>
  <si>
    <t>Rußland</t>
  </si>
  <si>
    <t>Russland und Türkei : Eine &amp;quot; Allianz von Außenseitern &amp;quot; ?</t>
  </si>
  <si>
    <t>file://conllu/de/bbc.242334.conllu#s1_0</t>
  </si>
  <si>
    <t>2</t>
  </si>
  <si>
    <t>sein (sein Geste)</t>
  </si>
  <si>
    <t>Es war eine Geste , die eine Krise beendete .</t>
  </si>
  <si>
    <t>file://conllu/de/bbc.242334.conllu#s2_0</t>
  </si>
  <si>
    <t>3</t>
  </si>
  <si>
    <t>7</t>
  </si>
  <si>
    <t>treffen</t>
  </si>
  <si>
    <t>Die Anführer Russlands und der Türkei trafen sich am an dem Dienstag , um sich die Hände zu geben und ein offizielles Ende des acht Monate lang andauernden Krieges der Worte und wirtschaftlichen Sanktionen zu verkünden .</t>
  </si>
  <si>
    <t>file://conllu/de/bbc.242334.conllu#s3_0</t>
  </si>
  <si>
    <t>4</t>
  </si>
  <si>
    <t>26</t>
  </si>
  <si>
    <t>verwehren</t>
  </si>
  <si>
    <t>Aber als Vladimir Putin seinen türkischen Gegenspieler im in dem vergoldeten Saal des St. Petersburger Palastes in Empfang nimmt , kann ich mich nicht des Eindrucks verwehren , dass Ankara diese Versöhnung am an dem meisten will .</t>
  </si>
  <si>
    <t>file://conllu/de/bbc.242334.conllu#s4_0</t>
  </si>
  <si>
    <t>5</t>
  </si>
  <si>
    <t>geben</t>
  </si>
  <si>
    <t>Es gab den Handschlag , ja .</t>
  </si>
  <si>
    <t>file://conllu/de/bbc.242334.conllu#s5_0</t>
  </si>
  <si>
    <t>6</t>
  </si>
  <si>
    <t>wirken</t>
  </si>
  <si>
    <t>Aber Putins Lächeln wirkte schmallippig und er strahlte kaum Wärme aus , selbst für seine zurückhaltenden Verhältnisse .</t>
  </si>
  <si>
    <t>file://conllu/de/bbc.242334.conllu#s6_0</t>
  </si>
  <si>
    <t>sprechen</t>
  </si>
  <si>
    <t>Recep Tayyip Erdogan hingegen sprach wiederholt von seinem &amp;quot; lieben Freund &amp;quot; Putin laut einem Bericht ganze fünf Male .</t>
  </si>
  <si>
    <t>file://conllu/de/bbc.242334.conllu#s7_0</t>
  </si>
  <si>
    <t>8</t>
  </si>
  <si>
    <t>zählen</t>
  </si>
  <si>
    <t>Ich konnte es nicht mehr zählen .</t>
  </si>
  <si>
    <t>file://conllu/de/bbc.242334.conllu#s8_0</t>
  </si>
  <si>
    <t>9</t>
  </si>
  <si>
    <t>versprechen</t>
  </si>
  <si>
    <t>Er versprach auch , dass die Beziehungen zu Russland nicht nur zu ihrem alten Niveau vor der Krise zurückkehren würden , sondern sich sogar noch verbessern werden .</t>
  </si>
  <si>
    <t>file://conllu/de/bbc.242334.conllu#s9_0</t>
  </si>
  <si>
    <t>11</t>
  </si>
  <si>
    <t>scheinen</t>
  </si>
  <si>
    <t>Mir schien sein Enthusiasmus eher das Gegenteil anzudeuten .</t>
  </si>
  <si>
    <t>file://conllu/de/bbc.242334.conllu#s11_0</t>
  </si>
  <si>
    <t>12</t>
  </si>
  <si>
    <t>zeigen</t>
  </si>
  <si>
    <t>Aber eine von Putin ausstrahlende , nachhaltige Kühle zeigte , dass der Staatschef Russlands nichts vergessen hatte .</t>
  </si>
  <si>
    <t>file://conllu/de/bbc.242334.conllu#s12_0</t>
  </si>
  <si>
    <t>13</t>
  </si>
  <si>
    <t>Vielmehr?</t>
  </si>
  <si>
    <t>sein (sein erst)</t>
  </si>
  <si>
    <t>Vielmehr war die Ursache der Krise das Erste , was er in seinen Einführungsworten erwähnte : der Abschuss eines russischen Kampfflugzeugs an der syrischen Grenze durch die Türkei .</t>
  </si>
  <si>
    <t>file://conllu/de/bbc.242334.conllu#s13_0</t>
  </si>
  <si>
    <t>14</t>
  </si>
  <si>
    <t>sein (sein wutentbrennen)</t>
  </si>
  <si>
    <t>Moskaus Reaktion zu der Zeit war wutentbrannt .</t>
  </si>
  <si>
    <t>file://conllu/de/bbc.242334.conllu#s14_0</t>
  </si>
  <si>
    <t>15</t>
  </si>
  <si>
    <t>teilen</t>
  </si>
  <si>
    <t>Putin teilte aus und beschuldigte Ankara , Russland in den Rücken gefallen zu sein .</t>
  </si>
  <si>
    <t>file://conllu/de/bbc.242334.conllu#s15_0</t>
  </si>
  <si>
    <t>16</t>
  </si>
  <si>
    <t>sein (sein groß)</t>
  </si>
  <si>
    <t>Das Vergehen war sogar noch größer , da es von einem vermeintlichen Freund begangen wurde .</t>
  </si>
  <si>
    <t>file://conllu/de/bbc.242334.conllu#s16_0</t>
  </si>
  <si>
    <t>17</t>
  </si>
  <si>
    <t>aufbauen</t>
  </si>
  <si>
    <t>Das Vetrauen wieder aufzubauen wird schwierig , wenn nicht sogar unmöglich werden .</t>
  </si>
  <si>
    <t>file://conllu/de/bbc.242334.conllu#s17_0</t>
  </si>
  <si>
    <t>18</t>
  </si>
  <si>
    <t>10</t>
  </si>
  <si>
    <t>wandeln</t>
  </si>
  <si>
    <t>Die öffentliche Meinung in Russland hat sich seit November gewandelt .</t>
  </si>
  <si>
    <t>file://conllu/de/bbc.242334.conllu#s18_0</t>
  </si>
  <si>
    <t>19</t>
  </si>
  <si>
    <t>führen</t>
  </si>
  <si>
    <t>Monate lang führten die staatlich kontrollierten Medien einen heftigen , uneingeschränkten Angriff auf Ankara aus .</t>
  </si>
  <si>
    <t>file://conllu/de/bbc.242334.conllu#s19_0</t>
  </si>
  <si>
    <t>20</t>
  </si>
  <si>
    <t>Auf einmal schien es , als würden die Türken für alles die Schuld tragen .</t>
  </si>
  <si>
    <t>file://conllu/de/bbc.242334.conllu#s20_0</t>
  </si>
  <si>
    <t>22</t>
  </si>
  <si>
    <t>bestreiten</t>
  </si>
  <si>
    <t>Er hat dies vehement bestritten .</t>
  </si>
  <si>
    <t>file://conllu/de/bbc.242334.conllu#s22_0</t>
  </si>
  <si>
    <t>23</t>
  </si>
  <si>
    <t>lauten</t>
  </si>
  <si>
    <t>Aber in St.Petersburg lautete die offizielle Botschaft , dass es Zeit sei , nach vorne zu blicken .</t>
  </si>
  <si>
    <t>file://conllu/de/bbc.242334.conllu#s23_0</t>
  </si>
  <si>
    <t>24</t>
  </si>
  <si>
    <t>finden</t>
  </si>
  <si>
    <t>Schließlich fand dieses Treffen nur deshalb statt , weil Putin vom von dem Präsidenten Erdogan die Entschuldigung erhielt , die er hören wollte .</t>
  </si>
  <si>
    <t>file://conllu/de/bbc.242334.conllu#s24_0</t>
  </si>
  <si>
    <t>25</t>
  </si>
  <si>
    <t>verbuchen</t>
  </si>
  <si>
    <t>Russland konnte eine Art Sieg verbuchen .</t>
  </si>
  <si>
    <t>file://conllu/de/bbc.242334.conllu#s25_0</t>
  </si>
  <si>
    <t>liegen</t>
  </si>
  <si>
    <t>Für Ankara liegen die Vorteile eines Waffenstillstands klar auf der Hand .</t>
  </si>
  <si>
    <t>file://conllu/de/bbc.242334.conllu#s26_0</t>
  </si>
  <si>
    <t>27</t>
  </si>
  <si>
    <t>Nachdem?</t>
  </si>
  <si>
    <t>benötigen</t>
  </si>
  <si>
    <t>Erdogan benötigt in erster Linie alle Freunde , die er bekommen kann , nachdem er letzten Monat bei einem gescheiterten Staatsstreich fast seines Amtes enthoben wurde .</t>
  </si>
  <si>
    <t>file://conllu/de/bbc.242334.conllu#s27_0</t>
  </si>
  <si>
    <t>28</t>
  </si>
  <si>
    <t>erschüttern</t>
  </si>
  <si>
    <t>Wiederholte Terrorangriffe auf die Türkei haben ihn ebenfalls erschüttert .</t>
  </si>
  <si>
    <t>file://conllu/de/bbc.242334.conllu#s28_0</t>
  </si>
  <si>
    <t>29</t>
  </si>
  <si>
    <t>Aber es gibt auch wirtschaftliche Motive .</t>
  </si>
  <si>
    <t>file://conllu/de/bbc.242334.conllu#s29_0</t>
  </si>
  <si>
    <t>30</t>
  </si>
  <si>
    <t>Verbot</t>
  </si>
  <si>
    <t>Russische Sanktionen haben die Türkei hart getroffen insbesondere das Verbot von Charterflügen , die jedes Jahr üblicherweise mehrere Millionen russische Touristen an die türkische Küste bringen .</t>
  </si>
  <si>
    <t>file://conllu/de/bbc.242334.conllu#s30_0</t>
  </si>
  <si>
    <t>31</t>
  </si>
  <si>
    <t>sein (sein zurückgehen)</t>
  </si>
  <si>
    <t>Die Anzahl ist um fast 90 % zurückgegangen .</t>
  </si>
  <si>
    <t>file://conllu/de/bbc.242334.conllu#s31_0</t>
  </si>
  <si>
    <t>32</t>
  </si>
  <si>
    <t>sein (sein erleichtern)</t>
  </si>
  <si>
    <t>In Russland werden Reiseveranstalter und Chartergesellschaften erleichtert sein , wenn die Flüge wieder aufgenommen werden .</t>
  </si>
  <si>
    <t>file://conllu/de/bbc.242334.conllu#s32_0</t>
  </si>
  <si>
    <t>33</t>
  </si>
  <si>
    <t>Sie zählen auf einen spätsaisonalen Ansturm ans an das Mittelmeer .</t>
  </si>
  <si>
    <t>file://conllu/de/bbc.242334.conllu#s33_0</t>
  </si>
  <si>
    <t>34</t>
  </si>
  <si>
    <t>prognostizieren</t>
  </si>
  <si>
    <t>Diese Woche prognostizierte das Staatsfernsehen billigeres Obst und Gemüse , sobald die türkischen Agrarimporte wieder erlaubt werden .</t>
  </si>
  <si>
    <t>file://conllu/de/bbc.242334.conllu#s34_0</t>
  </si>
  <si>
    <t>35</t>
  </si>
  <si>
    <t>formulieren</t>
  </si>
  <si>
    <t>Ein Bericht in Vedemosti formulierte es folgendermaßen : &amp;quot; Touristen dort lang , Tomaten hier lang . &amp;quot;</t>
  </si>
  <si>
    <t>file://conllu/de/bbc.242334.conllu#s35_0</t>
  </si>
  <si>
    <t>36</t>
  </si>
  <si>
    <t>haben</t>
  </si>
  <si>
    <t>Aber der Besuch hatte einen zusätzlichen politischen Wert für Moskau .</t>
  </si>
  <si>
    <t>file://conllu/de/bbc.242334.conllu#s36_0</t>
  </si>
  <si>
    <t>37</t>
  </si>
  <si>
    <t>sein (sein wütend)</t>
  </si>
  <si>
    <t>Ankara ist auf den Westen wütend , da es dessen Reaktion auf die versuchte Machtübernahme als schwache Antwort betrachtet .</t>
  </si>
  <si>
    <t>file://conllu/de/bbc.242334.conllu#s37_0</t>
  </si>
  <si>
    <t>38</t>
  </si>
  <si>
    <t>kommen</t>
  </si>
  <si>
    <t>Dazu kommen der anhaltende Groll über das Schneckentempo der EU Beitrittsverhandlungen und Putin der erpicht darauf ist , aus der kühlen Stimmung Nutzen zu ziehen und die Beziehung der Türkei zum zu dem Westen zu verringern .</t>
  </si>
  <si>
    <t>file://conllu/de/bbc.242334.conllu#s38_0</t>
  </si>
  <si>
    <t>39</t>
  </si>
  <si>
    <t>gewinnen</t>
  </si>
  <si>
    <t>Der russische Staatschef gewann in Ankara mit Sicherheit einen Bonus dafür , dass er nach dem versuchten Staatsstreich Unterstützung für die gewählten Staatsorgane forderte .</t>
  </si>
  <si>
    <t>file://conllu/de/bbc.242334.conllu#s39_0</t>
  </si>
  <si>
    <t>40</t>
  </si>
  <si>
    <t>sein (sein wohlgemerken)</t>
  </si>
  <si>
    <t>Das ist für Moskau wohlgemerkt eine Selbstverständlichkeit , das selbst eine tiefsitzende Angst vor Regimewechseln hat .</t>
  </si>
  <si>
    <t>file://conllu/de/bbc.242334.conllu#s40_0</t>
  </si>
  <si>
    <t>41</t>
  </si>
  <si>
    <t>ermöglichen</t>
  </si>
  <si>
    <t>Das Gipfeltreffen in diesem glanzvollen Palast am an dem Meer ermöglichte es Russland und der Türkei , eine , wie es mir ein Analytiker einst beschrieb , &amp;quot; Allianz von Außenseitern &amp;quot; darzustellen : zwei Länder , die sich vom von dem Westen verstoßen und schlecht behandelt fühlen und sich nun verbünden .</t>
  </si>
  <si>
    <t>file://conllu/de/bbc.242334.conllu#s41_0</t>
  </si>
  <si>
    <t>42</t>
  </si>
  <si>
    <t>bestehen</t>
  </si>
  <si>
    <t>Dennoch , trotz der öffentlichen Versöhnung , bestehen zwischen den beiden noch immer große Differenzen .</t>
  </si>
  <si>
    <t>file://conllu/de/bbc.242334.conllu#s42_0</t>
  </si>
  <si>
    <t>WORD</t>
  </si>
  <si>
    <t>GR</t>
  </si>
  <si>
    <t>NP_TYPE</t>
  </si>
  <si>
    <t>REF_AUTO</t>
  </si>
  <si>
    <t>COREF</t>
  </si>
  <si>
    <t>REF</t>
  </si>
  <si>
    <t>IS</t>
  </si>
  <si>
    <t>CB</t>
  </si>
  <si>
    <t>GR_ANTE</t>
  </si>
  <si>
    <t>REF_DIST</t>
  </si>
  <si>
    <t>REF_DIST_ANTE</t>
  </si>
  <si>
    <t># text = Russland und Türkei: Eine \"Allianz von Außenseitern\"?</t>
  </si>
  <si>
    <t>Russland</t>
  </si>
  <si>
    <t>other</t>
  </si>
  <si>
    <t>ne</t>
  </si>
  <si>
    <t>?OLD</t>
  </si>
  <si>
    <t>und</t>
  </si>
  <si>
    <t>Türkei</t>
  </si>
  <si>
    <t>:</t>
  </si>
  <si>
    <t>Eine</t>
  </si>
  <si>
    <t>&amp;quot;</t>
  </si>
  <si>
    <t>Allianz</t>
  </si>
  <si>
    <t>indef-np.a</t>
  </si>
  <si>
    <t>von</t>
  </si>
  <si>
    <t>Außenseitern</t>
  </si>
  <si>
    <t>other_2</t>
  </si>
  <si>
    <t>indef-np.bare</t>
  </si>
  <si>
    <t>?</t>
  </si>
  <si>
    <t># text = Es war eine Geste, die eine Krise beendete.</t>
  </si>
  <si>
    <t>Es</t>
  </si>
  <si>
    <t>SBJ</t>
  </si>
  <si>
    <t>pron.pper</t>
  </si>
  <si>
    <t>war</t>
  </si>
  <si>
    <t>eine</t>
  </si>
  <si>
    <t>Geste</t>
  </si>
  <si>
    <t>,</t>
  </si>
  <si>
    <t>die</t>
  </si>
  <si>
    <t>SBJ_2</t>
  </si>
  <si>
    <t>Krise</t>
  </si>
  <si>
    <t>OBJ_2</t>
  </si>
  <si>
    <t>beendete</t>
  </si>
  <si>
    <t>.</t>
  </si>
  <si>
    <t># text = Die Anführer Russlands und der Türkei trafen sich am Dienstag, um sich die Hände zu geben und ein offizielles Ende des acht Monate lang andauernden Krieges der Worte und wirtschaftlichen Sanktionen zu verkünden.</t>
  </si>
  <si>
    <t>Die</t>
  </si>
  <si>
    <t>Anführer</t>
  </si>
  <si>
    <t>def-np.the</t>
  </si>
  <si>
    <t>Russlands</t>
  </si>
  <si>
    <t>der</t>
  </si>
  <si>
    <t>other_3</t>
  </si>
  <si>
    <t>trafen</t>
  </si>
  <si>
    <t>sich</t>
  </si>
  <si>
    <t>OBJ</t>
  </si>
  <si>
    <t>an</t>
  </si>
  <si>
    <t>dem</t>
  </si>
  <si>
    <t>Dienstag</t>
  </si>
  <si>
    <t>um</t>
  </si>
  <si>
    <t>Hände</t>
  </si>
  <si>
    <t>zu</t>
  </si>
  <si>
    <t>ein</t>
  </si>
  <si>
    <t>offizielles</t>
  </si>
  <si>
    <t>Ende</t>
  </si>
  <si>
    <t>OBJ_3</t>
  </si>
  <si>
    <t>des</t>
  </si>
  <si>
    <t>acht</t>
  </si>
  <si>
    <t>Monate</t>
  </si>
  <si>
    <t>other_7</t>
  </si>
  <si>
    <t>indef-np.quant</t>
  </si>
  <si>
    <t>lang</t>
  </si>
  <si>
    <t>andauernden</t>
  </si>
  <si>
    <t>Krieges</t>
  </si>
  <si>
    <t>other_4</t>
  </si>
  <si>
    <t>Worte</t>
  </si>
  <si>
    <t>other_5</t>
  </si>
  <si>
    <t>wirtschaftlichen</t>
  </si>
  <si>
    <t>Sanktionen</t>
  </si>
  <si>
    <t>other_6</t>
  </si>
  <si>
    <t>verkünden</t>
  </si>
  <si>
    <t># text = Aber als Vladimir Putin seinen türkischen Gegenspieler im vergoldeten Saal des St. Petersburger Palastes in Empfang nimmt, kann ich mich nicht des Eindrucks verwehren, dass Ankara diese Versöhnung am meisten will.</t>
  </si>
  <si>
    <t>Aber</t>
  </si>
  <si>
    <t>als</t>
  </si>
  <si>
    <t>Vladimir</t>
  </si>
  <si>
    <t>pron</t>
  </si>
  <si>
    <t>Putin</t>
  </si>
  <si>
    <t>seinen</t>
  </si>
  <si>
    <t>türkischen</t>
  </si>
  <si>
    <t>Gegenspieler</t>
  </si>
  <si>
    <t>indef-np</t>
  </si>
  <si>
    <t>in</t>
  </si>
  <si>
    <t>vergoldeten</t>
  </si>
  <si>
    <t>Saal</t>
  </si>
  <si>
    <t>def-np.poss</t>
  </si>
  <si>
    <t>St.</t>
  </si>
  <si>
    <t>Petersburger</t>
  </si>
  <si>
    <t>Palastes</t>
  </si>
  <si>
    <t>Empfang</t>
  </si>
  <si>
    <t>nimmt</t>
  </si>
  <si>
    <t>kann</t>
  </si>
  <si>
    <t>ich</t>
  </si>
  <si>
    <t>mich</t>
  </si>
  <si>
    <t>nicht</t>
  </si>
  <si>
    <t>Eindrucks</t>
  </si>
  <si>
    <t>dass</t>
  </si>
  <si>
    <t>Ankara</t>
  </si>
  <si>
    <t>diese</t>
  </si>
  <si>
    <t>pron.pds</t>
  </si>
  <si>
    <t>Versöhnung</t>
  </si>
  <si>
    <t>def-np.dem</t>
  </si>
  <si>
    <t>meisten</t>
  </si>
  <si>
    <t>will</t>
  </si>
  <si>
    <t># text = Es gab den Handschlag, ja.</t>
  </si>
  <si>
    <t>gab</t>
  </si>
  <si>
    <t>den</t>
  </si>
  <si>
    <t>Handschlag</t>
  </si>
  <si>
    <t>ja</t>
  </si>
  <si>
    <t># text = Aber Putins Lächeln wirkte schmallippig und er strahlte kaum Wärme aus, selbst für seine zurückhaltenden Verhältnisse.</t>
  </si>
  <si>
    <t>Putins</t>
  </si>
  <si>
    <t>Lächeln</t>
  </si>
  <si>
    <t>wirkte</t>
  </si>
  <si>
    <t>schmallippig</t>
  </si>
  <si>
    <t>er</t>
  </si>
  <si>
    <t>strahlte</t>
  </si>
  <si>
    <t>kaum</t>
  </si>
  <si>
    <t>Wärme</t>
  </si>
  <si>
    <t>aus</t>
  </si>
  <si>
    <t>selbst</t>
  </si>
  <si>
    <t>für</t>
  </si>
  <si>
    <t>seine</t>
  </si>
  <si>
    <t>zurückhaltenden</t>
  </si>
  <si>
    <t>Verhältnisse</t>
  </si>
  <si>
    <t>--</t>
  </si>
  <si>
    <t># text = Recep Tayyip Erdogan hingegen sprach wiederholt von seinem \"lieben Freund\" Putin - laut einem Bericht ganze fünf Male.</t>
  </si>
  <si>
    <t>Recep</t>
  </si>
  <si>
    <t>Tayyip</t>
  </si>
  <si>
    <t>Erdogan</t>
  </si>
  <si>
    <t>hingegen</t>
  </si>
  <si>
    <t>sprach</t>
  </si>
  <si>
    <t>wiederholt</t>
  </si>
  <si>
    <t>seinem</t>
  </si>
  <si>
    <t>lieben</t>
  </si>
  <si>
    <t>Freund</t>
  </si>
  <si>
    <t>laut</t>
  </si>
  <si>
    <t>einem</t>
  </si>
  <si>
    <t>Bericht</t>
  </si>
  <si>
    <t>ganze</t>
  </si>
  <si>
    <t>fünf</t>
  </si>
  <si>
    <t>Male</t>
  </si>
  <si>
    <t># text = Ich konnte es nicht mehr zählen.</t>
  </si>
  <si>
    <t>Ich</t>
  </si>
  <si>
    <t>konnte</t>
  </si>
  <si>
    <t>es</t>
  </si>
  <si>
    <t>mehr</t>
  </si>
  <si>
    <t># text = Er versprach auch, dass die Beziehungen zu Russland nicht nur zu ihrem alten Niveau vor der Krise zurückkehren würden, sondern sich sogar noch verbessern werden.</t>
  </si>
  <si>
    <t>Er</t>
  </si>
  <si>
    <t>versprach</t>
  </si>
  <si>
    <t>auch</t>
  </si>
  <si>
    <t>Beziehungen</t>
  </si>
  <si>
    <t>nur</t>
  </si>
  <si>
    <t>pron.pind</t>
  </si>
  <si>
    <t>ihrem</t>
  </si>
  <si>
    <t>alten</t>
  </si>
  <si>
    <t>Niveau</t>
  </si>
  <si>
    <t>vor</t>
  </si>
  <si>
    <t>zurückkehren</t>
  </si>
  <si>
    <t>würden</t>
  </si>
  <si>
    <t>sondern</t>
  </si>
  <si>
    <t>sogar</t>
  </si>
  <si>
    <t>noch</t>
  </si>
  <si>
    <t>verbessern</t>
  </si>
  <si>
    <t>werden</t>
  </si>
  <si>
    <t># text = Am nächsten Tag beschrieb eine Zeitung, dass sich Erdogan so benommen hätte, als wäre nie etwas Schlimmes geschehen.</t>
  </si>
  <si>
    <t>An</t>
  </si>
  <si>
    <t>nächsten</t>
  </si>
  <si>
    <t>Tag</t>
  </si>
  <si>
    <t>beschrieb</t>
  </si>
  <si>
    <t>Zeitung</t>
  </si>
  <si>
    <t>so</t>
  </si>
  <si>
    <t>benommen</t>
  </si>
  <si>
    <t>hätte</t>
  </si>
  <si>
    <t>wäre</t>
  </si>
  <si>
    <t>nie</t>
  </si>
  <si>
    <t>etwas</t>
  </si>
  <si>
    <t>SBJ_3</t>
  </si>
  <si>
    <t>Schlimmes</t>
  </si>
  <si>
    <t>geschehen</t>
  </si>
  <si>
    <t># text = Mir schien sein Enthusiasmus eher das Gegenteil anzudeuten.</t>
  </si>
  <si>
    <t>Mir</t>
  </si>
  <si>
    <t>schien</t>
  </si>
  <si>
    <t>sein</t>
  </si>
  <si>
    <t>Enthusiasmus</t>
  </si>
  <si>
    <t>eher</t>
  </si>
  <si>
    <t>das</t>
  </si>
  <si>
    <t>Gegenteil</t>
  </si>
  <si>
    <t>anzudeuten</t>
  </si>
  <si>
    <t># text = Aber eine von Putin ausstrahlende, nachhaltige Kühle zeigte, dass der Staatschef Russlands nichts vergessen hatte.</t>
  </si>
  <si>
    <t>ausstrahlende</t>
  </si>
  <si>
    <t>nachhaltige</t>
  </si>
  <si>
    <t>Kühle</t>
  </si>
  <si>
    <t>zeigte</t>
  </si>
  <si>
    <t>Staatschef</t>
  </si>
  <si>
    <t>nichts</t>
  </si>
  <si>
    <t>vergessen</t>
  </si>
  <si>
    <t>hatte</t>
  </si>
  <si>
    <t># text = Vielmehr war die Ursache der Krise das Erste, was er in seinen Einführungsworten erwähnte: der Abschuss eines russischen Kampfflugzeugs an der syrischen Grenze durch die Türkei.</t>
  </si>
  <si>
    <t>Vielmehr</t>
  </si>
  <si>
    <t>Ursache</t>
  </si>
  <si>
    <t>Erste</t>
  </si>
  <si>
    <t>was</t>
  </si>
  <si>
    <t>Einführungsworten</t>
  </si>
  <si>
    <t>erwähnte</t>
  </si>
  <si>
    <t>Abschuss</t>
  </si>
  <si>
    <t>eines</t>
  </si>
  <si>
    <t>russischen</t>
  </si>
  <si>
    <t>Kampfflugzeugs</t>
  </si>
  <si>
    <t>syrischen</t>
  </si>
  <si>
    <t>Grenze</t>
  </si>
  <si>
    <t>durch</t>
  </si>
  <si>
    <t># text = Moskaus Reaktion zu der Zeit war wutentbrannt.</t>
  </si>
  <si>
    <t>Moskaus</t>
  </si>
  <si>
    <t>Reaktion</t>
  </si>
  <si>
    <t>Zeit</t>
  </si>
  <si>
    <t>wutentbrannt</t>
  </si>
  <si>
    <t># text = Putin teilte aus und beschuldigte Ankara, Russland in den Rücken gefallen zu sein.</t>
  </si>
  <si>
    <t>teilte</t>
  </si>
  <si>
    <t>beschuldigte</t>
  </si>
  <si>
    <t>Rücken</t>
  </si>
  <si>
    <t>gefallen</t>
  </si>
  <si>
    <t># text = Das Vergehen war sogar noch größer, da es von einem vermeintlichen Freund begangen wurde.</t>
  </si>
  <si>
    <t>Das</t>
  </si>
  <si>
    <t>Vergehen</t>
  </si>
  <si>
    <t>größer</t>
  </si>
  <si>
    <t>da</t>
  </si>
  <si>
    <t>vermeintlichen</t>
  </si>
  <si>
    <t>begangen</t>
  </si>
  <si>
    <t>wurde</t>
  </si>
  <si>
    <t># text = Das Vetrauen wieder aufzubauen wird schwierig, wenn nicht sogar unmöglich werden.</t>
  </si>
  <si>
    <t>Vetrauen</t>
  </si>
  <si>
    <t>wieder</t>
  </si>
  <si>
    <t>aufzubauen</t>
  </si>
  <si>
    <t>wird</t>
  </si>
  <si>
    <t>schwierig</t>
  </si>
  <si>
    <t>wenn</t>
  </si>
  <si>
    <t>unmöglich</t>
  </si>
  <si>
    <t># text = Die öffentliche Meinung in Russland hat sich seit November gewandelt.</t>
  </si>
  <si>
    <t>öffentliche</t>
  </si>
  <si>
    <t>Meinung</t>
  </si>
  <si>
    <t>hat</t>
  </si>
  <si>
    <t>seit</t>
  </si>
  <si>
    <t>November</t>
  </si>
  <si>
    <t>gewandelt</t>
  </si>
  <si>
    <t># text = Monate lang führten die staatlich kontrollierten Medien einen heftigen, uneingeschränkten Angriff auf Ankara aus.</t>
  </si>
  <si>
    <t>führten</t>
  </si>
  <si>
    <t>staatlich</t>
  </si>
  <si>
    <t>kontrollierten</t>
  </si>
  <si>
    <t>Medien</t>
  </si>
  <si>
    <t>einen</t>
  </si>
  <si>
    <t>heftigen</t>
  </si>
  <si>
    <t>uneingeschränkten</t>
  </si>
  <si>
    <t>Angriff</t>
  </si>
  <si>
    <t>auf</t>
  </si>
  <si>
    <t># text = Auf einmal schien es, als würden die Türken für alles die Schuld tragen.</t>
  </si>
  <si>
    <t>Auf</t>
  </si>
  <si>
    <t>einmal</t>
  </si>
  <si>
    <t>Türken</t>
  </si>
  <si>
    <t>alles</t>
  </si>
  <si>
    <t>Schuld</t>
  </si>
  <si>
    <t>tragen</t>
  </si>
  <si>
    <t># text = Am ernsthaftesten waren die Anschuldigungen von leitenden Beamten, dass Erdogans eigene Familie vom illegalen Ölhandel in Gebieten Syriens profitiert hätte, die vom sogenannten Islamischen Staat kontrolliert werden.</t>
  </si>
  <si>
    <t>ernsthaftesten</t>
  </si>
  <si>
    <t>waren</t>
  </si>
  <si>
    <t>Anschuldigungen</t>
  </si>
  <si>
    <t>leitenden</t>
  </si>
  <si>
    <t>Beamten</t>
  </si>
  <si>
    <t>Erdogans</t>
  </si>
  <si>
    <t>eigene</t>
  </si>
  <si>
    <t>Familie</t>
  </si>
  <si>
    <t>illegalen</t>
  </si>
  <si>
    <t>Ölhandel</t>
  </si>
  <si>
    <t>Gebieten</t>
  </si>
  <si>
    <t>Syriens</t>
  </si>
  <si>
    <t>profitiert</t>
  </si>
  <si>
    <t>sogenannten</t>
  </si>
  <si>
    <t>Islamischen</t>
  </si>
  <si>
    <t>Staat</t>
  </si>
  <si>
    <t>kontrolliert</t>
  </si>
  <si>
    <t># text = Er hat dies vehement bestritten.</t>
  </si>
  <si>
    <t>dies</t>
  </si>
  <si>
    <t>vehement</t>
  </si>
  <si>
    <t>bestritten</t>
  </si>
  <si>
    <t># text = Aber in St.Petersburg lautete die offizielle Botschaft, dass es Zeit sei, nach vorne zu blicken.</t>
  </si>
  <si>
    <t>St.Petersburg</t>
  </si>
  <si>
    <t>lautete</t>
  </si>
  <si>
    <t>offizielle</t>
  </si>
  <si>
    <t>Botschaft</t>
  </si>
  <si>
    <t>sei</t>
  </si>
  <si>
    <t>nach</t>
  </si>
  <si>
    <t>vorne</t>
  </si>
  <si>
    <t>blicken</t>
  </si>
  <si>
    <t># text = Schließlich fand dieses Treffen nur deshalb statt, weil Putin vom Präsidenten Erdogan die Entschuldigung erhielt, die er hören wollte.</t>
  </si>
  <si>
    <t>Schließlich</t>
  </si>
  <si>
    <t>fand</t>
  </si>
  <si>
    <t>dieses</t>
  </si>
  <si>
    <t>Treffen</t>
  </si>
  <si>
    <t>deshalb</t>
  </si>
  <si>
    <t>statt</t>
  </si>
  <si>
    <t>weil</t>
  </si>
  <si>
    <t>Präsidenten</t>
  </si>
  <si>
    <t>Entschuldigung</t>
  </si>
  <si>
    <t>erhielt</t>
  </si>
  <si>
    <t>hören</t>
  </si>
  <si>
    <t>wollte</t>
  </si>
  <si>
    <t># text = Russland konnte eine Art Sieg verbuchen.</t>
  </si>
  <si>
    <t>Art</t>
  </si>
  <si>
    <t>Sieg</t>
  </si>
  <si>
    <t># text = Für Ankara liegen die Vorteile eines Waffenstillstands klar auf der Hand.</t>
  </si>
  <si>
    <t>Für</t>
  </si>
  <si>
    <t>Vorteile</t>
  </si>
  <si>
    <t>Waffenstillstands</t>
  </si>
  <si>
    <t>klar</t>
  </si>
  <si>
    <t>Hand</t>
  </si>
  <si>
    <t># text = Erdogan benötigt in erster Linie alle Freunde, die er bekommen kann, nachdem er letzten Monat bei einem gescheiterten Staatsstreich fast seines Amtes enthoben wurde.</t>
  </si>
  <si>
    <t>benötigt</t>
  </si>
  <si>
    <t>erster</t>
  </si>
  <si>
    <t>Linie</t>
  </si>
  <si>
    <t>alle</t>
  </si>
  <si>
    <t>Freunde</t>
  </si>
  <si>
    <t>bekommen</t>
  </si>
  <si>
    <t>nachdem</t>
  </si>
  <si>
    <t>letzten</t>
  </si>
  <si>
    <t>Monat</t>
  </si>
  <si>
    <t>bei</t>
  </si>
  <si>
    <t>gescheiterten</t>
  </si>
  <si>
    <t>Staatsstreich</t>
  </si>
  <si>
    <t>fast</t>
  </si>
  <si>
    <t>seines</t>
  </si>
  <si>
    <t>Amtes</t>
  </si>
  <si>
    <t>enthoben</t>
  </si>
  <si>
    <t># text = Wiederholte Terrorangriffe auf die Türkei haben ihn ebenfalls erschüttert.</t>
  </si>
  <si>
    <t>Wiederholte</t>
  </si>
  <si>
    <t>Terrorangriffe</t>
  </si>
  <si>
    <t>ihn</t>
  </si>
  <si>
    <t>ebenfalls</t>
  </si>
  <si>
    <t>erschüttert</t>
  </si>
  <si>
    <t># text = Aber es gibt auch wirtschaftliche Motive.</t>
  </si>
  <si>
    <t>gibt</t>
  </si>
  <si>
    <t>wirtschaftliche</t>
  </si>
  <si>
    <t>Motive</t>
  </si>
  <si>
    <t># text = Russische Sanktionen haben die Türkei hart getroffen - insbesondere das Verbot von Charterflügen, die jedes Jahr üblicherweise mehrere Millionen russische Touristen an die türkische Küste bringen.</t>
  </si>
  <si>
    <t>Russische</t>
  </si>
  <si>
    <t>hart</t>
  </si>
  <si>
    <t>getroffen</t>
  </si>
  <si>
    <t>insbesondere</t>
  </si>
  <si>
    <t>Charterflügen</t>
  </si>
  <si>
    <t>jedes</t>
  </si>
  <si>
    <t>Jahr</t>
  </si>
  <si>
    <t>üblicherweise</t>
  </si>
  <si>
    <t>mehrere</t>
  </si>
  <si>
    <t>Millionen</t>
  </si>
  <si>
    <t>russische</t>
  </si>
  <si>
    <t>Touristen</t>
  </si>
  <si>
    <t>türkische</t>
  </si>
  <si>
    <t>Küste</t>
  </si>
  <si>
    <t>bringen</t>
  </si>
  <si>
    <t># text = Die Anzahl ist um fast 90 % zurückgegangen.</t>
  </si>
  <si>
    <t>Anzahl</t>
  </si>
  <si>
    <t>ist</t>
  </si>
  <si>
    <t>90</t>
  </si>
  <si>
    <t>%</t>
  </si>
  <si>
    <t>zurückgegangen</t>
  </si>
  <si>
    <t># text = In Russland werden Reiseveranstalter und Chartergesellschaften erleichtert sein, wenn die Flüge wieder aufgenommen werden.</t>
  </si>
  <si>
    <t>In</t>
  </si>
  <si>
    <t>Reiseveranstalter</t>
  </si>
  <si>
    <t>Chartergesellschaften</t>
  </si>
  <si>
    <t>erleichtert</t>
  </si>
  <si>
    <t>Flüge</t>
  </si>
  <si>
    <t>aufgenommen</t>
  </si>
  <si>
    <t># text = Sie zählen auf einen spätsaisonalen Ansturm ans Mittelmeer.</t>
  </si>
  <si>
    <t>Sie</t>
  </si>
  <si>
    <t>spätsaisonalen</t>
  </si>
  <si>
    <t>Ansturm</t>
  </si>
  <si>
    <t>Mittelmeer</t>
  </si>
  <si>
    <t># text = Diese Woche prognostizierte das Staatsfernsehen billigeres Obst und Gemüse, sobald die türkischen Agrarimporte wieder erlaubt werden.</t>
  </si>
  <si>
    <t>Diese</t>
  </si>
  <si>
    <t>Woche</t>
  </si>
  <si>
    <t>prognostizierte</t>
  </si>
  <si>
    <t>Staatsfernsehen</t>
  </si>
  <si>
    <t>billigeres</t>
  </si>
  <si>
    <t>Obst</t>
  </si>
  <si>
    <t>Gemüse</t>
  </si>
  <si>
    <t>sobald</t>
  </si>
  <si>
    <t>Agrarimporte</t>
  </si>
  <si>
    <t>erlaubt</t>
  </si>
  <si>
    <t># text = Ein Bericht in Vedemosti formulierte es folgendermaßen: "Touristen dort lang, Tomaten hier lang."</t>
  </si>
  <si>
    <t>Ein</t>
  </si>
  <si>
    <t>Vedemosti</t>
  </si>
  <si>
    <t>formulierte</t>
  </si>
  <si>
    <t>folgendermaßen</t>
  </si>
  <si>
    <t>dort</t>
  </si>
  <si>
    <t>Tomaten</t>
  </si>
  <si>
    <t>hier</t>
  </si>
  <si>
    <t># text = Aber der Besuch hatte einen zusätzlichen politischen Wert für Moskau.</t>
  </si>
  <si>
    <t>Besuch</t>
  </si>
  <si>
    <t>zusätzlichen</t>
  </si>
  <si>
    <t>politischen</t>
  </si>
  <si>
    <t>Wert</t>
  </si>
  <si>
    <t>Moskau</t>
  </si>
  <si>
    <t># text = Ankara ist auf den Westen wütend, da es dessen Reaktion auf die versuchte Machtübernahme als schwache Antwort betrachtet.</t>
  </si>
  <si>
    <t>Westen</t>
  </si>
  <si>
    <t>wütend</t>
  </si>
  <si>
    <t>dessen</t>
  </si>
  <si>
    <t>versuchte</t>
  </si>
  <si>
    <t>Machtübernahme</t>
  </si>
  <si>
    <t>schwache</t>
  </si>
  <si>
    <t>Antwort</t>
  </si>
  <si>
    <t>betrachtet</t>
  </si>
  <si>
    <t># text = Dazu kommen der anhaltende Groll über das Schneckentempo der EU-Beitrittsverhandlungen und Putin - der erpicht darauf ist, aus der kühlen Stimmung Nutzen zu ziehen und die Beziehung der Türkei zum Westen zu verringern.</t>
  </si>
  <si>
    <t>Dazu</t>
  </si>
  <si>
    <t>anhaltende</t>
  </si>
  <si>
    <t>Groll</t>
  </si>
  <si>
    <t>über</t>
  </si>
  <si>
    <t>Schneckentempo</t>
  </si>
  <si>
    <t>EU</t>
  </si>
  <si>
    <t>Beitrittsverhandlungen</t>
  </si>
  <si>
    <t>SBJ_5</t>
  </si>
  <si>
    <t>erpicht</t>
  </si>
  <si>
    <t>darauf</t>
  </si>
  <si>
    <t>pron.padv</t>
  </si>
  <si>
    <t>SBJ_7</t>
  </si>
  <si>
    <t>kühlen</t>
  </si>
  <si>
    <t>Stimmung</t>
  </si>
  <si>
    <t>OBJ_8</t>
  </si>
  <si>
    <t>Nutzen</t>
  </si>
  <si>
    <t>OBJ_7</t>
  </si>
  <si>
    <t>ziehen</t>
  </si>
  <si>
    <t>Beziehung</t>
  </si>
  <si>
    <t>other_8</t>
  </si>
  <si>
    <t>verringern</t>
  </si>
  <si>
    <t># text = Der russische Staatschef gewann in Ankara mit Sicherheit einen Bonus dafür, dass er nach dem versuchten Staatsstreich Unterstützung für die gewählten Staatsorgane forderte.</t>
  </si>
  <si>
    <t>Der</t>
  </si>
  <si>
    <t>gewann</t>
  </si>
  <si>
    <t>mit</t>
  </si>
  <si>
    <t>Sicherheit</t>
  </si>
  <si>
    <t>Bonus</t>
  </si>
  <si>
    <t>dafür</t>
  </si>
  <si>
    <t>versuchten</t>
  </si>
  <si>
    <t>Unterstützung</t>
  </si>
  <si>
    <t>gewählten</t>
  </si>
  <si>
    <t>Staatsorgane</t>
  </si>
  <si>
    <t>forderte</t>
  </si>
  <si>
    <t># text = Das ist für Moskau wohlgemerkt eine Selbstverständlichkeit, das selbst eine tiefsitzende Angst vor Regimewechseln hat.</t>
  </si>
  <si>
    <t>wohlgemerkt</t>
  </si>
  <si>
    <t>Selbstverständlichkeit</t>
  </si>
  <si>
    <t>tiefsitzende</t>
  </si>
  <si>
    <t>Angst</t>
  </si>
  <si>
    <t>Regimewechseln</t>
  </si>
  <si>
    <t># text = Das Gipfeltreffen in diesem glanzvollen Palast am Meer ermöglichte es Russland und der Türkei, eine, wie es mir ein Analytiker einst beschrieb, \"Allianz von Außenseitern\" darzustellen: zwei Länder, die sich vom Westen verstoßen und schlecht behandelt fühlen und sich nun verbünden.</t>
  </si>
  <si>
    <t>Gipfeltreffen</t>
  </si>
  <si>
    <t>diesem</t>
  </si>
  <si>
    <t>glanzvollen</t>
  </si>
  <si>
    <t>Palast</t>
  </si>
  <si>
    <t>Meer</t>
  </si>
  <si>
    <t>ermöglichte</t>
  </si>
  <si>
    <t>OBJ_4</t>
  </si>
  <si>
    <t>wie</t>
  </si>
  <si>
    <t>mir</t>
  </si>
  <si>
    <t>OBJ_5</t>
  </si>
  <si>
    <t>Analytiker</t>
  </si>
  <si>
    <t>SBJ_4</t>
  </si>
  <si>
    <t>einst</t>
  </si>
  <si>
    <t>darzustellen</t>
  </si>
  <si>
    <t>zwei</t>
  </si>
  <si>
    <t>Länder</t>
  </si>
  <si>
    <t>verstoßen</t>
  </si>
  <si>
    <t>schlecht</t>
  </si>
  <si>
    <t>behandelt</t>
  </si>
  <si>
    <t>fühlen</t>
  </si>
  <si>
    <t>nun</t>
  </si>
  <si>
    <t>verbünden</t>
  </si>
  <si>
    <t># text = Dennoch, trotz der öffentlichen Versöhnung, bestehen zwischen den beiden noch immer große Differenzen.</t>
  </si>
  <si>
    <t>Dennoch</t>
  </si>
  <si>
    <t>trotz</t>
  </si>
  <si>
    <t>öffentlichen</t>
  </si>
  <si>
    <t>zwischen</t>
  </si>
  <si>
    <t>beiden</t>
  </si>
  <si>
    <t>immer</t>
  </si>
  <si>
    <t>große</t>
  </si>
  <si>
    <t>Differenzen</t>
  </si>
  <si>
    <t>def-np.quant</t>
  </si>
  <si>
    <t># text = Die größte Differenz ist Syrien, wo sich Moskau vor kurzem die Rolle als Friedensstifter gab, aber wo Russland und die Türkei gegensätzliche Seiten unterstützen.</t>
  </si>
  <si>
    <t>größte</t>
  </si>
  <si>
    <t>Differenz</t>
  </si>
  <si>
    <t>Syrien</t>
  </si>
  <si>
    <t>wo</t>
  </si>
  <si>
    <t>kurzem</t>
  </si>
  <si>
    <t>Rolle</t>
  </si>
  <si>
    <t>Friedensstifter</t>
  </si>
  <si>
    <t>aber</t>
  </si>
  <si>
    <t>gegensätzliche</t>
  </si>
  <si>
    <t>Seiten</t>
  </si>
  <si>
    <t>unterstützen</t>
  </si>
  <si>
    <t># text = Es könnte bezeichnend sein, dass nach fast drei Stunden an Erstgesprächen beide Präsidenten auf der Pressekonferenz aussagten, dass sie das Thema nicht einmal gestreift hätten.</t>
  </si>
  <si>
    <t>könnte</t>
  </si>
  <si>
    <t>bezeichnend</t>
  </si>
  <si>
    <t>drei</t>
  </si>
  <si>
    <t>Stunden</t>
  </si>
  <si>
    <t>Erstgesprächen</t>
  </si>
  <si>
    <t>beide</t>
  </si>
  <si>
    <t>Pressekonferenz</t>
  </si>
  <si>
    <t>aussagten</t>
  </si>
  <si>
    <t>sie</t>
  </si>
  <si>
    <t>Thema</t>
  </si>
  <si>
    <t>gestreift</t>
  </si>
  <si>
    <t>hätten</t>
  </si>
  <si>
    <t># text = Der Präsident der Türkei vermied es absichtlich auf eine Frage über ihre Differenzen zu antworten, während Putin sich dazu entschied diese zu betonen.</t>
  </si>
  <si>
    <t>Präsident</t>
  </si>
  <si>
    <t>vermied</t>
  </si>
  <si>
    <t>absichtlich</t>
  </si>
  <si>
    <t>Frage</t>
  </si>
  <si>
    <t>ihre</t>
  </si>
  <si>
    <t>antworten</t>
  </si>
  <si>
    <t>während</t>
  </si>
  <si>
    <t>dazu</t>
  </si>
  <si>
    <t>entschied</t>
  </si>
  <si>
    <t>betonen</t>
  </si>
  <si>
    <t># text = Es liegt kein eindeutiger Konsens darüber vor, wo ein gemeinsamer Nenner zu Syrien gefunden werden kann.</t>
  </si>
  <si>
    <t>liegt</t>
  </si>
  <si>
    <t>kein</t>
  </si>
  <si>
    <t>eindeutiger</t>
  </si>
  <si>
    <t>Konsens</t>
  </si>
  <si>
    <t>darüber</t>
  </si>
  <si>
    <t>gemeinsamer</t>
  </si>
  <si>
    <t>Nenner</t>
  </si>
  <si>
    <t>gefunden</t>
  </si>
  <si>
    <t># text = Aber nach Monaten offener Feindseligkeiten - und angesichts des Potenzials für ein vollkommenes Disaster, als das NATO-Mitglied Türkei den russischen Kampfjet abschoss - ist es sicherlich besser, dass die zwei Staatschefs zumindest wieder miteinander reden.</t>
  </si>
  <si>
    <t>Monaten</t>
  </si>
  <si>
    <t>offener</t>
  </si>
  <si>
    <t>Feindseligkeiten</t>
  </si>
  <si>
    <t>angesichts</t>
  </si>
  <si>
    <t>Potenzials</t>
  </si>
  <si>
    <t>vollkommenes</t>
  </si>
  <si>
    <t>Disaster</t>
  </si>
  <si>
    <t>NATO</t>
  </si>
  <si>
    <t>Mitglied</t>
  </si>
  <si>
    <t>Kampfjet</t>
  </si>
  <si>
    <t>abschoss</t>
  </si>
  <si>
    <t>sicherlich</t>
  </si>
  <si>
    <t>besser</t>
  </si>
  <si>
    <t>Staatschefs</t>
  </si>
  <si>
    <t>zumindest</t>
  </si>
  <si>
    <t>miteinander</t>
  </si>
  <si>
    <t>reden</t>
  </si>
  <si>
    <t>russland</t>
  </si>
  <si>
    <t>tuerkei</t>
  </si>
  <si>
    <t>FAMILIAR</t>
  </si>
  <si>
    <t>CAT</t>
  </si>
  <si>
    <t>SIT</t>
  </si>
  <si>
    <t>IDIOM</t>
  </si>
  <si>
    <t>dienstag</t>
  </si>
  <si>
    <t>OLD</t>
  </si>
  <si>
    <t>GEN</t>
  </si>
  <si>
    <t>putin</t>
  </si>
  <si>
    <t>erdogan</t>
  </si>
  <si>
    <t>kein auto_ref</t>
  </si>
  <si>
    <t>goldener_saal</t>
  </si>
  <si>
    <t>palast_stp</t>
  </si>
  <si>
    <t>syntaktischer Kopf</t>
  </si>
  <si>
    <t>ankara</t>
  </si>
  <si>
    <t>Artikel</t>
  </si>
  <si>
    <t>parser error</t>
  </si>
  <si>
    <t>handschlag</t>
  </si>
  <si>
    <t>PRED</t>
  </si>
  <si>
    <t>sprecher</t>
  </si>
  <si>
    <t>mittwoch</t>
  </si>
  <si>
    <t>enthusiasmus_erdogan</t>
  </si>
  <si>
    <t>krise</t>
  </si>
  <si>
    <t>BOUND</t>
  </si>
  <si>
    <t>grenze_syrien</t>
  </si>
  <si>
    <t>moskau</t>
  </si>
  <si>
    <t>vertrauen</t>
  </si>
  <si>
    <t>november</t>
  </si>
  <si>
    <t>medien_russland</t>
  </si>
  <si>
    <t>EXPL</t>
  </si>
  <si>
    <t>tuerken</t>
  </si>
  <si>
    <t>familie_erdogan</t>
  </si>
  <si>
    <t>is</t>
  </si>
  <si>
    <t>anschuldigungen</t>
  </si>
  <si>
    <t>st_petersburg</t>
  </si>
  <si>
    <t>artikel</t>
  </si>
  <si>
    <t>Antezedens</t>
  </si>
  <si>
    <t>putin_erdogan</t>
  </si>
  <si>
    <t>kueste_tuerkei</t>
  </si>
  <si>
    <t>antezedens</t>
  </si>
  <si>
    <t>woche</t>
  </si>
  <si>
    <t>vedemosti</t>
  </si>
  <si>
    <t>westen</t>
  </si>
  <si>
    <t>reaktion_westen</t>
  </si>
  <si>
    <t>palast_Stp</t>
  </si>
  <si>
    <t>thema_syrien</t>
  </si>
  <si>
    <t>kampfjet</t>
  </si>
  <si>
    <t>abschuss_kampfjet</t>
  </si>
  <si>
    <t>differenzen</t>
  </si>
  <si>
    <t>nicht syntaktischer Kopf</t>
  </si>
  <si>
    <t>versuchter_staatsstreich</t>
  </si>
  <si>
    <t>staatsorgane_tuerkei</t>
  </si>
  <si>
    <t>forderung_putin</t>
  </si>
  <si>
    <t>sanktionen_russland</t>
  </si>
  <si>
    <t>charterfluege</t>
  </si>
  <si>
    <t>gipfeltreffen</t>
  </si>
  <si>
    <t>putins_laecheln</t>
  </si>
  <si>
    <t>putins_art</t>
  </si>
  <si>
    <t>beziehungen_rt</t>
  </si>
  <si>
    <t>beziehung_tw</t>
  </si>
  <si>
    <t>eu_beitrittsverhandlungen</t>
  </si>
  <si>
    <t>beziehung_tw_verringern</t>
  </si>
  <si>
    <t>finnisches_meer</t>
  </si>
  <si>
    <t>allianz_rt</t>
  </si>
  <si>
    <t>Versöhnungsgeste hier ausgeführt</t>
  </si>
  <si>
    <t>anzahl_aussage</t>
  </si>
  <si>
    <t>beziehungen_alt</t>
  </si>
  <si>
    <t>kein auto ref</t>
  </si>
  <si>
    <t>zeitung</t>
  </si>
  <si>
    <t>putin_worte</t>
  </si>
  <si>
    <t>auch IDIOM denkbar</t>
  </si>
  <si>
    <t>syrien</t>
  </si>
  <si>
    <t>gebiete_syrien</t>
  </si>
  <si>
    <t>oelhandel</t>
  </si>
  <si>
    <t>off_botschaft</t>
  </si>
  <si>
    <t>entschuldigung_erdogan</t>
  </si>
  <si>
    <t>vorteile_ankara</t>
  </si>
  <si>
    <t>anzahl_fluege</t>
  </si>
  <si>
    <t>reiseveranstalter</t>
  </si>
  <si>
    <t>chartergesellschaften</t>
  </si>
  <si>
    <t>tourismusbranche&gt;reiseveranstalter,chartergesellschaften</t>
  </si>
  <si>
    <t>GROUP</t>
  </si>
  <si>
    <t>staatsfernsehen</t>
  </si>
  <si>
    <t>agrarimporte_tuerkei</t>
  </si>
  <si>
    <t>wut_ankara</t>
  </si>
  <si>
    <t>UNIQUE</t>
  </si>
  <si>
    <t>ACTIVATED</t>
  </si>
  <si>
    <t>FOCUS</t>
  </si>
  <si>
    <t>TYPE</t>
  </si>
  <si>
    <t xml:space="preserve">    </t>
  </si>
  <si>
    <t>bridging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</si>
</sst>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10</v>
      </c>
      <c r="C2" s="6" t="s">
        <v>11</v>
      </c>
      <c r="D2" s="7" t="s">
        <v>12</v>
      </c>
      <c r="E2" s="8" t="s">
        <v>13</v>
      </c>
      <c r="F2" s="6" t="s">
        <v>14</v>
      </c>
      <c r="G2" s="9" t="str">
        <f t="shared" ref="G2:G41" si="0">IF(A2=1,"_",IF(C2="_","???",C2))</f>
        <v>???</v>
      </c>
      <c r="H2" s="10" t="s">
        <v>11</v>
      </c>
      <c r="I2" s="11" t="s">
        <v>11</v>
      </c>
      <c r="J2" s="12"/>
    </row>
    <row r="3" spans="1:10" ht="60" customHeight="1" x14ac:dyDescent="0.3">
      <c r="A3" s="6" t="s">
        <v>15</v>
      </c>
      <c r="B3" s="6" t="s">
        <v>15</v>
      </c>
      <c r="C3" s="6" t="s">
        <v>11</v>
      </c>
      <c r="D3" s="7" t="s">
        <v>16</v>
      </c>
      <c r="E3" s="8" t="s">
        <v>17</v>
      </c>
      <c r="F3" s="6" t="s">
        <v>18</v>
      </c>
      <c r="G3" s="9" t="str">
        <f t="shared" si="0"/>
        <v>???</v>
      </c>
      <c r="H3" s="10" t="s">
        <v>11</v>
      </c>
      <c r="I3" s="11" t="s">
        <v>11</v>
      </c>
      <c r="J3" s="12"/>
    </row>
    <row r="4" spans="1:10" ht="60" customHeight="1" x14ac:dyDescent="0.3">
      <c r="A4" s="6" t="s">
        <v>19</v>
      </c>
      <c r="B4" s="6" t="s">
        <v>20</v>
      </c>
      <c r="C4" s="6" t="s">
        <v>11</v>
      </c>
      <c r="D4" s="7" t="s">
        <v>21</v>
      </c>
      <c r="E4" s="8" t="s">
        <v>22</v>
      </c>
      <c r="F4" s="6" t="s">
        <v>23</v>
      </c>
      <c r="G4" s="9" t="str">
        <f t="shared" si="0"/>
        <v>???</v>
      </c>
      <c r="H4" s="10" t="s">
        <v>11</v>
      </c>
      <c r="I4" s="11" t="s">
        <v>11</v>
      </c>
      <c r="J4" s="12"/>
    </row>
    <row r="5" spans="1:10" ht="60" customHeight="1" x14ac:dyDescent="0.3">
      <c r="A5" s="6" t="s">
        <v>24</v>
      </c>
      <c r="B5" s="6" t="s">
        <v>25</v>
      </c>
      <c r="C5" s="6" t="s">
        <v>11</v>
      </c>
      <c r="D5" s="7" t="s">
        <v>26</v>
      </c>
      <c r="E5" s="8" t="s">
        <v>27</v>
      </c>
      <c r="F5" s="6" t="s">
        <v>28</v>
      </c>
      <c r="G5" s="9" t="str">
        <f t="shared" si="0"/>
        <v>???</v>
      </c>
      <c r="H5" s="10" t="s">
        <v>11</v>
      </c>
      <c r="I5" s="11" t="s">
        <v>11</v>
      </c>
      <c r="J5" s="12"/>
    </row>
    <row r="6" spans="1:10" ht="60" customHeight="1" x14ac:dyDescent="0.3">
      <c r="A6" s="6" t="s">
        <v>29</v>
      </c>
      <c r="B6" s="6" t="s">
        <v>15</v>
      </c>
      <c r="C6" s="6" t="s">
        <v>11</v>
      </c>
      <c r="D6" s="7" t="s">
        <v>30</v>
      </c>
      <c r="E6" s="8" t="s">
        <v>31</v>
      </c>
      <c r="F6" s="6" t="s">
        <v>32</v>
      </c>
      <c r="G6" s="9" t="str">
        <f t="shared" si="0"/>
        <v>???</v>
      </c>
      <c r="H6" s="10" t="s">
        <v>11</v>
      </c>
      <c r="I6" s="11" t="s">
        <v>11</v>
      </c>
      <c r="J6" s="12"/>
    </row>
    <row r="7" spans="1:10" ht="60" customHeight="1" x14ac:dyDescent="0.3">
      <c r="A7" s="6" t="s">
        <v>33</v>
      </c>
      <c r="B7" s="6" t="s">
        <v>24</v>
      </c>
      <c r="C7" s="6" t="s">
        <v>11</v>
      </c>
      <c r="D7" s="7" t="s">
        <v>34</v>
      </c>
      <c r="E7" s="8" t="s">
        <v>35</v>
      </c>
      <c r="F7" s="6" t="s">
        <v>36</v>
      </c>
      <c r="G7" s="9" t="str">
        <f t="shared" si="0"/>
        <v>???</v>
      </c>
      <c r="H7" s="10" t="s">
        <v>11</v>
      </c>
      <c r="I7" s="11" t="s">
        <v>11</v>
      </c>
      <c r="J7" s="12"/>
    </row>
    <row r="8" spans="1:10" ht="60" customHeight="1" x14ac:dyDescent="0.3">
      <c r="A8" s="6" t="s">
        <v>20</v>
      </c>
      <c r="B8" s="6" t="s">
        <v>29</v>
      </c>
      <c r="C8" s="6" t="s">
        <v>11</v>
      </c>
      <c r="D8" s="7" t="s">
        <v>37</v>
      </c>
      <c r="E8" s="8" t="s">
        <v>38</v>
      </c>
      <c r="F8" s="6" t="s">
        <v>39</v>
      </c>
      <c r="G8" s="9" t="str">
        <f t="shared" si="0"/>
        <v>???</v>
      </c>
      <c r="H8" s="10" t="s">
        <v>11</v>
      </c>
      <c r="I8" s="11" t="s">
        <v>11</v>
      </c>
      <c r="J8" s="12"/>
    </row>
    <row r="9" spans="1:10" ht="60" customHeight="1" x14ac:dyDescent="0.3">
      <c r="A9" s="6" t="s">
        <v>40</v>
      </c>
      <c r="B9" s="6" t="s">
        <v>33</v>
      </c>
      <c r="C9" s="6" t="s">
        <v>11</v>
      </c>
      <c r="D9" s="7" t="s">
        <v>41</v>
      </c>
      <c r="E9" s="8" t="s">
        <v>42</v>
      </c>
      <c r="F9" s="6" t="s">
        <v>43</v>
      </c>
      <c r="G9" s="9" t="str">
        <f t="shared" si="0"/>
        <v>???</v>
      </c>
      <c r="H9" s="10" t="s">
        <v>11</v>
      </c>
      <c r="I9" s="11" t="s">
        <v>11</v>
      </c>
      <c r="J9" s="12"/>
    </row>
    <row r="10" spans="1:10" ht="60" customHeight="1" x14ac:dyDescent="0.3">
      <c r="A10" s="6" t="s">
        <v>44</v>
      </c>
      <c r="B10" s="6" t="s">
        <v>15</v>
      </c>
      <c r="C10" s="6" t="s">
        <v>11</v>
      </c>
      <c r="D10" s="7" t="s">
        <v>45</v>
      </c>
      <c r="E10" s="8" t="s">
        <v>46</v>
      </c>
      <c r="F10" s="6" t="s">
        <v>47</v>
      </c>
      <c r="G10" s="9" t="str">
        <f t="shared" si="0"/>
        <v>???</v>
      </c>
      <c r="H10" s="10" t="s">
        <v>11</v>
      </c>
      <c r="I10" s="11" t="s">
        <v>11</v>
      </c>
      <c r="J10" s="12"/>
    </row>
    <row r="11" spans="1:10" ht="60" customHeight="1" x14ac:dyDescent="0.3">
      <c r="A11" s="6" t="s">
        <v>48</v>
      </c>
      <c r="B11" s="6" t="s">
        <v>15</v>
      </c>
      <c r="C11" s="6" t="s">
        <v>11</v>
      </c>
      <c r="D11" s="7" t="s">
        <v>49</v>
      </c>
      <c r="E11" s="8" t="s">
        <v>50</v>
      </c>
      <c r="F11" s="6" t="s">
        <v>51</v>
      </c>
      <c r="G11" s="9" t="str">
        <f t="shared" si="0"/>
        <v>???</v>
      </c>
      <c r="H11" s="10" t="s">
        <v>11</v>
      </c>
      <c r="I11" s="11" t="s">
        <v>11</v>
      </c>
      <c r="J11" s="12"/>
    </row>
    <row r="12" spans="1:10" ht="60" customHeight="1" x14ac:dyDescent="0.3">
      <c r="A12" s="6" t="s">
        <v>52</v>
      </c>
      <c r="B12" s="6" t="s">
        <v>44</v>
      </c>
      <c r="C12" s="6" t="s">
        <v>11</v>
      </c>
      <c r="D12" s="7" t="s">
        <v>53</v>
      </c>
      <c r="E12" s="8" t="s">
        <v>54</v>
      </c>
      <c r="F12" s="6" t="s">
        <v>55</v>
      </c>
      <c r="G12" s="9" t="str">
        <f t="shared" si="0"/>
        <v>???</v>
      </c>
      <c r="H12" s="10" t="s">
        <v>11</v>
      </c>
      <c r="I12" s="11" t="s">
        <v>11</v>
      </c>
      <c r="J12" s="12"/>
    </row>
    <row r="13" spans="1:10" ht="60" customHeight="1" x14ac:dyDescent="0.3">
      <c r="A13" s="6" t="s">
        <v>56</v>
      </c>
      <c r="B13" s="6" t="s">
        <v>15</v>
      </c>
      <c r="C13" s="6" t="s">
        <v>57</v>
      </c>
      <c r="D13" s="7" t="s">
        <v>58</v>
      </c>
      <c r="E13" s="8" t="s">
        <v>59</v>
      </c>
      <c r="F13" s="6" t="s">
        <v>60</v>
      </c>
      <c r="G13" s="9" t="str">
        <f t="shared" si="0"/>
        <v>Vielmehr?</v>
      </c>
      <c r="H13" s="10" t="s">
        <v>11</v>
      </c>
      <c r="I13" s="11" t="s">
        <v>11</v>
      </c>
      <c r="J13" s="12"/>
    </row>
    <row r="14" spans="1:10" ht="60" customHeight="1" x14ac:dyDescent="0.3">
      <c r="A14" s="6" t="s">
        <v>61</v>
      </c>
      <c r="B14" s="6" t="s">
        <v>33</v>
      </c>
      <c r="C14" s="6" t="s">
        <v>11</v>
      </c>
      <c r="D14" s="7" t="s">
        <v>62</v>
      </c>
      <c r="E14" s="8" t="s">
        <v>63</v>
      </c>
      <c r="F14" s="6" t="s">
        <v>64</v>
      </c>
      <c r="G14" s="9" t="str">
        <f t="shared" si="0"/>
        <v>???</v>
      </c>
      <c r="H14" s="10" t="s">
        <v>11</v>
      </c>
      <c r="I14" s="11" t="s">
        <v>11</v>
      </c>
      <c r="J14" s="12"/>
    </row>
    <row r="15" spans="1:10" ht="60" customHeight="1" x14ac:dyDescent="0.3">
      <c r="A15" s="6" t="s">
        <v>65</v>
      </c>
      <c r="B15" s="6" t="s">
        <v>15</v>
      </c>
      <c r="C15" s="6" t="s">
        <v>11</v>
      </c>
      <c r="D15" s="7" t="s">
        <v>66</v>
      </c>
      <c r="E15" s="8" t="s">
        <v>67</v>
      </c>
      <c r="F15" s="6" t="s">
        <v>68</v>
      </c>
      <c r="G15" s="9" t="str">
        <f t="shared" si="0"/>
        <v>???</v>
      </c>
      <c r="H15" s="10" t="s">
        <v>11</v>
      </c>
      <c r="I15" s="11" t="s">
        <v>11</v>
      </c>
      <c r="J15" s="12"/>
    </row>
    <row r="16" spans="1:10" ht="60" customHeight="1" x14ac:dyDescent="0.3">
      <c r="A16" s="6" t="s">
        <v>69</v>
      </c>
      <c r="B16" s="6" t="s">
        <v>19</v>
      </c>
      <c r="C16" s="6" t="s">
        <v>11</v>
      </c>
      <c r="D16" s="7" t="s">
        <v>70</v>
      </c>
      <c r="E16" s="8" t="s">
        <v>71</v>
      </c>
      <c r="F16" s="6" t="s">
        <v>72</v>
      </c>
      <c r="G16" s="9" t="str">
        <f t="shared" si="0"/>
        <v>???</v>
      </c>
      <c r="H16" s="10" t="s">
        <v>11</v>
      </c>
      <c r="I16" s="11" t="s">
        <v>11</v>
      </c>
      <c r="J16" s="12"/>
    </row>
    <row r="17" spans="1:10" ht="60" customHeight="1" x14ac:dyDescent="0.3">
      <c r="A17" s="6" t="s">
        <v>73</v>
      </c>
      <c r="B17" s="6" t="s">
        <v>24</v>
      </c>
      <c r="C17" s="6" t="s">
        <v>11</v>
      </c>
      <c r="D17" s="7" t="s">
        <v>74</v>
      </c>
      <c r="E17" s="8" t="s">
        <v>75</v>
      </c>
      <c r="F17" s="6" t="s">
        <v>76</v>
      </c>
      <c r="G17" s="9" t="str">
        <f t="shared" si="0"/>
        <v>???</v>
      </c>
      <c r="H17" s="10" t="s">
        <v>11</v>
      </c>
      <c r="I17" s="11" t="s">
        <v>11</v>
      </c>
      <c r="J17" s="12"/>
    </row>
    <row r="18" spans="1:10" ht="60" customHeight="1" x14ac:dyDescent="0.3">
      <c r="A18" s="6" t="s">
        <v>77</v>
      </c>
      <c r="B18" s="6" t="s">
        <v>78</v>
      </c>
      <c r="C18" s="6" t="s">
        <v>11</v>
      </c>
      <c r="D18" s="7" t="s">
        <v>79</v>
      </c>
      <c r="E18" s="8" t="s">
        <v>80</v>
      </c>
      <c r="F18" s="6" t="s">
        <v>81</v>
      </c>
      <c r="G18" s="9" t="str">
        <f t="shared" si="0"/>
        <v>???</v>
      </c>
      <c r="H18" s="10" t="s">
        <v>11</v>
      </c>
      <c r="I18" s="11" t="s">
        <v>11</v>
      </c>
      <c r="J18" s="12"/>
    </row>
    <row r="19" spans="1:10" ht="60" customHeight="1" x14ac:dyDescent="0.3">
      <c r="A19" s="6" t="s">
        <v>82</v>
      </c>
      <c r="B19" s="6" t="s">
        <v>19</v>
      </c>
      <c r="C19" s="6" t="s">
        <v>11</v>
      </c>
      <c r="D19" s="7" t="s">
        <v>83</v>
      </c>
      <c r="E19" s="8" t="s">
        <v>84</v>
      </c>
      <c r="F19" s="6" t="s">
        <v>85</v>
      </c>
      <c r="G19" s="9" t="str">
        <f t="shared" si="0"/>
        <v>???</v>
      </c>
      <c r="H19" s="10" t="s">
        <v>11</v>
      </c>
      <c r="I19" s="11" t="s">
        <v>11</v>
      </c>
      <c r="J19" s="12"/>
    </row>
    <row r="20" spans="1:10" ht="60" customHeight="1" x14ac:dyDescent="0.3">
      <c r="A20" s="6" t="s">
        <v>86</v>
      </c>
      <c r="B20" s="6" t="s">
        <v>19</v>
      </c>
      <c r="C20" s="6" t="s">
        <v>11</v>
      </c>
      <c r="D20" s="7" t="s">
        <v>49</v>
      </c>
      <c r="E20" s="8" t="s">
        <v>87</v>
      </c>
      <c r="F20" s="6" t="s">
        <v>88</v>
      </c>
      <c r="G20" s="9" t="str">
        <f t="shared" si="0"/>
        <v>???</v>
      </c>
      <c r="H20" s="10" t="s">
        <v>11</v>
      </c>
      <c r="I20" s="11" t="s">
        <v>11</v>
      </c>
      <c r="J20" s="12"/>
    </row>
    <row r="21" spans="1:10" ht="60" customHeight="1" x14ac:dyDescent="0.3">
      <c r="A21" s="6" t="s">
        <v>89</v>
      </c>
      <c r="B21" s="6" t="s">
        <v>29</v>
      </c>
      <c r="C21" s="6" t="s">
        <v>11</v>
      </c>
      <c r="D21" s="7" t="s">
        <v>90</v>
      </c>
      <c r="E21" s="8" t="s">
        <v>91</v>
      </c>
      <c r="F21" s="6" t="s">
        <v>92</v>
      </c>
      <c r="G21" s="9" t="str">
        <f t="shared" si="0"/>
        <v>???</v>
      </c>
      <c r="H21" s="10" t="s">
        <v>11</v>
      </c>
      <c r="I21" s="11" t="s">
        <v>11</v>
      </c>
      <c r="J21" s="12"/>
    </row>
    <row r="22" spans="1:10" ht="60" customHeight="1" x14ac:dyDescent="0.3">
      <c r="A22" s="6" t="s">
        <v>93</v>
      </c>
      <c r="B22" s="6" t="s">
        <v>24</v>
      </c>
      <c r="C22" s="6" t="s">
        <v>11</v>
      </c>
      <c r="D22" s="7" t="s">
        <v>94</v>
      </c>
      <c r="E22" s="8" t="s">
        <v>95</v>
      </c>
      <c r="F22" s="6" t="s">
        <v>96</v>
      </c>
      <c r="G22" s="9" t="str">
        <f t="shared" si="0"/>
        <v>???</v>
      </c>
      <c r="H22" s="10" t="s">
        <v>11</v>
      </c>
      <c r="I22" s="11" t="s">
        <v>11</v>
      </c>
      <c r="J22" s="12"/>
    </row>
    <row r="23" spans="1:10" ht="60" customHeight="1" x14ac:dyDescent="0.3">
      <c r="A23" s="6" t="s">
        <v>97</v>
      </c>
      <c r="B23" s="6" t="s">
        <v>15</v>
      </c>
      <c r="C23" s="6" t="s">
        <v>11</v>
      </c>
      <c r="D23" s="7" t="s">
        <v>98</v>
      </c>
      <c r="E23" s="8" t="s">
        <v>99</v>
      </c>
      <c r="F23" s="6" t="s">
        <v>100</v>
      </c>
      <c r="G23" s="9" t="str">
        <f t="shared" si="0"/>
        <v>???</v>
      </c>
      <c r="H23" s="10" t="s">
        <v>11</v>
      </c>
      <c r="I23" s="11" t="s">
        <v>11</v>
      </c>
      <c r="J23" s="12"/>
    </row>
    <row r="24" spans="1:10" ht="60" customHeight="1" x14ac:dyDescent="0.3">
      <c r="A24" s="6" t="s">
        <v>101</v>
      </c>
      <c r="B24" s="6" t="s">
        <v>33</v>
      </c>
      <c r="C24" s="6" t="s">
        <v>11</v>
      </c>
      <c r="D24" s="7" t="s">
        <v>102</v>
      </c>
      <c r="E24" s="8" t="s">
        <v>103</v>
      </c>
      <c r="F24" s="6" t="s">
        <v>104</v>
      </c>
      <c r="G24" s="9" t="str">
        <f t="shared" si="0"/>
        <v>???</v>
      </c>
      <c r="H24" s="10" t="s">
        <v>11</v>
      </c>
      <c r="I24" s="11" t="s">
        <v>11</v>
      </c>
      <c r="J24" s="12"/>
    </row>
    <row r="25" spans="1:10" ht="60" customHeight="1" x14ac:dyDescent="0.3">
      <c r="A25" s="6" t="s">
        <v>25</v>
      </c>
      <c r="B25" s="6" t="s">
        <v>19</v>
      </c>
      <c r="C25" s="6" t="s">
        <v>11</v>
      </c>
      <c r="D25" s="7" t="s">
        <v>105</v>
      </c>
      <c r="E25" s="8" t="s">
        <v>106</v>
      </c>
      <c r="F25" s="6" t="s">
        <v>107</v>
      </c>
      <c r="G25" s="9" t="str">
        <f t="shared" si="0"/>
        <v>???</v>
      </c>
      <c r="H25" s="10" t="s">
        <v>11</v>
      </c>
      <c r="I25" s="11" t="s">
        <v>11</v>
      </c>
      <c r="J25" s="12"/>
    </row>
    <row r="26" spans="1:10" ht="60" customHeight="1" x14ac:dyDescent="0.3">
      <c r="A26" s="6" t="s">
        <v>108</v>
      </c>
      <c r="B26" s="6" t="s">
        <v>15</v>
      </c>
      <c r="C26" s="6" t="s">
        <v>109</v>
      </c>
      <c r="D26" s="7" t="s">
        <v>110</v>
      </c>
      <c r="E26" s="8" t="s">
        <v>111</v>
      </c>
      <c r="F26" s="6" t="s">
        <v>112</v>
      </c>
      <c r="G26" s="9" t="str">
        <f t="shared" si="0"/>
        <v>Nachdem?</v>
      </c>
      <c r="H26" s="10" t="s">
        <v>11</v>
      </c>
      <c r="I26" s="11" t="s">
        <v>11</v>
      </c>
      <c r="J26" s="12"/>
    </row>
    <row r="27" spans="1:10" ht="60" customHeight="1" x14ac:dyDescent="0.3">
      <c r="A27" s="6" t="s">
        <v>113</v>
      </c>
      <c r="B27" s="6" t="s">
        <v>44</v>
      </c>
      <c r="C27" s="6" t="s">
        <v>11</v>
      </c>
      <c r="D27" s="7" t="s">
        <v>114</v>
      </c>
      <c r="E27" s="8" t="s">
        <v>115</v>
      </c>
      <c r="F27" s="6" t="s">
        <v>116</v>
      </c>
      <c r="G27" s="9" t="str">
        <f t="shared" si="0"/>
        <v>???</v>
      </c>
      <c r="H27" s="10" t="s">
        <v>11</v>
      </c>
      <c r="I27" s="11" t="s">
        <v>11</v>
      </c>
      <c r="J27" s="12"/>
    </row>
    <row r="28" spans="1:10" ht="60" customHeight="1" x14ac:dyDescent="0.3">
      <c r="A28" s="6" t="s">
        <v>117</v>
      </c>
      <c r="B28" s="6" t="s">
        <v>19</v>
      </c>
      <c r="C28" s="6" t="s">
        <v>11</v>
      </c>
      <c r="D28" s="7" t="s">
        <v>30</v>
      </c>
      <c r="E28" s="8" t="s">
        <v>118</v>
      </c>
      <c r="F28" s="6" t="s">
        <v>119</v>
      </c>
      <c r="G28" s="9" t="str">
        <f t="shared" si="0"/>
        <v>???</v>
      </c>
      <c r="H28" s="10" t="s">
        <v>11</v>
      </c>
      <c r="I28" s="11" t="s">
        <v>11</v>
      </c>
      <c r="J28" s="12"/>
    </row>
    <row r="29" spans="1:10" ht="60" customHeight="1" x14ac:dyDescent="0.3">
      <c r="A29" s="6" t="s">
        <v>120</v>
      </c>
      <c r="B29" s="6" t="s">
        <v>48</v>
      </c>
      <c r="C29" s="6" t="s">
        <v>11</v>
      </c>
      <c r="D29" s="7" t="s">
        <v>121</v>
      </c>
      <c r="E29" s="8" t="s">
        <v>122</v>
      </c>
      <c r="F29" s="6" t="s">
        <v>123</v>
      </c>
      <c r="G29" s="9" t="str">
        <f t="shared" si="0"/>
        <v>???</v>
      </c>
      <c r="H29" s="10" t="s">
        <v>11</v>
      </c>
      <c r="I29" s="11" t="s">
        <v>11</v>
      </c>
      <c r="J29" s="12"/>
    </row>
    <row r="30" spans="1:10" ht="60" customHeight="1" x14ac:dyDescent="0.3">
      <c r="A30" s="6" t="s">
        <v>124</v>
      </c>
      <c r="B30" s="6" t="s">
        <v>19</v>
      </c>
      <c r="C30" s="6" t="s">
        <v>11</v>
      </c>
      <c r="D30" s="7" t="s">
        <v>125</v>
      </c>
      <c r="E30" s="8" t="s">
        <v>126</v>
      </c>
      <c r="F30" s="6" t="s">
        <v>127</v>
      </c>
      <c r="G30" s="9" t="str">
        <f t="shared" si="0"/>
        <v>???</v>
      </c>
      <c r="H30" s="10" t="s">
        <v>11</v>
      </c>
      <c r="I30" s="11" t="s">
        <v>11</v>
      </c>
      <c r="J30" s="12"/>
    </row>
    <row r="31" spans="1:10" ht="60" customHeight="1" x14ac:dyDescent="0.3">
      <c r="A31" s="6" t="s">
        <v>128</v>
      </c>
      <c r="B31" s="6" t="s">
        <v>40</v>
      </c>
      <c r="C31" s="6" t="s">
        <v>11</v>
      </c>
      <c r="D31" s="7" t="s">
        <v>129</v>
      </c>
      <c r="E31" s="8" t="s">
        <v>130</v>
      </c>
      <c r="F31" s="6" t="s">
        <v>131</v>
      </c>
      <c r="G31" s="9" t="str">
        <f t="shared" si="0"/>
        <v>???</v>
      </c>
      <c r="H31" s="10" t="s">
        <v>11</v>
      </c>
      <c r="I31" s="11" t="s">
        <v>11</v>
      </c>
      <c r="J31" s="12"/>
    </row>
    <row r="32" spans="1:10" ht="60" customHeight="1" x14ac:dyDescent="0.3">
      <c r="A32" s="6" t="s">
        <v>132</v>
      </c>
      <c r="B32" s="6" t="s">
        <v>15</v>
      </c>
      <c r="C32" s="6" t="s">
        <v>11</v>
      </c>
      <c r="D32" s="7" t="s">
        <v>41</v>
      </c>
      <c r="E32" s="8" t="s">
        <v>133</v>
      </c>
      <c r="F32" s="6" t="s">
        <v>134</v>
      </c>
      <c r="G32" s="9" t="str">
        <f t="shared" si="0"/>
        <v>???</v>
      </c>
      <c r="H32" s="10" t="s">
        <v>11</v>
      </c>
      <c r="I32" s="11" t="s">
        <v>11</v>
      </c>
      <c r="J32" s="12"/>
    </row>
    <row r="33" spans="1:10" ht="60" customHeight="1" x14ac:dyDescent="0.3">
      <c r="A33" s="6" t="s">
        <v>135</v>
      </c>
      <c r="B33" s="6" t="s">
        <v>19</v>
      </c>
      <c r="C33" s="6" t="s">
        <v>11</v>
      </c>
      <c r="D33" s="7" t="s">
        <v>136</v>
      </c>
      <c r="E33" s="8" t="s">
        <v>137</v>
      </c>
      <c r="F33" s="6" t="s">
        <v>138</v>
      </c>
      <c r="G33" s="9" t="str">
        <f t="shared" si="0"/>
        <v>???</v>
      </c>
      <c r="H33" s="10" t="s">
        <v>11</v>
      </c>
      <c r="I33" s="11" t="s">
        <v>11</v>
      </c>
      <c r="J33" s="12"/>
    </row>
    <row r="34" spans="1:10" ht="60" customHeight="1" x14ac:dyDescent="0.3">
      <c r="A34" s="6" t="s">
        <v>139</v>
      </c>
      <c r="B34" s="6" t="s">
        <v>29</v>
      </c>
      <c r="C34" s="6" t="s">
        <v>11</v>
      </c>
      <c r="D34" s="7" t="s">
        <v>140</v>
      </c>
      <c r="E34" s="8" t="s">
        <v>141</v>
      </c>
      <c r="F34" s="6" t="s">
        <v>142</v>
      </c>
      <c r="G34" s="9" t="str">
        <f t="shared" si="0"/>
        <v>???</v>
      </c>
      <c r="H34" s="10" t="s">
        <v>11</v>
      </c>
      <c r="I34" s="11" t="s">
        <v>11</v>
      </c>
      <c r="J34" s="12"/>
    </row>
    <row r="35" spans="1:10" ht="60" customHeight="1" x14ac:dyDescent="0.3">
      <c r="A35" s="6" t="s">
        <v>143</v>
      </c>
      <c r="B35" s="6" t="s">
        <v>24</v>
      </c>
      <c r="C35" s="6" t="s">
        <v>11</v>
      </c>
      <c r="D35" s="7" t="s">
        <v>144</v>
      </c>
      <c r="E35" s="8" t="s">
        <v>145</v>
      </c>
      <c r="F35" s="6" t="s">
        <v>146</v>
      </c>
      <c r="G35" s="9" t="str">
        <f t="shared" si="0"/>
        <v>???</v>
      </c>
      <c r="H35" s="10" t="s">
        <v>11</v>
      </c>
      <c r="I35" s="11" t="s">
        <v>11</v>
      </c>
      <c r="J35" s="12"/>
    </row>
    <row r="36" spans="1:10" ht="60" customHeight="1" x14ac:dyDescent="0.3">
      <c r="A36" s="6" t="s">
        <v>147</v>
      </c>
      <c r="B36" s="6" t="s">
        <v>15</v>
      </c>
      <c r="C36" s="6" t="s">
        <v>11</v>
      </c>
      <c r="D36" s="7" t="s">
        <v>148</v>
      </c>
      <c r="E36" s="8" t="s">
        <v>149</v>
      </c>
      <c r="F36" s="6" t="s">
        <v>150</v>
      </c>
      <c r="G36" s="9" t="str">
        <f t="shared" si="0"/>
        <v>???</v>
      </c>
      <c r="H36" s="10" t="s">
        <v>11</v>
      </c>
      <c r="I36" s="11" t="s">
        <v>11</v>
      </c>
      <c r="J36" s="12"/>
    </row>
    <row r="37" spans="1:10" ht="60" customHeight="1" x14ac:dyDescent="0.3">
      <c r="A37" s="6" t="s">
        <v>151</v>
      </c>
      <c r="B37" s="6" t="s">
        <v>15</v>
      </c>
      <c r="C37" s="6" t="s">
        <v>11</v>
      </c>
      <c r="D37" s="7" t="s">
        <v>152</v>
      </c>
      <c r="E37" s="8" t="s">
        <v>153</v>
      </c>
      <c r="F37" s="6" t="s">
        <v>154</v>
      </c>
      <c r="G37" s="9" t="str">
        <f t="shared" si="0"/>
        <v>???</v>
      </c>
      <c r="H37" s="10" t="s">
        <v>11</v>
      </c>
      <c r="I37" s="11" t="s">
        <v>11</v>
      </c>
      <c r="J37" s="12"/>
    </row>
    <row r="38" spans="1:10" ht="60" customHeight="1" x14ac:dyDescent="0.3">
      <c r="A38" s="6" t="s">
        <v>155</v>
      </c>
      <c r="B38" s="6" t="s">
        <v>24</v>
      </c>
      <c r="C38" s="6" t="s">
        <v>11</v>
      </c>
      <c r="D38" s="7" t="s">
        <v>156</v>
      </c>
      <c r="E38" s="8" t="s">
        <v>157</v>
      </c>
      <c r="F38" s="6" t="s">
        <v>158</v>
      </c>
      <c r="G38" s="9" t="str">
        <f t="shared" si="0"/>
        <v>???</v>
      </c>
      <c r="H38" s="10" t="s">
        <v>11</v>
      </c>
      <c r="I38" s="11" t="s">
        <v>11</v>
      </c>
      <c r="J38" s="12"/>
    </row>
    <row r="39" spans="1:10" ht="60" customHeight="1" x14ac:dyDescent="0.3">
      <c r="A39" s="6" t="s">
        <v>159</v>
      </c>
      <c r="B39" s="6" t="s">
        <v>15</v>
      </c>
      <c r="C39" s="6" t="s">
        <v>11</v>
      </c>
      <c r="D39" s="7" t="s">
        <v>160</v>
      </c>
      <c r="E39" s="8" t="s">
        <v>161</v>
      </c>
      <c r="F39" s="6" t="s">
        <v>162</v>
      </c>
      <c r="G39" s="9" t="str">
        <f t="shared" si="0"/>
        <v>???</v>
      </c>
      <c r="H39" s="10" t="s">
        <v>11</v>
      </c>
      <c r="I39" s="11" t="s">
        <v>11</v>
      </c>
      <c r="J39" s="12"/>
    </row>
    <row r="40" spans="1:10" ht="60" customHeight="1" x14ac:dyDescent="0.3">
      <c r="A40" s="6" t="s">
        <v>163</v>
      </c>
      <c r="B40" s="6" t="s">
        <v>78</v>
      </c>
      <c r="C40" s="6" t="s">
        <v>11</v>
      </c>
      <c r="D40" s="7" t="s">
        <v>164</v>
      </c>
      <c r="E40" s="8" t="s">
        <v>165</v>
      </c>
      <c r="F40" s="6" t="s">
        <v>166</v>
      </c>
      <c r="G40" s="9" t="str">
        <f t="shared" si="0"/>
        <v>???</v>
      </c>
      <c r="H40" s="10" t="s">
        <v>11</v>
      </c>
      <c r="I40" s="11" t="s">
        <v>11</v>
      </c>
      <c r="J40" s="12"/>
    </row>
    <row r="41" spans="1:10" ht="60" customHeight="1" x14ac:dyDescent="0.3">
      <c r="A41" s="6" t="s">
        <v>167</v>
      </c>
      <c r="B41" s="6" t="s">
        <v>40</v>
      </c>
      <c r="C41" s="6" t="s">
        <v>11</v>
      </c>
      <c r="D41" s="7" t="s">
        <v>168</v>
      </c>
      <c r="E41" s="8" t="s">
        <v>169</v>
      </c>
      <c r="F41" s="6" t="s">
        <v>170</v>
      </c>
      <c r="G41" s="9" t="str">
        <f t="shared" si="0"/>
        <v>???</v>
      </c>
      <c r="H41" s="10" t="s">
        <v>11</v>
      </c>
      <c r="I41" s="11" t="s">
        <v>11</v>
      </c>
      <c r="J4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1"/>
  <sheetViews>
    <sheetView tabSelected="1" workbookViewId="0">
      <pane xSplit="1" ySplit="1" topLeftCell="B957" activePane="bottomRight" state="frozen"/>
      <selection pane="topRight" activeCell="B1" sqref="B1"/>
      <selection pane="bottomLeft" activeCell="A2" sqref="A2"/>
      <selection pane="bottomRight" activeCell="O968" sqref="O968"/>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171</v>
      </c>
      <c r="B1" s="13" t="s">
        <v>172</v>
      </c>
      <c r="C1" s="13" t="s">
        <v>173</v>
      </c>
      <c r="D1" s="13" t="s">
        <v>174</v>
      </c>
      <c r="E1" s="14" t="s">
        <v>175</v>
      </c>
      <c r="F1" s="15" t="s">
        <v>176</v>
      </c>
      <c r="G1" s="16" t="s">
        <v>177</v>
      </c>
      <c r="H1" s="17" t="s">
        <v>178</v>
      </c>
      <c r="I1" s="18" t="s">
        <v>179</v>
      </c>
      <c r="J1" s="18" t="s">
        <v>180</v>
      </c>
      <c r="K1" s="18" t="s">
        <v>181</v>
      </c>
      <c r="L1" s="19" t="s">
        <v>9</v>
      </c>
    </row>
    <row r="2" spans="1:12" x14ac:dyDescent="0.3">
      <c r="A2" t="s">
        <v>182</v>
      </c>
    </row>
    <row r="3" spans="1:12" x14ac:dyDescent="0.3">
      <c r="A3" t="s">
        <v>183</v>
      </c>
      <c r="B3" s="20" t="s">
        <v>184</v>
      </c>
      <c r="C3" s="20" t="s">
        <v>185</v>
      </c>
      <c r="D3" s="20" t="s">
        <v>186</v>
      </c>
      <c r="E3" s="21" t="s">
        <v>721</v>
      </c>
      <c r="F3" s="22" t="str">
        <f>IF(OR(E3="",E3="!!!"),"",IF(NOT(ISNA(VLOOKUP(E3,E$1:E2,1,FALSE()))),"OLD",IF(AND(E3&lt;&gt;"",E3&lt;&gt;"!!!"),"NEW","")))</f>
        <v>NEW</v>
      </c>
      <c r="G3" s="23" t="s">
        <v>723</v>
      </c>
      <c r="H3" s="24" t="str">
        <f t="shared" ref="H3:H13"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187</v>
      </c>
      <c r="E4" s="21" t="str">
        <f t="shared" ref="E4:E13"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188</v>
      </c>
      <c r="B5" s="20" t="s">
        <v>184</v>
      </c>
      <c r="C5" s="20" t="s">
        <v>185</v>
      </c>
      <c r="D5" s="20" t="s">
        <v>186</v>
      </c>
      <c r="E5" s="21" t="s">
        <v>722</v>
      </c>
      <c r="F5" s="22" t="str">
        <f>IF(OR(E5="",E5="!!!"),"",IF(NOT(ISNA(VLOOKUP(E5,E$1:E4,1,FALSE()))),"OLD",IF(AND(E5&lt;&gt;"",E5&lt;&gt;"!!!"),"NEW","")))</f>
        <v>NEW</v>
      </c>
      <c r="G5" s="23" t="s">
        <v>723</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189</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190</v>
      </c>
      <c r="E7" s="21" t="str">
        <f t="shared" si="1"/>
        <v/>
      </c>
      <c r="F7" s="22" t="str">
        <f>IF(OR(E7="",E7="!!!"),"",IF(NOT(ISNA(VLOOKUP(E7,E$1:E6,1,FALSE()))),"OLD",IF(AND(E7&lt;&gt;"",E7&lt;&gt;"!!!"),"NEW","")))</f>
        <v/>
      </c>
      <c r="G7" s="23" t="str">
        <f>IF(OR(E7="",E7="!!!"),"",IF(OR(J7=0,AND(J7=1,K7=1),AND(J7=1,I7="SBJ"),AND(J7=1,I7=0)),"?IN_FOCUS",IF(J7&lt;=2,"?ACTIVATED",IF(J7&lt;&gt;"","?FAMILIAR",IF(F7="NEW",IF(ISNA(VLOOKUP(E7,#REF!,1,FALSE())),"?TYPE_IDENTIFIABLE","?REFERENTIAL"),"_")))))</f>
        <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191</v>
      </c>
      <c r="E8" s="21" t="s">
        <v>811</v>
      </c>
      <c r="F8" s="22"/>
      <c r="G8" s="23"/>
      <c r="H8" s="24" t="str">
        <f t="shared" ca="1" si="0"/>
        <v/>
      </c>
      <c r="I8" s="25" t="e">
        <f>IF(OR(E8="",E8="!!!",F8="NEW"),"",INDEX(B$2:B7,-1+SUMPRODUCT(MAX(ROW(E$2:E7)*(E8=E$2:E7)))))</f>
        <v>#VALUE!</v>
      </c>
      <c r="J8" s="25">
        <f ca="1">IF(OR(E8="",E8="!!!",F8="NEW"),"",COUNTBLANK(OFFSET(A$1,,,SUMPRODUCT(MAX(ROW(E$2:E8)*(E8=E$2:E8)))))-COUNTBLANK(OFFSET(A$1,,,SUMPRODUCT(MAX(ROW(E$1:E7)*(E2=E$1:E7))))))</f>
        <v>0</v>
      </c>
      <c r="K8" s="25" t="e">
        <f>IF(OR(E8="",E8="!!!",F8="NEW"),"",INDEX(J$1:J7,SUMPRODUCT(MAX(ROW(E$1:E7)*(E8=E$1:E7)))))</f>
        <v>#VALUE!</v>
      </c>
      <c r="L8" s="26"/>
    </row>
    <row r="9" spans="1:12" x14ac:dyDescent="0.3">
      <c r="A9" t="s">
        <v>192</v>
      </c>
      <c r="B9" s="20" t="s">
        <v>184</v>
      </c>
      <c r="C9" s="20" t="s">
        <v>193</v>
      </c>
      <c r="E9" s="21" t="s">
        <v>785</v>
      </c>
      <c r="F9" s="22" t="str">
        <f>IF(OR(E9="",E9="!!!"),"",IF(NOT(ISNA(VLOOKUP(E9,E$1:E8,1,FALSE()))),"OLD",IF(AND(E9&lt;&gt;"",E9&lt;&gt;"!!!"),"NEW","")))</f>
        <v>NEW</v>
      </c>
      <c r="G9" s="23" t="s">
        <v>807</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t="s">
        <v>758</v>
      </c>
    </row>
    <row r="10" spans="1:12" x14ac:dyDescent="0.3">
      <c r="A10" t="s">
        <v>194</v>
      </c>
      <c r="E10" s="21" t="str">
        <f t="shared" si="1"/>
        <v/>
      </c>
      <c r="F10" s="22" t="str">
        <f>IF(OR(E10="",E10="!!!"),"",IF(NOT(ISNA(VLOOKUP(E10,E$1:E9,1,FALSE()))),"OLD",IF(AND(E10&lt;&gt;"",E10&lt;&gt;"!!!"),"NEW","")))</f>
        <v/>
      </c>
      <c r="G10" s="23" t="str">
        <f>IF(OR(E10="",E10="!!!"),"",IF(OR(J10=0,AND(J10=1,K10=1),AND(J10=1,I10="SBJ"),AND(J10=1,I10=0)),"?IN_FOCUS",IF(J10&lt;=2,"?ACTIVATED",IF(J10&lt;&gt;"","?FAMILIAR",IF(F10="NEW",IF(ISNA(VLOOKUP(E10,#REF!,1,FALSE())),"?TYPE_IDENTIFIABLE","?REFERENTIAL"),"_")))))</f>
        <v/>
      </c>
      <c r="H10" s="24" t="str">
        <f t="shared" ca="1" si="0"/>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195</v>
      </c>
      <c r="B11" s="20" t="s">
        <v>196</v>
      </c>
      <c r="C11" s="20" t="s">
        <v>197</v>
      </c>
      <c r="E11" s="21" t="str">
        <f t="shared" si="1"/>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191</v>
      </c>
      <c r="E12" s="21" t="str">
        <f t="shared" si="1"/>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198</v>
      </c>
      <c r="E13" s="21" t="str">
        <f t="shared" si="1"/>
        <v/>
      </c>
      <c r="F13" s="22" t="str">
        <f>IF(OR(E13="",E13="!!!"),"",IF(NOT(ISNA(VLOOKUP(E13,E$1:E12,1,FALSE()))),"OLD",IF(AND(E13&lt;&gt;"",E13&lt;&gt;"!!!"),"NEW","")))</f>
        <v/>
      </c>
      <c r="G13" s="23" t="str">
        <f>IF(OR(E13="",E13="!!!"),"",IF(OR(J13=0,AND(J13=1,K13=1),AND(J13=1,I13="SBJ"),AND(J13=1,I13=0)),"?IN_FOCUS",IF(J13&lt;=2,"?ACTIVATED",IF(J13&lt;&gt;"","?FAMILIAR",IF(F13="NEW",IF(ISNA(VLOOKUP(E13,#REF!,1,FALSE())),"?TYPE_IDENTIFIABLE","?REFERENTIAL"),"_")))))</f>
        <v/>
      </c>
      <c r="H13" s="24" t="str">
        <f t="shared" ca="1" si="0"/>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5" spans="1:12" x14ac:dyDescent="0.3">
      <c r="A15" t="s">
        <v>199</v>
      </c>
    </row>
    <row r="16" spans="1:12" x14ac:dyDescent="0.3">
      <c r="A16" t="s">
        <v>200</v>
      </c>
      <c r="B16" s="20" t="s">
        <v>201</v>
      </c>
      <c r="C16" s="20" t="s">
        <v>202</v>
      </c>
      <c r="D16" s="20" t="s">
        <v>186</v>
      </c>
      <c r="E16" s="21" t="s">
        <v>739</v>
      </c>
      <c r="F16" s="22" t="s">
        <v>724</v>
      </c>
      <c r="G16" s="23" t="s">
        <v>176</v>
      </c>
      <c r="H16" s="24" t="str">
        <f t="shared" ref="H16:H25" ca="1" si="2">IF(J16&lt;&gt;1,"",IF(I16="SBJ","CB","?"))</f>
        <v/>
      </c>
      <c r="I16" s="25" t="e">
        <f>IF(OR(E16="",E16="!!!",F16="NEW"),"",INDEX(B$2:B15,-1+SUMPRODUCT(MAX(ROW(E$2:E15)*(E16=E$2:E15)))))</f>
        <v>#VALUE!</v>
      </c>
      <c r="J16" s="25">
        <f ca="1">IF(OR(E16="",E16="!!!",F16="NEW"),"",COUNTBLANK(OFFSET(A$1,,,SUMPRODUCT(MAX(ROW(E$2:E16)*(E16=E$2:E16)))))-COUNTBLANK(OFFSET(A$1,,,SUMPRODUCT(MAX(ROW(E$1:E15)*(E2=E$1:E15))))))</f>
        <v>0</v>
      </c>
      <c r="K16" s="25" t="e">
        <f>IF(OR(E16="",E16="!!!",F16="NEW"),"",INDEX(J$1:J15,SUMPRODUCT(MAX(ROW(E$1:E15)*(E16=E$1:E15)))))</f>
        <v>#VALUE!</v>
      </c>
      <c r="L16" s="26"/>
    </row>
    <row r="17" spans="1:12" x14ac:dyDescent="0.3">
      <c r="A17" t="s">
        <v>203</v>
      </c>
      <c r="E17" s="21" t="str">
        <f t="shared" ref="E17:E25" si="3">IF(D17="?OLD","!!!","")</f>
        <v/>
      </c>
      <c r="F17" s="22" t="str">
        <f>IF(OR(E17="",E17="!!!"),"",IF(NOT(ISNA(VLOOKUP(E17,E$1:E16,1,FALSE()))),"OLD",IF(AND(E17&lt;&gt;"",E17&lt;&gt;"!!!"),"NEW","")))</f>
        <v/>
      </c>
      <c r="G17" s="23" t="str">
        <f>IF(OR(E17="",E17="!!!"),"",IF(OR(J17=0,AND(J17=1,K17=1),AND(J17=1,I17="SBJ"),AND(J17=1,I17=0)),"?IN_FOCUS",IF(J17&lt;=2,"?ACTIVATED",IF(J17&lt;&gt;"","?FAMILIAR",IF(F17="NEW",IF(ISNA(VLOOKUP(E17,#REF!,1,FALSE())),"?TYPE_IDENTIFIABLE","?REFERENTIAL"),"_")))))</f>
        <v/>
      </c>
      <c r="H17" s="24" t="str">
        <f t="shared" ca="1" si="2"/>
        <v/>
      </c>
      <c r="I17" s="25" t="str">
        <f>IF(OR(E17="",E17="!!!",F17="NEW"),"",INDEX(B$2:B16,-1+SUMPRODUCT(MAX(ROW(E$2:E16)*(E17=E$2:E16)))))</f>
        <v/>
      </c>
      <c r="J17" s="25" t="str">
        <f ca="1">IF(OR(E17="",E17="!!!",F17="NEW"),"",COUNTBLANK(OFFSET(A$1,,,SUMPRODUCT(MAX(ROW(E$2:E17)*(E17=E$2:E17)))))-COUNTBLANK(OFFSET(A$1,,,SUMPRODUCT(MAX(ROW(E$1:E16)*(E2=E$1:E16))))))</f>
        <v/>
      </c>
      <c r="K17" s="25" t="str">
        <f>IF(OR(E17="",E17="!!!",F17="NEW"),"",INDEX(J$1:J16,SUMPRODUCT(MAX(ROW(E$1:E16)*(E17=E$1:E16)))))</f>
        <v/>
      </c>
      <c r="L17" s="26"/>
    </row>
    <row r="18" spans="1:12" x14ac:dyDescent="0.3">
      <c r="A18" t="s">
        <v>204</v>
      </c>
      <c r="E18" s="21" t="str">
        <f t="shared" si="3"/>
        <v/>
      </c>
      <c r="F18" s="22" t="str">
        <f>IF(OR(E18="",E18="!!!"),"",IF(NOT(ISNA(VLOOKUP(E18,E$1:E17,1,FALSE()))),"OLD",IF(AND(E18&lt;&gt;"",E18&lt;&gt;"!!!"),"NEW","")))</f>
        <v/>
      </c>
      <c r="G18" s="23" t="str">
        <f>IF(OR(E18="",E18="!!!"),"",IF(OR(J18=0,AND(J18=1,K18=1),AND(J18=1,I18="SBJ"),AND(J18=1,I18=0)),"?IN_FOCUS",IF(J18&lt;=2,"?ACTIVATED",IF(J18&lt;&gt;"","?FAMILIAR",IF(F18="NEW",IF(ISNA(VLOOKUP(E18,#REF!,1,FALSE())),"?TYPE_IDENTIFIABLE","?REFERENTIAL"),"_")))))</f>
        <v/>
      </c>
      <c r="H18" s="24" t="str">
        <f t="shared" ca="1" si="2"/>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205</v>
      </c>
      <c r="B19" s="20" t="s">
        <v>184</v>
      </c>
      <c r="C19" s="20" t="s">
        <v>193</v>
      </c>
      <c r="E19" s="21" t="str">
        <f t="shared" si="3"/>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2"/>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206</v>
      </c>
      <c r="E20" s="21" t="str">
        <f t="shared" si="3"/>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ca="1" si="2"/>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207</v>
      </c>
      <c r="B21" s="20" t="s">
        <v>208</v>
      </c>
      <c r="E21" s="21" t="str">
        <f t="shared" si="3"/>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2"/>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204</v>
      </c>
      <c r="E22" s="21" t="str">
        <f t="shared" si="3"/>
        <v/>
      </c>
      <c r="F22" s="22" t="str">
        <f>IF(OR(E22="",E22="!!!"),"",IF(NOT(ISNA(VLOOKUP(E22,E$1:E21,1,FALSE()))),"OLD",IF(AND(E22&lt;&gt;"",E22&lt;&gt;"!!!"),"NEW","")))</f>
        <v/>
      </c>
      <c r="G22" s="23" t="str">
        <f>IF(OR(E22="",E22="!!!"),"",IF(OR(J22=0,AND(J22=1,K22=1),AND(J22=1,I22="SBJ"),AND(J22=1,I22=0)),"?IN_FOCUS",IF(J22&lt;=2,"?ACTIVATED",IF(J22&lt;&gt;"","?FAMILIAR",IF(F22="NEW",IF(ISNA(VLOOKUP(E22,#REF!,1,FALSE())),"?TYPE_IDENTIFIABLE","?REFERENTIAL"),"_")))))</f>
        <v/>
      </c>
      <c r="H22" s="24" t="str">
        <f t="shared" ca="1" si="2"/>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209</v>
      </c>
      <c r="B23" s="20" t="s">
        <v>210</v>
      </c>
      <c r="C23" s="20" t="s">
        <v>193</v>
      </c>
      <c r="E23" s="21" t="s">
        <v>744</v>
      </c>
      <c r="F23" s="22" t="str">
        <f>IF(OR(E23="",E23="!!!"),"",IF(NOT(ISNA(VLOOKUP(E23,E$1:E22,1,FALSE()))),"OLD",IF(AND(E23&lt;&gt;"",E23&lt;&gt;"!!!"),"NEW","")))</f>
        <v>NEW</v>
      </c>
      <c r="G23" s="23" t="s">
        <v>176</v>
      </c>
      <c r="H23" s="24" t="str">
        <f t="shared" ca="1" si="2"/>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t="s">
        <v>758</v>
      </c>
    </row>
    <row r="24" spans="1:12" x14ac:dyDescent="0.3">
      <c r="A24" t="s">
        <v>211</v>
      </c>
      <c r="E24" s="21" t="str">
        <f t="shared" si="3"/>
        <v/>
      </c>
      <c r="F24" s="22" t="str">
        <f>IF(OR(E24="",E24="!!!"),"",IF(NOT(ISNA(VLOOKUP(E24,E$1:E23,1,FALSE()))),"OLD",IF(AND(E24&lt;&gt;"",E24&lt;&gt;"!!!"),"NEW","")))</f>
        <v/>
      </c>
      <c r="G24" s="23" t="str">
        <f>IF(OR(E24="",E24="!!!"),"",IF(OR(J24=0,AND(J24=1,K24=1),AND(J24=1,I24="SBJ"),AND(J24=1,I24=0)),"?IN_FOCUS",IF(J24&lt;=2,"?ACTIVATED",IF(J24&lt;&gt;"","?FAMILIAR",IF(F24="NEW",IF(ISNA(VLOOKUP(E24,#REF!,1,FALSE())),"?TYPE_IDENTIFIABLE","?REFERENTIAL"),"_")))))</f>
        <v/>
      </c>
      <c r="H24" s="24" t="str">
        <f t="shared" ca="1" si="2"/>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212</v>
      </c>
      <c r="E25" s="21" t="str">
        <f t="shared" si="3"/>
        <v/>
      </c>
      <c r="F25" s="22" t="str">
        <f>IF(OR(E25="",E25="!!!"),"",IF(NOT(ISNA(VLOOKUP(E25,E$1:E24,1,FALSE()))),"OLD",IF(AND(E25&lt;&gt;"",E25&lt;&gt;"!!!"),"NEW","")))</f>
        <v/>
      </c>
      <c r="G25" s="23" t="str">
        <f>IF(OR(E25="",E25="!!!"),"",IF(OR(J25=0,AND(J25=1,K25=1),AND(J25=1,I25="SBJ"),AND(J25=1,I25=0)),"?IN_FOCUS",IF(J25&lt;=2,"?ACTIVATED",IF(J25&lt;&gt;"","?FAMILIAR",IF(F25="NEW",IF(ISNA(VLOOKUP(E25,#REF!,1,FALSE())),"?TYPE_IDENTIFIABLE","?REFERENTIAL"),"_")))))</f>
        <v/>
      </c>
      <c r="H25" s="24" t="str">
        <f t="shared" ca="1" si="2"/>
        <v/>
      </c>
      <c r="I25" s="25" t="str">
        <f>IF(OR(E25="",E25="!!!",F25="NEW"),"",INDEX(B$2:B24,-1+SUMPRODUCT(MAX(ROW(E$2:E24)*(E25=E$2:E24)))))</f>
        <v/>
      </c>
      <c r="J25" s="25" t="str">
        <f ca="1">IF(OR(E25="",E25="!!!",F25="NEW"),"",COUNTBLANK(OFFSET(A$1,,,SUMPRODUCT(MAX(ROW(E$2:E25)*(E25=E$2:E25)))))-COUNTBLANK(OFFSET(A$1,,,SUMPRODUCT(MAX(ROW(E$1:E24)*(E2=E$1:E24))))))</f>
        <v/>
      </c>
      <c r="K25" s="25" t="str">
        <f>IF(OR(E25="",E25="!!!",F25="NEW"),"",INDEX(J$1:J24,SUMPRODUCT(MAX(ROW(E$1:E24)*(E25=E$1:E24)))))</f>
        <v/>
      </c>
      <c r="L25" s="26"/>
    </row>
    <row r="27" spans="1:12" x14ac:dyDescent="0.3">
      <c r="A27" t="s">
        <v>213</v>
      </c>
    </row>
    <row r="28" spans="1:12" x14ac:dyDescent="0.3">
      <c r="A28" t="s">
        <v>214</v>
      </c>
      <c r="E28" s="21" t="str">
        <f t="shared" ref="E28:E63" si="4">IF(D28="?OLD","!!!","")</f>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ref="H28:H63" ca="1" si="5">IF(J28&lt;&gt;1,"",IF(I28="SBJ","CB","?"))</f>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215</v>
      </c>
      <c r="B29" s="20" t="s">
        <v>201</v>
      </c>
      <c r="C29" s="20" t="s">
        <v>216</v>
      </c>
      <c r="D29" s="20" t="s">
        <v>186</v>
      </c>
      <c r="E29" s="21" t="s">
        <v>759</v>
      </c>
      <c r="F29" s="22" t="s">
        <v>724</v>
      </c>
      <c r="G29" s="23" t="s">
        <v>176</v>
      </c>
      <c r="H29" s="24" t="str">
        <f t="shared" ca="1" si="5"/>
        <v/>
      </c>
      <c r="I29" s="25" t="e">
        <f>IF(OR(E29="",E29="!!!",F29="NEW"),"",INDEX(B$2:B28,-1+SUMPRODUCT(MAX(ROW(E$2:E28)*(E29=E$2:E28)))))</f>
        <v>#VALUE!</v>
      </c>
      <c r="J29" s="25">
        <f ca="1">IF(OR(E29="",E29="!!!",F29="NEW"),"",COUNTBLANK(OFFSET(A$1,,,SUMPRODUCT(MAX(ROW(E$2:E29)*(E29=E$2:E29)))))-COUNTBLANK(OFFSET(A$1,,,SUMPRODUCT(MAX(ROW(E$1:E28)*(E2=E$1:E28))))))</f>
        <v>0</v>
      </c>
      <c r="K29" s="25" t="e">
        <f>IF(OR(E29="",E29="!!!",F29="NEW"),"",INDEX(J$1:J28,SUMPRODUCT(MAX(ROW(E$1:E28)*(E29=E$1:E28)))))</f>
        <v>#VALUE!</v>
      </c>
      <c r="L29" s="26"/>
    </row>
    <row r="30" spans="1:12" x14ac:dyDescent="0.3">
      <c r="A30" t="s">
        <v>217</v>
      </c>
      <c r="B30" s="20" t="s">
        <v>196</v>
      </c>
      <c r="C30" s="20" t="s">
        <v>185</v>
      </c>
      <c r="D30" s="20" t="s">
        <v>186</v>
      </c>
      <c r="E30" s="21" t="s">
        <v>721</v>
      </c>
      <c r="F30" s="22" t="str">
        <f>IF(OR(E30="",E30="!!!"),"",IF(NOT(ISNA(VLOOKUP(E30,E$1:E29,1,FALSE()))),"OLD",IF(AND(E30&lt;&gt;"",E30&lt;&gt;"!!!"),"NEW","")))</f>
        <v>OLD</v>
      </c>
      <c r="G30" s="23" t="s">
        <v>808</v>
      </c>
      <c r="H30" s="24" t="str">
        <f t="shared" ca="1" si="5"/>
        <v/>
      </c>
      <c r="I30" s="25" t="str">
        <f>IF(OR(E30="",E30="!!!",F30="NEW"),"",INDEX(B$2:B29,-1+SUMPRODUCT(MAX(ROW(E$2:E29)*(E30=E$2:E29)))))</f>
        <v>other</v>
      </c>
      <c r="J30" s="25">
        <f ca="1">IF(OR(E30="",E30="!!!",F30="NEW"),"",COUNTBLANK(OFFSET(A$1,,,SUMPRODUCT(MAX(ROW(E$2:E30)*(E30=E$2:E30)))))-COUNTBLANK(OFFSET(A$1,,,SUMPRODUCT(MAX(ROW(E$1:E29)*(E2=E$1:E29))))))</f>
        <v>0</v>
      </c>
      <c r="K30" s="25" t="str">
        <f ca="1">IF(OR(E30="",E30="!!!",F30="NEW"),"",INDEX(J$1:J29,SUMPRODUCT(MAX(ROW(E$1:E29)*(E30=E$1:E29)))))</f>
        <v/>
      </c>
      <c r="L30" s="26"/>
    </row>
    <row r="31" spans="1:12" x14ac:dyDescent="0.3">
      <c r="A31" t="s">
        <v>187</v>
      </c>
      <c r="E31" s="21" t="str">
        <f t="shared" si="4"/>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5"/>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218</v>
      </c>
      <c r="E32" s="21" t="str">
        <f t="shared" si="4"/>
        <v/>
      </c>
      <c r="F32" s="22" t="str">
        <f>IF(OR(E32="",E32="!!!"),"",IF(NOT(ISNA(VLOOKUP(E32,E$1:E31,1,FALSE()))),"OLD",IF(AND(E32&lt;&gt;"",E32&lt;&gt;"!!!"),"NEW","")))</f>
        <v/>
      </c>
      <c r="G32" s="23" t="str">
        <f>IF(OR(E32="",E32="!!!"),"",IF(OR(J32=0,AND(J32=1,K32=1),AND(J32=1,I32="SBJ"),AND(J32=1,I32=0)),"?IN_FOCUS",IF(J32&lt;=2,"?ACTIVATED",IF(J32&lt;&gt;"","?FAMILIAR",IF(F32="NEW",IF(ISNA(VLOOKUP(E32,#REF!,1,FALSE())),"?TYPE_IDENTIFIABLE","?REFERENTIAL"),"_")))))</f>
        <v/>
      </c>
      <c r="H32" s="24" t="str">
        <f t="shared" ca="1" si="5"/>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188</v>
      </c>
      <c r="B33" s="20" t="s">
        <v>219</v>
      </c>
      <c r="C33" s="20" t="s">
        <v>185</v>
      </c>
      <c r="D33" s="20" t="s">
        <v>186</v>
      </c>
      <c r="E33" s="21" t="s">
        <v>722</v>
      </c>
      <c r="F33" s="22" t="str">
        <f>IF(OR(E33="",E33="!!!"),"",IF(NOT(ISNA(VLOOKUP(E33,E$1:E32,1,FALSE()))),"OLD",IF(AND(E33&lt;&gt;"",E33&lt;&gt;"!!!"),"NEW","")))</f>
        <v>OLD</v>
      </c>
      <c r="G33" s="23" t="s">
        <v>808</v>
      </c>
      <c r="H33" s="24" t="str">
        <f t="shared" ca="1" si="5"/>
        <v/>
      </c>
      <c r="I33" s="25" t="str">
        <f>IF(OR(E33="",E33="!!!",F33="NEW"),"",INDEX(B$2:B32,-1+SUMPRODUCT(MAX(ROW(E$2:E32)*(E33=E$2:E32)))))</f>
        <v>other</v>
      </c>
      <c r="J33" s="25">
        <f ca="1">IF(OR(E33="",E33="!!!",F33="NEW"),"",COUNTBLANK(OFFSET(A$1,,,SUMPRODUCT(MAX(ROW(E$2:E33)*(E33=E$2:E33)))))-COUNTBLANK(OFFSET(A$1,,,SUMPRODUCT(MAX(ROW(E$1:E32)*(E2=E$1:E32))))))</f>
        <v>0</v>
      </c>
      <c r="K33" s="25" t="str">
        <f ca="1">IF(OR(E33="",E33="!!!",F33="NEW"),"",INDEX(J$1:J32,SUMPRODUCT(MAX(ROW(E$1:E32)*(E33=E$1:E32)))))</f>
        <v/>
      </c>
      <c r="L33" s="26"/>
    </row>
    <row r="34" spans="1:12" x14ac:dyDescent="0.3">
      <c r="A34" t="s">
        <v>220</v>
      </c>
      <c r="E34" s="21" t="str">
        <f t="shared" si="4"/>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5"/>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221</v>
      </c>
      <c r="B35" s="20" t="s">
        <v>222</v>
      </c>
      <c r="E35" s="21" t="str">
        <f t="shared" si="4"/>
        <v/>
      </c>
      <c r="F35" s="22" t="str">
        <f>IF(OR(E35="",E35="!!!"),"",IF(NOT(ISNA(VLOOKUP(E35,E$1:E34,1,FALSE()))),"OLD",IF(AND(E35&lt;&gt;"",E35&lt;&gt;"!!!"),"NEW","")))</f>
        <v/>
      </c>
      <c r="G35" s="23" t="str">
        <f>IF(OR(E35="",E35="!!!"),"",IF(OR(J35=0,AND(J35=1,K35=1),AND(J35=1,I35="SBJ"),AND(J35=1,I35=0)),"?IN_FOCUS",IF(J35&lt;=2,"?ACTIVATED",IF(J35&lt;&gt;"","?FAMILIAR",IF(F35="NEW",IF(ISNA(VLOOKUP(E35,#REF!,1,FALSE())),"?TYPE_IDENTIFIABLE","?REFERENTIAL"),"_")))))</f>
        <v/>
      </c>
      <c r="H35" s="24" t="str">
        <f t="shared" ca="1" si="5"/>
        <v/>
      </c>
      <c r="I35" s="25" t="str">
        <f>IF(OR(E35="",E35="!!!",F35="NEW"),"",INDEX(B$2:B34,-1+SUMPRODUCT(MAX(ROW(E$2:E34)*(E35=E$2:E34)))))</f>
        <v/>
      </c>
      <c r="J35" s="25" t="str">
        <f ca="1">IF(OR(E35="",E35="!!!",F35="NEW"),"",COUNTBLANK(OFFSET(A$1,,,SUMPRODUCT(MAX(ROW(E$2:E35)*(E35=E$2:E35)))))-COUNTBLANK(OFFSET(A$1,,,SUMPRODUCT(MAX(ROW(E$1:E34)*(E2=E$1:E34))))))</f>
        <v/>
      </c>
      <c r="K35" s="25" t="str">
        <f>IF(OR(E35="",E35="!!!",F35="NEW"),"",INDEX(J$1:J34,SUMPRODUCT(MAX(ROW(E$1:E34)*(E35=E$1:E34)))))</f>
        <v/>
      </c>
      <c r="L35" s="26"/>
    </row>
    <row r="36" spans="1:12" x14ac:dyDescent="0.3">
      <c r="A36" t="s">
        <v>223</v>
      </c>
      <c r="E36" s="21" t="str">
        <f t="shared" si="4"/>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ca="1" si="5"/>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224</v>
      </c>
      <c r="E37" s="21" t="str">
        <f t="shared" si="4"/>
        <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t="shared" ca="1" si="5"/>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225</v>
      </c>
      <c r="B38" s="20" t="s">
        <v>184</v>
      </c>
      <c r="C38" s="20" t="s">
        <v>216</v>
      </c>
      <c r="D38" s="20" t="s">
        <v>186</v>
      </c>
      <c r="E38" s="21" t="s">
        <v>727</v>
      </c>
      <c r="F38" s="22" t="s">
        <v>725</v>
      </c>
      <c r="G38" s="23"/>
      <c r="H38" s="24" t="str">
        <f t="shared" ca="1" si="5"/>
        <v/>
      </c>
      <c r="I38" s="25" t="e">
        <f>IF(OR(E38="",E38="!!!",F38="NEW"),"",INDEX(B$2:B37,-1+SUMPRODUCT(MAX(ROW(E$2:E37)*(E38=E$2:E37)))))</f>
        <v>#VALUE!</v>
      </c>
      <c r="J38" s="25">
        <f ca="1">IF(OR(E38="",E38="!!!",F38="NEW"),"",COUNTBLANK(OFFSET(A$1,,,SUMPRODUCT(MAX(ROW(E$2:E38)*(E38=E$2:E38)))))-COUNTBLANK(OFFSET(A$1,,,SUMPRODUCT(MAX(ROW(E$1:E37)*(E2=E$1:E37))))))</f>
        <v>0</v>
      </c>
      <c r="K38" s="25" t="e">
        <f>IF(OR(E38="",E38="!!!",F38="NEW"),"",INDEX(J$1:J37,SUMPRODUCT(MAX(ROW(E$1:E37)*(E38=E$1:E37)))))</f>
        <v>#VALUE!</v>
      </c>
      <c r="L38" s="26"/>
    </row>
    <row r="39" spans="1:12" x14ac:dyDescent="0.3">
      <c r="A39" t="s">
        <v>206</v>
      </c>
      <c r="E39" s="21" t="str">
        <f t="shared" si="4"/>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ca="1" si="5"/>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226</v>
      </c>
      <c r="E40" s="21" t="str">
        <f t="shared" si="4"/>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5"/>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221</v>
      </c>
      <c r="B41" s="20" t="s">
        <v>210</v>
      </c>
      <c r="E41" s="21" t="str">
        <f t="shared" si="4"/>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5"/>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207</v>
      </c>
      <c r="E42" s="21" t="str">
        <f t="shared" si="4"/>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ca="1" si="5"/>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227</v>
      </c>
      <c r="B43" s="20" t="s">
        <v>210</v>
      </c>
      <c r="C43" s="20" t="s">
        <v>216</v>
      </c>
      <c r="D43" s="20" t="s">
        <v>186</v>
      </c>
      <c r="E43" s="21"/>
      <c r="F43" s="22" t="s">
        <v>726</v>
      </c>
      <c r="G43" s="23" t="str">
        <f>IF(OR(E43="",E43="!!!"),"",IF(OR(J43=0,AND(J43=1,K43=1),AND(J43=1,I43="SBJ"),AND(J43=1,I43=0)),"?IN_FOCUS",IF(J43&lt;=2,"?ACTIVATED",IF(J43&lt;&gt;"","?FAMILIAR",IF(F43="NEW",IF(ISNA(VLOOKUP(E43,#REF!,1,FALSE())),"?TYPE_IDENTIFIABLE","?REFERENTIAL"),"_")))))</f>
        <v/>
      </c>
      <c r="H43" s="24" t="str">
        <f t="shared" ca="1" si="5"/>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228</v>
      </c>
      <c r="E44" s="21" t="str">
        <f t="shared" si="4"/>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5"/>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30</v>
      </c>
      <c r="E45" s="21" t="s">
        <v>739</v>
      </c>
      <c r="F45" s="22" t="str">
        <f>IF(OR(E45="",E45="!!!"),"",IF(NOT(ISNA(VLOOKUP(E45,E$1:E44,1,FALSE()))),"OLD",IF(AND(E45&lt;&gt;"",E45&lt;&gt;"!!!"),"NEW","")))</f>
        <v>OLD</v>
      </c>
      <c r="G45" s="23" t="s">
        <v>808</v>
      </c>
      <c r="H45" s="24" t="s">
        <v>178</v>
      </c>
      <c r="I45" s="25" t="str">
        <f>IF(OR(E45="",E45="!!!",F45="NEW"),"",INDEX(B$2:B44,-1+SUMPRODUCT(MAX(ROW(E$2:E44)*(E45=E$2:E44)))))</f>
        <v>SBJ</v>
      </c>
      <c r="J45" s="25">
        <f ca="1">IF(OR(E45="",E45="!!!",F45="NEW"),"",COUNTBLANK(OFFSET(A$1,,,SUMPRODUCT(MAX(ROW(E$2:E45)*(E45=E$2:E45)))))-COUNTBLANK(OFFSET(A$1,,,SUMPRODUCT(MAX(ROW(E$1:E44)*(E2=E$1:E44))))))</f>
        <v>0</v>
      </c>
      <c r="K45" s="25">
        <f ca="1">IF(OR(E45="",E45="!!!",F45="NEW"),"",INDEX(J$1:J44,SUMPRODUCT(MAX(ROW(E$1:E44)*(E45=E$1:E44)))))</f>
        <v>0</v>
      </c>
      <c r="L45" s="26" t="s">
        <v>786</v>
      </c>
    </row>
    <row r="46" spans="1:12" x14ac:dyDescent="0.3">
      <c r="A46" t="s">
        <v>187</v>
      </c>
      <c r="E46" s="21" t="str">
        <f t="shared" si="4"/>
        <v/>
      </c>
      <c r="F46" s="22" t="str">
        <f>IF(OR(E46="",E46="!!!"),"",IF(NOT(ISNA(VLOOKUP(E46,E$1:E45,1,FALSE()))),"OLD",IF(AND(E46&lt;&gt;"",E46&lt;&gt;"!!!"),"NEW","")))</f>
        <v/>
      </c>
      <c r="G46" s="23" t="str">
        <f>IF(OR(E46="",E46="!!!"),"",IF(OR(J46=0,AND(J46=1,K46=1),AND(J46=1,I46="SBJ"),AND(J46=1,I46=0)),"?IN_FOCUS",IF(J46&lt;=2,"?ACTIVATED",IF(J46&lt;&gt;"","?FAMILIAR",IF(F46="NEW",IF(ISNA(VLOOKUP(E46,#REF!,1,FALSE())),"?TYPE_IDENTIFIABLE","?REFERENTIAL"),"_")))))</f>
        <v/>
      </c>
      <c r="H46" s="24" t="str">
        <f t="shared" ca="1" si="5"/>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229</v>
      </c>
      <c r="E47" s="21" t="str">
        <f t="shared" si="4"/>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5"/>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230</v>
      </c>
      <c r="E48" s="21" t="str">
        <f t="shared" si="4"/>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5"/>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231</v>
      </c>
      <c r="B49" s="20" t="s">
        <v>232</v>
      </c>
      <c r="C49" s="20" t="s">
        <v>193</v>
      </c>
      <c r="E49" s="21" t="str">
        <f t="shared" si="4"/>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ca="1" si="5"/>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233</v>
      </c>
      <c r="E50" s="21" t="str">
        <f t="shared" si="4"/>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5"/>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234</v>
      </c>
      <c r="E51" s="21" t="str">
        <f t="shared" si="4"/>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t="shared" ca="1" si="5"/>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235</v>
      </c>
      <c r="B52" s="20" t="s">
        <v>236</v>
      </c>
      <c r="C52" s="20" t="s">
        <v>237</v>
      </c>
      <c r="E52" s="21" t="str">
        <f t="shared" si="4"/>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5"/>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238</v>
      </c>
      <c r="E53" s="21" t="str">
        <f t="shared" si="4"/>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5"/>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239</v>
      </c>
      <c r="E54" s="21" t="str">
        <f t="shared" si="4"/>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5"/>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240</v>
      </c>
      <c r="B55" s="20" t="s">
        <v>241</v>
      </c>
      <c r="C55" s="20" t="s">
        <v>216</v>
      </c>
      <c r="D55" s="20" t="s">
        <v>186</v>
      </c>
      <c r="E55" s="21" t="s">
        <v>744</v>
      </c>
      <c r="F55" s="22" t="str">
        <f>IF(OR(E55="",E55="!!!"),"",IF(NOT(ISNA(VLOOKUP(E55,E$1:E54,1,FALSE()))),"OLD",IF(AND(E55&lt;&gt;"",E55&lt;&gt;"!!!"),"NEW","")))</f>
        <v>OLD</v>
      </c>
      <c r="G55" s="23" t="s">
        <v>808</v>
      </c>
      <c r="H55" s="24" t="str">
        <f t="shared" ca="1" si="5"/>
        <v/>
      </c>
      <c r="I55" s="25" t="str">
        <f>IF(OR(E55="",E55="!!!",F55="NEW"),"",INDEX(B$2:B54,-1+SUMPRODUCT(MAX(ROW(E$2:E54)*(E55=E$2:E54)))))</f>
        <v>OBJ_2</v>
      </c>
      <c r="J55" s="25">
        <f ca="1">IF(OR(E55="",E55="!!!",F55="NEW"),"",COUNTBLANK(OFFSET(A$1,,,SUMPRODUCT(MAX(ROW(E$2:E55)*(E55=E$2:E55)))))-COUNTBLANK(OFFSET(A$1,,,SUMPRODUCT(MAX(ROW(E$1:E54)*(E2=E$1:E54))))))</f>
        <v>0</v>
      </c>
      <c r="K55" s="25" t="str">
        <f ca="1">IF(OR(E55="",E55="!!!",F55="NEW"),"",INDEX(J$1:J54,SUMPRODUCT(MAX(ROW(E$1:E54)*(E55=E$1:E54)))))</f>
        <v/>
      </c>
      <c r="L55" s="26"/>
    </row>
    <row r="56" spans="1:12" x14ac:dyDescent="0.3">
      <c r="A56" t="s">
        <v>218</v>
      </c>
      <c r="E56" s="21" t="str">
        <f t="shared" si="4"/>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5"/>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242</v>
      </c>
      <c r="B57" s="20" t="s">
        <v>243</v>
      </c>
      <c r="C57" s="20" t="s">
        <v>216</v>
      </c>
      <c r="D57" s="20" t="s">
        <v>186</v>
      </c>
      <c r="E57" s="21"/>
      <c r="F57" s="22" t="s">
        <v>729</v>
      </c>
      <c r="G57" s="23" t="str">
        <f>IF(OR(E57="",E57="!!!"),"",IF(OR(J57=0,AND(J57=1,K57=1),AND(J57=1,I57="SBJ"),AND(J57=1,I57=0)),"?IN_FOCUS",IF(J57&lt;=2,"?ACTIVATED",IF(J57&lt;&gt;"","?FAMILIAR",IF(F57="NEW",IF(ISNA(VLOOKUP(E57,#REF!,1,FALSE())),"?TYPE_IDENTIFIABLE","?REFERENTIAL"),"_")))))</f>
        <v/>
      </c>
      <c r="H57" s="24" t="str">
        <f t="shared" ca="1" si="5"/>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187</v>
      </c>
      <c r="E58" s="21" t="str">
        <f t="shared" si="4"/>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5"/>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244</v>
      </c>
      <c r="E59" s="21" t="str">
        <f t="shared" si="4"/>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5"/>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245</v>
      </c>
      <c r="B60" s="20" t="s">
        <v>246</v>
      </c>
      <c r="C60" s="20" t="s">
        <v>197</v>
      </c>
      <c r="E60" s="21" t="str">
        <f t="shared" si="4"/>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5"/>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228</v>
      </c>
      <c r="E61" s="21" t="str">
        <f t="shared" si="4"/>
        <v/>
      </c>
      <c r="F61" s="22" t="str">
        <f>IF(OR(E61="",E61="!!!"),"",IF(NOT(ISNA(VLOOKUP(E61,E$1:E60,1,FALSE()))),"OLD",IF(AND(E61&lt;&gt;"",E61&lt;&gt;"!!!"),"NEW","")))</f>
        <v/>
      </c>
      <c r="G61" s="23" t="str">
        <f>IF(OR(E61="",E61="!!!"),"",IF(OR(J61=0,AND(J61=1,K61=1),AND(J61=1,I61="SBJ"),AND(J61=1,I61=0)),"?IN_FOCUS",IF(J61&lt;=2,"?ACTIVATED",IF(J61&lt;&gt;"","?FAMILIAR",IF(F61="NEW",IF(ISNA(VLOOKUP(E61,#REF!,1,FALSE())),"?TYPE_IDENTIFIABLE","?REFERENTIAL"),"_")))))</f>
        <v/>
      </c>
      <c r="H61" s="24" t="str">
        <f t="shared" ca="1" si="5"/>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2" spans="1:12" x14ac:dyDescent="0.3">
      <c r="A62" t="s">
        <v>247</v>
      </c>
      <c r="E62" s="21" t="str">
        <f t="shared" si="4"/>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5"/>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212</v>
      </c>
      <c r="E63" s="21" t="str">
        <f t="shared" si="4"/>
        <v/>
      </c>
      <c r="F63" s="22" t="str">
        <f>IF(OR(E63="",E63="!!!"),"",IF(NOT(ISNA(VLOOKUP(E63,E$1:E62,1,FALSE()))),"OLD",IF(AND(E63&lt;&gt;"",E63&lt;&gt;"!!!"),"NEW","")))</f>
        <v/>
      </c>
      <c r="G63" s="23" t="str">
        <f>IF(OR(E63="",E63="!!!"),"",IF(OR(J63=0,AND(J63=1,K63=1),AND(J63=1,I63="SBJ"),AND(J63=1,I63=0)),"?IN_FOCUS",IF(J63&lt;=2,"?ACTIVATED",IF(J63&lt;&gt;"","?FAMILIAR",IF(F63="NEW",IF(ISNA(VLOOKUP(E63,#REF!,1,FALSE())),"?TYPE_IDENTIFIABLE","?REFERENTIAL"),"_")))))</f>
        <v/>
      </c>
      <c r="H63" s="24" t="str">
        <f t="shared" ca="1" si="5"/>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5" spans="1:12" x14ac:dyDescent="0.3">
      <c r="A65" t="s">
        <v>248</v>
      </c>
    </row>
    <row r="66" spans="1:12" x14ac:dyDescent="0.3">
      <c r="A66" t="s">
        <v>249</v>
      </c>
      <c r="E66" s="21" t="str">
        <f t="shared" ref="E66:E101" si="6">IF(D66="?OLD","!!!","")</f>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ref="H66:H101" ca="1" si="7">IF(J66&lt;&gt;1,"",IF(I66="SBJ","CB","?"))</f>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250</v>
      </c>
      <c r="E67" s="21" t="str">
        <f t="shared" si="6"/>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7"/>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251</v>
      </c>
      <c r="B68" s="20" t="s">
        <v>219</v>
      </c>
      <c r="C68" s="20" t="s">
        <v>252</v>
      </c>
      <c r="D68" s="20" t="s">
        <v>186</v>
      </c>
      <c r="E68" s="21" t="s">
        <v>730</v>
      </c>
      <c r="F68" s="22" t="str">
        <f>IF(OR(E68="",E68="!!!"),"",IF(NOT(ISNA(VLOOKUP(E68,E$1:E67,1,FALSE()))),"OLD",IF(AND(E68&lt;&gt;"",E68&lt;&gt;"!!!"),"NEW","")))</f>
        <v>NEW</v>
      </c>
      <c r="G68" s="23" t="s">
        <v>723</v>
      </c>
      <c r="H68" s="24" t="str">
        <f t="shared" ca="1" si="7"/>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253</v>
      </c>
      <c r="B69" s="20" t="s">
        <v>208</v>
      </c>
      <c r="C69" s="20" t="s">
        <v>197</v>
      </c>
      <c r="E69" s="21" t="str">
        <f t="shared" si="6"/>
        <v/>
      </c>
      <c r="F69" s="22" t="str">
        <f>IF(OR(E69="",E69="!!!"),"",IF(NOT(ISNA(VLOOKUP(E69,E$1:E68,1,FALSE()))),"OLD",IF(AND(E69&lt;&gt;"",E69&lt;&gt;"!!!"),"NEW","")))</f>
        <v/>
      </c>
      <c r="G69" s="23" t="str">
        <f>IF(OR(E69="",E69="!!!"),"",IF(OR(J69=0,AND(J69=1,K69=1),AND(J69=1,I69="SBJ"),AND(J69=1,I69=0)),"?IN_FOCUS",IF(J69&lt;=2,"?ACTIVATED",IF(J69&lt;&gt;"","?FAMILIAR",IF(F69="NEW",IF(ISNA(VLOOKUP(E69,#REF!,1,FALSE())),"?TYPE_IDENTIFIABLE","?REFERENTIAL"),"_")))))</f>
        <v/>
      </c>
      <c r="H69" s="24" t="str">
        <f t="shared" ca="1" si="7"/>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0" spans="1:12" x14ac:dyDescent="0.3">
      <c r="A70" t="s">
        <v>254</v>
      </c>
      <c r="E70" s="21" t="s">
        <v>730</v>
      </c>
      <c r="F70" s="22" t="str">
        <f>IF(OR(E70="",E70="!!!"),"",IF(NOT(ISNA(VLOOKUP(E70,E$1:E69,1,FALSE()))),"OLD",IF(AND(E70&lt;&gt;"",E70&lt;&gt;"!!!"),"NEW","")))</f>
        <v>OLD</v>
      </c>
      <c r="G70" s="23" t="s">
        <v>809</v>
      </c>
      <c r="H70" s="24" t="s">
        <v>178</v>
      </c>
      <c r="I70" s="25" t="str">
        <f>IF(OR(E70="",E70="!!!",F70="NEW"),"",INDEX(B$2:B69,-1+SUMPRODUCT(MAX(ROW(E$2:E69)*(E70=E$2:E69)))))</f>
        <v>other_3</v>
      </c>
      <c r="J70" s="25">
        <f ca="1">IF(OR(E70="",E70="!!!",F70="NEW"),"",COUNTBLANK(OFFSET(A$1,,,SUMPRODUCT(MAX(ROW(E$2:E70)*(E70=E$2:E70)))))-COUNTBLANK(OFFSET(A$1,,,SUMPRODUCT(MAX(ROW(E$1:E69)*(E2=E$1:E69))))))</f>
        <v>0</v>
      </c>
      <c r="K70" s="25" t="str">
        <f ca="1">IF(OR(E70="",E70="!!!",F70="NEW"),"",INDEX(J$1:J69,SUMPRODUCT(MAX(ROW(E$1:E69)*(E70=E$1:E69)))))</f>
        <v/>
      </c>
      <c r="L70" s="26" t="s">
        <v>732</v>
      </c>
    </row>
    <row r="71" spans="1:12" x14ac:dyDescent="0.3">
      <c r="A71" t="s">
        <v>255</v>
      </c>
      <c r="E71" s="21" t="str">
        <f t="shared" si="6"/>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7"/>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256</v>
      </c>
      <c r="B72" s="20" t="s">
        <v>210</v>
      </c>
      <c r="C72" s="20" t="s">
        <v>257</v>
      </c>
      <c r="E72" s="21" t="s">
        <v>731</v>
      </c>
      <c r="F72" s="22" t="str">
        <f>IF(OR(E72="",E72="!!!"),"",IF(NOT(ISNA(VLOOKUP(E72,E$1:E71,1,FALSE()))),"OLD",IF(AND(E72&lt;&gt;"",E72&lt;&gt;"!!!"),"NEW","")))</f>
        <v>NEW</v>
      </c>
      <c r="G72" s="23" t="s">
        <v>723</v>
      </c>
      <c r="H72" s="24" t="str">
        <f t="shared" ca="1" si="7"/>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258</v>
      </c>
      <c r="E73" s="21" t="str">
        <f t="shared" si="6"/>
        <v/>
      </c>
      <c r="F73" s="22" t="str">
        <f>IF(OR(E73="",E73="!!!"),"",IF(NOT(ISNA(VLOOKUP(E73,E$1:E72,1,FALSE()))),"OLD",IF(AND(E73&lt;&gt;"",E73&lt;&gt;"!!!"),"NEW","")))</f>
        <v/>
      </c>
      <c r="G73" s="23" t="str">
        <f>IF(OR(E73="",E73="!!!"),"",IF(OR(J73=0,AND(J73=1,K73=1),AND(J73=1,I73="SBJ"),AND(J73=1,I73=0)),"?IN_FOCUS",IF(J73&lt;=2,"?ACTIVATED",IF(J73&lt;&gt;"","?FAMILIAR",IF(F73="NEW",IF(ISNA(VLOOKUP(E73,#REF!,1,FALSE())),"?TYPE_IDENTIFIABLE","?REFERENTIAL"),"_")))))</f>
        <v/>
      </c>
      <c r="H73" s="24" t="str">
        <f t="shared" ca="1" si="7"/>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4" spans="1:12" x14ac:dyDescent="0.3">
      <c r="A74" t="s">
        <v>224</v>
      </c>
      <c r="E74" s="21" t="str">
        <f t="shared" si="6"/>
        <v/>
      </c>
      <c r="F74" s="22" t="str">
        <f>IF(OR(E74="",E74="!!!"),"",IF(NOT(ISNA(VLOOKUP(E74,E$1:E73,1,FALSE()))),"OLD",IF(AND(E74&lt;&gt;"",E74&lt;&gt;"!!!"),"NEW","")))</f>
        <v/>
      </c>
      <c r="G74" s="23" t="str">
        <f>IF(OR(E74="",E74="!!!"),"",IF(OR(J74=0,AND(J74=1,K74=1),AND(J74=1,I74="SBJ"),AND(J74=1,I74=0)),"?IN_FOCUS",IF(J74&lt;=2,"?ACTIVATED",IF(J74&lt;&gt;"","?FAMILIAR",IF(F74="NEW",IF(ISNA(VLOOKUP(E74,#REF!,1,FALSE())),"?TYPE_IDENTIFIABLE","?REFERENTIAL"),"_")))))</f>
        <v/>
      </c>
      <c r="H74" s="24" t="str">
        <f t="shared" ca="1" si="7"/>
        <v/>
      </c>
      <c r="I74" s="25" t="str">
        <f>IF(OR(E74="",E74="!!!",F74="NEW"),"",INDEX(B$2:B73,-1+SUMPRODUCT(MAX(ROW(E$2:E73)*(E74=E$2:E73)))))</f>
        <v/>
      </c>
      <c r="J74" s="25" t="str">
        <f ca="1">IF(OR(E74="",E74="!!!",F74="NEW"),"",COUNTBLANK(OFFSET(A$1,,,SUMPRODUCT(MAX(ROW(E$2:E74)*(E74=E$2:E74)))))-COUNTBLANK(OFFSET(A$1,,,SUMPRODUCT(MAX(ROW(E$1:E73)*(E2=E$1:E73))))))</f>
        <v/>
      </c>
      <c r="K74" s="25" t="str">
        <f>IF(OR(E74="",E74="!!!",F74="NEW"),"",INDEX(J$1:J73,SUMPRODUCT(MAX(ROW(E$1:E73)*(E74=E$1:E73)))))</f>
        <v/>
      </c>
      <c r="L74" s="26"/>
    </row>
    <row r="75" spans="1:12" x14ac:dyDescent="0.3">
      <c r="A75" t="s">
        <v>259</v>
      </c>
      <c r="E75" s="21" t="str">
        <f t="shared" si="6"/>
        <v/>
      </c>
      <c r="F75" s="22" t="str">
        <f>IF(OR(E75="",E75="!!!"),"",IF(NOT(ISNA(VLOOKUP(E75,E$1:E74,1,FALSE()))),"OLD",IF(AND(E75&lt;&gt;"",E75&lt;&gt;"!!!"),"NEW","")))</f>
        <v/>
      </c>
      <c r="G75" s="23" t="str">
        <f>IF(OR(E75="",E75="!!!"),"",IF(OR(J75=0,AND(J75=1,K75=1),AND(J75=1,I75="SBJ"),AND(J75=1,I75=0)),"?IN_FOCUS",IF(J75&lt;=2,"?ACTIVATED",IF(J75&lt;&gt;"","?FAMILIAR",IF(F75="NEW",IF(ISNA(VLOOKUP(E75,#REF!,1,FALSE())),"?TYPE_IDENTIFIABLE","?REFERENTIAL"),"_")))))</f>
        <v/>
      </c>
      <c r="H75" s="24" t="str">
        <f t="shared" ca="1" si="7"/>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260</v>
      </c>
      <c r="B76" s="20" t="s">
        <v>196</v>
      </c>
      <c r="C76" s="20" t="s">
        <v>261</v>
      </c>
      <c r="D76" s="20" t="s">
        <v>186</v>
      </c>
      <c r="E76" s="21" t="s">
        <v>733</v>
      </c>
      <c r="F76" s="22" t="str">
        <f>IF(OR(E76="",E76="!!!"),"",IF(NOT(ISNA(VLOOKUP(E76,E$1:E75,1,FALSE()))),"OLD",IF(AND(E76&lt;&gt;"",E76&lt;&gt;"!!!"),"NEW","")))</f>
        <v>NEW</v>
      </c>
      <c r="G76" s="23" t="s">
        <v>807</v>
      </c>
      <c r="H76" s="24" t="str">
        <f t="shared" ca="1" si="7"/>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233</v>
      </c>
      <c r="E77" s="21" t="str">
        <f t="shared" si="6"/>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7"/>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262</v>
      </c>
      <c r="B78" s="20" t="s">
        <v>219</v>
      </c>
      <c r="C78" s="20" t="s">
        <v>185</v>
      </c>
      <c r="D78" s="20" t="s">
        <v>186</v>
      </c>
      <c r="E78" s="21"/>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7"/>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263</v>
      </c>
      <c r="E79" s="21" t="str">
        <f t="shared" si="6"/>
        <v/>
      </c>
      <c r="F79" s="22" t="str">
        <f>IF(OR(E79="",E79="!!!"),"",IF(NOT(ISNA(VLOOKUP(E79,E$1:E78,1,FALSE()))),"OLD",IF(AND(E79&lt;&gt;"",E79&lt;&gt;"!!!"),"NEW","")))</f>
        <v/>
      </c>
      <c r="G79" s="23" t="str">
        <f>IF(OR(E79="",E79="!!!"),"",IF(OR(J79=0,AND(J79=1,K79=1),AND(J79=1,I79="SBJ"),AND(J79=1,I79=0)),"?IN_FOCUS",IF(J79&lt;=2,"?ACTIVATED",IF(J79&lt;&gt;"","?FAMILIAR",IF(F79="NEW",IF(ISNA(VLOOKUP(E79,#REF!,1,FALSE())),"?TYPE_IDENTIFIABLE","?REFERENTIAL"),"_")))))</f>
        <v/>
      </c>
      <c r="H79" s="24" t="str">
        <f t="shared" ca="1" si="7"/>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row>
    <row r="80" spans="1:12" x14ac:dyDescent="0.3">
      <c r="A80" t="s">
        <v>264</v>
      </c>
      <c r="E80" s="21" t="s">
        <v>734</v>
      </c>
      <c r="F80" s="22" t="str">
        <f>IF(OR(E80="",E80="!!!"),"",IF(NOT(ISNA(VLOOKUP(E80,E$1:E79,1,FALSE()))),"OLD",IF(AND(E80&lt;&gt;"",E80&lt;&gt;"!!!"),"NEW","")))</f>
        <v>NEW</v>
      </c>
      <c r="G80" s="23" t="s">
        <v>807</v>
      </c>
      <c r="H80" s="24" t="str">
        <f t="shared" ca="1" si="7"/>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t="s">
        <v>735</v>
      </c>
    </row>
    <row r="81" spans="1:12" x14ac:dyDescent="0.3">
      <c r="A81" t="s">
        <v>258</v>
      </c>
      <c r="E81" s="21" t="str">
        <f t="shared" si="6"/>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7"/>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265</v>
      </c>
      <c r="B82" s="20" t="s">
        <v>219</v>
      </c>
      <c r="C82" s="20" t="s">
        <v>197</v>
      </c>
      <c r="E82" s="21" t="str">
        <f t="shared" si="6"/>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7"/>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266</v>
      </c>
      <c r="E83" s="21" t="str">
        <f t="shared" si="6"/>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7"/>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206</v>
      </c>
      <c r="E84" s="21" t="str">
        <f t="shared" si="6"/>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7"/>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267</v>
      </c>
      <c r="E85" s="21" t="str">
        <f t="shared" si="6"/>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7"/>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268</v>
      </c>
      <c r="B86" s="20" t="s">
        <v>201</v>
      </c>
      <c r="C86" s="20" t="s">
        <v>202</v>
      </c>
      <c r="D86" s="20" t="s">
        <v>186</v>
      </c>
      <c r="E86" s="21" t="s">
        <v>741</v>
      </c>
      <c r="F86" s="22" t="s">
        <v>725</v>
      </c>
      <c r="G86" s="23" t="s">
        <v>176</v>
      </c>
      <c r="H86" s="24" t="str">
        <f t="shared" ca="1" si="7"/>
        <v/>
      </c>
      <c r="I86" s="25" t="e">
        <f>IF(OR(E86="",E86="!!!",F86="NEW"),"",INDEX(B$2:B85,-1+SUMPRODUCT(MAX(ROW(E$2:E85)*(E86=E$2:E85)))))</f>
        <v>#VALUE!</v>
      </c>
      <c r="J86" s="25">
        <f ca="1">IF(OR(E86="",E86="!!!",F86="NEW"),"",COUNTBLANK(OFFSET(A$1,,,SUMPRODUCT(MAX(ROW(E$2:E86)*(E86=E$2:E86)))))-COUNTBLANK(OFFSET(A$1,,,SUMPRODUCT(MAX(ROW(E$1:E85)*(E2=E$1:E85))))))</f>
        <v>0</v>
      </c>
      <c r="K86" s="25" t="e">
        <f>IF(OR(E86="",E86="!!!",F86="NEW"),"",INDEX(J$1:J85,SUMPRODUCT(MAX(ROW(E$1:E85)*(E86=E$1:E85)))))</f>
        <v>#VALUE!</v>
      </c>
      <c r="L86" s="26"/>
    </row>
    <row r="87" spans="1:12" x14ac:dyDescent="0.3">
      <c r="A87" t="s">
        <v>269</v>
      </c>
      <c r="B87" s="20" t="s">
        <v>222</v>
      </c>
      <c r="E87" s="21" t="str">
        <f t="shared" si="6"/>
        <v/>
      </c>
      <c r="F87" s="22" t="str">
        <f>IF(OR(E87="",E87="!!!"),"",IF(NOT(ISNA(VLOOKUP(E87,E$1:E86,1,FALSE()))),"OLD",IF(AND(E87&lt;&gt;"",E87&lt;&gt;"!!!"),"NEW","")))</f>
        <v/>
      </c>
      <c r="G87" s="23" t="str">
        <f>IF(OR(E87="",E87="!!!"),"",IF(OR(J87=0,AND(J87=1,K87=1),AND(J87=1,I87="SBJ"),AND(J87=1,I87=0)),"?IN_FOCUS",IF(J87&lt;=2,"?ACTIVATED",IF(J87&lt;&gt;"","?FAMILIAR",IF(F87="NEW",IF(ISNA(VLOOKUP(E87,#REF!,1,FALSE())),"?TYPE_IDENTIFIABLE","?REFERENTIAL"),"_")))))</f>
        <v/>
      </c>
      <c r="H87" s="24" t="str">
        <f t="shared" ca="1" si="7"/>
        <v/>
      </c>
      <c r="I87" s="25" t="str">
        <f>IF(OR(E87="",E87="!!!",F87="NEW"),"",INDEX(B$2:B86,-1+SUMPRODUCT(MAX(ROW(E$2:E86)*(E87=E$2:E86)))))</f>
        <v/>
      </c>
      <c r="J87" s="25" t="str">
        <f ca="1">IF(OR(E87="",E87="!!!",F87="NEW"),"",COUNTBLANK(OFFSET(A$1,,,SUMPRODUCT(MAX(ROW(E$2:E87)*(E87=E$2:E87)))))-COUNTBLANK(OFFSET(A$1,,,SUMPRODUCT(MAX(ROW(E$1:E86)*(E2=E$1:E86))))))</f>
        <v/>
      </c>
      <c r="K87" s="25" t="str">
        <f>IF(OR(E87="",E87="!!!",F87="NEW"),"",INDEX(J$1:J86,SUMPRODUCT(MAX(ROW(E$1:E86)*(E87=E$1:E86)))))</f>
        <v/>
      </c>
      <c r="L87" s="26"/>
    </row>
    <row r="88" spans="1:12" x14ac:dyDescent="0.3">
      <c r="A88" t="s">
        <v>270</v>
      </c>
      <c r="E88" s="21" t="str">
        <f t="shared" si="6"/>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7"/>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233</v>
      </c>
      <c r="E89" s="21" t="str">
        <f t="shared" si="6"/>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7"/>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271</v>
      </c>
      <c r="B90" s="20" t="s">
        <v>222</v>
      </c>
      <c r="C90" s="20" t="s">
        <v>216</v>
      </c>
      <c r="D90" s="20" t="s">
        <v>186</v>
      </c>
      <c r="E90" s="21"/>
      <c r="F90" s="22" t="s">
        <v>729</v>
      </c>
      <c r="G90" s="23" t="str">
        <f>IF(OR(E90="",E90="!!!"),"",IF(OR(J90=0,AND(J90=1,K90=1),AND(J90=1,I90="SBJ"),AND(J90=1,I90=0)),"?IN_FOCUS",IF(J90&lt;=2,"?ACTIVATED",IF(J90&lt;&gt;"","?FAMILIAR",IF(F90="NEW",IF(ISNA(VLOOKUP(E90,#REF!,1,FALSE())),"?TYPE_IDENTIFIABLE","?REFERENTIAL"),"_")))))</f>
        <v/>
      </c>
      <c r="H90" s="24" t="str">
        <f t="shared" ca="1" si="7"/>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26</v>
      </c>
      <c r="E91" s="21" t="str">
        <f t="shared" si="6"/>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7"/>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206</v>
      </c>
      <c r="E92" s="21" t="str">
        <f t="shared" si="6"/>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7"/>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272</v>
      </c>
      <c r="E93" s="21" t="str">
        <f t="shared" si="6"/>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7"/>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273</v>
      </c>
      <c r="B94" s="20" t="s">
        <v>208</v>
      </c>
      <c r="C94" s="20" t="s">
        <v>185</v>
      </c>
      <c r="D94" s="20" t="s">
        <v>186</v>
      </c>
      <c r="E94" s="21" t="s">
        <v>736</v>
      </c>
      <c r="F94" s="22" t="str">
        <f>IF(OR(E94="",E94="!!!"),"",IF(NOT(ISNA(VLOOKUP(E94,E$1:E93,1,FALSE()))),"OLD",IF(AND(E94&lt;&gt;"",E94&lt;&gt;"!!!"),"NEW","")))</f>
        <v>NEW</v>
      </c>
      <c r="G94" s="23" t="s">
        <v>723</v>
      </c>
      <c r="H94" s="24" t="str">
        <f t="shared" ca="1" si="7"/>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5" spans="1:12" x14ac:dyDescent="0.3">
      <c r="A95" t="s">
        <v>274</v>
      </c>
      <c r="B95" s="20" t="s">
        <v>219</v>
      </c>
      <c r="C95" s="20" t="s">
        <v>275</v>
      </c>
      <c r="D95" s="20" t="s">
        <v>186</v>
      </c>
      <c r="E95" s="21"/>
      <c r="F95" s="22" t="str">
        <f>IF(OR(E95="",E95="!!!"),"",IF(NOT(ISNA(VLOOKUP(E95,E$1:E94,1,FALSE()))),"OLD",IF(AND(E95&lt;&gt;"",E95&lt;&gt;"!!!"),"NEW","")))</f>
        <v/>
      </c>
      <c r="G95" s="23" t="str">
        <f>IF(OR(E95="",E95="!!!"),"",IF(OR(J95=0,AND(J95=1,K95=1),AND(J95=1,I95="SBJ"),AND(J95=1,I95=0)),"?IN_FOCUS",IF(J95&lt;=2,"?ACTIVATED",IF(J95&lt;&gt;"","?FAMILIAR",IF(F95="NEW",IF(ISNA(VLOOKUP(E95,#REF!,1,FALSE())),"?TYPE_IDENTIFIABLE","?REFERENTIAL"),"_")))))</f>
        <v/>
      </c>
      <c r="H95" s="24" t="str">
        <f t="shared" ca="1" si="7"/>
        <v/>
      </c>
      <c r="I95" s="25" t="str">
        <f>IF(OR(E95="",E95="!!!",F95="NEW"),"",INDEX(B$2:B94,-1+SUMPRODUCT(MAX(ROW(E$2:E94)*(E95=E$2:E94)))))</f>
        <v/>
      </c>
      <c r="J95" s="25" t="str">
        <f ca="1">IF(OR(E95="",E95="!!!",F95="NEW"),"",COUNTBLANK(OFFSET(A$1,,,SUMPRODUCT(MAX(ROW(E$2:E95)*(E95=E$2:E95)))))-COUNTBLANK(OFFSET(A$1,,,SUMPRODUCT(MAX(ROW(E$1:E94)*(E2=E$1:E94))))))</f>
        <v/>
      </c>
      <c r="K95" s="25" t="str">
        <f>IF(OR(E95="",E95="!!!",F95="NEW"),"",INDEX(J$1:J94,SUMPRODUCT(MAX(ROW(E$1:E94)*(E95=E$1:E94)))))</f>
        <v/>
      </c>
      <c r="L95" s="26" t="s">
        <v>737</v>
      </c>
    </row>
    <row r="96" spans="1:12" x14ac:dyDescent="0.3">
      <c r="A96" t="s">
        <v>276</v>
      </c>
      <c r="B96" s="20" t="s">
        <v>210</v>
      </c>
      <c r="C96" s="20" t="s">
        <v>277</v>
      </c>
      <c r="D96" s="20" t="s">
        <v>186</v>
      </c>
      <c r="E96" s="21" t="s">
        <v>739</v>
      </c>
      <c r="F96" s="22" t="str">
        <f>IF(OR(E96="",E96="!!!"),"",IF(NOT(ISNA(VLOOKUP(E96,E$1:E95,1,FALSE()))),"OLD",IF(AND(E96&lt;&gt;"",E96&lt;&gt;"!!!"),"NEW","")))</f>
        <v>OLD</v>
      </c>
      <c r="G96" s="23" t="s">
        <v>808</v>
      </c>
      <c r="H96" s="24" t="str">
        <f t="shared" ca="1" si="7"/>
        <v/>
      </c>
      <c r="I96" s="25">
        <f>IF(OR(E96="",E96="!!!",F96="NEW"),"",INDEX(B$2:B95,-1+SUMPRODUCT(MAX(ROW(E$2:E95)*(E96=E$2:E95)))))</f>
        <v>0</v>
      </c>
      <c r="J96" s="25">
        <f ca="1">IF(OR(E96="",E96="!!!",F96="NEW"),"",COUNTBLANK(OFFSET(A$1,,,SUMPRODUCT(MAX(ROW(E$2:E96)*(E96=E$2:E96)))))-COUNTBLANK(OFFSET(A$1,,,SUMPRODUCT(MAX(ROW(E$1:E95)*(E2=E$1:E95))))))</f>
        <v>0</v>
      </c>
      <c r="K96" s="25">
        <f ca="1">IF(OR(E96="",E96="!!!",F96="NEW"),"",INDEX(J$1:J95,SUMPRODUCT(MAX(ROW(E$1:E95)*(E96=E$1:E95)))))</f>
        <v>0</v>
      </c>
      <c r="L96" s="26"/>
    </row>
    <row r="97" spans="1:12" x14ac:dyDescent="0.3">
      <c r="A97" t="s">
        <v>223</v>
      </c>
      <c r="E97" s="21" t="str">
        <f t="shared" si="6"/>
        <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7"/>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224</v>
      </c>
      <c r="E98" s="21" t="str">
        <f t="shared" si="6"/>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7"/>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278</v>
      </c>
      <c r="B99" s="20" t="s">
        <v>196</v>
      </c>
      <c r="C99" s="20" t="s">
        <v>252</v>
      </c>
      <c r="D99" s="20" t="s">
        <v>186</v>
      </c>
      <c r="E99" s="21"/>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7"/>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t="s">
        <v>738</v>
      </c>
    </row>
    <row r="100" spans="1:12" x14ac:dyDescent="0.3">
      <c r="A100" t="s">
        <v>279</v>
      </c>
      <c r="E100" s="21" t="str">
        <f t="shared" si="6"/>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7"/>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212</v>
      </c>
      <c r="E101" s="21" t="str">
        <f t="shared" si="6"/>
        <v/>
      </c>
      <c r="F101" s="22" t="str">
        <f>IF(OR(E101="",E101="!!!"),"",IF(NOT(ISNA(VLOOKUP(E101,E$1:E100,1,FALSE()))),"OLD",IF(AND(E101&lt;&gt;"",E101&lt;&gt;"!!!"),"NEW","")))</f>
        <v/>
      </c>
      <c r="G101" s="23" t="str">
        <f>IF(OR(E101="",E101="!!!"),"",IF(OR(J101=0,AND(J101=1,K101=1),AND(J101=1,I101="SBJ"),AND(J101=1,I101=0)),"?IN_FOCUS",IF(J101&lt;=2,"?ACTIVATED",IF(J101&lt;&gt;"","?FAMILIAR",IF(F101="NEW",IF(ISNA(VLOOKUP(E101,#REF!,1,FALSE())),"?TYPE_IDENTIFIABLE","?REFERENTIAL"),"_")))))</f>
        <v/>
      </c>
      <c r="H101" s="24" t="str">
        <f t="shared" ca="1" si="7"/>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3" spans="1:12" x14ac:dyDescent="0.3">
      <c r="A103" t="s">
        <v>280</v>
      </c>
    </row>
    <row r="104" spans="1:12" x14ac:dyDescent="0.3">
      <c r="A104" t="s">
        <v>200</v>
      </c>
      <c r="E104" s="21" t="str">
        <f t="shared" ref="E104:E110" si="8">IF(D104="?OLD","!!!","")</f>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ref="H104:H110" ca="1" si="9">IF(J104&lt;&gt;1,"",IF(I104="SBJ","CB","?"))</f>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5" spans="1:12" x14ac:dyDescent="0.3">
      <c r="A105" t="s">
        <v>281</v>
      </c>
      <c r="E105" s="21" t="str">
        <f t="shared" si="8"/>
        <v/>
      </c>
      <c r="F105" s="22" t="str">
        <f>IF(OR(E105="",E105="!!!"),"",IF(NOT(ISNA(VLOOKUP(E105,E$1:E104,1,FALSE()))),"OLD",IF(AND(E105&lt;&gt;"",E105&lt;&gt;"!!!"),"NEW","")))</f>
        <v/>
      </c>
      <c r="G105" s="23" t="str">
        <f>IF(OR(E105="",E105="!!!"),"",IF(OR(J105=0,AND(J105=1,K105=1),AND(J105=1,I105="SBJ"),AND(J105=1,I105=0)),"?IN_FOCUS",IF(J105&lt;=2,"?ACTIVATED",IF(J105&lt;&gt;"","?FAMILIAR",IF(F105="NEW",IF(ISNA(VLOOKUP(E105,#REF!,1,FALSE())),"?TYPE_IDENTIFIABLE","?REFERENTIAL"),"_")))))</f>
        <v/>
      </c>
      <c r="H105" s="24" t="str">
        <f t="shared" ca="1" si="9"/>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282</v>
      </c>
      <c r="E106" s="21" t="str">
        <f t="shared" si="8"/>
        <v/>
      </c>
      <c r="F106" s="22" t="str">
        <f>IF(OR(E106="",E106="!!!"),"",IF(NOT(ISNA(VLOOKUP(E106,E$1:E105,1,FALSE()))),"OLD",IF(AND(E106&lt;&gt;"",E106&lt;&gt;"!!!"),"NEW","")))</f>
        <v/>
      </c>
      <c r="G106" s="23" t="str">
        <f>IF(OR(E106="",E106="!!!"),"",IF(OR(J106=0,AND(J106=1,K106=1),AND(J106=1,I106="SBJ"),AND(J106=1,I106=0)),"?IN_FOCUS",IF(J106&lt;=2,"?ACTIVATED",IF(J106&lt;&gt;"","?FAMILIAR",IF(F106="NEW",IF(ISNA(VLOOKUP(E106,#REF!,1,FALSE())),"?TYPE_IDENTIFIABLE","?REFERENTIAL"),"_")))))</f>
        <v/>
      </c>
      <c r="H106" s="24" t="str">
        <f t="shared" ca="1" si="9"/>
        <v/>
      </c>
      <c r="I106" s="25" t="str">
        <f>IF(OR(E106="",E106="!!!",F106="NEW"),"",INDEX(B$2:B105,-1+SUMPRODUCT(MAX(ROW(E$2:E105)*(E106=E$2:E105)))))</f>
        <v/>
      </c>
      <c r="J106" s="25" t="str">
        <f ca="1">IF(OR(E106="",E106="!!!",F106="NEW"),"",COUNTBLANK(OFFSET(A$1,,,SUMPRODUCT(MAX(ROW(E$2:E106)*(E106=E$2:E106)))))-COUNTBLANK(OFFSET(A$1,,,SUMPRODUCT(MAX(ROW(E$1:E105)*(E2=E$1:E105))))))</f>
        <v/>
      </c>
      <c r="K106" s="25" t="str">
        <f>IF(OR(E106="",E106="!!!",F106="NEW"),"",INDEX(J$1:J105,SUMPRODUCT(MAX(ROW(E$1:E105)*(E106=E$1:E105)))))</f>
        <v/>
      </c>
      <c r="L106" s="26"/>
    </row>
    <row r="107" spans="1:12" x14ac:dyDescent="0.3">
      <c r="A107" t="s">
        <v>283</v>
      </c>
      <c r="B107" s="20" t="s">
        <v>201</v>
      </c>
      <c r="C107" s="20" t="s">
        <v>216</v>
      </c>
      <c r="D107" s="20" t="s">
        <v>186</v>
      </c>
      <c r="E107" s="21" t="s">
        <v>739</v>
      </c>
      <c r="F107" s="22" t="str">
        <f>IF(OR(E107="",E107="!!!"),"",IF(NOT(ISNA(VLOOKUP(E107,E$1:E106,1,FALSE()))),"OLD",IF(AND(E107&lt;&gt;"",E107&lt;&gt;"!!!"),"NEW","")))</f>
        <v>OLD</v>
      </c>
      <c r="G107" s="23" t="s">
        <v>809</v>
      </c>
      <c r="H107" s="24" t="s">
        <v>178</v>
      </c>
      <c r="I107" s="25" t="str">
        <f>IF(OR(E107="",E107="!!!",F107="NEW"),"",INDEX(B$2:B106,-1+SUMPRODUCT(MAX(ROW(E$2:E106)*(E107=E$2:E106)))))</f>
        <v>OBJ_2</v>
      </c>
      <c r="J107" s="25">
        <f ca="1">IF(OR(E107="",E107="!!!",F107="NEW"),"",COUNTBLANK(OFFSET(A$1,,,SUMPRODUCT(MAX(ROW(E$2:E107)*(E107=E$2:E107)))))-COUNTBLANK(OFFSET(A$1,,,SUMPRODUCT(MAX(ROW(E$1:E106)*(E2=E$1:E106))))))</f>
        <v>0</v>
      </c>
      <c r="K107" s="25">
        <f ca="1">IF(OR(E107="",E107="!!!",F107="NEW"),"",INDEX(J$1:J106,SUMPRODUCT(MAX(ROW(E$1:E106)*(E107=E$1:E106)))))</f>
        <v>0</v>
      </c>
      <c r="L107" s="26"/>
    </row>
    <row r="108" spans="1:12" x14ac:dyDescent="0.3">
      <c r="A108" t="s">
        <v>206</v>
      </c>
      <c r="E108" s="21" t="str">
        <f t="shared" si="8"/>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9"/>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284</v>
      </c>
      <c r="E109" s="21" t="str">
        <f t="shared" si="8"/>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9"/>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212</v>
      </c>
      <c r="E110" s="21" t="str">
        <f t="shared" si="8"/>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9"/>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2" spans="1:12" x14ac:dyDescent="0.3">
      <c r="A112" t="s">
        <v>285</v>
      </c>
    </row>
    <row r="113" spans="1:12" x14ac:dyDescent="0.3">
      <c r="A113" t="s">
        <v>249</v>
      </c>
      <c r="E113" s="21" t="str">
        <f t="shared" ref="E113:E130" si="10">IF(D113="?OLD","!!!","")</f>
        <v/>
      </c>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ref="H113:H130" ca="1" si="11">IF(J113&lt;&gt;1,"",IF(I113="SBJ","CB","?"))</f>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4" spans="1:12" x14ac:dyDescent="0.3">
      <c r="A114" t="s">
        <v>286</v>
      </c>
      <c r="B114" s="20" t="s">
        <v>201</v>
      </c>
      <c r="C114" s="20" t="s">
        <v>185</v>
      </c>
      <c r="D114" s="20" t="s">
        <v>186</v>
      </c>
      <c r="E114" s="21" t="s">
        <v>730</v>
      </c>
      <c r="F114" s="22" t="str">
        <f>IF(OR(E114="",E114="!!!"),"",IF(NOT(ISNA(VLOOKUP(E114,E$1:E113,1,FALSE()))),"OLD",IF(AND(E114&lt;&gt;"",E114&lt;&gt;"!!!"),"NEW","")))</f>
        <v>OLD</v>
      </c>
      <c r="G114" s="23" t="s">
        <v>808</v>
      </c>
      <c r="H114" s="24" t="str">
        <f t="shared" ca="1" si="11"/>
        <v/>
      </c>
      <c r="I114" s="25">
        <f>IF(OR(E114="",E114="!!!",F114="NEW"),"",INDEX(B$2:B113,-1+SUMPRODUCT(MAX(ROW(E$2:E113)*(E114=E$2:E113)))))</f>
        <v>0</v>
      </c>
      <c r="J114" s="25">
        <f ca="1">IF(OR(E114="",E114="!!!",F114="NEW"),"",COUNTBLANK(OFFSET(A$1,,,SUMPRODUCT(MAX(ROW(E$2:E114)*(E114=E$2:E114)))))-COUNTBLANK(OFFSET(A$1,,,SUMPRODUCT(MAX(ROW(E$1:E113)*(E2=E$1:E113))))))</f>
        <v>0</v>
      </c>
      <c r="K114" s="25">
        <f ca="1">IF(OR(E114="",E114="!!!",F114="NEW"),"",INDEX(J$1:J113,SUMPRODUCT(MAX(ROW(E$1:E113)*(E114=E$1:E113)))))</f>
        <v>0</v>
      </c>
      <c r="L114" s="26"/>
    </row>
    <row r="115" spans="1:12" x14ac:dyDescent="0.3">
      <c r="A115" t="s">
        <v>287</v>
      </c>
      <c r="E115" s="21" t="s">
        <v>778</v>
      </c>
      <c r="F115" s="22" t="str">
        <f>IF(OR(E115="",E115="!!!"),"",IF(NOT(ISNA(VLOOKUP(E115,E$1:E114,1,FALSE()))),"OLD",IF(AND(E115&lt;&gt;"",E115&lt;&gt;"!!!"),"NEW","")))</f>
        <v>NEW</v>
      </c>
      <c r="G115" s="23" t="s">
        <v>807</v>
      </c>
      <c r="H115" s="24" t="str">
        <f t="shared" ca="1" si="11"/>
        <v/>
      </c>
      <c r="I115" s="25" t="str">
        <f>IF(OR(E115="",E115="!!!",F115="NEW"),"",INDEX(B$2:B114,-1+SUMPRODUCT(MAX(ROW(E$2:E114)*(E115=E$2:E114)))))</f>
        <v/>
      </c>
      <c r="J115" s="25" t="str">
        <f ca="1">IF(OR(E115="",E115="!!!",F115="NEW"),"",COUNTBLANK(OFFSET(A$1,,,SUMPRODUCT(MAX(ROW(E$2:E115)*(E115=E$2:E115)))))-COUNTBLANK(OFFSET(A$1,,,SUMPRODUCT(MAX(ROW(E$1:E114)*(E2=E$1:E114))))))</f>
        <v/>
      </c>
      <c r="K115" s="25" t="str">
        <f>IF(OR(E115="",E115="!!!",F115="NEW"),"",INDEX(J$1:J114,SUMPRODUCT(MAX(ROW(E$1:E114)*(E115=E$1:E114)))))</f>
        <v/>
      </c>
      <c r="L115" s="26"/>
    </row>
    <row r="116" spans="1:12" x14ac:dyDescent="0.3">
      <c r="A116" t="s">
        <v>288</v>
      </c>
      <c r="E116" s="21" t="str">
        <f t="shared" si="10"/>
        <v/>
      </c>
      <c r="F116" s="22" t="str">
        <f>IF(OR(E116="",E116="!!!"),"",IF(NOT(ISNA(VLOOKUP(E116,E$1:E115,1,FALSE()))),"OLD",IF(AND(E116&lt;&gt;"",E116&lt;&gt;"!!!"),"NEW","")))</f>
        <v/>
      </c>
      <c r="G116" s="23" t="str">
        <f>IF(OR(E116="",E116="!!!"),"",IF(OR(J116=0,AND(J116=1,K116=1),AND(J116=1,I116="SBJ"),AND(J116=1,I116=0)),"?IN_FOCUS",IF(J116&lt;=2,"?ACTIVATED",IF(J116&lt;&gt;"","?FAMILIAR",IF(F116="NEW",IF(ISNA(VLOOKUP(E116,#REF!,1,FALSE())),"?TYPE_IDENTIFIABLE","?REFERENTIAL"),"_")))))</f>
        <v/>
      </c>
      <c r="H116" s="24" t="str">
        <f t="shared" ca="1" si="11"/>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289</v>
      </c>
      <c r="E117" s="21" t="str">
        <f t="shared" si="10"/>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11"/>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187</v>
      </c>
      <c r="E118" s="21" t="str">
        <f t="shared" si="10"/>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11"/>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290</v>
      </c>
      <c r="B119" s="20" t="s">
        <v>208</v>
      </c>
      <c r="C119" s="20" t="s">
        <v>202</v>
      </c>
      <c r="D119" s="20" t="s">
        <v>186</v>
      </c>
      <c r="E119" s="21" t="s">
        <v>730</v>
      </c>
      <c r="F119" s="22" t="str">
        <f>IF(OR(E119="",E119="!!!"),"",IF(NOT(ISNA(VLOOKUP(E119,E$1:E118,1,FALSE()))),"OLD",IF(AND(E119&lt;&gt;"",E119&lt;&gt;"!!!"),"NEW","")))</f>
        <v>OLD</v>
      </c>
      <c r="G119" s="23" t="s">
        <v>809</v>
      </c>
      <c r="H119" s="24" t="str">
        <f t="shared" ca="1" si="11"/>
        <v/>
      </c>
      <c r="I119" s="25" t="str">
        <f>IF(OR(E119="",E119="!!!",F119="NEW"),"",INDEX(B$2:B118,-1+SUMPRODUCT(MAX(ROW(E$2:E118)*(E119=E$2:E118)))))</f>
        <v>SBJ</v>
      </c>
      <c r="J119" s="25">
        <f ca="1">IF(OR(E119="",E119="!!!",F119="NEW"),"",COUNTBLANK(OFFSET(A$1,,,SUMPRODUCT(MAX(ROW(E$2:E119)*(E119=E$2:E119)))))-COUNTBLANK(OFFSET(A$1,,,SUMPRODUCT(MAX(ROW(E$1:E118)*(E2=E$1:E118))))))</f>
        <v>0</v>
      </c>
      <c r="K119" s="25">
        <f ca="1">IF(OR(E119="",E119="!!!",F119="NEW"),"",INDEX(J$1:J118,SUMPRODUCT(MAX(ROW(E$1:E118)*(E119=E$1:E118)))))</f>
        <v>0</v>
      </c>
      <c r="L119" s="26"/>
    </row>
    <row r="120" spans="1:12" x14ac:dyDescent="0.3">
      <c r="A120" t="s">
        <v>291</v>
      </c>
      <c r="E120" s="21" t="str">
        <f t="shared" si="10"/>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11"/>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292</v>
      </c>
      <c r="E121" s="21" t="str">
        <f t="shared" si="10"/>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11"/>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293</v>
      </c>
      <c r="B122" s="20" t="s">
        <v>210</v>
      </c>
      <c r="C122" s="20" t="s">
        <v>197</v>
      </c>
      <c r="E122" s="21" t="str">
        <f t="shared" si="10"/>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11"/>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294</v>
      </c>
      <c r="E123" s="21" t="str">
        <f t="shared" si="10"/>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11"/>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206</v>
      </c>
      <c r="E124" s="21" t="str">
        <f t="shared" si="10"/>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11"/>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295</v>
      </c>
      <c r="E125" s="21" t="str">
        <f t="shared" si="10"/>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11"/>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296</v>
      </c>
      <c r="E126" s="21" t="str">
        <f t="shared" si="10"/>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11"/>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297</v>
      </c>
      <c r="E127" s="21" t="s">
        <v>730</v>
      </c>
      <c r="F127" s="22" t="str">
        <f>IF(OR(E127="",E127="!!!"),"",IF(NOT(ISNA(VLOOKUP(E127,E$1:E126,1,FALSE()))),"OLD",IF(AND(E127&lt;&gt;"",E127&lt;&gt;"!!!"),"NEW","")))</f>
        <v>OLD</v>
      </c>
      <c r="G127" s="23" t="s">
        <v>809</v>
      </c>
      <c r="H127" s="24" t="str">
        <f t="shared" ca="1" si="11"/>
        <v/>
      </c>
      <c r="I127" s="25" t="str">
        <f>IF(OR(E127="",E127="!!!",F127="NEW"),"",INDEX(B$2:B126,-1+SUMPRODUCT(MAX(ROW(E$2:E126)*(E127=E$2:E126)))))</f>
        <v>SBJ_2</v>
      </c>
      <c r="J127" s="25">
        <f ca="1">IF(OR(E127="",E127="!!!",F127="NEW"),"",COUNTBLANK(OFFSET(A$1,,,SUMPRODUCT(MAX(ROW(E$2:E127)*(E127=E$2:E127)))))-COUNTBLANK(OFFSET(A$1,,,SUMPRODUCT(MAX(ROW(E$1:E126)*(E2=E$1:E126))))))</f>
        <v>0</v>
      </c>
      <c r="K127" s="25">
        <f ca="1">IF(OR(E127="",E127="!!!",F127="NEW"),"",INDEX(J$1:J126,SUMPRODUCT(MAX(ROW(E$1:E126)*(E127=E$1:E126)))))</f>
        <v>0</v>
      </c>
      <c r="L127" s="26" t="s">
        <v>732</v>
      </c>
    </row>
    <row r="128" spans="1:12" x14ac:dyDescent="0.3">
      <c r="A128" t="s">
        <v>298</v>
      </c>
      <c r="E128" s="21" t="str">
        <f t="shared" si="10"/>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11"/>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299</v>
      </c>
      <c r="B129" s="20" t="s">
        <v>184</v>
      </c>
      <c r="C129" s="20" t="s">
        <v>257</v>
      </c>
      <c r="E129" s="21" t="s">
        <v>779</v>
      </c>
      <c r="F129" s="22" t="str">
        <f>IF(OR(E129="",E129="!!!"),"",IF(NOT(ISNA(VLOOKUP(E129,E$1:E128,1,FALSE()))),"OLD",IF(AND(E129&lt;&gt;"",E129&lt;&gt;"!!!"),"NEW","")))</f>
        <v>NEW</v>
      </c>
      <c r="G129" s="23" t="s">
        <v>807</v>
      </c>
      <c r="H129" s="24" t="str">
        <f t="shared" ca="1" si="11"/>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212</v>
      </c>
      <c r="E130" s="21" t="str">
        <f t="shared" si="10"/>
        <v/>
      </c>
      <c r="F130" s="22" t="str">
        <f>IF(OR(E130="",E130="!!!"),"",IF(NOT(ISNA(VLOOKUP(E130,E$1:E129,1,FALSE()))),"OLD",IF(AND(E130&lt;&gt;"",E130&lt;&gt;"!!!"),"NEW","")))</f>
        <v/>
      </c>
      <c r="G130" s="23" t="str">
        <f>IF(OR(E130="",E130="!!!"),"",IF(OR(J130=0,AND(J130=1,K130=1),AND(J130=1,I130="SBJ"),AND(J130=1,I130=0)),"?IN_FOCUS",IF(J130&lt;=2,"?ACTIVATED",IF(J130&lt;&gt;"","?FAMILIAR",IF(F130="NEW",IF(ISNA(VLOOKUP(E130,#REF!,1,FALSE())),"?TYPE_IDENTIFIABLE","?REFERENTIAL"),"_")))))</f>
        <v/>
      </c>
      <c r="H130" s="24" t="str">
        <f t="shared" ca="1" si="11"/>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2" spans="1:12" x14ac:dyDescent="0.3">
      <c r="A132" t="s">
        <v>300</v>
      </c>
      <c r="E132" s="21" t="str">
        <f>IF(D132="?OLD","!!!","")</f>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ca="1">IF(J132&lt;&gt;1,"",IF(I132="SBJ","CB","?"))</f>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301</v>
      </c>
    </row>
    <row r="134" spans="1:12" x14ac:dyDescent="0.3">
      <c r="A134" t="s">
        <v>302</v>
      </c>
      <c r="B134" s="20" t="s">
        <v>201</v>
      </c>
      <c r="C134" s="20" t="s">
        <v>185</v>
      </c>
      <c r="D134" s="20" t="s">
        <v>186</v>
      </c>
      <c r="E134" s="21" t="s">
        <v>731</v>
      </c>
      <c r="F134" s="22" t="str">
        <f>IF(OR(E134="",E134="!!!"),"",IF(NOT(ISNA(VLOOKUP(E134,E$1:E133,1,FALSE()))),"OLD",IF(AND(E134&lt;&gt;"",E134&lt;&gt;"!!!"),"NEW","")))</f>
        <v>OLD</v>
      </c>
      <c r="G134" s="23" t="s">
        <v>723</v>
      </c>
      <c r="H134" s="24" t="str">
        <f t="shared" ref="H134:H154" ca="1" si="12">IF(J134&lt;&gt;1,"",IF(I134="SBJ","CB","?"))</f>
        <v/>
      </c>
      <c r="I134" s="25" t="str">
        <f>IF(OR(E134="",E134="!!!",F134="NEW"),"",INDEX(B$2:B133,-1+SUMPRODUCT(MAX(ROW(E$2:E133)*(E134=E$2:E133)))))</f>
        <v>OBJ_2</v>
      </c>
      <c r="J134" s="25">
        <f ca="1">IF(OR(E134="",E134="!!!",F134="NEW"),"",COUNTBLANK(OFFSET(A$1,,,SUMPRODUCT(MAX(ROW(E$2:E134)*(E134=E$2:E134)))))-COUNTBLANK(OFFSET(A$1,,,SUMPRODUCT(MAX(ROW(E$1:E133)*(E2=E$1:E133))))))</f>
        <v>0</v>
      </c>
      <c r="K134" s="25" t="str">
        <f ca="1">IF(OR(E134="",E134="!!!",F134="NEW"),"",INDEX(J$1:J133,SUMPRODUCT(MAX(ROW(E$1:E133)*(E134=E$1:E133)))))</f>
        <v/>
      </c>
      <c r="L134" s="26"/>
    </row>
    <row r="135" spans="1:12" x14ac:dyDescent="0.3">
      <c r="A135" t="s">
        <v>303</v>
      </c>
      <c r="E135" s="21" t="str">
        <f t="shared" ref="E135:E154" si="13">IF(D135="?OLD","!!!","")</f>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12"/>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x14ac:dyDescent="0.3">
      <c r="A136" t="s">
        <v>304</v>
      </c>
      <c r="E136" s="21" t="str">
        <f t="shared" si="13"/>
        <v/>
      </c>
      <c r="F136" s="22" t="str">
        <f>IF(OR(E136="",E136="!!!"),"",IF(NOT(ISNA(VLOOKUP(E136,E$1:E135,1,FALSE()))),"OLD",IF(AND(E136&lt;&gt;"",E136&lt;&gt;"!!!"),"NEW","")))</f>
        <v/>
      </c>
      <c r="G136" s="23" t="str">
        <f>IF(OR(E136="",E136="!!!"),"",IF(OR(J136=0,AND(J136=1,K136=1),AND(J136=1,I136="SBJ"),AND(J136=1,I136=0)),"?IN_FOCUS",IF(J136&lt;=2,"?ACTIVATED",IF(J136&lt;&gt;"","?FAMILIAR",IF(F136="NEW",IF(ISNA(VLOOKUP(E136,#REF!,1,FALSE())),"?TYPE_IDENTIFIABLE","?REFERENTIAL"),"_")))))</f>
        <v/>
      </c>
      <c r="H136" s="24" t="str">
        <f t="shared" ca="1" si="12"/>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row>
    <row r="137" spans="1:12" x14ac:dyDescent="0.3">
      <c r="A137" t="s">
        <v>305</v>
      </c>
      <c r="E137" s="21" t="str">
        <f t="shared" si="13"/>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12"/>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306</v>
      </c>
      <c r="E138" s="21" t="str">
        <f t="shared" si="13"/>
        <v/>
      </c>
      <c r="F138" s="22" t="str">
        <f>IF(OR(E138="",E138="!!!"),"",IF(NOT(ISNA(VLOOKUP(E138,E$1:E137,1,FALSE()))),"OLD",IF(AND(E138&lt;&gt;"",E138&lt;&gt;"!!!"),"NEW","")))</f>
        <v/>
      </c>
      <c r="G138" s="23" t="str">
        <f>IF(OR(E138="",E138="!!!"),"",IF(OR(J138=0,AND(J138=1,K138=1),AND(J138=1,I138="SBJ"),AND(J138=1,I138=0)),"?IN_FOCUS",IF(J138&lt;=2,"?ACTIVATED",IF(J138&lt;&gt;"","?FAMILIAR",IF(F138="NEW",IF(ISNA(VLOOKUP(E138,#REF!,1,FALSE())),"?TYPE_IDENTIFIABLE","?REFERENTIAL"),"_")))))</f>
        <v/>
      </c>
      <c r="H138" s="24" t="str">
        <f t="shared" ca="1" si="12"/>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307</v>
      </c>
      <c r="E139" s="21" t="str">
        <f t="shared" si="13"/>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12"/>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194</v>
      </c>
      <c r="E140" s="21" t="str">
        <f t="shared" si="13"/>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2"/>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308</v>
      </c>
      <c r="E141" s="21" t="s">
        <v>731</v>
      </c>
      <c r="F141" s="22" t="str">
        <f>IF(OR(E141="",E141="!!!"),"",IF(NOT(ISNA(VLOOKUP(E141,E$1:E140,1,FALSE()))),"OLD",IF(AND(E141&lt;&gt;"",E141&lt;&gt;"!!!"),"NEW","")))</f>
        <v>OLD</v>
      </c>
      <c r="G141" s="23" t="s">
        <v>809</v>
      </c>
      <c r="H141" s="24" t="str">
        <f t="shared" ca="1" si="12"/>
        <v/>
      </c>
      <c r="I141" s="25" t="str">
        <f>IF(OR(E141="",E141="!!!",F141="NEW"),"",INDEX(B$2:B140,-1+SUMPRODUCT(MAX(ROW(E$2:E140)*(E141=E$2:E140)))))</f>
        <v>SBJ</v>
      </c>
      <c r="J141" s="25">
        <f ca="1">IF(OR(E141="",E141="!!!",F141="NEW"),"",COUNTBLANK(OFFSET(A$1,,,SUMPRODUCT(MAX(ROW(E$2:E141)*(E141=E$2:E141)))))-COUNTBLANK(OFFSET(A$1,,,SUMPRODUCT(MAX(ROW(E$1:E140)*(E2=E$1:E140))))))</f>
        <v>0</v>
      </c>
      <c r="K141" s="25">
        <f ca="1">IF(OR(E141="",E141="!!!",F141="NEW"),"",INDEX(J$1:J140,SUMPRODUCT(MAX(ROW(E$1:E140)*(E141=E$1:E140)))))</f>
        <v>0</v>
      </c>
      <c r="L141" s="26" t="s">
        <v>732</v>
      </c>
    </row>
    <row r="142" spans="1:12" x14ac:dyDescent="0.3">
      <c r="A142" t="s">
        <v>191</v>
      </c>
      <c r="E142" s="21" t="str">
        <f t="shared" si="13"/>
        <v/>
      </c>
      <c r="F142" s="22" t="str">
        <f>IF(OR(E142="",E142="!!!"),"",IF(NOT(ISNA(VLOOKUP(E142,E$1:E141,1,FALSE()))),"OLD",IF(AND(E142&lt;&gt;"",E142&lt;&gt;"!!!"),"NEW","")))</f>
        <v/>
      </c>
      <c r="G142" s="23" t="str">
        <f>IF(OR(E142="",E142="!!!"),"",IF(OR(J142=0,AND(J142=1,K142=1),AND(J142=1,I142="SBJ"),AND(J142=1,I142=0)),"?IN_FOCUS",IF(J142&lt;=2,"?ACTIVATED",IF(J142&lt;&gt;"","?FAMILIAR",IF(F142="NEW",IF(ISNA(VLOOKUP(E142,#REF!,1,FALSE())),"?TYPE_IDENTIFIABLE","?REFERENTIAL"),"_")))))</f>
        <v/>
      </c>
      <c r="H142" s="24" t="str">
        <f t="shared" ca="1" si="12"/>
        <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309</v>
      </c>
      <c r="E143" s="21" t="str">
        <f t="shared" si="13"/>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12"/>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310</v>
      </c>
      <c r="B144" s="20" t="s">
        <v>208</v>
      </c>
      <c r="C144" s="20" t="s">
        <v>185</v>
      </c>
      <c r="D144" s="20" t="s">
        <v>186</v>
      </c>
      <c r="E144" s="21" t="s">
        <v>730</v>
      </c>
      <c r="F144" s="22" t="s">
        <v>728</v>
      </c>
      <c r="G144" s="23" t="s">
        <v>809</v>
      </c>
      <c r="H144" s="24" t="s">
        <v>178</v>
      </c>
      <c r="I144" s="25">
        <f>IF(OR(E144="",E144="!!!",F144="NEW"),"",INDEX(B$2:B143,-1+SUMPRODUCT(MAX(ROW(E$2:E143)*(E144=E$2:E143)))))</f>
        <v>0</v>
      </c>
      <c r="J144" s="25">
        <f ca="1">IF(OR(E144="",E144="!!!",F144="NEW"),"",COUNTBLANK(OFFSET(A$1,,,SUMPRODUCT(MAX(ROW(E$2:E144)*(E144=E$2:E144)))))-COUNTBLANK(OFFSET(A$1,,,SUMPRODUCT(MAX(ROW(E$1:E143)*(E2=E$1:E143))))))</f>
        <v>0</v>
      </c>
      <c r="K144" s="25">
        <f ca="1">IF(OR(E144="",E144="!!!",F144="NEW"),"",INDEX(J$1:J143,SUMPRODUCT(MAX(ROW(E$1:E143)*(E144=E$1:E143)))))</f>
        <v>0</v>
      </c>
      <c r="L144" s="26"/>
    </row>
    <row r="145" spans="1:12" x14ac:dyDescent="0.3">
      <c r="A145" t="s">
        <v>191</v>
      </c>
      <c r="E145" s="21" t="str">
        <f t="shared" si="13"/>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12"/>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253</v>
      </c>
      <c r="E146" s="21"/>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12"/>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11</v>
      </c>
      <c r="E147" s="21" t="str">
        <f t="shared" si="13"/>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12"/>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311</v>
      </c>
      <c r="E148" s="21" t="str">
        <f t="shared" si="13"/>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12"/>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49" spans="1:12" x14ac:dyDescent="0.3">
      <c r="A149" t="s">
        <v>312</v>
      </c>
      <c r="E149" s="21" t="str">
        <f t="shared" si="13"/>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12"/>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313</v>
      </c>
      <c r="B150" s="20" t="s">
        <v>196</v>
      </c>
      <c r="C150" s="20" t="s">
        <v>193</v>
      </c>
      <c r="E150" s="21" t="str">
        <f t="shared" si="13"/>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12"/>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314</v>
      </c>
      <c r="E151" s="21" t="str">
        <f t="shared" si="13"/>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12"/>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315</v>
      </c>
      <c r="E152" s="21" t="str">
        <f t="shared" si="13"/>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12"/>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316</v>
      </c>
      <c r="B153" s="20" t="s">
        <v>184</v>
      </c>
      <c r="C153" s="20" t="s">
        <v>237</v>
      </c>
      <c r="E153" s="21" t="s">
        <v>787</v>
      </c>
      <c r="F153" s="22" t="str">
        <f>IF(OR(E153="",E153="!!!"),"",IF(NOT(ISNA(VLOOKUP(E153,E$1:E152,1,FALSE()))),"OLD",IF(AND(E153&lt;&gt;"",E153&lt;&gt;"!!!"),"NEW","")))</f>
        <v>NEW</v>
      </c>
      <c r="G153" s="23" t="s">
        <v>807</v>
      </c>
      <c r="H153" s="24" t="str">
        <f t="shared" ca="1" si="12"/>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t="s">
        <v>758</v>
      </c>
    </row>
    <row r="154" spans="1:12" x14ac:dyDescent="0.3">
      <c r="A154" t="s">
        <v>212</v>
      </c>
      <c r="E154" s="21" t="str">
        <f t="shared" si="13"/>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2"/>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6" spans="1:12" x14ac:dyDescent="0.3">
      <c r="A156" t="s">
        <v>317</v>
      </c>
    </row>
    <row r="157" spans="1:12" x14ac:dyDescent="0.3">
      <c r="A157" t="s">
        <v>318</v>
      </c>
      <c r="B157" s="20" t="s">
        <v>201</v>
      </c>
      <c r="C157" s="20" t="s">
        <v>202</v>
      </c>
      <c r="D157" s="20" t="s">
        <v>186</v>
      </c>
      <c r="E157" s="21" t="s">
        <v>741</v>
      </c>
      <c r="F157" s="22" t="str">
        <f>IF(OR(E157="",E157="!!!"),"",IF(NOT(ISNA(VLOOKUP(E157,E$1:E156,1,FALSE()))),"OLD",IF(AND(E157&lt;&gt;"",E157&lt;&gt;"!!!"),"NEW","")))</f>
        <v>OLD</v>
      </c>
      <c r="G157" s="23" t="s">
        <v>723</v>
      </c>
      <c r="H157" s="24" t="str">
        <f t="shared" ref="H157:H163" ca="1" si="14">IF(J157&lt;&gt;1,"",IF(I157="SBJ","CB","?"))</f>
        <v/>
      </c>
      <c r="I157" s="25" t="str">
        <f>IF(OR(E157="",E157="!!!",F157="NEW"),"",INDEX(B$2:B156,-1+SUMPRODUCT(MAX(ROW(E$2:E156)*(E157=E$2:E156)))))</f>
        <v>SBJ</v>
      </c>
      <c r="J157" s="25">
        <f ca="1">IF(OR(E157="",E157="!!!",F157="NEW"),"",COUNTBLANK(OFFSET(A$1,,,SUMPRODUCT(MAX(ROW(E$2:E157)*(E157=E$2:E157)))))-COUNTBLANK(OFFSET(A$1,,,SUMPRODUCT(MAX(ROW(E$1:E156)*(E2=E$1:E156))))))</f>
        <v>0</v>
      </c>
      <c r="K157" s="25">
        <f ca="1">IF(OR(E157="",E157="!!!",F157="NEW"),"",INDEX(J$1:J156,SUMPRODUCT(MAX(ROW(E$1:E156)*(E157=E$1:E156)))))</f>
        <v>0</v>
      </c>
      <c r="L157" s="26"/>
    </row>
    <row r="158" spans="1:12" x14ac:dyDescent="0.3">
      <c r="A158" t="s">
        <v>319</v>
      </c>
      <c r="E158" s="21" t="str">
        <f t="shared" ref="E158:E163" si="15">IF(D158="?OLD","!!!","")</f>
        <v/>
      </c>
      <c r="F158" s="22" t="str">
        <f>IF(OR(E158="",E158="!!!"),"",IF(NOT(ISNA(VLOOKUP(E158,E$1:E157,1,FALSE()))),"OLD",IF(AND(E158&lt;&gt;"",E158&lt;&gt;"!!!"),"NEW","")))</f>
        <v/>
      </c>
      <c r="G158" s="23" t="str">
        <f>IF(OR(E158="",E158="!!!"),"",IF(OR(J158=0,AND(J158=1,K158=1),AND(J158=1,I158="SBJ"),AND(J158=1,I158=0)),"?IN_FOCUS",IF(J158&lt;=2,"?ACTIVATED",IF(J158&lt;&gt;"","?FAMILIAR",IF(F158="NEW",IF(ISNA(VLOOKUP(E158,#REF!,1,FALSE())),"?TYPE_IDENTIFIABLE","?REFERENTIAL"),"_")))))</f>
        <v/>
      </c>
      <c r="H158" s="24" t="str">
        <f t="shared" ca="1" si="14"/>
        <v/>
      </c>
      <c r="I158" s="25" t="str">
        <f>IF(OR(E158="",E158="!!!",F158="NEW"),"",INDEX(B$2:B157,-1+SUMPRODUCT(MAX(ROW(E$2:E157)*(E158=E$2:E157)))))</f>
        <v/>
      </c>
      <c r="J158" s="25" t="str">
        <f ca="1">IF(OR(E158="",E158="!!!",F158="NEW"),"",COUNTBLANK(OFFSET(A$1,,,SUMPRODUCT(MAX(ROW(E$2:E158)*(E158=E$2:E158)))))-COUNTBLANK(OFFSET(A$1,,,SUMPRODUCT(MAX(ROW(E$1:E157)*(E2=E$1:E157))))))</f>
        <v/>
      </c>
      <c r="K158" s="25" t="str">
        <f>IF(OR(E158="",E158="!!!",F158="NEW"),"",INDEX(J$1:J157,SUMPRODUCT(MAX(ROW(E$1:E157)*(E158=E$1:E157)))))</f>
        <v/>
      </c>
      <c r="L158" s="26"/>
    </row>
    <row r="159" spans="1:12" x14ac:dyDescent="0.3">
      <c r="A159" t="s">
        <v>320</v>
      </c>
      <c r="B159" s="20" t="s">
        <v>201</v>
      </c>
      <c r="C159" s="20" t="s">
        <v>202</v>
      </c>
      <c r="D159" s="20" t="s">
        <v>186</v>
      </c>
      <c r="E159" s="21" t="s">
        <v>787</v>
      </c>
      <c r="F159" s="22" t="str">
        <f>IF(OR(E159="",E159="!!!"),"",IF(NOT(ISNA(VLOOKUP(E159,E$1:E158,1,FALSE()))),"OLD",IF(AND(E159&lt;&gt;"",E159&lt;&gt;"!!!"),"NEW","")))</f>
        <v>OLD</v>
      </c>
      <c r="G159" s="23" t="s">
        <v>808</v>
      </c>
      <c r="H159" s="24" t="s">
        <v>178</v>
      </c>
      <c r="I159" s="25" t="str">
        <f>IF(OR(E159="",E159="!!!",F159="NEW"),"",INDEX(B$2:B158,-1+SUMPRODUCT(MAX(ROW(E$2:E158)*(E159=E$2:E158)))))</f>
        <v>other</v>
      </c>
      <c r="J159" s="25">
        <f ca="1">IF(OR(E159="",E159="!!!",F159="NEW"),"",COUNTBLANK(OFFSET(A$1,,,SUMPRODUCT(MAX(ROW(E$2:E159)*(E159=E$2:E159)))))-COUNTBLANK(OFFSET(A$1,,,SUMPRODUCT(MAX(ROW(E$1:E158)*(E2=E$1:E158))))))</f>
        <v>0</v>
      </c>
      <c r="K159" s="25" t="str">
        <f ca="1">IF(OR(E159="",E159="!!!",F159="NEW"),"",INDEX(J$1:J158,SUMPRODUCT(MAX(ROW(E$1:E158)*(E159=E$1:E158)))))</f>
        <v/>
      </c>
      <c r="L159" s="26"/>
    </row>
    <row r="160" spans="1:12" x14ac:dyDescent="0.3">
      <c r="A160" t="s">
        <v>270</v>
      </c>
      <c r="E160" s="21" t="str">
        <f t="shared" si="15"/>
        <v/>
      </c>
      <c r="F160" s="22" t="str">
        <f>IF(OR(E160="",E160="!!!"),"",IF(NOT(ISNA(VLOOKUP(E160,E$1:E159,1,FALSE()))),"OLD",IF(AND(E160&lt;&gt;"",E160&lt;&gt;"!!!"),"NEW","")))</f>
        <v/>
      </c>
      <c r="G160" s="23" t="str">
        <f>IF(OR(E160="",E160="!!!"),"",IF(OR(J160=0,AND(J160=1,K160=1),AND(J160=1,I160="SBJ"),AND(J160=1,I160=0)),"?IN_FOCUS",IF(J160&lt;=2,"?ACTIVATED",IF(J160&lt;&gt;"","?FAMILIAR",IF(F160="NEW",IF(ISNA(VLOOKUP(E160,#REF!,1,FALSE())),"?TYPE_IDENTIFIABLE","?REFERENTIAL"),"_")))))</f>
        <v/>
      </c>
      <c r="H160" s="24" t="str">
        <f t="shared" ca="1" si="14"/>
        <v/>
      </c>
      <c r="I160" s="25" t="str">
        <f>IF(OR(E160="",E160="!!!",F160="NEW"),"",INDEX(B$2:B159,-1+SUMPRODUCT(MAX(ROW(E$2:E159)*(E160=E$2:E159)))))</f>
        <v/>
      </c>
      <c r="J160" s="25" t="str">
        <f ca="1">IF(OR(E160="",E160="!!!",F160="NEW"),"",COUNTBLANK(OFFSET(A$1,,,SUMPRODUCT(MAX(ROW(E$2:E160)*(E160=E$2:E160)))))-COUNTBLANK(OFFSET(A$1,,,SUMPRODUCT(MAX(ROW(E$1:E159)*(E2=E$1:E159))))))</f>
        <v/>
      </c>
      <c r="K160" s="25" t="str">
        <f>IF(OR(E160="",E160="!!!",F160="NEW"),"",INDEX(J$1:J159,SUMPRODUCT(MAX(ROW(E$1:E159)*(E160=E$1:E159)))))</f>
        <v/>
      </c>
      <c r="L160" s="26"/>
    </row>
    <row r="161" spans="1:12" x14ac:dyDescent="0.3">
      <c r="A161" t="s">
        <v>321</v>
      </c>
      <c r="E161" s="21" t="str">
        <f t="shared" si="15"/>
        <v/>
      </c>
      <c r="F161" s="22" t="str">
        <f>IF(OR(E161="",E161="!!!"),"",IF(NOT(ISNA(VLOOKUP(E161,E$1:E160,1,FALSE()))),"OLD",IF(AND(E161&lt;&gt;"",E161&lt;&gt;"!!!"),"NEW","")))</f>
        <v/>
      </c>
      <c r="G161" s="23" t="str">
        <f>IF(OR(E161="",E161="!!!"),"",IF(OR(J161=0,AND(J161=1,K161=1),AND(J161=1,I161="SBJ"),AND(J161=1,I161=0)),"?IN_FOCUS",IF(J161&lt;=2,"?ACTIVATED",IF(J161&lt;&gt;"","?FAMILIAR",IF(F161="NEW",IF(ISNA(VLOOKUP(E161,#REF!,1,FALSE())),"?TYPE_IDENTIFIABLE","?REFERENTIAL"),"_")))))</f>
        <v/>
      </c>
      <c r="H161" s="24" t="str">
        <f t="shared" ca="1" si="14"/>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41</v>
      </c>
      <c r="E162" s="21" t="str">
        <f t="shared" si="15"/>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4"/>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212</v>
      </c>
      <c r="E163" s="21" t="str">
        <f t="shared" si="15"/>
        <v/>
      </c>
      <c r="F163" s="22" t="str">
        <f>IF(OR(E163="",E163="!!!"),"",IF(NOT(ISNA(VLOOKUP(E163,E$1:E162,1,FALSE()))),"OLD",IF(AND(E163&lt;&gt;"",E163&lt;&gt;"!!!"),"NEW","")))</f>
        <v/>
      </c>
      <c r="G163" s="23" t="str">
        <f>IF(OR(E163="",E163="!!!"),"",IF(OR(J163=0,AND(J163=1,K163=1),AND(J163=1,I163="SBJ"),AND(J163=1,I163=0)),"?IN_FOCUS",IF(J163&lt;=2,"?ACTIVATED",IF(J163&lt;&gt;"","?FAMILIAR",IF(F163="NEW",IF(ISNA(VLOOKUP(E163,#REF!,1,FALSE())),"?TYPE_IDENTIFIABLE","?REFERENTIAL"),"_")))))</f>
        <v/>
      </c>
      <c r="H163" s="24" t="str">
        <f t="shared" ca="1" si="14"/>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5" spans="1:12" x14ac:dyDescent="0.3">
      <c r="A165" t="s">
        <v>322</v>
      </c>
    </row>
    <row r="166" spans="1:12" x14ac:dyDescent="0.3">
      <c r="A166" t="s">
        <v>323</v>
      </c>
      <c r="B166" s="20" t="s">
        <v>201</v>
      </c>
      <c r="C166" s="20" t="s">
        <v>202</v>
      </c>
      <c r="D166" s="20" t="s">
        <v>186</v>
      </c>
      <c r="E166" s="21" t="s">
        <v>731</v>
      </c>
      <c r="F166" s="22" t="str">
        <f>IF(OR(E166="",E166="!!!"),"",IF(NOT(ISNA(VLOOKUP(E166,E$1:E165,1,FALSE()))),"OLD",IF(AND(E166&lt;&gt;"",E166&lt;&gt;"!!!"),"NEW","")))</f>
        <v>OLD</v>
      </c>
      <c r="G166" s="23" t="s">
        <v>808</v>
      </c>
      <c r="H166" s="24" t="str">
        <f t="shared" ref="H166:H193" ca="1" si="16">IF(J166&lt;&gt;1,"",IF(I166="SBJ","CB","?"))</f>
        <v/>
      </c>
      <c r="I166" s="25">
        <f>IF(OR(E166="",E166="!!!",F166="NEW"),"",INDEX(B$2:B165,-1+SUMPRODUCT(MAX(ROW(E$2:E165)*(E166=E$2:E165)))))</f>
        <v>0</v>
      </c>
      <c r="J166" s="25">
        <f ca="1">IF(OR(E166="",E166="!!!",F166="NEW"),"",COUNTBLANK(OFFSET(A$1,,,SUMPRODUCT(MAX(ROW(E$2:E166)*(E166=E$2:E166)))))-COUNTBLANK(OFFSET(A$1,,,SUMPRODUCT(MAX(ROW(E$1:E165)*(E2=E$1:E165))))))</f>
        <v>0</v>
      </c>
      <c r="K166" s="25">
        <f ca="1">IF(OR(E166="",E166="!!!",F166="NEW"),"",INDEX(J$1:J165,SUMPRODUCT(MAX(ROW(E$1:E165)*(E166=E$1:E165)))))</f>
        <v>0</v>
      </c>
      <c r="L166" s="26"/>
    </row>
    <row r="167" spans="1:12" x14ac:dyDescent="0.3">
      <c r="A167" t="s">
        <v>324</v>
      </c>
      <c r="E167" s="21" t="str">
        <f t="shared" ref="E167:E193" si="17">IF(D167="?OLD","!!!","")</f>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6"/>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325</v>
      </c>
      <c r="E168" s="21" t="str">
        <f t="shared" si="17"/>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6"/>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206</v>
      </c>
      <c r="E169" s="21" t="str">
        <f t="shared" si="17"/>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6"/>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272</v>
      </c>
      <c r="E170" s="21" t="str">
        <f t="shared" si="17"/>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6"/>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207</v>
      </c>
      <c r="E171" s="21" t="str">
        <f t="shared" si="17"/>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6"/>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326</v>
      </c>
      <c r="B172" s="20" t="s">
        <v>208</v>
      </c>
      <c r="C172" s="20" t="s">
        <v>216</v>
      </c>
      <c r="D172" s="20" t="s">
        <v>186</v>
      </c>
      <c r="E172" s="21" t="s">
        <v>780</v>
      </c>
      <c r="F172" s="22" t="str">
        <f>IF(OR(E172="",E172="!!!"),"",IF(NOT(ISNA(VLOOKUP(E172,E$1:E171,1,FALSE()))),"OLD",IF(AND(E172&lt;&gt;"",E172&lt;&gt;"!!!"),"NEW","")))</f>
        <v>NEW</v>
      </c>
      <c r="G172" s="23" t="s">
        <v>807</v>
      </c>
      <c r="H172" s="24" t="str">
        <f t="shared" ca="1" si="16"/>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3" spans="1:12" x14ac:dyDescent="0.3">
      <c r="A173" t="s">
        <v>228</v>
      </c>
      <c r="E173" s="21" t="str">
        <f t="shared" si="17"/>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6"/>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183</v>
      </c>
      <c r="B174" s="20" t="s">
        <v>219</v>
      </c>
      <c r="C174" s="20" t="s">
        <v>185</v>
      </c>
      <c r="D174" s="20" t="s">
        <v>186</v>
      </c>
      <c r="E174" s="21" t="s">
        <v>721</v>
      </c>
      <c r="F174" s="22" t="str">
        <f>IF(OR(E174="",E174="!!!"),"",IF(NOT(ISNA(VLOOKUP(E174,E$1:E173,1,FALSE()))),"OLD",IF(AND(E174&lt;&gt;"",E174&lt;&gt;"!!!"),"NEW","")))</f>
        <v>OLD</v>
      </c>
      <c r="G174" s="23" t="s">
        <v>723</v>
      </c>
      <c r="H174" s="24" t="str">
        <f t="shared" ca="1" si="16"/>
        <v/>
      </c>
      <c r="I174" s="25" t="str">
        <f>IF(OR(E174="",E174="!!!",F174="NEW"),"",INDEX(B$2:B173,-1+SUMPRODUCT(MAX(ROW(E$2:E173)*(E174=E$2:E173)))))</f>
        <v>other_2</v>
      </c>
      <c r="J174" s="25">
        <f ca="1">IF(OR(E174="",E174="!!!",F174="NEW"),"",COUNTBLANK(OFFSET(A$1,,,SUMPRODUCT(MAX(ROW(E$2:E174)*(E174=E$2:E174)))))-COUNTBLANK(OFFSET(A$1,,,SUMPRODUCT(MAX(ROW(E$1:E173)*(E2=E$1:E173))))))</f>
        <v>0</v>
      </c>
      <c r="K174" s="25">
        <f ca="1">IF(OR(E174="",E174="!!!",F174="NEW"),"",INDEX(J$1:J173,SUMPRODUCT(MAX(ROW(E$1:E173)*(E174=E$1:E173)))))</f>
        <v>0</v>
      </c>
      <c r="L174" s="26"/>
    </row>
    <row r="175" spans="1:12" x14ac:dyDescent="0.3">
      <c r="A175" t="s">
        <v>270</v>
      </c>
      <c r="E175" s="21" t="str">
        <f t="shared" si="17"/>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6"/>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327</v>
      </c>
      <c r="E176" s="21" t="str">
        <f t="shared" si="17"/>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6"/>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228</v>
      </c>
      <c r="B177" s="20" t="s">
        <v>219</v>
      </c>
      <c r="C177" s="20" t="s">
        <v>328</v>
      </c>
      <c r="E177" s="21" t="str">
        <f t="shared" si="17"/>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6"/>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329</v>
      </c>
      <c r="E178" s="21" t="s">
        <v>780</v>
      </c>
      <c r="F178" s="22" t="str">
        <f>IF(OR(E178="",E178="!!!"),"",IF(NOT(ISNA(VLOOKUP(E178,E$1:E177,1,FALSE()))),"OLD",IF(AND(E178&lt;&gt;"",E178&lt;&gt;"!!!"),"NEW","")))</f>
        <v>OLD</v>
      </c>
      <c r="G178" s="23" t="s">
        <v>809</v>
      </c>
      <c r="H178" s="24" t="str">
        <f t="shared" ca="1" si="16"/>
        <v/>
      </c>
      <c r="I178" s="25" t="str">
        <f>IF(OR(E178="",E178="!!!",F178="NEW"),"",INDEX(B$2:B177,-1+SUMPRODUCT(MAX(ROW(E$2:E177)*(E178=E$2:E177)))))</f>
        <v>SBJ_2</v>
      </c>
      <c r="J178" s="25">
        <f ca="1">IF(OR(E178="",E178="!!!",F178="NEW"),"",COUNTBLANK(OFFSET(A$1,,,SUMPRODUCT(MAX(ROW(E$2:E178)*(E178=E$2:E178)))))-COUNTBLANK(OFFSET(A$1,,,SUMPRODUCT(MAX(ROW(E$1:E177)*(E2=E$1:E177))))))</f>
        <v>0</v>
      </c>
      <c r="K178" s="25" t="str">
        <f ca="1">IF(OR(E178="",E178="!!!",F178="NEW"),"",INDEX(J$1:J177,SUMPRODUCT(MAX(ROW(E$1:E177)*(E178=E$1:E177)))))</f>
        <v/>
      </c>
      <c r="L178" s="26" t="s">
        <v>789</v>
      </c>
    </row>
    <row r="179" spans="1:12" x14ac:dyDescent="0.3">
      <c r="A179" t="s">
        <v>330</v>
      </c>
      <c r="E179" s="21" t="str">
        <f t="shared" si="17"/>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6"/>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331</v>
      </c>
      <c r="B180" s="20" t="s">
        <v>196</v>
      </c>
      <c r="C180" s="20" t="s">
        <v>257</v>
      </c>
      <c r="E180" s="21" t="s">
        <v>788</v>
      </c>
      <c r="F180" s="22" t="str">
        <f>IF(OR(E180="",E180="!!!"),"",IF(NOT(ISNA(VLOOKUP(E180,E$1:E179,1,FALSE()))),"OLD",IF(AND(E180&lt;&gt;"",E180&lt;&gt;"!!!"),"NEW","")))</f>
        <v>NEW</v>
      </c>
      <c r="G180" s="23" t="s">
        <v>807</v>
      </c>
      <c r="H180" s="24" t="str">
        <f t="shared" ca="1" si="16"/>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332</v>
      </c>
      <c r="E181" s="21" t="str">
        <f t="shared" si="17"/>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6"/>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2" spans="1:12" x14ac:dyDescent="0.3">
      <c r="A182" t="s">
        <v>218</v>
      </c>
      <c r="E182" s="21" t="str">
        <f t="shared" si="17"/>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6"/>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209</v>
      </c>
      <c r="B183" s="20" t="s">
        <v>219</v>
      </c>
      <c r="C183" s="20" t="s">
        <v>216</v>
      </c>
      <c r="D183" s="20" t="s">
        <v>186</v>
      </c>
      <c r="E183" s="21" t="s">
        <v>744</v>
      </c>
      <c r="F183" s="22" t="str">
        <f>IF(OR(E183="",E183="!!!"),"",IF(NOT(ISNA(VLOOKUP(E183,E$1:E182,1,FALSE()))),"OLD",IF(AND(E183&lt;&gt;"",E183&lt;&gt;"!!!"),"NEW","")))</f>
        <v>OLD</v>
      </c>
      <c r="G183" s="23" t="s">
        <v>723</v>
      </c>
      <c r="H183" s="24" t="str">
        <f t="shared" ca="1" si="16"/>
        <v/>
      </c>
      <c r="I183" s="25" t="str">
        <f>IF(OR(E183="",E183="!!!",F183="NEW"),"",INDEX(B$2:B182,-1+SUMPRODUCT(MAX(ROW(E$2:E182)*(E183=E$2:E182)))))</f>
        <v>other_4</v>
      </c>
      <c r="J183" s="25">
        <f ca="1">IF(OR(E183="",E183="!!!",F183="NEW"),"",COUNTBLANK(OFFSET(A$1,,,SUMPRODUCT(MAX(ROW(E$2:E183)*(E183=E$2:E183)))))-COUNTBLANK(OFFSET(A$1,,,SUMPRODUCT(MAX(ROW(E$1:E182)*(E2=E$1:E182))))))</f>
        <v>0</v>
      </c>
      <c r="K183" s="25">
        <f ca="1">IF(OR(E183="",E183="!!!",F183="NEW"),"",INDEX(J$1:J182,SUMPRODUCT(MAX(ROW(E$1:E182)*(E183=E$1:E182)))))</f>
        <v>0</v>
      </c>
      <c r="L183" s="26"/>
    </row>
    <row r="184" spans="1:12" x14ac:dyDescent="0.3">
      <c r="A184" t="s">
        <v>333</v>
      </c>
      <c r="E184" s="21" t="str">
        <f t="shared" si="17"/>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ca="1" si="16"/>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334</v>
      </c>
      <c r="E185" s="21" t="str">
        <f t="shared" si="17"/>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6"/>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206</v>
      </c>
      <c r="E186" s="21" t="str">
        <f t="shared" si="17"/>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6"/>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335</v>
      </c>
      <c r="E187" s="21" t="str">
        <f t="shared" si="17"/>
        <v/>
      </c>
      <c r="F187" s="22" t="str">
        <f>IF(OR(E187="",E187="!!!"),"",IF(NOT(ISNA(VLOOKUP(E187,E$1:E186,1,FALSE()))),"OLD",IF(AND(E187&lt;&gt;"",E187&lt;&gt;"!!!"),"NEW","")))</f>
        <v/>
      </c>
      <c r="G187" s="23" t="str">
        <f>IF(OR(E187="",E187="!!!"),"",IF(OR(J187=0,AND(J187=1,K187=1),AND(J187=1,I187="SBJ"),AND(J187=1,I187=0)),"?IN_FOCUS",IF(J187&lt;=2,"?ACTIVATED",IF(J187&lt;&gt;"","?FAMILIAR",IF(F187="NEW",IF(ISNA(VLOOKUP(E187,#REF!,1,FALSE())),"?TYPE_IDENTIFIABLE","?REFERENTIAL"),"_")))))</f>
        <v/>
      </c>
      <c r="H187" s="24" t="str">
        <f t="shared" ca="1" si="16"/>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221</v>
      </c>
      <c r="B188" s="20" t="s">
        <v>232</v>
      </c>
      <c r="E188" s="21" t="str">
        <f t="shared" si="17"/>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6"/>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336</v>
      </c>
      <c r="E189" s="21" t="str">
        <f t="shared" si="17"/>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6"/>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337</v>
      </c>
      <c r="E190" s="21" t="str">
        <f t="shared" si="17"/>
        <v/>
      </c>
      <c r="F190" s="22" t="str">
        <f>IF(OR(E190="",E190="!!!"),"",IF(NOT(ISNA(VLOOKUP(E190,E$1:E189,1,FALSE()))),"OLD",IF(AND(E190&lt;&gt;"",E190&lt;&gt;"!!!"),"NEW","")))</f>
        <v/>
      </c>
      <c r="G190" s="23" t="str">
        <f>IF(OR(E190="",E190="!!!"),"",IF(OR(J190=0,AND(J190=1,K190=1),AND(J190=1,I190="SBJ"),AND(J190=1,I190=0)),"?IN_FOCUS",IF(J190&lt;=2,"?ACTIVATED",IF(J190&lt;&gt;"","?FAMILIAR",IF(F190="NEW",IF(ISNA(VLOOKUP(E190,#REF!,1,FALSE())),"?TYPE_IDENTIFIABLE","?REFERENTIAL"),"_")))))</f>
        <v/>
      </c>
      <c r="H190" s="24" t="str">
        <f t="shared" ca="1" si="16"/>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338</v>
      </c>
      <c r="E191" s="21" t="str">
        <f t="shared" si="17"/>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6"/>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339</v>
      </c>
      <c r="E192" s="21" t="str">
        <f t="shared" si="17"/>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6"/>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212</v>
      </c>
      <c r="E193" s="21" t="str">
        <f t="shared" si="17"/>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6"/>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5" spans="1:12" x14ac:dyDescent="0.3">
      <c r="A195" t="s">
        <v>340</v>
      </c>
    </row>
    <row r="196" spans="1:12" x14ac:dyDescent="0.3">
      <c r="A196" t="s">
        <v>341</v>
      </c>
      <c r="E196" s="21" t="str">
        <f t="shared" ref="E196:E217" si="18">IF(D196="?OLD","!!!","")</f>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ref="H196:H217" ca="1" si="19">IF(J196&lt;&gt;1,"",IF(I196="SBJ","CB","?"))</f>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224</v>
      </c>
      <c r="E197" s="21" t="str">
        <f t="shared" si="18"/>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9"/>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342</v>
      </c>
      <c r="E198" s="21" t="str">
        <f t="shared" si="18"/>
        <v/>
      </c>
      <c r="F198" s="22" t="str">
        <f>IF(OR(E198="",E198="!!!"),"",IF(NOT(ISNA(VLOOKUP(E198,E$1:E197,1,FALSE()))),"OLD",IF(AND(E198&lt;&gt;"",E198&lt;&gt;"!!!"),"NEW","")))</f>
        <v/>
      </c>
      <c r="G198" s="23" t="str">
        <f>IF(OR(E198="",E198="!!!"),"",IF(OR(J198=0,AND(J198=1,K198=1),AND(J198=1,I198="SBJ"),AND(J198=1,I198=0)),"?IN_FOCUS",IF(J198&lt;=2,"?ACTIVATED",IF(J198&lt;&gt;"","?FAMILIAR",IF(F198="NEW",IF(ISNA(VLOOKUP(E198,#REF!,1,FALSE())),"?TYPE_IDENTIFIABLE","?REFERENTIAL"),"_")))))</f>
        <v/>
      </c>
      <c r="H198" s="24" t="str">
        <f t="shared" ca="1" si="19"/>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343</v>
      </c>
      <c r="B199" s="20" t="s">
        <v>184</v>
      </c>
      <c r="C199" s="20" t="s">
        <v>216</v>
      </c>
      <c r="D199" s="20" t="s">
        <v>186</v>
      </c>
      <c r="E199" s="21" t="s">
        <v>742</v>
      </c>
      <c r="F199" s="22" t="s">
        <v>725</v>
      </c>
      <c r="G199" s="23"/>
      <c r="H199" s="24" t="str">
        <f t="shared" ca="1" si="19"/>
        <v/>
      </c>
      <c r="I199" s="25" t="e">
        <f>IF(OR(E199="",E199="!!!",F199="NEW"),"",INDEX(B$2:B198,-1+SUMPRODUCT(MAX(ROW(E$2:E198)*(E199=E$2:E198)))))</f>
        <v>#VALUE!</v>
      </c>
      <c r="J199" s="25">
        <f ca="1">IF(OR(E199="",E199="!!!",F199="NEW"),"",COUNTBLANK(OFFSET(A$1,,,SUMPRODUCT(MAX(ROW(E$2:E199)*(E199=E$2:E199)))))-COUNTBLANK(OFFSET(A$1,,,SUMPRODUCT(MAX(ROW(E$1:E198)*(E2=E$1:E198))))))</f>
        <v>0</v>
      </c>
      <c r="K199" s="25" t="e">
        <f>IF(OR(E199="",E199="!!!",F199="NEW"),"",INDEX(J$1:J198,SUMPRODUCT(MAX(ROW(E$1:E198)*(E199=E$1:E198)))))</f>
        <v>#VALUE!</v>
      </c>
      <c r="L199" s="26"/>
    </row>
    <row r="200" spans="1:12" x14ac:dyDescent="0.3">
      <c r="A200" t="s">
        <v>344</v>
      </c>
      <c r="E200" s="21" t="str">
        <f t="shared" si="18"/>
        <v/>
      </c>
      <c r="F200" s="22" t="str">
        <f>IF(OR(E200="",E200="!!!"),"",IF(NOT(ISNA(VLOOKUP(E200,E$1:E199,1,FALSE()))),"OLD",IF(AND(E200&lt;&gt;"",E200&lt;&gt;"!!!"),"NEW","")))</f>
        <v/>
      </c>
      <c r="G200" s="23" t="str">
        <f>IF(OR(E200="",E200="!!!"),"",IF(OR(J200=0,AND(J200=1,K200=1),AND(J200=1,I200="SBJ"),AND(J200=1,I200=0)),"?IN_FOCUS",IF(J200&lt;=2,"?ACTIVATED",IF(J200&lt;&gt;"","?FAMILIAR",IF(F200="NEW",IF(ISNA(VLOOKUP(E200,#REF!,1,FALSE())),"?TYPE_IDENTIFIABLE","?REFERENTIAL"),"_")))))</f>
        <v/>
      </c>
      <c r="H200" s="24" t="str">
        <f t="shared" ca="1" si="19"/>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204</v>
      </c>
      <c r="E201" s="21" t="str">
        <f t="shared" si="18"/>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19"/>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345</v>
      </c>
      <c r="B202" s="20" t="s">
        <v>222</v>
      </c>
      <c r="C202" s="20" t="s">
        <v>193</v>
      </c>
      <c r="E202" s="21" t="s">
        <v>790</v>
      </c>
      <c r="F202" s="22" t="str">
        <f>IF(OR(E202="",E202="!!!"),"",IF(NOT(ISNA(VLOOKUP(E202,E$1:E201,1,FALSE()))),"OLD",IF(AND(E202&lt;&gt;"",E202&lt;&gt;"!!!"),"NEW","")))</f>
        <v>NEW</v>
      </c>
      <c r="G202" s="23" t="s">
        <v>810</v>
      </c>
      <c r="H202" s="24" t="str">
        <f t="shared" ca="1" si="19"/>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t="s">
        <v>789</v>
      </c>
    </row>
    <row r="203" spans="1:12" x14ac:dyDescent="0.3">
      <c r="A203" t="s">
        <v>206</v>
      </c>
      <c r="E203" s="21" t="str">
        <f t="shared" si="18"/>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19"/>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272</v>
      </c>
      <c r="E204" s="21" t="str">
        <f t="shared" si="18"/>
        <v/>
      </c>
      <c r="F204" s="22" t="str">
        <f>IF(OR(E204="",E204="!!!"),"",IF(NOT(ISNA(VLOOKUP(E204,E$1:E203,1,FALSE()))),"OLD",IF(AND(E204&lt;&gt;"",E204&lt;&gt;"!!!"),"NEW","")))</f>
        <v/>
      </c>
      <c r="G204" s="23" t="str">
        <f>IF(OR(E204="",E204="!!!"),"",IF(OR(J204=0,AND(J204=1,K204=1),AND(J204=1,I204="SBJ"),AND(J204=1,I204=0)),"?IN_FOCUS",IF(J204&lt;=2,"?ACTIVATED",IF(J204&lt;&gt;"","?FAMILIAR",IF(F204="NEW",IF(ISNA(VLOOKUP(E204,#REF!,1,FALSE())),"?TYPE_IDENTIFIABLE","?REFERENTIAL"),"_")))))</f>
        <v/>
      </c>
      <c r="H204" s="24" t="str">
        <f t="shared" ca="1" si="19"/>
        <v/>
      </c>
      <c r="I204" s="25" t="str">
        <f>IF(OR(E204="",E204="!!!",F204="NEW"),"",INDEX(B$2:B203,-1+SUMPRODUCT(MAX(ROW(E$2:E203)*(E204=E$2:E203)))))</f>
        <v/>
      </c>
      <c r="J204" s="25" t="str">
        <f ca="1">IF(OR(E204="",E204="!!!",F204="NEW"),"",COUNTBLANK(OFFSET(A$1,,,SUMPRODUCT(MAX(ROW(E$2:E204)*(E204=E$2:E204)))))-COUNTBLANK(OFFSET(A$1,,,SUMPRODUCT(MAX(ROW(E$1:E203)*(E2=E$1:E203))))))</f>
        <v/>
      </c>
      <c r="K204" s="25" t="str">
        <f>IF(OR(E204="",E204="!!!",F204="NEW"),"",INDEX(J$1:J203,SUMPRODUCT(MAX(ROW(E$1:E203)*(E204=E$1:E203)))))</f>
        <v/>
      </c>
      <c r="L204" s="26"/>
    </row>
    <row r="205" spans="1:12" x14ac:dyDescent="0.3">
      <c r="A205" t="s">
        <v>221</v>
      </c>
      <c r="B205" s="20" t="s">
        <v>210</v>
      </c>
      <c r="E205" s="21" t="str">
        <f t="shared" si="18"/>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19"/>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304</v>
      </c>
      <c r="B206" s="20" t="s">
        <v>208</v>
      </c>
      <c r="C206" s="20" t="s">
        <v>185</v>
      </c>
      <c r="D206" s="20" t="s">
        <v>186</v>
      </c>
      <c r="E206" s="21" t="s">
        <v>731</v>
      </c>
      <c r="F206" s="22" t="str">
        <f>IF(OR(E206="",E206="!!!"),"",IF(NOT(ISNA(VLOOKUP(E206,E$1:E205,1,FALSE()))),"OLD",IF(AND(E206&lt;&gt;"",E206&lt;&gt;"!!!"),"NEW","")))</f>
        <v>OLD</v>
      </c>
      <c r="G206" s="23" t="s">
        <v>809</v>
      </c>
      <c r="H206" s="24" t="s">
        <v>178</v>
      </c>
      <c r="I206" s="25" t="str">
        <f>IF(OR(E206="",E206="!!!",F206="NEW"),"",INDEX(B$2:B205,-1+SUMPRODUCT(MAX(ROW(E$2:E205)*(E206=E$2:E205)))))</f>
        <v>SBJ</v>
      </c>
      <c r="J206" s="25">
        <f ca="1">IF(OR(E206="",E206="!!!",F206="NEW"),"",COUNTBLANK(OFFSET(A$1,,,SUMPRODUCT(MAX(ROW(E$2:E206)*(E206=E$2:E206)))))-COUNTBLANK(OFFSET(A$1,,,SUMPRODUCT(MAX(ROW(E$1:E205)*(E2=E$1:E205))))))</f>
        <v>0</v>
      </c>
      <c r="K206" s="25">
        <f ca="1">IF(OR(E206="",E206="!!!",F206="NEW"),"",INDEX(J$1:J205,SUMPRODUCT(MAX(ROW(E$1:E205)*(E206=E$1:E205)))))</f>
        <v>0</v>
      </c>
      <c r="L206" s="26"/>
    </row>
    <row r="207" spans="1:12" x14ac:dyDescent="0.3">
      <c r="A207" t="s">
        <v>346</v>
      </c>
      <c r="E207" s="21" t="str">
        <f t="shared" si="18"/>
        <v/>
      </c>
      <c r="F207" s="22" t="str">
        <f>IF(OR(E207="",E207="!!!"),"",IF(NOT(ISNA(VLOOKUP(E207,E$1:E206,1,FALSE()))),"OLD",IF(AND(E207&lt;&gt;"",E207&lt;&gt;"!!!"),"NEW","")))</f>
        <v/>
      </c>
      <c r="G207" s="23" t="str">
        <f>IF(OR(E207="",E207="!!!"),"",IF(OR(J207=0,AND(J207=1,K207=1),AND(J207=1,I207="SBJ"),AND(J207=1,I207=0)),"?IN_FOCUS",IF(J207&lt;=2,"?ACTIVATED",IF(J207&lt;&gt;"","?FAMILIAR",IF(F207="NEW",IF(ISNA(VLOOKUP(E207,#REF!,1,FALSE())),"?TYPE_IDENTIFIABLE","?REFERENTIAL"),"_")))))</f>
        <v/>
      </c>
      <c r="H207" s="24" t="str">
        <f t="shared" ca="1" si="19"/>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347</v>
      </c>
      <c r="E208" s="21" t="str">
        <f t="shared" si="18"/>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19"/>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09" spans="1:12" x14ac:dyDescent="0.3">
      <c r="A209" t="s">
        <v>348</v>
      </c>
      <c r="E209" s="21" t="str">
        <f t="shared" si="18"/>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ca="1" si="19"/>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206</v>
      </c>
      <c r="E210" s="21" t="str">
        <f t="shared" si="18"/>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19"/>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250</v>
      </c>
      <c r="E211" s="21" t="str">
        <f t="shared" si="18"/>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19"/>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349</v>
      </c>
      <c r="E212" s="21" t="str">
        <f t="shared" si="18"/>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19"/>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350</v>
      </c>
      <c r="E213" s="21" t="str">
        <f t="shared" si="18"/>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19"/>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351</v>
      </c>
      <c r="B214" s="20" t="s">
        <v>352</v>
      </c>
      <c r="C214" s="20" t="s">
        <v>328</v>
      </c>
      <c r="E214" s="21" t="str">
        <f t="shared" si="18"/>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19"/>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353</v>
      </c>
      <c r="B215" s="20" t="s">
        <v>241</v>
      </c>
      <c r="C215" s="20" t="s">
        <v>197</v>
      </c>
      <c r="E215" s="21" t="str">
        <f t="shared" si="18"/>
        <v/>
      </c>
      <c r="F215" s="22" t="str">
        <f>IF(OR(E215="",E215="!!!"),"",IF(NOT(ISNA(VLOOKUP(E215,E$1:E214,1,FALSE()))),"OLD",IF(AND(E215&lt;&gt;"",E215&lt;&gt;"!!!"),"NEW","")))</f>
        <v/>
      </c>
      <c r="G215" s="23" t="str">
        <f>IF(OR(E215="",E215="!!!"),"",IF(OR(J215=0,AND(J215=1,K215=1),AND(J215=1,I215="SBJ"),AND(J215=1,I215=0)),"?IN_FOCUS",IF(J215&lt;=2,"?ACTIVATED",IF(J215&lt;&gt;"","?FAMILIAR",IF(F215="NEW",IF(ISNA(VLOOKUP(E215,#REF!,1,FALSE())),"?TYPE_IDENTIFIABLE","?REFERENTIAL"),"_")))))</f>
        <v/>
      </c>
      <c r="H215" s="24" t="str">
        <f t="shared" ca="1" si="19"/>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354</v>
      </c>
      <c r="E216" s="21" t="str">
        <f t="shared" si="18"/>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19"/>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212</v>
      </c>
      <c r="E217" s="21" t="str">
        <f t="shared" si="18"/>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19"/>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9" spans="1:12" x14ac:dyDescent="0.3">
      <c r="A219" t="s">
        <v>355</v>
      </c>
    </row>
    <row r="220" spans="1:12" x14ac:dyDescent="0.3">
      <c r="A220" t="s">
        <v>356</v>
      </c>
      <c r="B220" s="20" t="s">
        <v>222</v>
      </c>
      <c r="C220" s="20" t="s">
        <v>202</v>
      </c>
      <c r="D220" s="20" t="s">
        <v>186</v>
      </c>
      <c r="E220" s="21" t="s">
        <v>741</v>
      </c>
      <c r="F220" s="22" t="str">
        <f>IF(OR(E220="",E220="!!!"),"",IF(NOT(ISNA(VLOOKUP(E220,E$1:E219,1,FALSE()))),"OLD",IF(AND(E220&lt;&gt;"",E220&lt;&gt;"!!!"),"NEW","")))</f>
        <v>OLD</v>
      </c>
      <c r="G220" s="23" t="s">
        <v>723</v>
      </c>
      <c r="H220" s="24" t="str">
        <f t="shared" ref="H220:H228" ca="1" si="20">IF(J220&lt;&gt;1,"",IF(I220="SBJ","CB","?"))</f>
        <v/>
      </c>
      <c r="I220" s="25" t="str">
        <f>IF(OR(E220="",E220="!!!",F220="NEW"),"",INDEX(B$2:B219,-1+SUMPRODUCT(MAX(ROW(E$2:E219)*(E220=E$2:E219)))))</f>
        <v>SBJ</v>
      </c>
      <c r="J220" s="25">
        <f ca="1">IF(OR(E220="",E220="!!!",F220="NEW"),"",COUNTBLANK(OFFSET(A$1,,,SUMPRODUCT(MAX(ROW(E$2:E220)*(E220=E$2:E220)))))-COUNTBLANK(OFFSET(A$1,,,SUMPRODUCT(MAX(ROW(E$1:E219)*(E2=E$1:E219))))))</f>
        <v>0</v>
      </c>
      <c r="K220" s="25">
        <f ca="1">IF(OR(E220="",E220="!!!",F220="NEW"),"",INDEX(J$1:J219,SUMPRODUCT(MAX(ROW(E$1:E219)*(E220=E$1:E219)))))</f>
        <v>0</v>
      </c>
      <c r="L220" s="26"/>
    </row>
    <row r="221" spans="1:12" x14ac:dyDescent="0.3">
      <c r="A221" t="s">
        <v>357</v>
      </c>
      <c r="E221" s="21" t="str">
        <f t="shared" ref="E221:E228" si="21">IF(D221="?OLD","!!!","")</f>
        <v/>
      </c>
      <c r="F221" s="22" t="str">
        <f>IF(OR(E221="",E221="!!!"),"",IF(NOT(ISNA(VLOOKUP(E221,E$1:E220,1,FALSE()))),"OLD",IF(AND(E221&lt;&gt;"",E221&lt;&gt;"!!!"),"NEW","")))</f>
        <v/>
      </c>
      <c r="G221" s="23" t="str">
        <f>IF(OR(E221="",E221="!!!"),"",IF(OR(J221=0,AND(J221=1,K221=1),AND(J221=1,I221="SBJ"),AND(J221=1,I221=0)),"?IN_FOCUS",IF(J221&lt;=2,"?ACTIVATED",IF(J221&lt;&gt;"","?FAMILIAR",IF(F221="NEW",IF(ISNA(VLOOKUP(E221,#REF!,1,FALSE())),"?TYPE_IDENTIFIABLE","?REFERENTIAL"),"_")))))</f>
        <v/>
      </c>
      <c r="H221" s="24" t="str">
        <f t="shared" ca="1" si="20"/>
        <v/>
      </c>
      <c r="I221" s="25" t="str">
        <f>IF(OR(E221="",E221="!!!",F221="NEW"),"",INDEX(B$2:B220,-1+SUMPRODUCT(MAX(ROW(E$2:E220)*(E221=E$2:E220)))))</f>
        <v/>
      </c>
      <c r="J221" s="25" t="str">
        <f ca="1">IF(OR(E221="",E221="!!!",F221="NEW"),"",COUNTBLANK(OFFSET(A$1,,,SUMPRODUCT(MAX(ROW(E$2:E221)*(E221=E$2:E221)))))-COUNTBLANK(OFFSET(A$1,,,SUMPRODUCT(MAX(ROW(E$1:E220)*(E2=E$1:E220))))))</f>
        <v/>
      </c>
      <c r="K221" s="25" t="str">
        <f>IF(OR(E221="",E221="!!!",F221="NEW"),"",INDEX(J$1:J220,SUMPRODUCT(MAX(ROW(E$1:E220)*(E221=E$1:E220)))))</f>
        <v/>
      </c>
      <c r="L221" s="26"/>
    </row>
    <row r="222" spans="1:12" x14ac:dyDescent="0.3">
      <c r="A222" t="s">
        <v>358</v>
      </c>
      <c r="E222" s="21" t="s">
        <v>731</v>
      </c>
      <c r="F222" s="22" t="str">
        <f>IF(OR(E222="",E222="!!!"),"",IF(NOT(ISNA(VLOOKUP(E222,E$1:E221,1,FALSE()))),"OLD",IF(AND(E222&lt;&gt;"",E222&lt;&gt;"!!!"),"NEW","")))</f>
        <v>OLD</v>
      </c>
      <c r="G222" s="23" t="s">
        <v>809</v>
      </c>
      <c r="H222" s="24" t="s">
        <v>178</v>
      </c>
      <c r="I222" s="25" t="str">
        <f>IF(OR(E222="",E222="!!!",F222="NEW"),"",INDEX(B$2:B221,-1+SUMPRODUCT(MAX(ROW(E$2:E221)*(E222=E$2:E221)))))</f>
        <v>SBJ_2</v>
      </c>
      <c r="J222" s="25">
        <f ca="1">IF(OR(E222="",E222="!!!",F222="NEW"),"",COUNTBLANK(OFFSET(A$1,,,SUMPRODUCT(MAX(ROW(E$2:E222)*(E222=E$2:E222)))))-COUNTBLANK(OFFSET(A$1,,,SUMPRODUCT(MAX(ROW(E$1:E221)*(E2=E$1:E221))))))</f>
        <v>0</v>
      </c>
      <c r="K222" s="25">
        <f ca="1">IF(OR(E222="",E222="!!!",F222="NEW"),"",INDEX(J$1:J221,SUMPRODUCT(MAX(ROW(E$1:E221)*(E222=E$1:E221)))))</f>
        <v>0</v>
      </c>
      <c r="L222" s="26" t="s">
        <v>732</v>
      </c>
    </row>
    <row r="223" spans="1:12" x14ac:dyDescent="0.3">
      <c r="A223" t="s">
        <v>359</v>
      </c>
      <c r="B223" s="20" t="s">
        <v>201</v>
      </c>
      <c r="C223" s="20" t="s">
        <v>257</v>
      </c>
      <c r="E223" s="21" t="s">
        <v>743</v>
      </c>
      <c r="F223" s="22" t="str">
        <f>IF(OR(E223="",E223="!!!"),"",IF(NOT(ISNA(VLOOKUP(E223,E$1:E222,1,FALSE()))),"OLD",IF(AND(E223&lt;&gt;"",E223&lt;&gt;"!!!"),"NEW","")))</f>
        <v>NEW</v>
      </c>
      <c r="G223" s="23" t="s">
        <v>807</v>
      </c>
      <c r="H223" s="24" t="str">
        <f t="shared" ca="1" si="20"/>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360</v>
      </c>
      <c r="E224" s="21" t="str">
        <f t="shared" si="21"/>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20"/>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361</v>
      </c>
      <c r="E225" s="21" t="str">
        <f t="shared" si="21"/>
        <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20"/>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362</v>
      </c>
      <c r="B226" s="20" t="s">
        <v>210</v>
      </c>
      <c r="C226" s="20" t="s">
        <v>216</v>
      </c>
      <c r="D226" s="20" t="s">
        <v>186</v>
      </c>
      <c r="E226" s="21"/>
      <c r="F226" s="22" t="s">
        <v>726</v>
      </c>
      <c r="G226" s="23" t="str">
        <f>IF(OR(E226="",E226="!!!"),"",IF(OR(J226=0,AND(J226=1,K226=1),AND(J226=1,I226="SBJ"),AND(J226=1,I226=0)),"?IN_FOCUS",IF(J226&lt;=2,"?ACTIVATED",IF(J226&lt;&gt;"","?FAMILIAR",IF(F226="NEW",IF(ISNA(VLOOKUP(E226,#REF!,1,FALSE())),"?TYPE_IDENTIFIABLE","?REFERENTIAL"),"_")))))</f>
        <v/>
      </c>
      <c r="H226" s="24" t="str">
        <f t="shared" ca="1" si="20"/>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363</v>
      </c>
      <c r="E227" s="21" t="str">
        <f t="shared" si="21"/>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20"/>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212</v>
      </c>
      <c r="E228" s="21" t="str">
        <f t="shared" si="21"/>
        <v/>
      </c>
      <c r="F228" s="22" t="str">
        <f>IF(OR(E228="",E228="!!!"),"",IF(NOT(ISNA(VLOOKUP(E228,E$1:E227,1,FALSE()))),"OLD",IF(AND(E228&lt;&gt;"",E228&lt;&gt;"!!!"),"NEW","")))</f>
        <v/>
      </c>
      <c r="G228" s="23" t="str">
        <f>IF(OR(E228="",E228="!!!"),"",IF(OR(J228=0,AND(J228=1,K228=1),AND(J228=1,I228="SBJ"),AND(J228=1,I228=0)),"?IN_FOCUS",IF(J228&lt;=2,"?ACTIVATED",IF(J228&lt;&gt;"","?FAMILIAR",IF(F228="NEW",IF(ISNA(VLOOKUP(E228,#REF!,1,FALSE())),"?TYPE_IDENTIFIABLE","?REFERENTIAL"),"_")))))</f>
        <v/>
      </c>
      <c r="H228" s="24" t="str">
        <f t="shared" ca="1" si="20"/>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row>
    <row r="230" spans="1:12" x14ac:dyDescent="0.3">
      <c r="A230" t="s">
        <v>364</v>
      </c>
    </row>
    <row r="231" spans="1:12" x14ac:dyDescent="0.3">
      <c r="A231" t="s">
        <v>249</v>
      </c>
      <c r="E231" s="21" t="str">
        <f t="shared" ref="E231:E248" si="22">IF(D231="?OLD","!!!","")</f>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ref="H231:H248" ca="1" si="23">IF(J231&lt;&gt;1,"",IF(I231="SBJ","CB","?"))</f>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204</v>
      </c>
      <c r="B232" s="20" t="s">
        <v>196</v>
      </c>
      <c r="C232" s="20" t="s">
        <v>328</v>
      </c>
      <c r="E232" s="21" t="str">
        <f t="shared" si="22"/>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23"/>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194</v>
      </c>
      <c r="E233" s="21" t="str">
        <f t="shared" si="22"/>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23"/>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253</v>
      </c>
      <c r="B234" s="20" t="s">
        <v>219</v>
      </c>
      <c r="C234" s="20" t="s">
        <v>197</v>
      </c>
      <c r="E234" s="21" t="s">
        <v>730</v>
      </c>
      <c r="F234" s="22" t="str">
        <f>IF(OR(E234="",E234="!!!"),"",IF(NOT(ISNA(VLOOKUP(E234,E$1:E233,1,FALSE()))),"OLD",IF(AND(E234&lt;&gt;"",E234&lt;&gt;"!!!"),"NEW","")))</f>
        <v>OLD</v>
      </c>
      <c r="G234" s="23" t="s">
        <v>723</v>
      </c>
      <c r="H234" s="24" t="str">
        <f t="shared" ca="1" si="23"/>
        <v/>
      </c>
      <c r="I234" s="25" t="str">
        <f>IF(OR(E234="",E234="!!!",F234="NEW"),"",INDEX(B$2:B233,-1+SUMPRODUCT(MAX(ROW(E$2:E233)*(E234=E$2:E233)))))</f>
        <v>SBJ_2</v>
      </c>
      <c r="J234" s="25">
        <f ca="1">IF(OR(E234="",E234="!!!",F234="NEW"),"",COUNTBLANK(OFFSET(A$1,,,SUMPRODUCT(MAX(ROW(E$2:E234)*(E234=E$2:E234)))))-COUNTBLANK(OFFSET(A$1,,,SUMPRODUCT(MAX(ROW(E$1:E233)*(E2=E$1:E233))))))</f>
        <v>0</v>
      </c>
      <c r="K234" s="25">
        <f ca="1">IF(OR(E234="",E234="!!!",F234="NEW"),"",INDEX(J$1:J233,SUMPRODUCT(MAX(ROW(E$1:E233)*(E234=E$1:E233)))))</f>
        <v>0</v>
      </c>
      <c r="L234" s="26"/>
    </row>
    <row r="235" spans="1:12" x14ac:dyDescent="0.3">
      <c r="A235" t="s">
        <v>365</v>
      </c>
      <c r="E235" s="21" t="str">
        <f t="shared" si="22"/>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23"/>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206</v>
      </c>
      <c r="E236" s="21" t="str">
        <f t="shared" si="22"/>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23"/>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366</v>
      </c>
      <c r="E237" s="21" t="str">
        <f t="shared" si="22"/>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23"/>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367</v>
      </c>
      <c r="B238" s="20" t="s">
        <v>201</v>
      </c>
      <c r="C238" s="20" t="s">
        <v>193</v>
      </c>
      <c r="E238" s="21" t="str">
        <f t="shared" si="22"/>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23"/>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368</v>
      </c>
      <c r="E239" s="21" t="str">
        <f t="shared" si="22"/>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23"/>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206</v>
      </c>
      <c r="E240" s="21" t="str">
        <f t="shared" si="22"/>
        <v/>
      </c>
      <c r="F240" s="22" t="str">
        <f>IF(OR(E240="",E240="!!!"),"",IF(NOT(ISNA(VLOOKUP(E240,E$1:E239,1,FALSE()))),"OLD",IF(AND(E240&lt;&gt;"",E240&lt;&gt;"!!!"),"NEW","")))</f>
        <v/>
      </c>
      <c r="G240" s="23" t="str">
        <f>IF(OR(E240="",E240="!!!"),"",IF(OR(J240=0,AND(J240=1,K240=1),AND(J240=1,I240="SBJ"),AND(J240=1,I240=0)),"?IN_FOCUS",IF(J240&lt;=2,"?ACTIVATED",IF(J240&lt;&gt;"","?FAMILIAR",IF(F240="NEW",IF(ISNA(VLOOKUP(E240,#REF!,1,FALSE())),"?TYPE_IDENTIFIABLE","?REFERENTIAL"),"_")))))</f>
        <v/>
      </c>
      <c r="H240" s="24" t="str">
        <f t="shared" ca="1" si="23"/>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row>
    <row r="241" spans="1:12" x14ac:dyDescent="0.3">
      <c r="A241" t="s">
        <v>272</v>
      </c>
      <c r="E241" s="21" t="str">
        <f t="shared" si="22"/>
        <v/>
      </c>
      <c r="F241" s="22" t="str">
        <f>IF(OR(E241="",E241="!!!"),"",IF(NOT(ISNA(VLOOKUP(E241,E$1:E240,1,FALSE()))),"OLD",IF(AND(E241&lt;&gt;"",E241&lt;&gt;"!!!"),"NEW","")))</f>
        <v/>
      </c>
      <c r="G241" s="23" t="str">
        <f>IF(OR(E241="",E241="!!!"),"",IF(OR(J241=0,AND(J241=1,K241=1),AND(J241=1,I241="SBJ"),AND(J241=1,I241=0)),"?IN_FOCUS",IF(J241&lt;=2,"?ACTIVATED",IF(J241&lt;&gt;"","?FAMILIAR",IF(F241="NEW",IF(ISNA(VLOOKUP(E241,#REF!,1,FALSE())),"?TYPE_IDENTIFIABLE","?REFERENTIAL"),"_")))))</f>
        <v/>
      </c>
      <c r="H241" s="24" t="str">
        <f t="shared" ca="1" si="23"/>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218</v>
      </c>
      <c r="E242" s="21" t="str">
        <f t="shared" si="22"/>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23"/>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369</v>
      </c>
      <c r="B243" s="20" t="s">
        <v>208</v>
      </c>
      <c r="C243" s="20" t="s">
        <v>216</v>
      </c>
      <c r="D243" s="20" t="s">
        <v>186</v>
      </c>
      <c r="E243" s="21" t="s">
        <v>730</v>
      </c>
      <c r="F243" s="22" t="str">
        <f>IF(OR(E243="",E243="!!!"),"",IF(NOT(ISNA(VLOOKUP(E243,E$1:E242,1,FALSE()))),"OLD",IF(AND(E243&lt;&gt;"",E243&lt;&gt;"!!!"),"NEW","")))</f>
        <v>OLD</v>
      </c>
      <c r="G243" s="23" t="s">
        <v>809</v>
      </c>
      <c r="H243" s="24" t="str">
        <f t="shared" ca="1" si="23"/>
        <v/>
      </c>
      <c r="I243" s="25" t="str">
        <f>IF(OR(E243="",E243="!!!",F243="NEW"),"",INDEX(B$2:B242,-1+SUMPRODUCT(MAX(ROW(E$2:E242)*(E243=E$2:E242)))))</f>
        <v>other_3</v>
      </c>
      <c r="J243" s="25">
        <f ca="1">IF(OR(E243="",E243="!!!",F243="NEW"),"",COUNTBLANK(OFFSET(A$1,,,SUMPRODUCT(MAX(ROW(E$2:E243)*(E243=E$2:E243)))))-COUNTBLANK(OFFSET(A$1,,,SUMPRODUCT(MAX(ROW(E$1:E242)*(E2=E$1:E242))))))</f>
        <v>0</v>
      </c>
      <c r="K243" s="25">
        <f ca="1">IF(OR(E243="",E243="!!!",F243="NEW"),"",INDEX(J$1:J242,SUMPRODUCT(MAX(ROW(E$1:E242)*(E243=E$1:E242)))))</f>
        <v>0</v>
      </c>
      <c r="L243" s="26"/>
    </row>
    <row r="244" spans="1:12" x14ac:dyDescent="0.3">
      <c r="A244" t="s">
        <v>217</v>
      </c>
      <c r="B244" s="20" t="s">
        <v>208</v>
      </c>
      <c r="C244" s="20" t="s">
        <v>185</v>
      </c>
      <c r="D244" s="20" t="s">
        <v>186</v>
      </c>
      <c r="E244" s="21" t="s">
        <v>721</v>
      </c>
      <c r="F244" s="22" t="str">
        <f>IF(OR(E244="",E244="!!!"),"",IF(NOT(ISNA(VLOOKUP(E244,E$1:E243,1,FALSE()))),"OLD",IF(AND(E244&lt;&gt;"",E244&lt;&gt;"!!!"),"NEW","")))</f>
        <v>OLD</v>
      </c>
      <c r="G244" s="23" t="s">
        <v>723</v>
      </c>
      <c r="H244" s="24" t="str">
        <f t="shared" ca="1" si="23"/>
        <v/>
      </c>
      <c r="I244" s="25" t="str">
        <f>IF(OR(E244="",E244="!!!",F244="NEW"),"",INDEX(B$2:B243,-1+SUMPRODUCT(MAX(ROW(E$2:E243)*(E244=E$2:E243)))))</f>
        <v>other_3</v>
      </c>
      <c r="J244" s="25">
        <f ca="1">IF(OR(E244="",E244="!!!",F244="NEW"),"",COUNTBLANK(OFFSET(A$1,,,SUMPRODUCT(MAX(ROW(E$2:E244)*(E244=E$2:E244)))))-COUNTBLANK(OFFSET(A$1,,,SUMPRODUCT(MAX(ROW(E$1:E243)*(E2=E$1:E243))))))</f>
        <v>0</v>
      </c>
      <c r="K244" s="25">
        <f ca="1">IF(OR(E244="",E244="!!!",F244="NEW"),"",INDEX(J$1:J243,SUMPRODUCT(MAX(ROW(E$1:E243)*(E244=E$1:E243)))))</f>
        <v>0</v>
      </c>
      <c r="L244" s="26"/>
    </row>
    <row r="245" spans="1:12" x14ac:dyDescent="0.3">
      <c r="A245" t="s">
        <v>370</v>
      </c>
      <c r="B245" s="20" t="s">
        <v>210</v>
      </c>
      <c r="C245" s="20" t="s">
        <v>252</v>
      </c>
      <c r="D245" s="20" t="s">
        <v>186</v>
      </c>
      <c r="E245" s="21"/>
      <c r="F245" s="22" t="s">
        <v>729</v>
      </c>
      <c r="G245" s="23" t="str">
        <f>IF(OR(E245="",E245="!!!"),"",IF(OR(J245=0,AND(J245=1,K245=1),AND(J245=1,I245="SBJ"),AND(J245=1,I245=0)),"?IN_FOCUS",IF(J245&lt;=2,"?ACTIVATED",IF(J245&lt;&gt;"","?FAMILIAR",IF(F245="NEW",IF(ISNA(VLOOKUP(E245,#REF!,1,FALSE())),"?TYPE_IDENTIFIABLE","?REFERENTIAL"),"_")))))</f>
        <v/>
      </c>
      <c r="H245" s="24" t="str">
        <f t="shared" ca="1" si="23"/>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371</v>
      </c>
      <c r="E246" s="21" t="str">
        <f t="shared" si="22"/>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23"/>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372</v>
      </c>
      <c r="E247" s="21" t="str">
        <f t="shared" si="22"/>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t="shared" ca="1" si="23"/>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212</v>
      </c>
      <c r="E248" s="21" t="str">
        <f t="shared" si="22"/>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ca="1" si="23"/>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50" spans="1:12" x14ac:dyDescent="0.3">
      <c r="A250" t="s">
        <v>373</v>
      </c>
    </row>
    <row r="251" spans="1:12" x14ac:dyDescent="0.3">
      <c r="A251" t="s">
        <v>374</v>
      </c>
      <c r="E251" s="21" t="str">
        <f t="shared" ref="E251:E279" si="24">IF(D251="?OLD","!!!","")</f>
        <v/>
      </c>
      <c r="F251" s="22" t="str">
        <f>IF(OR(E251="",E251="!!!"),"",IF(NOT(ISNA(VLOOKUP(E251,E$1:E250,1,FALSE()))),"OLD",IF(AND(E251&lt;&gt;"",E251&lt;&gt;"!!!"),"NEW","")))</f>
        <v/>
      </c>
      <c r="G251" s="23" t="str">
        <f>IF(OR(E251="",E251="!!!"),"",IF(OR(J251=0,AND(J251=1,K251=1),AND(J251=1,I251="SBJ"),AND(J251=1,I251=0)),"?IN_FOCUS",IF(J251&lt;=2,"?ACTIVATED",IF(J251&lt;&gt;"","?FAMILIAR",IF(F251="NEW",IF(ISNA(VLOOKUP(E251,#REF!,1,FALSE())),"?TYPE_IDENTIFIABLE","?REFERENTIAL"),"_")))))</f>
        <v/>
      </c>
      <c r="H251" s="24" t="str">
        <f t="shared" ref="H251:H279" ca="1" si="25">IF(J251&lt;&gt;1,"",IF(I251="SBJ","CB","?"))</f>
        <v/>
      </c>
      <c r="I251" s="25" t="str">
        <f>IF(OR(E251="",E251="!!!",F251="NEW"),"",INDEX(B$2:B250,-1+SUMPRODUCT(MAX(ROW(E$2:E250)*(E251=E$2:E250)))))</f>
        <v/>
      </c>
      <c r="J251" s="25" t="str">
        <f ca="1">IF(OR(E251="",E251="!!!",F251="NEW"),"",COUNTBLANK(OFFSET(A$1,,,SUMPRODUCT(MAX(ROW(E$2:E251)*(E251=E$2:E251)))))-COUNTBLANK(OFFSET(A$1,,,SUMPRODUCT(MAX(ROW(E$1:E250)*(E2=E$1:E250))))))</f>
        <v/>
      </c>
      <c r="K251" s="25" t="str">
        <f>IF(OR(E251="",E251="!!!",F251="NEW"),"",INDEX(J$1:J250,SUMPRODUCT(MAX(ROW(E$1:E250)*(E251=E$1:E250)))))</f>
        <v/>
      </c>
      <c r="L251" s="26"/>
    </row>
    <row r="252" spans="1:12" x14ac:dyDescent="0.3">
      <c r="A252" t="s">
        <v>203</v>
      </c>
      <c r="E252" s="21" t="str">
        <f t="shared" si="24"/>
        <v/>
      </c>
      <c r="F252" s="22" t="str">
        <f>IF(OR(E252="",E252="!!!"),"",IF(NOT(ISNA(VLOOKUP(E252,E$1:E251,1,FALSE()))),"OLD",IF(AND(E252&lt;&gt;"",E252&lt;&gt;"!!!"),"NEW","")))</f>
        <v/>
      </c>
      <c r="G252" s="23" t="str">
        <f>IF(OR(E252="",E252="!!!"),"",IF(OR(J252=0,AND(J252=1,K252=1),AND(J252=1,I252="SBJ"),AND(J252=1,I252=0)),"?IN_FOCUS",IF(J252&lt;=2,"?ACTIVATED",IF(J252&lt;&gt;"","?FAMILIAR",IF(F252="NEW",IF(ISNA(VLOOKUP(E252,#REF!,1,FALSE())),"?TYPE_IDENTIFIABLE","?REFERENTIAL"),"_")))))</f>
        <v/>
      </c>
      <c r="H252" s="24" t="str">
        <f t="shared" ca="1" si="25"/>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207</v>
      </c>
      <c r="E253" s="21" t="str">
        <f t="shared" si="24"/>
        <v/>
      </c>
      <c r="F253" s="22" t="str">
        <f>IF(OR(E253="",E253="!!!"),"",IF(NOT(ISNA(VLOOKUP(E253,E$1:E252,1,FALSE()))),"OLD",IF(AND(E253&lt;&gt;"",E253&lt;&gt;"!!!"),"NEW","")))</f>
        <v/>
      </c>
      <c r="G253" s="23" t="str">
        <f>IF(OR(E253="",E253="!!!"),"",IF(OR(J253=0,AND(J253=1,K253=1),AND(J253=1,I253="SBJ"),AND(J253=1,I253=0)),"?IN_FOCUS",IF(J253&lt;=2,"?ACTIVATED",IF(J253&lt;&gt;"","?FAMILIAR",IF(F253="NEW",IF(ISNA(VLOOKUP(E253,#REF!,1,FALSE())),"?TYPE_IDENTIFIABLE","?REFERENTIAL"),"_")))))</f>
        <v/>
      </c>
      <c r="H253" s="24" t="str">
        <f t="shared" ca="1" si="25"/>
        <v/>
      </c>
      <c r="I253" s="25" t="str">
        <f>IF(OR(E253="",E253="!!!",F253="NEW"),"",INDEX(B$2:B252,-1+SUMPRODUCT(MAX(ROW(E$2:E252)*(E253=E$2:E252)))))</f>
        <v/>
      </c>
      <c r="J253" s="25" t="str">
        <f ca="1">IF(OR(E253="",E253="!!!",F253="NEW"),"",COUNTBLANK(OFFSET(A$1,,,SUMPRODUCT(MAX(ROW(E$2:E253)*(E253=E$2:E253)))))-COUNTBLANK(OFFSET(A$1,,,SUMPRODUCT(MAX(ROW(E$1:E252)*(E2=E$1:E252))))))</f>
        <v/>
      </c>
      <c r="K253" s="25" t="str">
        <f>IF(OR(E253="",E253="!!!",F253="NEW"),"",INDEX(J$1:J252,SUMPRODUCT(MAX(ROW(E$1:E252)*(E253=E$1:E252)))))</f>
        <v/>
      </c>
      <c r="L253" s="26"/>
    </row>
    <row r="254" spans="1:12" x14ac:dyDescent="0.3">
      <c r="A254" t="s">
        <v>375</v>
      </c>
      <c r="B254" s="20" t="s">
        <v>201</v>
      </c>
      <c r="C254" s="20" t="s">
        <v>216</v>
      </c>
      <c r="D254" s="20" t="s">
        <v>186</v>
      </c>
      <c r="E254" s="21" t="s">
        <v>769</v>
      </c>
      <c r="F254" s="22" t="str">
        <f>IF(OR(E254="",E254="!!!"),"",IF(NOT(ISNA(VLOOKUP(E254,E$1:E253,1,FALSE()))),"OLD",IF(AND(E254&lt;&gt;"",E254&lt;&gt;"!!!"),"NEW","")))</f>
        <v>NEW</v>
      </c>
      <c r="G254" s="23" t="s">
        <v>176</v>
      </c>
      <c r="H254" s="24" t="str">
        <f t="shared" ca="1" si="25"/>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218</v>
      </c>
      <c r="E255" s="21" t="str">
        <f t="shared" si="24"/>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25"/>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209</v>
      </c>
      <c r="B256" s="20" t="s">
        <v>196</v>
      </c>
      <c r="C256" s="20" t="s">
        <v>216</v>
      </c>
      <c r="D256" s="20" t="s">
        <v>186</v>
      </c>
      <c r="E256" s="21" t="s">
        <v>744</v>
      </c>
      <c r="F256" s="22" t="str">
        <f>IF(OR(E256="",E256="!!!"),"",IF(NOT(ISNA(VLOOKUP(E256,E$1:E255,1,FALSE()))),"OLD",IF(AND(E256&lt;&gt;"",E256&lt;&gt;"!!!"),"NEW","")))</f>
        <v>OLD</v>
      </c>
      <c r="G256" s="23" t="s">
        <v>723</v>
      </c>
      <c r="H256" s="24" t="str">
        <f t="shared" ca="1" si="25"/>
        <v/>
      </c>
      <c r="I256" s="25" t="str">
        <f>IF(OR(E256="",E256="!!!",F256="NEW"),"",INDEX(B$2:B255,-1+SUMPRODUCT(MAX(ROW(E$2:E255)*(E256=E$2:E255)))))</f>
        <v>other_3</v>
      </c>
      <c r="J256" s="25">
        <f ca="1">IF(OR(E256="",E256="!!!",F256="NEW"),"",COUNTBLANK(OFFSET(A$1,,,SUMPRODUCT(MAX(ROW(E$2:E256)*(E256=E$2:E256)))))-COUNTBLANK(OFFSET(A$1,,,SUMPRODUCT(MAX(ROW(E$1:E255)*(E2=E$1:E255))))))</f>
        <v>0</v>
      </c>
      <c r="K256" s="25">
        <f ca="1">IF(OR(E256="",E256="!!!",F256="NEW"),"",INDEX(J$1:J255,SUMPRODUCT(MAX(ROW(E$1:E255)*(E256=E$1:E255)))))</f>
        <v>0</v>
      </c>
      <c r="L256" s="26"/>
    </row>
    <row r="257" spans="1:12" x14ac:dyDescent="0.3">
      <c r="A257" t="s">
        <v>361</v>
      </c>
      <c r="E257" s="21" t="str">
        <f t="shared" si="24"/>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t="shared" ca="1" si="25"/>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8" spans="1:12" x14ac:dyDescent="0.3">
      <c r="A258" t="s">
        <v>376</v>
      </c>
      <c r="B258" s="20" t="s">
        <v>184</v>
      </c>
      <c r="C258" s="20" t="s">
        <v>216</v>
      </c>
      <c r="D258" s="20" t="s">
        <v>186</v>
      </c>
      <c r="E258" s="21"/>
      <c r="F258" s="22" t="s">
        <v>740</v>
      </c>
      <c r="G258" s="23" t="str">
        <f>IF(OR(E258="",E258="!!!"),"",IF(OR(J258=0,AND(J258=1,K258=1),AND(J258=1,I258="SBJ"),AND(J258=1,I258=0)),"?IN_FOCUS",IF(J258&lt;=2,"?ACTIVATED",IF(J258&lt;&gt;"","?FAMILIAR",IF(F258="NEW",IF(ISNA(VLOOKUP(E258,#REF!,1,FALSE())),"?TYPE_IDENTIFIABLE","?REFERENTIAL"),"_")))))</f>
        <v/>
      </c>
      <c r="H258" s="24" t="str">
        <f t="shared" ca="1" si="25"/>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59" spans="1:12" x14ac:dyDescent="0.3">
      <c r="A259" t="s">
        <v>206</v>
      </c>
      <c r="E259" s="21" t="str">
        <f t="shared" si="24"/>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25"/>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377</v>
      </c>
      <c r="B260" s="20" t="s">
        <v>210</v>
      </c>
      <c r="C260" s="20" t="s">
        <v>252</v>
      </c>
      <c r="D260" s="20" t="s">
        <v>186</v>
      </c>
      <c r="E260" s="21"/>
      <c r="F260" s="22" t="s">
        <v>745</v>
      </c>
      <c r="G260" s="23" t="str">
        <f>IF(OR(E260="",E260="!!!"),"",IF(OR(J260=0,AND(J260=1,K260=1),AND(J260=1,I260="SBJ"),AND(J260=1,I260=0)),"?IN_FOCUS",IF(J260&lt;=2,"?ACTIVATED",IF(J260&lt;&gt;"","?FAMILIAR",IF(F260="NEW",IF(ISNA(VLOOKUP(E260,#REF!,1,FALSE())),"?TYPE_IDENTIFIABLE","?REFERENTIAL"),"_")))))</f>
        <v/>
      </c>
      <c r="H260" s="24" t="str">
        <f t="shared" ca="1" si="25"/>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290</v>
      </c>
      <c r="B261" s="20" t="s">
        <v>208</v>
      </c>
      <c r="C261" s="20" t="s">
        <v>202</v>
      </c>
      <c r="D261" s="20" t="s">
        <v>186</v>
      </c>
      <c r="E261" s="21" t="s">
        <v>730</v>
      </c>
      <c r="F261" s="22" t="str">
        <f>IF(OR(E261="",E261="!!!"),"",IF(NOT(ISNA(VLOOKUP(E261,E$1:E260,1,FALSE()))),"OLD",IF(AND(E261&lt;&gt;"",E261&lt;&gt;"!!!"),"NEW","")))</f>
        <v>OLD</v>
      </c>
      <c r="G261" s="23" t="s">
        <v>809</v>
      </c>
      <c r="H261" s="24" t="s">
        <v>178</v>
      </c>
      <c r="I261" s="25" t="str">
        <f>IF(OR(E261="",E261="!!!",F261="NEW"),"",INDEX(B$2:B260,-1+SUMPRODUCT(MAX(ROW(E$2:E260)*(E261=E$2:E260)))))</f>
        <v>SBJ_2</v>
      </c>
      <c r="J261" s="25">
        <f ca="1">IF(OR(E261="",E261="!!!",F261="NEW"),"",COUNTBLANK(OFFSET(A$1,,,SUMPRODUCT(MAX(ROW(E$2:E261)*(E261=E$2:E261)))))-COUNTBLANK(OFFSET(A$1,,,SUMPRODUCT(MAX(ROW(E$1:E260)*(E2=E$1:E260))))))</f>
        <v>0</v>
      </c>
      <c r="K261" s="25">
        <f ca="1">IF(OR(E261="",E261="!!!",F261="NEW"),"",INDEX(J$1:J260,SUMPRODUCT(MAX(ROW(E$1:E260)*(E261=E$1:E260)))))</f>
        <v>0</v>
      </c>
      <c r="L261" s="26"/>
    </row>
    <row r="262" spans="1:12" x14ac:dyDescent="0.3">
      <c r="A262" t="s">
        <v>258</v>
      </c>
      <c r="E262" s="21" t="str">
        <f t="shared" si="24"/>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5"/>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254</v>
      </c>
      <c r="E263" s="21" t="s">
        <v>730</v>
      </c>
      <c r="F263" s="22" t="str">
        <f>IF(OR(E263="",E263="!!!"),"",IF(NOT(ISNA(VLOOKUP(E263,E$1:E262,1,FALSE()))),"OLD",IF(AND(E263&lt;&gt;"",E263&lt;&gt;"!!!"),"NEW","")))</f>
        <v>OLD</v>
      </c>
      <c r="G263" s="23" t="s">
        <v>809</v>
      </c>
      <c r="H263" s="24" t="str">
        <f t="shared" ca="1" si="25"/>
        <v/>
      </c>
      <c r="I263" s="25" t="str">
        <f>IF(OR(E263="",E263="!!!",F263="NEW"),"",INDEX(B$2:B262,-1+SUMPRODUCT(MAX(ROW(E$2:E262)*(E263=E$2:E262)))))</f>
        <v>SBJ_2</v>
      </c>
      <c r="J263" s="25">
        <f ca="1">IF(OR(E263="",E263="!!!",F263="NEW"),"",COUNTBLANK(OFFSET(A$1,,,SUMPRODUCT(MAX(ROW(E$2:E263)*(E263=E$2:E263)))))-COUNTBLANK(OFFSET(A$1,,,SUMPRODUCT(MAX(ROW(E$1:E262)*(E2=E$1:E262))))))</f>
        <v>0</v>
      </c>
      <c r="K263" s="25">
        <f ca="1">IF(OR(E263="",E263="!!!",F263="NEW"),"",INDEX(J$1:J262,SUMPRODUCT(MAX(ROW(E$1:E262)*(E263=E$1:E262)))))</f>
        <v>0</v>
      </c>
      <c r="L263" s="26" t="s">
        <v>789</v>
      </c>
    </row>
    <row r="264" spans="1:12" x14ac:dyDescent="0.3">
      <c r="A264" t="s">
        <v>378</v>
      </c>
      <c r="B264" s="20" t="s">
        <v>196</v>
      </c>
      <c r="C264" s="20" t="s">
        <v>257</v>
      </c>
      <c r="E264" s="21" t="s">
        <v>791</v>
      </c>
      <c r="F264" s="22" t="str">
        <f>IF(OR(E264="",E264="!!!"),"",IF(NOT(ISNA(VLOOKUP(E264,E$1:E263,1,FALSE()))),"OLD",IF(AND(E264&lt;&gt;"",E264&lt;&gt;"!!!"),"NEW","")))</f>
        <v>NEW</v>
      </c>
      <c r="G264" s="23" t="s">
        <v>807</v>
      </c>
      <c r="H264" s="24" t="str">
        <f t="shared" ca="1" si="25"/>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379</v>
      </c>
      <c r="E265" s="21" t="str">
        <f t="shared" si="24"/>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5"/>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189</v>
      </c>
      <c r="E266" s="21" t="str">
        <f t="shared" si="24"/>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25"/>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7" spans="1:12" x14ac:dyDescent="0.3">
      <c r="A267" t="s">
        <v>218</v>
      </c>
      <c r="E267" s="21" t="str">
        <f t="shared" si="24"/>
        <v/>
      </c>
      <c r="F267" s="22" t="str">
        <f>IF(OR(E267="",E267="!!!"),"",IF(NOT(ISNA(VLOOKUP(E267,E$1:E266,1,FALSE()))),"OLD",IF(AND(E267&lt;&gt;"",E267&lt;&gt;"!!!"),"NEW","")))</f>
        <v/>
      </c>
      <c r="G267" s="23" t="str">
        <f>IF(OR(E267="",E267="!!!"),"",IF(OR(J267=0,AND(J267=1,K267=1),AND(J267=1,I267="SBJ"),AND(J267=1,I267=0)),"?IN_FOCUS",IF(J267&lt;=2,"?ACTIVATED",IF(J267&lt;&gt;"","?FAMILIAR",IF(F267="NEW",IF(ISNA(VLOOKUP(E267,#REF!,1,FALSE())),"?TYPE_IDENTIFIABLE","?REFERENTIAL"),"_")))))</f>
        <v/>
      </c>
      <c r="H267" s="24" t="str">
        <f t="shared" ca="1" si="25"/>
        <v/>
      </c>
      <c r="I267" s="25" t="str">
        <f>IF(OR(E267="",E267="!!!",F267="NEW"),"",INDEX(B$2:B266,-1+SUMPRODUCT(MAX(ROW(E$2:E266)*(E267=E$2:E266)))))</f>
        <v/>
      </c>
      <c r="J267" s="25" t="str">
        <f ca="1">IF(OR(E267="",E267="!!!",F267="NEW"),"",COUNTBLANK(OFFSET(A$1,,,SUMPRODUCT(MAX(ROW(E$2:E267)*(E267=E$2:E267)))))-COUNTBLANK(OFFSET(A$1,,,SUMPRODUCT(MAX(ROW(E$1:E266)*(E2=E$1:E266))))))</f>
        <v/>
      </c>
      <c r="K267" s="25" t="str">
        <f>IF(OR(E267="",E267="!!!",F267="NEW"),"",INDEX(J$1:J266,SUMPRODUCT(MAX(ROW(E$1:E266)*(E267=E$1:E266)))))</f>
        <v/>
      </c>
      <c r="L267" s="26"/>
    </row>
    <row r="268" spans="1:12" x14ac:dyDescent="0.3">
      <c r="A268" t="s">
        <v>380</v>
      </c>
      <c r="B268" s="20" t="s">
        <v>184</v>
      </c>
      <c r="C268" s="20" t="s">
        <v>216</v>
      </c>
      <c r="D268" s="20" t="s">
        <v>186</v>
      </c>
      <c r="E268" s="21"/>
      <c r="F268" s="22" t="s">
        <v>740</v>
      </c>
      <c r="G268" s="23" t="str">
        <f>IF(OR(E268="",E268="!!!"),"",IF(OR(J268=0,AND(J268=1,K268=1),AND(J268=1,I268="SBJ"),AND(J268=1,I268=0)),"?IN_FOCUS",IF(J268&lt;=2,"?ACTIVATED",IF(J268&lt;&gt;"","?FAMILIAR",IF(F268="NEW",IF(ISNA(VLOOKUP(E268,#REF!,1,FALSE())),"?TYPE_IDENTIFIABLE","?REFERENTIAL"),"_")))))</f>
        <v/>
      </c>
      <c r="H268" s="24" t="str">
        <f t="shared" ca="1" si="25"/>
        <v/>
      </c>
      <c r="I268" s="25" t="str">
        <f>IF(OR(E268="",E268="!!!",F268="NEW"),"",INDEX(B$2:B267,-1+SUMPRODUCT(MAX(ROW(E$2:E267)*(E268=E$2:E267)))))</f>
        <v/>
      </c>
      <c r="J268" s="25" t="str">
        <f ca="1">IF(OR(E268="",E268="!!!",F268="NEW"),"",COUNTBLANK(OFFSET(A$1,,,SUMPRODUCT(MAX(ROW(E$2:E268)*(E268=E$2:E268)))))-COUNTBLANK(OFFSET(A$1,,,SUMPRODUCT(MAX(ROW(E$1:E267)*(E2=E$1:E267))))))</f>
        <v/>
      </c>
      <c r="K268" s="25" t="str">
        <f>IF(OR(E268="",E268="!!!",F268="NEW"),"",INDEX(J$1:J267,SUMPRODUCT(MAX(ROW(E$1:E267)*(E268=E$1:E267)))))</f>
        <v/>
      </c>
      <c r="L268" s="26"/>
    </row>
    <row r="269" spans="1:12" x14ac:dyDescent="0.3">
      <c r="A269" t="s">
        <v>381</v>
      </c>
      <c r="E269" s="21" t="str">
        <f t="shared" si="24"/>
        <v/>
      </c>
      <c r="F269" s="22" t="str">
        <f>IF(OR(E269="",E269="!!!"),"",IF(NOT(ISNA(VLOOKUP(E269,E$1:E268,1,FALSE()))),"OLD",IF(AND(E269&lt;&gt;"",E269&lt;&gt;"!!!"),"NEW","")))</f>
        <v/>
      </c>
      <c r="G269" s="23" t="str">
        <f>IF(OR(E269="",E269="!!!"),"",IF(OR(J269=0,AND(J269=1,K269=1),AND(J269=1,I269="SBJ"),AND(J269=1,I269=0)),"?IN_FOCUS",IF(J269&lt;=2,"?ACTIVATED",IF(J269&lt;&gt;"","?FAMILIAR",IF(F269="NEW",IF(ISNA(VLOOKUP(E269,#REF!,1,FALSE())),"?TYPE_IDENTIFIABLE","?REFERENTIAL"),"_")))))</f>
        <v/>
      </c>
      <c r="H269" s="24" t="str">
        <f t="shared" ca="1" si="25"/>
        <v/>
      </c>
      <c r="I269" s="25" t="str">
        <f>IF(OR(E269="",E269="!!!",F269="NEW"),"",INDEX(B$2:B268,-1+SUMPRODUCT(MAX(ROW(E$2:E268)*(E269=E$2:E268)))))</f>
        <v/>
      </c>
      <c r="J269" s="25" t="str">
        <f ca="1">IF(OR(E269="",E269="!!!",F269="NEW"),"",COUNTBLANK(OFFSET(A$1,,,SUMPRODUCT(MAX(ROW(E$2:E269)*(E269=E$2:E269)))))-COUNTBLANK(OFFSET(A$1,,,SUMPRODUCT(MAX(ROW(E$1:E268)*(E2=E$1:E268))))))</f>
        <v/>
      </c>
      <c r="K269" s="25" t="str">
        <f>IF(OR(E269="",E269="!!!",F269="NEW"),"",INDEX(J$1:J268,SUMPRODUCT(MAX(ROW(E$1:E268)*(E269=E$1:E268)))))</f>
        <v/>
      </c>
      <c r="L269" s="26"/>
    </row>
    <row r="270" spans="1:12" x14ac:dyDescent="0.3">
      <c r="A270" t="s">
        <v>382</v>
      </c>
      <c r="E270" s="21" t="str">
        <f t="shared" si="24"/>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5"/>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383</v>
      </c>
      <c r="B271" s="20" t="s">
        <v>196</v>
      </c>
      <c r="C271" s="20" t="s">
        <v>193</v>
      </c>
      <c r="E271" s="21" t="s">
        <v>768</v>
      </c>
      <c r="F271" s="22" t="str">
        <f>IF(OR(E271="",E271="!!!"),"",IF(NOT(ISNA(VLOOKUP(E271,E$1:E270,1,FALSE()))),"OLD",IF(AND(E271&lt;&gt;"",E271&lt;&gt;"!!!"),"NEW","")))</f>
        <v>NEW</v>
      </c>
      <c r="G271" s="23" t="s">
        <v>176</v>
      </c>
      <c r="H271" s="24" t="str">
        <f t="shared" ca="1" si="25"/>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t="s">
        <v>758</v>
      </c>
    </row>
    <row r="272" spans="1:12" x14ac:dyDescent="0.3">
      <c r="A272" t="s">
        <v>223</v>
      </c>
      <c r="E272" s="21" t="str">
        <f t="shared" si="24"/>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25"/>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218</v>
      </c>
      <c r="E273" s="21" t="str">
        <f t="shared" si="24"/>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5"/>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384</v>
      </c>
      <c r="E274" s="21" t="str">
        <f t="shared" si="24"/>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ca="1" si="25"/>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385</v>
      </c>
      <c r="B275" s="20" t="s">
        <v>219</v>
      </c>
      <c r="C275" s="20" t="s">
        <v>216</v>
      </c>
      <c r="D275" s="20" t="s">
        <v>186</v>
      </c>
      <c r="E275" s="21" t="s">
        <v>746</v>
      </c>
      <c r="F275" s="22" t="str">
        <f>IF(OR(E275="",E275="!!!"),"",IF(NOT(ISNA(VLOOKUP(E275,E$1:E274,1,FALSE()))),"OLD",IF(AND(E275&lt;&gt;"",E275&lt;&gt;"!!!"),"NEW","")))</f>
        <v>NEW</v>
      </c>
      <c r="G275" s="23" t="s">
        <v>723</v>
      </c>
      <c r="H275" s="24" t="str">
        <f t="shared" ca="1" si="25"/>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386</v>
      </c>
      <c r="E276" s="21" t="str">
        <f t="shared" si="24"/>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25"/>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207</v>
      </c>
      <c r="E277" s="21" t="str">
        <f t="shared" si="24"/>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5"/>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188</v>
      </c>
      <c r="B278" s="20" t="s">
        <v>241</v>
      </c>
      <c r="C278" s="20" t="s">
        <v>185</v>
      </c>
      <c r="D278" s="20" t="s">
        <v>186</v>
      </c>
      <c r="E278" s="21" t="s">
        <v>722</v>
      </c>
      <c r="F278" s="22" t="str">
        <f>IF(OR(E278="",E278="!!!"),"",IF(NOT(ISNA(VLOOKUP(E278,E$1:E277,1,FALSE()))),"OLD",IF(AND(E278&lt;&gt;"",E278&lt;&gt;"!!!"),"NEW","")))</f>
        <v>OLD</v>
      </c>
      <c r="G278" s="23" t="s">
        <v>723</v>
      </c>
      <c r="H278" s="24" t="str">
        <f t="shared" ca="1" si="25"/>
        <v/>
      </c>
      <c r="I278" s="25" t="str">
        <f>IF(OR(E278="",E278="!!!",F278="NEW"),"",INDEX(B$2:B277,-1+SUMPRODUCT(MAX(ROW(E$2:E277)*(E278=E$2:E277)))))</f>
        <v>other_3</v>
      </c>
      <c r="J278" s="25">
        <f ca="1">IF(OR(E278="",E278="!!!",F278="NEW"),"",COUNTBLANK(OFFSET(A$1,,,SUMPRODUCT(MAX(ROW(E$2:E278)*(E278=E$2:E278)))))-COUNTBLANK(OFFSET(A$1,,,SUMPRODUCT(MAX(ROW(E$1:E277)*(E2=E$1:E277))))))</f>
        <v>0</v>
      </c>
      <c r="K278" s="25">
        <f ca="1">IF(OR(E278="",E278="!!!",F278="NEW"),"",INDEX(J$1:J277,SUMPRODUCT(MAX(ROW(E$1:E277)*(E278=E$1:E277)))))</f>
        <v>0</v>
      </c>
      <c r="L278" s="26"/>
    </row>
    <row r="279" spans="1:12" x14ac:dyDescent="0.3">
      <c r="A279" t="s">
        <v>212</v>
      </c>
      <c r="E279" s="21" t="str">
        <f t="shared" si="24"/>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5"/>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1" spans="1:12" x14ac:dyDescent="0.3">
      <c r="A281" t="s">
        <v>387</v>
      </c>
    </row>
    <row r="282" spans="1:12" x14ac:dyDescent="0.3">
      <c r="A282" t="s">
        <v>388</v>
      </c>
      <c r="E282" s="21" t="s">
        <v>747</v>
      </c>
      <c r="F282" s="22" t="str">
        <f>IF(OR(E282="",E282="!!!"),"",IF(NOT(ISNA(VLOOKUP(E282,E$1:E281,1,FALSE()))),"OLD",IF(AND(E282&lt;&gt;"",E282&lt;&gt;"!!!"),"NEW","")))</f>
        <v>NEW</v>
      </c>
      <c r="G282" s="23" t="s">
        <v>723</v>
      </c>
      <c r="H282" s="24" t="str">
        <f t="shared" ref="H282:H289" ca="1" si="26">IF(J282&lt;&gt;1,"",IF(I282="SBJ","CB","?"))</f>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389</v>
      </c>
      <c r="B283" s="20" t="s">
        <v>184</v>
      </c>
      <c r="C283" s="20" t="s">
        <v>197</v>
      </c>
      <c r="E283" s="21" t="str">
        <f t="shared" ref="E283:E289" si="27">IF(D283="?OLD","!!!","")</f>
        <v/>
      </c>
      <c r="F283" s="22" t="str">
        <f>IF(OR(E283="",E283="!!!"),"",IF(NOT(ISNA(VLOOKUP(E283,E$1:E282,1,FALSE()))),"OLD",IF(AND(E283&lt;&gt;"",E283&lt;&gt;"!!!"),"NEW","")))</f>
        <v/>
      </c>
      <c r="G283" s="23" t="str">
        <f>IF(OR(E283="",E283="!!!"),"",IF(OR(J283=0,AND(J283=1,K283=1),AND(J283=1,I283="SBJ"),AND(J283=1,I283=0)),"?IN_FOCUS",IF(J283&lt;=2,"?ACTIVATED",IF(J283&lt;&gt;"","?FAMILIAR",IF(F283="NEW",IF(ISNA(VLOOKUP(E283,#REF!,1,FALSE())),"?TYPE_IDENTIFIABLE","?REFERENTIAL"),"_")))))</f>
        <v/>
      </c>
      <c r="H283" s="24" t="str">
        <f t="shared" ca="1" si="26"/>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row>
    <row r="284" spans="1:12" x14ac:dyDescent="0.3">
      <c r="A284" t="s">
        <v>228</v>
      </c>
      <c r="B284" s="20" t="s">
        <v>219</v>
      </c>
      <c r="C284" s="20" t="s">
        <v>328</v>
      </c>
      <c r="E284" s="21" t="str">
        <f t="shared" si="27"/>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6"/>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218</v>
      </c>
      <c r="E285" s="21" t="str">
        <f t="shared" si="27"/>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6"/>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390</v>
      </c>
      <c r="B286" s="20" t="s">
        <v>196</v>
      </c>
      <c r="C286" s="20" t="s">
        <v>216</v>
      </c>
      <c r="D286" s="20" t="s">
        <v>186</v>
      </c>
      <c r="E286" s="21"/>
      <c r="F286" s="22" t="s">
        <v>725</v>
      </c>
      <c r="G286" s="23" t="str">
        <f>IF(OR(E286="",E286="!!!"),"",IF(OR(J286=0,AND(J286=1,K286=1),AND(J286=1,I286="SBJ"),AND(J286=1,I286=0)),"?IN_FOCUS",IF(J286&lt;=2,"?ACTIVATED",IF(J286&lt;&gt;"","?FAMILIAR",IF(F286="NEW",IF(ISNA(VLOOKUP(E286,#REF!,1,FALSE())),"?TYPE_IDENTIFIABLE","?REFERENTIAL"),"_")))))</f>
        <v/>
      </c>
      <c r="H286" s="24" t="str">
        <f t="shared" ca="1" si="26"/>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t="s">
        <v>792</v>
      </c>
    </row>
    <row r="287" spans="1:12" x14ac:dyDescent="0.3">
      <c r="A287" t="s">
        <v>203</v>
      </c>
      <c r="E287" s="21" t="str">
        <f t="shared" si="27"/>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6"/>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391</v>
      </c>
      <c r="E288" s="21" t="str">
        <f t="shared" si="27"/>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6"/>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212</v>
      </c>
      <c r="E289" s="21" t="str">
        <f t="shared" si="27"/>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6"/>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1" spans="1:12" x14ac:dyDescent="0.3">
      <c r="A291" t="s">
        <v>392</v>
      </c>
    </row>
    <row r="292" spans="1:12" x14ac:dyDescent="0.3">
      <c r="A292" t="s">
        <v>253</v>
      </c>
      <c r="B292" s="20" t="s">
        <v>201</v>
      </c>
      <c r="C292" s="20" t="s">
        <v>185</v>
      </c>
      <c r="D292" s="20" t="s">
        <v>186</v>
      </c>
      <c r="E292" s="21" t="s">
        <v>730</v>
      </c>
      <c r="F292" s="22" t="str">
        <f>IF(OR(E292="",E292="!!!"),"",IF(NOT(ISNA(VLOOKUP(E292,E$1:E291,1,FALSE()))),"OLD",IF(AND(E292&lt;&gt;"",E292&lt;&gt;"!!!"),"NEW","")))</f>
        <v>OLD</v>
      </c>
      <c r="G292" s="23" t="s">
        <v>808</v>
      </c>
      <c r="H292" s="24" t="str">
        <f t="shared" ref="H292:H306" ca="1" si="28">IF(J292&lt;&gt;1,"",IF(I292="SBJ","CB","?"))</f>
        <v/>
      </c>
      <c r="I292" s="25">
        <f>IF(OR(E292="",E292="!!!",F292="NEW"),"",INDEX(B$2:B291,-1+SUMPRODUCT(MAX(ROW(E$2:E291)*(E292=E$2:E291)))))</f>
        <v>0</v>
      </c>
      <c r="J292" s="25">
        <f ca="1">IF(OR(E292="",E292="!!!",F292="NEW"),"",COUNTBLANK(OFFSET(A$1,,,SUMPRODUCT(MAX(ROW(E$2:E292)*(E292=E$2:E292)))))-COUNTBLANK(OFFSET(A$1,,,SUMPRODUCT(MAX(ROW(E$1:E291)*(E2=E$1:E291))))))</f>
        <v>0</v>
      </c>
      <c r="K292" s="25">
        <f ca="1">IF(OR(E292="",E292="!!!",F292="NEW"),"",INDEX(J$1:J291,SUMPRODUCT(MAX(ROW(E$1:E291)*(E292=E$1:E291)))))</f>
        <v>0</v>
      </c>
      <c r="L292" s="26"/>
    </row>
    <row r="293" spans="1:12" x14ac:dyDescent="0.3">
      <c r="A293" t="s">
        <v>393</v>
      </c>
      <c r="E293" s="21" t="str">
        <f t="shared" ref="E293:E306" si="29">IF(D293="?OLD","!!!","")</f>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8"/>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294</v>
      </c>
      <c r="E294" s="21" t="str">
        <f t="shared" si="29"/>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ca="1" si="28"/>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187</v>
      </c>
      <c r="E295" s="21" t="str">
        <f t="shared" si="29"/>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8"/>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394</v>
      </c>
      <c r="E296" s="21" t="str">
        <f t="shared" si="29"/>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8"/>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273</v>
      </c>
      <c r="B297" s="20" t="s">
        <v>210</v>
      </c>
      <c r="C297" s="20" t="s">
        <v>185</v>
      </c>
      <c r="D297" s="20" t="s">
        <v>186</v>
      </c>
      <c r="E297" s="21" t="s">
        <v>736</v>
      </c>
      <c r="F297" s="22" t="str">
        <f>IF(OR(E297="",E297="!!!"),"",IF(NOT(ISNA(VLOOKUP(E297,E$1:E296,1,FALSE()))),"OLD",IF(AND(E297&lt;&gt;"",E297&lt;&gt;"!!!"),"NEW","")))</f>
        <v>OLD</v>
      </c>
      <c r="G297" s="23" t="s">
        <v>723</v>
      </c>
      <c r="H297" s="24" t="str">
        <f t="shared" ca="1" si="28"/>
        <v/>
      </c>
      <c r="I297" s="25" t="str">
        <f>IF(OR(E297="",E297="!!!",F297="NEW"),"",INDEX(B$2:B296,-1+SUMPRODUCT(MAX(ROW(E$2:E296)*(E297=E$2:E296)))))</f>
        <v>SBJ_2</v>
      </c>
      <c r="J297" s="25">
        <f ca="1">IF(OR(E297="",E297="!!!",F297="NEW"),"",COUNTBLANK(OFFSET(A$1,,,SUMPRODUCT(MAX(ROW(E$2:E297)*(E297=E$2:E297)))))-COUNTBLANK(OFFSET(A$1,,,SUMPRODUCT(MAX(ROW(E$1:E296)*(E2=E$1:E296))))))</f>
        <v>0</v>
      </c>
      <c r="K297" s="25" t="str">
        <f ca="1">IF(OR(E297="",E297="!!!",F297="NEW"),"",INDEX(J$1:J296,SUMPRODUCT(MAX(ROW(E$1:E296)*(E297=E$1:E296)))))</f>
        <v/>
      </c>
      <c r="L297" s="26"/>
    </row>
    <row r="298" spans="1:12" x14ac:dyDescent="0.3">
      <c r="A298" t="s">
        <v>206</v>
      </c>
      <c r="E298" s="21" t="str">
        <f t="shared" si="29"/>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8"/>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183</v>
      </c>
      <c r="B299" s="20" t="s">
        <v>219</v>
      </c>
      <c r="C299" s="20" t="s">
        <v>185</v>
      </c>
      <c r="D299" s="20" t="s">
        <v>186</v>
      </c>
      <c r="E299" s="21" t="s">
        <v>721</v>
      </c>
      <c r="F299" s="22" t="str">
        <f>IF(OR(E299="",E299="!!!"),"",IF(NOT(ISNA(VLOOKUP(E299,E$1:E298,1,FALSE()))),"OLD",IF(AND(E299&lt;&gt;"",E299&lt;&gt;"!!!"),"NEW","")))</f>
        <v>OLD</v>
      </c>
      <c r="G299" s="23" t="s">
        <v>723</v>
      </c>
      <c r="H299" s="24" t="str">
        <f t="shared" ca="1" si="28"/>
        <v/>
      </c>
      <c r="I299" s="25" t="str">
        <f>IF(OR(E299="",E299="!!!",F299="NEW"),"",INDEX(B$2:B298,-1+SUMPRODUCT(MAX(ROW(E$2:E298)*(E299=E$2:E298)))))</f>
        <v>SBJ_2</v>
      </c>
      <c r="J299" s="25">
        <f ca="1">IF(OR(E299="",E299="!!!",F299="NEW"),"",COUNTBLANK(OFFSET(A$1,,,SUMPRODUCT(MAX(ROW(E$2:E299)*(E299=E$2:E299)))))-COUNTBLANK(OFFSET(A$1,,,SUMPRODUCT(MAX(ROW(E$1:E298)*(E2=E$1:E298))))))</f>
        <v>0</v>
      </c>
      <c r="K299" s="25">
        <f ca="1">IF(OR(E299="",E299="!!!",F299="NEW"),"",INDEX(J$1:J298,SUMPRODUCT(MAX(ROW(E$1:E298)*(E299=E$1:E298)))))</f>
        <v>0</v>
      </c>
      <c r="L299" s="26"/>
    </row>
    <row r="300" spans="1:12" x14ac:dyDescent="0.3">
      <c r="A300" t="s">
        <v>258</v>
      </c>
      <c r="E300" s="21" t="str">
        <f t="shared" si="29"/>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8"/>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282</v>
      </c>
      <c r="E301" s="21" t="str">
        <f t="shared" si="29"/>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8"/>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395</v>
      </c>
      <c r="B302" s="20" t="s">
        <v>219</v>
      </c>
      <c r="C302" s="20" t="s">
        <v>216</v>
      </c>
      <c r="D302" s="20" t="s">
        <v>186</v>
      </c>
      <c r="E302" s="21"/>
      <c r="F302" s="22" t="s">
        <v>726</v>
      </c>
      <c r="G302" s="23" t="str">
        <f>IF(OR(E302="",E302="!!!"),"",IF(OR(J302=0,AND(J302=1,K302=1),AND(J302=1,I302="SBJ"),AND(J302=1,I302=0)),"?IN_FOCUS",IF(J302&lt;=2,"?ACTIVATED",IF(J302&lt;&gt;"","?FAMILIAR",IF(F302="NEW",IF(ISNA(VLOOKUP(E302,#REF!,1,FALSE())),"?TYPE_IDENTIFIABLE","?REFERENTIAL"),"_")))))</f>
        <v/>
      </c>
      <c r="H302" s="24" t="str">
        <f t="shared" ca="1" si="28"/>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396</v>
      </c>
      <c r="E303" s="21" t="str">
        <f t="shared" si="29"/>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28"/>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228</v>
      </c>
      <c r="E304" s="21" t="str">
        <f t="shared" si="29"/>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ca="1" si="28"/>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358</v>
      </c>
      <c r="E305" s="21" t="str">
        <f t="shared" si="29"/>
        <v/>
      </c>
      <c r="F305" s="22" t="str">
        <f>IF(OR(E305="",E305="!!!"),"",IF(NOT(ISNA(VLOOKUP(E305,E$1:E304,1,FALSE()))),"OLD",IF(AND(E305&lt;&gt;"",E305&lt;&gt;"!!!"),"NEW","")))</f>
        <v/>
      </c>
      <c r="G305" s="23" t="str">
        <f>IF(OR(E305="",E305="!!!"),"",IF(OR(J305=0,AND(J305=1,K305=1),AND(J305=1,I305="SBJ"),AND(J305=1,I305=0)),"?IN_FOCUS",IF(J305&lt;=2,"?ACTIVATED",IF(J305&lt;&gt;"","?FAMILIAR",IF(F305="NEW",IF(ISNA(VLOOKUP(E305,#REF!,1,FALSE())),"?TYPE_IDENTIFIABLE","?REFERENTIAL"),"_")))))</f>
        <v/>
      </c>
      <c r="H305" s="24" t="str">
        <f t="shared" ca="1" si="28"/>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212</v>
      </c>
      <c r="E306" s="21" t="str">
        <f t="shared" si="29"/>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8"/>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8" spans="1:12" x14ac:dyDescent="0.3">
      <c r="A308" t="s">
        <v>397</v>
      </c>
    </row>
    <row r="309" spans="1:12" x14ac:dyDescent="0.3">
      <c r="A309" t="s">
        <v>398</v>
      </c>
      <c r="E309" s="21" t="str">
        <f t="shared" ref="E309:E324" si="30">IF(D309="?OLD","!!!","")</f>
        <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ref="H309:H324" ca="1" si="31">IF(J309&lt;&gt;1,"",IF(I309="SBJ","CB","?"))</f>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0" spans="1:12" x14ac:dyDescent="0.3">
      <c r="A310" t="s">
        <v>399</v>
      </c>
      <c r="B310" s="20" t="s">
        <v>201</v>
      </c>
      <c r="C310" s="20" t="s">
        <v>216</v>
      </c>
      <c r="D310" s="20" t="s">
        <v>186</v>
      </c>
      <c r="E310" s="21" t="s">
        <v>769</v>
      </c>
      <c r="F310" s="22" t="str">
        <f>IF(OR(E310="",E310="!!!"),"",IF(NOT(ISNA(VLOOKUP(E310,E$1:E309,1,FALSE()))),"OLD",IF(AND(E310&lt;&gt;"",E310&lt;&gt;"!!!"),"NEW","")))</f>
        <v>OLD</v>
      </c>
      <c r="G310" s="23" t="s">
        <v>723</v>
      </c>
      <c r="H310" s="24" t="str">
        <f t="shared" ca="1" si="31"/>
        <v/>
      </c>
      <c r="I310" s="25" t="str">
        <f>IF(OR(E310="",E310="!!!",F310="NEW"),"",INDEX(B$2:B309,-1+SUMPRODUCT(MAX(ROW(E$2:E309)*(E310=E$2:E309)))))</f>
        <v>SBJ</v>
      </c>
      <c r="J310" s="25">
        <f ca="1">IF(OR(E310="",E310="!!!",F310="NEW"),"",COUNTBLANK(OFFSET(A$1,,,SUMPRODUCT(MAX(ROW(E$2:E310)*(E310=E$2:E310)))))-COUNTBLANK(OFFSET(A$1,,,SUMPRODUCT(MAX(ROW(E$1:E309)*(E2=E$1:E309))))))</f>
        <v>0</v>
      </c>
      <c r="K310" s="25" t="str">
        <f ca="1">IF(OR(E310="",E310="!!!",F310="NEW"),"",INDEX(J$1:J309,SUMPRODUCT(MAX(ROW(E$1:E309)*(E310=E$1:E309)))))</f>
        <v/>
      </c>
      <c r="L310" s="26"/>
    </row>
    <row r="311" spans="1:12" x14ac:dyDescent="0.3">
      <c r="A311" t="s">
        <v>203</v>
      </c>
      <c r="E311" s="21" t="str">
        <f t="shared" si="30"/>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31"/>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336</v>
      </c>
      <c r="E312" s="21" t="str">
        <f t="shared" si="30"/>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ca="1" si="31"/>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337</v>
      </c>
      <c r="E313" s="21" t="str">
        <f t="shared" si="30"/>
        <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ca="1" si="31"/>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400</v>
      </c>
      <c r="E314" s="21" t="str">
        <f t="shared" si="30"/>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31"/>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206</v>
      </c>
      <c r="E315" s="21" t="str">
        <f t="shared" si="30"/>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31"/>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401</v>
      </c>
      <c r="E316" s="21" t="str">
        <f t="shared" si="30"/>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31"/>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320</v>
      </c>
      <c r="B317" s="20" t="s">
        <v>208</v>
      </c>
      <c r="C317" s="20" t="s">
        <v>202</v>
      </c>
      <c r="D317" s="20" t="s">
        <v>186</v>
      </c>
      <c r="E317" s="21" t="s">
        <v>769</v>
      </c>
      <c r="F317" s="22" t="str">
        <f>IF(OR(E317="",E317="!!!"),"",IF(NOT(ISNA(VLOOKUP(E317,E$1:E316,1,FALSE()))),"OLD",IF(AND(E317&lt;&gt;"",E317&lt;&gt;"!!!"),"NEW","")))</f>
        <v>OLD</v>
      </c>
      <c r="G317" s="23" t="s">
        <v>809</v>
      </c>
      <c r="H317" s="24" t="str">
        <f t="shared" ca="1" si="31"/>
        <v/>
      </c>
      <c r="I317" s="25" t="str">
        <f>IF(OR(E317="",E317="!!!",F317="NEW"),"",INDEX(B$2:B316,-1+SUMPRODUCT(MAX(ROW(E$2:E316)*(E317=E$2:E316)))))</f>
        <v>SBJ</v>
      </c>
      <c r="J317" s="25">
        <f ca="1">IF(OR(E317="",E317="!!!",F317="NEW"),"",COUNTBLANK(OFFSET(A$1,,,SUMPRODUCT(MAX(ROW(E$2:E317)*(E317=E$2:E317)))))-COUNTBLANK(OFFSET(A$1,,,SUMPRODUCT(MAX(ROW(E$1:E316)*(E2=E$1:E316))))))</f>
        <v>0</v>
      </c>
      <c r="K317" s="25">
        <f ca="1">IF(OR(E317="",E317="!!!",F317="NEW"),"",INDEX(J$1:J316,SUMPRODUCT(MAX(ROW(E$1:E316)*(E317=E$1:E316)))))</f>
        <v>0</v>
      </c>
      <c r="L317" s="26"/>
    </row>
    <row r="318" spans="1:12" x14ac:dyDescent="0.3">
      <c r="A318" t="s">
        <v>194</v>
      </c>
      <c r="E318" s="21" t="str">
        <f t="shared" si="30"/>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31"/>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312</v>
      </c>
      <c r="E319" s="21" t="str">
        <f t="shared" si="30"/>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31"/>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402</v>
      </c>
      <c r="E320" s="21" t="str">
        <f t="shared" si="30"/>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31"/>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310</v>
      </c>
      <c r="B321" s="20" t="s">
        <v>196</v>
      </c>
      <c r="C321" s="20" t="s">
        <v>193</v>
      </c>
      <c r="E321" s="21" t="s">
        <v>722</v>
      </c>
      <c r="F321" s="22" t="str">
        <f>IF(OR(E321="",E321="!!!"),"",IF(NOT(ISNA(VLOOKUP(E321,E$1:E320,1,FALSE()))),"OLD",IF(AND(E321&lt;&gt;"",E321&lt;&gt;"!!!"),"NEW","")))</f>
        <v>OLD</v>
      </c>
      <c r="G321" s="23" t="s">
        <v>723</v>
      </c>
      <c r="H321" s="24" t="str">
        <f t="shared" ca="1" si="31"/>
        <v/>
      </c>
      <c r="I321" s="25" t="str">
        <f>IF(OR(E321="",E321="!!!",F321="NEW"),"",INDEX(B$2:B320,-1+SUMPRODUCT(MAX(ROW(E$2:E320)*(E321=E$2:E320)))))</f>
        <v>other_4</v>
      </c>
      <c r="J321" s="25">
        <f ca="1">IF(OR(E321="",E321="!!!",F321="NEW"),"",COUNTBLANK(OFFSET(A$1,,,SUMPRODUCT(MAX(ROW(E$2:E321)*(E321=E$2:E321)))))-COUNTBLANK(OFFSET(A$1,,,SUMPRODUCT(MAX(ROW(E$1:E320)*(E2=E$1:E320))))))</f>
        <v>0</v>
      </c>
      <c r="K321" s="25">
        <f ca="1">IF(OR(E321="",E321="!!!",F321="NEW"),"",INDEX(J$1:J320,SUMPRODUCT(MAX(ROW(E$1:E320)*(E321=E$1:E320)))))</f>
        <v>0</v>
      </c>
      <c r="L321" s="26"/>
    </row>
    <row r="322" spans="1:12" x14ac:dyDescent="0.3">
      <c r="A322" t="s">
        <v>403</v>
      </c>
      <c r="E322" s="21" t="str">
        <f t="shared" si="30"/>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31"/>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404</v>
      </c>
      <c r="E323" s="21" t="str">
        <f t="shared" si="30"/>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31"/>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212</v>
      </c>
      <c r="E324" s="21" t="str">
        <f t="shared" si="30"/>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31"/>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6" spans="1:12" x14ac:dyDescent="0.3">
      <c r="A326" t="s">
        <v>405</v>
      </c>
    </row>
    <row r="327" spans="1:12" x14ac:dyDescent="0.3">
      <c r="A327" t="s">
        <v>398</v>
      </c>
      <c r="E327" s="21" t="str">
        <f t="shared" ref="E327:E339" si="32">IF(D327="?OLD","!!!","")</f>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ref="H327:H339" ca="1" si="33">IF(J327&lt;&gt;1,"",IF(I327="SBJ","CB","?"))</f>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8" spans="1:12" x14ac:dyDescent="0.3">
      <c r="A328" t="s">
        <v>406</v>
      </c>
      <c r="B328" s="20" t="s">
        <v>201</v>
      </c>
      <c r="C328" s="20" t="s">
        <v>216</v>
      </c>
      <c r="D328" s="20" t="s">
        <v>186</v>
      </c>
      <c r="E328" s="21" t="s">
        <v>748</v>
      </c>
      <c r="F328" s="22" t="str">
        <f>IF(OR(E328="",E328="!!!"),"",IF(NOT(ISNA(VLOOKUP(E328,E$1:E327,1,FALSE()))),"OLD",IF(AND(E328&lt;&gt;"",E328&lt;&gt;"!!!"),"NEW","")))</f>
        <v>NEW</v>
      </c>
      <c r="G328" s="23" t="s">
        <v>807</v>
      </c>
      <c r="H328" s="24" t="str">
        <f t="shared" ca="1" si="33"/>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407</v>
      </c>
      <c r="E329" s="21" t="str">
        <f t="shared" si="32"/>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33"/>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408</v>
      </c>
      <c r="E330" s="21" t="str">
        <f t="shared" si="32"/>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33"/>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409</v>
      </c>
      <c r="E331" s="21" t="str">
        <f t="shared" si="32"/>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33"/>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410</v>
      </c>
      <c r="E332" s="21" t="str">
        <f t="shared" si="32"/>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33"/>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206</v>
      </c>
      <c r="E333" s="21" t="str">
        <f t="shared" si="32"/>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33"/>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411</v>
      </c>
      <c r="E334" s="21" t="str">
        <f t="shared" si="32"/>
        <v/>
      </c>
      <c r="F334" s="22" t="str">
        <f>IF(OR(E334="",E334="!!!"),"",IF(NOT(ISNA(VLOOKUP(E334,E$1:E333,1,FALSE()))),"OLD",IF(AND(E334&lt;&gt;"",E334&lt;&gt;"!!!"),"NEW","")))</f>
        <v/>
      </c>
      <c r="G334" s="23" t="str">
        <f>IF(OR(E334="",E334="!!!"),"",IF(OR(J334=0,AND(J334=1,K334=1),AND(J334=1,I334="SBJ"),AND(J334=1,I334=0)),"?IN_FOCUS",IF(J334&lt;=2,"?ACTIVATED",IF(J334&lt;&gt;"","?FAMILIAR",IF(F334="NEW",IF(ISNA(VLOOKUP(E334,#REF!,1,FALSE())),"?TYPE_IDENTIFIABLE","?REFERENTIAL"),"_")))))</f>
        <v/>
      </c>
      <c r="H334" s="24" t="str">
        <f t="shared" ca="1" si="33"/>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270</v>
      </c>
      <c r="E335" s="21" t="str">
        <f t="shared" si="32"/>
        <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ca="1" si="33"/>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336</v>
      </c>
      <c r="E336" s="21" t="str">
        <f t="shared" si="32"/>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33"/>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412</v>
      </c>
      <c r="E337" s="21" t="str">
        <f t="shared" si="32"/>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33"/>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339</v>
      </c>
      <c r="E338" s="21" t="str">
        <f t="shared" si="32"/>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33"/>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212</v>
      </c>
      <c r="E339" s="21" t="str">
        <f t="shared" si="32"/>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33"/>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1" spans="1:12" x14ac:dyDescent="0.3">
      <c r="A341" t="s">
        <v>413</v>
      </c>
    </row>
    <row r="342" spans="1:12" x14ac:dyDescent="0.3">
      <c r="A342" t="s">
        <v>214</v>
      </c>
      <c r="E342" s="21" t="str">
        <f t="shared" ref="E342:E352" si="34">IF(D342="?OLD","!!!","")</f>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ref="H342:H352" ca="1" si="35">IF(J342&lt;&gt;1,"",IF(I342="SBJ","CB","?"))</f>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414</v>
      </c>
      <c r="E343" s="21" t="str">
        <f t="shared" si="34"/>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35"/>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415</v>
      </c>
      <c r="B344" s="20" t="s">
        <v>201</v>
      </c>
      <c r="C344" s="20" t="s">
        <v>216</v>
      </c>
      <c r="D344" s="20" t="s">
        <v>186</v>
      </c>
      <c r="E344" s="21"/>
      <c r="F344" s="22" t="s">
        <v>729</v>
      </c>
      <c r="G344" s="23" t="str">
        <f>IF(OR(E344="",E344="!!!"),"",IF(OR(J344=0,AND(J344=1,K344=1),AND(J344=1,I344="SBJ"),AND(J344=1,I344=0)),"?IN_FOCUS",IF(J344&lt;=2,"?ACTIVATED",IF(J344&lt;&gt;"","?FAMILIAR",IF(F344="NEW",IF(ISNA(VLOOKUP(E344,#REF!,1,FALSE())),"?TYPE_IDENTIFIABLE","?REFERENTIAL"),"_")))))</f>
        <v/>
      </c>
      <c r="H344" s="24" t="str">
        <f t="shared" ca="1" si="35"/>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5" spans="1:12" x14ac:dyDescent="0.3">
      <c r="A345" t="s">
        <v>258</v>
      </c>
      <c r="E345" s="21" t="str">
        <f t="shared" si="34"/>
        <v/>
      </c>
      <c r="F345" s="22" t="str">
        <f>IF(OR(E345="",E345="!!!"),"",IF(NOT(ISNA(VLOOKUP(E345,E$1:E344,1,FALSE()))),"OLD",IF(AND(E345&lt;&gt;"",E345&lt;&gt;"!!!"),"NEW","")))</f>
        <v/>
      </c>
      <c r="G345" s="23" t="str">
        <f>IF(OR(E345="",E345="!!!"),"",IF(OR(J345=0,AND(J345=1,K345=1),AND(J345=1,I345="SBJ"),AND(J345=1,I345=0)),"?IN_FOCUS",IF(J345&lt;=2,"?ACTIVATED",IF(J345&lt;&gt;"","?FAMILIAR",IF(F345="NEW",IF(ISNA(VLOOKUP(E345,#REF!,1,FALSE())),"?TYPE_IDENTIFIABLE","?REFERENTIAL"),"_")))))</f>
        <v/>
      </c>
      <c r="H345" s="24" t="str">
        <f t="shared" ca="1" si="35"/>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183</v>
      </c>
      <c r="B346" s="20" t="s">
        <v>196</v>
      </c>
      <c r="C346" s="20" t="s">
        <v>185</v>
      </c>
      <c r="D346" s="20" t="s">
        <v>186</v>
      </c>
      <c r="E346" s="21" t="s">
        <v>721</v>
      </c>
      <c r="F346" s="22" t="str">
        <f>IF(OR(E346="",E346="!!!"),"",IF(NOT(ISNA(VLOOKUP(E346,E$1:E345,1,FALSE()))),"OLD",IF(AND(E346&lt;&gt;"",E346&lt;&gt;"!!!"),"NEW","")))</f>
        <v>OLD</v>
      </c>
      <c r="G346" s="23" t="s">
        <v>723</v>
      </c>
      <c r="H346" s="24" t="str">
        <f t="shared" ca="1" si="35"/>
        <v/>
      </c>
      <c r="I346" s="25" t="str">
        <f>IF(OR(E346="",E346="!!!",F346="NEW"),"",INDEX(B$2:B345,-1+SUMPRODUCT(MAX(ROW(E$2:E345)*(E346=E$2:E345)))))</f>
        <v>other_3</v>
      </c>
      <c r="J346" s="25">
        <f ca="1">IF(OR(E346="",E346="!!!",F346="NEW"),"",COUNTBLANK(OFFSET(A$1,,,SUMPRODUCT(MAX(ROW(E$2:E346)*(E346=E$2:E346)))))-COUNTBLANK(OFFSET(A$1,,,SUMPRODUCT(MAX(ROW(E$1:E345)*(E2=E$1:E345))))))</f>
        <v>0</v>
      </c>
      <c r="K346" s="25">
        <f ca="1">IF(OR(E346="",E346="!!!",F346="NEW"),"",INDEX(J$1:J345,SUMPRODUCT(MAX(ROW(E$1:E345)*(E346=E$1:E345)))))</f>
        <v>0</v>
      </c>
      <c r="L346" s="26"/>
    </row>
    <row r="347" spans="1:12" x14ac:dyDescent="0.3">
      <c r="A347" t="s">
        <v>416</v>
      </c>
      <c r="E347" s="21" t="str">
        <f t="shared" si="34"/>
        <v/>
      </c>
      <c r="F347" s="22" t="str">
        <f>IF(OR(E347="",E347="!!!"),"",IF(NOT(ISNA(VLOOKUP(E347,E$1:E346,1,FALSE()))),"OLD",IF(AND(E347&lt;&gt;"",E347&lt;&gt;"!!!"),"NEW","")))</f>
        <v/>
      </c>
      <c r="G347" s="23" t="str">
        <f>IF(OR(E347="",E347="!!!"),"",IF(OR(J347=0,AND(J347=1,K347=1),AND(J347=1,I347="SBJ"),AND(J347=1,I347=0)),"?IN_FOCUS",IF(J347&lt;=2,"?ACTIVATED",IF(J347&lt;&gt;"","?FAMILIAR",IF(F347="NEW",IF(ISNA(VLOOKUP(E347,#REF!,1,FALSE())),"?TYPE_IDENTIFIABLE","?REFERENTIAL"),"_")))))</f>
        <v/>
      </c>
      <c r="H347" s="24" t="str">
        <f t="shared" ca="1" si="35"/>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8" spans="1:12" x14ac:dyDescent="0.3">
      <c r="A348" t="s">
        <v>221</v>
      </c>
      <c r="B348" s="20" t="s">
        <v>222</v>
      </c>
      <c r="E348" s="21" t="str">
        <f t="shared" si="34"/>
        <v/>
      </c>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35"/>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row>
    <row r="349" spans="1:12" x14ac:dyDescent="0.3">
      <c r="A349" t="s">
        <v>417</v>
      </c>
      <c r="E349" s="21" t="str">
        <f t="shared" si="34"/>
        <v/>
      </c>
      <c r="F349" s="22" t="str">
        <f>IF(OR(E349="",E349="!!!"),"",IF(NOT(ISNA(VLOOKUP(E349,E$1:E348,1,FALSE()))),"OLD",IF(AND(E349&lt;&gt;"",E349&lt;&gt;"!!!"),"NEW","")))</f>
        <v/>
      </c>
      <c r="G349" s="23" t="str">
        <f>IF(OR(E349="",E349="!!!"),"",IF(OR(J349=0,AND(J349=1,K349=1),AND(J349=1,I349="SBJ"),AND(J349=1,I349=0)),"?IN_FOCUS",IF(J349&lt;=2,"?ACTIVATED",IF(J349&lt;&gt;"","?FAMILIAR",IF(F349="NEW",IF(ISNA(VLOOKUP(E349,#REF!,1,FALSE())),"?TYPE_IDENTIFIABLE","?REFERENTIAL"),"_")))))</f>
        <v/>
      </c>
      <c r="H349" s="24" t="str">
        <f t="shared" ca="1" si="35"/>
        <v/>
      </c>
      <c r="I349" s="25" t="str">
        <f>IF(OR(E349="",E349="!!!",F349="NEW"),"",INDEX(B$2:B348,-1+SUMPRODUCT(MAX(ROW(E$2:E348)*(E349=E$2:E348)))))</f>
        <v/>
      </c>
      <c r="J349" s="25" t="str">
        <f ca="1">IF(OR(E349="",E349="!!!",F349="NEW"),"",COUNTBLANK(OFFSET(A$1,,,SUMPRODUCT(MAX(ROW(E$2:E349)*(E349=E$2:E349)))))-COUNTBLANK(OFFSET(A$1,,,SUMPRODUCT(MAX(ROW(E$1:E348)*(E2=E$1:E348))))))</f>
        <v/>
      </c>
      <c r="K349" s="25" t="str">
        <f>IF(OR(E349="",E349="!!!",F349="NEW"),"",INDEX(J$1:J348,SUMPRODUCT(MAX(ROW(E$1:E348)*(E349=E$1:E348)))))</f>
        <v/>
      </c>
      <c r="L349" s="26"/>
    </row>
    <row r="350" spans="1:12" x14ac:dyDescent="0.3">
      <c r="A350" t="s">
        <v>418</v>
      </c>
      <c r="B350" s="20" t="s">
        <v>184</v>
      </c>
      <c r="C350" s="20" t="s">
        <v>185</v>
      </c>
      <c r="D350" s="20" t="s">
        <v>186</v>
      </c>
      <c r="E350" s="21" t="s">
        <v>749</v>
      </c>
      <c r="F350" s="22" t="s">
        <v>725</v>
      </c>
      <c r="G350" s="23"/>
      <c r="H350" s="24" t="str">
        <f t="shared" ca="1" si="35"/>
        <v/>
      </c>
      <c r="I350" s="25" t="e">
        <f>IF(OR(E350="",E350="!!!",F350="NEW"),"",INDEX(B$2:B349,-1+SUMPRODUCT(MAX(ROW(E$2:E349)*(E350=E$2:E349)))))</f>
        <v>#VALUE!</v>
      </c>
      <c r="J350" s="25">
        <f ca="1">IF(OR(E350="",E350="!!!",F350="NEW"),"",COUNTBLANK(OFFSET(A$1,,,SUMPRODUCT(MAX(ROW(E$2:E350)*(E350=E$2:E350)))))-COUNTBLANK(OFFSET(A$1,,,SUMPRODUCT(MAX(ROW(E$1:E349)*(E2=E$1:E349))))))</f>
        <v>0</v>
      </c>
      <c r="K350" s="25" t="e">
        <f>IF(OR(E350="",E350="!!!",F350="NEW"),"",INDEX(J$1:J349,SUMPRODUCT(MAX(ROW(E$1:E349)*(E350=E$1:E349)))))</f>
        <v>#VALUE!</v>
      </c>
      <c r="L350" s="26"/>
    </row>
    <row r="351" spans="1:12" x14ac:dyDescent="0.3">
      <c r="A351" t="s">
        <v>419</v>
      </c>
      <c r="E351" s="21" t="str">
        <f t="shared" si="34"/>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35"/>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212</v>
      </c>
      <c r="E352" s="21" t="str">
        <f t="shared" si="34"/>
        <v/>
      </c>
      <c r="F352" s="22" t="str">
        <f>IF(OR(E352="",E352="!!!"),"",IF(NOT(ISNA(VLOOKUP(E352,E$1:E351,1,FALSE()))),"OLD",IF(AND(E352&lt;&gt;"",E352&lt;&gt;"!!!"),"NEW","")))</f>
        <v/>
      </c>
      <c r="G352" s="23" t="str">
        <f>IF(OR(E352="",E352="!!!"),"",IF(OR(J352=0,AND(J352=1,K352=1),AND(J352=1,I352="SBJ"),AND(J352=1,I352=0)),"?IN_FOCUS",IF(J352&lt;=2,"?ACTIVATED",IF(J352&lt;&gt;"","?FAMILIAR",IF(F352="NEW",IF(ISNA(VLOOKUP(E352,#REF!,1,FALSE())),"?TYPE_IDENTIFIABLE","?REFERENTIAL"),"_")))))</f>
        <v/>
      </c>
      <c r="H352" s="24" t="str">
        <f t="shared" ca="1" si="35"/>
        <v/>
      </c>
      <c r="I352" s="25" t="str">
        <f>IF(OR(E352="",E352="!!!",F352="NEW"),"",INDEX(B$2:B351,-1+SUMPRODUCT(MAX(ROW(E$2:E351)*(E352=E$2:E351)))))</f>
        <v/>
      </c>
      <c r="J352" s="25" t="str">
        <f ca="1">IF(OR(E352="",E352="!!!",F352="NEW"),"",COUNTBLANK(OFFSET(A$1,,,SUMPRODUCT(MAX(ROW(E$2:E352)*(E352=E$2:E352)))))-COUNTBLANK(OFFSET(A$1,,,SUMPRODUCT(MAX(ROW(E$1:E351)*(E2=E$1:E351))))))</f>
        <v/>
      </c>
      <c r="K352" s="25" t="str">
        <f>IF(OR(E352="",E352="!!!",F352="NEW"),"",INDEX(J$1:J351,SUMPRODUCT(MAX(ROW(E$1:E351)*(E352=E$1:E351)))))</f>
        <v/>
      </c>
      <c r="L352" s="26"/>
    </row>
    <row r="354" spans="1:12" x14ac:dyDescent="0.3">
      <c r="A354" t="s">
        <v>420</v>
      </c>
    </row>
    <row r="355" spans="1:12" x14ac:dyDescent="0.3">
      <c r="A355" t="s">
        <v>235</v>
      </c>
      <c r="B355" s="20" t="s">
        <v>196</v>
      </c>
      <c r="C355" s="20" t="s">
        <v>197</v>
      </c>
      <c r="E355" s="21" t="str">
        <f t="shared" ref="E355:E370" si="36">IF(D355="?OLD","!!!","")</f>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ref="H355:H370" ca="1" si="37">IF(J355&lt;&gt;1,"",IF(I355="SBJ","CB","?"))</f>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238</v>
      </c>
      <c r="E356" s="21" t="str">
        <f t="shared" si="36"/>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37"/>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421</v>
      </c>
      <c r="E357" s="21" t="str">
        <f t="shared" si="36"/>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37"/>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207</v>
      </c>
      <c r="E358" s="21" t="str">
        <f t="shared" si="36"/>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37"/>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422</v>
      </c>
      <c r="E359" s="21" t="str">
        <f t="shared" si="36"/>
        <v/>
      </c>
      <c r="F359" s="22" t="str">
        <f>IF(OR(E359="",E359="!!!"),"",IF(NOT(ISNA(VLOOKUP(E359,E$1:E358,1,FALSE()))),"OLD",IF(AND(E359&lt;&gt;"",E359&lt;&gt;"!!!"),"NEW","")))</f>
        <v/>
      </c>
      <c r="G359" s="23" t="str">
        <f>IF(OR(E359="",E359="!!!"),"",IF(OR(J359=0,AND(J359=1,K359=1),AND(J359=1,I359="SBJ"),AND(J359=1,I359=0)),"?IN_FOCUS",IF(J359&lt;=2,"?ACTIVATED",IF(J359&lt;&gt;"","?FAMILIAR",IF(F359="NEW",IF(ISNA(VLOOKUP(E359,#REF!,1,FALSE())),"?TYPE_IDENTIFIABLE","?REFERENTIAL"),"_")))))</f>
        <v/>
      </c>
      <c r="H359" s="24" t="str">
        <f t="shared" ca="1" si="37"/>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423</v>
      </c>
      <c r="E360" s="21" t="str">
        <f t="shared" si="36"/>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37"/>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424</v>
      </c>
      <c r="B361" s="20" t="s">
        <v>201</v>
      </c>
      <c r="C361" s="20" t="s">
        <v>216</v>
      </c>
      <c r="D361" s="20" t="s">
        <v>186</v>
      </c>
      <c r="E361" s="21" t="s">
        <v>750</v>
      </c>
      <c r="F361" s="22" t="str">
        <f>IF(OR(E361="",E361="!!!"),"",IF(NOT(ISNA(VLOOKUP(E361,E$1:E360,1,FALSE()))),"OLD",IF(AND(E361&lt;&gt;"",E361&lt;&gt;"!!!"),"NEW","")))</f>
        <v>NEW</v>
      </c>
      <c r="G361" s="23" t="s">
        <v>807</v>
      </c>
      <c r="H361" s="24" t="str">
        <f t="shared" ca="1" si="37"/>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425</v>
      </c>
      <c r="E362" s="21" t="str">
        <f t="shared" si="36"/>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37"/>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426</v>
      </c>
      <c r="E363" s="21" t="str">
        <f t="shared" si="36"/>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37"/>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206</v>
      </c>
      <c r="E364" s="21" t="str">
        <f t="shared" si="36"/>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37"/>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427</v>
      </c>
      <c r="E365" s="21" t="str">
        <f t="shared" si="36"/>
        <v/>
      </c>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37"/>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428</v>
      </c>
      <c r="B366" s="20" t="s">
        <v>222</v>
      </c>
      <c r="C366" s="20" t="s">
        <v>193</v>
      </c>
      <c r="E366" s="21" t="str">
        <f t="shared" si="36"/>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37"/>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429</v>
      </c>
      <c r="E367" s="21" t="str">
        <f t="shared" si="36"/>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37"/>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273</v>
      </c>
      <c r="B368" s="20" t="s">
        <v>196</v>
      </c>
      <c r="C368" s="20" t="s">
        <v>185</v>
      </c>
      <c r="D368" s="20" t="s">
        <v>186</v>
      </c>
      <c r="E368" s="21" t="s">
        <v>736</v>
      </c>
      <c r="F368" s="22" t="str">
        <f>IF(OR(E368="",E368="!!!"),"",IF(NOT(ISNA(VLOOKUP(E368,E$1:E367,1,FALSE()))),"OLD",IF(AND(E368&lt;&gt;"",E368&lt;&gt;"!!!"),"NEW","")))</f>
        <v>OLD</v>
      </c>
      <c r="G368" s="23" t="s">
        <v>723</v>
      </c>
      <c r="H368" s="24" t="str">
        <f t="shared" ca="1" si="37"/>
        <v/>
      </c>
      <c r="I368" s="25" t="str">
        <f>IF(OR(E368="",E368="!!!",F368="NEW"),"",INDEX(B$2:B367,-1+SUMPRODUCT(MAX(ROW(E$2:E367)*(E368=E$2:E367)))))</f>
        <v>OBJ_2</v>
      </c>
      <c r="J368" s="25">
        <f ca="1">IF(OR(E368="",E368="!!!",F368="NEW"),"",COUNTBLANK(OFFSET(A$1,,,SUMPRODUCT(MAX(ROW(E$2:E368)*(E368=E$2:E368)))))-COUNTBLANK(OFFSET(A$1,,,SUMPRODUCT(MAX(ROW(E$1:E367)*(E2=E$1:E367))))))</f>
        <v>0</v>
      </c>
      <c r="K368" s="25">
        <f ca="1">IF(OR(E368="",E368="!!!",F368="NEW"),"",INDEX(J$1:J367,SUMPRODUCT(MAX(ROW(E$1:E367)*(E368=E$1:E367)))))</f>
        <v>0</v>
      </c>
      <c r="L368" s="26"/>
    </row>
    <row r="369" spans="1:12" x14ac:dyDescent="0.3">
      <c r="A369" t="s">
        <v>294</v>
      </c>
      <c r="E369" s="21" t="str">
        <f t="shared" si="36"/>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37"/>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0" spans="1:12" x14ac:dyDescent="0.3">
      <c r="A370" t="s">
        <v>212</v>
      </c>
      <c r="E370" s="21" t="str">
        <f t="shared" si="36"/>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37"/>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2" spans="1:12" x14ac:dyDescent="0.3">
      <c r="A372" t="s">
        <v>430</v>
      </c>
    </row>
    <row r="373" spans="1:12" x14ac:dyDescent="0.3">
      <c r="A373" t="s">
        <v>431</v>
      </c>
      <c r="E373" s="21" t="str">
        <f t="shared" ref="E373:E387" si="38">IF(D373="?OLD","!!!","")</f>
        <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ref="H373:H387" ca="1" si="39">IF(J373&lt;&gt;1,"",IF(I373="SBJ","CB","?"))</f>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432</v>
      </c>
      <c r="E374" s="21" t="str">
        <f t="shared" si="38"/>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39"/>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357</v>
      </c>
      <c r="E375" s="21" t="str">
        <f t="shared" si="38"/>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ca="1" si="39"/>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320</v>
      </c>
      <c r="B376" s="20" t="s">
        <v>201</v>
      </c>
      <c r="C376" s="20" t="s">
        <v>202</v>
      </c>
      <c r="D376" s="20" t="s">
        <v>186</v>
      </c>
      <c r="E376" s="21"/>
      <c r="F376" s="22" t="s">
        <v>751</v>
      </c>
      <c r="G376" s="23" t="str">
        <f>IF(OR(E376="",E376="!!!"),"",IF(OR(J376=0,AND(J376=1,K376=1),AND(J376=1,I376="SBJ"),AND(J376=1,I376=0)),"?IN_FOCUS",IF(J376&lt;=2,"?ACTIVATED",IF(J376&lt;&gt;"","?FAMILIAR",IF(F376="NEW",IF(ISNA(VLOOKUP(E376,#REF!,1,FALSE())),"?TYPE_IDENTIFIABLE","?REFERENTIAL"),"_")))))</f>
        <v/>
      </c>
      <c r="H376" s="24" t="str">
        <f t="shared" ca="1" si="39"/>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206</v>
      </c>
      <c r="E377" s="21" t="str">
        <f t="shared" si="38"/>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39"/>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250</v>
      </c>
      <c r="E378" s="21" t="str">
        <f t="shared" si="38"/>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39"/>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334</v>
      </c>
      <c r="E379" s="21" t="str">
        <f t="shared" si="38"/>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39"/>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207</v>
      </c>
      <c r="E380" s="21" t="str">
        <f t="shared" si="38"/>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ca="1" si="39"/>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1" spans="1:12" x14ac:dyDescent="0.3">
      <c r="A381" t="s">
        <v>433</v>
      </c>
      <c r="B381" s="20" t="s">
        <v>208</v>
      </c>
      <c r="C381" s="20" t="s">
        <v>216</v>
      </c>
      <c r="D381" s="20" t="s">
        <v>186</v>
      </c>
      <c r="E381" s="21" t="s">
        <v>752</v>
      </c>
      <c r="F381" s="22" t="str">
        <f>IF(OR(E381="",E381="!!!"),"",IF(NOT(ISNA(VLOOKUP(E381,E$1:E380,1,FALSE()))),"OLD",IF(AND(E381&lt;&gt;"",E381&lt;&gt;"!!!"),"NEW","")))</f>
        <v>NEW</v>
      </c>
      <c r="G381" s="23" t="s">
        <v>723</v>
      </c>
      <c r="H381" s="24" t="str">
        <f t="shared" ca="1" si="39"/>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296</v>
      </c>
      <c r="E382" s="21" t="str">
        <f t="shared" si="38"/>
        <v/>
      </c>
      <c r="F382" s="22" t="str">
        <f>IF(OR(E382="",E382="!!!"),"",IF(NOT(ISNA(VLOOKUP(E382,E$1:E381,1,FALSE()))),"OLD",IF(AND(E382&lt;&gt;"",E382&lt;&gt;"!!!"),"NEW","")))</f>
        <v/>
      </c>
      <c r="G382" s="23" t="str">
        <f>IF(OR(E382="",E382="!!!"),"",IF(OR(J382=0,AND(J382=1,K382=1),AND(J382=1,I382="SBJ"),AND(J382=1,I382=0)),"?IN_FOCUS",IF(J382&lt;=2,"?ACTIVATED",IF(J382&lt;&gt;"","?FAMILIAR",IF(F382="NEW",IF(ISNA(VLOOKUP(E382,#REF!,1,FALSE())),"?TYPE_IDENTIFIABLE","?REFERENTIAL"),"_")))))</f>
        <v/>
      </c>
      <c r="H382" s="24" t="str">
        <f t="shared" ca="1" si="39"/>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434</v>
      </c>
      <c r="B383" s="20" t="s">
        <v>196</v>
      </c>
      <c r="C383" s="20" t="s">
        <v>328</v>
      </c>
      <c r="E383" s="21" t="str">
        <f t="shared" si="38"/>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39"/>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207</v>
      </c>
      <c r="E384" s="21" t="str">
        <f t="shared" si="38"/>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39"/>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435</v>
      </c>
      <c r="B385" s="20" t="s">
        <v>210</v>
      </c>
      <c r="C385" s="20" t="s">
        <v>216</v>
      </c>
      <c r="D385" s="20" t="s">
        <v>186</v>
      </c>
      <c r="E385" s="21"/>
      <c r="F385" s="22" t="s">
        <v>726</v>
      </c>
      <c r="G385" s="23" t="str">
        <f>IF(OR(E385="",E385="!!!"),"",IF(OR(J385=0,AND(J385=1,K385=1),AND(J385=1,I385="SBJ"),AND(J385=1,I385=0)),"?IN_FOCUS",IF(J385&lt;=2,"?ACTIVATED",IF(J385&lt;&gt;"","?FAMILIAR",IF(F385="NEW",IF(ISNA(VLOOKUP(E385,#REF!,1,FALSE())),"?TYPE_IDENTIFIABLE","?REFERENTIAL"),"_")))))</f>
        <v/>
      </c>
      <c r="H385" s="24" t="str">
        <f t="shared" ca="1" si="39"/>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436</v>
      </c>
      <c r="E386" s="21" t="str">
        <f t="shared" si="38"/>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9"/>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212</v>
      </c>
      <c r="E387" s="21" t="str">
        <f t="shared" si="38"/>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39"/>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9" spans="1:12" x14ac:dyDescent="0.3">
      <c r="A389" t="s">
        <v>437</v>
      </c>
    </row>
    <row r="390" spans="1:12" x14ac:dyDescent="0.3">
      <c r="A390" t="s">
        <v>341</v>
      </c>
      <c r="E390" s="21" t="str">
        <f t="shared" ref="E390:E422" si="40">IF(D390="?OLD","!!!","")</f>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ref="H390:H422" ca="1" si="41">IF(J390&lt;&gt;1,"",IF(I390="SBJ","CB","?"))</f>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224</v>
      </c>
      <c r="E391" s="21" t="str">
        <f t="shared" si="40"/>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41"/>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438</v>
      </c>
      <c r="B392" s="20" t="s">
        <v>184</v>
      </c>
      <c r="C392" s="20" t="s">
        <v>216</v>
      </c>
      <c r="D392" s="20" t="s">
        <v>186</v>
      </c>
      <c r="E392" s="21"/>
      <c r="F392" s="22" t="str">
        <f>IF(OR(E392="",E392="!!!"),"",IF(NOT(ISNA(VLOOKUP(E392,E$1:E391,1,FALSE()))),"OLD",IF(AND(E392&lt;&gt;"",E392&lt;&gt;"!!!"),"NEW","")))</f>
        <v/>
      </c>
      <c r="G392" s="23" t="str">
        <f>IF(OR(E392="",E392="!!!"),"",IF(OR(J392=0,AND(J392=1,K392=1),AND(J392=1,I392="SBJ"),AND(J392=1,I392=0)),"?IN_FOCUS",IF(J392&lt;=2,"?ACTIVATED",IF(J392&lt;&gt;"","?FAMILIAR",IF(F392="NEW",IF(ISNA(VLOOKUP(E392,#REF!,1,FALSE())),"?TYPE_IDENTIFIABLE","?REFERENTIAL"),"_")))))</f>
        <v/>
      </c>
      <c r="H392" s="24" t="str">
        <f t="shared" ca="1" si="41"/>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t="s">
        <v>738</v>
      </c>
    </row>
    <row r="393" spans="1:12" x14ac:dyDescent="0.3">
      <c r="A393" t="s">
        <v>439</v>
      </c>
      <c r="E393" s="21" t="str">
        <f t="shared" si="40"/>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41"/>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207</v>
      </c>
      <c r="E394" s="21" t="str">
        <f t="shared" si="40"/>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ca="1" si="41"/>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440</v>
      </c>
      <c r="B395" s="20" t="s">
        <v>201</v>
      </c>
      <c r="C395" s="20" t="s">
        <v>216</v>
      </c>
      <c r="D395" s="20" t="s">
        <v>186</v>
      </c>
      <c r="E395" s="21" t="s">
        <v>755</v>
      </c>
      <c r="F395" s="22" t="str">
        <f>IF(OR(E395="",E395="!!!"),"",IF(NOT(ISNA(VLOOKUP(E395,E$1:E394,1,FALSE()))),"OLD",IF(AND(E395&lt;&gt;"",E395&lt;&gt;"!!!"),"NEW","")))</f>
        <v>NEW</v>
      </c>
      <c r="G395" s="23" t="s">
        <v>176</v>
      </c>
      <c r="H395" s="24" t="str">
        <f t="shared" ca="1" si="41"/>
        <v/>
      </c>
      <c r="I395" s="25" t="str">
        <f>IF(OR(E395="",E395="!!!",F395="NEW"),"",INDEX(B$2:B394,-1+SUMPRODUCT(MAX(ROW(E$2:E394)*(E395=E$2:E394)))))</f>
        <v/>
      </c>
      <c r="J395" s="25" t="str">
        <f ca="1">IF(OR(E395="",E395="!!!",F395="NEW"),"",COUNTBLANK(OFFSET(A$1,,,SUMPRODUCT(MAX(ROW(E$2:E395)*(E395=E$2:E395)))))-COUNTBLANK(OFFSET(A$1,,,SUMPRODUCT(MAX(ROW(E$1:E394)*(E2=E$1:E394))))))</f>
        <v/>
      </c>
      <c r="K395" s="25" t="str">
        <f>IF(OR(E395="",E395="!!!",F395="NEW"),"",INDEX(J$1:J394,SUMPRODUCT(MAX(ROW(E$1:E394)*(E395=E$1:E394)))))</f>
        <v/>
      </c>
      <c r="L395" s="26"/>
    </row>
    <row r="396" spans="1:12" x14ac:dyDescent="0.3">
      <c r="A396" t="s">
        <v>194</v>
      </c>
      <c r="E396" s="21" t="str">
        <f t="shared" si="40"/>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41"/>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441</v>
      </c>
      <c r="E397" s="21" t="str">
        <f t="shared" si="40"/>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41"/>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442</v>
      </c>
      <c r="B398" s="20" t="s">
        <v>196</v>
      </c>
      <c r="C398" s="20" t="s">
        <v>197</v>
      </c>
      <c r="E398" s="21" t="str">
        <f t="shared" si="40"/>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41"/>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206</v>
      </c>
      <c r="E399" s="21" t="str">
        <f t="shared" si="40"/>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41"/>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272</v>
      </c>
      <c r="E400" s="21" t="str">
        <f t="shared" si="40"/>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41"/>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443</v>
      </c>
      <c r="B401" s="20" t="s">
        <v>208</v>
      </c>
      <c r="C401" s="20" t="s">
        <v>185</v>
      </c>
      <c r="D401" s="20" t="s">
        <v>186</v>
      </c>
      <c r="E401" s="21" t="s">
        <v>731</v>
      </c>
      <c r="F401" s="22" t="str">
        <f>IF(OR(E401="",E401="!!!"),"",IF(NOT(ISNA(VLOOKUP(E401,E$1:E400,1,FALSE()))),"OLD",IF(AND(E401&lt;&gt;"",E401&lt;&gt;"!!!"),"NEW","")))</f>
        <v>OLD</v>
      </c>
      <c r="G401" s="23" t="s">
        <v>723</v>
      </c>
      <c r="H401" s="24" t="str">
        <f t="shared" ca="1" si="41"/>
        <v/>
      </c>
      <c r="I401" s="25">
        <f>IF(OR(E401="",E401="!!!",F401="NEW"),"",INDEX(B$2:B400,-1+SUMPRODUCT(MAX(ROW(E$2:E400)*(E401=E$2:E400)))))</f>
        <v>0</v>
      </c>
      <c r="J401" s="25">
        <f ca="1">IF(OR(E401="",E401="!!!",F401="NEW"),"",COUNTBLANK(OFFSET(A$1,,,SUMPRODUCT(MAX(ROW(E$2:E401)*(E401=E$2:E401)))))-COUNTBLANK(OFFSET(A$1,,,SUMPRODUCT(MAX(ROW(E$1:E400)*(E2=E$1:E400))))))</f>
        <v>0</v>
      </c>
      <c r="K401" s="25">
        <f ca="1">IF(OR(E401="",E401="!!!",F401="NEW"),"",INDEX(J$1:J400,SUMPRODUCT(MAX(ROW(E$1:E400)*(E401=E$1:E400)))))</f>
        <v>0</v>
      </c>
      <c r="L401" s="26"/>
    </row>
    <row r="402" spans="1:12" x14ac:dyDescent="0.3">
      <c r="A402" t="s">
        <v>444</v>
      </c>
      <c r="E402" s="21" t="str">
        <f t="shared" si="40"/>
        <v/>
      </c>
      <c r="F402" s="22" t="str">
        <f>IF(OR(E402="",E402="!!!"),"",IF(NOT(ISNA(VLOOKUP(E402,E$1:E401,1,FALSE()))),"OLD",IF(AND(E402&lt;&gt;"",E402&lt;&gt;"!!!"),"NEW","")))</f>
        <v/>
      </c>
      <c r="G402" s="23" t="str">
        <f>IF(OR(E402="",E402="!!!"),"",IF(OR(J402=0,AND(J402=1,K402=1),AND(J402=1,I402="SBJ"),AND(J402=1,I402=0)),"?IN_FOCUS",IF(J402&lt;=2,"?ACTIVATED",IF(J402&lt;&gt;"","?FAMILIAR",IF(F402="NEW",IF(ISNA(VLOOKUP(E402,#REF!,1,FALSE())),"?TYPE_IDENTIFIABLE","?REFERENTIAL"),"_")))))</f>
        <v/>
      </c>
      <c r="H402" s="24" t="str">
        <f t="shared" ca="1" si="41"/>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445</v>
      </c>
      <c r="B403" s="20" t="s">
        <v>208</v>
      </c>
      <c r="C403" s="20" t="s">
        <v>197</v>
      </c>
      <c r="E403" s="21" t="s">
        <v>753</v>
      </c>
      <c r="F403" s="22" t="str">
        <f>IF(OR(E403="",E403="!!!"),"",IF(NOT(ISNA(VLOOKUP(E403,E$1:E402,1,FALSE()))),"OLD",IF(AND(E403&lt;&gt;"",E403&lt;&gt;"!!!"),"NEW","")))</f>
        <v>NEW</v>
      </c>
      <c r="G403" s="23" t="s">
        <v>807</v>
      </c>
      <c r="H403" s="24" t="str">
        <f t="shared" ca="1" si="41"/>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194</v>
      </c>
      <c r="E404" s="21" t="str">
        <f t="shared" si="40"/>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41"/>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224</v>
      </c>
      <c r="E405" s="21" t="str">
        <f t="shared" si="40"/>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41"/>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446</v>
      </c>
      <c r="E406" s="21" t="str">
        <f t="shared" si="40"/>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41"/>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447</v>
      </c>
      <c r="B407" s="20" t="s">
        <v>219</v>
      </c>
      <c r="C407" s="20" t="s">
        <v>216</v>
      </c>
      <c r="D407" s="20" t="s">
        <v>186</v>
      </c>
      <c r="E407" s="21" t="s">
        <v>795</v>
      </c>
      <c r="F407" s="22" t="str">
        <f>IF(OR(E407="",E407="!!!"),"",IF(NOT(ISNA(VLOOKUP(E407,E$1:E406,1,FALSE()))),"OLD",IF(AND(E407&lt;&gt;"",E407&lt;&gt;"!!!"),"NEW","")))</f>
        <v>NEW</v>
      </c>
      <c r="G407" s="23" t="s">
        <v>723</v>
      </c>
      <c r="H407" s="24" t="str">
        <f t="shared" ca="1" si="41"/>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258</v>
      </c>
      <c r="E408" s="21" t="str">
        <f t="shared" si="40"/>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41"/>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448</v>
      </c>
      <c r="B409" s="20" t="s">
        <v>241</v>
      </c>
      <c r="C409" s="20" t="s">
        <v>261</v>
      </c>
      <c r="D409" s="20" t="s">
        <v>186</v>
      </c>
      <c r="E409" s="21" t="s">
        <v>794</v>
      </c>
      <c r="F409" s="22" t="str">
        <f>IF(OR(E409="",E409="!!!"),"",IF(NOT(ISNA(VLOOKUP(E409,E$1:E408,1,FALSE()))),"OLD",IF(AND(E409&lt;&gt;"",E409&lt;&gt;"!!!"),"NEW","")))</f>
        <v>NEW</v>
      </c>
      <c r="G409" s="23" t="s">
        <v>807</v>
      </c>
      <c r="H409" s="24" t="str">
        <f t="shared" ca="1" si="41"/>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449</v>
      </c>
      <c r="B410" s="20" t="s">
        <v>243</v>
      </c>
      <c r="C410" s="20" t="s">
        <v>185</v>
      </c>
      <c r="D410" s="20" t="s">
        <v>186</v>
      </c>
      <c r="E410" s="21" t="s">
        <v>793</v>
      </c>
      <c r="F410" s="22" t="str">
        <f>IF(OR(E410="",E410="!!!"),"",IF(NOT(ISNA(VLOOKUP(E410,E$1:E409,1,FALSE()))),"OLD",IF(AND(E410&lt;&gt;"",E410&lt;&gt;"!!!"),"NEW","")))</f>
        <v>NEW</v>
      </c>
      <c r="G410" s="23" t="s">
        <v>723</v>
      </c>
      <c r="H410" s="24" t="str">
        <f t="shared" ca="1" si="41"/>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450</v>
      </c>
      <c r="E411" s="21"/>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41"/>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348</v>
      </c>
      <c r="E412" s="21" t="str">
        <f t="shared" si="40"/>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41"/>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206</v>
      </c>
      <c r="E413" s="21" t="str">
        <f t="shared" si="40"/>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41"/>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207</v>
      </c>
      <c r="B414" s="20" t="s">
        <v>208</v>
      </c>
      <c r="E414" s="21" t="str">
        <f t="shared" si="40"/>
        <v/>
      </c>
      <c r="F414" s="22" t="str">
        <f>IF(OR(E414="",E414="!!!"),"",IF(NOT(ISNA(VLOOKUP(E414,E$1:E413,1,FALSE()))),"OLD",IF(AND(E414&lt;&gt;"",E414&lt;&gt;"!!!"),"NEW","")))</f>
        <v/>
      </c>
      <c r="G414" s="23" t="str">
        <f>IF(OR(E414="",E414="!!!"),"",IF(OR(J414=0,AND(J414=1,K414=1),AND(J414=1,I414="SBJ"),AND(J414=1,I414=0)),"?IN_FOCUS",IF(J414&lt;=2,"?ACTIVATED",IF(J414&lt;&gt;"","?FAMILIAR",IF(F414="NEW",IF(ISNA(VLOOKUP(E414,#REF!,1,FALSE())),"?TYPE_IDENTIFIABLE","?REFERENTIAL"),"_")))))</f>
        <v/>
      </c>
      <c r="H414" s="24" t="str">
        <f t="shared" ca="1" si="41"/>
        <v/>
      </c>
      <c r="I414" s="25" t="str">
        <f>IF(OR(E414="",E414="!!!",F414="NEW"),"",INDEX(B$2:B413,-1+SUMPRODUCT(MAX(ROW(E$2:E413)*(E414=E$2:E413)))))</f>
        <v/>
      </c>
      <c r="J414" s="25" t="str">
        <f ca="1">IF(OR(E414="",E414="!!!",F414="NEW"),"",COUNTBLANK(OFFSET(A$1,,,SUMPRODUCT(MAX(ROW(E$2:E414)*(E414=E$2:E414)))))-COUNTBLANK(OFFSET(A$1,,,SUMPRODUCT(MAX(ROW(E$1:E413)*(E2=E$1:E413))))))</f>
        <v/>
      </c>
      <c r="K414" s="25" t="str">
        <f>IF(OR(E414="",E414="!!!",F414="NEW"),"",INDEX(J$1:J413,SUMPRODUCT(MAX(ROW(E$1:E413)*(E414=E$1:E413)))))</f>
        <v/>
      </c>
      <c r="L414" s="26"/>
    </row>
    <row r="415" spans="1:12" x14ac:dyDescent="0.3">
      <c r="A415" t="s">
        <v>194</v>
      </c>
      <c r="E415" s="21" t="str">
        <f t="shared" si="40"/>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41"/>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224</v>
      </c>
      <c r="E416" s="21" t="str">
        <f t="shared" si="40"/>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41"/>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451</v>
      </c>
      <c r="E417" s="21" t="str">
        <f t="shared" si="40"/>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41"/>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452</v>
      </c>
      <c r="E418" s="21" t="str">
        <f t="shared" si="40"/>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41"/>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453</v>
      </c>
      <c r="B419" s="20" t="s">
        <v>196</v>
      </c>
      <c r="C419" s="20" t="s">
        <v>216</v>
      </c>
      <c r="D419" s="20" t="s">
        <v>186</v>
      </c>
      <c r="E419" s="21" t="s">
        <v>754</v>
      </c>
      <c r="F419" s="22" t="str">
        <f>IF(OR(E419="",E419="!!!"),"",IF(NOT(ISNA(VLOOKUP(E419,E$1:E418,1,FALSE()))),"OLD",IF(AND(E419&lt;&gt;"",E419&lt;&gt;"!!!"),"NEW","")))</f>
        <v>NEW</v>
      </c>
      <c r="G419" s="23" t="s">
        <v>723</v>
      </c>
      <c r="H419" s="24" t="str">
        <f t="shared" ca="1" si="41"/>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454</v>
      </c>
      <c r="E420" s="21" t="str">
        <f t="shared" si="40"/>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41"/>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1" spans="1:12" x14ac:dyDescent="0.3">
      <c r="A421" t="s">
        <v>339</v>
      </c>
      <c r="E421" s="21" t="str">
        <f t="shared" si="40"/>
        <v/>
      </c>
      <c r="F421" s="22" t="str">
        <f>IF(OR(E421="",E421="!!!"),"",IF(NOT(ISNA(VLOOKUP(E421,E$1:E420,1,FALSE()))),"OLD",IF(AND(E421&lt;&gt;"",E421&lt;&gt;"!!!"),"NEW","")))</f>
        <v/>
      </c>
      <c r="G421" s="23" t="str">
        <f>IF(OR(E421="",E421="!!!"),"",IF(OR(J421=0,AND(J421=1,K421=1),AND(J421=1,I421="SBJ"),AND(J421=1,I421=0)),"?IN_FOCUS",IF(J421&lt;=2,"?ACTIVATED",IF(J421&lt;&gt;"","?FAMILIAR",IF(F421="NEW",IF(ISNA(VLOOKUP(E421,#REF!,1,FALSE())),"?TYPE_IDENTIFIABLE","?REFERENTIAL"),"_")))))</f>
        <v/>
      </c>
      <c r="H421" s="24" t="str">
        <f t="shared" ca="1" si="41"/>
        <v/>
      </c>
      <c r="I421" s="25" t="str">
        <f>IF(OR(E421="",E421="!!!",F421="NEW"),"",INDEX(B$2:B420,-1+SUMPRODUCT(MAX(ROW(E$2:E420)*(E421=E$2:E420)))))</f>
        <v/>
      </c>
      <c r="J421" s="25" t="str">
        <f ca="1">IF(OR(E421="",E421="!!!",F421="NEW"),"",COUNTBLANK(OFFSET(A$1,,,SUMPRODUCT(MAX(ROW(E$2:E421)*(E421=E$2:E421)))))-COUNTBLANK(OFFSET(A$1,,,SUMPRODUCT(MAX(ROW(E$1:E420)*(E2=E$1:E420))))))</f>
        <v/>
      </c>
      <c r="K421" s="25" t="str">
        <f>IF(OR(E421="",E421="!!!",F421="NEW"),"",INDEX(J$1:J420,SUMPRODUCT(MAX(ROW(E$1:E420)*(E421=E$1:E420)))))</f>
        <v/>
      </c>
      <c r="L421" s="26"/>
    </row>
    <row r="422" spans="1:12" x14ac:dyDescent="0.3">
      <c r="A422" t="s">
        <v>212</v>
      </c>
      <c r="E422" s="21" t="str">
        <f t="shared" si="40"/>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ca="1" si="41"/>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4" spans="1:12" x14ac:dyDescent="0.3">
      <c r="A424" t="s">
        <v>455</v>
      </c>
    </row>
    <row r="425" spans="1:12" x14ac:dyDescent="0.3">
      <c r="A425" t="s">
        <v>323</v>
      </c>
      <c r="B425" s="20" t="s">
        <v>201</v>
      </c>
      <c r="C425" s="20" t="s">
        <v>202</v>
      </c>
      <c r="D425" s="20" t="s">
        <v>186</v>
      </c>
      <c r="E425" s="21" t="s">
        <v>731</v>
      </c>
      <c r="F425" s="22" t="str">
        <f>IF(OR(E425="",E425="!!!"),"",IF(NOT(ISNA(VLOOKUP(E425,E$1:E424,1,FALSE()))),"OLD",IF(AND(E425&lt;&gt;"",E425&lt;&gt;"!!!"),"NEW","")))</f>
        <v>OLD</v>
      </c>
      <c r="G425" s="23" t="s">
        <v>808</v>
      </c>
      <c r="H425" s="24" t="str">
        <f t="shared" ref="H425:H430" ca="1" si="42">IF(J425&lt;&gt;1,"",IF(I425="SBJ","CB","?"))</f>
        <v/>
      </c>
      <c r="I425" s="25" t="str">
        <f>IF(OR(E425="",E425="!!!",F425="NEW"),"",INDEX(B$2:B424,-1+SUMPRODUCT(MAX(ROW(E$2:E424)*(E425=E$2:E424)))))</f>
        <v>SBJ_2</v>
      </c>
      <c r="J425" s="25">
        <f ca="1">IF(OR(E425="",E425="!!!",F425="NEW"),"",COUNTBLANK(OFFSET(A$1,,,SUMPRODUCT(MAX(ROW(E$2:E425)*(E425=E$2:E425)))))-COUNTBLANK(OFFSET(A$1,,,SUMPRODUCT(MAX(ROW(E$1:E424)*(E2=E$1:E424))))))</f>
        <v>0</v>
      </c>
      <c r="K425" s="25">
        <f ca="1">IF(OR(E425="",E425="!!!",F425="NEW"),"",INDEX(J$1:J424,SUMPRODUCT(MAX(ROW(E$1:E424)*(E425=E$1:E424)))))</f>
        <v>0</v>
      </c>
      <c r="L425" s="26"/>
    </row>
    <row r="426" spans="1:12" x14ac:dyDescent="0.3">
      <c r="A426" t="s">
        <v>416</v>
      </c>
      <c r="E426" s="21" t="str">
        <f t="shared" ref="E426:E430" si="43">IF(D426="?OLD","!!!","")</f>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42"/>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456</v>
      </c>
      <c r="B427" s="20" t="s">
        <v>222</v>
      </c>
      <c r="C427" s="20" t="s">
        <v>275</v>
      </c>
      <c r="D427" s="20" t="s">
        <v>186</v>
      </c>
      <c r="E427" s="21" t="s">
        <v>755</v>
      </c>
      <c r="F427" s="22" t="str">
        <f>IF(OR(E427="",E427="!!!"),"",IF(NOT(ISNA(VLOOKUP(E427,E$1:E426,1,FALSE()))),"OLD",IF(AND(E427&lt;&gt;"",E427&lt;&gt;"!!!"),"NEW","")))</f>
        <v>OLD</v>
      </c>
      <c r="G427" s="23" t="s">
        <v>809</v>
      </c>
      <c r="H427" s="24" t="s">
        <v>178</v>
      </c>
      <c r="I427" s="25" t="str">
        <f>IF(OR(E427="",E427="!!!",F427="NEW"),"",INDEX(B$2:B426,-1+SUMPRODUCT(MAX(ROW(E$2:E426)*(E427=E$2:E426)))))</f>
        <v>SBJ</v>
      </c>
      <c r="J427" s="25">
        <f ca="1">IF(OR(E427="",E427="!!!",F427="NEW"),"",COUNTBLANK(OFFSET(A$1,,,SUMPRODUCT(MAX(ROW(E$2:E427)*(E427=E$2:E427)))))-COUNTBLANK(OFFSET(A$1,,,SUMPRODUCT(MAX(ROW(E$1:E426)*(E2=E$1:E426))))))</f>
        <v>0</v>
      </c>
      <c r="K427" s="25" t="str">
        <f ca="1">IF(OR(E427="",E427="!!!",F427="NEW"),"",INDEX(J$1:J426,SUMPRODUCT(MAX(ROW(E$1:E426)*(E427=E$1:E426)))))</f>
        <v/>
      </c>
      <c r="L427" s="26"/>
    </row>
    <row r="428" spans="1:12" x14ac:dyDescent="0.3">
      <c r="A428" t="s">
        <v>457</v>
      </c>
      <c r="E428" s="21" t="str">
        <f t="shared" si="43"/>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42"/>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458</v>
      </c>
      <c r="E429" s="21" t="str">
        <f t="shared" si="43"/>
        <v/>
      </c>
      <c r="F429" s="22" t="str">
        <f>IF(OR(E429="",E429="!!!"),"",IF(NOT(ISNA(VLOOKUP(E429,E$1:E428,1,FALSE()))),"OLD",IF(AND(E429&lt;&gt;"",E429&lt;&gt;"!!!"),"NEW","")))</f>
        <v/>
      </c>
      <c r="G429" s="23" t="str">
        <f>IF(OR(E429="",E429="!!!"),"",IF(OR(J429=0,AND(J429=1,K429=1),AND(J429=1,I429="SBJ"),AND(J429=1,I429=0)),"?IN_FOCUS",IF(J429&lt;=2,"?ACTIVATED",IF(J429&lt;&gt;"","?FAMILIAR",IF(F429="NEW",IF(ISNA(VLOOKUP(E429,#REF!,1,FALSE())),"?TYPE_IDENTIFIABLE","?REFERENTIAL"),"_")))))</f>
        <v/>
      </c>
      <c r="H429" s="24" t="str">
        <f t="shared" ca="1" si="42"/>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212</v>
      </c>
      <c r="E430" s="21" t="str">
        <f t="shared" si="43"/>
        <v/>
      </c>
      <c r="F430" s="22" t="str">
        <f>IF(OR(E430="",E430="!!!"),"",IF(NOT(ISNA(VLOOKUP(E430,E$1:E429,1,FALSE()))),"OLD",IF(AND(E430&lt;&gt;"",E430&lt;&gt;"!!!"),"NEW","")))</f>
        <v/>
      </c>
      <c r="G430" s="23" t="str">
        <f>IF(OR(E430="",E430="!!!"),"",IF(OR(J430=0,AND(J430=1,K430=1),AND(J430=1,I430="SBJ"),AND(J430=1,I430=0)),"?IN_FOCUS",IF(J430&lt;=2,"?ACTIVATED",IF(J430&lt;&gt;"","?FAMILIAR",IF(F430="NEW",IF(ISNA(VLOOKUP(E430,#REF!,1,FALSE())),"?TYPE_IDENTIFIABLE","?REFERENTIAL"),"_")))))</f>
        <v/>
      </c>
      <c r="H430" s="24" t="str">
        <f t="shared" ca="1" si="42"/>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2" spans="1:12" x14ac:dyDescent="0.3">
      <c r="A432" t="s">
        <v>459</v>
      </c>
    </row>
    <row r="433" spans="1:12" x14ac:dyDescent="0.3">
      <c r="A433" t="s">
        <v>249</v>
      </c>
      <c r="E433" s="21" t="str">
        <f t="shared" ref="E433:E450" si="44">IF(D433="?OLD","!!!","")</f>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ref="H433:H450" ca="1" si="45">IF(J433&lt;&gt;1,"",IF(I433="SBJ","CB","?"))</f>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258</v>
      </c>
      <c r="E434" s="21" t="str">
        <f t="shared" si="44"/>
        <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45"/>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460</v>
      </c>
      <c r="B435" s="20" t="s">
        <v>184</v>
      </c>
      <c r="C435" s="20" t="s">
        <v>185</v>
      </c>
      <c r="D435" s="20" t="s">
        <v>186</v>
      </c>
      <c r="E435" s="21" t="s">
        <v>756</v>
      </c>
      <c r="F435" s="22" t="str">
        <f>IF(OR(E435="",E435="!!!"),"",IF(NOT(ISNA(VLOOKUP(E435,E$1:E434,1,FALSE()))),"OLD",IF(AND(E435&lt;&gt;"",E435&lt;&gt;"!!!"),"NEW","")))</f>
        <v>NEW</v>
      </c>
      <c r="G435" s="23" t="s">
        <v>723</v>
      </c>
      <c r="H435" s="24" t="str">
        <f t="shared" ca="1" si="45"/>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461</v>
      </c>
      <c r="E436" s="21" t="str">
        <f t="shared" si="44"/>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45"/>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207</v>
      </c>
      <c r="E437" s="21" t="str">
        <f t="shared" si="44"/>
        <v/>
      </c>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45"/>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462</v>
      </c>
      <c r="E438" s="21" t="str">
        <f t="shared" si="44"/>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45"/>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463</v>
      </c>
      <c r="B439" s="20" t="s">
        <v>201</v>
      </c>
      <c r="C439" s="20" t="s">
        <v>216</v>
      </c>
      <c r="D439" s="20" t="s">
        <v>186</v>
      </c>
      <c r="E439" s="21" t="s">
        <v>796</v>
      </c>
      <c r="F439" s="22" t="str">
        <f>IF(OR(E439="",E439="!!!"),"",IF(NOT(ISNA(VLOOKUP(E439,E$1:E438,1,FALSE()))),"OLD",IF(AND(E439&lt;&gt;"",E439&lt;&gt;"!!!"),"NEW","")))</f>
        <v>NEW</v>
      </c>
      <c r="G439" s="23" t="s">
        <v>807</v>
      </c>
      <c r="H439" s="24" t="str">
        <f t="shared" ca="1" si="45"/>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206</v>
      </c>
      <c r="E440" s="21" t="str">
        <f t="shared" si="44"/>
        <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45"/>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row>
    <row r="441" spans="1:12" x14ac:dyDescent="0.3">
      <c r="A441" t="s">
        <v>272</v>
      </c>
      <c r="E441" s="21" t="str">
        <f t="shared" si="44"/>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45"/>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320</v>
      </c>
      <c r="B442" s="20" t="s">
        <v>352</v>
      </c>
      <c r="C442" s="20" t="s">
        <v>202</v>
      </c>
      <c r="D442" s="20" t="s">
        <v>186</v>
      </c>
      <c r="E442" s="21"/>
      <c r="F442" s="22" t="s">
        <v>751</v>
      </c>
      <c r="G442" s="23" t="str">
        <f>IF(OR(E442="",E442="!!!"),"",IF(OR(J442=0,AND(J442=1,K442=1),AND(J442=1,I442="SBJ"),AND(J442=1,I442=0)),"?IN_FOCUS",IF(J442&lt;=2,"?ACTIVATED",IF(J442&lt;&gt;"","?FAMILIAR",IF(F442="NEW",IF(ISNA(VLOOKUP(E442,#REF!,1,FALSE())),"?TYPE_IDENTIFIABLE","?REFERENTIAL"),"_")))))</f>
        <v/>
      </c>
      <c r="H442" s="24" t="str">
        <f t="shared" ca="1" si="45"/>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390</v>
      </c>
      <c r="B443" s="20" t="s">
        <v>196</v>
      </c>
      <c r="C443" s="20" t="s">
        <v>197</v>
      </c>
      <c r="E443" s="21" t="str">
        <f t="shared" si="44"/>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45"/>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464</v>
      </c>
      <c r="E444" s="21" t="str">
        <f t="shared" si="44"/>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45"/>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206</v>
      </c>
      <c r="E445" s="21" t="str">
        <f t="shared" si="44"/>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ca="1" si="45"/>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465</v>
      </c>
      <c r="E446" s="21" t="str">
        <f t="shared" si="44"/>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45"/>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466</v>
      </c>
      <c r="E447" s="21" t="str">
        <f t="shared" si="44"/>
        <v/>
      </c>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45"/>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228</v>
      </c>
      <c r="E448" s="21" t="str">
        <f t="shared" si="44"/>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45"/>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467</v>
      </c>
      <c r="E449" s="21" t="str">
        <f t="shared" si="44"/>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45"/>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212</v>
      </c>
      <c r="E450" s="21" t="str">
        <f t="shared" si="44"/>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45"/>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2" spans="1:12" x14ac:dyDescent="0.3">
      <c r="A452" t="s">
        <v>468</v>
      </c>
    </row>
    <row r="453" spans="1:12" x14ac:dyDescent="0.3">
      <c r="A453" t="s">
        <v>469</v>
      </c>
      <c r="E453" s="21" t="str">
        <f t="shared" ref="E453:E475" si="46">IF(D453="?OLD","!!!","")</f>
        <v/>
      </c>
      <c r="F453" s="22" t="str">
        <f>IF(OR(E453="",E453="!!!"),"",IF(NOT(ISNA(VLOOKUP(E453,E$1:E452,1,FALSE()))),"OLD",IF(AND(E453&lt;&gt;"",E453&lt;&gt;"!!!"),"NEW","")))</f>
        <v/>
      </c>
      <c r="G453" s="23" t="str">
        <f>IF(OR(E453="",E453="!!!"),"",IF(OR(J453=0,AND(J453=1,K453=1),AND(J453=1,I453="SBJ"),AND(J453=1,I453=0)),"?IN_FOCUS",IF(J453&lt;=2,"?ACTIVATED",IF(J453&lt;&gt;"","?FAMILIAR",IF(F453="NEW",IF(ISNA(VLOOKUP(E453,#REF!,1,FALSE())),"?TYPE_IDENTIFIABLE","?REFERENTIAL"),"_")))))</f>
        <v/>
      </c>
      <c r="H453" s="24" t="str">
        <f t="shared" ref="H453:H475" ca="1" si="47">IF(J453&lt;&gt;1,"",IF(I453="SBJ","CB","?"))</f>
        <v/>
      </c>
      <c r="I453" s="25" t="str">
        <f>IF(OR(E453="",E453="!!!",F453="NEW"),"",INDEX(B$2:B452,-1+SUMPRODUCT(MAX(ROW(E$2:E452)*(E453=E$2:E452)))))</f>
        <v/>
      </c>
      <c r="J453" s="25" t="str">
        <f ca="1">IF(OR(E453="",E453="!!!",F453="NEW"),"",COUNTBLANK(OFFSET(A$1,,,SUMPRODUCT(MAX(ROW(E$2:E453)*(E453=E$2:E453)))))-COUNTBLANK(OFFSET(A$1,,,SUMPRODUCT(MAX(ROW(E$1:E452)*(E2=E$1:E452))))))</f>
        <v/>
      </c>
      <c r="K453" s="25" t="str">
        <f>IF(OR(E453="",E453="!!!",F453="NEW"),"",INDEX(J$1:J452,SUMPRODUCT(MAX(ROW(E$1:E452)*(E453=E$1:E452)))))</f>
        <v/>
      </c>
      <c r="L453" s="26"/>
    </row>
    <row r="454" spans="1:12" x14ac:dyDescent="0.3">
      <c r="A454" t="s">
        <v>470</v>
      </c>
      <c r="E454" s="21" t="str">
        <f t="shared" si="46"/>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47"/>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471</v>
      </c>
      <c r="B455" s="20" t="s">
        <v>196</v>
      </c>
      <c r="C455" s="20" t="s">
        <v>275</v>
      </c>
      <c r="D455" s="20" t="s">
        <v>186</v>
      </c>
      <c r="E455" s="21"/>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47"/>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t="s">
        <v>757</v>
      </c>
    </row>
    <row r="456" spans="1:12" x14ac:dyDescent="0.3">
      <c r="A456" t="s">
        <v>472</v>
      </c>
      <c r="B456" s="20" t="s">
        <v>201</v>
      </c>
      <c r="C456" s="20" t="s">
        <v>277</v>
      </c>
      <c r="D456" s="20" t="s">
        <v>186</v>
      </c>
      <c r="E456" s="21" t="s">
        <v>777</v>
      </c>
      <c r="F456" s="22" t="str">
        <f>IF(OR(E456="",E456="!!!"),"",IF(NOT(ISNA(VLOOKUP(E456,E$1:E455,1,FALSE()))),"OLD",IF(AND(E456&lt;&gt;"",E456&lt;&gt;"!!!"),"NEW","")))</f>
        <v>NEW</v>
      </c>
      <c r="G456" s="23" t="s">
        <v>807</v>
      </c>
      <c r="H456" s="24" t="str">
        <f t="shared" ca="1" si="47"/>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327</v>
      </c>
      <c r="E457" s="21" t="str">
        <f t="shared" si="46"/>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47"/>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473</v>
      </c>
      <c r="E458" s="21" t="str">
        <f t="shared" si="46"/>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47"/>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474</v>
      </c>
      <c r="E459" s="21" t="str">
        <f t="shared" si="46"/>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47"/>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206</v>
      </c>
      <c r="E460" s="21" t="str">
        <f t="shared" si="46"/>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47"/>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475</v>
      </c>
      <c r="E461" s="21" t="str">
        <f t="shared" si="46"/>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ca="1" si="47"/>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253</v>
      </c>
      <c r="B462" s="20" t="s">
        <v>208</v>
      </c>
      <c r="C462" s="20" t="s">
        <v>185</v>
      </c>
      <c r="D462" s="20" t="s">
        <v>186</v>
      </c>
      <c r="E462" s="21" t="s">
        <v>730</v>
      </c>
      <c r="F462" s="22" t="str">
        <f>IF(OR(E462="",E462="!!!"),"",IF(NOT(ISNA(VLOOKUP(E462,E$1:E461,1,FALSE()))),"OLD",IF(AND(E462&lt;&gt;"",E462&lt;&gt;"!!!"),"NEW","")))</f>
        <v>OLD</v>
      </c>
      <c r="G462" s="23" t="s">
        <v>723</v>
      </c>
      <c r="H462" s="24" t="str">
        <f t="shared" ca="1" si="47"/>
        <v/>
      </c>
      <c r="I462" s="25" t="str">
        <f>IF(OR(E462="",E462="!!!",F462="NEW"),"",INDEX(B$2:B461,-1+SUMPRODUCT(MAX(ROW(E$2:E461)*(E462=E$2:E461)))))</f>
        <v>SBJ</v>
      </c>
      <c r="J462" s="25">
        <f ca="1">IF(OR(E462="",E462="!!!",F462="NEW"),"",COUNTBLANK(OFFSET(A$1,,,SUMPRODUCT(MAX(ROW(E$2:E462)*(E462=E$2:E462)))))-COUNTBLANK(OFFSET(A$1,,,SUMPRODUCT(MAX(ROW(E$1:E461)*(E2=E$1:E461))))))</f>
        <v>0</v>
      </c>
      <c r="K462" s="25">
        <f ca="1">IF(OR(E462="",E462="!!!",F462="NEW"),"",INDEX(J$1:J461,SUMPRODUCT(MAX(ROW(E$1:E461)*(E462=E$1:E461)))))</f>
        <v>0</v>
      </c>
      <c r="L462" s="26"/>
    </row>
    <row r="463" spans="1:12" x14ac:dyDescent="0.3">
      <c r="A463" t="s">
        <v>194</v>
      </c>
      <c r="E463" s="21" t="str">
        <f t="shared" si="46"/>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47"/>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224</v>
      </c>
      <c r="E464" s="21" t="str">
        <f t="shared" si="46"/>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47"/>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476</v>
      </c>
      <c r="B465" s="20" t="s">
        <v>196</v>
      </c>
      <c r="C465" s="20" t="s">
        <v>216</v>
      </c>
      <c r="D465" s="20" t="s">
        <v>186</v>
      </c>
      <c r="E465" s="21"/>
      <c r="F465" s="22" t="s">
        <v>740</v>
      </c>
      <c r="G465" s="23" t="str">
        <f>IF(OR(E465="",E465="!!!"),"",IF(OR(J465=0,AND(J465=1,K465=1),AND(J465=1,I465="SBJ"),AND(J465=1,I465=0)),"?IN_FOCUS",IF(J465&lt;=2,"?ACTIVATED",IF(J465&lt;&gt;"","?FAMILIAR",IF(F465="NEW",IF(ISNA(VLOOKUP(E465,#REF!,1,FALSE())),"?TYPE_IDENTIFIABLE","?REFERENTIAL"),"_")))))</f>
        <v/>
      </c>
      <c r="H465" s="24" t="str">
        <f t="shared" ca="1" si="47"/>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304</v>
      </c>
      <c r="B466" s="20" t="s">
        <v>219</v>
      </c>
      <c r="C466" s="20" t="s">
        <v>185</v>
      </c>
      <c r="D466" s="20" t="s">
        <v>186</v>
      </c>
      <c r="E466" s="21" t="s">
        <v>731</v>
      </c>
      <c r="F466" s="22" t="str">
        <f>IF(OR(E466="",E466="!!!"),"",IF(NOT(ISNA(VLOOKUP(E466,E$1:E465,1,FALSE()))),"OLD",IF(AND(E466&lt;&gt;"",E466&lt;&gt;"!!!"),"NEW","")))</f>
        <v>OLD</v>
      </c>
      <c r="G466" s="23" t="s">
        <v>723</v>
      </c>
      <c r="H466" s="24" t="str">
        <f t="shared" ca="1" si="47"/>
        <v/>
      </c>
      <c r="I466" s="25" t="str">
        <f>IF(OR(E466="",E466="!!!",F466="NEW"),"",INDEX(B$2:B465,-1+SUMPRODUCT(MAX(ROW(E$2:E465)*(E466=E$2:E465)))))</f>
        <v>SBJ</v>
      </c>
      <c r="J466" s="25">
        <f ca="1">IF(OR(E466="",E466="!!!",F466="NEW"),"",COUNTBLANK(OFFSET(A$1,,,SUMPRODUCT(MAX(ROW(E$2:E466)*(E466=E$2:E466)))))-COUNTBLANK(OFFSET(A$1,,,SUMPRODUCT(MAX(ROW(E$1:E465)*(E2=E$1:E465))))))</f>
        <v>0</v>
      </c>
      <c r="K466" s="25">
        <f ca="1">IF(OR(E466="",E466="!!!",F466="NEW"),"",INDEX(J$1:J465,SUMPRODUCT(MAX(ROW(E$1:E465)*(E466=E$1:E465)))))</f>
        <v>0</v>
      </c>
      <c r="L466" s="26"/>
    </row>
    <row r="467" spans="1:12" x14ac:dyDescent="0.3">
      <c r="A467" t="s">
        <v>207</v>
      </c>
      <c r="E467" s="21" t="str">
        <f t="shared" si="46"/>
        <v/>
      </c>
      <c r="F467" s="22" t="str">
        <f>IF(OR(E467="",E467="!!!"),"",IF(NOT(ISNA(VLOOKUP(E467,E$1:E466,1,FALSE()))),"OLD",IF(AND(E467&lt;&gt;"",E467&lt;&gt;"!!!"),"NEW","")))</f>
        <v/>
      </c>
      <c r="G467" s="23" t="str">
        <f>IF(OR(E467="",E467="!!!"),"",IF(OR(J467=0,AND(J467=1,K467=1),AND(J467=1,I467="SBJ"),AND(J467=1,I467=0)),"?IN_FOCUS",IF(J467&lt;=2,"?ACTIVATED",IF(J467&lt;&gt;"","?FAMILIAR",IF(F467="NEW",IF(ISNA(VLOOKUP(E467,#REF!,1,FALSE())),"?TYPE_IDENTIFIABLE","?REFERENTIAL"),"_")))))</f>
        <v/>
      </c>
      <c r="H467" s="24" t="str">
        <f t="shared" ca="1" si="47"/>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477</v>
      </c>
      <c r="B468" s="20" t="s">
        <v>210</v>
      </c>
      <c r="C468" s="20" t="s">
        <v>216</v>
      </c>
      <c r="D468" s="20" t="s">
        <v>186</v>
      </c>
      <c r="E468" s="21" t="s">
        <v>797</v>
      </c>
      <c r="F468" s="22" t="str">
        <f>IF(OR(E468="",E468="!!!"),"",IF(NOT(ISNA(VLOOKUP(E468,E$1:E467,1,FALSE()))),"OLD",IF(AND(E468&lt;&gt;"",E468&lt;&gt;"!!!"),"NEW","")))</f>
        <v>NEW</v>
      </c>
      <c r="G468" s="23" t="s">
        <v>807</v>
      </c>
      <c r="H468" s="24" t="str">
        <f t="shared" ca="1" si="47"/>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478</v>
      </c>
      <c r="E469" s="21" t="str">
        <f t="shared" si="46"/>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47"/>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206</v>
      </c>
      <c r="E470" s="21" t="str">
        <f t="shared" si="46"/>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47"/>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207</v>
      </c>
      <c r="B471" s="20" t="s">
        <v>232</v>
      </c>
      <c r="E471" s="21" t="str">
        <f t="shared" si="46"/>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47"/>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290</v>
      </c>
      <c r="B472" s="20" t="s">
        <v>352</v>
      </c>
      <c r="C472" s="20" t="s">
        <v>202</v>
      </c>
      <c r="D472" s="20" t="s">
        <v>186</v>
      </c>
      <c r="E472" s="21" t="s">
        <v>730</v>
      </c>
      <c r="F472" s="22" t="str">
        <f>IF(OR(E472="",E472="!!!"),"",IF(NOT(ISNA(VLOOKUP(E472,E$1:E471,1,FALSE()))),"OLD",IF(AND(E472&lt;&gt;"",E472&lt;&gt;"!!!"),"NEW","")))</f>
        <v>OLD</v>
      </c>
      <c r="G472" s="23" t="s">
        <v>809</v>
      </c>
      <c r="H472" s="24" t="str">
        <f t="shared" ca="1" si="47"/>
        <v/>
      </c>
      <c r="I472" s="25" t="str">
        <f>IF(OR(E472="",E472="!!!",F472="NEW"),"",INDEX(B$2:B471,-1+SUMPRODUCT(MAX(ROW(E$2:E471)*(E472=E$2:E471)))))</f>
        <v>SBJ_2</v>
      </c>
      <c r="J472" s="25">
        <f ca="1">IF(OR(E472="",E472="!!!",F472="NEW"),"",COUNTBLANK(OFFSET(A$1,,,SUMPRODUCT(MAX(ROW(E$2:E472)*(E472=E$2:E472)))))-COUNTBLANK(OFFSET(A$1,,,SUMPRODUCT(MAX(ROW(E$1:E471)*(E2=E$1:E471))))))</f>
        <v>0</v>
      </c>
      <c r="K472" s="25">
        <f ca="1">IF(OR(E472="",E472="!!!",F472="NEW"),"",INDEX(J$1:J471,SUMPRODUCT(MAX(ROW(E$1:E471)*(E472=E$1:E471)))))</f>
        <v>0</v>
      </c>
      <c r="L472" s="26"/>
    </row>
    <row r="473" spans="1:12" x14ac:dyDescent="0.3">
      <c r="A473" t="s">
        <v>479</v>
      </c>
      <c r="E473" s="21" t="str">
        <f t="shared" si="46"/>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47"/>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480</v>
      </c>
      <c r="E474" s="21" t="str">
        <f t="shared" si="46"/>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47"/>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212</v>
      </c>
      <c r="E475" s="21" t="str">
        <f t="shared" si="46"/>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47"/>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7" spans="1:12" x14ac:dyDescent="0.3">
      <c r="A477" t="s">
        <v>481</v>
      </c>
    </row>
    <row r="478" spans="1:12" x14ac:dyDescent="0.3">
      <c r="A478" t="s">
        <v>183</v>
      </c>
      <c r="B478" s="20" t="s">
        <v>201</v>
      </c>
      <c r="C478" s="20" t="s">
        <v>185</v>
      </c>
      <c r="D478" s="20" t="s">
        <v>186</v>
      </c>
      <c r="E478" s="21" t="s">
        <v>721</v>
      </c>
      <c r="F478" s="22" t="str">
        <f>IF(OR(E478="",E478="!!!"),"",IF(NOT(ISNA(VLOOKUP(E478,E$1:E477,1,FALSE()))),"OLD",IF(AND(E478&lt;&gt;"",E478&lt;&gt;"!!!"),"NEW","")))</f>
        <v>OLD</v>
      </c>
      <c r="G478" s="23" t="s">
        <v>723</v>
      </c>
      <c r="H478" s="24" t="str">
        <f t="shared" ref="H478:H484" ca="1" si="48">IF(J478&lt;&gt;1,"",IF(I478="SBJ","CB","?"))</f>
        <v/>
      </c>
      <c r="I478" s="25" t="str">
        <f>IF(OR(E478="",E478="!!!",F478="NEW"),"",INDEX(B$2:B477,-1+SUMPRODUCT(MAX(ROW(E$2:E477)*(E478=E$2:E477)))))</f>
        <v>other_2</v>
      </c>
      <c r="J478" s="25">
        <f ca="1">IF(OR(E478="",E478="!!!",F478="NEW"),"",COUNTBLANK(OFFSET(A$1,,,SUMPRODUCT(MAX(ROW(E$2:E478)*(E478=E$2:E478)))))-COUNTBLANK(OFFSET(A$1,,,SUMPRODUCT(MAX(ROW(E$1:E477)*(E2=E$1:E477))))))</f>
        <v>0</v>
      </c>
      <c r="K478" s="25">
        <f ca="1">IF(OR(E478="",E478="!!!",F478="NEW"),"",INDEX(J$1:J477,SUMPRODUCT(MAX(ROW(E$1:E477)*(E478=E$1:E477)))))</f>
        <v>0</v>
      </c>
      <c r="L478" s="26"/>
    </row>
    <row r="479" spans="1:12" x14ac:dyDescent="0.3">
      <c r="A479" t="s">
        <v>319</v>
      </c>
      <c r="E479" s="21" t="str">
        <f t="shared" ref="E479:E484" si="49">IF(D479="?OLD","!!!","")</f>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48"/>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204</v>
      </c>
      <c r="E480" s="21" t="str">
        <f t="shared" si="49"/>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48"/>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482</v>
      </c>
      <c r="B481" s="20" t="s">
        <v>222</v>
      </c>
      <c r="C481" s="20" t="s">
        <v>193</v>
      </c>
      <c r="E481" s="21" t="str">
        <f t="shared" si="49"/>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48"/>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483</v>
      </c>
      <c r="B482" s="20" t="s">
        <v>196</v>
      </c>
      <c r="C482" s="20" t="s">
        <v>185</v>
      </c>
      <c r="D482" s="20" t="s">
        <v>186</v>
      </c>
      <c r="E482" s="21"/>
      <c r="F482" s="22" t="s">
        <v>729</v>
      </c>
      <c r="G482" s="23" t="str">
        <f>IF(OR(E482="",E482="!!!"),"",IF(OR(J482=0,AND(J482=1,K482=1),AND(J482=1,I482="SBJ"),AND(J482=1,I482=0)),"?IN_FOCUS",IF(J482&lt;=2,"?ACTIVATED",IF(J482&lt;&gt;"","?FAMILIAR",IF(F482="NEW",IF(ISNA(VLOOKUP(E482,#REF!,1,FALSE())),"?TYPE_IDENTIFIABLE","?REFERENTIAL"),"_")))))</f>
        <v/>
      </c>
      <c r="H482" s="24" t="str">
        <f t="shared" ca="1" si="48"/>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102</v>
      </c>
      <c r="E483" s="21" t="str">
        <f t="shared" si="49"/>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48"/>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212</v>
      </c>
      <c r="E484" s="21" t="str">
        <f t="shared" si="49"/>
        <v/>
      </c>
      <c r="F484" s="22" t="str">
        <f>IF(OR(E484="",E484="!!!"),"",IF(NOT(ISNA(VLOOKUP(E484,E$1:E483,1,FALSE()))),"OLD",IF(AND(E484&lt;&gt;"",E484&lt;&gt;"!!!"),"NEW","")))</f>
        <v/>
      </c>
      <c r="G484" s="23" t="str">
        <f>IF(OR(E484="",E484="!!!"),"",IF(OR(J484=0,AND(J484=1,K484=1),AND(J484=1,I484="SBJ"),AND(J484=1,I484=0)),"?IN_FOCUS",IF(J484&lt;=2,"?ACTIVATED",IF(J484&lt;&gt;"","?FAMILIAR",IF(F484="NEW",IF(ISNA(VLOOKUP(E484,#REF!,1,FALSE())),"?TYPE_IDENTIFIABLE","?REFERENTIAL"),"_")))))</f>
        <v/>
      </c>
      <c r="H484" s="24" t="str">
        <f t="shared" ca="1" si="48"/>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6" spans="1:12" x14ac:dyDescent="0.3">
      <c r="A486" t="s">
        <v>484</v>
      </c>
    </row>
    <row r="487" spans="1:12" x14ac:dyDescent="0.3">
      <c r="A487" t="s">
        <v>485</v>
      </c>
      <c r="E487" s="21" t="str">
        <f t="shared" ref="E487:E498" si="50">IF(D487="?OLD","!!!","")</f>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ref="H487:H498" ca="1" si="51">IF(J487&lt;&gt;1,"",IF(I487="SBJ","CB","?"))</f>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273</v>
      </c>
      <c r="B488" s="20" t="s">
        <v>184</v>
      </c>
      <c r="C488" s="20" t="s">
        <v>185</v>
      </c>
      <c r="D488" s="20" t="s">
        <v>186</v>
      </c>
      <c r="E488" s="21" t="s">
        <v>736</v>
      </c>
      <c r="F488" s="22" t="str">
        <f>IF(OR(E488="",E488="!!!"),"",IF(NOT(ISNA(VLOOKUP(E488,E$1:E487,1,FALSE()))),"OLD",IF(AND(E488&lt;&gt;"",E488&lt;&gt;"!!!"),"NEW","")))</f>
        <v>OLD</v>
      </c>
      <c r="G488" s="23" t="s">
        <v>723</v>
      </c>
      <c r="H488" s="24" t="str">
        <f t="shared" ca="1" si="51"/>
        <v/>
      </c>
      <c r="I488" s="25" t="str">
        <f>IF(OR(E488="",E488="!!!",F488="NEW"),"",INDEX(B$2:B487,-1+SUMPRODUCT(MAX(ROW(E$2:E487)*(E488=E$2:E487)))))</f>
        <v>other_2</v>
      </c>
      <c r="J488" s="25">
        <f ca="1">IF(OR(E488="",E488="!!!",F488="NEW"),"",COUNTBLANK(OFFSET(A$1,,,SUMPRODUCT(MAX(ROW(E$2:E488)*(E488=E$2:E488)))))-COUNTBLANK(OFFSET(A$1,,,SUMPRODUCT(MAX(ROW(E$1:E487)*(E2=E$1:E487))))))</f>
        <v>0</v>
      </c>
      <c r="K488" s="25">
        <f ca="1">IF(OR(E488="",E488="!!!",F488="NEW"),"",INDEX(J$1:J487,SUMPRODUCT(MAX(ROW(E$1:E487)*(E488=E$1:E487)))))</f>
        <v>0</v>
      </c>
      <c r="L488" s="26"/>
    </row>
    <row r="489" spans="1:12" x14ac:dyDescent="0.3">
      <c r="A489" t="s">
        <v>105</v>
      </c>
      <c r="E489" s="21" t="str">
        <f t="shared" si="50"/>
        <v/>
      </c>
      <c r="F489" s="22" t="str">
        <f>IF(OR(E489="",E489="!!!"),"",IF(NOT(ISNA(VLOOKUP(E489,E$1:E488,1,FALSE()))),"OLD",IF(AND(E489&lt;&gt;"",E489&lt;&gt;"!!!"),"NEW","")))</f>
        <v/>
      </c>
      <c r="G489" s="23" t="str">
        <f>IF(OR(E489="",E489="!!!"),"",IF(OR(J489=0,AND(J489=1,K489=1),AND(J489=1,I489="SBJ"),AND(J489=1,I489=0)),"?IN_FOCUS",IF(J489&lt;=2,"?ACTIVATED",IF(J489&lt;&gt;"","?FAMILIAR",IF(F489="NEW",IF(ISNA(VLOOKUP(E489,#REF!,1,FALSE())),"?TYPE_IDENTIFIABLE","?REFERENTIAL"),"_")))))</f>
        <v/>
      </c>
      <c r="H489" s="24" t="str">
        <f t="shared" ca="1" si="51"/>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row>
    <row r="490" spans="1:12" x14ac:dyDescent="0.3">
      <c r="A490" t="s">
        <v>207</v>
      </c>
      <c r="E490" s="21" t="str">
        <f t="shared" si="50"/>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51"/>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486</v>
      </c>
      <c r="B491" s="20" t="s">
        <v>201</v>
      </c>
      <c r="C491" s="20" t="s">
        <v>216</v>
      </c>
      <c r="D491" s="20" t="s">
        <v>186</v>
      </c>
      <c r="E491" s="21" t="s">
        <v>798</v>
      </c>
      <c r="F491" s="22" t="str">
        <f>IF(OR(E491="",E491="!!!"),"",IF(NOT(ISNA(VLOOKUP(E491,E$1:E490,1,FALSE()))),"OLD",IF(AND(E491&lt;&gt;"",E491&lt;&gt;"!!!"),"NEW","")))</f>
        <v>NEW</v>
      </c>
      <c r="G491" s="23" t="s">
        <v>807</v>
      </c>
      <c r="H491" s="24" t="str">
        <f t="shared" ca="1" si="51"/>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381</v>
      </c>
      <c r="E492" s="21" t="str">
        <f t="shared" si="50"/>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51"/>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487</v>
      </c>
      <c r="B493" s="20" t="s">
        <v>196</v>
      </c>
      <c r="C493" s="20" t="s">
        <v>193</v>
      </c>
      <c r="E493" s="21" t="str">
        <f t="shared" si="50"/>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51"/>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488</v>
      </c>
      <c r="E494" s="21" t="str">
        <f t="shared" si="50"/>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51"/>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429</v>
      </c>
      <c r="E495" s="21" t="str">
        <f t="shared" si="50"/>
        <v/>
      </c>
      <c r="F495" s="22" t="str">
        <f>IF(OR(E495="",E495="!!!"),"",IF(NOT(ISNA(VLOOKUP(E495,E$1:E494,1,FALSE()))),"OLD",IF(AND(E495&lt;&gt;"",E495&lt;&gt;"!!!"),"NEW","")))</f>
        <v/>
      </c>
      <c r="G495" s="23" t="str">
        <f>IF(OR(E495="",E495="!!!"),"",IF(OR(J495=0,AND(J495=1,K495=1),AND(J495=1,I495="SBJ"),AND(J495=1,I495=0)),"?IN_FOCUS",IF(J495&lt;=2,"?ACTIVATED",IF(J495&lt;&gt;"","?FAMILIAR",IF(F495="NEW",IF(ISNA(VLOOKUP(E495,#REF!,1,FALSE())),"?TYPE_IDENTIFIABLE","?REFERENTIAL"),"_")))))</f>
        <v/>
      </c>
      <c r="H495" s="24" t="str">
        <f t="shared" ca="1" si="51"/>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6" spans="1:12" x14ac:dyDescent="0.3">
      <c r="A496" t="s">
        <v>218</v>
      </c>
      <c r="E496" s="21" t="str">
        <f t="shared" si="50"/>
        <v/>
      </c>
      <c r="F496" s="22" t="str">
        <f>IF(OR(E496="",E496="!!!"),"",IF(NOT(ISNA(VLOOKUP(E496,E$1:E495,1,FALSE()))),"OLD",IF(AND(E496&lt;&gt;"",E496&lt;&gt;"!!!"),"NEW","")))</f>
        <v/>
      </c>
      <c r="G496" s="23" t="str">
        <f>IF(OR(E496="",E496="!!!"),"",IF(OR(J496=0,AND(J496=1,K496=1),AND(J496=1,I496="SBJ"),AND(J496=1,I496=0)),"?IN_FOCUS",IF(J496&lt;=2,"?ACTIVATED",IF(J496&lt;&gt;"","?FAMILIAR",IF(F496="NEW",IF(ISNA(VLOOKUP(E496,#REF!,1,FALSE())),"?TYPE_IDENTIFIABLE","?REFERENTIAL"),"_")))))</f>
        <v/>
      </c>
      <c r="H496" s="24" t="str">
        <f t="shared" ca="1" si="51"/>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489</v>
      </c>
      <c r="B497" s="20" t="s">
        <v>184</v>
      </c>
      <c r="C497" s="20" t="s">
        <v>216</v>
      </c>
      <c r="D497" s="20" t="s">
        <v>186</v>
      </c>
      <c r="E497" s="21"/>
      <c r="F497" s="22" t="s">
        <v>726</v>
      </c>
      <c r="G497" s="23" t="str">
        <f>IF(OR(E497="",E497="!!!"),"",IF(OR(J497=0,AND(J497=1,K497=1),AND(J497=1,I497="SBJ"),AND(J497=1,I497=0)),"?IN_FOCUS",IF(J497&lt;=2,"?ACTIVATED",IF(J497&lt;&gt;"","?FAMILIAR",IF(F497="NEW",IF(ISNA(VLOOKUP(E497,#REF!,1,FALSE())),"?TYPE_IDENTIFIABLE","?REFERENTIAL"),"_")))))</f>
        <v/>
      </c>
      <c r="H497" s="24" t="str">
        <f t="shared" ca="1" si="51"/>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212</v>
      </c>
      <c r="E498" s="21" t="str">
        <f t="shared" si="50"/>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51"/>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500" spans="1:12" x14ac:dyDescent="0.3">
      <c r="A500" t="s">
        <v>490</v>
      </c>
    </row>
    <row r="501" spans="1:12" x14ac:dyDescent="0.3">
      <c r="A501" t="s">
        <v>304</v>
      </c>
      <c r="B501" s="20" t="s">
        <v>201</v>
      </c>
      <c r="C501" s="20" t="s">
        <v>185</v>
      </c>
      <c r="D501" s="20" t="s">
        <v>186</v>
      </c>
      <c r="E501" s="21" t="s">
        <v>731</v>
      </c>
      <c r="F501" s="22" t="str">
        <f>IF(OR(E501="",E501="!!!"),"",IF(NOT(ISNA(VLOOKUP(E501,E$1:E500,1,FALSE()))),"OLD",IF(AND(E501&lt;&gt;"",E501&lt;&gt;"!!!"),"NEW","")))</f>
        <v>OLD</v>
      </c>
      <c r="G501" s="23" t="s">
        <v>723</v>
      </c>
      <c r="H501" s="24" t="str">
        <f t="shared" ref="H501:H527" ca="1" si="52">IF(J501&lt;&gt;1,"",IF(I501="SBJ","CB","?"))</f>
        <v/>
      </c>
      <c r="I501" s="25" t="str">
        <f>IF(OR(E501="",E501="!!!",F501="NEW"),"",INDEX(B$2:B500,-1+SUMPRODUCT(MAX(ROW(E$2:E500)*(E501=E$2:E500)))))</f>
        <v>other_3</v>
      </c>
      <c r="J501" s="25">
        <f ca="1">IF(OR(E501="",E501="!!!",F501="NEW"),"",COUNTBLANK(OFFSET(A$1,,,SUMPRODUCT(MAX(ROW(E$2:E501)*(E501=E$2:E501)))))-COUNTBLANK(OFFSET(A$1,,,SUMPRODUCT(MAX(ROW(E$1:E500)*(E2=E$1:E500))))))</f>
        <v>0</v>
      </c>
      <c r="K501" s="25">
        <f ca="1">IF(OR(E501="",E501="!!!",F501="NEW"),"",INDEX(J$1:J500,SUMPRODUCT(MAX(ROW(E$1:E500)*(E501=E$1:E500)))))</f>
        <v>0</v>
      </c>
      <c r="L501" s="26"/>
    </row>
    <row r="502" spans="1:12" x14ac:dyDescent="0.3">
      <c r="A502" t="s">
        <v>491</v>
      </c>
      <c r="E502" s="21" t="str">
        <f t="shared" ref="E502:E527" si="53">IF(D502="?OLD","!!!","")</f>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52"/>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258</v>
      </c>
      <c r="E503" s="21" t="str">
        <f t="shared" si="53"/>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52"/>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492</v>
      </c>
      <c r="E504" s="21" t="str">
        <f t="shared" si="53"/>
        <v/>
      </c>
      <c r="F504" s="22" t="str">
        <f>IF(OR(E504="",E504="!!!"),"",IF(NOT(ISNA(VLOOKUP(E504,E$1:E503,1,FALSE()))),"OLD",IF(AND(E504&lt;&gt;"",E504&lt;&gt;"!!!"),"NEW","")))</f>
        <v/>
      </c>
      <c r="G504" s="23" t="str">
        <f>IF(OR(E504="",E504="!!!"),"",IF(OR(J504=0,AND(J504=1,K504=1),AND(J504=1,I504="SBJ"),AND(J504=1,I504=0)),"?IN_FOCUS",IF(J504&lt;=2,"?ACTIVATED",IF(J504&lt;&gt;"","?FAMILIAR",IF(F504="NEW",IF(ISNA(VLOOKUP(E504,#REF!,1,FALSE())),"?TYPE_IDENTIFIABLE","?REFERENTIAL"),"_")))))</f>
        <v/>
      </c>
      <c r="H504" s="24" t="str">
        <f t="shared" ca="1" si="52"/>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493</v>
      </c>
      <c r="B505" s="20" t="s">
        <v>184</v>
      </c>
      <c r="C505" s="20" t="s">
        <v>197</v>
      </c>
      <c r="E505" s="21" t="str">
        <f t="shared" si="53"/>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52"/>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494</v>
      </c>
      <c r="B506" s="20" t="s">
        <v>196</v>
      </c>
      <c r="C506" s="20" t="s">
        <v>328</v>
      </c>
      <c r="E506" s="21" t="str">
        <f t="shared" si="53"/>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52"/>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495</v>
      </c>
      <c r="B507" s="20" t="s">
        <v>222</v>
      </c>
      <c r="C507" s="20" t="s">
        <v>237</v>
      </c>
      <c r="E507" s="21" t="str">
        <f t="shared" si="53"/>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52"/>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206</v>
      </c>
      <c r="E508" s="21" t="str">
        <f t="shared" si="53"/>
        <v/>
      </c>
      <c r="F508" s="22" t="str">
        <f>IF(OR(E508="",E508="!!!"),"",IF(NOT(ISNA(VLOOKUP(E508,E$1:E507,1,FALSE()))),"OLD",IF(AND(E508&lt;&gt;"",E508&lt;&gt;"!!!"),"NEW","")))</f>
        <v/>
      </c>
      <c r="G508" s="23" t="str">
        <f>IF(OR(E508="",E508="!!!"),"",IF(OR(J508=0,AND(J508=1,K508=1),AND(J508=1,I508="SBJ"),AND(J508=1,I508=0)),"?IN_FOCUS",IF(J508&lt;=2,"?ACTIVATED",IF(J508&lt;&gt;"","?FAMILIAR",IF(F508="NEW",IF(ISNA(VLOOKUP(E508,#REF!,1,FALSE())),"?TYPE_IDENTIFIABLE","?REFERENTIAL"),"_")))))</f>
        <v/>
      </c>
      <c r="H508" s="24" t="str">
        <f t="shared" ca="1" si="52"/>
        <v/>
      </c>
      <c r="I508" s="25" t="str">
        <f>IF(OR(E508="",E508="!!!",F508="NEW"),"",INDEX(B$2:B507,-1+SUMPRODUCT(MAX(ROW(E$2:E507)*(E508=E$2:E507)))))</f>
        <v/>
      </c>
      <c r="J508" s="25" t="str">
        <f ca="1">IF(OR(E508="",E508="!!!",F508="NEW"),"",COUNTBLANK(OFFSET(A$1,,,SUMPRODUCT(MAX(ROW(E$2:E508)*(E508=E$2:E508)))))-COUNTBLANK(OFFSET(A$1,,,SUMPRODUCT(MAX(ROW(E$1:E507)*(E2=E$1:E507))))))</f>
        <v/>
      </c>
      <c r="K508" s="25" t="str">
        <f>IF(OR(E508="",E508="!!!",F508="NEW"),"",INDEX(J$1:J507,SUMPRODUCT(MAX(ROW(E$1:E507)*(E508=E$1:E507)))))</f>
        <v/>
      </c>
      <c r="L508" s="26"/>
    </row>
    <row r="509" spans="1:12" x14ac:dyDescent="0.3">
      <c r="A509" t="s">
        <v>207</v>
      </c>
      <c r="B509" s="20" t="s">
        <v>232</v>
      </c>
      <c r="E509" s="21" t="str">
        <f t="shared" si="53"/>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ca="1" si="52"/>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290</v>
      </c>
      <c r="B510" s="20" t="s">
        <v>352</v>
      </c>
      <c r="C510" s="20" t="s">
        <v>202</v>
      </c>
      <c r="D510" s="20" t="s">
        <v>186</v>
      </c>
      <c r="E510" s="21" t="s">
        <v>731</v>
      </c>
      <c r="F510" s="22" t="str">
        <f>IF(OR(E510="",E510="!!!"),"",IF(NOT(ISNA(VLOOKUP(E510,E$1:E509,1,FALSE()))),"OLD",IF(AND(E510&lt;&gt;"",E510&lt;&gt;"!!!"),"NEW","")))</f>
        <v>OLD</v>
      </c>
      <c r="G510" s="23" t="s">
        <v>809</v>
      </c>
      <c r="H510" s="24" t="str">
        <f t="shared" ca="1" si="52"/>
        <v/>
      </c>
      <c r="I510" s="25" t="str">
        <f>IF(OR(E510="",E510="!!!",F510="NEW"),"",INDEX(B$2:B509,-1+SUMPRODUCT(MAX(ROW(E$2:E509)*(E510=E$2:E509)))))</f>
        <v>SBJ</v>
      </c>
      <c r="J510" s="25">
        <f ca="1">IF(OR(E510="",E510="!!!",F510="NEW"),"",COUNTBLANK(OFFSET(A$1,,,SUMPRODUCT(MAX(ROW(E$2:E510)*(E510=E$2:E510)))))-COUNTBLANK(OFFSET(A$1,,,SUMPRODUCT(MAX(ROW(E$1:E509)*(E2=E$1:E509))))))</f>
        <v>0</v>
      </c>
      <c r="K510" s="25">
        <f ca="1">IF(OR(E510="",E510="!!!",F510="NEW"),"",INDEX(J$1:J509,SUMPRODUCT(MAX(ROW(E$1:E509)*(E510=E$1:E509)))))</f>
        <v>0</v>
      </c>
      <c r="L510" s="26"/>
    </row>
    <row r="511" spans="1:12" x14ac:dyDescent="0.3">
      <c r="A511" t="s">
        <v>496</v>
      </c>
      <c r="E511" s="21" t="str">
        <f t="shared" si="53"/>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52"/>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267</v>
      </c>
      <c r="E512" s="21" t="str">
        <f t="shared" si="53"/>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52"/>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206</v>
      </c>
      <c r="E513" s="21" t="str">
        <f t="shared" si="53"/>
        <v/>
      </c>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ca="1" si="52"/>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497</v>
      </c>
      <c r="E514" s="21" t="str">
        <f t="shared" si="53"/>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52"/>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290</v>
      </c>
      <c r="B515" s="20" t="s">
        <v>208</v>
      </c>
      <c r="C515" s="20" t="s">
        <v>202</v>
      </c>
      <c r="D515" s="20" t="s">
        <v>186</v>
      </c>
      <c r="E515" s="21" t="s">
        <v>731</v>
      </c>
      <c r="F515" s="22" t="str">
        <f>IF(OR(E515="",E515="!!!"),"",IF(NOT(ISNA(VLOOKUP(E515,E$1:E514,1,FALSE()))),"OLD",IF(AND(E515&lt;&gt;"",E515&lt;&gt;"!!!"),"NEW","")))</f>
        <v>OLD</v>
      </c>
      <c r="G515" s="23" t="s">
        <v>809</v>
      </c>
      <c r="H515" s="24" t="str">
        <f t="shared" ca="1" si="52"/>
        <v/>
      </c>
      <c r="I515" s="25" t="str">
        <f>IF(OR(E515="",E515="!!!",F515="NEW"),"",INDEX(B$2:B514,-1+SUMPRODUCT(MAX(ROW(E$2:E514)*(E515=E$2:E514)))))</f>
        <v>SBJ_3</v>
      </c>
      <c r="J515" s="25">
        <f ca="1">IF(OR(E515="",E515="!!!",F515="NEW"),"",COUNTBLANK(OFFSET(A$1,,,SUMPRODUCT(MAX(ROW(E$2:E515)*(E515=E$2:E515)))))-COUNTBLANK(OFFSET(A$1,,,SUMPRODUCT(MAX(ROW(E$1:E514)*(E2=E$1:E514))))))</f>
        <v>0</v>
      </c>
      <c r="K515" s="25">
        <f ca="1">IF(OR(E515="",E515="!!!",F515="NEW"),"",INDEX(J$1:J514,SUMPRODUCT(MAX(ROW(E$1:E514)*(E515=E$1:E514)))))</f>
        <v>0</v>
      </c>
      <c r="L515" s="26"/>
    </row>
    <row r="516" spans="1:12" x14ac:dyDescent="0.3">
      <c r="A516" t="s">
        <v>498</v>
      </c>
      <c r="E516" s="21" t="str">
        <f t="shared" si="53"/>
        <v/>
      </c>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52"/>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row>
    <row r="517" spans="1:12" x14ac:dyDescent="0.3">
      <c r="A517" t="s">
        <v>499</v>
      </c>
      <c r="B517" s="20" t="s">
        <v>196</v>
      </c>
      <c r="C517" s="20" t="s">
        <v>197</v>
      </c>
      <c r="E517" s="21" t="str">
        <f t="shared" si="53"/>
        <v/>
      </c>
      <c r="F517" s="22" t="str">
        <f>IF(OR(E517="",E517="!!!"),"",IF(NOT(ISNA(VLOOKUP(E517,E$1:E516,1,FALSE()))),"OLD",IF(AND(E517&lt;&gt;"",E517&lt;&gt;"!!!"),"NEW","")))</f>
        <v/>
      </c>
      <c r="G517" s="23" t="str">
        <f>IF(OR(E517="",E517="!!!"),"",IF(OR(J517=0,AND(J517=1,K517=1),AND(J517=1,I517="SBJ"),AND(J517=1,I517=0)),"?IN_FOCUS",IF(J517&lt;=2,"?ACTIVATED",IF(J517&lt;&gt;"","?FAMILIAR",IF(F517="NEW",IF(ISNA(VLOOKUP(E517,#REF!,1,FALSE())),"?TYPE_IDENTIFIABLE","?REFERENTIAL"),"_")))))</f>
        <v/>
      </c>
      <c r="H517" s="24" t="str">
        <f t="shared" ca="1" si="52"/>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500</v>
      </c>
      <c r="E518" s="21" t="str">
        <f t="shared" si="53"/>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52"/>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312</v>
      </c>
      <c r="E519" s="21" t="str">
        <f t="shared" si="53"/>
        <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52"/>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501</v>
      </c>
      <c r="E520" s="21" t="str">
        <f t="shared" si="53"/>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52"/>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502</v>
      </c>
      <c r="B521" s="20" t="s">
        <v>196</v>
      </c>
      <c r="C521" s="20" t="s">
        <v>193</v>
      </c>
      <c r="E521" s="21" t="s">
        <v>772</v>
      </c>
      <c r="F521" s="22" t="str">
        <f>IF(OR(E521="",E521="!!!"),"",IF(NOT(ISNA(VLOOKUP(E521,E$1:E520,1,FALSE()))),"OLD",IF(AND(E521&lt;&gt;"",E521&lt;&gt;"!!!"),"NEW","")))</f>
        <v>NEW</v>
      </c>
      <c r="G521" s="23" t="s">
        <v>176</v>
      </c>
      <c r="H521" s="24" t="str">
        <f t="shared" ca="1" si="52"/>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t="s">
        <v>758</v>
      </c>
    </row>
    <row r="522" spans="1:12" x14ac:dyDescent="0.3">
      <c r="A522" t="s">
        <v>503</v>
      </c>
      <c r="E522" s="21" t="str">
        <f t="shared" si="53"/>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52"/>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504</v>
      </c>
      <c r="E523" s="21" t="str">
        <f t="shared" si="53"/>
        <v/>
      </c>
      <c r="F523" s="22" t="str">
        <f>IF(OR(E523="",E523="!!!"),"",IF(NOT(ISNA(VLOOKUP(E523,E$1:E522,1,FALSE()))),"OLD",IF(AND(E523&lt;&gt;"",E523&lt;&gt;"!!!"),"NEW","")))</f>
        <v/>
      </c>
      <c r="G523" s="23" t="str">
        <f>IF(OR(E523="",E523="!!!"),"",IF(OR(J523=0,AND(J523=1,K523=1),AND(J523=1,I523="SBJ"),AND(J523=1,I523=0)),"?IN_FOCUS",IF(J523&lt;=2,"?ACTIVATED",IF(J523&lt;&gt;"","?FAMILIAR",IF(F523="NEW",IF(ISNA(VLOOKUP(E523,#REF!,1,FALSE())),"?TYPE_IDENTIFIABLE","?REFERENTIAL"),"_")))))</f>
        <v/>
      </c>
      <c r="H523" s="24" t="str">
        <f t="shared" ca="1" si="52"/>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505</v>
      </c>
      <c r="B524" s="20" t="s">
        <v>219</v>
      </c>
      <c r="C524" s="20" t="s">
        <v>257</v>
      </c>
      <c r="E524" s="21" t="str">
        <f t="shared" si="53"/>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52"/>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506</v>
      </c>
      <c r="E525" s="21" t="str">
        <f t="shared" si="53"/>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52"/>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404</v>
      </c>
      <c r="E526" s="21" t="str">
        <f t="shared" si="53"/>
        <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52"/>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212</v>
      </c>
      <c r="E527" s="21" t="str">
        <f t="shared" si="53"/>
        <v/>
      </c>
      <c r="F527" s="22" t="str">
        <f>IF(OR(E527="",E527="!!!"),"",IF(NOT(ISNA(VLOOKUP(E527,E$1:E526,1,FALSE()))),"OLD",IF(AND(E527&lt;&gt;"",E527&lt;&gt;"!!!"),"NEW","")))</f>
        <v/>
      </c>
      <c r="G527" s="23" t="str">
        <f>IF(OR(E527="",E527="!!!"),"",IF(OR(J527=0,AND(J527=1,K527=1),AND(J527=1,I527="SBJ"),AND(J527=1,I527=0)),"?IN_FOCUS",IF(J527&lt;=2,"?ACTIVATED",IF(J527&lt;&gt;"","?FAMILIAR",IF(F527="NEW",IF(ISNA(VLOOKUP(E527,#REF!,1,FALSE())),"?TYPE_IDENTIFIABLE","?REFERENTIAL"),"_")))))</f>
        <v/>
      </c>
      <c r="H527" s="24" t="str">
        <f t="shared" ca="1" si="52"/>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9" spans="1:12" x14ac:dyDescent="0.3">
      <c r="A529" t="s">
        <v>507</v>
      </c>
    </row>
    <row r="530" spans="1:12" x14ac:dyDescent="0.3">
      <c r="A530" t="s">
        <v>508</v>
      </c>
      <c r="E530" s="21" t="str">
        <f t="shared" ref="E530:E539" si="54">IF(D530="?OLD","!!!","")</f>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ref="H530:H539" ca="1" si="55">IF(J530&lt;&gt;1,"",IF(I530="SBJ","CB","?"))</f>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509</v>
      </c>
      <c r="B531" s="20" t="s">
        <v>201</v>
      </c>
      <c r="C531" s="20" t="s">
        <v>197</v>
      </c>
      <c r="E531" s="21" t="str">
        <f t="shared" si="54"/>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55"/>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429</v>
      </c>
      <c r="E532" s="21" t="str">
        <f t="shared" si="54"/>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55"/>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207</v>
      </c>
      <c r="E533" s="21" t="str">
        <f t="shared" si="54"/>
        <v/>
      </c>
      <c r="F533" s="22" t="str">
        <f>IF(OR(E533="",E533="!!!"),"",IF(NOT(ISNA(VLOOKUP(E533,E$1:E532,1,FALSE()))),"OLD",IF(AND(E533&lt;&gt;"",E533&lt;&gt;"!!!"),"NEW","")))</f>
        <v/>
      </c>
      <c r="G533" s="23" t="str">
        <f>IF(OR(E533="",E533="!!!"),"",IF(OR(J533=0,AND(J533=1,K533=1),AND(J533=1,I533="SBJ"),AND(J533=1,I533=0)),"?IN_FOCUS",IF(J533&lt;=2,"?ACTIVATED",IF(J533&lt;&gt;"","?FAMILIAR",IF(F533="NEW",IF(ISNA(VLOOKUP(E533,#REF!,1,FALSE())),"?TYPE_IDENTIFIABLE","?REFERENTIAL"),"_")))))</f>
        <v/>
      </c>
      <c r="H533" s="24" t="str">
        <f t="shared" ca="1" si="55"/>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188</v>
      </c>
      <c r="B534" s="20" t="s">
        <v>196</v>
      </c>
      <c r="C534" s="20" t="s">
        <v>185</v>
      </c>
      <c r="D534" s="20" t="s">
        <v>186</v>
      </c>
      <c r="E534" s="21" t="s">
        <v>722</v>
      </c>
      <c r="F534" s="22" t="str">
        <f>IF(OR(E534="",E534="!!!"),"",IF(NOT(ISNA(VLOOKUP(E534,E$1:E533,1,FALSE()))),"OLD",IF(AND(E534&lt;&gt;"",E534&lt;&gt;"!!!"),"NEW","")))</f>
        <v>OLD</v>
      </c>
      <c r="G534" s="23" t="s">
        <v>723</v>
      </c>
      <c r="H534" s="24" t="str">
        <f t="shared" ca="1" si="55"/>
        <v/>
      </c>
      <c r="I534" s="25" t="str">
        <f>IF(OR(E534="",E534="!!!",F534="NEW"),"",INDEX(B$2:B533,-1+SUMPRODUCT(MAX(ROW(E$2:E533)*(E534=E$2:E533)))))</f>
        <v>other_2</v>
      </c>
      <c r="J534" s="25">
        <f ca="1">IF(OR(E534="",E534="!!!",F534="NEW"),"",COUNTBLANK(OFFSET(A$1,,,SUMPRODUCT(MAX(ROW(E$2:E534)*(E534=E$2:E534)))))-COUNTBLANK(OFFSET(A$1,,,SUMPRODUCT(MAX(ROW(E$1:E533)*(E2=E$1:E533))))))</f>
        <v>0</v>
      </c>
      <c r="K534" s="25">
        <f ca="1">IF(OR(E534="",E534="!!!",F534="NEW"),"",INDEX(J$1:J533,SUMPRODUCT(MAX(ROW(E$1:E533)*(E534=E$1:E533)))))</f>
        <v>0</v>
      </c>
      <c r="L534" s="26"/>
    </row>
    <row r="535" spans="1:12" x14ac:dyDescent="0.3">
      <c r="A535" t="s">
        <v>144</v>
      </c>
      <c r="E535" s="21" t="str">
        <f t="shared" si="54"/>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55"/>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510</v>
      </c>
      <c r="B536" s="20" t="s">
        <v>222</v>
      </c>
      <c r="C536" s="20" t="s">
        <v>202</v>
      </c>
      <c r="D536" s="20" t="s">
        <v>186</v>
      </c>
      <c r="E536" s="21" t="s">
        <v>731</v>
      </c>
      <c r="F536" s="22" t="str">
        <f>IF(OR(E536="",E536="!!!"),"",IF(NOT(ISNA(VLOOKUP(E536,E$1:E535,1,FALSE()))),"OLD",IF(AND(E536&lt;&gt;"",E536&lt;&gt;"!!!"),"NEW","")))</f>
        <v>OLD</v>
      </c>
      <c r="G536" s="23" t="s">
        <v>809</v>
      </c>
      <c r="H536" s="24" t="s">
        <v>178</v>
      </c>
      <c r="I536" s="25" t="str">
        <f>IF(OR(E536="",E536="!!!",F536="NEW"),"",INDEX(B$2:B535,-1+SUMPRODUCT(MAX(ROW(E$2:E535)*(E536=E$2:E535)))))</f>
        <v>SBJ_2</v>
      </c>
      <c r="J536" s="25">
        <f ca="1">IF(OR(E536="",E536="!!!",F536="NEW"),"",COUNTBLANK(OFFSET(A$1,,,SUMPRODUCT(MAX(ROW(E$2:E536)*(E536=E$2:E536)))))-COUNTBLANK(OFFSET(A$1,,,SUMPRODUCT(MAX(ROW(E$1:E535)*(E2=E$1:E535))))))</f>
        <v>0</v>
      </c>
      <c r="K536" s="25">
        <f ca="1">IF(OR(E536="",E536="!!!",F536="NEW"),"",INDEX(J$1:J535,SUMPRODUCT(MAX(ROW(E$1:E535)*(E536=E$1:E535)))))</f>
        <v>0</v>
      </c>
      <c r="L536" s="26"/>
    </row>
    <row r="537" spans="1:12" x14ac:dyDescent="0.3">
      <c r="A537" t="s">
        <v>511</v>
      </c>
      <c r="E537" s="21" t="str">
        <f t="shared" si="54"/>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55"/>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512</v>
      </c>
      <c r="E538" s="21" t="str">
        <f t="shared" si="54"/>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55"/>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212</v>
      </c>
      <c r="E539" s="21" t="str">
        <f t="shared" si="54"/>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55"/>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1" spans="1:12" x14ac:dyDescent="0.3">
      <c r="A541" t="s">
        <v>513</v>
      </c>
    </row>
    <row r="542" spans="1:12" x14ac:dyDescent="0.3">
      <c r="A542" t="s">
        <v>249</v>
      </c>
      <c r="E542" s="21" t="str">
        <f t="shared" ref="E542:E548" si="56">IF(D542="?OLD","!!!","")</f>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ref="H542:H548" ca="1" si="57">IF(J542&lt;&gt;1,"",IF(I542="SBJ","CB","?"))</f>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320</v>
      </c>
      <c r="E543" s="21" t="str">
        <f t="shared" si="56"/>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57"/>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514</v>
      </c>
      <c r="E544" s="21" t="str">
        <f t="shared" si="56"/>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57"/>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325</v>
      </c>
      <c r="E545" s="21" t="str">
        <f t="shared" si="56"/>
        <v/>
      </c>
      <c r="F545" s="22" t="str">
        <f>IF(OR(E545="",E545="!!!"),"",IF(NOT(ISNA(VLOOKUP(E545,E$1:E544,1,FALSE()))),"OLD",IF(AND(E545&lt;&gt;"",E545&lt;&gt;"!!!"),"NEW","")))</f>
        <v/>
      </c>
      <c r="G545" s="23" t="str">
        <f>IF(OR(E545="",E545="!!!"),"",IF(OR(J545=0,AND(J545=1,K545=1),AND(J545=1,I545="SBJ"),AND(J545=1,I545=0)),"?IN_FOCUS",IF(J545&lt;=2,"?ACTIVATED",IF(J545&lt;&gt;"","?FAMILIAR",IF(F545="NEW",IF(ISNA(VLOOKUP(E545,#REF!,1,FALSE())),"?TYPE_IDENTIFIABLE","?REFERENTIAL"),"_")))))</f>
        <v/>
      </c>
      <c r="H545" s="24" t="str">
        <f t="shared" ca="1" si="57"/>
        <v/>
      </c>
      <c r="I545" s="25" t="str">
        <f>IF(OR(E545="",E545="!!!",F545="NEW"),"",INDEX(B$2:B544,-1+SUMPRODUCT(MAX(ROW(E$2:E544)*(E545=E$2:E544)))))</f>
        <v/>
      </c>
      <c r="J545" s="25" t="str">
        <f ca="1">IF(OR(E545="",E545="!!!",F545="NEW"),"",COUNTBLANK(OFFSET(A$1,,,SUMPRODUCT(MAX(ROW(E$2:E545)*(E545=E$2:E545)))))-COUNTBLANK(OFFSET(A$1,,,SUMPRODUCT(MAX(ROW(E$1:E544)*(E2=E$1:E544))))))</f>
        <v/>
      </c>
      <c r="K545" s="25" t="str">
        <f>IF(OR(E545="",E545="!!!",F545="NEW"),"",INDEX(J$1:J544,SUMPRODUCT(MAX(ROW(E$1:E544)*(E545=E$1:E544)))))</f>
        <v/>
      </c>
      <c r="L545" s="26"/>
    </row>
    <row r="546" spans="1:12" x14ac:dyDescent="0.3">
      <c r="A546" t="s">
        <v>515</v>
      </c>
      <c r="B546" s="20" t="s">
        <v>196</v>
      </c>
      <c r="C546" s="20" t="s">
        <v>252</v>
      </c>
      <c r="D546" s="20" t="s">
        <v>186</v>
      </c>
      <c r="E546" s="21"/>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57"/>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t="s">
        <v>738</v>
      </c>
    </row>
    <row r="547" spans="1:12" x14ac:dyDescent="0.3">
      <c r="A547" t="s">
        <v>516</v>
      </c>
      <c r="B547" s="20" t="s">
        <v>201</v>
      </c>
      <c r="C547" s="20" t="s">
        <v>197</v>
      </c>
      <c r="E547" s="21" t="str">
        <f t="shared" si="56"/>
        <v/>
      </c>
      <c r="F547" s="22" t="str">
        <f>IF(OR(E547="",E547="!!!"),"",IF(NOT(ISNA(VLOOKUP(E547,E$1:E546,1,FALSE()))),"OLD",IF(AND(E547&lt;&gt;"",E547&lt;&gt;"!!!"),"NEW","")))</f>
        <v/>
      </c>
      <c r="G547" s="23" t="str">
        <f>IF(OR(E547="",E547="!!!"),"",IF(OR(J547=0,AND(J547=1,K547=1),AND(J547=1,I547="SBJ"),AND(J547=1,I547=0)),"?IN_FOCUS",IF(J547&lt;=2,"?ACTIVATED",IF(J547&lt;&gt;"","?FAMILIAR",IF(F547="NEW",IF(ISNA(VLOOKUP(E547,#REF!,1,FALSE())),"?TYPE_IDENTIFIABLE","?REFERENTIAL"),"_")))))</f>
        <v/>
      </c>
      <c r="H547" s="24" t="str">
        <f t="shared" ca="1" si="57"/>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212</v>
      </c>
      <c r="E548" s="21" t="str">
        <f t="shared" si="56"/>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57"/>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50" spans="1:12" x14ac:dyDescent="0.3">
      <c r="A550" t="s">
        <v>517</v>
      </c>
    </row>
    <row r="551" spans="1:12" x14ac:dyDescent="0.3">
      <c r="A551" t="s">
        <v>518</v>
      </c>
      <c r="E551" s="21" t="str">
        <f t="shared" ref="E551:E578" si="58">IF(D551="?OLD","!!!","")</f>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ref="H551:H578" ca="1" si="59">IF(J551&lt;&gt;1,"",IF(I551="SBJ","CB","?"))</f>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245</v>
      </c>
      <c r="B552" s="20" t="s">
        <v>201</v>
      </c>
      <c r="C552" s="20" t="s">
        <v>197</v>
      </c>
      <c r="E552" s="21" t="s">
        <v>775</v>
      </c>
      <c r="F552" s="22" t="str">
        <f>IF(OR(E552="",E552="!!!"),"",IF(NOT(ISNA(VLOOKUP(E552,E$1:E551,1,FALSE()))),"OLD",IF(AND(E552&lt;&gt;"",E552&lt;&gt;"!!!"),"NEW","")))</f>
        <v>NEW</v>
      </c>
      <c r="G552" s="23" t="s">
        <v>807</v>
      </c>
      <c r="H552" s="24" t="str">
        <f t="shared" ca="1" si="59"/>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144</v>
      </c>
      <c r="E553" s="21" t="str">
        <f t="shared" si="58"/>
        <v/>
      </c>
      <c r="F553" s="22" t="str">
        <f>IF(OR(E553="",E553="!!!"),"",IF(NOT(ISNA(VLOOKUP(E553,E$1:E552,1,FALSE()))),"OLD",IF(AND(E553&lt;&gt;"",E553&lt;&gt;"!!!"),"NEW","")))</f>
        <v/>
      </c>
      <c r="G553" s="23" t="str">
        <f>IF(OR(E553="",E553="!!!"),"",IF(OR(J553=0,AND(J553=1,K553=1),AND(J553=1,I553="SBJ"),AND(J553=1,I553=0)),"?IN_FOCUS",IF(J553&lt;=2,"?ACTIVATED",IF(J553&lt;&gt;"","?FAMILIAR",IF(F553="NEW",IF(ISNA(VLOOKUP(E553,#REF!,1,FALSE())),"?TYPE_IDENTIFIABLE","?REFERENTIAL"),"_")))))</f>
        <v/>
      </c>
      <c r="H553" s="24" t="str">
        <f t="shared" ca="1" si="59"/>
        <v/>
      </c>
      <c r="I553" s="25" t="str">
        <f>IF(OR(E553="",E553="!!!",F553="NEW"),"",INDEX(B$2:B552,-1+SUMPRODUCT(MAX(ROW(E$2:E552)*(E553=E$2:E552)))))</f>
        <v/>
      </c>
      <c r="J553" s="25" t="str">
        <f ca="1">IF(OR(E553="",E553="!!!",F553="NEW"),"",COUNTBLANK(OFFSET(A$1,,,SUMPRODUCT(MAX(ROW(E$2:E553)*(E553=E$2:E553)))))-COUNTBLANK(OFFSET(A$1,,,SUMPRODUCT(MAX(ROW(E$1:E552)*(E2=E$1:E552))))))</f>
        <v/>
      </c>
      <c r="K553" s="25" t="str">
        <f>IF(OR(E553="",E553="!!!",F553="NEW"),"",INDEX(J$1:J552,SUMPRODUCT(MAX(ROW(E$1:E552)*(E553=E$1:E552)))))</f>
        <v/>
      </c>
      <c r="L553" s="26"/>
    </row>
    <row r="554" spans="1:12" x14ac:dyDescent="0.3">
      <c r="A554" t="s">
        <v>207</v>
      </c>
      <c r="E554" s="21" t="str">
        <f t="shared" si="58"/>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59"/>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188</v>
      </c>
      <c r="B555" s="20" t="s">
        <v>201</v>
      </c>
      <c r="C555" s="20" t="s">
        <v>185</v>
      </c>
      <c r="D555" s="20" t="s">
        <v>186</v>
      </c>
      <c r="E555" s="21" t="s">
        <v>722</v>
      </c>
      <c r="F555" s="22" t="str">
        <f>IF(OR(E555="",E555="!!!"),"",IF(NOT(ISNA(VLOOKUP(E555,E$1:E554,1,FALSE()))),"OLD",IF(AND(E555&lt;&gt;"",E555&lt;&gt;"!!!"),"NEW","")))</f>
        <v>OLD</v>
      </c>
      <c r="G555" s="23" t="s">
        <v>808</v>
      </c>
      <c r="H555" s="24" t="str">
        <f t="shared" ca="1" si="59"/>
        <v/>
      </c>
      <c r="I555" s="25" t="str">
        <f>IF(OR(E555="",E555="!!!",F555="NEW"),"",INDEX(B$2:B554,-1+SUMPRODUCT(MAX(ROW(E$2:E554)*(E555=E$2:E554)))))</f>
        <v>other_2</v>
      </c>
      <c r="J555" s="25">
        <f ca="1">IF(OR(E555="",E555="!!!",F555="NEW"),"",COUNTBLANK(OFFSET(A$1,,,SUMPRODUCT(MAX(ROW(E$2:E555)*(E555=E$2:E555)))))-COUNTBLANK(OFFSET(A$1,,,SUMPRODUCT(MAX(ROW(E$1:E554)*(E2=E$1:E554))))))</f>
        <v>0</v>
      </c>
      <c r="K555" s="25">
        <f ca="1">IF(OR(E555="",E555="!!!",F555="NEW"),"",INDEX(J$1:J554,SUMPRODUCT(MAX(ROW(E$1:E554)*(E555=E$1:E554)))))</f>
        <v>0</v>
      </c>
      <c r="L555" s="26"/>
    </row>
    <row r="556" spans="1:12" x14ac:dyDescent="0.3">
      <c r="A556" t="s">
        <v>519</v>
      </c>
      <c r="E556" s="21" t="str">
        <f t="shared" si="58"/>
        <v/>
      </c>
      <c r="F556" s="22" t="str">
        <f>IF(OR(E556="",E556="!!!"),"",IF(NOT(ISNA(VLOOKUP(E556,E$1:E555,1,FALSE()))),"OLD",IF(AND(E556&lt;&gt;"",E556&lt;&gt;"!!!"),"NEW","")))</f>
        <v/>
      </c>
      <c r="G556" s="23" t="str">
        <f>IF(OR(E556="",E556="!!!"),"",IF(OR(J556=0,AND(J556=1,K556=1),AND(J556=1,I556="SBJ"),AND(J556=1,I556=0)),"?IN_FOCUS",IF(J556&lt;=2,"?ACTIVATED",IF(J556&lt;&gt;"","?FAMILIAR",IF(F556="NEW",IF(ISNA(VLOOKUP(E556,#REF!,1,FALSE())),"?TYPE_IDENTIFIABLE","?REFERENTIAL"),"_")))))</f>
        <v/>
      </c>
      <c r="H556" s="24" t="str">
        <f t="shared" ca="1" si="59"/>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row r="557" spans="1:12" x14ac:dyDescent="0.3">
      <c r="A557" t="s">
        <v>520</v>
      </c>
      <c r="E557" s="21" t="str">
        <f t="shared" si="58"/>
        <v/>
      </c>
      <c r="F557" s="22" t="str">
        <f>IF(OR(E557="",E557="!!!"),"",IF(NOT(ISNA(VLOOKUP(E557,E$1:E556,1,FALSE()))),"OLD",IF(AND(E557&lt;&gt;"",E557&lt;&gt;"!!!"),"NEW","")))</f>
        <v/>
      </c>
      <c r="G557" s="23" t="str">
        <f>IF(OR(E557="",E557="!!!"),"",IF(OR(J557=0,AND(J557=1,K557=1),AND(J557=1,I557="SBJ"),AND(J557=1,I557=0)),"?IN_FOCUS",IF(J557&lt;=2,"?ACTIVATED",IF(J557&lt;&gt;"","?FAMILIAR",IF(F557="NEW",IF(ISNA(VLOOKUP(E557,#REF!,1,FALSE())),"?TYPE_IDENTIFIABLE","?REFERENTIAL"),"_")))))</f>
        <v/>
      </c>
      <c r="H557" s="24" t="str">
        <f t="shared" ca="1" si="59"/>
        <v/>
      </c>
      <c r="I557" s="25" t="str">
        <f>IF(OR(E557="",E557="!!!",F557="NEW"),"",INDEX(B$2:B556,-1+SUMPRODUCT(MAX(ROW(E$2:E556)*(E557=E$2:E556)))))</f>
        <v/>
      </c>
      <c r="J557" s="25" t="str">
        <f ca="1">IF(OR(E557="",E557="!!!",F557="NEW"),"",COUNTBLANK(OFFSET(A$1,,,SUMPRODUCT(MAX(ROW(E$2:E557)*(E557=E$2:E557)))))-COUNTBLANK(OFFSET(A$1,,,SUMPRODUCT(MAX(ROW(E$1:E556)*(E2=E$1:E556))))))</f>
        <v/>
      </c>
      <c r="K557" s="25" t="str">
        <f>IF(OR(E557="",E557="!!!",F557="NEW"),"",INDEX(J$1:J556,SUMPRODUCT(MAX(ROW(E$1:E556)*(E557=E$1:E556)))))</f>
        <v/>
      </c>
      <c r="L557" s="26"/>
    </row>
    <row r="558" spans="1:12" x14ac:dyDescent="0.3">
      <c r="A558" t="s">
        <v>11</v>
      </c>
      <c r="E558" s="21" t="str">
        <f t="shared" si="58"/>
        <v/>
      </c>
      <c r="F558" s="22" t="str">
        <f>IF(OR(E558="",E558="!!!"),"",IF(NOT(ISNA(VLOOKUP(E558,E$1:E557,1,FALSE()))),"OLD",IF(AND(E558&lt;&gt;"",E558&lt;&gt;"!!!"),"NEW","")))</f>
        <v/>
      </c>
      <c r="G558" s="23" t="str">
        <f>IF(OR(E558="",E558="!!!"),"",IF(OR(J558=0,AND(J558=1,K558=1),AND(J558=1,I558="SBJ"),AND(J558=1,I558=0)),"?IN_FOCUS",IF(J558&lt;=2,"?ACTIVATED",IF(J558&lt;&gt;"","?FAMILIAR",IF(F558="NEW",IF(ISNA(VLOOKUP(E558,#REF!,1,FALSE())),"?TYPE_IDENTIFIABLE","?REFERENTIAL"),"_")))))</f>
        <v/>
      </c>
      <c r="H558" s="24" t="str">
        <f t="shared" ca="1" si="59"/>
        <v/>
      </c>
      <c r="I558" s="25" t="str">
        <f>IF(OR(E558="",E558="!!!",F558="NEW"),"",INDEX(B$2:B557,-1+SUMPRODUCT(MAX(ROW(E$2:E557)*(E558=E$2:E557)))))</f>
        <v/>
      </c>
      <c r="J558" s="25" t="str">
        <f ca="1">IF(OR(E558="",E558="!!!",F558="NEW"),"",COUNTBLANK(OFFSET(A$1,,,SUMPRODUCT(MAX(ROW(E$2:E558)*(E558=E$2:E558)))))-COUNTBLANK(OFFSET(A$1,,,SUMPRODUCT(MAX(ROW(E$1:E557)*(E2=E$1:E557))))))</f>
        <v/>
      </c>
      <c r="K558" s="25" t="str">
        <f>IF(OR(E558="",E558="!!!",F558="NEW"),"",INDEX(J$1:J557,SUMPRODUCT(MAX(ROW(E$1:E557)*(E558=E$1:E557)))))</f>
        <v/>
      </c>
      <c r="L558" s="26"/>
    </row>
    <row r="559" spans="1:12" x14ac:dyDescent="0.3">
      <c r="A559" t="s">
        <v>521</v>
      </c>
      <c r="E559" s="21" t="str">
        <f t="shared" si="58"/>
        <v/>
      </c>
      <c r="F559" s="22" t="str">
        <f>IF(OR(E559="",E559="!!!"),"",IF(NOT(ISNA(VLOOKUP(E559,E$1:E558,1,FALSE()))),"OLD",IF(AND(E559&lt;&gt;"",E559&lt;&gt;"!!!"),"NEW","")))</f>
        <v/>
      </c>
      <c r="G559" s="23" t="str">
        <f>IF(OR(E559="",E559="!!!"),"",IF(OR(J559=0,AND(J559=1,K559=1),AND(J559=1,I559="SBJ"),AND(J559=1,I559=0)),"?IN_FOCUS",IF(J559&lt;=2,"?ACTIVATED",IF(J559&lt;&gt;"","?FAMILIAR",IF(F559="NEW",IF(ISNA(VLOOKUP(E559,#REF!,1,FALSE())),"?TYPE_IDENTIFIABLE","?REFERENTIAL"),"_")))))</f>
        <v/>
      </c>
      <c r="H559" s="24" t="str">
        <f t="shared" ca="1" si="59"/>
        <v/>
      </c>
      <c r="I559" s="25" t="str">
        <f>IF(OR(E559="",E559="!!!",F559="NEW"),"",INDEX(B$2:B558,-1+SUMPRODUCT(MAX(ROW(E$2:E558)*(E559=E$2:E558)))))</f>
        <v/>
      </c>
      <c r="J559" s="25" t="str">
        <f ca="1">IF(OR(E559="",E559="!!!",F559="NEW"),"",COUNTBLANK(OFFSET(A$1,,,SUMPRODUCT(MAX(ROW(E$2:E559)*(E559=E$2:E559)))))-COUNTBLANK(OFFSET(A$1,,,SUMPRODUCT(MAX(ROW(E$1:E558)*(E2=E$1:E558))))))</f>
        <v/>
      </c>
      <c r="K559" s="25" t="str">
        <f>IF(OR(E559="",E559="!!!",F559="NEW"),"",INDEX(J$1:J558,SUMPRODUCT(MAX(ROW(E$1:E558)*(E559=E$1:E558)))))</f>
        <v/>
      </c>
      <c r="L559" s="26"/>
    </row>
    <row r="560" spans="1:12" x14ac:dyDescent="0.3">
      <c r="A560" t="s">
        <v>361</v>
      </c>
      <c r="E560" s="21" t="str">
        <f t="shared" si="58"/>
        <v/>
      </c>
      <c r="F560" s="22" t="str">
        <f>IF(OR(E560="",E560="!!!"),"",IF(NOT(ISNA(VLOOKUP(E560,E$1:E559,1,FALSE()))),"OLD",IF(AND(E560&lt;&gt;"",E560&lt;&gt;"!!!"),"NEW","")))</f>
        <v/>
      </c>
      <c r="G560" s="23" t="str">
        <f>IF(OR(E560="",E560="!!!"),"",IF(OR(J560=0,AND(J560=1,K560=1),AND(J560=1,I560="SBJ"),AND(J560=1,I560=0)),"?IN_FOCUS",IF(J560&lt;=2,"?ACTIVATED",IF(J560&lt;&gt;"","?FAMILIAR",IF(F560="NEW",IF(ISNA(VLOOKUP(E560,#REF!,1,FALSE())),"?TYPE_IDENTIFIABLE","?REFERENTIAL"),"_")))))</f>
        <v/>
      </c>
      <c r="H560" s="24" t="str">
        <f t="shared" ca="1" si="59"/>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121</v>
      </c>
      <c r="B561" s="20" t="s">
        <v>184</v>
      </c>
      <c r="C561" s="20" t="s">
        <v>216</v>
      </c>
      <c r="D561" s="20" t="s">
        <v>186</v>
      </c>
      <c r="E561" s="21"/>
      <c r="F561" s="22" t="s">
        <v>740</v>
      </c>
      <c r="G561" s="23" t="str">
        <f>IF(OR(E561="",E561="!!!"),"",IF(OR(J561=0,AND(J561=1,K561=1),AND(J561=1,I561="SBJ"),AND(J561=1,I561=0)),"?IN_FOCUS",IF(J561&lt;=2,"?ACTIVATED",IF(J561&lt;&gt;"","?FAMILIAR",IF(F561="NEW",IF(ISNA(VLOOKUP(E561,#REF!,1,FALSE())),"?TYPE_IDENTIFIABLE","?REFERENTIAL"),"_")))))</f>
        <v/>
      </c>
      <c r="H561" s="24" t="str">
        <f t="shared" ca="1" si="59"/>
        <v/>
      </c>
      <c r="I561" s="25" t="str">
        <f>IF(OR(E561="",E561="!!!",F561="NEW"),"",INDEX(B$2:B560,-1+SUMPRODUCT(MAX(ROW(E$2:E560)*(E561=E$2:E560)))))</f>
        <v/>
      </c>
      <c r="J561" s="25" t="str">
        <f ca="1">IF(OR(E561="",E561="!!!",F561="NEW"),"",COUNTBLANK(OFFSET(A$1,,,SUMPRODUCT(MAX(ROW(E$2:E561)*(E561=E$2:E561)))))-COUNTBLANK(OFFSET(A$1,,,SUMPRODUCT(MAX(ROW(E$1:E560)*(E2=E$1:E560))))))</f>
        <v/>
      </c>
      <c r="K561" s="25" t="str">
        <f>IF(OR(E561="",E561="!!!",F561="NEW"),"",INDEX(J$1:J560,SUMPRODUCT(MAX(ROW(E$1:E560)*(E561=E$1:E560)))))</f>
        <v/>
      </c>
      <c r="L561" s="26"/>
    </row>
    <row r="562" spans="1:12" x14ac:dyDescent="0.3">
      <c r="A562" t="s">
        <v>194</v>
      </c>
      <c r="E562" s="21" t="str">
        <f t="shared" si="58"/>
        <v/>
      </c>
      <c r="F562" s="22" t="str">
        <f>IF(OR(E562="",E562="!!!"),"",IF(NOT(ISNA(VLOOKUP(E562,E$1:E561,1,FALSE()))),"OLD",IF(AND(E562&lt;&gt;"",E562&lt;&gt;"!!!"),"NEW","")))</f>
        <v/>
      </c>
      <c r="G562" s="23" t="str">
        <f>IF(OR(E562="",E562="!!!"),"",IF(OR(J562=0,AND(J562=1,K562=1),AND(J562=1,I562="SBJ"),AND(J562=1,I562=0)),"?IN_FOCUS",IF(J562&lt;=2,"?ACTIVATED",IF(J562&lt;&gt;"","?FAMILIAR",IF(F562="NEW",IF(ISNA(VLOOKUP(E562,#REF!,1,FALSE())),"?TYPE_IDENTIFIABLE","?REFERENTIAL"),"_")))))</f>
        <v/>
      </c>
      <c r="H562" s="24" t="str">
        <f t="shared" ca="1" si="59"/>
        <v/>
      </c>
      <c r="I562" s="25" t="str">
        <f>IF(OR(E562="",E562="!!!",F562="NEW"),"",INDEX(B$2:B561,-1+SUMPRODUCT(MAX(ROW(E$2:E561)*(E562=E$2:E561)))))</f>
        <v/>
      </c>
      <c r="J562" s="25" t="str">
        <f ca="1">IF(OR(E562="",E562="!!!",F562="NEW"),"",COUNTBLANK(OFFSET(A$1,,,SUMPRODUCT(MAX(ROW(E$2:E562)*(E562=E$2:E562)))))-COUNTBLANK(OFFSET(A$1,,,SUMPRODUCT(MAX(ROW(E$1:E561)*(E2=E$1:E561))))))</f>
        <v/>
      </c>
      <c r="K562" s="25" t="str">
        <f>IF(OR(E562="",E562="!!!",F562="NEW"),"",INDEX(J$1:J561,SUMPRODUCT(MAX(ROW(E$1:E561)*(E562=E$1:E561)))))</f>
        <v/>
      </c>
      <c r="L562" s="26"/>
    </row>
    <row r="563" spans="1:12" x14ac:dyDescent="0.3">
      <c r="A563" t="s">
        <v>522</v>
      </c>
      <c r="B563" s="20" t="s">
        <v>184</v>
      </c>
      <c r="C563" s="20" t="s">
        <v>185</v>
      </c>
      <c r="D563" s="20" t="s">
        <v>186</v>
      </c>
      <c r="E563" s="21" t="s">
        <v>776</v>
      </c>
      <c r="F563" s="22" t="str">
        <f>IF(OR(E563="",E563="!!!"),"",IF(NOT(ISNA(VLOOKUP(E563,E$1:E562,1,FALSE()))),"OLD",IF(AND(E563&lt;&gt;"",E563&lt;&gt;"!!!"),"NEW","")))</f>
        <v>NEW</v>
      </c>
      <c r="G563" s="23" t="s">
        <v>176</v>
      </c>
      <c r="H563" s="24" t="str">
        <f t="shared" ca="1" si="59"/>
        <v/>
      </c>
      <c r="I563" s="25" t="str">
        <f>IF(OR(E563="",E563="!!!",F563="NEW"),"",INDEX(B$2:B562,-1+SUMPRODUCT(MAX(ROW(E$2:E562)*(E563=E$2:E562)))))</f>
        <v/>
      </c>
      <c r="J563" s="25" t="str">
        <f ca="1">IF(OR(E563="",E563="!!!",F563="NEW"),"",COUNTBLANK(OFFSET(A$1,,,SUMPRODUCT(MAX(ROW(E$2:E563)*(E563=E$2:E563)))))-COUNTBLANK(OFFSET(A$1,,,SUMPRODUCT(MAX(ROW(E$1:E562)*(E2=E$1:E562))))))</f>
        <v/>
      </c>
      <c r="K563" s="25" t="str">
        <f>IF(OR(E563="",E563="!!!",F563="NEW"),"",INDEX(J$1:J562,SUMPRODUCT(MAX(ROW(E$1:E562)*(E563=E$1:E562)))))</f>
        <v/>
      </c>
      <c r="L563" s="26"/>
    </row>
    <row r="564" spans="1:12" x14ac:dyDescent="0.3">
      <c r="A564" t="s">
        <v>206</v>
      </c>
      <c r="E564" s="21" t="str">
        <f t="shared" si="58"/>
        <v/>
      </c>
      <c r="F564" s="22" t="str">
        <f>IF(OR(E564="",E564="!!!"),"",IF(NOT(ISNA(VLOOKUP(E564,E$1:E563,1,FALSE()))),"OLD",IF(AND(E564&lt;&gt;"",E564&lt;&gt;"!!!"),"NEW","")))</f>
        <v/>
      </c>
      <c r="G564" s="23" t="str">
        <f>IF(OR(E564="",E564="!!!"),"",IF(OR(J564=0,AND(J564=1,K564=1),AND(J564=1,I564="SBJ"),AND(J564=1,I564=0)),"?IN_FOCUS",IF(J564&lt;=2,"?ACTIVATED",IF(J564&lt;&gt;"","?FAMILIAR",IF(F564="NEW",IF(ISNA(VLOOKUP(E564,#REF!,1,FALSE())),"?TYPE_IDENTIFIABLE","?REFERENTIAL"),"_")))))</f>
        <v/>
      </c>
      <c r="H564" s="24" t="str">
        <f t="shared" ca="1" si="59"/>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207</v>
      </c>
      <c r="B565" s="20" t="s">
        <v>352</v>
      </c>
      <c r="E565" s="21" t="str">
        <f t="shared" si="58"/>
        <v/>
      </c>
      <c r="F565" s="22" t="str">
        <f>IF(OR(E565="",E565="!!!"),"",IF(NOT(ISNA(VLOOKUP(E565,E$1:E564,1,FALSE()))),"OLD",IF(AND(E565&lt;&gt;"",E565&lt;&gt;"!!!"),"NEW","")))</f>
        <v/>
      </c>
      <c r="G565" s="23" t="str">
        <f>IF(OR(E565="",E565="!!!"),"",IF(OR(J565=0,AND(J565=1,K565=1),AND(J565=1,I565="SBJ"),AND(J565=1,I565=0)),"?IN_FOCUS",IF(J565&lt;=2,"?ACTIVATED",IF(J565&lt;&gt;"","?FAMILIAR",IF(F565="NEW",IF(ISNA(VLOOKUP(E565,#REF!,1,FALSE())),"?TYPE_IDENTIFIABLE","?REFERENTIAL"),"_")))))</f>
        <v/>
      </c>
      <c r="H565" s="24" t="str">
        <f t="shared" ca="1" si="59"/>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523</v>
      </c>
      <c r="B566" s="20" t="s">
        <v>241</v>
      </c>
      <c r="C566" s="20" t="s">
        <v>328</v>
      </c>
      <c r="E566" s="21" t="str">
        <f t="shared" si="58"/>
        <v/>
      </c>
      <c r="F566" s="22" t="str">
        <f>IF(OR(E566="",E566="!!!"),"",IF(NOT(ISNA(VLOOKUP(E566,E$1:E565,1,FALSE()))),"OLD",IF(AND(E566&lt;&gt;"",E566&lt;&gt;"!!!"),"NEW","")))</f>
        <v/>
      </c>
      <c r="G566" s="23" t="str">
        <f>IF(OR(E566="",E566="!!!"),"",IF(OR(J566=0,AND(J566=1,K566=1),AND(J566=1,I566="SBJ"),AND(J566=1,I566=0)),"?IN_FOCUS",IF(J566&lt;=2,"?ACTIVATED",IF(J566&lt;&gt;"","?FAMILIAR",IF(F566="NEW",IF(ISNA(VLOOKUP(E566,#REF!,1,FALSE())),"?TYPE_IDENTIFIABLE","?REFERENTIAL"),"_")))))</f>
        <v/>
      </c>
      <c r="H566" s="24" t="str">
        <f t="shared" ca="1" si="59"/>
        <v/>
      </c>
      <c r="I566" s="25" t="str">
        <f>IF(OR(E566="",E566="!!!",F566="NEW"),"",INDEX(B$2:B565,-1+SUMPRODUCT(MAX(ROW(E$2:E565)*(E566=E$2:E565)))))</f>
        <v/>
      </c>
      <c r="J566" s="25" t="str">
        <f ca="1">IF(OR(E566="",E566="!!!",F566="NEW"),"",COUNTBLANK(OFFSET(A$1,,,SUMPRODUCT(MAX(ROW(E$2:E566)*(E566=E$2:E566)))))-COUNTBLANK(OFFSET(A$1,,,SUMPRODUCT(MAX(ROW(E$1:E565)*(E2=E$1:E565))))))</f>
        <v/>
      </c>
      <c r="K566" s="25" t="str">
        <f>IF(OR(E566="",E566="!!!",F566="NEW"),"",INDEX(J$1:J565,SUMPRODUCT(MAX(ROW(E$1:E565)*(E566=E$1:E565)))))</f>
        <v/>
      </c>
      <c r="L566" s="26"/>
    </row>
    <row r="567" spans="1:12" x14ac:dyDescent="0.3">
      <c r="A567" t="s">
        <v>524</v>
      </c>
      <c r="B567" s="20" t="s">
        <v>219</v>
      </c>
      <c r="C567" s="20" t="s">
        <v>197</v>
      </c>
      <c r="E567" s="21" t="str">
        <f t="shared" si="58"/>
        <v/>
      </c>
      <c r="F567" s="22" t="str">
        <f>IF(OR(E567="",E567="!!!"),"",IF(NOT(ISNA(VLOOKUP(E567,E$1:E566,1,FALSE()))),"OLD",IF(AND(E567&lt;&gt;"",E567&lt;&gt;"!!!"),"NEW","")))</f>
        <v/>
      </c>
      <c r="G567" s="23" t="str">
        <f>IF(OR(E567="",E567="!!!"),"",IF(OR(J567=0,AND(J567=1,K567=1),AND(J567=1,I567="SBJ"),AND(J567=1,I567=0)),"?IN_FOCUS",IF(J567&lt;=2,"?ACTIVATED",IF(J567&lt;&gt;"","?FAMILIAR",IF(F567="NEW",IF(ISNA(VLOOKUP(E567,#REF!,1,FALSE())),"?TYPE_IDENTIFIABLE","?REFERENTIAL"),"_")))))</f>
        <v/>
      </c>
      <c r="H567" s="24" t="str">
        <f t="shared" ca="1" si="59"/>
        <v/>
      </c>
      <c r="I567" s="25" t="str">
        <f>IF(OR(E567="",E567="!!!",F567="NEW"),"",INDEX(B$2:B566,-1+SUMPRODUCT(MAX(ROW(E$2:E566)*(E567=E$2:E566)))))</f>
        <v/>
      </c>
      <c r="J567" s="25" t="str">
        <f ca="1">IF(OR(E567="",E567="!!!",F567="NEW"),"",COUNTBLANK(OFFSET(A$1,,,SUMPRODUCT(MAX(ROW(E$2:E567)*(E567=E$2:E567)))))-COUNTBLANK(OFFSET(A$1,,,SUMPRODUCT(MAX(ROW(E$1:E566)*(E2=E$1:E566))))))</f>
        <v/>
      </c>
      <c r="K567" s="25" t="str">
        <f>IF(OR(E567="",E567="!!!",F567="NEW"),"",INDEX(J$1:J566,SUMPRODUCT(MAX(ROW(E$1:E566)*(E567=E$1:E566)))))</f>
        <v/>
      </c>
      <c r="L567" s="26"/>
    </row>
    <row r="568" spans="1:12" x14ac:dyDescent="0.3">
      <c r="A568" t="s">
        <v>525</v>
      </c>
      <c r="E568" s="21" t="str">
        <f t="shared" si="58"/>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59"/>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526</v>
      </c>
      <c r="B569" s="20" t="s">
        <v>243</v>
      </c>
      <c r="C569" s="20" t="s">
        <v>328</v>
      </c>
      <c r="E569" s="21" t="str">
        <f t="shared" si="58"/>
        <v/>
      </c>
      <c r="F569" s="22" t="str">
        <f>IF(OR(E569="",E569="!!!"),"",IF(NOT(ISNA(VLOOKUP(E569,E$1:E568,1,FALSE()))),"OLD",IF(AND(E569&lt;&gt;"",E569&lt;&gt;"!!!"),"NEW","")))</f>
        <v/>
      </c>
      <c r="G569" s="23" t="str">
        <f>IF(OR(E569="",E569="!!!"),"",IF(OR(J569=0,AND(J569=1,K569=1),AND(J569=1,I569="SBJ"),AND(J569=1,I569=0)),"?IN_FOCUS",IF(J569&lt;=2,"?ACTIVATED",IF(J569&lt;&gt;"","?FAMILIAR",IF(F569="NEW",IF(ISNA(VLOOKUP(E569,#REF!,1,FALSE())),"?TYPE_IDENTIFIABLE","?REFERENTIAL"),"_")))))</f>
        <v/>
      </c>
      <c r="H569" s="24" t="str">
        <f t="shared" ca="1" si="59"/>
        <v/>
      </c>
      <c r="I569" s="25" t="str">
        <f>IF(OR(E569="",E569="!!!",F569="NEW"),"",INDEX(B$2:B568,-1+SUMPRODUCT(MAX(ROW(E$2:E568)*(E569=E$2:E568)))))</f>
        <v/>
      </c>
      <c r="J569" s="25" t="str">
        <f ca="1">IF(OR(E569="",E569="!!!",F569="NEW"),"",COUNTBLANK(OFFSET(A$1,,,SUMPRODUCT(MAX(ROW(E$2:E569)*(E569=E$2:E569)))))-COUNTBLANK(OFFSET(A$1,,,SUMPRODUCT(MAX(ROW(E$1:E568)*(E2=E$1:E568))))))</f>
        <v/>
      </c>
      <c r="K569" s="25" t="str">
        <f>IF(OR(E569="",E569="!!!",F569="NEW"),"",INDEX(J$1:J568,SUMPRODUCT(MAX(ROW(E$1:E568)*(E569=E$1:E568)))))</f>
        <v/>
      </c>
      <c r="L569" s="26"/>
    </row>
    <row r="570" spans="1:12" x14ac:dyDescent="0.3">
      <c r="A570" t="s">
        <v>527</v>
      </c>
      <c r="B570" s="20" t="s">
        <v>241</v>
      </c>
      <c r="C570" s="20" t="s">
        <v>197</v>
      </c>
      <c r="E570" s="21" t="str">
        <f t="shared" si="58"/>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59"/>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528</v>
      </c>
      <c r="E571" s="21" t="str">
        <f t="shared" si="58"/>
        <v/>
      </c>
      <c r="F571" s="22" t="str">
        <f>IF(OR(E571="",E571="!!!"),"",IF(NOT(ISNA(VLOOKUP(E571,E$1:E570,1,FALSE()))),"OLD",IF(AND(E571&lt;&gt;"",E571&lt;&gt;"!!!"),"NEW","")))</f>
        <v/>
      </c>
      <c r="G571" s="23" t="str">
        <f>IF(OR(E571="",E571="!!!"),"",IF(OR(J571=0,AND(J571=1,K571=1),AND(J571=1,I571="SBJ"),AND(J571=1,I571=0)),"?IN_FOCUS",IF(J571&lt;=2,"?ACTIVATED",IF(J571&lt;&gt;"","?FAMILIAR",IF(F571="NEW",IF(ISNA(VLOOKUP(E571,#REF!,1,FALSE())),"?TYPE_IDENTIFIABLE","?REFERENTIAL"),"_")))))</f>
        <v/>
      </c>
      <c r="H571" s="24" t="str">
        <f t="shared" ca="1" si="59"/>
        <v/>
      </c>
      <c r="I571" s="25" t="str">
        <f>IF(OR(E571="",E571="!!!",F571="NEW"),"",INDEX(B$2:B570,-1+SUMPRODUCT(MAX(ROW(E$2:E570)*(E571=E$2:E570)))))</f>
        <v/>
      </c>
      <c r="J571" s="25" t="str">
        <f ca="1">IF(OR(E571="",E571="!!!",F571="NEW"),"",COUNTBLANK(OFFSET(A$1,,,SUMPRODUCT(MAX(ROW(E$2:E571)*(E571=E$2:E571)))))-COUNTBLANK(OFFSET(A$1,,,SUMPRODUCT(MAX(ROW(E$1:E570)*(E2=E$1:E570))))))</f>
        <v/>
      </c>
      <c r="K571" s="25" t="str">
        <f>IF(OR(E571="",E571="!!!",F571="NEW"),"",INDEX(J$1:J570,SUMPRODUCT(MAX(ROW(E$1:E570)*(E571=E$1:E570)))))</f>
        <v/>
      </c>
      <c r="L571" s="26"/>
    </row>
    <row r="572" spans="1:12" x14ac:dyDescent="0.3">
      <c r="A572" t="s">
        <v>529</v>
      </c>
      <c r="B572" s="20" t="s">
        <v>232</v>
      </c>
      <c r="C572" s="20" t="s">
        <v>197</v>
      </c>
      <c r="E572" s="21" t="str">
        <f t="shared" si="58"/>
        <v/>
      </c>
      <c r="F572" s="22" t="str">
        <f>IF(OR(E572="",E572="!!!"),"",IF(NOT(ISNA(VLOOKUP(E572,E$1:E571,1,FALSE()))),"OLD",IF(AND(E572&lt;&gt;"",E572&lt;&gt;"!!!"),"NEW","")))</f>
        <v/>
      </c>
      <c r="G572" s="23" t="str">
        <f>IF(OR(E572="",E572="!!!"),"",IF(OR(J572=0,AND(J572=1,K572=1),AND(J572=1,I572="SBJ"),AND(J572=1,I572=0)),"?IN_FOCUS",IF(J572&lt;=2,"?ACTIVATED",IF(J572&lt;&gt;"","?FAMILIAR",IF(F572="NEW",IF(ISNA(VLOOKUP(E572,#REF!,1,FALSE())),"?TYPE_IDENTIFIABLE","?REFERENTIAL"),"_")))))</f>
        <v/>
      </c>
      <c r="H572" s="24" t="str">
        <f t="shared" ca="1" si="59"/>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223</v>
      </c>
      <c r="E573" s="21" t="str">
        <f t="shared" si="58"/>
        <v/>
      </c>
      <c r="F573" s="22" t="str">
        <f>IF(OR(E573="",E573="!!!"),"",IF(NOT(ISNA(VLOOKUP(E573,E$1:E572,1,FALSE()))),"OLD",IF(AND(E573&lt;&gt;"",E573&lt;&gt;"!!!"),"NEW","")))</f>
        <v/>
      </c>
      <c r="G573" s="23" t="str">
        <f>IF(OR(E573="",E573="!!!"),"",IF(OR(J573=0,AND(J573=1,K573=1),AND(J573=1,I573="SBJ"),AND(J573=1,I573=0)),"?IN_FOCUS",IF(J573&lt;=2,"?ACTIVATED",IF(J573&lt;&gt;"","?FAMILIAR",IF(F573="NEW",IF(ISNA(VLOOKUP(E573,#REF!,1,FALSE())),"?TYPE_IDENTIFIABLE","?REFERENTIAL"),"_")))))</f>
        <v/>
      </c>
      <c r="H573" s="24" t="str">
        <f t="shared" ca="1" si="59"/>
        <v/>
      </c>
      <c r="I573" s="25" t="str">
        <f>IF(OR(E573="",E573="!!!",F573="NEW"),"",INDEX(B$2:B572,-1+SUMPRODUCT(MAX(ROW(E$2:E572)*(E573=E$2:E572)))))</f>
        <v/>
      </c>
      <c r="J573" s="25" t="str">
        <f ca="1">IF(OR(E573="",E573="!!!",F573="NEW"),"",COUNTBLANK(OFFSET(A$1,,,SUMPRODUCT(MAX(ROW(E$2:E573)*(E573=E$2:E573)))))-COUNTBLANK(OFFSET(A$1,,,SUMPRODUCT(MAX(ROW(E$1:E572)*(E2=E$1:E572))))))</f>
        <v/>
      </c>
      <c r="K573" s="25" t="str">
        <f>IF(OR(E573="",E573="!!!",F573="NEW"),"",INDEX(J$1:J572,SUMPRODUCT(MAX(ROW(E$1:E572)*(E573=E$1:E572)))))</f>
        <v/>
      </c>
      <c r="L573" s="26"/>
    </row>
    <row r="574" spans="1:12" x14ac:dyDescent="0.3">
      <c r="A574" t="s">
        <v>207</v>
      </c>
      <c r="E574" s="21" t="str">
        <f t="shared" si="58"/>
        <v/>
      </c>
      <c r="F574" s="22" t="str">
        <f>IF(OR(E574="",E574="!!!"),"",IF(NOT(ISNA(VLOOKUP(E574,E$1:E573,1,FALSE()))),"OLD",IF(AND(E574&lt;&gt;"",E574&lt;&gt;"!!!"),"NEW","")))</f>
        <v/>
      </c>
      <c r="G574" s="23" t="str">
        <f>IF(OR(E574="",E574="!!!"),"",IF(OR(J574=0,AND(J574=1,K574=1),AND(J574=1,I574="SBJ"),AND(J574=1,I574=0)),"?IN_FOCUS",IF(J574&lt;=2,"?ACTIVATED",IF(J574&lt;&gt;"","?FAMILIAR",IF(F574="NEW",IF(ISNA(VLOOKUP(E574,#REF!,1,FALSE())),"?TYPE_IDENTIFIABLE","?REFERENTIAL"),"_")))))</f>
        <v/>
      </c>
      <c r="H574" s="24" t="str">
        <f t="shared" ca="1" si="59"/>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530</v>
      </c>
      <c r="E575" s="21" t="str">
        <f t="shared" si="58"/>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59"/>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6" spans="1:12" x14ac:dyDescent="0.3">
      <c r="A576" t="s">
        <v>531</v>
      </c>
      <c r="B576" s="20" t="s">
        <v>219</v>
      </c>
      <c r="C576" s="20" t="s">
        <v>216</v>
      </c>
      <c r="D576" s="20" t="s">
        <v>186</v>
      </c>
      <c r="E576" s="21" t="s">
        <v>760</v>
      </c>
      <c r="F576" s="22" t="str">
        <f>IF(OR(E576="",E576="!!!"),"",IF(NOT(ISNA(VLOOKUP(E576,E$1:E575,1,FALSE()))),"OLD",IF(AND(E576&lt;&gt;"",E576&lt;&gt;"!!!"),"NEW","")))</f>
        <v>NEW</v>
      </c>
      <c r="G576" s="23" t="s">
        <v>807</v>
      </c>
      <c r="H576" s="24" t="str">
        <f t="shared" ca="1" si="59"/>
        <v/>
      </c>
      <c r="I576" s="25" t="str">
        <f>IF(OR(E576="",E576="!!!",F576="NEW"),"",INDEX(B$2:B575,-1+SUMPRODUCT(MAX(ROW(E$2:E575)*(E576=E$2:E575)))))</f>
        <v/>
      </c>
      <c r="J576" s="25" t="str">
        <f ca="1">IF(OR(E576="",E576="!!!",F576="NEW"),"",COUNTBLANK(OFFSET(A$1,,,SUMPRODUCT(MAX(ROW(E$2:E576)*(E576=E$2:E576)))))-COUNTBLANK(OFFSET(A$1,,,SUMPRODUCT(MAX(ROW(E$1:E575)*(E2=E$1:E575))))))</f>
        <v/>
      </c>
      <c r="K576" s="25" t="str">
        <f>IF(OR(E576="",E576="!!!",F576="NEW"),"",INDEX(J$1:J575,SUMPRODUCT(MAX(ROW(E$1:E575)*(E576=E$1:E575)))))</f>
        <v/>
      </c>
      <c r="L576" s="26"/>
    </row>
    <row r="577" spans="1:12" x14ac:dyDescent="0.3">
      <c r="A577" t="s">
        <v>532</v>
      </c>
      <c r="E577" s="21" t="str">
        <f t="shared" si="58"/>
        <v/>
      </c>
      <c r="F577" s="22" t="str">
        <f>IF(OR(E577="",E577="!!!"),"",IF(NOT(ISNA(VLOOKUP(E577,E$1:E576,1,FALSE()))),"OLD",IF(AND(E577&lt;&gt;"",E577&lt;&gt;"!!!"),"NEW","")))</f>
        <v/>
      </c>
      <c r="G577" s="23" t="str">
        <f>IF(OR(E577="",E577="!!!"),"",IF(OR(J577=0,AND(J577=1,K577=1),AND(J577=1,I577="SBJ"),AND(J577=1,I577=0)),"?IN_FOCUS",IF(J577&lt;=2,"?ACTIVATED",IF(J577&lt;&gt;"","?FAMILIAR",IF(F577="NEW",IF(ISNA(VLOOKUP(E577,#REF!,1,FALSE())),"?TYPE_IDENTIFIABLE","?REFERENTIAL"),"_")))))</f>
        <v/>
      </c>
      <c r="H577" s="24" t="str">
        <f t="shared" ca="1" si="59"/>
        <v/>
      </c>
      <c r="I577" s="25" t="str">
        <f>IF(OR(E577="",E577="!!!",F577="NEW"),"",INDEX(B$2:B576,-1+SUMPRODUCT(MAX(ROW(E$2:E576)*(E577=E$2:E576)))))</f>
        <v/>
      </c>
      <c r="J577" s="25" t="str">
        <f ca="1">IF(OR(E577="",E577="!!!",F577="NEW"),"",COUNTBLANK(OFFSET(A$1,,,SUMPRODUCT(MAX(ROW(E$2:E577)*(E577=E$2:E577)))))-COUNTBLANK(OFFSET(A$1,,,SUMPRODUCT(MAX(ROW(E$1:E576)*(E2=E$1:E576))))))</f>
        <v/>
      </c>
      <c r="K577" s="25" t="str">
        <f>IF(OR(E577="",E577="!!!",F577="NEW"),"",INDEX(J$1:J576,SUMPRODUCT(MAX(ROW(E$1:E576)*(E577=E$1:E576)))))</f>
        <v/>
      </c>
      <c r="L577" s="26"/>
    </row>
    <row r="578" spans="1:12" x14ac:dyDescent="0.3">
      <c r="A578" t="s">
        <v>212</v>
      </c>
      <c r="E578" s="21" t="str">
        <f t="shared" si="58"/>
        <v/>
      </c>
      <c r="F578" s="22" t="str">
        <f>IF(OR(E578="",E578="!!!"),"",IF(NOT(ISNA(VLOOKUP(E578,E$1:E577,1,FALSE()))),"OLD",IF(AND(E578&lt;&gt;"",E578&lt;&gt;"!!!"),"NEW","")))</f>
        <v/>
      </c>
      <c r="G578" s="23" t="str">
        <f>IF(OR(E578="",E578="!!!"),"",IF(OR(J578=0,AND(J578=1,K578=1),AND(J578=1,I578="SBJ"),AND(J578=1,I578=0)),"?IN_FOCUS",IF(J578&lt;=2,"?ACTIVATED",IF(J578&lt;&gt;"","?FAMILIAR",IF(F578="NEW",IF(ISNA(VLOOKUP(E578,#REF!,1,FALSE())),"?TYPE_IDENTIFIABLE","?REFERENTIAL"),"_")))))</f>
        <v/>
      </c>
      <c r="H578" s="24" t="str">
        <f t="shared" ca="1" si="59"/>
        <v/>
      </c>
      <c r="I578" s="25" t="str">
        <f>IF(OR(E578="",E578="!!!",F578="NEW"),"",INDEX(B$2:B577,-1+SUMPRODUCT(MAX(ROW(E$2:E577)*(E578=E$2:E577)))))</f>
        <v/>
      </c>
      <c r="J578" s="25" t="str">
        <f ca="1">IF(OR(E578="",E578="!!!",F578="NEW"),"",COUNTBLANK(OFFSET(A$1,,,SUMPRODUCT(MAX(ROW(E$2:E578)*(E578=E$2:E578)))))-COUNTBLANK(OFFSET(A$1,,,SUMPRODUCT(MAX(ROW(E$1:E577)*(E2=E$1:E577))))))</f>
        <v/>
      </c>
      <c r="K578" s="25" t="str">
        <f>IF(OR(E578="",E578="!!!",F578="NEW"),"",INDEX(J$1:J577,SUMPRODUCT(MAX(ROW(E$1:E577)*(E578=E$1:E577)))))</f>
        <v/>
      </c>
      <c r="L578" s="26"/>
    </row>
    <row r="580" spans="1:12" x14ac:dyDescent="0.3">
      <c r="A580" t="s">
        <v>533</v>
      </c>
    </row>
    <row r="581" spans="1:12" x14ac:dyDescent="0.3">
      <c r="A581" t="s">
        <v>214</v>
      </c>
      <c r="E581" s="21" t="str">
        <f t="shared" ref="E581:E589" si="60">IF(D581="?OLD","!!!","")</f>
        <v/>
      </c>
      <c r="F581" s="22" t="str">
        <f>IF(OR(E581="",E581="!!!"),"",IF(NOT(ISNA(VLOOKUP(E581,E$1:E580,1,FALSE()))),"OLD",IF(AND(E581&lt;&gt;"",E581&lt;&gt;"!!!"),"NEW","")))</f>
        <v/>
      </c>
      <c r="G581" s="23" t="str">
        <f>IF(OR(E581="",E581="!!!"),"",IF(OR(J581=0,AND(J581=1,K581=1),AND(J581=1,I581="SBJ"),AND(J581=1,I581=0)),"?IN_FOCUS",IF(J581&lt;=2,"?ACTIVATED",IF(J581&lt;&gt;"","?FAMILIAR",IF(F581="NEW",IF(ISNA(VLOOKUP(E581,#REF!,1,FALSE())),"?TYPE_IDENTIFIABLE","?REFERENTIAL"),"_")))))</f>
        <v/>
      </c>
      <c r="H581" s="24" t="str">
        <f t="shared" ref="H581:H589" ca="1" si="61">IF(J581&lt;&gt;1,"",IF(I581="SBJ","CB","?"))</f>
        <v/>
      </c>
      <c r="I581" s="25" t="str">
        <f>IF(OR(E581="",E581="!!!",F581="NEW"),"",INDEX(B$2:B580,-1+SUMPRODUCT(MAX(ROW(E$2:E580)*(E581=E$2:E580)))))</f>
        <v/>
      </c>
      <c r="J581" s="25" t="str">
        <f ca="1">IF(OR(E581="",E581="!!!",F581="NEW"),"",COUNTBLANK(OFFSET(A$1,,,SUMPRODUCT(MAX(ROW(E$2:E581)*(E581=E$2:E581)))))-COUNTBLANK(OFFSET(A$1,,,SUMPRODUCT(MAX(ROW(E$1:E580)*(E2=E$1:E580))))))</f>
        <v/>
      </c>
      <c r="K581" s="25" t="str">
        <f>IF(OR(E581="",E581="!!!",F581="NEW"),"",INDEX(J$1:J580,SUMPRODUCT(MAX(ROW(E$1:E580)*(E581=E$1:E580)))))</f>
        <v/>
      </c>
      <c r="L581" s="26"/>
    </row>
    <row r="582" spans="1:12" x14ac:dyDescent="0.3">
      <c r="A582" t="s">
        <v>534</v>
      </c>
      <c r="B582" s="20" t="s">
        <v>201</v>
      </c>
      <c r="C582" s="20" t="s">
        <v>216</v>
      </c>
      <c r="D582" s="20" t="s">
        <v>186</v>
      </c>
      <c r="E582" s="21" t="s">
        <v>799</v>
      </c>
      <c r="F582" s="22" t="str">
        <f>IF(OR(E582="",E582="!!!"),"",IF(NOT(ISNA(VLOOKUP(E582,E$1:E581,1,FALSE()))),"OLD",IF(AND(E582&lt;&gt;"",E582&lt;&gt;"!!!"),"NEW","")))</f>
        <v>NEW</v>
      </c>
      <c r="G582" s="23" t="s">
        <v>807</v>
      </c>
      <c r="H582" s="24" t="str">
        <f t="shared" ca="1" si="61"/>
        <v/>
      </c>
      <c r="I582" s="25" t="str">
        <f>IF(OR(E582="",E582="!!!",F582="NEW"),"",INDEX(B$2:B581,-1+SUMPRODUCT(MAX(ROW(E$2:E581)*(E582=E$2:E581)))))</f>
        <v/>
      </c>
      <c r="J582" s="25" t="str">
        <f ca="1">IF(OR(E582="",E582="!!!",F582="NEW"),"",COUNTBLANK(OFFSET(A$1,,,SUMPRODUCT(MAX(ROW(E$2:E582)*(E582=E$2:E582)))))-COUNTBLANK(OFFSET(A$1,,,SUMPRODUCT(MAX(ROW(E$1:E581)*(E2=E$1:E581))))))</f>
        <v/>
      </c>
      <c r="K582" s="25" t="str">
        <f>IF(OR(E582="",E582="!!!",F582="NEW"),"",INDEX(J$1:J581,SUMPRODUCT(MAX(ROW(E$1:E581)*(E582=E$1:E581)))))</f>
        <v/>
      </c>
      <c r="L582" s="26"/>
    </row>
    <row r="583" spans="1:12" x14ac:dyDescent="0.3">
      <c r="A583" t="s">
        <v>535</v>
      </c>
      <c r="E583" s="21" t="str">
        <f t="shared" si="60"/>
        <v/>
      </c>
      <c r="F583" s="22" t="str">
        <f>IF(OR(E583="",E583="!!!"),"",IF(NOT(ISNA(VLOOKUP(E583,E$1:E582,1,FALSE()))),"OLD",IF(AND(E583&lt;&gt;"",E583&lt;&gt;"!!!"),"NEW","")))</f>
        <v/>
      </c>
      <c r="G583" s="23" t="str">
        <f>IF(OR(E583="",E583="!!!"),"",IF(OR(J583=0,AND(J583=1,K583=1),AND(J583=1,I583="SBJ"),AND(J583=1,I583=0)),"?IN_FOCUS",IF(J583&lt;=2,"?ACTIVATED",IF(J583&lt;&gt;"","?FAMILIAR",IF(F583="NEW",IF(ISNA(VLOOKUP(E583,#REF!,1,FALSE())),"?TYPE_IDENTIFIABLE","?REFERENTIAL"),"_")))))</f>
        <v/>
      </c>
      <c r="H583" s="24" t="str">
        <f t="shared" ca="1" si="61"/>
        <v/>
      </c>
      <c r="I583" s="25" t="str">
        <f>IF(OR(E583="",E583="!!!",F583="NEW"),"",INDEX(B$2:B582,-1+SUMPRODUCT(MAX(ROW(E$2:E582)*(E583=E$2:E582)))))</f>
        <v/>
      </c>
      <c r="J583" s="25" t="str">
        <f ca="1">IF(OR(E583="",E583="!!!",F583="NEW"),"",COUNTBLANK(OFFSET(A$1,,,SUMPRODUCT(MAX(ROW(E$2:E583)*(E583=E$2:E583)))))-COUNTBLANK(OFFSET(A$1,,,SUMPRODUCT(MAX(ROW(E$1:E582)*(E2=E$1:E582))))))</f>
        <v/>
      </c>
      <c r="K583" s="25" t="str">
        <f>IF(OR(E583="",E583="!!!",F583="NEW"),"",INDEX(J$1:J582,SUMPRODUCT(MAX(ROW(E$1:E582)*(E583=E$1:E582)))))</f>
        <v/>
      </c>
      <c r="L583" s="26"/>
    </row>
    <row r="584" spans="1:12" x14ac:dyDescent="0.3">
      <c r="A584" t="s">
        <v>226</v>
      </c>
      <c r="E584" s="21" t="str">
        <f t="shared" si="60"/>
        <v/>
      </c>
      <c r="F584" s="22" t="str">
        <f>IF(OR(E584="",E584="!!!"),"",IF(NOT(ISNA(VLOOKUP(E584,E$1:E583,1,FALSE()))),"OLD",IF(AND(E584&lt;&gt;"",E584&lt;&gt;"!!!"),"NEW","")))</f>
        <v/>
      </c>
      <c r="G584" s="23" t="str">
        <f>IF(OR(E584="",E584="!!!"),"",IF(OR(J584=0,AND(J584=1,K584=1),AND(J584=1,I584="SBJ"),AND(J584=1,I584=0)),"?IN_FOCUS",IF(J584&lt;=2,"?ACTIVATED",IF(J584&lt;&gt;"","?FAMILIAR",IF(F584="NEW",IF(ISNA(VLOOKUP(E584,#REF!,1,FALSE())),"?TYPE_IDENTIFIABLE","?REFERENTIAL"),"_")))))</f>
        <v/>
      </c>
      <c r="H584" s="24" t="str">
        <f t="shared" ca="1" si="61"/>
        <v/>
      </c>
      <c r="I584" s="25" t="str">
        <f>IF(OR(E584="",E584="!!!",F584="NEW"),"",INDEX(B$2:B583,-1+SUMPRODUCT(MAX(ROW(E$2:E583)*(E584=E$2:E583)))))</f>
        <v/>
      </c>
      <c r="J584" s="25" t="str">
        <f ca="1">IF(OR(E584="",E584="!!!",F584="NEW"),"",COUNTBLANK(OFFSET(A$1,,,SUMPRODUCT(MAX(ROW(E$2:E584)*(E584=E$2:E584)))))-COUNTBLANK(OFFSET(A$1,,,SUMPRODUCT(MAX(ROW(E$1:E583)*(E2=E$1:E583))))))</f>
        <v/>
      </c>
      <c r="K584" s="25" t="str">
        <f>IF(OR(E584="",E584="!!!",F584="NEW"),"",INDEX(J$1:J583,SUMPRODUCT(MAX(ROW(E$1:E583)*(E584=E$1:E583)))))</f>
        <v/>
      </c>
      <c r="L584" s="26"/>
    </row>
    <row r="585" spans="1:12" x14ac:dyDescent="0.3">
      <c r="A585" t="s">
        <v>503</v>
      </c>
      <c r="E585" s="21" t="str">
        <f t="shared" si="60"/>
        <v/>
      </c>
      <c r="F585" s="22" t="str">
        <f>IF(OR(E585="",E585="!!!"),"",IF(NOT(ISNA(VLOOKUP(E585,E$1:E584,1,FALSE()))),"OLD",IF(AND(E585&lt;&gt;"",E585&lt;&gt;"!!!"),"NEW","")))</f>
        <v/>
      </c>
      <c r="G585" s="23" t="str">
        <f>IF(OR(E585="",E585="!!!"),"",IF(OR(J585=0,AND(J585=1,K585=1),AND(J585=1,I585="SBJ"),AND(J585=1,I585=0)),"?IN_FOCUS",IF(J585&lt;=2,"?ACTIVATED",IF(J585&lt;&gt;"","?FAMILIAR",IF(F585="NEW",IF(ISNA(VLOOKUP(E585,#REF!,1,FALSE())),"?TYPE_IDENTIFIABLE","?REFERENTIAL"),"_")))))</f>
        <v/>
      </c>
      <c r="H585" s="24" t="str">
        <f t="shared" ca="1" si="61"/>
        <v/>
      </c>
      <c r="I585" s="25" t="str">
        <f>IF(OR(E585="",E585="!!!",F585="NEW"),"",INDEX(B$2:B584,-1+SUMPRODUCT(MAX(ROW(E$2:E584)*(E585=E$2:E584)))))</f>
        <v/>
      </c>
      <c r="J585" s="25" t="str">
        <f ca="1">IF(OR(E585="",E585="!!!",F585="NEW"),"",COUNTBLANK(OFFSET(A$1,,,SUMPRODUCT(MAX(ROW(E$2:E585)*(E585=E$2:E585)))))-COUNTBLANK(OFFSET(A$1,,,SUMPRODUCT(MAX(ROW(E$1:E584)*(E2=E$1:E584))))))</f>
        <v/>
      </c>
      <c r="K585" s="25" t="str">
        <f>IF(OR(E585="",E585="!!!",F585="NEW"),"",INDEX(J$1:J584,SUMPRODUCT(MAX(ROW(E$1:E584)*(E585=E$1:E584)))))</f>
        <v/>
      </c>
      <c r="L585" s="26"/>
    </row>
    <row r="586" spans="1:12" x14ac:dyDescent="0.3">
      <c r="A586" t="s">
        <v>536</v>
      </c>
      <c r="E586" s="21" t="str">
        <f t="shared" si="60"/>
        <v/>
      </c>
      <c r="F586" s="22" t="str">
        <f>IF(OR(E586="",E586="!!!"),"",IF(NOT(ISNA(VLOOKUP(E586,E$1:E585,1,FALSE()))),"OLD",IF(AND(E586&lt;&gt;"",E586&lt;&gt;"!!!"),"NEW","")))</f>
        <v/>
      </c>
      <c r="G586" s="23" t="str">
        <f>IF(OR(E586="",E586="!!!"),"",IF(OR(J586=0,AND(J586=1,K586=1),AND(J586=1,I586="SBJ"),AND(J586=1,I586=0)),"?IN_FOCUS",IF(J586&lt;=2,"?ACTIVATED",IF(J586&lt;&gt;"","?FAMILIAR",IF(F586="NEW",IF(ISNA(VLOOKUP(E586,#REF!,1,FALSE())),"?TYPE_IDENTIFIABLE","?REFERENTIAL"),"_")))))</f>
        <v/>
      </c>
      <c r="H586" s="24" t="str">
        <f t="shared" ca="1" si="61"/>
        <v/>
      </c>
      <c r="I586" s="25" t="str">
        <f>IF(OR(E586="",E586="!!!",F586="NEW"),"",INDEX(B$2:B585,-1+SUMPRODUCT(MAX(ROW(E$2:E585)*(E586=E$2:E585)))))</f>
        <v/>
      </c>
      <c r="J586" s="25" t="str">
        <f ca="1">IF(OR(E586="",E586="!!!",F586="NEW"),"",COUNTBLANK(OFFSET(A$1,,,SUMPRODUCT(MAX(ROW(E$2:E586)*(E586=E$2:E586)))))-COUNTBLANK(OFFSET(A$1,,,SUMPRODUCT(MAX(ROW(E$1:E585)*(E2=E$1:E585))))))</f>
        <v/>
      </c>
      <c r="K586" s="25" t="str">
        <f>IF(OR(E586="",E586="!!!",F586="NEW"),"",INDEX(J$1:J585,SUMPRODUCT(MAX(ROW(E$1:E585)*(E586=E$1:E585)))))</f>
        <v/>
      </c>
      <c r="L586" s="26"/>
    </row>
    <row r="587" spans="1:12" x14ac:dyDescent="0.3">
      <c r="A587" t="s">
        <v>537</v>
      </c>
      <c r="B587" s="20" t="s">
        <v>184</v>
      </c>
      <c r="C587" s="20" t="s">
        <v>237</v>
      </c>
      <c r="E587" s="21" t="str">
        <f t="shared" si="60"/>
        <v/>
      </c>
      <c r="F587" s="22" t="str">
        <f>IF(OR(E587="",E587="!!!"),"",IF(NOT(ISNA(VLOOKUP(E587,E$1:E586,1,FALSE()))),"OLD",IF(AND(E587&lt;&gt;"",E587&lt;&gt;"!!!"),"NEW","")))</f>
        <v/>
      </c>
      <c r="G587" s="23" t="str">
        <f>IF(OR(E587="",E587="!!!"),"",IF(OR(J587=0,AND(J587=1,K587=1),AND(J587=1,I587="SBJ"),AND(J587=1,I587=0)),"?IN_FOCUS",IF(J587&lt;=2,"?ACTIVATED",IF(J587&lt;&gt;"","?FAMILIAR",IF(F587="NEW",IF(ISNA(VLOOKUP(E587,#REF!,1,FALSE())),"?TYPE_IDENTIFIABLE","?REFERENTIAL"),"_")))))</f>
        <v/>
      </c>
      <c r="H587" s="24" t="str">
        <f t="shared" ca="1" si="61"/>
        <v/>
      </c>
      <c r="I587" s="25" t="str">
        <f>IF(OR(E587="",E587="!!!",F587="NEW"),"",INDEX(B$2:B586,-1+SUMPRODUCT(MAX(ROW(E$2:E586)*(E587=E$2:E586)))))</f>
        <v/>
      </c>
      <c r="J587" s="25" t="str">
        <f ca="1">IF(OR(E587="",E587="!!!",F587="NEW"),"",COUNTBLANK(OFFSET(A$1,,,SUMPRODUCT(MAX(ROW(E$2:E587)*(E587=E$2:E587)))))-COUNTBLANK(OFFSET(A$1,,,SUMPRODUCT(MAX(ROW(E$1:E586)*(E2=E$1:E586))))))</f>
        <v/>
      </c>
      <c r="K587" s="25" t="str">
        <f>IF(OR(E587="",E587="!!!",F587="NEW"),"",INDEX(J$1:J586,SUMPRODUCT(MAX(ROW(E$1:E586)*(E587=E$1:E586)))))</f>
        <v/>
      </c>
      <c r="L587" s="26"/>
    </row>
    <row r="588" spans="1:12" x14ac:dyDescent="0.3">
      <c r="A588" t="s">
        <v>538</v>
      </c>
      <c r="E588" s="21" t="str">
        <f t="shared" si="60"/>
        <v/>
      </c>
      <c r="F588" s="22" t="str">
        <f>IF(OR(E588="",E588="!!!"),"",IF(NOT(ISNA(VLOOKUP(E588,E$1:E587,1,FALSE()))),"OLD",IF(AND(E588&lt;&gt;"",E588&lt;&gt;"!!!"),"NEW","")))</f>
        <v/>
      </c>
      <c r="G588" s="23" t="str">
        <f>IF(OR(E588="",E588="!!!"),"",IF(OR(J588=0,AND(J588=1,K588=1),AND(J588=1,I588="SBJ"),AND(J588=1,I588=0)),"?IN_FOCUS",IF(J588&lt;=2,"?ACTIVATED",IF(J588&lt;&gt;"","?FAMILIAR",IF(F588="NEW",IF(ISNA(VLOOKUP(E588,#REF!,1,FALSE())),"?TYPE_IDENTIFIABLE","?REFERENTIAL"),"_")))))</f>
        <v/>
      </c>
      <c r="H588" s="24" t="str">
        <f t="shared" ca="1" si="61"/>
        <v/>
      </c>
      <c r="I588" s="25" t="str">
        <f>IF(OR(E588="",E588="!!!",F588="NEW"),"",INDEX(B$2:B587,-1+SUMPRODUCT(MAX(ROW(E$2:E587)*(E588=E$2:E587)))))</f>
        <v/>
      </c>
      <c r="J588" s="25" t="str">
        <f ca="1">IF(OR(E588="",E588="!!!",F588="NEW"),"",COUNTBLANK(OFFSET(A$1,,,SUMPRODUCT(MAX(ROW(E$2:E588)*(E588=E$2:E588)))))-COUNTBLANK(OFFSET(A$1,,,SUMPRODUCT(MAX(ROW(E$1:E587)*(E2=E$1:E587))))))</f>
        <v/>
      </c>
      <c r="K588" s="25" t="str">
        <f>IF(OR(E588="",E588="!!!",F588="NEW"),"",INDEX(J$1:J587,SUMPRODUCT(MAX(ROW(E$1:E587)*(E588=E$1:E587)))))</f>
        <v/>
      </c>
      <c r="L588" s="26"/>
    </row>
    <row r="589" spans="1:12" x14ac:dyDescent="0.3">
      <c r="A589" t="s">
        <v>212</v>
      </c>
      <c r="E589" s="21" t="str">
        <f t="shared" si="60"/>
        <v/>
      </c>
      <c r="F589" s="22" t="str">
        <f>IF(OR(E589="",E589="!!!"),"",IF(NOT(ISNA(VLOOKUP(E589,E$1:E588,1,FALSE()))),"OLD",IF(AND(E589&lt;&gt;"",E589&lt;&gt;"!!!"),"NEW","")))</f>
        <v/>
      </c>
      <c r="G589" s="23" t="str">
        <f>IF(OR(E589="",E589="!!!"),"",IF(OR(J589=0,AND(J589=1,K589=1),AND(J589=1,I589="SBJ"),AND(J589=1,I589=0)),"?IN_FOCUS",IF(J589&lt;=2,"?ACTIVATED",IF(J589&lt;&gt;"","?FAMILIAR",IF(F589="NEW",IF(ISNA(VLOOKUP(E589,#REF!,1,FALSE())),"?TYPE_IDENTIFIABLE","?REFERENTIAL"),"_")))))</f>
        <v/>
      </c>
      <c r="H589" s="24" t="str">
        <f t="shared" ca="1" si="61"/>
        <v/>
      </c>
      <c r="I589" s="25" t="str">
        <f>IF(OR(E589="",E589="!!!",F589="NEW"),"",INDEX(B$2:B588,-1+SUMPRODUCT(MAX(ROW(E$2:E588)*(E589=E$2:E588)))))</f>
        <v/>
      </c>
      <c r="J589" s="25" t="str">
        <f ca="1">IF(OR(E589="",E589="!!!",F589="NEW"),"",COUNTBLANK(OFFSET(A$1,,,SUMPRODUCT(MAX(ROW(E$2:E589)*(E589=E$2:E589)))))-COUNTBLANK(OFFSET(A$1,,,SUMPRODUCT(MAX(ROW(E$1:E588)*(E2=E$1:E588))))))</f>
        <v/>
      </c>
      <c r="K589" s="25" t="str">
        <f>IF(OR(E589="",E589="!!!",F589="NEW"),"",INDEX(J$1:J588,SUMPRODUCT(MAX(ROW(E$1:E588)*(E589=E$1:E588)))))</f>
        <v/>
      </c>
      <c r="L589" s="26"/>
    </row>
    <row r="591" spans="1:12" x14ac:dyDescent="0.3">
      <c r="A591" t="s">
        <v>539</v>
      </c>
    </row>
    <row r="592" spans="1:12" x14ac:dyDescent="0.3">
      <c r="A592" t="s">
        <v>540</v>
      </c>
      <c r="E592" s="21" t="str">
        <f t="shared" ref="E592:E607" si="62">IF(D592="?OLD","!!!","")</f>
        <v/>
      </c>
      <c r="F592" s="22" t="str">
        <f>IF(OR(E592="",E592="!!!"),"",IF(NOT(ISNA(VLOOKUP(E592,E$1:E591,1,FALSE()))),"OLD",IF(AND(E592&lt;&gt;"",E592&lt;&gt;"!!!"),"NEW","")))</f>
        <v/>
      </c>
      <c r="G592" s="23" t="str">
        <f>IF(OR(E592="",E592="!!!"),"",IF(OR(J592=0,AND(J592=1,K592=1),AND(J592=1,I592="SBJ"),AND(J592=1,I592=0)),"?IN_FOCUS",IF(J592&lt;=2,"?ACTIVATED",IF(J592&lt;&gt;"","?FAMILIAR",IF(F592="NEW",IF(ISNA(VLOOKUP(E592,#REF!,1,FALSE())),"?TYPE_IDENTIFIABLE","?REFERENTIAL"),"_")))))</f>
        <v/>
      </c>
      <c r="H592" s="24" t="str">
        <f t="shared" ref="H592:H607" ca="1" si="63">IF(J592&lt;&gt;1,"",IF(I592="SBJ","CB","?"))</f>
        <v/>
      </c>
      <c r="I592" s="25" t="str">
        <f>IF(OR(E592="",E592="!!!",F592="NEW"),"",INDEX(B$2:B591,-1+SUMPRODUCT(MAX(ROW(E$2:E591)*(E592=E$2:E591)))))</f>
        <v/>
      </c>
      <c r="J592" s="25" t="str">
        <f ca="1">IF(OR(E592="",E592="!!!",F592="NEW"),"",COUNTBLANK(OFFSET(A$1,,,SUMPRODUCT(MAX(ROW(E$2:E592)*(E592=E$2:E592)))))-COUNTBLANK(OFFSET(A$1,,,SUMPRODUCT(MAX(ROW(E$1:E591)*(E2=E$1:E591))))))</f>
        <v/>
      </c>
      <c r="K592" s="25" t="str">
        <f>IF(OR(E592="",E592="!!!",F592="NEW"),"",INDEX(J$1:J591,SUMPRODUCT(MAX(ROW(E$1:E591)*(E592=E$1:E591)))))</f>
        <v/>
      </c>
      <c r="L592" s="26"/>
    </row>
    <row r="593" spans="1:12" x14ac:dyDescent="0.3">
      <c r="A593" t="s">
        <v>183</v>
      </c>
      <c r="B593" s="20" t="s">
        <v>184</v>
      </c>
      <c r="C593" s="20" t="s">
        <v>185</v>
      </c>
      <c r="D593" s="20" t="s">
        <v>186</v>
      </c>
      <c r="E593" s="21" t="s">
        <v>721</v>
      </c>
      <c r="F593" s="22" t="str">
        <f>IF(OR(E593="",E593="!!!"),"",IF(NOT(ISNA(VLOOKUP(E593,E$1:E592,1,FALSE()))),"OLD",IF(AND(E593&lt;&gt;"",E593&lt;&gt;"!!!"),"NEW","")))</f>
        <v>OLD</v>
      </c>
      <c r="G593" s="23" t="s">
        <v>723</v>
      </c>
      <c r="H593" s="24" t="str">
        <f t="shared" ca="1" si="63"/>
        <v/>
      </c>
      <c r="I593" s="25" t="str">
        <f>IF(OR(E593="",E593="!!!",F593="NEW"),"",INDEX(B$2:B592,-1+SUMPRODUCT(MAX(ROW(E$2:E592)*(E593=E$2:E592)))))</f>
        <v>SBJ</v>
      </c>
      <c r="J593" s="25">
        <f ca="1">IF(OR(E593="",E593="!!!",F593="NEW"),"",COUNTBLANK(OFFSET(A$1,,,SUMPRODUCT(MAX(ROW(E$2:E593)*(E593=E$2:E593)))))-COUNTBLANK(OFFSET(A$1,,,SUMPRODUCT(MAX(ROW(E$1:E592)*(E2=E$1:E592))))))</f>
        <v>0</v>
      </c>
      <c r="K593" s="25">
        <f ca="1">IF(OR(E593="",E593="!!!",F593="NEW"),"",INDEX(J$1:J592,SUMPRODUCT(MAX(ROW(E$1:E592)*(E593=E$1:E592)))))</f>
        <v>0</v>
      </c>
      <c r="L593" s="26"/>
    </row>
    <row r="594" spans="1:12" x14ac:dyDescent="0.3">
      <c r="A594" t="s">
        <v>339</v>
      </c>
      <c r="E594" s="21" t="str">
        <f t="shared" si="62"/>
        <v/>
      </c>
      <c r="F594" s="22" t="str">
        <f>IF(OR(E594="",E594="!!!"),"",IF(NOT(ISNA(VLOOKUP(E594,E$1:E593,1,FALSE()))),"OLD",IF(AND(E594&lt;&gt;"",E594&lt;&gt;"!!!"),"NEW","")))</f>
        <v/>
      </c>
      <c r="G594" s="23" t="str">
        <f>IF(OR(E594="",E594="!!!"),"",IF(OR(J594=0,AND(J594=1,K594=1),AND(J594=1,I594="SBJ"),AND(J594=1,I594=0)),"?IN_FOCUS",IF(J594&lt;=2,"?ACTIVATED",IF(J594&lt;&gt;"","?FAMILIAR",IF(F594="NEW",IF(ISNA(VLOOKUP(E594,#REF!,1,FALSE())),"?TYPE_IDENTIFIABLE","?REFERENTIAL"),"_")))))</f>
        <v/>
      </c>
      <c r="H594" s="24" t="str">
        <f t="shared" ca="1" si="63"/>
        <v/>
      </c>
      <c r="I594" s="25" t="str">
        <f>IF(OR(E594="",E594="!!!",F594="NEW"),"",INDEX(B$2:B593,-1+SUMPRODUCT(MAX(ROW(E$2:E593)*(E594=E$2:E593)))))</f>
        <v/>
      </c>
      <c r="J594" s="25" t="str">
        <f ca="1">IF(OR(E594="",E594="!!!",F594="NEW"),"",COUNTBLANK(OFFSET(A$1,,,SUMPRODUCT(MAX(ROW(E$2:E594)*(E594=E$2:E594)))))-COUNTBLANK(OFFSET(A$1,,,SUMPRODUCT(MAX(ROW(E$1:E593)*(E2=E$1:E593))))))</f>
        <v/>
      </c>
      <c r="K594" s="25" t="str">
        <f>IF(OR(E594="",E594="!!!",F594="NEW"),"",INDEX(J$1:J593,SUMPRODUCT(MAX(ROW(E$1:E593)*(E594=E$1:E593)))))</f>
        <v/>
      </c>
      <c r="L594" s="26"/>
    </row>
    <row r="595" spans="1:12" x14ac:dyDescent="0.3">
      <c r="A595" t="s">
        <v>541</v>
      </c>
      <c r="B595" s="20" t="s">
        <v>201</v>
      </c>
      <c r="C595" s="20" t="s">
        <v>197</v>
      </c>
      <c r="E595" s="21" t="s">
        <v>800</v>
      </c>
      <c r="F595" s="22" t="str">
        <f>IF(OR(E595="",E595="!!!"),"",IF(NOT(ISNA(VLOOKUP(E595,E$1:E594,1,FALSE()))),"OLD",IF(AND(E595&lt;&gt;"",E595&lt;&gt;"!!!"),"NEW","")))</f>
        <v>NEW</v>
      </c>
      <c r="G595" s="23" t="s">
        <v>176</v>
      </c>
      <c r="H595" s="24" t="str">
        <f t="shared" ca="1" si="63"/>
        <v/>
      </c>
      <c r="I595" s="25" t="str">
        <f>IF(OR(E595="",E595="!!!",F595="NEW"),"",INDEX(B$2:B594,-1+SUMPRODUCT(MAX(ROW(E$2:E594)*(E595=E$2:E594)))))</f>
        <v/>
      </c>
      <c r="J595" s="25" t="str">
        <f ca="1">IF(OR(E595="",E595="!!!",F595="NEW"),"",COUNTBLANK(OFFSET(A$1,,,SUMPRODUCT(MAX(ROW(E$2:E595)*(E595=E$2:E595)))))-COUNTBLANK(OFFSET(A$1,,,SUMPRODUCT(MAX(ROW(E$1:E594)*(E2=E$1:E594))))))</f>
        <v/>
      </c>
      <c r="K595" s="25" t="str">
        <f>IF(OR(E595="",E595="!!!",F595="NEW"),"",INDEX(J$1:J594,SUMPRODUCT(MAX(ROW(E$1:E594)*(E595=E$1:E594)))))</f>
        <v/>
      </c>
      <c r="L595" s="26" t="s">
        <v>761</v>
      </c>
    </row>
    <row r="596" spans="1:12" x14ac:dyDescent="0.3">
      <c r="A596" t="s">
        <v>187</v>
      </c>
      <c r="E596" s="21" t="str">
        <f t="shared" si="62"/>
        <v/>
      </c>
      <c r="F596" s="22" t="str">
        <f>IF(OR(E596="",E596="!!!"),"",IF(NOT(ISNA(VLOOKUP(E596,E$1:E595,1,FALSE()))),"OLD",IF(AND(E596&lt;&gt;"",E596&lt;&gt;"!!!"),"NEW","")))</f>
        <v/>
      </c>
      <c r="G596" s="23" t="str">
        <f>IF(OR(E596="",E596="!!!"),"",IF(OR(J596=0,AND(J596=1,K596=1),AND(J596=1,I596="SBJ"),AND(J596=1,I596=0)),"?IN_FOCUS",IF(J596&lt;=2,"?ACTIVATED",IF(J596&lt;&gt;"","?FAMILIAR",IF(F596="NEW",IF(ISNA(VLOOKUP(E596,#REF!,1,FALSE())),"?TYPE_IDENTIFIABLE","?REFERENTIAL"),"_")))))</f>
        <v/>
      </c>
      <c r="H596" s="24" t="str">
        <f t="shared" ca="1" si="63"/>
        <v/>
      </c>
      <c r="I596" s="25" t="str">
        <f>IF(OR(E596="",E596="!!!",F596="NEW"),"",INDEX(B$2:B595,-1+SUMPRODUCT(MAX(ROW(E$2:E595)*(E596=E$2:E595)))))</f>
        <v/>
      </c>
      <c r="J596" s="25" t="str">
        <f ca="1">IF(OR(E596="",E596="!!!",F596="NEW"),"",COUNTBLANK(OFFSET(A$1,,,SUMPRODUCT(MAX(ROW(E$2:E596)*(E596=E$2:E596)))))-COUNTBLANK(OFFSET(A$1,,,SUMPRODUCT(MAX(ROW(E$1:E595)*(E2=E$1:E595))))))</f>
        <v/>
      </c>
      <c r="K596" s="25" t="str">
        <f>IF(OR(E596="",E596="!!!",F596="NEW"),"",INDEX(J$1:J595,SUMPRODUCT(MAX(ROW(E$1:E595)*(E596=E$1:E595)))))</f>
        <v/>
      </c>
      <c r="L596" s="26"/>
    </row>
    <row r="597" spans="1:12" x14ac:dyDescent="0.3">
      <c r="A597" t="s">
        <v>542</v>
      </c>
      <c r="B597" s="20" t="s">
        <v>196</v>
      </c>
      <c r="C597" s="20" t="s">
        <v>197</v>
      </c>
      <c r="E597" s="21" t="s">
        <v>801</v>
      </c>
      <c r="F597" s="22" t="str">
        <f>IF(OR(E597="",E597="!!!"),"",IF(NOT(ISNA(VLOOKUP(E597,E$1:E596,1,FALSE()))),"OLD",IF(AND(E597&lt;&gt;"",E597&lt;&gt;"!!!"),"NEW","")))</f>
        <v>NEW</v>
      </c>
      <c r="G597" s="23" t="s">
        <v>176</v>
      </c>
      <c r="H597" s="24" t="str">
        <f t="shared" ca="1" si="63"/>
        <v/>
      </c>
      <c r="I597" s="25" t="str">
        <f>IF(OR(E597="",E597="!!!",F597="NEW"),"",INDEX(B$2:B596,-1+SUMPRODUCT(MAX(ROW(E$2:E596)*(E597=E$2:E596)))))</f>
        <v/>
      </c>
      <c r="J597" s="25" t="str">
        <f ca="1">IF(OR(E597="",E597="!!!",F597="NEW"),"",COUNTBLANK(OFFSET(A$1,,,SUMPRODUCT(MAX(ROW(E$2:E597)*(E597=E$2:E597)))))-COUNTBLANK(OFFSET(A$1,,,SUMPRODUCT(MAX(ROW(E$1:E596)*(E2=E$1:E596))))))</f>
        <v/>
      </c>
      <c r="K597" s="25" t="str">
        <f>IF(OR(E597="",E597="!!!",F597="NEW"),"",INDEX(J$1:J596,SUMPRODUCT(MAX(ROW(E$1:E596)*(E597=E$1:E596)))))</f>
        <v/>
      </c>
      <c r="L597" s="26" t="s">
        <v>761</v>
      </c>
    </row>
    <row r="598" spans="1:12" x14ac:dyDescent="0.3">
      <c r="A598" t="s">
        <v>543</v>
      </c>
      <c r="E598" s="21" t="str">
        <f t="shared" si="62"/>
        <v/>
      </c>
      <c r="F598" s="22" t="str">
        <f>IF(OR(E598="",E598="!!!"),"",IF(NOT(ISNA(VLOOKUP(E598,E$1:E597,1,FALSE()))),"OLD",IF(AND(E598&lt;&gt;"",E598&lt;&gt;"!!!"),"NEW","")))</f>
        <v/>
      </c>
      <c r="G598" s="23" t="str">
        <f>IF(OR(E598="",E598="!!!"),"",IF(OR(J598=0,AND(J598=1,K598=1),AND(J598=1,I598="SBJ"),AND(J598=1,I598=0)),"?IN_FOCUS",IF(J598&lt;=2,"?ACTIVATED",IF(J598&lt;&gt;"","?FAMILIAR",IF(F598="NEW",IF(ISNA(VLOOKUP(E598,#REF!,1,FALSE())),"?TYPE_IDENTIFIABLE","?REFERENTIAL"),"_")))))</f>
        <v/>
      </c>
      <c r="H598" s="24" t="str">
        <f t="shared" ca="1" si="63"/>
        <v/>
      </c>
      <c r="I598" s="25" t="str">
        <f>IF(OR(E598="",E598="!!!",F598="NEW"),"",INDEX(B$2:B597,-1+SUMPRODUCT(MAX(ROW(E$2:E597)*(E598=E$2:E597)))))</f>
        <v/>
      </c>
      <c r="J598" s="25" t="str">
        <f ca="1">IF(OR(E598="",E598="!!!",F598="NEW"),"",COUNTBLANK(OFFSET(A$1,,,SUMPRODUCT(MAX(ROW(E$2:E598)*(E598=E$2:E598)))))-COUNTBLANK(OFFSET(A$1,,,SUMPRODUCT(MAX(ROW(E$1:E597)*(E2=E$1:E597))))))</f>
        <v/>
      </c>
      <c r="K598" s="25" t="str">
        <f>IF(OR(E598="",E598="!!!",F598="NEW"),"",INDEX(J$1:J597,SUMPRODUCT(MAX(ROW(E$1:E597)*(E598=E$1:E597)))))</f>
        <v/>
      </c>
      <c r="L598" s="26"/>
    </row>
    <row r="599" spans="1:12" x14ac:dyDescent="0.3">
      <c r="A599" t="s">
        <v>358</v>
      </c>
      <c r="E599" s="21" t="str">
        <f t="shared" si="62"/>
        <v/>
      </c>
      <c r="F599" s="22" t="str">
        <f>IF(OR(E599="",E599="!!!"),"",IF(NOT(ISNA(VLOOKUP(E599,E$1:E598,1,FALSE()))),"OLD",IF(AND(E599&lt;&gt;"",E599&lt;&gt;"!!!"),"NEW","")))</f>
        <v/>
      </c>
      <c r="G599" s="23" t="str">
        <f>IF(OR(E599="",E599="!!!"),"",IF(OR(J599=0,AND(J599=1,K599=1),AND(J599=1,I599="SBJ"),AND(J599=1,I599=0)),"?IN_FOCUS",IF(J599&lt;=2,"?ACTIVATED",IF(J599&lt;&gt;"","?FAMILIAR",IF(F599="NEW",IF(ISNA(VLOOKUP(E599,#REF!,1,FALSE())),"?TYPE_IDENTIFIABLE","?REFERENTIAL"),"_")))))</f>
        <v/>
      </c>
      <c r="H599" s="24" t="str">
        <f t="shared" ca="1" si="63"/>
        <v/>
      </c>
      <c r="I599" s="25" t="str">
        <f>IF(OR(E599="",E599="!!!",F599="NEW"),"",INDEX(B$2:B598,-1+SUMPRODUCT(MAX(ROW(E$2:E598)*(E599=E$2:E598)))))</f>
        <v/>
      </c>
      <c r="J599" s="25" t="str">
        <f ca="1">IF(OR(E599="",E599="!!!",F599="NEW"),"",COUNTBLANK(OFFSET(A$1,,,SUMPRODUCT(MAX(ROW(E$2:E599)*(E599=E$2:E599)))))-COUNTBLANK(OFFSET(A$1,,,SUMPRODUCT(MAX(ROW(E$1:E598)*(E2=E$1:E598))))))</f>
        <v/>
      </c>
      <c r="K599" s="25" t="str">
        <f>IF(OR(E599="",E599="!!!",F599="NEW"),"",INDEX(J$1:J598,SUMPRODUCT(MAX(ROW(E$1:E598)*(E599=E$1:E598)))))</f>
        <v/>
      </c>
      <c r="L599" s="26"/>
    </row>
    <row r="600" spans="1:12" x14ac:dyDescent="0.3">
      <c r="A600" t="s">
        <v>206</v>
      </c>
      <c r="E600" s="21" t="str">
        <f t="shared" si="62"/>
        <v/>
      </c>
      <c r="F600" s="22" t="str">
        <f>IF(OR(E600="",E600="!!!"),"",IF(NOT(ISNA(VLOOKUP(E600,E$1:E599,1,FALSE()))),"OLD",IF(AND(E600&lt;&gt;"",E600&lt;&gt;"!!!"),"NEW","")))</f>
        <v/>
      </c>
      <c r="G600" s="23" t="str">
        <f>IF(OR(E600="",E600="!!!"),"",IF(OR(J600=0,AND(J600=1,K600=1),AND(J600=1,I600="SBJ"),AND(J600=1,I600=0)),"?IN_FOCUS",IF(J600&lt;=2,"?ACTIVATED",IF(J600&lt;&gt;"","?FAMILIAR",IF(F600="NEW",IF(ISNA(VLOOKUP(E600,#REF!,1,FALSE())),"?TYPE_IDENTIFIABLE","?REFERENTIAL"),"_")))))</f>
        <v/>
      </c>
      <c r="H600" s="24" t="str">
        <f t="shared" ca="1" si="63"/>
        <v/>
      </c>
      <c r="I600" s="25" t="str">
        <f>IF(OR(E600="",E600="!!!",F600="NEW"),"",INDEX(B$2:B599,-1+SUMPRODUCT(MAX(ROW(E$2:E599)*(E600=E$2:E599)))))</f>
        <v/>
      </c>
      <c r="J600" s="25" t="str">
        <f ca="1">IF(OR(E600="",E600="!!!",F600="NEW"),"",COUNTBLANK(OFFSET(A$1,,,SUMPRODUCT(MAX(ROW(E$2:E600)*(E600=E$2:E600)))))-COUNTBLANK(OFFSET(A$1,,,SUMPRODUCT(MAX(ROW(E$1:E599)*(E2=E$1:E599))))))</f>
        <v/>
      </c>
      <c r="K600" s="25" t="str">
        <f>IF(OR(E600="",E600="!!!",F600="NEW"),"",INDEX(J$1:J599,SUMPRODUCT(MAX(ROW(E$1:E599)*(E600=E$1:E599)))))</f>
        <v/>
      </c>
      <c r="L600" s="26"/>
    </row>
    <row r="601" spans="1:12" x14ac:dyDescent="0.3">
      <c r="A601" t="s">
        <v>411</v>
      </c>
      <c r="E601" s="21" t="str">
        <f t="shared" si="62"/>
        <v/>
      </c>
      <c r="F601" s="22" t="str">
        <f>IF(OR(E601="",E601="!!!"),"",IF(NOT(ISNA(VLOOKUP(E601,E$1:E600,1,FALSE()))),"OLD",IF(AND(E601&lt;&gt;"",E601&lt;&gt;"!!!"),"NEW","")))</f>
        <v/>
      </c>
      <c r="G601" s="23" t="str">
        <f>IF(OR(E601="",E601="!!!"),"",IF(OR(J601=0,AND(J601=1,K601=1),AND(J601=1,I601="SBJ"),AND(J601=1,I601=0)),"?IN_FOCUS",IF(J601&lt;=2,"?ACTIVATED",IF(J601&lt;&gt;"","?FAMILIAR",IF(F601="NEW",IF(ISNA(VLOOKUP(E601,#REF!,1,FALSE())),"?TYPE_IDENTIFIABLE","?REFERENTIAL"),"_")))))</f>
        <v/>
      </c>
      <c r="H601" s="24" t="str">
        <f t="shared" ca="1" si="63"/>
        <v/>
      </c>
      <c r="I601" s="25" t="str">
        <f>IF(OR(E601="",E601="!!!",F601="NEW"),"",INDEX(B$2:B600,-1+SUMPRODUCT(MAX(ROW(E$2:E600)*(E601=E$2:E600)))))</f>
        <v/>
      </c>
      <c r="J601" s="25" t="str">
        <f ca="1">IF(OR(E601="",E601="!!!",F601="NEW"),"",COUNTBLANK(OFFSET(A$1,,,SUMPRODUCT(MAX(ROW(E$2:E601)*(E601=E$2:E601)))))-COUNTBLANK(OFFSET(A$1,,,SUMPRODUCT(MAX(ROW(E$1:E600)*(E2=E$1:E600))))))</f>
        <v/>
      </c>
      <c r="K601" s="25" t="str">
        <f>IF(OR(E601="",E601="!!!",F601="NEW"),"",INDEX(J$1:J600,SUMPRODUCT(MAX(ROW(E$1:E600)*(E601=E$1:E600)))))</f>
        <v/>
      </c>
      <c r="L601" s="26"/>
    </row>
    <row r="602" spans="1:12" x14ac:dyDescent="0.3">
      <c r="A602" t="s">
        <v>207</v>
      </c>
      <c r="E602" s="21" t="str">
        <f t="shared" si="62"/>
        <v/>
      </c>
      <c r="F602" s="22" t="str">
        <f>IF(OR(E602="",E602="!!!"),"",IF(NOT(ISNA(VLOOKUP(E602,E$1:E601,1,FALSE()))),"OLD",IF(AND(E602&lt;&gt;"",E602&lt;&gt;"!!!"),"NEW","")))</f>
        <v/>
      </c>
      <c r="G602" s="23" t="str">
        <f>IF(OR(E602="",E602="!!!"),"",IF(OR(J602=0,AND(J602=1,K602=1),AND(J602=1,I602="SBJ"),AND(J602=1,I602=0)),"?IN_FOCUS",IF(J602&lt;=2,"?ACTIVATED",IF(J602&lt;&gt;"","?FAMILIAR",IF(F602="NEW",IF(ISNA(VLOOKUP(E602,#REF!,1,FALSE())),"?TYPE_IDENTIFIABLE","?REFERENTIAL"),"_")))))</f>
        <v/>
      </c>
      <c r="H602" s="24" t="str">
        <f t="shared" ca="1" si="63"/>
        <v/>
      </c>
      <c r="I602" s="25" t="str">
        <f>IF(OR(E602="",E602="!!!",F602="NEW"),"",INDEX(B$2:B601,-1+SUMPRODUCT(MAX(ROW(E$2:E601)*(E602=E$2:E601)))))</f>
        <v/>
      </c>
      <c r="J602" s="25" t="str">
        <f ca="1">IF(OR(E602="",E602="!!!",F602="NEW"),"",COUNTBLANK(OFFSET(A$1,,,SUMPRODUCT(MAX(ROW(E$2:E602)*(E602=E$2:E602)))))-COUNTBLANK(OFFSET(A$1,,,SUMPRODUCT(MAX(ROW(E$1:E601)*(E2=E$1:E601))))))</f>
        <v/>
      </c>
      <c r="K602" s="25" t="str">
        <f>IF(OR(E602="",E602="!!!",F602="NEW"),"",INDEX(J$1:J601,SUMPRODUCT(MAX(ROW(E$1:E601)*(E602=E$1:E601)))))</f>
        <v/>
      </c>
      <c r="L602" s="26"/>
    </row>
    <row r="603" spans="1:12" x14ac:dyDescent="0.3">
      <c r="A603" t="s">
        <v>544</v>
      </c>
      <c r="B603" s="20" t="s">
        <v>208</v>
      </c>
      <c r="C603" s="20" t="s">
        <v>216</v>
      </c>
      <c r="D603" s="20" t="s">
        <v>186</v>
      </c>
      <c r="E603" s="21" t="s">
        <v>776</v>
      </c>
      <c r="F603" s="22" t="str">
        <f>IF(OR(E603="",E603="!!!"),"",IF(NOT(ISNA(VLOOKUP(E603,E$1:E602,1,FALSE()))),"OLD",IF(AND(E603&lt;&gt;"",E603&lt;&gt;"!!!"),"NEW","")))</f>
        <v>OLD</v>
      </c>
      <c r="G603" s="23" t="s">
        <v>808</v>
      </c>
      <c r="H603" s="24" t="str">
        <f t="shared" ca="1" si="63"/>
        <v/>
      </c>
      <c r="I603" s="25" t="str">
        <f>IF(OR(E603="",E603="!!!",F603="NEW"),"",INDEX(B$2:B602,-1+SUMPRODUCT(MAX(ROW(E$2:E602)*(E603=E$2:E602)))))</f>
        <v>other</v>
      </c>
      <c r="J603" s="25">
        <f ca="1">IF(OR(E603="",E603="!!!",F603="NEW"),"",COUNTBLANK(OFFSET(A$1,,,SUMPRODUCT(MAX(ROW(E$2:E603)*(E603=E$2:E603)))))-COUNTBLANK(OFFSET(A$1,,,SUMPRODUCT(MAX(ROW(E$1:E602)*(E2=E$1:E602))))))</f>
        <v>0</v>
      </c>
      <c r="K603" s="25" t="str">
        <f ca="1">IF(OR(E603="",E603="!!!",F603="NEW"),"",INDEX(J$1:J602,SUMPRODUCT(MAX(ROW(E$1:E602)*(E603=E$1:E602)))))</f>
        <v/>
      </c>
      <c r="L603" s="26"/>
    </row>
    <row r="604" spans="1:12" x14ac:dyDescent="0.3">
      <c r="A604" t="s">
        <v>407</v>
      </c>
      <c r="E604" s="21" t="str">
        <f t="shared" si="62"/>
        <v/>
      </c>
      <c r="F604" s="22" t="str">
        <f>IF(OR(E604="",E604="!!!"),"",IF(NOT(ISNA(VLOOKUP(E604,E$1:E603,1,FALSE()))),"OLD",IF(AND(E604&lt;&gt;"",E604&lt;&gt;"!!!"),"NEW","")))</f>
        <v/>
      </c>
      <c r="G604" s="23" t="str">
        <f>IF(OR(E604="",E604="!!!"),"",IF(OR(J604=0,AND(J604=1,K604=1),AND(J604=1,I604="SBJ"),AND(J604=1,I604=0)),"?IN_FOCUS",IF(J604&lt;=2,"?ACTIVATED",IF(J604&lt;&gt;"","?FAMILIAR",IF(F604="NEW",IF(ISNA(VLOOKUP(E604,#REF!,1,FALSE())),"?TYPE_IDENTIFIABLE","?REFERENTIAL"),"_")))))</f>
        <v/>
      </c>
      <c r="H604" s="24" t="str">
        <f t="shared" ca="1" si="63"/>
        <v/>
      </c>
      <c r="I604" s="25" t="str">
        <f>IF(OR(E604="",E604="!!!",F604="NEW"),"",INDEX(B$2:B603,-1+SUMPRODUCT(MAX(ROW(E$2:E603)*(E604=E$2:E603)))))</f>
        <v/>
      </c>
      <c r="J604" s="25" t="str">
        <f ca="1">IF(OR(E604="",E604="!!!",F604="NEW"),"",COUNTBLANK(OFFSET(A$1,,,SUMPRODUCT(MAX(ROW(E$2:E604)*(E604=E$2:E604)))))-COUNTBLANK(OFFSET(A$1,,,SUMPRODUCT(MAX(ROW(E$1:E603)*(E2=E$1:E603))))))</f>
        <v/>
      </c>
      <c r="K604" s="25" t="str">
        <f>IF(OR(E604="",E604="!!!",F604="NEW"),"",INDEX(J$1:J603,SUMPRODUCT(MAX(ROW(E$1:E603)*(E604=E$1:E603)))))</f>
        <v/>
      </c>
      <c r="L604" s="26"/>
    </row>
    <row r="605" spans="1:12" x14ac:dyDescent="0.3">
      <c r="A605" t="s">
        <v>545</v>
      </c>
      <c r="E605" s="21" t="str">
        <f t="shared" si="62"/>
        <v/>
      </c>
      <c r="F605" s="22" t="str">
        <f>IF(OR(E605="",E605="!!!"),"",IF(NOT(ISNA(VLOOKUP(E605,E$1:E604,1,FALSE()))),"OLD",IF(AND(E605&lt;&gt;"",E605&lt;&gt;"!!!"),"NEW","")))</f>
        <v/>
      </c>
      <c r="G605" s="23" t="str">
        <f>IF(OR(E605="",E605="!!!"),"",IF(OR(J605=0,AND(J605=1,K605=1),AND(J605=1,I605="SBJ"),AND(J605=1,I605=0)),"?IN_FOCUS",IF(J605&lt;=2,"?ACTIVATED",IF(J605&lt;&gt;"","?FAMILIAR",IF(F605="NEW",IF(ISNA(VLOOKUP(E605,#REF!,1,FALSE())),"?TYPE_IDENTIFIABLE","?REFERENTIAL"),"_")))))</f>
        <v/>
      </c>
      <c r="H605" s="24" t="str">
        <f t="shared" ca="1" si="63"/>
        <v/>
      </c>
      <c r="I605" s="25" t="str">
        <f>IF(OR(E605="",E605="!!!",F605="NEW"),"",INDEX(B$2:B604,-1+SUMPRODUCT(MAX(ROW(E$2:E604)*(E605=E$2:E604)))))</f>
        <v/>
      </c>
      <c r="J605" s="25" t="str">
        <f ca="1">IF(OR(E605="",E605="!!!",F605="NEW"),"",COUNTBLANK(OFFSET(A$1,,,SUMPRODUCT(MAX(ROW(E$2:E605)*(E605=E$2:E605)))))-COUNTBLANK(OFFSET(A$1,,,SUMPRODUCT(MAX(ROW(E$1:E604)*(E2=E$1:E604))))))</f>
        <v/>
      </c>
      <c r="K605" s="25" t="str">
        <f>IF(OR(E605="",E605="!!!",F605="NEW"),"",INDEX(J$1:J604,SUMPRODUCT(MAX(ROW(E$1:E604)*(E605=E$1:E604)))))</f>
        <v/>
      </c>
      <c r="L605" s="26"/>
    </row>
    <row r="606" spans="1:12" x14ac:dyDescent="0.3">
      <c r="A606" t="s">
        <v>339</v>
      </c>
      <c r="E606" s="21" t="str">
        <f t="shared" si="62"/>
        <v/>
      </c>
      <c r="F606" s="22" t="str">
        <f>IF(OR(E606="",E606="!!!"),"",IF(NOT(ISNA(VLOOKUP(E606,E$1:E605,1,FALSE()))),"OLD",IF(AND(E606&lt;&gt;"",E606&lt;&gt;"!!!"),"NEW","")))</f>
        <v/>
      </c>
      <c r="G606" s="23" t="str">
        <f>IF(OR(E606="",E606="!!!"),"",IF(OR(J606=0,AND(J606=1,K606=1),AND(J606=1,I606="SBJ"),AND(J606=1,I606=0)),"?IN_FOCUS",IF(J606&lt;=2,"?ACTIVATED",IF(J606&lt;&gt;"","?FAMILIAR",IF(F606="NEW",IF(ISNA(VLOOKUP(E606,#REF!,1,FALSE())),"?TYPE_IDENTIFIABLE","?REFERENTIAL"),"_")))))</f>
        <v/>
      </c>
      <c r="H606" s="24" t="str">
        <f t="shared" ca="1" si="63"/>
        <v/>
      </c>
      <c r="I606" s="25" t="str">
        <f>IF(OR(E606="",E606="!!!",F606="NEW"),"",INDEX(B$2:B605,-1+SUMPRODUCT(MAX(ROW(E$2:E605)*(E606=E$2:E605)))))</f>
        <v/>
      </c>
      <c r="J606" s="25" t="str">
        <f ca="1">IF(OR(E606="",E606="!!!",F606="NEW"),"",COUNTBLANK(OFFSET(A$1,,,SUMPRODUCT(MAX(ROW(E$2:E606)*(E606=E$2:E606)))))-COUNTBLANK(OFFSET(A$1,,,SUMPRODUCT(MAX(ROW(E$1:E605)*(E2=E$1:E605))))))</f>
        <v/>
      </c>
      <c r="K606" s="25" t="str">
        <f>IF(OR(E606="",E606="!!!",F606="NEW"),"",INDEX(J$1:J605,SUMPRODUCT(MAX(ROW(E$1:E605)*(E606=E$1:E605)))))</f>
        <v/>
      </c>
      <c r="L606" s="26"/>
    </row>
    <row r="607" spans="1:12" x14ac:dyDescent="0.3">
      <c r="A607" t="s">
        <v>212</v>
      </c>
      <c r="E607" s="21" t="str">
        <f t="shared" si="62"/>
        <v/>
      </c>
      <c r="F607" s="22" t="str">
        <f>IF(OR(E607="",E607="!!!"),"",IF(NOT(ISNA(VLOOKUP(E607,E$1:E606,1,FALSE()))),"OLD",IF(AND(E607&lt;&gt;"",E607&lt;&gt;"!!!"),"NEW","")))</f>
        <v/>
      </c>
      <c r="G607" s="23" t="str">
        <f>IF(OR(E607="",E607="!!!"),"",IF(OR(J607=0,AND(J607=1,K607=1),AND(J607=1,I607="SBJ"),AND(J607=1,I607=0)),"?IN_FOCUS",IF(J607&lt;=2,"?ACTIVATED",IF(J607&lt;&gt;"","?FAMILIAR",IF(F607="NEW",IF(ISNA(VLOOKUP(E607,#REF!,1,FALSE())),"?TYPE_IDENTIFIABLE","?REFERENTIAL"),"_")))))</f>
        <v/>
      </c>
      <c r="H607" s="24" t="str">
        <f t="shared" ca="1" si="63"/>
        <v/>
      </c>
      <c r="I607" s="25" t="str">
        <f>IF(OR(E607="",E607="!!!",F607="NEW"),"",INDEX(B$2:B606,-1+SUMPRODUCT(MAX(ROW(E$2:E606)*(E607=E$2:E606)))))</f>
        <v/>
      </c>
      <c r="J607" s="25" t="str">
        <f ca="1">IF(OR(E607="",E607="!!!",F607="NEW"),"",COUNTBLANK(OFFSET(A$1,,,SUMPRODUCT(MAX(ROW(E$2:E607)*(E607=E$2:E607)))))-COUNTBLANK(OFFSET(A$1,,,SUMPRODUCT(MAX(ROW(E$1:E606)*(E2=E$1:E606))))))</f>
        <v/>
      </c>
      <c r="K607" s="25" t="str">
        <f>IF(OR(E607="",E607="!!!",F607="NEW"),"",INDEX(J$1:J606,SUMPRODUCT(MAX(ROW(E$1:E606)*(E607=E$1:E606)))))</f>
        <v/>
      </c>
      <c r="L607" s="26"/>
    </row>
    <row r="609" spans="1:12" x14ac:dyDescent="0.3">
      <c r="A609" t="s">
        <v>546</v>
      </c>
    </row>
    <row r="610" spans="1:12" x14ac:dyDescent="0.3">
      <c r="A610" t="s">
        <v>547</v>
      </c>
      <c r="B610" s="20" t="s">
        <v>201</v>
      </c>
      <c r="C610" s="20" t="s">
        <v>202</v>
      </c>
      <c r="D610" s="20" t="s">
        <v>186</v>
      </c>
      <c r="E610" s="21" t="s">
        <v>802</v>
      </c>
      <c r="F610" s="22" t="s">
        <v>803</v>
      </c>
      <c r="G610" s="23" t="s">
        <v>809</v>
      </c>
      <c r="H610" s="24" t="s">
        <v>178</v>
      </c>
      <c r="I610" s="25" t="e">
        <f>IF(OR(E610="",E610="!!!",F610="NEW"),"",INDEX(B$2:B609,-1+SUMPRODUCT(MAX(ROW(E$2:E609)*(E610=E$2:E609)))))</f>
        <v>#VALUE!</v>
      </c>
      <c r="J610" s="25">
        <f ca="1">IF(OR(E610="",E610="!!!",F610="NEW"),"",COUNTBLANK(OFFSET(A$1,,,SUMPRODUCT(MAX(ROW(E$2:E610)*(E610=E$2:E610)))))-COUNTBLANK(OFFSET(A$1,,,SUMPRODUCT(MAX(ROW(E$1:E609)*(E2=E$1:E609))))))</f>
        <v>0</v>
      </c>
      <c r="K610" s="25" t="e">
        <f>IF(OR(E610="",E610="!!!",F610="NEW"),"",INDEX(J$1:J609,SUMPRODUCT(MAX(ROW(E$1:E609)*(E610=E$1:E609)))))</f>
        <v>#VALUE!</v>
      </c>
      <c r="L610" s="26"/>
    </row>
    <row r="611" spans="1:12" x14ac:dyDescent="0.3">
      <c r="A611" t="s">
        <v>41</v>
      </c>
      <c r="E611" s="21" t="str">
        <f t="shared" ref="E611:E619" si="64">IF(D611="?OLD","!!!","")</f>
        <v/>
      </c>
      <c r="F611" s="22" t="str">
        <f>IF(OR(E611="",E611="!!!"),"",IF(NOT(ISNA(VLOOKUP(E611,E$1:E610,1,FALSE()))),"OLD",IF(AND(E611&lt;&gt;"",E611&lt;&gt;"!!!"),"NEW","")))</f>
        <v/>
      </c>
      <c r="G611" s="23" t="str">
        <f>IF(OR(E611="",E611="!!!"),"",IF(OR(J611=0,AND(J611=1,K611=1),AND(J611=1,I611="SBJ"),AND(J611=1,I611=0)),"?IN_FOCUS",IF(J611&lt;=2,"?ACTIVATED",IF(J611&lt;&gt;"","?FAMILIAR",IF(F611="NEW",IF(ISNA(VLOOKUP(E611,#REF!,1,FALSE())),"?TYPE_IDENTIFIABLE","?REFERENTIAL"),"_")))))</f>
        <v/>
      </c>
      <c r="H611" s="24" t="str">
        <f t="shared" ref="H610:H619" ca="1" si="65">IF(J611&lt;&gt;1,"",IF(I611="SBJ","CB","?"))</f>
        <v/>
      </c>
      <c r="I611" s="25" t="str">
        <f>IF(OR(E611="",E611="!!!",F611="NEW"),"",INDEX(B$2:B610,-1+SUMPRODUCT(MAX(ROW(E$2:E610)*(E611=E$2:E610)))))</f>
        <v/>
      </c>
      <c r="J611" s="25" t="str">
        <f ca="1">IF(OR(E611="",E611="!!!",F611="NEW"),"",COUNTBLANK(OFFSET(A$1,,,SUMPRODUCT(MAX(ROW(E$2:E611)*(E611=E$2:E611)))))-COUNTBLANK(OFFSET(A$1,,,SUMPRODUCT(MAX(ROW(E$1:E610)*(E2=E$1:E610))))))</f>
        <v/>
      </c>
      <c r="K611" s="25" t="str">
        <f>IF(OR(E611="",E611="!!!",F611="NEW"),"",INDEX(J$1:J610,SUMPRODUCT(MAX(ROW(E$1:E610)*(E611=E$1:E610)))))</f>
        <v/>
      </c>
      <c r="L611" s="26"/>
    </row>
    <row r="612" spans="1:12" x14ac:dyDescent="0.3">
      <c r="A612" t="s">
        <v>429</v>
      </c>
      <c r="E612" s="21" t="str">
        <f t="shared" si="64"/>
        <v/>
      </c>
      <c r="F612" s="22" t="str">
        <f>IF(OR(E612="",E612="!!!"),"",IF(NOT(ISNA(VLOOKUP(E612,E$1:E611,1,FALSE()))),"OLD",IF(AND(E612&lt;&gt;"",E612&lt;&gt;"!!!"),"NEW","")))</f>
        <v/>
      </c>
      <c r="G612" s="23" t="str">
        <f>IF(OR(E612="",E612="!!!"),"",IF(OR(J612=0,AND(J612=1,K612=1),AND(J612=1,I612="SBJ"),AND(J612=1,I612=0)),"?IN_FOCUS",IF(J612&lt;=2,"?ACTIVATED",IF(J612&lt;&gt;"","?FAMILIAR",IF(F612="NEW",IF(ISNA(VLOOKUP(E612,#REF!,1,FALSE())),"?TYPE_IDENTIFIABLE","?REFERENTIAL"),"_")))))</f>
        <v/>
      </c>
      <c r="H612" s="24" t="str">
        <f t="shared" ca="1" si="65"/>
        <v/>
      </c>
      <c r="I612" s="25" t="str">
        <f>IF(OR(E612="",E612="!!!",F612="NEW"),"",INDEX(B$2:B611,-1+SUMPRODUCT(MAX(ROW(E$2:E611)*(E612=E$2:E611)))))</f>
        <v/>
      </c>
      <c r="J612" s="25" t="str">
        <f ca="1">IF(OR(E612="",E612="!!!",F612="NEW"),"",COUNTBLANK(OFFSET(A$1,,,SUMPRODUCT(MAX(ROW(E$2:E612)*(E612=E$2:E612)))))-COUNTBLANK(OFFSET(A$1,,,SUMPRODUCT(MAX(ROW(E$1:E611)*(E2=E$1:E611))))))</f>
        <v/>
      </c>
      <c r="K612" s="25" t="str">
        <f>IF(OR(E612="",E612="!!!",F612="NEW"),"",INDEX(J$1:J611,SUMPRODUCT(MAX(ROW(E$1:E611)*(E612=E$1:E611)))))</f>
        <v/>
      </c>
      <c r="L612" s="26"/>
    </row>
    <row r="613" spans="1:12" x14ac:dyDescent="0.3">
      <c r="A613" t="s">
        <v>425</v>
      </c>
      <c r="E613" s="21" t="str">
        <f t="shared" si="64"/>
        <v/>
      </c>
      <c r="F613" s="22" t="str">
        <f>IF(OR(E613="",E613="!!!"),"",IF(NOT(ISNA(VLOOKUP(E613,E$1:E612,1,FALSE()))),"OLD",IF(AND(E613&lt;&gt;"",E613&lt;&gt;"!!!"),"NEW","")))</f>
        <v/>
      </c>
      <c r="G613" s="23" t="str">
        <f>IF(OR(E613="",E613="!!!"),"",IF(OR(J613=0,AND(J613=1,K613=1),AND(J613=1,I613="SBJ"),AND(J613=1,I613=0)),"?IN_FOCUS",IF(J613&lt;=2,"?ACTIVATED",IF(J613&lt;&gt;"","?FAMILIAR",IF(F613="NEW",IF(ISNA(VLOOKUP(E613,#REF!,1,FALSE())),"?TYPE_IDENTIFIABLE","?REFERENTIAL"),"_")))))</f>
        <v/>
      </c>
      <c r="H613" s="24" t="str">
        <f t="shared" ca="1" si="65"/>
        <v/>
      </c>
      <c r="I613" s="25" t="str">
        <f>IF(OR(E613="",E613="!!!",F613="NEW"),"",INDEX(B$2:B612,-1+SUMPRODUCT(MAX(ROW(E$2:E612)*(E613=E$2:E612)))))</f>
        <v/>
      </c>
      <c r="J613" s="25" t="str">
        <f ca="1">IF(OR(E613="",E613="!!!",F613="NEW"),"",COUNTBLANK(OFFSET(A$1,,,SUMPRODUCT(MAX(ROW(E$2:E613)*(E613=E$2:E613)))))-COUNTBLANK(OFFSET(A$1,,,SUMPRODUCT(MAX(ROW(E$1:E612)*(E2=E$1:E612))))))</f>
        <v/>
      </c>
      <c r="K613" s="25" t="str">
        <f>IF(OR(E613="",E613="!!!",F613="NEW"),"",INDEX(J$1:J612,SUMPRODUCT(MAX(ROW(E$1:E612)*(E613=E$1:E612)))))</f>
        <v/>
      </c>
      <c r="L613" s="26"/>
    </row>
    <row r="614" spans="1:12" x14ac:dyDescent="0.3">
      <c r="A614" t="s">
        <v>548</v>
      </c>
      <c r="E614" s="21" t="str">
        <f t="shared" si="64"/>
        <v/>
      </c>
      <c r="F614" s="22" t="str">
        <f>IF(OR(E614="",E614="!!!"),"",IF(NOT(ISNA(VLOOKUP(E614,E$1:E613,1,FALSE()))),"OLD",IF(AND(E614&lt;&gt;"",E614&lt;&gt;"!!!"),"NEW","")))</f>
        <v/>
      </c>
      <c r="G614" s="23" t="str">
        <f>IF(OR(E614="",E614="!!!"),"",IF(OR(J614=0,AND(J614=1,K614=1),AND(J614=1,I614="SBJ"),AND(J614=1,I614=0)),"?IN_FOCUS",IF(J614&lt;=2,"?ACTIVATED",IF(J614&lt;&gt;"","?FAMILIAR",IF(F614="NEW",IF(ISNA(VLOOKUP(E614,#REF!,1,FALSE())),"?TYPE_IDENTIFIABLE","?REFERENTIAL"),"_")))))</f>
        <v/>
      </c>
      <c r="H614" s="24" t="str">
        <f t="shared" ca="1" si="65"/>
        <v/>
      </c>
      <c r="I614" s="25" t="str">
        <f>IF(OR(E614="",E614="!!!",F614="NEW"),"",INDEX(B$2:B613,-1+SUMPRODUCT(MAX(ROW(E$2:E613)*(E614=E$2:E613)))))</f>
        <v/>
      </c>
      <c r="J614" s="25" t="str">
        <f ca="1">IF(OR(E614="",E614="!!!",F614="NEW"),"",COUNTBLANK(OFFSET(A$1,,,SUMPRODUCT(MAX(ROW(E$2:E614)*(E614=E$2:E614)))))-COUNTBLANK(OFFSET(A$1,,,SUMPRODUCT(MAX(ROW(E$1:E613)*(E2=E$1:E613))))))</f>
        <v/>
      </c>
      <c r="K614" s="25" t="str">
        <f>IF(OR(E614="",E614="!!!",F614="NEW"),"",INDEX(J$1:J613,SUMPRODUCT(MAX(ROW(E$1:E613)*(E614=E$1:E613)))))</f>
        <v/>
      </c>
      <c r="L614" s="26"/>
    </row>
    <row r="615" spans="1:12" x14ac:dyDescent="0.3">
      <c r="A615" t="s">
        <v>549</v>
      </c>
      <c r="B615" s="20" t="s">
        <v>184</v>
      </c>
      <c r="C615" s="20" t="s">
        <v>193</v>
      </c>
      <c r="E615" s="21" t="str">
        <f t="shared" si="64"/>
        <v/>
      </c>
      <c r="F615" s="22" t="str">
        <f>IF(OR(E615="",E615="!!!"),"",IF(NOT(ISNA(VLOOKUP(E615,E$1:E614,1,FALSE()))),"OLD",IF(AND(E615&lt;&gt;"",E615&lt;&gt;"!!!"),"NEW","")))</f>
        <v/>
      </c>
      <c r="G615" s="23" t="str">
        <f>IF(OR(E615="",E615="!!!"),"",IF(OR(J615=0,AND(J615=1,K615=1),AND(J615=1,I615="SBJ"),AND(J615=1,I615=0)),"?IN_FOCUS",IF(J615&lt;=2,"?ACTIVATED",IF(J615&lt;&gt;"","?FAMILIAR",IF(F615="NEW",IF(ISNA(VLOOKUP(E615,#REF!,1,FALSE())),"?TYPE_IDENTIFIABLE","?REFERENTIAL"),"_")))))</f>
        <v/>
      </c>
      <c r="H615" s="24" t="str">
        <f t="shared" ca="1" si="65"/>
        <v/>
      </c>
      <c r="I615" s="25" t="str">
        <f>IF(OR(E615="",E615="!!!",F615="NEW"),"",INDEX(B$2:B614,-1+SUMPRODUCT(MAX(ROW(E$2:E614)*(E615=E$2:E614)))))</f>
        <v/>
      </c>
      <c r="J615" s="25" t="str">
        <f ca="1">IF(OR(E615="",E615="!!!",F615="NEW"),"",COUNTBLANK(OFFSET(A$1,,,SUMPRODUCT(MAX(ROW(E$2:E615)*(E615=E$2:E615)))))-COUNTBLANK(OFFSET(A$1,,,SUMPRODUCT(MAX(ROW(E$1:E614)*(E2=E$1:E614))))))</f>
        <v/>
      </c>
      <c r="K615" s="25" t="str">
        <f>IF(OR(E615="",E615="!!!",F615="NEW"),"",INDEX(J$1:J614,SUMPRODUCT(MAX(ROW(E$1:E614)*(E615=E$1:E614)))))</f>
        <v/>
      </c>
      <c r="L615" s="26"/>
    </row>
    <row r="616" spans="1:12" x14ac:dyDescent="0.3">
      <c r="A616" t="s">
        <v>223</v>
      </c>
      <c r="E616" s="21" t="str">
        <f t="shared" si="64"/>
        <v/>
      </c>
      <c r="F616" s="22" t="str">
        <f>IF(OR(E616="",E616="!!!"),"",IF(NOT(ISNA(VLOOKUP(E616,E$1:E615,1,FALSE()))),"OLD",IF(AND(E616&lt;&gt;"",E616&lt;&gt;"!!!"),"NEW","")))</f>
        <v/>
      </c>
      <c r="G616" s="23" t="str">
        <f>IF(OR(E616="",E616="!!!"),"",IF(OR(J616=0,AND(J616=1,K616=1),AND(J616=1,I616="SBJ"),AND(J616=1,I616=0)),"?IN_FOCUS",IF(J616&lt;=2,"?ACTIVATED",IF(J616&lt;&gt;"","?FAMILIAR",IF(F616="NEW",IF(ISNA(VLOOKUP(E616,#REF!,1,FALSE())),"?TYPE_IDENTIFIABLE","?REFERENTIAL"),"_")))))</f>
        <v/>
      </c>
      <c r="H616" s="24" t="str">
        <f t="shared" ca="1" si="65"/>
        <v/>
      </c>
      <c r="I616" s="25" t="str">
        <f>IF(OR(E616="",E616="!!!",F616="NEW"),"",INDEX(B$2:B615,-1+SUMPRODUCT(MAX(ROW(E$2:E615)*(E616=E$2:E615)))))</f>
        <v/>
      </c>
      <c r="J616" s="25" t="str">
        <f ca="1">IF(OR(E616="",E616="!!!",F616="NEW"),"",COUNTBLANK(OFFSET(A$1,,,SUMPRODUCT(MAX(ROW(E$2:E616)*(E616=E$2:E616)))))-COUNTBLANK(OFFSET(A$1,,,SUMPRODUCT(MAX(ROW(E$1:E615)*(E2=E$1:E615))))))</f>
        <v/>
      </c>
      <c r="K616" s="25" t="str">
        <f>IF(OR(E616="",E616="!!!",F616="NEW"),"",INDEX(J$1:J615,SUMPRODUCT(MAX(ROW(E$1:E615)*(E616=E$1:E615)))))</f>
        <v/>
      </c>
      <c r="L616" s="26"/>
    </row>
    <row r="617" spans="1:12" x14ac:dyDescent="0.3">
      <c r="A617" t="s">
        <v>361</v>
      </c>
      <c r="E617" s="21" t="str">
        <f t="shared" si="64"/>
        <v/>
      </c>
      <c r="F617" s="22" t="str">
        <f>IF(OR(E617="",E617="!!!"),"",IF(NOT(ISNA(VLOOKUP(E617,E$1:E616,1,FALSE()))),"OLD",IF(AND(E617&lt;&gt;"",E617&lt;&gt;"!!!"),"NEW","")))</f>
        <v/>
      </c>
      <c r="G617" s="23" t="str">
        <f>IF(OR(E617="",E617="!!!"),"",IF(OR(J617=0,AND(J617=1,K617=1),AND(J617=1,I617="SBJ"),AND(J617=1,I617=0)),"?IN_FOCUS",IF(J617&lt;=2,"?ACTIVATED",IF(J617&lt;&gt;"","?FAMILIAR",IF(F617="NEW",IF(ISNA(VLOOKUP(E617,#REF!,1,FALSE())),"?TYPE_IDENTIFIABLE","?REFERENTIAL"),"_")))))</f>
        <v/>
      </c>
      <c r="H617" s="24" t="str">
        <f t="shared" ca="1" si="65"/>
        <v/>
      </c>
      <c r="I617" s="25" t="str">
        <f>IF(OR(E617="",E617="!!!",F617="NEW"),"",INDEX(B$2:B616,-1+SUMPRODUCT(MAX(ROW(E$2:E616)*(E617=E$2:E616)))))</f>
        <v/>
      </c>
      <c r="J617" s="25" t="str">
        <f ca="1">IF(OR(E617="",E617="!!!",F617="NEW"),"",COUNTBLANK(OFFSET(A$1,,,SUMPRODUCT(MAX(ROW(E$2:E617)*(E617=E$2:E617)))))-COUNTBLANK(OFFSET(A$1,,,SUMPRODUCT(MAX(ROW(E$1:E616)*(E2=E$1:E616))))))</f>
        <v/>
      </c>
      <c r="K617" s="25" t="str">
        <f>IF(OR(E617="",E617="!!!",F617="NEW"),"",INDEX(J$1:J616,SUMPRODUCT(MAX(ROW(E$1:E616)*(E617=E$1:E616)))))</f>
        <v/>
      </c>
      <c r="L617" s="26"/>
    </row>
    <row r="618" spans="1:12" x14ac:dyDescent="0.3">
      <c r="A618" t="s">
        <v>550</v>
      </c>
      <c r="B618" s="20" t="s">
        <v>196</v>
      </c>
      <c r="C618" s="20" t="s">
        <v>185</v>
      </c>
      <c r="D618" s="20" t="s">
        <v>186</v>
      </c>
      <c r="E618" s="21" t="s">
        <v>760</v>
      </c>
      <c r="F618" s="22" t="str">
        <f>IF(OR(E618="",E618="!!!"),"",IF(NOT(ISNA(VLOOKUP(E618,E$1:E617,1,FALSE()))),"OLD",IF(AND(E618&lt;&gt;"",E618&lt;&gt;"!!!"),"NEW","")))</f>
        <v>OLD</v>
      </c>
      <c r="G618" s="23" t="s">
        <v>723</v>
      </c>
      <c r="H618" s="24" t="str">
        <f t="shared" ca="1" si="65"/>
        <v/>
      </c>
      <c r="I618" s="25" t="str">
        <f>IF(OR(E618="",E618="!!!",F618="NEW"),"",INDEX(B$2:B617,-1+SUMPRODUCT(MAX(ROW(E$2:E617)*(E618=E$2:E617)))))</f>
        <v>other_3</v>
      </c>
      <c r="J618" s="25">
        <f ca="1">IF(OR(E618="",E618="!!!",F618="NEW"),"",COUNTBLANK(OFFSET(A$1,,,SUMPRODUCT(MAX(ROW(E$2:E618)*(E618=E$2:E618)))))-COUNTBLANK(OFFSET(A$1,,,SUMPRODUCT(MAX(ROW(E$1:E617)*(E2=E$1:E617))))))</f>
        <v>0</v>
      </c>
      <c r="K618" s="25" t="str">
        <f ca="1">IF(OR(E618="",E618="!!!",F618="NEW"),"",INDEX(J$1:J617,SUMPRODUCT(MAX(ROW(E$1:E617)*(E618=E$1:E617)))))</f>
        <v/>
      </c>
      <c r="L618" s="26"/>
    </row>
    <row r="619" spans="1:12" x14ac:dyDescent="0.3">
      <c r="A619" t="s">
        <v>212</v>
      </c>
      <c r="E619" s="21" t="str">
        <f t="shared" si="64"/>
        <v/>
      </c>
      <c r="F619" s="22" t="str">
        <f>IF(OR(E619="",E619="!!!"),"",IF(NOT(ISNA(VLOOKUP(E619,E$1:E618,1,FALSE()))),"OLD",IF(AND(E619&lt;&gt;"",E619&lt;&gt;"!!!"),"NEW","")))</f>
        <v/>
      </c>
      <c r="G619" s="23" t="str">
        <f>IF(OR(E619="",E619="!!!"),"",IF(OR(J619=0,AND(J619=1,K619=1),AND(J619=1,I619="SBJ"),AND(J619=1,I619=0)),"?IN_FOCUS",IF(J619&lt;=2,"?ACTIVATED",IF(J619&lt;&gt;"","?FAMILIAR",IF(F619="NEW",IF(ISNA(VLOOKUP(E619,#REF!,1,FALSE())),"?TYPE_IDENTIFIABLE","?REFERENTIAL"),"_")))))</f>
        <v/>
      </c>
      <c r="H619" s="24" t="str">
        <f t="shared" ca="1" si="65"/>
        <v/>
      </c>
      <c r="I619" s="25" t="str">
        <f>IF(OR(E619="",E619="!!!",F619="NEW"),"",INDEX(B$2:B618,-1+SUMPRODUCT(MAX(ROW(E$2:E618)*(E619=E$2:E618)))))</f>
        <v/>
      </c>
      <c r="J619" s="25" t="str">
        <f ca="1">IF(OR(E619="",E619="!!!",F619="NEW"),"",COUNTBLANK(OFFSET(A$1,,,SUMPRODUCT(MAX(ROW(E$2:E619)*(E619=E$2:E619)))))-COUNTBLANK(OFFSET(A$1,,,SUMPRODUCT(MAX(ROW(E$1:E618)*(E2=E$1:E618))))))</f>
        <v/>
      </c>
      <c r="K619" s="25" t="str">
        <f>IF(OR(E619="",E619="!!!",F619="NEW"),"",INDEX(J$1:J618,SUMPRODUCT(MAX(ROW(E$1:E618)*(E619=E$1:E618)))))</f>
        <v/>
      </c>
      <c r="L619" s="26"/>
    </row>
    <row r="621" spans="1:12" x14ac:dyDescent="0.3">
      <c r="A621" t="s">
        <v>551</v>
      </c>
    </row>
    <row r="622" spans="1:12" x14ac:dyDescent="0.3">
      <c r="A622" t="s">
        <v>552</v>
      </c>
      <c r="B622" s="20" t="s">
        <v>196</v>
      </c>
      <c r="C622" s="20" t="s">
        <v>275</v>
      </c>
      <c r="D622" s="20" t="s">
        <v>186</v>
      </c>
      <c r="E622" s="21"/>
      <c r="F622" s="22" t="str">
        <f>IF(OR(E622="",E622="!!!"),"",IF(NOT(ISNA(VLOOKUP(E622,E$1:E621,1,FALSE()))),"OLD",IF(AND(E622&lt;&gt;"",E622&lt;&gt;"!!!"),"NEW","")))</f>
        <v/>
      </c>
      <c r="G622" s="23" t="str">
        <f>IF(OR(E622="",E622="!!!"),"",IF(OR(J622=0,AND(J622=1,K622=1),AND(J622=1,I622="SBJ"),AND(J622=1,I622=0)),"?IN_FOCUS",IF(J622&lt;=2,"?ACTIVATED",IF(J622&lt;&gt;"","?FAMILIAR",IF(F622="NEW",IF(ISNA(VLOOKUP(E622,#REF!,1,FALSE())),"?TYPE_IDENTIFIABLE","?REFERENTIAL"),"_")))))</f>
        <v/>
      </c>
      <c r="H622" s="24" t="str">
        <f t="shared" ref="H622:H639" ca="1" si="66">IF(J622&lt;&gt;1,"",IF(I622="SBJ","CB","?"))</f>
        <v/>
      </c>
      <c r="I622" s="25" t="str">
        <f>IF(OR(E622="",E622="!!!",F622="NEW"),"",INDEX(B$2:B621,-1+SUMPRODUCT(MAX(ROW(E$2:E621)*(E622=E$2:E621)))))</f>
        <v/>
      </c>
      <c r="J622" s="25" t="str">
        <f ca="1">IF(OR(E622="",E622="!!!",F622="NEW"),"",COUNTBLANK(OFFSET(A$1,,,SUMPRODUCT(MAX(ROW(E$2:E622)*(E622=E$2:E622)))))-COUNTBLANK(OFFSET(A$1,,,SUMPRODUCT(MAX(ROW(E$1:E621)*(E2=E$1:E621))))))</f>
        <v/>
      </c>
      <c r="K622" s="25" t="str">
        <f>IF(OR(E622="",E622="!!!",F622="NEW"),"",INDEX(J$1:J621,SUMPRODUCT(MAX(ROW(E$1:E621)*(E622=E$1:E621)))))</f>
        <v/>
      </c>
      <c r="L622" s="26" t="s">
        <v>757</v>
      </c>
    </row>
    <row r="623" spans="1:12" x14ac:dyDescent="0.3">
      <c r="A623" t="s">
        <v>553</v>
      </c>
      <c r="B623" s="20" t="s">
        <v>184</v>
      </c>
      <c r="C623" s="20" t="s">
        <v>277</v>
      </c>
      <c r="D623" s="20" t="s">
        <v>186</v>
      </c>
      <c r="E623" s="21" t="s">
        <v>762</v>
      </c>
      <c r="F623" s="22" t="s">
        <v>725</v>
      </c>
      <c r="G623" s="23"/>
      <c r="H623" s="24" t="str">
        <f t="shared" ca="1" si="66"/>
        <v/>
      </c>
      <c r="I623" s="25" t="e">
        <f>IF(OR(E623="",E623="!!!",F623="NEW"),"",INDEX(B$2:B622,-1+SUMPRODUCT(MAX(ROW(E$2:E622)*(E623=E$2:E622)))))</f>
        <v>#VALUE!</v>
      </c>
      <c r="J623" s="25">
        <f ca="1">IF(OR(E623="",E623="!!!",F623="NEW"),"",COUNTBLANK(OFFSET(A$1,,,SUMPRODUCT(MAX(ROW(E$2:E623)*(E623=E$2:E623)))))-COUNTBLANK(OFFSET(A$1,,,SUMPRODUCT(MAX(ROW(E$1:E622)*(E2=E$1:E622))))))</f>
        <v>0</v>
      </c>
      <c r="K623" s="25" t="e">
        <f>IF(OR(E623="",E623="!!!",F623="NEW"),"",INDEX(J$1:J622,SUMPRODUCT(MAX(ROW(E$1:E622)*(E623=E$1:E622)))))</f>
        <v>#VALUE!</v>
      </c>
      <c r="L623" s="26"/>
    </row>
    <row r="624" spans="1:12" x14ac:dyDescent="0.3">
      <c r="A624" t="s">
        <v>554</v>
      </c>
      <c r="E624" s="21" t="str">
        <f t="shared" ref="E624:E639" si="67">IF(D624="?OLD","!!!","")</f>
        <v/>
      </c>
      <c r="F624" s="22" t="str">
        <f>IF(OR(E624="",E624="!!!"),"",IF(NOT(ISNA(VLOOKUP(E624,E$1:E623,1,FALSE()))),"OLD",IF(AND(E624&lt;&gt;"",E624&lt;&gt;"!!!"),"NEW","")))</f>
        <v/>
      </c>
      <c r="G624" s="23" t="str">
        <f>IF(OR(E624="",E624="!!!"),"",IF(OR(J624=0,AND(J624=1,K624=1),AND(J624=1,I624="SBJ"),AND(J624=1,I624=0)),"?IN_FOCUS",IF(J624&lt;=2,"?ACTIVATED",IF(J624&lt;&gt;"","?FAMILIAR",IF(F624="NEW",IF(ISNA(VLOOKUP(E624,#REF!,1,FALSE())),"?TYPE_IDENTIFIABLE","?REFERENTIAL"),"_")))))</f>
        <v/>
      </c>
      <c r="H624" s="24" t="str">
        <f t="shared" ca="1" si="66"/>
        <v/>
      </c>
      <c r="I624" s="25" t="str">
        <f>IF(OR(E624="",E624="!!!",F624="NEW"),"",INDEX(B$2:B623,-1+SUMPRODUCT(MAX(ROW(E$2:E623)*(E624=E$2:E623)))))</f>
        <v/>
      </c>
      <c r="J624" s="25" t="str">
        <f ca="1">IF(OR(E624="",E624="!!!",F624="NEW"),"",COUNTBLANK(OFFSET(A$1,,,SUMPRODUCT(MAX(ROW(E$2:E624)*(E624=E$2:E624)))))-COUNTBLANK(OFFSET(A$1,,,SUMPRODUCT(MAX(ROW(E$1:E623)*(E2=E$1:E623))))))</f>
        <v/>
      </c>
      <c r="K624" s="25" t="str">
        <f>IF(OR(E624="",E624="!!!",F624="NEW"),"",INDEX(J$1:J623,SUMPRODUCT(MAX(ROW(E$1:E623)*(E624=E$1:E623)))))</f>
        <v/>
      </c>
      <c r="L624" s="26"/>
    </row>
    <row r="625" spans="1:12" x14ac:dyDescent="0.3">
      <c r="A625" t="s">
        <v>361</v>
      </c>
      <c r="E625" s="21" t="str">
        <f t="shared" si="67"/>
        <v/>
      </c>
      <c r="F625" s="22" t="str">
        <f>IF(OR(E625="",E625="!!!"),"",IF(NOT(ISNA(VLOOKUP(E625,E$1:E624,1,FALSE()))),"OLD",IF(AND(E625&lt;&gt;"",E625&lt;&gt;"!!!"),"NEW","")))</f>
        <v/>
      </c>
      <c r="G625" s="23" t="str">
        <f>IF(OR(E625="",E625="!!!"),"",IF(OR(J625=0,AND(J625=1,K625=1),AND(J625=1,I625="SBJ"),AND(J625=1,I625=0)),"?IN_FOCUS",IF(J625&lt;=2,"?ACTIVATED",IF(J625&lt;&gt;"","?FAMILIAR",IF(F625="NEW",IF(ISNA(VLOOKUP(E625,#REF!,1,FALSE())),"?TYPE_IDENTIFIABLE","?REFERENTIAL"),"_")))))</f>
        <v/>
      </c>
      <c r="H625" s="24" t="str">
        <f t="shared" ca="1" si="66"/>
        <v/>
      </c>
      <c r="I625" s="25" t="str">
        <f>IF(OR(E625="",E625="!!!",F625="NEW"),"",INDEX(B$2:B624,-1+SUMPRODUCT(MAX(ROW(E$2:E624)*(E625=E$2:E624)))))</f>
        <v/>
      </c>
      <c r="J625" s="25" t="str">
        <f ca="1">IF(OR(E625="",E625="!!!",F625="NEW"),"",COUNTBLANK(OFFSET(A$1,,,SUMPRODUCT(MAX(ROW(E$2:E625)*(E625=E$2:E625)))))-COUNTBLANK(OFFSET(A$1,,,SUMPRODUCT(MAX(ROW(E$1:E624)*(E2=E$1:E624))))))</f>
        <v/>
      </c>
      <c r="K625" s="25" t="str">
        <f>IF(OR(E625="",E625="!!!",F625="NEW"),"",INDEX(J$1:J624,SUMPRODUCT(MAX(ROW(E$1:E624)*(E625=E$1:E624)))))</f>
        <v/>
      </c>
      <c r="L625" s="26"/>
    </row>
    <row r="626" spans="1:12" x14ac:dyDescent="0.3">
      <c r="A626" t="s">
        <v>555</v>
      </c>
      <c r="B626" s="20" t="s">
        <v>201</v>
      </c>
      <c r="C626" s="20" t="s">
        <v>216</v>
      </c>
      <c r="D626" s="20" t="s">
        <v>186</v>
      </c>
      <c r="E626" s="21" t="s">
        <v>804</v>
      </c>
      <c r="F626" s="22" t="str">
        <f>IF(OR(E626="",E626="!!!"),"",IF(NOT(ISNA(VLOOKUP(E626,E$1:E625,1,FALSE()))),"OLD",IF(AND(E626&lt;&gt;"",E626&lt;&gt;"!!!"),"NEW","")))</f>
        <v>NEW</v>
      </c>
      <c r="G626" s="23" t="s">
        <v>723</v>
      </c>
      <c r="H626" s="24" t="str">
        <f t="shared" ca="1" si="66"/>
        <v/>
      </c>
      <c r="I626" s="25" t="str">
        <f>IF(OR(E626="",E626="!!!",F626="NEW"),"",INDEX(B$2:B625,-1+SUMPRODUCT(MAX(ROW(E$2:E625)*(E626=E$2:E625)))))</f>
        <v/>
      </c>
      <c r="J626" s="25" t="str">
        <f ca="1">IF(OR(E626="",E626="!!!",F626="NEW"),"",COUNTBLANK(OFFSET(A$1,,,SUMPRODUCT(MAX(ROW(E$2:E626)*(E626=E$2:E626)))))-COUNTBLANK(OFFSET(A$1,,,SUMPRODUCT(MAX(ROW(E$1:E625)*(E2=E$1:E625))))))</f>
        <v/>
      </c>
      <c r="K626" s="25" t="str">
        <f>IF(OR(E626="",E626="!!!",F626="NEW"),"",INDEX(J$1:J625,SUMPRODUCT(MAX(ROW(E$1:E625)*(E626=E$1:E625)))))</f>
        <v/>
      </c>
      <c r="L626" s="26"/>
    </row>
    <row r="627" spans="1:12" x14ac:dyDescent="0.3">
      <c r="A627" t="s">
        <v>556</v>
      </c>
      <c r="E627" s="21" t="str">
        <f t="shared" si="67"/>
        <v/>
      </c>
      <c r="F627" s="22" t="str">
        <f>IF(OR(E627="",E627="!!!"),"",IF(NOT(ISNA(VLOOKUP(E627,E$1:E626,1,FALSE()))),"OLD",IF(AND(E627&lt;&gt;"",E627&lt;&gt;"!!!"),"NEW","")))</f>
        <v/>
      </c>
      <c r="G627" s="23" t="str">
        <f>IF(OR(E627="",E627="!!!"),"",IF(OR(J627=0,AND(J627=1,K627=1),AND(J627=1,I627="SBJ"),AND(J627=1,I627=0)),"?IN_FOCUS",IF(J627&lt;=2,"?ACTIVATED",IF(J627&lt;&gt;"","?FAMILIAR",IF(F627="NEW",IF(ISNA(VLOOKUP(E627,#REF!,1,FALSE())),"?TYPE_IDENTIFIABLE","?REFERENTIAL"),"_")))))</f>
        <v/>
      </c>
      <c r="H627" s="24" t="str">
        <f t="shared" ca="1" si="66"/>
        <v/>
      </c>
      <c r="I627" s="25" t="str">
        <f>IF(OR(E627="",E627="!!!",F627="NEW"),"",INDEX(B$2:B626,-1+SUMPRODUCT(MAX(ROW(E$2:E626)*(E627=E$2:E626)))))</f>
        <v/>
      </c>
      <c r="J627" s="25" t="str">
        <f ca="1">IF(OR(E627="",E627="!!!",F627="NEW"),"",COUNTBLANK(OFFSET(A$1,,,SUMPRODUCT(MAX(ROW(E$2:E627)*(E627=E$2:E627)))))-COUNTBLANK(OFFSET(A$1,,,SUMPRODUCT(MAX(ROW(E$1:E626)*(E2=E$1:E626))))))</f>
        <v/>
      </c>
      <c r="K627" s="25" t="str">
        <f>IF(OR(E627="",E627="!!!",F627="NEW"),"",INDEX(J$1:J626,SUMPRODUCT(MAX(ROW(E$1:E626)*(E627=E$1:E626)))))</f>
        <v/>
      </c>
      <c r="L627" s="26"/>
    </row>
    <row r="628" spans="1:12" x14ac:dyDescent="0.3">
      <c r="A628" t="s">
        <v>557</v>
      </c>
      <c r="B628" s="20" t="s">
        <v>222</v>
      </c>
      <c r="C628" s="20" t="s">
        <v>197</v>
      </c>
      <c r="E628" s="21" t="str">
        <f t="shared" si="67"/>
        <v/>
      </c>
      <c r="F628" s="22" t="str">
        <f>IF(OR(E628="",E628="!!!"),"",IF(NOT(ISNA(VLOOKUP(E628,E$1:E627,1,FALSE()))),"OLD",IF(AND(E628&lt;&gt;"",E628&lt;&gt;"!!!"),"NEW","")))</f>
        <v/>
      </c>
      <c r="G628" s="23" t="str">
        <f>IF(OR(E628="",E628="!!!"),"",IF(OR(J628=0,AND(J628=1,K628=1),AND(J628=1,I628="SBJ"),AND(J628=1,I628=0)),"?IN_FOCUS",IF(J628&lt;=2,"?ACTIVATED",IF(J628&lt;&gt;"","?FAMILIAR",IF(F628="NEW",IF(ISNA(VLOOKUP(E628,#REF!,1,FALSE())),"?TYPE_IDENTIFIABLE","?REFERENTIAL"),"_")))))</f>
        <v/>
      </c>
      <c r="H628" s="24" t="str">
        <f t="shared" ca="1" si="66"/>
        <v/>
      </c>
      <c r="I628" s="25" t="str">
        <f>IF(OR(E628="",E628="!!!",F628="NEW"),"",INDEX(B$2:B627,-1+SUMPRODUCT(MAX(ROW(E$2:E627)*(E628=E$2:E627)))))</f>
        <v/>
      </c>
      <c r="J628" s="25" t="str">
        <f ca="1">IF(OR(E628="",E628="!!!",F628="NEW"),"",COUNTBLANK(OFFSET(A$1,,,SUMPRODUCT(MAX(ROW(E$2:E628)*(E628=E$2:E628)))))-COUNTBLANK(OFFSET(A$1,,,SUMPRODUCT(MAX(ROW(E$1:E627)*(E2=E$1:E627))))))</f>
        <v/>
      </c>
      <c r="K628" s="25" t="str">
        <f>IF(OR(E628="",E628="!!!",F628="NEW"),"",INDEX(J$1:J627,SUMPRODUCT(MAX(ROW(E$1:E627)*(E628=E$1:E627)))))</f>
        <v/>
      </c>
      <c r="L628" s="26"/>
    </row>
    <row r="629" spans="1:12" x14ac:dyDescent="0.3">
      <c r="A629" t="s">
        <v>187</v>
      </c>
      <c r="E629" s="21" t="str">
        <f t="shared" si="67"/>
        <v/>
      </c>
      <c r="F629" s="22" t="str">
        <f>IF(OR(E629="",E629="!!!"),"",IF(NOT(ISNA(VLOOKUP(E629,E$1:E628,1,FALSE()))),"OLD",IF(AND(E629&lt;&gt;"",E629&lt;&gt;"!!!"),"NEW","")))</f>
        <v/>
      </c>
      <c r="G629" s="23" t="str">
        <f>IF(OR(E629="",E629="!!!"),"",IF(OR(J629=0,AND(J629=1,K629=1),AND(J629=1,I629="SBJ"),AND(J629=1,I629=0)),"?IN_FOCUS",IF(J629&lt;=2,"?ACTIVATED",IF(J629&lt;&gt;"","?FAMILIAR",IF(F629="NEW",IF(ISNA(VLOOKUP(E629,#REF!,1,FALSE())),"?TYPE_IDENTIFIABLE","?REFERENTIAL"),"_")))))</f>
        <v/>
      </c>
      <c r="H629" s="24" t="str">
        <f t="shared" ca="1" si="66"/>
        <v/>
      </c>
      <c r="I629" s="25" t="str">
        <f>IF(OR(E629="",E629="!!!",F629="NEW"),"",INDEX(B$2:B628,-1+SUMPRODUCT(MAX(ROW(E$2:E628)*(E629=E$2:E628)))))</f>
        <v/>
      </c>
      <c r="J629" s="25" t="str">
        <f ca="1">IF(OR(E629="",E629="!!!",F629="NEW"),"",COUNTBLANK(OFFSET(A$1,,,SUMPRODUCT(MAX(ROW(E$2:E629)*(E629=E$2:E629)))))-COUNTBLANK(OFFSET(A$1,,,SUMPRODUCT(MAX(ROW(E$1:E628)*(E2=E$1:E628))))))</f>
        <v/>
      </c>
      <c r="K629" s="25" t="str">
        <f>IF(OR(E629="",E629="!!!",F629="NEW"),"",INDEX(J$1:J628,SUMPRODUCT(MAX(ROW(E$1:E628)*(E629=E$1:E628)))))</f>
        <v/>
      </c>
      <c r="L629" s="26"/>
    </row>
    <row r="630" spans="1:12" x14ac:dyDescent="0.3">
      <c r="A630" t="s">
        <v>558</v>
      </c>
      <c r="B630" s="20" t="s">
        <v>196</v>
      </c>
      <c r="C630" s="20" t="s">
        <v>197</v>
      </c>
      <c r="E630" s="21" t="str">
        <f t="shared" si="67"/>
        <v/>
      </c>
      <c r="F630" s="22" t="str">
        <f>IF(OR(E630="",E630="!!!"),"",IF(NOT(ISNA(VLOOKUP(E630,E$1:E629,1,FALSE()))),"OLD",IF(AND(E630&lt;&gt;"",E630&lt;&gt;"!!!"),"NEW","")))</f>
        <v/>
      </c>
      <c r="G630" s="23" t="str">
        <f>IF(OR(E630="",E630="!!!"),"",IF(OR(J630=0,AND(J630=1,K630=1),AND(J630=1,I630="SBJ"),AND(J630=1,I630=0)),"?IN_FOCUS",IF(J630&lt;=2,"?ACTIVATED",IF(J630&lt;&gt;"","?FAMILIAR",IF(F630="NEW",IF(ISNA(VLOOKUP(E630,#REF!,1,FALSE())),"?TYPE_IDENTIFIABLE","?REFERENTIAL"),"_")))))</f>
        <v/>
      </c>
      <c r="H630" s="24" t="str">
        <f t="shared" ca="1" si="66"/>
        <v/>
      </c>
      <c r="I630" s="25" t="str">
        <f>IF(OR(E630="",E630="!!!",F630="NEW"),"",INDEX(B$2:B629,-1+SUMPRODUCT(MAX(ROW(E$2:E629)*(E630=E$2:E629)))))</f>
        <v/>
      </c>
      <c r="J630" s="25" t="str">
        <f ca="1">IF(OR(E630="",E630="!!!",F630="NEW"),"",COUNTBLANK(OFFSET(A$1,,,SUMPRODUCT(MAX(ROW(E$2:E630)*(E630=E$2:E630)))))-COUNTBLANK(OFFSET(A$1,,,SUMPRODUCT(MAX(ROW(E$1:E629)*(E2=E$1:E629))))))</f>
        <v/>
      </c>
      <c r="K630" s="25" t="str">
        <f>IF(OR(E630="",E630="!!!",F630="NEW"),"",INDEX(J$1:J629,SUMPRODUCT(MAX(ROW(E$1:E629)*(E630=E$1:E629)))))</f>
        <v/>
      </c>
      <c r="L630" s="26"/>
    </row>
    <row r="631" spans="1:12" x14ac:dyDescent="0.3">
      <c r="A631" t="s">
        <v>206</v>
      </c>
      <c r="E631" s="21" t="str">
        <f t="shared" si="67"/>
        <v/>
      </c>
      <c r="F631" s="22" t="str">
        <f>IF(OR(E631="",E631="!!!"),"",IF(NOT(ISNA(VLOOKUP(E631,E$1:E630,1,FALSE()))),"OLD",IF(AND(E631&lt;&gt;"",E631&lt;&gt;"!!!"),"NEW","")))</f>
        <v/>
      </c>
      <c r="G631" s="23" t="str">
        <f>IF(OR(E631="",E631="!!!"),"",IF(OR(J631=0,AND(J631=1,K631=1),AND(J631=1,I631="SBJ"),AND(J631=1,I631=0)),"?IN_FOCUS",IF(J631&lt;=2,"?ACTIVATED",IF(J631&lt;&gt;"","?FAMILIAR",IF(F631="NEW",IF(ISNA(VLOOKUP(E631,#REF!,1,FALSE())),"?TYPE_IDENTIFIABLE","?REFERENTIAL"),"_")))))</f>
        <v/>
      </c>
      <c r="H631" s="24" t="str">
        <f t="shared" ca="1" si="66"/>
        <v/>
      </c>
      <c r="I631" s="25" t="str">
        <f>IF(OR(E631="",E631="!!!",F631="NEW"),"",INDEX(B$2:B630,-1+SUMPRODUCT(MAX(ROW(E$2:E630)*(E631=E$2:E630)))))</f>
        <v/>
      </c>
      <c r="J631" s="25" t="str">
        <f ca="1">IF(OR(E631="",E631="!!!",F631="NEW"),"",COUNTBLANK(OFFSET(A$1,,,SUMPRODUCT(MAX(ROW(E$2:E631)*(E631=E$2:E631)))))-COUNTBLANK(OFFSET(A$1,,,SUMPRODUCT(MAX(ROW(E$1:E630)*(E2=E$1:E630))))))</f>
        <v/>
      </c>
      <c r="K631" s="25" t="str">
        <f>IF(OR(E631="",E631="!!!",F631="NEW"),"",INDEX(J$1:J630,SUMPRODUCT(MAX(ROW(E$1:E630)*(E631=E$1:E630)))))</f>
        <v/>
      </c>
      <c r="L631" s="26"/>
    </row>
    <row r="632" spans="1:12" x14ac:dyDescent="0.3">
      <c r="A632" t="s">
        <v>559</v>
      </c>
      <c r="E632" s="21" t="str">
        <f t="shared" si="67"/>
        <v/>
      </c>
      <c r="F632" s="22" t="str">
        <f>IF(OR(E632="",E632="!!!"),"",IF(NOT(ISNA(VLOOKUP(E632,E$1:E631,1,FALSE()))),"OLD",IF(AND(E632&lt;&gt;"",E632&lt;&gt;"!!!"),"NEW","")))</f>
        <v/>
      </c>
      <c r="G632" s="23" t="str">
        <f>IF(OR(E632="",E632="!!!"),"",IF(OR(J632=0,AND(J632=1,K632=1),AND(J632=1,I632="SBJ"),AND(J632=1,I632=0)),"?IN_FOCUS",IF(J632&lt;=2,"?ACTIVATED",IF(J632&lt;&gt;"","?FAMILIAR",IF(F632="NEW",IF(ISNA(VLOOKUP(E632,#REF!,1,FALSE())),"?TYPE_IDENTIFIABLE","?REFERENTIAL"),"_")))))</f>
        <v/>
      </c>
      <c r="H632" s="24" t="str">
        <f t="shared" ca="1" si="66"/>
        <v/>
      </c>
      <c r="I632" s="25" t="str">
        <f>IF(OR(E632="",E632="!!!",F632="NEW"),"",INDEX(B$2:B631,-1+SUMPRODUCT(MAX(ROW(E$2:E631)*(E632=E$2:E631)))))</f>
        <v/>
      </c>
      <c r="J632" s="25" t="str">
        <f ca="1">IF(OR(E632="",E632="!!!",F632="NEW"),"",COUNTBLANK(OFFSET(A$1,,,SUMPRODUCT(MAX(ROW(E$2:E632)*(E632=E$2:E632)))))-COUNTBLANK(OFFSET(A$1,,,SUMPRODUCT(MAX(ROW(E$1:E631)*(E2=E$1:E631))))))</f>
        <v/>
      </c>
      <c r="K632" s="25" t="str">
        <f>IF(OR(E632="",E632="!!!",F632="NEW"),"",INDEX(J$1:J631,SUMPRODUCT(MAX(ROW(E$1:E631)*(E632=E$1:E631)))))</f>
        <v/>
      </c>
      <c r="L632" s="26"/>
    </row>
    <row r="633" spans="1:12" x14ac:dyDescent="0.3">
      <c r="A633" t="s">
        <v>207</v>
      </c>
      <c r="E633" s="21" t="str">
        <f t="shared" si="67"/>
        <v/>
      </c>
      <c r="F633" s="22" t="str">
        <f>IF(OR(E633="",E633="!!!"),"",IF(NOT(ISNA(VLOOKUP(E633,E$1:E632,1,FALSE()))),"OLD",IF(AND(E633&lt;&gt;"",E633&lt;&gt;"!!!"),"NEW","")))</f>
        <v/>
      </c>
      <c r="G633" s="23" t="str">
        <f>IF(OR(E633="",E633="!!!"),"",IF(OR(J633=0,AND(J633=1,K633=1),AND(J633=1,I633="SBJ"),AND(J633=1,I633=0)),"?IN_FOCUS",IF(J633&lt;=2,"?ACTIVATED",IF(J633&lt;&gt;"","?FAMILIAR",IF(F633="NEW",IF(ISNA(VLOOKUP(E633,#REF!,1,FALSE())),"?TYPE_IDENTIFIABLE","?REFERENTIAL"),"_")))))</f>
        <v/>
      </c>
      <c r="H633" s="24" t="str">
        <f t="shared" ca="1" si="66"/>
        <v/>
      </c>
      <c r="I633" s="25" t="str">
        <f>IF(OR(E633="",E633="!!!",F633="NEW"),"",INDEX(B$2:B632,-1+SUMPRODUCT(MAX(ROW(E$2:E632)*(E633=E$2:E632)))))</f>
        <v/>
      </c>
      <c r="J633" s="25" t="str">
        <f ca="1">IF(OR(E633="",E633="!!!",F633="NEW"),"",COUNTBLANK(OFFSET(A$1,,,SUMPRODUCT(MAX(ROW(E$2:E633)*(E633=E$2:E633)))))-COUNTBLANK(OFFSET(A$1,,,SUMPRODUCT(MAX(ROW(E$1:E632)*(E2=E$1:E632))))))</f>
        <v/>
      </c>
      <c r="K633" s="25" t="str">
        <f>IF(OR(E633="",E633="!!!",F633="NEW"),"",INDEX(J$1:J632,SUMPRODUCT(MAX(ROW(E$1:E632)*(E633=E$1:E632)))))</f>
        <v/>
      </c>
      <c r="L633" s="26"/>
    </row>
    <row r="634" spans="1:12" x14ac:dyDescent="0.3">
      <c r="A634" t="s">
        <v>255</v>
      </c>
      <c r="E634" s="21" t="str">
        <f t="shared" si="67"/>
        <v/>
      </c>
      <c r="F634" s="22" t="str">
        <f>IF(OR(E634="",E634="!!!"),"",IF(NOT(ISNA(VLOOKUP(E634,E$1:E633,1,FALSE()))),"OLD",IF(AND(E634&lt;&gt;"",E634&lt;&gt;"!!!"),"NEW","")))</f>
        <v/>
      </c>
      <c r="G634" s="23" t="str">
        <f>IF(OR(E634="",E634="!!!"),"",IF(OR(J634=0,AND(J634=1,K634=1),AND(J634=1,I634="SBJ"),AND(J634=1,I634=0)),"?IN_FOCUS",IF(J634&lt;=2,"?ACTIVATED",IF(J634&lt;&gt;"","?FAMILIAR",IF(F634="NEW",IF(ISNA(VLOOKUP(E634,#REF!,1,FALSE())),"?TYPE_IDENTIFIABLE","?REFERENTIAL"),"_")))))</f>
        <v/>
      </c>
      <c r="H634" s="24" t="str">
        <f t="shared" ca="1" si="66"/>
        <v/>
      </c>
      <c r="I634" s="25" t="str">
        <f>IF(OR(E634="",E634="!!!",F634="NEW"),"",INDEX(B$2:B633,-1+SUMPRODUCT(MAX(ROW(E$2:E633)*(E634=E$2:E633)))))</f>
        <v/>
      </c>
      <c r="J634" s="25" t="str">
        <f ca="1">IF(OR(E634="",E634="!!!",F634="NEW"),"",COUNTBLANK(OFFSET(A$1,,,SUMPRODUCT(MAX(ROW(E$2:E634)*(E634=E$2:E634)))))-COUNTBLANK(OFFSET(A$1,,,SUMPRODUCT(MAX(ROW(E$1:E633)*(E2=E$1:E633))))))</f>
        <v/>
      </c>
      <c r="K634" s="25" t="str">
        <f>IF(OR(E634="",E634="!!!",F634="NEW"),"",INDEX(J$1:J633,SUMPRODUCT(MAX(ROW(E$1:E633)*(E634=E$1:E633)))))</f>
        <v/>
      </c>
      <c r="L634" s="26"/>
    </row>
    <row r="635" spans="1:12" x14ac:dyDescent="0.3">
      <c r="A635" t="s">
        <v>560</v>
      </c>
      <c r="B635" s="20" t="s">
        <v>208</v>
      </c>
      <c r="C635" s="20" t="s">
        <v>216</v>
      </c>
      <c r="D635" s="20" t="s">
        <v>186</v>
      </c>
      <c r="E635" s="21" t="s">
        <v>805</v>
      </c>
      <c r="F635" s="22" t="str">
        <f>IF(OR(E635="",E635="!!!"),"",IF(NOT(ISNA(VLOOKUP(E635,E$1:E634,1,FALSE()))),"OLD",IF(AND(E635&lt;&gt;"",E635&lt;&gt;"!!!"),"NEW","")))</f>
        <v>NEW</v>
      </c>
      <c r="G635" s="23" t="s">
        <v>807</v>
      </c>
      <c r="H635" s="24" t="str">
        <f t="shared" ca="1" si="66"/>
        <v/>
      </c>
      <c r="I635" s="25" t="str">
        <f>IF(OR(E635="",E635="!!!",F635="NEW"),"",INDEX(B$2:B634,-1+SUMPRODUCT(MAX(ROW(E$2:E634)*(E635=E$2:E634)))))</f>
        <v/>
      </c>
      <c r="J635" s="25" t="str">
        <f ca="1">IF(OR(E635="",E635="!!!",F635="NEW"),"",COUNTBLANK(OFFSET(A$1,,,SUMPRODUCT(MAX(ROW(E$2:E635)*(E635=E$2:E635)))))-COUNTBLANK(OFFSET(A$1,,,SUMPRODUCT(MAX(ROW(E$1:E634)*(E2=E$1:E634))))))</f>
        <v/>
      </c>
      <c r="K635" s="25" t="str">
        <f>IF(OR(E635="",E635="!!!",F635="NEW"),"",INDEX(J$1:J634,SUMPRODUCT(MAX(ROW(E$1:E634)*(E635=E$1:E634)))))</f>
        <v/>
      </c>
      <c r="L635" s="26"/>
    </row>
    <row r="636" spans="1:12" x14ac:dyDescent="0.3">
      <c r="A636" t="s">
        <v>407</v>
      </c>
      <c r="E636" s="21" t="str">
        <f t="shared" si="67"/>
        <v/>
      </c>
      <c r="F636" s="22" t="str">
        <f>IF(OR(E636="",E636="!!!"),"",IF(NOT(ISNA(VLOOKUP(E636,E$1:E635,1,FALSE()))),"OLD",IF(AND(E636&lt;&gt;"",E636&lt;&gt;"!!!"),"NEW","")))</f>
        <v/>
      </c>
      <c r="G636" s="23" t="str">
        <f>IF(OR(E636="",E636="!!!"),"",IF(OR(J636=0,AND(J636=1,K636=1),AND(J636=1,I636="SBJ"),AND(J636=1,I636=0)),"?IN_FOCUS",IF(J636&lt;=2,"?ACTIVATED",IF(J636&lt;&gt;"","?FAMILIAR",IF(F636="NEW",IF(ISNA(VLOOKUP(E636,#REF!,1,FALSE())),"?TYPE_IDENTIFIABLE","?REFERENTIAL"),"_")))))</f>
        <v/>
      </c>
      <c r="H636" s="24" t="str">
        <f t="shared" ca="1" si="66"/>
        <v/>
      </c>
      <c r="I636" s="25" t="str">
        <f>IF(OR(E636="",E636="!!!",F636="NEW"),"",INDEX(B$2:B635,-1+SUMPRODUCT(MAX(ROW(E$2:E635)*(E636=E$2:E635)))))</f>
        <v/>
      </c>
      <c r="J636" s="25" t="str">
        <f ca="1">IF(OR(E636="",E636="!!!",F636="NEW"),"",COUNTBLANK(OFFSET(A$1,,,SUMPRODUCT(MAX(ROW(E$2:E636)*(E636=E$2:E636)))))-COUNTBLANK(OFFSET(A$1,,,SUMPRODUCT(MAX(ROW(E$1:E635)*(E2=E$1:E635))))))</f>
        <v/>
      </c>
      <c r="K636" s="25" t="str">
        <f>IF(OR(E636="",E636="!!!",F636="NEW"),"",INDEX(J$1:J635,SUMPRODUCT(MAX(ROW(E$1:E635)*(E636=E$1:E635)))))</f>
        <v/>
      </c>
      <c r="L636" s="26"/>
    </row>
    <row r="637" spans="1:12" x14ac:dyDescent="0.3">
      <c r="A637" t="s">
        <v>561</v>
      </c>
      <c r="E637" s="21" t="str">
        <f t="shared" si="67"/>
        <v/>
      </c>
      <c r="F637" s="22" t="str">
        <f>IF(OR(E637="",E637="!!!"),"",IF(NOT(ISNA(VLOOKUP(E637,E$1:E636,1,FALSE()))),"OLD",IF(AND(E637&lt;&gt;"",E637&lt;&gt;"!!!"),"NEW","")))</f>
        <v/>
      </c>
      <c r="G637" s="23" t="str">
        <f>IF(OR(E637="",E637="!!!"),"",IF(OR(J637=0,AND(J637=1,K637=1),AND(J637=1,I637="SBJ"),AND(J637=1,I637=0)),"?IN_FOCUS",IF(J637&lt;=2,"?ACTIVATED",IF(J637&lt;&gt;"","?FAMILIAR",IF(F637="NEW",IF(ISNA(VLOOKUP(E637,#REF!,1,FALSE())),"?TYPE_IDENTIFIABLE","?REFERENTIAL"),"_")))))</f>
        <v/>
      </c>
      <c r="H637" s="24" t="str">
        <f t="shared" ca="1" si="66"/>
        <v/>
      </c>
      <c r="I637" s="25" t="str">
        <f>IF(OR(E637="",E637="!!!",F637="NEW"),"",INDEX(B$2:B636,-1+SUMPRODUCT(MAX(ROW(E$2:E636)*(E637=E$2:E636)))))</f>
        <v/>
      </c>
      <c r="J637" s="25" t="str">
        <f ca="1">IF(OR(E637="",E637="!!!",F637="NEW"),"",COUNTBLANK(OFFSET(A$1,,,SUMPRODUCT(MAX(ROW(E$2:E637)*(E637=E$2:E637)))))-COUNTBLANK(OFFSET(A$1,,,SUMPRODUCT(MAX(ROW(E$1:E636)*(E2=E$1:E636))))))</f>
        <v/>
      </c>
      <c r="K637" s="25" t="str">
        <f>IF(OR(E637="",E637="!!!",F637="NEW"),"",INDEX(J$1:J636,SUMPRODUCT(MAX(ROW(E$1:E636)*(E637=E$1:E636)))))</f>
        <v/>
      </c>
      <c r="L637" s="26"/>
    </row>
    <row r="638" spans="1:12" x14ac:dyDescent="0.3">
      <c r="A638" t="s">
        <v>339</v>
      </c>
      <c r="E638" s="21" t="str">
        <f t="shared" si="67"/>
        <v/>
      </c>
      <c r="F638" s="22" t="str">
        <f>IF(OR(E638="",E638="!!!"),"",IF(NOT(ISNA(VLOOKUP(E638,E$1:E637,1,FALSE()))),"OLD",IF(AND(E638&lt;&gt;"",E638&lt;&gt;"!!!"),"NEW","")))</f>
        <v/>
      </c>
      <c r="G638" s="23" t="str">
        <f>IF(OR(E638="",E638="!!!"),"",IF(OR(J638=0,AND(J638=1,K638=1),AND(J638=1,I638="SBJ"),AND(J638=1,I638=0)),"?IN_FOCUS",IF(J638&lt;=2,"?ACTIVATED",IF(J638&lt;&gt;"","?FAMILIAR",IF(F638="NEW",IF(ISNA(VLOOKUP(E638,#REF!,1,FALSE())),"?TYPE_IDENTIFIABLE","?REFERENTIAL"),"_")))))</f>
        <v/>
      </c>
      <c r="H638" s="24" t="str">
        <f t="shared" ca="1" si="66"/>
        <v/>
      </c>
      <c r="I638" s="25" t="str">
        <f>IF(OR(E638="",E638="!!!",F638="NEW"),"",INDEX(B$2:B637,-1+SUMPRODUCT(MAX(ROW(E$2:E637)*(E638=E$2:E637)))))</f>
        <v/>
      </c>
      <c r="J638" s="25" t="str">
        <f ca="1">IF(OR(E638="",E638="!!!",F638="NEW"),"",COUNTBLANK(OFFSET(A$1,,,SUMPRODUCT(MAX(ROW(E$2:E638)*(E638=E$2:E638)))))-COUNTBLANK(OFFSET(A$1,,,SUMPRODUCT(MAX(ROW(E$1:E637)*(E2=E$1:E637))))))</f>
        <v/>
      </c>
      <c r="K638" s="25" t="str">
        <f>IF(OR(E638="",E638="!!!",F638="NEW"),"",INDEX(J$1:J637,SUMPRODUCT(MAX(ROW(E$1:E637)*(E638=E$1:E637)))))</f>
        <v/>
      </c>
      <c r="L638" s="26"/>
    </row>
    <row r="639" spans="1:12" x14ac:dyDescent="0.3">
      <c r="A639" t="s">
        <v>212</v>
      </c>
      <c r="E639" s="21" t="str">
        <f t="shared" si="67"/>
        <v/>
      </c>
      <c r="F639" s="22" t="str">
        <f>IF(OR(E639="",E639="!!!"),"",IF(NOT(ISNA(VLOOKUP(E639,E$1:E638,1,FALSE()))),"OLD",IF(AND(E639&lt;&gt;"",E639&lt;&gt;"!!!"),"NEW","")))</f>
        <v/>
      </c>
      <c r="G639" s="23" t="str">
        <f>IF(OR(E639="",E639="!!!"),"",IF(OR(J639=0,AND(J639=1,K639=1),AND(J639=1,I639="SBJ"),AND(J639=1,I639=0)),"?IN_FOCUS",IF(J639&lt;=2,"?ACTIVATED",IF(J639&lt;&gt;"","?FAMILIAR",IF(F639="NEW",IF(ISNA(VLOOKUP(E639,#REF!,1,FALSE())),"?TYPE_IDENTIFIABLE","?REFERENTIAL"),"_")))))</f>
        <v/>
      </c>
      <c r="H639" s="24" t="str">
        <f t="shared" ca="1" si="66"/>
        <v/>
      </c>
      <c r="I639" s="25" t="str">
        <f>IF(OR(E639="",E639="!!!",F639="NEW"),"",INDEX(B$2:B638,-1+SUMPRODUCT(MAX(ROW(E$2:E638)*(E639=E$2:E638)))))</f>
        <v/>
      </c>
      <c r="J639" s="25" t="str">
        <f ca="1">IF(OR(E639="",E639="!!!",F639="NEW"),"",COUNTBLANK(OFFSET(A$1,,,SUMPRODUCT(MAX(ROW(E$2:E639)*(E639=E$2:E639)))))-COUNTBLANK(OFFSET(A$1,,,SUMPRODUCT(MAX(ROW(E$1:E638)*(E2=E$1:E638))))))</f>
        <v/>
      </c>
      <c r="K639" s="25" t="str">
        <f>IF(OR(E639="",E639="!!!",F639="NEW"),"",INDEX(J$1:J638,SUMPRODUCT(MAX(ROW(E$1:E638)*(E639=E$1:E638)))))</f>
        <v/>
      </c>
      <c r="L639" s="26"/>
    </row>
    <row r="641" spans="1:12" x14ac:dyDescent="0.3">
      <c r="A641" t="s">
        <v>300</v>
      </c>
      <c r="E641" s="21" t="str">
        <f>IF(D641="?OLD","!!!","")</f>
        <v/>
      </c>
      <c r="F641" s="22" t="str">
        <f>IF(OR(E641="",E641="!!!"),"",IF(NOT(ISNA(VLOOKUP(E641,E$1:E640,1,FALSE()))),"OLD",IF(AND(E641&lt;&gt;"",E641&lt;&gt;"!!!"),"NEW","")))</f>
        <v/>
      </c>
      <c r="G641" s="23" t="str">
        <f>IF(OR(E641="",E641="!!!"),"",IF(OR(J641=0,AND(J641=1,K641=1),AND(J641=1,I641="SBJ"),AND(J641=1,I641=0)),"?IN_FOCUS",IF(J641&lt;=2,"?ACTIVATED",IF(J641&lt;&gt;"","?FAMILIAR",IF(F641="NEW",IF(ISNA(VLOOKUP(E641,#REF!,1,FALSE())),"?TYPE_IDENTIFIABLE","?REFERENTIAL"),"_")))))</f>
        <v/>
      </c>
      <c r="H641" s="24" t="str">
        <f ca="1">IF(J641&lt;&gt;1,"",IF(I641="SBJ","CB","?"))</f>
        <v/>
      </c>
      <c r="I641" s="25" t="str">
        <f>IF(OR(E641="",E641="!!!",F641="NEW"),"",INDEX(B$2:B640,-1+SUMPRODUCT(MAX(ROW(E$2:E640)*(E641=E$2:E640)))))</f>
        <v/>
      </c>
      <c r="J641" s="25" t="str">
        <f ca="1">IF(OR(E641="",E641="!!!",F641="NEW"),"",COUNTBLANK(OFFSET(A$1,,,SUMPRODUCT(MAX(ROW(E$2:E641)*(E641=E$2:E641)))))-COUNTBLANK(OFFSET(A$1,,,SUMPRODUCT(MAX(ROW(E$1:E640)*(E2=E$1:E640))))))</f>
        <v/>
      </c>
      <c r="K641" s="25" t="str">
        <f>IF(OR(E641="",E641="!!!",F641="NEW"),"",INDEX(J$1:J640,SUMPRODUCT(MAX(ROW(E$1:E640)*(E641=E$1:E640)))))</f>
        <v/>
      </c>
      <c r="L641" s="26"/>
    </row>
    <row r="642" spans="1:12" x14ac:dyDescent="0.3">
      <c r="A642" t="s">
        <v>562</v>
      </c>
    </row>
    <row r="643" spans="1:12" x14ac:dyDescent="0.3">
      <c r="A643" t="s">
        <v>563</v>
      </c>
      <c r="E643" s="21" t="str">
        <f t="shared" ref="E643:E660" si="68">IF(D643="?OLD","!!!","")</f>
        <v/>
      </c>
      <c r="F643" s="22" t="str">
        <f>IF(OR(E643="",E643="!!!"),"",IF(NOT(ISNA(VLOOKUP(E643,E$1:E642,1,FALSE()))),"OLD",IF(AND(E643&lt;&gt;"",E643&lt;&gt;"!!!"),"NEW","")))</f>
        <v/>
      </c>
      <c r="G643" s="23" t="str">
        <f>IF(OR(E643="",E643="!!!"),"",IF(OR(J643=0,AND(J643=1,K643=1),AND(J643=1,I643="SBJ"),AND(J643=1,I643=0)),"?IN_FOCUS",IF(J643&lt;=2,"?ACTIVATED",IF(J643&lt;&gt;"","?FAMILIAR",IF(F643="NEW",IF(ISNA(VLOOKUP(E643,#REF!,1,FALSE())),"?TYPE_IDENTIFIABLE","?REFERENTIAL"),"_")))))</f>
        <v/>
      </c>
      <c r="H643" s="24" t="str">
        <f t="shared" ref="H643:H660" ca="1" si="69">IF(J643&lt;&gt;1,"",IF(I643="SBJ","CB","?"))</f>
        <v/>
      </c>
      <c r="I643" s="25" t="str">
        <f>IF(OR(E643="",E643="!!!",F643="NEW"),"",INDEX(B$2:B642,-1+SUMPRODUCT(MAX(ROW(E$2:E642)*(E643=E$2:E642)))))</f>
        <v/>
      </c>
      <c r="J643" s="25" t="str">
        <f ca="1">IF(OR(E643="",E643="!!!",F643="NEW"),"",COUNTBLANK(OFFSET(A$1,,,SUMPRODUCT(MAX(ROW(E$2:E643)*(E643=E$2:E643)))))-COUNTBLANK(OFFSET(A$1,,,SUMPRODUCT(MAX(ROW(E$1:E642)*(E2=E$1:E642))))))</f>
        <v/>
      </c>
      <c r="K643" s="25" t="str">
        <f>IF(OR(E643="",E643="!!!",F643="NEW"),"",INDEX(J$1:J642,SUMPRODUCT(MAX(ROW(E$1:E642)*(E643=E$1:E642)))))</f>
        <v/>
      </c>
      <c r="L643" s="26"/>
    </row>
    <row r="644" spans="1:12" x14ac:dyDescent="0.3">
      <c r="A644" t="s">
        <v>313</v>
      </c>
      <c r="B644" s="20" t="s">
        <v>201</v>
      </c>
      <c r="C644" s="20" t="s">
        <v>193</v>
      </c>
      <c r="E644" s="21" t="str">
        <f t="shared" si="68"/>
        <v/>
      </c>
      <c r="F644" s="22" t="str">
        <f>IF(OR(E644="",E644="!!!"),"",IF(NOT(ISNA(VLOOKUP(E644,E$1:E643,1,FALSE()))),"OLD",IF(AND(E644&lt;&gt;"",E644&lt;&gt;"!!!"),"NEW","")))</f>
        <v/>
      </c>
      <c r="G644" s="23" t="str">
        <f>IF(OR(E644="",E644="!!!"),"",IF(OR(J644=0,AND(J644=1,K644=1),AND(J644=1,I644="SBJ"),AND(J644=1,I644=0)),"?IN_FOCUS",IF(J644&lt;=2,"?ACTIVATED",IF(J644&lt;&gt;"","?FAMILIAR",IF(F644="NEW",IF(ISNA(VLOOKUP(E644,#REF!,1,FALSE())),"?TYPE_IDENTIFIABLE","?REFERENTIAL"),"_")))))</f>
        <v/>
      </c>
      <c r="H644" s="24" t="str">
        <f t="shared" ca="1" si="69"/>
        <v/>
      </c>
      <c r="I644" s="25" t="str">
        <f>IF(OR(E644="",E644="!!!",F644="NEW"),"",INDEX(B$2:B643,-1+SUMPRODUCT(MAX(ROW(E$2:E643)*(E644=E$2:E643)))))</f>
        <v/>
      </c>
      <c r="J644" s="25" t="str">
        <f ca="1">IF(OR(E644="",E644="!!!",F644="NEW"),"",COUNTBLANK(OFFSET(A$1,,,SUMPRODUCT(MAX(ROW(E$2:E644)*(E644=E$2:E644)))))-COUNTBLANK(OFFSET(A$1,,,SUMPRODUCT(MAX(ROW(E$1:E643)*(E2=E$1:E643))))))</f>
        <v/>
      </c>
      <c r="K644" s="25" t="str">
        <f>IF(OR(E644="",E644="!!!",F644="NEW"),"",INDEX(J$1:J643,SUMPRODUCT(MAX(ROW(E$1:E643)*(E644=E$1:E643)))))</f>
        <v/>
      </c>
      <c r="L644" s="26"/>
    </row>
    <row r="645" spans="1:12" x14ac:dyDescent="0.3">
      <c r="A645" t="s">
        <v>258</v>
      </c>
      <c r="E645" s="21" t="str">
        <f t="shared" si="68"/>
        <v/>
      </c>
      <c r="F645" s="22" t="str">
        <f>IF(OR(E645="",E645="!!!"),"",IF(NOT(ISNA(VLOOKUP(E645,E$1:E644,1,FALSE()))),"OLD",IF(AND(E645&lt;&gt;"",E645&lt;&gt;"!!!"),"NEW","")))</f>
        <v/>
      </c>
      <c r="G645" s="23" t="str">
        <f>IF(OR(E645="",E645="!!!"),"",IF(OR(J645=0,AND(J645=1,K645=1),AND(J645=1,I645="SBJ"),AND(J645=1,I645=0)),"?IN_FOCUS",IF(J645&lt;=2,"?ACTIVATED",IF(J645&lt;&gt;"","?FAMILIAR",IF(F645="NEW",IF(ISNA(VLOOKUP(E645,#REF!,1,FALSE())),"?TYPE_IDENTIFIABLE","?REFERENTIAL"),"_")))))</f>
        <v/>
      </c>
      <c r="H645" s="24" t="str">
        <f t="shared" ca="1" si="69"/>
        <v/>
      </c>
      <c r="I645" s="25" t="str">
        <f>IF(OR(E645="",E645="!!!",F645="NEW"),"",INDEX(B$2:B644,-1+SUMPRODUCT(MAX(ROW(E$2:E644)*(E645=E$2:E644)))))</f>
        <v/>
      </c>
      <c r="J645" s="25" t="str">
        <f ca="1">IF(OR(E645="",E645="!!!",F645="NEW"),"",COUNTBLANK(OFFSET(A$1,,,SUMPRODUCT(MAX(ROW(E$2:E645)*(E645=E$2:E645)))))-COUNTBLANK(OFFSET(A$1,,,SUMPRODUCT(MAX(ROW(E$1:E644)*(E2=E$1:E644))))))</f>
        <v/>
      </c>
      <c r="K645" s="25" t="str">
        <f>IF(OR(E645="",E645="!!!",F645="NEW"),"",INDEX(J$1:J644,SUMPRODUCT(MAX(ROW(E$1:E644)*(E645=E$1:E644)))))</f>
        <v/>
      </c>
      <c r="L645" s="26"/>
    </row>
    <row r="646" spans="1:12" x14ac:dyDescent="0.3">
      <c r="A646" t="s">
        <v>564</v>
      </c>
      <c r="B646" s="20" t="s">
        <v>196</v>
      </c>
      <c r="C646" s="20" t="s">
        <v>185</v>
      </c>
      <c r="D646" s="20" t="s">
        <v>186</v>
      </c>
      <c r="E646" s="21" t="s">
        <v>763</v>
      </c>
      <c r="F646" s="22" t="str">
        <f>IF(OR(E646="",E646="!!!"),"",IF(NOT(ISNA(VLOOKUP(E646,E$1:E645,1,FALSE()))),"OLD",IF(AND(E646&lt;&gt;"",E646&lt;&gt;"!!!"),"NEW","")))</f>
        <v>NEW</v>
      </c>
      <c r="G646" s="23" t="s">
        <v>810</v>
      </c>
      <c r="H646" s="24" t="str">
        <f t="shared" ca="1" si="69"/>
        <v/>
      </c>
      <c r="I646" s="25" t="str">
        <f>IF(OR(E646="",E646="!!!",F646="NEW"),"",INDEX(B$2:B645,-1+SUMPRODUCT(MAX(ROW(E$2:E645)*(E646=E$2:E645)))))</f>
        <v/>
      </c>
      <c r="J646" s="25" t="str">
        <f ca="1">IF(OR(E646="",E646="!!!",F646="NEW"),"",COUNTBLANK(OFFSET(A$1,,,SUMPRODUCT(MAX(ROW(E$2:E646)*(E646=E$2:E646)))))-COUNTBLANK(OFFSET(A$1,,,SUMPRODUCT(MAX(ROW(E$1:E645)*(E2=E$1:E645))))))</f>
        <v/>
      </c>
      <c r="K646" s="25" t="str">
        <f>IF(OR(E646="",E646="!!!",F646="NEW"),"",INDEX(J$1:J645,SUMPRODUCT(MAX(ROW(E$1:E645)*(E646=E$1:E645)))))</f>
        <v/>
      </c>
      <c r="L646" s="26"/>
    </row>
    <row r="647" spans="1:12" x14ac:dyDescent="0.3">
      <c r="A647" t="s">
        <v>565</v>
      </c>
      <c r="E647" s="21" t="str">
        <f t="shared" si="68"/>
        <v/>
      </c>
      <c r="F647" s="22" t="str">
        <f>IF(OR(E647="",E647="!!!"),"",IF(NOT(ISNA(VLOOKUP(E647,E$1:E646,1,FALSE()))),"OLD",IF(AND(E647&lt;&gt;"",E647&lt;&gt;"!!!"),"NEW","")))</f>
        <v/>
      </c>
      <c r="G647" s="23" t="str">
        <f>IF(OR(E647="",E647="!!!"),"",IF(OR(J647=0,AND(J647=1,K647=1),AND(J647=1,I647="SBJ"),AND(J647=1,I647=0)),"?IN_FOCUS",IF(J647&lt;=2,"?ACTIVATED",IF(J647&lt;&gt;"","?FAMILIAR",IF(F647="NEW",IF(ISNA(VLOOKUP(E647,#REF!,1,FALSE())),"?TYPE_IDENTIFIABLE","?REFERENTIAL"),"_")))))</f>
        <v/>
      </c>
      <c r="H647" s="24" t="str">
        <f t="shared" ca="1" si="69"/>
        <v/>
      </c>
      <c r="I647" s="25" t="str">
        <f>IF(OR(E647="",E647="!!!",F647="NEW"),"",INDEX(B$2:B646,-1+SUMPRODUCT(MAX(ROW(E$2:E646)*(E647=E$2:E646)))))</f>
        <v/>
      </c>
      <c r="J647" s="25" t="str">
        <f ca="1">IF(OR(E647="",E647="!!!",F647="NEW"),"",COUNTBLANK(OFFSET(A$1,,,SUMPRODUCT(MAX(ROW(E$2:E647)*(E647=E$2:E647)))))-COUNTBLANK(OFFSET(A$1,,,SUMPRODUCT(MAX(ROW(E$1:E646)*(E2=E$1:E646))))))</f>
        <v/>
      </c>
      <c r="K647" s="25" t="str">
        <f>IF(OR(E647="",E647="!!!",F647="NEW"),"",INDEX(J$1:J646,SUMPRODUCT(MAX(ROW(E$1:E646)*(E647=E$1:E646)))))</f>
        <v/>
      </c>
      <c r="L647" s="26"/>
    </row>
    <row r="648" spans="1:12" x14ac:dyDescent="0.3">
      <c r="A648" t="s">
        <v>320</v>
      </c>
      <c r="B648" s="20" t="s">
        <v>201</v>
      </c>
      <c r="C648" s="20" t="s">
        <v>202</v>
      </c>
      <c r="D648" s="20" t="s">
        <v>186</v>
      </c>
      <c r="E648" s="21"/>
      <c r="F648" s="22" t="s">
        <v>729</v>
      </c>
      <c r="G648" s="23" t="str">
        <f>IF(OR(E648="",E648="!!!"),"",IF(OR(J648=0,AND(J648=1,K648=1),AND(J648=1,I648="SBJ"),AND(J648=1,I648=0)),"?IN_FOCUS",IF(J648&lt;=2,"?ACTIVATED",IF(J648&lt;&gt;"","?FAMILIAR",IF(F648="NEW",IF(ISNA(VLOOKUP(E648,#REF!,1,FALSE())),"?TYPE_IDENTIFIABLE","?REFERENTIAL"),"_")))))</f>
        <v/>
      </c>
      <c r="H648" s="24" t="str">
        <f t="shared" ca="1" si="69"/>
        <v/>
      </c>
      <c r="I648" s="25" t="str">
        <f>IF(OR(E648="",E648="!!!",F648="NEW"),"",INDEX(B$2:B647,-1+SUMPRODUCT(MAX(ROW(E$2:E647)*(E648=E$2:E647)))))</f>
        <v/>
      </c>
      <c r="J648" s="25" t="str">
        <f ca="1">IF(OR(E648="",E648="!!!",F648="NEW"),"",COUNTBLANK(OFFSET(A$1,,,SUMPRODUCT(MAX(ROW(E$2:E648)*(E648=E$2:E648)))))-COUNTBLANK(OFFSET(A$1,,,SUMPRODUCT(MAX(ROW(E$1:E647)*(E2=E$1:E647))))))</f>
        <v/>
      </c>
      <c r="K648" s="25" t="str">
        <f>IF(OR(E648="",E648="!!!",F648="NEW"),"",INDEX(J$1:J647,SUMPRODUCT(MAX(ROW(E$1:E647)*(E648=E$1:E647)))))</f>
        <v/>
      </c>
      <c r="L648" s="26"/>
    </row>
    <row r="649" spans="1:12" x14ac:dyDescent="0.3">
      <c r="A649" t="s">
        <v>566</v>
      </c>
      <c r="E649" s="21" t="str">
        <f t="shared" si="68"/>
        <v/>
      </c>
      <c r="F649" s="22" t="str">
        <f>IF(OR(E649="",E649="!!!"),"",IF(NOT(ISNA(VLOOKUP(E649,E$1:E648,1,FALSE()))),"OLD",IF(AND(E649&lt;&gt;"",E649&lt;&gt;"!!!"),"NEW","")))</f>
        <v/>
      </c>
      <c r="G649" s="23" t="str">
        <f>IF(OR(E649="",E649="!!!"),"",IF(OR(J649=0,AND(J649=1,K649=1),AND(J649=1,I649="SBJ"),AND(J649=1,I649=0)),"?IN_FOCUS",IF(J649&lt;=2,"?ACTIVATED",IF(J649&lt;&gt;"","?FAMILIAR",IF(F649="NEW",IF(ISNA(VLOOKUP(E649,#REF!,1,FALSE())),"?TYPE_IDENTIFIABLE","?REFERENTIAL"),"_")))))</f>
        <v/>
      </c>
      <c r="H649" s="24" t="str">
        <f t="shared" ca="1" si="69"/>
        <v/>
      </c>
      <c r="I649" s="25" t="str">
        <f>IF(OR(E649="",E649="!!!",F649="NEW"),"",INDEX(B$2:B648,-1+SUMPRODUCT(MAX(ROW(E$2:E648)*(E649=E$2:E648)))))</f>
        <v/>
      </c>
      <c r="J649" s="25" t="str">
        <f ca="1">IF(OR(E649="",E649="!!!",F649="NEW"),"",COUNTBLANK(OFFSET(A$1,,,SUMPRODUCT(MAX(ROW(E$2:E649)*(E649=E$2:E649)))))-COUNTBLANK(OFFSET(A$1,,,SUMPRODUCT(MAX(ROW(E$1:E648)*(E2=E$1:E648))))))</f>
        <v/>
      </c>
      <c r="K649" s="25" t="str">
        <f>IF(OR(E649="",E649="!!!",F649="NEW"),"",INDEX(J$1:J648,SUMPRODUCT(MAX(ROW(E$1:E648)*(E649=E$1:E648)))))</f>
        <v/>
      </c>
      <c r="L649" s="26"/>
    </row>
    <row r="650" spans="1:12" x14ac:dyDescent="0.3">
      <c r="A650" t="s">
        <v>189</v>
      </c>
      <c r="E650" s="21" t="str">
        <f t="shared" si="68"/>
        <v/>
      </c>
      <c r="F650" s="22" t="str">
        <f>IF(OR(E650="",E650="!!!"),"",IF(NOT(ISNA(VLOOKUP(E650,E$1:E649,1,FALSE()))),"OLD",IF(AND(E650&lt;&gt;"",E650&lt;&gt;"!!!"),"NEW","")))</f>
        <v/>
      </c>
      <c r="G650" s="23" t="str">
        <f>IF(OR(E650="",E650="!!!"),"",IF(OR(J650=0,AND(J650=1,K650=1),AND(J650=1,I650="SBJ"),AND(J650=1,I650=0)),"?IN_FOCUS",IF(J650&lt;=2,"?ACTIVATED",IF(J650&lt;&gt;"","?FAMILIAR",IF(F650="NEW",IF(ISNA(VLOOKUP(E650,#REF!,1,FALSE())),"?TYPE_IDENTIFIABLE","?REFERENTIAL"),"_")))))</f>
        <v/>
      </c>
      <c r="H650" s="24" t="str">
        <f t="shared" ca="1" si="69"/>
        <v/>
      </c>
      <c r="I650" s="25" t="str">
        <f>IF(OR(E650="",E650="!!!",F650="NEW"),"",INDEX(B$2:B649,-1+SUMPRODUCT(MAX(ROW(E$2:E649)*(E650=E$2:E649)))))</f>
        <v/>
      </c>
      <c r="J650" s="25" t="str">
        <f ca="1">IF(OR(E650="",E650="!!!",F650="NEW"),"",COUNTBLANK(OFFSET(A$1,,,SUMPRODUCT(MAX(ROW(E$2:E650)*(E650=E$2:E650)))))-COUNTBLANK(OFFSET(A$1,,,SUMPRODUCT(MAX(ROW(E$1:E649)*(E2=E$1:E649))))))</f>
        <v/>
      </c>
      <c r="K650" s="25" t="str">
        <f>IF(OR(E650="",E650="!!!",F650="NEW"),"",INDEX(J$1:J649,SUMPRODUCT(MAX(ROW(E$1:E649)*(E650=E$1:E649)))))</f>
        <v/>
      </c>
      <c r="L650" s="26"/>
    </row>
    <row r="651" spans="1:12" x14ac:dyDescent="0.3">
      <c r="A651" t="s">
        <v>191</v>
      </c>
      <c r="E651" s="21" t="str">
        <f t="shared" si="68"/>
        <v/>
      </c>
      <c r="F651" s="22" t="str">
        <f>IF(OR(E651="",E651="!!!"),"",IF(NOT(ISNA(VLOOKUP(E651,E$1:E650,1,FALSE()))),"OLD",IF(AND(E651&lt;&gt;"",E651&lt;&gt;"!!!"),"NEW","")))</f>
        <v/>
      </c>
      <c r="G651" s="23" t="str">
        <f>IF(OR(E651="",E651="!!!"),"",IF(OR(J651=0,AND(J651=1,K651=1),AND(J651=1,I651="SBJ"),AND(J651=1,I651=0)),"?IN_FOCUS",IF(J651&lt;=2,"?ACTIVATED",IF(J651&lt;&gt;"","?FAMILIAR",IF(F651="NEW",IF(ISNA(VLOOKUP(E651,#REF!,1,FALSE())),"?TYPE_IDENTIFIABLE","?REFERENTIAL"),"_")))))</f>
        <v/>
      </c>
      <c r="H651" s="24" t="str">
        <f t="shared" ca="1" si="69"/>
        <v/>
      </c>
      <c r="I651" s="25" t="str">
        <f>IF(OR(E651="",E651="!!!",F651="NEW"),"",INDEX(B$2:B650,-1+SUMPRODUCT(MAX(ROW(E$2:E650)*(E651=E$2:E650)))))</f>
        <v/>
      </c>
      <c r="J651" s="25" t="str">
        <f ca="1">IF(OR(E651="",E651="!!!",F651="NEW"),"",COUNTBLANK(OFFSET(A$1,,,SUMPRODUCT(MAX(ROW(E$2:E651)*(E651=E$2:E651)))))-COUNTBLANK(OFFSET(A$1,,,SUMPRODUCT(MAX(ROW(E$1:E650)*(E2=E$1:E650))))))</f>
        <v/>
      </c>
      <c r="K651" s="25" t="str">
        <f>IF(OR(E651="",E651="!!!",F651="NEW"),"",INDEX(J$1:J650,SUMPRODUCT(MAX(ROW(E$1:E650)*(E651=E$1:E650)))))</f>
        <v/>
      </c>
      <c r="L651" s="26"/>
    </row>
    <row r="652" spans="1:12" x14ac:dyDescent="0.3">
      <c r="A652" t="s">
        <v>529</v>
      </c>
      <c r="B652" s="20" t="s">
        <v>208</v>
      </c>
      <c r="C652" s="20" t="s">
        <v>197</v>
      </c>
      <c r="E652" s="21" t="str">
        <f t="shared" si="68"/>
        <v/>
      </c>
      <c r="F652" s="22" t="str">
        <f>IF(OR(E652="",E652="!!!"),"",IF(NOT(ISNA(VLOOKUP(E652,E$1:E651,1,FALSE()))),"OLD",IF(AND(E652&lt;&gt;"",E652&lt;&gt;"!!!"),"NEW","")))</f>
        <v/>
      </c>
      <c r="G652" s="23" t="str">
        <f>IF(OR(E652="",E652="!!!"),"",IF(OR(J652=0,AND(J652=1,K652=1),AND(J652=1,I652="SBJ"),AND(J652=1,I652=0)),"?IN_FOCUS",IF(J652&lt;=2,"?ACTIVATED",IF(J652&lt;&gt;"","?FAMILIAR",IF(F652="NEW",IF(ISNA(VLOOKUP(E652,#REF!,1,FALSE())),"?TYPE_IDENTIFIABLE","?REFERENTIAL"),"_")))))</f>
        <v/>
      </c>
      <c r="H652" s="24" t="str">
        <f t="shared" ca="1" si="69"/>
        <v/>
      </c>
      <c r="I652" s="25" t="str">
        <f>IF(OR(E652="",E652="!!!",F652="NEW"),"",INDEX(B$2:B651,-1+SUMPRODUCT(MAX(ROW(E$2:E651)*(E652=E$2:E651)))))</f>
        <v/>
      </c>
      <c r="J652" s="25" t="str">
        <f ca="1">IF(OR(E652="",E652="!!!",F652="NEW"),"",COUNTBLANK(OFFSET(A$1,,,SUMPRODUCT(MAX(ROW(E$2:E652)*(E652=E$2:E652)))))-COUNTBLANK(OFFSET(A$1,,,SUMPRODUCT(MAX(ROW(E$1:E651)*(E2=E$1:E651))))))</f>
        <v/>
      </c>
      <c r="K652" s="25" t="str">
        <f>IF(OR(E652="",E652="!!!",F652="NEW"),"",INDEX(J$1:J651,SUMPRODUCT(MAX(ROW(E$1:E651)*(E652=E$1:E651)))))</f>
        <v/>
      </c>
      <c r="L652" s="26"/>
    </row>
    <row r="653" spans="1:12" x14ac:dyDescent="0.3">
      <c r="A653" t="s">
        <v>567</v>
      </c>
      <c r="E653" s="21" t="str">
        <f t="shared" si="68"/>
        <v/>
      </c>
      <c r="F653" s="22" t="str">
        <f>IF(OR(E653="",E653="!!!"),"",IF(NOT(ISNA(VLOOKUP(E653,E$1:E652,1,FALSE()))),"OLD",IF(AND(E653&lt;&gt;"",E653&lt;&gt;"!!!"),"NEW","")))</f>
        <v/>
      </c>
      <c r="G653" s="23" t="str">
        <f>IF(OR(E653="",E653="!!!"),"",IF(OR(J653=0,AND(J653=1,K653=1),AND(J653=1,I653="SBJ"),AND(J653=1,I653=0)),"?IN_FOCUS",IF(J653&lt;=2,"?ACTIVATED",IF(J653&lt;&gt;"","?FAMILIAR",IF(F653="NEW",IF(ISNA(VLOOKUP(E653,#REF!,1,FALSE())),"?TYPE_IDENTIFIABLE","?REFERENTIAL"),"_")))))</f>
        <v/>
      </c>
      <c r="H653" s="24" t="str">
        <f t="shared" ca="1" si="69"/>
        <v/>
      </c>
      <c r="I653" s="25" t="str">
        <f>IF(OR(E653="",E653="!!!",F653="NEW"),"",INDEX(B$2:B652,-1+SUMPRODUCT(MAX(ROW(E$2:E652)*(E653=E$2:E652)))))</f>
        <v/>
      </c>
      <c r="J653" s="25" t="str">
        <f ca="1">IF(OR(E653="",E653="!!!",F653="NEW"),"",COUNTBLANK(OFFSET(A$1,,,SUMPRODUCT(MAX(ROW(E$2:E653)*(E653=E$2:E653)))))-COUNTBLANK(OFFSET(A$1,,,SUMPRODUCT(MAX(ROW(E$1:E652)*(E2=E$1:E652))))))</f>
        <v/>
      </c>
      <c r="K653" s="25" t="str">
        <f>IF(OR(E653="",E653="!!!",F653="NEW"),"",INDEX(J$1:J652,SUMPRODUCT(MAX(ROW(E$1:E652)*(E653=E$1:E652)))))</f>
        <v/>
      </c>
      <c r="L653" s="26"/>
    </row>
    <row r="654" spans="1:12" x14ac:dyDescent="0.3">
      <c r="A654" t="s">
        <v>238</v>
      </c>
      <c r="E654" s="21" t="str">
        <f t="shared" si="68"/>
        <v/>
      </c>
      <c r="F654" s="22" t="str">
        <f>IF(OR(E654="",E654="!!!"),"",IF(NOT(ISNA(VLOOKUP(E654,E$1:E653,1,FALSE()))),"OLD",IF(AND(E654&lt;&gt;"",E654&lt;&gt;"!!!"),"NEW","")))</f>
        <v/>
      </c>
      <c r="G654" s="23" t="str">
        <f>IF(OR(E654="",E654="!!!"),"",IF(OR(J654=0,AND(J654=1,K654=1),AND(J654=1,I654="SBJ"),AND(J654=1,I654=0)),"?IN_FOCUS",IF(J654&lt;=2,"?ACTIVATED",IF(J654&lt;&gt;"","?FAMILIAR",IF(F654="NEW",IF(ISNA(VLOOKUP(E654,#REF!,1,FALSE())),"?TYPE_IDENTIFIABLE","?REFERENTIAL"),"_")))))</f>
        <v/>
      </c>
      <c r="H654" s="24" t="str">
        <f t="shared" ca="1" si="69"/>
        <v/>
      </c>
      <c r="I654" s="25" t="str">
        <f>IF(OR(E654="",E654="!!!",F654="NEW"),"",INDEX(B$2:B653,-1+SUMPRODUCT(MAX(ROW(E$2:E653)*(E654=E$2:E653)))))</f>
        <v/>
      </c>
      <c r="J654" s="25" t="str">
        <f ca="1">IF(OR(E654="",E654="!!!",F654="NEW"),"",COUNTBLANK(OFFSET(A$1,,,SUMPRODUCT(MAX(ROW(E$2:E654)*(E654=E$2:E654)))))-COUNTBLANK(OFFSET(A$1,,,SUMPRODUCT(MAX(ROW(E$1:E653)*(E2=E$1:E653))))))</f>
        <v/>
      </c>
      <c r="K654" s="25" t="str">
        <f>IF(OR(E654="",E654="!!!",F654="NEW"),"",INDEX(J$1:J653,SUMPRODUCT(MAX(ROW(E$1:E653)*(E654=E$1:E653)))))</f>
        <v/>
      </c>
      <c r="L654" s="26"/>
    </row>
    <row r="655" spans="1:12" x14ac:dyDescent="0.3">
      <c r="A655" t="s">
        <v>206</v>
      </c>
      <c r="E655" s="21" t="str">
        <f t="shared" si="68"/>
        <v/>
      </c>
      <c r="F655" s="22" t="str">
        <f>IF(OR(E655="",E655="!!!"),"",IF(NOT(ISNA(VLOOKUP(E655,E$1:E654,1,FALSE()))),"OLD",IF(AND(E655&lt;&gt;"",E655&lt;&gt;"!!!"),"NEW","")))</f>
        <v/>
      </c>
      <c r="G655" s="23" t="str">
        <f>IF(OR(E655="",E655="!!!"),"",IF(OR(J655=0,AND(J655=1,K655=1),AND(J655=1,I655="SBJ"),AND(J655=1,I655=0)),"?IN_FOCUS",IF(J655&lt;=2,"?ACTIVATED",IF(J655&lt;&gt;"","?FAMILIAR",IF(F655="NEW",IF(ISNA(VLOOKUP(E655,#REF!,1,FALSE())),"?TYPE_IDENTIFIABLE","?REFERENTIAL"),"_")))))</f>
        <v/>
      </c>
      <c r="H655" s="24" t="str">
        <f t="shared" ca="1" si="69"/>
        <v/>
      </c>
      <c r="I655" s="25" t="str">
        <f>IF(OR(E655="",E655="!!!",F655="NEW"),"",INDEX(B$2:B654,-1+SUMPRODUCT(MAX(ROW(E$2:E654)*(E655=E$2:E654)))))</f>
        <v/>
      </c>
      <c r="J655" s="25" t="str">
        <f ca="1">IF(OR(E655="",E655="!!!",F655="NEW"),"",COUNTBLANK(OFFSET(A$1,,,SUMPRODUCT(MAX(ROW(E$2:E655)*(E655=E$2:E655)))))-COUNTBLANK(OFFSET(A$1,,,SUMPRODUCT(MAX(ROW(E$1:E654)*(E2=E$1:E654))))))</f>
        <v/>
      </c>
      <c r="K655" s="25" t="str">
        <f>IF(OR(E655="",E655="!!!",F655="NEW"),"",INDEX(J$1:J654,SUMPRODUCT(MAX(ROW(E$1:E654)*(E655=E$1:E654)))))</f>
        <v/>
      </c>
      <c r="L655" s="26"/>
    </row>
    <row r="656" spans="1:12" x14ac:dyDescent="0.3">
      <c r="A656" t="s">
        <v>568</v>
      </c>
      <c r="B656" s="20" t="s">
        <v>219</v>
      </c>
      <c r="C656" s="20" t="s">
        <v>197</v>
      </c>
      <c r="E656" s="21" t="str">
        <f t="shared" si="68"/>
        <v/>
      </c>
      <c r="F656" s="22" t="str">
        <f>IF(OR(E656="",E656="!!!"),"",IF(NOT(ISNA(VLOOKUP(E656,E$1:E655,1,FALSE()))),"OLD",IF(AND(E656&lt;&gt;"",E656&lt;&gt;"!!!"),"NEW","")))</f>
        <v/>
      </c>
      <c r="G656" s="23" t="str">
        <f>IF(OR(E656="",E656="!!!"),"",IF(OR(J656=0,AND(J656=1,K656=1),AND(J656=1,I656="SBJ"),AND(J656=1,I656=0)),"?IN_FOCUS",IF(J656&lt;=2,"?ACTIVATED",IF(J656&lt;&gt;"","?FAMILIAR",IF(F656="NEW",IF(ISNA(VLOOKUP(E656,#REF!,1,FALSE())),"?TYPE_IDENTIFIABLE","?REFERENTIAL"),"_")))))</f>
        <v/>
      </c>
      <c r="H656" s="24" t="str">
        <f t="shared" ca="1" si="69"/>
        <v/>
      </c>
      <c r="I656" s="25" t="str">
        <f>IF(OR(E656="",E656="!!!",F656="NEW"),"",INDEX(B$2:B655,-1+SUMPRODUCT(MAX(ROW(E$2:E655)*(E656=E$2:E655)))))</f>
        <v/>
      </c>
      <c r="J656" s="25" t="str">
        <f ca="1">IF(OR(E656="",E656="!!!",F656="NEW"),"",COUNTBLANK(OFFSET(A$1,,,SUMPRODUCT(MAX(ROW(E$2:E656)*(E656=E$2:E656)))))-COUNTBLANK(OFFSET(A$1,,,SUMPRODUCT(MAX(ROW(E$1:E655)*(E2=E$1:E655))))))</f>
        <v/>
      </c>
      <c r="K656" s="25" t="str">
        <f>IF(OR(E656="",E656="!!!",F656="NEW"),"",INDEX(J$1:J655,SUMPRODUCT(MAX(ROW(E$1:E655)*(E656=E$1:E655)))))</f>
        <v/>
      </c>
      <c r="L656" s="26"/>
    </row>
    <row r="657" spans="1:12" x14ac:dyDescent="0.3">
      <c r="A657" t="s">
        <v>569</v>
      </c>
      <c r="E657" s="21" t="str">
        <f t="shared" si="68"/>
        <v/>
      </c>
      <c r="F657" s="22" t="str">
        <f>IF(OR(E657="",E657="!!!"),"",IF(NOT(ISNA(VLOOKUP(E657,E$1:E656,1,FALSE()))),"OLD",IF(AND(E657&lt;&gt;"",E657&lt;&gt;"!!!"),"NEW","")))</f>
        <v/>
      </c>
      <c r="G657" s="23" t="str">
        <f>IF(OR(E657="",E657="!!!"),"",IF(OR(J657=0,AND(J657=1,K657=1),AND(J657=1,I657="SBJ"),AND(J657=1,I657=0)),"?IN_FOCUS",IF(J657&lt;=2,"?ACTIVATED",IF(J657&lt;&gt;"","?FAMILIAR",IF(F657="NEW",IF(ISNA(VLOOKUP(E657,#REF!,1,FALSE())),"?TYPE_IDENTIFIABLE","?REFERENTIAL"),"_")))))</f>
        <v/>
      </c>
      <c r="H657" s="24" t="str">
        <f t="shared" ca="1" si="69"/>
        <v/>
      </c>
      <c r="I657" s="25" t="str">
        <f>IF(OR(E657="",E657="!!!",F657="NEW"),"",INDEX(B$2:B656,-1+SUMPRODUCT(MAX(ROW(E$2:E656)*(E657=E$2:E656)))))</f>
        <v/>
      </c>
      <c r="J657" s="25" t="str">
        <f ca="1">IF(OR(E657="",E657="!!!",F657="NEW"),"",COUNTBLANK(OFFSET(A$1,,,SUMPRODUCT(MAX(ROW(E$2:E657)*(E657=E$2:E657)))))-COUNTBLANK(OFFSET(A$1,,,SUMPRODUCT(MAX(ROW(E$1:E656)*(E2=E$1:E656))))))</f>
        <v/>
      </c>
      <c r="K657" s="25" t="str">
        <f>IF(OR(E657="",E657="!!!",F657="NEW"),"",INDEX(J$1:J656,SUMPRODUCT(MAX(ROW(E$1:E656)*(E657=E$1:E656)))))</f>
        <v/>
      </c>
      <c r="L657" s="26"/>
    </row>
    <row r="658" spans="1:12" x14ac:dyDescent="0.3">
      <c r="A658" t="s">
        <v>238</v>
      </c>
      <c r="E658" s="21" t="str">
        <f t="shared" si="68"/>
        <v/>
      </c>
      <c r="F658" s="22" t="str">
        <f>IF(OR(E658="",E658="!!!"),"",IF(NOT(ISNA(VLOOKUP(E658,E$1:E657,1,FALSE()))),"OLD",IF(AND(E658&lt;&gt;"",E658&lt;&gt;"!!!"),"NEW","")))</f>
        <v/>
      </c>
      <c r="G658" s="23" t="str">
        <f>IF(OR(E658="",E658="!!!"),"",IF(OR(J658=0,AND(J658=1,K658=1),AND(J658=1,I658="SBJ"),AND(J658=1,I658=0)),"?IN_FOCUS",IF(J658&lt;=2,"?ACTIVATED",IF(J658&lt;&gt;"","?FAMILIAR",IF(F658="NEW",IF(ISNA(VLOOKUP(E658,#REF!,1,FALSE())),"?TYPE_IDENTIFIABLE","?REFERENTIAL"),"_")))))</f>
        <v/>
      </c>
      <c r="H658" s="24" t="str">
        <f t="shared" ca="1" si="69"/>
        <v/>
      </c>
      <c r="I658" s="25" t="str">
        <f>IF(OR(E658="",E658="!!!",F658="NEW"),"",INDEX(B$2:B657,-1+SUMPRODUCT(MAX(ROW(E$2:E657)*(E658=E$2:E657)))))</f>
        <v/>
      </c>
      <c r="J658" s="25" t="str">
        <f ca="1">IF(OR(E658="",E658="!!!",F658="NEW"),"",COUNTBLANK(OFFSET(A$1,,,SUMPRODUCT(MAX(ROW(E$2:E658)*(E658=E$2:E658)))))-COUNTBLANK(OFFSET(A$1,,,SUMPRODUCT(MAX(ROW(E$1:E657)*(E2=E$1:E657))))))</f>
        <v/>
      </c>
      <c r="K658" s="25" t="str">
        <f>IF(OR(E658="",E658="!!!",F658="NEW"),"",INDEX(J$1:J657,SUMPRODUCT(MAX(ROW(E$1:E657)*(E658=E$1:E657)))))</f>
        <v/>
      </c>
      <c r="L658" s="26"/>
    </row>
    <row r="659" spans="1:12" x14ac:dyDescent="0.3">
      <c r="A659" t="s">
        <v>212</v>
      </c>
      <c r="E659" s="21" t="str">
        <f t="shared" si="68"/>
        <v/>
      </c>
      <c r="F659" s="22" t="str">
        <f>IF(OR(E659="",E659="!!!"),"",IF(NOT(ISNA(VLOOKUP(E659,E$1:E658,1,FALSE()))),"OLD",IF(AND(E659&lt;&gt;"",E659&lt;&gt;"!!!"),"NEW","")))</f>
        <v/>
      </c>
      <c r="G659" s="23" t="str">
        <f>IF(OR(E659="",E659="!!!"),"",IF(OR(J659=0,AND(J659=1,K659=1),AND(J659=1,I659="SBJ"),AND(J659=1,I659=0)),"?IN_FOCUS",IF(J659&lt;=2,"?ACTIVATED",IF(J659&lt;&gt;"","?FAMILIAR",IF(F659="NEW",IF(ISNA(VLOOKUP(E659,#REF!,1,FALSE())),"?TYPE_IDENTIFIABLE","?REFERENTIAL"),"_")))))</f>
        <v/>
      </c>
      <c r="H659" s="24" t="str">
        <f t="shared" ca="1" si="69"/>
        <v/>
      </c>
      <c r="I659" s="25" t="str">
        <f>IF(OR(E659="",E659="!!!",F659="NEW"),"",INDEX(B$2:B658,-1+SUMPRODUCT(MAX(ROW(E$2:E658)*(E659=E$2:E658)))))</f>
        <v/>
      </c>
      <c r="J659" s="25" t="str">
        <f ca="1">IF(OR(E659="",E659="!!!",F659="NEW"),"",COUNTBLANK(OFFSET(A$1,,,SUMPRODUCT(MAX(ROW(E$2:E659)*(E659=E$2:E659)))))-COUNTBLANK(OFFSET(A$1,,,SUMPRODUCT(MAX(ROW(E$1:E658)*(E2=E$1:E658))))))</f>
        <v/>
      </c>
      <c r="K659" s="25" t="str">
        <f>IF(OR(E659="",E659="!!!",F659="NEW"),"",INDEX(J$1:J658,SUMPRODUCT(MAX(ROW(E$1:E658)*(E659=E$1:E658)))))</f>
        <v/>
      </c>
      <c r="L659" s="26"/>
    </row>
    <row r="660" spans="1:12" x14ac:dyDescent="0.3">
      <c r="A660" t="s">
        <v>191</v>
      </c>
      <c r="E660" s="21" t="str">
        <f t="shared" si="68"/>
        <v/>
      </c>
      <c r="F660" s="22" t="str">
        <f>IF(OR(E660="",E660="!!!"),"",IF(NOT(ISNA(VLOOKUP(E660,E$1:E659,1,FALSE()))),"OLD",IF(AND(E660&lt;&gt;"",E660&lt;&gt;"!!!"),"NEW","")))</f>
        <v/>
      </c>
      <c r="G660" s="23" t="str">
        <f>IF(OR(E660="",E660="!!!"),"",IF(OR(J660=0,AND(J660=1,K660=1),AND(J660=1,I660="SBJ"),AND(J660=1,I660=0)),"?IN_FOCUS",IF(J660&lt;=2,"?ACTIVATED",IF(J660&lt;&gt;"","?FAMILIAR",IF(F660="NEW",IF(ISNA(VLOOKUP(E660,#REF!,1,FALSE())),"?TYPE_IDENTIFIABLE","?REFERENTIAL"),"_")))))</f>
        <v/>
      </c>
      <c r="H660" s="24" t="str">
        <f t="shared" ca="1" si="69"/>
        <v/>
      </c>
      <c r="I660" s="25" t="str">
        <f>IF(OR(E660="",E660="!!!",F660="NEW"),"",INDEX(B$2:B659,-1+SUMPRODUCT(MAX(ROW(E$2:E659)*(E660=E$2:E659)))))</f>
        <v/>
      </c>
      <c r="J660" s="25" t="str">
        <f ca="1">IF(OR(E660="",E660="!!!",F660="NEW"),"",COUNTBLANK(OFFSET(A$1,,,SUMPRODUCT(MAX(ROW(E$2:E660)*(E660=E$2:E660)))))-COUNTBLANK(OFFSET(A$1,,,SUMPRODUCT(MAX(ROW(E$1:E659)*(E2=E$1:E659))))))</f>
        <v/>
      </c>
      <c r="K660" s="25" t="str">
        <f>IF(OR(E660="",E660="!!!",F660="NEW"),"",INDEX(J$1:J659,SUMPRODUCT(MAX(ROW(E$1:E659)*(E660=E$1:E659)))))</f>
        <v/>
      </c>
      <c r="L660" s="26"/>
    </row>
    <row r="662" spans="1:12" x14ac:dyDescent="0.3">
      <c r="A662" t="s">
        <v>570</v>
      </c>
    </row>
    <row r="663" spans="1:12" x14ac:dyDescent="0.3">
      <c r="A663" t="s">
        <v>249</v>
      </c>
      <c r="E663" s="21" t="str">
        <f t="shared" ref="E663:E673" si="70">IF(D663="?OLD","!!!","")</f>
        <v/>
      </c>
      <c r="F663" s="22" t="str">
        <f>IF(OR(E663="",E663="!!!"),"",IF(NOT(ISNA(VLOOKUP(E663,E$1:E662,1,FALSE()))),"OLD",IF(AND(E663&lt;&gt;"",E663&lt;&gt;"!!!"),"NEW","")))</f>
        <v/>
      </c>
      <c r="G663" s="23" t="str">
        <f>IF(OR(E663="",E663="!!!"),"",IF(OR(J663=0,AND(J663=1,K663=1),AND(J663=1,I663="SBJ"),AND(J663=1,I663=0)),"?IN_FOCUS",IF(J663&lt;=2,"?ACTIVATED",IF(J663&lt;&gt;"","?FAMILIAR",IF(F663="NEW",IF(ISNA(VLOOKUP(E663,#REF!,1,FALSE())),"?TYPE_IDENTIFIABLE","?REFERENTIAL"),"_")))))</f>
        <v/>
      </c>
      <c r="H663" s="24" t="str">
        <f t="shared" ref="H663:H673" ca="1" si="71">IF(J663&lt;&gt;1,"",IF(I663="SBJ","CB","?"))</f>
        <v/>
      </c>
      <c r="I663" s="25" t="str">
        <f>IF(OR(E663="",E663="!!!",F663="NEW"),"",INDEX(B$2:B662,-1+SUMPRODUCT(MAX(ROW(E$2:E662)*(E663=E$2:E662)))))</f>
        <v/>
      </c>
      <c r="J663" s="25" t="str">
        <f ca="1">IF(OR(E663="",E663="!!!",F663="NEW"),"",COUNTBLANK(OFFSET(A$1,,,SUMPRODUCT(MAX(ROW(E$2:E663)*(E663=E$2:E663)))))-COUNTBLANK(OFFSET(A$1,,,SUMPRODUCT(MAX(ROW(E$1:E662)*(E2=E$1:E662))))))</f>
        <v/>
      </c>
      <c r="K663" s="25" t="str">
        <f>IF(OR(E663="",E663="!!!",F663="NEW"),"",INDEX(J$1:J662,SUMPRODUCT(MAX(ROW(E$1:E662)*(E663=E$1:E662)))))</f>
        <v/>
      </c>
      <c r="L663" s="26"/>
    </row>
    <row r="664" spans="1:12" x14ac:dyDescent="0.3">
      <c r="A664" t="s">
        <v>218</v>
      </c>
      <c r="E664" s="21" t="str">
        <f t="shared" si="70"/>
        <v/>
      </c>
      <c r="F664" s="22" t="str">
        <f>IF(OR(E664="",E664="!!!"),"",IF(NOT(ISNA(VLOOKUP(E664,E$1:E663,1,FALSE()))),"OLD",IF(AND(E664&lt;&gt;"",E664&lt;&gt;"!!!"),"NEW","")))</f>
        <v/>
      </c>
      <c r="G664" s="23" t="str">
        <f>IF(OR(E664="",E664="!!!"),"",IF(OR(J664=0,AND(J664=1,K664=1),AND(J664=1,I664="SBJ"),AND(J664=1,I664=0)),"?IN_FOCUS",IF(J664&lt;=2,"?ACTIVATED",IF(J664&lt;&gt;"","?FAMILIAR",IF(F664="NEW",IF(ISNA(VLOOKUP(E664,#REF!,1,FALSE())),"?TYPE_IDENTIFIABLE","?REFERENTIAL"),"_")))))</f>
        <v/>
      </c>
      <c r="H664" s="24" t="str">
        <f t="shared" ca="1" si="71"/>
        <v/>
      </c>
      <c r="I664" s="25" t="str">
        <f>IF(OR(E664="",E664="!!!",F664="NEW"),"",INDEX(B$2:B663,-1+SUMPRODUCT(MAX(ROW(E$2:E663)*(E664=E$2:E663)))))</f>
        <v/>
      </c>
      <c r="J664" s="25" t="str">
        <f ca="1">IF(OR(E664="",E664="!!!",F664="NEW"),"",COUNTBLANK(OFFSET(A$1,,,SUMPRODUCT(MAX(ROW(E$2:E664)*(E664=E$2:E664)))))-COUNTBLANK(OFFSET(A$1,,,SUMPRODUCT(MAX(ROW(E$1:E663)*(E2=E$1:E663))))))</f>
        <v/>
      </c>
      <c r="K664" s="25" t="str">
        <f>IF(OR(E664="",E664="!!!",F664="NEW"),"",INDEX(J$1:J663,SUMPRODUCT(MAX(ROW(E$1:E663)*(E664=E$1:E663)))))</f>
        <v/>
      </c>
      <c r="L664" s="26"/>
    </row>
    <row r="665" spans="1:12" x14ac:dyDescent="0.3">
      <c r="A665" t="s">
        <v>571</v>
      </c>
      <c r="B665" s="20" t="s">
        <v>201</v>
      </c>
      <c r="C665" s="20" t="s">
        <v>216</v>
      </c>
      <c r="D665" s="20" t="s">
        <v>186</v>
      </c>
      <c r="E665" s="21" t="s">
        <v>777</v>
      </c>
      <c r="F665" s="22" t="str">
        <f>IF(OR(E665="",E665="!!!"),"",IF(NOT(ISNA(VLOOKUP(E665,E$1:E664,1,FALSE()))),"OLD",IF(AND(E665&lt;&gt;"",E665&lt;&gt;"!!!"),"NEW","")))</f>
        <v>OLD</v>
      </c>
      <c r="G665" s="23" t="s">
        <v>723</v>
      </c>
      <c r="H665" s="24" t="str">
        <f t="shared" ca="1" si="71"/>
        <v/>
      </c>
      <c r="I665" s="25" t="str">
        <f>IF(OR(E665="",E665="!!!",F665="NEW"),"",INDEX(B$2:B664,-1+SUMPRODUCT(MAX(ROW(E$2:E664)*(E665=E$2:E664)))))</f>
        <v>SBJ</v>
      </c>
      <c r="J665" s="25">
        <f ca="1">IF(OR(E665="",E665="!!!",F665="NEW"),"",COUNTBLANK(OFFSET(A$1,,,SUMPRODUCT(MAX(ROW(E$2:E665)*(E665=E$2:E665)))))-COUNTBLANK(OFFSET(A$1,,,SUMPRODUCT(MAX(ROW(E$1:E664)*(E2=E$1:E664))))))</f>
        <v>0</v>
      </c>
      <c r="K665" s="25" t="str">
        <f ca="1">IF(OR(E665="",E665="!!!",F665="NEW"),"",INDEX(J$1:J664,SUMPRODUCT(MAX(ROW(E$1:E664)*(E665=E$1:E664)))))</f>
        <v/>
      </c>
      <c r="L665" s="26"/>
    </row>
    <row r="666" spans="1:12" x14ac:dyDescent="0.3">
      <c r="A666" t="s">
        <v>372</v>
      </c>
      <c r="E666" s="21" t="str">
        <f t="shared" si="70"/>
        <v/>
      </c>
      <c r="F666" s="22" t="str">
        <f>IF(OR(E666="",E666="!!!"),"",IF(NOT(ISNA(VLOOKUP(E666,E$1:E665,1,FALSE()))),"OLD",IF(AND(E666&lt;&gt;"",E666&lt;&gt;"!!!"),"NEW","")))</f>
        <v/>
      </c>
      <c r="G666" s="23" t="str">
        <f>IF(OR(E666="",E666="!!!"),"",IF(OR(J666=0,AND(J666=1,K666=1),AND(J666=1,I666="SBJ"),AND(J666=1,I666=0)),"?IN_FOCUS",IF(J666&lt;=2,"?ACTIVATED",IF(J666&lt;&gt;"","?FAMILIAR",IF(F666="NEW",IF(ISNA(VLOOKUP(E666,#REF!,1,FALSE())),"?TYPE_IDENTIFIABLE","?REFERENTIAL"),"_")))))</f>
        <v/>
      </c>
      <c r="H666" s="24" t="str">
        <f t="shared" ca="1" si="71"/>
        <v/>
      </c>
      <c r="I666" s="25" t="str">
        <f>IF(OR(E666="",E666="!!!",F666="NEW"),"",INDEX(B$2:B665,-1+SUMPRODUCT(MAX(ROW(E$2:E665)*(E666=E$2:E665)))))</f>
        <v/>
      </c>
      <c r="J666" s="25" t="str">
        <f ca="1">IF(OR(E666="",E666="!!!",F666="NEW"),"",COUNTBLANK(OFFSET(A$1,,,SUMPRODUCT(MAX(ROW(E$2:E666)*(E666=E$2:E666)))))-COUNTBLANK(OFFSET(A$1,,,SUMPRODUCT(MAX(ROW(E$1:E665)*(E2=E$1:E665))))))</f>
        <v/>
      </c>
      <c r="K666" s="25" t="str">
        <f>IF(OR(E666="",E666="!!!",F666="NEW"),"",INDEX(J$1:J665,SUMPRODUCT(MAX(ROW(E$1:E665)*(E666=E$1:E665)))))</f>
        <v/>
      </c>
      <c r="L666" s="26"/>
    </row>
    <row r="667" spans="1:12" x14ac:dyDescent="0.3">
      <c r="A667" t="s">
        <v>425</v>
      </c>
      <c r="E667" s="21" t="str">
        <f t="shared" si="70"/>
        <v/>
      </c>
      <c r="F667" s="22" t="str">
        <f>IF(OR(E667="",E667="!!!"),"",IF(NOT(ISNA(VLOOKUP(E667,E$1:E666,1,FALSE()))),"OLD",IF(AND(E667&lt;&gt;"",E667&lt;&gt;"!!!"),"NEW","")))</f>
        <v/>
      </c>
      <c r="G667" s="23" t="str">
        <f>IF(OR(E667="",E667="!!!"),"",IF(OR(J667=0,AND(J667=1,K667=1),AND(J667=1,I667="SBJ"),AND(J667=1,I667=0)),"?IN_FOCUS",IF(J667&lt;=2,"?ACTIVATED",IF(J667&lt;&gt;"","?FAMILIAR",IF(F667="NEW",IF(ISNA(VLOOKUP(E667,#REF!,1,FALSE())),"?TYPE_IDENTIFIABLE","?REFERENTIAL"),"_")))))</f>
        <v/>
      </c>
      <c r="H667" s="24" t="str">
        <f t="shared" ca="1" si="71"/>
        <v/>
      </c>
      <c r="I667" s="25" t="str">
        <f>IF(OR(E667="",E667="!!!",F667="NEW"),"",INDEX(B$2:B666,-1+SUMPRODUCT(MAX(ROW(E$2:E666)*(E667=E$2:E666)))))</f>
        <v/>
      </c>
      <c r="J667" s="25" t="str">
        <f ca="1">IF(OR(E667="",E667="!!!",F667="NEW"),"",COUNTBLANK(OFFSET(A$1,,,SUMPRODUCT(MAX(ROW(E$2:E667)*(E667=E$2:E667)))))-COUNTBLANK(OFFSET(A$1,,,SUMPRODUCT(MAX(ROW(E$1:E666)*(E2=E$1:E666))))))</f>
        <v/>
      </c>
      <c r="K667" s="25" t="str">
        <f>IF(OR(E667="",E667="!!!",F667="NEW"),"",INDEX(J$1:J666,SUMPRODUCT(MAX(ROW(E$1:E666)*(E667=E$1:E666)))))</f>
        <v/>
      </c>
      <c r="L667" s="26"/>
    </row>
    <row r="668" spans="1:12" x14ac:dyDescent="0.3">
      <c r="A668" t="s">
        <v>572</v>
      </c>
      <c r="E668" s="21" t="str">
        <f t="shared" si="70"/>
        <v/>
      </c>
      <c r="F668" s="22" t="str">
        <f>IF(OR(E668="",E668="!!!"),"",IF(NOT(ISNA(VLOOKUP(E668,E$1:E667,1,FALSE()))),"OLD",IF(AND(E668&lt;&gt;"",E668&lt;&gt;"!!!"),"NEW","")))</f>
        <v/>
      </c>
      <c r="G668" s="23" t="str">
        <f>IF(OR(E668="",E668="!!!"),"",IF(OR(J668=0,AND(J668=1,K668=1),AND(J668=1,I668="SBJ"),AND(J668=1,I668=0)),"?IN_FOCUS",IF(J668&lt;=2,"?ACTIVATED",IF(J668&lt;&gt;"","?FAMILIAR",IF(F668="NEW",IF(ISNA(VLOOKUP(E668,#REF!,1,FALSE())),"?TYPE_IDENTIFIABLE","?REFERENTIAL"),"_")))))</f>
        <v/>
      </c>
      <c r="H668" s="24" t="str">
        <f t="shared" ca="1" si="71"/>
        <v/>
      </c>
      <c r="I668" s="25" t="str">
        <f>IF(OR(E668="",E668="!!!",F668="NEW"),"",INDEX(B$2:B667,-1+SUMPRODUCT(MAX(ROW(E$2:E667)*(E668=E$2:E667)))))</f>
        <v/>
      </c>
      <c r="J668" s="25" t="str">
        <f ca="1">IF(OR(E668="",E668="!!!",F668="NEW"),"",COUNTBLANK(OFFSET(A$1,,,SUMPRODUCT(MAX(ROW(E$2:E668)*(E668=E$2:E668)))))-COUNTBLANK(OFFSET(A$1,,,SUMPRODUCT(MAX(ROW(E$1:E667)*(E2=E$1:E667))))))</f>
        <v/>
      </c>
      <c r="K668" s="25" t="str">
        <f>IF(OR(E668="",E668="!!!",F668="NEW"),"",INDEX(J$1:J667,SUMPRODUCT(MAX(ROW(E$1:E667)*(E668=E$1:E667)))))</f>
        <v/>
      </c>
      <c r="L668" s="26"/>
    </row>
    <row r="669" spans="1:12" x14ac:dyDescent="0.3">
      <c r="A669" t="s">
        <v>573</v>
      </c>
      <c r="E669" s="21" t="str">
        <f t="shared" si="70"/>
        <v/>
      </c>
      <c r="F669" s="22" t="str">
        <f>IF(OR(E669="",E669="!!!"),"",IF(NOT(ISNA(VLOOKUP(E669,E$1:E668,1,FALSE()))),"OLD",IF(AND(E669&lt;&gt;"",E669&lt;&gt;"!!!"),"NEW","")))</f>
        <v/>
      </c>
      <c r="G669" s="23" t="str">
        <f>IF(OR(E669="",E669="!!!"),"",IF(OR(J669=0,AND(J669=1,K669=1),AND(J669=1,I669="SBJ"),AND(J669=1,I669=0)),"?IN_FOCUS",IF(J669&lt;=2,"?ACTIVATED",IF(J669&lt;&gt;"","?FAMILIAR",IF(F669="NEW",IF(ISNA(VLOOKUP(E669,#REF!,1,FALSE())),"?TYPE_IDENTIFIABLE","?REFERENTIAL"),"_")))))</f>
        <v/>
      </c>
      <c r="H669" s="24" t="str">
        <f t="shared" ca="1" si="71"/>
        <v/>
      </c>
      <c r="I669" s="25" t="str">
        <f>IF(OR(E669="",E669="!!!",F669="NEW"),"",INDEX(B$2:B668,-1+SUMPRODUCT(MAX(ROW(E$2:E668)*(E669=E$2:E668)))))</f>
        <v/>
      </c>
      <c r="J669" s="25" t="str">
        <f ca="1">IF(OR(E669="",E669="!!!",F669="NEW"),"",COUNTBLANK(OFFSET(A$1,,,SUMPRODUCT(MAX(ROW(E$2:E669)*(E669=E$2:E669)))))-COUNTBLANK(OFFSET(A$1,,,SUMPRODUCT(MAX(ROW(E$1:E668)*(E2=E$1:E668))))))</f>
        <v/>
      </c>
      <c r="K669" s="25" t="str">
        <f>IF(OR(E669="",E669="!!!",F669="NEW"),"",INDEX(J$1:J668,SUMPRODUCT(MAX(ROW(E$1:E668)*(E669=E$1:E668)))))</f>
        <v/>
      </c>
      <c r="L669" s="26"/>
    </row>
    <row r="670" spans="1:12" x14ac:dyDescent="0.3">
      <c r="A670" t="s">
        <v>574</v>
      </c>
      <c r="B670" s="20" t="s">
        <v>222</v>
      </c>
      <c r="C670" s="20" t="s">
        <v>193</v>
      </c>
      <c r="E670" s="21" t="str">
        <f t="shared" si="70"/>
        <v/>
      </c>
      <c r="F670" s="22" t="str">
        <f>IF(OR(E670="",E670="!!!"),"",IF(NOT(ISNA(VLOOKUP(E670,E$1:E669,1,FALSE()))),"OLD",IF(AND(E670&lt;&gt;"",E670&lt;&gt;"!!!"),"NEW","")))</f>
        <v/>
      </c>
      <c r="G670" s="23" t="str">
        <f>IF(OR(E670="",E670="!!!"),"",IF(OR(J670=0,AND(J670=1,K670=1),AND(J670=1,I670="SBJ"),AND(J670=1,I670=0)),"?IN_FOCUS",IF(J670&lt;=2,"?ACTIVATED",IF(J670&lt;&gt;"","?FAMILIAR",IF(F670="NEW",IF(ISNA(VLOOKUP(E670,#REF!,1,FALSE())),"?TYPE_IDENTIFIABLE","?REFERENTIAL"),"_")))))</f>
        <v/>
      </c>
      <c r="H670" s="24" t="str">
        <f t="shared" ca="1" si="71"/>
        <v/>
      </c>
      <c r="I670" s="25" t="str">
        <f>IF(OR(E670="",E670="!!!",F670="NEW"),"",INDEX(B$2:B669,-1+SUMPRODUCT(MAX(ROW(E$2:E669)*(E670=E$2:E669)))))</f>
        <v/>
      </c>
      <c r="J670" s="25" t="str">
        <f ca="1">IF(OR(E670="",E670="!!!",F670="NEW"),"",COUNTBLANK(OFFSET(A$1,,,SUMPRODUCT(MAX(ROW(E$2:E670)*(E670=E$2:E670)))))-COUNTBLANK(OFFSET(A$1,,,SUMPRODUCT(MAX(ROW(E$1:E669)*(E2=E$1:E669))))))</f>
        <v/>
      </c>
      <c r="K670" s="25" t="str">
        <f>IF(OR(E670="",E670="!!!",F670="NEW"),"",INDEX(J$1:J669,SUMPRODUCT(MAX(ROW(E$1:E669)*(E670=E$1:E669)))))</f>
        <v/>
      </c>
      <c r="L670" s="26"/>
    </row>
    <row r="671" spans="1:12" x14ac:dyDescent="0.3">
      <c r="A671" t="s">
        <v>296</v>
      </c>
      <c r="E671" s="21" t="str">
        <f t="shared" si="70"/>
        <v/>
      </c>
      <c r="F671" s="22" t="str">
        <f>IF(OR(E671="",E671="!!!"),"",IF(NOT(ISNA(VLOOKUP(E671,E$1:E670,1,FALSE()))),"OLD",IF(AND(E671&lt;&gt;"",E671&lt;&gt;"!!!"),"NEW","")))</f>
        <v/>
      </c>
      <c r="G671" s="23" t="str">
        <f>IF(OR(E671="",E671="!!!"),"",IF(OR(J671=0,AND(J671=1,K671=1),AND(J671=1,I671="SBJ"),AND(J671=1,I671=0)),"?IN_FOCUS",IF(J671&lt;=2,"?ACTIVATED",IF(J671&lt;&gt;"","?FAMILIAR",IF(F671="NEW",IF(ISNA(VLOOKUP(E671,#REF!,1,FALSE())),"?TYPE_IDENTIFIABLE","?REFERENTIAL"),"_")))))</f>
        <v/>
      </c>
      <c r="H671" s="24" t="str">
        <f t="shared" ca="1" si="71"/>
        <v/>
      </c>
      <c r="I671" s="25" t="str">
        <f>IF(OR(E671="",E671="!!!",F671="NEW"),"",INDEX(B$2:B670,-1+SUMPRODUCT(MAX(ROW(E$2:E670)*(E671=E$2:E670)))))</f>
        <v/>
      </c>
      <c r="J671" s="25" t="str">
        <f ca="1">IF(OR(E671="",E671="!!!",F671="NEW"),"",COUNTBLANK(OFFSET(A$1,,,SUMPRODUCT(MAX(ROW(E$2:E671)*(E671=E$2:E671)))))-COUNTBLANK(OFFSET(A$1,,,SUMPRODUCT(MAX(ROW(E$1:E670)*(E2=E$1:E670))))))</f>
        <v/>
      </c>
      <c r="K671" s="25" t="str">
        <f>IF(OR(E671="",E671="!!!",F671="NEW"),"",INDEX(J$1:J670,SUMPRODUCT(MAX(ROW(E$1:E670)*(E671=E$1:E670)))))</f>
        <v/>
      </c>
      <c r="L671" s="26"/>
    </row>
    <row r="672" spans="1:12" x14ac:dyDescent="0.3">
      <c r="A672" t="s">
        <v>575</v>
      </c>
      <c r="B672" s="20" t="s">
        <v>196</v>
      </c>
      <c r="C672" s="20" t="s">
        <v>185</v>
      </c>
      <c r="D672" s="20" t="s">
        <v>186</v>
      </c>
      <c r="E672" s="21" t="s">
        <v>747</v>
      </c>
      <c r="F672" s="22" t="str">
        <f>IF(OR(E672="",E672="!!!"),"",IF(NOT(ISNA(VLOOKUP(E672,E$1:E671,1,FALSE()))),"OLD",IF(AND(E672&lt;&gt;"",E672&lt;&gt;"!!!"),"NEW","")))</f>
        <v>OLD</v>
      </c>
      <c r="G672" s="23" t="s">
        <v>723</v>
      </c>
      <c r="H672" s="24" t="str">
        <f t="shared" ca="1" si="71"/>
        <v/>
      </c>
      <c r="I672" s="25">
        <f>IF(OR(E672="",E672="!!!",F672="NEW"),"",INDEX(B$2:B671,-1+SUMPRODUCT(MAX(ROW(E$2:E671)*(E672=E$2:E671)))))</f>
        <v>0</v>
      </c>
      <c r="J672" s="25">
        <f ca="1">IF(OR(E672="",E672="!!!",F672="NEW"),"",COUNTBLANK(OFFSET(A$1,,,SUMPRODUCT(MAX(ROW(E$2:E672)*(E672=E$2:E672)))))-COUNTBLANK(OFFSET(A$1,,,SUMPRODUCT(MAX(ROW(E$1:E671)*(E2=E$1:E671))))))</f>
        <v>0</v>
      </c>
      <c r="K672" s="25" t="str">
        <f ca="1">IF(OR(E672="",E672="!!!",F672="NEW"),"",INDEX(J$1:J671,SUMPRODUCT(MAX(ROW(E$1:E671)*(E672=E$1:E671)))))</f>
        <v/>
      </c>
      <c r="L672" s="26"/>
    </row>
    <row r="673" spans="1:12" x14ac:dyDescent="0.3">
      <c r="A673" t="s">
        <v>212</v>
      </c>
      <c r="E673" s="21" t="str">
        <f t="shared" si="70"/>
        <v/>
      </c>
      <c r="F673" s="22" t="str">
        <f>IF(OR(E673="",E673="!!!"),"",IF(NOT(ISNA(VLOOKUP(E673,E$1:E672,1,FALSE()))),"OLD",IF(AND(E673&lt;&gt;"",E673&lt;&gt;"!!!"),"NEW","")))</f>
        <v/>
      </c>
      <c r="G673" s="23" t="str">
        <f>IF(OR(E673="",E673="!!!"),"",IF(OR(J673=0,AND(J673=1,K673=1),AND(J673=1,I673="SBJ"),AND(J673=1,I673=0)),"?IN_FOCUS",IF(J673&lt;=2,"?ACTIVATED",IF(J673&lt;&gt;"","?FAMILIAR",IF(F673="NEW",IF(ISNA(VLOOKUP(E673,#REF!,1,FALSE())),"?TYPE_IDENTIFIABLE","?REFERENTIAL"),"_")))))</f>
        <v/>
      </c>
      <c r="H673" s="24" t="str">
        <f t="shared" ca="1" si="71"/>
        <v/>
      </c>
      <c r="I673" s="25" t="str">
        <f>IF(OR(E673="",E673="!!!",F673="NEW"),"",INDEX(B$2:B672,-1+SUMPRODUCT(MAX(ROW(E$2:E672)*(E673=E$2:E672)))))</f>
        <v/>
      </c>
      <c r="J673" s="25" t="str">
        <f ca="1">IF(OR(E673="",E673="!!!",F673="NEW"),"",COUNTBLANK(OFFSET(A$1,,,SUMPRODUCT(MAX(ROW(E$2:E673)*(E673=E$2:E673)))))-COUNTBLANK(OFFSET(A$1,,,SUMPRODUCT(MAX(ROW(E$1:E672)*(E2=E$1:E672))))))</f>
        <v/>
      </c>
      <c r="K673" s="25" t="str">
        <f>IF(OR(E673="",E673="!!!",F673="NEW"),"",INDEX(J$1:J672,SUMPRODUCT(MAX(ROW(E$1:E672)*(E673=E$1:E672)))))</f>
        <v/>
      </c>
      <c r="L673" s="26"/>
    </row>
    <row r="675" spans="1:12" x14ac:dyDescent="0.3">
      <c r="A675" t="s">
        <v>576</v>
      </c>
    </row>
    <row r="676" spans="1:12" x14ac:dyDescent="0.3">
      <c r="A676" t="s">
        <v>273</v>
      </c>
      <c r="B676" s="20" t="s">
        <v>201</v>
      </c>
      <c r="C676" s="20" t="s">
        <v>185</v>
      </c>
      <c r="D676" s="20" t="s">
        <v>186</v>
      </c>
      <c r="E676" s="21" t="s">
        <v>736</v>
      </c>
      <c r="F676" s="22" t="str">
        <f>IF(OR(E676="",E676="!!!"),"",IF(NOT(ISNA(VLOOKUP(E676,E$1:E675,1,FALSE()))),"OLD",IF(AND(E676&lt;&gt;"",E676&lt;&gt;"!!!"),"NEW","")))</f>
        <v>OLD</v>
      </c>
      <c r="G676" s="23" t="s">
        <v>723</v>
      </c>
      <c r="H676" s="24" t="str">
        <f t="shared" ref="H676:H695" ca="1" si="72">IF(J676&lt;&gt;1,"",IF(I676="SBJ","CB","?"))</f>
        <v/>
      </c>
      <c r="I676" s="25" t="str">
        <f>IF(OR(E676="",E676="!!!",F676="NEW"),"",INDEX(B$2:B675,-1+SUMPRODUCT(MAX(ROW(E$2:E675)*(E676=E$2:E675)))))</f>
        <v>other</v>
      </c>
      <c r="J676" s="25">
        <f ca="1">IF(OR(E676="",E676="!!!",F676="NEW"),"",COUNTBLANK(OFFSET(A$1,,,SUMPRODUCT(MAX(ROW(E$2:E676)*(E676=E$2:E676)))))-COUNTBLANK(OFFSET(A$1,,,SUMPRODUCT(MAX(ROW(E$1:E675)*(E2=E$1:E675))))))</f>
        <v>0</v>
      </c>
      <c r="K676" s="25">
        <f ca="1">IF(OR(E676="",E676="!!!",F676="NEW"),"",INDEX(J$1:J675,SUMPRODUCT(MAX(ROW(E$1:E675)*(E676=E$1:E675)))))</f>
        <v>0</v>
      </c>
      <c r="L676" s="26"/>
    </row>
    <row r="677" spans="1:12" x14ac:dyDescent="0.3">
      <c r="A677" t="s">
        <v>535</v>
      </c>
      <c r="E677" s="21" t="str">
        <f t="shared" ref="E677:E695" si="73">IF(D677="?OLD","!!!","")</f>
        <v/>
      </c>
      <c r="F677" s="22" t="str">
        <f>IF(OR(E677="",E677="!!!"),"",IF(NOT(ISNA(VLOOKUP(E677,E$1:E676,1,FALSE()))),"OLD",IF(AND(E677&lt;&gt;"",E677&lt;&gt;"!!!"),"NEW","")))</f>
        <v/>
      </c>
      <c r="G677" s="23" t="str">
        <f>IF(OR(E677="",E677="!!!"),"",IF(OR(J677=0,AND(J677=1,K677=1),AND(J677=1,I677="SBJ"),AND(J677=1,I677=0)),"?IN_FOCUS",IF(J677&lt;=2,"?ACTIVATED",IF(J677&lt;&gt;"","?FAMILIAR",IF(F677="NEW",IF(ISNA(VLOOKUP(E677,#REF!,1,FALSE())),"?TYPE_IDENTIFIABLE","?REFERENTIAL"),"_")))))</f>
        <v/>
      </c>
      <c r="H677" s="24" t="str">
        <f t="shared" ca="1" si="72"/>
        <v/>
      </c>
      <c r="I677" s="25" t="str">
        <f>IF(OR(E677="",E677="!!!",F677="NEW"),"",INDEX(B$2:B676,-1+SUMPRODUCT(MAX(ROW(E$2:E676)*(E677=E$2:E676)))))</f>
        <v/>
      </c>
      <c r="J677" s="25" t="str">
        <f ca="1">IF(OR(E677="",E677="!!!",F677="NEW"),"",COUNTBLANK(OFFSET(A$1,,,SUMPRODUCT(MAX(ROW(E$2:E677)*(E677=E$2:E677)))))-COUNTBLANK(OFFSET(A$1,,,SUMPRODUCT(MAX(ROW(E$1:E676)*(E2=E$1:E676))))))</f>
        <v/>
      </c>
      <c r="K677" s="25" t="str">
        <f>IF(OR(E677="",E677="!!!",F677="NEW"),"",INDEX(J$1:J676,SUMPRODUCT(MAX(ROW(E$1:E676)*(E677=E$1:E676)))))</f>
        <v/>
      </c>
      <c r="L677" s="26"/>
    </row>
    <row r="678" spans="1:12" x14ac:dyDescent="0.3">
      <c r="A678" t="s">
        <v>429</v>
      </c>
      <c r="E678" s="21" t="str">
        <f t="shared" si="73"/>
        <v/>
      </c>
      <c r="F678" s="22" t="str">
        <f>IF(OR(E678="",E678="!!!"),"",IF(NOT(ISNA(VLOOKUP(E678,E$1:E677,1,FALSE()))),"OLD",IF(AND(E678&lt;&gt;"",E678&lt;&gt;"!!!"),"NEW","")))</f>
        <v/>
      </c>
      <c r="G678" s="23" t="str">
        <f>IF(OR(E678="",E678="!!!"),"",IF(OR(J678=0,AND(J678=1,K678=1),AND(J678=1,I678="SBJ"),AND(J678=1,I678=0)),"?IN_FOCUS",IF(J678&lt;=2,"?ACTIVATED",IF(J678&lt;&gt;"","?FAMILIAR",IF(F678="NEW",IF(ISNA(VLOOKUP(E678,#REF!,1,FALSE())),"?TYPE_IDENTIFIABLE","?REFERENTIAL"),"_")))))</f>
        <v/>
      </c>
      <c r="H678" s="24" t="str">
        <f t="shared" ca="1" si="72"/>
        <v/>
      </c>
      <c r="I678" s="25" t="str">
        <f>IF(OR(E678="",E678="!!!",F678="NEW"),"",INDEX(B$2:B677,-1+SUMPRODUCT(MAX(ROW(E$2:E677)*(E678=E$2:E677)))))</f>
        <v/>
      </c>
      <c r="J678" s="25" t="str">
        <f ca="1">IF(OR(E678="",E678="!!!",F678="NEW"),"",COUNTBLANK(OFFSET(A$1,,,SUMPRODUCT(MAX(ROW(E$2:E678)*(E678=E$2:E678)))))-COUNTBLANK(OFFSET(A$1,,,SUMPRODUCT(MAX(ROW(E$1:E677)*(E2=E$1:E677))))))</f>
        <v/>
      </c>
      <c r="K678" s="25" t="str">
        <f>IF(OR(E678="",E678="!!!",F678="NEW"),"",INDEX(J$1:J677,SUMPRODUCT(MAX(ROW(E$1:E677)*(E678=E$1:E677)))))</f>
        <v/>
      </c>
      <c r="L678" s="26"/>
    </row>
    <row r="679" spans="1:12" x14ac:dyDescent="0.3">
      <c r="A679" t="s">
        <v>282</v>
      </c>
      <c r="E679" s="21" t="str">
        <f t="shared" si="73"/>
        <v/>
      </c>
      <c r="F679" s="22" t="str">
        <f>IF(OR(E679="",E679="!!!"),"",IF(NOT(ISNA(VLOOKUP(E679,E$1:E678,1,FALSE()))),"OLD",IF(AND(E679&lt;&gt;"",E679&lt;&gt;"!!!"),"NEW","")))</f>
        <v/>
      </c>
      <c r="G679" s="23" t="str">
        <f>IF(OR(E679="",E679="!!!"),"",IF(OR(J679=0,AND(J679=1,K679=1),AND(J679=1,I679="SBJ"),AND(J679=1,I679=0)),"?IN_FOCUS",IF(J679&lt;=2,"?ACTIVATED",IF(J679&lt;&gt;"","?FAMILIAR",IF(F679="NEW",IF(ISNA(VLOOKUP(E679,#REF!,1,FALSE())),"?TYPE_IDENTIFIABLE","?REFERENTIAL"),"_")))))</f>
        <v/>
      </c>
      <c r="H679" s="24" t="str">
        <f t="shared" ca="1" si="72"/>
        <v/>
      </c>
      <c r="I679" s="25" t="str">
        <f>IF(OR(E679="",E679="!!!",F679="NEW"),"",INDEX(B$2:B678,-1+SUMPRODUCT(MAX(ROW(E$2:E678)*(E679=E$2:E678)))))</f>
        <v/>
      </c>
      <c r="J679" s="25" t="str">
        <f ca="1">IF(OR(E679="",E679="!!!",F679="NEW"),"",COUNTBLANK(OFFSET(A$1,,,SUMPRODUCT(MAX(ROW(E$2:E679)*(E679=E$2:E679)))))-COUNTBLANK(OFFSET(A$1,,,SUMPRODUCT(MAX(ROW(E$1:E678)*(E2=E$1:E678))))))</f>
        <v/>
      </c>
      <c r="K679" s="25" t="str">
        <f>IF(OR(E679="",E679="!!!",F679="NEW"),"",INDEX(J$1:J678,SUMPRODUCT(MAX(ROW(E$1:E678)*(E679=E$1:E678)))))</f>
        <v/>
      </c>
      <c r="L679" s="26"/>
    </row>
    <row r="680" spans="1:12" x14ac:dyDescent="0.3">
      <c r="A680" t="s">
        <v>577</v>
      </c>
      <c r="B680" s="20" t="s">
        <v>184</v>
      </c>
      <c r="C680" s="20" t="s">
        <v>216</v>
      </c>
      <c r="D680" s="20" t="s">
        <v>186</v>
      </c>
      <c r="E680" s="21" t="s">
        <v>764</v>
      </c>
      <c r="F680" s="22" t="str">
        <f>IF(OR(E680="",E680="!!!"),"",IF(NOT(ISNA(VLOOKUP(E680,E$1:E679,1,FALSE()))),"OLD",IF(AND(E680&lt;&gt;"",E680&lt;&gt;"!!!"),"NEW","")))</f>
        <v>NEW</v>
      </c>
      <c r="G680" s="23" t="s">
        <v>723</v>
      </c>
      <c r="H680" s="24" t="str">
        <f t="shared" ca="1" si="72"/>
        <v/>
      </c>
      <c r="I680" s="25" t="str">
        <f>IF(OR(E680="",E680="!!!",F680="NEW"),"",INDEX(B$2:B679,-1+SUMPRODUCT(MAX(ROW(E$2:E679)*(E680=E$2:E679)))))</f>
        <v/>
      </c>
      <c r="J680" s="25" t="str">
        <f ca="1">IF(OR(E680="",E680="!!!",F680="NEW"),"",COUNTBLANK(OFFSET(A$1,,,SUMPRODUCT(MAX(ROW(E$2:E680)*(E680=E$2:E680)))))-COUNTBLANK(OFFSET(A$1,,,SUMPRODUCT(MAX(ROW(E$1:E679)*(E2=E$1:E679))))))</f>
        <v/>
      </c>
      <c r="K680" s="25" t="str">
        <f>IF(OR(E680="",E680="!!!",F680="NEW"),"",INDEX(J$1:J679,SUMPRODUCT(MAX(ROW(E$1:E679)*(E680=E$1:E679)))))</f>
        <v/>
      </c>
      <c r="L680" s="26"/>
    </row>
    <row r="681" spans="1:12" x14ac:dyDescent="0.3">
      <c r="A681" t="s">
        <v>578</v>
      </c>
      <c r="E681" s="21" t="str">
        <f t="shared" si="73"/>
        <v/>
      </c>
      <c r="F681" s="22" t="str">
        <f>IF(OR(E681="",E681="!!!"),"",IF(NOT(ISNA(VLOOKUP(E681,E$1:E680,1,FALSE()))),"OLD",IF(AND(E681&lt;&gt;"",E681&lt;&gt;"!!!"),"NEW","")))</f>
        <v/>
      </c>
      <c r="G681" s="23" t="str">
        <f>IF(OR(E681="",E681="!!!"),"",IF(OR(J681=0,AND(J681=1,K681=1),AND(J681=1,I681="SBJ"),AND(J681=1,I681=0)),"?IN_FOCUS",IF(J681&lt;=2,"?ACTIVATED",IF(J681&lt;&gt;"","?FAMILIAR",IF(F681="NEW",IF(ISNA(VLOOKUP(E681,#REF!,1,FALSE())),"?TYPE_IDENTIFIABLE","?REFERENTIAL"),"_")))))</f>
        <v/>
      </c>
      <c r="H681" s="24" t="str">
        <f t="shared" ca="1" si="72"/>
        <v/>
      </c>
      <c r="I681" s="25" t="str">
        <f>IF(OR(E681="",E681="!!!",F681="NEW"),"",INDEX(B$2:B680,-1+SUMPRODUCT(MAX(ROW(E$2:E680)*(E681=E$2:E680)))))</f>
        <v/>
      </c>
      <c r="J681" s="25" t="str">
        <f ca="1">IF(OR(E681="",E681="!!!",F681="NEW"),"",COUNTBLANK(OFFSET(A$1,,,SUMPRODUCT(MAX(ROW(E$2:E681)*(E681=E$2:E681)))))-COUNTBLANK(OFFSET(A$1,,,SUMPRODUCT(MAX(ROW(E$1:E680)*(E2=E$1:E680))))))</f>
        <v/>
      </c>
      <c r="K681" s="25" t="str">
        <f>IF(OR(E681="",E681="!!!",F681="NEW"),"",INDEX(J$1:J680,SUMPRODUCT(MAX(ROW(E$1:E680)*(E681=E$1:E680)))))</f>
        <v/>
      </c>
      <c r="L681" s="26"/>
    </row>
    <row r="682" spans="1:12" x14ac:dyDescent="0.3">
      <c r="A682" t="s">
        <v>206</v>
      </c>
      <c r="E682" s="21" t="str">
        <f t="shared" si="73"/>
        <v/>
      </c>
      <c r="F682" s="22" t="str">
        <f>IF(OR(E682="",E682="!!!"),"",IF(NOT(ISNA(VLOOKUP(E682,E$1:E681,1,FALSE()))),"OLD",IF(AND(E682&lt;&gt;"",E682&lt;&gt;"!!!"),"NEW","")))</f>
        <v/>
      </c>
      <c r="G682" s="23" t="str">
        <f>IF(OR(E682="",E682="!!!"),"",IF(OR(J682=0,AND(J682=1,K682=1),AND(J682=1,I682="SBJ"),AND(J682=1,I682=0)),"?IN_FOCUS",IF(J682&lt;=2,"?ACTIVATED",IF(J682&lt;&gt;"","?FAMILIAR",IF(F682="NEW",IF(ISNA(VLOOKUP(E682,#REF!,1,FALSE())),"?TYPE_IDENTIFIABLE","?REFERENTIAL"),"_")))))</f>
        <v/>
      </c>
      <c r="H682" s="24" t="str">
        <f t="shared" ca="1" si="72"/>
        <v/>
      </c>
      <c r="I682" s="25" t="str">
        <f>IF(OR(E682="",E682="!!!",F682="NEW"),"",INDEX(B$2:B681,-1+SUMPRODUCT(MAX(ROW(E$2:E681)*(E682=E$2:E681)))))</f>
        <v/>
      </c>
      <c r="J682" s="25" t="str">
        <f ca="1">IF(OR(E682="",E682="!!!",F682="NEW"),"",COUNTBLANK(OFFSET(A$1,,,SUMPRODUCT(MAX(ROW(E$2:E682)*(E682=E$2:E682)))))-COUNTBLANK(OFFSET(A$1,,,SUMPRODUCT(MAX(ROW(E$1:E681)*(E2=E$1:E681))))))</f>
        <v/>
      </c>
      <c r="K682" s="25" t="str">
        <f>IF(OR(E682="",E682="!!!",F682="NEW"),"",INDEX(J$1:J681,SUMPRODUCT(MAX(ROW(E$1:E681)*(E682=E$1:E681)))))</f>
        <v/>
      </c>
      <c r="L682" s="26"/>
    </row>
    <row r="683" spans="1:12" x14ac:dyDescent="0.3">
      <c r="A683" t="s">
        <v>401</v>
      </c>
      <c r="E683" s="21" t="str">
        <f t="shared" si="73"/>
        <v/>
      </c>
      <c r="F683" s="22" t="str">
        <f>IF(OR(E683="",E683="!!!"),"",IF(NOT(ISNA(VLOOKUP(E683,E$1:E682,1,FALSE()))),"OLD",IF(AND(E683&lt;&gt;"",E683&lt;&gt;"!!!"),"NEW","")))</f>
        <v/>
      </c>
      <c r="G683" s="23" t="str">
        <f>IF(OR(E683="",E683="!!!"),"",IF(OR(J683=0,AND(J683=1,K683=1),AND(J683=1,I683="SBJ"),AND(J683=1,I683=0)),"?IN_FOCUS",IF(J683&lt;=2,"?ACTIVATED",IF(J683&lt;&gt;"","?FAMILIAR",IF(F683="NEW",IF(ISNA(VLOOKUP(E683,#REF!,1,FALSE())),"?TYPE_IDENTIFIABLE","?REFERENTIAL"),"_")))))</f>
        <v/>
      </c>
      <c r="H683" s="24" t="str">
        <f t="shared" ca="1" si="72"/>
        <v/>
      </c>
      <c r="I683" s="25" t="str">
        <f>IF(OR(E683="",E683="!!!",F683="NEW"),"",INDEX(B$2:B682,-1+SUMPRODUCT(MAX(ROW(E$2:E682)*(E683=E$2:E682)))))</f>
        <v/>
      </c>
      <c r="J683" s="25" t="str">
        <f ca="1">IF(OR(E683="",E683="!!!",F683="NEW"),"",COUNTBLANK(OFFSET(A$1,,,SUMPRODUCT(MAX(ROW(E$2:E683)*(E683=E$2:E683)))))-COUNTBLANK(OFFSET(A$1,,,SUMPRODUCT(MAX(ROW(E$1:E682)*(E2=E$1:E682))))))</f>
        <v/>
      </c>
      <c r="K683" s="25" t="str">
        <f>IF(OR(E683="",E683="!!!",F683="NEW"),"",INDEX(J$1:J682,SUMPRODUCT(MAX(ROW(E$1:E682)*(E683=E$1:E682)))))</f>
        <v/>
      </c>
      <c r="L683" s="26"/>
    </row>
    <row r="684" spans="1:12" x14ac:dyDescent="0.3">
      <c r="A684" t="s">
        <v>320</v>
      </c>
      <c r="B684" s="20" t="s">
        <v>208</v>
      </c>
      <c r="C684" s="20" t="s">
        <v>202</v>
      </c>
      <c r="D684" s="20" t="s">
        <v>186</v>
      </c>
      <c r="E684" s="21" t="s">
        <v>736</v>
      </c>
      <c r="F684" s="22" t="str">
        <f>IF(OR(E684="",E684="!!!"),"",IF(NOT(ISNA(VLOOKUP(E684,E$1:E683,1,FALSE()))),"OLD",IF(AND(E684&lt;&gt;"",E684&lt;&gt;"!!!"),"NEW","")))</f>
        <v>OLD</v>
      </c>
      <c r="G684" s="23" t="s">
        <v>809</v>
      </c>
      <c r="H684" s="24" t="str">
        <f t="shared" ca="1" si="72"/>
        <v/>
      </c>
      <c r="I684" s="25" t="str">
        <f>IF(OR(E684="",E684="!!!",F684="NEW"),"",INDEX(B$2:B683,-1+SUMPRODUCT(MAX(ROW(E$2:E683)*(E684=E$2:E683)))))</f>
        <v>SBJ</v>
      </c>
      <c r="J684" s="25">
        <f ca="1">IF(OR(E684="",E684="!!!",F684="NEW"),"",COUNTBLANK(OFFSET(A$1,,,SUMPRODUCT(MAX(ROW(E$2:E684)*(E684=E$2:E684)))))-COUNTBLANK(OFFSET(A$1,,,SUMPRODUCT(MAX(ROW(E$1:E683)*(E2=E$1:E683))))))</f>
        <v>0</v>
      </c>
      <c r="K684" s="25">
        <f ca="1">IF(OR(E684="",E684="!!!",F684="NEW"),"",INDEX(J$1:J683,SUMPRODUCT(MAX(ROW(E$1:E683)*(E684=E$1:E683)))))</f>
        <v>0</v>
      </c>
      <c r="L684" s="26"/>
    </row>
    <row r="685" spans="1:12" x14ac:dyDescent="0.3">
      <c r="A685" t="s">
        <v>579</v>
      </c>
      <c r="E685" s="21" t="s">
        <v>764</v>
      </c>
      <c r="F685" s="22" t="str">
        <f>IF(OR(E685="",E685="!!!"),"",IF(NOT(ISNA(VLOOKUP(E685,E$1:E684,1,FALSE()))),"OLD",IF(AND(E685&lt;&gt;"",E685&lt;&gt;"!!!"),"NEW","")))</f>
        <v>OLD</v>
      </c>
      <c r="G685" s="23" t="s">
        <v>809</v>
      </c>
      <c r="H685" s="24" t="str">
        <f t="shared" ca="1" si="72"/>
        <v/>
      </c>
      <c r="I685" s="25" t="str">
        <f>IF(OR(E685="",E685="!!!",F685="NEW"),"",INDEX(B$2:B684,-1+SUMPRODUCT(MAX(ROW(E$2:E684)*(E685=E$2:E684)))))</f>
        <v>other</v>
      </c>
      <c r="J685" s="25">
        <f ca="1">IF(OR(E685="",E685="!!!",F685="NEW"),"",COUNTBLANK(OFFSET(A$1,,,SUMPRODUCT(MAX(ROW(E$2:E685)*(E685=E$2:E685)))))-COUNTBLANK(OFFSET(A$1,,,SUMPRODUCT(MAX(ROW(E$1:E684)*(E2=E$1:E684))))))</f>
        <v>0</v>
      </c>
      <c r="K685" s="25" t="str">
        <f ca="1">IF(OR(E685="",E685="!!!",F685="NEW"),"",INDEX(J$1:J684,SUMPRODUCT(MAX(ROW(E$1:E684)*(E685=E$1:E684)))))</f>
        <v/>
      </c>
      <c r="L685" s="26"/>
    </row>
    <row r="686" spans="1:12" x14ac:dyDescent="0.3">
      <c r="A686" t="s">
        <v>389</v>
      </c>
      <c r="B686" s="20" t="s">
        <v>208</v>
      </c>
      <c r="C686" s="20" t="s">
        <v>277</v>
      </c>
      <c r="D686" s="20" t="s">
        <v>186</v>
      </c>
      <c r="E686" s="21" t="s">
        <v>765</v>
      </c>
      <c r="F686" s="22" t="str">
        <f>IF(OR(E686="",E686="!!!"),"",IF(NOT(ISNA(VLOOKUP(E686,E$1:E685,1,FALSE()))),"OLD",IF(AND(E686&lt;&gt;"",E686&lt;&gt;"!!!"),"NEW","")))</f>
        <v>NEW</v>
      </c>
      <c r="G686" s="23" t="s">
        <v>807</v>
      </c>
      <c r="H686" s="24" t="str">
        <f t="shared" ca="1" si="72"/>
        <v/>
      </c>
      <c r="I686" s="25" t="str">
        <f>IF(OR(E686="",E686="!!!",F686="NEW"),"",INDEX(B$2:B685,-1+SUMPRODUCT(MAX(ROW(E$2:E685)*(E686=E$2:E685)))))</f>
        <v/>
      </c>
      <c r="J686" s="25" t="str">
        <f ca="1">IF(OR(E686="",E686="!!!",F686="NEW"),"",COUNTBLANK(OFFSET(A$1,,,SUMPRODUCT(MAX(ROW(E$2:E686)*(E686=E$2:E686)))))-COUNTBLANK(OFFSET(A$1,,,SUMPRODUCT(MAX(ROW(E$1:E685)*(E2=E$1:E685))))))</f>
        <v/>
      </c>
      <c r="K686" s="25" t="str">
        <f>IF(OR(E686="",E686="!!!",F686="NEW"),"",INDEX(J$1:J685,SUMPRODUCT(MAX(ROW(E$1:E685)*(E686=E$1:E685)))))</f>
        <v/>
      </c>
      <c r="L686" s="26"/>
    </row>
    <row r="687" spans="1:12" x14ac:dyDescent="0.3">
      <c r="A687" t="s">
        <v>429</v>
      </c>
      <c r="E687" s="21" t="str">
        <f t="shared" si="73"/>
        <v/>
      </c>
      <c r="F687" s="22" t="str">
        <f>IF(OR(E687="",E687="!!!"),"",IF(NOT(ISNA(VLOOKUP(E687,E$1:E686,1,FALSE()))),"OLD",IF(AND(E687&lt;&gt;"",E687&lt;&gt;"!!!"),"NEW","")))</f>
        <v/>
      </c>
      <c r="G687" s="23" t="str">
        <f>IF(OR(E687="",E687="!!!"),"",IF(OR(J687=0,AND(J687=1,K687=1),AND(J687=1,I687="SBJ"),AND(J687=1,I687=0)),"?IN_FOCUS",IF(J687&lt;=2,"?ACTIVATED",IF(J687&lt;&gt;"","?FAMILIAR",IF(F687="NEW",IF(ISNA(VLOOKUP(E687,#REF!,1,FALSE())),"?TYPE_IDENTIFIABLE","?REFERENTIAL"),"_")))))</f>
        <v/>
      </c>
      <c r="H687" s="24" t="str">
        <f t="shared" ca="1" si="72"/>
        <v/>
      </c>
      <c r="I687" s="25" t="str">
        <f>IF(OR(E687="",E687="!!!",F687="NEW"),"",INDEX(B$2:B686,-1+SUMPRODUCT(MAX(ROW(E$2:E686)*(E687=E$2:E686)))))</f>
        <v/>
      </c>
      <c r="J687" s="25" t="str">
        <f ca="1">IF(OR(E687="",E687="!!!",F687="NEW"),"",COUNTBLANK(OFFSET(A$1,,,SUMPRODUCT(MAX(ROW(E$2:E687)*(E687=E$2:E687)))))-COUNTBLANK(OFFSET(A$1,,,SUMPRODUCT(MAX(ROW(E$1:E686)*(E2=E$1:E686))))))</f>
        <v/>
      </c>
      <c r="K687" s="25" t="str">
        <f>IF(OR(E687="",E687="!!!",F687="NEW"),"",INDEX(J$1:J686,SUMPRODUCT(MAX(ROW(E$1:E686)*(E687=E$1:E686)))))</f>
        <v/>
      </c>
      <c r="L687" s="26"/>
    </row>
    <row r="688" spans="1:12" x14ac:dyDescent="0.3">
      <c r="A688" t="s">
        <v>207</v>
      </c>
      <c r="E688" s="21" t="str">
        <f t="shared" si="73"/>
        <v/>
      </c>
      <c r="F688" s="22" t="str">
        <f>IF(OR(E688="",E688="!!!"),"",IF(NOT(ISNA(VLOOKUP(E688,E$1:E687,1,FALSE()))),"OLD",IF(AND(E688&lt;&gt;"",E688&lt;&gt;"!!!"),"NEW","")))</f>
        <v/>
      </c>
      <c r="G688" s="23" t="str">
        <f>IF(OR(E688="",E688="!!!"),"",IF(OR(J688=0,AND(J688=1,K688=1),AND(J688=1,I688="SBJ"),AND(J688=1,I688=0)),"?IN_FOCUS",IF(J688&lt;=2,"?ACTIVATED",IF(J688&lt;&gt;"","?FAMILIAR",IF(F688="NEW",IF(ISNA(VLOOKUP(E688,#REF!,1,FALSE())),"?TYPE_IDENTIFIABLE","?REFERENTIAL"),"_")))))</f>
        <v/>
      </c>
      <c r="H688" s="24" t="str">
        <f t="shared" ca="1" si="72"/>
        <v/>
      </c>
      <c r="I688" s="25" t="str">
        <f>IF(OR(E688="",E688="!!!",F688="NEW"),"",INDEX(B$2:B687,-1+SUMPRODUCT(MAX(ROW(E$2:E687)*(E688=E$2:E687)))))</f>
        <v/>
      </c>
      <c r="J688" s="25" t="str">
        <f ca="1">IF(OR(E688="",E688="!!!",F688="NEW"),"",COUNTBLANK(OFFSET(A$1,,,SUMPRODUCT(MAX(ROW(E$2:E688)*(E688=E$2:E688)))))-COUNTBLANK(OFFSET(A$1,,,SUMPRODUCT(MAX(ROW(E$1:E687)*(E2=E$1:E687))))))</f>
        <v/>
      </c>
      <c r="K688" s="25" t="str">
        <f>IF(OR(E688="",E688="!!!",F688="NEW"),"",INDEX(J$1:J687,SUMPRODUCT(MAX(ROW(E$1:E687)*(E688=E$1:E687)))))</f>
        <v/>
      </c>
      <c r="L688" s="26"/>
    </row>
    <row r="689" spans="1:12" x14ac:dyDescent="0.3">
      <c r="A689" t="s">
        <v>580</v>
      </c>
      <c r="E689" s="21" t="str">
        <f t="shared" si="73"/>
        <v/>
      </c>
      <c r="F689" s="22" t="str">
        <f>IF(OR(E689="",E689="!!!"),"",IF(NOT(ISNA(VLOOKUP(E689,E$1:E688,1,FALSE()))),"OLD",IF(AND(E689&lt;&gt;"",E689&lt;&gt;"!!!"),"NEW","")))</f>
        <v/>
      </c>
      <c r="G689" s="23" t="str">
        <f>IF(OR(E689="",E689="!!!"),"",IF(OR(J689=0,AND(J689=1,K689=1),AND(J689=1,I689="SBJ"),AND(J689=1,I689=0)),"?IN_FOCUS",IF(J689&lt;=2,"?ACTIVATED",IF(J689&lt;&gt;"","?FAMILIAR",IF(F689="NEW",IF(ISNA(VLOOKUP(E689,#REF!,1,FALSE())),"?TYPE_IDENTIFIABLE","?REFERENTIAL"),"_")))))</f>
        <v/>
      </c>
      <c r="H689" s="24" t="str">
        <f t="shared" ca="1" si="72"/>
        <v/>
      </c>
      <c r="I689" s="25" t="str">
        <f>IF(OR(E689="",E689="!!!",F689="NEW"),"",INDEX(B$2:B688,-1+SUMPRODUCT(MAX(ROW(E$2:E688)*(E689=E$2:E688)))))</f>
        <v/>
      </c>
      <c r="J689" s="25" t="str">
        <f ca="1">IF(OR(E689="",E689="!!!",F689="NEW"),"",COUNTBLANK(OFFSET(A$1,,,SUMPRODUCT(MAX(ROW(E$2:E689)*(E689=E$2:E689)))))-COUNTBLANK(OFFSET(A$1,,,SUMPRODUCT(MAX(ROW(E$1:E688)*(E2=E$1:E688))))))</f>
        <v/>
      </c>
      <c r="K689" s="25" t="str">
        <f>IF(OR(E689="",E689="!!!",F689="NEW"),"",INDEX(J$1:J688,SUMPRODUCT(MAX(ROW(E$1:E688)*(E689=E$1:E688)))))</f>
        <v/>
      </c>
      <c r="L689" s="26"/>
    </row>
    <row r="690" spans="1:12" x14ac:dyDescent="0.3">
      <c r="A690" t="s">
        <v>581</v>
      </c>
      <c r="B690" s="20" t="s">
        <v>196</v>
      </c>
      <c r="C690" s="20" t="s">
        <v>216</v>
      </c>
      <c r="D690" s="20" t="s">
        <v>186</v>
      </c>
      <c r="E690" s="21" t="s">
        <v>772</v>
      </c>
      <c r="F690" s="22" t="str">
        <f>IF(OR(E690="",E690="!!!"),"",IF(NOT(ISNA(VLOOKUP(E690,E$1:E689,1,FALSE()))),"OLD",IF(AND(E690&lt;&gt;"",E690&lt;&gt;"!!!"),"NEW","")))</f>
        <v>OLD</v>
      </c>
      <c r="G690" s="23" t="s">
        <v>723</v>
      </c>
      <c r="H690" s="24" t="str">
        <f t="shared" ca="1" si="72"/>
        <v/>
      </c>
      <c r="I690" s="25" t="str">
        <f>IF(OR(E690="",E690="!!!",F690="NEW"),"",INDEX(B$2:B689,-1+SUMPRODUCT(MAX(ROW(E$2:E689)*(E690=E$2:E689)))))</f>
        <v>other_2</v>
      </c>
      <c r="J690" s="25">
        <f ca="1">IF(OR(E690="",E690="!!!",F690="NEW"),"",COUNTBLANK(OFFSET(A$1,,,SUMPRODUCT(MAX(ROW(E$2:E690)*(E690=E$2:E690)))))-COUNTBLANK(OFFSET(A$1,,,SUMPRODUCT(MAX(ROW(E$1:E689)*(E2=E$1:E689))))))</f>
        <v>0</v>
      </c>
      <c r="K690" s="25" t="str">
        <f ca="1">IF(OR(E690="",E690="!!!",F690="NEW"),"",INDEX(J$1:J689,SUMPRODUCT(MAX(ROW(E$1:E689)*(E690=E$1:E689)))))</f>
        <v/>
      </c>
      <c r="L690" s="26"/>
    </row>
    <row r="691" spans="1:12" x14ac:dyDescent="0.3">
      <c r="A691" t="s">
        <v>250</v>
      </c>
      <c r="E691" s="21" t="str">
        <f t="shared" si="73"/>
        <v/>
      </c>
      <c r="F691" s="22" t="str">
        <f>IF(OR(E691="",E691="!!!"),"",IF(NOT(ISNA(VLOOKUP(E691,E$1:E690,1,FALSE()))),"OLD",IF(AND(E691&lt;&gt;"",E691&lt;&gt;"!!!"),"NEW","")))</f>
        <v/>
      </c>
      <c r="G691" s="23" t="str">
        <f>IF(OR(E691="",E691="!!!"),"",IF(OR(J691=0,AND(J691=1,K691=1),AND(J691=1,I691="SBJ"),AND(J691=1,I691=0)),"?IN_FOCUS",IF(J691&lt;=2,"?ACTIVATED",IF(J691&lt;&gt;"","?FAMILIAR",IF(F691="NEW",IF(ISNA(VLOOKUP(E691,#REF!,1,FALSE())),"?TYPE_IDENTIFIABLE","?REFERENTIAL"),"_")))))</f>
        <v/>
      </c>
      <c r="H691" s="24" t="str">
        <f t="shared" ca="1" si="72"/>
        <v/>
      </c>
      <c r="I691" s="25" t="str">
        <f>IF(OR(E691="",E691="!!!",F691="NEW"),"",INDEX(B$2:B690,-1+SUMPRODUCT(MAX(ROW(E$2:E690)*(E691=E$2:E690)))))</f>
        <v/>
      </c>
      <c r="J691" s="25" t="str">
        <f ca="1">IF(OR(E691="",E691="!!!",F691="NEW"),"",COUNTBLANK(OFFSET(A$1,,,SUMPRODUCT(MAX(ROW(E$2:E691)*(E691=E$2:E691)))))-COUNTBLANK(OFFSET(A$1,,,SUMPRODUCT(MAX(ROW(E$1:E690)*(E2=E$1:E690))))))</f>
        <v/>
      </c>
      <c r="K691" s="25" t="str">
        <f>IF(OR(E691="",E691="!!!",F691="NEW"),"",INDEX(J$1:J690,SUMPRODUCT(MAX(ROW(E$1:E690)*(E691=E$1:E690)))))</f>
        <v/>
      </c>
      <c r="L691" s="26"/>
    </row>
    <row r="692" spans="1:12" x14ac:dyDescent="0.3">
      <c r="A692" t="s">
        <v>582</v>
      </c>
      <c r="E692" s="21" t="str">
        <f t="shared" si="73"/>
        <v/>
      </c>
      <c r="F692" s="22" t="str">
        <f>IF(OR(E692="",E692="!!!"),"",IF(NOT(ISNA(VLOOKUP(E692,E$1:E691,1,FALSE()))),"OLD",IF(AND(E692&lt;&gt;"",E692&lt;&gt;"!!!"),"NEW","")))</f>
        <v/>
      </c>
      <c r="G692" s="23" t="str">
        <f>IF(OR(E692="",E692="!!!"),"",IF(OR(J692=0,AND(J692=1,K692=1),AND(J692=1,I692="SBJ"),AND(J692=1,I692=0)),"?IN_FOCUS",IF(J692&lt;=2,"?ACTIVATED",IF(J692&lt;&gt;"","?FAMILIAR",IF(F692="NEW",IF(ISNA(VLOOKUP(E692,#REF!,1,FALSE())),"?TYPE_IDENTIFIABLE","?REFERENTIAL"),"_")))))</f>
        <v/>
      </c>
      <c r="H692" s="24" t="str">
        <f t="shared" ca="1" si="72"/>
        <v/>
      </c>
      <c r="I692" s="25" t="str">
        <f>IF(OR(E692="",E692="!!!",F692="NEW"),"",INDEX(B$2:B691,-1+SUMPRODUCT(MAX(ROW(E$2:E691)*(E692=E$2:E691)))))</f>
        <v/>
      </c>
      <c r="J692" s="25" t="str">
        <f ca="1">IF(OR(E692="",E692="!!!",F692="NEW"),"",COUNTBLANK(OFFSET(A$1,,,SUMPRODUCT(MAX(ROW(E$2:E692)*(E692=E$2:E692)))))-COUNTBLANK(OFFSET(A$1,,,SUMPRODUCT(MAX(ROW(E$1:E691)*(E2=E$1:E691))))))</f>
        <v/>
      </c>
      <c r="K692" s="25" t="str">
        <f>IF(OR(E692="",E692="!!!",F692="NEW"),"",INDEX(J$1:J691,SUMPRODUCT(MAX(ROW(E$1:E691)*(E692=E$1:E691)))))</f>
        <v/>
      </c>
      <c r="L692" s="26"/>
    </row>
    <row r="693" spans="1:12" x14ac:dyDescent="0.3">
      <c r="A693" t="s">
        <v>583</v>
      </c>
      <c r="B693" s="20" t="s">
        <v>196</v>
      </c>
      <c r="C693" s="20" t="s">
        <v>197</v>
      </c>
      <c r="E693" s="21" t="str">
        <f t="shared" si="73"/>
        <v/>
      </c>
      <c r="F693" s="22" t="str">
        <f>IF(OR(E693="",E693="!!!"),"",IF(NOT(ISNA(VLOOKUP(E693,E$1:E692,1,FALSE()))),"OLD",IF(AND(E693&lt;&gt;"",E693&lt;&gt;"!!!"),"NEW","")))</f>
        <v/>
      </c>
      <c r="G693" s="23" t="str">
        <f>IF(OR(E693="",E693="!!!"),"",IF(OR(J693=0,AND(J693=1,K693=1),AND(J693=1,I693="SBJ"),AND(J693=1,I693=0)),"?IN_FOCUS",IF(J693&lt;=2,"?ACTIVATED",IF(J693&lt;&gt;"","?FAMILIAR",IF(F693="NEW",IF(ISNA(VLOOKUP(E693,#REF!,1,FALSE())),"?TYPE_IDENTIFIABLE","?REFERENTIAL"),"_")))))</f>
        <v/>
      </c>
      <c r="H693" s="24" t="str">
        <f t="shared" ca="1" si="72"/>
        <v/>
      </c>
      <c r="I693" s="25" t="str">
        <f>IF(OR(E693="",E693="!!!",F693="NEW"),"",INDEX(B$2:B692,-1+SUMPRODUCT(MAX(ROW(E$2:E692)*(E693=E$2:E692)))))</f>
        <v/>
      </c>
      <c r="J693" s="25" t="str">
        <f ca="1">IF(OR(E693="",E693="!!!",F693="NEW"),"",COUNTBLANK(OFFSET(A$1,,,SUMPRODUCT(MAX(ROW(E$2:E693)*(E693=E$2:E693)))))-COUNTBLANK(OFFSET(A$1,,,SUMPRODUCT(MAX(ROW(E$1:E692)*(E2=E$1:E692))))))</f>
        <v/>
      </c>
      <c r="K693" s="25" t="str">
        <f>IF(OR(E693="",E693="!!!",F693="NEW"),"",INDEX(J$1:J692,SUMPRODUCT(MAX(ROW(E$1:E692)*(E693=E$1:E692)))))</f>
        <v/>
      </c>
      <c r="L693" s="26"/>
    </row>
    <row r="694" spans="1:12" x14ac:dyDescent="0.3">
      <c r="A694" t="s">
        <v>584</v>
      </c>
      <c r="E694" s="21" t="str">
        <f t="shared" si="73"/>
        <v/>
      </c>
      <c r="F694" s="22" t="str">
        <f>IF(OR(E694="",E694="!!!"),"",IF(NOT(ISNA(VLOOKUP(E694,E$1:E693,1,FALSE()))),"OLD",IF(AND(E694&lt;&gt;"",E694&lt;&gt;"!!!"),"NEW","")))</f>
        <v/>
      </c>
      <c r="G694" s="23" t="str">
        <f>IF(OR(E694="",E694="!!!"),"",IF(OR(J694=0,AND(J694=1,K694=1),AND(J694=1,I694="SBJ"),AND(J694=1,I694=0)),"?IN_FOCUS",IF(J694&lt;=2,"?ACTIVATED",IF(J694&lt;&gt;"","?FAMILIAR",IF(F694="NEW",IF(ISNA(VLOOKUP(E694,#REF!,1,FALSE())),"?TYPE_IDENTIFIABLE","?REFERENTIAL"),"_")))))</f>
        <v/>
      </c>
      <c r="H694" s="24" t="str">
        <f t="shared" ca="1" si="72"/>
        <v/>
      </c>
      <c r="I694" s="25" t="str">
        <f>IF(OR(E694="",E694="!!!",F694="NEW"),"",INDEX(B$2:B693,-1+SUMPRODUCT(MAX(ROW(E$2:E693)*(E694=E$2:E693)))))</f>
        <v/>
      </c>
      <c r="J694" s="25" t="str">
        <f ca="1">IF(OR(E694="",E694="!!!",F694="NEW"),"",COUNTBLANK(OFFSET(A$1,,,SUMPRODUCT(MAX(ROW(E$2:E694)*(E694=E$2:E694)))))-COUNTBLANK(OFFSET(A$1,,,SUMPRODUCT(MAX(ROW(E$1:E693)*(E2=E$1:E693))))))</f>
        <v/>
      </c>
      <c r="K694" s="25" t="str">
        <f>IF(OR(E694="",E694="!!!",F694="NEW"),"",INDEX(J$1:J693,SUMPRODUCT(MAX(ROW(E$1:E693)*(E694=E$1:E693)))))</f>
        <v/>
      </c>
      <c r="L694" s="26"/>
    </row>
    <row r="695" spans="1:12" x14ac:dyDescent="0.3">
      <c r="A695" t="s">
        <v>212</v>
      </c>
      <c r="E695" s="21" t="str">
        <f t="shared" si="73"/>
        <v/>
      </c>
      <c r="F695" s="22" t="str">
        <f>IF(OR(E695="",E695="!!!"),"",IF(NOT(ISNA(VLOOKUP(E695,E$1:E694,1,FALSE()))),"OLD",IF(AND(E695&lt;&gt;"",E695&lt;&gt;"!!!"),"NEW","")))</f>
        <v/>
      </c>
      <c r="G695" s="23" t="str">
        <f>IF(OR(E695="",E695="!!!"),"",IF(OR(J695=0,AND(J695=1,K695=1),AND(J695=1,I695="SBJ"),AND(J695=1,I695=0)),"?IN_FOCUS",IF(J695&lt;=2,"?ACTIVATED",IF(J695&lt;&gt;"","?FAMILIAR",IF(F695="NEW",IF(ISNA(VLOOKUP(E695,#REF!,1,FALSE())),"?TYPE_IDENTIFIABLE","?REFERENTIAL"),"_")))))</f>
        <v/>
      </c>
      <c r="H695" s="24" t="str">
        <f t="shared" ca="1" si="72"/>
        <v/>
      </c>
      <c r="I695" s="25" t="str">
        <f>IF(OR(E695="",E695="!!!",F695="NEW"),"",INDEX(B$2:B694,-1+SUMPRODUCT(MAX(ROW(E$2:E694)*(E695=E$2:E694)))))</f>
        <v/>
      </c>
      <c r="J695" s="25" t="str">
        <f ca="1">IF(OR(E695="",E695="!!!",F695="NEW"),"",COUNTBLANK(OFFSET(A$1,,,SUMPRODUCT(MAX(ROW(E$2:E695)*(E695=E$2:E695)))))-COUNTBLANK(OFFSET(A$1,,,SUMPRODUCT(MAX(ROW(E$1:E694)*(E2=E$1:E694))))))</f>
        <v/>
      </c>
      <c r="K695" s="25" t="str">
        <f>IF(OR(E695="",E695="!!!",F695="NEW"),"",INDEX(J$1:J694,SUMPRODUCT(MAX(ROW(E$1:E694)*(E695=E$1:E694)))))</f>
        <v/>
      </c>
      <c r="L695" s="26"/>
    </row>
    <row r="697" spans="1:12" x14ac:dyDescent="0.3">
      <c r="A697" t="s">
        <v>585</v>
      </c>
    </row>
    <row r="698" spans="1:12" x14ac:dyDescent="0.3">
      <c r="A698" t="s">
        <v>586</v>
      </c>
      <c r="E698" s="21" t="str">
        <f t="shared" ref="E698:E735" si="74">IF(D698="?OLD","!!!","")</f>
        <v/>
      </c>
      <c r="F698" s="22" t="str">
        <f>IF(OR(E698="",E698="!!!"),"",IF(NOT(ISNA(VLOOKUP(E698,E$1:E697,1,FALSE()))),"OLD",IF(AND(E698&lt;&gt;"",E698&lt;&gt;"!!!"),"NEW","")))</f>
        <v/>
      </c>
      <c r="G698" s="23" t="str">
        <f>IF(OR(E698="",E698="!!!"),"",IF(OR(J698=0,AND(J698=1,K698=1),AND(J698=1,I698="SBJ"),AND(J698=1,I698=0)),"?IN_FOCUS",IF(J698&lt;=2,"?ACTIVATED",IF(J698&lt;&gt;"","?FAMILIAR",IF(F698="NEW",IF(ISNA(VLOOKUP(E698,#REF!,1,FALSE())),"?TYPE_IDENTIFIABLE","?REFERENTIAL"),"_")))))</f>
        <v/>
      </c>
      <c r="H698" s="24" t="str">
        <f t="shared" ref="H698:H735" ca="1" si="75">IF(J698&lt;&gt;1,"",IF(I698="SBJ","CB","?"))</f>
        <v/>
      </c>
      <c r="I698" s="25" t="str">
        <f>IF(OR(E698="",E698="!!!",F698="NEW"),"",INDEX(B$2:B697,-1+SUMPRODUCT(MAX(ROW(E$2:E697)*(E698=E$2:E697)))))</f>
        <v/>
      </c>
      <c r="J698" s="25" t="str">
        <f ca="1">IF(OR(E698="",E698="!!!",F698="NEW"),"",COUNTBLANK(OFFSET(A$1,,,SUMPRODUCT(MAX(ROW(E$2:E698)*(E698=E$2:E698)))))-COUNTBLANK(OFFSET(A$1,,,SUMPRODUCT(MAX(ROW(E$1:E697)*(E2=E$1:E697))))))</f>
        <v/>
      </c>
      <c r="K698" s="25" t="str">
        <f>IF(OR(E698="",E698="!!!",F698="NEW"),"",INDEX(J$1:J697,SUMPRODUCT(MAX(ROW(E$1:E697)*(E698=E$1:E697)))))</f>
        <v/>
      </c>
      <c r="L698" s="26"/>
    </row>
    <row r="699" spans="1:12" x14ac:dyDescent="0.3">
      <c r="A699" t="s">
        <v>152</v>
      </c>
      <c r="E699" s="21" t="str">
        <f t="shared" si="74"/>
        <v/>
      </c>
      <c r="F699" s="22" t="str">
        <f>IF(OR(E699="",E699="!!!"),"",IF(NOT(ISNA(VLOOKUP(E699,E$1:E698,1,FALSE()))),"OLD",IF(AND(E699&lt;&gt;"",E699&lt;&gt;"!!!"),"NEW","")))</f>
        <v/>
      </c>
      <c r="G699" s="23" t="str">
        <f>IF(OR(E699="",E699="!!!"),"",IF(OR(J699=0,AND(J699=1,K699=1),AND(J699=1,I699="SBJ"),AND(J699=1,I699=0)),"?IN_FOCUS",IF(J699&lt;=2,"?ACTIVATED",IF(J699&lt;&gt;"","?FAMILIAR",IF(F699="NEW",IF(ISNA(VLOOKUP(E699,#REF!,1,FALSE())),"?TYPE_IDENTIFIABLE","?REFERENTIAL"),"_")))))</f>
        <v/>
      </c>
      <c r="H699" s="24" t="str">
        <f t="shared" ca="1" si="75"/>
        <v/>
      </c>
      <c r="I699" s="25" t="str">
        <f>IF(OR(E699="",E699="!!!",F699="NEW"),"",INDEX(B$2:B698,-1+SUMPRODUCT(MAX(ROW(E$2:E698)*(E699=E$2:E698)))))</f>
        <v/>
      </c>
      <c r="J699" s="25" t="str">
        <f ca="1">IF(OR(E699="",E699="!!!",F699="NEW"),"",COUNTBLANK(OFFSET(A$1,,,SUMPRODUCT(MAX(ROW(E$2:E699)*(E699=E$2:E699)))))-COUNTBLANK(OFFSET(A$1,,,SUMPRODUCT(MAX(ROW(E$1:E698)*(E2=E$1:E698))))))</f>
        <v/>
      </c>
      <c r="K699" s="25" t="str">
        <f>IF(OR(E699="",E699="!!!",F699="NEW"),"",INDEX(J$1:J698,SUMPRODUCT(MAX(ROW(E$1:E698)*(E699=E$1:E698)))))</f>
        <v/>
      </c>
      <c r="L699" s="26"/>
    </row>
    <row r="700" spans="1:12" x14ac:dyDescent="0.3">
      <c r="A700" t="s">
        <v>218</v>
      </c>
      <c r="E700" s="21" t="str">
        <f t="shared" si="74"/>
        <v/>
      </c>
      <c r="F700" s="22" t="str">
        <f>IF(OR(E700="",E700="!!!"),"",IF(NOT(ISNA(VLOOKUP(E700,E$1:E699,1,FALSE()))),"OLD",IF(AND(E700&lt;&gt;"",E700&lt;&gt;"!!!"),"NEW","")))</f>
        <v/>
      </c>
      <c r="G700" s="23" t="str">
        <f>IF(OR(E700="",E700="!!!"),"",IF(OR(J700=0,AND(J700=1,K700=1),AND(J700=1,I700="SBJ"),AND(J700=1,I700=0)),"?IN_FOCUS",IF(J700&lt;=2,"?ACTIVATED",IF(J700&lt;&gt;"","?FAMILIAR",IF(F700="NEW",IF(ISNA(VLOOKUP(E700,#REF!,1,FALSE())),"?TYPE_IDENTIFIABLE","?REFERENTIAL"),"_")))))</f>
        <v/>
      </c>
      <c r="H700" s="24" t="str">
        <f t="shared" ca="1" si="75"/>
        <v/>
      </c>
      <c r="I700" s="25" t="str">
        <f>IF(OR(E700="",E700="!!!",F700="NEW"),"",INDEX(B$2:B699,-1+SUMPRODUCT(MAX(ROW(E$2:E699)*(E700=E$2:E699)))))</f>
        <v/>
      </c>
      <c r="J700" s="25" t="str">
        <f ca="1">IF(OR(E700="",E700="!!!",F700="NEW"),"",COUNTBLANK(OFFSET(A$1,,,SUMPRODUCT(MAX(ROW(E$2:E700)*(E700=E$2:E700)))))-COUNTBLANK(OFFSET(A$1,,,SUMPRODUCT(MAX(ROW(E$1:E699)*(E2=E$1:E699))))))</f>
        <v/>
      </c>
      <c r="K700" s="25" t="str">
        <f>IF(OR(E700="",E700="!!!",F700="NEW"),"",INDEX(J$1:J699,SUMPRODUCT(MAX(ROW(E$1:E699)*(E700=E$1:E699)))))</f>
        <v/>
      </c>
      <c r="L700" s="26"/>
    </row>
    <row r="701" spans="1:12" x14ac:dyDescent="0.3">
      <c r="A701" t="s">
        <v>587</v>
      </c>
      <c r="E701" s="21" t="str">
        <f t="shared" si="74"/>
        <v/>
      </c>
      <c r="F701" s="22" t="str">
        <f>IF(OR(E701="",E701="!!!"),"",IF(NOT(ISNA(VLOOKUP(E701,E$1:E700,1,FALSE()))),"OLD",IF(AND(E701&lt;&gt;"",E701&lt;&gt;"!!!"),"NEW","")))</f>
        <v/>
      </c>
      <c r="G701" s="23" t="str">
        <f>IF(OR(E701="",E701="!!!"),"",IF(OR(J701=0,AND(J701=1,K701=1),AND(J701=1,I701="SBJ"),AND(J701=1,I701=0)),"?IN_FOCUS",IF(J701&lt;=2,"?ACTIVATED",IF(J701&lt;&gt;"","?FAMILIAR",IF(F701="NEW",IF(ISNA(VLOOKUP(E701,#REF!,1,FALSE())),"?TYPE_IDENTIFIABLE","?REFERENTIAL"),"_")))))</f>
        <v/>
      </c>
      <c r="H701" s="24" t="str">
        <f t="shared" ca="1" si="75"/>
        <v/>
      </c>
      <c r="I701" s="25" t="str">
        <f>IF(OR(E701="",E701="!!!",F701="NEW"),"",INDEX(B$2:B700,-1+SUMPRODUCT(MAX(ROW(E$2:E700)*(E701=E$2:E700)))))</f>
        <v/>
      </c>
      <c r="J701" s="25" t="str">
        <f ca="1">IF(OR(E701="",E701="!!!",F701="NEW"),"",COUNTBLANK(OFFSET(A$1,,,SUMPRODUCT(MAX(ROW(E$2:E701)*(E701=E$2:E701)))))-COUNTBLANK(OFFSET(A$1,,,SUMPRODUCT(MAX(ROW(E$1:E700)*(E2=E$1:E700))))))</f>
        <v/>
      </c>
      <c r="K701" s="25" t="str">
        <f>IF(OR(E701="",E701="!!!",F701="NEW"),"",INDEX(J$1:J700,SUMPRODUCT(MAX(ROW(E$1:E700)*(E701=E$1:E700)))))</f>
        <v/>
      </c>
      <c r="L701" s="26"/>
    </row>
    <row r="702" spans="1:12" x14ac:dyDescent="0.3">
      <c r="A702" t="s">
        <v>588</v>
      </c>
      <c r="B702" s="20" t="s">
        <v>201</v>
      </c>
      <c r="C702" s="20" t="s">
        <v>216</v>
      </c>
      <c r="D702" s="20" t="s">
        <v>186</v>
      </c>
      <c r="E702" s="21" t="s">
        <v>806</v>
      </c>
      <c r="F702" s="22" t="str">
        <f>IF(OR(E702="",E702="!!!"),"",IF(NOT(ISNA(VLOOKUP(E702,E$1:E701,1,FALSE()))),"OLD",IF(AND(E702&lt;&gt;"",E702&lt;&gt;"!!!"),"NEW","")))</f>
        <v>NEW</v>
      </c>
      <c r="G702" s="23" t="s">
        <v>807</v>
      </c>
      <c r="H702" s="24" t="str">
        <f t="shared" ca="1" si="75"/>
        <v/>
      </c>
      <c r="I702" s="25" t="str">
        <f>IF(OR(E702="",E702="!!!",F702="NEW"),"",INDEX(B$2:B701,-1+SUMPRODUCT(MAX(ROW(E$2:E701)*(E702=E$2:E701)))))</f>
        <v/>
      </c>
      <c r="J702" s="25" t="str">
        <f ca="1">IF(OR(E702="",E702="!!!",F702="NEW"),"",COUNTBLANK(OFFSET(A$1,,,SUMPRODUCT(MAX(ROW(E$2:E702)*(E702=E$2:E702)))))-COUNTBLANK(OFFSET(A$1,,,SUMPRODUCT(MAX(ROW(E$1:E701)*(E2=E$1:E701))))))</f>
        <v/>
      </c>
      <c r="K702" s="25" t="str">
        <f>IF(OR(E702="",E702="!!!",F702="NEW"),"",INDEX(J$1:J701,SUMPRODUCT(MAX(ROW(E$1:E701)*(E702=E$1:E701)))))</f>
        <v/>
      </c>
      <c r="L702" s="26"/>
    </row>
    <row r="703" spans="1:12" x14ac:dyDescent="0.3">
      <c r="A703" t="s">
        <v>589</v>
      </c>
      <c r="E703" s="21" t="str">
        <f t="shared" si="74"/>
        <v/>
      </c>
      <c r="F703" s="22" t="str">
        <f>IF(OR(E703="",E703="!!!"),"",IF(NOT(ISNA(VLOOKUP(E703,E$1:E702,1,FALSE()))),"OLD",IF(AND(E703&lt;&gt;"",E703&lt;&gt;"!!!"),"NEW","")))</f>
        <v/>
      </c>
      <c r="G703" s="23" t="str">
        <f>IF(OR(E703="",E703="!!!"),"",IF(OR(J703=0,AND(J703=1,K703=1),AND(J703=1,I703="SBJ"),AND(J703=1,I703=0)),"?IN_FOCUS",IF(J703&lt;=2,"?ACTIVATED",IF(J703&lt;&gt;"","?FAMILIAR",IF(F703="NEW",IF(ISNA(VLOOKUP(E703,#REF!,1,FALSE())),"?TYPE_IDENTIFIABLE","?REFERENTIAL"),"_")))))</f>
        <v/>
      </c>
      <c r="H703" s="24" t="str">
        <f t="shared" ca="1" si="75"/>
        <v/>
      </c>
      <c r="I703" s="25" t="str">
        <f>IF(OR(E703="",E703="!!!",F703="NEW"),"",INDEX(B$2:B702,-1+SUMPRODUCT(MAX(ROW(E$2:E702)*(E703=E$2:E702)))))</f>
        <v/>
      </c>
      <c r="J703" s="25" t="str">
        <f ca="1">IF(OR(E703="",E703="!!!",F703="NEW"),"",COUNTBLANK(OFFSET(A$1,,,SUMPRODUCT(MAX(ROW(E$2:E703)*(E703=E$2:E703)))))-COUNTBLANK(OFFSET(A$1,,,SUMPRODUCT(MAX(ROW(E$1:E702)*(E2=E$1:E702))))))</f>
        <v/>
      </c>
      <c r="K703" s="25" t="str">
        <f>IF(OR(E703="",E703="!!!",F703="NEW"),"",INDEX(J$1:J702,SUMPRODUCT(MAX(ROW(E$1:E702)*(E703=E$1:E702)))))</f>
        <v/>
      </c>
      <c r="L703" s="26"/>
    </row>
    <row r="704" spans="1:12" x14ac:dyDescent="0.3">
      <c r="A704" t="s">
        <v>361</v>
      </c>
      <c r="E704" s="21" t="str">
        <f t="shared" si="74"/>
        <v/>
      </c>
      <c r="F704" s="22" t="str">
        <f>IF(OR(E704="",E704="!!!"),"",IF(NOT(ISNA(VLOOKUP(E704,E$1:E703,1,FALSE()))),"OLD",IF(AND(E704&lt;&gt;"",E704&lt;&gt;"!!!"),"NEW","")))</f>
        <v/>
      </c>
      <c r="G704" s="23" t="str">
        <f>IF(OR(E704="",E704="!!!"),"",IF(OR(J704=0,AND(J704=1,K704=1),AND(J704=1,I704="SBJ"),AND(J704=1,I704=0)),"?IN_FOCUS",IF(J704&lt;=2,"?ACTIVATED",IF(J704&lt;&gt;"","?FAMILIAR",IF(F704="NEW",IF(ISNA(VLOOKUP(E704,#REF!,1,FALSE())),"?TYPE_IDENTIFIABLE","?REFERENTIAL"),"_")))))</f>
        <v/>
      </c>
      <c r="H704" s="24" t="str">
        <f t="shared" ca="1" si="75"/>
        <v/>
      </c>
      <c r="I704" s="25" t="str">
        <f>IF(OR(E704="",E704="!!!",F704="NEW"),"",INDEX(B$2:B703,-1+SUMPRODUCT(MAX(ROW(E$2:E703)*(E704=E$2:E703)))))</f>
        <v/>
      </c>
      <c r="J704" s="25" t="str">
        <f ca="1">IF(OR(E704="",E704="!!!",F704="NEW"),"",COUNTBLANK(OFFSET(A$1,,,SUMPRODUCT(MAX(ROW(E$2:E704)*(E704=E$2:E704)))))-COUNTBLANK(OFFSET(A$1,,,SUMPRODUCT(MAX(ROW(E$1:E703)*(E2=E$1:E703))))))</f>
        <v/>
      </c>
      <c r="K704" s="25" t="str">
        <f>IF(OR(E704="",E704="!!!",F704="NEW"),"",INDEX(J$1:J703,SUMPRODUCT(MAX(ROW(E$1:E703)*(E704=E$1:E703)))))</f>
        <v/>
      </c>
      <c r="L704" s="26"/>
    </row>
    <row r="705" spans="1:12" x14ac:dyDescent="0.3">
      <c r="A705" t="s">
        <v>590</v>
      </c>
      <c r="B705" s="20" t="s">
        <v>196</v>
      </c>
      <c r="C705" s="20" t="s">
        <v>216</v>
      </c>
      <c r="D705" s="20" t="s">
        <v>186</v>
      </c>
      <c r="E705" s="21"/>
      <c r="F705" s="22" t="s">
        <v>726</v>
      </c>
      <c r="G705" s="23" t="str">
        <f>IF(OR(E705="",E705="!!!"),"",IF(OR(J705=0,AND(J705=1,K705=1),AND(J705=1,I705="SBJ"),AND(J705=1,I705=0)),"?IN_FOCUS",IF(J705&lt;=2,"?ACTIVATED",IF(J705&lt;&gt;"","?FAMILIAR",IF(F705="NEW",IF(ISNA(VLOOKUP(E705,#REF!,1,FALSE())),"?TYPE_IDENTIFIABLE","?REFERENTIAL"),"_")))))</f>
        <v/>
      </c>
      <c r="H705" s="24" t="str">
        <f t="shared" ca="1" si="75"/>
        <v/>
      </c>
      <c r="I705" s="25" t="str">
        <f>IF(OR(E705="",E705="!!!",F705="NEW"),"",INDEX(B$2:B704,-1+SUMPRODUCT(MAX(ROW(E$2:E704)*(E705=E$2:E704)))))</f>
        <v/>
      </c>
      <c r="J705" s="25" t="str">
        <f ca="1">IF(OR(E705="",E705="!!!",F705="NEW"),"",COUNTBLANK(OFFSET(A$1,,,SUMPRODUCT(MAX(ROW(E$2:E705)*(E705=E$2:E705)))))-COUNTBLANK(OFFSET(A$1,,,SUMPRODUCT(MAX(ROW(E$1:E704)*(E2=E$1:E704))))))</f>
        <v/>
      </c>
      <c r="K705" s="25" t="str">
        <f>IF(OR(E705="",E705="!!!",F705="NEW"),"",INDEX(J$1:J704,SUMPRODUCT(MAX(ROW(E$1:E704)*(E705=E$1:E704)))))</f>
        <v/>
      </c>
      <c r="L705" s="26"/>
    </row>
    <row r="706" spans="1:12" x14ac:dyDescent="0.3">
      <c r="A706" t="s">
        <v>218</v>
      </c>
      <c r="E706" s="21" t="str">
        <f t="shared" si="74"/>
        <v/>
      </c>
      <c r="F706" s="22" t="str">
        <f>IF(OR(E706="",E706="!!!"),"",IF(NOT(ISNA(VLOOKUP(E706,E$1:E705,1,FALSE()))),"OLD",IF(AND(E706&lt;&gt;"",E706&lt;&gt;"!!!"),"NEW","")))</f>
        <v/>
      </c>
      <c r="G706" s="23" t="str">
        <f>IF(OR(E706="",E706="!!!"),"",IF(OR(J706=0,AND(J706=1,K706=1),AND(J706=1,I706="SBJ"),AND(J706=1,I706=0)),"?IN_FOCUS",IF(J706&lt;=2,"?ACTIVATED",IF(J706&lt;&gt;"","?FAMILIAR",IF(F706="NEW",IF(ISNA(VLOOKUP(E706,#REF!,1,FALSE())),"?TYPE_IDENTIFIABLE","?REFERENTIAL"),"_")))))</f>
        <v/>
      </c>
      <c r="H706" s="24" t="str">
        <f t="shared" ca="1" si="75"/>
        <v/>
      </c>
      <c r="I706" s="25" t="str">
        <f>IF(OR(E706="",E706="!!!",F706="NEW"),"",INDEX(B$2:B705,-1+SUMPRODUCT(MAX(ROW(E$2:E705)*(E706=E$2:E705)))))</f>
        <v/>
      </c>
      <c r="J706" s="25" t="str">
        <f ca="1">IF(OR(E706="",E706="!!!",F706="NEW"),"",COUNTBLANK(OFFSET(A$1,,,SUMPRODUCT(MAX(ROW(E$2:E706)*(E706=E$2:E706)))))-COUNTBLANK(OFFSET(A$1,,,SUMPRODUCT(MAX(ROW(E$1:E705)*(E2=E$1:E705))))))</f>
        <v/>
      </c>
      <c r="K706" s="25" t="str">
        <f>IF(OR(E706="",E706="!!!",F706="NEW"),"",INDEX(J$1:J705,SUMPRODUCT(MAX(ROW(E$1:E705)*(E706=E$1:E705)))))</f>
        <v/>
      </c>
      <c r="L706" s="26"/>
    </row>
    <row r="707" spans="1:12" x14ac:dyDescent="0.3">
      <c r="A707" t="s">
        <v>591</v>
      </c>
      <c r="B707" s="20" t="s">
        <v>219</v>
      </c>
      <c r="C707" s="20" t="s">
        <v>185</v>
      </c>
      <c r="D707" s="20" t="s">
        <v>186</v>
      </c>
      <c r="E707" s="21"/>
      <c r="F707" s="22" t="str">
        <f>IF(OR(E707="",E707="!!!"),"",IF(NOT(ISNA(VLOOKUP(E707,E$1:E706,1,FALSE()))),"OLD",IF(AND(E707&lt;&gt;"",E707&lt;&gt;"!!!"),"NEW","")))</f>
        <v/>
      </c>
      <c r="G707" s="23" t="str">
        <f>IF(OR(E707="",E707="!!!"),"",IF(OR(J707=0,AND(J707=1,K707=1),AND(J707=1,I707="SBJ"),AND(J707=1,I707=0)),"?IN_FOCUS",IF(J707&lt;=2,"?ACTIVATED",IF(J707&lt;&gt;"","?FAMILIAR",IF(F707="NEW",IF(ISNA(VLOOKUP(E707,#REF!,1,FALSE())),"?TYPE_IDENTIFIABLE","?REFERENTIAL"),"_")))))</f>
        <v/>
      </c>
      <c r="H707" s="24" t="str">
        <f t="shared" ca="1" si="75"/>
        <v/>
      </c>
      <c r="I707" s="25" t="str">
        <f>IF(OR(E707="",E707="!!!",F707="NEW"),"",INDEX(B$2:B706,-1+SUMPRODUCT(MAX(ROW(E$2:E706)*(E707=E$2:E706)))))</f>
        <v/>
      </c>
      <c r="J707" s="25" t="str">
        <f ca="1">IF(OR(E707="",E707="!!!",F707="NEW"),"",COUNTBLANK(OFFSET(A$1,,,SUMPRODUCT(MAX(ROW(E$2:E707)*(E707=E$2:E707)))))-COUNTBLANK(OFFSET(A$1,,,SUMPRODUCT(MAX(ROW(E$1:E706)*(E2=E$1:E706))))))</f>
        <v/>
      </c>
      <c r="K707" s="25" t="str">
        <f>IF(OR(E707="",E707="!!!",F707="NEW"),"",INDEX(J$1:J706,SUMPRODUCT(MAX(ROW(E$1:E706)*(E707=E$1:E706)))))</f>
        <v/>
      </c>
      <c r="L707" s="26" t="s">
        <v>771</v>
      </c>
    </row>
    <row r="708" spans="1:12" x14ac:dyDescent="0.3">
      <c r="A708" t="s">
        <v>11</v>
      </c>
      <c r="E708" s="21" t="str">
        <f t="shared" si="74"/>
        <v/>
      </c>
      <c r="F708" s="22" t="str">
        <f>IF(OR(E708="",E708="!!!"),"",IF(NOT(ISNA(VLOOKUP(E708,E$1:E707,1,FALSE()))),"OLD",IF(AND(E708&lt;&gt;"",E708&lt;&gt;"!!!"),"NEW","")))</f>
        <v/>
      </c>
      <c r="G708" s="23" t="str">
        <f>IF(OR(E708="",E708="!!!"),"",IF(OR(J708=0,AND(J708=1,K708=1),AND(J708=1,I708="SBJ"),AND(J708=1,I708=0)),"?IN_FOCUS",IF(J708&lt;=2,"?ACTIVATED",IF(J708&lt;&gt;"","?FAMILIAR",IF(F708="NEW",IF(ISNA(VLOOKUP(E708,#REF!,1,FALSE())),"?TYPE_IDENTIFIABLE","?REFERENTIAL"),"_")))))</f>
        <v/>
      </c>
      <c r="H708" s="24" t="str">
        <f t="shared" ca="1" si="75"/>
        <v/>
      </c>
      <c r="I708" s="25" t="str">
        <f>IF(OR(E708="",E708="!!!",F708="NEW"),"",INDEX(B$2:B707,-1+SUMPRODUCT(MAX(ROW(E$2:E707)*(E708=E$2:E707)))))</f>
        <v/>
      </c>
      <c r="J708" s="25" t="str">
        <f ca="1">IF(OR(E708="",E708="!!!",F708="NEW"),"",COUNTBLANK(OFFSET(A$1,,,SUMPRODUCT(MAX(ROW(E$2:E708)*(E708=E$2:E708)))))-COUNTBLANK(OFFSET(A$1,,,SUMPRODUCT(MAX(ROW(E$1:E707)*(E2=E$1:E707))))))</f>
        <v/>
      </c>
      <c r="K708" s="25" t="str">
        <f>IF(OR(E708="",E708="!!!",F708="NEW"),"",INDEX(J$1:J707,SUMPRODUCT(MAX(ROW(E$1:E707)*(E708=E$1:E707)))))</f>
        <v/>
      </c>
      <c r="L708" s="26"/>
    </row>
    <row r="709" spans="1:12" x14ac:dyDescent="0.3">
      <c r="A709" t="s">
        <v>592</v>
      </c>
      <c r="E709" s="21" t="s">
        <v>782</v>
      </c>
      <c r="F709" s="22" t="str">
        <f>IF(OR(E709="",E709="!!!"),"",IF(NOT(ISNA(VLOOKUP(E709,E$1:E708,1,FALSE()))),"OLD",IF(AND(E709&lt;&gt;"",E709&lt;&gt;"!!!"),"NEW","")))</f>
        <v>NEW</v>
      </c>
      <c r="G709" s="23" t="s">
        <v>807</v>
      </c>
      <c r="H709" s="24" t="str">
        <f t="shared" ca="1" si="75"/>
        <v/>
      </c>
      <c r="I709" s="25" t="str">
        <f>IF(OR(E709="",E709="!!!",F709="NEW"),"",INDEX(B$2:B708,-1+SUMPRODUCT(MAX(ROW(E$2:E708)*(E709=E$2:E708)))))</f>
        <v/>
      </c>
      <c r="J709" s="25" t="str">
        <f ca="1">IF(OR(E709="",E709="!!!",F709="NEW"),"",COUNTBLANK(OFFSET(A$1,,,SUMPRODUCT(MAX(ROW(E$2:E709)*(E709=E$2:E709)))))-COUNTBLANK(OFFSET(A$1,,,SUMPRODUCT(MAX(ROW(E$1:E708)*(E2=E$1:E708))))))</f>
        <v/>
      </c>
      <c r="K709" s="25" t="str">
        <f>IF(OR(E709="",E709="!!!",F709="NEW"),"",INDEX(J$1:J708,SUMPRODUCT(MAX(ROW(E$1:E708)*(E709=E$1:E708)))))</f>
        <v/>
      </c>
      <c r="L709" s="26"/>
    </row>
    <row r="710" spans="1:12" x14ac:dyDescent="0.3">
      <c r="A710" t="s">
        <v>187</v>
      </c>
      <c r="E710" s="21" t="str">
        <f t="shared" si="74"/>
        <v/>
      </c>
      <c r="F710" s="22" t="str">
        <f>IF(OR(E710="",E710="!!!"),"",IF(NOT(ISNA(VLOOKUP(E710,E$1:E709,1,FALSE()))),"OLD",IF(AND(E710&lt;&gt;"",E710&lt;&gt;"!!!"),"NEW","")))</f>
        <v/>
      </c>
      <c r="G710" s="23" t="str">
        <f>IF(OR(E710="",E710="!!!"),"",IF(OR(J710=0,AND(J710=1,K710=1),AND(J710=1,I710="SBJ"),AND(J710=1,I710=0)),"?IN_FOCUS",IF(J710&lt;=2,"?ACTIVATED",IF(J710&lt;&gt;"","?FAMILIAR",IF(F710="NEW",IF(ISNA(VLOOKUP(E710,#REF!,1,FALSE())),"?TYPE_IDENTIFIABLE","?REFERENTIAL"),"_")))))</f>
        <v/>
      </c>
      <c r="H710" s="24" t="str">
        <f t="shared" ca="1" si="75"/>
        <v/>
      </c>
      <c r="I710" s="25" t="str">
        <f>IF(OR(E710="",E710="!!!",F710="NEW"),"",INDEX(B$2:B709,-1+SUMPRODUCT(MAX(ROW(E$2:E709)*(E710=E$2:E709)))))</f>
        <v/>
      </c>
      <c r="J710" s="25" t="str">
        <f ca="1">IF(OR(E710="",E710="!!!",F710="NEW"),"",COUNTBLANK(OFFSET(A$1,,,SUMPRODUCT(MAX(ROW(E$2:E710)*(E710=E$2:E710)))))-COUNTBLANK(OFFSET(A$1,,,SUMPRODUCT(MAX(ROW(E$1:E709)*(E2=E$1:E709))))))</f>
        <v/>
      </c>
      <c r="K710" s="25" t="str">
        <f>IF(OR(E710="",E710="!!!",F710="NEW"),"",INDEX(J$1:J709,SUMPRODUCT(MAX(ROW(E$1:E709)*(E710=E$1:E709)))))</f>
        <v/>
      </c>
      <c r="L710" s="26"/>
    </row>
    <row r="711" spans="1:12" x14ac:dyDescent="0.3">
      <c r="A711" t="s">
        <v>253</v>
      </c>
      <c r="B711" s="20" t="s">
        <v>243</v>
      </c>
      <c r="C711" s="20" t="s">
        <v>197</v>
      </c>
      <c r="E711" s="21" t="s">
        <v>730</v>
      </c>
      <c r="F711" s="22" t="str">
        <f>IF(OR(E711="",E711="!!!"),"",IF(NOT(ISNA(VLOOKUP(E711,E$1:E710,1,FALSE()))),"OLD",IF(AND(E711&lt;&gt;"",E711&lt;&gt;"!!!"),"NEW","")))</f>
        <v>OLD</v>
      </c>
      <c r="G711" s="23" t="s">
        <v>723</v>
      </c>
      <c r="H711" s="24" t="str">
        <f t="shared" ca="1" si="75"/>
        <v/>
      </c>
      <c r="I711" s="25" t="str">
        <f>IF(OR(E711="",E711="!!!",F711="NEW"),"",INDEX(B$2:B710,-1+SUMPRODUCT(MAX(ROW(E$2:E710)*(E711=E$2:E710)))))</f>
        <v>SBJ_3</v>
      </c>
      <c r="J711" s="25">
        <f ca="1">IF(OR(E711="",E711="!!!",F711="NEW"),"",COUNTBLANK(OFFSET(A$1,,,SUMPRODUCT(MAX(ROW(E$2:E711)*(E711=E$2:E711)))))-COUNTBLANK(OFFSET(A$1,,,SUMPRODUCT(MAX(ROW(E$1:E710)*(E2=E$1:E710))))))</f>
        <v>0</v>
      </c>
      <c r="K711" s="25">
        <f ca="1">IF(OR(E711="",E711="!!!",F711="NEW"),"",INDEX(J$1:J710,SUMPRODUCT(MAX(ROW(E$1:E710)*(E711=E$1:E710)))))</f>
        <v>0</v>
      </c>
      <c r="L711" s="26"/>
    </row>
    <row r="712" spans="1:12" x14ac:dyDescent="0.3">
      <c r="A712" t="s">
        <v>11</v>
      </c>
      <c r="E712" s="21" t="str">
        <f t="shared" si="74"/>
        <v/>
      </c>
      <c r="F712" s="22" t="str">
        <f>IF(OR(E712="",E712="!!!"),"",IF(NOT(ISNA(VLOOKUP(E712,E$1:E711,1,FALSE()))),"OLD",IF(AND(E712&lt;&gt;"",E712&lt;&gt;"!!!"),"NEW","")))</f>
        <v/>
      </c>
      <c r="G712" s="23" t="str">
        <f>IF(OR(E712="",E712="!!!"),"",IF(OR(J712=0,AND(J712=1,K712=1),AND(J712=1,I712="SBJ"),AND(J712=1,I712=0)),"?IN_FOCUS",IF(J712&lt;=2,"?ACTIVATED",IF(J712&lt;&gt;"","?FAMILIAR",IF(F712="NEW",IF(ISNA(VLOOKUP(E712,#REF!,1,FALSE())),"?TYPE_IDENTIFIABLE","?REFERENTIAL"),"_")))))</f>
        <v/>
      </c>
      <c r="H712" s="24" t="str">
        <f t="shared" ca="1" si="75"/>
        <v/>
      </c>
      <c r="I712" s="25" t="str">
        <f>IF(OR(E712="",E712="!!!",F712="NEW"),"",INDEX(B$2:B711,-1+SUMPRODUCT(MAX(ROW(E$2:E711)*(E712=E$2:E711)))))</f>
        <v/>
      </c>
      <c r="J712" s="25" t="str">
        <f ca="1">IF(OR(E712="",E712="!!!",F712="NEW"),"",COUNTBLANK(OFFSET(A$1,,,SUMPRODUCT(MAX(ROW(E$2:E712)*(E712=E$2:E712)))))-COUNTBLANK(OFFSET(A$1,,,SUMPRODUCT(MAX(ROW(E$1:E711)*(E2=E$1:E711))))))</f>
        <v/>
      </c>
      <c r="K712" s="25" t="str">
        <f>IF(OR(E712="",E712="!!!",F712="NEW"),"",INDEX(J$1:J711,SUMPRODUCT(MAX(ROW(E$1:E711)*(E712=E$1:E711)))))</f>
        <v/>
      </c>
      <c r="L712" s="26"/>
    </row>
    <row r="713" spans="1:12" x14ac:dyDescent="0.3">
      <c r="A713" t="s">
        <v>218</v>
      </c>
      <c r="B713" s="20" t="s">
        <v>593</v>
      </c>
      <c r="E713" s="21" t="s">
        <v>730</v>
      </c>
      <c r="F713" s="22" t="str">
        <f>IF(OR(E713="",E713="!!!"),"",IF(NOT(ISNA(VLOOKUP(E713,E$1:E712,1,FALSE()))),"OLD",IF(AND(E713&lt;&gt;"",E713&lt;&gt;"!!!"),"NEW","")))</f>
        <v>OLD</v>
      </c>
      <c r="G713" s="23" t="s">
        <v>809</v>
      </c>
      <c r="H713" s="24" t="str">
        <f t="shared" ca="1" si="75"/>
        <v/>
      </c>
      <c r="I713" s="25" t="str">
        <f>IF(OR(E713="",E713="!!!",F713="NEW"),"",INDEX(B$2:B712,-1+SUMPRODUCT(MAX(ROW(E$2:E712)*(E713=E$2:E712)))))</f>
        <v>other_5</v>
      </c>
      <c r="J713" s="25">
        <f ca="1">IF(OR(E713="",E713="!!!",F713="NEW"),"",COUNTBLANK(OFFSET(A$1,,,SUMPRODUCT(MAX(ROW(E$2:E713)*(E713=E$2:E713)))))-COUNTBLANK(OFFSET(A$1,,,SUMPRODUCT(MAX(ROW(E$1:E712)*(E2=E$1:E712))))))</f>
        <v>0</v>
      </c>
      <c r="K713" s="25">
        <f ca="1">IF(OR(E713="",E713="!!!",F713="NEW"),"",INDEX(J$1:J712,SUMPRODUCT(MAX(ROW(E$1:E712)*(E713=E$1:E712)))))</f>
        <v>0</v>
      </c>
      <c r="L713" s="26"/>
    </row>
    <row r="714" spans="1:12" x14ac:dyDescent="0.3">
      <c r="A714" t="s">
        <v>594</v>
      </c>
      <c r="E714" s="21" t="str">
        <f t="shared" si="74"/>
        <v/>
      </c>
      <c r="F714" s="22" t="str">
        <f>IF(OR(E714="",E714="!!!"),"",IF(NOT(ISNA(VLOOKUP(E714,E$1:E713,1,FALSE()))),"OLD",IF(AND(E714&lt;&gt;"",E714&lt;&gt;"!!!"),"NEW","")))</f>
        <v/>
      </c>
      <c r="G714" s="23" t="str">
        <f>IF(OR(E714="",E714="!!!"),"",IF(OR(J714=0,AND(J714=1,K714=1),AND(J714=1,I714="SBJ"),AND(J714=1,I714=0)),"?IN_FOCUS",IF(J714&lt;=2,"?ACTIVATED",IF(J714&lt;&gt;"","?FAMILIAR",IF(F714="NEW",IF(ISNA(VLOOKUP(E714,#REF!,1,FALSE())),"?TYPE_IDENTIFIABLE","?REFERENTIAL"),"_")))))</f>
        <v/>
      </c>
      <c r="H714" s="24" t="str">
        <f t="shared" ca="1" si="75"/>
        <v/>
      </c>
      <c r="I714" s="25" t="str">
        <f>IF(OR(E714="",E714="!!!",F714="NEW"),"",INDEX(B$2:B713,-1+SUMPRODUCT(MAX(ROW(E$2:E713)*(E714=E$2:E713)))))</f>
        <v/>
      </c>
      <c r="J714" s="25" t="str">
        <f ca="1">IF(OR(E714="",E714="!!!",F714="NEW"),"",COUNTBLANK(OFFSET(A$1,,,SUMPRODUCT(MAX(ROW(E$2:E714)*(E714=E$2:E714)))))-COUNTBLANK(OFFSET(A$1,,,SUMPRODUCT(MAX(ROW(E$1:E713)*(E2=E$1:E713))))))</f>
        <v/>
      </c>
      <c r="K714" s="25" t="str">
        <f>IF(OR(E714="",E714="!!!",F714="NEW"),"",INDEX(J$1:J713,SUMPRODUCT(MAX(ROW(E$1:E713)*(E714=E$1:E713)))))</f>
        <v/>
      </c>
      <c r="L714" s="26"/>
    </row>
    <row r="715" spans="1:12" x14ac:dyDescent="0.3">
      <c r="A715" t="s">
        <v>595</v>
      </c>
      <c r="B715" s="20" t="s">
        <v>241</v>
      </c>
      <c r="C715" s="20" t="s">
        <v>596</v>
      </c>
      <c r="D715" s="20" t="s">
        <v>186</v>
      </c>
      <c r="E715" s="21" t="s">
        <v>783</v>
      </c>
      <c r="F715" s="22" t="s">
        <v>724</v>
      </c>
      <c r="G715" s="23" t="s">
        <v>176</v>
      </c>
      <c r="H715" s="24" t="str">
        <f t="shared" ca="1" si="75"/>
        <v/>
      </c>
      <c r="I715" s="25" t="e">
        <f>IF(OR(E715="",E715="!!!",F715="NEW"),"",INDEX(B$2:B714,-1+SUMPRODUCT(MAX(ROW(E$2:E714)*(E715=E$2:E714)))))</f>
        <v>#VALUE!</v>
      </c>
      <c r="J715" s="25">
        <f ca="1">IF(OR(E715="",E715="!!!",F715="NEW"),"",COUNTBLANK(OFFSET(A$1,,,SUMPRODUCT(MAX(ROW(E$2:E715)*(E715=E$2:E715)))))-COUNTBLANK(OFFSET(A$1,,,SUMPRODUCT(MAX(ROW(E$1:E714)*(E2=E$1:E714))))))</f>
        <v>0</v>
      </c>
      <c r="K715" s="25" t="e">
        <f>IF(OR(E715="",E715="!!!",F715="NEW"),"",INDEX(J$1:J714,SUMPRODUCT(MAX(ROW(E$1:E714)*(E715=E$1:E714)))))</f>
        <v>#VALUE!</v>
      </c>
      <c r="L715" s="26"/>
    </row>
    <row r="716" spans="1:12" x14ac:dyDescent="0.3">
      <c r="A716" t="s">
        <v>535</v>
      </c>
      <c r="E716" s="21" t="str">
        <f t="shared" si="74"/>
        <v/>
      </c>
      <c r="F716" s="22" t="str">
        <f>IF(OR(E716="",E716="!!!"),"",IF(NOT(ISNA(VLOOKUP(E716,E$1:E715,1,FALSE()))),"OLD",IF(AND(E716&lt;&gt;"",E716&lt;&gt;"!!!"),"NEW","")))</f>
        <v/>
      </c>
      <c r="G716" s="23" t="str">
        <f>IF(OR(E716="",E716="!!!"),"",IF(OR(J716=0,AND(J716=1,K716=1),AND(J716=1,I716="SBJ"),AND(J716=1,I716=0)),"?IN_FOCUS",IF(J716&lt;=2,"?ACTIVATED",IF(J716&lt;&gt;"","?FAMILIAR",IF(F716="NEW",IF(ISNA(VLOOKUP(E716,#REF!,1,FALSE())),"?TYPE_IDENTIFIABLE","?REFERENTIAL"),"_")))))</f>
        <v/>
      </c>
      <c r="H716" s="24" t="str">
        <f t="shared" ca="1" si="75"/>
        <v/>
      </c>
      <c r="I716" s="25" t="str">
        <f>IF(OR(E716="",E716="!!!",F716="NEW"),"",INDEX(B$2:B715,-1+SUMPRODUCT(MAX(ROW(E$2:E715)*(E716=E$2:E715)))))</f>
        <v/>
      </c>
      <c r="J716" s="25" t="str">
        <f ca="1">IF(OR(E716="",E716="!!!",F716="NEW"),"",COUNTBLANK(OFFSET(A$1,,,SUMPRODUCT(MAX(ROW(E$2:E716)*(E716=E$2:E716)))))-COUNTBLANK(OFFSET(A$1,,,SUMPRODUCT(MAX(ROW(E$1:E715)*(E2=E$1:E715))))))</f>
        <v/>
      </c>
      <c r="K716" s="25" t="str">
        <f>IF(OR(E716="",E716="!!!",F716="NEW"),"",INDEX(J$1:J715,SUMPRODUCT(MAX(ROW(E$1:E715)*(E716=E$1:E715)))))</f>
        <v/>
      </c>
      <c r="L716" s="26"/>
    </row>
    <row r="717" spans="1:12" x14ac:dyDescent="0.3">
      <c r="A717" t="s">
        <v>206</v>
      </c>
      <c r="E717" s="21" t="str">
        <f t="shared" si="74"/>
        <v/>
      </c>
      <c r="F717" s="22" t="str">
        <f>IF(OR(E717="",E717="!!!"),"",IF(NOT(ISNA(VLOOKUP(E717,E$1:E716,1,FALSE()))),"OLD",IF(AND(E717&lt;&gt;"",E717&lt;&gt;"!!!"),"NEW","")))</f>
        <v/>
      </c>
      <c r="G717" s="23" t="str">
        <f>IF(OR(E717="",E717="!!!"),"",IF(OR(J717=0,AND(J717=1,K717=1),AND(J717=1,I717="SBJ"),AND(J717=1,I717=0)),"?IN_FOCUS",IF(J717&lt;=2,"?ACTIVATED",IF(J717&lt;&gt;"","?FAMILIAR",IF(F717="NEW",IF(ISNA(VLOOKUP(E717,#REF!,1,FALSE())),"?TYPE_IDENTIFIABLE","?REFERENTIAL"),"_")))))</f>
        <v/>
      </c>
      <c r="H717" s="24" t="str">
        <f t="shared" ca="1" si="75"/>
        <v/>
      </c>
      <c r="I717" s="25" t="str">
        <f>IF(OR(E717="",E717="!!!",F717="NEW"),"",INDEX(B$2:B716,-1+SUMPRODUCT(MAX(ROW(E$2:E716)*(E717=E$2:E716)))))</f>
        <v/>
      </c>
      <c r="J717" s="25" t="str">
        <f ca="1">IF(OR(E717="",E717="!!!",F717="NEW"),"",COUNTBLANK(OFFSET(A$1,,,SUMPRODUCT(MAX(ROW(E$2:E717)*(E717=E$2:E717)))))-COUNTBLANK(OFFSET(A$1,,,SUMPRODUCT(MAX(ROW(E$1:E716)*(E2=E$1:E716))))))</f>
        <v/>
      </c>
      <c r="K717" s="25" t="str">
        <f>IF(OR(E717="",E717="!!!",F717="NEW"),"",INDEX(J$1:J716,SUMPRODUCT(MAX(ROW(E$1:E716)*(E717=E$1:E716)))))</f>
        <v/>
      </c>
      <c r="L717" s="26"/>
    </row>
    <row r="718" spans="1:12" x14ac:dyDescent="0.3">
      <c r="A718" t="s">
        <v>294</v>
      </c>
      <c r="E718" s="21" t="str">
        <f t="shared" si="74"/>
        <v/>
      </c>
      <c r="F718" s="22" t="str">
        <f>IF(OR(E718="",E718="!!!"),"",IF(NOT(ISNA(VLOOKUP(E718,E$1:E717,1,FALSE()))),"OLD",IF(AND(E718&lt;&gt;"",E718&lt;&gt;"!!!"),"NEW","")))</f>
        <v/>
      </c>
      <c r="G718" s="23" t="str">
        <f>IF(OR(E718="",E718="!!!"),"",IF(OR(J718=0,AND(J718=1,K718=1),AND(J718=1,I718="SBJ"),AND(J718=1,I718=0)),"?IN_FOCUS",IF(J718&lt;=2,"?ACTIVATED",IF(J718&lt;&gt;"","?FAMILIAR",IF(F718="NEW",IF(ISNA(VLOOKUP(E718,#REF!,1,FALSE())),"?TYPE_IDENTIFIABLE","?REFERENTIAL"),"_")))))</f>
        <v/>
      </c>
      <c r="H718" s="24" t="str">
        <f t="shared" ca="1" si="75"/>
        <v/>
      </c>
      <c r="I718" s="25" t="str">
        <f>IF(OR(E718="",E718="!!!",F718="NEW"),"",INDEX(B$2:B717,-1+SUMPRODUCT(MAX(ROW(E$2:E717)*(E718=E$2:E717)))))</f>
        <v/>
      </c>
      <c r="J718" s="25" t="str">
        <f ca="1">IF(OR(E718="",E718="!!!",F718="NEW"),"",COUNTBLANK(OFFSET(A$1,,,SUMPRODUCT(MAX(ROW(E$2:E718)*(E718=E$2:E718)))))-COUNTBLANK(OFFSET(A$1,,,SUMPRODUCT(MAX(ROW(E$1:E717)*(E2=E$1:E717))))))</f>
        <v/>
      </c>
      <c r="K718" s="25" t="str">
        <f>IF(OR(E718="",E718="!!!",F718="NEW"),"",INDEX(J$1:J717,SUMPRODUCT(MAX(ROW(E$1:E717)*(E718=E$1:E717)))))</f>
        <v/>
      </c>
      <c r="L718" s="26"/>
    </row>
    <row r="719" spans="1:12" x14ac:dyDescent="0.3">
      <c r="A719" t="s">
        <v>218</v>
      </c>
      <c r="B719" s="20" t="s">
        <v>597</v>
      </c>
      <c r="C719" s="20" t="s">
        <v>252</v>
      </c>
      <c r="D719" s="20" t="s">
        <v>186</v>
      </c>
      <c r="E719" s="21"/>
      <c r="F719" s="22" t="str">
        <f>IF(OR(E719="",E719="!!!"),"",IF(NOT(ISNA(VLOOKUP(E719,E$1:E718,1,FALSE()))),"OLD",IF(AND(E719&lt;&gt;"",E719&lt;&gt;"!!!"),"NEW","")))</f>
        <v/>
      </c>
      <c r="G719" s="23" t="str">
        <f>IF(OR(E719="",E719="!!!"),"",IF(OR(J719=0,AND(J719=1,K719=1),AND(J719=1,I719="SBJ"),AND(J719=1,I719=0)),"?IN_FOCUS",IF(J719&lt;=2,"?ACTIVATED",IF(J719&lt;&gt;"","?FAMILIAR",IF(F719="NEW",IF(ISNA(VLOOKUP(E719,#REF!,1,FALSE())),"?TYPE_IDENTIFIABLE","?REFERENTIAL"),"_")))))</f>
        <v/>
      </c>
      <c r="H719" s="24" t="str">
        <f t="shared" ca="1" si="75"/>
        <v/>
      </c>
      <c r="I719" s="25" t="str">
        <f>IF(OR(E719="",E719="!!!",F719="NEW"),"",INDEX(B$2:B718,-1+SUMPRODUCT(MAX(ROW(E$2:E718)*(E719=E$2:E718)))))</f>
        <v/>
      </c>
      <c r="J719" s="25" t="str">
        <f ca="1">IF(OR(E719="",E719="!!!",F719="NEW"),"",COUNTBLANK(OFFSET(A$1,,,SUMPRODUCT(MAX(ROW(E$2:E719)*(E719=E$2:E719)))))-COUNTBLANK(OFFSET(A$1,,,SUMPRODUCT(MAX(ROW(E$1:E718)*(E2=E$1:E718))))))</f>
        <v/>
      </c>
      <c r="K719" s="25" t="str">
        <f>IF(OR(E719="",E719="!!!",F719="NEW"),"",INDEX(J$1:J718,SUMPRODUCT(MAX(ROW(E$1:E718)*(E719=E$1:E718)))))</f>
        <v/>
      </c>
      <c r="L719" s="26" t="s">
        <v>738</v>
      </c>
    </row>
    <row r="720" spans="1:12" x14ac:dyDescent="0.3">
      <c r="A720" t="s">
        <v>598</v>
      </c>
      <c r="E720" s="21" t="str">
        <f t="shared" si="74"/>
        <v/>
      </c>
      <c r="F720" s="22" t="str">
        <f>IF(OR(E720="",E720="!!!"),"",IF(NOT(ISNA(VLOOKUP(E720,E$1:E719,1,FALSE()))),"OLD",IF(AND(E720&lt;&gt;"",E720&lt;&gt;"!!!"),"NEW","")))</f>
        <v/>
      </c>
      <c r="G720" s="23" t="str">
        <f>IF(OR(E720="",E720="!!!"),"",IF(OR(J720=0,AND(J720=1,K720=1),AND(J720=1,I720="SBJ"),AND(J720=1,I720=0)),"?IN_FOCUS",IF(J720&lt;=2,"?ACTIVATED",IF(J720&lt;&gt;"","?FAMILIAR",IF(F720="NEW",IF(ISNA(VLOOKUP(E720,#REF!,1,FALSE())),"?TYPE_IDENTIFIABLE","?REFERENTIAL"),"_")))))</f>
        <v/>
      </c>
      <c r="H720" s="24" t="str">
        <f t="shared" ca="1" si="75"/>
        <v/>
      </c>
      <c r="I720" s="25" t="str">
        <f>IF(OR(E720="",E720="!!!",F720="NEW"),"",INDEX(B$2:B719,-1+SUMPRODUCT(MAX(ROW(E$2:E719)*(E720=E$2:E719)))))</f>
        <v/>
      </c>
      <c r="J720" s="25" t="str">
        <f ca="1">IF(OR(E720="",E720="!!!",F720="NEW"),"",COUNTBLANK(OFFSET(A$1,,,SUMPRODUCT(MAX(ROW(E$2:E720)*(E720=E$2:E720)))))-COUNTBLANK(OFFSET(A$1,,,SUMPRODUCT(MAX(ROW(E$1:E719)*(E2=E$1:E719))))))</f>
        <v/>
      </c>
      <c r="K720" s="25" t="str">
        <f>IF(OR(E720="",E720="!!!",F720="NEW"),"",INDEX(J$1:J719,SUMPRODUCT(MAX(ROW(E$1:E719)*(E720=E$1:E719)))))</f>
        <v/>
      </c>
      <c r="L720" s="26"/>
    </row>
    <row r="721" spans="1:12" x14ac:dyDescent="0.3">
      <c r="A721" t="s">
        <v>599</v>
      </c>
      <c r="B721" s="20" t="s">
        <v>600</v>
      </c>
      <c r="C721" s="20" t="s">
        <v>197</v>
      </c>
      <c r="E721" s="21" t="s">
        <v>806</v>
      </c>
      <c r="F721" s="22" t="str">
        <f>IF(OR(E721="",E721="!!!"),"",IF(NOT(ISNA(VLOOKUP(E721,E$1:E720,1,FALSE()))),"OLD",IF(AND(E721&lt;&gt;"",E721&lt;&gt;"!!!"),"NEW","")))</f>
        <v>OLD</v>
      </c>
      <c r="G721" s="23" t="s">
        <v>809</v>
      </c>
      <c r="H721" s="24" t="str">
        <f t="shared" ca="1" si="75"/>
        <v/>
      </c>
      <c r="I721" s="25" t="str">
        <f>IF(OR(E721="",E721="!!!",F721="NEW"),"",INDEX(B$2:B720,-1+SUMPRODUCT(MAX(ROW(E$2:E720)*(E721=E$2:E720)))))</f>
        <v>SBJ</v>
      </c>
      <c r="J721" s="25">
        <f ca="1">IF(OR(E721="",E721="!!!",F721="NEW"),"",COUNTBLANK(OFFSET(A$1,,,SUMPRODUCT(MAX(ROW(E$2:E721)*(E721=E$2:E721)))))-COUNTBLANK(OFFSET(A$1,,,SUMPRODUCT(MAX(ROW(E$1:E720)*(E2=E$1:E720))))))</f>
        <v>0</v>
      </c>
      <c r="K721" s="25" t="str">
        <f ca="1">IF(OR(E721="",E721="!!!",F721="NEW"),"",INDEX(J$1:J720,SUMPRODUCT(MAX(ROW(E$1:E720)*(E721=E$1:E720)))))</f>
        <v/>
      </c>
      <c r="L721" s="26"/>
    </row>
    <row r="722" spans="1:12" x14ac:dyDescent="0.3">
      <c r="A722" t="s">
        <v>601</v>
      </c>
      <c r="B722" s="20" t="s">
        <v>602</v>
      </c>
      <c r="C722" s="20" t="s">
        <v>197</v>
      </c>
      <c r="E722" s="21" t="str">
        <f t="shared" si="74"/>
        <v/>
      </c>
      <c r="F722" s="22" t="str">
        <f>IF(OR(E722="",E722="!!!"),"",IF(NOT(ISNA(VLOOKUP(E722,E$1:E721,1,FALSE()))),"OLD",IF(AND(E722&lt;&gt;"",E722&lt;&gt;"!!!"),"NEW","")))</f>
        <v/>
      </c>
      <c r="G722" s="23" t="str">
        <f>IF(OR(E722="",E722="!!!"),"",IF(OR(J722=0,AND(J722=1,K722=1),AND(J722=1,I722="SBJ"),AND(J722=1,I722=0)),"?IN_FOCUS",IF(J722&lt;=2,"?ACTIVATED",IF(J722&lt;&gt;"","?FAMILIAR",IF(F722="NEW",IF(ISNA(VLOOKUP(E722,#REF!,1,FALSE())),"?TYPE_IDENTIFIABLE","?REFERENTIAL"),"_")))))</f>
        <v/>
      </c>
      <c r="H722" s="24" t="str">
        <f t="shared" ca="1" si="75"/>
        <v/>
      </c>
      <c r="I722" s="25" t="str">
        <f>IF(OR(E722="",E722="!!!",F722="NEW"),"",INDEX(B$2:B721,-1+SUMPRODUCT(MAX(ROW(E$2:E721)*(E722=E$2:E721)))))</f>
        <v/>
      </c>
      <c r="J722" s="25" t="str">
        <f ca="1">IF(OR(E722="",E722="!!!",F722="NEW"),"",COUNTBLANK(OFFSET(A$1,,,SUMPRODUCT(MAX(ROW(E$2:E722)*(E722=E$2:E722)))))-COUNTBLANK(OFFSET(A$1,,,SUMPRODUCT(MAX(ROW(E$1:E721)*(E2=E$1:E721))))))</f>
        <v/>
      </c>
      <c r="K722" s="25" t="str">
        <f>IF(OR(E722="",E722="!!!",F722="NEW"),"",INDEX(J$1:J721,SUMPRODUCT(MAX(ROW(E$1:E721)*(E722=E$1:E721)))))</f>
        <v/>
      </c>
      <c r="L722" s="26"/>
    </row>
    <row r="723" spans="1:12" x14ac:dyDescent="0.3">
      <c r="A723" t="s">
        <v>228</v>
      </c>
      <c r="E723" s="21" t="str">
        <f t="shared" si="74"/>
        <v/>
      </c>
      <c r="F723" s="22" t="str">
        <f>IF(OR(E723="",E723="!!!"),"",IF(NOT(ISNA(VLOOKUP(E723,E$1:E722,1,FALSE()))),"OLD",IF(AND(E723&lt;&gt;"",E723&lt;&gt;"!!!"),"NEW","")))</f>
        <v/>
      </c>
      <c r="G723" s="23" t="str">
        <f>IF(OR(E723="",E723="!!!"),"",IF(OR(J723=0,AND(J723=1,K723=1),AND(J723=1,I723="SBJ"),AND(J723=1,I723=0)),"?IN_FOCUS",IF(J723&lt;=2,"?ACTIVATED",IF(J723&lt;&gt;"","?FAMILIAR",IF(F723="NEW",IF(ISNA(VLOOKUP(E723,#REF!,1,FALSE())),"?TYPE_IDENTIFIABLE","?REFERENTIAL"),"_")))))</f>
        <v/>
      </c>
      <c r="H723" s="24" t="str">
        <f t="shared" ca="1" si="75"/>
        <v/>
      </c>
      <c r="I723" s="25" t="str">
        <f>IF(OR(E723="",E723="!!!",F723="NEW"),"",INDEX(B$2:B722,-1+SUMPRODUCT(MAX(ROW(E$2:E722)*(E723=E$2:E722)))))</f>
        <v/>
      </c>
      <c r="J723" s="25" t="str">
        <f ca="1">IF(OR(E723="",E723="!!!",F723="NEW"),"",COUNTBLANK(OFFSET(A$1,,,SUMPRODUCT(MAX(ROW(E$2:E723)*(E723=E$2:E723)))))-COUNTBLANK(OFFSET(A$1,,,SUMPRODUCT(MAX(ROW(E$1:E722)*(E2=E$1:E722))))))</f>
        <v/>
      </c>
      <c r="K723" s="25" t="str">
        <f>IF(OR(E723="",E723="!!!",F723="NEW"),"",INDEX(J$1:J722,SUMPRODUCT(MAX(ROW(E$1:E722)*(E723=E$1:E722)))))</f>
        <v/>
      </c>
      <c r="L723" s="26"/>
    </row>
    <row r="724" spans="1:12" x14ac:dyDescent="0.3">
      <c r="A724" t="s">
        <v>603</v>
      </c>
      <c r="E724" s="21" t="str">
        <f t="shared" si="74"/>
        <v/>
      </c>
      <c r="F724" s="22" t="str">
        <f>IF(OR(E724="",E724="!!!"),"",IF(NOT(ISNA(VLOOKUP(E724,E$1:E723,1,FALSE()))),"OLD",IF(AND(E724&lt;&gt;"",E724&lt;&gt;"!!!"),"NEW","")))</f>
        <v/>
      </c>
      <c r="G724" s="23" t="str">
        <f>IF(OR(E724="",E724="!!!"),"",IF(OR(J724=0,AND(J724=1,K724=1),AND(J724=1,I724="SBJ"),AND(J724=1,I724=0)),"?IN_FOCUS",IF(J724&lt;=2,"?ACTIVATED",IF(J724&lt;&gt;"","?FAMILIAR",IF(F724="NEW",IF(ISNA(VLOOKUP(E724,#REF!,1,FALSE())),"?TYPE_IDENTIFIABLE","?REFERENTIAL"),"_")))))</f>
        <v/>
      </c>
      <c r="H724" s="24" t="str">
        <f t="shared" ca="1" si="75"/>
        <v/>
      </c>
      <c r="I724" s="25" t="str">
        <f>IF(OR(E724="",E724="!!!",F724="NEW"),"",INDEX(B$2:B723,-1+SUMPRODUCT(MAX(ROW(E$2:E723)*(E724=E$2:E723)))))</f>
        <v/>
      </c>
      <c r="J724" s="25" t="str">
        <f ca="1">IF(OR(E724="",E724="!!!",F724="NEW"),"",COUNTBLANK(OFFSET(A$1,,,SUMPRODUCT(MAX(ROW(E$2:E724)*(E724=E$2:E724)))))-COUNTBLANK(OFFSET(A$1,,,SUMPRODUCT(MAX(ROW(E$1:E723)*(E2=E$1:E723))))))</f>
        <v/>
      </c>
      <c r="K724" s="25" t="str">
        <f>IF(OR(E724="",E724="!!!",F724="NEW"),"",INDEX(J$1:J723,SUMPRODUCT(MAX(ROW(E$1:E723)*(E724=E$1:E723)))))</f>
        <v/>
      </c>
      <c r="L724" s="26"/>
    </row>
    <row r="725" spans="1:12" x14ac:dyDescent="0.3">
      <c r="A725" t="s">
        <v>187</v>
      </c>
      <c r="E725" s="21" t="str">
        <f t="shared" si="74"/>
        <v/>
      </c>
      <c r="F725" s="22" t="str">
        <f>IF(OR(E725="",E725="!!!"),"",IF(NOT(ISNA(VLOOKUP(E725,E$1:E724,1,FALSE()))),"OLD",IF(AND(E725&lt;&gt;"",E725&lt;&gt;"!!!"),"NEW","")))</f>
        <v/>
      </c>
      <c r="G725" s="23" t="str">
        <f>IF(OR(E725="",E725="!!!"),"",IF(OR(J725=0,AND(J725=1,K725=1),AND(J725=1,I725="SBJ"),AND(J725=1,I725=0)),"?IN_FOCUS",IF(J725&lt;=2,"?ACTIVATED",IF(J725&lt;&gt;"","?FAMILIAR",IF(F725="NEW",IF(ISNA(VLOOKUP(E725,#REF!,1,FALSE())),"?TYPE_IDENTIFIABLE","?REFERENTIAL"),"_")))))</f>
        <v/>
      </c>
      <c r="H725" s="24" t="str">
        <f t="shared" ca="1" si="75"/>
        <v/>
      </c>
      <c r="I725" s="25" t="str">
        <f>IF(OR(E725="",E725="!!!",F725="NEW"),"",INDEX(B$2:B724,-1+SUMPRODUCT(MAX(ROW(E$2:E724)*(E725=E$2:E724)))))</f>
        <v/>
      </c>
      <c r="J725" s="25" t="str">
        <f ca="1">IF(OR(E725="",E725="!!!",F725="NEW"),"",COUNTBLANK(OFFSET(A$1,,,SUMPRODUCT(MAX(ROW(E$2:E725)*(E725=E$2:E725)))))-COUNTBLANK(OFFSET(A$1,,,SUMPRODUCT(MAX(ROW(E$1:E724)*(E2=E$1:E724))))))</f>
        <v/>
      </c>
      <c r="K725" s="25" t="str">
        <f>IF(OR(E725="",E725="!!!",F725="NEW"),"",INDEX(J$1:J724,SUMPRODUCT(MAX(ROW(E$1:E724)*(E725=E$1:E724)))))</f>
        <v/>
      </c>
      <c r="L725" s="26"/>
    </row>
    <row r="726" spans="1:12" x14ac:dyDescent="0.3">
      <c r="A726" t="s">
        <v>207</v>
      </c>
      <c r="E726" s="21" t="str">
        <f t="shared" si="74"/>
        <v/>
      </c>
      <c r="F726" s="22" t="str">
        <f>IF(OR(E726="",E726="!!!"),"",IF(NOT(ISNA(VLOOKUP(E726,E$1:E725,1,FALSE()))),"OLD",IF(AND(E726&lt;&gt;"",E726&lt;&gt;"!!!"),"NEW","")))</f>
        <v/>
      </c>
      <c r="G726" s="23" t="str">
        <f>IF(OR(E726="",E726="!!!"),"",IF(OR(J726=0,AND(J726=1,K726=1),AND(J726=1,I726="SBJ"),AND(J726=1,I726=0)),"?IN_FOCUS",IF(J726&lt;=2,"?ACTIVATED",IF(J726&lt;&gt;"","?FAMILIAR",IF(F726="NEW",IF(ISNA(VLOOKUP(E726,#REF!,1,FALSE())),"?TYPE_IDENTIFIABLE","?REFERENTIAL"),"_")))))</f>
        <v/>
      </c>
      <c r="H726" s="24" t="str">
        <f t="shared" ca="1" si="75"/>
        <v/>
      </c>
      <c r="I726" s="25" t="str">
        <f>IF(OR(E726="",E726="!!!",F726="NEW"),"",INDEX(B$2:B725,-1+SUMPRODUCT(MAX(ROW(E$2:E725)*(E726=E$2:E725)))))</f>
        <v/>
      </c>
      <c r="J726" s="25" t="str">
        <f ca="1">IF(OR(E726="",E726="!!!",F726="NEW"),"",COUNTBLANK(OFFSET(A$1,,,SUMPRODUCT(MAX(ROW(E$2:E726)*(E726=E$2:E726)))))-COUNTBLANK(OFFSET(A$1,,,SUMPRODUCT(MAX(ROW(E$1:E725)*(E2=E$1:E725))))))</f>
        <v/>
      </c>
      <c r="K726" s="25" t="str">
        <f>IF(OR(E726="",E726="!!!",F726="NEW"),"",INDEX(J$1:J725,SUMPRODUCT(MAX(ROW(E$1:E725)*(E726=E$1:E725)))))</f>
        <v/>
      </c>
      <c r="L726" s="26"/>
    </row>
    <row r="727" spans="1:12" x14ac:dyDescent="0.3">
      <c r="A727" t="s">
        <v>604</v>
      </c>
      <c r="B727" s="20" t="s">
        <v>602</v>
      </c>
      <c r="C727" s="20" t="s">
        <v>261</v>
      </c>
      <c r="D727" s="20" t="s">
        <v>186</v>
      </c>
      <c r="E727" s="21" t="s">
        <v>781</v>
      </c>
      <c r="F727" s="22" t="str">
        <f>IF(OR(E727="",E727="!!!"),"",IF(NOT(ISNA(VLOOKUP(E727,E$1:E726,1,FALSE()))),"OLD",IF(AND(E727&lt;&gt;"",E727&lt;&gt;"!!!"),"NEW","")))</f>
        <v>NEW</v>
      </c>
      <c r="G727" s="23" t="s">
        <v>807</v>
      </c>
      <c r="H727" s="24" t="str">
        <f t="shared" ca="1" si="75"/>
        <v/>
      </c>
      <c r="I727" s="25" t="str">
        <f>IF(OR(E727="",E727="!!!",F727="NEW"),"",INDEX(B$2:B726,-1+SUMPRODUCT(MAX(ROW(E$2:E726)*(E727=E$2:E726)))))</f>
        <v/>
      </c>
      <c r="J727" s="25" t="str">
        <f ca="1">IF(OR(E727="",E727="!!!",F727="NEW"),"",COUNTBLANK(OFFSET(A$1,,,SUMPRODUCT(MAX(ROW(E$2:E727)*(E727=E$2:E727)))))-COUNTBLANK(OFFSET(A$1,,,SUMPRODUCT(MAX(ROW(E$1:E726)*(E2=E$1:E726))))))</f>
        <v/>
      </c>
      <c r="K727" s="25" t="str">
        <f>IF(OR(E727="",E727="!!!",F727="NEW"),"",INDEX(J$1:J726,SUMPRODUCT(MAX(ROW(E$1:E726)*(E727=E$1:E726)))))</f>
        <v/>
      </c>
      <c r="L727" s="26"/>
    </row>
    <row r="728" spans="1:12" x14ac:dyDescent="0.3">
      <c r="A728" t="s">
        <v>218</v>
      </c>
      <c r="E728" s="21" t="str">
        <f t="shared" si="74"/>
        <v/>
      </c>
      <c r="F728" s="22" t="str">
        <f>IF(OR(E728="",E728="!!!"),"",IF(NOT(ISNA(VLOOKUP(E728,E$1:E727,1,FALSE()))),"OLD",IF(AND(E728&lt;&gt;"",E728&lt;&gt;"!!!"),"NEW","")))</f>
        <v/>
      </c>
      <c r="G728" s="23" t="str">
        <f>IF(OR(E728="",E728="!!!"),"",IF(OR(J728=0,AND(J728=1,K728=1),AND(J728=1,I728="SBJ"),AND(J728=1,I728=0)),"?IN_FOCUS",IF(J728&lt;=2,"?ACTIVATED",IF(J728&lt;&gt;"","?FAMILIAR",IF(F728="NEW",IF(ISNA(VLOOKUP(E728,#REF!,1,FALSE())),"?TYPE_IDENTIFIABLE","?REFERENTIAL"),"_")))))</f>
        <v/>
      </c>
      <c r="H728" s="24" t="str">
        <f t="shared" ca="1" si="75"/>
        <v/>
      </c>
      <c r="I728" s="25" t="str">
        <f>IF(OR(E728="",E728="!!!",F728="NEW"),"",INDEX(B$2:B727,-1+SUMPRODUCT(MAX(ROW(E$2:E727)*(E728=E$2:E727)))))</f>
        <v/>
      </c>
      <c r="J728" s="25" t="str">
        <f ca="1">IF(OR(E728="",E728="!!!",F728="NEW"),"",COUNTBLANK(OFFSET(A$1,,,SUMPRODUCT(MAX(ROW(E$2:E728)*(E728=E$2:E728)))))-COUNTBLANK(OFFSET(A$1,,,SUMPRODUCT(MAX(ROW(E$1:E727)*(E2=E$1:E727))))))</f>
        <v/>
      </c>
      <c r="K728" s="25" t="str">
        <f>IF(OR(E728="",E728="!!!",F728="NEW"),"",INDEX(J$1:J727,SUMPRODUCT(MAX(ROW(E$1:E727)*(E728=E$1:E727)))))</f>
        <v/>
      </c>
      <c r="L728" s="26"/>
    </row>
    <row r="729" spans="1:12" x14ac:dyDescent="0.3">
      <c r="A729" t="s">
        <v>188</v>
      </c>
      <c r="B729" s="20" t="s">
        <v>605</v>
      </c>
      <c r="C729" s="20" t="s">
        <v>185</v>
      </c>
      <c r="D729" s="20" t="s">
        <v>186</v>
      </c>
      <c r="E729" s="21" t="s">
        <v>722</v>
      </c>
      <c r="F729" s="22" t="str">
        <f>IF(OR(E729="",E729="!!!"),"",IF(NOT(ISNA(VLOOKUP(E729,E$1:E728,1,FALSE()))),"OLD",IF(AND(E729&lt;&gt;"",E729&lt;&gt;"!!!"),"NEW","")))</f>
        <v>OLD</v>
      </c>
      <c r="G729" s="23" t="s">
        <v>723</v>
      </c>
      <c r="H729" s="24" t="str">
        <f t="shared" ca="1" si="75"/>
        <v/>
      </c>
      <c r="I729" s="25" t="str">
        <f>IF(OR(E729="",E729="!!!",F729="NEW"),"",INDEX(B$2:B728,-1+SUMPRODUCT(MAX(ROW(E$2:E728)*(E729=E$2:E728)))))</f>
        <v>SBJ</v>
      </c>
      <c r="J729" s="25">
        <f ca="1">IF(OR(E729="",E729="!!!",F729="NEW"),"",COUNTBLANK(OFFSET(A$1,,,SUMPRODUCT(MAX(ROW(E$2:E729)*(E729=E$2:E729)))))-COUNTBLANK(OFFSET(A$1,,,SUMPRODUCT(MAX(ROW(E$1:E728)*(E2=E$1:E728))))))</f>
        <v>0</v>
      </c>
      <c r="K729" s="25">
        <f ca="1">IF(OR(E729="",E729="!!!",F729="NEW"),"",INDEX(J$1:J728,SUMPRODUCT(MAX(ROW(E$1:E728)*(E729=E$1:E728)))))</f>
        <v>0</v>
      </c>
      <c r="L729" s="26"/>
    </row>
    <row r="730" spans="1:12" x14ac:dyDescent="0.3">
      <c r="A730" t="s">
        <v>228</v>
      </c>
      <c r="E730" s="21" t="str">
        <f t="shared" si="74"/>
        <v/>
      </c>
      <c r="F730" s="22" t="str">
        <f>IF(OR(E730="",E730="!!!"),"",IF(NOT(ISNA(VLOOKUP(E730,E$1:E729,1,FALSE()))),"OLD",IF(AND(E730&lt;&gt;"",E730&lt;&gt;"!!!"),"NEW","")))</f>
        <v/>
      </c>
      <c r="G730" s="23" t="str">
        <f>IF(OR(E730="",E730="!!!"),"",IF(OR(J730=0,AND(J730=1,K730=1),AND(J730=1,I730="SBJ"),AND(J730=1,I730=0)),"?IN_FOCUS",IF(J730&lt;=2,"?ACTIVATED",IF(J730&lt;&gt;"","?FAMILIAR",IF(F730="NEW",IF(ISNA(VLOOKUP(E730,#REF!,1,FALSE())),"?TYPE_IDENTIFIABLE","?REFERENTIAL"),"_")))))</f>
        <v/>
      </c>
      <c r="H730" s="24" t="str">
        <f t="shared" ca="1" si="75"/>
        <v/>
      </c>
      <c r="I730" s="25" t="str">
        <f>IF(OR(E730="",E730="!!!",F730="NEW"),"",INDEX(B$2:B729,-1+SUMPRODUCT(MAX(ROW(E$2:E729)*(E730=E$2:E729)))))</f>
        <v/>
      </c>
      <c r="J730" s="25" t="str">
        <f ca="1">IF(OR(E730="",E730="!!!",F730="NEW"),"",COUNTBLANK(OFFSET(A$1,,,SUMPRODUCT(MAX(ROW(E$2:E730)*(E730=E$2:E730)))))-COUNTBLANK(OFFSET(A$1,,,SUMPRODUCT(MAX(ROW(E$1:E729)*(E2=E$1:E729))))))</f>
        <v/>
      </c>
      <c r="K730" s="25" t="str">
        <f>IF(OR(E730="",E730="!!!",F730="NEW"),"",INDEX(J$1:J729,SUMPRODUCT(MAX(ROW(E$1:E729)*(E730=E$1:E729)))))</f>
        <v/>
      </c>
      <c r="L730" s="26"/>
    </row>
    <row r="731" spans="1:12" x14ac:dyDescent="0.3">
      <c r="A731" t="s">
        <v>224</v>
      </c>
      <c r="E731" s="21" t="str">
        <f t="shared" si="74"/>
        <v/>
      </c>
      <c r="F731" s="22" t="str">
        <f>IF(OR(E731="",E731="!!!"),"",IF(NOT(ISNA(VLOOKUP(E731,E$1:E730,1,FALSE()))),"OLD",IF(AND(E731&lt;&gt;"",E731&lt;&gt;"!!!"),"NEW","")))</f>
        <v/>
      </c>
      <c r="G731" s="23" t="str">
        <f>IF(OR(E731="",E731="!!!"),"",IF(OR(J731=0,AND(J731=1,K731=1),AND(J731=1,I731="SBJ"),AND(J731=1,I731=0)),"?IN_FOCUS",IF(J731&lt;=2,"?ACTIVATED",IF(J731&lt;&gt;"","?FAMILIAR",IF(F731="NEW",IF(ISNA(VLOOKUP(E731,#REF!,1,FALSE())),"?TYPE_IDENTIFIABLE","?REFERENTIAL"),"_")))))</f>
        <v/>
      </c>
      <c r="H731" s="24" t="str">
        <f t="shared" ca="1" si="75"/>
        <v/>
      </c>
      <c r="I731" s="25" t="str">
        <f>IF(OR(E731="",E731="!!!",F731="NEW"),"",INDEX(B$2:B730,-1+SUMPRODUCT(MAX(ROW(E$2:E730)*(E731=E$2:E730)))))</f>
        <v/>
      </c>
      <c r="J731" s="25" t="str">
        <f ca="1">IF(OR(E731="",E731="!!!",F731="NEW"),"",COUNTBLANK(OFFSET(A$1,,,SUMPRODUCT(MAX(ROW(E$2:E731)*(E731=E$2:E731)))))-COUNTBLANK(OFFSET(A$1,,,SUMPRODUCT(MAX(ROW(E$1:E730)*(E2=E$1:E730))))))</f>
        <v/>
      </c>
      <c r="K731" s="25" t="str">
        <f>IF(OR(E731="",E731="!!!",F731="NEW"),"",INDEX(J$1:J730,SUMPRODUCT(MAX(ROW(E$1:E730)*(E731=E$1:E730)))))</f>
        <v/>
      </c>
      <c r="L731" s="26"/>
    </row>
    <row r="732" spans="1:12" x14ac:dyDescent="0.3">
      <c r="A732" t="s">
        <v>577</v>
      </c>
      <c r="B732" s="20" t="s">
        <v>605</v>
      </c>
      <c r="C732" s="20" t="s">
        <v>216</v>
      </c>
      <c r="D732" s="20" t="s">
        <v>186</v>
      </c>
      <c r="E732" s="21" t="s">
        <v>764</v>
      </c>
      <c r="F732" s="22" t="str">
        <f>IF(OR(E732="",E732="!!!"),"",IF(NOT(ISNA(VLOOKUP(E732,E$1:E731,1,FALSE()))),"OLD",IF(AND(E732&lt;&gt;"",E732&lt;&gt;"!!!"),"NEW","")))</f>
        <v>OLD</v>
      </c>
      <c r="G732" s="23" t="s">
        <v>808</v>
      </c>
      <c r="H732" s="24" t="s">
        <v>178</v>
      </c>
      <c r="I732" s="25">
        <f>IF(OR(E732="",E732="!!!",F732="NEW"),"",INDEX(B$2:B731,-1+SUMPRODUCT(MAX(ROW(E$2:E731)*(E732=E$2:E731)))))</f>
        <v>0</v>
      </c>
      <c r="J732" s="25">
        <f ca="1">IF(OR(E732="",E732="!!!",F732="NEW"),"",COUNTBLANK(OFFSET(A$1,,,SUMPRODUCT(MAX(ROW(E$2:E732)*(E732=E$2:E732)))))-COUNTBLANK(OFFSET(A$1,,,SUMPRODUCT(MAX(ROW(E$1:E731)*(E2=E$1:E731))))))</f>
        <v>0</v>
      </c>
      <c r="K732" s="25">
        <f ca="1">IF(OR(E732="",E732="!!!",F732="NEW"),"",INDEX(J$1:J731,SUMPRODUCT(MAX(ROW(E$1:E731)*(E732=E$1:E731)))))</f>
        <v>0</v>
      </c>
      <c r="L732" s="26"/>
    </row>
    <row r="733" spans="1:12" x14ac:dyDescent="0.3">
      <c r="A733" t="s">
        <v>228</v>
      </c>
      <c r="E733" s="21" t="str">
        <f t="shared" si="74"/>
        <v/>
      </c>
      <c r="F733" s="22" t="str">
        <f>IF(OR(E733="",E733="!!!"),"",IF(NOT(ISNA(VLOOKUP(E733,E$1:E732,1,FALSE()))),"OLD",IF(AND(E733&lt;&gt;"",E733&lt;&gt;"!!!"),"NEW","")))</f>
        <v/>
      </c>
      <c r="G733" s="23" t="str">
        <f>IF(OR(E733="",E733="!!!"),"",IF(OR(J733=0,AND(J733=1,K733=1),AND(J733=1,I733="SBJ"),AND(J733=1,I733=0)),"?IN_FOCUS",IF(J733&lt;=2,"?ACTIVATED",IF(J733&lt;&gt;"","?FAMILIAR",IF(F733="NEW",IF(ISNA(VLOOKUP(E733,#REF!,1,FALSE())),"?TYPE_IDENTIFIABLE","?REFERENTIAL"),"_")))))</f>
        <v/>
      </c>
      <c r="H733" s="24" t="str">
        <f t="shared" ca="1" si="75"/>
        <v/>
      </c>
      <c r="I733" s="25" t="str">
        <f>IF(OR(E733="",E733="!!!",F733="NEW"),"",INDEX(B$2:B732,-1+SUMPRODUCT(MAX(ROW(E$2:E732)*(E733=E$2:E732)))))</f>
        <v/>
      </c>
      <c r="J733" s="25" t="str">
        <f ca="1">IF(OR(E733="",E733="!!!",F733="NEW"),"",COUNTBLANK(OFFSET(A$1,,,SUMPRODUCT(MAX(ROW(E$2:E733)*(E733=E$2:E733)))))-COUNTBLANK(OFFSET(A$1,,,SUMPRODUCT(MAX(ROW(E$1:E732)*(E2=E$1:E732))))))</f>
        <v/>
      </c>
      <c r="K733" s="25" t="str">
        <f>IF(OR(E733="",E733="!!!",F733="NEW"),"",INDEX(J$1:J732,SUMPRODUCT(MAX(ROW(E$1:E732)*(E733=E$1:E732)))))</f>
        <v/>
      </c>
      <c r="L733" s="26"/>
    </row>
    <row r="734" spans="1:12" x14ac:dyDescent="0.3">
      <c r="A734" t="s">
        <v>606</v>
      </c>
      <c r="E734" s="21" t="s">
        <v>783</v>
      </c>
      <c r="F734" s="22" t="str">
        <f>IF(OR(E734="",E734="!!!"),"",IF(NOT(ISNA(VLOOKUP(E734,E$1:E733,1,FALSE()))),"OLD",IF(AND(E734&lt;&gt;"",E734&lt;&gt;"!!!"),"NEW","")))</f>
        <v>OLD</v>
      </c>
      <c r="G734" s="23" t="s">
        <v>809</v>
      </c>
      <c r="H734" s="24" t="str">
        <f t="shared" ca="1" si="75"/>
        <v/>
      </c>
      <c r="I734" s="25" t="str">
        <f>IF(OR(E734="",E734="!!!",F734="NEW"),"",INDEX(B$2:B733,-1+SUMPRODUCT(MAX(ROW(E$2:E733)*(E734=E$2:E733)))))</f>
        <v>other_4</v>
      </c>
      <c r="J734" s="25">
        <f ca="1">IF(OR(E734="",E734="!!!",F734="NEW"),"",COUNTBLANK(OFFSET(A$1,,,SUMPRODUCT(MAX(ROW(E$2:E734)*(E734=E$2:E734)))))-COUNTBLANK(OFFSET(A$1,,,SUMPRODUCT(MAX(ROW(E$1:E733)*(E2=E$1:E733))))))</f>
        <v>0</v>
      </c>
      <c r="K734" s="25">
        <f ca="1">IF(OR(E734="",E734="!!!",F734="NEW"),"",INDEX(J$1:J733,SUMPRODUCT(MAX(ROW(E$1:E733)*(E734=E$1:E733)))))</f>
        <v>0</v>
      </c>
      <c r="L734" s="26"/>
    </row>
    <row r="735" spans="1:12" x14ac:dyDescent="0.3">
      <c r="A735" t="s">
        <v>212</v>
      </c>
      <c r="E735" s="21" t="str">
        <f t="shared" si="74"/>
        <v/>
      </c>
      <c r="F735" s="22" t="str">
        <f>IF(OR(E735="",E735="!!!"),"",IF(NOT(ISNA(VLOOKUP(E735,E$1:E734,1,FALSE()))),"OLD",IF(AND(E735&lt;&gt;"",E735&lt;&gt;"!!!"),"NEW","")))</f>
        <v/>
      </c>
      <c r="G735" s="23" t="str">
        <f>IF(OR(E735="",E735="!!!"),"",IF(OR(J735=0,AND(J735=1,K735=1),AND(J735=1,I735="SBJ"),AND(J735=1,I735=0)),"?IN_FOCUS",IF(J735&lt;=2,"?ACTIVATED",IF(J735&lt;&gt;"","?FAMILIAR",IF(F735="NEW",IF(ISNA(VLOOKUP(E735,#REF!,1,FALSE())),"?TYPE_IDENTIFIABLE","?REFERENTIAL"),"_")))))</f>
        <v/>
      </c>
      <c r="H735" s="24" t="str">
        <f t="shared" ca="1" si="75"/>
        <v/>
      </c>
      <c r="I735" s="25" t="str">
        <f>IF(OR(E735="",E735="!!!",F735="NEW"),"",INDEX(B$2:B734,-1+SUMPRODUCT(MAX(ROW(E$2:E734)*(E735=E$2:E734)))))</f>
        <v/>
      </c>
      <c r="J735" s="25" t="str">
        <f ca="1">IF(OR(E735="",E735="!!!",F735="NEW"),"",COUNTBLANK(OFFSET(A$1,,,SUMPRODUCT(MAX(ROW(E$2:E735)*(E735=E$2:E735)))))-COUNTBLANK(OFFSET(A$1,,,SUMPRODUCT(MAX(ROW(E$1:E734)*(E2=E$1:E734))))))</f>
        <v/>
      </c>
      <c r="K735" s="25" t="str">
        <f>IF(OR(E735="",E735="!!!",F735="NEW"),"",INDEX(J$1:J734,SUMPRODUCT(MAX(ROW(E$1:E734)*(E735=E$1:E734)))))</f>
        <v/>
      </c>
      <c r="L735" s="26"/>
    </row>
    <row r="737" spans="1:12" x14ac:dyDescent="0.3">
      <c r="A737" t="s">
        <v>607</v>
      </c>
    </row>
    <row r="738" spans="1:12" x14ac:dyDescent="0.3">
      <c r="A738" t="s">
        <v>608</v>
      </c>
      <c r="E738" s="21" t="str">
        <f t="shared" ref="E738:E762" si="76">IF(D738="?OLD","!!!","")</f>
        <v/>
      </c>
      <c r="F738" s="22" t="str">
        <f>IF(OR(E738="",E738="!!!"),"",IF(NOT(ISNA(VLOOKUP(E738,E$1:E737,1,FALSE()))),"OLD",IF(AND(E738&lt;&gt;"",E738&lt;&gt;"!!!"),"NEW","")))</f>
        <v/>
      </c>
      <c r="G738" s="23" t="str">
        <f>IF(OR(E738="",E738="!!!"),"",IF(OR(J738=0,AND(J738=1,K738=1),AND(J738=1,I738="SBJ"),AND(J738=1,I738=0)),"?IN_FOCUS",IF(J738&lt;=2,"?ACTIVATED",IF(J738&lt;&gt;"","?FAMILIAR",IF(F738="NEW",IF(ISNA(VLOOKUP(E738,#REF!,1,FALSE())),"?TYPE_IDENTIFIABLE","?REFERENTIAL"),"_")))))</f>
        <v/>
      </c>
      <c r="H738" s="24" t="str">
        <f t="shared" ref="H738:H762" ca="1" si="77">IF(J738&lt;&gt;1,"",IF(I738="SBJ","CB","?"))</f>
        <v/>
      </c>
      <c r="I738" s="25" t="str">
        <f>IF(OR(E738="",E738="!!!",F738="NEW"),"",INDEX(B$2:B737,-1+SUMPRODUCT(MAX(ROW(E$2:E737)*(E738=E$2:E737)))))</f>
        <v/>
      </c>
      <c r="J738" s="25" t="str">
        <f ca="1">IF(OR(E738="",E738="!!!",F738="NEW"),"",COUNTBLANK(OFFSET(A$1,,,SUMPRODUCT(MAX(ROW(E$2:E738)*(E738=E$2:E738)))))-COUNTBLANK(OFFSET(A$1,,,SUMPRODUCT(MAX(ROW(E$1:E737)*(E2=E$1:E737))))))</f>
        <v/>
      </c>
      <c r="K738" s="25" t="str">
        <f>IF(OR(E738="",E738="!!!",F738="NEW"),"",INDEX(J$1:J737,SUMPRODUCT(MAX(ROW(E$1:E737)*(E738=E$1:E737)))))</f>
        <v/>
      </c>
      <c r="L738" s="26"/>
    </row>
    <row r="739" spans="1:12" x14ac:dyDescent="0.3">
      <c r="A739" t="s">
        <v>528</v>
      </c>
      <c r="E739" s="21" t="str">
        <f t="shared" si="76"/>
        <v/>
      </c>
      <c r="F739" s="22" t="str">
        <f>IF(OR(E739="",E739="!!!"),"",IF(NOT(ISNA(VLOOKUP(E739,E$1:E738,1,FALSE()))),"OLD",IF(AND(E739&lt;&gt;"",E739&lt;&gt;"!!!"),"NEW","")))</f>
        <v/>
      </c>
      <c r="G739" s="23" t="str">
        <f>IF(OR(E739="",E739="!!!"),"",IF(OR(J739=0,AND(J739=1,K739=1),AND(J739=1,I739="SBJ"),AND(J739=1,I739=0)),"?IN_FOCUS",IF(J739&lt;=2,"?ACTIVATED",IF(J739&lt;&gt;"","?FAMILIAR",IF(F739="NEW",IF(ISNA(VLOOKUP(E739,#REF!,1,FALSE())),"?TYPE_IDENTIFIABLE","?REFERENTIAL"),"_")))))</f>
        <v/>
      </c>
      <c r="H739" s="24" t="str">
        <f t="shared" ca="1" si="77"/>
        <v/>
      </c>
      <c r="I739" s="25" t="str">
        <f>IF(OR(E739="",E739="!!!",F739="NEW"),"",INDEX(B$2:B738,-1+SUMPRODUCT(MAX(ROW(E$2:E738)*(E739=E$2:E738)))))</f>
        <v/>
      </c>
      <c r="J739" s="25" t="str">
        <f ca="1">IF(OR(E739="",E739="!!!",F739="NEW"),"",COUNTBLANK(OFFSET(A$1,,,SUMPRODUCT(MAX(ROW(E$2:E739)*(E739=E$2:E739)))))-COUNTBLANK(OFFSET(A$1,,,SUMPRODUCT(MAX(ROW(E$1:E738)*(E2=E$1:E738))))))</f>
        <v/>
      </c>
      <c r="K739" s="25" t="str">
        <f>IF(OR(E739="",E739="!!!",F739="NEW"),"",INDEX(J$1:J738,SUMPRODUCT(MAX(ROW(E$1:E738)*(E739=E$1:E738)))))</f>
        <v/>
      </c>
      <c r="L739" s="26"/>
    </row>
    <row r="740" spans="1:12" x14ac:dyDescent="0.3">
      <c r="A740" t="s">
        <v>369</v>
      </c>
      <c r="B740" s="20" t="s">
        <v>201</v>
      </c>
      <c r="C740" s="20" t="s">
        <v>216</v>
      </c>
      <c r="D740" s="20" t="s">
        <v>186</v>
      </c>
      <c r="E740" s="21" t="s">
        <v>730</v>
      </c>
      <c r="F740" s="22" t="str">
        <f>IF(OR(E740="",E740="!!!"),"",IF(NOT(ISNA(VLOOKUP(E740,E$1:E739,1,FALSE()))),"OLD",IF(AND(E740&lt;&gt;"",E740&lt;&gt;"!!!"),"NEW","")))</f>
        <v>OLD</v>
      </c>
      <c r="G740" s="23" t="s">
        <v>809</v>
      </c>
      <c r="H740" s="24" t="s">
        <v>178</v>
      </c>
      <c r="I740" s="25" t="str">
        <f>IF(OR(E740="",E740="!!!",F740="NEW"),"",INDEX(B$2:B739,-1+SUMPRODUCT(MAX(ROW(E$2:E739)*(E740=E$2:E739)))))</f>
        <v>SBJ_5</v>
      </c>
      <c r="J740" s="25">
        <f ca="1">IF(OR(E740="",E740="!!!",F740="NEW"),"",COUNTBLANK(OFFSET(A$1,,,SUMPRODUCT(MAX(ROW(E$2:E740)*(E740=E$2:E740)))))-COUNTBLANK(OFFSET(A$1,,,SUMPRODUCT(MAX(ROW(E$1:E739)*(E2=E$1:E739))))))</f>
        <v>0</v>
      </c>
      <c r="K740" s="25">
        <f ca="1">IF(OR(E740="",E740="!!!",F740="NEW"),"",INDEX(J$1:J739,SUMPRODUCT(MAX(ROW(E$1:E739)*(E740=E$1:E739)))))</f>
        <v>0</v>
      </c>
      <c r="L740" s="26"/>
    </row>
    <row r="741" spans="1:12" x14ac:dyDescent="0.3">
      <c r="A741" t="s">
        <v>609</v>
      </c>
      <c r="E741" s="21" t="str">
        <f t="shared" si="76"/>
        <v/>
      </c>
      <c r="F741" s="22" t="str">
        <f>IF(OR(E741="",E741="!!!"),"",IF(NOT(ISNA(VLOOKUP(E741,E$1:E740,1,FALSE()))),"OLD",IF(AND(E741&lt;&gt;"",E741&lt;&gt;"!!!"),"NEW","")))</f>
        <v/>
      </c>
      <c r="G741" s="23" t="str">
        <f>IF(OR(E741="",E741="!!!"),"",IF(OR(J741=0,AND(J741=1,K741=1),AND(J741=1,I741="SBJ"),AND(J741=1,I741=0)),"?IN_FOCUS",IF(J741&lt;=2,"?ACTIVATED",IF(J741&lt;&gt;"","?FAMILIAR",IF(F741="NEW",IF(ISNA(VLOOKUP(E741,#REF!,1,FALSE())),"?TYPE_IDENTIFIABLE","?REFERENTIAL"),"_")))))</f>
        <v/>
      </c>
      <c r="H741" s="24" t="str">
        <f t="shared" ca="1" si="77"/>
        <v/>
      </c>
      <c r="I741" s="25" t="str">
        <f>IF(OR(E741="",E741="!!!",F741="NEW"),"",INDEX(B$2:B740,-1+SUMPRODUCT(MAX(ROW(E$2:E740)*(E741=E$2:E740)))))</f>
        <v/>
      </c>
      <c r="J741" s="25" t="str">
        <f ca="1">IF(OR(E741="",E741="!!!",F741="NEW"),"",COUNTBLANK(OFFSET(A$1,,,SUMPRODUCT(MAX(ROW(E$2:E741)*(E741=E$2:E741)))))-COUNTBLANK(OFFSET(A$1,,,SUMPRODUCT(MAX(ROW(E$1:E740)*(E2=E$1:E740))))))</f>
        <v/>
      </c>
      <c r="K741" s="25" t="str">
        <f>IF(OR(E741="",E741="!!!",F741="NEW"),"",INDEX(J$1:J740,SUMPRODUCT(MAX(ROW(E$1:E740)*(E741=E$1:E740)))))</f>
        <v/>
      </c>
      <c r="L741" s="26"/>
    </row>
    <row r="742" spans="1:12" x14ac:dyDescent="0.3">
      <c r="A742" t="s">
        <v>258</v>
      </c>
      <c r="E742" s="21" t="str">
        <f t="shared" si="76"/>
        <v/>
      </c>
      <c r="F742" s="22" t="str">
        <f>IF(OR(E742="",E742="!!!"),"",IF(NOT(ISNA(VLOOKUP(E742,E$1:E741,1,FALSE()))),"OLD",IF(AND(E742&lt;&gt;"",E742&lt;&gt;"!!!"),"NEW","")))</f>
        <v/>
      </c>
      <c r="G742" s="23" t="str">
        <f>IF(OR(E742="",E742="!!!"),"",IF(OR(J742=0,AND(J742=1,K742=1),AND(J742=1,I742="SBJ"),AND(J742=1,I742=0)),"?IN_FOCUS",IF(J742&lt;=2,"?ACTIVATED",IF(J742&lt;&gt;"","?FAMILIAR",IF(F742="NEW",IF(ISNA(VLOOKUP(E742,#REF!,1,FALSE())),"?TYPE_IDENTIFIABLE","?REFERENTIAL"),"_")))))</f>
        <v/>
      </c>
      <c r="H742" s="24" t="str">
        <f t="shared" ca="1" si="77"/>
        <v/>
      </c>
      <c r="I742" s="25" t="str">
        <f>IF(OR(E742="",E742="!!!",F742="NEW"),"",INDEX(B$2:B741,-1+SUMPRODUCT(MAX(ROW(E$2:E741)*(E742=E$2:E741)))))</f>
        <v/>
      </c>
      <c r="J742" s="25" t="str">
        <f ca="1">IF(OR(E742="",E742="!!!",F742="NEW"),"",COUNTBLANK(OFFSET(A$1,,,SUMPRODUCT(MAX(ROW(E$2:E742)*(E742=E$2:E742)))))-COUNTBLANK(OFFSET(A$1,,,SUMPRODUCT(MAX(ROW(E$1:E741)*(E2=E$1:E741))))))</f>
        <v/>
      </c>
      <c r="K742" s="25" t="str">
        <f>IF(OR(E742="",E742="!!!",F742="NEW"),"",INDEX(J$1:J741,SUMPRODUCT(MAX(ROW(E$1:E741)*(E742=E$1:E741)))))</f>
        <v/>
      </c>
      <c r="L742" s="26"/>
    </row>
    <row r="743" spans="1:12" x14ac:dyDescent="0.3">
      <c r="A743" t="s">
        <v>273</v>
      </c>
      <c r="B743" s="20" t="s">
        <v>184</v>
      </c>
      <c r="C743" s="20" t="s">
        <v>185</v>
      </c>
      <c r="D743" s="20" t="s">
        <v>186</v>
      </c>
      <c r="E743" s="21" t="s">
        <v>736</v>
      </c>
      <c r="F743" s="22" t="str">
        <f>IF(OR(E743="",E743="!!!"),"",IF(NOT(ISNA(VLOOKUP(E743,E$1:E742,1,FALSE()))),"OLD",IF(AND(E743&lt;&gt;"",E743&lt;&gt;"!!!"),"NEW","")))</f>
        <v>OLD</v>
      </c>
      <c r="G743" s="23" t="s">
        <v>808</v>
      </c>
      <c r="H743" s="24" t="str">
        <f t="shared" ca="1" si="77"/>
        <v/>
      </c>
      <c r="I743" s="25" t="str">
        <f>IF(OR(E743="",E743="!!!",F743="NEW"),"",INDEX(B$2:B742,-1+SUMPRODUCT(MAX(ROW(E$2:E742)*(E743=E$2:E742)))))</f>
        <v>SBJ_2</v>
      </c>
      <c r="J743" s="25">
        <f ca="1">IF(OR(E743="",E743="!!!",F743="NEW"),"",COUNTBLANK(OFFSET(A$1,,,SUMPRODUCT(MAX(ROW(E$2:E743)*(E743=E$2:E743)))))-COUNTBLANK(OFFSET(A$1,,,SUMPRODUCT(MAX(ROW(E$1:E742)*(E2=E$1:E742))))))</f>
        <v>0</v>
      </c>
      <c r="K743" s="25">
        <f ca="1">IF(OR(E743="",E743="!!!",F743="NEW"),"",INDEX(J$1:J742,SUMPRODUCT(MAX(ROW(E$1:E742)*(E743=E$1:E742)))))</f>
        <v>0</v>
      </c>
      <c r="L743" s="26"/>
    </row>
    <row r="744" spans="1:12" x14ac:dyDescent="0.3">
      <c r="A744" t="s">
        <v>610</v>
      </c>
      <c r="E744" s="21" t="str">
        <f t="shared" si="76"/>
        <v/>
      </c>
      <c r="F744" s="22" t="str">
        <f>IF(OR(E744="",E744="!!!"),"",IF(NOT(ISNA(VLOOKUP(E744,E$1:E743,1,FALSE()))),"OLD",IF(AND(E744&lt;&gt;"",E744&lt;&gt;"!!!"),"NEW","")))</f>
        <v/>
      </c>
      <c r="G744" s="23" t="str">
        <f>IF(OR(E744="",E744="!!!"),"",IF(OR(J744=0,AND(J744=1,K744=1),AND(J744=1,I744="SBJ"),AND(J744=1,I744=0)),"?IN_FOCUS",IF(J744&lt;=2,"?ACTIVATED",IF(J744&lt;&gt;"","?FAMILIAR",IF(F744="NEW",IF(ISNA(VLOOKUP(E744,#REF!,1,FALSE())),"?TYPE_IDENTIFIABLE","?REFERENTIAL"),"_")))))</f>
        <v/>
      </c>
      <c r="H744" s="24" t="str">
        <f t="shared" ca="1" si="77"/>
        <v/>
      </c>
      <c r="I744" s="25" t="str">
        <f>IF(OR(E744="",E744="!!!",F744="NEW"),"",INDEX(B$2:B743,-1+SUMPRODUCT(MAX(ROW(E$2:E743)*(E744=E$2:E743)))))</f>
        <v/>
      </c>
      <c r="J744" s="25" t="str">
        <f ca="1">IF(OR(E744="",E744="!!!",F744="NEW"),"",COUNTBLANK(OFFSET(A$1,,,SUMPRODUCT(MAX(ROW(E$2:E744)*(E744=E$2:E744)))))-COUNTBLANK(OFFSET(A$1,,,SUMPRODUCT(MAX(ROW(E$1:E743)*(E2=E$1:E743))))))</f>
        <v/>
      </c>
      <c r="K744" s="25" t="str">
        <f>IF(OR(E744="",E744="!!!",F744="NEW"),"",INDEX(J$1:J743,SUMPRODUCT(MAX(ROW(E$1:E743)*(E744=E$1:E743)))))</f>
        <v/>
      </c>
      <c r="L744" s="26"/>
    </row>
    <row r="745" spans="1:12" x14ac:dyDescent="0.3">
      <c r="A745" t="s">
        <v>611</v>
      </c>
      <c r="B745" s="20" t="s">
        <v>184</v>
      </c>
      <c r="C745" s="20" t="s">
        <v>197</v>
      </c>
      <c r="E745" s="21" t="str">
        <f t="shared" si="76"/>
        <v/>
      </c>
      <c r="F745" s="22" t="str">
        <f>IF(OR(E745="",E745="!!!"),"",IF(NOT(ISNA(VLOOKUP(E745,E$1:E744,1,FALSE()))),"OLD",IF(AND(E745&lt;&gt;"",E745&lt;&gt;"!!!"),"NEW","")))</f>
        <v/>
      </c>
      <c r="G745" s="23" t="str">
        <f>IF(OR(E745="",E745="!!!"),"",IF(OR(J745=0,AND(J745=1,K745=1),AND(J745=1,I745="SBJ"),AND(J745=1,I745=0)),"?IN_FOCUS",IF(J745&lt;=2,"?ACTIVATED",IF(J745&lt;&gt;"","?FAMILIAR",IF(F745="NEW",IF(ISNA(VLOOKUP(E745,#REF!,1,FALSE())),"?TYPE_IDENTIFIABLE","?REFERENTIAL"),"_")))))</f>
        <v/>
      </c>
      <c r="H745" s="24" t="str">
        <f t="shared" ca="1" si="77"/>
        <v/>
      </c>
      <c r="I745" s="25" t="str">
        <f>IF(OR(E745="",E745="!!!",F745="NEW"),"",INDEX(B$2:B744,-1+SUMPRODUCT(MAX(ROW(E$2:E744)*(E745=E$2:E744)))))</f>
        <v/>
      </c>
      <c r="J745" s="25" t="str">
        <f ca="1">IF(OR(E745="",E745="!!!",F745="NEW"),"",COUNTBLANK(OFFSET(A$1,,,SUMPRODUCT(MAX(ROW(E$2:E745)*(E745=E$2:E745)))))-COUNTBLANK(OFFSET(A$1,,,SUMPRODUCT(MAX(ROW(E$1:E744)*(E2=E$1:E744))))))</f>
        <v/>
      </c>
      <c r="K745" s="25" t="str">
        <f>IF(OR(E745="",E745="!!!",F745="NEW"),"",INDEX(J$1:J744,SUMPRODUCT(MAX(ROW(E$1:E744)*(E745=E$1:E744)))))</f>
        <v/>
      </c>
      <c r="L745" s="26"/>
    </row>
    <row r="746" spans="1:12" x14ac:dyDescent="0.3">
      <c r="A746" t="s">
        <v>425</v>
      </c>
      <c r="E746" s="21" t="str">
        <f t="shared" si="76"/>
        <v/>
      </c>
      <c r="F746" s="22" t="str">
        <f>IF(OR(E746="",E746="!!!"),"",IF(NOT(ISNA(VLOOKUP(E746,E$1:E745,1,FALSE()))),"OLD",IF(AND(E746&lt;&gt;"",E746&lt;&gt;"!!!"),"NEW","")))</f>
        <v/>
      </c>
      <c r="G746" s="23" t="str">
        <f>IF(OR(E746="",E746="!!!"),"",IF(OR(J746=0,AND(J746=1,K746=1),AND(J746=1,I746="SBJ"),AND(J746=1,I746=0)),"?IN_FOCUS",IF(J746&lt;=2,"?ACTIVATED",IF(J746&lt;&gt;"","?FAMILIAR",IF(F746="NEW",IF(ISNA(VLOOKUP(E746,#REF!,1,FALSE())),"?TYPE_IDENTIFIABLE","?REFERENTIAL"),"_")))))</f>
        <v/>
      </c>
      <c r="H746" s="24" t="str">
        <f t="shared" ca="1" si="77"/>
        <v/>
      </c>
      <c r="I746" s="25" t="str">
        <f>IF(OR(E746="",E746="!!!",F746="NEW"),"",INDEX(B$2:B745,-1+SUMPRODUCT(MAX(ROW(E$2:E745)*(E746=E$2:E745)))))</f>
        <v/>
      </c>
      <c r="J746" s="25" t="str">
        <f ca="1">IF(OR(E746="",E746="!!!",F746="NEW"),"",COUNTBLANK(OFFSET(A$1,,,SUMPRODUCT(MAX(ROW(E$2:E746)*(E746=E$2:E746)))))-COUNTBLANK(OFFSET(A$1,,,SUMPRODUCT(MAX(ROW(E$1:E745)*(E2=E$1:E745))))))</f>
        <v/>
      </c>
      <c r="K746" s="25" t="str">
        <f>IF(OR(E746="",E746="!!!",F746="NEW"),"",INDEX(J$1:J745,SUMPRODUCT(MAX(ROW(E$1:E745)*(E746=E$1:E745)))))</f>
        <v/>
      </c>
      <c r="L746" s="26"/>
    </row>
    <row r="747" spans="1:12" x14ac:dyDescent="0.3">
      <c r="A747" t="s">
        <v>612</v>
      </c>
      <c r="B747" s="20" t="s">
        <v>222</v>
      </c>
      <c r="C747" s="20" t="s">
        <v>193</v>
      </c>
      <c r="E747" s="21" t="str">
        <f t="shared" si="76"/>
        <v/>
      </c>
      <c r="F747" s="22" t="str">
        <f>IF(OR(E747="",E747="!!!"),"",IF(NOT(ISNA(VLOOKUP(E747,E$1:E746,1,FALSE()))),"OLD",IF(AND(E747&lt;&gt;"",E747&lt;&gt;"!!!"),"NEW","")))</f>
        <v/>
      </c>
      <c r="G747" s="23" t="str">
        <f>IF(OR(E747="",E747="!!!"),"",IF(OR(J747=0,AND(J747=1,K747=1),AND(J747=1,I747="SBJ"),AND(J747=1,I747=0)),"?IN_FOCUS",IF(J747&lt;=2,"?ACTIVATED",IF(J747&lt;&gt;"","?FAMILIAR",IF(F747="NEW",IF(ISNA(VLOOKUP(E747,#REF!,1,FALSE())),"?TYPE_IDENTIFIABLE","?REFERENTIAL"),"_")))))</f>
        <v/>
      </c>
      <c r="H747" s="24" t="str">
        <f t="shared" ca="1" si="77"/>
        <v/>
      </c>
      <c r="I747" s="25" t="str">
        <f>IF(OR(E747="",E747="!!!",F747="NEW"),"",INDEX(B$2:B746,-1+SUMPRODUCT(MAX(ROW(E$2:E746)*(E747=E$2:E746)))))</f>
        <v/>
      </c>
      <c r="J747" s="25" t="str">
        <f ca="1">IF(OR(E747="",E747="!!!",F747="NEW"),"",COUNTBLANK(OFFSET(A$1,,,SUMPRODUCT(MAX(ROW(E$2:E747)*(E747=E$2:E747)))))-COUNTBLANK(OFFSET(A$1,,,SUMPRODUCT(MAX(ROW(E$1:E746)*(E2=E$1:E746))))))</f>
        <v/>
      </c>
      <c r="K747" s="25" t="str">
        <f>IF(OR(E747="",E747="!!!",F747="NEW"),"",INDEX(J$1:J746,SUMPRODUCT(MAX(ROW(E$1:E746)*(E747=E$1:E746)))))</f>
        <v/>
      </c>
      <c r="L747" s="26"/>
    </row>
    <row r="748" spans="1:12" x14ac:dyDescent="0.3">
      <c r="A748" t="s">
        <v>613</v>
      </c>
      <c r="B748" s="20" t="s">
        <v>196</v>
      </c>
      <c r="C748" s="20" t="s">
        <v>596</v>
      </c>
      <c r="D748" s="20" t="s">
        <v>186</v>
      </c>
      <c r="E748" s="21" t="s">
        <v>774</v>
      </c>
      <c r="F748" s="22" t="s">
        <v>724</v>
      </c>
      <c r="G748" s="23" t="s">
        <v>176</v>
      </c>
      <c r="H748" s="24" t="str">
        <f t="shared" ca="1" si="77"/>
        <v/>
      </c>
      <c r="I748" s="25" t="e">
        <f>IF(OR(E748="",E748="!!!",F748="NEW"),"",INDEX(B$2:B747,-1+SUMPRODUCT(MAX(ROW(E$2:E747)*(E748=E$2:E747)))))</f>
        <v>#VALUE!</v>
      </c>
      <c r="J748" s="25">
        <f ca="1">IF(OR(E748="",E748="!!!",F748="NEW"),"",COUNTBLANK(OFFSET(A$1,,,SUMPRODUCT(MAX(ROW(E$2:E748)*(E748=E$2:E748)))))-COUNTBLANK(OFFSET(A$1,,,SUMPRODUCT(MAX(ROW(E$1:E747)*(E2=E$1:E747))))))</f>
        <v>0</v>
      </c>
      <c r="K748" s="25" t="e">
        <f>IF(OR(E748="",E748="!!!",F748="NEW"),"",INDEX(J$1:J747,SUMPRODUCT(MAX(ROW(E$1:E747)*(E748=E$1:E747)))))</f>
        <v>#VALUE!</v>
      </c>
      <c r="L748" s="26"/>
    </row>
    <row r="749" spans="1:12" x14ac:dyDescent="0.3">
      <c r="A749" t="s">
        <v>206</v>
      </c>
      <c r="E749" s="21" t="str">
        <f t="shared" si="76"/>
        <v/>
      </c>
      <c r="F749" s="22" t="str">
        <f>IF(OR(E749="",E749="!!!"),"",IF(NOT(ISNA(VLOOKUP(E749,E$1:E748,1,FALSE()))),"OLD",IF(AND(E749&lt;&gt;"",E749&lt;&gt;"!!!"),"NEW","")))</f>
        <v/>
      </c>
      <c r="G749" s="23" t="str">
        <f>IF(OR(E749="",E749="!!!"),"",IF(OR(J749=0,AND(J749=1,K749=1),AND(J749=1,I749="SBJ"),AND(J749=1,I749=0)),"?IN_FOCUS",IF(J749&lt;=2,"?ACTIVATED",IF(J749&lt;&gt;"","?FAMILIAR",IF(F749="NEW",IF(ISNA(VLOOKUP(E749,#REF!,1,FALSE())),"?TYPE_IDENTIFIABLE","?REFERENTIAL"),"_")))))</f>
        <v/>
      </c>
      <c r="H749" s="24" t="str">
        <f t="shared" ca="1" si="77"/>
        <v/>
      </c>
      <c r="I749" s="25" t="str">
        <f>IF(OR(E749="",E749="!!!",F749="NEW"),"",INDEX(B$2:B748,-1+SUMPRODUCT(MAX(ROW(E$2:E748)*(E749=E$2:E748)))))</f>
        <v/>
      </c>
      <c r="J749" s="25" t="str">
        <f ca="1">IF(OR(E749="",E749="!!!",F749="NEW"),"",COUNTBLANK(OFFSET(A$1,,,SUMPRODUCT(MAX(ROW(E$2:E749)*(E749=E$2:E749)))))-COUNTBLANK(OFFSET(A$1,,,SUMPRODUCT(MAX(ROW(E$1:E748)*(E2=E$1:E748))))))</f>
        <v/>
      </c>
      <c r="K749" s="25" t="str">
        <f>IF(OR(E749="",E749="!!!",F749="NEW"),"",INDEX(J$1:J748,SUMPRODUCT(MAX(ROW(E$1:E748)*(E749=E$1:E748)))))</f>
        <v/>
      </c>
      <c r="L749" s="26"/>
    </row>
    <row r="750" spans="1:12" x14ac:dyDescent="0.3">
      <c r="A750" t="s">
        <v>272</v>
      </c>
      <c r="E750" s="21" t="str">
        <f t="shared" si="76"/>
        <v/>
      </c>
      <c r="F750" s="22" t="str">
        <f>IF(OR(E750="",E750="!!!"),"",IF(NOT(ISNA(VLOOKUP(E750,E$1:E749,1,FALSE()))),"OLD",IF(AND(E750&lt;&gt;"",E750&lt;&gt;"!!!"),"NEW","")))</f>
        <v/>
      </c>
      <c r="G750" s="23" t="str">
        <f>IF(OR(E750="",E750="!!!"),"",IF(OR(J750=0,AND(J750=1,K750=1),AND(J750=1,I750="SBJ"),AND(J750=1,I750=0)),"?IN_FOCUS",IF(J750&lt;=2,"?ACTIVATED",IF(J750&lt;&gt;"","?FAMILIAR",IF(F750="NEW",IF(ISNA(VLOOKUP(E750,#REF!,1,FALSE())),"?TYPE_IDENTIFIABLE","?REFERENTIAL"),"_")))))</f>
        <v/>
      </c>
      <c r="H750" s="24" t="str">
        <f t="shared" ca="1" si="77"/>
        <v/>
      </c>
      <c r="I750" s="25" t="str">
        <f>IF(OR(E750="",E750="!!!",F750="NEW"),"",INDEX(B$2:B749,-1+SUMPRODUCT(MAX(ROW(E$2:E749)*(E750=E$2:E749)))))</f>
        <v/>
      </c>
      <c r="J750" s="25" t="str">
        <f ca="1">IF(OR(E750="",E750="!!!",F750="NEW"),"",COUNTBLANK(OFFSET(A$1,,,SUMPRODUCT(MAX(ROW(E$2:E750)*(E750=E$2:E750)))))-COUNTBLANK(OFFSET(A$1,,,SUMPRODUCT(MAX(ROW(E$1:E749)*(E2=E$1:E749))))))</f>
        <v/>
      </c>
      <c r="K750" s="25" t="str">
        <f>IF(OR(E750="",E750="!!!",F750="NEW"),"",INDEX(J$1:J749,SUMPRODUCT(MAX(ROW(E$1:E749)*(E750=E$1:E749)))))</f>
        <v/>
      </c>
      <c r="L750" s="26"/>
    </row>
    <row r="751" spans="1:12" x14ac:dyDescent="0.3">
      <c r="A751" t="s">
        <v>290</v>
      </c>
      <c r="B751" s="20" t="s">
        <v>352</v>
      </c>
      <c r="C751" s="20" t="s">
        <v>202</v>
      </c>
      <c r="D751" s="20" t="s">
        <v>186</v>
      </c>
      <c r="E751" s="21" t="s">
        <v>730</v>
      </c>
      <c r="F751" s="22" t="str">
        <f>IF(OR(E751="",E751="!!!"),"",IF(NOT(ISNA(VLOOKUP(E751,E$1:E750,1,FALSE()))),"OLD",IF(AND(E751&lt;&gt;"",E751&lt;&gt;"!!!"),"NEW","")))</f>
        <v>OLD</v>
      </c>
      <c r="G751" s="23" t="s">
        <v>809</v>
      </c>
      <c r="H751" s="24" t="str">
        <f t="shared" ca="1" si="77"/>
        <v/>
      </c>
      <c r="I751" s="25" t="str">
        <f>IF(OR(E751="",E751="!!!",F751="NEW"),"",INDEX(B$2:B750,-1+SUMPRODUCT(MAX(ROW(E$2:E750)*(E751=E$2:E750)))))</f>
        <v>SBJ</v>
      </c>
      <c r="J751" s="25">
        <f ca="1">IF(OR(E751="",E751="!!!",F751="NEW"),"",COUNTBLANK(OFFSET(A$1,,,SUMPRODUCT(MAX(ROW(E$2:E751)*(E751=E$2:E751)))))-COUNTBLANK(OFFSET(A$1,,,SUMPRODUCT(MAX(ROW(E$1:E750)*(E2=E$1:E750))))))</f>
        <v>0</v>
      </c>
      <c r="K751" s="25">
        <f ca="1">IF(OR(E751="",E751="!!!",F751="NEW"),"",INDEX(J$1:J750,SUMPRODUCT(MAX(ROW(E$1:E750)*(E751=E$1:E750)))))</f>
        <v>0</v>
      </c>
      <c r="L751" s="26"/>
    </row>
    <row r="752" spans="1:12" x14ac:dyDescent="0.3">
      <c r="A752" t="s">
        <v>465</v>
      </c>
      <c r="E752" s="21" t="str">
        <f t="shared" si="76"/>
        <v/>
      </c>
      <c r="F752" s="22" t="str">
        <f>IF(OR(E752="",E752="!!!"),"",IF(NOT(ISNA(VLOOKUP(E752,E$1:E751,1,FALSE()))),"OLD",IF(AND(E752&lt;&gt;"",E752&lt;&gt;"!!!"),"NEW","")))</f>
        <v/>
      </c>
      <c r="G752" s="23" t="str">
        <f>IF(OR(E752="",E752="!!!"),"",IF(OR(J752=0,AND(J752=1,K752=1),AND(J752=1,I752="SBJ"),AND(J752=1,I752=0)),"?IN_FOCUS",IF(J752&lt;=2,"?ACTIVATED",IF(J752&lt;&gt;"","?FAMILIAR",IF(F752="NEW",IF(ISNA(VLOOKUP(E752,#REF!,1,FALSE())),"?TYPE_IDENTIFIABLE","?REFERENTIAL"),"_")))))</f>
        <v/>
      </c>
      <c r="H752" s="24" t="str">
        <f t="shared" ca="1" si="77"/>
        <v/>
      </c>
      <c r="I752" s="25" t="str">
        <f>IF(OR(E752="",E752="!!!",F752="NEW"),"",INDEX(B$2:B751,-1+SUMPRODUCT(MAX(ROW(E$2:E751)*(E752=E$2:E751)))))</f>
        <v/>
      </c>
      <c r="J752" s="25" t="str">
        <f ca="1">IF(OR(E752="",E752="!!!",F752="NEW"),"",COUNTBLANK(OFFSET(A$1,,,SUMPRODUCT(MAX(ROW(E$2:E752)*(E752=E$2:E752)))))-COUNTBLANK(OFFSET(A$1,,,SUMPRODUCT(MAX(ROW(E$1:E751)*(E2=E$1:E751))))))</f>
        <v/>
      </c>
      <c r="K752" s="25" t="str">
        <f>IF(OR(E752="",E752="!!!",F752="NEW"),"",INDEX(J$1:J751,SUMPRODUCT(MAX(ROW(E$1:E751)*(E752=E$1:E751)))))</f>
        <v/>
      </c>
      <c r="L752" s="26"/>
    </row>
    <row r="753" spans="1:12" x14ac:dyDescent="0.3">
      <c r="A753" t="s">
        <v>224</v>
      </c>
      <c r="E753" s="21" t="str">
        <f t="shared" si="76"/>
        <v/>
      </c>
      <c r="F753" s="22" t="str">
        <f>IF(OR(E753="",E753="!!!"),"",IF(NOT(ISNA(VLOOKUP(E753,E$1:E752,1,FALSE()))),"OLD",IF(AND(E753&lt;&gt;"",E753&lt;&gt;"!!!"),"NEW","")))</f>
        <v/>
      </c>
      <c r="G753" s="23" t="str">
        <f>IF(OR(E753="",E753="!!!"),"",IF(OR(J753=0,AND(J753=1,K753=1),AND(J753=1,I753="SBJ"),AND(J753=1,I753=0)),"?IN_FOCUS",IF(J753&lt;=2,"?ACTIVATED",IF(J753&lt;&gt;"","?FAMILIAR",IF(F753="NEW",IF(ISNA(VLOOKUP(E753,#REF!,1,FALSE())),"?TYPE_IDENTIFIABLE","?REFERENTIAL"),"_")))))</f>
        <v/>
      </c>
      <c r="H753" s="24" t="str">
        <f t="shared" ca="1" si="77"/>
        <v/>
      </c>
      <c r="I753" s="25" t="str">
        <f>IF(OR(E753="",E753="!!!",F753="NEW"),"",INDEX(B$2:B752,-1+SUMPRODUCT(MAX(ROW(E$2:E752)*(E753=E$2:E752)))))</f>
        <v/>
      </c>
      <c r="J753" s="25" t="str">
        <f ca="1">IF(OR(E753="",E753="!!!",F753="NEW"),"",COUNTBLANK(OFFSET(A$1,,,SUMPRODUCT(MAX(ROW(E$2:E753)*(E753=E$2:E753)))))-COUNTBLANK(OFFSET(A$1,,,SUMPRODUCT(MAX(ROW(E$1:E752)*(E2=E$1:E752))))))</f>
        <v/>
      </c>
      <c r="K753" s="25" t="str">
        <f>IF(OR(E753="",E753="!!!",F753="NEW"),"",INDEX(J$1:J752,SUMPRODUCT(MAX(ROW(E$1:E752)*(E753=E$1:E752)))))</f>
        <v/>
      </c>
      <c r="L753" s="26"/>
    </row>
    <row r="754" spans="1:12" x14ac:dyDescent="0.3">
      <c r="A754" t="s">
        <v>614</v>
      </c>
      <c r="E754" s="21" t="str">
        <f t="shared" si="76"/>
        <v/>
      </c>
      <c r="F754" s="22" t="str">
        <f>IF(OR(E754="",E754="!!!"),"",IF(NOT(ISNA(VLOOKUP(E754,E$1:E753,1,FALSE()))),"OLD",IF(AND(E754&lt;&gt;"",E754&lt;&gt;"!!!"),"NEW","")))</f>
        <v/>
      </c>
      <c r="G754" s="23" t="str">
        <f>IF(OR(E754="",E754="!!!"),"",IF(OR(J754=0,AND(J754=1,K754=1),AND(J754=1,I754="SBJ"),AND(J754=1,I754=0)),"?IN_FOCUS",IF(J754&lt;=2,"?ACTIVATED",IF(J754&lt;&gt;"","?FAMILIAR",IF(F754="NEW",IF(ISNA(VLOOKUP(E754,#REF!,1,FALSE())),"?TYPE_IDENTIFIABLE","?REFERENTIAL"),"_")))))</f>
        <v/>
      </c>
      <c r="H754" s="24" t="str">
        <f t="shared" ca="1" si="77"/>
        <v/>
      </c>
      <c r="I754" s="25" t="str">
        <f>IF(OR(E754="",E754="!!!",F754="NEW"),"",INDEX(B$2:B753,-1+SUMPRODUCT(MAX(ROW(E$2:E753)*(E754=E$2:E753)))))</f>
        <v/>
      </c>
      <c r="J754" s="25" t="str">
        <f ca="1">IF(OR(E754="",E754="!!!",F754="NEW"),"",COUNTBLANK(OFFSET(A$1,,,SUMPRODUCT(MAX(ROW(E$2:E754)*(E754=E$2:E754)))))-COUNTBLANK(OFFSET(A$1,,,SUMPRODUCT(MAX(ROW(E$1:E753)*(E2=E$1:E753))))))</f>
        <v/>
      </c>
      <c r="K754" s="25" t="str">
        <f>IF(OR(E754="",E754="!!!",F754="NEW"),"",INDEX(J$1:J753,SUMPRODUCT(MAX(ROW(E$1:E753)*(E754=E$1:E753)))))</f>
        <v/>
      </c>
      <c r="L754" s="26"/>
    </row>
    <row r="755" spans="1:12" x14ac:dyDescent="0.3">
      <c r="A755" t="s">
        <v>502</v>
      </c>
      <c r="B755" s="20" t="s">
        <v>219</v>
      </c>
      <c r="C755" s="20" t="s">
        <v>216</v>
      </c>
      <c r="D755" s="20" t="s">
        <v>186</v>
      </c>
      <c r="E755" s="21" t="s">
        <v>772</v>
      </c>
      <c r="F755" s="22" t="str">
        <f>IF(OR(E755="",E755="!!!"),"",IF(NOT(ISNA(VLOOKUP(E755,E$1:E754,1,FALSE()))),"OLD",IF(AND(E755&lt;&gt;"",E755&lt;&gt;"!!!"),"NEW","")))</f>
        <v>OLD</v>
      </c>
      <c r="G755" s="23" t="s">
        <v>808</v>
      </c>
      <c r="H755" s="24" t="str">
        <f t="shared" ca="1" si="77"/>
        <v/>
      </c>
      <c r="I755" s="25" t="str">
        <f>IF(OR(E755="",E755="!!!",F755="NEW"),"",INDEX(B$2:B754,-1+SUMPRODUCT(MAX(ROW(E$2:E754)*(E755=E$2:E754)))))</f>
        <v>other_2</v>
      </c>
      <c r="J755" s="25">
        <f ca="1">IF(OR(E755="",E755="!!!",F755="NEW"),"",COUNTBLANK(OFFSET(A$1,,,SUMPRODUCT(MAX(ROW(E$2:E755)*(E755=E$2:E755)))))-COUNTBLANK(OFFSET(A$1,,,SUMPRODUCT(MAX(ROW(E$1:E754)*(E2=E$1:E754))))))</f>
        <v>0</v>
      </c>
      <c r="K755" s="25">
        <f ca="1">IF(OR(E755="",E755="!!!",F755="NEW"),"",INDEX(J$1:J754,SUMPRODUCT(MAX(ROW(E$1:E754)*(E755=E$1:E754)))))</f>
        <v>0</v>
      </c>
      <c r="L755" s="26"/>
    </row>
    <row r="756" spans="1:12" x14ac:dyDescent="0.3">
      <c r="A756" t="s">
        <v>615</v>
      </c>
      <c r="B756" s="20" t="s">
        <v>232</v>
      </c>
      <c r="C756" s="20" t="s">
        <v>197</v>
      </c>
      <c r="E756" s="21" t="str">
        <f t="shared" si="76"/>
        <v/>
      </c>
      <c r="F756" s="22" t="str">
        <f>IF(OR(E756="",E756="!!!"),"",IF(NOT(ISNA(VLOOKUP(E756,E$1:E755,1,FALSE()))),"OLD",IF(AND(E756&lt;&gt;"",E756&lt;&gt;"!!!"),"NEW","")))</f>
        <v/>
      </c>
      <c r="G756" s="23" t="str">
        <f>IF(OR(E756="",E756="!!!"),"",IF(OR(J756=0,AND(J756=1,K756=1),AND(J756=1,I756="SBJ"),AND(J756=1,I756=0)),"?IN_FOCUS",IF(J756&lt;=2,"?ACTIVATED",IF(J756&lt;&gt;"","?FAMILIAR",IF(F756="NEW",IF(ISNA(VLOOKUP(E756,#REF!,1,FALSE())),"?TYPE_IDENTIFIABLE","?REFERENTIAL"),"_")))))</f>
        <v/>
      </c>
      <c r="H756" s="24" t="str">
        <f t="shared" ca="1" si="77"/>
        <v/>
      </c>
      <c r="I756" s="25" t="str">
        <f>IF(OR(E756="",E756="!!!",F756="NEW"),"",INDEX(B$2:B755,-1+SUMPRODUCT(MAX(ROW(E$2:E755)*(E756=E$2:E755)))))</f>
        <v/>
      </c>
      <c r="J756" s="25" t="str">
        <f ca="1">IF(OR(E756="",E756="!!!",F756="NEW"),"",COUNTBLANK(OFFSET(A$1,,,SUMPRODUCT(MAX(ROW(E$2:E756)*(E756=E$2:E756)))))-COUNTBLANK(OFFSET(A$1,,,SUMPRODUCT(MAX(ROW(E$1:E755)*(E2=E$1:E755))))))</f>
        <v/>
      </c>
      <c r="K756" s="25" t="str">
        <f>IF(OR(E756="",E756="!!!",F756="NEW"),"",INDEX(J$1:J755,SUMPRODUCT(MAX(ROW(E$1:E755)*(E756=E$1:E755)))))</f>
        <v/>
      </c>
      <c r="L756" s="26"/>
    </row>
    <row r="757" spans="1:12" x14ac:dyDescent="0.3">
      <c r="A757" t="s">
        <v>296</v>
      </c>
      <c r="E757" s="21" t="str">
        <f t="shared" si="76"/>
        <v/>
      </c>
      <c r="F757" s="22" t="str">
        <f>IF(OR(E757="",E757="!!!"),"",IF(NOT(ISNA(VLOOKUP(E757,E$1:E756,1,FALSE()))),"OLD",IF(AND(E757&lt;&gt;"",E757&lt;&gt;"!!!"),"NEW","")))</f>
        <v/>
      </c>
      <c r="G757" s="23" t="str">
        <f>IF(OR(E757="",E757="!!!"),"",IF(OR(J757=0,AND(J757=1,K757=1),AND(J757=1,I757="SBJ"),AND(J757=1,I757=0)),"?IN_FOCUS",IF(J757&lt;=2,"?ACTIVATED",IF(J757&lt;&gt;"","?FAMILIAR",IF(F757="NEW",IF(ISNA(VLOOKUP(E757,#REF!,1,FALSE())),"?TYPE_IDENTIFIABLE","?REFERENTIAL"),"_")))))</f>
        <v/>
      </c>
      <c r="H757" s="24" t="str">
        <f t="shared" ca="1" si="77"/>
        <v/>
      </c>
      <c r="I757" s="25" t="str">
        <f>IF(OR(E757="",E757="!!!",F757="NEW"),"",INDEX(B$2:B756,-1+SUMPRODUCT(MAX(ROW(E$2:E756)*(E757=E$2:E756)))))</f>
        <v/>
      </c>
      <c r="J757" s="25" t="str">
        <f ca="1">IF(OR(E757="",E757="!!!",F757="NEW"),"",COUNTBLANK(OFFSET(A$1,,,SUMPRODUCT(MAX(ROW(E$2:E757)*(E757=E$2:E757)))))-COUNTBLANK(OFFSET(A$1,,,SUMPRODUCT(MAX(ROW(E$1:E756)*(E2=E$1:E756))))))</f>
        <v/>
      </c>
      <c r="K757" s="25" t="str">
        <f>IF(OR(E757="",E757="!!!",F757="NEW"),"",INDEX(J$1:J756,SUMPRODUCT(MAX(ROW(E$1:E756)*(E757=E$1:E756)))))</f>
        <v/>
      </c>
      <c r="L757" s="26"/>
    </row>
    <row r="758" spans="1:12" x14ac:dyDescent="0.3">
      <c r="A758" t="s">
        <v>207</v>
      </c>
      <c r="E758" s="21" t="str">
        <f t="shared" si="76"/>
        <v/>
      </c>
      <c r="F758" s="22" t="str">
        <f>IF(OR(E758="",E758="!!!"),"",IF(NOT(ISNA(VLOOKUP(E758,E$1:E757,1,FALSE()))),"OLD",IF(AND(E758&lt;&gt;"",E758&lt;&gt;"!!!"),"NEW","")))</f>
        <v/>
      </c>
      <c r="G758" s="23" t="str">
        <f>IF(OR(E758="",E758="!!!"),"",IF(OR(J758=0,AND(J758=1,K758=1),AND(J758=1,I758="SBJ"),AND(J758=1,I758=0)),"?IN_FOCUS",IF(J758&lt;=2,"?ACTIVATED",IF(J758&lt;&gt;"","?FAMILIAR",IF(F758="NEW",IF(ISNA(VLOOKUP(E758,#REF!,1,FALSE())),"?TYPE_IDENTIFIABLE","?REFERENTIAL"),"_")))))</f>
        <v/>
      </c>
      <c r="H758" s="24" t="str">
        <f t="shared" ca="1" si="77"/>
        <v/>
      </c>
      <c r="I758" s="25" t="str">
        <f>IF(OR(E758="",E758="!!!",F758="NEW"),"",INDEX(B$2:B757,-1+SUMPRODUCT(MAX(ROW(E$2:E757)*(E758=E$2:E757)))))</f>
        <v/>
      </c>
      <c r="J758" s="25" t="str">
        <f ca="1">IF(OR(E758="",E758="!!!",F758="NEW"),"",COUNTBLANK(OFFSET(A$1,,,SUMPRODUCT(MAX(ROW(E$2:E758)*(E758=E$2:E758)))))-COUNTBLANK(OFFSET(A$1,,,SUMPRODUCT(MAX(ROW(E$1:E757)*(E2=E$1:E757))))))</f>
        <v/>
      </c>
      <c r="K758" s="25" t="str">
        <f>IF(OR(E758="",E758="!!!",F758="NEW"),"",INDEX(J$1:J757,SUMPRODUCT(MAX(ROW(E$1:E757)*(E758=E$1:E757)))))</f>
        <v/>
      </c>
      <c r="L758" s="26"/>
    </row>
    <row r="759" spans="1:12" x14ac:dyDescent="0.3">
      <c r="A759" t="s">
        <v>616</v>
      </c>
      <c r="E759" s="21" t="str">
        <f t="shared" si="76"/>
        <v/>
      </c>
      <c r="F759" s="22" t="str">
        <f>IF(OR(E759="",E759="!!!"),"",IF(NOT(ISNA(VLOOKUP(E759,E$1:E758,1,FALSE()))),"OLD",IF(AND(E759&lt;&gt;"",E759&lt;&gt;"!!!"),"NEW","")))</f>
        <v/>
      </c>
      <c r="G759" s="23" t="str">
        <f>IF(OR(E759="",E759="!!!"),"",IF(OR(J759=0,AND(J759=1,K759=1),AND(J759=1,I759="SBJ"),AND(J759=1,I759=0)),"?IN_FOCUS",IF(J759&lt;=2,"?ACTIVATED",IF(J759&lt;&gt;"","?FAMILIAR",IF(F759="NEW",IF(ISNA(VLOOKUP(E759,#REF!,1,FALSE())),"?TYPE_IDENTIFIABLE","?REFERENTIAL"),"_")))))</f>
        <v/>
      </c>
      <c r="H759" s="24" t="str">
        <f t="shared" ca="1" si="77"/>
        <v/>
      </c>
      <c r="I759" s="25" t="str">
        <f>IF(OR(E759="",E759="!!!",F759="NEW"),"",INDEX(B$2:B758,-1+SUMPRODUCT(MAX(ROW(E$2:E758)*(E759=E$2:E758)))))</f>
        <v/>
      </c>
      <c r="J759" s="25" t="str">
        <f ca="1">IF(OR(E759="",E759="!!!",F759="NEW"),"",COUNTBLANK(OFFSET(A$1,,,SUMPRODUCT(MAX(ROW(E$2:E759)*(E759=E$2:E759)))))-COUNTBLANK(OFFSET(A$1,,,SUMPRODUCT(MAX(ROW(E$1:E758)*(E2=E$1:E758))))))</f>
        <v/>
      </c>
      <c r="K759" s="25" t="str">
        <f>IF(OR(E759="",E759="!!!",F759="NEW"),"",INDEX(J$1:J758,SUMPRODUCT(MAX(ROW(E$1:E758)*(E759=E$1:E758)))))</f>
        <v/>
      </c>
      <c r="L759" s="26"/>
    </row>
    <row r="760" spans="1:12" x14ac:dyDescent="0.3">
      <c r="A760" t="s">
        <v>617</v>
      </c>
      <c r="B760" s="20" t="s">
        <v>241</v>
      </c>
      <c r="C760" s="20" t="s">
        <v>216</v>
      </c>
      <c r="D760" s="20" t="s">
        <v>186</v>
      </c>
      <c r="E760" s="21" t="s">
        <v>773</v>
      </c>
      <c r="F760" s="22" t="str">
        <f>IF(OR(E760="",E760="!!!"),"",IF(NOT(ISNA(VLOOKUP(E760,E$1:E759,1,FALSE()))),"OLD",IF(AND(E760&lt;&gt;"",E760&lt;&gt;"!!!"),"NEW","")))</f>
        <v>NEW</v>
      </c>
      <c r="G760" s="23" t="s">
        <v>807</v>
      </c>
      <c r="H760" s="24" t="str">
        <f t="shared" ca="1" si="77"/>
        <v/>
      </c>
      <c r="I760" s="25" t="str">
        <f>IF(OR(E760="",E760="!!!",F760="NEW"),"",INDEX(B$2:B759,-1+SUMPRODUCT(MAX(ROW(E$2:E759)*(E760=E$2:E759)))))</f>
        <v/>
      </c>
      <c r="J760" s="25" t="str">
        <f ca="1">IF(OR(E760="",E760="!!!",F760="NEW"),"",COUNTBLANK(OFFSET(A$1,,,SUMPRODUCT(MAX(ROW(E$2:E760)*(E760=E$2:E760)))))-COUNTBLANK(OFFSET(A$1,,,SUMPRODUCT(MAX(ROW(E$1:E759)*(E2=E$1:E759))))))</f>
        <v/>
      </c>
      <c r="K760" s="25" t="str">
        <f>IF(OR(E760="",E760="!!!",F760="NEW"),"",INDEX(J$1:J759,SUMPRODUCT(MAX(ROW(E$1:E759)*(E760=E$1:E759)))))</f>
        <v/>
      </c>
      <c r="L760" s="26"/>
    </row>
    <row r="761" spans="1:12" x14ac:dyDescent="0.3">
      <c r="A761" t="s">
        <v>618</v>
      </c>
      <c r="E761" s="21" t="s">
        <v>774</v>
      </c>
      <c r="F761" s="22" t="str">
        <f>IF(OR(E761="",E761="!!!"),"",IF(NOT(ISNA(VLOOKUP(E761,E$1:E760,1,FALSE()))),"OLD",IF(AND(E761&lt;&gt;"",E761&lt;&gt;"!!!"),"NEW","")))</f>
        <v>OLD</v>
      </c>
      <c r="G761" s="23" t="s">
        <v>809</v>
      </c>
      <c r="H761" s="24" t="str">
        <f t="shared" ca="1" si="77"/>
        <v/>
      </c>
      <c r="I761" s="25" t="str">
        <f>IF(OR(E761="",E761="!!!",F761="NEW"),"",INDEX(B$2:B760,-1+SUMPRODUCT(MAX(ROW(E$2:E760)*(E761=E$2:E760)))))</f>
        <v>other_2</v>
      </c>
      <c r="J761" s="25">
        <f ca="1">IF(OR(E761="",E761="!!!",F761="NEW"),"",COUNTBLANK(OFFSET(A$1,,,SUMPRODUCT(MAX(ROW(E$2:E761)*(E761=E$2:E761)))))-COUNTBLANK(OFFSET(A$1,,,SUMPRODUCT(MAX(ROW(E$1:E760)*(E2=E$1:E760))))))</f>
        <v>0</v>
      </c>
      <c r="K761" s="25">
        <f ca="1">IF(OR(E761="",E761="!!!",F761="NEW"),"",INDEX(J$1:J760,SUMPRODUCT(MAX(ROW(E$1:E760)*(E761=E$1:E760)))))</f>
        <v>0</v>
      </c>
      <c r="L761" s="26" t="s">
        <v>761</v>
      </c>
    </row>
    <row r="762" spans="1:12" x14ac:dyDescent="0.3">
      <c r="A762" t="s">
        <v>212</v>
      </c>
      <c r="E762" s="21" t="str">
        <f t="shared" si="76"/>
        <v/>
      </c>
      <c r="F762" s="22" t="str">
        <f>IF(OR(E762="",E762="!!!"),"",IF(NOT(ISNA(VLOOKUP(E762,E$1:E761,1,FALSE()))),"OLD",IF(AND(E762&lt;&gt;"",E762&lt;&gt;"!!!"),"NEW","")))</f>
        <v/>
      </c>
      <c r="G762" s="23" t="str">
        <f>IF(OR(E762="",E762="!!!"),"",IF(OR(J762=0,AND(J762=1,K762=1),AND(J762=1,I762="SBJ"),AND(J762=1,I762=0)),"?IN_FOCUS",IF(J762&lt;=2,"?ACTIVATED",IF(J762&lt;&gt;"","?FAMILIAR",IF(F762="NEW",IF(ISNA(VLOOKUP(E762,#REF!,1,FALSE())),"?TYPE_IDENTIFIABLE","?REFERENTIAL"),"_")))))</f>
        <v/>
      </c>
      <c r="H762" s="24" t="str">
        <f t="shared" ca="1" si="77"/>
        <v/>
      </c>
      <c r="I762" s="25" t="str">
        <f>IF(OR(E762="",E762="!!!",F762="NEW"),"",INDEX(B$2:B761,-1+SUMPRODUCT(MAX(ROW(E$2:E761)*(E762=E$2:E761)))))</f>
        <v/>
      </c>
      <c r="J762" s="25" t="str">
        <f ca="1">IF(OR(E762="",E762="!!!",F762="NEW"),"",COUNTBLANK(OFFSET(A$1,,,SUMPRODUCT(MAX(ROW(E$2:E762)*(E762=E$2:E762)))))-COUNTBLANK(OFFSET(A$1,,,SUMPRODUCT(MAX(ROW(E$1:E761)*(E2=E$1:E761))))))</f>
        <v/>
      </c>
      <c r="K762" s="25" t="str">
        <f>IF(OR(E762="",E762="!!!",F762="NEW"),"",INDEX(J$1:J761,SUMPRODUCT(MAX(ROW(E$1:E761)*(E762=E$1:E761)))))</f>
        <v/>
      </c>
      <c r="L762" s="26"/>
    </row>
    <row r="764" spans="1:12" x14ac:dyDescent="0.3">
      <c r="A764" t="s">
        <v>619</v>
      </c>
    </row>
    <row r="765" spans="1:12" x14ac:dyDescent="0.3">
      <c r="A765" t="s">
        <v>398</v>
      </c>
      <c r="B765" s="20" t="s">
        <v>201</v>
      </c>
      <c r="C765" s="20" t="s">
        <v>275</v>
      </c>
      <c r="D765" s="20" t="s">
        <v>186</v>
      </c>
      <c r="E765" s="21" t="s">
        <v>774</v>
      </c>
      <c r="F765" s="22" t="str">
        <f>IF(OR(E765="",E765="!!!"),"",IF(NOT(ISNA(VLOOKUP(E765,E$1:E764,1,FALSE()))),"OLD",IF(AND(E765&lt;&gt;"",E765&lt;&gt;"!!!"),"NEW","")))</f>
        <v>OLD</v>
      </c>
      <c r="G765" s="23" t="s">
        <v>809</v>
      </c>
      <c r="H765" s="24" t="s">
        <v>178</v>
      </c>
      <c r="I765" s="25">
        <f>IF(OR(E765="",E765="!!!",F765="NEW"),"",INDEX(B$2:B764,-1+SUMPRODUCT(MAX(ROW(E$2:E764)*(E765=E$2:E764)))))</f>
        <v>0</v>
      </c>
      <c r="J765" s="25">
        <f ca="1">IF(OR(E765="",E765="!!!",F765="NEW"),"",COUNTBLANK(OFFSET(A$1,,,SUMPRODUCT(MAX(ROW(E$2:E765)*(E765=E$2:E765)))))-COUNTBLANK(OFFSET(A$1,,,SUMPRODUCT(MAX(ROW(E$1:E764)*(E2=E$1:E764))))))</f>
        <v>0</v>
      </c>
      <c r="K765" s="25">
        <f ca="1">IF(OR(E765="",E765="!!!",F765="NEW"),"",INDEX(J$1:J764,SUMPRODUCT(MAX(ROW(E$1:E764)*(E765=E$1:E764)))))</f>
        <v>0</v>
      </c>
      <c r="L765" s="26"/>
    </row>
    <row r="766" spans="1:12" x14ac:dyDescent="0.3">
      <c r="A766" t="s">
        <v>535</v>
      </c>
      <c r="E766" s="21" t="str">
        <f t="shared" ref="E766:E781" si="78">IF(D766="?OLD","!!!","")</f>
        <v/>
      </c>
      <c r="F766" s="22" t="str">
        <f>IF(OR(E766="",E766="!!!"),"",IF(NOT(ISNA(VLOOKUP(E766,E$1:E765,1,FALSE()))),"OLD",IF(AND(E766&lt;&gt;"",E766&lt;&gt;"!!!"),"NEW","")))</f>
        <v/>
      </c>
      <c r="G766" s="23" t="str">
        <f>IF(OR(E766="",E766="!!!"),"",IF(OR(J766=0,AND(J766=1,K766=1),AND(J766=1,I766="SBJ"),AND(J766=1,I766=0)),"?IN_FOCUS",IF(J766&lt;=2,"?ACTIVATED",IF(J766&lt;&gt;"","?FAMILIAR",IF(F766="NEW",IF(ISNA(VLOOKUP(E766,#REF!,1,FALSE())),"?TYPE_IDENTIFIABLE","?REFERENTIAL"),"_")))))</f>
        <v/>
      </c>
      <c r="H766" s="24" t="str">
        <f t="shared" ref="H765:H781" ca="1" si="79">IF(J766&lt;&gt;1,"",IF(I766="SBJ","CB","?"))</f>
        <v/>
      </c>
      <c r="I766" s="25" t="str">
        <f>IF(OR(E766="",E766="!!!",F766="NEW"),"",INDEX(B$2:B765,-1+SUMPRODUCT(MAX(ROW(E$2:E765)*(E766=E$2:E765)))))</f>
        <v/>
      </c>
      <c r="J766" s="25" t="str">
        <f ca="1">IF(OR(E766="",E766="!!!",F766="NEW"),"",COUNTBLANK(OFFSET(A$1,,,SUMPRODUCT(MAX(ROW(E$2:E766)*(E766=E$2:E766)))))-COUNTBLANK(OFFSET(A$1,,,SUMPRODUCT(MAX(ROW(E$1:E765)*(E2=E$1:E765))))))</f>
        <v/>
      </c>
      <c r="K766" s="25" t="str">
        <f>IF(OR(E766="",E766="!!!",F766="NEW"),"",INDEX(J$1:J765,SUMPRODUCT(MAX(ROW(E$1:E765)*(E766=E$1:E765)))))</f>
        <v/>
      </c>
      <c r="L766" s="26"/>
    </row>
    <row r="767" spans="1:12" x14ac:dyDescent="0.3">
      <c r="A767" t="s">
        <v>296</v>
      </c>
      <c r="E767" s="21" t="str">
        <f t="shared" si="78"/>
        <v/>
      </c>
      <c r="F767" s="22" t="str">
        <f>IF(OR(E767="",E767="!!!"),"",IF(NOT(ISNA(VLOOKUP(E767,E$1:E766,1,FALSE()))),"OLD",IF(AND(E767&lt;&gt;"",E767&lt;&gt;"!!!"),"NEW","")))</f>
        <v/>
      </c>
      <c r="G767" s="23" t="str">
        <f>IF(OR(E767="",E767="!!!"),"",IF(OR(J767=0,AND(J767=1,K767=1),AND(J767=1,I767="SBJ"),AND(J767=1,I767=0)),"?IN_FOCUS",IF(J767&lt;=2,"?ACTIVATED",IF(J767&lt;&gt;"","?FAMILIAR",IF(F767="NEW",IF(ISNA(VLOOKUP(E767,#REF!,1,FALSE())),"?TYPE_IDENTIFIABLE","?REFERENTIAL"),"_")))))</f>
        <v/>
      </c>
      <c r="H767" s="24" t="str">
        <f t="shared" ca="1" si="79"/>
        <v/>
      </c>
      <c r="I767" s="25" t="str">
        <f>IF(OR(E767="",E767="!!!",F767="NEW"),"",INDEX(B$2:B766,-1+SUMPRODUCT(MAX(ROW(E$2:E766)*(E767=E$2:E766)))))</f>
        <v/>
      </c>
      <c r="J767" s="25" t="str">
        <f ca="1">IF(OR(E767="",E767="!!!",F767="NEW"),"",COUNTBLANK(OFFSET(A$1,,,SUMPRODUCT(MAX(ROW(E$2:E767)*(E767=E$2:E767)))))-COUNTBLANK(OFFSET(A$1,,,SUMPRODUCT(MAX(ROW(E$1:E766)*(E2=E$1:E766))))))</f>
        <v/>
      </c>
      <c r="K767" s="25" t="str">
        <f>IF(OR(E767="",E767="!!!",F767="NEW"),"",INDEX(J$1:J766,SUMPRODUCT(MAX(ROW(E$1:E766)*(E767=E$1:E766)))))</f>
        <v/>
      </c>
      <c r="L767" s="26"/>
    </row>
    <row r="768" spans="1:12" x14ac:dyDescent="0.3">
      <c r="A768" t="s">
        <v>575</v>
      </c>
      <c r="B768" s="20" t="s">
        <v>184</v>
      </c>
      <c r="C768" s="20" t="s">
        <v>185</v>
      </c>
      <c r="D768" s="20" t="s">
        <v>186</v>
      </c>
      <c r="E768" s="21" t="s">
        <v>747</v>
      </c>
      <c r="F768" s="22" t="str">
        <f>IF(OR(E768="",E768="!!!"),"",IF(NOT(ISNA(VLOOKUP(E768,E$1:E767,1,FALSE()))),"OLD",IF(AND(E768&lt;&gt;"",E768&lt;&gt;"!!!"),"NEW","")))</f>
        <v>OLD</v>
      </c>
      <c r="G768" s="23" t="s">
        <v>723</v>
      </c>
      <c r="H768" s="24" t="str">
        <f t="shared" ca="1" si="79"/>
        <v/>
      </c>
      <c r="I768" s="25" t="str">
        <f>IF(OR(E768="",E768="!!!",F768="NEW"),"",INDEX(B$2:B767,-1+SUMPRODUCT(MAX(ROW(E$2:E767)*(E768=E$2:E767)))))</f>
        <v>other_2</v>
      </c>
      <c r="J768" s="25">
        <f ca="1">IF(OR(E768="",E768="!!!",F768="NEW"),"",COUNTBLANK(OFFSET(A$1,,,SUMPRODUCT(MAX(ROW(E$2:E768)*(E768=E$2:E768)))))-COUNTBLANK(OFFSET(A$1,,,SUMPRODUCT(MAX(ROW(E$1:E767)*(E2=E$1:E767))))))</f>
        <v>0</v>
      </c>
      <c r="K768" s="25">
        <f ca="1">IF(OR(E768="",E768="!!!",F768="NEW"),"",INDEX(J$1:J767,SUMPRODUCT(MAX(ROW(E$1:E767)*(E768=E$1:E767)))))</f>
        <v>0</v>
      </c>
      <c r="L768" s="26"/>
    </row>
    <row r="769" spans="1:12" x14ac:dyDescent="0.3">
      <c r="A769" t="s">
        <v>620</v>
      </c>
      <c r="E769" s="21" t="str">
        <f t="shared" si="78"/>
        <v/>
      </c>
      <c r="F769" s="22" t="str">
        <f>IF(OR(E769="",E769="!!!"),"",IF(NOT(ISNA(VLOOKUP(E769,E$1:E768,1,FALSE()))),"OLD",IF(AND(E769&lt;&gt;"",E769&lt;&gt;"!!!"),"NEW","")))</f>
        <v/>
      </c>
      <c r="G769" s="23" t="str">
        <f>IF(OR(E769="",E769="!!!"),"",IF(OR(J769=0,AND(J769=1,K769=1),AND(J769=1,I769="SBJ"),AND(J769=1,I769=0)),"?IN_FOCUS",IF(J769&lt;=2,"?ACTIVATED",IF(J769&lt;&gt;"","?FAMILIAR",IF(F769="NEW",IF(ISNA(VLOOKUP(E769,#REF!,1,FALSE())),"?TYPE_IDENTIFIABLE","?REFERENTIAL"),"_")))))</f>
        <v/>
      </c>
      <c r="H769" s="24" t="str">
        <f t="shared" ca="1" si="79"/>
        <v/>
      </c>
      <c r="I769" s="25" t="str">
        <f>IF(OR(E769="",E769="!!!",F769="NEW"),"",INDEX(B$2:B768,-1+SUMPRODUCT(MAX(ROW(E$2:E768)*(E769=E$2:E768)))))</f>
        <v/>
      </c>
      <c r="J769" s="25" t="str">
        <f ca="1">IF(OR(E769="",E769="!!!",F769="NEW"),"",COUNTBLANK(OFFSET(A$1,,,SUMPRODUCT(MAX(ROW(E$2:E769)*(E769=E$2:E769)))))-COUNTBLANK(OFFSET(A$1,,,SUMPRODUCT(MAX(ROW(E$1:E768)*(E2=E$1:E768))))))</f>
        <v/>
      </c>
      <c r="K769" s="25" t="str">
        <f>IF(OR(E769="",E769="!!!",F769="NEW"),"",INDEX(J$1:J768,SUMPRODUCT(MAX(ROW(E$1:E768)*(E769=E$1:E768)))))</f>
        <v/>
      </c>
      <c r="L769" s="26"/>
    </row>
    <row r="770" spans="1:12" x14ac:dyDescent="0.3">
      <c r="A770" t="s">
        <v>204</v>
      </c>
      <c r="E770" s="21" t="str">
        <f t="shared" si="78"/>
        <v/>
      </c>
      <c r="F770" s="22" t="str">
        <f>IF(OR(E770="",E770="!!!"),"",IF(NOT(ISNA(VLOOKUP(E770,E$1:E769,1,FALSE()))),"OLD",IF(AND(E770&lt;&gt;"",E770&lt;&gt;"!!!"),"NEW","")))</f>
        <v/>
      </c>
      <c r="G770" s="23" t="str">
        <f>IF(OR(E770="",E770="!!!"),"",IF(OR(J770=0,AND(J770=1,K770=1),AND(J770=1,I770="SBJ"),AND(J770=1,I770=0)),"?IN_FOCUS",IF(J770&lt;=2,"?ACTIVATED",IF(J770&lt;&gt;"","?FAMILIAR",IF(F770="NEW",IF(ISNA(VLOOKUP(E770,#REF!,1,FALSE())),"?TYPE_IDENTIFIABLE","?REFERENTIAL"),"_")))))</f>
        <v/>
      </c>
      <c r="H770" s="24" t="str">
        <f t="shared" ca="1" si="79"/>
        <v/>
      </c>
      <c r="I770" s="25" t="str">
        <f>IF(OR(E770="",E770="!!!",F770="NEW"),"",INDEX(B$2:B769,-1+SUMPRODUCT(MAX(ROW(E$2:E769)*(E770=E$2:E769)))))</f>
        <v/>
      </c>
      <c r="J770" s="25" t="str">
        <f ca="1">IF(OR(E770="",E770="!!!",F770="NEW"),"",COUNTBLANK(OFFSET(A$1,,,SUMPRODUCT(MAX(ROW(E$2:E770)*(E770=E$2:E770)))))-COUNTBLANK(OFFSET(A$1,,,SUMPRODUCT(MAX(ROW(E$1:E769)*(E2=E$1:E769))))))</f>
        <v/>
      </c>
      <c r="K770" s="25" t="str">
        <f>IF(OR(E770="",E770="!!!",F770="NEW"),"",INDEX(J$1:J769,SUMPRODUCT(MAX(ROW(E$1:E769)*(E770=E$1:E769)))))</f>
        <v/>
      </c>
      <c r="L770" s="26"/>
    </row>
    <row r="771" spans="1:12" x14ac:dyDescent="0.3">
      <c r="A771" t="s">
        <v>621</v>
      </c>
      <c r="B771" s="20" t="s">
        <v>222</v>
      </c>
      <c r="C771" s="20" t="s">
        <v>193</v>
      </c>
      <c r="E771" s="21" t="str">
        <f t="shared" si="78"/>
        <v/>
      </c>
      <c r="F771" s="22" t="str">
        <f>IF(OR(E771="",E771="!!!"),"",IF(NOT(ISNA(VLOOKUP(E771,E$1:E770,1,FALSE()))),"OLD",IF(AND(E771&lt;&gt;"",E771&lt;&gt;"!!!"),"NEW","")))</f>
        <v/>
      </c>
      <c r="G771" s="23" t="str">
        <f>IF(OR(E771="",E771="!!!"),"",IF(OR(J771=0,AND(J771=1,K771=1),AND(J771=1,I771="SBJ"),AND(J771=1,I771=0)),"?IN_FOCUS",IF(J771&lt;=2,"?ACTIVATED",IF(J771&lt;&gt;"","?FAMILIAR",IF(F771="NEW",IF(ISNA(VLOOKUP(E771,#REF!,1,FALSE())),"?TYPE_IDENTIFIABLE","?REFERENTIAL"),"_")))))</f>
        <v/>
      </c>
      <c r="H771" s="24" t="str">
        <f t="shared" ca="1" si="79"/>
        <v/>
      </c>
      <c r="I771" s="25" t="str">
        <f>IF(OR(E771="",E771="!!!",F771="NEW"),"",INDEX(B$2:B770,-1+SUMPRODUCT(MAX(ROW(E$2:E770)*(E771=E$2:E770)))))</f>
        <v/>
      </c>
      <c r="J771" s="25" t="str">
        <f ca="1">IF(OR(E771="",E771="!!!",F771="NEW"),"",COUNTBLANK(OFFSET(A$1,,,SUMPRODUCT(MAX(ROW(E$2:E771)*(E771=E$2:E771)))))-COUNTBLANK(OFFSET(A$1,,,SUMPRODUCT(MAX(ROW(E$1:E770)*(E2=E$1:E770))))))</f>
        <v/>
      </c>
      <c r="K771" s="25" t="str">
        <f>IF(OR(E771="",E771="!!!",F771="NEW"),"",INDEX(J$1:J770,SUMPRODUCT(MAX(ROW(E$1:E770)*(E771=E$1:E770)))))</f>
        <v/>
      </c>
      <c r="L771" s="26"/>
    </row>
    <row r="772" spans="1:12" x14ac:dyDescent="0.3">
      <c r="A772" t="s">
        <v>206</v>
      </c>
      <c r="E772" s="21" t="str">
        <f t="shared" si="78"/>
        <v/>
      </c>
      <c r="F772" s="22" t="str">
        <f>IF(OR(E772="",E772="!!!"),"",IF(NOT(ISNA(VLOOKUP(E772,E$1:E771,1,FALSE()))),"OLD",IF(AND(E772&lt;&gt;"",E772&lt;&gt;"!!!"),"NEW","")))</f>
        <v/>
      </c>
      <c r="G772" s="23" t="str">
        <f>IF(OR(E772="",E772="!!!"),"",IF(OR(J772=0,AND(J772=1,K772=1),AND(J772=1,I772="SBJ"),AND(J772=1,I772=0)),"?IN_FOCUS",IF(J772&lt;=2,"?ACTIVATED",IF(J772&lt;&gt;"","?FAMILIAR",IF(F772="NEW",IF(ISNA(VLOOKUP(E772,#REF!,1,FALSE())),"?TYPE_IDENTIFIABLE","?REFERENTIAL"),"_")))))</f>
        <v/>
      </c>
      <c r="H772" s="24" t="str">
        <f t="shared" ca="1" si="79"/>
        <v/>
      </c>
      <c r="I772" s="25" t="str">
        <f>IF(OR(E772="",E772="!!!",F772="NEW"),"",INDEX(B$2:B771,-1+SUMPRODUCT(MAX(ROW(E$2:E771)*(E772=E$2:E771)))))</f>
        <v/>
      </c>
      <c r="J772" s="25" t="str">
        <f ca="1">IF(OR(E772="",E772="!!!",F772="NEW"),"",COUNTBLANK(OFFSET(A$1,,,SUMPRODUCT(MAX(ROW(E$2:E772)*(E772=E$2:E772)))))-COUNTBLANK(OFFSET(A$1,,,SUMPRODUCT(MAX(ROW(E$1:E771)*(E2=E$1:E771))))))</f>
        <v/>
      </c>
      <c r="K772" s="25" t="str">
        <f>IF(OR(E772="",E772="!!!",F772="NEW"),"",INDEX(J$1:J771,SUMPRODUCT(MAX(ROW(E$1:E771)*(E772=E$1:E771)))))</f>
        <v/>
      </c>
      <c r="L772" s="26"/>
    </row>
    <row r="773" spans="1:12" x14ac:dyDescent="0.3">
      <c r="A773" t="s">
        <v>361</v>
      </c>
      <c r="B773" s="20" t="s">
        <v>352</v>
      </c>
      <c r="E773" s="21" t="s">
        <v>747</v>
      </c>
      <c r="F773" s="22" t="str">
        <f>IF(OR(E773="",E773="!!!"),"",IF(NOT(ISNA(VLOOKUP(E773,E$1:E772,1,FALSE()))),"OLD",IF(AND(E773&lt;&gt;"",E773&lt;&gt;"!!!"),"NEW","")))</f>
        <v>OLD</v>
      </c>
      <c r="G773" s="23" t="s">
        <v>809</v>
      </c>
      <c r="H773" s="24" t="str">
        <f t="shared" ca="1" si="79"/>
        <v/>
      </c>
      <c r="I773" s="25" t="str">
        <f>IF(OR(E773="",E773="!!!",F773="NEW"),"",INDEX(B$2:B772,-1+SUMPRODUCT(MAX(ROW(E$2:E772)*(E773=E$2:E772)))))</f>
        <v>other</v>
      </c>
      <c r="J773" s="25">
        <f ca="1">IF(OR(E773="",E773="!!!",F773="NEW"),"",COUNTBLANK(OFFSET(A$1,,,SUMPRODUCT(MAX(ROW(E$2:E773)*(E773=E$2:E773)))))-COUNTBLANK(OFFSET(A$1,,,SUMPRODUCT(MAX(ROW(E$1:E772)*(E2=E$1:E772))))))</f>
        <v>0</v>
      </c>
      <c r="K773" s="25">
        <f ca="1">IF(OR(E773="",E773="!!!",F773="NEW"),"",INDEX(J$1:J772,SUMPRODUCT(MAX(ROW(E$1:E772)*(E773=E$1:E772)))))</f>
        <v>0</v>
      </c>
      <c r="L773" s="26"/>
    </row>
    <row r="774" spans="1:12" x14ac:dyDescent="0.3">
      <c r="A774" t="s">
        <v>295</v>
      </c>
      <c r="E774" s="21" t="str">
        <f t="shared" si="78"/>
        <v/>
      </c>
      <c r="F774" s="22" t="str">
        <f>IF(OR(E774="",E774="!!!"),"",IF(NOT(ISNA(VLOOKUP(E774,E$1:E773,1,FALSE()))),"OLD",IF(AND(E774&lt;&gt;"",E774&lt;&gt;"!!!"),"NEW","")))</f>
        <v/>
      </c>
      <c r="G774" s="23" t="str">
        <f>IF(OR(E774="",E774="!!!"),"",IF(OR(J774=0,AND(J774=1,K774=1),AND(J774=1,I774="SBJ"),AND(J774=1,I774=0)),"?IN_FOCUS",IF(J774&lt;=2,"?ACTIVATED",IF(J774&lt;&gt;"","?FAMILIAR",IF(F774="NEW",IF(ISNA(VLOOKUP(E774,#REF!,1,FALSE())),"?TYPE_IDENTIFIABLE","?REFERENTIAL"),"_")))))</f>
        <v/>
      </c>
      <c r="H774" s="24" t="str">
        <f t="shared" ca="1" si="79"/>
        <v/>
      </c>
      <c r="I774" s="25" t="str">
        <f>IF(OR(E774="",E774="!!!",F774="NEW"),"",INDEX(B$2:B773,-1+SUMPRODUCT(MAX(ROW(E$2:E773)*(E774=E$2:E773)))))</f>
        <v/>
      </c>
      <c r="J774" s="25" t="str">
        <f ca="1">IF(OR(E774="",E774="!!!",F774="NEW"),"",COUNTBLANK(OFFSET(A$1,,,SUMPRODUCT(MAX(ROW(E$2:E774)*(E774=E$2:E774)))))-COUNTBLANK(OFFSET(A$1,,,SUMPRODUCT(MAX(ROW(E$1:E773)*(E2=E$1:E773))))))</f>
        <v/>
      </c>
      <c r="K774" s="25" t="str">
        <f>IF(OR(E774="",E774="!!!",F774="NEW"),"",INDEX(J$1:J773,SUMPRODUCT(MAX(ROW(E$1:E773)*(E774=E$1:E773)))))</f>
        <v/>
      </c>
      <c r="L774" s="26"/>
    </row>
    <row r="775" spans="1:12" x14ac:dyDescent="0.3">
      <c r="A775" t="s">
        <v>204</v>
      </c>
      <c r="E775" s="21" t="str">
        <f t="shared" si="78"/>
        <v/>
      </c>
      <c r="F775" s="22" t="str">
        <f>IF(OR(E775="",E775="!!!"),"",IF(NOT(ISNA(VLOOKUP(E775,E$1:E774,1,FALSE()))),"OLD",IF(AND(E775&lt;&gt;"",E775&lt;&gt;"!!!"),"NEW","")))</f>
        <v/>
      </c>
      <c r="G775" s="23" t="str">
        <f>IF(OR(E775="",E775="!!!"),"",IF(OR(J775=0,AND(J775=1,K775=1),AND(J775=1,I775="SBJ"),AND(J775=1,I775=0)),"?IN_FOCUS",IF(J775&lt;=2,"?ACTIVATED",IF(J775&lt;&gt;"","?FAMILIAR",IF(F775="NEW",IF(ISNA(VLOOKUP(E775,#REF!,1,FALSE())),"?TYPE_IDENTIFIABLE","?REFERENTIAL"),"_")))))</f>
        <v/>
      </c>
      <c r="H775" s="24" t="str">
        <f t="shared" ca="1" si="79"/>
        <v/>
      </c>
      <c r="I775" s="25" t="str">
        <f>IF(OR(E775="",E775="!!!",F775="NEW"),"",INDEX(B$2:B774,-1+SUMPRODUCT(MAX(ROW(E$2:E774)*(E775=E$2:E774)))))</f>
        <v/>
      </c>
      <c r="J775" s="25" t="str">
        <f ca="1">IF(OR(E775="",E775="!!!",F775="NEW"),"",COUNTBLANK(OFFSET(A$1,,,SUMPRODUCT(MAX(ROW(E$2:E775)*(E775=E$2:E775)))))-COUNTBLANK(OFFSET(A$1,,,SUMPRODUCT(MAX(ROW(E$1:E774)*(E2=E$1:E774))))))</f>
        <v/>
      </c>
      <c r="K775" s="25" t="str">
        <f>IF(OR(E775="",E775="!!!",F775="NEW"),"",INDEX(J$1:J774,SUMPRODUCT(MAX(ROW(E$1:E774)*(E775=E$1:E774)))))</f>
        <v/>
      </c>
      <c r="L775" s="26"/>
    </row>
    <row r="776" spans="1:12" x14ac:dyDescent="0.3">
      <c r="A776" t="s">
        <v>622</v>
      </c>
      <c r="E776" s="21" t="str">
        <f t="shared" si="78"/>
        <v/>
      </c>
      <c r="F776" s="22" t="str">
        <f>IF(OR(E776="",E776="!!!"),"",IF(NOT(ISNA(VLOOKUP(E776,E$1:E775,1,FALSE()))),"OLD",IF(AND(E776&lt;&gt;"",E776&lt;&gt;"!!!"),"NEW","")))</f>
        <v/>
      </c>
      <c r="G776" s="23" t="str">
        <f>IF(OR(E776="",E776="!!!"),"",IF(OR(J776=0,AND(J776=1,K776=1),AND(J776=1,I776="SBJ"),AND(J776=1,I776=0)),"?IN_FOCUS",IF(J776&lt;=2,"?ACTIVATED",IF(J776&lt;&gt;"","?FAMILIAR",IF(F776="NEW",IF(ISNA(VLOOKUP(E776,#REF!,1,FALSE())),"?TYPE_IDENTIFIABLE","?REFERENTIAL"),"_")))))</f>
        <v/>
      </c>
      <c r="H776" s="24" t="str">
        <f t="shared" ca="1" si="79"/>
        <v/>
      </c>
      <c r="I776" s="25" t="str">
        <f>IF(OR(E776="",E776="!!!",F776="NEW"),"",INDEX(B$2:B775,-1+SUMPRODUCT(MAX(ROW(E$2:E775)*(E776=E$2:E775)))))</f>
        <v/>
      </c>
      <c r="J776" s="25" t="str">
        <f ca="1">IF(OR(E776="",E776="!!!",F776="NEW"),"",COUNTBLANK(OFFSET(A$1,,,SUMPRODUCT(MAX(ROW(E$2:E776)*(E776=E$2:E776)))))-COUNTBLANK(OFFSET(A$1,,,SUMPRODUCT(MAX(ROW(E$1:E775)*(E2=E$1:E775))))))</f>
        <v/>
      </c>
      <c r="K776" s="25" t="str">
        <f>IF(OR(E776="",E776="!!!",F776="NEW"),"",INDEX(J$1:J775,SUMPRODUCT(MAX(ROW(E$1:E775)*(E776=E$1:E775)))))</f>
        <v/>
      </c>
      <c r="L776" s="26"/>
    </row>
    <row r="777" spans="1:12" x14ac:dyDescent="0.3">
      <c r="A777" t="s">
        <v>623</v>
      </c>
      <c r="B777" s="20" t="s">
        <v>232</v>
      </c>
      <c r="C777" s="20" t="s">
        <v>193</v>
      </c>
      <c r="E777" s="21" t="str">
        <f t="shared" si="78"/>
        <v/>
      </c>
      <c r="F777" s="22" t="str">
        <f>IF(OR(E777="",E777="!!!"),"",IF(NOT(ISNA(VLOOKUP(E777,E$1:E776,1,FALSE()))),"OLD",IF(AND(E777&lt;&gt;"",E777&lt;&gt;"!!!"),"NEW","")))</f>
        <v/>
      </c>
      <c r="G777" s="23" t="str">
        <f>IF(OR(E777="",E777="!!!"),"",IF(OR(J777=0,AND(J777=1,K777=1),AND(J777=1,I777="SBJ"),AND(J777=1,I777=0)),"?IN_FOCUS",IF(J777&lt;=2,"?ACTIVATED",IF(J777&lt;&gt;"","?FAMILIAR",IF(F777="NEW",IF(ISNA(VLOOKUP(E777,#REF!,1,FALSE())),"?TYPE_IDENTIFIABLE","?REFERENTIAL"),"_")))))</f>
        <v/>
      </c>
      <c r="H777" s="24" t="str">
        <f t="shared" ca="1" si="79"/>
        <v/>
      </c>
      <c r="I777" s="25" t="str">
        <f>IF(OR(E777="",E777="!!!",F777="NEW"),"",INDEX(B$2:B776,-1+SUMPRODUCT(MAX(ROW(E$2:E776)*(E777=E$2:E776)))))</f>
        <v/>
      </c>
      <c r="J777" s="25" t="str">
        <f ca="1">IF(OR(E777="",E777="!!!",F777="NEW"),"",COUNTBLANK(OFFSET(A$1,,,SUMPRODUCT(MAX(ROW(E$2:E777)*(E777=E$2:E777)))))-COUNTBLANK(OFFSET(A$1,,,SUMPRODUCT(MAX(ROW(E$1:E776)*(E2=E$1:E776))))))</f>
        <v/>
      </c>
      <c r="K777" s="25" t="str">
        <f>IF(OR(E777="",E777="!!!",F777="NEW"),"",INDEX(J$1:J776,SUMPRODUCT(MAX(ROW(E$1:E776)*(E777=E$1:E776)))))</f>
        <v/>
      </c>
      <c r="L777" s="26"/>
    </row>
    <row r="778" spans="1:12" x14ac:dyDescent="0.3">
      <c r="A778" t="s">
        <v>332</v>
      </c>
      <c r="E778" s="21" t="str">
        <f t="shared" si="78"/>
        <v/>
      </c>
      <c r="F778" s="22" t="str">
        <f>IF(OR(E778="",E778="!!!"),"",IF(NOT(ISNA(VLOOKUP(E778,E$1:E777,1,FALSE()))),"OLD",IF(AND(E778&lt;&gt;"",E778&lt;&gt;"!!!"),"NEW","")))</f>
        <v/>
      </c>
      <c r="G778" s="23" t="str">
        <f>IF(OR(E778="",E778="!!!"),"",IF(OR(J778=0,AND(J778=1,K778=1),AND(J778=1,I778="SBJ"),AND(J778=1,I778=0)),"?IN_FOCUS",IF(J778&lt;=2,"?ACTIVATED",IF(J778&lt;&gt;"","?FAMILIAR",IF(F778="NEW",IF(ISNA(VLOOKUP(E778,#REF!,1,FALSE())),"?TYPE_IDENTIFIABLE","?REFERENTIAL"),"_")))))</f>
        <v/>
      </c>
      <c r="H778" s="24" t="str">
        <f t="shared" ca="1" si="79"/>
        <v/>
      </c>
      <c r="I778" s="25" t="str">
        <f>IF(OR(E778="",E778="!!!",F778="NEW"),"",INDEX(B$2:B777,-1+SUMPRODUCT(MAX(ROW(E$2:E777)*(E778=E$2:E777)))))</f>
        <v/>
      </c>
      <c r="J778" s="25" t="str">
        <f ca="1">IF(OR(E778="",E778="!!!",F778="NEW"),"",COUNTBLANK(OFFSET(A$1,,,SUMPRODUCT(MAX(ROW(E$2:E778)*(E778=E$2:E778)))))-COUNTBLANK(OFFSET(A$1,,,SUMPRODUCT(MAX(ROW(E$1:E777)*(E2=E$1:E777))))))</f>
        <v/>
      </c>
      <c r="K778" s="25" t="str">
        <f>IF(OR(E778="",E778="!!!",F778="NEW"),"",INDEX(J$1:J777,SUMPRODUCT(MAX(ROW(E$1:E777)*(E778=E$1:E777)))))</f>
        <v/>
      </c>
      <c r="L778" s="26"/>
    </row>
    <row r="779" spans="1:12" x14ac:dyDescent="0.3">
      <c r="A779" t="s">
        <v>624</v>
      </c>
      <c r="B779" s="20" t="s">
        <v>241</v>
      </c>
      <c r="C779" s="20" t="s">
        <v>197</v>
      </c>
      <c r="E779" s="21" t="str">
        <f t="shared" si="78"/>
        <v/>
      </c>
      <c r="F779" s="22" t="str">
        <f>IF(OR(E779="",E779="!!!"),"",IF(NOT(ISNA(VLOOKUP(E779,E$1:E778,1,FALSE()))),"OLD",IF(AND(E779&lt;&gt;"",E779&lt;&gt;"!!!"),"NEW","")))</f>
        <v/>
      </c>
      <c r="G779" s="23" t="str">
        <f>IF(OR(E779="",E779="!!!"),"",IF(OR(J779=0,AND(J779=1,K779=1),AND(J779=1,I779="SBJ"),AND(J779=1,I779=0)),"?IN_FOCUS",IF(J779&lt;=2,"?ACTIVATED",IF(J779&lt;&gt;"","?FAMILIAR",IF(F779="NEW",IF(ISNA(VLOOKUP(E779,#REF!,1,FALSE())),"?TYPE_IDENTIFIABLE","?REFERENTIAL"),"_")))))</f>
        <v/>
      </c>
      <c r="H779" s="24" t="str">
        <f t="shared" ca="1" si="79"/>
        <v/>
      </c>
      <c r="I779" s="25" t="str">
        <f>IF(OR(E779="",E779="!!!",F779="NEW"),"",INDEX(B$2:B778,-1+SUMPRODUCT(MAX(ROW(E$2:E778)*(E779=E$2:E778)))))</f>
        <v/>
      </c>
      <c r="J779" s="25" t="str">
        <f ca="1">IF(OR(E779="",E779="!!!",F779="NEW"),"",COUNTBLANK(OFFSET(A$1,,,SUMPRODUCT(MAX(ROW(E$2:E779)*(E779=E$2:E779)))))-COUNTBLANK(OFFSET(A$1,,,SUMPRODUCT(MAX(ROW(E$1:E778)*(E2=E$1:E778))))))</f>
        <v/>
      </c>
      <c r="K779" s="25" t="str">
        <f>IF(OR(E779="",E779="!!!",F779="NEW"),"",INDEX(J$1:J778,SUMPRODUCT(MAX(ROW(E$1:E778)*(E779=E$1:E778)))))</f>
        <v/>
      </c>
      <c r="L779" s="26"/>
    </row>
    <row r="780" spans="1:12" x14ac:dyDescent="0.3">
      <c r="A780" t="s">
        <v>416</v>
      </c>
      <c r="E780" s="21" t="str">
        <f t="shared" si="78"/>
        <v/>
      </c>
      <c r="F780" s="22" t="str">
        <f>IF(OR(E780="",E780="!!!"),"",IF(NOT(ISNA(VLOOKUP(E780,E$1:E779,1,FALSE()))),"OLD",IF(AND(E780&lt;&gt;"",E780&lt;&gt;"!!!"),"NEW","")))</f>
        <v/>
      </c>
      <c r="G780" s="23" t="str">
        <f>IF(OR(E780="",E780="!!!"),"",IF(OR(J780=0,AND(J780=1,K780=1),AND(J780=1,I780="SBJ"),AND(J780=1,I780=0)),"?IN_FOCUS",IF(J780&lt;=2,"?ACTIVATED",IF(J780&lt;&gt;"","?FAMILIAR",IF(F780="NEW",IF(ISNA(VLOOKUP(E780,#REF!,1,FALSE())),"?TYPE_IDENTIFIABLE","?REFERENTIAL"),"_")))))</f>
        <v/>
      </c>
      <c r="H780" s="24" t="str">
        <f t="shared" ca="1" si="79"/>
        <v/>
      </c>
      <c r="I780" s="25" t="str">
        <f>IF(OR(E780="",E780="!!!",F780="NEW"),"",INDEX(B$2:B779,-1+SUMPRODUCT(MAX(ROW(E$2:E779)*(E780=E$2:E779)))))</f>
        <v/>
      </c>
      <c r="J780" s="25" t="str">
        <f ca="1">IF(OR(E780="",E780="!!!",F780="NEW"),"",COUNTBLANK(OFFSET(A$1,,,SUMPRODUCT(MAX(ROW(E$2:E780)*(E780=E$2:E780)))))-COUNTBLANK(OFFSET(A$1,,,SUMPRODUCT(MAX(ROW(E$1:E779)*(E2=E$1:E779))))))</f>
        <v/>
      </c>
      <c r="K780" s="25" t="str">
        <f>IF(OR(E780="",E780="!!!",F780="NEW"),"",INDEX(J$1:J779,SUMPRODUCT(MAX(ROW(E$1:E779)*(E780=E$1:E779)))))</f>
        <v/>
      </c>
      <c r="L780" s="26"/>
    </row>
    <row r="781" spans="1:12" x14ac:dyDescent="0.3">
      <c r="A781" t="s">
        <v>212</v>
      </c>
      <c r="E781" s="21" t="str">
        <f t="shared" si="78"/>
        <v/>
      </c>
      <c r="F781" s="22" t="str">
        <f>IF(OR(E781="",E781="!!!"),"",IF(NOT(ISNA(VLOOKUP(E781,E$1:E780,1,FALSE()))),"OLD",IF(AND(E781&lt;&gt;"",E781&lt;&gt;"!!!"),"NEW","")))</f>
        <v/>
      </c>
      <c r="G781" s="23" t="str">
        <f>IF(OR(E781="",E781="!!!"),"",IF(OR(J781=0,AND(J781=1,K781=1),AND(J781=1,I781="SBJ"),AND(J781=1,I781=0)),"?IN_FOCUS",IF(J781&lt;=2,"?ACTIVATED",IF(J781&lt;&gt;"","?FAMILIAR",IF(F781="NEW",IF(ISNA(VLOOKUP(E781,#REF!,1,FALSE())),"?TYPE_IDENTIFIABLE","?REFERENTIAL"),"_")))))</f>
        <v/>
      </c>
      <c r="H781" s="24" t="str">
        <f t="shared" ca="1" si="79"/>
        <v/>
      </c>
      <c r="I781" s="25" t="str">
        <f>IF(OR(E781="",E781="!!!",F781="NEW"),"",INDEX(B$2:B780,-1+SUMPRODUCT(MAX(ROW(E$2:E780)*(E781=E$2:E780)))))</f>
        <v/>
      </c>
      <c r="J781" s="25" t="str">
        <f ca="1">IF(OR(E781="",E781="!!!",F781="NEW"),"",COUNTBLANK(OFFSET(A$1,,,SUMPRODUCT(MAX(ROW(E$2:E781)*(E781=E$2:E781)))))-COUNTBLANK(OFFSET(A$1,,,SUMPRODUCT(MAX(ROW(E$1:E780)*(E2=E$1:E780))))))</f>
        <v/>
      </c>
      <c r="K781" s="25" t="str">
        <f>IF(OR(E781="",E781="!!!",F781="NEW"),"",INDEX(J$1:J780,SUMPRODUCT(MAX(ROW(E$1:E780)*(E781=E$1:E780)))))</f>
        <v/>
      </c>
      <c r="L781" s="26"/>
    </row>
    <row r="783" spans="1:12" x14ac:dyDescent="0.3">
      <c r="A783" t="s">
        <v>300</v>
      </c>
      <c r="E783" s="21" t="str">
        <f>IF(D783="?OLD","!!!","")</f>
        <v/>
      </c>
      <c r="F783" s="22" t="str">
        <f>IF(OR(E783="",E783="!!!"),"",IF(NOT(ISNA(VLOOKUP(E783,E$1:E782,1,FALSE()))),"OLD",IF(AND(E783&lt;&gt;"",E783&lt;&gt;"!!!"),"NEW","")))</f>
        <v/>
      </c>
      <c r="G783" s="23" t="str">
        <f>IF(OR(E783="",E783="!!!"),"",IF(OR(J783=0,AND(J783=1,K783=1),AND(J783=1,I783="SBJ"),AND(J783=1,I783=0)),"?IN_FOCUS",IF(J783&lt;=2,"?ACTIVATED",IF(J783&lt;&gt;"","?FAMILIAR",IF(F783="NEW",IF(ISNA(VLOOKUP(E783,#REF!,1,FALSE())),"?TYPE_IDENTIFIABLE","?REFERENTIAL"),"_")))))</f>
        <v/>
      </c>
      <c r="H783" s="24" t="str">
        <f ca="1">IF(J783&lt;&gt;1,"",IF(I783="SBJ","CB","?"))</f>
        <v/>
      </c>
      <c r="I783" s="25" t="str">
        <f>IF(OR(E783="",E783="!!!",F783="NEW"),"",INDEX(B$2:B782,-1+SUMPRODUCT(MAX(ROW(E$2:E782)*(E783=E$2:E782)))))</f>
        <v/>
      </c>
      <c r="J783" s="25" t="str">
        <f ca="1">IF(OR(E783="",E783="!!!",F783="NEW"),"",COUNTBLANK(OFFSET(A$1,,,SUMPRODUCT(MAX(ROW(E$2:E783)*(E783=E$2:E783)))))-COUNTBLANK(OFFSET(A$1,,,SUMPRODUCT(MAX(ROW(E$1:E782)*(E2=E$1:E782))))))</f>
        <v/>
      </c>
      <c r="K783" s="25" t="str">
        <f>IF(OR(E783="",E783="!!!",F783="NEW"),"",INDEX(J$1:J782,SUMPRODUCT(MAX(ROW(E$1:E782)*(E783=E$1:E782)))))</f>
        <v/>
      </c>
      <c r="L783" s="26"/>
    </row>
    <row r="784" spans="1:12" x14ac:dyDescent="0.3">
      <c r="A784" t="s">
        <v>625</v>
      </c>
    </row>
    <row r="785" spans="1:12" x14ac:dyDescent="0.3">
      <c r="A785" t="s">
        <v>398</v>
      </c>
      <c r="E785" s="21" t="str">
        <f t="shared" ref="E785:E816" si="80">IF(D785="?OLD","!!!","")</f>
        <v/>
      </c>
      <c r="F785" s="22" t="str">
        <f>IF(OR(E785="",E785="!!!"),"",IF(NOT(ISNA(VLOOKUP(E785,E$1:E784,1,FALSE()))),"OLD",IF(AND(E785&lt;&gt;"",E785&lt;&gt;"!!!"),"NEW","")))</f>
        <v/>
      </c>
      <c r="G785" s="23" t="str">
        <f>IF(OR(E785="",E785="!!!"),"",IF(OR(J785=0,AND(J785=1,K785=1),AND(J785=1,I785="SBJ"),AND(J785=1,I785=0)),"?IN_FOCUS",IF(J785&lt;=2,"?ACTIVATED",IF(J785&lt;&gt;"","?FAMILIAR",IF(F785="NEW",IF(ISNA(VLOOKUP(E785,#REF!,1,FALSE())),"?TYPE_IDENTIFIABLE","?REFERENTIAL"),"_")))))</f>
        <v/>
      </c>
      <c r="H785" s="24" t="str">
        <f t="shared" ref="H785:H816" ca="1" si="81">IF(J785&lt;&gt;1,"",IF(I785="SBJ","CB","?"))</f>
        <v/>
      </c>
      <c r="I785" s="25" t="str">
        <f>IF(OR(E785="",E785="!!!",F785="NEW"),"",INDEX(B$2:B784,-1+SUMPRODUCT(MAX(ROW(E$2:E784)*(E785=E$2:E784)))))</f>
        <v/>
      </c>
      <c r="J785" s="25" t="str">
        <f ca="1">IF(OR(E785="",E785="!!!",F785="NEW"),"",COUNTBLANK(OFFSET(A$1,,,SUMPRODUCT(MAX(ROW(E$2:E785)*(E785=E$2:E785)))))-COUNTBLANK(OFFSET(A$1,,,SUMPRODUCT(MAX(ROW(E$1:E784)*(E2=E$1:E784))))))</f>
        <v/>
      </c>
      <c r="K785" s="25" t="str">
        <f>IF(OR(E785="",E785="!!!",F785="NEW"),"",INDEX(J$1:J784,SUMPRODUCT(MAX(ROW(E$1:E784)*(E785=E$1:E784)))))</f>
        <v/>
      </c>
      <c r="L785" s="26"/>
    </row>
    <row r="786" spans="1:12" x14ac:dyDescent="0.3">
      <c r="A786" t="s">
        <v>626</v>
      </c>
      <c r="B786" s="20" t="s">
        <v>201</v>
      </c>
      <c r="C786" s="20" t="s">
        <v>216</v>
      </c>
      <c r="D786" s="20" t="s">
        <v>186</v>
      </c>
      <c r="E786" s="21" t="s">
        <v>777</v>
      </c>
      <c r="F786" s="22" t="str">
        <f>IF(OR(E786="",E786="!!!"),"",IF(NOT(ISNA(VLOOKUP(E786,E$1:E785,1,FALSE()))),"OLD",IF(AND(E786&lt;&gt;"",E786&lt;&gt;"!!!"),"NEW","")))</f>
        <v>OLD</v>
      </c>
      <c r="G786" s="23" t="s">
        <v>723</v>
      </c>
      <c r="H786" s="24" t="str">
        <f t="shared" ca="1" si="81"/>
        <v/>
      </c>
      <c r="I786" s="25" t="str">
        <f>IF(OR(E786="",E786="!!!",F786="NEW"),"",INDEX(B$2:B785,-1+SUMPRODUCT(MAX(ROW(E$2:E785)*(E786=E$2:E785)))))</f>
        <v>SBJ</v>
      </c>
      <c r="J786" s="25">
        <f ca="1">IF(OR(E786="",E786="!!!",F786="NEW"),"",COUNTBLANK(OFFSET(A$1,,,SUMPRODUCT(MAX(ROW(E$2:E786)*(E786=E$2:E786)))))-COUNTBLANK(OFFSET(A$1,,,SUMPRODUCT(MAX(ROW(E$1:E785)*(E2=E$1:E785))))))</f>
        <v>0</v>
      </c>
      <c r="K786" s="25">
        <f ca="1">IF(OR(E786="",E786="!!!",F786="NEW"),"",INDEX(J$1:J785,SUMPRODUCT(MAX(ROW(E$1:E785)*(E786=E$1:E785)))))</f>
        <v>0</v>
      </c>
      <c r="L786" s="26"/>
    </row>
    <row r="787" spans="1:12" x14ac:dyDescent="0.3">
      <c r="A787" t="s">
        <v>258</v>
      </c>
      <c r="E787" s="21" t="str">
        <f t="shared" si="80"/>
        <v/>
      </c>
      <c r="F787" s="22" t="str">
        <f>IF(OR(E787="",E787="!!!"),"",IF(NOT(ISNA(VLOOKUP(E787,E$1:E786,1,FALSE()))),"OLD",IF(AND(E787&lt;&gt;"",E787&lt;&gt;"!!!"),"NEW","")))</f>
        <v/>
      </c>
      <c r="G787" s="23" t="str">
        <f>IF(OR(E787="",E787="!!!"),"",IF(OR(J787=0,AND(J787=1,K787=1),AND(J787=1,I787="SBJ"),AND(J787=1,I787=0)),"?IN_FOCUS",IF(J787&lt;=2,"?ACTIVATED",IF(J787&lt;&gt;"","?FAMILIAR",IF(F787="NEW",IF(ISNA(VLOOKUP(E787,#REF!,1,FALSE())),"?TYPE_IDENTIFIABLE","?REFERENTIAL"),"_")))))</f>
        <v/>
      </c>
      <c r="H787" s="24" t="str">
        <f t="shared" ca="1" si="81"/>
        <v/>
      </c>
      <c r="I787" s="25" t="str">
        <f>IF(OR(E787="",E787="!!!",F787="NEW"),"",INDEX(B$2:B786,-1+SUMPRODUCT(MAX(ROW(E$2:E786)*(E787=E$2:E786)))))</f>
        <v/>
      </c>
      <c r="J787" s="25" t="str">
        <f ca="1">IF(OR(E787="",E787="!!!",F787="NEW"),"",COUNTBLANK(OFFSET(A$1,,,SUMPRODUCT(MAX(ROW(E$2:E787)*(E787=E$2:E787)))))-COUNTBLANK(OFFSET(A$1,,,SUMPRODUCT(MAX(ROW(E$1:E786)*(E2=E$1:E786))))))</f>
        <v/>
      </c>
      <c r="K787" s="25" t="str">
        <f>IF(OR(E787="",E787="!!!",F787="NEW"),"",INDEX(J$1:J786,SUMPRODUCT(MAX(ROW(E$1:E786)*(E787=E$1:E786)))))</f>
        <v/>
      </c>
      <c r="L787" s="26"/>
    </row>
    <row r="788" spans="1:12" x14ac:dyDescent="0.3">
      <c r="A788" t="s">
        <v>627</v>
      </c>
      <c r="B788" s="20" t="s">
        <v>219</v>
      </c>
      <c r="C788" s="20" t="s">
        <v>275</v>
      </c>
      <c r="D788" s="20" t="s">
        <v>186</v>
      </c>
      <c r="E788" s="21"/>
      <c r="F788" s="22" t="str">
        <f>IF(OR(E788="",E788="!!!"),"",IF(NOT(ISNA(VLOOKUP(E788,E$1:E787,1,FALSE()))),"OLD",IF(AND(E788&lt;&gt;"",E788&lt;&gt;"!!!"),"NEW","")))</f>
        <v/>
      </c>
      <c r="G788" s="23" t="str">
        <f>IF(OR(E788="",E788="!!!"),"",IF(OR(J788=0,AND(J788=1,K788=1),AND(J788=1,I788="SBJ"),AND(J788=1,I788=0)),"?IN_FOCUS",IF(J788&lt;=2,"?ACTIVATED",IF(J788&lt;&gt;"","?FAMILIAR",IF(F788="NEW",IF(ISNA(VLOOKUP(E788,#REF!,1,FALSE())),"?TYPE_IDENTIFIABLE","?REFERENTIAL"),"_")))))</f>
        <v/>
      </c>
      <c r="H788" s="24" t="str">
        <f t="shared" ca="1" si="81"/>
        <v/>
      </c>
      <c r="I788" s="25" t="str">
        <f>IF(OR(E788="",E788="!!!",F788="NEW"),"",INDEX(B$2:B787,-1+SUMPRODUCT(MAX(ROW(E$2:E787)*(E788=E$2:E787)))))</f>
        <v/>
      </c>
      <c r="J788" s="25" t="str">
        <f ca="1">IF(OR(E788="",E788="!!!",F788="NEW"),"",COUNTBLANK(OFFSET(A$1,,,SUMPRODUCT(MAX(ROW(E$2:E788)*(E788=E$2:E788)))))-COUNTBLANK(OFFSET(A$1,,,SUMPRODUCT(MAX(ROW(E$1:E787)*(E2=E$1:E787))))))</f>
        <v/>
      </c>
      <c r="K788" s="25" t="str">
        <f>IF(OR(E788="",E788="!!!",F788="NEW"),"",INDEX(J$1:J787,SUMPRODUCT(MAX(ROW(E$1:E787)*(E788=E$1:E787)))))</f>
        <v/>
      </c>
      <c r="L788" s="26" t="s">
        <v>757</v>
      </c>
    </row>
    <row r="789" spans="1:12" x14ac:dyDescent="0.3">
      <c r="A789" t="s">
        <v>628</v>
      </c>
      <c r="E789" s="21" t="str">
        <f t="shared" si="80"/>
        <v/>
      </c>
      <c r="F789" s="22" t="str">
        <f>IF(OR(E789="",E789="!!!"),"",IF(NOT(ISNA(VLOOKUP(E789,E$1:E788,1,FALSE()))),"OLD",IF(AND(E789&lt;&gt;"",E789&lt;&gt;"!!!"),"NEW","")))</f>
        <v/>
      </c>
      <c r="G789" s="23" t="str">
        <f>IF(OR(E789="",E789="!!!"),"",IF(OR(J789=0,AND(J789=1,K789=1),AND(J789=1,I789="SBJ"),AND(J789=1,I789=0)),"?IN_FOCUS",IF(J789&lt;=2,"?ACTIVATED",IF(J789&lt;&gt;"","?FAMILIAR",IF(F789="NEW",IF(ISNA(VLOOKUP(E789,#REF!,1,FALSE())),"?TYPE_IDENTIFIABLE","?REFERENTIAL"),"_")))))</f>
        <v/>
      </c>
      <c r="H789" s="24" t="str">
        <f t="shared" ca="1" si="81"/>
        <v/>
      </c>
      <c r="I789" s="25" t="str">
        <f>IF(OR(E789="",E789="!!!",F789="NEW"),"",INDEX(B$2:B788,-1+SUMPRODUCT(MAX(ROW(E$2:E788)*(E789=E$2:E788)))))</f>
        <v/>
      </c>
      <c r="J789" s="25" t="str">
        <f ca="1">IF(OR(E789="",E789="!!!",F789="NEW"),"",COUNTBLANK(OFFSET(A$1,,,SUMPRODUCT(MAX(ROW(E$2:E789)*(E789=E$2:E789)))))-COUNTBLANK(OFFSET(A$1,,,SUMPRODUCT(MAX(ROW(E$1:E788)*(E2=E$1:E788))))))</f>
        <v/>
      </c>
      <c r="K789" s="25" t="str">
        <f>IF(OR(E789="",E789="!!!",F789="NEW"),"",INDEX(J$1:J788,SUMPRODUCT(MAX(ROW(E$1:E788)*(E789=E$1:E788)))))</f>
        <v/>
      </c>
      <c r="L789" s="26"/>
    </row>
    <row r="790" spans="1:12" x14ac:dyDescent="0.3">
      <c r="A790" t="s">
        <v>629</v>
      </c>
      <c r="B790" s="20" t="s">
        <v>196</v>
      </c>
      <c r="C790" s="20" t="s">
        <v>277</v>
      </c>
      <c r="D790" s="20" t="s">
        <v>186</v>
      </c>
      <c r="E790" s="21" t="s">
        <v>766</v>
      </c>
      <c r="F790" s="22" t="str">
        <f>IF(OR(E790="",E790="!!!"),"",IF(NOT(ISNA(VLOOKUP(E790,E$1:E789,1,FALSE()))),"OLD",IF(AND(E790&lt;&gt;"",E790&lt;&gt;"!!!"),"NEW","")))</f>
        <v>OLD</v>
      </c>
      <c r="G790" s="23" t="s">
        <v>723</v>
      </c>
      <c r="H790" s="24" t="str">
        <f t="shared" ca="1" si="81"/>
        <v/>
      </c>
      <c r="I790" s="25">
        <f>IF(OR(E790="",E790="!!!",F790="NEW"),"",INDEX(B$2:B789,-1+SUMPRODUCT(MAX(ROW(E$2:E789)*(E790=E$2:E789)))))</f>
        <v>0</v>
      </c>
      <c r="J790" s="25">
        <f ca="1">IF(OR(E790="",E790="!!!",F790="NEW"),"",COUNTBLANK(OFFSET(A$1,,,SUMPRODUCT(MAX(ROW(E$2:E790)*(E790=E$2:E790)))))-COUNTBLANK(OFFSET(A$1,,,SUMPRODUCT(MAX(ROW(E$1:E789)*(E2=E$1:E789))))))</f>
        <v>0</v>
      </c>
      <c r="K790" s="25" t="str">
        <f ca="1">IF(OR(E790="",E790="!!!",F790="NEW"),"",INDEX(J$1:J789,SUMPRODUCT(MAX(ROW(E$1:E789)*(E790=E$1:E789)))))</f>
        <v/>
      </c>
      <c r="L790" s="26"/>
    </row>
    <row r="791" spans="1:12" x14ac:dyDescent="0.3">
      <c r="A791" t="s">
        <v>223</v>
      </c>
      <c r="E791" s="21" t="str">
        <f t="shared" si="80"/>
        <v/>
      </c>
      <c r="F791" s="22" t="str">
        <f>IF(OR(E791="",E791="!!!"),"",IF(NOT(ISNA(VLOOKUP(E791,E$1:E790,1,FALSE()))),"OLD",IF(AND(E791&lt;&gt;"",E791&lt;&gt;"!!!"),"NEW","")))</f>
        <v/>
      </c>
      <c r="G791" s="23" t="str">
        <f>IF(OR(E791="",E791="!!!"),"",IF(OR(J791=0,AND(J791=1,K791=1),AND(J791=1,I791="SBJ"),AND(J791=1,I791=0)),"?IN_FOCUS",IF(J791&lt;=2,"?ACTIVATED",IF(J791&lt;&gt;"","?FAMILIAR",IF(F791="NEW",IF(ISNA(VLOOKUP(E791,#REF!,1,FALSE())),"?TYPE_IDENTIFIABLE","?REFERENTIAL"),"_")))))</f>
        <v/>
      </c>
      <c r="H791" s="24" t="str">
        <f t="shared" ca="1" si="81"/>
        <v/>
      </c>
      <c r="I791" s="25" t="str">
        <f>IF(OR(E791="",E791="!!!",F791="NEW"),"",INDEX(B$2:B790,-1+SUMPRODUCT(MAX(ROW(E$2:E790)*(E791=E$2:E790)))))</f>
        <v/>
      </c>
      <c r="J791" s="25" t="str">
        <f ca="1">IF(OR(E791="",E791="!!!",F791="NEW"),"",COUNTBLANK(OFFSET(A$1,,,SUMPRODUCT(MAX(ROW(E$2:E791)*(E791=E$2:E791)))))-COUNTBLANK(OFFSET(A$1,,,SUMPRODUCT(MAX(ROW(E$1:E790)*(E2=E$1:E790))))))</f>
        <v/>
      </c>
      <c r="K791" s="25" t="str">
        <f>IF(OR(E791="",E791="!!!",F791="NEW"),"",INDEX(J$1:J790,SUMPRODUCT(MAX(ROW(E$1:E790)*(E791=E$1:E790)))))</f>
        <v/>
      </c>
      <c r="L791" s="26"/>
    </row>
    <row r="792" spans="1:12" x14ac:dyDescent="0.3">
      <c r="A792" t="s">
        <v>224</v>
      </c>
      <c r="E792" s="21" t="str">
        <f t="shared" si="80"/>
        <v/>
      </c>
      <c r="F792" s="22" t="str">
        <f>IF(OR(E792="",E792="!!!"),"",IF(NOT(ISNA(VLOOKUP(E792,E$1:E791,1,FALSE()))),"OLD",IF(AND(E792&lt;&gt;"",E792&lt;&gt;"!!!"),"NEW","")))</f>
        <v/>
      </c>
      <c r="G792" s="23" t="str">
        <f>IF(OR(E792="",E792="!!!"),"",IF(OR(J792=0,AND(J792=1,K792=1),AND(J792=1,I792="SBJ"),AND(J792=1,I792=0)),"?IN_FOCUS",IF(J792&lt;=2,"?ACTIVATED",IF(J792&lt;&gt;"","?FAMILIAR",IF(F792="NEW",IF(ISNA(VLOOKUP(E792,#REF!,1,FALSE())),"?TYPE_IDENTIFIABLE","?REFERENTIAL"),"_")))))</f>
        <v/>
      </c>
      <c r="H792" s="24" t="str">
        <f t="shared" ca="1" si="81"/>
        <v/>
      </c>
      <c r="I792" s="25" t="str">
        <f>IF(OR(E792="",E792="!!!",F792="NEW"),"",INDEX(B$2:B791,-1+SUMPRODUCT(MAX(ROW(E$2:E791)*(E792=E$2:E791)))))</f>
        <v/>
      </c>
      <c r="J792" s="25" t="str">
        <f ca="1">IF(OR(E792="",E792="!!!",F792="NEW"),"",COUNTBLANK(OFFSET(A$1,,,SUMPRODUCT(MAX(ROW(E$2:E792)*(E792=E$2:E792)))))-COUNTBLANK(OFFSET(A$1,,,SUMPRODUCT(MAX(ROW(E$1:E791)*(E2=E$1:E791))))))</f>
        <v/>
      </c>
      <c r="K792" s="25" t="str">
        <f>IF(OR(E792="",E792="!!!",F792="NEW"),"",INDEX(J$1:J791,SUMPRODUCT(MAX(ROW(E$1:E791)*(E792=E$1:E791)))))</f>
        <v/>
      </c>
      <c r="L792" s="26"/>
    </row>
    <row r="793" spans="1:12" x14ac:dyDescent="0.3">
      <c r="A793" t="s">
        <v>630</v>
      </c>
      <c r="B793" s="20" t="s">
        <v>219</v>
      </c>
      <c r="C793" s="20" t="s">
        <v>216</v>
      </c>
      <c r="D793" s="20" t="s">
        <v>186</v>
      </c>
      <c r="E793" s="21" t="s">
        <v>784</v>
      </c>
      <c r="F793" s="22" t="str">
        <f>IF(OR(E793="",E793="!!!"),"",IF(NOT(ISNA(VLOOKUP(E793,E$1:E792,1,FALSE()))),"OLD",IF(AND(E793&lt;&gt;"",E793&lt;&gt;"!!!"),"NEW","")))</f>
        <v>NEW</v>
      </c>
      <c r="G793" s="23" t="s">
        <v>723</v>
      </c>
      <c r="H793" s="24" t="str">
        <f t="shared" ca="1" si="81"/>
        <v/>
      </c>
      <c r="I793" s="25" t="str">
        <f>IF(OR(E793="",E793="!!!",F793="NEW"),"",INDEX(B$2:B792,-1+SUMPRODUCT(MAX(ROW(E$2:E792)*(E793=E$2:E792)))))</f>
        <v/>
      </c>
      <c r="J793" s="25" t="str">
        <f ca="1">IF(OR(E793="",E793="!!!",F793="NEW"),"",COUNTBLANK(OFFSET(A$1,,,SUMPRODUCT(MAX(ROW(E$2:E793)*(E793=E$2:E793)))))-COUNTBLANK(OFFSET(A$1,,,SUMPRODUCT(MAX(ROW(E$1:E792)*(E2=E$1:E792))))))</f>
        <v/>
      </c>
      <c r="K793" s="25" t="str">
        <f>IF(OR(E793="",E793="!!!",F793="NEW"),"",INDEX(J$1:J792,SUMPRODUCT(MAX(ROW(E$1:E792)*(E793=E$1:E792)))))</f>
        <v/>
      </c>
      <c r="L793" s="26"/>
    </row>
    <row r="794" spans="1:12" x14ac:dyDescent="0.3">
      <c r="A794" t="s">
        <v>631</v>
      </c>
      <c r="E794" s="21" t="str">
        <f t="shared" si="80"/>
        <v/>
      </c>
      <c r="F794" s="22" t="str">
        <f>IF(OR(E794="",E794="!!!"),"",IF(NOT(ISNA(VLOOKUP(E794,E$1:E793,1,FALSE()))),"OLD",IF(AND(E794&lt;&gt;"",E794&lt;&gt;"!!!"),"NEW","")))</f>
        <v/>
      </c>
      <c r="G794" s="23" t="str">
        <f>IF(OR(E794="",E794="!!!"),"",IF(OR(J794=0,AND(J794=1,K794=1),AND(J794=1,I794="SBJ"),AND(J794=1,I794=0)),"?IN_FOCUS",IF(J794&lt;=2,"?ACTIVATED",IF(J794&lt;&gt;"","?FAMILIAR",IF(F794="NEW",IF(ISNA(VLOOKUP(E794,#REF!,1,FALSE())),"?TYPE_IDENTIFIABLE","?REFERENTIAL"),"_")))))</f>
        <v/>
      </c>
      <c r="H794" s="24" t="str">
        <f t="shared" ca="1" si="81"/>
        <v/>
      </c>
      <c r="I794" s="25" t="str">
        <f>IF(OR(E794="",E794="!!!",F794="NEW"),"",INDEX(B$2:B793,-1+SUMPRODUCT(MAX(ROW(E$2:E793)*(E794=E$2:E793)))))</f>
        <v/>
      </c>
      <c r="J794" s="25" t="str">
        <f ca="1">IF(OR(E794="",E794="!!!",F794="NEW"),"",COUNTBLANK(OFFSET(A$1,,,SUMPRODUCT(MAX(ROW(E$2:E794)*(E794=E$2:E794)))))-COUNTBLANK(OFFSET(A$1,,,SUMPRODUCT(MAX(ROW(E$1:E793)*(E2=E$1:E793))))))</f>
        <v/>
      </c>
      <c r="K794" s="25" t="str">
        <f>IF(OR(E794="",E794="!!!",F794="NEW"),"",INDEX(J$1:J793,SUMPRODUCT(MAX(ROW(E$1:E793)*(E794=E$1:E793)))))</f>
        <v/>
      </c>
      <c r="L794" s="26"/>
    </row>
    <row r="795" spans="1:12" x14ac:dyDescent="0.3">
      <c r="A795" t="s">
        <v>320</v>
      </c>
      <c r="E795" s="21" t="str">
        <f t="shared" si="80"/>
        <v/>
      </c>
      <c r="F795" s="22" t="str">
        <f>IF(OR(E795="",E795="!!!"),"",IF(NOT(ISNA(VLOOKUP(E795,E$1:E794,1,FALSE()))),"OLD",IF(AND(E795&lt;&gt;"",E795&lt;&gt;"!!!"),"NEW","")))</f>
        <v/>
      </c>
      <c r="G795" s="23" t="str">
        <f>IF(OR(E795="",E795="!!!"),"",IF(OR(J795=0,AND(J795=1,K795=1),AND(J795=1,I795="SBJ"),AND(J795=1,I795=0)),"?IN_FOCUS",IF(J795&lt;=2,"?ACTIVATED",IF(J795&lt;&gt;"","?FAMILIAR",IF(F795="NEW",IF(ISNA(VLOOKUP(E795,#REF!,1,FALSE())),"?TYPE_IDENTIFIABLE","?REFERENTIAL"),"_")))))</f>
        <v/>
      </c>
      <c r="H795" s="24" t="str">
        <f t="shared" ca="1" si="81"/>
        <v/>
      </c>
      <c r="I795" s="25" t="str">
        <f>IF(OR(E795="",E795="!!!",F795="NEW"),"",INDEX(B$2:B794,-1+SUMPRODUCT(MAX(ROW(E$2:E794)*(E795=E$2:E794)))))</f>
        <v/>
      </c>
      <c r="J795" s="25" t="str">
        <f ca="1">IF(OR(E795="",E795="!!!",F795="NEW"),"",COUNTBLANK(OFFSET(A$1,,,SUMPRODUCT(MAX(ROW(E$2:E795)*(E795=E$2:E795)))))-COUNTBLANK(OFFSET(A$1,,,SUMPRODUCT(MAX(ROW(E$1:E794)*(E2=E$1:E794))))))</f>
        <v/>
      </c>
      <c r="K795" s="25" t="str">
        <f>IF(OR(E795="",E795="!!!",F795="NEW"),"",INDEX(J$1:J794,SUMPRODUCT(MAX(ROW(E$1:E794)*(E795=E$1:E794)))))</f>
        <v/>
      </c>
      <c r="L795" s="26"/>
    </row>
    <row r="796" spans="1:12" x14ac:dyDescent="0.3">
      <c r="A796" t="s">
        <v>183</v>
      </c>
      <c r="B796" s="20" t="s">
        <v>208</v>
      </c>
      <c r="C796" s="20" t="s">
        <v>185</v>
      </c>
      <c r="D796" s="20" t="s">
        <v>186</v>
      </c>
      <c r="E796" s="21" t="s">
        <v>721</v>
      </c>
      <c r="F796" s="22" t="str">
        <f>IF(OR(E796="",E796="!!!"),"",IF(NOT(ISNA(VLOOKUP(E796,E$1:E795,1,FALSE()))),"OLD",IF(AND(E796&lt;&gt;"",E796&lt;&gt;"!!!"),"NEW","")))</f>
        <v>OLD</v>
      </c>
      <c r="G796" s="23" t="s">
        <v>723</v>
      </c>
      <c r="H796" s="24" t="str">
        <f t="shared" ca="1" si="81"/>
        <v/>
      </c>
      <c r="I796" s="25" t="str">
        <f>IF(OR(E796="",E796="!!!",F796="NEW"),"",INDEX(B$2:B795,-1+SUMPRODUCT(MAX(ROW(E$2:E795)*(E796=E$2:E795)))))</f>
        <v>other</v>
      </c>
      <c r="J796" s="25">
        <f ca="1">IF(OR(E796="",E796="!!!",F796="NEW"),"",COUNTBLANK(OFFSET(A$1,,,SUMPRODUCT(MAX(ROW(E$2:E796)*(E796=E$2:E796)))))-COUNTBLANK(OFFSET(A$1,,,SUMPRODUCT(MAX(ROW(E$1:E795)*(E2=E$1:E795))))))</f>
        <v>0</v>
      </c>
      <c r="K796" s="25">
        <f ca="1">IF(OR(E796="",E796="!!!",F796="NEW"),"",INDEX(J$1:J795,SUMPRODUCT(MAX(ROW(E$1:E795)*(E796=E$1:E795)))))</f>
        <v>0</v>
      </c>
      <c r="L796" s="26"/>
    </row>
    <row r="797" spans="1:12" x14ac:dyDescent="0.3">
      <c r="A797" t="s">
        <v>187</v>
      </c>
      <c r="E797" s="21" t="str">
        <f t="shared" si="80"/>
        <v/>
      </c>
      <c r="F797" s="22" t="str">
        <f>IF(OR(E797="",E797="!!!"),"",IF(NOT(ISNA(VLOOKUP(E797,E$1:E796,1,FALSE()))),"OLD",IF(AND(E797&lt;&gt;"",E797&lt;&gt;"!!!"),"NEW","")))</f>
        <v/>
      </c>
      <c r="G797" s="23" t="str">
        <f>IF(OR(E797="",E797="!!!"),"",IF(OR(J797=0,AND(J797=1,K797=1),AND(J797=1,I797="SBJ"),AND(J797=1,I797=0)),"?IN_FOCUS",IF(J797&lt;=2,"?ACTIVATED",IF(J797&lt;&gt;"","?FAMILIAR",IF(F797="NEW",IF(ISNA(VLOOKUP(E797,#REF!,1,FALSE())),"?TYPE_IDENTIFIABLE","?REFERENTIAL"),"_")))))</f>
        <v/>
      </c>
      <c r="H797" s="24" t="str">
        <f t="shared" ca="1" si="81"/>
        <v/>
      </c>
      <c r="I797" s="25" t="str">
        <f>IF(OR(E797="",E797="!!!",F797="NEW"),"",INDEX(B$2:B796,-1+SUMPRODUCT(MAX(ROW(E$2:E796)*(E797=E$2:E796)))))</f>
        <v/>
      </c>
      <c r="J797" s="25" t="str">
        <f ca="1">IF(OR(E797="",E797="!!!",F797="NEW"),"",COUNTBLANK(OFFSET(A$1,,,SUMPRODUCT(MAX(ROW(E$2:E797)*(E797=E$2:E797)))))-COUNTBLANK(OFFSET(A$1,,,SUMPRODUCT(MAX(ROW(E$1:E796)*(E2=E$1:E796))))))</f>
        <v/>
      </c>
      <c r="K797" s="25" t="str">
        <f>IF(OR(E797="",E797="!!!",F797="NEW"),"",INDEX(J$1:J796,SUMPRODUCT(MAX(ROW(E$1:E796)*(E797=E$1:E796)))))</f>
        <v/>
      </c>
      <c r="L797" s="26"/>
    </row>
    <row r="798" spans="1:12" x14ac:dyDescent="0.3">
      <c r="A798" t="s">
        <v>218</v>
      </c>
      <c r="E798" s="21" t="str">
        <f t="shared" si="80"/>
        <v/>
      </c>
      <c r="F798" s="22" t="str">
        <f>IF(OR(E798="",E798="!!!"),"",IF(NOT(ISNA(VLOOKUP(E798,E$1:E797,1,FALSE()))),"OLD",IF(AND(E798&lt;&gt;"",E798&lt;&gt;"!!!"),"NEW","")))</f>
        <v/>
      </c>
      <c r="G798" s="23" t="str">
        <f>IF(OR(E798="",E798="!!!"),"",IF(OR(J798=0,AND(J798=1,K798=1),AND(J798=1,I798="SBJ"),AND(J798=1,I798=0)),"?IN_FOCUS",IF(J798&lt;=2,"?ACTIVATED",IF(J798&lt;&gt;"","?FAMILIAR",IF(F798="NEW",IF(ISNA(VLOOKUP(E798,#REF!,1,FALSE())),"?TYPE_IDENTIFIABLE","?REFERENTIAL"),"_")))))</f>
        <v/>
      </c>
      <c r="H798" s="24" t="str">
        <f t="shared" ca="1" si="81"/>
        <v/>
      </c>
      <c r="I798" s="25" t="str">
        <f>IF(OR(E798="",E798="!!!",F798="NEW"),"",INDEX(B$2:B797,-1+SUMPRODUCT(MAX(ROW(E$2:E797)*(E798=E$2:E797)))))</f>
        <v/>
      </c>
      <c r="J798" s="25" t="str">
        <f ca="1">IF(OR(E798="",E798="!!!",F798="NEW"),"",COUNTBLANK(OFFSET(A$1,,,SUMPRODUCT(MAX(ROW(E$2:E798)*(E798=E$2:E798)))))-COUNTBLANK(OFFSET(A$1,,,SUMPRODUCT(MAX(ROW(E$1:E797)*(E2=E$1:E797))))))</f>
        <v/>
      </c>
      <c r="K798" s="25" t="str">
        <f>IF(OR(E798="",E798="!!!",F798="NEW"),"",INDEX(J$1:J797,SUMPRODUCT(MAX(ROW(E$1:E797)*(E798=E$1:E797)))))</f>
        <v/>
      </c>
      <c r="L798" s="26"/>
    </row>
    <row r="799" spans="1:12" x14ac:dyDescent="0.3">
      <c r="A799" t="s">
        <v>188</v>
      </c>
      <c r="B799" s="20" t="s">
        <v>219</v>
      </c>
      <c r="C799" s="20" t="s">
        <v>185</v>
      </c>
      <c r="D799" s="20" t="s">
        <v>186</v>
      </c>
      <c r="E799" s="21" t="s">
        <v>722</v>
      </c>
      <c r="F799" s="22" t="str">
        <f>IF(OR(E799="",E799="!!!"),"",IF(NOT(ISNA(VLOOKUP(E799,E$1:E798,1,FALSE()))),"OLD",IF(AND(E799&lt;&gt;"",E799&lt;&gt;"!!!"),"NEW","")))</f>
        <v>OLD</v>
      </c>
      <c r="G799" s="23" t="s">
        <v>723</v>
      </c>
      <c r="H799" s="24" t="str">
        <f t="shared" ca="1" si="81"/>
        <v/>
      </c>
      <c r="I799" s="25" t="str">
        <f>IF(OR(E799="",E799="!!!",F799="NEW"),"",INDEX(B$2:B798,-1+SUMPRODUCT(MAX(ROW(E$2:E798)*(E799=E$2:E798)))))</f>
        <v>other_8</v>
      </c>
      <c r="J799" s="25">
        <f ca="1">IF(OR(E799="",E799="!!!",F799="NEW"),"",COUNTBLANK(OFFSET(A$1,,,SUMPRODUCT(MAX(ROW(E$2:E799)*(E799=E$2:E799)))))-COUNTBLANK(OFFSET(A$1,,,SUMPRODUCT(MAX(ROW(E$1:E798)*(E2=E$1:E798))))))</f>
        <v>0</v>
      </c>
      <c r="K799" s="25">
        <f ca="1">IF(OR(E799="",E799="!!!",F799="NEW"),"",INDEX(J$1:J798,SUMPRODUCT(MAX(ROW(E$1:E798)*(E799=E$1:E798)))))</f>
        <v>0</v>
      </c>
      <c r="L799" s="26"/>
    </row>
    <row r="800" spans="1:12" x14ac:dyDescent="0.3">
      <c r="A800" t="s">
        <v>206</v>
      </c>
      <c r="E800" s="21" t="str">
        <f t="shared" si="80"/>
        <v/>
      </c>
      <c r="F800" s="22" t="str">
        <f>IF(OR(E800="",E800="!!!"),"",IF(NOT(ISNA(VLOOKUP(E800,E$1:E799,1,FALSE()))),"OLD",IF(AND(E800&lt;&gt;"",E800&lt;&gt;"!!!"),"NEW","")))</f>
        <v/>
      </c>
      <c r="G800" s="23" t="str">
        <f>IF(OR(E800="",E800="!!!"),"",IF(OR(J800=0,AND(J800=1,K800=1),AND(J800=1,I800="SBJ"),AND(J800=1,I800=0)),"?IN_FOCUS",IF(J800&lt;=2,"?ACTIVATED",IF(J800&lt;&gt;"","?FAMILIAR",IF(F800="NEW",IF(ISNA(VLOOKUP(E800,#REF!,1,FALSE())),"?TYPE_IDENTIFIABLE","?REFERENTIAL"),"_")))))</f>
        <v/>
      </c>
      <c r="H800" s="24" t="str">
        <f t="shared" ca="1" si="81"/>
        <v/>
      </c>
      <c r="I800" s="25" t="str">
        <f>IF(OR(E800="",E800="!!!",F800="NEW"),"",INDEX(B$2:B799,-1+SUMPRODUCT(MAX(ROW(E$2:E799)*(E800=E$2:E799)))))</f>
        <v/>
      </c>
      <c r="J800" s="25" t="str">
        <f ca="1">IF(OR(E800="",E800="!!!",F800="NEW"),"",COUNTBLANK(OFFSET(A$1,,,SUMPRODUCT(MAX(ROW(E$2:E800)*(E800=E$2:E800)))))-COUNTBLANK(OFFSET(A$1,,,SUMPRODUCT(MAX(ROW(E$1:E799)*(E2=E$1:E799))))))</f>
        <v/>
      </c>
      <c r="K800" s="25" t="str">
        <f>IF(OR(E800="",E800="!!!",F800="NEW"),"",INDEX(J$1:J799,SUMPRODUCT(MAX(ROW(E$1:E799)*(E800=E$1:E799)))))</f>
        <v/>
      </c>
      <c r="L800" s="26"/>
    </row>
    <row r="801" spans="1:12" x14ac:dyDescent="0.3">
      <c r="A801" t="s">
        <v>204</v>
      </c>
      <c r="B801" s="20" t="s">
        <v>632</v>
      </c>
      <c r="C801" s="20" t="s">
        <v>252</v>
      </c>
      <c r="D801" s="20" t="s">
        <v>186</v>
      </c>
      <c r="E801" s="21"/>
      <c r="F801" s="22" t="str">
        <f>IF(OR(E801="",E801="!!!"),"",IF(NOT(ISNA(VLOOKUP(E801,E$1:E800,1,FALSE()))),"OLD",IF(AND(E801&lt;&gt;"",E801&lt;&gt;"!!!"),"NEW","")))</f>
        <v/>
      </c>
      <c r="G801" s="23" t="str">
        <f>IF(OR(E801="",E801="!!!"),"",IF(OR(J801=0,AND(J801=1,K801=1),AND(J801=1,I801="SBJ"),AND(J801=1,I801=0)),"?IN_FOCUS",IF(J801&lt;=2,"?ACTIVATED",IF(J801&lt;&gt;"","?FAMILIAR",IF(F801="NEW",IF(ISNA(VLOOKUP(E801,#REF!,1,FALSE())),"?TYPE_IDENTIFIABLE","?REFERENTIAL"),"_")))))</f>
        <v/>
      </c>
      <c r="H801" s="24" t="str">
        <f t="shared" ca="1" si="81"/>
        <v/>
      </c>
      <c r="I801" s="25" t="str">
        <f>IF(OR(E801="",E801="!!!",F801="NEW"),"",INDEX(B$2:B800,-1+SUMPRODUCT(MAX(ROW(E$2:E800)*(E801=E$2:E800)))))</f>
        <v/>
      </c>
      <c r="J801" s="25" t="str">
        <f ca="1">IF(OR(E801="",E801="!!!",F801="NEW"),"",COUNTBLANK(OFFSET(A$1,,,SUMPRODUCT(MAX(ROW(E$2:E801)*(E801=E$2:E801)))))-COUNTBLANK(OFFSET(A$1,,,SUMPRODUCT(MAX(ROW(E$1:E800)*(E2=E$1:E800))))))</f>
        <v/>
      </c>
      <c r="K801" s="25" t="str">
        <f>IF(OR(E801="",E801="!!!",F801="NEW"),"",INDEX(J$1:J800,SUMPRODUCT(MAX(ROW(E$1:E800)*(E801=E$1:E800)))))</f>
        <v/>
      </c>
      <c r="L801" s="26" t="s">
        <v>738</v>
      </c>
    </row>
    <row r="802" spans="1:12" x14ac:dyDescent="0.3">
      <c r="A802" t="s">
        <v>206</v>
      </c>
      <c r="E802" s="21" t="str">
        <f t="shared" si="80"/>
        <v/>
      </c>
      <c r="F802" s="22" t="str">
        <f>IF(OR(E802="",E802="!!!"),"",IF(NOT(ISNA(VLOOKUP(E802,E$1:E801,1,FALSE()))),"OLD",IF(AND(E802&lt;&gt;"",E802&lt;&gt;"!!!"),"NEW","")))</f>
        <v/>
      </c>
      <c r="G802" s="23" t="str">
        <f>IF(OR(E802="",E802="!!!"),"",IF(OR(J802=0,AND(J802=1,K802=1),AND(J802=1,I802="SBJ"),AND(J802=1,I802=0)),"?IN_FOCUS",IF(J802&lt;=2,"?ACTIVATED",IF(J802&lt;&gt;"","?FAMILIAR",IF(F802="NEW",IF(ISNA(VLOOKUP(E802,#REF!,1,FALSE())),"?TYPE_IDENTIFIABLE","?REFERENTIAL"),"_")))))</f>
        <v/>
      </c>
      <c r="H802" s="24" t="str">
        <f t="shared" ca="1" si="81"/>
        <v/>
      </c>
      <c r="I802" s="25" t="str">
        <f>IF(OR(E802="",E802="!!!",F802="NEW"),"",INDEX(B$2:B801,-1+SUMPRODUCT(MAX(ROW(E$2:E801)*(E802=E$2:E801)))))</f>
        <v/>
      </c>
      <c r="J802" s="25" t="str">
        <f ca="1">IF(OR(E802="",E802="!!!",F802="NEW"),"",COUNTBLANK(OFFSET(A$1,,,SUMPRODUCT(MAX(ROW(E$2:E802)*(E802=E$2:E802)))))-COUNTBLANK(OFFSET(A$1,,,SUMPRODUCT(MAX(ROW(E$1:E801)*(E2=E$1:E801))))))</f>
        <v/>
      </c>
      <c r="K802" s="25" t="str">
        <f>IF(OR(E802="",E802="!!!",F802="NEW"),"",INDEX(J$1:J801,SUMPRODUCT(MAX(ROW(E$1:E801)*(E802=E$1:E801)))))</f>
        <v/>
      </c>
      <c r="L802" s="26"/>
    </row>
    <row r="803" spans="1:12" x14ac:dyDescent="0.3">
      <c r="A803" t="s">
        <v>633</v>
      </c>
      <c r="E803" s="21" t="str">
        <f t="shared" si="80"/>
        <v/>
      </c>
      <c r="F803" s="22" t="str">
        <f>IF(OR(E803="",E803="!!!"),"",IF(NOT(ISNA(VLOOKUP(E803,E$1:E802,1,FALSE()))),"OLD",IF(AND(E803&lt;&gt;"",E803&lt;&gt;"!!!"),"NEW","")))</f>
        <v/>
      </c>
      <c r="G803" s="23" t="str">
        <f>IF(OR(E803="",E803="!!!"),"",IF(OR(J803=0,AND(J803=1,K803=1),AND(J803=1,I803="SBJ"),AND(J803=1,I803=0)),"?IN_FOCUS",IF(J803&lt;=2,"?ACTIVATED",IF(J803&lt;&gt;"","?FAMILIAR",IF(F803="NEW",IF(ISNA(VLOOKUP(E803,#REF!,1,FALSE())),"?TYPE_IDENTIFIABLE","?REFERENTIAL"),"_")))))</f>
        <v/>
      </c>
      <c r="H803" s="24" t="str">
        <f t="shared" ca="1" si="81"/>
        <v/>
      </c>
      <c r="I803" s="25" t="str">
        <f>IF(OR(E803="",E803="!!!",F803="NEW"),"",INDEX(B$2:B802,-1+SUMPRODUCT(MAX(ROW(E$2:E802)*(E803=E$2:E802)))))</f>
        <v/>
      </c>
      <c r="J803" s="25" t="str">
        <f ca="1">IF(OR(E803="",E803="!!!",F803="NEW"),"",COUNTBLANK(OFFSET(A$1,,,SUMPRODUCT(MAX(ROW(E$2:E803)*(E803=E$2:E803)))))-COUNTBLANK(OFFSET(A$1,,,SUMPRODUCT(MAX(ROW(E$1:E802)*(E2=E$1:E802))))))</f>
        <v/>
      </c>
      <c r="K803" s="25" t="str">
        <f>IF(OR(E803="",E803="!!!",F803="NEW"),"",INDEX(J$1:J802,SUMPRODUCT(MAX(ROW(E$1:E802)*(E803=E$1:E802)))))</f>
        <v/>
      </c>
      <c r="L803" s="26"/>
    </row>
    <row r="804" spans="1:12" x14ac:dyDescent="0.3">
      <c r="A804" t="s">
        <v>320</v>
      </c>
      <c r="B804" s="20" t="s">
        <v>632</v>
      </c>
      <c r="C804" s="20" t="s">
        <v>202</v>
      </c>
      <c r="D804" s="20" t="s">
        <v>186</v>
      </c>
      <c r="E804" s="21"/>
      <c r="F804" s="22" t="s">
        <v>751</v>
      </c>
      <c r="G804" s="23" t="str">
        <f>IF(OR(E804="",E804="!!!"),"",IF(OR(J804=0,AND(J804=1,K804=1),AND(J804=1,I804="SBJ"),AND(J804=1,I804=0)),"?IN_FOCUS",IF(J804&lt;=2,"?ACTIVATED",IF(J804&lt;&gt;"","?FAMILIAR",IF(F804="NEW",IF(ISNA(VLOOKUP(E804,#REF!,1,FALSE())),"?TYPE_IDENTIFIABLE","?REFERENTIAL"),"_")))))</f>
        <v/>
      </c>
      <c r="H804" s="24" t="str">
        <f t="shared" ca="1" si="81"/>
        <v/>
      </c>
      <c r="I804" s="25" t="str">
        <f>IF(OR(E804="",E804="!!!",F804="NEW"),"",INDEX(B$2:B803,-1+SUMPRODUCT(MAX(ROW(E$2:E803)*(E804=E$2:E803)))))</f>
        <v/>
      </c>
      <c r="J804" s="25" t="str">
        <f ca="1">IF(OR(E804="",E804="!!!",F804="NEW"),"",COUNTBLANK(OFFSET(A$1,,,SUMPRODUCT(MAX(ROW(E$2:E804)*(E804=E$2:E804)))))-COUNTBLANK(OFFSET(A$1,,,SUMPRODUCT(MAX(ROW(E$1:E803)*(E2=E$1:E803))))))</f>
        <v/>
      </c>
      <c r="K804" s="25" t="str">
        <f>IF(OR(E804="",E804="!!!",F804="NEW"),"",INDEX(J$1:J803,SUMPRODUCT(MAX(ROW(E$1:E803)*(E804=E$1:E803)))))</f>
        <v/>
      </c>
      <c r="L804" s="26"/>
    </row>
    <row r="805" spans="1:12" x14ac:dyDescent="0.3">
      <c r="A805" t="s">
        <v>634</v>
      </c>
      <c r="B805" s="20" t="s">
        <v>635</v>
      </c>
      <c r="C805" s="20" t="s">
        <v>202</v>
      </c>
      <c r="D805" s="20" t="s">
        <v>186</v>
      </c>
      <c r="E805" s="21" t="s">
        <v>741</v>
      </c>
      <c r="F805" s="22" t="str">
        <f>IF(OR(E805="",E805="!!!"),"",IF(NOT(ISNA(VLOOKUP(E805,E$1:E804,1,FALSE()))),"OLD",IF(AND(E805&lt;&gt;"",E805&lt;&gt;"!!!"),"NEW","")))</f>
        <v>OLD</v>
      </c>
      <c r="G805" s="23" t="s">
        <v>723</v>
      </c>
      <c r="H805" s="24" t="str">
        <f t="shared" ca="1" si="81"/>
        <v/>
      </c>
      <c r="I805" s="25" t="str">
        <f>IF(OR(E805="",E805="!!!",F805="NEW"),"",INDEX(B$2:B804,-1+SUMPRODUCT(MAX(ROW(E$2:E804)*(E805=E$2:E804)))))</f>
        <v>OBJ</v>
      </c>
      <c r="J805" s="25">
        <f ca="1">IF(OR(E805="",E805="!!!",F805="NEW"),"",COUNTBLANK(OFFSET(A$1,,,SUMPRODUCT(MAX(ROW(E$2:E805)*(E805=E$2:E805)))))-COUNTBLANK(OFFSET(A$1,,,SUMPRODUCT(MAX(ROW(E$1:E804)*(E2=E$1:E804))))))</f>
        <v>0</v>
      </c>
      <c r="K805" s="25">
        <f ca="1">IF(OR(E805="",E805="!!!",F805="NEW"),"",INDEX(J$1:J804,SUMPRODUCT(MAX(ROW(E$1:E804)*(E805=E$1:E804)))))</f>
        <v>0</v>
      </c>
      <c r="L805" s="26"/>
    </row>
    <row r="806" spans="1:12" x14ac:dyDescent="0.3">
      <c r="A806" t="s">
        <v>229</v>
      </c>
      <c r="E806" s="21" t="str">
        <f t="shared" si="80"/>
        <v/>
      </c>
      <c r="F806" s="22" t="str">
        <f>IF(OR(E806="",E806="!!!"),"",IF(NOT(ISNA(VLOOKUP(E806,E$1:E805,1,FALSE()))),"OLD",IF(AND(E806&lt;&gt;"",E806&lt;&gt;"!!!"),"NEW","")))</f>
        <v/>
      </c>
      <c r="G806" s="23" t="str">
        <f>IF(OR(E806="",E806="!!!"),"",IF(OR(J806=0,AND(J806=1,K806=1),AND(J806=1,I806="SBJ"),AND(J806=1,I806=0)),"?IN_FOCUS",IF(J806&lt;=2,"?ACTIVATED",IF(J806&lt;&gt;"","?FAMILIAR",IF(F806="NEW",IF(ISNA(VLOOKUP(E806,#REF!,1,FALSE())),"?TYPE_IDENTIFIABLE","?REFERENTIAL"),"_")))))</f>
        <v/>
      </c>
      <c r="H806" s="24" t="str">
        <f t="shared" ca="1" si="81"/>
        <v/>
      </c>
      <c r="I806" s="25" t="str">
        <f>IF(OR(E806="",E806="!!!",F806="NEW"),"",INDEX(B$2:B805,-1+SUMPRODUCT(MAX(ROW(E$2:E805)*(E806=E$2:E805)))))</f>
        <v/>
      </c>
      <c r="J806" s="25" t="str">
        <f ca="1">IF(OR(E806="",E806="!!!",F806="NEW"),"",COUNTBLANK(OFFSET(A$1,,,SUMPRODUCT(MAX(ROW(E$2:E806)*(E806=E$2:E806)))))-COUNTBLANK(OFFSET(A$1,,,SUMPRODUCT(MAX(ROW(E$1:E805)*(E2=E$1:E805))))))</f>
        <v/>
      </c>
      <c r="K806" s="25" t="str">
        <f>IF(OR(E806="",E806="!!!",F806="NEW"),"",INDEX(J$1:J805,SUMPRODUCT(MAX(ROW(E$1:E805)*(E806=E$1:E805)))))</f>
        <v/>
      </c>
      <c r="L806" s="26"/>
    </row>
    <row r="807" spans="1:12" x14ac:dyDescent="0.3">
      <c r="A807" t="s">
        <v>636</v>
      </c>
      <c r="B807" s="20" t="s">
        <v>637</v>
      </c>
      <c r="C807" s="20" t="s">
        <v>193</v>
      </c>
      <c r="E807" s="21" t="str">
        <f t="shared" si="80"/>
        <v/>
      </c>
      <c r="F807" s="22" t="str">
        <f>IF(OR(E807="",E807="!!!"),"",IF(NOT(ISNA(VLOOKUP(E807,E$1:E806,1,FALSE()))),"OLD",IF(AND(E807&lt;&gt;"",E807&lt;&gt;"!!!"),"NEW","")))</f>
        <v/>
      </c>
      <c r="G807" s="23" t="str">
        <f>IF(OR(E807="",E807="!!!"),"",IF(OR(J807=0,AND(J807=1,K807=1),AND(J807=1,I807="SBJ"),AND(J807=1,I807=0)),"?IN_FOCUS",IF(J807&lt;=2,"?ACTIVATED",IF(J807&lt;&gt;"","?FAMILIAR",IF(F807="NEW",IF(ISNA(VLOOKUP(E807,#REF!,1,FALSE())),"?TYPE_IDENTIFIABLE","?REFERENTIAL"),"_")))))</f>
        <v/>
      </c>
      <c r="H807" s="24" t="str">
        <f t="shared" ca="1" si="81"/>
        <v/>
      </c>
      <c r="I807" s="25" t="str">
        <f>IF(OR(E807="",E807="!!!",F807="NEW"),"",INDEX(B$2:B806,-1+SUMPRODUCT(MAX(ROW(E$2:E806)*(E807=E$2:E806)))))</f>
        <v/>
      </c>
      <c r="J807" s="25" t="str">
        <f ca="1">IF(OR(E807="",E807="!!!",F807="NEW"),"",COUNTBLANK(OFFSET(A$1,,,SUMPRODUCT(MAX(ROW(E$2:E807)*(E807=E$2:E807)))))-COUNTBLANK(OFFSET(A$1,,,SUMPRODUCT(MAX(ROW(E$1:E806)*(E2=E$1:E806))))))</f>
        <v/>
      </c>
      <c r="K807" s="25" t="str">
        <f>IF(OR(E807="",E807="!!!",F807="NEW"),"",INDEX(J$1:J806,SUMPRODUCT(MAX(ROW(E$1:E806)*(E807=E$1:E806)))))</f>
        <v/>
      </c>
      <c r="L807" s="26"/>
    </row>
    <row r="808" spans="1:12" x14ac:dyDescent="0.3">
      <c r="A808" t="s">
        <v>638</v>
      </c>
      <c r="E808" s="21" t="str">
        <f t="shared" si="80"/>
        <v/>
      </c>
      <c r="F808" s="22" t="str">
        <f>IF(OR(E808="",E808="!!!"),"",IF(NOT(ISNA(VLOOKUP(E808,E$1:E807,1,FALSE()))),"OLD",IF(AND(E808&lt;&gt;"",E808&lt;&gt;"!!!"),"NEW","")))</f>
        <v/>
      </c>
      <c r="G808" s="23" t="str">
        <f>IF(OR(E808="",E808="!!!"),"",IF(OR(J808=0,AND(J808=1,K808=1),AND(J808=1,I808="SBJ"),AND(J808=1,I808=0)),"?IN_FOCUS",IF(J808&lt;=2,"?ACTIVATED",IF(J808&lt;&gt;"","?FAMILIAR",IF(F808="NEW",IF(ISNA(VLOOKUP(E808,#REF!,1,FALSE())),"?TYPE_IDENTIFIABLE","?REFERENTIAL"),"_")))))</f>
        <v/>
      </c>
      <c r="H808" s="24" t="str">
        <f t="shared" ca="1" si="81"/>
        <v/>
      </c>
      <c r="I808" s="25" t="str">
        <f>IF(OR(E808="",E808="!!!",F808="NEW"),"",INDEX(B$2:B807,-1+SUMPRODUCT(MAX(ROW(E$2:E807)*(E808=E$2:E807)))))</f>
        <v/>
      </c>
      <c r="J808" s="25" t="str">
        <f ca="1">IF(OR(E808="",E808="!!!",F808="NEW"),"",COUNTBLANK(OFFSET(A$1,,,SUMPRODUCT(MAX(ROW(E$2:E808)*(E808=E$2:E808)))))-COUNTBLANK(OFFSET(A$1,,,SUMPRODUCT(MAX(ROW(E$1:E807)*(E2=E$1:E807))))))</f>
        <v/>
      </c>
      <c r="K808" s="25" t="str">
        <f>IF(OR(E808="",E808="!!!",F808="NEW"),"",INDEX(J$1:J807,SUMPRODUCT(MAX(ROW(E$1:E807)*(E808=E$1:E807)))))</f>
        <v/>
      </c>
      <c r="L808" s="26"/>
    </row>
    <row r="809" spans="1:12" x14ac:dyDescent="0.3">
      <c r="A809" t="s">
        <v>344</v>
      </c>
      <c r="E809" s="21" t="str">
        <f t="shared" si="80"/>
        <v/>
      </c>
      <c r="F809" s="22" t="str">
        <f>IF(OR(E809="",E809="!!!"),"",IF(NOT(ISNA(VLOOKUP(E809,E$1:E808,1,FALSE()))),"OLD",IF(AND(E809&lt;&gt;"",E809&lt;&gt;"!!!"),"NEW","")))</f>
        <v/>
      </c>
      <c r="G809" s="23" t="str">
        <f>IF(OR(E809="",E809="!!!"),"",IF(OR(J809=0,AND(J809=1,K809=1),AND(J809=1,I809="SBJ"),AND(J809=1,I809=0)),"?IN_FOCUS",IF(J809&lt;=2,"?ACTIVATED",IF(J809&lt;&gt;"","?FAMILIAR",IF(F809="NEW",IF(ISNA(VLOOKUP(E809,#REF!,1,FALSE())),"?TYPE_IDENTIFIABLE","?REFERENTIAL"),"_")))))</f>
        <v/>
      </c>
      <c r="H809" s="24" t="str">
        <f t="shared" ca="1" si="81"/>
        <v/>
      </c>
      <c r="I809" s="25" t="str">
        <f>IF(OR(E809="",E809="!!!",F809="NEW"),"",INDEX(B$2:B808,-1+SUMPRODUCT(MAX(ROW(E$2:E808)*(E809=E$2:E808)))))</f>
        <v/>
      </c>
      <c r="J809" s="25" t="str">
        <f ca="1">IF(OR(E809="",E809="!!!",F809="NEW"),"",COUNTBLANK(OFFSET(A$1,,,SUMPRODUCT(MAX(ROW(E$2:E809)*(E809=E$2:E809)))))-COUNTBLANK(OFFSET(A$1,,,SUMPRODUCT(MAX(ROW(E$1:E808)*(E2=E$1:E808))))))</f>
        <v/>
      </c>
      <c r="K809" s="25" t="str">
        <f>IF(OR(E809="",E809="!!!",F809="NEW"),"",INDEX(J$1:J808,SUMPRODUCT(MAX(ROW(E$1:E808)*(E809=E$1:E808)))))</f>
        <v/>
      </c>
      <c r="L809" s="26"/>
    </row>
    <row r="810" spans="1:12" x14ac:dyDescent="0.3">
      <c r="A810" t="s">
        <v>206</v>
      </c>
      <c r="E810" s="21" t="str">
        <f t="shared" si="80"/>
        <v/>
      </c>
      <c r="F810" s="22" t="str">
        <f>IF(OR(E810="",E810="!!!"),"",IF(NOT(ISNA(VLOOKUP(E810,E$1:E809,1,FALSE()))),"OLD",IF(AND(E810&lt;&gt;"",E810&lt;&gt;"!!!"),"NEW","")))</f>
        <v/>
      </c>
      <c r="G810" s="23" t="str">
        <f>IF(OR(E810="",E810="!!!"),"",IF(OR(J810=0,AND(J810=1,K810=1),AND(J810=1,I810="SBJ"),AND(J810=1,I810=0)),"?IN_FOCUS",IF(J810&lt;=2,"?ACTIVATED",IF(J810&lt;&gt;"","?FAMILIAR",IF(F810="NEW",IF(ISNA(VLOOKUP(E810,#REF!,1,FALSE())),"?TYPE_IDENTIFIABLE","?REFERENTIAL"),"_")))))</f>
        <v/>
      </c>
      <c r="H810" s="24" t="str">
        <f t="shared" ca="1" si="81"/>
        <v/>
      </c>
      <c r="I810" s="25" t="str">
        <f>IF(OR(E810="",E810="!!!",F810="NEW"),"",INDEX(B$2:B809,-1+SUMPRODUCT(MAX(ROW(E$2:E809)*(E810=E$2:E809)))))</f>
        <v/>
      </c>
      <c r="J810" s="25" t="str">
        <f ca="1">IF(OR(E810="",E810="!!!",F810="NEW"),"",COUNTBLANK(OFFSET(A$1,,,SUMPRODUCT(MAX(ROW(E$2:E810)*(E810=E$2:E810)))))-COUNTBLANK(OFFSET(A$1,,,SUMPRODUCT(MAX(ROW(E$1:E809)*(E2=E$1:E809))))))</f>
        <v/>
      </c>
      <c r="K810" s="25" t="str">
        <f>IF(OR(E810="",E810="!!!",F810="NEW"),"",INDEX(J$1:J809,SUMPRODUCT(MAX(ROW(E$1:E809)*(E810=E$1:E809)))))</f>
        <v/>
      </c>
      <c r="L810" s="26"/>
    </row>
    <row r="811" spans="1:12" x14ac:dyDescent="0.3">
      <c r="A811" t="s">
        <v>191</v>
      </c>
      <c r="E811" s="21" t="str">
        <f t="shared" si="80"/>
        <v/>
      </c>
      <c r="F811" s="22" t="str">
        <f>IF(OR(E811="",E811="!!!"),"",IF(NOT(ISNA(VLOOKUP(E811,E$1:E810,1,FALSE()))),"OLD",IF(AND(E811&lt;&gt;"",E811&lt;&gt;"!!!"),"NEW","")))</f>
        <v/>
      </c>
      <c r="G811" s="23" t="str">
        <f>IF(OR(E811="",E811="!!!"),"",IF(OR(J811=0,AND(J811=1,K811=1),AND(J811=1,I811="SBJ"),AND(J811=1,I811=0)),"?IN_FOCUS",IF(J811&lt;=2,"?ACTIVATED",IF(J811&lt;&gt;"","?FAMILIAR",IF(F811="NEW",IF(ISNA(VLOOKUP(E811,#REF!,1,FALSE())),"?TYPE_IDENTIFIABLE","?REFERENTIAL"),"_")))))</f>
        <v/>
      </c>
      <c r="H811" s="24" t="str">
        <f t="shared" ca="1" si="81"/>
        <v/>
      </c>
      <c r="I811" s="25" t="str">
        <f>IF(OR(E811="",E811="!!!",F811="NEW"),"",INDEX(B$2:B810,-1+SUMPRODUCT(MAX(ROW(E$2:E810)*(E811=E$2:E810)))))</f>
        <v/>
      </c>
      <c r="J811" s="25" t="str">
        <f ca="1">IF(OR(E811="",E811="!!!",F811="NEW"),"",COUNTBLANK(OFFSET(A$1,,,SUMPRODUCT(MAX(ROW(E$2:E811)*(E811=E$2:E811)))))-COUNTBLANK(OFFSET(A$1,,,SUMPRODUCT(MAX(ROW(E$1:E810)*(E2=E$1:E810))))))</f>
        <v/>
      </c>
      <c r="K811" s="25" t="str">
        <f>IF(OR(E811="",E811="!!!",F811="NEW"),"",INDEX(J$1:J810,SUMPRODUCT(MAX(ROW(E$1:E810)*(E811=E$1:E810)))))</f>
        <v/>
      </c>
      <c r="L811" s="26"/>
    </row>
    <row r="812" spans="1:12" x14ac:dyDescent="0.3">
      <c r="A812" t="s">
        <v>192</v>
      </c>
      <c r="B812" s="20" t="s">
        <v>219</v>
      </c>
      <c r="C812" s="20" t="s">
        <v>185</v>
      </c>
      <c r="D812" s="20" t="s">
        <v>186</v>
      </c>
      <c r="E812" s="21" t="s">
        <v>785</v>
      </c>
      <c r="F812" s="22" t="str">
        <f>IF(OR(E812="",E812="!!!"),"",IF(NOT(ISNA(VLOOKUP(E812,E$1:E811,1,FALSE()))),"OLD",IF(AND(E812&lt;&gt;"",E812&lt;&gt;"!!!"),"NEW","")))</f>
        <v>OLD</v>
      </c>
      <c r="G812" s="23" t="s">
        <v>723</v>
      </c>
      <c r="H812" s="24" t="str">
        <f t="shared" ca="1" si="81"/>
        <v/>
      </c>
      <c r="I812" s="25" t="str">
        <f>IF(OR(E812="",E812="!!!",F812="NEW"),"",INDEX(B$2:B811,-1+SUMPRODUCT(MAX(ROW(E$2:E811)*(E812=E$2:E811)))))</f>
        <v>other</v>
      </c>
      <c r="J812" s="25">
        <f ca="1">IF(OR(E812="",E812="!!!",F812="NEW"),"",COUNTBLANK(OFFSET(A$1,,,SUMPRODUCT(MAX(ROW(E$2:E812)*(E812=E$2:E812)))))-COUNTBLANK(OFFSET(A$1,,,SUMPRODUCT(MAX(ROW(E$1:E811)*(E2=E$1:E811))))))</f>
        <v>0</v>
      </c>
      <c r="K812" s="25" t="str">
        <f ca="1">IF(OR(E812="",E812="!!!",F812="NEW"),"",INDEX(J$1:J811,SUMPRODUCT(MAX(ROW(E$1:E811)*(E812=E$1:E811)))))</f>
        <v/>
      </c>
      <c r="L812" s="26"/>
    </row>
    <row r="813" spans="1:12" x14ac:dyDescent="0.3">
      <c r="A813" t="s">
        <v>194</v>
      </c>
      <c r="E813" s="21" t="str">
        <f t="shared" si="80"/>
        <v/>
      </c>
      <c r="F813" s="22" t="str">
        <f>IF(OR(E813="",E813="!!!"),"",IF(NOT(ISNA(VLOOKUP(E813,E$1:E812,1,FALSE()))),"OLD",IF(AND(E813&lt;&gt;"",E813&lt;&gt;"!!!"),"NEW","")))</f>
        <v/>
      </c>
      <c r="G813" s="23" t="str">
        <f>IF(OR(E813="",E813="!!!"),"",IF(OR(J813=0,AND(J813=1,K813=1),AND(J813=1,I813="SBJ"),AND(J813=1,I813=0)),"?IN_FOCUS",IF(J813&lt;=2,"?ACTIVATED",IF(J813&lt;&gt;"","?FAMILIAR",IF(F813="NEW",IF(ISNA(VLOOKUP(E813,#REF!,1,FALSE())),"?TYPE_IDENTIFIABLE","?REFERENTIAL"),"_")))))</f>
        <v/>
      </c>
      <c r="H813" s="24" t="str">
        <f t="shared" ca="1" si="81"/>
        <v/>
      </c>
      <c r="I813" s="25" t="str">
        <f>IF(OR(E813="",E813="!!!",F813="NEW"),"",INDEX(B$2:B812,-1+SUMPRODUCT(MAX(ROW(E$2:E812)*(E813=E$2:E812)))))</f>
        <v/>
      </c>
      <c r="J813" s="25" t="str">
        <f ca="1">IF(OR(E813="",E813="!!!",F813="NEW"),"",COUNTBLANK(OFFSET(A$1,,,SUMPRODUCT(MAX(ROW(E$2:E813)*(E813=E$2:E813)))))-COUNTBLANK(OFFSET(A$1,,,SUMPRODUCT(MAX(ROW(E$1:E812)*(E2=E$1:E812))))))</f>
        <v/>
      </c>
      <c r="K813" s="25" t="str">
        <f>IF(OR(E813="",E813="!!!",F813="NEW"),"",INDEX(J$1:J812,SUMPRODUCT(MAX(ROW(E$1:E812)*(E813=E$1:E812)))))</f>
        <v/>
      </c>
      <c r="L813" s="26"/>
    </row>
    <row r="814" spans="1:12" x14ac:dyDescent="0.3">
      <c r="A814" t="s">
        <v>195</v>
      </c>
      <c r="B814" s="20" t="s">
        <v>241</v>
      </c>
      <c r="C814" s="20" t="s">
        <v>197</v>
      </c>
      <c r="E814" s="21" t="str">
        <f t="shared" si="80"/>
        <v/>
      </c>
      <c r="F814" s="22" t="str">
        <f>IF(OR(E814="",E814="!!!"),"",IF(NOT(ISNA(VLOOKUP(E814,E$1:E813,1,FALSE()))),"OLD",IF(AND(E814&lt;&gt;"",E814&lt;&gt;"!!!"),"NEW","")))</f>
        <v/>
      </c>
      <c r="G814" s="23" t="str">
        <f>IF(OR(E814="",E814="!!!"),"",IF(OR(J814=0,AND(J814=1,K814=1),AND(J814=1,I814="SBJ"),AND(J814=1,I814=0)),"?IN_FOCUS",IF(J814&lt;=2,"?ACTIVATED",IF(J814&lt;&gt;"","?FAMILIAR",IF(F814="NEW",IF(ISNA(VLOOKUP(E814,#REF!,1,FALSE())),"?TYPE_IDENTIFIABLE","?REFERENTIAL"),"_")))))</f>
        <v/>
      </c>
      <c r="H814" s="24" t="str">
        <f t="shared" ca="1" si="81"/>
        <v/>
      </c>
      <c r="I814" s="25" t="str">
        <f>IF(OR(E814="",E814="!!!",F814="NEW"),"",INDEX(B$2:B813,-1+SUMPRODUCT(MAX(ROW(E$2:E813)*(E814=E$2:E813)))))</f>
        <v/>
      </c>
      <c r="J814" s="25" t="str">
        <f ca="1">IF(OR(E814="",E814="!!!",F814="NEW"),"",COUNTBLANK(OFFSET(A$1,,,SUMPRODUCT(MAX(ROW(E$2:E814)*(E814=E$2:E814)))))-COUNTBLANK(OFFSET(A$1,,,SUMPRODUCT(MAX(ROW(E$1:E813)*(E2=E$1:E813))))))</f>
        <v/>
      </c>
      <c r="K814" s="25" t="str">
        <f>IF(OR(E814="",E814="!!!",F814="NEW"),"",INDEX(J$1:J813,SUMPRODUCT(MAX(ROW(E$1:E813)*(E814=E$1:E813)))))</f>
        <v/>
      </c>
      <c r="L814" s="26"/>
    </row>
    <row r="815" spans="1:12" x14ac:dyDescent="0.3">
      <c r="A815" t="s">
        <v>191</v>
      </c>
      <c r="E815" s="21" t="str">
        <f t="shared" si="80"/>
        <v/>
      </c>
      <c r="F815" s="22" t="str">
        <f>IF(OR(E815="",E815="!!!"),"",IF(NOT(ISNA(VLOOKUP(E815,E$1:E814,1,FALSE()))),"OLD",IF(AND(E815&lt;&gt;"",E815&lt;&gt;"!!!"),"NEW","")))</f>
        <v/>
      </c>
      <c r="G815" s="23" t="str">
        <f>IF(OR(E815="",E815="!!!"),"",IF(OR(J815=0,AND(J815=1,K815=1),AND(J815=1,I815="SBJ"),AND(J815=1,I815=0)),"?IN_FOCUS",IF(J815&lt;=2,"?ACTIVATED",IF(J815&lt;&gt;"","?FAMILIAR",IF(F815="NEW",IF(ISNA(VLOOKUP(E815,#REF!,1,FALSE())),"?TYPE_IDENTIFIABLE","?REFERENTIAL"),"_")))))</f>
        <v/>
      </c>
      <c r="H815" s="24" t="str">
        <f t="shared" ca="1" si="81"/>
        <v/>
      </c>
      <c r="I815" s="25" t="str">
        <f>IF(OR(E815="",E815="!!!",F815="NEW"),"",INDEX(B$2:B814,-1+SUMPRODUCT(MAX(ROW(E$2:E814)*(E815=E$2:E814)))))</f>
        <v/>
      </c>
      <c r="J815" s="25" t="str">
        <f ca="1">IF(OR(E815="",E815="!!!",F815="NEW"),"",COUNTBLANK(OFFSET(A$1,,,SUMPRODUCT(MAX(ROW(E$2:E815)*(E815=E$2:E815)))))-COUNTBLANK(OFFSET(A$1,,,SUMPRODUCT(MAX(ROW(E$1:E814)*(E2=E$1:E814))))))</f>
        <v/>
      </c>
      <c r="K815" s="25" t="str">
        <f>IF(OR(E815="",E815="!!!",F815="NEW"),"",INDEX(J$1:J814,SUMPRODUCT(MAX(ROW(E$1:E814)*(E815=E$1:E814)))))</f>
        <v/>
      </c>
      <c r="L815" s="26"/>
    </row>
    <row r="816" spans="1:12" x14ac:dyDescent="0.3">
      <c r="A816" t="s">
        <v>639</v>
      </c>
      <c r="E816" s="21" t="str">
        <f t="shared" si="80"/>
        <v/>
      </c>
      <c r="F816" s="22" t="str">
        <f>IF(OR(E816="",E816="!!!"),"",IF(NOT(ISNA(VLOOKUP(E816,E$1:E815,1,FALSE()))),"OLD",IF(AND(E816&lt;&gt;"",E816&lt;&gt;"!!!"),"NEW","")))</f>
        <v/>
      </c>
      <c r="G816" s="23" t="str">
        <f>IF(OR(E816="",E816="!!!"),"",IF(OR(J816=0,AND(J816=1,K816=1),AND(J816=1,I816="SBJ"),AND(J816=1,I816=0)),"?IN_FOCUS",IF(J816&lt;=2,"?ACTIVATED",IF(J816&lt;&gt;"","?FAMILIAR",IF(F816="NEW",IF(ISNA(VLOOKUP(E816,#REF!,1,FALSE())),"?TYPE_IDENTIFIABLE","?REFERENTIAL"),"_")))))</f>
        <v/>
      </c>
      <c r="H816" s="24" t="str">
        <f t="shared" ca="1" si="81"/>
        <v/>
      </c>
      <c r="I816" s="25" t="str">
        <f>IF(OR(E816="",E816="!!!",F816="NEW"),"",INDEX(B$2:B815,-1+SUMPRODUCT(MAX(ROW(E$2:E815)*(E816=E$2:E815)))))</f>
        <v/>
      </c>
      <c r="J816" s="25" t="str">
        <f ca="1">IF(OR(E816="",E816="!!!",F816="NEW"),"",COUNTBLANK(OFFSET(A$1,,,SUMPRODUCT(MAX(ROW(E$2:E816)*(E816=E$2:E816)))))-COUNTBLANK(OFFSET(A$1,,,SUMPRODUCT(MAX(ROW(E$1:E815)*(E2=E$1:E815))))))</f>
        <v/>
      </c>
      <c r="K816" s="25" t="str">
        <f>IF(OR(E816="",E816="!!!",F816="NEW"),"",INDEX(J$1:J815,SUMPRODUCT(MAX(ROW(E$1:E815)*(E816=E$1:E815)))))</f>
        <v/>
      </c>
      <c r="L816" s="26"/>
    </row>
    <row r="817" spans="1:12" x14ac:dyDescent="0.3">
      <c r="A817" t="s">
        <v>189</v>
      </c>
      <c r="E817" s="21" t="str">
        <f t="shared" ref="E817:E835" si="82">IF(D817="?OLD","!!!","")</f>
        <v/>
      </c>
      <c r="F817" s="22" t="str">
        <f>IF(OR(E817="",E817="!!!"),"",IF(NOT(ISNA(VLOOKUP(E817,E$1:E816,1,FALSE()))),"OLD",IF(AND(E817&lt;&gt;"",E817&lt;&gt;"!!!"),"NEW","")))</f>
        <v/>
      </c>
      <c r="G817" s="23" t="str">
        <f>IF(OR(E817="",E817="!!!"),"",IF(OR(J817=0,AND(J817=1,K817=1),AND(J817=1,I817="SBJ"),AND(J817=1,I817=0)),"?IN_FOCUS",IF(J817&lt;=2,"?ACTIVATED",IF(J817&lt;&gt;"","?FAMILIAR",IF(F817="NEW",IF(ISNA(VLOOKUP(E817,#REF!,1,FALSE())),"?TYPE_IDENTIFIABLE","?REFERENTIAL"),"_")))))</f>
        <v/>
      </c>
      <c r="H817" s="24" t="str">
        <f t="shared" ref="H817:H835" ca="1" si="83">IF(J817&lt;&gt;1,"",IF(I817="SBJ","CB","?"))</f>
        <v/>
      </c>
      <c r="I817" s="25" t="str">
        <f>IF(OR(E817="",E817="!!!",F817="NEW"),"",INDEX(B$2:B816,-1+SUMPRODUCT(MAX(ROW(E$2:E816)*(E817=E$2:E816)))))</f>
        <v/>
      </c>
      <c r="J817" s="25" t="str">
        <f ca="1">IF(OR(E817="",E817="!!!",F817="NEW"),"",COUNTBLANK(OFFSET(A$1,,,SUMPRODUCT(MAX(ROW(E$2:E817)*(E817=E$2:E817)))))-COUNTBLANK(OFFSET(A$1,,,SUMPRODUCT(MAX(ROW(E$1:E816)*(E2=E$1:E816))))))</f>
        <v/>
      </c>
      <c r="K817" s="25" t="str">
        <f>IF(OR(E817="",E817="!!!",F817="NEW"),"",INDEX(J$1:J816,SUMPRODUCT(MAX(ROW(E$1:E816)*(E817=E$1:E816)))))</f>
        <v/>
      </c>
      <c r="L817" s="26"/>
    </row>
    <row r="818" spans="1:12" x14ac:dyDescent="0.3">
      <c r="A818" t="s">
        <v>640</v>
      </c>
      <c r="E818" s="21" t="str">
        <f t="shared" si="82"/>
        <v/>
      </c>
      <c r="F818" s="22" t="str">
        <f>IF(OR(E818="",E818="!!!"),"",IF(NOT(ISNA(VLOOKUP(E818,E$1:E817,1,FALSE()))),"OLD",IF(AND(E818&lt;&gt;"",E818&lt;&gt;"!!!"),"NEW","")))</f>
        <v/>
      </c>
      <c r="G818" s="23" t="str">
        <f>IF(OR(E818="",E818="!!!"),"",IF(OR(J818=0,AND(J818=1,K818=1),AND(J818=1,I818="SBJ"),AND(J818=1,I818=0)),"?IN_FOCUS",IF(J818&lt;=2,"?ACTIVATED",IF(J818&lt;&gt;"","?FAMILIAR",IF(F818="NEW",IF(ISNA(VLOOKUP(E818,#REF!,1,FALSE())),"?TYPE_IDENTIFIABLE","?REFERENTIAL"),"_")))))</f>
        <v/>
      </c>
      <c r="H818" s="24" t="str">
        <f t="shared" ca="1" si="83"/>
        <v/>
      </c>
      <c r="I818" s="25" t="str">
        <f>IF(OR(E818="",E818="!!!",F818="NEW"),"",INDEX(B$2:B817,-1+SUMPRODUCT(MAX(ROW(E$2:E817)*(E818=E$2:E817)))))</f>
        <v/>
      </c>
      <c r="J818" s="25" t="str">
        <f ca="1">IF(OR(E818="",E818="!!!",F818="NEW"),"",COUNTBLANK(OFFSET(A$1,,,SUMPRODUCT(MAX(ROW(E$2:E818)*(E818=E$2:E818)))))-COUNTBLANK(OFFSET(A$1,,,SUMPRODUCT(MAX(ROW(E$1:E817)*(E2=E$1:E817))))))</f>
        <v/>
      </c>
      <c r="K818" s="25" t="str">
        <f>IF(OR(E818="",E818="!!!",F818="NEW"),"",INDEX(J$1:J817,SUMPRODUCT(MAX(ROW(E$1:E817)*(E818=E$1:E817)))))</f>
        <v/>
      </c>
      <c r="L818" s="26"/>
    </row>
    <row r="819" spans="1:12" x14ac:dyDescent="0.3">
      <c r="A819" t="s">
        <v>641</v>
      </c>
      <c r="B819" s="20" t="s">
        <v>196</v>
      </c>
      <c r="C819" s="20" t="s">
        <v>237</v>
      </c>
      <c r="E819" s="21"/>
      <c r="F819" s="22" t="str">
        <f>IF(OR(E819="",E819="!!!"),"",IF(NOT(ISNA(VLOOKUP(E819,E$1:E818,1,FALSE()))),"OLD",IF(AND(E819&lt;&gt;"",E819&lt;&gt;"!!!"),"NEW","")))</f>
        <v/>
      </c>
      <c r="G819" s="23" t="str">
        <f>IF(OR(E819="",E819="!!!"),"",IF(OR(J819=0,AND(J819=1,K819=1),AND(J819=1,I819="SBJ"),AND(J819=1,I819=0)),"?IN_FOCUS",IF(J819&lt;=2,"?ACTIVATED",IF(J819&lt;&gt;"","?FAMILIAR",IF(F819="NEW",IF(ISNA(VLOOKUP(E819,#REF!,1,FALSE())),"?TYPE_IDENTIFIABLE","?REFERENTIAL"),"_")))))</f>
        <v/>
      </c>
      <c r="H819" s="24" t="str">
        <f t="shared" ca="1" si="83"/>
        <v/>
      </c>
      <c r="I819" s="25" t="str">
        <f>IF(OR(E819="",E819="!!!",F819="NEW"),"",INDEX(B$2:B818,-1+SUMPRODUCT(MAX(ROW(E$2:E818)*(E819=E$2:E818)))))</f>
        <v/>
      </c>
      <c r="J819" s="25" t="str">
        <f ca="1">IF(OR(E819="",E819="!!!",F819="NEW"),"",COUNTBLANK(OFFSET(A$1,,,SUMPRODUCT(MAX(ROW(E$2:E819)*(E819=E$2:E819)))))-COUNTBLANK(OFFSET(A$1,,,SUMPRODUCT(MAX(ROW(E$1:E818)*(E2=E$1:E818))))))</f>
        <v/>
      </c>
      <c r="K819" s="25" t="str">
        <f>IF(OR(E819="",E819="!!!",F819="NEW"),"",INDEX(J$1:J818,SUMPRODUCT(MAX(ROW(E$1:E818)*(E819=E$1:E818)))))</f>
        <v/>
      </c>
      <c r="L819" s="26"/>
    </row>
    <row r="820" spans="1:12" x14ac:dyDescent="0.3">
      <c r="A820" t="s">
        <v>206</v>
      </c>
      <c r="E820" s="21" t="str">
        <f t="shared" si="82"/>
        <v/>
      </c>
      <c r="F820" s="22" t="str">
        <f>IF(OR(E820="",E820="!!!"),"",IF(NOT(ISNA(VLOOKUP(E820,E$1:E819,1,FALSE()))),"OLD",IF(AND(E820&lt;&gt;"",E820&lt;&gt;"!!!"),"NEW","")))</f>
        <v/>
      </c>
      <c r="G820" s="23" t="str">
        <f>IF(OR(E820="",E820="!!!"),"",IF(OR(J820=0,AND(J820=1,K820=1),AND(J820=1,I820="SBJ"),AND(J820=1,I820=0)),"?IN_FOCUS",IF(J820&lt;=2,"?ACTIVATED",IF(J820&lt;&gt;"","?FAMILIAR",IF(F820="NEW",IF(ISNA(VLOOKUP(E820,#REF!,1,FALSE())),"?TYPE_IDENTIFIABLE","?REFERENTIAL"),"_")))))</f>
        <v/>
      </c>
      <c r="H820" s="24" t="str">
        <f t="shared" ca="1" si="83"/>
        <v/>
      </c>
      <c r="I820" s="25" t="str">
        <f>IF(OR(E820="",E820="!!!",F820="NEW"),"",INDEX(B$2:B819,-1+SUMPRODUCT(MAX(ROW(E$2:E819)*(E820=E$2:E819)))))</f>
        <v/>
      </c>
      <c r="J820" s="25" t="str">
        <f ca="1">IF(OR(E820="",E820="!!!",F820="NEW"),"",COUNTBLANK(OFFSET(A$1,,,SUMPRODUCT(MAX(ROW(E$2:E820)*(E820=E$2:E820)))))-COUNTBLANK(OFFSET(A$1,,,SUMPRODUCT(MAX(ROW(E$1:E819)*(E2=E$1:E819))))))</f>
        <v/>
      </c>
      <c r="K820" s="25" t="str">
        <f>IF(OR(E820="",E820="!!!",F820="NEW"),"",INDEX(J$1:J819,SUMPRODUCT(MAX(ROW(E$1:E819)*(E820=E$1:E819)))))</f>
        <v/>
      </c>
      <c r="L820" s="26"/>
    </row>
    <row r="821" spans="1:12" x14ac:dyDescent="0.3">
      <c r="A821" t="s">
        <v>207</v>
      </c>
      <c r="B821" s="20" t="s">
        <v>637</v>
      </c>
      <c r="E821" s="21" t="str">
        <f t="shared" si="82"/>
        <v/>
      </c>
      <c r="F821" s="22" t="str">
        <f>IF(OR(E821="",E821="!!!"),"",IF(NOT(ISNA(VLOOKUP(E821,E$1:E820,1,FALSE()))),"OLD",IF(AND(E821&lt;&gt;"",E821&lt;&gt;"!!!"),"NEW","")))</f>
        <v/>
      </c>
      <c r="G821" s="23" t="str">
        <f>IF(OR(E821="",E821="!!!"),"",IF(OR(J821=0,AND(J821=1,K821=1),AND(J821=1,I821="SBJ"),AND(J821=1,I821=0)),"?IN_FOCUS",IF(J821&lt;=2,"?ACTIVATED",IF(J821&lt;&gt;"","?FAMILIAR",IF(F821="NEW",IF(ISNA(VLOOKUP(E821,#REF!,1,FALSE())),"?TYPE_IDENTIFIABLE","?REFERENTIAL"),"_")))))</f>
        <v/>
      </c>
      <c r="H821" s="24" t="str">
        <f t="shared" ca="1" si="83"/>
        <v/>
      </c>
      <c r="I821" s="25" t="str">
        <f>IF(OR(E821="",E821="!!!",F821="NEW"),"",INDEX(B$2:B820,-1+SUMPRODUCT(MAX(ROW(E$2:E820)*(E821=E$2:E820)))))</f>
        <v/>
      </c>
      <c r="J821" s="25" t="str">
        <f ca="1">IF(OR(E821="",E821="!!!",F821="NEW"),"",COUNTBLANK(OFFSET(A$1,,,SUMPRODUCT(MAX(ROW(E$2:E821)*(E821=E$2:E821)))))-COUNTBLANK(OFFSET(A$1,,,SUMPRODUCT(MAX(ROW(E$1:E820)*(E2=E$1:E820))))))</f>
        <v/>
      </c>
      <c r="K821" s="25" t="str">
        <f>IF(OR(E821="",E821="!!!",F821="NEW"),"",INDEX(J$1:J820,SUMPRODUCT(MAX(ROW(E$1:E820)*(E821=E$1:E820)))))</f>
        <v/>
      </c>
      <c r="L821" s="26"/>
    </row>
    <row r="822" spans="1:12" x14ac:dyDescent="0.3">
      <c r="A822" t="s">
        <v>221</v>
      </c>
      <c r="B822" s="20" t="s">
        <v>632</v>
      </c>
      <c r="E822" s="21" t="str">
        <f t="shared" si="82"/>
        <v/>
      </c>
      <c r="F822" s="22" t="str">
        <f>IF(OR(E822="",E822="!!!"),"",IF(NOT(ISNA(VLOOKUP(E822,E$1:E821,1,FALSE()))),"OLD",IF(AND(E822&lt;&gt;"",E822&lt;&gt;"!!!"),"NEW","")))</f>
        <v/>
      </c>
      <c r="G822" s="23" t="str">
        <f>IF(OR(E822="",E822="!!!"),"",IF(OR(J822=0,AND(J822=1,K822=1),AND(J822=1,I822="SBJ"),AND(J822=1,I822=0)),"?IN_FOCUS",IF(J822&lt;=2,"?ACTIVATED",IF(J822&lt;&gt;"","?FAMILIAR",IF(F822="NEW",IF(ISNA(VLOOKUP(E822,#REF!,1,FALSE())),"?TYPE_IDENTIFIABLE","?REFERENTIAL"),"_")))))</f>
        <v/>
      </c>
      <c r="H822" s="24" t="str">
        <f t="shared" ca="1" si="83"/>
        <v/>
      </c>
      <c r="I822" s="25" t="str">
        <f>IF(OR(E822="",E822="!!!",F822="NEW"),"",INDEX(B$2:B821,-1+SUMPRODUCT(MAX(ROW(E$2:E821)*(E822=E$2:E821)))))</f>
        <v/>
      </c>
      <c r="J822" s="25" t="str">
        <f ca="1">IF(OR(E822="",E822="!!!",F822="NEW"),"",COUNTBLANK(OFFSET(A$1,,,SUMPRODUCT(MAX(ROW(E$2:E822)*(E822=E$2:E822)))))-COUNTBLANK(OFFSET(A$1,,,SUMPRODUCT(MAX(ROW(E$1:E821)*(E2=E$1:E821))))))</f>
        <v/>
      </c>
      <c r="K822" s="25" t="str">
        <f>IF(OR(E822="",E822="!!!",F822="NEW"),"",INDEX(J$1:J821,SUMPRODUCT(MAX(ROW(E$1:E821)*(E822=E$1:E821)))))</f>
        <v/>
      </c>
      <c r="L822" s="26"/>
    </row>
    <row r="823" spans="1:12" x14ac:dyDescent="0.3">
      <c r="A823" t="s">
        <v>194</v>
      </c>
      <c r="E823" s="21" t="str">
        <f t="shared" si="82"/>
        <v/>
      </c>
      <c r="F823" s="22" t="str">
        <f>IF(OR(E823="",E823="!!!"),"",IF(NOT(ISNA(VLOOKUP(E823,E$1:E822,1,FALSE()))),"OLD",IF(AND(E823&lt;&gt;"",E823&lt;&gt;"!!!"),"NEW","")))</f>
        <v/>
      </c>
      <c r="G823" s="23" t="str">
        <f>IF(OR(E823="",E823="!!!"),"",IF(OR(J823=0,AND(J823=1,K823=1),AND(J823=1,I823="SBJ"),AND(J823=1,I823=0)),"?IN_FOCUS",IF(J823&lt;=2,"?ACTIVATED",IF(J823&lt;&gt;"","?FAMILIAR",IF(F823="NEW",IF(ISNA(VLOOKUP(E823,#REF!,1,FALSE())),"?TYPE_IDENTIFIABLE","?REFERENTIAL"),"_")))))</f>
        <v/>
      </c>
      <c r="H823" s="24" t="str">
        <f t="shared" ca="1" si="83"/>
        <v/>
      </c>
      <c r="I823" s="25" t="str">
        <f>IF(OR(E823="",E823="!!!",F823="NEW"),"",INDEX(B$2:B822,-1+SUMPRODUCT(MAX(ROW(E$2:E822)*(E823=E$2:E822)))))</f>
        <v/>
      </c>
      <c r="J823" s="25" t="str">
        <f ca="1">IF(OR(E823="",E823="!!!",F823="NEW"),"",COUNTBLANK(OFFSET(A$1,,,SUMPRODUCT(MAX(ROW(E$2:E823)*(E823=E$2:E823)))))-COUNTBLANK(OFFSET(A$1,,,SUMPRODUCT(MAX(ROW(E$1:E822)*(E2=E$1:E822))))))</f>
        <v/>
      </c>
      <c r="K823" s="25" t="str">
        <f>IF(OR(E823="",E823="!!!",F823="NEW"),"",INDEX(J$1:J822,SUMPRODUCT(MAX(ROW(E$1:E822)*(E823=E$1:E822)))))</f>
        <v/>
      </c>
      <c r="L823" s="26"/>
    </row>
    <row r="824" spans="1:12" x14ac:dyDescent="0.3">
      <c r="A824" t="s">
        <v>224</v>
      </c>
      <c r="E824" s="21" t="str">
        <f t="shared" si="82"/>
        <v/>
      </c>
      <c r="F824" s="22" t="str">
        <f>IF(OR(E824="",E824="!!!"),"",IF(NOT(ISNA(VLOOKUP(E824,E$1:E823,1,FALSE()))),"OLD",IF(AND(E824&lt;&gt;"",E824&lt;&gt;"!!!"),"NEW","")))</f>
        <v/>
      </c>
      <c r="G824" s="23" t="str">
        <f>IF(OR(E824="",E824="!!!"),"",IF(OR(J824=0,AND(J824=1,K824=1),AND(J824=1,I824="SBJ"),AND(J824=1,I824=0)),"?IN_FOCUS",IF(J824&lt;=2,"?ACTIVATED",IF(J824&lt;&gt;"","?FAMILIAR",IF(F824="NEW",IF(ISNA(VLOOKUP(E824,#REF!,1,FALSE())),"?TYPE_IDENTIFIABLE","?REFERENTIAL"),"_")))))</f>
        <v/>
      </c>
      <c r="H824" s="24" t="str">
        <f t="shared" ca="1" si="83"/>
        <v/>
      </c>
      <c r="I824" s="25" t="str">
        <f>IF(OR(E824="",E824="!!!",F824="NEW"),"",INDEX(B$2:B823,-1+SUMPRODUCT(MAX(ROW(E$2:E823)*(E824=E$2:E823)))))</f>
        <v/>
      </c>
      <c r="J824" s="25" t="str">
        <f ca="1">IF(OR(E824="",E824="!!!",F824="NEW"),"",COUNTBLANK(OFFSET(A$1,,,SUMPRODUCT(MAX(ROW(E$2:E824)*(E824=E$2:E824)))))-COUNTBLANK(OFFSET(A$1,,,SUMPRODUCT(MAX(ROW(E$1:E823)*(E2=E$1:E823))))))</f>
        <v/>
      </c>
      <c r="K824" s="25" t="str">
        <f>IF(OR(E824="",E824="!!!",F824="NEW"),"",INDEX(J$1:J823,SUMPRODUCT(MAX(ROW(E$1:E823)*(E824=E$1:E823)))))</f>
        <v/>
      </c>
      <c r="L824" s="26"/>
    </row>
    <row r="825" spans="1:12" x14ac:dyDescent="0.3">
      <c r="A825" t="s">
        <v>577</v>
      </c>
      <c r="B825" s="20" t="s">
        <v>241</v>
      </c>
      <c r="C825" s="20" t="s">
        <v>216</v>
      </c>
      <c r="D825" s="20" t="s">
        <v>186</v>
      </c>
      <c r="E825" s="21" t="s">
        <v>764</v>
      </c>
      <c r="F825" s="22" t="str">
        <f>IF(OR(E825="",E825="!!!"),"",IF(NOT(ISNA(VLOOKUP(E825,E$1:E824,1,FALSE()))),"OLD",IF(AND(E825&lt;&gt;"",E825&lt;&gt;"!!!"),"NEW","")))</f>
        <v>OLD</v>
      </c>
      <c r="G825" s="23" t="s">
        <v>723</v>
      </c>
      <c r="H825" s="24" t="str">
        <f t="shared" ca="1" si="83"/>
        <v/>
      </c>
      <c r="I825" s="25" t="str">
        <f>IF(OR(E825="",E825="!!!",F825="NEW"),"",INDEX(B$2:B824,-1+SUMPRODUCT(MAX(ROW(E$2:E824)*(E825=E$2:E824)))))</f>
        <v>other_8</v>
      </c>
      <c r="J825" s="25">
        <f ca="1">IF(OR(E825="",E825="!!!",F825="NEW"),"",COUNTBLANK(OFFSET(A$1,,,SUMPRODUCT(MAX(ROW(E$2:E825)*(E825=E$2:E825)))))-COUNTBLANK(OFFSET(A$1,,,SUMPRODUCT(MAX(ROW(E$1:E824)*(E2=E$1:E824))))))</f>
        <v>0</v>
      </c>
      <c r="K825" s="25">
        <f ca="1">IF(OR(E825="",E825="!!!",F825="NEW"),"",INDEX(J$1:J824,SUMPRODUCT(MAX(ROW(E$1:E824)*(E825=E$1:E824)))))</f>
        <v>0</v>
      </c>
      <c r="L825" s="26"/>
    </row>
    <row r="826" spans="1:12" x14ac:dyDescent="0.3">
      <c r="A826" t="s">
        <v>642</v>
      </c>
      <c r="E826" s="21" t="str">
        <f t="shared" si="82"/>
        <v/>
      </c>
      <c r="F826" s="22" t="str">
        <f>IF(OR(E826="",E826="!!!"),"",IF(NOT(ISNA(VLOOKUP(E826,E$1:E825,1,FALSE()))),"OLD",IF(AND(E826&lt;&gt;"",E826&lt;&gt;"!!!"),"NEW","")))</f>
        <v/>
      </c>
      <c r="G826" s="23" t="str">
        <f>IF(OR(E826="",E826="!!!"),"",IF(OR(J826=0,AND(J826=1,K826=1),AND(J826=1,I826="SBJ"),AND(J826=1,I826=0)),"?IN_FOCUS",IF(J826&lt;=2,"?ACTIVATED",IF(J826&lt;&gt;"","?FAMILIAR",IF(F826="NEW",IF(ISNA(VLOOKUP(E826,#REF!,1,FALSE())),"?TYPE_IDENTIFIABLE","?REFERENTIAL"),"_")))))</f>
        <v/>
      </c>
      <c r="H826" s="24" t="str">
        <f t="shared" ca="1" si="83"/>
        <v/>
      </c>
      <c r="I826" s="25" t="str">
        <f>IF(OR(E826="",E826="!!!",F826="NEW"),"",INDEX(B$2:B825,-1+SUMPRODUCT(MAX(ROW(E$2:E825)*(E826=E$2:E825)))))</f>
        <v/>
      </c>
      <c r="J826" s="25" t="str">
        <f ca="1">IF(OR(E826="",E826="!!!",F826="NEW"),"",COUNTBLANK(OFFSET(A$1,,,SUMPRODUCT(MAX(ROW(E$2:E826)*(E826=E$2:E826)))))-COUNTBLANK(OFFSET(A$1,,,SUMPRODUCT(MAX(ROW(E$1:E825)*(E2=E$1:E825))))))</f>
        <v/>
      </c>
      <c r="K826" s="25" t="str">
        <f>IF(OR(E826="",E826="!!!",F826="NEW"),"",INDEX(J$1:J825,SUMPRODUCT(MAX(ROW(E$1:E825)*(E826=E$1:E825)))))</f>
        <v/>
      </c>
      <c r="L826" s="26"/>
    </row>
    <row r="827" spans="1:12" x14ac:dyDescent="0.3">
      <c r="A827" t="s">
        <v>187</v>
      </c>
      <c r="E827" s="21" t="str">
        <f t="shared" si="82"/>
        <v/>
      </c>
      <c r="F827" s="22" t="str">
        <f>IF(OR(E827="",E827="!!!"),"",IF(NOT(ISNA(VLOOKUP(E827,E$1:E826,1,FALSE()))),"OLD",IF(AND(E827&lt;&gt;"",E827&lt;&gt;"!!!"),"NEW","")))</f>
        <v/>
      </c>
      <c r="G827" s="23" t="str">
        <f>IF(OR(E827="",E827="!!!"),"",IF(OR(J827=0,AND(J827=1,K827=1),AND(J827=1,I827="SBJ"),AND(J827=1,I827=0)),"?IN_FOCUS",IF(J827&lt;=2,"?ACTIVATED",IF(J827&lt;&gt;"","?FAMILIAR",IF(F827="NEW",IF(ISNA(VLOOKUP(E827,#REF!,1,FALSE())),"?TYPE_IDENTIFIABLE","?REFERENTIAL"),"_")))))</f>
        <v/>
      </c>
      <c r="H827" s="24" t="str">
        <f t="shared" ca="1" si="83"/>
        <v/>
      </c>
      <c r="I827" s="25" t="str">
        <f>IF(OR(E827="",E827="!!!",F827="NEW"),"",INDEX(B$2:B826,-1+SUMPRODUCT(MAX(ROW(E$2:E826)*(E827=E$2:E826)))))</f>
        <v/>
      </c>
      <c r="J827" s="25" t="str">
        <f ca="1">IF(OR(E827="",E827="!!!",F827="NEW"),"",COUNTBLANK(OFFSET(A$1,,,SUMPRODUCT(MAX(ROW(E$2:E827)*(E827=E$2:E827)))))-COUNTBLANK(OFFSET(A$1,,,SUMPRODUCT(MAX(ROW(E$1:E826)*(E2=E$1:E826))))))</f>
        <v/>
      </c>
      <c r="K827" s="25" t="str">
        <f>IF(OR(E827="",E827="!!!",F827="NEW"),"",INDEX(J$1:J826,SUMPRODUCT(MAX(ROW(E$1:E826)*(E827=E$1:E826)))))</f>
        <v/>
      </c>
      <c r="L827" s="26"/>
    </row>
    <row r="828" spans="1:12" x14ac:dyDescent="0.3">
      <c r="A828" t="s">
        <v>643</v>
      </c>
      <c r="E828" s="21" t="str">
        <f t="shared" si="82"/>
        <v/>
      </c>
      <c r="F828" s="22" t="str">
        <f>IF(OR(E828="",E828="!!!"),"",IF(NOT(ISNA(VLOOKUP(E828,E$1:E827,1,FALSE()))),"OLD",IF(AND(E828&lt;&gt;"",E828&lt;&gt;"!!!"),"NEW","")))</f>
        <v/>
      </c>
      <c r="G828" s="23" t="str">
        <f>IF(OR(E828="",E828="!!!"),"",IF(OR(J828=0,AND(J828=1,K828=1),AND(J828=1,I828="SBJ"),AND(J828=1,I828=0)),"?IN_FOCUS",IF(J828&lt;=2,"?ACTIVATED",IF(J828&lt;&gt;"","?FAMILIAR",IF(F828="NEW",IF(ISNA(VLOOKUP(E828,#REF!,1,FALSE())),"?TYPE_IDENTIFIABLE","?REFERENTIAL"),"_")))))</f>
        <v/>
      </c>
      <c r="H828" s="24" t="str">
        <f t="shared" ca="1" si="83"/>
        <v/>
      </c>
      <c r="I828" s="25" t="str">
        <f>IF(OR(E828="",E828="!!!",F828="NEW"),"",INDEX(B$2:B827,-1+SUMPRODUCT(MAX(ROW(E$2:E827)*(E828=E$2:E827)))))</f>
        <v/>
      </c>
      <c r="J828" s="25" t="str">
        <f ca="1">IF(OR(E828="",E828="!!!",F828="NEW"),"",COUNTBLANK(OFFSET(A$1,,,SUMPRODUCT(MAX(ROW(E$2:E828)*(E828=E$2:E828)))))-COUNTBLANK(OFFSET(A$1,,,SUMPRODUCT(MAX(ROW(E$1:E827)*(E2=E$1:E827))))))</f>
        <v/>
      </c>
      <c r="K828" s="25" t="str">
        <f>IF(OR(E828="",E828="!!!",F828="NEW"),"",INDEX(J$1:J827,SUMPRODUCT(MAX(ROW(E$1:E827)*(E828=E$1:E827)))))</f>
        <v/>
      </c>
      <c r="L828" s="26"/>
    </row>
    <row r="829" spans="1:12" x14ac:dyDescent="0.3">
      <c r="A829" t="s">
        <v>644</v>
      </c>
      <c r="E829" s="21" t="str">
        <f t="shared" si="82"/>
        <v/>
      </c>
      <c r="F829" s="22" t="str">
        <f>IF(OR(E829="",E829="!!!"),"",IF(NOT(ISNA(VLOOKUP(E829,E$1:E828,1,FALSE()))),"OLD",IF(AND(E829&lt;&gt;"",E829&lt;&gt;"!!!"),"NEW","")))</f>
        <v/>
      </c>
      <c r="G829" s="23" t="str">
        <f>IF(OR(E829="",E829="!!!"),"",IF(OR(J829=0,AND(J829=1,K829=1),AND(J829=1,I829="SBJ"),AND(J829=1,I829=0)),"?IN_FOCUS",IF(J829&lt;=2,"?ACTIVATED",IF(J829&lt;&gt;"","?FAMILIAR",IF(F829="NEW",IF(ISNA(VLOOKUP(E829,#REF!,1,FALSE())),"?TYPE_IDENTIFIABLE","?REFERENTIAL"),"_")))))</f>
        <v/>
      </c>
      <c r="H829" s="24" t="str">
        <f t="shared" ca="1" si="83"/>
        <v/>
      </c>
      <c r="I829" s="25" t="str">
        <f>IF(OR(E829="",E829="!!!",F829="NEW"),"",INDEX(B$2:B828,-1+SUMPRODUCT(MAX(ROW(E$2:E828)*(E829=E$2:E828)))))</f>
        <v/>
      </c>
      <c r="J829" s="25" t="str">
        <f ca="1">IF(OR(E829="",E829="!!!",F829="NEW"),"",COUNTBLANK(OFFSET(A$1,,,SUMPRODUCT(MAX(ROW(E$2:E829)*(E829=E$2:E829)))))-COUNTBLANK(OFFSET(A$1,,,SUMPRODUCT(MAX(ROW(E$1:E828)*(E2=E$1:E828))))))</f>
        <v/>
      </c>
      <c r="K829" s="25" t="str">
        <f>IF(OR(E829="",E829="!!!",F829="NEW"),"",INDEX(J$1:J828,SUMPRODUCT(MAX(ROW(E$1:E828)*(E829=E$1:E828)))))</f>
        <v/>
      </c>
      <c r="L829" s="26"/>
    </row>
    <row r="830" spans="1:12" x14ac:dyDescent="0.3">
      <c r="A830" t="s">
        <v>645</v>
      </c>
      <c r="E830" s="21" t="str">
        <f t="shared" si="82"/>
        <v/>
      </c>
      <c r="F830" s="22" t="str">
        <f>IF(OR(E830="",E830="!!!"),"",IF(NOT(ISNA(VLOOKUP(E830,E$1:E829,1,FALSE()))),"OLD",IF(AND(E830&lt;&gt;"",E830&lt;&gt;"!!!"),"NEW","")))</f>
        <v/>
      </c>
      <c r="G830" s="23" t="str">
        <f>IF(OR(E830="",E830="!!!"),"",IF(OR(J830=0,AND(J830=1,K830=1),AND(J830=1,I830="SBJ"),AND(J830=1,I830=0)),"?IN_FOCUS",IF(J830&lt;=2,"?ACTIVATED",IF(J830&lt;&gt;"","?FAMILIAR",IF(F830="NEW",IF(ISNA(VLOOKUP(E830,#REF!,1,FALSE())),"?TYPE_IDENTIFIABLE","?REFERENTIAL"),"_")))))</f>
        <v/>
      </c>
      <c r="H830" s="24" t="str">
        <f t="shared" ca="1" si="83"/>
        <v/>
      </c>
      <c r="I830" s="25" t="str">
        <f>IF(OR(E830="",E830="!!!",F830="NEW"),"",INDEX(B$2:B829,-1+SUMPRODUCT(MAX(ROW(E$2:E829)*(E830=E$2:E829)))))</f>
        <v/>
      </c>
      <c r="J830" s="25" t="str">
        <f ca="1">IF(OR(E830="",E830="!!!",F830="NEW"),"",COUNTBLANK(OFFSET(A$1,,,SUMPRODUCT(MAX(ROW(E$2:E830)*(E830=E$2:E830)))))-COUNTBLANK(OFFSET(A$1,,,SUMPRODUCT(MAX(ROW(E$1:E829)*(E2=E$1:E829))))))</f>
        <v/>
      </c>
      <c r="K830" s="25" t="str">
        <f>IF(OR(E830="",E830="!!!",F830="NEW"),"",INDEX(J$1:J829,SUMPRODUCT(MAX(ROW(E$1:E829)*(E830=E$1:E829)))))</f>
        <v/>
      </c>
      <c r="L830" s="26"/>
    </row>
    <row r="831" spans="1:12" x14ac:dyDescent="0.3">
      <c r="A831" t="s">
        <v>187</v>
      </c>
      <c r="E831" s="21" t="str">
        <f t="shared" si="82"/>
        <v/>
      </c>
      <c r="F831" s="22" t="str">
        <f>IF(OR(E831="",E831="!!!"),"",IF(NOT(ISNA(VLOOKUP(E831,E$1:E830,1,FALSE()))),"OLD",IF(AND(E831&lt;&gt;"",E831&lt;&gt;"!!!"),"NEW","")))</f>
        <v/>
      </c>
      <c r="G831" s="23" t="str">
        <f>IF(OR(E831="",E831="!!!"),"",IF(OR(J831=0,AND(J831=1,K831=1),AND(J831=1,I831="SBJ"),AND(J831=1,I831=0)),"?IN_FOCUS",IF(J831&lt;=2,"?ACTIVATED",IF(J831&lt;&gt;"","?FAMILIAR",IF(F831="NEW",IF(ISNA(VLOOKUP(E831,#REF!,1,FALSE())),"?TYPE_IDENTIFIABLE","?REFERENTIAL"),"_")))))</f>
        <v/>
      </c>
      <c r="H831" s="24" t="str">
        <f t="shared" ca="1" si="83"/>
        <v/>
      </c>
      <c r="I831" s="25" t="str">
        <f>IF(OR(E831="",E831="!!!",F831="NEW"),"",INDEX(B$2:B830,-1+SUMPRODUCT(MAX(ROW(E$2:E830)*(E831=E$2:E830)))))</f>
        <v/>
      </c>
      <c r="J831" s="25" t="str">
        <f ca="1">IF(OR(E831="",E831="!!!",F831="NEW"),"",COUNTBLANK(OFFSET(A$1,,,SUMPRODUCT(MAX(ROW(E$2:E831)*(E831=E$2:E831)))))-COUNTBLANK(OFFSET(A$1,,,SUMPRODUCT(MAX(ROW(E$1:E830)*(E2=E$1:E830))))))</f>
        <v/>
      </c>
      <c r="K831" s="25" t="str">
        <f>IF(OR(E831="",E831="!!!",F831="NEW"),"",INDEX(J$1:J830,SUMPRODUCT(MAX(ROW(E$1:E830)*(E831=E$1:E830)))))</f>
        <v/>
      </c>
      <c r="L831" s="26"/>
    </row>
    <row r="832" spans="1:12" x14ac:dyDescent="0.3">
      <c r="A832" t="s">
        <v>221</v>
      </c>
      <c r="B832" s="20" t="s">
        <v>635</v>
      </c>
      <c r="E832" s="21" t="str">
        <f t="shared" si="82"/>
        <v/>
      </c>
      <c r="F832" s="22" t="str">
        <f>IF(OR(E832="",E832="!!!"),"",IF(NOT(ISNA(VLOOKUP(E832,E$1:E831,1,FALSE()))),"OLD",IF(AND(E832&lt;&gt;"",E832&lt;&gt;"!!!"),"NEW","")))</f>
        <v/>
      </c>
      <c r="G832" s="23" t="str">
        <f>IF(OR(E832="",E832="!!!"),"",IF(OR(J832=0,AND(J832=1,K832=1),AND(J832=1,I832="SBJ"),AND(J832=1,I832=0)),"?IN_FOCUS",IF(J832&lt;=2,"?ACTIVATED",IF(J832&lt;&gt;"","?FAMILIAR",IF(F832="NEW",IF(ISNA(VLOOKUP(E832,#REF!,1,FALSE())),"?TYPE_IDENTIFIABLE","?REFERENTIAL"),"_")))))</f>
        <v/>
      </c>
      <c r="H832" s="24" t="str">
        <f t="shared" ca="1" si="83"/>
        <v/>
      </c>
      <c r="I832" s="25" t="str">
        <f>IF(OR(E832="",E832="!!!",F832="NEW"),"",INDEX(B$2:B831,-1+SUMPRODUCT(MAX(ROW(E$2:E831)*(E832=E$2:E831)))))</f>
        <v/>
      </c>
      <c r="J832" s="25" t="str">
        <f ca="1">IF(OR(E832="",E832="!!!",F832="NEW"),"",COUNTBLANK(OFFSET(A$1,,,SUMPRODUCT(MAX(ROW(E$2:E832)*(E832=E$2:E832)))))-COUNTBLANK(OFFSET(A$1,,,SUMPRODUCT(MAX(ROW(E$1:E831)*(E2=E$1:E831))))))</f>
        <v/>
      </c>
      <c r="K832" s="25" t="str">
        <f>IF(OR(E832="",E832="!!!",F832="NEW"),"",INDEX(J$1:J831,SUMPRODUCT(MAX(ROW(E$1:E831)*(E832=E$1:E831)))))</f>
        <v/>
      </c>
      <c r="L832" s="26"/>
    </row>
    <row r="833" spans="1:12" x14ac:dyDescent="0.3">
      <c r="A833" t="s">
        <v>646</v>
      </c>
      <c r="E833" s="21" t="str">
        <f t="shared" si="82"/>
        <v/>
      </c>
      <c r="F833" s="22" t="str">
        <f>IF(OR(E833="",E833="!!!"),"",IF(NOT(ISNA(VLOOKUP(E833,E$1:E832,1,FALSE()))),"OLD",IF(AND(E833&lt;&gt;"",E833&lt;&gt;"!!!"),"NEW","")))</f>
        <v/>
      </c>
      <c r="G833" s="23" t="str">
        <f>IF(OR(E833="",E833="!!!"),"",IF(OR(J833=0,AND(J833=1,K833=1),AND(J833=1,I833="SBJ"),AND(J833=1,I833=0)),"?IN_FOCUS",IF(J833&lt;=2,"?ACTIVATED",IF(J833&lt;&gt;"","?FAMILIAR",IF(F833="NEW",IF(ISNA(VLOOKUP(E833,#REF!,1,FALSE())),"?TYPE_IDENTIFIABLE","?REFERENTIAL"),"_")))))</f>
        <v/>
      </c>
      <c r="H833" s="24" t="str">
        <f t="shared" ca="1" si="83"/>
        <v/>
      </c>
      <c r="I833" s="25" t="str">
        <f>IF(OR(E833="",E833="!!!",F833="NEW"),"",INDEX(B$2:B832,-1+SUMPRODUCT(MAX(ROW(E$2:E832)*(E833=E$2:E832)))))</f>
        <v/>
      </c>
      <c r="J833" s="25" t="str">
        <f ca="1">IF(OR(E833="",E833="!!!",F833="NEW"),"",COUNTBLANK(OFFSET(A$1,,,SUMPRODUCT(MAX(ROW(E$2:E833)*(E833=E$2:E833)))))-COUNTBLANK(OFFSET(A$1,,,SUMPRODUCT(MAX(ROW(E$1:E832)*(E2=E$1:E832))))))</f>
        <v/>
      </c>
      <c r="K833" s="25" t="str">
        <f>IF(OR(E833="",E833="!!!",F833="NEW"),"",INDEX(J$1:J832,SUMPRODUCT(MAX(ROW(E$1:E832)*(E833=E$1:E832)))))</f>
        <v/>
      </c>
      <c r="L833" s="26"/>
    </row>
    <row r="834" spans="1:12" x14ac:dyDescent="0.3">
      <c r="A834" t="s">
        <v>647</v>
      </c>
      <c r="E834" s="21" t="str">
        <f t="shared" si="82"/>
        <v/>
      </c>
      <c r="F834" s="22" t="str">
        <f>IF(OR(E834="",E834="!!!"),"",IF(NOT(ISNA(VLOOKUP(E834,E$1:E833,1,FALSE()))),"OLD",IF(AND(E834&lt;&gt;"",E834&lt;&gt;"!!!"),"NEW","")))</f>
        <v/>
      </c>
      <c r="G834" s="23" t="str">
        <f>IF(OR(E834="",E834="!!!"),"",IF(OR(J834=0,AND(J834=1,K834=1),AND(J834=1,I834="SBJ"),AND(J834=1,I834=0)),"?IN_FOCUS",IF(J834&lt;=2,"?ACTIVATED",IF(J834&lt;&gt;"","?FAMILIAR",IF(F834="NEW",IF(ISNA(VLOOKUP(E834,#REF!,1,FALSE())),"?TYPE_IDENTIFIABLE","?REFERENTIAL"),"_")))))</f>
        <v/>
      </c>
      <c r="H834" s="24" t="str">
        <f t="shared" ca="1" si="83"/>
        <v/>
      </c>
      <c r="I834" s="25" t="str">
        <f>IF(OR(E834="",E834="!!!",F834="NEW"),"",INDEX(B$2:B833,-1+SUMPRODUCT(MAX(ROW(E$2:E833)*(E834=E$2:E833)))))</f>
        <v/>
      </c>
      <c r="J834" s="25" t="str">
        <f ca="1">IF(OR(E834="",E834="!!!",F834="NEW"),"",COUNTBLANK(OFFSET(A$1,,,SUMPRODUCT(MAX(ROW(E$2:E834)*(E834=E$2:E834)))))-COUNTBLANK(OFFSET(A$1,,,SUMPRODUCT(MAX(ROW(E$1:E833)*(E2=E$1:E833))))))</f>
        <v/>
      </c>
      <c r="K834" s="25" t="str">
        <f>IF(OR(E834="",E834="!!!",F834="NEW"),"",INDEX(J$1:J833,SUMPRODUCT(MAX(ROW(E$1:E833)*(E834=E$1:E833)))))</f>
        <v/>
      </c>
      <c r="L834" s="26"/>
    </row>
    <row r="835" spans="1:12" x14ac:dyDescent="0.3">
      <c r="A835" t="s">
        <v>212</v>
      </c>
      <c r="E835" s="21" t="str">
        <f t="shared" si="82"/>
        <v/>
      </c>
      <c r="F835" s="22" t="str">
        <f>IF(OR(E835="",E835="!!!"),"",IF(NOT(ISNA(VLOOKUP(E835,E$1:E834,1,FALSE()))),"OLD",IF(AND(E835&lt;&gt;"",E835&lt;&gt;"!!!"),"NEW","")))</f>
        <v/>
      </c>
      <c r="G835" s="23" t="str">
        <f>IF(OR(E835="",E835="!!!"),"",IF(OR(J835=0,AND(J835=1,K835=1),AND(J835=1,I835="SBJ"),AND(J835=1,I835=0)),"?IN_FOCUS",IF(J835&lt;=2,"?ACTIVATED",IF(J835&lt;&gt;"","?FAMILIAR",IF(F835="NEW",IF(ISNA(VLOOKUP(E835,#REF!,1,FALSE())),"?TYPE_IDENTIFIABLE","?REFERENTIAL"),"_")))))</f>
        <v/>
      </c>
      <c r="H835" s="24" t="str">
        <f t="shared" ca="1" si="83"/>
        <v/>
      </c>
      <c r="I835" s="25" t="str">
        <f>IF(OR(E835="",E835="!!!",F835="NEW"),"",INDEX(B$2:B834,-1+SUMPRODUCT(MAX(ROW(E$2:E834)*(E835=E$2:E834)))))</f>
        <v/>
      </c>
      <c r="J835" s="25" t="str">
        <f ca="1">IF(OR(E835="",E835="!!!",F835="NEW"),"",COUNTBLANK(OFFSET(A$1,,,SUMPRODUCT(MAX(ROW(E$2:E835)*(E835=E$2:E835)))))-COUNTBLANK(OFFSET(A$1,,,SUMPRODUCT(MAX(ROW(E$1:E834)*(E2=E$1:E834))))))</f>
        <v/>
      </c>
      <c r="K835" s="25" t="str">
        <f>IF(OR(E835="",E835="!!!",F835="NEW"),"",INDEX(J$1:J834,SUMPRODUCT(MAX(ROW(E$1:E834)*(E835=E$1:E834)))))</f>
        <v/>
      </c>
      <c r="L835" s="26"/>
    </row>
    <row r="837" spans="1:12" x14ac:dyDescent="0.3">
      <c r="A837" t="s">
        <v>648</v>
      </c>
    </row>
    <row r="838" spans="1:12" x14ac:dyDescent="0.3">
      <c r="A838" t="s">
        <v>649</v>
      </c>
      <c r="E838" s="21" t="str">
        <f t="shared" ref="E838:E853" si="84">IF(D838="?OLD","!!!","")</f>
        <v/>
      </c>
      <c r="F838" s="22" t="str">
        <f>IF(OR(E838="",E838="!!!"),"",IF(NOT(ISNA(VLOOKUP(E838,E$1:E837,1,FALSE()))),"OLD",IF(AND(E838&lt;&gt;"",E838&lt;&gt;"!!!"),"NEW","")))</f>
        <v/>
      </c>
      <c r="G838" s="23" t="str">
        <f>IF(OR(E838="",E838="!!!"),"",IF(OR(J838=0,AND(J838=1,K838=1),AND(J838=1,I838="SBJ"),AND(J838=1,I838=0)),"?IN_FOCUS",IF(J838&lt;=2,"?ACTIVATED",IF(J838&lt;&gt;"","?FAMILIAR",IF(F838="NEW",IF(ISNA(VLOOKUP(E838,#REF!,1,FALSE())),"?TYPE_IDENTIFIABLE","?REFERENTIAL"),"_")))))</f>
        <v/>
      </c>
      <c r="H838" s="24" t="str">
        <f t="shared" ref="H838:H853" ca="1" si="85">IF(J838&lt;&gt;1,"",IF(I838="SBJ","CB","?"))</f>
        <v/>
      </c>
      <c r="I838" s="25" t="str">
        <f>IF(OR(E838="",E838="!!!",F838="NEW"),"",INDEX(B$2:B837,-1+SUMPRODUCT(MAX(ROW(E$2:E837)*(E838=E$2:E837)))))</f>
        <v/>
      </c>
      <c r="J838" s="25" t="str">
        <f ca="1">IF(OR(E838="",E838="!!!",F838="NEW"),"",COUNTBLANK(OFFSET(A$1,,,SUMPRODUCT(MAX(ROW(E$2:E838)*(E838=E$2:E838)))))-COUNTBLANK(OFFSET(A$1,,,SUMPRODUCT(MAX(ROW(E$1:E837)*(E2=E$1:E837))))))</f>
        <v/>
      </c>
      <c r="K838" s="25" t="str">
        <f>IF(OR(E838="",E838="!!!",F838="NEW"),"",INDEX(J$1:J837,SUMPRODUCT(MAX(ROW(E$1:E837)*(E838=E$1:E837)))))</f>
        <v/>
      </c>
      <c r="L838" s="26"/>
    </row>
    <row r="839" spans="1:12" x14ac:dyDescent="0.3">
      <c r="A839" t="s">
        <v>206</v>
      </c>
      <c r="E839" s="21" t="str">
        <f t="shared" si="84"/>
        <v/>
      </c>
      <c r="F839" s="22" t="str">
        <f>IF(OR(E839="",E839="!!!"),"",IF(NOT(ISNA(VLOOKUP(E839,E$1:E838,1,FALSE()))),"OLD",IF(AND(E839&lt;&gt;"",E839&lt;&gt;"!!!"),"NEW","")))</f>
        <v/>
      </c>
      <c r="G839" s="23" t="str">
        <f>IF(OR(E839="",E839="!!!"),"",IF(OR(J839=0,AND(J839=1,K839=1),AND(J839=1,I839="SBJ"),AND(J839=1,I839=0)),"?IN_FOCUS",IF(J839&lt;=2,"?ACTIVATED",IF(J839&lt;&gt;"","?FAMILIAR",IF(F839="NEW",IF(ISNA(VLOOKUP(E839,#REF!,1,FALSE())),"?TYPE_IDENTIFIABLE","?REFERENTIAL"),"_")))))</f>
        <v/>
      </c>
      <c r="H839" s="24" t="str">
        <f t="shared" ca="1" si="85"/>
        <v/>
      </c>
      <c r="I839" s="25" t="str">
        <f>IF(OR(E839="",E839="!!!",F839="NEW"),"",INDEX(B$2:B838,-1+SUMPRODUCT(MAX(ROW(E$2:E838)*(E839=E$2:E838)))))</f>
        <v/>
      </c>
      <c r="J839" s="25" t="str">
        <f ca="1">IF(OR(E839="",E839="!!!",F839="NEW"),"",COUNTBLANK(OFFSET(A$1,,,SUMPRODUCT(MAX(ROW(E$2:E839)*(E839=E$2:E839)))))-COUNTBLANK(OFFSET(A$1,,,SUMPRODUCT(MAX(ROW(E$1:E838)*(E2=E$1:E838))))))</f>
        <v/>
      </c>
      <c r="K839" s="25" t="str">
        <f>IF(OR(E839="",E839="!!!",F839="NEW"),"",INDEX(J$1:J838,SUMPRODUCT(MAX(ROW(E$1:E838)*(E839=E$1:E838)))))</f>
        <v/>
      </c>
      <c r="L839" s="26"/>
    </row>
    <row r="840" spans="1:12" x14ac:dyDescent="0.3">
      <c r="A840" t="s">
        <v>650</v>
      </c>
      <c r="E840" s="21" t="str">
        <f t="shared" si="84"/>
        <v/>
      </c>
      <c r="F840" s="22" t="str">
        <f>IF(OR(E840="",E840="!!!"),"",IF(NOT(ISNA(VLOOKUP(E840,E$1:E839,1,FALSE()))),"OLD",IF(AND(E840&lt;&gt;"",E840&lt;&gt;"!!!"),"NEW","")))</f>
        <v/>
      </c>
      <c r="G840" s="23" t="str">
        <f>IF(OR(E840="",E840="!!!"),"",IF(OR(J840=0,AND(J840=1,K840=1),AND(J840=1,I840="SBJ"),AND(J840=1,I840=0)),"?IN_FOCUS",IF(J840&lt;=2,"?ACTIVATED",IF(J840&lt;&gt;"","?FAMILIAR",IF(F840="NEW",IF(ISNA(VLOOKUP(E840,#REF!,1,FALSE())),"?TYPE_IDENTIFIABLE","?REFERENTIAL"),"_")))))</f>
        <v/>
      </c>
      <c r="H840" s="24" t="str">
        <f t="shared" ca="1" si="85"/>
        <v/>
      </c>
      <c r="I840" s="25" t="str">
        <f>IF(OR(E840="",E840="!!!",F840="NEW"),"",INDEX(B$2:B839,-1+SUMPRODUCT(MAX(ROW(E$2:E839)*(E840=E$2:E839)))))</f>
        <v/>
      </c>
      <c r="J840" s="25" t="str">
        <f ca="1">IF(OR(E840="",E840="!!!",F840="NEW"),"",COUNTBLANK(OFFSET(A$1,,,SUMPRODUCT(MAX(ROW(E$2:E840)*(E840=E$2:E840)))))-COUNTBLANK(OFFSET(A$1,,,SUMPRODUCT(MAX(ROW(E$1:E839)*(E2=E$1:E839))))))</f>
        <v/>
      </c>
      <c r="K840" s="25" t="str">
        <f>IF(OR(E840="",E840="!!!",F840="NEW"),"",INDEX(J$1:J839,SUMPRODUCT(MAX(ROW(E$1:E839)*(E840=E$1:E839)))))</f>
        <v/>
      </c>
      <c r="L840" s="26"/>
    </row>
    <row r="841" spans="1:12" x14ac:dyDescent="0.3">
      <c r="A841" t="s">
        <v>218</v>
      </c>
      <c r="E841" s="21" t="str">
        <f t="shared" si="84"/>
        <v/>
      </c>
      <c r="F841" s="22" t="str">
        <f>IF(OR(E841="",E841="!!!"),"",IF(NOT(ISNA(VLOOKUP(E841,E$1:E840,1,FALSE()))),"OLD",IF(AND(E841&lt;&gt;"",E841&lt;&gt;"!!!"),"NEW","")))</f>
        <v/>
      </c>
      <c r="G841" s="23" t="str">
        <f>IF(OR(E841="",E841="!!!"),"",IF(OR(J841=0,AND(J841=1,K841=1),AND(J841=1,I841="SBJ"),AND(J841=1,I841=0)),"?IN_FOCUS",IF(J841&lt;=2,"?ACTIVATED",IF(J841&lt;&gt;"","?FAMILIAR",IF(F841="NEW",IF(ISNA(VLOOKUP(E841,#REF!,1,FALSE())),"?TYPE_IDENTIFIABLE","?REFERENTIAL"),"_")))))</f>
        <v/>
      </c>
      <c r="H841" s="24" t="str">
        <f t="shared" ca="1" si="85"/>
        <v/>
      </c>
      <c r="I841" s="25" t="str">
        <f>IF(OR(E841="",E841="!!!",F841="NEW"),"",INDEX(B$2:B840,-1+SUMPRODUCT(MAX(ROW(E$2:E840)*(E841=E$2:E840)))))</f>
        <v/>
      </c>
      <c r="J841" s="25" t="str">
        <f ca="1">IF(OR(E841="",E841="!!!",F841="NEW"),"",COUNTBLANK(OFFSET(A$1,,,SUMPRODUCT(MAX(ROW(E$2:E841)*(E841=E$2:E841)))))-COUNTBLANK(OFFSET(A$1,,,SUMPRODUCT(MAX(ROW(E$1:E840)*(E2=E$1:E840))))))</f>
        <v/>
      </c>
      <c r="K841" s="25" t="str">
        <f>IF(OR(E841="",E841="!!!",F841="NEW"),"",INDEX(J$1:J840,SUMPRODUCT(MAX(ROW(E$1:E840)*(E841=E$1:E840)))))</f>
        <v/>
      </c>
      <c r="L841" s="26"/>
    </row>
    <row r="842" spans="1:12" x14ac:dyDescent="0.3">
      <c r="A842" t="s">
        <v>651</v>
      </c>
      <c r="E842" s="21" t="str">
        <f t="shared" si="84"/>
        <v/>
      </c>
      <c r="F842" s="22" t="str">
        <f>IF(OR(E842="",E842="!!!"),"",IF(NOT(ISNA(VLOOKUP(E842,E$1:E841,1,FALSE()))),"OLD",IF(AND(E842&lt;&gt;"",E842&lt;&gt;"!!!"),"NEW","")))</f>
        <v/>
      </c>
      <c r="G842" s="23" t="str">
        <f>IF(OR(E842="",E842="!!!"),"",IF(OR(J842=0,AND(J842=1,K842=1),AND(J842=1,I842="SBJ"),AND(J842=1,I842=0)),"?IN_FOCUS",IF(J842&lt;=2,"?ACTIVATED",IF(J842&lt;&gt;"","?FAMILIAR",IF(F842="NEW",IF(ISNA(VLOOKUP(E842,#REF!,1,FALSE())),"?TYPE_IDENTIFIABLE","?REFERENTIAL"),"_")))))</f>
        <v/>
      </c>
      <c r="H842" s="24" t="str">
        <f t="shared" ca="1" si="85"/>
        <v/>
      </c>
      <c r="I842" s="25" t="str">
        <f>IF(OR(E842="",E842="!!!",F842="NEW"),"",INDEX(B$2:B841,-1+SUMPRODUCT(MAX(ROW(E$2:E841)*(E842=E$2:E841)))))</f>
        <v/>
      </c>
      <c r="J842" s="25" t="str">
        <f ca="1">IF(OR(E842="",E842="!!!",F842="NEW"),"",COUNTBLANK(OFFSET(A$1,,,SUMPRODUCT(MAX(ROW(E$2:E842)*(E842=E$2:E842)))))-COUNTBLANK(OFFSET(A$1,,,SUMPRODUCT(MAX(ROW(E$1:E841)*(E2=E$1:E841))))))</f>
        <v/>
      </c>
      <c r="K842" s="25" t="str">
        <f>IF(OR(E842="",E842="!!!",F842="NEW"),"",INDEX(J$1:J841,SUMPRODUCT(MAX(ROW(E$1:E841)*(E842=E$1:E841)))))</f>
        <v/>
      </c>
      <c r="L842" s="26"/>
    </row>
    <row r="843" spans="1:12" x14ac:dyDescent="0.3">
      <c r="A843" t="s">
        <v>276</v>
      </c>
      <c r="B843" s="20" t="s">
        <v>184</v>
      </c>
      <c r="C843" s="20" t="s">
        <v>216</v>
      </c>
      <c r="D843" s="20" t="s">
        <v>186</v>
      </c>
      <c r="E843" s="21" t="s">
        <v>739</v>
      </c>
      <c r="F843" s="22" t="str">
        <f>IF(OR(E843="",E843="!!!"),"",IF(NOT(ISNA(VLOOKUP(E843,E$1:E842,1,FALSE()))),"OLD",IF(AND(E843&lt;&gt;"",E843&lt;&gt;"!!!"),"NEW","")))</f>
        <v>OLD</v>
      </c>
      <c r="G843" s="23" t="s">
        <v>723</v>
      </c>
      <c r="H843" s="24" t="str">
        <f t="shared" ca="1" si="85"/>
        <v/>
      </c>
      <c r="I843" s="25" t="str">
        <f>IF(OR(E843="",E843="!!!",F843="NEW"),"",INDEX(B$2:B842,-1+SUMPRODUCT(MAX(ROW(E$2:E842)*(E843=E$2:E842)))))</f>
        <v>SBJ</v>
      </c>
      <c r="J843" s="25">
        <f ca="1">IF(OR(E843="",E843="!!!",F843="NEW"),"",COUNTBLANK(OFFSET(A$1,,,SUMPRODUCT(MAX(ROW(E$2:E843)*(E843=E$2:E843)))))-COUNTBLANK(OFFSET(A$1,,,SUMPRODUCT(MAX(ROW(E$1:E842)*(E2=E$1:E842))))))</f>
        <v>0</v>
      </c>
      <c r="K843" s="25">
        <f ca="1">IF(OR(E843="",E843="!!!",F843="NEW"),"",INDEX(J$1:J842,SUMPRODUCT(MAX(ROW(E$1:E842)*(E843=E$1:E842)))))</f>
        <v>0</v>
      </c>
      <c r="L843" s="26"/>
    </row>
    <row r="844" spans="1:12" x14ac:dyDescent="0.3">
      <c r="A844" t="s">
        <v>206</v>
      </c>
      <c r="E844" s="21" t="str">
        <f t="shared" si="84"/>
        <v/>
      </c>
      <c r="F844" s="22" t="str">
        <f>IF(OR(E844="",E844="!!!"),"",IF(NOT(ISNA(VLOOKUP(E844,E$1:E843,1,FALSE()))),"OLD",IF(AND(E844&lt;&gt;"",E844&lt;&gt;"!!!"),"NEW","")))</f>
        <v/>
      </c>
      <c r="G844" s="23" t="str">
        <f>IF(OR(E844="",E844="!!!"),"",IF(OR(J844=0,AND(J844=1,K844=1),AND(J844=1,I844="SBJ"),AND(J844=1,I844=0)),"?IN_FOCUS",IF(J844&lt;=2,"?ACTIVATED",IF(J844&lt;&gt;"","?FAMILIAR",IF(F844="NEW",IF(ISNA(VLOOKUP(E844,#REF!,1,FALSE())),"?TYPE_IDENTIFIABLE","?REFERENTIAL"),"_")))))</f>
        <v/>
      </c>
      <c r="H844" s="24" t="str">
        <f t="shared" ca="1" si="85"/>
        <v/>
      </c>
      <c r="I844" s="25" t="str">
        <f>IF(OR(E844="",E844="!!!",F844="NEW"),"",INDEX(B$2:B843,-1+SUMPRODUCT(MAX(ROW(E$2:E843)*(E844=E$2:E843)))))</f>
        <v/>
      </c>
      <c r="J844" s="25" t="str">
        <f ca="1">IF(OR(E844="",E844="!!!",F844="NEW"),"",COUNTBLANK(OFFSET(A$1,,,SUMPRODUCT(MAX(ROW(E$2:E844)*(E844=E$2:E844)))))-COUNTBLANK(OFFSET(A$1,,,SUMPRODUCT(MAX(ROW(E$1:E843)*(E2=E$1:E843))))))</f>
        <v/>
      </c>
      <c r="K844" s="25" t="str">
        <f>IF(OR(E844="",E844="!!!",F844="NEW"),"",INDEX(J$1:J843,SUMPRODUCT(MAX(ROW(E$1:E843)*(E844=E$1:E843)))))</f>
        <v/>
      </c>
      <c r="L844" s="26"/>
    </row>
    <row r="845" spans="1:12" x14ac:dyDescent="0.3">
      <c r="A845" t="s">
        <v>168</v>
      </c>
      <c r="E845" s="21" t="str">
        <f t="shared" si="84"/>
        <v/>
      </c>
      <c r="F845" s="22" t="str">
        <f>IF(OR(E845="",E845="!!!"),"",IF(NOT(ISNA(VLOOKUP(E845,E$1:E844,1,FALSE()))),"OLD",IF(AND(E845&lt;&gt;"",E845&lt;&gt;"!!!"),"NEW","")))</f>
        <v/>
      </c>
      <c r="G845" s="23" t="str">
        <f>IF(OR(E845="",E845="!!!"),"",IF(OR(J845=0,AND(J845=1,K845=1),AND(J845=1,I845="SBJ"),AND(J845=1,I845=0)),"?IN_FOCUS",IF(J845&lt;=2,"?ACTIVATED",IF(J845&lt;&gt;"","?FAMILIAR",IF(F845="NEW",IF(ISNA(VLOOKUP(E845,#REF!,1,FALSE())),"?TYPE_IDENTIFIABLE","?REFERENTIAL"),"_")))))</f>
        <v/>
      </c>
      <c r="H845" s="24" t="str">
        <f t="shared" ca="1" si="85"/>
        <v/>
      </c>
      <c r="I845" s="25" t="str">
        <f>IF(OR(E845="",E845="!!!",F845="NEW"),"",INDEX(B$2:B844,-1+SUMPRODUCT(MAX(ROW(E$2:E844)*(E845=E$2:E844)))))</f>
        <v/>
      </c>
      <c r="J845" s="25" t="str">
        <f ca="1">IF(OR(E845="",E845="!!!",F845="NEW"),"",COUNTBLANK(OFFSET(A$1,,,SUMPRODUCT(MAX(ROW(E$2:E845)*(E845=E$2:E845)))))-COUNTBLANK(OFFSET(A$1,,,SUMPRODUCT(MAX(ROW(E$1:E844)*(E2=E$1:E844))))))</f>
        <v/>
      </c>
      <c r="K845" s="25" t="str">
        <f>IF(OR(E845="",E845="!!!",F845="NEW"),"",INDEX(J$1:J844,SUMPRODUCT(MAX(ROW(E$1:E844)*(E845=E$1:E844)))))</f>
        <v/>
      </c>
      <c r="L845" s="26"/>
    </row>
    <row r="846" spans="1:12" x14ac:dyDescent="0.3">
      <c r="A846" t="s">
        <v>652</v>
      </c>
      <c r="E846" s="21" t="str">
        <f t="shared" si="84"/>
        <v/>
      </c>
      <c r="F846" s="22" t="str">
        <f>IF(OR(E846="",E846="!!!"),"",IF(NOT(ISNA(VLOOKUP(E846,E$1:E845,1,FALSE()))),"OLD",IF(AND(E846&lt;&gt;"",E846&lt;&gt;"!!!"),"NEW","")))</f>
        <v/>
      </c>
      <c r="G846" s="23" t="str">
        <f>IF(OR(E846="",E846="!!!"),"",IF(OR(J846=0,AND(J846=1,K846=1),AND(J846=1,I846="SBJ"),AND(J846=1,I846=0)),"?IN_FOCUS",IF(J846&lt;=2,"?ACTIVATED",IF(J846&lt;&gt;"","?FAMILIAR",IF(F846="NEW",IF(ISNA(VLOOKUP(E846,#REF!,1,FALSE())),"?TYPE_IDENTIFIABLE","?REFERENTIAL"),"_")))))</f>
        <v/>
      </c>
      <c r="H846" s="24" t="str">
        <f t="shared" ca="1" si="85"/>
        <v/>
      </c>
      <c r="I846" s="25" t="str">
        <f>IF(OR(E846="",E846="!!!",F846="NEW"),"",INDEX(B$2:B845,-1+SUMPRODUCT(MAX(ROW(E$2:E845)*(E846=E$2:E845)))))</f>
        <v/>
      </c>
      <c r="J846" s="25" t="str">
        <f ca="1">IF(OR(E846="",E846="!!!",F846="NEW"),"",COUNTBLANK(OFFSET(A$1,,,SUMPRODUCT(MAX(ROW(E$2:E846)*(E846=E$2:E846)))))-COUNTBLANK(OFFSET(A$1,,,SUMPRODUCT(MAX(ROW(E$1:E845)*(E2=E$1:E845))))))</f>
        <v/>
      </c>
      <c r="K846" s="25" t="str">
        <f>IF(OR(E846="",E846="!!!",F846="NEW"),"",INDEX(J$1:J845,SUMPRODUCT(MAX(ROW(E$1:E845)*(E846=E$1:E845)))))</f>
        <v/>
      </c>
      <c r="L846" s="26"/>
    </row>
    <row r="847" spans="1:12" x14ac:dyDescent="0.3">
      <c r="A847" t="s">
        <v>282</v>
      </c>
      <c r="E847" s="21" t="str">
        <f t="shared" si="84"/>
        <v/>
      </c>
      <c r="F847" s="22" t="str">
        <f>IF(OR(E847="",E847="!!!"),"",IF(NOT(ISNA(VLOOKUP(E847,E$1:E846,1,FALSE()))),"OLD",IF(AND(E847&lt;&gt;"",E847&lt;&gt;"!!!"),"NEW","")))</f>
        <v/>
      </c>
      <c r="G847" s="23" t="str">
        <f>IF(OR(E847="",E847="!!!"),"",IF(OR(J847=0,AND(J847=1,K847=1),AND(J847=1,I847="SBJ"),AND(J847=1,I847=0)),"?IN_FOCUS",IF(J847&lt;=2,"?ACTIVATED",IF(J847&lt;&gt;"","?FAMILIAR",IF(F847="NEW",IF(ISNA(VLOOKUP(E847,#REF!,1,FALSE())),"?TYPE_IDENTIFIABLE","?REFERENTIAL"),"_")))))</f>
        <v/>
      </c>
      <c r="H847" s="24" t="str">
        <f t="shared" ca="1" si="85"/>
        <v/>
      </c>
      <c r="I847" s="25" t="str">
        <f>IF(OR(E847="",E847="!!!",F847="NEW"),"",INDEX(B$2:B846,-1+SUMPRODUCT(MAX(ROW(E$2:E846)*(E847=E$2:E846)))))</f>
        <v/>
      </c>
      <c r="J847" s="25" t="str">
        <f ca="1">IF(OR(E847="",E847="!!!",F847="NEW"),"",COUNTBLANK(OFFSET(A$1,,,SUMPRODUCT(MAX(ROW(E$2:E847)*(E847=E$2:E847)))))-COUNTBLANK(OFFSET(A$1,,,SUMPRODUCT(MAX(ROW(E$1:E846)*(E2=E$1:E846))))))</f>
        <v/>
      </c>
      <c r="K847" s="25" t="str">
        <f>IF(OR(E847="",E847="!!!",F847="NEW"),"",INDEX(J$1:J846,SUMPRODUCT(MAX(ROW(E$1:E846)*(E847=E$1:E846)))))</f>
        <v/>
      </c>
      <c r="L847" s="26"/>
    </row>
    <row r="848" spans="1:12" x14ac:dyDescent="0.3">
      <c r="A848" t="s">
        <v>653</v>
      </c>
      <c r="E848" s="21" t="s">
        <v>759</v>
      </c>
      <c r="F848" s="22" t="str">
        <f>IF(OR(E848="",E848="!!!"),"",IF(NOT(ISNA(VLOOKUP(E848,E$1:E847,1,FALSE()))),"OLD",IF(AND(E848&lt;&gt;"",E848&lt;&gt;"!!!"),"NEW","")))</f>
        <v>OLD</v>
      </c>
      <c r="G848" s="23" t="s">
        <v>723</v>
      </c>
      <c r="H848" s="24" t="str">
        <f t="shared" ca="1" si="85"/>
        <v/>
      </c>
      <c r="I848" s="25" t="str">
        <f>IF(OR(E848="",E848="!!!",F848="NEW"),"",INDEX(B$2:B847,-1+SUMPRODUCT(MAX(ROW(E$2:E847)*(E848=E$2:E847)))))</f>
        <v>SBJ</v>
      </c>
      <c r="J848" s="25">
        <f ca="1">IF(OR(E848="",E848="!!!",F848="NEW"),"",COUNTBLANK(OFFSET(A$1,,,SUMPRODUCT(MAX(ROW(E$2:E848)*(E848=E$2:E848)))))-COUNTBLANK(OFFSET(A$1,,,SUMPRODUCT(MAX(ROW(E$1:E847)*(E2=E$1:E847))))))</f>
        <v>0</v>
      </c>
      <c r="K848" s="25">
        <f ca="1">IF(OR(E848="",E848="!!!",F848="NEW"),"",INDEX(J$1:J847,SUMPRODUCT(MAX(ROW(E$1:E847)*(E848=E$1:E847)))))</f>
        <v>0</v>
      </c>
      <c r="L848" s="26"/>
    </row>
    <row r="849" spans="1:12" x14ac:dyDescent="0.3">
      <c r="A849" t="s">
        <v>337</v>
      </c>
      <c r="E849" s="21" t="str">
        <f t="shared" si="84"/>
        <v/>
      </c>
      <c r="F849" s="22" t="str">
        <f>IF(OR(E849="",E849="!!!"),"",IF(NOT(ISNA(VLOOKUP(E849,E$1:E848,1,FALSE()))),"OLD",IF(AND(E849&lt;&gt;"",E849&lt;&gt;"!!!"),"NEW","")))</f>
        <v/>
      </c>
      <c r="G849" s="23" t="str">
        <f>IF(OR(E849="",E849="!!!"),"",IF(OR(J849=0,AND(J849=1,K849=1),AND(J849=1,I849="SBJ"),AND(J849=1,I849=0)),"?IN_FOCUS",IF(J849&lt;=2,"?ACTIVATED",IF(J849&lt;&gt;"","?FAMILIAR",IF(F849="NEW",IF(ISNA(VLOOKUP(E849,#REF!,1,FALSE())),"?TYPE_IDENTIFIABLE","?REFERENTIAL"),"_")))))</f>
        <v/>
      </c>
      <c r="H849" s="24" t="str">
        <f t="shared" ca="1" si="85"/>
        <v/>
      </c>
      <c r="I849" s="25" t="str">
        <f>IF(OR(E849="",E849="!!!",F849="NEW"),"",INDEX(B$2:B848,-1+SUMPRODUCT(MAX(ROW(E$2:E848)*(E849=E$2:E848)))))</f>
        <v/>
      </c>
      <c r="J849" s="25" t="str">
        <f ca="1">IF(OR(E849="",E849="!!!",F849="NEW"),"",COUNTBLANK(OFFSET(A$1,,,SUMPRODUCT(MAX(ROW(E$2:E849)*(E849=E$2:E849)))))-COUNTBLANK(OFFSET(A$1,,,SUMPRODUCT(MAX(ROW(E$1:E848)*(E2=E$1:E848))))))</f>
        <v/>
      </c>
      <c r="K849" s="25" t="str">
        <f>IF(OR(E849="",E849="!!!",F849="NEW"),"",INDEX(J$1:J848,SUMPRODUCT(MAX(ROW(E$1:E848)*(E849=E$1:E848)))))</f>
        <v/>
      </c>
      <c r="L849" s="26"/>
    </row>
    <row r="850" spans="1:12" x14ac:dyDescent="0.3">
      <c r="A850" t="s">
        <v>654</v>
      </c>
      <c r="E850" s="21" t="str">
        <f t="shared" si="84"/>
        <v/>
      </c>
      <c r="F850" s="22" t="str">
        <f>IF(OR(E850="",E850="!!!"),"",IF(NOT(ISNA(VLOOKUP(E850,E$1:E849,1,FALSE()))),"OLD",IF(AND(E850&lt;&gt;"",E850&lt;&gt;"!!!"),"NEW","")))</f>
        <v/>
      </c>
      <c r="G850" s="23" t="str">
        <f>IF(OR(E850="",E850="!!!"),"",IF(OR(J850=0,AND(J850=1,K850=1),AND(J850=1,I850="SBJ"),AND(J850=1,I850=0)),"?IN_FOCUS",IF(J850&lt;=2,"?ACTIVATED",IF(J850&lt;&gt;"","?FAMILIAR",IF(F850="NEW",IF(ISNA(VLOOKUP(E850,#REF!,1,FALSE())),"?TYPE_IDENTIFIABLE","?REFERENTIAL"),"_")))))</f>
        <v/>
      </c>
      <c r="H850" s="24" t="str">
        <f t="shared" ca="1" si="85"/>
        <v/>
      </c>
      <c r="I850" s="25" t="str">
        <f>IF(OR(E850="",E850="!!!",F850="NEW"),"",INDEX(B$2:B849,-1+SUMPRODUCT(MAX(ROW(E$2:E849)*(E850=E$2:E849)))))</f>
        <v/>
      </c>
      <c r="J850" s="25" t="str">
        <f ca="1">IF(OR(E850="",E850="!!!",F850="NEW"),"",COUNTBLANK(OFFSET(A$1,,,SUMPRODUCT(MAX(ROW(E$2:E850)*(E850=E$2:E850)))))-COUNTBLANK(OFFSET(A$1,,,SUMPRODUCT(MAX(ROW(E$1:E849)*(E2=E$1:E849))))))</f>
        <v/>
      </c>
      <c r="K850" s="25" t="str">
        <f>IF(OR(E850="",E850="!!!",F850="NEW"),"",INDEX(J$1:J849,SUMPRODUCT(MAX(ROW(E$1:E849)*(E850=E$1:E849)))))</f>
        <v/>
      </c>
      <c r="L850" s="26"/>
    </row>
    <row r="851" spans="1:12" x14ac:dyDescent="0.3">
      <c r="A851" t="s">
        <v>655</v>
      </c>
      <c r="E851" s="21" t="str">
        <f t="shared" si="84"/>
        <v/>
      </c>
      <c r="F851" s="22" t="str">
        <f>IF(OR(E851="",E851="!!!"),"",IF(NOT(ISNA(VLOOKUP(E851,E$1:E850,1,FALSE()))),"OLD",IF(AND(E851&lt;&gt;"",E851&lt;&gt;"!!!"),"NEW","")))</f>
        <v/>
      </c>
      <c r="G851" s="23" t="str">
        <f>IF(OR(E851="",E851="!!!"),"",IF(OR(J851=0,AND(J851=1,K851=1),AND(J851=1,I851="SBJ"),AND(J851=1,I851=0)),"?IN_FOCUS",IF(J851&lt;=2,"?ACTIVATED",IF(J851&lt;&gt;"","?FAMILIAR",IF(F851="NEW",IF(ISNA(VLOOKUP(E851,#REF!,1,FALSE())),"?TYPE_IDENTIFIABLE","?REFERENTIAL"),"_")))))</f>
        <v/>
      </c>
      <c r="H851" s="24" t="str">
        <f t="shared" ca="1" si="85"/>
        <v/>
      </c>
      <c r="I851" s="25" t="str">
        <f>IF(OR(E851="",E851="!!!",F851="NEW"),"",INDEX(B$2:B850,-1+SUMPRODUCT(MAX(ROW(E$2:E850)*(E851=E$2:E850)))))</f>
        <v/>
      </c>
      <c r="J851" s="25" t="str">
        <f ca="1">IF(OR(E851="",E851="!!!",F851="NEW"),"",COUNTBLANK(OFFSET(A$1,,,SUMPRODUCT(MAX(ROW(E$2:E851)*(E851=E$2:E851)))))-COUNTBLANK(OFFSET(A$1,,,SUMPRODUCT(MAX(ROW(E$1:E850)*(E2=E$1:E850))))))</f>
        <v/>
      </c>
      <c r="K851" s="25" t="str">
        <f>IF(OR(E851="",E851="!!!",F851="NEW"),"",INDEX(J$1:J850,SUMPRODUCT(MAX(ROW(E$1:E850)*(E851=E$1:E850)))))</f>
        <v/>
      </c>
      <c r="L851" s="26"/>
    </row>
    <row r="852" spans="1:12" x14ac:dyDescent="0.3">
      <c r="A852" t="s">
        <v>656</v>
      </c>
      <c r="B852" s="20" t="s">
        <v>201</v>
      </c>
      <c r="C852" s="20" t="s">
        <v>657</v>
      </c>
      <c r="D852" s="20" t="s">
        <v>186</v>
      </c>
      <c r="E852" s="21" t="s">
        <v>770</v>
      </c>
      <c r="F852" s="22" t="str">
        <f>IF(OR(E852="",E852="!!!"),"",IF(NOT(ISNA(VLOOKUP(E852,E$1:E851,1,FALSE()))),"OLD",IF(AND(E852&lt;&gt;"",E852&lt;&gt;"!!!"),"NEW","")))</f>
        <v>NEW</v>
      </c>
      <c r="G852" s="23" t="s">
        <v>807</v>
      </c>
      <c r="H852" s="24" t="str">
        <f t="shared" ca="1" si="85"/>
        <v/>
      </c>
      <c r="I852" s="25" t="str">
        <f>IF(OR(E852="",E852="!!!",F852="NEW"),"",INDEX(B$2:B851,-1+SUMPRODUCT(MAX(ROW(E$2:E851)*(E852=E$2:E851)))))</f>
        <v/>
      </c>
      <c r="J852" s="25" t="str">
        <f ca="1">IF(OR(E852="",E852="!!!",F852="NEW"),"",COUNTBLANK(OFFSET(A$1,,,SUMPRODUCT(MAX(ROW(E$2:E852)*(E852=E$2:E852)))))-COUNTBLANK(OFFSET(A$1,,,SUMPRODUCT(MAX(ROW(E$1:E851)*(E2=E$1:E851))))))</f>
        <v/>
      </c>
      <c r="K852" s="25" t="str">
        <f>IF(OR(E852="",E852="!!!",F852="NEW"),"",INDEX(J$1:J851,SUMPRODUCT(MAX(ROW(E$1:E851)*(E852=E$1:E851)))))</f>
        <v/>
      </c>
      <c r="L852" s="26"/>
    </row>
    <row r="853" spans="1:12" x14ac:dyDescent="0.3">
      <c r="A853" t="s">
        <v>212</v>
      </c>
      <c r="E853" s="21" t="str">
        <f t="shared" si="84"/>
        <v/>
      </c>
      <c r="F853" s="22" t="str">
        <f>IF(OR(E853="",E853="!!!"),"",IF(NOT(ISNA(VLOOKUP(E853,E$1:E852,1,FALSE()))),"OLD",IF(AND(E853&lt;&gt;"",E853&lt;&gt;"!!!"),"NEW","")))</f>
        <v/>
      </c>
      <c r="G853" s="23" t="str">
        <f>IF(OR(E853="",E853="!!!"),"",IF(OR(J853=0,AND(J853=1,K853=1),AND(J853=1,I853="SBJ"),AND(J853=1,I853=0)),"?IN_FOCUS",IF(J853&lt;=2,"?ACTIVATED",IF(J853&lt;&gt;"","?FAMILIAR",IF(F853="NEW",IF(ISNA(VLOOKUP(E853,#REF!,1,FALSE())),"?TYPE_IDENTIFIABLE","?REFERENTIAL"),"_")))))</f>
        <v/>
      </c>
      <c r="H853" s="24" t="str">
        <f t="shared" ca="1" si="85"/>
        <v/>
      </c>
      <c r="I853" s="25" t="str">
        <f>IF(OR(E853="",E853="!!!",F853="NEW"),"",INDEX(B$2:B852,-1+SUMPRODUCT(MAX(ROW(E$2:E852)*(E853=E$2:E852)))))</f>
        <v/>
      </c>
      <c r="J853" s="25" t="str">
        <f ca="1">IF(OR(E853="",E853="!!!",F853="NEW"),"",COUNTBLANK(OFFSET(A$1,,,SUMPRODUCT(MAX(ROW(E$2:E853)*(E853=E$2:E853)))))-COUNTBLANK(OFFSET(A$1,,,SUMPRODUCT(MAX(ROW(E$1:E852)*(E2=E$1:E852))))))</f>
        <v/>
      </c>
      <c r="K853" s="25" t="str">
        <f>IF(OR(E853="",E853="!!!",F853="NEW"),"",INDEX(J$1:J852,SUMPRODUCT(MAX(ROW(E$1:E852)*(E853=E$1:E852)))))</f>
        <v/>
      </c>
      <c r="L853" s="26"/>
    </row>
    <row r="855" spans="1:12" x14ac:dyDescent="0.3">
      <c r="A855" t="s">
        <v>658</v>
      </c>
    </row>
    <row r="856" spans="1:12" x14ac:dyDescent="0.3">
      <c r="A856" t="s">
        <v>214</v>
      </c>
      <c r="E856" s="21" t="str">
        <f t="shared" ref="E856:E882" si="86">IF(D856="?OLD","!!!","")</f>
        <v/>
      </c>
      <c r="F856" s="22" t="str">
        <f>IF(OR(E856="",E856="!!!"),"",IF(NOT(ISNA(VLOOKUP(E856,E$1:E855,1,FALSE()))),"OLD",IF(AND(E856&lt;&gt;"",E856&lt;&gt;"!!!"),"NEW","")))</f>
        <v/>
      </c>
      <c r="G856" s="23" t="str">
        <f>IF(OR(E856="",E856="!!!"),"",IF(OR(J856=0,AND(J856=1,K856=1),AND(J856=1,I856="SBJ"),AND(J856=1,I856=0)),"?IN_FOCUS",IF(J856&lt;=2,"?ACTIVATED",IF(J856&lt;&gt;"","?FAMILIAR",IF(F856="NEW",IF(ISNA(VLOOKUP(E856,#REF!,1,FALSE())),"?TYPE_IDENTIFIABLE","?REFERENTIAL"),"_")))))</f>
        <v/>
      </c>
      <c r="H856" s="24" t="str">
        <f t="shared" ref="H856:H882" ca="1" si="87">IF(J856&lt;&gt;1,"",IF(I856="SBJ","CB","?"))</f>
        <v/>
      </c>
      <c r="I856" s="25" t="str">
        <f>IF(OR(E856="",E856="!!!",F856="NEW"),"",INDEX(B$2:B855,-1+SUMPRODUCT(MAX(ROW(E$2:E855)*(E856=E$2:E855)))))</f>
        <v/>
      </c>
      <c r="J856" s="25" t="str">
        <f ca="1">IF(OR(E856="",E856="!!!",F856="NEW"),"",COUNTBLANK(OFFSET(A$1,,,SUMPRODUCT(MAX(ROW(E$2:E856)*(E856=E$2:E856)))))-COUNTBLANK(OFFSET(A$1,,,SUMPRODUCT(MAX(ROW(E$1:E855)*(E2=E$1:E855))))))</f>
        <v/>
      </c>
      <c r="K856" s="25" t="str">
        <f>IF(OR(E856="",E856="!!!",F856="NEW"),"",INDEX(J$1:J855,SUMPRODUCT(MAX(ROW(E$1:E855)*(E856=E$1:E855)))))</f>
        <v/>
      </c>
      <c r="L856" s="26"/>
    </row>
    <row r="857" spans="1:12" x14ac:dyDescent="0.3">
      <c r="A857" t="s">
        <v>659</v>
      </c>
      <c r="E857" s="21" t="str">
        <f t="shared" si="86"/>
        <v/>
      </c>
      <c r="F857" s="22" t="str">
        <f>IF(OR(E857="",E857="!!!"),"",IF(NOT(ISNA(VLOOKUP(E857,E$1:E856,1,FALSE()))),"OLD",IF(AND(E857&lt;&gt;"",E857&lt;&gt;"!!!"),"NEW","")))</f>
        <v/>
      </c>
      <c r="G857" s="23" t="str">
        <f>IF(OR(E857="",E857="!!!"),"",IF(OR(J857=0,AND(J857=1,K857=1),AND(J857=1,I857="SBJ"),AND(J857=1,I857=0)),"?IN_FOCUS",IF(J857&lt;=2,"?ACTIVATED",IF(J857&lt;&gt;"","?FAMILIAR",IF(F857="NEW",IF(ISNA(VLOOKUP(E857,#REF!,1,FALSE())),"?TYPE_IDENTIFIABLE","?REFERENTIAL"),"_")))))</f>
        <v/>
      </c>
      <c r="H857" s="24" t="str">
        <f t="shared" ca="1" si="87"/>
        <v/>
      </c>
      <c r="I857" s="25" t="str">
        <f>IF(OR(E857="",E857="!!!",F857="NEW"),"",INDEX(B$2:B856,-1+SUMPRODUCT(MAX(ROW(E$2:E856)*(E857=E$2:E856)))))</f>
        <v/>
      </c>
      <c r="J857" s="25" t="str">
        <f ca="1">IF(OR(E857="",E857="!!!",F857="NEW"),"",COUNTBLANK(OFFSET(A$1,,,SUMPRODUCT(MAX(ROW(E$2:E857)*(E857=E$2:E857)))))-COUNTBLANK(OFFSET(A$1,,,SUMPRODUCT(MAX(ROW(E$1:E856)*(E2=E$1:E856))))))</f>
        <v/>
      </c>
      <c r="K857" s="25" t="str">
        <f>IF(OR(E857="",E857="!!!",F857="NEW"),"",INDEX(J$1:J856,SUMPRODUCT(MAX(ROW(E$1:E856)*(E857=E$1:E856)))))</f>
        <v/>
      </c>
      <c r="L857" s="26"/>
    </row>
    <row r="858" spans="1:12" x14ac:dyDescent="0.3">
      <c r="A858" t="s">
        <v>660</v>
      </c>
      <c r="B858" s="20" t="s">
        <v>201</v>
      </c>
      <c r="C858" s="20" t="s">
        <v>216</v>
      </c>
      <c r="D858" s="20" t="s">
        <v>186</v>
      </c>
      <c r="E858" s="21" t="s">
        <v>767</v>
      </c>
      <c r="F858" s="22" t="str">
        <f>IF(OR(E858="",E858="!!!"),"",IF(NOT(ISNA(VLOOKUP(E858,E$1:E857,1,FALSE()))),"OLD",IF(AND(E858&lt;&gt;"",E858&lt;&gt;"!!!"),"NEW","")))</f>
        <v>NEW</v>
      </c>
      <c r="G858" s="23" t="s">
        <v>807</v>
      </c>
      <c r="H858" s="24"/>
      <c r="I858" s="25" t="str">
        <f>IF(OR(E858="",E858="!!!",F858="NEW"),"",INDEX(B$2:B857,-1+SUMPRODUCT(MAX(ROW(E$2:E857)*(E858=E$2:E857)))))</f>
        <v/>
      </c>
      <c r="J858" s="25" t="str">
        <f ca="1">IF(OR(E858="",E858="!!!",F858="NEW"),"",COUNTBLANK(OFFSET(A$1,,,SUMPRODUCT(MAX(ROW(E$2:E858)*(E858=E$2:E858)))))-COUNTBLANK(OFFSET(A$1,,,SUMPRODUCT(MAX(ROW(E$1:E857)*(E2=E$1:E857))))))</f>
        <v/>
      </c>
      <c r="K858" s="25" t="str">
        <f>IF(OR(E858="",E858="!!!",F858="NEW"),"",INDEX(J$1:J857,SUMPRODUCT(MAX(ROW(E$1:E857)*(E858=E$1:E857)))))</f>
        <v/>
      </c>
      <c r="L858" s="26" t="s">
        <v>812</v>
      </c>
    </row>
    <row r="859" spans="1:12" x14ac:dyDescent="0.3">
      <c r="A859" t="s">
        <v>535</v>
      </c>
      <c r="E859" s="21" t="str">
        <f t="shared" si="86"/>
        <v/>
      </c>
      <c r="F859" s="22" t="str">
        <f>IF(OR(E859="",E859="!!!"),"",IF(NOT(ISNA(VLOOKUP(E859,E$1:E858,1,FALSE()))),"OLD",IF(AND(E859&lt;&gt;"",E859&lt;&gt;"!!!"),"NEW","")))</f>
        <v/>
      </c>
      <c r="G859" s="23" t="str">
        <f>IF(OR(E859="",E859="!!!"),"",IF(OR(J859=0,AND(J859=1,K859=1),AND(J859=1,I859="SBJ"),AND(J859=1,I859=0)),"?IN_FOCUS",IF(J859&lt;=2,"?ACTIVATED",IF(J859&lt;&gt;"","?FAMILIAR",IF(F859="NEW",IF(ISNA(VLOOKUP(E859,#REF!,1,FALSE())),"?TYPE_IDENTIFIABLE","?REFERENTIAL"),"_")))))</f>
        <v/>
      </c>
      <c r="H859" s="24" t="str">
        <f t="shared" ca="1" si="87"/>
        <v/>
      </c>
      <c r="I859" s="25" t="str">
        <f>IF(OR(E859="",E859="!!!",F859="NEW"),"",INDEX(B$2:B858,-1+SUMPRODUCT(MAX(ROW(E$2:E858)*(E859=E$2:E858)))))</f>
        <v/>
      </c>
      <c r="J859" s="25" t="str">
        <f ca="1">IF(OR(E859="",E859="!!!",F859="NEW"),"",COUNTBLANK(OFFSET(A$1,,,SUMPRODUCT(MAX(ROW(E$2:E859)*(E859=E$2:E859)))))-COUNTBLANK(OFFSET(A$1,,,SUMPRODUCT(MAX(ROW(E$1:E858)*(E2=E$1:E858))))))</f>
        <v/>
      </c>
      <c r="K859" s="25" t="str">
        <f>IF(OR(E859="",E859="!!!",F859="NEW"),"",INDEX(J$1:J858,SUMPRODUCT(MAX(ROW(E$1:E858)*(E859=E$1:E858)))))</f>
        <v/>
      </c>
      <c r="L859" s="26"/>
    </row>
    <row r="860" spans="1:12" x14ac:dyDescent="0.3">
      <c r="A860" t="s">
        <v>661</v>
      </c>
      <c r="B860" s="20" t="s">
        <v>184</v>
      </c>
      <c r="C860" s="20" t="s">
        <v>185</v>
      </c>
      <c r="D860" s="20" t="s">
        <v>186</v>
      </c>
      <c r="E860" s="21"/>
      <c r="F860" s="22" t="s">
        <v>740</v>
      </c>
      <c r="G860" s="23" t="str">
        <f>IF(OR(E860="",E860="!!!"),"",IF(OR(J860=0,AND(J860=1,K860=1),AND(J860=1,I860="SBJ"),AND(J860=1,I860=0)),"?IN_FOCUS",IF(J860&lt;=2,"?ACTIVATED",IF(J860&lt;&gt;"","?FAMILIAR",IF(F860="NEW",IF(ISNA(VLOOKUP(E860,#REF!,1,FALSE())),"?TYPE_IDENTIFIABLE","?REFERENTIAL"),"_")))))</f>
        <v/>
      </c>
      <c r="H860" s="24" t="str">
        <f t="shared" ca="1" si="87"/>
        <v/>
      </c>
      <c r="I860" s="25" t="str">
        <f>IF(OR(E860="",E860="!!!",F860="NEW"),"",INDEX(B$2:B859,-1+SUMPRODUCT(MAX(ROW(E$2:E859)*(E860=E$2:E859)))))</f>
        <v/>
      </c>
      <c r="J860" s="25" t="str">
        <f ca="1">IF(OR(E860="",E860="!!!",F860="NEW"),"",COUNTBLANK(OFFSET(A$1,,,SUMPRODUCT(MAX(ROW(E$2:E860)*(E860=E$2:E860)))))-COUNTBLANK(OFFSET(A$1,,,SUMPRODUCT(MAX(ROW(E$1:E859)*(E2=E$1:E859))))))</f>
        <v/>
      </c>
      <c r="K860" s="25" t="str">
        <f>IF(OR(E860="",E860="!!!",F860="NEW"),"",INDEX(J$1:J859,SUMPRODUCT(MAX(ROW(E$1:E859)*(E860=E$1:E859)))))</f>
        <v/>
      </c>
      <c r="L860" s="26"/>
    </row>
    <row r="861" spans="1:12" x14ac:dyDescent="0.3">
      <c r="A861" t="s">
        <v>206</v>
      </c>
      <c r="E861" s="21" t="str">
        <f t="shared" si="86"/>
        <v/>
      </c>
      <c r="F861" s="22" t="str">
        <f>IF(OR(E861="",E861="!!!"),"",IF(NOT(ISNA(VLOOKUP(E861,E$1:E860,1,FALSE()))),"OLD",IF(AND(E861&lt;&gt;"",E861&lt;&gt;"!!!"),"NEW","")))</f>
        <v/>
      </c>
      <c r="G861" s="23" t="str">
        <f>IF(OR(E861="",E861="!!!"),"",IF(OR(J861=0,AND(J861=1,K861=1),AND(J861=1,I861="SBJ"),AND(J861=1,I861=0)),"?IN_FOCUS",IF(J861&lt;=2,"?ACTIVATED",IF(J861&lt;&gt;"","?FAMILIAR",IF(F861="NEW",IF(ISNA(VLOOKUP(E861,#REF!,1,FALSE())),"?TYPE_IDENTIFIABLE","?REFERENTIAL"),"_")))))</f>
        <v/>
      </c>
      <c r="H861" s="24" t="str">
        <f t="shared" ca="1" si="87"/>
        <v/>
      </c>
      <c r="I861" s="25" t="str">
        <f>IF(OR(E861="",E861="!!!",F861="NEW"),"",INDEX(B$2:B860,-1+SUMPRODUCT(MAX(ROW(E$2:E860)*(E861=E$2:E860)))))</f>
        <v/>
      </c>
      <c r="J861" s="25" t="str">
        <f ca="1">IF(OR(E861="",E861="!!!",F861="NEW"),"",COUNTBLANK(OFFSET(A$1,,,SUMPRODUCT(MAX(ROW(E$2:E861)*(E861=E$2:E861)))))-COUNTBLANK(OFFSET(A$1,,,SUMPRODUCT(MAX(ROW(E$1:E860)*(E2=E$1:E860))))))</f>
        <v/>
      </c>
      <c r="K861" s="25" t="str">
        <f>IF(OR(E861="",E861="!!!",F861="NEW"),"",INDEX(J$1:J860,SUMPRODUCT(MAX(ROW(E$1:E860)*(E861=E$1:E860)))))</f>
        <v/>
      </c>
      <c r="L861" s="26"/>
    </row>
    <row r="862" spans="1:12" x14ac:dyDescent="0.3">
      <c r="A862" t="s">
        <v>662</v>
      </c>
      <c r="E862" s="21" t="str">
        <f t="shared" si="86"/>
        <v/>
      </c>
      <c r="F862" s="22" t="str">
        <f>IF(OR(E862="",E862="!!!"),"",IF(NOT(ISNA(VLOOKUP(E862,E$1:E861,1,FALSE()))),"OLD",IF(AND(E862&lt;&gt;"",E862&lt;&gt;"!!!"),"NEW","")))</f>
        <v/>
      </c>
      <c r="G862" s="23" t="str">
        <f>IF(OR(E862="",E862="!!!"),"",IF(OR(J862=0,AND(J862=1,K862=1),AND(J862=1,I862="SBJ"),AND(J862=1,I862=0)),"?IN_FOCUS",IF(J862&lt;=2,"?ACTIVATED",IF(J862&lt;&gt;"","?FAMILIAR",IF(F862="NEW",IF(ISNA(VLOOKUP(E862,#REF!,1,FALSE())),"?TYPE_IDENTIFIABLE","?REFERENTIAL"),"_")))))</f>
        <v/>
      </c>
      <c r="H862" s="24" t="str">
        <f t="shared" ca="1" si="87"/>
        <v/>
      </c>
      <c r="I862" s="25" t="str">
        <f>IF(OR(E862="",E862="!!!",F862="NEW"),"",INDEX(B$2:B861,-1+SUMPRODUCT(MAX(ROW(E$2:E861)*(E862=E$2:E861)))))</f>
        <v/>
      </c>
      <c r="J862" s="25" t="str">
        <f ca="1">IF(OR(E862="",E862="!!!",F862="NEW"),"",COUNTBLANK(OFFSET(A$1,,,SUMPRODUCT(MAX(ROW(E$2:E862)*(E862=E$2:E862)))))-COUNTBLANK(OFFSET(A$1,,,SUMPRODUCT(MAX(ROW(E$1:E861)*(E2=E$1:E861))))))</f>
        <v/>
      </c>
      <c r="K862" s="25" t="str">
        <f>IF(OR(E862="",E862="!!!",F862="NEW"),"",INDEX(J$1:J861,SUMPRODUCT(MAX(ROW(E$1:E861)*(E862=E$1:E861)))))</f>
        <v/>
      </c>
      <c r="L862" s="26"/>
    </row>
    <row r="863" spans="1:12" x14ac:dyDescent="0.3">
      <c r="A863" t="s">
        <v>221</v>
      </c>
      <c r="B863" s="20" t="s">
        <v>208</v>
      </c>
      <c r="E863" s="21" t="str">
        <f t="shared" si="86"/>
        <v/>
      </c>
      <c r="F863" s="22" t="str">
        <f>IF(OR(E863="",E863="!!!"),"",IF(NOT(ISNA(VLOOKUP(E863,E$1:E862,1,FALSE()))),"OLD",IF(AND(E863&lt;&gt;"",E863&lt;&gt;"!!!"),"NEW","")))</f>
        <v/>
      </c>
      <c r="G863" s="23" t="str">
        <f>IF(OR(E863="",E863="!!!"),"",IF(OR(J863=0,AND(J863=1,K863=1),AND(J863=1,I863="SBJ"),AND(J863=1,I863=0)),"?IN_FOCUS",IF(J863&lt;=2,"?ACTIVATED",IF(J863&lt;&gt;"","?FAMILIAR",IF(F863="NEW",IF(ISNA(VLOOKUP(E863,#REF!,1,FALSE())),"?TYPE_IDENTIFIABLE","?REFERENTIAL"),"_")))))</f>
        <v/>
      </c>
      <c r="H863" s="24" t="str">
        <f t="shared" ca="1" si="87"/>
        <v/>
      </c>
      <c r="I863" s="25" t="str">
        <f>IF(OR(E863="",E863="!!!",F863="NEW"),"",INDEX(B$2:B862,-1+SUMPRODUCT(MAX(ROW(E$2:E862)*(E863=E$2:E862)))))</f>
        <v/>
      </c>
      <c r="J863" s="25" t="str">
        <f ca="1">IF(OR(E863="",E863="!!!",F863="NEW"),"",COUNTBLANK(OFFSET(A$1,,,SUMPRODUCT(MAX(ROW(E$2:E863)*(E863=E$2:E863)))))-COUNTBLANK(OFFSET(A$1,,,SUMPRODUCT(MAX(ROW(E$1:E862)*(E2=E$1:E862))))))</f>
        <v/>
      </c>
      <c r="K863" s="25" t="str">
        <f>IF(OR(E863="",E863="!!!",F863="NEW"),"",INDEX(J$1:J862,SUMPRODUCT(MAX(ROW(E$1:E862)*(E863=E$1:E862)))))</f>
        <v/>
      </c>
      <c r="L863" s="26"/>
    </row>
    <row r="864" spans="1:12" x14ac:dyDescent="0.3">
      <c r="A864" t="s">
        <v>575</v>
      </c>
      <c r="E864" s="21" t="s">
        <v>747</v>
      </c>
      <c r="F864" s="22" t="str">
        <f>IF(OR(E864="",E864="!!!"),"",IF(NOT(ISNA(VLOOKUP(E864,E$1:E863,1,FALSE()))),"OLD",IF(AND(E864&lt;&gt;"",E864&lt;&gt;"!!!"),"NEW","")))</f>
        <v>OLD</v>
      </c>
      <c r="G864" s="23" t="s">
        <v>723</v>
      </c>
      <c r="H864" s="24" t="str">
        <f t="shared" ca="1" si="87"/>
        <v/>
      </c>
      <c r="I864" s="25" t="str">
        <f>IF(OR(E864="",E864="!!!",F864="NEW"),"",INDEX(B$2:B863,-1+SUMPRODUCT(MAX(ROW(E$2:E863)*(E864=E$2:E863)))))</f>
        <v>SBJ_3</v>
      </c>
      <c r="J864" s="25">
        <f ca="1">IF(OR(E864="",E864="!!!",F864="NEW"),"",COUNTBLANK(OFFSET(A$1,,,SUMPRODUCT(MAX(ROW(E$2:E864)*(E864=E$2:E864)))))-COUNTBLANK(OFFSET(A$1,,,SUMPRODUCT(MAX(ROW(E$1:E863)*(E2=E$1:E863))))))</f>
        <v>0</v>
      </c>
      <c r="K864" s="25">
        <f ca="1">IF(OR(E864="",E864="!!!",F864="NEW"),"",INDEX(J$1:J863,SUMPRODUCT(MAX(ROW(E$1:E863)*(E864=E$1:E863)))))</f>
        <v>0</v>
      </c>
      <c r="L864" s="26"/>
    </row>
    <row r="865" spans="1:12" x14ac:dyDescent="0.3">
      <c r="A865" t="s">
        <v>332</v>
      </c>
      <c r="E865" s="21" t="str">
        <f t="shared" si="86"/>
        <v/>
      </c>
      <c r="F865" s="22" t="str">
        <f>IF(OR(E865="",E865="!!!"),"",IF(NOT(ISNA(VLOOKUP(E865,E$1:E864,1,FALSE()))),"OLD",IF(AND(E865&lt;&gt;"",E865&lt;&gt;"!!!"),"NEW","")))</f>
        <v/>
      </c>
      <c r="G865" s="23" t="str">
        <f>IF(OR(E865="",E865="!!!"),"",IF(OR(J865=0,AND(J865=1,K865=1),AND(J865=1,I865="SBJ"),AND(J865=1,I865=0)),"?IN_FOCUS",IF(J865&lt;=2,"?ACTIVATED",IF(J865&lt;&gt;"","?FAMILIAR",IF(F865="NEW",IF(ISNA(VLOOKUP(E865,#REF!,1,FALSE())),"?TYPE_IDENTIFIABLE","?REFERENTIAL"),"_")))))</f>
        <v/>
      </c>
      <c r="H865" s="24" t="str">
        <f t="shared" ca="1" si="87"/>
        <v/>
      </c>
      <c r="I865" s="25" t="str">
        <f>IF(OR(E865="",E865="!!!",F865="NEW"),"",INDEX(B$2:B864,-1+SUMPRODUCT(MAX(ROW(E$2:E864)*(E865=E$2:E864)))))</f>
        <v/>
      </c>
      <c r="J865" s="25" t="str">
        <f ca="1">IF(OR(E865="",E865="!!!",F865="NEW"),"",COUNTBLANK(OFFSET(A$1,,,SUMPRODUCT(MAX(ROW(E$2:E865)*(E865=E$2:E865)))))-COUNTBLANK(OFFSET(A$1,,,SUMPRODUCT(MAX(ROW(E$1:E864)*(E2=E$1:E864))))))</f>
        <v/>
      </c>
      <c r="K865" s="25" t="str">
        <f>IF(OR(E865="",E865="!!!",F865="NEW"),"",INDEX(J$1:J864,SUMPRODUCT(MAX(ROW(E$1:E864)*(E865=E$1:E864)))))</f>
        <v/>
      </c>
      <c r="L865" s="26"/>
    </row>
    <row r="866" spans="1:12" x14ac:dyDescent="0.3">
      <c r="A866" t="s">
        <v>663</v>
      </c>
      <c r="B866" s="20" t="s">
        <v>196</v>
      </c>
      <c r="C866" s="20" t="s">
        <v>197</v>
      </c>
      <c r="E866" s="21" t="str">
        <f t="shared" si="86"/>
        <v/>
      </c>
      <c r="F866" s="22" t="str">
        <f>IF(OR(E866="",E866="!!!"),"",IF(NOT(ISNA(VLOOKUP(E866,E$1:E865,1,FALSE()))),"OLD",IF(AND(E866&lt;&gt;"",E866&lt;&gt;"!!!"),"NEW","")))</f>
        <v/>
      </c>
      <c r="G866" s="23" t="str">
        <f>IF(OR(E866="",E866="!!!"),"",IF(OR(J866=0,AND(J866=1,K866=1),AND(J866=1,I866="SBJ"),AND(J866=1,I866=0)),"?IN_FOCUS",IF(J866&lt;=2,"?ACTIVATED",IF(J866&lt;&gt;"","?FAMILIAR",IF(F866="NEW",IF(ISNA(VLOOKUP(E866,#REF!,1,FALSE())),"?TYPE_IDENTIFIABLE","?REFERENTIAL"),"_")))))</f>
        <v/>
      </c>
      <c r="H866" s="24" t="str">
        <f t="shared" ca="1" si="87"/>
        <v/>
      </c>
      <c r="I866" s="25" t="str">
        <f>IF(OR(E866="",E866="!!!",F866="NEW"),"",INDEX(B$2:B865,-1+SUMPRODUCT(MAX(ROW(E$2:E865)*(E866=E$2:E865)))))</f>
        <v/>
      </c>
      <c r="J866" s="25" t="str">
        <f ca="1">IF(OR(E866="",E866="!!!",F866="NEW"),"",COUNTBLANK(OFFSET(A$1,,,SUMPRODUCT(MAX(ROW(E$2:E866)*(E866=E$2:E866)))))-COUNTBLANK(OFFSET(A$1,,,SUMPRODUCT(MAX(ROW(E$1:E865)*(E2=E$1:E865))))))</f>
        <v/>
      </c>
      <c r="K866" s="25" t="str">
        <f>IF(OR(E866="",E866="!!!",F866="NEW"),"",INDEX(J$1:J865,SUMPRODUCT(MAX(ROW(E$1:E865)*(E866=E$1:E865)))))</f>
        <v/>
      </c>
      <c r="L866" s="26"/>
    </row>
    <row r="867" spans="1:12" x14ac:dyDescent="0.3">
      <c r="A867" t="s">
        <v>207</v>
      </c>
      <c r="E867" s="21" t="str">
        <f t="shared" si="86"/>
        <v/>
      </c>
      <c r="F867" s="22" t="str">
        <f>IF(OR(E867="",E867="!!!"),"",IF(NOT(ISNA(VLOOKUP(E867,E$1:E866,1,FALSE()))),"OLD",IF(AND(E867&lt;&gt;"",E867&lt;&gt;"!!!"),"NEW","")))</f>
        <v/>
      </c>
      <c r="G867" s="23" t="str">
        <f>IF(OR(E867="",E867="!!!"),"",IF(OR(J867=0,AND(J867=1,K867=1),AND(J867=1,I867="SBJ"),AND(J867=1,I867=0)),"?IN_FOCUS",IF(J867&lt;=2,"?ACTIVATED",IF(J867&lt;&gt;"","?FAMILIAR",IF(F867="NEW",IF(ISNA(VLOOKUP(E867,#REF!,1,FALSE())),"?TYPE_IDENTIFIABLE","?REFERENTIAL"),"_")))))</f>
        <v/>
      </c>
      <c r="H867" s="24" t="str">
        <f t="shared" ca="1" si="87"/>
        <v/>
      </c>
      <c r="I867" s="25" t="str">
        <f>IF(OR(E867="",E867="!!!",F867="NEW"),"",INDEX(B$2:B866,-1+SUMPRODUCT(MAX(ROW(E$2:E866)*(E867=E$2:E866)))))</f>
        <v/>
      </c>
      <c r="J867" s="25" t="str">
        <f ca="1">IF(OR(E867="",E867="!!!",F867="NEW"),"",COUNTBLANK(OFFSET(A$1,,,SUMPRODUCT(MAX(ROW(E$2:E867)*(E867=E$2:E867)))))-COUNTBLANK(OFFSET(A$1,,,SUMPRODUCT(MAX(ROW(E$1:E866)*(E2=E$1:E866))))))</f>
        <v/>
      </c>
      <c r="K867" s="25" t="str">
        <f>IF(OR(E867="",E867="!!!",F867="NEW"),"",INDEX(J$1:J866,SUMPRODUCT(MAX(ROW(E$1:E866)*(E867=E$1:E866)))))</f>
        <v/>
      </c>
      <c r="L867" s="26"/>
    </row>
    <row r="868" spans="1:12" x14ac:dyDescent="0.3">
      <c r="A868" t="s">
        <v>664</v>
      </c>
      <c r="B868" s="20" t="s">
        <v>210</v>
      </c>
      <c r="C868" s="20" t="s">
        <v>216</v>
      </c>
      <c r="D868" s="20" t="s">
        <v>186</v>
      </c>
      <c r="E868" s="21"/>
      <c r="F868" s="22" t="s">
        <v>729</v>
      </c>
      <c r="G868" s="23" t="str">
        <f>IF(OR(E868="",E868="!!!"),"",IF(OR(J868=0,AND(J868=1,K868=1),AND(J868=1,I868="SBJ"),AND(J868=1,I868=0)),"?IN_FOCUS",IF(J868&lt;=2,"?ACTIVATED",IF(J868&lt;&gt;"","?FAMILIAR",IF(F868="NEW",IF(ISNA(VLOOKUP(E868,#REF!,1,FALSE())),"?TYPE_IDENTIFIABLE","?REFERENTIAL"),"_")))))</f>
        <v/>
      </c>
      <c r="H868" s="24" t="str">
        <f t="shared" ca="1" si="87"/>
        <v/>
      </c>
      <c r="I868" s="25" t="str">
        <f>IF(OR(E868="",E868="!!!",F868="NEW"),"",INDEX(B$2:B867,-1+SUMPRODUCT(MAX(ROW(E$2:E867)*(E868=E$2:E867)))))</f>
        <v/>
      </c>
      <c r="J868" s="25" t="str">
        <f ca="1">IF(OR(E868="",E868="!!!",F868="NEW"),"",COUNTBLANK(OFFSET(A$1,,,SUMPRODUCT(MAX(ROW(E$2:E868)*(E868=E$2:E868)))))-COUNTBLANK(OFFSET(A$1,,,SUMPRODUCT(MAX(ROW(E$1:E867)*(E2=E$1:E867))))))</f>
        <v/>
      </c>
      <c r="K868" s="25" t="str">
        <f>IF(OR(E868="",E868="!!!",F868="NEW"),"",INDEX(J$1:J867,SUMPRODUCT(MAX(ROW(E$1:E867)*(E868=E$1:E867)))))</f>
        <v/>
      </c>
      <c r="L868" s="26"/>
    </row>
    <row r="869" spans="1:12" x14ac:dyDescent="0.3">
      <c r="A869" t="s">
        <v>250</v>
      </c>
      <c r="E869" s="21" t="str">
        <f t="shared" si="86"/>
        <v/>
      </c>
      <c r="F869" s="22" t="str">
        <f>IF(OR(E869="",E869="!!!"),"",IF(NOT(ISNA(VLOOKUP(E869,E$1:E868,1,FALSE()))),"OLD",IF(AND(E869&lt;&gt;"",E869&lt;&gt;"!!!"),"NEW","")))</f>
        <v/>
      </c>
      <c r="G869" s="23" t="str">
        <f>IF(OR(E869="",E869="!!!"),"",IF(OR(J869=0,AND(J869=1,K869=1),AND(J869=1,I869="SBJ"),AND(J869=1,I869=0)),"?IN_FOCUS",IF(J869&lt;=2,"?ACTIVATED",IF(J869&lt;&gt;"","?FAMILIAR",IF(F869="NEW",IF(ISNA(VLOOKUP(E869,#REF!,1,FALSE())),"?TYPE_IDENTIFIABLE","?REFERENTIAL"),"_")))))</f>
        <v/>
      </c>
      <c r="H869" s="24" t="str">
        <f t="shared" ca="1" si="87"/>
        <v/>
      </c>
      <c r="I869" s="25" t="str">
        <f>IF(OR(E869="",E869="!!!",F869="NEW"),"",INDEX(B$2:B868,-1+SUMPRODUCT(MAX(ROW(E$2:E868)*(E869=E$2:E868)))))</f>
        <v/>
      </c>
      <c r="J869" s="25" t="str">
        <f ca="1">IF(OR(E869="",E869="!!!",F869="NEW"),"",COUNTBLANK(OFFSET(A$1,,,SUMPRODUCT(MAX(ROW(E$2:E869)*(E869=E$2:E869)))))-COUNTBLANK(OFFSET(A$1,,,SUMPRODUCT(MAX(ROW(E$1:E868)*(E2=E$1:E868))))))</f>
        <v/>
      </c>
      <c r="K869" s="25" t="str">
        <f>IF(OR(E869="",E869="!!!",F869="NEW"),"",INDEX(J$1:J868,SUMPRODUCT(MAX(ROW(E$1:E868)*(E869=E$1:E868)))))</f>
        <v/>
      </c>
      <c r="L869" s="26"/>
    </row>
    <row r="870" spans="1:12" x14ac:dyDescent="0.3">
      <c r="A870" t="s">
        <v>665</v>
      </c>
      <c r="B870" s="20" t="s">
        <v>196</v>
      </c>
      <c r="C870" s="20" t="s">
        <v>197</v>
      </c>
      <c r="E870" s="21" t="str">
        <f t="shared" si="86"/>
        <v/>
      </c>
      <c r="F870" s="22" t="str">
        <f>IF(OR(E870="",E870="!!!"),"",IF(NOT(ISNA(VLOOKUP(E870,E$1:E869,1,FALSE()))),"OLD",IF(AND(E870&lt;&gt;"",E870&lt;&gt;"!!!"),"NEW","")))</f>
        <v/>
      </c>
      <c r="G870" s="23" t="str">
        <f>IF(OR(E870="",E870="!!!"),"",IF(OR(J870=0,AND(J870=1,K870=1),AND(J870=1,I870="SBJ"),AND(J870=1,I870=0)),"?IN_FOCUS",IF(J870&lt;=2,"?ACTIVATED",IF(J870&lt;&gt;"","?FAMILIAR",IF(F870="NEW",IF(ISNA(VLOOKUP(E870,#REF!,1,FALSE())),"?TYPE_IDENTIFIABLE","?REFERENTIAL"),"_")))))</f>
        <v/>
      </c>
      <c r="H870" s="24" t="str">
        <f t="shared" ca="1" si="87"/>
        <v/>
      </c>
      <c r="I870" s="25" t="str">
        <f>IF(OR(E870="",E870="!!!",F870="NEW"),"",INDEX(B$2:B869,-1+SUMPRODUCT(MAX(ROW(E$2:E869)*(E870=E$2:E869)))))</f>
        <v/>
      </c>
      <c r="J870" s="25" t="str">
        <f ca="1">IF(OR(E870="",E870="!!!",F870="NEW"),"",COUNTBLANK(OFFSET(A$1,,,SUMPRODUCT(MAX(ROW(E$2:E870)*(E870=E$2:E870)))))-COUNTBLANK(OFFSET(A$1,,,SUMPRODUCT(MAX(ROW(E$1:E869)*(E2=E$1:E869))))))</f>
        <v/>
      </c>
      <c r="K870" s="25" t="str">
        <f>IF(OR(E870="",E870="!!!",F870="NEW"),"",INDEX(J$1:J869,SUMPRODUCT(MAX(ROW(E$1:E869)*(E870=E$1:E869)))))</f>
        <v/>
      </c>
      <c r="L870" s="26"/>
    </row>
    <row r="871" spans="1:12" x14ac:dyDescent="0.3">
      <c r="A871" t="s">
        <v>281</v>
      </c>
      <c r="E871" s="21" t="str">
        <f t="shared" si="86"/>
        <v/>
      </c>
      <c r="F871" s="22" t="str">
        <f>IF(OR(E871="",E871="!!!"),"",IF(NOT(ISNA(VLOOKUP(E871,E$1:E870,1,FALSE()))),"OLD",IF(AND(E871&lt;&gt;"",E871&lt;&gt;"!!!"),"NEW","")))</f>
        <v/>
      </c>
      <c r="G871" s="23" t="str">
        <f>IF(OR(E871="",E871="!!!"),"",IF(OR(J871=0,AND(J871=1,K871=1),AND(J871=1,I871="SBJ"),AND(J871=1,I871=0)),"?IN_FOCUS",IF(J871&lt;=2,"?ACTIVATED",IF(J871&lt;&gt;"","?FAMILIAR",IF(F871="NEW",IF(ISNA(VLOOKUP(E871,#REF!,1,FALSE())),"?TYPE_IDENTIFIABLE","?REFERENTIAL"),"_")))))</f>
        <v/>
      </c>
      <c r="H871" s="24" t="str">
        <f t="shared" ca="1" si="87"/>
        <v/>
      </c>
      <c r="I871" s="25" t="str">
        <f>IF(OR(E871="",E871="!!!",F871="NEW"),"",INDEX(B$2:B870,-1+SUMPRODUCT(MAX(ROW(E$2:E870)*(E871=E$2:E870)))))</f>
        <v/>
      </c>
      <c r="J871" s="25" t="str">
        <f ca="1">IF(OR(E871="",E871="!!!",F871="NEW"),"",COUNTBLANK(OFFSET(A$1,,,SUMPRODUCT(MAX(ROW(E$2:E871)*(E871=E$2:E871)))))-COUNTBLANK(OFFSET(A$1,,,SUMPRODUCT(MAX(ROW(E$1:E870)*(E2=E$1:E870))))))</f>
        <v/>
      </c>
      <c r="K871" s="25" t="str">
        <f>IF(OR(E871="",E871="!!!",F871="NEW"),"",INDEX(J$1:J870,SUMPRODUCT(MAX(ROW(E$1:E870)*(E871=E$1:E870)))))</f>
        <v/>
      </c>
      <c r="L871" s="26"/>
    </row>
    <row r="872" spans="1:12" x14ac:dyDescent="0.3">
      <c r="A872" t="s">
        <v>206</v>
      </c>
      <c r="E872" s="21" t="str">
        <f t="shared" si="86"/>
        <v/>
      </c>
      <c r="F872" s="22" t="str">
        <f>IF(OR(E872="",E872="!!!"),"",IF(NOT(ISNA(VLOOKUP(E872,E$1:E871,1,FALSE()))),"OLD",IF(AND(E872&lt;&gt;"",E872&lt;&gt;"!!!"),"NEW","")))</f>
        <v/>
      </c>
      <c r="G872" s="23" t="str">
        <f>IF(OR(E872="",E872="!!!"),"",IF(OR(J872=0,AND(J872=1,K872=1),AND(J872=1,I872="SBJ"),AND(J872=1,I872=0)),"?IN_FOCUS",IF(J872&lt;=2,"?ACTIVATED",IF(J872&lt;&gt;"","?FAMILIAR",IF(F872="NEW",IF(ISNA(VLOOKUP(E872,#REF!,1,FALSE())),"?TYPE_IDENTIFIABLE","?REFERENTIAL"),"_")))))</f>
        <v/>
      </c>
      <c r="H872" s="24" t="str">
        <f t="shared" ca="1" si="87"/>
        <v/>
      </c>
      <c r="I872" s="25" t="str">
        <f>IF(OR(E872="",E872="!!!",F872="NEW"),"",INDEX(B$2:B871,-1+SUMPRODUCT(MAX(ROW(E$2:E871)*(E872=E$2:E871)))))</f>
        <v/>
      </c>
      <c r="J872" s="25" t="str">
        <f ca="1">IF(OR(E872="",E872="!!!",F872="NEW"),"",COUNTBLANK(OFFSET(A$1,,,SUMPRODUCT(MAX(ROW(E$2:E872)*(E872=E$2:E872)))))-COUNTBLANK(OFFSET(A$1,,,SUMPRODUCT(MAX(ROW(E$1:E871)*(E2=E$1:E871))))))</f>
        <v/>
      </c>
      <c r="K872" s="25" t="str">
        <f>IF(OR(E872="",E872="!!!",F872="NEW"),"",INDEX(J$1:J871,SUMPRODUCT(MAX(ROW(E$1:E871)*(E872=E$1:E871)))))</f>
        <v/>
      </c>
      <c r="L872" s="26"/>
    </row>
    <row r="873" spans="1:12" x14ac:dyDescent="0.3">
      <c r="A873" t="s">
        <v>666</v>
      </c>
      <c r="E873" s="21" t="str">
        <f t="shared" si="86"/>
        <v/>
      </c>
      <c r="F873" s="22" t="str">
        <f>IF(OR(E873="",E873="!!!"),"",IF(NOT(ISNA(VLOOKUP(E873,E$1:E872,1,FALSE()))),"OLD",IF(AND(E873&lt;&gt;"",E873&lt;&gt;"!!!"),"NEW","")))</f>
        <v/>
      </c>
      <c r="G873" s="23" t="str">
        <f>IF(OR(E873="",E873="!!!"),"",IF(OR(J873=0,AND(J873=1,K873=1),AND(J873=1,I873="SBJ"),AND(J873=1,I873=0)),"?IN_FOCUS",IF(J873&lt;=2,"?ACTIVATED",IF(J873&lt;&gt;"","?FAMILIAR",IF(F873="NEW",IF(ISNA(VLOOKUP(E873,#REF!,1,FALSE())),"?TYPE_IDENTIFIABLE","?REFERENTIAL"),"_")))))</f>
        <v/>
      </c>
      <c r="H873" s="24" t="str">
        <f t="shared" ca="1" si="87"/>
        <v/>
      </c>
      <c r="I873" s="25" t="str">
        <f>IF(OR(E873="",E873="!!!",F873="NEW"),"",INDEX(B$2:B872,-1+SUMPRODUCT(MAX(ROW(E$2:E872)*(E873=E$2:E872)))))</f>
        <v/>
      </c>
      <c r="J873" s="25" t="str">
        <f ca="1">IF(OR(E873="",E873="!!!",F873="NEW"),"",COUNTBLANK(OFFSET(A$1,,,SUMPRODUCT(MAX(ROW(E$2:E873)*(E873=E$2:E873)))))-COUNTBLANK(OFFSET(A$1,,,SUMPRODUCT(MAX(ROW(E$1:E872)*(E2=E$1:E872))))))</f>
        <v/>
      </c>
      <c r="K873" s="25" t="str">
        <f>IF(OR(E873="",E873="!!!",F873="NEW"),"",INDEX(J$1:J872,SUMPRODUCT(MAX(ROW(E$1:E872)*(E873=E$1:E872)))))</f>
        <v/>
      </c>
      <c r="L873" s="26"/>
    </row>
    <row r="874" spans="1:12" x14ac:dyDescent="0.3">
      <c r="A874" t="s">
        <v>662</v>
      </c>
      <c r="E874" s="21" t="str">
        <f t="shared" si="86"/>
        <v/>
      </c>
      <c r="F874" s="22" t="str">
        <f>IF(OR(E874="",E874="!!!"),"",IF(NOT(ISNA(VLOOKUP(E874,E$1:E873,1,FALSE()))),"OLD",IF(AND(E874&lt;&gt;"",E874&lt;&gt;"!!!"),"NEW","")))</f>
        <v/>
      </c>
      <c r="G874" s="23" t="str">
        <f>IF(OR(E874="",E874="!!!"),"",IF(OR(J874=0,AND(J874=1,K874=1),AND(J874=1,I874="SBJ"),AND(J874=1,I874=0)),"?IN_FOCUS",IF(J874&lt;=2,"?ACTIVATED",IF(J874&lt;&gt;"","?FAMILIAR",IF(F874="NEW",IF(ISNA(VLOOKUP(E874,#REF!,1,FALSE())),"?TYPE_IDENTIFIABLE","?REFERENTIAL"),"_")))))</f>
        <v/>
      </c>
      <c r="H874" s="24" t="str">
        <f t="shared" ca="1" si="87"/>
        <v/>
      </c>
      <c r="I874" s="25" t="str">
        <f>IF(OR(E874="",E874="!!!",F874="NEW"),"",INDEX(B$2:B873,-1+SUMPRODUCT(MAX(ROW(E$2:E873)*(E874=E$2:E873)))))</f>
        <v/>
      </c>
      <c r="J874" s="25" t="str">
        <f ca="1">IF(OR(E874="",E874="!!!",F874="NEW"),"",COUNTBLANK(OFFSET(A$1,,,SUMPRODUCT(MAX(ROW(E$2:E874)*(E874=E$2:E874)))))-COUNTBLANK(OFFSET(A$1,,,SUMPRODUCT(MAX(ROW(E$1:E873)*(E2=E$1:E873))))))</f>
        <v/>
      </c>
      <c r="K874" s="25" t="str">
        <f>IF(OR(E874="",E874="!!!",F874="NEW"),"",INDEX(J$1:J873,SUMPRODUCT(MAX(ROW(E$1:E873)*(E874=E$1:E873)))))</f>
        <v/>
      </c>
      <c r="L874" s="26"/>
    </row>
    <row r="875" spans="1:12" x14ac:dyDescent="0.3">
      <c r="A875" t="s">
        <v>183</v>
      </c>
      <c r="B875" s="20" t="s">
        <v>352</v>
      </c>
      <c r="C875" s="20" t="s">
        <v>185</v>
      </c>
      <c r="D875" s="20" t="s">
        <v>186</v>
      </c>
      <c r="E875" s="21" t="s">
        <v>721</v>
      </c>
      <c r="F875" s="22" t="str">
        <f>IF(OR(E875="",E875="!!!"),"",IF(NOT(ISNA(VLOOKUP(E875,E$1:E874,1,FALSE()))),"OLD",IF(AND(E875&lt;&gt;"",E875&lt;&gt;"!!!"),"NEW","")))</f>
        <v>OLD</v>
      </c>
      <c r="G875" s="23" t="s">
        <v>808</v>
      </c>
      <c r="H875" s="24" t="str">
        <f t="shared" ca="1" si="87"/>
        <v/>
      </c>
      <c r="I875" s="25" t="str">
        <f>IF(OR(E875="",E875="!!!",F875="NEW"),"",INDEX(B$2:B874,-1+SUMPRODUCT(MAX(ROW(E$2:E874)*(E875=E$2:E874)))))</f>
        <v>SBJ_2</v>
      </c>
      <c r="J875" s="25">
        <f ca="1">IF(OR(E875="",E875="!!!",F875="NEW"),"",COUNTBLANK(OFFSET(A$1,,,SUMPRODUCT(MAX(ROW(E$2:E875)*(E875=E$2:E875)))))-COUNTBLANK(OFFSET(A$1,,,SUMPRODUCT(MAX(ROW(E$1:E874)*(E2=E$1:E874))))))</f>
        <v>0</v>
      </c>
      <c r="K875" s="25">
        <f ca="1">IF(OR(E875="",E875="!!!",F875="NEW"),"",INDEX(J$1:J874,SUMPRODUCT(MAX(ROW(E$1:E874)*(E875=E$1:E874)))))</f>
        <v>0</v>
      </c>
      <c r="L875" s="26"/>
    </row>
    <row r="876" spans="1:12" x14ac:dyDescent="0.3">
      <c r="A876" t="s">
        <v>187</v>
      </c>
      <c r="E876" s="21" t="str">
        <f t="shared" si="86"/>
        <v/>
      </c>
      <c r="F876" s="22" t="str">
        <f>IF(OR(E876="",E876="!!!"),"",IF(NOT(ISNA(VLOOKUP(E876,E$1:E875,1,FALSE()))),"OLD",IF(AND(E876&lt;&gt;"",E876&lt;&gt;"!!!"),"NEW","")))</f>
        <v/>
      </c>
      <c r="G876" s="23" t="str">
        <f>IF(OR(E876="",E876="!!!"),"",IF(OR(J876=0,AND(J876=1,K876=1),AND(J876=1,I876="SBJ"),AND(J876=1,I876=0)),"?IN_FOCUS",IF(J876&lt;=2,"?ACTIVATED",IF(J876&lt;&gt;"","?FAMILIAR",IF(F876="NEW",IF(ISNA(VLOOKUP(E876,#REF!,1,FALSE())),"?TYPE_IDENTIFIABLE","?REFERENTIAL"),"_")))))</f>
        <v/>
      </c>
      <c r="H876" s="24" t="str">
        <f t="shared" ca="1" si="87"/>
        <v/>
      </c>
      <c r="I876" s="25" t="str">
        <f>IF(OR(E876="",E876="!!!",F876="NEW"),"",INDEX(B$2:B875,-1+SUMPRODUCT(MAX(ROW(E$2:E875)*(E876=E$2:E875)))))</f>
        <v/>
      </c>
      <c r="J876" s="25" t="str">
        <f ca="1">IF(OR(E876="",E876="!!!",F876="NEW"),"",COUNTBLANK(OFFSET(A$1,,,SUMPRODUCT(MAX(ROW(E$2:E876)*(E876=E$2:E876)))))-COUNTBLANK(OFFSET(A$1,,,SUMPRODUCT(MAX(ROW(E$1:E875)*(E2=E$1:E875))))))</f>
        <v/>
      </c>
      <c r="K876" s="25" t="str">
        <f>IF(OR(E876="",E876="!!!",F876="NEW"),"",INDEX(J$1:J875,SUMPRODUCT(MAX(ROW(E$1:E875)*(E876=E$1:E875)))))</f>
        <v/>
      </c>
      <c r="L876" s="26"/>
    </row>
    <row r="877" spans="1:12" x14ac:dyDescent="0.3">
      <c r="A877" t="s">
        <v>207</v>
      </c>
      <c r="E877" s="21" t="str">
        <f t="shared" si="86"/>
        <v/>
      </c>
      <c r="F877" s="22" t="str">
        <f>IF(OR(E877="",E877="!!!"),"",IF(NOT(ISNA(VLOOKUP(E877,E$1:E876,1,FALSE()))),"OLD",IF(AND(E877&lt;&gt;"",E877&lt;&gt;"!!!"),"NEW","")))</f>
        <v/>
      </c>
      <c r="G877" s="23" t="str">
        <f>IF(OR(E877="",E877="!!!"),"",IF(OR(J877=0,AND(J877=1,K877=1),AND(J877=1,I877="SBJ"),AND(J877=1,I877=0)),"?IN_FOCUS",IF(J877&lt;=2,"?ACTIVATED",IF(J877&lt;&gt;"","?FAMILIAR",IF(F877="NEW",IF(ISNA(VLOOKUP(E877,#REF!,1,FALSE())),"?TYPE_IDENTIFIABLE","?REFERENTIAL"),"_")))))</f>
        <v/>
      </c>
      <c r="H877" s="24" t="str">
        <f t="shared" ca="1" si="87"/>
        <v/>
      </c>
      <c r="I877" s="25" t="str">
        <f>IF(OR(E877="",E877="!!!",F877="NEW"),"",INDEX(B$2:B876,-1+SUMPRODUCT(MAX(ROW(E$2:E876)*(E877=E$2:E876)))))</f>
        <v/>
      </c>
      <c r="J877" s="25" t="str">
        <f ca="1">IF(OR(E877="",E877="!!!",F877="NEW"),"",COUNTBLANK(OFFSET(A$1,,,SUMPRODUCT(MAX(ROW(E$2:E877)*(E877=E$2:E877)))))-COUNTBLANK(OFFSET(A$1,,,SUMPRODUCT(MAX(ROW(E$1:E876)*(E2=E$1:E876))))))</f>
        <v/>
      </c>
      <c r="K877" s="25" t="str">
        <f>IF(OR(E877="",E877="!!!",F877="NEW"),"",INDEX(J$1:J876,SUMPRODUCT(MAX(ROW(E$1:E876)*(E877=E$1:E876)))))</f>
        <v/>
      </c>
      <c r="L877" s="26"/>
    </row>
    <row r="878" spans="1:12" x14ac:dyDescent="0.3">
      <c r="A878" t="s">
        <v>188</v>
      </c>
      <c r="B878" s="20" t="s">
        <v>241</v>
      </c>
      <c r="C878" s="20" t="s">
        <v>185</v>
      </c>
      <c r="D878" s="20" t="s">
        <v>186</v>
      </c>
      <c r="E878" s="21" t="s">
        <v>722</v>
      </c>
      <c r="F878" s="22" t="str">
        <f>IF(OR(E878="",E878="!!!"),"",IF(NOT(ISNA(VLOOKUP(E878,E$1:E877,1,FALSE()))),"OLD",IF(AND(E878&lt;&gt;"",E878&lt;&gt;"!!!"),"NEW","")))</f>
        <v>OLD</v>
      </c>
      <c r="G878" s="23" t="s">
        <v>808</v>
      </c>
      <c r="H878" s="24" t="str">
        <f t="shared" ca="1" si="87"/>
        <v/>
      </c>
      <c r="I878" s="25" t="str">
        <f>IF(OR(E878="",E878="!!!",F878="NEW"),"",INDEX(B$2:B877,-1+SUMPRODUCT(MAX(ROW(E$2:E877)*(E878=E$2:E877)))))</f>
        <v>other_3</v>
      </c>
      <c r="J878" s="25">
        <f ca="1">IF(OR(E878="",E878="!!!",F878="NEW"),"",COUNTBLANK(OFFSET(A$1,,,SUMPRODUCT(MAX(ROW(E$2:E878)*(E878=E$2:E878)))))-COUNTBLANK(OFFSET(A$1,,,SUMPRODUCT(MAX(ROW(E$1:E877)*(E2=E$1:E877))))))</f>
        <v>0</v>
      </c>
      <c r="K878" s="25">
        <f ca="1">IF(OR(E878="",E878="!!!",F878="NEW"),"",INDEX(J$1:J877,SUMPRODUCT(MAX(ROW(E$1:E877)*(E878=E$1:E877)))))</f>
        <v>0</v>
      </c>
      <c r="L878" s="26"/>
    </row>
    <row r="879" spans="1:12" x14ac:dyDescent="0.3">
      <c r="A879" t="s">
        <v>667</v>
      </c>
      <c r="E879" s="21" t="str">
        <f t="shared" si="86"/>
        <v/>
      </c>
      <c r="F879" s="22" t="str">
        <f>IF(OR(E879="",E879="!!!"),"",IF(NOT(ISNA(VLOOKUP(E879,E$1:E878,1,FALSE()))),"OLD",IF(AND(E879&lt;&gt;"",E879&lt;&gt;"!!!"),"NEW","")))</f>
        <v/>
      </c>
      <c r="G879" s="23" t="str">
        <f>IF(OR(E879="",E879="!!!"),"",IF(OR(J879=0,AND(J879=1,K879=1),AND(J879=1,I879="SBJ"),AND(J879=1,I879=0)),"?IN_FOCUS",IF(J879&lt;=2,"?ACTIVATED",IF(J879&lt;&gt;"","?FAMILIAR",IF(F879="NEW",IF(ISNA(VLOOKUP(E879,#REF!,1,FALSE())),"?TYPE_IDENTIFIABLE","?REFERENTIAL"),"_")))))</f>
        <v/>
      </c>
      <c r="H879" s="24" t="str">
        <f t="shared" ca="1" si="87"/>
        <v/>
      </c>
      <c r="I879" s="25" t="str">
        <f>IF(OR(E879="",E879="!!!",F879="NEW"),"",INDEX(B$2:B878,-1+SUMPRODUCT(MAX(ROW(E$2:E878)*(E879=E$2:E878)))))</f>
        <v/>
      </c>
      <c r="J879" s="25" t="str">
        <f ca="1">IF(OR(E879="",E879="!!!",F879="NEW"),"",COUNTBLANK(OFFSET(A$1,,,SUMPRODUCT(MAX(ROW(E$2:E879)*(E879=E$2:E879)))))-COUNTBLANK(OFFSET(A$1,,,SUMPRODUCT(MAX(ROW(E$1:E878)*(E2=E$1:E878))))))</f>
        <v/>
      </c>
      <c r="K879" s="25" t="str">
        <f>IF(OR(E879="",E879="!!!",F879="NEW"),"",INDEX(J$1:J878,SUMPRODUCT(MAX(ROW(E$1:E878)*(E879=E$1:E878)))))</f>
        <v/>
      </c>
      <c r="L879" s="26"/>
    </row>
    <row r="880" spans="1:12" x14ac:dyDescent="0.3">
      <c r="A880" t="s">
        <v>668</v>
      </c>
      <c r="B880" s="20" t="s">
        <v>232</v>
      </c>
      <c r="C880" s="20" t="s">
        <v>197</v>
      </c>
      <c r="E880" s="21" t="str">
        <f t="shared" si="86"/>
        <v/>
      </c>
      <c r="F880" s="22" t="str">
        <f>IF(OR(E880="",E880="!!!"),"",IF(NOT(ISNA(VLOOKUP(E880,E$1:E879,1,FALSE()))),"OLD",IF(AND(E880&lt;&gt;"",E880&lt;&gt;"!!!"),"NEW","")))</f>
        <v/>
      </c>
      <c r="G880" s="23" t="str">
        <f>IF(OR(E880="",E880="!!!"),"",IF(OR(J880=0,AND(J880=1,K880=1),AND(J880=1,I880="SBJ"),AND(J880=1,I880=0)),"?IN_FOCUS",IF(J880&lt;=2,"?ACTIVATED",IF(J880&lt;&gt;"","?FAMILIAR",IF(F880="NEW",IF(ISNA(VLOOKUP(E880,#REF!,1,FALSE())),"?TYPE_IDENTIFIABLE","?REFERENTIAL"),"_")))))</f>
        <v/>
      </c>
      <c r="H880" s="24" t="str">
        <f t="shared" ca="1" si="87"/>
        <v/>
      </c>
      <c r="I880" s="25" t="str">
        <f>IF(OR(E880="",E880="!!!",F880="NEW"),"",INDEX(B$2:B879,-1+SUMPRODUCT(MAX(ROW(E$2:E879)*(E880=E$2:E879)))))</f>
        <v/>
      </c>
      <c r="J880" s="25" t="str">
        <f ca="1">IF(OR(E880="",E880="!!!",F880="NEW"),"",COUNTBLANK(OFFSET(A$1,,,SUMPRODUCT(MAX(ROW(E$2:E880)*(E880=E$2:E880)))))-COUNTBLANK(OFFSET(A$1,,,SUMPRODUCT(MAX(ROW(E$1:E879)*(E2=E$1:E879))))))</f>
        <v/>
      </c>
      <c r="K880" s="25" t="str">
        <f>IF(OR(E880="",E880="!!!",F880="NEW"),"",INDEX(J$1:J879,SUMPRODUCT(MAX(ROW(E$1:E879)*(E880=E$1:E879)))))</f>
        <v/>
      </c>
      <c r="L880" s="26"/>
    </row>
    <row r="881" spans="1:12" x14ac:dyDescent="0.3">
      <c r="A881" t="s">
        <v>669</v>
      </c>
      <c r="E881" s="21" t="str">
        <f t="shared" si="86"/>
        <v/>
      </c>
      <c r="F881" s="22" t="str">
        <f>IF(OR(E881="",E881="!!!"),"",IF(NOT(ISNA(VLOOKUP(E881,E$1:E880,1,FALSE()))),"OLD",IF(AND(E881&lt;&gt;"",E881&lt;&gt;"!!!"),"NEW","")))</f>
        <v/>
      </c>
      <c r="G881" s="23" t="str">
        <f>IF(OR(E881="",E881="!!!"),"",IF(OR(J881=0,AND(J881=1,K881=1),AND(J881=1,I881="SBJ"),AND(J881=1,I881=0)),"?IN_FOCUS",IF(J881&lt;=2,"?ACTIVATED",IF(J881&lt;&gt;"","?FAMILIAR",IF(F881="NEW",IF(ISNA(VLOOKUP(E881,#REF!,1,FALSE())),"?TYPE_IDENTIFIABLE","?REFERENTIAL"),"_")))))</f>
        <v/>
      </c>
      <c r="H881" s="24" t="str">
        <f t="shared" ca="1" si="87"/>
        <v/>
      </c>
      <c r="I881" s="25" t="str">
        <f>IF(OR(E881="",E881="!!!",F881="NEW"),"",INDEX(B$2:B880,-1+SUMPRODUCT(MAX(ROW(E$2:E880)*(E881=E$2:E880)))))</f>
        <v/>
      </c>
      <c r="J881" s="25" t="str">
        <f ca="1">IF(OR(E881="",E881="!!!",F881="NEW"),"",COUNTBLANK(OFFSET(A$1,,,SUMPRODUCT(MAX(ROW(E$2:E881)*(E881=E$2:E881)))))-COUNTBLANK(OFFSET(A$1,,,SUMPRODUCT(MAX(ROW(E$1:E880)*(E2=E$1:E880))))))</f>
        <v/>
      </c>
      <c r="K881" s="25" t="str">
        <f>IF(OR(E881="",E881="!!!",F881="NEW"),"",INDEX(J$1:J880,SUMPRODUCT(MAX(ROW(E$1:E880)*(E881=E$1:E880)))))</f>
        <v/>
      </c>
      <c r="L881" s="26"/>
    </row>
    <row r="882" spans="1:12" x14ac:dyDescent="0.3">
      <c r="A882" t="s">
        <v>212</v>
      </c>
      <c r="E882" s="21" t="str">
        <f t="shared" si="86"/>
        <v/>
      </c>
      <c r="F882" s="22" t="str">
        <f>IF(OR(E882="",E882="!!!"),"",IF(NOT(ISNA(VLOOKUP(E882,E$1:E881,1,FALSE()))),"OLD",IF(AND(E882&lt;&gt;"",E882&lt;&gt;"!!!"),"NEW","")))</f>
        <v/>
      </c>
      <c r="G882" s="23" t="str">
        <f>IF(OR(E882="",E882="!!!"),"",IF(OR(J882=0,AND(J882=1,K882=1),AND(J882=1,I882="SBJ"),AND(J882=1,I882=0)),"?IN_FOCUS",IF(J882&lt;=2,"?ACTIVATED",IF(J882&lt;&gt;"","?FAMILIAR",IF(F882="NEW",IF(ISNA(VLOOKUP(E882,#REF!,1,FALSE())),"?TYPE_IDENTIFIABLE","?REFERENTIAL"),"_")))))</f>
        <v/>
      </c>
      <c r="H882" s="24" t="str">
        <f t="shared" ca="1" si="87"/>
        <v/>
      </c>
      <c r="I882" s="25" t="str">
        <f>IF(OR(E882="",E882="!!!",F882="NEW"),"",INDEX(B$2:B881,-1+SUMPRODUCT(MAX(ROW(E$2:E881)*(E882=E$2:E881)))))</f>
        <v/>
      </c>
      <c r="J882" s="25" t="str">
        <f ca="1">IF(OR(E882="",E882="!!!",F882="NEW"),"",COUNTBLANK(OFFSET(A$1,,,SUMPRODUCT(MAX(ROW(E$2:E882)*(E882=E$2:E882)))))-COUNTBLANK(OFFSET(A$1,,,SUMPRODUCT(MAX(ROW(E$1:E881)*(E2=E$1:E881))))))</f>
        <v/>
      </c>
      <c r="K882" s="25" t="str">
        <f>IF(OR(E882="",E882="!!!",F882="NEW"),"",INDEX(J$1:J881,SUMPRODUCT(MAX(ROW(E$1:E881)*(E882=E$1:E881)))))</f>
        <v/>
      </c>
      <c r="L882" s="26"/>
    </row>
    <row r="884" spans="1:12" x14ac:dyDescent="0.3">
      <c r="A884" t="s">
        <v>670</v>
      </c>
    </row>
    <row r="885" spans="1:12" x14ac:dyDescent="0.3">
      <c r="A885" t="s">
        <v>200</v>
      </c>
      <c r="B885" s="20" t="s">
        <v>201</v>
      </c>
      <c r="C885" s="20" t="s">
        <v>202</v>
      </c>
      <c r="D885" s="20" t="s">
        <v>186</v>
      </c>
      <c r="E885" s="21"/>
      <c r="F885" s="22" t="s">
        <v>751</v>
      </c>
      <c r="G885" s="23" t="str">
        <f>IF(OR(E885="",E885="!!!"),"",IF(OR(J885=0,AND(J885=1,K885=1),AND(J885=1,I885="SBJ"),AND(J885=1,I885=0)),"?IN_FOCUS",IF(J885&lt;=2,"?ACTIVATED",IF(J885&lt;&gt;"","?FAMILIAR",IF(F885="NEW",IF(ISNA(VLOOKUP(E885,#REF!,1,FALSE())),"?TYPE_IDENTIFIABLE","?REFERENTIAL"),"_")))))</f>
        <v/>
      </c>
      <c r="H885" s="24" t="str">
        <f t="shared" ref="H885:H912" ca="1" si="88">IF(J885&lt;&gt;1,"",IF(I885="SBJ","CB","?"))</f>
        <v/>
      </c>
      <c r="I885" s="25" t="str">
        <f>IF(OR(E885="",E885="!!!",F885="NEW"),"",INDEX(B$2:B884,-1+SUMPRODUCT(MAX(ROW(E$2:E884)*(E885=E$2:E884)))))</f>
        <v/>
      </c>
      <c r="J885" s="25" t="str">
        <f ca="1">IF(OR(E885="",E885="!!!",F885="NEW"),"",COUNTBLANK(OFFSET(A$1,,,SUMPRODUCT(MAX(ROW(E$2:E885)*(E885=E$2:E885)))))-COUNTBLANK(OFFSET(A$1,,,SUMPRODUCT(MAX(ROW(E$1:E884)*(E2=E$1:E884))))))</f>
        <v/>
      </c>
      <c r="K885" s="25" t="str">
        <f>IF(OR(E885="",E885="!!!",F885="NEW"),"",INDEX(J$1:J884,SUMPRODUCT(MAX(ROW(E$1:E884)*(E885=E$1:E884)))))</f>
        <v/>
      </c>
      <c r="L885" s="26"/>
    </row>
    <row r="886" spans="1:12" x14ac:dyDescent="0.3">
      <c r="A886" t="s">
        <v>671</v>
      </c>
      <c r="E886" s="21" t="str">
        <f t="shared" ref="E886:E912" si="89">IF(D886="?OLD","!!!","")</f>
        <v/>
      </c>
      <c r="F886" s="22" t="str">
        <f>IF(OR(E886="",E886="!!!"),"",IF(NOT(ISNA(VLOOKUP(E886,E$1:E885,1,FALSE()))),"OLD",IF(AND(E886&lt;&gt;"",E886&lt;&gt;"!!!"),"NEW","")))</f>
        <v/>
      </c>
      <c r="G886" s="23" t="str">
        <f>IF(OR(E886="",E886="!!!"),"",IF(OR(J886=0,AND(J886=1,K886=1),AND(J886=1,I886="SBJ"),AND(J886=1,I886=0)),"?IN_FOCUS",IF(J886&lt;=2,"?ACTIVATED",IF(J886&lt;&gt;"","?FAMILIAR",IF(F886="NEW",IF(ISNA(VLOOKUP(E886,#REF!,1,FALSE())),"?TYPE_IDENTIFIABLE","?REFERENTIAL"),"_")))))</f>
        <v/>
      </c>
      <c r="H886" s="24" t="str">
        <f t="shared" ca="1" si="88"/>
        <v/>
      </c>
      <c r="I886" s="25" t="str">
        <f>IF(OR(E886="",E886="!!!",F886="NEW"),"",INDEX(B$2:B885,-1+SUMPRODUCT(MAX(ROW(E$2:E885)*(E886=E$2:E885)))))</f>
        <v/>
      </c>
      <c r="J886" s="25" t="str">
        <f ca="1">IF(OR(E886="",E886="!!!",F886="NEW"),"",COUNTBLANK(OFFSET(A$1,,,SUMPRODUCT(MAX(ROW(E$2:E886)*(E886=E$2:E886)))))-COUNTBLANK(OFFSET(A$1,,,SUMPRODUCT(MAX(ROW(E$1:E885)*(E2=E$1:E885))))))</f>
        <v/>
      </c>
      <c r="K886" s="25" t="str">
        <f>IF(OR(E886="",E886="!!!",F886="NEW"),"",INDEX(J$1:J885,SUMPRODUCT(MAX(ROW(E$1:E885)*(E886=E$1:E885)))))</f>
        <v/>
      </c>
      <c r="L886" s="26"/>
    </row>
    <row r="887" spans="1:12" x14ac:dyDescent="0.3">
      <c r="A887" t="s">
        <v>672</v>
      </c>
      <c r="E887" s="21" t="str">
        <f t="shared" si="89"/>
        <v/>
      </c>
      <c r="F887" s="22" t="str">
        <f>IF(OR(E887="",E887="!!!"),"",IF(NOT(ISNA(VLOOKUP(E887,E$1:E886,1,FALSE()))),"OLD",IF(AND(E887&lt;&gt;"",E887&lt;&gt;"!!!"),"NEW","")))</f>
        <v/>
      </c>
      <c r="G887" s="23" t="str">
        <f>IF(OR(E887="",E887="!!!"),"",IF(OR(J887=0,AND(J887=1,K887=1),AND(J887=1,I887="SBJ"),AND(J887=1,I887=0)),"?IN_FOCUS",IF(J887&lt;=2,"?ACTIVATED",IF(J887&lt;&gt;"","?FAMILIAR",IF(F887="NEW",IF(ISNA(VLOOKUP(E887,#REF!,1,FALSE())),"?TYPE_IDENTIFIABLE","?REFERENTIAL"),"_")))))</f>
        <v/>
      </c>
      <c r="H887" s="24" t="str">
        <f t="shared" ca="1" si="88"/>
        <v/>
      </c>
      <c r="I887" s="25" t="str">
        <f>IF(OR(E887="",E887="!!!",F887="NEW"),"",INDEX(B$2:B886,-1+SUMPRODUCT(MAX(ROW(E$2:E886)*(E887=E$2:E886)))))</f>
        <v/>
      </c>
      <c r="J887" s="25" t="str">
        <f ca="1">IF(OR(E887="",E887="!!!",F887="NEW"),"",COUNTBLANK(OFFSET(A$1,,,SUMPRODUCT(MAX(ROW(E$2:E887)*(E887=E$2:E887)))))-COUNTBLANK(OFFSET(A$1,,,SUMPRODUCT(MAX(ROW(E$1:E886)*(E2=E$1:E886))))))</f>
        <v/>
      </c>
      <c r="K887" s="25" t="str">
        <f>IF(OR(E887="",E887="!!!",F887="NEW"),"",INDEX(J$1:J886,SUMPRODUCT(MAX(ROW(E$1:E886)*(E887=E$1:E886)))))</f>
        <v/>
      </c>
      <c r="L887" s="26"/>
    </row>
    <row r="888" spans="1:12" x14ac:dyDescent="0.3">
      <c r="A888" t="s">
        <v>358</v>
      </c>
      <c r="E888" s="21" t="str">
        <f t="shared" si="89"/>
        <v/>
      </c>
      <c r="F888" s="22" t="str">
        <f>IF(OR(E888="",E888="!!!"),"",IF(NOT(ISNA(VLOOKUP(E888,E$1:E887,1,FALSE()))),"OLD",IF(AND(E888&lt;&gt;"",E888&lt;&gt;"!!!"),"NEW","")))</f>
        <v/>
      </c>
      <c r="G888" s="23" t="str">
        <f>IF(OR(E888="",E888="!!!"),"",IF(OR(J888=0,AND(J888=1,K888=1),AND(J888=1,I888="SBJ"),AND(J888=1,I888=0)),"?IN_FOCUS",IF(J888&lt;=2,"?ACTIVATED",IF(J888&lt;&gt;"","?FAMILIAR",IF(F888="NEW",IF(ISNA(VLOOKUP(E888,#REF!,1,FALSE())),"?TYPE_IDENTIFIABLE","?REFERENTIAL"),"_")))))</f>
        <v/>
      </c>
      <c r="H888" s="24" t="str">
        <f t="shared" ca="1" si="88"/>
        <v/>
      </c>
      <c r="I888" s="25" t="str">
        <f>IF(OR(E888="",E888="!!!",F888="NEW"),"",INDEX(B$2:B887,-1+SUMPRODUCT(MAX(ROW(E$2:E887)*(E888=E$2:E887)))))</f>
        <v/>
      </c>
      <c r="J888" s="25" t="str">
        <f ca="1">IF(OR(E888="",E888="!!!",F888="NEW"),"",COUNTBLANK(OFFSET(A$1,,,SUMPRODUCT(MAX(ROW(E$2:E888)*(E888=E$2:E888)))))-COUNTBLANK(OFFSET(A$1,,,SUMPRODUCT(MAX(ROW(E$1:E887)*(E2=E$1:E887))))))</f>
        <v/>
      </c>
      <c r="K888" s="25" t="str">
        <f>IF(OR(E888="",E888="!!!",F888="NEW"),"",INDEX(J$1:J887,SUMPRODUCT(MAX(ROW(E$1:E887)*(E888=E$1:E887)))))</f>
        <v/>
      </c>
      <c r="L888" s="26"/>
    </row>
    <row r="889" spans="1:12" x14ac:dyDescent="0.3">
      <c r="A889" t="s">
        <v>206</v>
      </c>
      <c r="E889" s="21" t="str">
        <f t="shared" si="89"/>
        <v/>
      </c>
      <c r="F889" s="22" t="str">
        <f>IF(OR(E889="",E889="!!!"),"",IF(NOT(ISNA(VLOOKUP(E889,E$1:E888,1,FALSE()))),"OLD",IF(AND(E889&lt;&gt;"",E889&lt;&gt;"!!!"),"NEW","")))</f>
        <v/>
      </c>
      <c r="G889" s="23" t="str">
        <f>IF(OR(E889="",E889="!!!"),"",IF(OR(J889=0,AND(J889=1,K889=1),AND(J889=1,I889="SBJ"),AND(J889=1,I889=0)),"?IN_FOCUS",IF(J889&lt;=2,"?ACTIVATED",IF(J889&lt;&gt;"","?FAMILIAR",IF(F889="NEW",IF(ISNA(VLOOKUP(E889,#REF!,1,FALSE())),"?TYPE_IDENTIFIABLE","?REFERENTIAL"),"_")))))</f>
        <v/>
      </c>
      <c r="H889" s="24" t="str">
        <f t="shared" ca="1" si="88"/>
        <v/>
      </c>
      <c r="I889" s="25" t="str">
        <f>IF(OR(E889="",E889="!!!",F889="NEW"),"",INDEX(B$2:B888,-1+SUMPRODUCT(MAX(ROW(E$2:E888)*(E889=E$2:E888)))))</f>
        <v/>
      </c>
      <c r="J889" s="25" t="str">
        <f ca="1">IF(OR(E889="",E889="!!!",F889="NEW"),"",COUNTBLANK(OFFSET(A$1,,,SUMPRODUCT(MAX(ROW(E$2:E889)*(E889=E$2:E889)))))-COUNTBLANK(OFFSET(A$1,,,SUMPRODUCT(MAX(ROW(E$1:E888)*(E2=E$1:E888))))))</f>
        <v/>
      </c>
      <c r="K889" s="25" t="str">
        <f>IF(OR(E889="",E889="!!!",F889="NEW"),"",INDEX(J$1:J888,SUMPRODUCT(MAX(ROW(E$1:E888)*(E889=E$1:E888)))))</f>
        <v/>
      </c>
      <c r="L889" s="26"/>
    </row>
    <row r="890" spans="1:12" x14ac:dyDescent="0.3">
      <c r="A890" t="s">
        <v>272</v>
      </c>
      <c r="E890" s="21" t="str">
        <f t="shared" si="89"/>
        <v/>
      </c>
      <c r="F890" s="22" t="str">
        <f>IF(OR(E890="",E890="!!!"),"",IF(NOT(ISNA(VLOOKUP(E890,E$1:E889,1,FALSE()))),"OLD",IF(AND(E890&lt;&gt;"",E890&lt;&gt;"!!!"),"NEW","")))</f>
        <v/>
      </c>
      <c r="G890" s="23" t="str">
        <f>IF(OR(E890="",E890="!!!"),"",IF(OR(J890=0,AND(J890=1,K890=1),AND(J890=1,I890="SBJ"),AND(J890=1,I890=0)),"?IN_FOCUS",IF(J890&lt;=2,"?ACTIVATED",IF(J890&lt;&gt;"","?FAMILIAR",IF(F890="NEW",IF(ISNA(VLOOKUP(E890,#REF!,1,FALSE())),"?TYPE_IDENTIFIABLE","?REFERENTIAL"),"_")))))</f>
        <v/>
      </c>
      <c r="H890" s="24" t="str">
        <f t="shared" ca="1" si="88"/>
        <v/>
      </c>
      <c r="I890" s="25" t="str">
        <f>IF(OR(E890="",E890="!!!",F890="NEW"),"",INDEX(B$2:B889,-1+SUMPRODUCT(MAX(ROW(E$2:E889)*(E890=E$2:E889)))))</f>
        <v/>
      </c>
      <c r="J890" s="25" t="str">
        <f ca="1">IF(OR(E890="",E890="!!!",F890="NEW"),"",COUNTBLANK(OFFSET(A$1,,,SUMPRODUCT(MAX(ROW(E$2:E890)*(E890=E$2:E890)))))-COUNTBLANK(OFFSET(A$1,,,SUMPRODUCT(MAX(ROW(E$1:E889)*(E2=E$1:E889))))))</f>
        <v/>
      </c>
      <c r="K890" s="25" t="str">
        <f>IF(OR(E890="",E890="!!!",F890="NEW"),"",INDEX(J$1:J889,SUMPRODUCT(MAX(ROW(E$1:E889)*(E890=E$1:E889)))))</f>
        <v/>
      </c>
      <c r="L890" s="26"/>
    </row>
    <row r="891" spans="1:12" x14ac:dyDescent="0.3">
      <c r="A891" t="s">
        <v>465</v>
      </c>
      <c r="E891" s="21" t="str">
        <f t="shared" si="89"/>
        <v/>
      </c>
      <c r="F891" s="22" t="str">
        <f>IF(OR(E891="",E891="!!!"),"",IF(NOT(ISNA(VLOOKUP(E891,E$1:E890,1,FALSE()))),"OLD",IF(AND(E891&lt;&gt;"",E891&lt;&gt;"!!!"),"NEW","")))</f>
        <v/>
      </c>
      <c r="G891" s="23" t="str">
        <f>IF(OR(E891="",E891="!!!"),"",IF(OR(J891=0,AND(J891=1,K891=1),AND(J891=1,I891="SBJ"),AND(J891=1,I891=0)),"?IN_FOCUS",IF(J891&lt;=2,"?ACTIVATED",IF(J891&lt;&gt;"","?FAMILIAR",IF(F891="NEW",IF(ISNA(VLOOKUP(E891,#REF!,1,FALSE())),"?TYPE_IDENTIFIABLE","?REFERENTIAL"),"_")))))</f>
        <v/>
      </c>
      <c r="H891" s="24" t="str">
        <f t="shared" ca="1" si="88"/>
        <v/>
      </c>
      <c r="I891" s="25" t="str">
        <f>IF(OR(E891="",E891="!!!",F891="NEW"),"",INDEX(B$2:B890,-1+SUMPRODUCT(MAX(ROW(E$2:E890)*(E891=E$2:E890)))))</f>
        <v/>
      </c>
      <c r="J891" s="25" t="str">
        <f ca="1">IF(OR(E891="",E891="!!!",F891="NEW"),"",COUNTBLANK(OFFSET(A$1,,,SUMPRODUCT(MAX(ROW(E$2:E891)*(E891=E$2:E891)))))-COUNTBLANK(OFFSET(A$1,,,SUMPRODUCT(MAX(ROW(E$1:E890)*(E2=E$1:E890))))))</f>
        <v/>
      </c>
      <c r="K891" s="25" t="str">
        <f>IF(OR(E891="",E891="!!!",F891="NEW"),"",INDEX(J$1:J890,SUMPRODUCT(MAX(ROW(E$1:E890)*(E891=E$1:E890)))))</f>
        <v/>
      </c>
      <c r="L891" s="26"/>
    </row>
    <row r="892" spans="1:12" x14ac:dyDescent="0.3">
      <c r="A892" t="s">
        <v>503</v>
      </c>
      <c r="E892" s="21" t="str">
        <f t="shared" si="89"/>
        <v/>
      </c>
      <c r="F892" s="22" t="str">
        <f>IF(OR(E892="",E892="!!!"),"",IF(NOT(ISNA(VLOOKUP(E892,E$1:E891,1,FALSE()))),"OLD",IF(AND(E892&lt;&gt;"",E892&lt;&gt;"!!!"),"NEW","")))</f>
        <v/>
      </c>
      <c r="G892" s="23" t="str">
        <f>IF(OR(E892="",E892="!!!"),"",IF(OR(J892=0,AND(J892=1,K892=1),AND(J892=1,I892="SBJ"),AND(J892=1,I892=0)),"?IN_FOCUS",IF(J892&lt;=2,"?ACTIVATED",IF(J892&lt;&gt;"","?FAMILIAR",IF(F892="NEW",IF(ISNA(VLOOKUP(E892,#REF!,1,FALSE())),"?TYPE_IDENTIFIABLE","?REFERENTIAL"),"_")))))</f>
        <v/>
      </c>
      <c r="H892" s="24" t="str">
        <f t="shared" ca="1" si="88"/>
        <v/>
      </c>
      <c r="I892" s="25" t="str">
        <f>IF(OR(E892="",E892="!!!",F892="NEW"),"",INDEX(B$2:B891,-1+SUMPRODUCT(MAX(ROW(E$2:E891)*(E892=E$2:E891)))))</f>
        <v/>
      </c>
      <c r="J892" s="25" t="str">
        <f ca="1">IF(OR(E892="",E892="!!!",F892="NEW"),"",COUNTBLANK(OFFSET(A$1,,,SUMPRODUCT(MAX(ROW(E$2:E892)*(E892=E$2:E892)))))-COUNTBLANK(OFFSET(A$1,,,SUMPRODUCT(MAX(ROW(E$1:E891)*(E2=E$1:E891))))))</f>
        <v/>
      </c>
      <c r="K892" s="25" t="str">
        <f>IF(OR(E892="",E892="!!!",F892="NEW"),"",INDEX(J$1:J891,SUMPRODUCT(MAX(ROW(E$1:E891)*(E892=E$1:E891)))))</f>
        <v/>
      </c>
      <c r="L892" s="26"/>
    </row>
    <row r="893" spans="1:12" x14ac:dyDescent="0.3">
      <c r="A893" t="s">
        <v>673</v>
      </c>
      <c r="E893" s="21" t="str">
        <f t="shared" si="89"/>
        <v/>
      </c>
      <c r="F893" s="22" t="str">
        <f>IF(OR(E893="",E893="!!!"),"",IF(NOT(ISNA(VLOOKUP(E893,E$1:E892,1,FALSE()))),"OLD",IF(AND(E893&lt;&gt;"",E893&lt;&gt;"!!!"),"NEW","")))</f>
        <v/>
      </c>
      <c r="G893" s="23" t="str">
        <f>IF(OR(E893="",E893="!!!"),"",IF(OR(J893=0,AND(J893=1,K893=1),AND(J893=1,I893="SBJ"),AND(J893=1,I893=0)),"?IN_FOCUS",IF(J893&lt;=2,"?ACTIVATED",IF(J893&lt;&gt;"","?FAMILIAR",IF(F893="NEW",IF(ISNA(VLOOKUP(E893,#REF!,1,FALSE())),"?TYPE_IDENTIFIABLE","?REFERENTIAL"),"_")))))</f>
        <v/>
      </c>
      <c r="H893" s="24" t="str">
        <f t="shared" ca="1" si="88"/>
        <v/>
      </c>
      <c r="I893" s="25" t="str">
        <f>IF(OR(E893="",E893="!!!",F893="NEW"),"",INDEX(B$2:B892,-1+SUMPRODUCT(MAX(ROW(E$2:E892)*(E893=E$2:E892)))))</f>
        <v/>
      </c>
      <c r="J893" s="25" t="str">
        <f ca="1">IF(OR(E893="",E893="!!!",F893="NEW"),"",COUNTBLANK(OFFSET(A$1,,,SUMPRODUCT(MAX(ROW(E$2:E893)*(E893=E$2:E893)))))-COUNTBLANK(OFFSET(A$1,,,SUMPRODUCT(MAX(ROW(E$1:E892)*(E2=E$1:E892))))))</f>
        <v/>
      </c>
      <c r="K893" s="25" t="str">
        <f>IF(OR(E893="",E893="!!!",F893="NEW"),"",INDEX(J$1:J892,SUMPRODUCT(MAX(ROW(E$1:E892)*(E893=E$1:E892)))))</f>
        <v/>
      </c>
      <c r="L893" s="26"/>
    </row>
    <row r="894" spans="1:12" x14ac:dyDescent="0.3">
      <c r="A894" t="s">
        <v>674</v>
      </c>
      <c r="B894" s="20" t="s">
        <v>196</v>
      </c>
      <c r="C894" s="20" t="s">
        <v>237</v>
      </c>
      <c r="E894" s="21" t="str">
        <f t="shared" si="89"/>
        <v/>
      </c>
      <c r="F894" s="22" t="str">
        <f>IF(OR(E894="",E894="!!!"),"",IF(NOT(ISNA(VLOOKUP(E894,E$1:E893,1,FALSE()))),"OLD",IF(AND(E894&lt;&gt;"",E894&lt;&gt;"!!!"),"NEW","")))</f>
        <v/>
      </c>
      <c r="G894" s="23" t="str">
        <f>IF(OR(E894="",E894="!!!"),"",IF(OR(J894=0,AND(J894=1,K894=1),AND(J894=1,I894="SBJ"),AND(J894=1,I894=0)),"?IN_FOCUS",IF(J894&lt;=2,"?ACTIVATED",IF(J894&lt;&gt;"","?FAMILIAR",IF(F894="NEW",IF(ISNA(VLOOKUP(E894,#REF!,1,FALSE())),"?TYPE_IDENTIFIABLE","?REFERENTIAL"),"_")))))</f>
        <v/>
      </c>
      <c r="H894" s="24" t="str">
        <f t="shared" ca="1" si="88"/>
        <v/>
      </c>
      <c r="I894" s="25" t="str">
        <f>IF(OR(E894="",E894="!!!",F894="NEW"),"",INDEX(B$2:B893,-1+SUMPRODUCT(MAX(ROW(E$2:E893)*(E894=E$2:E893)))))</f>
        <v/>
      </c>
      <c r="J894" s="25" t="str">
        <f ca="1">IF(OR(E894="",E894="!!!",F894="NEW"),"",COUNTBLANK(OFFSET(A$1,,,SUMPRODUCT(MAX(ROW(E$2:E894)*(E894=E$2:E894)))))-COUNTBLANK(OFFSET(A$1,,,SUMPRODUCT(MAX(ROW(E$1:E893)*(E2=E$1:E893))))))</f>
        <v/>
      </c>
      <c r="K894" s="25" t="str">
        <f>IF(OR(E894="",E894="!!!",F894="NEW"),"",INDEX(J$1:J893,SUMPRODUCT(MAX(ROW(E$1:E893)*(E894=E$1:E893)))))</f>
        <v/>
      </c>
      <c r="L894" s="26"/>
    </row>
    <row r="895" spans="1:12" x14ac:dyDescent="0.3">
      <c r="A895" t="s">
        <v>223</v>
      </c>
      <c r="E895" s="21" t="str">
        <f t="shared" si="89"/>
        <v/>
      </c>
      <c r="F895" s="22" t="str">
        <f>IF(OR(E895="",E895="!!!"),"",IF(NOT(ISNA(VLOOKUP(E895,E$1:E894,1,FALSE()))),"OLD",IF(AND(E895&lt;&gt;"",E895&lt;&gt;"!!!"),"NEW","")))</f>
        <v/>
      </c>
      <c r="G895" s="23" t="str">
        <f>IF(OR(E895="",E895="!!!"),"",IF(OR(J895=0,AND(J895=1,K895=1),AND(J895=1,I895="SBJ"),AND(J895=1,I895=0)),"?IN_FOCUS",IF(J895&lt;=2,"?ACTIVATED",IF(J895&lt;&gt;"","?FAMILIAR",IF(F895="NEW",IF(ISNA(VLOOKUP(E895,#REF!,1,FALSE())),"?TYPE_IDENTIFIABLE","?REFERENTIAL"),"_")))))</f>
        <v/>
      </c>
      <c r="H895" s="24" t="str">
        <f t="shared" ca="1" si="88"/>
        <v/>
      </c>
      <c r="I895" s="25" t="str">
        <f>IF(OR(E895="",E895="!!!",F895="NEW"),"",INDEX(B$2:B894,-1+SUMPRODUCT(MAX(ROW(E$2:E894)*(E895=E$2:E894)))))</f>
        <v/>
      </c>
      <c r="J895" s="25" t="str">
        <f ca="1">IF(OR(E895="",E895="!!!",F895="NEW"),"",COUNTBLANK(OFFSET(A$1,,,SUMPRODUCT(MAX(ROW(E$2:E895)*(E895=E$2:E895)))))-COUNTBLANK(OFFSET(A$1,,,SUMPRODUCT(MAX(ROW(E$1:E894)*(E2=E$1:E894))))))</f>
        <v/>
      </c>
      <c r="K895" s="25" t="str">
        <f>IF(OR(E895="",E895="!!!",F895="NEW"),"",INDEX(J$1:J894,SUMPRODUCT(MAX(ROW(E$1:E894)*(E895=E$1:E894)))))</f>
        <v/>
      </c>
      <c r="L895" s="26"/>
    </row>
    <row r="896" spans="1:12" x14ac:dyDescent="0.3">
      <c r="A896" t="s">
        <v>675</v>
      </c>
      <c r="B896" s="20" t="s">
        <v>219</v>
      </c>
      <c r="C896" s="20" t="s">
        <v>197</v>
      </c>
      <c r="E896" s="21" t="str">
        <f t="shared" si="89"/>
        <v/>
      </c>
      <c r="F896" s="22" t="str">
        <f>IF(OR(E896="",E896="!!!"),"",IF(NOT(ISNA(VLOOKUP(E896,E$1:E895,1,FALSE()))),"OLD",IF(AND(E896&lt;&gt;"",E896&lt;&gt;"!!!"),"NEW","")))</f>
        <v/>
      </c>
      <c r="G896" s="23" t="str">
        <f>IF(OR(E896="",E896="!!!"),"",IF(OR(J896=0,AND(J896=1,K896=1),AND(J896=1,I896="SBJ"),AND(J896=1,I896=0)),"?IN_FOCUS",IF(J896&lt;=2,"?ACTIVATED",IF(J896&lt;&gt;"","?FAMILIAR",IF(F896="NEW",IF(ISNA(VLOOKUP(E896,#REF!,1,FALSE())),"?TYPE_IDENTIFIABLE","?REFERENTIAL"),"_")))))</f>
        <v/>
      </c>
      <c r="H896" s="24" t="str">
        <f t="shared" ca="1" si="88"/>
        <v/>
      </c>
      <c r="I896" s="25" t="str">
        <f>IF(OR(E896="",E896="!!!",F896="NEW"),"",INDEX(B$2:B895,-1+SUMPRODUCT(MAX(ROW(E$2:E895)*(E896=E$2:E895)))))</f>
        <v/>
      </c>
      <c r="J896" s="25" t="str">
        <f ca="1">IF(OR(E896="",E896="!!!",F896="NEW"),"",COUNTBLANK(OFFSET(A$1,,,SUMPRODUCT(MAX(ROW(E$2:E896)*(E896=E$2:E896)))))-COUNTBLANK(OFFSET(A$1,,,SUMPRODUCT(MAX(ROW(E$1:E895)*(E2=E$1:E895))))))</f>
        <v/>
      </c>
      <c r="K896" s="25" t="str">
        <f>IF(OR(E896="",E896="!!!",F896="NEW"),"",INDEX(J$1:J895,SUMPRODUCT(MAX(ROW(E$1:E895)*(E896=E$1:E895)))))</f>
        <v/>
      </c>
      <c r="L896" s="26"/>
    </row>
    <row r="897" spans="1:12" x14ac:dyDescent="0.3">
      <c r="A897" t="s">
        <v>676</v>
      </c>
      <c r="B897" s="20" t="s">
        <v>219</v>
      </c>
      <c r="C897" s="20" t="s">
        <v>328</v>
      </c>
      <c r="E897" s="21" t="str">
        <f t="shared" si="89"/>
        <v/>
      </c>
      <c r="F897" s="22" t="str">
        <f>IF(OR(E897="",E897="!!!"),"",IF(NOT(ISNA(VLOOKUP(E897,E$1:E896,1,FALSE()))),"OLD",IF(AND(E897&lt;&gt;"",E897&lt;&gt;"!!!"),"NEW","")))</f>
        <v/>
      </c>
      <c r="G897" s="23" t="str">
        <f>IF(OR(E897="",E897="!!!"),"",IF(OR(J897=0,AND(J897=1,K897=1),AND(J897=1,I897="SBJ"),AND(J897=1,I897=0)),"?IN_FOCUS",IF(J897&lt;=2,"?ACTIVATED",IF(J897&lt;&gt;"","?FAMILIAR",IF(F897="NEW",IF(ISNA(VLOOKUP(E897,#REF!,1,FALSE())),"?TYPE_IDENTIFIABLE","?REFERENTIAL"),"_")))))</f>
        <v/>
      </c>
      <c r="H897" s="24" t="str">
        <f t="shared" ca="1" si="88"/>
        <v/>
      </c>
      <c r="I897" s="25" t="str">
        <f>IF(OR(E897="",E897="!!!",F897="NEW"),"",INDEX(B$2:B896,-1+SUMPRODUCT(MAX(ROW(E$2:E896)*(E897=E$2:E896)))))</f>
        <v/>
      </c>
      <c r="J897" s="25" t="str">
        <f ca="1">IF(OR(E897="",E897="!!!",F897="NEW"),"",COUNTBLANK(OFFSET(A$1,,,SUMPRODUCT(MAX(ROW(E$2:E897)*(E897=E$2:E897)))))-COUNTBLANK(OFFSET(A$1,,,SUMPRODUCT(MAX(ROW(E$1:E896)*(E2=E$1:E896))))))</f>
        <v/>
      </c>
      <c r="K897" s="25" t="str">
        <f>IF(OR(E897="",E897="!!!",F897="NEW"),"",INDEX(J$1:J896,SUMPRODUCT(MAX(ROW(E$1:E896)*(E897=E$1:E896)))))</f>
        <v/>
      </c>
      <c r="L897" s="26"/>
    </row>
    <row r="898" spans="1:12" x14ac:dyDescent="0.3">
      <c r="A898" t="s">
        <v>476</v>
      </c>
      <c r="B898" s="20" t="s">
        <v>208</v>
      </c>
      <c r="C898" s="20" t="s">
        <v>657</v>
      </c>
      <c r="D898" s="20" t="s">
        <v>186</v>
      </c>
      <c r="E898" s="21" t="s">
        <v>759</v>
      </c>
      <c r="F898" s="22" t="str">
        <f>IF(OR(E898="",E898="!!!"),"",IF(NOT(ISNA(VLOOKUP(E898,E$1:E897,1,FALSE()))),"OLD",IF(AND(E898&lt;&gt;"",E898&lt;&gt;"!!!"),"NEW","")))</f>
        <v>OLD</v>
      </c>
      <c r="G898" s="23" t="s">
        <v>808</v>
      </c>
      <c r="H898" s="24" t="str">
        <f t="shared" ca="1" si="88"/>
        <v/>
      </c>
      <c r="I898" s="25">
        <f>IF(OR(E898="",E898="!!!",F898="NEW"),"",INDEX(B$2:B897,-1+SUMPRODUCT(MAX(ROW(E$2:E897)*(E898=E$2:E897)))))</f>
        <v>0</v>
      </c>
      <c r="J898" s="25">
        <f ca="1">IF(OR(E898="",E898="!!!",F898="NEW"),"",COUNTBLANK(OFFSET(A$1,,,SUMPRODUCT(MAX(ROW(E$2:E898)*(E898=E$2:E898)))))-COUNTBLANK(OFFSET(A$1,,,SUMPRODUCT(MAX(ROW(E$1:E897)*(E2=E$1:E897))))))</f>
        <v>0</v>
      </c>
      <c r="K898" s="25">
        <f ca="1">IF(OR(E898="",E898="!!!",F898="NEW"),"",INDEX(J$1:J897,SUMPRODUCT(MAX(ROW(E$1:E897)*(E898=E$1:E897)))))</f>
        <v>0</v>
      </c>
      <c r="L898" s="26"/>
    </row>
    <row r="899" spans="1:12" x14ac:dyDescent="0.3">
      <c r="A899" t="s">
        <v>429</v>
      </c>
      <c r="E899" s="21" t="str">
        <f t="shared" si="89"/>
        <v/>
      </c>
      <c r="F899" s="22" t="str">
        <f>IF(OR(E899="",E899="!!!"),"",IF(NOT(ISNA(VLOOKUP(E899,E$1:E898,1,FALSE()))),"OLD",IF(AND(E899&lt;&gt;"",E899&lt;&gt;"!!!"),"NEW","")))</f>
        <v/>
      </c>
      <c r="G899" s="23" t="str">
        <f>IF(OR(E899="",E899="!!!"),"",IF(OR(J899=0,AND(J899=1,K899=1),AND(J899=1,I899="SBJ"),AND(J899=1,I899=0)),"?IN_FOCUS",IF(J899&lt;=2,"?ACTIVATED",IF(J899&lt;&gt;"","?FAMILIAR",IF(F899="NEW",IF(ISNA(VLOOKUP(E899,#REF!,1,FALSE())),"?TYPE_IDENTIFIABLE","?REFERENTIAL"),"_")))))</f>
        <v/>
      </c>
      <c r="H899" s="24" t="str">
        <f t="shared" ca="1" si="88"/>
        <v/>
      </c>
      <c r="I899" s="25" t="str">
        <f>IF(OR(E899="",E899="!!!",F899="NEW"),"",INDEX(B$2:B898,-1+SUMPRODUCT(MAX(ROW(E$2:E898)*(E899=E$2:E898)))))</f>
        <v/>
      </c>
      <c r="J899" s="25" t="str">
        <f ca="1">IF(OR(E899="",E899="!!!",F899="NEW"),"",COUNTBLANK(OFFSET(A$1,,,SUMPRODUCT(MAX(ROW(E$2:E899)*(E899=E$2:E899)))))-COUNTBLANK(OFFSET(A$1,,,SUMPRODUCT(MAX(ROW(E$1:E898)*(E2=E$1:E898))))))</f>
        <v/>
      </c>
      <c r="K899" s="25" t="str">
        <f>IF(OR(E899="",E899="!!!",F899="NEW"),"",INDEX(J$1:J898,SUMPRODUCT(MAX(ROW(E$1:E898)*(E899=E$1:E898)))))</f>
        <v/>
      </c>
      <c r="L899" s="26"/>
    </row>
    <row r="900" spans="1:12" x14ac:dyDescent="0.3">
      <c r="A900" t="s">
        <v>218</v>
      </c>
      <c r="E900" s="21" t="str">
        <f t="shared" si="89"/>
        <v/>
      </c>
      <c r="F900" s="22" t="str">
        <f>IF(OR(E900="",E900="!!!"),"",IF(NOT(ISNA(VLOOKUP(E900,E$1:E899,1,FALSE()))),"OLD",IF(AND(E900&lt;&gt;"",E900&lt;&gt;"!!!"),"NEW","")))</f>
        <v/>
      </c>
      <c r="G900" s="23" t="str">
        <f>IF(OR(E900="",E900="!!!"),"",IF(OR(J900=0,AND(J900=1,K900=1),AND(J900=1,I900="SBJ"),AND(J900=1,I900=0)),"?IN_FOCUS",IF(J900&lt;=2,"?ACTIVATED",IF(J900&lt;&gt;"","?FAMILIAR",IF(F900="NEW",IF(ISNA(VLOOKUP(E900,#REF!,1,FALSE())),"?TYPE_IDENTIFIABLE","?REFERENTIAL"),"_")))))</f>
        <v/>
      </c>
      <c r="H900" s="24" t="str">
        <f t="shared" ca="1" si="88"/>
        <v/>
      </c>
      <c r="I900" s="25" t="str">
        <f>IF(OR(E900="",E900="!!!",F900="NEW"),"",INDEX(B$2:B899,-1+SUMPRODUCT(MAX(ROW(E$2:E899)*(E900=E$2:E899)))))</f>
        <v/>
      </c>
      <c r="J900" s="25" t="str">
        <f ca="1">IF(OR(E900="",E900="!!!",F900="NEW"),"",COUNTBLANK(OFFSET(A$1,,,SUMPRODUCT(MAX(ROW(E$2:E900)*(E900=E$2:E900)))))-COUNTBLANK(OFFSET(A$1,,,SUMPRODUCT(MAX(ROW(E$1:E899)*(E2=E$1:E899))))))</f>
        <v/>
      </c>
      <c r="K900" s="25" t="str">
        <f>IF(OR(E900="",E900="!!!",F900="NEW"),"",INDEX(J$1:J899,SUMPRODUCT(MAX(ROW(E$1:E899)*(E900=E$1:E899)))))</f>
        <v/>
      </c>
      <c r="L900" s="26"/>
    </row>
    <row r="901" spans="1:12" x14ac:dyDescent="0.3">
      <c r="A901" t="s">
        <v>677</v>
      </c>
      <c r="B901" s="20" t="s">
        <v>196</v>
      </c>
      <c r="C901" s="20" t="s">
        <v>216</v>
      </c>
      <c r="D901" s="20" t="s">
        <v>186</v>
      </c>
      <c r="E901" s="21" t="s">
        <v>777</v>
      </c>
      <c r="F901" s="22" t="str">
        <f>IF(OR(E901="",E901="!!!"),"",IF(NOT(ISNA(VLOOKUP(E901,E$1:E900,1,FALSE()))),"OLD",IF(AND(E901&lt;&gt;"",E901&lt;&gt;"!!!"),"NEW","")))</f>
        <v>OLD</v>
      </c>
      <c r="G901" s="23" t="s">
        <v>723</v>
      </c>
      <c r="H901" s="24" t="str">
        <f t="shared" ca="1" si="88"/>
        <v/>
      </c>
      <c r="I901" s="25" t="str">
        <f>IF(OR(E901="",E901="!!!",F901="NEW"),"",INDEX(B$2:B900,-1+SUMPRODUCT(MAX(ROW(E$2:E900)*(E901=E$2:E900)))))</f>
        <v>SBJ</v>
      </c>
      <c r="J901" s="25">
        <f ca="1">IF(OR(E901="",E901="!!!",F901="NEW"),"",COUNTBLANK(OFFSET(A$1,,,SUMPRODUCT(MAX(ROW(E$2:E901)*(E901=E$2:E901)))))-COUNTBLANK(OFFSET(A$1,,,SUMPRODUCT(MAX(ROW(E$1:E900)*(E2=E$1:E900))))))</f>
        <v>0</v>
      </c>
      <c r="K901" s="25">
        <f ca="1">IF(OR(E901="",E901="!!!",F901="NEW"),"",INDEX(J$1:J900,SUMPRODUCT(MAX(ROW(E$1:E900)*(E901=E$1:E900)))))</f>
        <v>0</v>
      </c>
      <c r="L901" s="26"/>
    </row>
    <row r="902" spans="1:12" x14ac:dyDescent="0.3">
      <c r="A902" t="s">
        <v>678</v>
      </c>
      <c r="E902" s="21" t="str">
        <f t="shared" si="89"/>
        <v/>
      </c>
      <c r="F902" s="22" t="str">
        <f>IF(OR(E902="",E902="!!!"),"",IF(NOT(ISNA(VLOOKUP(E902,E$1:E901,1,FALSE()))),"OLD",IF(AND(E902&lt;&gt;"",E902&lt;&gt;"!!!"),"NEW","")))</f>
        <v/>
      </c>
      <c r="G902" s="23" t="str">
        <f>IF(OR(E902="",E902="!!!"),"",IF(OR(J902=0,AND(J902=1,K902=1),AND(J902=1,I902="SBJ"),AND(J902=1,I902=0)),"?IN_FOCUS",IF(J902&lt;=2,"?ACTIVATED",IF(J902&lt;&gt;"","?FAMILIAR",IF(F902="NEW",IF(ISNA(VLOOKUP(E902,#REF!,1,FALSE())),"?TYPE_IDENTIFIABLE","?REFERENTIAL"),"_")))))</f>
        <v/>
      </c>
      <c r="H902" s="24" t="str">
        <f t="shared" ca="1" si="88"/>
        <v/>
      </c>
      <c r="I902" s="25" t="str">
        <f>IF(OR(E902="",E902="!!!",F902="NEW"),"",INDEX(B$2:B901,-1+SUMPRODUCT(MAX(ROW(E$2:E901)*(E902=E$2:E901)))))</f>
        <v/>
      </c>
      <c r="J902" s="25" t="str">
        <f ca="1">IF(OR(E902="",E902="!!!",F902="NEW"),"",COUNTBLANK(OFFSET(A$1,,,SUMPRODUCT(MAX(ROW(E$2:E902)*(E902=E$2:E902)))))-COUNTBLANK(OFFSET(A$1,,,SUMPRODUCT(MAX(ROW(E$1:E901)*(E2=E$1:E901))))))</f>
        <v/>
      </c>
      <c r="K902" s="25" t="str">
        <f>IF(OR(E902="",E902="!!!",F902="NEW"),"",INDEX(J$1:J901,SUMPRODUCT(MAX(ROW(E$1:E901)*(E902=E$1:E901)))))</f>
        <v/>
      </c>
      <c r="L902" s="26"/>
    </row>
    <row r="903" spans="1:12" x14ac:dyDescent="0.3">
      <c r="A903" t="s">
        <v>206</v>
      </c>
      <c r="E903" s="21" t="str">
        <f t="shared" si="89"/>
        <v/>
      </c>
      <c r="F903" s="22" t="str">
        <f>IF(OR(E903="",E903="!!!"),"",IF(NOT(ISNA(VLOOKUP(E903,E$1:E902,1,FALSE()))),"OLD",IF(AND(E903&lt;&gt;"",E903&lt;&gt;"!!!"),"NEW","")))</f>
        <v/>
      </c>
      <c r="G903" s="23" t="str">
        <f>IF(OR(E903="",E903="!!!"),"",IF(OR(J903=0,AND(J903=1,K903=1),AND(J903=1,I903="SBJ"),AND(J903=1,I903=0)),"?IN_FOCUS",IF(J903&lt;=2,"?ACTIVATED",IF(J903&lt;&gt;"","?FAMILIAR",IF(F903="NEW",IF(ISNA(VLOOKUP(E903,#REF!,1,FALSE())),"?TYPE_IDENTIFIABLE","?REFERENTIAL"),"_")))))</f>
        <v/>
      </c>
      <c r="H903" s="24" t="str">
        <f t="shared" ca="1" si="88"/>
        <v/>
      </c>
      <c r="I903" s="25" t="str">
        <f>IF(OR(E903="",E903="!!!",F903="NEW"),"",INDEX(B$2:B902,-1+SUMPRODUCT(MAX(ROW(E$2:E902)*(E903=E$2:E902)))))</f>
        <v/>
      </c>
      <c r="J903" s="25" t="str">
        <f ca="1">IF(OR(E903="",E903="!!!",F903="NEW"),"",COUNTBLANK(OFFSET(A$1,,,SUMPRODUCT(MAX(ROW(E$2:E903)*(E903=E$2:E903)))))-COUNTBLANK(OFFSET(A$1,,,SUMPRODUCT(MAX(ROW(E$1:E902)*(E2=E$1:E902))))))</f>
        <v/>
      </c>
      <c r="K903" s="25" t="str">
        <f>IF(OR(E903="",E903="!!!",F903="NEW"),"",INDEX(J$1:J902,SUMPRODUCT(MAX(ROW(E$1:E902)*(E903=E$1:E902)))))</f>
        <v/>
      </c>
      <c r="L903" s="26"/>
    </row>
    <row r="904" spans="1:12" x14ac:dyDescent="0.3">
      <c r="A904" t="s">
        <v>272</v>
      </c>
      <c r="E904" s="21" t="str">
        <f t="shared" si="89"/>
        <v/>
      </c>
      <c r="F904" s="22" t="str">
        <f>IF(OR(E904="",E904="!!!"),"",IF(NOT(ISNA(VLOOKUP(E904,E$1:E903,1,FALSE()))),"OLD",IF(AND(E904&lt;&gt;"",E904&lt;&gt;"!!!"),"NEW","")))</f>
        <v/>
      </c>
      <c r="G904" s="23" t="str">
        <f>IF(OR(E904="",E904="!!!"),"",IF(OR(J904=0,AND(J904=1,K904=1),AND(J904=1,I904="SBJ"),AND(J904=1,I904=0)),"?IN_FOCUS",IF(J904&lt;=2,"?ACTIVATED",IF(J904&lt;&gt;"","?FAMILIAR",IF(F904="NEW",IF(ISNA(VLOOKUP(E904,#REF!,1,FALSE())),"?TYPE_IDENTIFIABLE","?REFERENTIAL"),"_")))))</f>
        <v/>
      </c>
      <c r="H904" s="24" t="str">
        <f t="shared" ca="1" si="88"/>
        <v/>
      </c>
      <c r="I904" s="25" t="str">
        <f>IF(OR(E904="",E904="!!!",F904="NEW"),"",INDEX(B$2:B903,-1+SUMPRODUCT(MAX(ROW(E$2:E903)*(E904=E$2:E903)))))</f>
        <v/>
      </c>
      <c r="J904" s="25" t="str">
        <f ca="1">IF(OR(E904="",E904="!!!",F904="NEW"),"",COUNTBLANK(OFFSET(A$1,,,SUMPRODUCT(MAX(ROW(E$2:E904)*(E904=E$2:E904)))))-COUNTBLANK(OFFSET(A$1,,,SUMPRODUCT(MAX(ROW(E$1:E903)*(E2=E$1:E903))))))</f>
        <v/>
      </c>
      <c r="K904" s="25" t="str">
        <f>IF(OR(E904="",E904="!!!",F904="NEW"),"",INDEX(J$1:J903,SUMPRODUCT(MAX(ROW(E$1:E903)*(E904=E$1:E903)))))</f>
        <v/>
      </c>
      <c r="L904" s="26"/>
    </row>
    <row r="905" spans="1:12" x14ac:dyDescent="0.3">
      <c r="A905" t="s">
        <v>679</v>
      </c>
      <c r="B905" s="20" t="s">
        <v>352</v>
      </c>
      <c r="C905" s="20" t="s">
        <v>252</v>
      </c>
      <c r="D905" s="20" t="s">
        <v>186</v>
      </c>
      <c r="E905" s="21" t="s">
        <v>759</v>
      </c>
      <c r="F905" s="22" t="str">
        <f>IF(OR(E905="",E905="!!!"),"",IF(NOT(ISNA(VLOOKUP(E905,E$1:E904,1,FALSE()))),"OLD",IF(AND(E905&lt;&gt;"",E905&lt;&gt;"!!!"),"NEW","")))</f>
        <v>OLD</v>
      </c>
      <c r="G905" s="23" t="s">
        <v>809</v>
      </c>
      <c r="H905" s="24" t="str">
        <f t="shared" ca="1" si="88"/>
        <v/>
      </c>
      <c r="I905" s="25" t="str">
        <f>IF(OR(E905="",E905="!!!",F905="NEW"),"",INDEX(B$2:B904,-1+SUMPRODUCT(MAX(ROW(E$2:E904)*(E905=E$2:E904)))))</f>
        <v>SBJ_2</v>
      </c>
      <c r="J905" s="25">
        <f ca="1">IF(OR(E905="",E905="!!!",F905="NEW"),"",COUNTBLANK(OFFSET(A$1,,,SUMPRODUCT(MAX(ROW(E$2:E905)*(E905=E$2:E905)))))-COUNTBLANK(OFFSET(A$1,,,SUMPRODUCT(MAX(ROW(E$1:E904)*(E2=E$1:E904))))))</f>
        <v>0</v>
      </c>
      <c r="K905" s="25">
        <f ca="1">IF(OR(E905="",E905="!!!",F905="NEW"),"",INDEX(J$1:J904,SUMPRODUCT(MAX(ROW(E$1:E904)*(E905=E$1:E904)))))</f>
        <v>0</v>
      </c>
      <c r="L905" s="26"/>
    </row>
    <row r="906" spans="1:12" x14ac:dyDescent="0.3">
      <c r="A906" t="s">
        <v>361</v>
      </c>
      <c r="E906" s="21" t="str">
        <f t="shared" si="89"/>
        <v/>
      </c>
      <c r="F906" s="22" t="str">
        <f>IF(OR(E906="",E906="!!!"),"",IF(NOT(ISNA(VLOOKUP(E906,E$1:E905,1,FALSE()))),"OLD",IF(AND(E906&lt;&gt;"",E906&lt;&gt;"!!!"),"NEW","")))</f>
        <v/>
      </c>
      <c r="G906" s="23" t="str">
        <f>IF(OR(E906="",E906="!!!"),"",IF(OR(J906=0,AND(J906=1,K906=1),AND(J906=1,I906="SBJ"),AND(J906=1,I906=0)),"?IN_FOCUS",IF(J906&lt;=2,"?ACTIVATED",IF(J906&lt;&gt;"","?FAMILIAR",IF(F906="NEW",IF(ISNA(VLOOKUP(E906,#REF!,1,FALSE())),"?TYPE_IDENTIFIABLE","?REFERENTIAL"),"_")))))</f>
        <v/>
      </c>
      <c r="H906" s="24" t="str">
        <f t="shared" ca="1" si="88"/>
        <v/>
      </c>
      <c r="I906" s="25" t="str">
        <f>IF(OR(E906="",E906="!!!",F906="NEW"),"",INDEX(B$2:B905,-1+SUMPRODUCT(MAX(ROW(E$2:E905)*(E906=E$2:E905)))))</f>
        <v/>
      </c>
      <c r="J906" s="25" t="str">
        <f ca="1">IF(OR(E906="",E906="!!!",F906="NEW"),"",COUNTBLANK(OFFSET(A$1,,,SUMPRODUCT(MAX(ROW(E$2:E906)*(E906=E$2:E906)))))-COUNTBLANK(OFFSET(A$1,,,SUMPRODUCT(MAX(ROW(E$1:E905)*(E2=E$1:E905))))))</f>
        <v/>
      </c>
      <c r="K906" s="25" t="str">
        <f>IF(OR(E906="",E906="!!!",F906="NEW"),"",INDEX(J$1:J905,SUMPRODUCT(MAX(ROW(E$1:E905)*(E906=E$1:E905)))))</f>
        <v/>
      </c>
      <c r="L906" s="26"/>
    </row>
    <row r="907" spans="1:12" x14ac:dyDescent="0.3">
      <c r="A907" t="s">
        <v>680</v>
      </c>
      <c r="B907" s="20" t="s">
        <v>232</v>
      </c>
      <c r="C907" s="20" t="s">
        <v>216</v>
      </c>
      <c r="D907" s="20" t="s">
        <v>186</v>
      </c>
      <c r="E907" s="21" t="s">
        <v>767</v>
      </c>
      <c r="F907" s="22" t="str">
        <f>IF(OR(E907="",E907="!!!"),"",IF(NOT(ISNA(VLOOKUP(E907,E$1:E906,1,FALSE()))),"OLD",IF(AND(E907&lt;&gt;"",E907&lt;&gt;"!!!"),"NEW","")))</f>
        <v>OLD</v>
      </c>
      <c r="G907" s="23" t="s">
        <v>809</v>
      </c>
      <c r="H907" s="24" t="s">
        <v>178</v>
      </c>
      <c r="I907" s="25" t="str">
        <f>IF(OR(E907="",E907="!!!",F907="NEW"),"",INDEX(B$2:B906,-1+SUMPRODUCT(MAX(ROW(E$2:E906)*(E907=E$2:E906)))))</f>
        <v>SBJ</v>
      </c>
      <c r="J907" s="25">
        <f ca="1">IF(OR(E907="",E907="!!!",F907="NEW"),"",COUNTBLANK(OFFSET(A$1,,,SUMPRODUCT(MAX(ROW(E$2:E907)*(E907=E$2:E907)))))-COUNTBLANK(OFFSET(A$1,,,SUMPRODUCT(MAX(ROW(E$1:E906)*(E2=E$1:E906))))))</f>
        <v>0</v>
      </c>
      <c r="K907" s="25" t="str">
        <f ca="1">IF(OR(E907="",E907="!!!",F907="NEW"),"",INDEX(J$1:J906,SUMPRODUCT(MAX(ROW(E$1:E906)*(E907=E$1:E906)))))</f>
        <v/>
      </c>
      <c r="L907" s="26"/>
    </row>
    <row r="908" spans="1:12" x14ac:dyDescent="0.3">
      <c r="A908" t="s">
        <v>270</v>
      </c>
      <c r="E908" s="21" t="str">
        <f t="shared" si="89"/>
        <v/>
      </c>
      <c r="F908" s="22" t="str">
        <f>IF(OR(E908="",E908="!!!"),"",IF(NOT(ISNA(VLOOKUP(E908,E$1:E907,1,FALSE()))),"OLD",IF(AND(E908&lt;&gt;"",E908&lt;&gt;"!!!"),"NEW","")))</f>
        <v/>
      </c>
      <c r="G908" s="23" t="str">
        <f>IF(OR(E908="",E908="!!!"),"",IF(OR(J908=0,AND(J908=1,K908=1),AND(J908=1,I908="SBJ"),AND(J908=1,I908=0)),"?IN_FOCUS",IF(J908&lt;=2,"?ACTIVATED",IF(J908&lt;&gt;"","?FAMILIAR",IF(F908="NEW",IF(ISNA(VLOOKUP(E908,#REF!,1,FALSE())),"?TYPE_IDENTIFIABLE","?REFERENTIAL"),"_")))))</f>
        <v/>
      </c>
      <c r="H908" s="24" t="str">
        <f t="shared" ca="1" si="88"/>
        <v/>
      </c>
      <c r="I908" s="25" t="str">
        <f>IF(OR(E908="",E908="!!!",F908="NEW"),"",INDEX(B$2:B907,-1+SUMPRODUCT(MAX(ROW(E$2:E907)*(E908=E$2:E907)))))</f>
        <v/>
      </c>
      <c r="J908" s="25" t="str">
        <f ca="1">IF(OR(E908="",E908="!!!",F908="NEW"),"",COUNTBLANK(OFFSET(A$1,,,SUMPRODUCT(MAX(ROW(E$2:E908)*(E908=E$2:E908)))))-COUNTBLANK(OFFSET(A$1,,,SUMPRODUCT(MAX(ROW(E$1:E907)*(E2=E$1:E907))))))</f>
        <v/>
      </c>
      <c r="K908" s="25" t="str">
        <f>IF(OR(E908="",E908="!!!",F908="NEW"),"",INDEX(J$1:J907,SUMPRODUCT(MAX(ROW(E$1:E907)*(E908=E$1:E907)))))</f>
        <v/>
      </c>
      <c r="L908" s="26"/>
    </row>
    <row r="909" spans="1:12" x14ac:dyDescent="0.3">
      <c r="A909" t="s">
        <v>432</v>
      </c>
      <c r="E909" s="21" t="str">
        <f t="shared" si="89"/>
        <v/>
      </c>
      <c r="F909" s="22" t="str">
        <f>IF(OR(E909="",E909="!!!"),"",IF(NOT(ISNA(VLOOKUP(E909,E$1:E908,1,FALSE()))),"OLD",IF(AND(E909&lt;&gt;"",E909&lt;&gt;"!!!"),"NEW","")))</f>
        <v/>
      </c>
      <c r="G909" s="23" t="str">
        <f>IF(OR(E909="",E909="!!!"),"",IF(OR(J909=0,AND(J909=1,K909=1),AND(J909=1,I909="SBJ"),AND(J909=1,I909=0)),"?IN_FOCUS",IF(J909&lt;=2,"?ACTIVATED",IF(J909&lt;&gt;"","?FAMILIAR",IF(F909="NEW",IF(ISNA(VLOOKUP(E909,#REF!,1,FALSE())),"?TYPE_IDENTIFIABLE","?REFERENTIAL"),"_")))))</f>
        <v/>
      </c>
      <c r="H909" s="24" t="str">
        <f t="shared" ca="1" si="88"/>
        <v/>
      </c>
      <c r="I909" s="25" t="str">
        <f>IF(OR(E909="",E909="!!!",F909="NEW"),"",INDEX(B$2:B908,-1+SUMPRODUCT(MAX(ROW(E$2:E908)*(E909=E$2:E908)))))</f>
        <v/>
      </c>
      <c r="J909" s="25" t="str">
        <f ca="1">IF(OR(E909="",E909="!!!",F909="NEW"),"",COUNTBLANK(OFFSET(A$1,,,SUMPRODUCT(MAX(ROW(E$2:E909)*(E909=E$2:E909)))))-COUNTBLANK(OFFSET(A$1,,,SUMPRODUCT(MAX(ROW(E$1:E908)*(E2=E$1:E908))))))</f>
        <v/>
      </c>
      <c r="K909" s="25" t="str">
        <f>IF(OR(E909="",E909="!!!",F909="NEW"),"",INDEX(J$1:J908,SUMPRODUCT(MAX(ROW(E$1:E908)*(E909=E$1:E908)))))</f>
        <v/>
      </c>
      <c r="L909" s="26"/>
    </row>
    <row r="910" spans="1:12" x14ac:dyDescent="0.3">
      <c r="A910" t="s">
        <v>681</v>
      </c>
      <c r="E910" s="21" t="str">
        <f t="shared" si="89"/>
        <v/>
      </c>
      <c r="F910" s="22" t="str">
        <f>IF(OR(E910="",E910="!!!"),"",IF(NOT(ISNA(VLOOKUP(E910,E$1:E909,1,FALSE()))),"OLD",IF(AND(E910&lt;&gt;"",E910&lt;&gt;"!!!"),"NEW","")))</f>
        <v/>
      </c>
      <c r="G910" s="23" t="str">
        <f>IF(OR(E910="",E910="!!!"),"",IF(OR(J910=0,AND(J910=1,K910=1),AND(J910=1,I910="SBJ"),AND(J910=1,I910=0)),"?IN_FOCUS",IF(J910&lt;=2,"?ACTIVATED",IF(J910&lt;&gt;"","?FAMILIAR",IF(F910="NEW",IF(ISNA(VLOOKUP(E910,#REF!,1,FALSE())),"?TYPE_IDENTIFIABLE","?REFERENTIAL"),"_")))))</f>
        <v/>
      </c>
      <c r="H910" s="24" t="str">
        <f t="shared" ca="1" si="88"/>
        <v/>
      </c>
      <c r="I910" s="25" t="str">
        <f>IF(OR(E910="",E910="!!!",F910="NEW"),"",INDEX(B$2:B909,-1+SUMPRODUCT(MAX(ROW(E$2:E909)*(E910=E$2:E909)))))</f>
        <v/>
      </c>
      <c r="J910" s="25" t="str">
        <f ca="1">IF(OR(E910="",E910="!!!",F910="NEW"),"",COUNTBLANK(OFFSET(A$1,,,SUMPRODUCT(MAX(ROW(E$2:E910)*(E910=E$2:E910)))))-COUNTBLANK(OFFSET(A$1,,,SUMPRODUCT(MAX(ROW(E$1:E909)*(E2=E$1:E909))))))</f>
        <v/>
      </c>
      <c r="K910" s="25" t="str">
        <f>IF(OR(E910="",E910="!!!",F910="NEW"),"",INDEX(J$1:J909,SUMPRODUCT(MAX(ROW(E$1:E909)*(E910=E$1:E909)))))</f>
        <v/>
      </c>
      <c r="L910" s="26"/>
    </row>
    <row r="911" spans="1:12" x14ac:dyDescent="0.3">
      <c r="A911" t="s">
        <v>682</v>
      </c>
      <c r="E911" s="21" t="str">
        <f t="shared" si="89"/>
        <v/>
      </c>
      <c r="F911" s="22" t="str">
        <f>IF(OR(E911="",E911="!!!"),"",IF(NOT(ISNA(VLOOKUP(E911,E$1:E910,1,FALSE()))),"OLD",IF(AND(E911&lt;&gt;"",E911&lt;&gt;"!!!"),"NEW","")))</f>
        <v/>
      </c>
      <c r="G911" s="23" t="str">
        <f>IF(OR(E911="",E911="!!!"),"",IF(OR(J911=0,AND(J911=1,K911=1),AND(J911=1,I911="SBJ"),AND(J911=1,I911=0)),"?IN_FOCUS",IF(J911&lt;=2,"?ACTIVATED",IF(J911&lt;&gt;"","?FAMILIAR",IF(F911="NEW",IF(ISNA(VLOOKUP(E911,#REF!,1,FALSE())),"?TYPE_IDENTIFIABLE","?REFERENTIAL"),"_")))))</f>
        <v/>
      </c>
      <c r="H911" s="24" t="str">
        <f t="shared" ca="1" si="88"/>
        <v/>
      </c>
      <c r="I911" s="25" t="str">
        <f>IF(OR(E911="",E911="!!!",F911="NEW"),"",INDEX(B$2:B910,-1+SUMPRODUCT(MAX(ROW(E$2:E910)*(E911=E$2:E910)))))</f>
        <v/>
      </c>
      <c r="J911" s="25" t="str">
        <f ca="1">IF(OR(E911="",E911="!!!",F911="NEW"),"",COUNTBLANK(OFFSET(A$1,,,SUMPRODUCT(MAX(ROW(E$2:E911)*(E911=E$2:E911)))))-COUNTBLANK(OFFSET(A$1,,,SUMPRODUCT(MAX(ROW(E$1:E910)*(E2=E$1:E910))))))</f>
        <v/>
      </c>
      <c r="K911" s="25" t="str">
        <f>IF(OR(E911="",E911="!!!",F911="NEW"),"",INDEX(J$1:J910,SUMPRODUCT(MAX(ROW(E$1:E910)*(E911=E$1:E910)))))</f>
        <v/>
      </c>
      <c r="L911" s="26"/>
    </row>
    <row r="912" spans="1:12" x14ac:dyDescent="0.3">
      <c r="A912" t="s">
        <v>212</v>
      </c>
      <c r="E912" s="21" t="str">
        <f t="shared" si="89"/>
        <v/>
      </c>
      <c r="F912" s="22" t="str">
        <f>IF(OR(E912="",E912="!!!"),"",IF(NOT(ISNA(VLOOKUP(E912,E$1:E911,1,FALSE()))),"OLD",IF(AND(E912&lt;&gt;"",E912&lt;&gt;"!!!"),"NEW","")))</f>
        <v/>
      </c>
      <c r="G912" s="23" t="str">
        <f>IF(OR(E912="",E912="!!!"),"",IF(OR(J912=0,AND(J912=1,K912=1),AND(J912=1,I912="SBJ"),AND(J912=1,I912=0)),"?IN_FOCUS",IF(J912&lt;=2,"?ACTIVATED",IF(J912&lt;&gt;"","?FAMILIAR",IF(F912="NEW",IF(ISNA(VLOOKUP(E912,#REF!,1,FALSE())),"?TYPE_IDENTIFIABLE","?REFERENTIAL"),"_")))))</f>
        <v/>
      </c>
      <c r="H912" s="24" t="str">
        <f t="shared" ca="1" si="88"/>
        <v/>
      </c>
      <c r="I912" s="25" t="str">
        <f>IF(OR(E912="",E912="!!!",F912="NEW"),"",INDEX(B$2:B911,-1+SUMPRODUCT(MAX(ROW(E$2:E911)*(E912=E$2:E911)))))</f>
        <v/>
      </c>
      <c r="J912" s="25" t="str">
        <f ca="1">IF(OR(E912="",E912="!!!",F912="NEW"),"",COUNTBLANK(OFFSET(A$1,,,SUMPRODUCT(MAX(ROW(E$2:E912)*(E912=E$2:E912)))))-COUNTBLANK(OFFSET(A$1,,,SUMPRODUCT(MAX(ROW(E$1:E911)*(E2=E$1:E911))))))</f>
        <v/>
      </c>
      <c r="K912" s="25" t="str">
        <f>IF(OR(E912="",E912="!!!",F912="NEW"),"",INDEX(J$1:J911,SUMPRODUCT(MAX(ROW(E$1:E911)*(E912=E$1:E911)))))</f>
        <v/>
      </c>
      <c r="L912" s="26"/>
    </row>
    <row r="914" spans="1:12" x14ac:dyDescent="0.3">
      <c r="A914" t="s">
        <v>683</v>
      </c>
    </row>
    <row r="915" spans="1:12" x14ac:dyDescent="0.3">
      <c r="A915" t="s">
        <v>608</v>
      </c>
      <c r="E915" s="21" t="str">
        <f t="shared" ref="E915:E939" si="90">IF(D915="?OLD","!!!","")</f>
        <v/>
      </c>
      <c r="F915" s="22" t="str">
        <f>IF(OR(E915="",E915="!!!"),"",IF(NOT(ISNA(VLOOKUP(E915,E$1:E914,1,FALSE()))),"OLD",IF(AND(E915&lt;&gt;"",E915&lt;&gt;"!!!"),"NEW","")))</f>
        <v/>
      </c>
      <c r="G915" s="23" t="str">
        <f>IF(OR(E915="",E915="!!!"),"",IF(OR(J915=0,AND(J915=1,K915=1),AND(J915=1,I915="SBJ"),AND(J915=1,I915=0)),"?IN_FOCUS",IF(J915&lt;=2,"?ACTIVATED",IF(J915&lt;&gt;"","?FAMILIAR",IF(F915="NEW",IF(ISNA(VLOOKUP(E915,#REF!,1,FALSE())),"?TYPE_IDENTIFIABLE","?REFERENTIAL"),"_")))))</f>
        <v/>
      </c>
      <c r="H915" s="24" t="str">
        <f t="shared" ref="H915:H939" ca="1" si="91">IF(J915&lt;&gt;1,"",IF(I915="SBJ","CB","?"))</f>
        <v/>
      </c>
      <c r="I915" s="25" t="str">
        <f>IF(OR(E915="",E915="!!!",F915="NEW"),"",INDEX(B$2:B914,-1+SUMPRODUCT(MAX(ROW(E$2:E914)*(E915=E$2:E914)))))</f>
        <v/>
      </c>
      <c r="J915" s="25" t="str">
        <f ca="1">IF(OR(E915="",E915="!!!",F915="NEW"),"",COUNTBLANK(OFFSET(A$1,,,SUMPRODUCT(MAX(ROW(E$2:E915)*(E915=E$2:E915)))))-COUNTBLANK(OFFSET(A$1,,,SUMPRODUCT(MAX(ROW(E$1:E914)*(E2=E$1:E914))))))</f>
        <v/>
      </c>
      <c r="K915" s="25" t="str">
        <f>IF(OR(E915="",E915="!!!",F915="NEW"),"",INDEX(J$1:J914,SUMPRODUCT(MAX(ROW(E$1:E914)*(E915=E$1:E914)))))</f>
        <v/>
      </c>
      <c r="L915" s="26"/>
    </row>
    <row r="916" spans="1:12" x14ac:dyDescent="0.3">
      <c r="A916" t="s">
        <v>684</v>
      </c>
      <c r="B916" s="20" t="s">
        <v>201</v>
      </c>
      <c r="C916" s="20" t="s">
        <v>261</v>
      </c>
      <c r="D916" s="20" t="s">
        <v>186</v>
      </c>
      <c r="E916" s="21" t="s">
        <v>731</v>
      </c>
      <c r="F916" s="22" t="str">
        <f>IF(OR(E916="",E916="!!!"),"",IF(NOT(ISNA(VLOOKUP(E916,E$1:E915,1,FALSE()))),"OLD",IF(AND(E916&lt;&gt;"",E916&lt;&gt;"!!!"),"NEW","")))</f>
        <v>OLD</v>
      </c>
      <c r="G916" s="23" t="s">
        <v>809</v>
      </c>
      <c r="H916" s="24" t="str">
        <f t="shared" ca="1" si="91"/>
        <v/>
      </c>
      <c r="I916" s="25" t="str">
        <f>IF(OR(E916="",E916="!!!",F916="NEW"),"",INDEX(B$2:B915,-1+SUMPRODUCT(MAX(ROW(E$2:E915)*(E916=E$2:E915)))))</f>
        <v>OBJ</v>
      </c>
      <c r="J916" s="25">
        <f ca="1">IF(OR(E916="",E916="!!!",F916="NEW"),"",COUNTBLANK(OFFSET(A$1,,,SUMPRODUCT(MAX(ROW(E$2:E916)*(E916=E$2:E916)))))-COUNTBLANK(OFFSET(A$1,,,SUMPRODUCT(MAX(ROW(E$1:E915)*(E2=E$1:E915))))))</f>
        <v>0</v>
      </c>
      <c r="K916" s="25">
        <f ca="1">IF(OR(E916="",E916="!!!",F916="NEW"),"",INDEX(J$1:J915,SUMPRODUCT(MAX(ROW(E$1:E915)*(E916=E$1:E915)))))</f>
        <v>0</v>
      </c>
      <c r="L916" s="26"/>
    </row>
    <row r="917" spans="1:12" x14ac:dyDescent="0.3">
      <c r="A917" t="s">
        <v>218</v>
      </c>
      <c r="E917" s="21" t="str">
        <f t="shared" si="90"/>
        <v/>
      </c>
      <c r="F917" s="22" t="str">
        <f>IF(OR(E917="",E917="!!!"),"",IF(NOT(ISNA(VLOOKUP(E917,E$1:E916,1,FALSE()))),"OLD",IF(AND(E917&lt;&gt;"",E917&lt;&gt;"!!!"),"NEW","")))</f>
        <v/>
      </c>
      <c r="G917" s="23" t="str">
        <f>IF(OR(E917="",E917="!!!"),"",IF(OR(J917=0,AND(J917=1,K917=1),AND(J917=1,I917="SBJ"),AND(J917=1,I917=0)),"?IN_FOCUS",IF(J917&lt;=2,"?ACTIVATED",IF(J917&lt;&gt;"","?FAMILIAR",IF(F917="NEW",IF(ISNA(VLOOKUP(E917,#REF!,1,FALSE())),"?TYPE_IDENTIFIABLE","?REFERENTIAL"),"_")))))</f>
        <v/>
      </c>
      <c r="H917" s="24" t="str">
        <f t="shared" ca="1" si="91"/>
        <v/>
      </c>
      <c r="I917" s="25" t="str">
        <f>IF(OR(E917="",E917="!!!",F917="NEW"),"",INDEX(B$2:B916,-1+SUMPRODUCT(MAX(ROW(E$2:E916)*(E917=E$2:E916)))))</f>
        <v/>
      </c>
      <c r="J917" s="25" t="str">
        <f ca="1">IF(OR(E917="",E917="!!!",F917="NEW"),"",COUNTBLANK(OFFSET(A$1,,,SUMPRODUCT(MAX(ROW(E$2:E917)*(E917=E$2:E917)))))-COUNTBLANK(OFFSET(A$1,,,SUMPRODUCT(MAX(ROW(E$1:E916)*(E2=E$1:E916))))))</f>
        <v/>
      </c>
      <c r="K917" s="25" t="str">
        <f>IF(OR(E917="",E917="!!!",F917="NEW"),"",INDEX(J$1:J916,SUMPRODUCT(MAX(ROW(E$1:E916)*(E917=E$1:E916)))))</f>
        <v/>
      </c>
      <c r="L917" s="26"/>
    </row>
    <row r="918" spans="1:12" x14ac:dyDescent="0.3">
      <c r="A918" t="s">
        <v>188</v>
      </c>
      <c r="B918" s="20" t="s">
        <v>196</v>
      </c>
      <c r="C918" s="20" t="s">
        <v>185</v>
      </c>
      <c r="D918" s="20" t="s">
        <v>186</v>
      </c>
      <c r="E918" s="21" t="s">
        <v>722</v>
      </c>
      <c r="F918" s="22" t="str">
        <f>IF(OR(E918="",E918="!!!"),"",IF(NOT(ISNA(VLOOKUP(E918,E$1:E917,1,FALSE()))),"OLD",IF(AND(E918&lt;&gt;"",E918&lt;&gt;"!!!"),"NEW","")))</f>
        <v>OLD</v>
      </c>
      <c r="G918" s="23" t="s">
        <v>808</v>
      </c>
      <c r="H918" s="24" t="str">
        <f t="shared" ca="1" si="91"/>
        <v/>
      </c>
      <c r="I918" s="25" t="str">
        <f>IF(OR(E918="",E918="!!!",F918="NEW"),"",INDEX(B$2:B917,-1+SUMPRODUCT(MAX(ROW(E$2:E917)*(E918=E$2:E917)))))</f>
        <v>other_4</v>
      </c>
      <c r="J918" s="25">
        <f ca="1">IF(OR(E918="",E918="!!!",F918="NEW"),"",COUNTBLANK(OFFSET(A$1,,,SUMPRODUCT(MAX(ROW(E$2:E918)*(E918=E$2:E918)))))-COUNTBLANK(OFFSET(A$1,,,SUMPRODUCT(MAX(ROW(E$1:E917)*(E2=E$1:E917))))))</f>
        <v>0</v>
      </c>
      <c r="K918" s="25">
        <f ca="1">IF(OR(E918="",E918="!!!",F918="NEW"),"",INDEX(J$1:J917,SUMPRODUCT(MAX(ROW(E$1:E917)*(E918=E$1:E917)))))</f>
        <v>0</v>
      </c>
      <c r="L918" s="26"/>
    </row>
    <row r="919" spans="1:12" x14ac:dyDescent="0.3">
      <c r="A919" t="s">
        <v>685</v>
      </c>
      <c r="E919" s="21" t="str">
        <f t="shared" si="90"/>
        <v/>
      </c>
      <c r="F919" s="22" t="str">
        <f>IF(OR(E919="",E919="!!!"),"",IF(NOT(ISNA(VLOOKUP(E919,E$1:E918,1,FALSE()))),"OLD",IF(AND(E919&lt;&gt;"",E919&lt;&gt;"!!!"),"NEW","")))</f>
        <v/>
      </c>
      <c r="G919" s="23" t="str">
        <f>IF(OR(E919="",E919="!!!"),"",IF(OR(J919=0,AND(J919=1,K919=1),AND(J919=1,I919="SBJ"),AND(J919=1,I919=0)),"?IN_FOCUS",IF(J919&lt;=2,"?ACTIVATED",IF(J919&lt;&gt;"","?FAMILIAR",IF(F919="NEW",IF(ISNA(VLOOKUP(E919,#REF!,1,FALSE())),"?TYPE_IDENTIFIABLE","?REFERENTIAL"),"_")))))</f>
        <v/>
      </c>
      <c r="H919" s="24" t="str">
        <f t="shared" ca="1" si="91"/>
        <v/>
      </c>
      <c r="I919" s="25" t="str">
        <f>IF(OR(E919="",E919="!!!",F919="NEW"),"",INDEX(B$2:B918,-1+SUMPRODUCT(MAX(ROW(E$2:E918)*(E919=E$2:E918)))))</f>
        <v/>
      </c>
      <c r="J919" s="25" t="str">
        <f ca="1">IF(OR(E919="",E919="!!!",F919="NEW"),"",COUNTBLANK(OFFSET(A$1,,,SUMPRODUCT(MAX(ROW(E$2:E919)*(E919=E$2:E919)))))-COUNTBLANK(OFFSET(A$1,,,SUMPRODUCT(MAX(ROW(E$1:E918)*(E2=E$1:E918))))))</f>
        <v/>
      </c>
      <c r="K919" s="25" t="str">
        <f>IF(OR(E919="",E919="!!!",F919="NEW"),"",INDEX(J$1:J918,SUMPRODUCT(MAX(ROW(E$1:E918)*(E919=E$1:E918)))))</f>
        <v/>
      </c>
      <c r="L919" s="26"/>
    </row>
    <row r="920" spans="1:12" x14ac:dyDescent="0.3">
      <c r="A920" t="s">
        <v>320</v>
      </c>
      <c r="B920" s="20" t="s">
        <v>201</v>
      </c>
      <c r="C920" s="20" t="s">
        <v>202</v>
      </c>
      <c r="D920" s="20" t="s">
        <v>186</v>
      </c>
      <c r="E920" s="21"/>
      <c r="F920" s="22" t="s">
        <v>751</v>
      </c>
      <c r="G920" s="23" t="str">
        <f>IF(OR(E920="",E920="!!!"),"",IF(OR(J920=0,AND(J920=1,K920=1),AND(J920=1,I920="SBJ"),AND(J920=1,I920=0)),"?IN_FOCUS",IF(J920&lt;=2,"?ACTIVATED",IF(J920&lt;&gt;"","?FAMILIAR",IF(F920="NEW",IF(ISNA(VLOOKUP(E920,#REF!,1,FALSE())),"?TYPE_IDENTIFIABLE","?REFERENTIAL"),"_")))))</f>
        <v/>
      </c>
      <c r="H920" s="24" t="str">
        <f t="shared" ca="1" si="91"/>
        <v/>
      </c>
      <c r="I920" s="25" t="str">
        <f>IF(OR(E920="",E920="!!!",F920="NEW"),"",INDEX(B$2:B919,-1+SUMPRODUCT(MAX(ROW(E$2:E919)*(E920=E$2:E919)))))</f>
        <v/>
      </c>
      <c r="J920" s="25" t="str">
        <f ca="1">IF(OR(E920="",E920="!!!",F920="NEW"),"",COUNTBLANK(OFFSET(A$1,,,SUMPRODUCT(MAX(ROW(E$2:E920)*(E920=E$2:E920)))))-COUNTBLANK(OFFSET(A$1,,,SUMPRODUCT(MAX(ROW(E$1:E919)*(E2=E$1:E919))))))</f>
        <v/>
      </c>
      <c r="K920" s="25" t="str">
        <f>IF(OR(E920="",E920="!!!",F920="NEW"),"",INDEX(J$1:J919,SUMPRODUCT(MAX(ROW(E$1:E919)*(E920=E$1:E919)))))</f>
        <v/>
      </c>
      <c r="L920" s="26"/>
    </row>
    <row r="921" spans="1:12" x14ac:dyDescent="0.3">
      <c r="A921" t="s">
        <v>686</v>
      </c>
      <c r="E921" s="21" t="str">
        <f t="shared" si="90"/>
        <v/>
      </c>
      <c r="F921" s="22" t="str">
        <f>IF(OR(E921="",E921="!!!"),"",IF(NOT(ISNA(VLOOKUP(E921,E$1:E920,1,FALSE()))),"OLD",IF(AND(E921&lt;&gt;"",E921&lt;&gt;"!!!"),"NEW","")))</f>
        <v/>
      </c>
      <c r="G921" s="23" t="str">
        <f>IF(OR(E921="",E921="!!!"),"",IF(OR(J921=0,AND(J921=1,K921=1),AND(J921=1,I921="SBJ"),AND(J921=1,I921=0)),"?IN_FOCUS",IF(J921&lt;=2,"?ACTIVATED",IF(J921&lt;&gt;"","?FAMILIAR",IF(F921="NEW",IF(ISNA(VLOOKUP(E921,#REF!,1,FALSE())),"?TYPE_IDENTIFIABLE","?REFERENTIAL"),"_")))))</f>
        <v/>
      </c>
      <c r="H921" s="24" t="str">
        <f t="shared" ca="1" si="91"/>
        <v/>
      </c>
      <c r="I921" s="25" t="str">
        <f>IF(OR(E921="",E921="!!!",F921="NEW"),"",INDEX(B$2:B920,-1+SUMPRODUCT(MAX(ROW(E$2:E920)*(E921=E$2:E920)))))</f>
        <v/>
      </c>
      <c r="J921" s="25" t="str">
        <f ca="1">IF(OR(E921="",E921="!!!",F921="NEW"),"",COUNTBLANK(OFFSET(A$1,,,SUMPRODUCT(MAX(ROW(E$2:E921)*(E921=E$2:E921)))))-COUNTBLANK(OFFSET(A$1,,,SUMPRODUCT(MAX(ROW(E$1:E920)*(E2=E$1:E920))))))</f>
        <v/>
      </c>
      <c r="K921" s="25" t="str">
        <f>IF(OR(E921="",E921="!!!",F921="NEW"),"",INDEX(J$1:J920,SUMPRODUCT(MAX(ROW(E$1:E920)*(E921=E$1:E920)))))</f>
        <v/>
      </c>
      <c r="L921" s="26"/>
    </row>
    <row r="922" spans="1:12" x14ac:dyDescent="0.3">
      <c r="A922" t="s">
        <v>429</v>
      </c>
      <c r="E922" s="21" t="str">
        <f t="shared" si="90"/>
        <v/>
      </c>
      <c r="F922" s="22" t="str">
        <f>IF(OR(E922="",E922="!!!"),"",IF(NOT(ISNA(VLOOKUP(E922,E$1:E921,1,FALSE()))),"OLD",IF(AND(E922&lt;&gt;"",E922&lt;&gt;"!!!"),"NEW","")))</f>
        <v/>
      </c>
      <c r="G922" s="23" t="str">
        <f>IF(OR(E922="",E922="!!!"),"",IF(OR(J922=0,AND(J922=1,K922=1),AND(J922=1,I922="SBJ"),AND(J922=1,I922=0)),"?IN_FOCUS",IF(J922&lt;=2,"?ACTIVATED",IF(J922&lt;&gt;"","?FAMILIAR",IF(F922="NEW",IF(ISNA(VLOOKUP(E922,#REF!,1,FALSE())),"?TYPE_IDENTIFIABLE","?REFERENTIAL"),"_")))))</f>
        <v/>
      </c>
      <c r="H922" s="24" t="str">
        <f t="shared" ca="1" si="91"/>
        <v/>
      </c>
      <c r="I922" s="25" t="str">
        <f>IF(OR(E922="",E922="!!!",F922="NEW"),"",INDEX(B$2:B921,-1+SUMPRODUCT(MAX(ROW(E$2:E921)*(E922=E$2:E921)))))</f>
        <v/>
      </c>
      <c r="J922" s="25" t="str">
        <f ca="1">IF(OR(E922="",E922="!!!",F922="NEW"),"",COUNTBLANK(OFFSET(A$1,,,SUMPRODUCT(MAX(ROW(E$2:E922)*(E922=E$2:E922)))))-COUNTBLANK(OFFSET(A$1,,,SUMPRODUCT(MAX(ROW(E$1:E921)*(E2=E$1:E921))))))</f>
        <v/>
      </c>
      <c r="K922" s="25" t="str">
        <f>IF(OR(E922="",E922="!!!",F922="NEW"),"",INDEX(J$1:J921,SUMPRODUCT(MAX(ROW(E$1:E921)*(E922=E$1:E921)))))</f>
        <v/>
      </c>
      <c r="L922" s="26"/>
    </row>
    <row r="923" spans="1:12" x14ac:dyDescent="0.3">
      <c r="A923" t="s">
        <v>204</v>
      </c>
      <c r="E923" s="21" t="str">
        <f t="shared" si="90"/>
        <v/>
      </c>
      <c r="F923" s="22" t="str">
        <f>IF(OR(E923="",E923="!!!"),"",IF(NOT(ISNA(VLOOKUP(E923,E$1:E922,1,FALSE()))),"OLD",IF(AND(E923&lt;&gt;"",E923&lt;&gt;"!!!"),"NEW","")))</f>
        <v/>
      </c>
      <c r="G923" s="23" t="str">
        <f>IF(OR(E923="",E923="!!!"),"",IF(OR(J923=0,AND(J923=1,K923=1),AND(J923=1,I923="SBJ"),AND(J923=1,I923=0)),"?IN_FOCUS",IF(J923&lt;=2,"?ACTIVATED",IF(J923&lt;&gt;"","?FAMILIAR",IF(F923="NEW",IF(ISNA(VLOOKUP(E923,#REF!,1,FALSE())),"?TYPE_IDENTIFIABLE","?REFERENTIAL"),"_")))))</f>
        <v/>
      </c>
      <c r="H923" s="24" t="str">
        <f t="shared" ca="1" si="91"/>
        <v/>
      </c>
      <c r="I923" s="25" t="str">
        <f>IF(OR(E923="",E923="!!!",F923="NEW"),"",INDEX(B$2:B922,-1+SUMPRODUCT(MAX(ROW(E$2:E922)*(E923=E$2:E922)))))</f>
        <v/>
      </c>
      <c r="J923" s="25" t="str">
        <f ca="1">IF(OR(E923="",E923="!!!",F923="NEW"),"",COUNTBLANK(OFFSET(A$1,,,SUMPRODUCT(MAX(ROW(E$2:E923)*(E923=E$2:E923)))))-COUNTBLANK(OFFSET(A$1,,,SUMPRODUCT(MAX(ROW(E$1:E922)*(E2=E$1:E922))))))</f>
        <v/>
      </c>
      <c r="K923" s="25" t="str">
        <f>IF(OR(E923="",E923="!!!",F923="NEW"),"",INDEX(J$1:J922,SUMPRODUCT(MAX(ROW(E$1:E922)*(E923=E$1:E922)))))</f>
        <v/>
      </c>
      <c r="L923" s="26"/>
    </row>
    <row r="924" spans="1:12" x14ac:dyDescent="0.3">
      <c r="A924" t="s">
        <v>687</v>
      </c>
      <c r="B924" s="20" t="s">
        <v>196</v>
      </c>
      <c r="C924" s="20" t="s">
        <v>193</v>
      </c>
      <c r="E924" s="21" t="str">
        <f t="shared" si="90"/>
        <v/>
      </c>
      <c r="F924" s="22" t="str">
        <f>IF(OR(E924="",E924="!!!"),"",IF(NOT(ISNA(VLOOKUP(E924,E$1:E923,1,FALSE()))),"OLD",IF(AND(E924&lt;&gt;"",E924&lt;&gt;"!!!"),"NEW","")))</f>
        <v/>
      </c>
      <c r="G924" s="23" t="str">
        <f>IF(OR(E924="",E924="!!!"),"",IF(OR(J924=0,AND(J924=1,K924=1),AND(J924=1,I924="SBJ"),AND(J924=1,I924=0)),"?IN_FOCUS",IF(J924&lt;=2,"?ACTIVATED",IF(J924&lt;&gt;"","?FAMILIAR",IF(F924="NEW",IF(ISNA(VLOOKUP(E924,#REF!,1,FALSE())),"?TYPE_IDENTIFIABLE","?REFERENTIAL"),"_")))))</f>
        <v/>
      </c>
      <c r="H924" s="24" t="str">
        <f t="shared" ca="1" si="91"/>
        <v/>
      </c>
      <c r="I924" s="25" t="str">
        <f>IF(OR(E924="",E924="!!!",F924="NEW"),"",INDEX(B$2:B923,-1+SUMPRODUCT(MAX(ROW(E$2:E923)*(E924=E$2:E923)))))</f>
        <v/>
      </c>
      <c r="J924" s="25" t="str">
        <f ca="1">IF(OR(E924="",E924="!!!",F924="NEW"),"",COUNTBLANK(OFFSET(A$1,,,SUMPRODUCT(MAX(ROW(E$2:E924)*(E924=E$2:E924)))))-COUNTBLANK(OFFSET(A$1,,,SUMPRODUCT(MAX(ROW(E$1:E923)*(E2=E$1:E923))))))</f>
        <v/>
      </c>
      <c r="K924" s="25" t="str">
        <f>IF(OR(E924="",E924="!!!",F924="NEW"),"",INDEX(J$1:J923,SUMPRODUCT(MAX(ROW(E$1:E923)*(E924=E$1:E923)))))</f>
        <v/>
      </c>
      <c r="L924" s="26"/>
    </row>
    <row r="925" spans="1:12" x14ac:dyDescent="0.3">
      <c r="A925" t="s">
        <v>589</v>
      </c>
      <c r="E925" s="21" t="str">
        <f t="shared" si="90"/>
        <v/>
      </c>
      <c r="F925" s="22" t="str">
        <f>IF(OR(E925="",E925="!!!"),"",IF(NOT(ISNA(VLOOKUP(E925,E$1:E924,1,FALSE()))),"OLD",IF(AND(E925&lt;&gt;"",E925&lt;&gt;"!!!"),"NEW","")))</f>
        <v/>
      </c>
      <c r="G925" s="23" t="str">
        <f>IF(OR(E925="",E925="!!!"),"",IF(OR(J925=0,AND(J925=1,K925=1),AND(J925=1,I925="SBJ"),AND(J925=1,I925=0)),"?IN_FOCUS",IF(J925&lt;=2,"?ACTIVATED",IF(J925&lt;&gt;"","?FAMILIAR",IF(F925="NEW",IF(ISNA(VLOOKUP(E925,#REF!,1,FALSE())),"?TYPE_IDENTIFIABLE","?REFERENTIAL"),"_")))))</f>
        <v/>
      </c>
      <c r="H925" s="24" t="str">
        <f t="shared" ca="1" si="91"/>
        <v/>
      </c>
      <c r="I925" s="25" t="str">
        <f>IF(OR(E925="",E925="!!!",F925="NEW"),"",INDEX(B$2:B924,-1+SUMPRODUCT(MAX(ROW(E$2:E924)*(E925=E$2:E924)))))</f>
        <v/>
      </c>
      <c r="J925" s="25" t="str">
        <f ca="1">IF(OR(E925="",E925="!!!",F925="NEW"),"",COUNTBLANK(OFFSET(A$1,,,SUMPRODUCT(MAX(ROW(E$2:E925)*(E925=E$2:E925)))))-COUNTBLANK(OFFSET(A$1,,,SUMPRODUCT(MAX(ROW(E$1:E924)*(E2=E$1:E924))))))</f>
        <v/>
      </c>
      <c r="K925" s="25" t="str">
        <f>IF(OR(E925="",E925="!!!",F925="NEW"),"",INDEX(J$1:J924,SUMPRODUCT(MAX(ROW(E$1:E924)*(E925=E$1:E924)))))</f>
        <v/>
      </c>
      <c r="L925" s="26"/>
    </row>
    <row r="926" spans="1:12" x14ac:dyDescent="0.3">
      <c r="A926" t="s">
        <v>688</v>
      </c>
      <c r="E926" s="21" t="s">
        <v>759</v>
      </c>
      <c r="F926" s="22" t="str">
        <f>IF(OR(E926="",E926="!!!"),"",IF(NOT(ISNA(VLOOKUP(E926,E$1:E925,1,FALSE()))),"OLD",IF(AND(E926&lt;&gt;"",E926&lt;&gt;"!!!"),"NEW","")))</f>
        <v>OLD</v>
      </c>
      <c r="G926" s="23" t="s">
        <v>809</v>
      </c>
      <c r="H926" s="24" t="s">
        <v>178</v>
      </c>
      <c r="I926" s="25" t="str">
        <f>IF(OR(E926="",E926="!!!",F926="NEW"),"",INDEX(B$2:B925,-1+SUMPRODUCT(MAX(ROW(E$2:E925)*(E926=E$2:E925)))))</f>
        <v>SBJ_3</v>
      </c>
      <c r="J926" s="25">
        <f ca="1">IF(OR(E926="",E926="!!!",F926="NEW"),"",COUNTBLANK(OFFSET(A$1,,,SUMPRODUCT(MAX(ROW(E$2:E926)*(E926=E$2:E926)))))-COUNTBLANK(OFFSET(A$1,,,SUMPRODUCT(MAX(ROW(E$1:E925)*(E2=E$1:E925))))))</f>
        <v>0</v>
      </c>
      <c r="K926" s="25">
        <f ca="1">IF(OR(E926="",E926="!!!",F926="NEW"),"",INDEX(J$1:J925,SUMPRODUCT(MAX(ROW(E$1:E925)*(E926=E$1:E925)))))</f>
        <v>0</v>
      </c>
      <c r="L926" s="26"/>
    </row>
    <row r="927" spans="1:12" x14ac:dyDescent="0.3">
      <c r="A927" t="s">
        <v>656</v>
      </c>
      <c r="B927" s="20" t="s">
        <v>219</v>
      </c>
      <c r="C927" s="20" t="s">
        <v>257</v>
      </c>
      <c r="E927" s="21" t="s">
        <v>770</v>
      </c>
      <c r="F927" s="22" t="str">
        <f>IF(OR(E927="",E927="!!!"),"",IF(NOT(ISNA(VLOOKUP(E927,E$1:E926,1,FALSE()))),"OLD",IF(AND(E927&lt;&gt;"",E927&lt;&gt;"!!!"),"NEW","")))</f>
        <v>OLD</v>
      </c>
      <c r="G927" s="23" t="s">
        <v>723</v>
      </c>
      <c r="H927" s="24" t="str">
        <f t="shared" ca="1" si="91"/>
        <v/>
      </c>
      <c r="I927" s="25" t="str">
        <f>IF(OR(E927="",E927="!!!",F927="NEW"),"",INDEX(B$2:B926,-1+SUMPRODUCT(MAX(ROW(E$2:E926)*(E927=E$2:E926)))))</f>
        <v>SBJ</v>
      </c>
      <c r="J927" s="25">
        <f ca="1">IF(OR(E927="",E927="!!!",F927="NEW"),"",COUNTBLANK(OFFSET(A$1,,,SUMPRODUCT(MAX(ROW(E$2:E927)*(E927=E$2:E927)))))-COUNTBLANK(OFFSET(A$1,,,SUMPRODUCT(MAX(ROW(E$1:E926)*(E2=E$1:E926))))))</f>
        <v>0</v>
      </c>
      <c r="K927" s="25" t="str">
        <f ca="1">IF(OR(E927="",E927="!!!",F927="NEW"),"",INDEX(J$1:J926,SUMPRODUCT(MAX(ROW(E$1:E926)*(E927=E$1:E926)))))</f>
        <v/>
      </c>
      <c r="L927" s="26"/>
    </row>
    <row r="928" spans="1:12" x14ac:dyDescent="0.3">
      <c r="A928" t="s">
        <v>228</v>
      </c>
      <c r="E928" s="21" t="str">
        <f t="shared" si="90"/>
        <v/>
      </c>
      <c r="F928" s="22" t="str">
        <f>IF(OR(E928="",E928="!!!"),"",IF(NOT(ISNA(VLOOKUP(E928,E$1:E927,1,FALSE()))),"OLD",IF(AND(E928&lt;&gt;"",E928&lt;&gt;"!!!"),"NEW","")))</f>
        <v/>
      </c>
      <c r="G928" s="23" t="str">
        <f>IF(OR(E928="",E928="!!!"),"",IF(OR(J928=0,AND(J928=1,K928=1),AND(J928=1,I928="SBJ"),AND(J928=1,I928=0)),"?IN_FOCUS",IF(J928&lt;=2,"?ACTIVATED",IF(J928&lt;&gt;"","?FAMILIAR",IF(F928="NEW",IF(ISNA(VLOOKUP(E928,#REF!,1,FALSE())),"?TYPE_IDENTIFIABLE","?REFERENTIAL"),"_")))))</f>
        <v/>
      </c>
      <c r="H928" s="24" t="str">
        <f t="shared" ca="1" si="91"/>
        <v/>
      </c>
      <c r="I928" s="25" t="str">
        <f>IF(OR(E928="",E928="!!!",F928="NEW"),"",INDEX(B$2:B927,-1+SUMPRODUCT(MAX(ROW(E$2:E927)*(E928=E$2:E927)))))</f>
        <v/>
      </c>
      <c r="J928" s="25" t="str">
        <f ca="1">IF(OR(E928="",E928="!!!",F928="NEW"),"",COUNTBLANK(OFFSET(A$1,,,SUMPRODUCT(MAX(ROW(E$2:E928)*(E928=E$2:E928)))))-COUNTBLANK(OFFSET(A$1,,,SUMPRODUCT(MAX(ROW(E$1:E927)*(E2=E$1:E927))))))</f>
        <v/>
      </c>
      <c r="K928" s="25" t="str">
        <f>IF(OR(E928="",E928="!!!",F928="NEW"),"",INDEX(J$1:J927,SUMPRODUCT(MAX(ROW(E$1:E927)*(E928=E$1:E927)))))</f>
        <v/>
      </c>
      <c r="L928" s="26"/>
    </row>
    <row r="929" spans="1:12" x14ac:dyDescent="0.3">
      <c r="A929" t="s">
        <v>689</v>
      </c>
      <c r="E929" s="21" t="str">
        <f t="shared" si="90"/>
        <v/>
      </c>
      <c r="F929" s="22" t="str">
        <f>IF(OR(E929="",E929="!!!"),"",IF(NOT(ISNA(VLOOKUP(E929,E$1:E928,1,FALSE()))),"OLD",IF(AND(E929&lt;&gt;"",E929&lt;&gt;"!!!"),"NEW","")))</f>
        <v/>
      </c>
      <c r="G929" s="23" t="str">
        <f>IF(OR(E929="",E929="!!!"),"",IF(OR(J929=0,AND(J929=1,K929=1),AND(J929=1,I929="SBJ"),AND(J929=1,I929=0)),"?IN_FOCUS",IF(J929&lt;=2,"?ACTIVATED",IF(J929&lt;&gt;"","?FAMILIAR",IF(F929="NEW",IF(ISNA(VLOOKUP(E929,#REF!,1,FALSE())),"?TYPE_IDENTIFIABLE","?REFERENTIAL"),"_")))))</f>
        <v/>
      </c>
      <c r="H929" s="24" t="str">
        <f t="shared" ca="1" si="91"/>
        <v/>
      </c>
      <c r="I929" s="25" t="str">
        <f>IF(OR(E929="",E929="!!!",F929="NEW"),"",INDEX(B$2:B928,-1+SUMPRODUCT(MAX(ROW(E$2:E928)*(E929=E$2:E928)))))</f>
        <v/>
      </c>
      <c r="J929" s="25" t="str">
        <f ca="1">IF(OR(E929="",E929="!!!",F929="NEW"),"",COUNTBLANK(OFFSET(A$1,,,SUMPRODUCT(MAX(ROW(E$2:E929)*(E929=E$2:E929)))))-COUNTBLANK(OFFSET(A$1,,,SUMPRODUCT(MAX(ROW(E$1:E928)*(E2=E$1:E928))))))</f>
        <v/>
      </c>
      <c r="K929" s="25" t="str">
        <f>IF(OR(E929="",E929="!!!",F929="NEW"),"",INDEX(J$1:J928,SUMPRODUCT(MAX(ROW(E$1:E928)*(E929=E$1:E928)))))</f>
        <v/>
      </c>
      <c r="L929" s="26"/>
    </row>
    <row r="930" spans="1:12" x14ac:dyDescent="0.3">
      <c r="A930" t="s">
        <v>206</v>
      </c>
      <c r="E930" s="21" t="str">
        <f t="shared" si="90"/>
        <v/>
      </c>
      <c r="F930" s="22" t="str">
        <f>IF(OR(E930="",E930="!!!"),"",IF(NOT(ISNA(VLOOKUP(E930,E$1:E929,1,FALSE()))),"OLD",IF(AND(E930&lt;&gt;"",E930&lt;&gt;"!!!"),"NEW","")))</f>
        <v/>
      </c>
      <c r="G930" s="23" t="str">
        <f>IF(OR(E930="",E930="!!!"),"",IF(OR(J930=0,AND(J930=1,K930=1),AND(J930=1,I930="SBJ"),AND(J930=1,I930=0)),"?IN_FOCUS",IF(J930&lt;=2,"?ACTIVATED",IF(J930&lt;&gt;"","?FAMILIAR",IF(F930="NEW",IF(ISNA(VLOOKUP(E930,#REF!,1,FALSE())),"?TYPE_IDENTIFIABLE","?REFERENTIAL"),"_")))))</f>
        <v/>
      </c>
      <c r="H930" s="24" t="str">
        <f t="shared" ca="1" si="91"/>
        <v/>
      </c>
      <c r="I930" s="25" t="str">
        <f>IF(OR(E930="",E930="!!!",F930="NEW"),"",INDEX(B$2:B929,-1+SUMPRODUCT(MAX(ROW(E$2:E929)*(E930=E$2:E929)))))</f>
        <v/>
      </c>
      <c r="J930" s="25" t="str">
        <f ca="1">IF(OR(E930="",E930="!!!",F930="NEW"),"",COUNTBLANK(OFFSET(A$1,,,SUMPRODUCT(MAX(ROW(E$2:E930)*(E930=E$2:E930)))))-COUNTBLANK(OFFSET(A$1,,,SUMPRODUCT(MAX(ROW(E$1:E929)*(E2=E$1:E929))))))</f>
        <v/>
      </c>
      <c r="K930" s="25" t="str">
        <f>IF(OR(E930="",E930="!!!",F930="NEW"),"",INDEX(J$1:J929,SUMPRODUCT(MAX(ROW(E$1:E929)*(E930=E$1:E929)))))</f>
        <v/>
      </c>
      <c r="L930" s="26"/>
    </row>
    <row r="931" spans="1:12" x14ac:dyDescent="0.3">
      <c r="A931" t="s">
        <v>690</v>
      </c>
      <c r="E931" s="21" t="str">
        <f t="shared" si="90"/>
        <v/>
      </c>
      <c r="F931" s="22" t="str">
        <f>IF(OR(E931="",E931="!!!"),"",IF(NOT(ISNA(VLOOKUP(E931,E$1:E930,1,FALSE()))),"OLD",IF(AND(E931&lt;&gt;"",E931&lt;&gt;"!!!"),"NEW","")))</f>
        <v/>
      </c>
      <c r="G931" s="23" t="str">
        <f>IF(OR(E931="",E931="!!!"),"",IF(OR(J931=0,AND(J931=1,K931=1),AND(J931=1,I931="SBJ"),AND(J931=1,I931=0)),"?IN_FOCUS",IF(J931&lt;=2,"?ACTIVATED",IF(J931&lt;&gt;"","?FAMILIAR",IF(F931="NEW",IF(ISNA(VLOOKUP(E931,#REF!,1,FALSE())),"?TYPE_IDENTIFIABLE","?REFERENTIAL"),"_")))))</f>
        <v/>
      </c>
      <c r="H931" s="24" t="str">
        <f t="shared" ca="1" si="91"/>
        <v/>
      </c>
      <c r="I931" s="25" t="str">
        <f>IF(OR(E931="",E931="!!!",F931="NEW"),"",INDEX(B$2:B930,-1+SUMPRODUCT(MAX(ROW(E$2:E930)*(E931=E$2:E930)))))</f>
        <v/>
      </c>
      <c r="J931" s="25" t="str">
        <f ca="1">IF(OR(E931="",E931="!!!",F931="NEW"),"",COUNTBLANK(OFFSET(A$1,,,SUMPRODUCT(MAX(ROW(E$2:E931)*(E931=E$2:E931)))))-COUNTBLANK(OFFSET(A$1,,,SUMPRODUCT(MAX(ROW(E$1:E930)*(E2=E$1:E930))))))</f>
        <v/>
      </c>
      <c r="K931" s="25" t="str">
        <f>IF(OR(E931="",E931="!!!",F931="NEW"),"",INDEX(J$1:J930,SUMPRODUCT(MAX(ROW(E$1:E930)*(E931=E$1:E930)))))</f>
        <v/>
      </c>
      <c r="L931" s="26"/>
    </row>
    <row r="932" spans="1:12" x14ac:dyDescent="0.3">
      <c r="A932" t="s">
        <v>253</v>
      </c>
      <c r="B932" s="20" t="s">
        <v>208</v>
      </c>
      <c r="C932" s="20" t="s">
        <v>185</v>
      </c>
      <c r="D932" s="20" t="s">
        <v>186</v>
      </c>
      <c r="E932" s="21" t="s">
        <v>730</v>
      </c>
      <c r="F932" s="22" t="str">
        <f>IF(OR(E932="",E932="!!!"),"",IF(NOT(ISNA(VLOOKUP(E932,E$1:E931,1,FALSE()))),"OLD",IF(AND(E932&lt;&gt;"",E932&lt;&gt;"!!!"),"NEW","")))</f>
        <v>OLD</v>
      </c>
      <c r="G932" s="23" t="s">
        <v>809</v>
      </c>
      <c r="H932" s="24" t="str">
        <f t="shared" ca="1" si="91"/>
        <v/>
      </c>
      <c r="I932" s="25" t="str">
        <f>IF(OR(E932="",E932="!!!",F932="NEW"),"",INDEX(B$2:B931,-1+SUMPRODUCT(MAX(ROW(E$2:E931)*(E932=E$2:E931)))))</f>
        <v>SBJ_3</v>
      </c>
      <c r="J932" s="25">
        <f ca="1">IF(OR(E932="",E932="!!!",F932="NEW"),"",COUNTBLANK(OFFSET(A$1,,,SUMPRODUCT(MAX(ROW(E$2:E932)*(E932=E$2:E932)))))-COUNTBLANK(OFFSET(A$1,,,SUMPRODUCT(MAX(ROW(E$1:E931)*(E2=E$1:E931))))))</f>
        <v>0</v>
      </c>
      <c r="K932" s="25">
        <f ca="1">IF(OR(E932="",E932="!!!",F932="NEW"),"",INDEX(J$1:J931,SUMPRODUCT(MAX(ROW(E$1:E931)*(E932=E$1:E931)))))</f>
        <v>0</v>
      </c>
      <c r="L932" s="26"/>
    </row>
    <row r="933" spans="1:12" x14ac:dyDescent="0.3">
      <c r="A933" t="s">
        <v>221</v>
      </c>
      <c r="B933" s="20" t="s">
        <v>210</v>
      </c>
      <c r="E933" s="21" t="str">
        <f t="shared" si="90"/>
        <v/>
      </c>
      <c r="F933" s="22" t="str">
        <f>IF(OR(E933="",E933="!!!"),"",IF(NOT(ISNA(VLOOKUP(E933,E$1:E932,1,FALSE()))),"OLD",IF(AND(E933&lt;&gt;"",E933&lt;&gt;"!!!"),"NEW","")))</f>
        <v/>
      </c>
      <c r="G933" s="23" t="str">
        <f>IF(OR(E933="",E933="!!!"),"",IF(OR(J933=0,AND(J933=1,K933=1),AND(J933=1,I933="SBJ"),AND(J933=1,I933=0)),"?IN_FOCUS",IF(J933&lt;=2,"?ACTIVATED",IF(J933&lt;&gt;"","?FAMILIAR",IF(F933="NEW",IF(ISNA(VLOOKUP(E933,#REF!,1,FALSE())),"?TYPE_IDENTIFIABLE","?REFERENTIAL"),"_")))))</f>
        <v/>
      </c>
      <c r="H933" s="24" t="str">
        <f t="shared" ca="1" si="91"/>
        <v/>
      </c>
      <c r="I933" s="25" t="str">
        <f>IF(OR(E933="",E933="!!!",F933="NEW"),"",INDEX(B$2:B932,-1+SUMPRODUCT(MAX(ROW(E$2:E932)*(E933=E$2:E932)))))</f>
        <v/>
      </c>
      <c r="J933" s="25" t="str">
        <f ca="1">IF(OR(E933="",E933="!!!",F933="NEW"),"",COUNTBLANK(OFFSET(A$1,,,SUMPRODUCT(MAX(ROW(E$2:E933)*(E933=E$2:E933)))))-COUNTBLANK(OFFSET(A$1,,,SUMPRODUCT(MAX(ROW(E$1:E932)*(E2=E$1:E932))))))</f>
        <v/>
      </c>
      <c r="K933" s="25" t="str">
        <f>IF(OR(E933="",E933="!!!",F933="NEW"),"",INDEX(J$1:J932,SUMPRODUCT(MAX(ROW(E$1:E932)*(E933=E$1:E932)))))</f>
        <v/>
      </c>
      <c r="L933" s="26"/>
    </row>
    <row r="934" spans="1:12" x14ac:dyDescent="0.3">
      <c r="A934" t="s">
        <v>691</v>
      </c>
      <c r="E934" s="21" t="str">
        <f t="shared" si="90"/>
        <v/>
      </c>
      <c r="F934" s="22" t="str">
        <f>IF(OR(E934="",E934="!!!"),"",IF(NOT(ISNA(VLOOKUP(E934,E$1:E933,1,FALSE()))),"OLD",IF(AND(E934&lt;&gt;"",E934&lt;&gt;"!!!"),"NEW","")))</f>
        <v/>
      </c>
      <c r="G934" s="23" t="str">
        <f>IF(OR(E934="",E934="!!!"),"",IF(OR(J934=0,AND(J934=1,K934=1),AND(J934=1,I934="SBJ"),AND(J934=1,I934=0)),"?IN_FOCUS",IF(J934&lt;=2,"?ACTIVATED",IF(J934&lt;&gt;"","?FAMILIAR",IF(F934="NEW",IF(ISNA(VLOOKUP(E934,#REF!,1,FALSE())),"?TYPE_IDENTIFIABLE","?REFERENTIAL"),"_")))))</f>
        <v/>
      </c>
      <c r="H934" s="24" t="str">
        <f t="shared" ca="1" si="91"/>
        <v/>
      </c>
      <c r="I934" s="25" t="str">
        <f>IF(OR(E934="",E934="!!!",F934="NEW"),"",INDEX(B$2:B933,-1+SUMPRODUCT(MAX(ROW(E$2:E933)*(E934=E$2:E933)))))</f>
        <v/>
      </c>
      <c r="J934" s="25" t="str">
        <f ca="1">IF(OR(E934="",E934="!!!",F934="NEW"),"",COUNTBLANK(OFFSET(A$1,,,SUMPRODUCT(MAX(ROW(E$2:E934)*(E934=E$2:E934)))))-COUNTBLANK(OFFSET(A$1,,,SUMPRODUCT(MAX(ROW(E$1:E933)*(E2=E$1:E933))))))</f>
        <v/>
      </c>
      <c r="K934" s="25" t="str">
        <f>IF(OR(E934="",E934="!!!",F934="NEW"),"",INDEX(J$1:J933,SUMPRODUCT(MAX(ROW(E$1:E933)*(E934=E$1:E933)))))</f>
        <v/>
      </c>
      <c r="L934" s="26"/>
    </row>
    <row r="935" spans="1:12" x14ac:dyDescent="0.3">
      <c r="A935" t="s">
        <v>692</v>
      </c>
      <c r="E935" s="21" t="str">
        <f t="shared" si="90"/>
        <v/>
      </c>
      <c r="F935" s="22" t="str">
        <f>IF(OR(E935="",E935="!!!"),"",IF(NOT(ISNA(VLOOKUP(E935,E$1:E934,1,FALSE()))),"OLD",IF(AND(E935&lt;&gt;"",E935&lt;&gt;"!!!"),"NEW","")))</f>
        <v/>
      </c>
      <c r="G935" s="23" t="str">
        <f>IF(OR(E935="",E935="!!!"),"",IF(OR(J935=0,AND(J935=1,K935=1),AND(J935=1,I935="SBJ"),AND(J935=1,I935=0)),"?IN_FOCUS",IF(J935&lt;=2,"?ACTIVATED",IF(J935&lt;&gt;"","?FAMILIAR",IF(F935="NEW",IF(ISNA(VLOOKUP(E935,#REF!,1,FALSE())),"?TYPE_IDENTIFIABLE","?REFERENTIAL"),"_")))))</f>
        <v/>
      </c>
      <c r="H935" s="24" t="str">
        <f t="shared" ca="1" si="91"/>
        <v/>
      </c>
      <c r="I935" s="25" t="str">
        <f>IF(OR(E935="",E935="!!!",F935="NEW"),"",INDEX(B$2:B934,-1+SUMPRODUCT(MAX(ROW(E$2:E934)*(E935=E$2:E934)))))</f>
        <v/>
      </c>
      <c r="J935" s="25" t="str">
        <f ca="1">IF(OR(E935="",E935="!!!",F935="NEW"),"",COUNTBLANK(OFFSET(A$1,,,SUMPRODUCT(MAX(ROW(E$2:E935)*(E935=E$2:E935)))))-COUNTBLANK(OFFSET(A$1,,,SUMPRODUCT(MAX(ROW(E$1:E934)*(E2=E$1:E934))))))</f>
        <v/>
      </c>
      <c r="K935" s="25" t="str">
        <f>IF(OR(E935="",E935="!!!",F935="NEW"),"",INDEX(J$1:J934,SUMPRODUCT(MAX(ROW(E$1:E934)*(E935=E$1:E934)))))</f>
        <v/>
      </c>
      <c r="L935" s="26"/>
    </row>
    <row r="936" spans="1:12" x14ac:dyDescent="0.3">
      <c r="A936" t="s">
        <v>274</v>
      </c>
      <c r="B936" s="20" t="s">
        <v>232</v>
      </c>
      <c r="C936" s="20" t="s">
        <v>275</v>
      </c>
      <c r="D936" s="20" t="s">
        <v>186</v>
      </c>
      <c r="E936" s="21" t="s">
        <v>770</v>
      </c>
      <c r="F936" s="22" t="str">
        <f>IF(OR(E936="",E936="!!!"),"",IF(NOT(ISNA(VLOOKUP(E936,E$1:E935,1,FALSE()))),"OLD",IF(AND(E936&lt;&gt;"",E936&lt;&gt;"!!!"),"NEW","")))</f>
        <v>OLD</v>
      </c>
      <c r="G936" s="23" t="s">
        <v>809</v>
      </c>
      <c r="H936" s="24" t="str">
        <f t="shared" ca="1" si="91"/>
        <v/>
      </c>
      <c r="I936" s="25" t="str">
        <f>IF(OR(E936="",E936="!!!",F936="NEW"),"",INDEX(B$2:B935,-1+SUMPRODUCT(MAX(ROW(E$2:E935)*(E936=E$2:E935)))))</f>
        <v>other_3</v>
      </c>
      <c r="J936" s="25">
        <f ca="1">IF(OR(E936="",E936="!!!",F936="NEW"),"",COUNTBLANK(OFFSET(A$1,,,SUMPRODUCT(MAX(ROW(E$2:E936)*(E936=E$2:E936)))))-COUNTBLANK(OFFSET(A$1,,,SUMPRODUCT(MAX(ROW(E$1:E935)*(E2=E$1:E935))))))</f>
        <v>0</v>
      </c>
      <c r="K936" s="25">
        <f ca="1">IF(OR(E936="",E936="!!!",F936="NEW"),"",INDEX(J$1:J935,SUMPRODUCT(MAX(ROW(E$1:E935)*(E936=E$1:E935)))))</f>
        <v>0</v>
      </c>
      <c r="L936" s="26"/>
    </row>
    <row r="937" spans="1:12" x14ac:dyDescent="0.3">
      <c r="A937" t="s">
        <v>228</v>
      </c>
      <c r="E937" s="21" t="str">
        <f t="shared" si="90"/>
        <v/>
      </c>
      <c r="F937" s="22" t="str">
        <f>IF(OR(E937="",E937="!!!"),"",IF(NOT(ISNA(VLOOKUP(E937,E$1:E936,1,FALSE()))),"OLD",IF(AND(E937&lt;&gt;"",E937&lt;&gt;"!!!"),"NEW","")))</f>
        <v/>
      </c>
      <c r="G937" s="23" t="str">
        <f>IF(OR(E937="",E937="!!!"),"",IF(OR(J937=0,AND(J937=1,K937=1),AND(J937=1,I937="SBJ"),AND(J937=1,I937=0)),"?IN_FOCUS",IF(J937&lt;=2,"?ACTIVATED",IF(J937&lt;&gt;"","?FAMILIAR",IF(F937="NEW",IF(ISNA(VLOOKUP(E937,#REF!,1,FALSE())),"?TYPE_IDENTIFIABLE","?REFERENTIAL"),"_")))))</f>
        <v/>
      </c>
      <c r="H937" s="24" t="str">
        <f t="shared" ca="1" si="91"/>
        <v/>
      </c>
      <c r="I937" s="25" t="str">
        <f>IF(OR(E937="",E937="!!!",F937="NEW"),"",INDEX(B$2:B936,-1+SUMPRODUCT(MAX(ROW(E$2:E936)*(E937=E$2:E936)))))</f>
        <v/>
      </c>
      <c r="J937" s="25" t="str">
        <f ca="1">IF(OR(E937="",E937="!!!",F937="NEW"),"",COUNTBLANK(OFFSET(A$1,,,SUMPRODUCT(MAX(ROW(E$2:E937)*(E937=E$2:E937)))))-COUNTBLANK(OFFSET(A$1,,,SUMPRODUCT(MAX(ROW(E$1:E936)*(E2=E$1:E936))))))</f>
        <v/>
      </c>
      <c r="K937" s="25" t="str">
        <f>IF(OR(E937="",E937="!!!",F937="NEW"),"",INDEX(J$1:J936,SUMPRODUCT(MAX(ROW(E$1:E936)*(E937=E$1:E936)))))</f>
        <v/>
      </c>
      <c r="L937" s="26"/>
    </row>
    <row r="938" spans="1:12" x14ac:dyDescent="0.3">
      <c r="A938" t="s">
        <v>693</v>
      </c>
      <c r="E938" s="21" t="str">
        <f t="shared" si="90"/>
        <v/>
      </c>
      <c r="F938" s="22" t="str">
        <f>IF(OR(E938="",E938="!!!"),"",IF(NOT(ISNA(VLOOKUP(E938,E$1:E937,1,FALSE()))),"OLD",IF(AND(E938&lt;&gt;"",E938&lt;&gt;"!!!"),"NEW","")))</f>
        <v/>
      </c>
      <c r="G938" s="23" t="str">
        <f>IF(OR(E938="",E938="!!!"),"",IF(OR(J938=0,AND(J938=1,K938=1),AND(J938=1,I938="SBJ"),AND(J938=1,I938=0)),"?IN_FOCUS",IF(J938&lt;=2,"?ACTIVATED",IF(J938&lt;&gt;"","?FAMILIAR",IF(F938="NEW",IF(ISNA(VLOOKUP(E938,#REF!,1,FALSE())),"?TYPE_IDENTIFIABLE","?REFERENTIAL"),"_")))))</f>
        <v/>
      </c>
      <c r="H938" s="24" t="str">
        <f t="shared" ca="1" si="91"/>
        <v/>
      </c>
      <c r="I938" s="25" t="str">
        <f>IF(OR(E938="",E938="!!!",F938="NEW"),"",INDEX(B$2:B937,-1+SUMPRODUCT(MAX(ROW(E$2:E937)*(E938=E$2:E937)))))</f>
        <v/>
      </c>
      <c r="J938" s="25" t="str">
        <f ca="1">IF(OR(E938="",E938="!!!",F938="NEW"),"",COUNTBLANK(OFFSET(A$1,,,SUMPRODUCT(MAX(ROW(E$2:E938)*(E938=E$2:E938)))))-COUNTBLANK(OFFSET(A$1,,,SUMPRODUCT(MAX(ROW(E$1:E937)*(E2=E$1:E937))))))</f>
        <v/>
      </c>
      <c r="K938" s="25" t="str">
        <f>IF(OR(E938="",E938="!!!",F938="NEW"),"",INDEX(J$1:J937,SUMPRODUCT(MAX(ROW(E$1:E937)*(E938=E$1:E937)))))</f>
        <v/>
      </c>
      <c r="L938" s="26"/>
    </row>
    <row r="939" spans="1:12" x14ac:dyDescent="0.3">
      <c r="A939" t="s">
        <v>212</v>
      </c>
      <c r="E939" s="21" t="str">
        <f t="shared" si="90"/>
        <v/>
      </c>
      <c r="F939" s="22" t="str">
        <f>IF(OR(E939="",E939="!!!"),"",IF(NOT(ISNA(VLOOKUP(E939,E$1:E938,1,FALSE()))),"OLD",IF(AND(E939&lt;&gt;"",E939&lt;&gt;"!!!"),"NEW","")))</f>
        <v/>
      </c>
      <c r="G939" s="23" t="str">
        <f>IF(OR(E939="",E939="!!!"),"",IF(OR(J939=0,AND(J939=1,K939=1),AND(J939=1,I939="SBJ"),AND(J939=1,I939=0)),"?IN_FOCUS",IF(J939&lt;=2,"?ACTIVATED",IF(J939&lt;&gt;"","?FAMILIAR",IF(F939="NEW",IF(ISNA(VLOOKUP(E939,#REF!,1,FALSE())),"?TYPE_IDENTIFIABLE","?REFERENTIAL"),"_")))))</f>
        <v/>
      </c>
      <c r="H939" s="24" t="str">
        <f t="shared" ca="1" si="91"/>
        <v/>
      </c>
      <c r="I939" s="25" t="str">
        <f>IF(OR(E939="",E939="!!!",F939="NEW"),"",INDEX(B$2:B938,-1+SUMPRODUCT(MAX(ROW(E$2:E938)*(E939=E$2:E938)))))</f>
        <v/>
      </c>
      <c r="J939" s="25" t="str">
        <f ca="1">IF(OR(E939="",E939="!!!",F939="NEW"),"",COUNTBLANK(OFFSET(A$1,,,SUMPRODUCT(MAX(ROW(E$2:E939)*(E939=E$2:E939)))))-COUNTBLANK(OFFSET(A$1,,,SUMPRODUCT(MAX(ROW(E$1:E938)*(E2=E$1:E938))))))</f>
        <v/>
      </c>
      <c r="K939" s="25" t="str">
        <f>IF(OR(E939="",E939="!!!",F939="NEW"),"",INDEX(J$1:J938,SUMPRODUCT(MAX(ROW(E$1:E938)*(E939=E$1:E938)))))</f>
        <v/>
      </c>
      <c r="L939" s="26"/>
    </row>
    <row r="941" spans="1:12" x14ac:dyDescent="0.3">
      <c r="A941" t="s">
        <v>694</v>
      </c>
    </row>
    <row r="942" spans="1:12" x14ac:dyDescent="0.3">
      <c r="A942" t="s">
        <v>200</v>
      </c>
      <c r="B942" s="20" t="s">
        <v>201</v>
      </c>
      <c r="C942" s="20" t="s">
        <v>202</v>
      </c>
      <c r="D942" s="20" t="s">
        <v>186</v>
      </c>
      <c r="E942" s="21"/>
      <c r="F942" s="22" t="s">
        <v>751</v>
      </c>
      <c r="G942" s="23" t="str">
        <f>IF(OR(E942="",E942="!!!"),"",IF(OR(J942=0,AND(J942=1,K942=1),AND(J942=1,I942="SBJ"),AND(J942=1,I942=0)),"?IN_FOCUS",IF(J942&lt;=2,"?ACTIVATED",IF(J942&lt;&gt;"","?FAMILIAR",IF(F942="NEW",IF(ISNA(VLOOKUP(E942,#REF!,1,FALSE())),"?TYPE_IDENTIFIABLE","?REFERENTIAL"),"_")))))</f>
        <v/>
      </c>
      <c r="H942" s="24" t="str">
        <f t="shared" ref="H942:H959" ca="1" si="92">IF(J942&lt;&gt;1,"",IF(I942="SBJ","CB","?"))</f>
        <v/>
      </c>
      <c r="I942" s="25" t="str">
        <f>IF(OR(E942="",E942="!!!",F942="NEW"),"",INDEX(B$2:B941,-1+SUMPRODUCT(MAX(ROW(E$2:E941)*(E942=E$2:E941)))))</f>
        <v/>
      </c>
      <c r="J942" s="25" t="str">
        <f ca="1">IF(OR(E942="",E942="!!!",F942="NEW"),"",COUNTBLANK(OFFSET(A$1,,,SUMPRODUCT(MAX(ROW(E$2:E942)*(E942=E$2:E942)))))-COUNTBLANK(OFFSET(A$1,,,SUMPRODUCT(MAX(ROW(E$1:E941)*(E2=E$1:E941))))))</f>
        <v/>
      </c>
      <c r="K942" s="25" t="str">
        <f>IF(OR(E942="",E942="!!!",F942="NEW"),"",INDEX(J$1:J941,SUMPRODUCT(MAX(ROW(E$1:E941)*(E942=E$1:E941)))))</f>
        <v/>
      </c>
      <c r="L942" s="26"/>
    </row>
    <row r="943" spans="1:12" x14ac:dyDescent="0.3">
      <c r="A943" t="s">
        <v>695</v>
      </c>
      <c r="E943" s="21" t="str">
        <f t="shared" ref="E943:E959" si="93">IF(D943="?OLD","!!!","")</f>
        <v/>
      </c>
      <c r="F943" s="22" t="str">
        <f>IF(OR(E943="",E943="!!!"),"",IF(NOT(ISNA(VLOOKUP(E943,E$1:E942,1,FALSE()))),"OLD",IF(AND(E943&lt;&gt;"",E943&lt;&gt;"!!!"),"NEW","")))</f>
        <v/>
      </c>
      <c r="G943" s="23" t="str">
        <f>IF(OR(E943="",E943="!!!"),"",IF(OR(J943=0,AND(J943=1,K943=1),AND(J943=1,I943="SBJ"),AND(J943=1,I943=0)),"?IN_FOCUS",IF(J943&lt;=2,"?ACTIVATED",IF(J943&lt;&gt;"","?FAMILIAR",IF(F943="NEW",IF(ISNA(VLOOKUP(E943,#REF!,1,FALSE())),"?TYPE_IDENTIFIABLE","?REFERENTIAL"),"_")))))</f>
        <v/>
      </c>
      <c r="H943" s="24" t="str">
        <f t="shared" ca="1" si="92"/>
        <v/>
      </c>
      <c r="I943" s="25" t="str">
        <f>IF(OR(E943="",E943="!!!",F943="NEW"),"",INDEX(B$2:B942,-1+SUMPRODUCT(MAX(ROW(E$2:E942)*(E943=E$2:E942)))))</f>
        <v/>
      </c>
      <c r="J943" s="25" t="str">
        <f ca="1">IF(OR(E943="",E943="!!!",F943="NEW"),"",COUNTBLANK(OFFSET(A$1,,,SUMPRODUCT(MAX(ROW(E$2:E943)*(E943=E$2:E943)))))-COUNTBLANK(OFFSET(A$1,,,SUMPRODUCT(MAX(ROW(E$1:E942)*(E2=E$1:E942))))))</f>
        <v/>
      </c>
      <c r="K943" s="25" t="str">
        <f>IF(OR(E943="",E943="!!!",F943="NEW"),"",INDEX(J$1:J942,SUMPRODUCT(MAX(ROW(E$1:E942)*(E943=E$1:E942)))))</f>
        <v/>
      </c>
      <c r="L943" s="26"/>
    </row>
    <row r="944" spans="1:12" x14ac:dyDescent="0.3">
      <c r="A944" t="s">
        <v>696</v>
      </c>
      <c r="B944" s="20" t="s">
        <v>196</v>
      </c>
      <c r="C944" s="20" t="s">
        <v>252</v>
      </c>
      <c r="D944" s="20" t="s">
        <v>186</v>
      </c>
      <c r="E944" s="21"/>
      <c r="F944" s="22" t="str">
        <f>IF(OR(E944="",E944="!!!"),"",IF(NOT(ISNA(VLOOKUP(E944,E$1:E943,1,FALSE()))),"OLD",IF(AND(E944&lt;&gt;"",E944&lt;&gt;"!!!"),"NEW","")))</f>
        <v/>
      </c>
      <c r="G944" s="23" t="str">
        <f>IF(OR(E944="",E944="!!!"),"",IF(OR(J944=0,AND(J944=1,K944=1),AND(J944=1,I944="SBJ"),AND(J944=1,I944=0)),"?IN_FOCUS",IF(J944&lt;=2,"?ACTIVATED",IF(J944&lt;&gt;"","?FAMILIAR",IF(F944="NEW",IF(ISNA(VLOOKUP(E944,#REF!,1,FALSE())),"?TYPE_IDENTIFIABLE","?REFERENTIAL"),"_")))))</f>
        <v/>
      </c>
      <c r="H944" s="24" t="str">
        <f t="shared" ca="1" si="92"/>
        <v/>
      </c>
      <c r="I944" s="25" t="str">
        <f>IF(OR(E944="",E944="!!!",F944="NEW"),"",INDEX(B$2:B943,-1+SUMPRODUCT(MAX(ROW(E$2:E943)*(E944=E$2:E943)))))</f>
        <v/>
      </c>
      <c r="J944" s="25" t="str">
        <f ca="1">IF(OR(E944="",E944="!!!",F944="NEW"),"",COUNTBLANK(OFFSET(A$1,,,SUMPRODUCT(MAX(ROW(E$2:E944)*(E944=E$2:E944)))))-COUNTBLANK(OFFSET(A$1,,,SUMPRODUCT(MAX(ROW(E$1:E943)*(E2=E$1:E943))))))</f>
        <v/>
      </c>
      <c r="K944" s="25" t="str">
        <f>IF(OR(E944="",E944="!!!",F944="NEW"),"",INDEX(J$1:J943,SUMPRODUCT(MAX(ROW(E$1:E943)*(E944=E$1:E943)))))</f>
        <v/>
      </c>
      <c r="L944" s="26" t="s">
        <v>738</v>
      </c>
    </row>
    <row r="945" spans="1:12" x14ac:dyDescent="0.3">
      <c r="A945" t="s">
        <v>697</v>
      </c>
      <c r="E945" s="21" t="str">
        <f t="shared" si="93"/>
        <v/>
      </c>
      <c r="F945" s="22" t="str">
        <f>IF(OR(E945="",E945="!!!"),"",IF(NOT(ISNA(VLOOKUP(E945,E$1:E944,1,FALSE()))),"OLD",IF(AND(E945&lt;&gt;"",E945&lt;&gt;"!!!"),"NEW","")))</f>
        <v/>
      </c>
      <c r="G945" s="23" t="str">
        <f>IF(OR(E945="",E945="!!!"),"",IF(OR(J945=0,AND(J945=1,K945=1),AND(J945=1,I945="SBJ"),AND(J945=1,I945=0)),"?IN_FOCUS",IF(J945&lt;=2,"?ACTIVATED",IF(J945&lt;&gt;"","?FAMILIAR",IF(F945="NEW",IF(ISNA(VLOOKUP(E945,#REF!,1,FALSE())),"?TYPE_IDENTIFIABLE","?REFERENTIAL"),"_")))))</f>
        <v/>
      </c>
      <c r="H945" s="24" t="str">
        <f t="shared" ca="1" si="92"/>
        <v/>
      </c>
      <c r="I945" s="25" t="str">
        <f>IF(OR(E945="",E945="!!!",F945="NEW"),"",INDEX(B$2:B944,-1+SUMPRODUCT(MAX(ROW(E$2:E944)*(E945=E$2:E944)))))</f>
        <v/>
      </c>
      <c r="J945" s="25" t="str">
        <f ca="1">IF(OR(E945="",E945="!!!",F945="NEW"),"",COUNTBLANK(OFFSET(A$1,,,SUMPRODUCT(MAX(ROW(E$2:E945)*(E945=E$2:E945)))))-COUNTBLANK(OFFSET(A$1,,,SUMPRODUCT(MAX(ROW(E$1:E944)*(E2=E$1:E944))))))</f>
        <v/>
      </c>
      <c r="K945" s="25" t="str">
        <f>IF(OR(E945="",E945="!!!",F945="NEW"),"",INDEX(J$1:J944,SUMPRODUCT(MAX(ROW(E$1:E944)*(E945=E$1:E944)))))</f>
        <v/>
      </c>
      <c r="L945" s="26"/>
    </row>
    <row r="946" spans="1:12" x14ac:dyDescent="0.3">
      <c r="A946" t="s">
        <v>698</v>
      </c>
      <c r="B946" s="20" t="s">
        <v>201</v>
      </c>
      <c r="C946" s="20" t="s">
        <v>237</v>
      </c>
      <c r="E946" s="21"/>
      <c r="F946" s="22" t="str">
        <f>IF(OR(E946="",E946="!!!"),"",IF(NOT(ISNA(VLOOKUP(E946,E$1:E945,1,FALSE()))),"OLD",IF(AND(E946&lt;&gt;"",E946&lt;&gt;"!!!"),"NEW","")))</f>
        <v/>
      </c>
      <c r="G946" s="23" t="str">
        <f>IF(OR(E946="",E946="!!!"),"",IF(OR(J946=0,AND(J946=1,K946=1),AND(J946=1,I946="SBJ"),AND(J946=1,I946=0)),"?IN_FOCUS",IF(J946&lt;=2,"?ACTIVATED",IF(J946&lt;&gt;"","?FAMILIAR",IF(F946="NEW",IF(ISNA(VLOOKUP(E946,#REF!,1,FALSE())),"?TYPE_IDENTIFIABLE","?REFERENTIAL"),"_")))))</f>
        <v/>
      </c>
      <c r="H946" s="24" t="str">
        <f t="shared" ca="1" si="92"/>
        <v/>
      </c>
      <c r="I946" s="25" t="str">
        <f>IF(OR(E946="",E946="!!!",F946="NEW"),"",INDEX(B$2:B945,-1+SUMPRODUCT(MAX(ROW(E$2:E945)*(E946=E$2:E945)))))</f>
        <v/>
      </c>
      <c r="J946" s="25" t="str">
        <f ca="1">IF(OR(E946="",E946="!!!",F946="NEW"),"",COUNTBLANK(OFFSET(A$1,,,SUMPRODUCT(MAX(ROW(E$2:E946)*(E946=E$2:E946)))))-COUNTBLANK(OFFSET(A$1,,,SUMPRODUCT(MAX(ROW(E$1:E945)*(E2=E$1:E945))))))</f>
        <v/>
      </c>
      <c r="K946" s="25" t="str">
        <f>IF(OR(E946="",E946="!!!",F946="NEW"),"",INDEX(J$1:J945,SUMPRODUCT(MAX(ROW(E$1:E945)*(E946=E$1:E945)))))</f>
        <v/>
      </c>
      <c r="L946" s="26"/>
    </row>
    <row r="947" spans="1:12" x14ac:dyDescent="0.3">
      <c r="A947" t="s">
        <v>699</v>
      </c>
      <c r="E947" s="21" t="str">
        <f t="shared" si="93"/>
        <v/>
      </c>
      <c r="F947" s="22" t="str">
        <f>IF(OR(E947="",E947="!!!"),"",IF(NOT(ISNA(VLOOKUP(E947,E$1:E946,1,FALSE()))),"OLD",IF(AND(E947&lt;&gt;"",E947&lt;&gt;"!!!"),"NEW","")))</f>
        <v/>
      </c>
      <c r="G947" s="23" t="str">
        <f>IF(OR(E947="",E947="!!!"),"",IF(OR(J947=0,AND(J947=1,K947=1),AND(J947=1,I947="SBJ"),AND(J947=1,I947=0)),"?IN_FOCUS",IF(J947&lt;=2,"?ACTIVATED",IF(J947&lt;&gt;"","?FAMILIAR",IF(F947="NEW",IF(ISNA(VLOOKUP(E947,#REF!,1,FALSE())),"?TYPE_IDENTIFIABLE","?REFERENTIAL"),"_")))))</f>
        <v/>
      </c>
      <c r="H947" s="24" t="str">
        <f t="shared" ca="1" si="92"/>
        <v/>
      </c>
      <c r="I947" s="25" t="str">
        <f>IF(OR(E947="",E947="!!!",F947="NEW"),"",INDEX(B$2:B946,-1+SUMPRODUCT(MAX(ROW(E$2:E946)*(E947=E$2:E946)))))</f>
        <v/>
      </c>
      <c r="J947" s="25" t="str">
        <f ca="1">IF(OR(E947="",E947="!!!",F947="NEW"),"",COUNTBLANK(OFFSET(A$1,,,SUMPRODUCT(MAX(ROW(E$2:E947)*(E947=E$2:E947)))))-COUNTBLANK(OFFSET(A$1,,,SUMPRODUCT(MAX(ROW(E$1:E946)*(E2=E$1:E946))))))</f>
        <v/>
      </c>
      <c r="K947" s="25" t="str">
        <f>IF(OR(E947="",E947="!!!",F947="NEW"),"",INDEX(J$1:J946,SUMPRODUCT(MAX(ROW(E$1:E946)*(E947=E$1:E946)))))</f>
        <v/>
      </c>
      <c r="L947" s="26"/>
    </row>
    <row r="948" spans="1:12" x14ac:dyDescent="0.3">
      <c r="A948" t="s">
        <v>332</v>
      </c>
      <c r="E948" s="21" t="str">
        <f t="shared" si="93"/>
        <v/>
      </c>
      <c r="F948" s="22" t="str">
        <f>IF(OR(E948="",E948="!!!"),"",IF(NOT(ISNA(VLOOKUP(E948,E$1:E947,1,FALSE()))),"OLD",IF(AND(E948&lt;&gt;"",E948&lt;&gt;"!!!"),"NEW","")))</f>
        <v/>
      </c>
      <c r="G948" s="23" t="str">
        <f>IF(OR(E948="",E948="!!!"),"",IF(OR(J948=0,AND(J948=1,K948=1),AND(J948=1,I948="SBJ"),AND(J948=1,I948=0)),"?IN_FOCUS",IF(J948&lt;=2,"?ACTIVATED",IF(J948&lt;&gt;"","?FAMILIAR",IF(F948="NEW",IF(ISNA(VLOOKUP(E948,#REF!,1,FALSE())),"?TYPE_IDENTIFIABLE","?REFERENTIAL"),"_")))))</f>
        <v/>
      </c>
      <c r="H948" s="24" t="str">
        <f t="shared" ca="1" si="92"/>
        <v/>
      </c>
      <c r="I948" s="25" t="str">
        <f>IF(OR(E948="",E948="!!!",F948="NEW"),"",INDEX(B$2:B947,-1+SUMPRODUCT(MAX(ROW(E$2:E947)*(E948=E$2:E947)))))</f>
        <v/>
      </c>
      <c r="J948" s="25" t="str">
        <f ca="1">IF(OR(E948="",E948="!!!",F948="NEW"),"",COUNTBLANK(OFFSET(A$1,,,SUMPRODUCT(MAX(ROW(E$2:E948)*(E948=E$2:E948)))))-COUNTBLANK(OFFSET(A$1,,,SUMPRODUCT(MAX(ROW(E$1:E947)*(E2=E$1:E947))))))</f>
        <v/>
      </c>
      <c r="K948" s="25" t="str">
        <f>IF(OR(E948="",E948="!!!",F948="NEW"),"",INDEX(J$1:J947,SUMPRODUCT(MAX(ROW(E$1:E947)*(E948=E$1:E947)))))</f>
        <v/>
      </c>
      <c r="L948" s="26"/>
    </row>
    <row r="949" spans="1:12" x14ac:dyDescent="0.3">
      <c r="A949" t="s">
        <v>206</v>
      </c>
      <c r="E949" s="21" t="str">
        <f t="shared" si="93"/>
        <v/>
      </c>
      <c r="F949" s="22" t="str">
        <f>IF(OR(E949="",E949="!!!"),"",IF(NOT(ISNA(VLOOKUP(E949,E$1:E948,1,FALSE()))),"OLD",IF(AND(E949&lt;&gt;"",E949&lt;&gt;"!!!"),"NEW","")))</f>
        <v/>
      </c>
      <c r="G949" s="23" t="str">
        <f>IF(OR(E949="",E949="!!!"),"",IF(OR(J949=0,AND(J949=1,K949=1),AND(J949=1,I949="SBJ"),AND(J949=1,I949=0)),"?IN_FOCUS",IF(J949&lt;=2,"?ACTIVATED",IF(J949&lt;&gt;"","?FAMILIAR",IF(F949="NEW",IF(ISNA(VLOOKUP(E949,#REF!,1,FALSE())),"?TYPE_IDENTIFIABLE","?REFERENTIAL"),"_")))))</f>
        <v/>
      </c>
      <c r="H949" s="24" t="str">
        <f t="shared" ca="1" si="92"/>
        <v/>
      </c>
      <c r="I949" s="25" t="str">
        <f>IF(OR(E949="",E949="!!!",F949="NEW"),"",INDEX(B$2:B948,-1+SUMPRODUCT(MAX(ROW(E$2:E948)*(E949=E$2:E948)))))</f>
        <v/>
      </c>
      <c r="J949" s="25" t="str">
        <f ca="1">IF(OR(E949="",E949="!!!",F949="NEW"),"",COUNTBLANK(OFFSET(A$1,,,SUMPRODUCT(MAX(ROW(E$2:E949)*(E949=E$2:E949)))))-COUNTBLANK(OFFSET(A$1,,,SUMPRODUCT(MAX(ROW(E$1:E948)*(E2=E$1:E948))))))</f>
        <v/>
      </c>
      <c r="K949" s="25" t="str">
        <f>IF(OR(E949="",E949="!!!",F949="NEW"),"",INDEX(J$1:J948,SUMPRODUCT(MAX(ROW(E$1:E948)*(E949=E$1:E948)))))</f>
        <v/>
      </c>
      <c r="L949" s="26"/>
    </row>
    <row r="950" spans="1:12" x14ac:dyDescent="0.3">
      <c r="A950" t="s">
        <v>662</v>
      </c>
      <c r="E950" s="21" t="str">
        <f t="shared" si="93"/>
        <v/>
      </c>
      <c r="F950" s="22" t="str">
        <f>IF(OR(E950="",E950="!!!"),"",IF(NOT(ISNA(VLOOKUP(E950,E$1:E949,1,FALSE()))),"OLD",IF(AND(E950&lt;&gt;"",E950&lt;&gt;"!!!"),"NEW","")))</f>
        <v/>
      </c>
      <c r="G950" s="23" t="str">
        <f>IF(OR(E950="",E950="!!!"),"",IF(OR(J950=0,AND(J950=1,K950=1),AND(J950=1,I950="SBJ"),AND(J950=1,I950=0)),"?IN_FOCUS",IF(J950&lt;=2,"?ACTIVATED",IF(J950&lt;&gt;"","?FAMILIAR",IF(F950="NEW",IF(ISNA(VLOOKUP(E950,#REF!,1,FALSE())),"?TYPE_IDENTIFIABLE","?REFERENTIAL"),"_")))))</f>
        <v/>
      </c>
      <c r="H950" s="24" t="str">
        <f t="shared" ca="1" si="92"/>
        <v/>
      </c>
      <c r="I950" s="25" t="str">
        <f>IF(OR(E950="",E950="!!!",F950="NEW"),"",INDEX(B$2:B949,-1+SUMPRODUCT(MAX(ROW(E$2:E949)*(E950=E$2:E949)))))</f>
        <v/>
      </c>
      <c r="J950" s="25" t="str">
        <f ca="1">IF(OR(E950="",E950="!!!",F950="NEW"),"",COUNTBLANK(OFFSET(A$1,,,SUMPRODUCT(MAX(ROW(E$2:E950)*(E950=E$2:E950)))))-COUNTBLANK(OFFSET(A$1,,,SUMPRODUCT(MAX(ROW(E$1:E949)*(E2=E$1:E949))))))</f>
        <v/>
      </c>
      <c r="K950" s="25" t="str">
        <f>IF(OR(E950="",E950="!!!",F950="NEW"),"",INDEX(J$1:J949,SUMPRODUCT(MAX(ROW(E$1:E949)*(E950=E$1:E949)))))</f>
        <v/>
      </c>
      <c r="L950" s="26"/>
    </row>
    <row r="951" spans="1:12" x14ac:dyDescent="0.3">
      <c r="A951" t="s">
        <v>229</v>
      </c>
      <c r="E951" s="21" t="str">
        <f t="shared" si="93"/>
        <v/>
      </c>
      <c r="F951" s="22" t="str">
        <f>IF(OR(E951="",E951="!!!"),"",IF(NOT(ISNA(VLOOKUP(E951,E$1:E950,1,FALSE()))),"OLD",IF(AND(E951&lt;&gt;"",E951&lt;&gt;"!!!"),"NEW","")))</f>
        <v/>
      </c>
      <c r="G951" s="23" t="str">
        <f>IF(OR(E951="",E951="!!!"),"",IF(OR(J951=0,AND(J951=1,K951=1),AND(J951=1,I951="SBJ"),AND(J951=1,I951=0)),"?IN_FOCUS",IF(J951&lt;=2,"?ACTIVATED",IF(J951&lt;&gt;"","?FAMILIAR",IF(F951="NEW",IF(ISNA(VLOOKUP(E951,#REF!,1,FALSE())),"?TYPE_IDENTIFIABLE","?REFERENTIAL"),"_")))))</f>
        <v/>
      </c>
      <c r="H951" s="24" t="str">
        <f t="shared" ca="1" si="92"/>
        <v/>
      </c>
      <c r="I951" s="25" t="str">
        <f>IF(OR(E951="",E951="!!!",F951="NEW"),"",INDEX(B$2:B950,-1+SUMPRODUCT(MAX(ROW(E$2:E950)*(E951=E$2:E950)))))</f>
        <v/>
      </c>
      <c r="J951" s="25" t="str">
        <f ca="1">IF(OR(E951="",E951="!!!",F951="NEW"),"",COUNTBLANK(OFFSET(A$1,,,SUMPRODUCT(MAX(ROW(E$2:E951)*(E951=E$2:E951)))))-COUNTBLANK(OFFSET(A$1,,,SUMPRODUCT(MAX(ROW(E$1:E950)*(E2=E$1:E950))))))</f>
        <v/>
      </c>
      <c r="K951" s="25" t="str">
        <f>IF(OR(E951="",E951="!!!",F951="NEW"),"",INDEX(J$1:J950,SUMPRODUCT(MAX(ROW(E$1:E950)*(E951=E$1:E950)))))</f>
        <v/>
      </c>
      <c r="L951" s="26"/>
    </row>
    <row r="952" spans="1:12" x14ac:dyDescent="0.3">
      <c r="A952" t="s">
        <v>700</v>
      </c>
      <c r="E952" s="21" t="str">
        <f t="shared" si="93"/>
        <v/>
      </c>
      <c r="F952" s="22" t="str">
        <f>IF(OR(E952="",E952="!!!"),"",IF(NOT(ISNA(VLOOKUP(E952,E$1:E951,1,FALSE()))),"OLD",IF(AND(E952&lt;&gt;"",E952&lt;&gt;"!!!"),"NEW","")))</f>
        <v/>
      </c>
      <c r="G952" s="23" t="str">
        <f>IF(OR(E952="",E952="!!!"),"",IF(OR(J952=0,AND(J952=1,K952=1),AND(J952=1,I952="SBJ"),AND(J952=1,I952=0)),"?IN_FOCUS",IF(J952&lt;=2,"?ACTIVATED",IF(J952&lt;&gt;"","?FAMILIAR",IF(F952="NEW",IF(ISNA(VLOOKUP(E952,#REF!,1,FALSE())),"?TYPE_IDENTIFIABLE","?REFERENTIAL"),"_")))))</f>
        <v/>
      </c>
      <c r="H952" s="24" t="str">
        <f t="shared" ca="1" si="92"/>
        <v/>
      </c>
      <c r="I952" s="25" t="str">
        <f>IF(OR(E952="",E952="!!!",F952="NEW"),"",INDEX(B$2:B951,-1+SUMPRODUCT(MAX(ROW(E$2:E951)*(E952=E$2:E951)))))</f>
        <v/>
      </c>
      <c r="J952" s="25" t="str">
        <f ca="1">IF(OR(E952="",E952="!!!",F952="NEW"),"",COUNTBLANK(OFFSET(A$1,,,SUMPRODUCT(MAX(ROW(E$2:E952)*(E952=E$2:E952)))))-COUNTBLANK(OFFSET(A$1,,,SUMPRODUCT(MAX(ROW(E$1:E951)*(E2=E$1:E951))))))</f>
        <v/>
      </c>
      <c r="K952" s="25" t="str">
        <f>IF(OR(E952="",E952="!!!",F952="NEW"),"",INDEX(J$1:J951,SUMPRODUCT(MAX(ROW(E$1:E951)*(E952=E$1:E951)))))</f>
        <v/>
      </c>
      <c r="L952" s="26"/>
    </row>
    <row r="953" spans="1:12" x14ac:dyDescent="0.3">
      <c r="A953" t="s">
        <v>701</v>
      </c>
      <c r="B953" s="20" t="s">
        <v>208</v>
      </c>
      <c r="C953" s="20" t="s">
        <v>193</v>
      </c>
      <c r="E953" s="21" t="str">
        <f t="shared" si="93"/>
        <v/>
      </c>
      <c r="F953" s="22" t="str">
        <f>IF(OR(E953="",E953="!!!"),"",IF(NOT(ISNA(VLOOKUP(E953,E$1:E952,1,FALSE()))),"OLD",IF(AND(E953&lt;&gt;"",E953&lt;&gt;"!!!"),"NEW","")))</f>
        <v/>
      </c>
      <c r="G953" s="23" t="str">
        <f>IF(OR(E953="",E953="!!!"),"",IF(OR(J953=0,AND(J953=1,K953=1),AND(J953=1,I953="SBJ"),AND(J953=1,I953=0)),"?IN_FOCUS",IF(J953&lt;=2,"?ACTIVATED",IF(J953&lt;&gt;"","?FAMILIAR",IF(F953="NEW",IF(ISNA(VLOOKUP(E953,#REF!,1,FALSE())),"?TYPE_IDENTIFIABLE","?REFERENTIAL"),"_")))))</f>
        <v/>
      </c>
      <c r="H953" s="24" t="str">
        <f t="shared" ca="1" si="92"/>
        <v/>
      </c>
      <c r="I953" s="25" t="str">
        <f>IF(OR(E953="",E953="!!!",F953="NEW"),"",INDEX(B$2:B952,-1+SUMPRODUCT(MAX(ROW(E$2:E952)*(E953=E$2:E952)))))</f>
        <v/>
      </c>
      <c r="J953" s="25" t="str">
        <f ca="1">IF(OR(E953="",E953="!!!",F953="NEW"),"",COUNTBLANK(OFFSET(A$1,,,SUMPRODUCT(MAX(ROW(E$2:E953)*(E953=E$2:E953)))))-COUNTBLANK(OFFSET(A$1,,,SUMPRODUCT(MAX(ROW(E$1:E952)*(E2=E$1:E952))))))</f>
        <v/>
      </c>
      <c r="K953" s="25" t="str">
        <f>IF(OR(E953="",E953="!!!",F953="NEW"),"",INDEX(J$1:J952,SUMPRODUCT(MAX(ROW(E$1:E952)*(E953=E$1:E952)))))</f>
        <v/>
      </c>
      <c r="L953" s="26"/>
    </row>
    <row r="954" spans="1:12" x14ac:dyDescent="0.3">
      <c r="A954" t="s">
        <v>228</v>
      </c>
      <c r="E954" s="21" t="str">
        <f t="shared" si="93"/>
        <v/>
      </c>
      <c r="F954" s="22" t="str">
        <f>IF(OR(E954="",E954="!!!"),"",IF(NOT(ISNA(VLOOKUP(E954,E$1:E953,1,FALSE()))),"OLD",IF(AND(E954&lt;&gt;"",E954&lt;&gt;"!!!"),"NEW","")))</f>
        <v/>
      </c>
      <c r="G954" s="23" t="str">
        <f>IF(OR(E954="",E954="!!!"),"",IF(OR(J954=0,AND(J954=1,K954=1),AND(J954=1,I954="SBJ"),AND(J954=1,I954=0)),"?IN_FOCUS",IF(J954&lt;=2,"?ACTIVATED",IF(J954&lt;&gt;"","?FAMILIAR",IF(F954="NEW",IF(ISNA(VLOOKUP(E954,#REF!,1,FALSE())),"?TYPE_IDENTIFIABLE","?REFERENTIAL"),"_")))))</f>
        <v/>
      </c>
      <c r="H954" s="24" t="str">
        <f t="shared" ca="1" si="92"/>
        <v/>
      </c>
      <c r="I954" s="25" t="str">
        <f>IF(OR(E954="",E954="!!!",F954="NEW"),"",INDEX(B$2:B953,-1+SUMPRODUCT(MAX(ROW(E$2:E953)*(E954=E$2:E953)))))</f>
        <v/>
      </c>
      <c r="J954" s="25" t="str">
        <f ca="1">IF(OR(E954="",E954="!!!",F954="NEW"),"",COUNTBLANK(OFFSET(A$1,,,SUMPRODUCT(MAX(ROW(E$2:E954)*(E954=E$2:E954)))))-COUNTBLANK(OFFSET(A$1,,,SUMPRODUCT(MAX(ROW(E$1:E953)*(E2=E$1:E953))))))</f>
        <v/>
      </c>
      <c r="K954" s="25" t="str">
        <f>IF(OR(E954="",E954="!!!",F954="NEW"),"",INDEX(J$1:J953,SUMPRODUCT(MAX(ROW(E$1:E953)*(E954=E$1:E953)))))</f>
        <v/>
      </c>
      <c r="L954" s="26"/>
    </row>
    <row r="955" spans="1:12" x14ac:dyDescent="0.3">
      <c r="A955" t="s">
        <v>661</v>
      </c>
      <c r="B955" s="20" t="s">
        <v>196</v>
      </c>
      <c r="C955" s="20" t="s">
        <v>185</v>
      </c>
      <c r="D955" s="20" t="s">
        <v>186</v>
      </c>
      <c r="E955" s="21" t="s">
        <v>767</v>
      </c>
      <c r="F955" s="22" t="str">
        <f>IF(OR(E955="",E955="!!!"),"",IF(NOT(ISNA(VLOOKUP(E955,E$1:E954,1,FALSE()))),"OLD",IF(AND(E955&lt;&gt;"",E955&lt;&gt;"!!!"),"NEW","")))</f>
        <v>OLD</v>
      </c>
      <c r="G955" s="23" t="s">
        <v>808</v>
      </c>
      <c r="H955" s="24" t="str">
        <f t="shared" ca="1" si="92"/>
        <v/>
      </c>
      <c r="I955" s="25" t="str">
        <f>IF(OR(E955="",E955="!!!",F955="NEW"),"",INDEX(B$2:B954,-1+SUMPRODUCT(MAX(ROW(E$2:E954)*(E955=E$2:E954)))))</f>
        <v>OBJ_3</v>
      </c>
      <c r="J955" s="25">
        <f ca="1">IF(OR(E955="",E955="!!!",F955="NEW"),"",COUNTBLANK(OFFSET(A$1,,,SUMPRODUCT(MAX(ROW(E$2:E955)*(E955=E$2:E955)))))-COUNTBLANK(OFFSET(A$1,,,SUMPRODUCT(MAX(ROW(E$1:E954)*(E2=E$1:E954))))))</f>
        <v>0</v>
      </c>
      <c r="K955" s="25">
        <f ca="1">IF(OR(E955="",E955="!!!",F955="NEW"),"",INDEX(J$1:J954,SUMPRODUCT(MAX(ROW(E$1:E954)*(E955=E$1:E954)))))</f>
        <v>0</v>
      </c>
      <c r="L955" s="26"/>
    </row>
    <row r="956" spans="1:12" x14ac:dyDescent="0.3">
      <c r="A956" t="s">
        <v>702</v>
      </c>
      <c r="E956" s="21" t="str">
        <f t="shared" si="93"/>
        <v/>
      </c>
      <c r="F956" s="22" t="str">
        <f>IF(OR(E956="",E956="!!!"),"",IF(NOT(ISNA(VLOOKUP(E956,E$1:E955,1,FALSE()))),"OLD",IF(AND(E956&lt;&gt;"",E956&lt;&gt;"!!!"),"NEW","")))</f>
        <v/>
      </c>
      <c r="G956" s="23" t="str">
        <f>IF(OR(E956="",E956="!!!"),"",IF(OR(J956=0,AND(J956=1,K956=1),AND(J956=1,I956="SBJ"),AND(J956=1,I956=0)),"?IN_FOCUS",IF(J956&lt;=2,"?ACTIVATED",IF(J956&lt;&gt;"","?FAMILIAR",IF(F956="NEW",IF(ISNA(VLOOKUP(E956,#REF!,1,FALSE())),"?TYPE_IDENTIFIABLE","?REFERENTIAL"),"_")))))</f>
        <v/>
      </c>
      <c r="H956" s="24" t="str">
        <f t="shared" ca="1" si="92"/>
        <v/>
      </c>
      <c r="I956" s="25" t="str">
        <f>IF(OR(E956="",E956="!!!",F956="NEW"),"",INDEX(B$2:B955,-1+SUMPRODUCT(MAX(ROW(E$2:E955)*(E956=E$2:E955)))))</f>
        <v/>
      </c>
      <c r="J956" s="25" t="str">
        <f ca="1">IF(OR(E956="",E956="!!!",F956="NEW"),"",COUNTBLANK(OFFSET(A$1,,,SUMPRODUCT(MAX(ROW(E$2:E956)*(E956=E$2:E956)))))-COUNTBLANK(OFFSET(A$1,,,SUMPRODUCT(MAX(ROW(E$1:E955)*(E2=E$1:E955))))))</f>
        <v/>
      </c>
      <c r="K956" s="25" t="str">
        <f>IF(OR(E956="",E956="!!!",F956="NEW"),"",INDEX(J$1:J955,SUMPRODUCT(MAX(ROW(E$1:E955)*(E956=E$1:E955)))))</f>
        <v/>
      </c>
      <c r="L956" s="26"/>
    </row>
    <row r="957" spans="1:12" x14ac:dyDescent="0.3">
      <c r="A957" t="s">
        <v>339</v>
      </c>
      <c r="E957" s="21" t="str">
        <f t="shared" si="93"/>
        <v/>
      </c>
      <c r="F957" s="22" t="str">
        <f>IF(OR(E957="",E957="!!!"),"",IF(NOT(ISNA(VLOOKUP(E957,E$1:E956,1,FALSE()))),"OLD",IF(AND(E957&lt;&gt;"",E957&lt;&gt;"!!!"),"NEW","")))</f>
        <v/>
      </c>
      <c r="G957" s="23" t="str">
        <f>IF(OR(E957="",E957="!!!"),"",IF(OR(J957=0,AND(J957=1,K957=1),AND(J957=1,I957="SBJ"),AND(J957=1,I957=0)),"?IN_FOCUS",IF(J957&lt;=2,"?ACTIVATED",IF(J957&lt;&gt;"","?FAMILIAR",IF(F957="NEW",IF(ISNA(VLOOKUP(E957,#REF!,1,FALSE())),"?TYPE_IDENTIFIABLE","?REFERENTIAL"),"_")))))</f>
        <v/>
      </c>
      <c r="H957" s="24" t="str">
        <f t="shared" ca="1" si="92"/>
        <v/>
      </c>
      <c r="I957" s="25" t="str">
        <f>IF(OR(E957="",E957="!!!",F957="NEW"),"",INDEX(B$2:B956,-1+SUMPRODUCT(MAX(ROW(E$2:E956)*(E957=E$2:E956)))))</f>
        <v/>
      </c>
      <c r="J957" s="25" t="str">
        <f ca="1">IF(OR(E957="",E957="!!!",F957="NEW"),"",COUNTBLANK(OFFSET(A$1,,,SUMPRODUCT(MAX(ROW(E$2:E957)*(E957=E$2:E957)))))-COUNTBLANK(OFFSET(A$1,,,SUMPRODUCT(MAX(ROW(E$1:E956)*(E2=E$1:E956))))))</f>
        <v/>
      </c>
      <c r="K957" s="25" t="str">
        <f>IF(OR(E957="",E957="!!!",F957="NEW"),"",INDEX(J$1:J956,SUMPRODUCT(MAX(ROW(E$1:E956)*(E957=E$1:E956)))))</f>
        <v/>
      </c>
      <c r="L957" s="26"/>
    </row>
    <row r="958" spans="1:12" x14ac:dyDescent="0.3">
      <c r="A958" t="s">
        <v>267</v>
      </c>
      <c r="E958" s="21" t="str">
        <f t="shared" si="93"/>
        <v/>
      </c>
      <c r="F958" s="22" t="str">
        <f>IF(OR(E958="",E958="!!!"),"",IF(NOT(ISNA(VLOOKUP(E958,E$1:E957,1,FALSE()))),"OLD",IF(AND(E958&lt;&gt;"",E958&lt;&gt;"!!!"),"NEW","")))</f>
        <v/>
      </c>
      <c r="G958" s="23" t="str">
        <f>IF(OR(E958="",E958="!!!"),"",IF(OR(J958=0,AND(J958=1,K958=1),AND(J958=1,I958="SBJ"),AND(J958=1,I958=0)),"?IN_FOCUS",IF(J958&lt;=2,"?ACTIVATED",IF(J958&lt;&gt;"","?FAMILIAR",IF(F958="NEW",IF(ISNA(VLOOKUP(E958,#REF!,1,FALSE())),"?TYPE_IDENTIFIABLE","?REFERENTIAL"),"_")))))</f>
        <v/>
      </c>
      <c r="H958" s="24" t="str">
        <f t="shared" ca="1" si="92"/>
        <v/>
      </c>
      <c r="I958" s="25" t="str">
        <f>IF(OR(E958="",E958="!!!",F958="NEW"),"",INDEX(B$2:B957,-1+SUMPRODUCT(MAX(ROW(E$2:E957)*(E958=E$2:E957)))))</f>
        <v/>
      </c>
      <c r="J958" s="25" t="str">
        <f ca="1">IF(OR(E958="",E958="!!!",F958="NEW"),"",COUNTBLANK(OFFSET(A$1,,,SUMPRODUCT(MAX(ROW(E$2:E958)*(E958=E$2:E958)))))-COUNTBLANK(OFFSET(A$1,,,SUMPRODUCT(MAX(ROW(E$1:E957)*(E2=E$1:E957))))))</f>
        <v/>
      </c>
      <c r="K958" s="25" t="str">
        <f>IF(OR(E958="",E958="!!!",F958="NEW"),"",INDEX(J$1:J957,SUMPRODUCT(MAX(ROW(E$1:E957)*(E958=E$1:E957)))))</f>
        <v/>
      </c>
      <c r="L958" s="26"/>
    </row>
    <row r="959" spans="1:12" x14ac:dyDescent="0.3">
      <c r="A959" t="s">
        <v>212</v>
      </c>
      <c r="E959" s="21" t="str">
        <f t="shared" si="93"/>
        <v/>
      </c>
      <c r="F959" s="22" t="str">
        <f>IF(OR(E959="",E959="!!!"),"",IF(NOT(ISNA(VLOOKUP(E959,E$1:E958,1,FALSE()))),"OLD",IF(AND(E959&lt;&gt;"",E959&lt;&gt;"!!!"),"NEW","")))</f>
        <v/>
      </c>
      <c r="G959" s="23" t="str">
        <f>IF(OR(E959="",E959="!!!"),"",IF(OR(J959=0,AND(J959=1,K959=1),AND(J959=1,I959="SBJ"),AND(J959=1,I959=0)),"?IN_FOCUS",IF(J959&lt;=2,"?ACTIVATED",IF(J959&lt;&gt;"","?FAMILIAR",IF(F959="NEW",IF(ISNA(VLOOKUP(E959,#REF!,1,FALSE())),"?TYPE_IDENTIFIABLE","?REFERENTIAL"),"_")))))</f>
        <v/>
      </c>
      <c r="H959" s="24" t="str">
        <f t="shared" ca="1" si="92"/>
        <v/>
      </c>
      <c r="I959" s="25" t="str">
        <f>IF(OR(E959="",E959="!!!",F959="NEW"),"",INDEX(B$2:B958,-1+SUMPRODUCT(MAX(ROW(E$2:E958)*(E959=E$2:E958)))))</f>
        <v/>
      </c>
      <c r="J959" s="25" t="str">
        <f ca="1">IF(OR(E959="",E959="!!!",F959="NEW"),"",COUNTBLANK(OFFSET(A$1,,,SUMPRODUCT(MAX(ROW(E$2:E959)*(E959=E$2:E959)))))-COUNTBLANK(OFFSET(A$1,,,SUMPRODUCT(MAX(ROW(E$1:E958)*(E2=E$1:E958))))))</f>
        <v/>
      </c>
      <c r="K959" s="25" t="str">
        <f>IF(OR(E959="",E959="!!!",F959="NEW"),"",INDEX(J$1:J958,SUMPRODUCT(MAX(ROW(E$1:E958)*(E959=E$1:E958)))))</f>
        <v/>
      </c>
      <c r="L959" s="26"/>
    </row>
    <row r="961" spans="1:12" x14ac:dyDescent="0.3">
      <c r="A961" t="s">
        <v>703</v>
      </c>
    </row>
    <row r="962" spans="1:12" x14ac:dyDescent="0.3">
      <c r="A962" t="s">
        <v>249</v>
      </c>
      <c r="E962" s="21" t="str">
        <f t="shared" ref="E962:E1001" si="94">IF(D962="?OLD","!!!","")</f>
        <v/>
      </c>
      <c r="F962" s="22" t="str">
        <f>IF(OR(E962="",E962="!!!"),"",IF(NOT(ISNA(VLOOKUP(E962,E$1:E961,1,FALSE()))),"OLD",IF(AND(E962&lt;&gt;"",E962&lt;&gt;"!!!"),"NEW","")))</f>
        <v/>
      </c>
      <c r="G962" s="23" t="str">
        <f>IF(OR(E962="",E962="!!!"),"",IF(OR(J962=0,AND(J962=1,K962=1),AND(J962=1,I962="SBJ"),AND(J962=1,I962=0)),"?IN_FOCUS",IF(J962&lt;=2,"?ACTIVATED",IF(J962&lt;&gt;"","?FAMILIAR",IF(F962="NEW",IF(ISNA(VLOOKUP(E962,#REF!,1,FALSE())),"?TYPE_IDENTIFIABLE","?REFERENTIAL"),"_")))))</f>
        <v/>
      </c>
      <c r="H962" s="24" t="str">
        <f t="shared" ref="H962:H1001" ca="1" si="95">IF(J962&lt;&gt;1,"",IF(I962="SBJ","CB","?"))</f>
        <v/>
      </c>
      <c r="I962" s="25" t="str">
        <f>IF(OR(E962="",E962="!!!",F962="NEW"),"",INDEX(B$2:B961,-1+SUMPRODUCT(MAX(ROW(E$2:E961)*(E962=E$2:E961)))))</f>
        <v/>
      </c>
      <c r="J962" s="25" t="str">
        <f ca="1">IF(OR(E962="",E962="!!!",F962="NEW"),"",COUNTBLANK(OFFSET(A$1,,,SUMPRODUCT(MAX(ROW(E$2:E962)*(E962=E$2:E962)))))-COUNTBLANK(OFFSET(A$1,,,SUMPRODUCT(MAX(ROW(E$1:E961)*(E2=E$1:E961))))))</f>
        <v/>
      </c>
      <c r="K962" s="25" t="str">
        <f>IF(OR(E962="",E962="!!!",F962="NEW"),"",INDEX(J$1:J961,SUMPRODUCT(MAX(ROW(E$1:E961)*(E962=E$1:E961)))))</f>
        <v/>
      </c>
      <c r="L962" s="26"/>
    </row>
    <row r="963" spans="1:12" x14ac:dyDescent="0.3">
      <c r="A963" t="s">
        <v>465</v>
      </c>
      <c r="E963" s="21" t="str">
        <f t="shared" si="94"/>
        <v/>
      </c>
      <c r="F963" s="22" t="str">
        <f>IF(OR(E963="",E963="!!!"),"",IF(NOT(ISNA(VLOOKUP(E963,E$1:E962,1,FALSE()))),"OLD",IF(AND(E963&lt;&gt;"",E963&lt;&gt;"!!!"),"NEW","")))</f>
        <v/>
      </c>
      <c r="G963" s="23" t="str">
        <f>IF(OR(E963="",E963="!!!"),"",IF(OR(J963=0,AND(J963=1,K963=1),AND(J963=1,I963="SBJ"),AND(J963=1,I963=0)),"?IN_FOCUS",IF(J963&lt;=2,"?ACTIVATED",IF(J963&lt;&gt;"","?FAMILIAR",IF(F963="NEW",IF(ISNA(VLOOKUP(E963,#REF!,1,FALSE())),"?TYPE_IDENTIFIABLE","?REFERENTIAL"),"_")))))</f>
        <v/>
      </c>
      <c r="H963" s="24" t="str">
        <f t="shared" ca="1" si="95"/>
        <v/>
      </c>
      <c r="I963" s="25" t="str">
        <f>IF(OR(E963="",E963="!!!",F963="NEW"),"",INDEX(B$2:B962,-1+SUMPRODUCT(MAX(ROW(E$2:E962)*(E963=E$2:E962)))))</f>
        <v/>
      </c>
      <c r="J963" s="25" t="str">
        <f ca="1">IF(OR(E963="",E963="!!!",F963="NEW"),"",COUNTBLANK(OFFSET(A$1,,,SUMPRODUCT(MAX(ROW(E$2:E963)*(E963=E$2:E963)))))-COUNTBLANK(OFFSET(A$1,,,SUMPRODUCT(MAX(ROW(E$1:E962)*(E2=E$1:E962))))))</f>
        <v/>
      </c>
      <c r="K963" s="25" t="str">
        <f>IF(OR(E963="",E963="!!!",F963="NEW"),"",INDEX(J$1:J962,SUMPRODUCT(MAX(ROW(E$1:E962)*(E963=E$1:E962)))))</f>
        <v/>
      </c>
      <c r="L963" s="26"/>
    </row>
    <row r="964" spans="1:12" x14ac:dyDescent="0.3">
      <c r="A964" t="s">
        <v>704</v>
      </c>
      <c r="B964" s="20" t="s">
        <v>184</v>
      </c>
      <c r="C964" s="20" t="s">
        <v>197</v>
      </c>
      <c r="E964" s="21" t="str">
        <f t="shared" si="94"/>
        <v/>
      </c>
      <c r="F964" s="22" t="str">
        <f>IF(OR(E964="",E964="!!!"),"",IF(NOT(ISNA(VLOOKUP(E964,E$1:E963,1,FALSE()))),"OLD",IF(AND(E964&lt;&gt;"",E964&lt;&gt;"!!!"),"NEW","")))</f>
        <v/>
      </c>
      <c r="G964" s="23" t="str">
        <f>IF(OR(E964="",E964="!!!"),"",IF(OR(J964=0,AND(J964=1,K964=1),AND(J964=1,I964="SBJ"),AND(J964=1,I964=0)),"?IN_FOCUS",IF(J964&lt;=2,"?ACTIVATED",IF(J964&lt;&gt;"","?FAMILIAR",IF(F964="NEW",IF(ISNA(VLOOKUP(E964,#REF!,1,FALSE())),"?TYPE_IDENTIFIABLE","?REFERENTIAL"),"_")))))</f>
        <v/>
      </c>
      <c r="H964" s="24" t="str">
        <f t="shared" ca="1" si="95"/>
        <v/>
      </c>
      <c r="I964" s="25" t="str">
        <f>IF(OR(E964="",E964="!!!",F964="NEW"),"",INDEX(B$2:B963,-1+SUMPRODUCT(MAX(ROW(E$2:E963)*(E964=E$2:E963)))))</f>
        <v/>
      </c>
      <c r="J964" s="25" t="str">
        <f ca="1">IF(OR(E964="",E964="!!!",F964="NEW"),"",COUNTBLANK(OFFSET(A$1,,,SUMPRODUCT(MAX(ROW(E$2:E964)*(E964=E$2:E964)))))-COUNTBLANK(OFFSET(A$1,,,SUMPRODUCT(MAX(ROW(E$1:E963)*(E2=E$1:E963))))))</f>
        <v/>
      </c>
      <c r="K964" s="25" t="str">
        <f>IF(OR(E964="",E964="!!!",F964="NEW"),"",INDEX(J$1:J963,SUMPRODUCT(MAX(ROW(E$1:E963)*(E964=E$1:E963)))))</f>
        <v/>
      </c>
      <c r="L964" s="26"/>
    </row>
    <row r="965" spans="1:12" x14ac:dyDescent="0.3">
      <c r="A965" t="s">
        <v>705</v>
      </c>
      <c r="E965" s="21" t="str">
        <f t="shared" si="94"/>
        <v/>
      </c>
      <c r="F965" s="22" t="str">
        <f>IF(OR(E965="",E965="!!!"),"",IF(NOT(ISNA(VLOOKUP(E965,E$1:E964,1,FALSE()))),"OLD",IF(AND(E965&lt;&gt;"",E965&lt;&gt;"!!!"),"NEW","")))</f>
        <v/>
      </c>
      <c r="G965" s="23" t="str">
        <f>IF(OR(E965="",E965="!!!"),"",IF(OR(J965=0,AND(J965=1,K965=1),AND(J965=1,I965="SBJ"),AND(J965=1,I965=0)),"?IN_FOCUS",IF(J965&lt;=2,"?ACTIVATED",IF(J965&lt;&gt;"","?FAMILIAR",IF(F965="NEW",IF(ISNA(VLOOKUP(E965,#REF!,1,FALSE())),"?TYPE_IDENTIFIABLE","?REFERENTIAL"),"_")))))</f>
        <v/>
      </c>
      <c r="H965" s="24" t="str">
        <f t="shared" ca="1" si="95"/>
        <v/>
      </c>
      <c r="I965" s="25" t="str">
        <f>IF(OR(E965="",E965="!!!",F965="NEW"),"",INDEX(B$2:B964,-1+SUMPRODUCT(MAX(ROW(E$2:E964)*(E965=E$2:E964)))))</f>
        <v/>
      </c>
      <c r="J965" s="25" t="str">
        <f ca="1">IF(OR(E965="",E965="!!!",F965="NEW"),"",COUNTBLANK(OFFSET(A$1,,,SUMPRODUCT(MAX(ROW(E$2:E965)*(E965=E$2:E965)))))-COUNTBLANK(OFFSET(A$1,,,SUMPRODUCT(MAX(ROW(E$1:E964)*(E2=E$1:E964))))))</f>
        <v/>
      </c>
      <c r="K965" s="25" t="str">
        <f>IF(OR(E965="",E965="!!!",F965="NEW"),"",INDEX(J$1:J964,SUMPRODUCT(MAX(ROW(E$1:E964)*(E965=E$1:E964)))))</f>
        <v/>
      </c>
      <c r="L965" s="26"/>
    </row>
    <row r="966" spans="1:12" x14ac:dyDescent="0.3">
      <c r="A966" t="s">
        <v>706</v>
      </c>
      <c r="B966" s="20" t="s">
        <v>196</v>
      </c>
      <c r="C966" s="20" t="s">
        <v>197</v>
      </c>
      <c r="E966" s="21" t="str">
        <f t="shared" si="94"/>
        <v/>
      </c>
      <c r="F966" s="22" t="str">
        <f>IF(OR(E966="",E966="!!!"),"",IF(NOT(ISNA(VLOOKUP(E966,E$1:E965,1,FALSE()))),"OLD",IF(AND(E966&lt;&gt;"",E966&lt;&gt;"!!!"),"NEW","")))</f>
        <v/>
      </c>
      <c r="G966" s="23" t="str">
        <f>IF(OR(E966="",E966="!!!"),"",IF(OR(J966=0,AND(J966=1,K966=1),AND(J966=1,I966="SBJ"),AND(J966=1,I966=0)),"?IN_FOCUS",IF(J966&lt;=2,"?ACTIVATED",IF(J966&lt;&gt;"","?FAMILIAR",IF(F966="NEW",IF(ISNA(VLOOKUP(E966,#REF!,1,FALSE())),"?TYPE_IDENTIFIABLE","?REFERENTIAL"),"_")))))</f>
        <v/>
      </c>
      <c r="H966" s="24" t="str">
        <f t="shared" ca="1" si="95"/>
        <v/>
      </c>
      <c r="I966" s="25" t="str">
        <f>IF(OR(E966="",E966="!!!",F966="NEW"),"",INDEX(B$2:B965,-1+SUMPRODUCT(MAX(ROW(E$2:E965)*(E966=E$2:E965)))))</f>
        <v/>
      </c>
      <c r="J966" s="25" t="str">
        <f ca="1">IF(OR(E966="",E966="!!!",F966="NEW"),"",COUNTBLANK(OFFSET(A$1,,,SUMPRODUCT(MAX(ROW(E$2:E966)*(E966=E$2:E966)))))-COUNTBLANK(OFFSET(A$1,,,SUMPRODUCT(MAX(ROW(E$1:E965)*(E2=E$1:E965))))))</f>
        <v/>
      </c>
      <c r="K966" s="25" t="str">
        <f>IF(OR(E966="",E966="!!!",F966="NEW"),"",INDEX(J$1:J965,SUMPRODUCT(MAX(ROW(E$1:E965)*(E966=E$1:E965)))))</f>
        <v/>
      </c>
      <c r="L966" s="26"/>
    </row>
    <row r="967" spans="1:12" x14ac:dyDescent="0.3">
      <c r="A967" t="s">
        <v>11</v>
      </c>
      <c r="E967" s="21" t="str">
        <f t="shared" si="94"/>
        <v/>
      </c>
      <c r="F967" s="22" t="str">
        <f>IF(OR(E967="",E967="!!!"),"",IF(NOT(ISNA(VLOOKUP(E967,E$1:E966,1,FALSE()))),"OLD",IF(AND(E967&lt;&gt;"",E967&lt;&gt;"!!!"),"NEW","")))</f>
        <v/>
      </c>
      <c r="G967" s="23" t="str">
        <f>IF(OR(E967="",E967="!!!"),"",IF(OR(J967=0,AND(J967=1,K967=1),AND(J967=1,I967="SBJ"),AND(J967=1,I967=0)),"?IN_FOCUS",IF(J967&lt;=2,"?ACTIVATED",IF(J967&lt;&gt;"","?FAMILIAR",IF(F967="NEW",IF(ISNA(VLOOKUP(E967,#REF!,1,FALSE())),"?TYPE_IDENTIFIABLE","?REFERENTIAL"),"_")))))</f>
        <v/>
      </c>
      <c r="H967" s="24" t="str">
        <f t="shared" ca="1" si="95"/>
        <v/>
      </c>
      <c r="I967" s="25" t="str">
        <f>IF(OR(E967="",E967="!!!",F967="NEW"),"",INDEX(B$2:B966,-1+SUMPRODUCT(MAX(ROW(E$2:E966)*(E967=E$2:E966)))))</f>
        <v/>
      </c>
      <c r="J967" s="25" t="str">
        <f ca="1">IF(OR(E967="",E967="!!!",F967="NEW"),"",COUNTBLANK(OFFSET(A$1,,,SUMPRODUCT(MAX(ROW(E$2:E967)*(E967=E$2:E967)))))-COUNTBLANK(OFFSET(A$1,,,SUMPRODUCT(MAX(ROW(E$1:E966)*(E2=E$1:E966))))))</f>
        <v/>
      </c>
      <c r="K967" s="25" t="str">
        <f>IF(OR(E967="",E967="!!!",F967="NEW"),"",INDEX(J$1:J966,SUMPRODUCT(MAX(ROW(E$1:E966)*(E967=E$1:E966)))))</f>
        <v/>
      </c>
      <c r="L967" s="26"/>
    </row>
    <row r="968" spans="1:12" x14ac:dyDescent="0.3">
      <c r="A968" t="s">
        <v>187</v>
      </c>
      <c r="E968" s="21" t="str">
        <f t="shared" si="94"/>
        <v/>
      </c>
      <c r="F968" s="22" t="str">
        <f>IF(OR(E968="",E968="!!!"),"",IF(NOT(ISNA(VLOOKUP(E968,E$1:E967,1,FALSE()))),"OLD",IF(AND(E968&lt;&gt;"",E968&lt;&gt;"!!!"),"NEW","")))</f>
        <v/>
      </c>
      <c r="G968" s="23" t="str">
        <f>IF(OR(E968="",E968="!!!"),"",IF(OR(J968=0,AND(J968=1,K968=1),AND(J968=1,I968="SBJ"),AND(J968=1,I968=0)),"?IN_FOCUS",IF(J968&lt;=2,"?ACTIVATED",IF(J968&lt;&gt;"","?FAMILIAR",IF(F968="NEW",IF(ISNA(VLOOKUP(E968,#REF!,1,FALSE())),"?TYPE_IDENTIFIABLE","?REFERENTIAL"),"_")))))</f>
        <v/>
      </c>
      <c r="H968" s="24" t="str">
        <f t="shared" ca="1" si="95"/>
        <v/>
      </c>
      <c r="I968" s="25" t="str">
        <f>IF(OR(E968="",E968="!!!",F968="NEW"),"",INDEX(B$2:B967,-1+SUMPRODUCT(MAX(ROW(E$2:E967)*(E968=E$2:E967)))))</f>
        <v/>
      </c>
      <c r="J968" s="25" t="str">
        <f ca="1">IF(OR(E968="",E968="!!!",F968="NEW"),"",COUNTBLANK(OFFSET(A$1,,,SUMPRODUCT(MAX(ROW(E$2:E968)*(E968=E$2:E968)))))-COUNTBLANK(OFFSET(A$1,,,SUMPRODUCT(MAX(ROW(E$1:E967)*(E2=E$1:E967))))))</f>
        <v/>
      </c>
      <c r="K968" s="25" t="str">
        <f>IF(OR(E968="",E968="!!!",F968="NEW"),"",INDEX(J$1:J967,SUMPRODUCT(MAX(ROW(E$1:E967)*(E968=E$1:E967)))))</f>
        <v/>
      </c>
      <c r="L968" s="26"/>
    </row>
    <row r="969" spans="1:12" x14ac:dyDescent="0.3">
      <c r="A969" t="s">
        <v>707</v>
      </c>
      <c r="E969" s="21" t="str">
        <f t="shared" si="94"/>
        <v/>
      </c>
      <c r="F969" s="22" t="str">
        <f>IF(OR(E969="",E969="!!!"),"",IF(NOT(ISNA(VLOOKUP(E969,E$1:E968,1,FALSE()))),"OLD",IF(AND(E969&lt;&gt;"",E969&lt;&gt;"!!!"),"NEW","")))</f>
        <v/>
      </c>
      <c r="G969" s="23" t="str">
        <f>IF(OR(E969="",E969="!!!"),"",IF(OR(J969=0,AND(J969=1,K969=1),AND(J969=1,I969="SBJ"),AND(J969=1,I969=0)),"?IN_FOCUS",IF(J969&lt;=2,"?ACTIVATED",IF(J969&lt;&gt;"","?FAMILIAR",IF(F969="NEW",IF(ISNA(VLOOKUP(E969,#REF!,1,FALSE())),"?TYPE_IDENTIFIABLE","?REFERENTIAL"),"_")))))</f>
        <v/>
      </c>
      <c r="H969" s="24" t="str">
        <f t="shared" ca="1" si="95"/>
        <v/>
      </c>
      <c r="I969" s="25" t="str">
        <f>IF(OR(E969="",E969="!!!",F969="NEW"),"",INDEX(B$2:B968,-1+SUMPRODUCT(MAX(ROW(E$2:E968)*(E969=E$2:E968)))))</f>
        <v/>
      </c>
      <c r="J969" s="25" t="str">
        <f ca="1">IF(OR(E969="",E969="!!!",F969="NEW"),"",COUNTBLANK(OFFSET(A$1,,,SUMPRODUCT(MAX(ROW(E$2:E969)*(E969=E$2:E969)))))-COUNTBLANK(OFFSET(A$1,,,SUMPRODUCT(MAX(ROW(E$1:E968)*(E2=E$1:E968))))))</f>
        <v/>
      </c>
      <c r="K969" s="25" t="str">
        <f>IF(OR(E969="",E969="!!!",F969="NEW"),"",INDEX(J$1:J968,SUMPRODUCT(MAX(ROW(E$1:E968)*(E969=E$1:E968)))))</f>
        <v/>
      </c>
      <c r="L969" s="26"/>
    </row>
    <row r="970" spans="1:12" x14ac:dyDescent="0.3">
      <c r="A970" t="s">
        <v>233</v>
      </c>
      <c r="E970" s="21" t="str">
        <f t="shared" si="94"/>
        <v/>
      </c>
      <c r="F970" s="22" t="str">
        <f>IF(OR(E970="",E970="!!!"),"",IF(NOT(ISNA(VLOOKUP(E970,E$1:E969,1,FALSE()))),"OLD",IF(AND(E970&lt;&gt;"",E970&lt;&gt;"!!!"),"NEW","")))</f>
        <v/>
      </c>
      <c r="G970" s="23" t="str">
        <f>IF(OR(E970="",E970="!!!"),"",IF(OR(J970=0,AND(J970=1,K970=1),AND(J970=1,I970="SBJ"),AND(J970=1,I970=0)),"?IN_FOCUS",IF(J970&lt;=2,"?ACTIVATED",IF(J970&lt;&gt;"","?FAMILIAR",IF(F970="NEW",IF(ISNA(VLOOKUP(E970,#REF!,1,FALSE())),"?TYPE_IDENTIFIABLE","?REFERENTIAL"),"_")))))</f>
        <v/>
      </c>
      <c r="H970" s="24" t="str">
        <f t="shared" ca="1" si="95"/>
        <v/>
      </c>
      <c r="I970" s="25" t="str">
        <f>IF(OR(E970="",E970="!!!",F970="NEW"),"",INDEX(B$2:B969,-1+SUMPRODUCT(MAX(ROW(E$2:E969)*(E970=E$2:E969)))))</f>
        <v/>
      </c>
      <c r="J970" s="25" t="str">
        <f ca="1">IF(OR(E970="",E970="!!!",F970="NEW"),"",COUNTBLANK(OFFSET(A$1,,,SUMPRODUCT(MAX(ROW(E$2:E970)*(E970=E$2:E970)))))-COUNTBLANK(OFFSET(A$1,,,SUMPRODUCT(MAX(ROW(E$1:E969)*(E2=E$1:E969))))))</f>
        <v/>
      </c>
      <c r="K970" s="25" t="str">
        <f>IF(OR(E970="",E970="!!!",F970="NEW"),"",INDEX(J$1:J969,SUMPRODUCT(MAX(ROW(E$1:E969)*(E970=E$1:E969)))))</f>
        <v/>
      </c>
      <c r="L970" s="26"/>
    </row>
    <row r="971" spans="1:12" x14ac:dyDescent="0.3">
      <c r="A971" t="s">
        <v>708</v>
      </c>
      <c r="B971" s="20" t="s">
        <v>219</v>
      </c>
      <c r="C971" s="20" t="s">
        <v>185</v>
      </c>
      <c r="D971" s="20" t="s">
        <v>186</v>
      </c>
      <c r="E971" s="21"/>
      <c r="F971" s="22" t="s">
        <v>729</v>
      </c>
      <c r="G971" s="23" t="str">
        <f>IF(OR(E971="",E971="!!!"),"",IF(OR(J971=0,AND(J971=1,K971=1),AND(J971=1,I971="SBJ"),AND(J971=1,I971=0)),"?IN_FOCUS",IF(J971&lt;=2,"?ACTIVATED",IF(J971&lt;&gt;"","?FAMILIAR",IF(F971="NEW",IF(ISNA(VLOOKUP(E971,#REF!,1,FALSE())),"?TYPE_IDENTIFIABLE","?REFERENTIAL"),"_")))))</f>
        <v/>
      </c>
      <c r="H971" s="24" t="str">
        <f t="shared" ca="1" si="95"/>
        <v/>
      </c>
      <c r="I971" s="25" t="str">
        <f>IF(OR(E971="",E971="!!!",F971="NEW"),"",INDEX(B$2:B970,-1+SUMPRODUCT(MAX(ROW(E$2:E970)*(E971=E$2:E970)))))</f>
        <v/>
      </c>
      <c r="J971" s="25" t="str">
        <f ca="1">IF(OR(E971="",E971="!!!",F971="NEW"),"",COUNTBLANK(OFFSET(A$1,,,SUMPRODUCT(MAX(ROW(E$2:E971)*(E971=E$2:E971)))))-COUNTBLANK(OFFSET(A$1,,,SUMPRODUCT(MAX(ROW(E$1:E970)*(E2=E$1:E970))))))</f>
        <v/>
      </c>
      <c r="K971" s="25" t="str">
        <f>IF(OR(E971="",E971="!!!",F971="NEW"),"",INDEX(J$1:J970,SUMPRODUCT(MAX(ROW(E$1:E970)*(E971=E$1:E970)))))</f>
        <v/>
      </c>
      <c r="L971" s="26"/>
    </row>
    <row r="972" spans="1:12" x14ac:dyDescent="0.3">
      <c r="A972" t="s">
        <v>296</v>
      </c>
      <c r="E972" s="21" t="str">
        <f t="shared" si="94"/>
        <v/>
      </c>
      <c r="F972" s="22" t="str">
        <f>IF(OR(E972="",E972="!!!"),"",IF(NOT(ISNA(VLOOKUP(E972,E$1:E971,1,FALSE()))),"OLD",IF(AND(E972&lt;&gt;"",E972&lt;&gt;"!!!"),"NEW","")))</f>
        <v/>
      </c>
      <c r="G972" s="23" t="str">
        <f>IF(OR(E972="",E972="!!!"),"",IF(OR(J972=0,AND(J972=1,K972=1),AND(J972=1,I972="SBJ"),AND(J972=1,I972=0)),"?IN_FOCUS",IF(J972&lt;=2,"?ACTIVATED",IF(J972&lt;&gt;"","?FAMILIAR",IF(F972="NEW",IF(ISNA(VLOOKUP(E972,#REF!,1,FALSE())),"?TYPE_IDENTIFIABLE","?REFERENTIAL"),"_")))))</f>
        <v/>
      </c>
      <c r="H972" s="24" t="str">
        <f t="shared" ca="1" si="95"/>
        <v/>
      </c>
      <c r="I972" s="25" t="str">
        <f>IF(OR(E972="",E972="!!!",F972="NEW"),"",INDEX(B$2:B971,-1+SUMPRODUCT(MAX(ROW(E$2:E971)*(E972=E$2:E971)))))</f>
        <v/>
      </c>
      <c r="J972" s="25" t="str">
        <f ca="1">IF(OR(E972="",E972="!!!",F972="NEW"),"",COUNTBLANK(OFFSET(A$1,,,SUMPRODUCT(MAX(ROW(E$2:E972)*(E972=E$2:E972)))))-COUNTBLANK(OFFSET(A$1,,,SUMPRODUCT(MAX(ROW(E$1:E971)*(E2=E$1:E971))))))</f>
        <v/>
      </c>
      <c r="K972" s="25" t="str">
        <f>IF(OR(E972="",E972="!!!",F972="NEW"),"",INDEX(J$1:J971,SUMPRODUCT(MAX(ROW(E$1:E971)*(E972=E$1:E971)))))</f>
        <v/>
      </c>
      <c r="L972" s="26"/>
    </row>
    <row r="973" spans="1:12" x14ac:dyDescent="0.3">
      <c r="A973" t="s">
        <v>229</v>
      </c>
      <c r="E973" s="21" t="str">
        <f t="shared" si="94"/>
        <v/>
      </c>
      <c r="F973" s="22" t="str">
        <f>IF(OR(E973="",E973="!!!"),"",IF(NOT(ISNA(VLOOKUP(E973,E$1:E972,1,FALSE()))),"OLD",IF(AND(E973&lt;&gt;"",E973&lt;&gt;"!!!"),"NEW","")))</f>
        <v/>
      </c>
      <c r="G973" s="23" t="str">
        <f>IF(OR(E973="",E973="!!!"),"",IF(OR(J973=0,AND(J973=1,K973=1),AND(J973=1,I973="SBJ"),AND(J973=1,I973=0)),"?IN_FOCUS",IF(J973&lt;=2,"?ACTIVATED",IF(J973&lt;&gt;"","?FAMILIAR",IF(F973="NEW",IF(ISNA(VLOOKUP(E973,#REF!,1,FALSE())),"?TYPE_IDENTIFIABLE","?REFERENTIAL"),"_")))))</f>
        <v/>
      </c>
      <c r="H973" s="24" t="str">
        <f t="shared" ca="1" si="95"/>
        <v/>
      </c>
      <c r="I973" s="25" t="str">
        <f>IF(OR(E973="",E973="!!!",F973="NEW"),"",INDEX(B$2:B972,-1+SUMPRODUCT(MAX(ROW(E$2:E972)*(E973=E$2:E972)))))</f>
        <v/>
      </c>
      <c r="J973" s="25" t="str">
        <f ca="1">IF(OR(E973="",E973="!!!",F973="NEW"),"",COUNTBLANK(OFFSET(A$1,,,SUMPRODUCT(MAX(ROW(E$2:E973)*(E973=E$2:E973)))))-COUNTBLANK(OFFSET(A$1,,,SUMPRODUCT(MAX(ROW(E$1:E972)*(E2=E$1:E972))))))</f>
        <v/>
      </c>
      <c r="K973" s="25" t="str">
        <f>IF(OR(E973="",E973="!!!",F973="NEW"),"",INDEX(J$1:J972,SUMPRODUCT(MAX(ROW(E$1:E972)*(E973=E$1:E972)))))</f>
        <v/>
      </c>
      <c r="L973" s="26"/>
    </row>
    <row r="974" spans="1:12" x14ac:dyDescent="0.3">
      <c r="A974" t="s">
        <v>709</v>
      </c>
      <c r="E974" s="21" t="str">
        <f t="shared" si="94"/>
        <v/>
      </c>
      <c r="F974" s="22" t="str">
        <f>IF(OR(E974="",E974="!!!"),"",IF(NOT(ISNA(VLOOKUP(E974,E$1:E973,1,FALSE()))),"OLD",IF(AND(E974&lt;&gt;"",E974&lt;&gt;"!!!"),"NEW","")))</f>
        <v/>
      </c>
      <c r="G974" s="23" t="str">
        <f>IF(OR(E974="",E974="!!!"),"",IF(OR(J974=0,AND(J974=1,K974=1),AND(J974=1,I974="SBJ"),AND(J974=1,I974=0)),"?IN_FOCUS",IF(J974&lt;=2,"?ACTIVATED",IF(J974&lt;&gt;"","?FAMILIAR",IF(F974="NEW",IF(ISNA(VLOOKUP(E974,#REF!,1,FALSE())),"?TYPE_IDENTIFIABLE","?REFERENTIAL"),"_")))))</f>
        <v/>
      </c>
      <c r="H974" s="24" t="str">
        <f t="shared" ca="1" si="95"/>
        <v/>
      </c>
      <c r="I974" s="25" t="str">
        <f>IF(OR(E974="",E974="!!!",F974="NEW"),"",INDEX(B$2:B973,-1+SUMPRODUCT(MAX(ROW(E$2:E973)*(E974=E$2:E973)))))</f>
        <v/>
      </c>
      <c r="J974" s="25" t="str">
        <f ca="1">IF(OR(E974="",E974="!!!",F974="NEW"),"",COUNTBLANK(OFFSET(A$1,,,SUMPRODUCT(MAX(ROW(E$2:E974)*(E974=E$2:E974)))))-COUNTBLANK(OFFSET(A$1,,,SUMPRODUCT(MAX(ROW(E$1:E973)*(E2=E$1:E973))))))</f>
        <v/>
      </c>
      <c r="K974" s="25" t="str">
        <f>IF(OR(E974="",E974="!!!",F974="NEW"),"",INDEX(J$1:J973,SUMPRODUCT(MAX(ROW(E$1:E973)*(E974=E$1:E973)))))</f>
        <v/>
      </c>
      <c r="L974" s="26"/>
    </row>
    <row r="975" spans="1:12" x14ac:dyDescent="0.3">
      <c r="A975" t="s">
        <v>710</v>
      </c>
      <c r="B975" s="20" t="s">
        <v>184</v>
      </c>
      <c r="C975" s="20" t="s">
        <v>193</v>
      </c>
      <c r="E975" s="21" t="str">
        <f t="shared" si="94"/>
        <v/>
      </c>
      <c r="F975" s="22" t="str">
        <f>IF(OR(E975="",E975="!!!"),"",IF(NOT(ISNA(VLOOKUP(E975,E$1:E974,1,FALSE()))),"OLD",IF(AND(E975&lt;&gt;"",E975&lt;&gt;"!!!"),"NEW","")))</f>
        <v/>
      </c>
      <c r="G975" s="23" t="str">
        <f>IF(OR(E975="",E975="!!!"),"",IF(OR(J975=0,AND(J975=1,K975=1),AND(J975=1,I975="SBJ"),AND(J975=1,I975=0)),"?IN_FOCUS",IF(J975&lt;=2,"?ACTIVATED",IF(J975&lt;&gt;"","?FAMILIAR",IF(F975="NEW",IF(ISNA(VLOOKUP(E975,#REF!,1,FALSE())),"?TYPE_IDENTIFIABLE","?REFERENTIAL"),"_")))))</f>
        <v/>
      </c>
      <c r="H975" s="24" t="str">
        <f t="shared" ca="1" si="95"/>
        <v/>
      </c>
      <c r="I975" s="25" t="str">
        <f>IF(OR(E975="",E975="!!!",F975="NEW"),"",INDEX(B$2:B974,-1+SUMPRODUCT(MAX(ROW(E$2:E974)*(E975=E$2:E974)))))</f>
        <v/>
      </c>
      <c r="J975" s="25" t="str">
        <f ca="1">IF(OR(E975="",E975="!!!",F975="NEW"),"",COUNTBLANK(OFFSET(A$1,,,SUMPRODUCT(MAX(ROW(E$2:E975)*(E975=E$2:E975)))))-COUNTBLANK(OFFSET(A$1,,,SUMPRODUCT(MAX(ROW(E$1:E974)*(E2=E$1:E974))))))</f>
        <v/>
      </c>
      <c r="K975" s="25" t="str">
        <f>IF(OR(E975="",E975="!!!",F975="NEW"),"",INDEX(J$1:J974,SUMPRODUCT(MAX(ROW(E$1:E974)*(E975=E$1:E974)))))</f>
        <v/>
      </c>
      <c r="L975" s="26"/>
    </row>
    <row r="976" spans="1:12" x14ac:dyDescent="0.3">
      <c r="A976" t="s">
        <v>206</v>
      </c>
      <c r="E976" s="21" t="str">
        <f t="shared" si="94"/>
        <v/>
      </c>
      <c r="F976" s="22" t="str">
        <f>IF(OR(E976="",E976="!!!"),"",IF(NOT(ISNA(VLOOKUP(E976,E$1:E975,1,FALSE()))),"OLD",IF(AND(E976&lt;&gt;"",E976&lt;&gt;"!!!"),"NEW","")))</f>
        <v/>
      </c>
      <c r="G976" s="23" t="str">
        <f>IF(OR(E976="",E976="!!!"),"",IF(OR(J976=0,AND(J976=1,K976=1),AND(J976=1,I976="SBJ"),AND(J976=1,I976=0)),"?IN_FOCUS",IF(J976&lt;=2,"?ACTIVATED",IF(J976&lt;&gt;"","?FAMILIAR",IF(F976="NEW",IF(ISNA(VLOOKUP(E976,#REF!,1,FALSE())),"?TYPE_IDENTIFIABLE","?REFERENTIAL"),"_")))))</f>
        <v/>
      </c>
      <c r="H976" s="24" t="str">
        <f t="shared" ca="1" si="95"/>
        <v/>
      </c>
      <c r="I976" s="25" t="str">
        <f>IF(OR(E976="",E976="!!!",F976="NEW"),"",INDEX(B$2:B975,-1+SUMPRODUCT(MAX(ROW(E$2:E975)*(E976=E$2:E975)))))</f>
        <v/>
      </c>
      <c r="J976" s="25" t="str">
        <f ca="1">IF(OR(E976="",E976="!!!",F976="NEW"),"",COUNTBLANK(OFFSET(A$1,,,SUMPRODUCT(MAX(ROW(E$2:E976)*(E976=E$2:E976)))))-COUNTBLANK(OFFSET(A$1,,,SUMPRODUCT(MAX(ROW(E$1:E975)*(E2=E$1:E975))))))</f>
        <v/>
      </c>
      <c r="K976" s="25" t="str">
        <f>IF(OR(E976="",E976="!!!",F976="NEW"),"",INDEX(J$1:J975,SUMPRODUCT(MAX(ROW(E$1:E975)*(E976=E$1:E975)))))</f>
        <v/>
      </c>
      <c r="L976" s="26"/>
    </row>
    <row r="977" spans="1:12" x14ac:dyDescent="0.3">
      <c r="A977" t="s">
        <v>250</v>
      </c>
      <c r="E977" s="21" t="str">
        <f t="shared" si="94"/>
        <v/>
      </c>
      <c r="F977" s="22" t="str">
        <f>IF(OR(E977="",E977="!!!"),"",IF(NOT(ISNA(VLOOKUP(E977,E$1:E976,1,FALSE()))),"OLD",IF(AND(E977&lt;&gt;"",E977&lt;&gt;"!!!"),"NEW","")))</f>
        <v/>
      </c>
      <c r="G977" s="23" t="str">
        <f>IF(OR(E977="",E977="!!!"),"",IF(OR(J977=0,AND(J977=1,K977=1),AND(J977=1,I977="SBJ"),AND(J977=1,I977=0)),"?IN_FOCUS",IF(J977&lt;=2,"?ACTIVATED",IF(J977&lt;&gt;"","?FAMILIAR",IF(F977="NEW",IF(ISNA(VLOOKUP(E977,#REF!,1,FALSE())),"?TYPE_IDENTIFIABLE","?REFERENTIAL"),"_")))))</f>
        <v/>
      </c>
      <c r="H977" s="24" t="str">
        <f t="shared" ca="1" si="95"/>
        <v/>
      </c>
      <c r="I977" s="25" t="str">
        <f>IF(OR(E977="",E977="!!!",F977="NEW"),"",INDEX(B$2:B976,-1+SUMPRODUCT(MAX(ROW(E$2:E976)*(E977=E$2:E976)))))</f>
        <v/>
      </c>
      <c r="J977" s="25" t="str">
        <f ca="1">IF(OR(E977="",E977="!!!",F977="NEW"),"",COUNTBLANK(OFFSET(A$1,,,SUMPRODUCT(MAX(ROW(E$2:E977)*(E977=E$2:E977)))))-COUNTBLANK(OFFSET(A$1,,,SUMPRODUCT(MAX(ROW(E$1:E976)*(E2=E$1:E976))))))</f>
        <v/>
      </c>
      <c r="K977" s="25" t="str">
        <f>IF(OR(E977="",E977="!!!",F977="NEW"),"",INDEX(J$1:J976,SUMPRODUCT(MAX(ROW(E$1:E976)*(E977=E$1:E976)))))</f>
        <v/>
      </c>
      <c r="L977" s="26"/>
    </row>
    <row r="978" spans="1:12" x14ac:dyDescent="0.3">
      <c r="A978" t="s">
        <v>361</v>
      </c>
      <c r="E978" s="21" t="str">
        <f t="shared" si="94"/>
        <v/>
      </c>
      <c r="F978" s="22" t="str">
        <f>IF(OR(E978="",E978="!!!"),"",IF(NOT(ISNA(VLOOKUP(E978,E$1:E977,1,FALSE()))),"OLD",IF(AND(E978&lt;&gt;"",E978&lt;&gt;"!!!"),"NEW","")))</f>
        <v/>
      </c>
      <c r="G978" s="23" t="str">
        <f>IF(OR(E978="",E978="!!!"),"",IF(OR(J978=0,AND(J978=1,K978=1),AND(J978=1,I978="SBJ"),AND(J978=1,I978=0)),"?IN_FOCUS",IF(J978&lt;=2,"?ACTIVATED",IF(J978&lt;&gt;"","?FAMILIAR",IF(F978="NEW",IF(ISNA(VLOOKUP(E978,#REF!,1,FALSE())),"?TYPE_IDENTIFIABLE","?REFERENTIAL"),"_")))))</f>
        <v/>
      </c>
      <c r="H978" s="24" t="str">
        <f t="shared" ca="1" si="95"/>
        <v/>
      </c>
      <c r="I978" s="25" t="str">
        <f>IF(OR(E978="",E978="!!!",F978="NEW"),"",INDEX(B$2:B977,-1+SUMPRODUCT(MAX(ROW(E$2:E977)*(E978=E$2:E977)))))</f>
        <v/>
      </c>
      <c r="J978" s="25" t="str">
        <f ca="1">IF(OR(E978="",E978="!!!",F978="NEW"),"",COUNTBLANK(OFFSET(A$1,,,SUMPRODUCT(MAX(ROW(E$2:E978)*(E978=E$2:E978)))))-COUNTBLANK(OFFSET(A$1,,,SUMPRODUCT(MAX(ROW(E$1:E977)*(E2=E$1:E977))))))</f>
        <v/>
      </c>
      <c r="K978" s="25" t="str">
        <f>IF(OR(E978="",E978="!!!",F978="NEW"),"",INDEX(J$1:J977,SUMPRODUCT(MAX(ROW(E$1:E977)*(E978=E$1:E977)))))</f>
        <v/>
      </c>
      <c r="L978" s="26"/>
    </row>
    <row r="979" spans="1:12" x14ac:dyDescent="0.3">
      <c r="A979" t="s">
        <v>711</v>
      </c>
      <c r="B979" s="20" t="s">
        <v>201</v>
      </c>
      <c r="C979" s="20" t="s">
        <v>185</v>
      </c>
      <c r="D979" s="20" t="s">
        <v>186</v>
      </c>
      <c r="E979" s="21"/>
      <c r="F979" s="22" t="str">
        <f>IF(OR(E979="",E979="!!!"),"",IF(NOT(ISNA(VLOOKUP(E979,E$1:E978,1,FALSE()))),"OLD",IF(AND(E979&lt;&gt;"",E979&lt;&gt;"!!!"),"NEW","")))</f>
        <v/>
      </c>
      <c r="G979" s="23" t="str">
        <f>IF(OR(E979="",E979="!!!"),"",IF(OR(J979=0,AND(J979=1,K979=1),AND(J979=1,I979="SBJ"),AND(J979=1,I979=0)),"?IN_FOCUS",IF(J979&lt;=2,"?ACTIVATED",IF(J979&lt;&gt;"","?FAMILIAR",IF(F979="NEW",IF(ISNA(VLOOKUP(E979,#REF!,1,FALSE())),"?TYPE_IDENTIFIABLE","?REFERENTIAL"),"_")))))</f>
        <v/>
      </c>
      <c r="H979" s="24" t="str">
        <f t="shared" ca="1" si="95"/>
        <v/>
      </c>
      <c r="I979" s="25" t="str">
        <f>IF(OR(E979="",E979="!!!",F979="NEW"),"",INDEX(B$2:B978,-1+SUMPRODUCT(MAX(ROW(E$2:E978)*(E979=E$2:E978)))))</f>
        <v/>
      </c>
      <c r="J979" s="25" t="str">
        <f ca="1">IF(OR(E979="",E979="!!!",F979="NEW"),"",COUNTBLANK(OFFSET(A$1,,,SUMPRODUCT(MAX(ROW(E$2:E979)*(E979=E$2:E979)))))-COUNTBLANK(OFFSET(A$1,,,SUMPRODUCT(MAX(ROW(E$1:E978)*(E2=E$1:E978))))))</f>
        <v/>
      </c>
      <c r="K979" s="25" t="str">
        <f>IF(OR(E979="",E979="!!!",F979="NEW"),"",INDEX(J$1:J978,SUMPRODUCT(MAX(ROW(E$1:E978)*(E979=E$1:E978)))))</f>
        <v/>
      </c>
      <c r="L979" s="26" t="s">
        <v>771</v>
      </c>
    </row>
    <row r="980" spans="1:12" x14ac:dyDescent="0.3">
      <c r="A980" t="s">
        <v>11</v>
      </c>
      <c r="E980" s="21" t="str">
        <f t="shared" si="94"/>
        <v/>
      </c>
      <c r="F980" s="22" t="str">
        <f>IF(OR(E980="",E980="!!!"),"",IF(NOT(ISNA(VLOOKUP(E980,E$1:E979,1,FALSE()))),"OLD",IF(AND(E980&lt;&gt;"",E980&lt;&gt;"!!!"),"NEW","")))</f>
        <v/>
      </c>
      <c r="G980" s="23" t="str">
        <f>IF(OR(E980="",E980="!!!"),"",IF(OR(J980=0,AND(J980=1,K980=1),AND(J980=1,I980="SBJ"),AND(J980=1,I980=0)),"?IN_FOCUS",IF(J980&lt;=2,"?ACTIVATED",IF(J980&lt;&gt;"","?FAMILIAR",IF(F980="NEW",IF(ISNA(VLOOKUP(E980,#REF!,1,FALSE())),"?TYPE_IDENTIFIABLE","?REFERENTIAL"),"_")))))</f>
        <v/>
      </c>
      <c r="H980" s="24" t="str">
        <f t="shared" ca="1" si="95"/>
        <v/>
      </c>
      <c r="I980" s="25" t="str">
        <f>IF(OR(E980="",E980="!!!",F980="NEW"),"",INDEX(B$2:B979,-1+SUMPRODUCT(MAX(ROW(E$2:E979)*(E980=E$2:E979)))))</f>
        <v/>
      </c>
      <c r="J980" s="25" t="str">
        <f ca="1">IF(OR(E980="",E980="!!!",F980="NEW"),"",COUNTBLANK(OFFSET(A$1,,,SUMPRODUCT(MAX(ROW(E$2:E980)*(E980=E$2:E980)))))-COUNTBLANK(OFFSET(A$1,,,SUMPRODUCT(MAX(ROW(E$1:E979)*(E2=E$1:E979))))))</f>
        <v/>
      </c>
      <c r="K980" s="25" t="str">
        <f>IF(OR(E980="",E980="!!!",F980="NEW"),"",INDEX(J$1:J979,SUMPRODUCT(MAX(ROW(E$1:E979)*(E980=E$1:E979)))))</f>
        <v/>
      </c>
      <c r="L980" s="26"/>
    </row>
    <row r="981" spans="1:12" x14ac:dyDescent="0.3">
      <c r="A981" t="s">
        <v>712</v>
      </c>
      <c r="E981" s="21" t="str">
        <f t="shared" si="94"/>
        <v/>
      </c>
      <c r="F981" s="22"/>
      <c r="G981" s="23" t="str">
        <f>IF(OR(E981="",E981="!!!"),"",IF(OR(J981=0,AND(J981=1,K981=1),AND(J981=1,I981="SBJ"),AND(J981=1,I981=0)),"?IN_FOCUS",IF(J981&lt;=2,"?ACTIVATED",IF(J981&lt;&gt;"","?FAMILIAR",IF(F981="NEW",IF(ISNA(VLOOKUP(E981,#REF!,1,FALSE())),"?TYPE_IDENTIFIABLE","?REFERENTIAL"),"_")))))</f>
        <v/>
      </c>
      <c r="H981" s="24" t="str">
        <f t="shared" ca="1" si="95"/>
        <v/>
      </c>
      <c r="I981" s="25" t="str">
        <f>IF(OR(E981="",E981="!!!",F981="NEW"),"",INDEX(B$2:B980,-1+SUMPRODUCT(MAX(ROW(E$2:E980)*(E981=E$2:E980)))))</f>
        <v/>
      </c>
      <c r="J981" s="25" t="str">
        <f ca="1">IF(OR(E981="",E981="!!!",F981="NEW"),"",COUNTBLANK(OFFSET(A$1,,,SUMPRODUCT(MAX(ROW(E$2:E981)*(E981=E$2:E981)))))-COUNTBLANK(OFFSET(A$1,,,SUMPRODUCT(MAX(ROW(E$1:E980)*(E2=E$1:E980))))))</f>
        <v/>
      </c>
      <c r="K981" s="25" t="str">
        <f>IF(OR(E981="",E981="!!!",F981="NEW"),"",INDEX(J$1:J980,SUMPRODUCT(MAX(ROW(E$1:E980)*(E981=E$1:E980)))))</f>
        <v/>
      </c>
      <c r="L981" s="26"/>
    </row>
    <row r="982" spans="1:12" x14ac:dyDescent="0.3">
      <c r="A982" t="s">
        <v>188</v>
      </c>
      <c r="B982" s="20" t="s">
        <v>196</v>
      </c>
      <c r="C982" s="20" t="s">
        <v>185</v>
      </c>
      <c r="D982" s="20" t="s">
        <v>186</v>
      </c>
      <c r="E982" s="21" t="s">
        <v>722</v>
      </c>
      <c r="F982" s="22" t="str">
        <f>IF(OR(E982="",E982="!!!"),"",IF(NOT(ISNA(VLOOKUP(E982,E$1:E981,1,FALSE()))),"OLD",IF(AND(E982&lt;&gt;"",E982&lt;&gt;"!!!"),"NEW","")))</f>
        <v>OLD</v>
      </c>
      <c r="G982" s="23" t="s">
        <v>808</v>
      </c>
      <c r="H982" s="24" t="str">
        <f t="shared" ca="1" si="95"/>
        <v/>
      </c>
      <c r="I982" s="25" t="str">
        <f>IF(OR(E982="",E982="!!!",F982="NEW"),"",INDEX(B$2:B981,-1+SUMPRODUCT(MAX(ROW(E$2:E981)*(E982=E$2:E981)))))</f>
        <v>other_2</v>
      </c>
      <c r="J982" s="25">
        <f ca="1">IF(OR(E982="",E982="!!!",F982="NEW"),"",COUNTBLANK(OFFSET(A$1,,,SUMPRODUCT(MAX(ROW(E$2:E982)*(E982=E$2:E982)))))-COUNTBLANK(OFFSET(A$1,,,SUMPRODUCT(MAX(ROW(E$1:E981)*(E2=E$1:E981))))))</f>
        <v>0</v>
      </c>
      <c r="K982" s="25">
        <f ca="1">IF(OR(E982="",E982="!!!",F982="NEW"),"",INDEX(J$1:J981,SUMPRODUCT(MAX(ROW(E$1:E981)*(E982=E$1:E981)))))</f>
        <v>0</v>
      </c>
      <c r="L982" s="26"/>
    </row>
    <row r="983" spans="1:12" x14ac:dyDescent="0.3">
      <c r="A983" t="s">
        <v>282</v>
      </c>
      <c r="E983" s="21" t="str">
        <f t="shared" si="94"/>
        <v/>
      </c>
      <c r="F983" s="22" t="str">
        <f>IF(OR(E983="",E983="!!!"),"",IF(NOT(ISNA(VLOOKUP(E983,E$1:E982,1,FALSE()))),"OLD",IF(AND(E983&lt;&gt;"",E983&lt;&gt;"!!!"),"NEW","")))</f>
        <v/>
      </c>
      <c r="G983" s="23" t="str">
        <f>IF(OR(E983="",E983="!!!"),"",IF(OR(J983=0,AND(J983=1,K983=1),AND(J983=1,I983="SBJ"),AND(J983=1,I983=0)),"?IN_FOCUS",IF(J983&lt;=2,"?ACTIVATED",IF(J983&lt;&gt;"","?FAMILIAR",IF(F983="NEW",IF(ISNA(VLOOKUP(E983,#REF!,1,FALSE())),"?TYPE_IDENTIFIABLE","?REFERENTIAL"),"_")))))</f>
        <v/>
      </c>
      <c r="H983" s="24" t="str">
        <f t="shared" ca="1" si="95"/>
        <v/>
      </c>
      <c r="I983" s="25" t="str">
        <f>IF(OR(E983="",E983="!!!",F983="NEW"),"",INDEX(B$2:B982,-1+SUMPRODUCT(MAX(ROW(E$2:E982)*(E983=E$2:E982)))))</f>
        <v/>
      </c>
      <c r="J983" s="25" t="str">
        <f ca="1">IF(OR(E983="",E983="!!!",F983="NEW"),"",COUNTBLANK(OFFSET(A$1,,,SUMPRODUCT(MAX(ROW(E$2:E983)*(E983=E$2:E983)))))-COUNTBLANK(OFFSET(A$1,,,SUMPRODUCT(MAX(ROW(E$1:E982)*(E2=E$1:E982))))))</f>
        <v/>
      </c>
      <c r="K983" s="25" t="str">
        <f>IF(OR(E983="",E983="!!!",F983="NEW"),"",INDEX(J$1:J982,SUMPRODUCT(MAX(ROW(E$1:E982)*(E983=E$1:E982)))))</f>
        <v/>
      </c>
      <c r="L983" s="26"/>
    </row>
    <row r="984" spans="1:12" x14ac:dyDescent="0.3">
      <c r="A984" t="s">
        <v>382</v>
      </c>
      <c r="E984" s="21" t="str">
        <f t="shared" si="94"/>
        <v/>
      </c>
      <c r="F984" s="22" t="str">
        <f>IF(OR(E984="",E984="!!!"),"",IF(NOT(ISNA(VLOOKUP(E984,E$1:E983,1,FALSE()))),"OLD",IF(AND(E984&lt;&gt;"",E984&lt;&gt;"!!!"),"NEW","")))</f>
        <v/>
      </c>
      <c r="G984" s="23" t="str">
        <f>IF(OR(E984="",E984="!!!"),"",IF(OR(J984=0,AND(J984=1,K984=1),AND(J984=1,I984="SBJ"),AND(J984=1,I984=0)),"?IN_FOCUS",IF(J984&lt;=2,"?ACTIVATED",IF(J984&lt;&gt;"","?FAMILIAR",IF(F984="NEW",IF(ISNA(VLOOKUP(E984,#REF!,1,FALSE())),"?TYPE_IDENTIFIABLE","?REFERENTIAL"),"_")))))</f>
        <v/>
      </c>
      <c r="H984" s="24" t="str">
        <f t="shared" ca="1" si="95"/>
        <v/>
      </c>
      <c r="I984" s="25" t="str">
        <f>IF(OR(E984="",E984="!!!",F984="NEW"),"",INDEX(B$2:B983,-1+SUMPRODUCT(MAX(ROW(E$2:E983)*(E984=E$2:E983)))))</f>
        <v/>
      </c>
      <c r="J984" s="25" t="str">
        <f ca="1">IF(OR(E984="",E984="!!!",F984="NEW"),"",COUNTBLANK(OFFSET(A$1,,,SUMPRODUCT(MAX(ROW(E$2:E984)*(E984=E$2:E984)))))-COUNTBLANK(OFFSET(A$1,,,SUMPRODUCT(MAX(ROW(E$1:E983)*(E2=E$1:E983))))))</f>
        <v/>
      </c>
      <c r="K984" s="25" t="str">
        <f>IF(OR(E984="",E984="!!!",F984="NEW"),"",INDEX(J$1:J983,SUMPRODUCT(MAX(ROW(E$1:E983)*(E984=E$1:E983)))))</f>
        <v/>
      </c>
      <c r="L984" s="26"/>
    </row>
    <row r="985" spans="1:12" x14ac:dyDescent="0.3">
      <c r="A985" t="s">
        <v>713</v>
      </c>
      <c r="B985" s="20" t="s">
        <v>201</v>
      </c>
      <c r="C985" s="20" t="s">
        <v>185</v>
      </c>
      <c r="D985" s="20" t="s">
        <v>186</v>
      </c>
      <c r="E985" s="21" t="s">
        <v>768</v>
      </c>
      <c r="F985" s="22" t="str">
        <f>IF(OR(E985="",E985="!!!"),"",IF(NOT(ISNA(VLOOKUP(E985,E$1:E984,1,FALSE()))),"OLD",IF(AND(E985&lt;&gt;"",E985&lt;&gt;"!!!"),"NEW","")))</f>
        <v>OLD</v>
      </c>
      <c r="G985" s="23" t="s">
        <v>723</v>
      </c>
      <c r="H985" s="24" t="str">
        <f t="shared" ca="1" si="95"/>
        <v/>
      </c>
      <c r="I985" s="25" t="str">
        <f>IF(OR(E985="",E985="!!!",F985="NEW"),"",INDEX(B$2:B984,-1+SUMPRODUCT(MAX(ROW(E$2:E984)*(E985=E$2:E984)))))</f>
        <v>other_2</v>
      </c>
      <c r="J985" s="25">
        <f ca="1">IF(OR(E985="",E985="!!!",F985="NEW"),"",COUNTBLANK(OFFSET(A$1,,,SUMPRODUCT(MAX(ROW(E$2:E985)*(E985=E$2:E985)))))-COUNTBLANK(OFFSET(A$1,,,SUMPRODUCT(MAX(ROW(E$1:E984)*(E2=E$1:E984))))))</f>
        <v>0</v>
      </c>
      <c r="K985" s="25" t="str">
        <f ca="1">IF(OR(E985="",E985="!!!",F985="NEW"),"",INDEX(J$1:J984,SUMPRODUCT(MAX(ROW(E$1:E984)*(E985=E$1:E984)))))</f>
        <v/>
      </c>
      <c r="L985" s="26"/>
    </row>
    <row r="986" spans="1:12" x14ac:dyDescent="0.3">
      <c r="A986" t="s">
        <v>714</v>
      </c>
      <c r="E986" s="21" t="str">
        <f t="shared" si="94"/>
        <v/>
      </c>
      <c r="F986" s="22" t="str">
        <f>IF(OR(E986="",E986="!!!"),"",IF(NOT(ISNA(VLOOKUP(E986,E$1:E985,1,FALSE()))),"OLD",IF(AND(E986&lt;&gt;"",E986&lt;&gt;"!!!"),"NEW","")))</f>
        <v/>
      </c>
      <c r="G986" s="23" t="str">
        <f>IF(OR(E986="",E986="!!!"),"",IF(OR(J986=0,AND(J986=1,K986=1),AND(J986=1,I986="SBJ"),AND(J986=1,I986=0)),"?IN_FOCUS",IF(J986&lt;=2,"?ACTIVATED",IF(J986&lt;&gt;"","?FAMILIAR",IF(F986="NEW",IF(ISNA(VLOOKUP(E986,#REF!,1,FALSE())),"?TYPE_IDENTIFIABLE","?REFERENTIAL"),"_")))))</f>
        <v/>
      </c>
      <c r="H986" s="24" t="str">
        <f t="shared" ca="1" si="95"/>
        <v/>
      </c>
      <c r="I986" s="25" t="str">
        <f>IF(OR(E986="",E986="!!!",F986="NEW"),"",INDEX(B$2:B985,-1+SUMPRODUCT(MAX(ROW(E$2:E985)*(E986=E$2:E985)))))</f>
        <v/>
      </c>
      <c r="J986" s="25" t="str">
        <f ca="1">IF(OR(E986="",E986="!!!",F986="NEW"),"",COUNTBLANK(OFFSET(A$1,,,SUMPRODUCT(MAX(ROW(E$2:E986)*(E986=E$2:E986)))))-COUNTBLANK(OFFSET(A$1,,,SUMPRODUCT(MAX(ROW(E$1:E985)*(E2=E$1:E985))))))</f>
        <v/>
      </c>
      <c r="K986" s="25" t="str">
        <f>IF(OR(E986="",E986="!!!",F986="NEW"),"",INDEX(J$1:J985,SUMPRODUCT(MAX(ROW(E$1:E985)*(E986=E$1:E985)))))</f>
        <v/>
      </c>
      <c r="L986" s="26"/>
    </row>
    <row r="987" spans="1:12" x14ac:dyDescent="0.3">
      <c r="A987" t="s">
        <v>11</v>
      </c>
      <c r="E987" s="21" t="str">
        <f t="shared" si="94"/>
        <v/>
      </c>
      <c r="F987" s="22" t="str">
        <f>IF(OR(E987="",E987="!!!"),"",IF(NOT(ISNA(VLOOKUP(E987,E$1:E986,1,FALSE()))),"OLD",IF(AND(E987&lt;&gt;"",E987&lt;&gt;"!!!"),"NEW","")))</f>
        <v/>
      </c>
      <c r="G987" s="23" t="str">
        <f>IF(OR(E987="",E987="!!!"),"",IF(OR(J987=0,AND(J987=1,K987=1),AND(J987=1,I987="SBJ"),AND(J987=1,I987=0)),"?IN_FOCUS",IF(J987&lt;=2,"?ACTIVATED",IF(J987&lt;&gt;"","?FAMILIAR",IF(F987="NEW",IF(ISNA(VLOOKUP(E987,#REF!,1,FALSE())),"?TYPE_IDENTIFIABLE","?REFERENTIAL"),"_")))))</f>
        <v/>
      </c>
      <c r="H987" s="24" t="str">
        <f t="shared" ca="1" si="95"/>
        <v/>
      </c>
      <c r="I987" s="25" t="str">
        <f>IF(OR(E987="",E987="!!!",F987="NEW"),"",INDEX(B$2:B986,-1+SUMPRODUCT(MAX(ROW(E$2:E986)*(E987=E$2:E986)))))</f>
        <v/>
      </c>
      <c r="J987" s="25" t="str">
        <f ca="1">IF(OR(E987="",E987="!!!",F987="NEW"),"",COUNTBLANK(OFFSET(A$1,,,SUMPRODUCT(MAX(ROW(E$2:E987)*(E987=E$2:E987)))))-COUNTBLANK(OFFSET(A$1,,,SUMPRODUCT(MAX(ROW(E$1:E986)*(E2=E$1:E986))))))</f>
        <v/>
      </c>
      <c r="K987" s="25" t="str">
        <f>IF(OR(E987="",E987="!!!",F987="NEW"),"",INDEX(J$1:J986,SUMPRODUCT(MAX(ROW(E$1:E986)*(E987=E$1:E986)))))</f>
        <v/>
      </c>
      <c r="L987" s="26"/>
    </row>
    <row r="988" spans="1:12" x14ac:dyDescent="0.3">
      <c r="A988" t="s">
        <v>535</v>
      </c>
      <c r="E988" s="21" t="str">
        <f t="shared" si="94"/>
        <v/>
      </c>
      <c r="F988" s="22" t="str">
        <f>IF(OR(E988="",E988="!!!"),"",IF(NOT(ISNA(VLOOKUP(E988,E$1:E987,1,FALSE()))),"OLD",IF(AND(E988&lt;&gt;"",E988&lt;&gt;"!!!"),"NEW","")))</f>
        <v/>
      </c>
      <c r="G988" s="23" t="str">
        <f>IF(OR(E988="",E988="!!!"),"",IF(OR(J988=0,AND(J988=1,K988=1),AND(J988=1,I988="SBJ"),AND(J988=1,I988=0)),"?IN_FOCUS",IF(J988&lt;=2,"?ACTIVATED",IF(J988&lt;&gt;"","?FAMILIAR",IF(F988="NEW",IF(ISNA(VLOOKUP(E988,#REF!,1,FALSE())),"?TYPE_IDENTIFIABLE","?REFERENTIAL"),"_")))))</f>
        <v/>
      </c>
      <c r="H988" s="24" t="str">
        <f t="shared" ca="1" si="95"/>
        <v/>
      </c>
      <c r="I988" s="25" t="str">
        <f>IF(OR(E988="",E988="!!!",F988="NEW"),"",INDEX(B$2:B987,-1+SUMPRODUCT(MAX(ROW(E$2:E987)*(E988=E$2:E987)))))</f>
        <v/>
      </c>
      <c r="J988" s="25" t="str">
        <f ca="1">IF(OR(E988="",E988="!!!",F988="NEW"),"",COUNTBLANK(OFFSET(A$1,,,SUMPRODUCT(MAX(ROW(E$2:E988)*(E988=E$2:E988)))))-COUNTBLANK(OFFSET(A$1,,,SUMPRODUCT(MAX(ROW(E$1:E987)*(E2=E$1:E987))))))</f>
        <v/>
      </c>
      <c r="K988" s="25" t="str">
        <f>IF(OR(E988="",E988="!!!",F988="NEW"),"",INDEX(J$1:J987,SUMPRODUCT(MAX(ROW(E$1:E987)*(E988=E$1:E987)))))</f>
        <v/>
      </c>
      <c r="L988" s="26"/>
    </row>
    <row r="989" spans="1:12" x14ac:dyDescent="0.3">
      <c r="A989" t="s">
        <v>320</v>
      </c>
      <c r="E989" s="21" t="str">
        <f t="shared" si="94"/>
        <v/>
      </c>
      <c r="F989" s="22" t="str">
        <f>IF(OR(E989="",E989="!!!"),"",IF(NOT(ISNA(VLOOKUP(E989,E$1:E988,1,FALSE()))),"OLD",IF(AND(E989&lt;&gt;"",E989&lt;&gt;"!!!"),"NEW","")))</f>
        <v/>
      </c>
      <c r="G989" s="23" t="str">
        <f>IF(OR(E989="",E989="!!!"),"",IF(OR(J989=0,AND(J989=1,K989=1),AND(J989=1,I989="SBJ"),AND(J989=1,I989=0)),"?IN_FOCUS",IF(J989&lt;=2,"?ACTIVATED",IF(J989&lt;&gt;"","?FAMILIAR",IF(F989="NEW",IF(ISNA(VLOOKUP(E989,#REF!,1,FALSE())),"?TYPE_IDENTIFIABLE","?REFERENTIAL"),"_")))))</f>
        <v/>
      </c>
      <c r="H989" s="24" t="str">
        <f t="shared" ca="1" si="95"/>
        <v/>
      </c>
      <c r="I989" s="25" t="str">
        <f>IF(OR(E989="",E989="!!!",F989="NEW"),"",INDEX(B$2:B988,-1+SUMPRODUCT(MAX(ROW(E$2:E988)*(E989=E$2:E988)))))</f>
        <v/>
      </c>
      <c r="J989" s="25" t="str">
        <f ca="1">IF(OR(E989="",E989="!!!",F989="NEW"),"",COUNTBLANK(OFFSET(A$1,,,SUMPRODUCT(MAX(ROW(E$2:E989)*(E989=E$2:E989)))))-COUNTBLANK(OFFSET(A$1,,,SUMPRODUCT(MAX(ROW(E$1:E988)*(E2=E$1:E988))))))</f>
        <v/>
      </c>
      <c r="K989" s="25" t="str">
        <f>IF(OR(E989="",E989="!!!",F989="NEW"),"",INDEX(J$1:J988,SUMPRODUCT(MAX(ROW(E$1:E988)*(E989=E$1:E988)))))</f>
        <v/>
      </c>
      <c r="L989" s="26"/>
    </row>
    <row r="990" spans="1:12" x14ac:dyDescent="0.3">
      <c r="A990" t="s">
        <v>715</v>
      </c>
      <c r="E990" s="21" t="str">
        <f t="shared" si="94"/>
        <v/>
      </c>
      <c r="F990" s="22" t="str">
        <f>IF(OR(E990="",E990="!!!"),"",IF(NOT(ISNA(VLOOKUP(E990,E$1:E989,1,FALSE()))),"OLD",IF(AND(E990&lt;&gt;"",E990&lt;&gt;"!!!"),"NEW","")))</f>
        <v/>
      </c>
      <c r="G990" s="23" t="str">
        <f>IF(OR(E990="",E990="!!!"),"",IF(OR(J990=0,AND(J990=1,K990=1),AND(J990=1,I990="SBJ"),AND(J990=1,I990=0)),"?IN_FOCUS",IF(J990&lt;=2,"?ACTIVATED",IF(J990&lt;&gt;"","?FAMILIAR",IF(F990="NEW",IF(ISNA(VLOOKUP(E990,#REF!,1,FALSE())),"?TYPE_IDENTIFIABLE","?REFERENTIAL"),"_")))))</f>
        <v/>
      </c>
      <c r="H990" s="24" t="str">
        <f t="shared" ca="1" si="95"/>
        <v/>
      </c>
      <c r="I990" s="25" t="str">
        <f>IF(OR(E990="",E990="!!!",F990="NEW"),"",INDEX(B$2:B989,-1+SUMPRODUCT(MAX(ROW(E$2:E989)*(E990=E$2:E989)))))</f>
        <v/>
      </c>
      <c r="J990" s="25" t="str">
        <f ca="1">IF(OR(E990="",E990="!!!",F990="NEW"),"",COUNTBLANK(OFFSET(A$1,,,SUMPRODUCT(MAX(ROW(E$2:E990)*(E990=E$2:E990)))))-COUNTBLANK(OFFSET(A$1,,,SUMPRODUCT(MAX(ROW(E$1:E989)*(E2=E$1:E989))))))</f>
        <v/>
      </c>
      <c r="K990" s="25" t="str">
        <f>IF(OR(E990="",E990="!!!",F990="NEW"),"",INDEX(J$1:J989,SUMPRODUCT(MAX(ROW(E$1:E989)*(E990=E$1:E989)))))</f>
        <v/>
      </c>
      <c r="L990" s="26"/>
    </row>
    <row r="991" spans="1:12" x14ac:dyDescent="0.3">
      <c r="A991" t="s">
        <v>716</v>
      </c>
      <c r="E991" s="21" t="str">
        <f t="shared" si="94"/>
        <v/>
      </c>
      <c r="F991" s="22" t="str">
        <f>IF(OR(E991="",E991="!!!"),"",IF(NOT(ISNA(VLOOKUP(E991,E$1:E990,1,FALSE()))),"OLD",IF(AND(E991&lt;&gt;"",E991&lt;&gt;"!!!"),"NEW","")))</f>
        <v/>
      </c>
      <c r="G991" s="23" t="str">
        <f>IF(OR(E991="",E991="!!!"),"",IF(OR(J991=0,AND(J991=1,K991=1),AND(J991=1,I991="SBJ"),AND(J991=1,I991=0)),"?IN_FOCUS",IF(J991&lt;=2,"?ACTIVATED",IF(J991&lt;&gt;"","?FAMILIAR",IF(F991="NEW",IF(ISNA(VLOOKUP(E991,#REF!,1,FALSE())),"?TYPE_IDENTIFIABLE","?REFERENTIAL"),"_")))))</f>
        <v/>
      </c>
      <c r="H991" s="24" t="str">
        <f t="shared" ca="1" si="95"/>
        <v/>
      </c>
      <c r="I991" s="25" t="str">
        <f>IF(OR(E991="",E991="!!!",F991="NEW"),"",INDEX(B$2:B990,-1+SUMPRODUCT(MAX(ROW(E$2:E990)*(E991=E$2:E990)))))</f>
        <v/>
      </c>
      <c r="J991" s="25" t="str">
        <f ca="1">IF(OR(E991="",E991="!!!",F991="NEW"),"",COUNTBLANK(OFFSET(A$1,,,SUMPRODUCT(MAX(ROW(E$2:E991)*(E991=E$2:E991)))))-COUNTBLANK(OFFSET(A$1,,,SUMPRODUCT(MAX(ROW(E$1:E990)*(E2=E$1:E990))))))</f>
        <v/>
      </c>
      <c r="K991" s="25" t="str">
        <f>IF(OR(E991="",E991="!!!",F991="NEW"),"",INDEX(J$1:J990,SUMPRODUCT(MAX(ROW(E$1:E990)*(E991=E$1:E990)))))</f>
        <v/>
      </c>
      <c r="L991" s="26"/>
    </row>
    <row r="992" spans="1:12" x14ac:dyDescent="0.3">
      <c r="A992" t="s">
        <v>206</v>
      </c>
      <c r="E992" s="21" t="str">
        <f t="shared" si="94"/>
        <v/>
      </c>
      <c r="F992" s="22" t="str">
        <f>IF(OR(E992="",E992="!!!"),"",IF(NOT(ISNA(VLOOKUP(E992,E$1:E991,1,FALSE()))),"OLD",IF(AND(E992&lt;&gt;"",E992&lt;&gt;"!!!"),"NEW","")))</f>
        <v/>
      </c>
      <c r="G992" s="23" t="str">
        <f>IF(OR(E992="",E992="!!!"),"",IF(OR(J992=0,AND(J992=1,K992=1),AND(J992=1,I992="SBJ"),AND(J992=1,I992=0)),"?IN_FOCUS",IF(J992&lt;=2,"?ACTIVATED",IF(J992&lt;&gt;"","?FAMILIAR",IF(F992="NEW",IF(ISNA(VLOOKUP(E992,#REF!,1,FALSE())),"?TYPE_IDENTIFIABLE","?REFERENTIAL"),"_")))))</f>
        <v/>
      </c>
      <c r="H992" s="24" t="str">
        <f t="shared" ca="1" si="95"/>
        <v/>
      </c>
      <c r="I992" s="25" t="str">
        <f>IF(OR(E992="",E992="!!!",F992="NEW"),"",INDEX(B$2:B991,-1+SUMPRODUCT(MAX(ROW(E$2:E991)*(E992=E$2:E991)))))</f>
        <v/>
      </c>
      <c r="J992" s="25" t="str">
        <f ca="1">IF(OR(E992="",E992="!!!",F992="NEW"),"",COUNTBLANK(OFFSET(A$1,,,SUMPRODUCT(MAX(ROW(E$2:E992)*(E992=E$2:E992)))))-COUNTBLANK(OFFSET(A$1,,,SUMPRODUCT(MAX(ROW(E$1:E991)*(E2=E$1:E991))))))</f>
        <v/>
      </c>
      <c r="K992" s="25" t="str">
        <f>IF(OR(E992="",E992="!!!",F992="NEW"),"",INDEX(J$1:J991,SUMPRODUCT(MAX(ROW(E$1:E991)*(E992=E$1:E991)))))</f>
        <v/>
      </c>
      <c r="L992" s="26"/>
    </row>
    <row r="993" spans="1:12" x14ac:dyDescent="0.3">
      <c r="A993" t="s">
        <v>272</v>
      </c>
      <c r="E993" s="21" t="str">
        <f t="shared" si="94"/>
        <v/>
      </c>
      <c r="F993" s="22" t="str">
        <f>IF(OR(E993="",E993="!!!"),"",IF(NOT(ISNA(VLOOKUP(E993,E$1:E992,1,FALSE()))),"OLD",IF(AND(E993&lt;&gt;"",E993&lt;&gt;"!!!"),"NEW","")))</f>
        <v/>
      </c>
      <c r="G993" s="23" t="str">
        <f>IF(OR(E993="",E993="!!!"),"",IF(OR(J993=0,AND(J993=1,K993=1),AND(J993=1,I993="SBJ"),AND(J993=1,I993=0)),"?IN_FOCUS",IF(J993&lt;=2,"?ACTIVATED",IF(J993&lt;&gt;"","?FAMILIAR",IF(F993="NEW",IF(ISNA(VLOOKUP(E993,#REF!,1,FALSE())),"?TYPE_IDENTIFIABLE","?REFERENTIAL"),"_")))))</f>
        <v/>
      </c>
      <c r="H993" s="24" t="str">
        <f t="shared" ca="1" si="95"/>
        <v/>
      </c>
      <c r="I993" s="25" t="str">
        <f>IF(OR(E993="",E993="!!!",F993="NEW"),"",INDEX(B$2:B992,-1+SUMPRODUCT(MAX(ROW(E$2:E992)*(E993=E$2:E992)))))</f>
        <v/>
      </c>
      <c r="J993" s="25" t="str">
        <f ca="1">IF(OR(E993="",E993="!!!",F993="NEW"),"",COUNTBLANK(OFFSET(A$1,,,SUMPRODUCT(MAX(ROW(E$2:E993)*(E993=E$2:E993)))))-COUNTBLANK(OFFSET(A$1,,,SUMPRODUCT(MAX(ROW(E$1:E992)*(E2=E$1:E992))))))</f>
        <v/>
      </c>
      <c r="K993" s="25" t="str">
        <f>IF(OR(E993="",E993="!!!",F993="NEW"),"",INDEX(J$1:J992,SUMPRODUCT(MAX(ROW(E$1:E992)*(E993=E$1:E992)))))</f>
        <v/>
      </c>
      <c r="L993" s="26"/>
    </row>
    <row r="994" spans="1:12" x14ac:dyDescent="0.3">
      <c r="A994" t="s">
        <v>207</v>
      </c>
      <c r="E994" s="21" t="str">
        <f t="shared" si="94"/>
        <v/>
      </c>
      <c r="F994" s="22" t="str">
        <f>IF(OR(E994="",E994="!!!"),"",IF(NOT(ISNA(VLOOKUP(E994,E$1:E993,1,FALSE()))),"OLD",IF(AND(E994&lt;&gt;"",E994&lt;&gt;"!!!"),"NEW","")))</f>
        <v/>
      </c>
      <c r="G994" s="23" t="str">
        <f>IF(OR(E994="",E994="!!!"),"",IF(OR(J994=0,AND(J994=1,K994=1),AND(J994=1,I994="SBJ"),AND(J994=1,I994=0)),"?IN_FOCUS",IF(J994&lt;=2,"?ACTIVATED",IF(J994&lt;&gt;"","?FAMILIAR",IF(F994="NEW",IF(ISNA(VLOOKUP(E994,#REF!,1,FALSE())),"?TYPE_IDENTIFIABLE","?REFERENTIAL"),"_")))))</f>
        <v/>
      </c>
      <c r="H994" s="24" t="str">
        <f t="shared" ca="1" si="95"/>
        <v/>
      </c>
      <c r="I994" s="25" t="str">
        <f>IF(OR(E994="",E994="!!!",F994="NEW"),"",INDEX(B$2:B993,-1+SUMPRODUCT(MAX(ROW(E$2:E993)*(E994=E$2:E993)))))</f>
        <v/>
      </c>
      <c r="J994" s="25" t="str">
        <f ca="1">IF(OR(E994="",E994="!!!",F994="NEW"),"",COUNTBLANK(OFFSET(A$1,,,SUMPRODUCT(MAX(ROW(E$2:E994)*(E994=E$2:E994)))))-COUNTBLANK(OFFSET(A$1,,,SUMPRODUCT(MAX(ROW(E$1:E993)*(E2=E$1:E993))))))</f>
        <v/>
      </c>
      <c r="K994" s="25" t="str">
        <f>IF(OR(E994="",E994="!!!",F994="NEW"),"",INDEX(J$1:J993,SUMPRODUCT(MAX(ROW(E$1:E993)*(E994=E$1:E993)))))</f>
        <v/>
      </c>
      <c r="L994" s="26"/>
    </row>
    <row r="995" spans="1:12" x14ac:dyDescent="0.3">
      <c r="A995" t="s">
        <v>640</v>
      </c>
      <c r="E995" s="21" t="str">
        <f t="shared" si="94"/>
        <v/>
      </c>
      <c r="F995" s="22" t="str">
        <f>IF(OR(E995="",E995="!!!"),"",IF(NOT(ISNA(VLOOKUP(E995,E$1:E994,1,FALSE()))),"OLD",IF(AND(E995&lt;&gt;"",E995&lt;&gt;"!!!"),"NEW","")))</f>
        <v/>
      </c>
      <c r="G995" s="23" t="str">
        <f>IF(OR(E995="",E995="!!!"),"",IF(OR(J995=0,AND(J995=1,K995=1),AND(J995=1,I995="SBJ"),AND(J995=1,I995=0)),"?IN_FOCUS",IF(J995&lt;=2,"?ACTIVATED",IF(J995&lt;&gt;"","?FAMILIAR",IF(F995="NEW",IF(ISNA(VLOOKUP(E995,#REF!,1,FALSE())),"?TYPE_IDENTIFIABLE","?REFERENTIAL"),"_")))))</f>
        <v/>
      </c>
      <c r="H995" s="24" t="str">
        <f t="shared" ca="1" si="95"/>
        <v/>
      </c>
      <c r="I995" s="25" t="str">
        <f>IF(OR(E995="",E995="!!!",F995="NEW"),"",INDEX(B$2:B994,-1+SUMPRODUCT(MAX(ROW(E$2:E994)*(E995=E$2:E994)))))</f>
        <v/>
      </c>
      <c r="J995" s="25" t="str">
        <f ca="1">IF(OR(E995="",E995="!!!",F995="NEW"),"",COUNTBLANK(OFFSET(A$1,,,SUMPRODUCT(MAX(ROW(E$2:E995)*(E995=E$2:E995)))))-COUNTBLANK(OFFSET(A$1,,,SUMPRODUCT(MAX(ROW(E$1:E994)*(E2=E$1:E994))))))</f>
        <v/>
      </c>
      <c r="K995" s="25" t="str">
        <f>IF(OR(E995="",E995="!!!",F995="NEW"),"",INDEX(J$1:J994,SUMPRODUCT(MAX(ROW(E$1:E994)*(E995=E$1:E994)))))</f>
        <v/>
      </c>
      <c r="L995" s="26"/>
    </row>
    <row r="996" spans="1:12" x14ac:dyDescent="0.3">
      <c r="A996" t="s">
        <v>717</v>
      </c>
      <c r="B996" s="20" t="s">
        <v>208</v>
      </c>
      <c r="C996" s="20" t="s">
        <v>657</v>
      </c>
      <c r="D996" s="20" t="s">
        <v>186</v>
      </c>
      <c r="E996" s="21" t="s">
        <v>759</v>
      </c>
      <c r="F996" s="22" t="str">
        <f>IF(OR(E996="",E996="!!!"),"",IF(NOT(ISNA(VLOOKUP(E996,E$1:E995,1,FALSE()))),"OLD",IF(AND(E996&lt;&gt;"",E996&lt;&gt;"!!!"),"NEW","")))</f>
        <v>OLD</v>
      </c>
      <c r="G996" s="23" t="s">
        <v>808</v>
      </c>
      <c r="H996" s="24" t="str">
        <f t="shared" ca="1" si="95"/>
        <v/>
      </c>
      <c r="I996" s="25">
        <f>IF(OR(E996="",E996="!!!",F996="NEW"),"",INDEX(B$2:B995,-1+SUMPRODUCT(MAX(ROW(E$2:E995)*(E996=E$2:E995)))))</f>
        <v>0</v>
      </c>
      <c r="J996" s="25">
        <f ca="1">IF(OR(E996="",E996="!!!",F996="NEW"),"",COUNTBLANK(OFFSET(A$1,,,SUMPRODUCT(MAX(ROW(E$2:E996)*(E996=E$2:E996)))))-COUNTBLANK(OFFSET(A$1,,,SUMPRODUCT(MAX(ROW(E$1:E995)*(E2=E$1:E995))))))</f>
        <v>0</v>
      </c>
      <c r="K996" s="25">
        <f ca="1">IF(OR(E996="",E996="!!!",F996="NEW"),"",INDEX(J$1:J995,SUMPRODUCT(MAX(ROW(E$1:E995)*(E996=E$1:E995)))))</f>
        <v>0</v>
      </c>
      <c r="L996" s="26"/>
    </row>
    <row r="997" spans="1:12" x14ac:dyDescent="0.3">
      <c r="A997" t="s">
        <v>718</v>
      </c>
      <c r="E997" s="21" t="str">
        <f t="shared" si="94"/>
        <v/>
      </c>
      <c r="F997" s="22" t="str">
        <f>IF(OR(E997="",E997="!!!"),"",IF(NOT(ISNA(VLOOKUP(E997,E$1:E996,1,FALSE()))),"OLD",IF(AND(E997&lt;&gt;"",E997&lt;&gt;"!!!"),"NEW","")))</f>
        <v/>
      </c>
      <c r="G997" s="23" t="str">
        <f>IF(OR(E997="",E997="!!!"),"",IF(OR(J997=0,AND(J997=1,K997=1),AND(J997=1,I997="SBJ"),AND(J997=1,I997=0)),"?IN_FOCUS",IF(J997&lt;=2,"?ACTIVATED",IF(J997&lt;&gt;"","?FAMILIAR",IF(F997="NEW",IF(ISNA(VLOOKUP(E997,#REF!,1,FALSE())),"?TYPE_IDENTIFIABLE","?REFERENTIAL"),"_")))))</f>
        <v/>
      </c>
      <c r="H997" s="24" t="str">
        <f t="shared" ca="1" si="95"/>
        <v/>
      </c>
      <c r="I997" s="25" t="str">
        <f>IF(OR(E997="",E997="!!!",F997="NEW"),"",INDEX(B$2:B996,-1+SUMPRODUCT(MAX(ROW(E$2:E996)*(E997=E$2:E996)))))</f>
        <v/>
      </c>
      <c r="J997" s="25" t="str">
        <f ca="1">IF(OR(E997="",E997="!!!",F997="NEW"),"",COUNTBLANK(OFFSET(A$1,,,SUMPRODUCT(MAX(ROW(E$2:E997)*(E997=E$2:E997)))))-COUNTBLANK(OFFSET(A$1,,,SUMPRODUCT(MAX(ROW(E$1:E996)*(E2=E$1:E996))))))</f>
        <v/>
      </c>
      <c r="K997" s="25" t="str">
        <f>IF(OR(E997="",E997="!!!",F997="NEW"),"",INDEX(J$1:J996,SUMPRODUCT(MAX(ROW(E$1:E996)*(E997=E$1:E996)))))</f>
        <v/>
      </c>
      <c r="L997" s="26"/>
    </row>
    <row r="998" spans="1:12" x14ac:dyDescent="0.3">
      <c r="A998" t="s">
        <v>407</v>
      </c>
      <c r="E998" s="21" t="str">
        <f t="shared" si="94"/>
        <v/>
      </c>
      <c r="F998" s="22" t="str">
        <f>IF(OR(E998="",E998="!!!"),"",IF(NOT(ISNA(VLOOKUP(E998,E$1:E997,1,FALSE()))),"OLD",IF(AND(E998&lt;&gt;"",E998&lt;&gt;"!!!"),"NEW","")))</f>
        <v/>
      </c>
      <c r="G998" s="23" t="str">
        <f>IF(OR(E998="",E998="!!!"),"",IF(OR(J998=0,AND(J998=1,K998=1),AND(J998=1,I998="SBJ"),AND(J998=1,I998=0)),"?IN_FOCUS",IF(J998&lt;=2,"?ACTIVATED",IF(J998&lt;&gt;"","?FAMILIAR",IF(F998="NEW",IF(ISNA(VLOOKUP(E998,#REF!,1,FALSE())),"?TYPE_IDENTIFIABLE","?REFERENTIAL"),"_")))))</f>
        <v/>
      </c>
      <c r="H998" s="24" t="str">
        <f t="shared" ca="1" si="95"/>
        <v/>
      </c>
      <c r="I998" s="25" t="str">
        <f>IF(OR(E998="",E998="!!!",F998="NEW"),"",INDEX(B$2:B997,-1+SUMPRODUCT(MAX(ROW(E$2:E997)*(E998=E$2:E997)))))</f>
        <v/>
      </c>
      <c r="J998" s="25" t="str">
        <f ca="1">IF(OR(E998="",E998="!!!",F998="NEW"),"",COUNTBLANK(OFFSET(A$1,,,SUMPRODUCT(MAX(ROW(E$2:E998)*(E998=E$2:E998)))))-COUNTBLANK(OFFSET(A$1,,,SUMPRODUCT(MAX(ROW(E$1:E997)*(E2=E$1:E997))))))</f>
        <v/>
      </c>
      <c r="K998" s="25" t="str">
        <f>IF(OR(E998="",E998="!!!",F998="NEW"),"",INDEX(J$1:J997,SUMPRODUCT(MAX(ROW(E$1:E997)*(E998=E$1:E997)))))</f>
        <v/>
      </c>
      <c r="L998" s="26"/>
    </row>
    <row r="999" spans="1:12" x14ac:dyDescent="0.3">
      <c r="A999" t="s">
        <v>719</v>
      </c>
      <c r="E999" s="21" t="str">
        <f t="shared" si="94"/>
        <v/>
      </c>
      <c r="F999" s="22" t="str">
        <f>IF(OR(E999="",E999="!!!"),"",IF(NOT(ISNA(VLOOKUP(E999,E$1:E998,1,FALSE()))),"OLD",IF(AND(E999&lt;&gt;"",E999&lt;&gt;"!!!"),"NEW","")))</f>
        <v/>
      </c>
      <c r="G999" s="23" t="str">
        <f>IF(OR(E999="",E999="!!!"),"",IF(OR(J999=0,AND(J999=1,K999=1),AND(J999=1,I999="SBJ"),AND(J999=1,I999=0)),"?IN_FOCUS",IF(J999&lt;=2,"?ACTIVATED",IF(J999&lt;&gt;"","?FAMILIAR",IF(F999="NEW",IF(ISNA(VLOOKUP(E999,#REF!,1,FALSE())),"?TYPE_IDENTIFIABLE","?REFERENTIAL"),"_")))))</f>
        <v/>
      </c>
      <c r="H999" s="24" t="str">
        <f t="shared" ca="1" si="95"/>
        <v/>
      </c>
      <c r="I999" s="25" t="str">
        <f>IF(OR(E999="",E999="!!!",F999="NEW"),"",INDEX(B$2:B998,-1+SUMPRODUCT(MAX(ROW(E$2:E998)*(E999=E$2:E998)))))</f>
        <v/>
      </c>
      <c r="J999" s="25" t="str">
        <f ca="1">IF(OR(E999="",E999="!!!",F999="NEW"),"",COUNTBLANK(OFFSET(A$1,,,SUMPRODUCT(MAX(ROW(E$2:E999)*(E999=E$2:E999)))))-COUNTBLANK(OFFSET(A$1,,,SUMPRODUCT(MAX(ROW(E$1:E998)*(E2=E$1:E998))))))</f>
        <v/>
      </c>
      <c r="K999" s="25" t="str">
        <f>IF(OR(E999="",E999="!!!",F999="NEW"),"",INDEX(J$1:J998,SUMPRODUCT(MAX(ROW(E$1:E998)*(E999=E$1:E998)))))</f>
        <v/>
      </c>
      <c r="L999" s="26"/>
    </row>
    <row r="1000" spans="1:12" x14ac:dyDescent="0.3">
      <c r="A1000" t="s">
        <v>720</v>
      </c>
      <c r="E1000" s="21" t="str">
        <f t="shared" si="94"/>
        <v/>
      </c>
      <c r="F1000" s="22" t="str">
        <f>IF(OR(E1000="",E1000="!!!"),"",IF(NOT(ISNA(VLOOKUP(E1000,E$1:E999,1,FALSE()))),"OLD",IF(AND(E1000&lt;&gt;"",E1000&lt;&gt;"!!!"),"NEW","")))</f>
        <v/>
      </c>
      <c r="G1000" s="23" t="str">
        <f>IF(OR(E1000="",E1000="!!!"),"",IF(OR(J1000=0,AND(J1000=1,K1000=1),AND(J1000=1,I1000="SBJ"),AND(J1000=1,I1000=0)),"?IN_FOCUS",IF(J1000&lt;=2,"?ACTIVATED",IF(J1000&lt;&gt;"","?FAMILIAR",IF(F1000="NEW",IF(ISNA(VLOOKUP(E1000,#REF!,1,FALSE())),"?TYPE_IDENTIFIABLE","?REFERENTIAL"),"_")))))</f>
        <v/>
      </c>
      <c r="H1000" s="24" t="str">
        <f t="shared" ca="1" si="95"/>
        <v/>
      </c>
      <c r="I1000" s="25" t="str">
        <f>IF(OR(E1000="",E1000="!!!",F1000="NEW"),"",INDEX(B$2:B999,-1+SUMPRODUCT(MAX(ROW(E$2:E999)*(E1000=E$2:E999)))))</f>
        <v/>
      </c>
      <c r="J1000" s="25" t="str">
        <f ca="1">IF(OR(E1000="",E1000="!!!",F1000="NEW"),"",COUNTBLANK(OFFSET(A$1,,,SUMPRODUCT(MAX(ROW(E$2:E1000)*(E1000=E$2:E1000)))))-COUNTBLANK(OFFSET(A$1,,,SUMPRODUCT(MAX(ROW(E$1:E999)*(E2=E$1:E999))))))</f>
        <v/>
      </c>
      <c r="K1000" s="25" t="str">
        <f>IF(OR(E1000="",E1000="!!!",F1000="NEW"),"",INDEX(J$1:J999,SUMPRODUCT(MAX(ROW(E$1:E999)*(E1000=E$1:E999)))))</f>
        <v/>
      </c>
      <c r="L1000" s="26"/>
    </row>
    <row r="1001" spans="1:12" x14ac:dyDescent="0.3">
      <c r="A1001" t="s">
        <v>212</v>
      </c>
      <c r="E1001" s="21" t="str">
        <f t="shared" si="94"/>
        <v/>
      </c>
      <c r="F1001" s="22" t="str">
        <f>IF(OR(E1001="",E1001="!!!"),"",IF(NOT(ISNA(VLOOKUP(E1001,E$1:E1000,1,FALSE()))),"OLD",IF(AND(E1001&lt;&gt;"",E1001&lt;&gt;"!!!"),"NEW","")))</f>
        <v/>
      </c>
      <c r="G1001" s="23" t="str">
        <f>IF(OR(E1001="",E1001="!!!"),"",IF(OR(J1001=0,AND(J1001=1,K1001=1),AND(J1001=1,I1001="SBJ"),AND(J1001=1,I1001=0)),"?IN_FOCUS",IF(J1001&lt;=2,"?ACTIVATED",IF(J1001&lt;&gt;"","?FAMILIAR",IF(F1001="NEW",IF(ISNA(VLOOKUP(E1001,#REF!,1,FALSE())),"?TYPE_IDENTIFIABLE","?REFERENTIAL"),"_")))))</f>
        <v/>
      </c>
      <c r="H1001" s="24" t="str">
        <f t="shared" ca="1" si="95"/>
        <v/>
      </c>
      <c r="I1001" s="25" t="str">
        <f>IF(OR(E1001="",E1001="!!!",F1001="NEW"),"",INDEX(B$2:B1000,-1+SUMPRODUCT(MAX(ROW(E$2:E1000)*(E1001=E$2:E1000)))))</f>
        <v/>
      </c>
      <c r="J1001" s="25" t="str">
        <f ca="1">IF(OR(E1001="",E1001="!!!",F1001="NEW"),"",COUNTBLANK(OFFSET(A$1,,,SUMPRODUCT(MAX(ROW(E$2:E1001)*(E1001=E$2:E1001)))))-COUNTBLANK(OFFSET(A$1,,,SUMPRODUCT(MAX(ROW(E$1:E1000)*(E2=E$1:E1000))))))</f>
        <v/>
      </c>
      <c r="K1001" s="25" t="str">
        <f>IF(OR(E1001="",E1001="!!!",F1001="NEW"),"",INDEX(J$1:J1000,SUMPRODUCT(MAX(ROW(E$1:E1000)*(E1001=E$1:E1000)))))</f>
        <v/>
      </c>
      <c r="L1001"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2024-12-05T17:52:23Z</dcterms:created>
  <dcterms:modified xsi:type="dcterms:W3CDTF">2025-01-21T15:51:46Z</dcterms:modified>
</cp:coreProperties>
</file>