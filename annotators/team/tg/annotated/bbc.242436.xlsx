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C:\Users\tabea\Desktop\Git\AURIS\annotators\team\tg\in-progress\"/>
    </mc:Choice>
  </mc:AlternateContent>
  <xr:revisionPtr revIDLastSave="0" documentId="13_ncr:1_{644EDB15-5556-4E3B-B973-8264CFF052A7}" xr6:coauthVersionLast="47" xr6:coauthVersionMax="47" xr10:uidLastSave="{00000000-0000-0000-0000-000000000000}"/>
  <bookViews>
    <workbookView xWindow="-96" yWindow="0" windowWidth="14292" windowHeight="12336" activeTab="1"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F216" i="2" l="1"/>
  <c r="E640" i="2"/>
  <c r="G639" i="2"/>
  <c r="E639" i="2"/>
  <c r="I638" i="2"/>
  <c r="E637" i="2"/>
  <c r="G637" i="2" s="1"/>
  <c r="G636" i="2"/>
  <c r="E636" i="2"/>
  <c r="F636" i="2" s="1"/>
  <c r="G635" i="2"/>
  <c r="F635" i="2"/>
  <c r="J635" i="2" s="1"/>
  <c r="H635" i="2" s="1"/>
  <c r="E635" i="2"/>
  <c r="G634" i="2"/>
  <c r="F634" i="2"/>
  <c r="J634" i="2" s="1"/>
  <c r="H634" i="2" s="1"/>
  <c r="E634" i="2"/>
  <c r="F633" i="2"/>
  <c r="E633" i="2"/>
  <c r="E632" i="2"/>
  <c r="F631" i="2"/>
  <c r="F630" i="2"/>
  <c r="I630" i="2" s="1"/>
  <c r="E630" i="2"/>
  <c r="G630" i="2" s="1"/>
  <c r="E629" i="2"/>
  <c r="G629" i="2" s="1"/>
  <c r="G628" i="2"/>
  <c r="E628" i="2"/>
  <c r="F628" i="2" s="1"/>
  <c r="I628" i="2" s="1"/>
  <c r="G627" i="2"/>
  <c r="F627" i="2"/>
  <c r="J627" i="2" s="1"/>
  <c r="H627" i="2" s="1"/>
  <c r="E627" i="2"/>
  <c r="F626" i="2"/>
  <c r="J626" i="2" s="1"/>
  <c r="E623" i="2"/>
  <c r="E622" i="2"/>
  <c r="F620" i="2"/>
  <c r="I620" i="2" s="1"/>
  <c r="E620" i="2"/>
  <c r="G620" i="2" s="1"/>
  <c r="E619" i="2"/>
  <c r="G619" i="2" s="1"/>
  <c r="F618" i="2"/>
  <c r="F617" i="2"/>
  <c r="J617" i="2" s="1"/>
  <c r="H617" i="2" s="1"/>
  <c r="G616" i="2"/>
  <c r="F616" i="2"/>
  <c r="J616" i="2" s="1"/>
  <c r="H616" i="2" s="1"/>
  <c r="E616" i="2"/>
  <c r="E615" i="2"/>
  <c r="E614" i="2"/>
  <c r="G613" i="2"/>
  <c r="F613" i="2"/>
  <c r="J613" i="2" s="1"/>
  <c r="H613" i="2" s="1"/>
  <c r="E613" i="2"/>
  <c r="F612" i="2"/>
  <c r="I612" i="2" s="1"/>
  <c r="E612" i="2"/>
  <c r="G612" i="2" s="1"/>
  <c r="E611" i="2"/>
  <c r="G611" i="2" s="1"/>
  <c r="F610" i="2"/>
  <c r="G609" i="2"/>
  <c r="F609" i="2"/>
  <c r="K609" i="2" s="1"/>
  <c r="G608" i="2"/>
  <c r="F608" i="2"/>
  <c r="E608" i="2"/>
  <c r="F605" i="2"/>
  <c r="E605" i="2"/>
  <c r="E604" i="2"/>
  <c r="G603" i="2"/>
  <c r="F603" i="2"/>
  <c r="K603" i="2" s="1"/>
  <c r="E603" i="2"/>
  <c r="F602" i="2"/>
  <c r="I602" i="2" s="1"/>
  <c r="E601" i="2"/>
  <c r="G601" i="2" s="1"/>
  <c r="G600" i="2"/>
  <c r="E600" i="2"/>
  <c r="F600" i="2" s="1"/>
  <c r="K600" i="2" s="1"/>
  <c r="F599" i="2"/>
  <c r="F598" i="2"/>
  <c r="E597" i="2"/>
  <c r="E596" i="2"/>
  <c r="G595" i="2"/>
  <c r="F595" i="2"/>
  <c r="K595" i="2" s="1"/>
  <c r="E595" i="2"/>
  <c r="F594" i="2"/>
  <c r="E594" i="2"/>
  <c r="G594" i="2" s="1"/>
  <c r="E593" i="2"/>
  <c r="G592" i="2"/>
  <c r="E592" i="2"/>
  <c r="F592" i="2" s="1"/>
  <c r="K592" i="2" s="1"/>
  <c r="F591" i="2"/>
  <c r="J591" i="2" s="1"/>
  <c r="H591" i="2" s="1"/>
  <c r="E590" i="2"/>
  <c r="F589" i="2"/>
  <c r="I589" i="2" s="1"/>
  <c r="E589" i="2"/>
  <c r="G587" i="2"/>
  <c r="F587" i="2"/>
  <c r="K587" i="2" s="1"/>
  <c r="E587" i="2"/>
  <c r="F586" i="2"/>
  <c r="E585" i="2"/>
  <c r="F584" i="2"/>
  <c r="G583" i="2"/>
  <c r="F583" i="2"/>
  <c r="J583" i="2" s="1"/>
  <c r="H583" i="2" s="1"/>
  <c r="E583" i="2"/>
  <c r="E582" i="2"/>
  <c r="F581" i="2"/>
  <c r="I581" i="2" s="1"/>
  <c r="E581" i="2"/>
  <c r="E580" i="2"/>
  <c r="G579" i="2"/>
  <c r="F579" i="2"/>
  <c r="J579" i="2" s="1"/>
  <c r="H579" i="2" s="1"/>
  <c r="E579" i="2"/>
  <c r="F576" i="2"/>
  <c r="E576" i="2"/>
  <c r="G576" i="2" s="1"/>
  <c r="E575" i="2"/>
  <c r="G574" i="2"/>
  <c r="E574" i="2"/>
  <c r="F574" i="2" s="1"/>
  <c r="G573" i="2"/>
  <c r="F573" i="2"/>
  <c r="J573" i="2" s="1"/>
  <c r="H573" i="2" s="1"/>
  <c r="E573" i="2"/>
  <c r="G572" i="2"/>
  <c r="F572" i="2"/>
  <c r="J572" i="2" s="1"/>
  <c r="H572" i="2" s="1"/>
  <c r="E572" i="2"/>
  <c r="E570" i="2"/>
  <c r="G569" i="2"/>
  <c r="F569" i="2"/>
  <c r="K569" i="2" s="1"/>
  <c r="E569" i="2"/>
  <c r="F568" i="2"/>
  <c r="J568" i="2" s="1"/>
  <c r="H568" i="2" s="1"/>
  <c r="E568" i="2"/>
  <c r="G568" i="2" s="1"/>
  <c r="E567" i="2"/>
  <c r="G566" i="2"/>
  <c r="E566" i="2"/>
  <c r="F566" i="2" s="1"/>
  <c r="K566" i="2" s="1"/>
  <c r="G565" i="2"/>
  <c r="E564" i="2"/>
  <c r="F563" i="2"/>
  <c r="I563" i="2" s="1"/>
  <c r="G561" i="2"/>
  <c r="F561" i="2"/>
  <c r="K561" i="2" s="1"/>
  <c r="E561" i="2"/>
  <c r="E560" i="2"/>
  <c r="G558" i="2"/>
  <c r="E558" i="2"/>
  <c r="F558" i="2" s="1"/>
  <c r="K558" i="2" s="1"/>
  <c r="G557" i="2"/>
  <c r="F557" i="2"/>
  <c r="E557" i="2"/>
  <c r="E555" i="2"/>
  <c r="E552" i="2"/>
  <c r="G551" i="2"/>
  <c r="F551" i="2"/>
  <c r="K551" i="2" s="1"/>
  <c r="E551" i="2"/>
  <c r="G548" i="2"/>
  <c r="E548" i="2"/>
  <c r="F548" i="2" s="1"/>
  <c r="K548" i="2" s="1"/>
  <c r="F547" i="2"/>
  <c r="G546" i="2"/>
  <c r="F546" i="2"/>
  <c r="I546" i="2" s="1"/>
  <c r="E546" i="2"/>
  <c r="E545" i="2"/>
  <c r="G544" i="2"/>
  <c r="E544" i="2"/>
  <c r="F543" i="2"/>
  <c r="E542" i="2"/>
  <c r="G542" i="2" s="1"/>
  <c r="E541" i="2"/>
  <c r="G540" i="2"/>
  <c r="E540" i="2"/>
  <c r="F540" i="2" s="1"/>
  <c r="I540" i="2" s="1"/>
  <c r="G539" i="2"/>
  <c r="F539" i="2"/>
  <c r="J539" i="2" s="1"/>
  <c r="H539" i="2" s="1"/>
  <c r="E539" i="2"/>
  <c r="E538" i="2"/>
  <c r="E536" i="2"/>
  <c r="F535" i="2"/>
  <c r="K535" i="2" s="1"/>
  <c r="F534" i="2"/>
  <c r="J534" i="2" s="1"/>
  <c r="H534" i="2" s="1"/>
  <c r="E534" i="2"/>
  <c r="G534" i="2" s="1"/>
  <c r="E533" i="2"/>
  <c r="F532" i="2"/>
  <c r="G531" i="2"/>
  <c r="F531" i="2"/>
  <c r="E531" i="2"/>
  <c r="E530" i="2"/>
  <c r="F529" i="2"/>
  <c r="I529" i="2" s="1"/>
  <c r="E528" i="2"/>
  <c r="G527" i="2"/>
  <c r="F527" i="2"/>
  <c r="J527" i="2" s="1"/>
  <c r="H527" i="2" s="1"/>
  <c r="E527" i="2"/>
  <c r="E526" i="2"/>
  <c r="E525" i="2"/>
  <c r="G522" i="2"/>
  <c r="E522" i="2"/>
  <c r="F522" i="2" s="1"/>
  <c r="K522" i="2" s="1"/>
  <c r="G521" i="2"/>
  <c r="E519" i="2"/>
  <c r="E518" i="2"/>
  <c r="G517" i="2"/>
  <c r="F517" i="2"/>
  <c r="K517" i="2" s="1"/>
  <c r="E517" i="2"/>
  <c r="F516" i="2"/>
  <c r="E515" i="2"/>
  <c r="G514" i="2"/>
  <c r="E514" i="2"/>
  <c r="F513" i="2"/>
  <c r="K513" i="2" s="1"/>
  <c r="E512" i="2"/>
  <c r="E511" i="2"/>
  <c r="G511" i="2" s="1"/>
  <c r="G510" i="2"/>
  <c r="E510" i="2"/>
  <c r="F510" i="2" s="1"/>
  <c r="J510" i="2" s="1"/>
  <c r="H510" i="2" s="1"/>
  <c r="G509" i="2"/>
  <c r="F509" i="2"/>
  <c r="K509" i="2" s="1"/>
  <c r="E509" i="2"/>
  <c r="F508" i="2"/>
  <c r="J508" i="2" s="1"/>
  <c r="E505" i="2"/>
  <c r="E504" i="2"/>
  <c r="G503" i="2"/>
  <c r="F503" i="2"/>
  <c r="K503" i="2" s="1"/>
  <c r="E503" i="2"/>
  <c r="E502" i="2"/>
  <c r="E501" i="2"/>
  <c r="G501" i="2" s="1"/>
  <c r="F500" i="2"/>
  <c r="J500" i="2" s="1"/>
  <c r="G499" i="2"/>
  <c r="F499" i="2"/>
  <c r="K499" i="2" s="1"/>
  <c r="E499" i="2"/>
  <c r="G498" i="2"/>
  <c r="F498" i="2"/>
  <c r="J498" i="2" s="1"/>
  <c r="H498" i="2" s="1"/>
  <c r="E498" i="2"/>
  <c r="F495" i="2"/>
  <c r="E495" i="2"/>
  <c r="E494" i="2"/>
  <c r="G493" i="2"/>
  <c r="F493" i="2"/>
  <c r="K493" i="2" s="1"/>
  <c r="E493" i="2"/>
  <c r="E491" i="2"/>
  <c r="G491" i="2" s="1"/>
  <c r="G490" i="2"/>
  <c r="E490" i="2"/>
  <c r="F490" i="2" s="1"/>
  <c r="J490" i="2" s="1"/>
  <c r="H490" i="2" s="1"/>
  <c r="F489" i="2"/>
  <c r="G488" i="2"/>
  <c r="F488" i="2"/>
  <c r="J488" i="2" s="1"/>
  <c r="H488" i="2" s="1"/>
  <c r="E488" i="2"/>
  <c r="F487" i="2"/>
  <c r="E487" i="2"/>
  <c r="G483" i="2"/>
  <c r="F483" i="2"/>
  <c r="K483" i="2" s="1"/>
  <c r="E483" i="2"/>
  <c r="E481" i="2"/>
  <c r="G481" i="2" s="1"/>
  <c r="G480" i="2"/>
  <c r="E480" i="2"/>
  <c r="F480" i="2" s="1"/>
  <c r="J480" i="2" s="1"/>
  <c r="H480" i="2" s="1"/>
  <c r="F479" i="2"/>
  <c r="J479" i="2" s="1"/>
  <c r="H479" i="2" s="1"/>
  <c r="G478" i="2"/>
  <c r="F478" i="2"/>
  <c r="J478" i="2" s="1"/>
  <c r="H478" i="2" s="1"/>
  <c r="E478" i="2"/>
  <c r="E477" i="2"/>
  <c r="G476" i="2"/>
  <c r="E476" i="2"/>
  <c r="G475" i="2"/>
  <c r="F475" i="2"/>
  <c r="K475" i="2" s="1"/>
  <c r="E475" i="2"/>
  <c r="E474" i="2"/>
  <c r="E473" i="2"/>
  <c r="G473" i="2" s="1"/>
  <c r="F472" i="2"/>
  <c r="G471" i="2"/>
  <c r="F471" i="2"/>
  <c r="K471" i="2" s="1"/>
  <c r="E471" i="2"/>
  <c r="G470" i="2"/>
  <c r="F470" i="2"/>
  <c r="J470" i="2" s="1"/>
  <c r="H470" i="2" s="1"/>
  <c r="E470" i="2"/>
  <c r="E469" i="2"/>
  <c r="G468" i="2"/>
  <c r="E468" i="2"/>
  <c r="G467" i="2"/>
  <c r="K467" i="2"/>
  <c r="E466" i="2"/>
  <c r="E463" i="2"/>
  <c r="G463" i="2" s="1"/>
  <c r="G462" i="2"/>
  <c r="E462" i="2"/>
  <c r="F462" i="2" s="1"/>
  <c r="G461" i="2"/>
  <c r="F461" i="2"/>
  <c r="K461" i="2" s="1"/>
  <c r="E461" i="2"/>
  <c r="G460" i="2"/>
  <c r="F460" i="2"/>
  <c r="J460" i="2" s="1"/>
  <c r="H460" i="2" s="1"/>
  <c r="E460" i="2"/>
  <c r="F459" i="2"/>
  <c r="E459" i="2"/>
  <c r="E458" i="2"/>
  <c r="G457" i="2"/>
  <c r="F457" i="2"/>
  <c r="K457" i="2" s="1"/>
  <c r="E457" i="2"/>
  <c r="E456" i="2"/>
  <c r="E455" i="2"/>
  <c r="G455" i="2" s="1"/>
  <c r="G454" i="2"/>
  <c r="E454" i="2"/>
  <c r="F454" i="2" s="1"/>
  <c r="J454" i="2" s="1"/>
  <c r="H454" i="2" s="1"/>
  <c r="G453" i="2"/>
  <c r="F453" i="2"/>
  <c r="J453" i="2" s="1"/>
  <c r="H453" i="2" s="1"/>
  <c r="E453" i="2"/>
  <c r="G452" i="2"/>
  <c r="F452" i="2"/>
  <c r="E452" i="2"/>
  <c r="F451" i="2"/>
  <c r="E451" i="2"/>
  <c r="G449" i="2"/>
  <c r="F449" i="2"/>
  <c r="K449" i="2" s="1"/>
  <c r="E449" i="2"/>
  <c r="E448" i="2"/>
  <c r="F446" i="2"/>
  <c r="J446" i="2" s="1"/>
  <c r="H446" i="2" s="1"/>
  <c r="G445" i="2"/>
  <c r="F445" i="2"/>
  <c r="K445" i="2" s="1"/>
  <c r="E445" i="2"/>
  <c r="G444" i="2"/>
  <c r="F444" i="2"/>
  <c r="J444" i="2" s="1"/>
  <c r="H444" i="2" s="1"/>
  <c r="E444" i="2"/>
  <c r="E443" i="2"/>
  <c r="G442" i="2"/>
  <c r="E442" i="2"/>
  <c r="G441" i="2"/>
  <c r="F441" i="2"/>
  <c r="K441" i="2" s="1"/>
  <c r="E441" i="2"/>
  <c r="F440" i="2"/>
  <c r="E440" i="2"/>
  <c r="E439" i="2"/>
  <c r="G438" i="2"/>
  <c r="E438" i="2"/>
  <c r="F438" i="2" s="1"/>
  <c r="J438" i="2" s="1"/>
  <c r="H438" i="2" s="1"/>
  <c r="F437" i="2"/>
  <c r="J437" i="2" s="1"/>
  <c r="H437" i="2" s="1"/>
  <c r="F436" i="2"/>
  <c r="J436" i="2" s="1"/>
  <c r="H436" i="2" s="1"/>
  <c r="G435" i="2"/>
  <c r="E435" i="2"/>
  <c r="E434" i="2"/>
  <c r="G433" i="2"/>
  <c r="E432" i="2"/>
  <c r="E431" i="2"/>
  <c r="G430" i="2"/>
  <c r="E430" i="2"/>
  <c r="F430" i="2" s="1"/>
  <c r="F429" i="2"/>
  <c r="J429" i="2" s="1"/>
  <c r="H429" i="2" s="1"/>
  <c r="G428" i="2"/>
  <c r="F428" i="2"/>
  <c r="I428" i="2" s="1"/>
  <c r="E428" i="2"/>
  <c r="G427" i="2"/>
  <c r="E427" i="2"/>
  <c r="E426" i="2"/>
  <c r="G425" i="2"/>
  <c r="E425" i="2"/>
  <c r="E423" i="2"/>
  <c r="F422" i="2"/>
  <c r="G421" i="2"/>
  <c r="F421" i="2"/>
  <c r="K421" i="2" s="1"/>
  <c r="E421" i="2"/>
  <c r="G420" i="2"/>
  <c r="F420" i="2"/>
  <c r="J420" i="2" s="1"/>
  <c r="H420" i="2" s="1"/>
  <c r="E420" i="2"/>
  <c r="G419" i="2"/>
  <c r="E419" i="2"/>
  <c r="E418" i="2"/>
  <c r="F417" i="2"/>
  <c r="F416" i="2"/>
  <c r="I416" i="2" s="1"/>
  <c r="E416" i="2"/>
  <c r="G416" i="2" s="1"/>
  <c r="F414" i="2"/>
  <c r="I414" i="2" s="1"/>
  <c r="G413" i="2"/>
  <c r="F413" i="2"/>
  <c r="K413" i="2" s="1"/>
  <c r="E413" i="2"/>
  <c r="G411" i="2"/>
  <c r="F411" i="2"/>
  <c r="E411" i="2"/>
  <c r="E409" i="2"/>
  <c r="E408" i="2"/>
  <c r="F407" i="2"/>
  <c r="E407" i="2"/>
  <c r="F406" i="2"/>
  <c r="J406" i="2" s="1"/>
  <c r="H406" i="2" s="1"/>
  <c r="E406" i="2"/>
  <c r="G406" i="2" s="1"/>
  <c r="E405" i="2"/>
  <c r="G404" i="2"/>
  <c r="E404" i="2"/>
  <c r="F404" i="2" s="1"/>
  <c r="G403" i="2"/>
  <c r="F403" i="2"/>
  <c r="K403" i="2" s="1"/>
  <c r="E403" i="2"/>
  <c r="G402" i="2"/>
  <c r="F402" i="2"/>
  <c r="J402" i="2" s="1"/>
  <c r="H402" i="2" s="1"/>
  <c r="E402" i="2"/>
  <c r="E400" i="2"/>
  <c r="G399" i="2"/>
  <c r="F399" i="2"/>
  <c r="K399" i="2" s="1"/>
  <c r="E399" i="2"/>
  <c r="F398" i="2"/>
  <c r="I398" i="2" s="1"/>
  <c r="E398" i="2"/>
  <c r="G398" i="2" s="1"/>
  <c r="E397" i="2"/>
  <c r="G396" i="2"/>
  <c r="E396" i="2"/>
  <c r="F396" i="2" s="1"/>
  <c r="I396" i="2" s="1"/>
  <c r="G395" i="2"/>
  <c r="F395" i="2"/>
  <c r="K395" i="2" s="1"/>
  <c r="E395" i="2"/>
  <c r="G394" i="2"/>
  <c r="F394" i="2"/>
  <c r="E394" i="2"/>
  <c r="E393" i="2"/>
  <c r="E392" i="2"/>
  <c r="F391" i="2"/>
  <c r="E391" i="2"/>
  <c r="F390" i="2"/>
  <c r="J390" i="2" s="1"/>
  <c r="H390" i="2" s="1"/>
  <c r="E390" i="2"/>
  <c r="G390" i="2" s="1"/>
  <c r="E389" i="2"/>
  <c r="G388" i="2"/>
  <c r="E388" i="2"/>
  <c r="F388" i="2" s="1"/>
  <c r="K388" i="2" s="1"/>
  <c r="F387" i="2"/>
  <c r="G386" i="2"/>
  <c r="F386" i="2"/>
  <c r="J386" i="2" s="1"/>
  <c r="H386" i="2" s="1"/>
  <c r="E386" i="2"/>
  <c r="E385" i="2"/>
  <c r="E384" i="2"/>
  <c r="F383" i="2"/>
  <c r="K383" i="2" s="1"/>
  <c r="F382" i="2"/>
  <c r="E382" i="2"/>
  <c r="G382" i="2" s="1"/>
  <c r="E381" i="2"/>
  <c r="G380" i="2"/>
  <c r="E380" i="2"/>
  <c r="F380" i="2" s="1"/>
  <c r="I380" i="2" s="1"/>
  <c r="G377" i="2"/>
  <c r="F377" i="2"/>
  <c r="I377" i="2" s="1"/>
  <c r="E377" i="2"/>
  <c r="G376" i="2"/>
  <c r="F376" i="2"/>
  <c r="E376" i="2"/>
  <c r="E375" i="2"/>
  <c r="F370" i="2"/>
  <c r="J370" i="2" s="1"/>
  <c r="H370" i="2" s="1"/>
  <c r="E370" i="2"/>
  <c r="G370" i="2" s="1"/>
  <c r="E369" i="2"/>
  <c r="G368" i="2"/>
  <c r="E368" i="2"/>
  <c r="F368" i="2" s="1"/>
  <c r="K368" i="2" s="1"/>
  <c r="G367" i="2"/>
  <c r="F367" i="2"/>
  <c r="K367" i="2" s="1"/>
  <c r="E367" i="2"/>
  <c r="G366" i="2"/>
  <c r="F366" i="2"/>
  <c r="J366" i="2" s="1"/>
  <c r="H366" i="2" s="1"/>
  <c r="E366" i="2"/>
  <c r="E364" i="2"/>
  <c r="G363" i="2"/>
  <c r="F363" i="2"/>
  <c r="K363" i="2" s="1"/>
  <c r="E363" i="2"/>
  <c r="F362" i="2"/>
  <c r="I362" i="2" s="1"/>
  <c r="E362" i="2"/>
  <c r="G362" i="2" s="1"/>
  <c r="G358" i="2"/>
  <c r="E358" i="2"/>
  <c r="F358" i="2" s="1"/>
  <c r="I358" i="2" s="1"/>
  <c r="F357" i="2"/>
  <c r="I357" i="2" s="1"/>
  <c r="G356" i="2"/>
  <c r="F356" i="2"/>
  <c r="E356" i="2"/>
  <c r="E355" i="2"/>
  <c r="E354" i="2"/>
  <c r="F353" i="2"/>
  <c r="E353" i="2"/>
  <c r="G353" i="2" s="1"/>
  <c r="F352" i="2"/>
  <c r="E352" i="2"/>
  <c r="G352" i="2" s="1"/>
  <c r="E351" i="2"/>
  <c r="G350" i="2"/>
  <c r="E350" i="2"/>
  <c r="F350" i="2" s="1"/>
  <c r="G349" i="2"/>
  <c r="F349" i="2"/>
  <c r="K349" i="2" s="1"/>
  <c r="E349" i="2"/>
  <c r="G348" i="2"/>
  <c r="F348" i="2"/>
  <c r="J348" i="2" s="1"/>
  <c r="H348" i="2" s="1"/>
  <c r="E348" i="2"/>
  <c r="G347" i="2"/>
  <c r="E347" i="2"/>
  <c r="F346" i="2"/>
  <c r="K346" i="2" s="1"/>
  <c r="E346" i="2"/>
  <c r="G345" i="2"/>
  <c r="F345" i="2"/>
  <c r="K345" i="2" s="1"/>
  <c r="E345" i="2"/>
  <c r="F344" i="2"/>
  <c r="J344" i="2" s="1"/>
  <c r="H344" i="2" s="1"/>
  <c r="E344" i="2"/>
  <c r="G344" i="2" s="1"/>
  <c r="E343" i="2"/>
  <c r="G342" i="2"/>
  <c r="E342" i="2"/>
  <c r="F342" i="2" s="1"/>
  <c r="I342" i="2" s="1"/>
  <c r="G341" i="2"/>
  <c r="K341" i="2"/>
  <c r="G340" i="2"/>
  <c r="F340" i="2"/>
  <c r="E340" i="2"/>
  <c r="G339" i="2"/>
  <c r="E339" i="2"/>
  <c r="F338" i="2"/>
  <c r="F337" i="2"/>
  <c r="K337" i="2" s="1"/>
  <c r="E337" i="2"/>
  <c r="G337" i="2" s="1"/>
  <c r="F336" i="2"/>
  <c r="E336" i="2"/>
  <c r="E335" i="2"/>
  <c r="G332" i="2"/>
  <c r="E332" i="2"/>
  <c r="F332" i="2" s="1"/>
  <c r="K332" i="2" s="1"/>
  <c r="G331" i="2"/>
  <c r="F331" i="2"/>
  <c r="E331" i="2"/>
  <c r="G330" i="2"/>
  <c r="E330" i="2"/>
  <c r="E329" i="2"/>
  <c r="F328" i="2"/>
  <c r="E328" i="2"/>
  <c r="F327" i="2"/>
  <c r="F326" i="2"/>
  <c r="J326" i="2" s="1"/>
  <c r="H326" i="2" s="1"/>
  <c r="E326" i="2"/>
  <c r="G326" i="2" s="1"/>
  <c r="E325" i="2"/>
  <c r="E324" i="2"/>
  <c r="J323" i="2"/>
  <c r="H323" i="2" s="1"/>
  <c r="G322" i="2"/>
  <c r="E322" i="2"/>
  <c r="F322" i="2" s="1"/>
  <c r="I322" i="2" s="1"/>
  <c r="F321" i="2"/>
  <c r="I321" i="2" s="1"/>
  <c r="E321" i="2"/>
  <c r="G321" i="2" s="1"/>
  <c r="G320" i="2"/>
  <c r="E320" i="2"/>
  <c r="E319" i="2"/>
  <c r="G318" i="2"/>
  <c r="E318" i="2"/>
  <c r="F318" i="2" s="1"/>
  <c r="J318" i="2" s="1"/>
  <c r="H318" i="2" s="1"/>
  <c r="G316" i="2"/>
  <c r="F316" i="2"/>
  <c r="E316" i="2"/>
  <c r="E315" i="2"/>
  <c r="G314" i="2"/>
  <c r="F314" i="2"/>
  <c r="J314" i="2" s="1"/>
  <c r="H314" i="2" s="1"/>
  <c r="E314" i="2"/>
  <c r="E313" i="2"/>
  <c r="F312" i="2"/>
  <c r="J312" i="2" s="1"/>
  <c r="H312" i="2" s="1"/>
  <c r="G311" i="2"/>
  <c r="E311" i="2"/>
  <c r="F311" i="2" s="1"/>
  <c r="F310" i="2"/>
  <c r="J310" i="2" s="1"/>
  <c r="H310" i="2" s="1"/>
  <c r="E310" i="2"/>
  <c r="G310" i="2" s="1"/>
  <c r="G309" i="2"/>
  <c r="E309" i="2"/>
  <c r="G308" i="2"/>
  <c r="F308" i="2"/>
  <c r="E308" i="2"/>
  <c r="G307" i="2"/>
  <c r="E307" i="2"/>
  <c r="G304" i="2"/>
  <c r="F304" i="2"/>
  <c r="J304" i="2" s="1"/>
  <c r="H304" i="2" s="1"/>
  <c r="E304" i="2"/>
  <c r="F302" i="2"/>
  <c r="J302" i="2" s="1"/>
  <c r="H302" i="2" s="1"/>
  <c r="E302" i="2"/>
  <c r="G302" i="2" s="1"/>
  <c r="G301" i="2"/>
  <c r="K301" i="2"/>
  <c r="F300" i="2"/>
  <c r="E300" i="2"/>
  <c r="G300" i="2" s="1"/>
  <c r="G299" i="2"/>
  <c r="E299" i="2"/>
  <c r="G298" i="2"/>
  <c r="F298" i="2"/>
  <c r="E298" i="2"/>
  <c r="G296" i="2"/>
  <c r="F296" i="2"/>
  <c r="J296" i="2" s="1"/>
  <c r="H296" i="2" s="1"/>
  <c r="E296" i="2"/>
  <c r="E295" i="2"/>
  <c r="F294" i="2"/>
  <c r="J294" i="2" s="1"/>
  <c r="H294" i="2" s="1"/>
  <c r="E294" i="2"/>
  <c r="G294" i="2" s="1"/>
  <c r="G291" i="2"/>
  <c r="E291" i="2"/>
  <c r="F291" i="2" s="1"/>
  <c r="K291" i="2" s="1"/>
  <c r="J290" i="2"/>
  <c r="H290" i="2" s="1"/>
  <c r="G290" i="2"/>
  <c r="G289" i="2"/>
  <c r="E289" i="2"/>
  <c r="G288" i="2"/>
  <c r="F288" i="2"/>
  <c r="E288" i="2"/>
  <c r="G286" i="2"/>
  <c r="F286" i="2"/>
  <c r="J286" i="2" s="1"/>
  <c r="H286" i="2" s="1"/>
  <c r="E286" i="2"/>
  <c r="E285" i="2"/>
  <c r="F284" i="2"/>
  <c r="J284" i="2" s="1"/>
  <c r="H284" i="2" s="1"/>
  <c r="E284" i="2"/>
  <c r="G284" i="2" s="1"/>
  <c r="F283" i="2"/>
  <c r="F282" i="2"/>
  <c r="J282" i="2" s="1"/>
  <c r="H282" i="2" s="1"/>
  <c r="E282" i="2"/>
  <c r="G282" i="2" s="1"/>
  <c r="G281" i="2"/>
  <c r="E281" i="2"/>
  <c r="G280" i="2"/>
  <c r="F280" i="2"/>
  <c r="J280" i="2" s="1"/>
  <c r="H280" i="2" s="1"/>
  <c r="E280" i="2"/>
  <c r="E279" i="2"/>
  <c r="F278" i="2"/>
  <c r="J278" i="2" s="1"/>
  <c r="H278" i="2" s="1"/>
  <c r="F276" i="2"/>
  <c r="J276" i="2" s="1"/>
  <c r="H276" i="2" s="1"/>
  <c r="E276" i="2"/>
  <c r="G276" i="2" s="1"/>
  <c r="E275" i="2"/>
  <c r="F274" i="2"/>
  <c r="J274" i="2" s="1"/>
  <c r="H274" i="2" s="1"/>
  <c r="E274" i="2"/>
  <c r="G274" i="2" s="1"/>
  <c r="G273" i="2"/>
  <c r="E273" i="2"/>
  <c r="G272" i="2"/>
  <c r="F272" i="2"/>
  <c r="J272" i="2" s="1"/>
  <c r="H272" i="2" s="1"/>
  <c r="E272" i="2"/>
  <c r="G271" i="2"/>
  <c r="E271" i="2"/>
  <c r="G270" i="2"/>
  <c r="F270" i="2"/>
  <c r="J270" i="2" s="1"/>
  <c r="H270" i="2" s="1"/>
  <c r="E270" i="2"/>
  <c r="F266" i="2"/>
  <c r="J266" i="2" s="1"/>
  <c r="H266" i="2" s="1"/>
  <c r="E266" i="2"/>
  <c r="G266" i="2" s="1"/>
  <c r="G265" i="2"/>
  <c r="E265" i="2"/>
  <c r="G264" i="2"/>
  <c r="F264" i="2"/>
  <c r="E264" i="2"/>
  <c r="F262" i="2"/>
  <c r="I262" i="2" s="1"/>
  <c r="E262" i="2"/>
  <c r="G260" i="2"/>
  <c r="F260" i="2"/>
  <c r="J260" i="2" s="1"/>
  <c r="H260" i="2" s="1"/>
  <c r="G257" i="2"/>
  <c r="F257" i="2"/>
  <c r="K257" i="2" s="1"/>
  <c r="E257" i="2"/>
  <c r="F256" i="2"/>
  <c r="J256" i="2" s="1"/>
  <c r="H256" i="2" s="1"/>
  <c r="G255" i="2"/>
  <c r="E255" i="2"/>
  <c r="G254" i="2"/>
  <c r="F254" i="2"/>
  <c r="I254" i="2" s="1"/>
  <c r="E254" i="2"/>
  <c r="G253" i="2"/>
  <c r="E253" i="2"/>
  <c r="F253" i="2" s="1"/>
  <c r="I253" i="2" s="1"/>
  <c r="F250" i="2"/>
  <c r="I250" i="2" s="1"/>
  <c r="E250" i="2"/>
  <c r="G249" i="2"/>
  <c r="E249" i="2"/>
  <c r="G248" i="2"/>
  <c r="F248" i="2"/>
  <c r="E248" i="2"/>
  <c r="F247" i="2"/>
  <c r="K247" i="2" s="1"/>
  <c r="E247" i="2"/>
  <c r="F246" i="2"/>
  <c r="E246" i="2"/>
  <c r="G245" i="2"/>
  <c r="E245" i="2"/>
  <c r="F244" i="2"/>
  <c r="I244" i="2" s="1"/>
  <c r="G243" i="2"/>
  <c r="E243" i="2"/>
  <c r="F242" i="2"/>
  <c r="J242" i="2" s="1"/>
  <c r="H242" i="2" s="1"/>
  <c r="E241" i="2"/>
  <c r="F240" i="2"/>
  <c r="E238" i="2"/>
  <c r="E237" i="2"/>
  <c r="F236" i="2"/>
  <c r="I236" i="2" s="1"/>
  <c r="F234" i="2"/>
  <c r="J234" i="2" s="1"/>
  <c r="H234" i="2" s="1"/>
  <c r="G233" i="2"/>
  <c r="E233" i="2"/>
  <c r="G232" i="2"/>
  <c r="F232" i="2"/>
  <c r="K232" i="2" s="1"/>
  <c r="E232" i="2"/>
  <c r="G231" i="2"/>
  <c r="F231" i="2"/>
  <c r="K231" i="2" s="1"/>
  <c r="E231" i="2"/>
  <c r="E229" i="2"/>
  <c r="G228" i="2"/>
  <c r="F228" i="2"/>
  <c r="I228" i="2" s="1"/>
  <c r="E228" i="2"/>
  <c r="E227" i="2"/>
  <c r="F227" i="2" s="1"/>
  <c r="F226" i="2"/>
  <c r="J226" i="2" s="1"/>
  <c r="H226" i="2" s="1"/>
  <c r="G225" i="2"/>
  <c r="E225" i="2"/>
  <c r="G224" i="2"/>
  <c r="F224" i="2"/>
  <c r="E224" i="2"/>
  <c r="G223" i="2"/>
  <c r="F223" i="2"/>
  <c r="J223" i="2" s="1"/>
  <c r="H223" i="2" s="1"/>
  <c r="E223" i="2"/>
  <c r="F222" i="2"/>
  <c r="J222" i="2" s="1"/>
  <c r="H222" i="2" s="1"/>
  <c r="E219" i="2"/>
  <c r="G218" i="2"/>
  <c r="F218" i="2"/>
  <c r="I218" i="2" s="1"/>
  <c r="E218" i="2"/>
  <c r="E217" i="2"/>
  <c r="J214" i="2"/>
  <c r="H214" i="2" s="1"/>
  <c r="G213" i="2"/>
  <c r="F213" i="2"/>
  <c r="I213" i="2" s="1"/>
  <c r="E213" i="2"/>
  <c r="E212" i="2"/>
  <c r="E211" i="2"/>
  <c r="G210" i="2"/>
  <c r="F210" i="2"/>
  <c r="K210" i="2" s="1"/>
  <c r="E210" i="2"/>
  <c r="G209" i="2"/>
  <c r="F209" i="2"/>
  <c r="K209" i="2" s="1"/>
  <c r="E209" i="2"/>
  <c r="E208" i="2"/>
  <c r="G207" i="2"/>
  <c r="F207" i="2"/>
  <c r="K207" i="2" s="1"/>
  <c r="E207" i="2"/>
  <c r="E206" i="2"/>
  <c r="F205" i="2"/>
  <c r="I205" i="2" s="1"/>
  <c r="G203" i="2"/>
  <c r="E203" i="2"/>
  <c r="F203" i="2" s="1"/>
  <c r="J203" i="2" s="1"/>
  <c r="H203" i="2" s="1"/>
  <c r="F202" i="2"/>
  <c r="I202" i="2" s="1"/>
  <c r="E202" i="2"/>
  <c r="G202" i="2" s="1"/>
  <c r="G200" i="2"/>
  <c r="F200" i="2"/>
  <c r="K200" i="2" s="1"/>
  <c r="E200" i="2"/>
  <c r="F199" i="2"/>
  <c r="K199" i="2" s="1"/>
  <c r="G198" i="2"/>
  <c r="F198" i="2"/>
  <c r="J198" i="2" s="1"/>
  <c r="H198" i="2" s="1"/>
  <c r="E198" i="2"/>
  <c r="F197" i="2"/>
  <c r="E197" i="2"/>
  <c r="G195" i="2"/>
  <c r="F195" i="2"/>
  <c r="K195" i="2" s="1"/>
  <c r="E195" i="2"/>
  <c r="F194" i="2"/>
  <c r="I194" i="2" s="1"/>
  <c r="E194" i="2"/>
  <c r="G194" i="2" s="1"/>
  <c r="E193" i="2"/>
  <c r="F192" i="2"/>
  <c r="G189" i="2"/>
  <c r="F189" i="2"/>
  <c r="K189" i="2" s="1"/>
  <c r="E189" i="2"/>
  <c r="G188" i="2"/>
  <c r="F188" i="2"/>
  <c r="J188" i="2" s="1"/>
  <c r="H188" i="2" s="1"/>
  <c r="E188" i="2"/>
  <c r="G185" i="2"/>
  <c r="F185" i="2"/>
  <c r="I185" i="2" s="1"/>
  <c r="E185" i="2"/>
  <c r="F184" i="2"/>
  <c r="I184" i="2" s="1"/>
  <c r="E184" i="2"/>
  <c r="G184" i="2" s="1"/>
  <c r="E183" i="2"/>
  <c r="F182" i="2"/>
  <c r="G181" i="2"/>
  <c r="F181" i="2"/>
  <c r="K181" i="2" s="1"/>
  <c r="E181" i="2"/>
  <c r="F180" i="2"/>
  <c r="J180" i="2" s="1"/>
  <c r="H180" i="2" s="1"/>
  <c r="E179" i="2"/>
  <c r="F177" i="2"/>
  <c r="I177" i="2" s="1"/>
  <c r="F176" i="2"/>
  <c r="I176" i="2" s="1"/>
  <c r="E176" i="2"/>
  <c r="G176" i="2" s="1"/>
  <c r="E174" i="2"/>
  <c r="G172" i="2"/>
  <c r="F172" i="2"/>
  <c r="K172" i="2" s="1"/>
  <c r="E172" i="2"/>
  <c r="G171" i="2"/>
  <c r="F171" i="2"/>
  <c r="K171" i="2" s="1"/>
  <c r="E171" i="2"/>
  <c r="F170" i="2"/>
  <c r="J170" i="2" s="1"/>
  <c r="H170" i="2" s="1"/>
  <c r="E169" i="2"/>
  <c r="E168" i="2"/>
  <c r="G167" i="2"/>
  <c r="F167" i="2"/>
  <c r="I167" i="2" s="1"/>
  <c r="E167" i="2"/>
  <c r="F166" i="2"/>
  <c r="K166" i="2" s="1"/>
  <c r="E166" i="2"/>
  <c r="G166" i="2" s="1"/>
  <c r="E165" i="2"/>
  <c r="F164" i="2"/>
  <c r="G163" i="2"/>
  <c r="E163" i="2"/>
  <c r="E162" i="2"/>
  <c r="F162" i="2" s="1"/>
  <c r="E161" i="2"/>
  <c r="G159" i="2"/>
  <c r="F159" i="2"/>
  <c r="K159" i="2" s="1"/>
  <c r="E159" i="2"/>
  <c r="F158" i="2"/>
  <c r="K158" i="2" s="1"/>
  <c r="E158" i="2"/>
  <c r="G158" i="2" s="1"/>
  <c r="G157" i="2"/>
  <c r="G156" i="2"/>
  <c r="F156" i="2"/>
  <c r="I156" i="2" s="1"/>
  <c r="E156" i="2"/>
  <c r="F155" i="2"/>
  <c r="F154" i="2"/>
  <c r="J154" i="2" s="1"/>
  <c r="H154" i="2" s="1"/>
  <c r="E154" i="2"/>
  <c r="F153" i="2"/>
  <c r="K153" i="2" s="1"/>
  <c r="E152" i="2"/>
  <c r="G151" i="2"/>
  <c r="F151" i="2"/>
  <c r="K151" i="2" s="1"/>
  <c r="E151" i="2"/>
  <c r="F148" i="2"/>
  <c r="K148" i="2" s="1"/>
  <c r="E148" i="2"/>
  <c r="G148" i="2" s="1"/>
  <c r="G146" i="2"/>
  <c r="F146" i="2"/>
  <c r="I146" i="2" s="1"/>
  <c r="E146" i="2"/>
  <c r="F145" i="2"/>
  <c r="G144" i="2"/>
  <c r="E144" i="2"/>
  <c r="F143" i="2"/>
  <c r="I143" i="2" s="1"/>
  <c r="E143" i="2"/>
  <c r="E142" i="2"/>
  <c r="G141" i="2"/>
  <c r="F141" i="2"/>
  <c r="K141" i="2" s="1"/>
  <c r="E141" i="2"/>
  <c r="F140" i="2"/>
  <c r="E140" i="2"/>
  <c r="G140" i="2" s="1"/>
  <c r="G139" i="2"/>
  <c r="G138" i="2"/>
  <c r="F138" i="2"/>
  <c r="I138" i="2" s="1"/>
  <c r="E138" i="2"/>
  <c r="E137" i="2"/>
  <c r="G136" i="2"/>
  <c r="F136" i="2"/>
  <c r="J136" i="2" s="1"/>
  <c r="H136" i="2" s="1"/>
  <c r="E136" i="2"/>
  <c r="E135" i="2"/>
  <c r="F135" i="2" s="1"/>
  <c r="G133" i="2"/>
  <c r="F133" i="2"/>
  <c r="K133" i="2" s="1"/>
  <c r="E133" i="2"/>
  <c r="F132" i="2"/>
  <c r="E132" i="2"/>
  <c r="G132" i="2" s="1"/>
  <c r="E131" i="2"/>
  <c r="G130" i="2"/>
  <c r="F130" i="2"/>
  <c r="I130" i="2" s="1"/>
  <c r="E130" i="2"/>
  <c r="E129" i="2"/>
  <c r="G125" i="2"/>
  <c r="F125" i="2"/>
  <c r="K125" i="2" s="1"/>
  <c r="E125" i="2"/>
  <c r="F124" i="2"/>
  <c r="I124" i="2" s="1"/>
  <c r="E124" i="2"/>
  <c r="G124" i="2" s="1"/>
  <c r="G123" i="2"/>
  <c r="E123" i="2"/>
  <c r="F122" i="2"/>
  <c r="K121" i="2"/>
  <c r="G120" i="2"/>
  <c r="F120" i="2"/>
  <c r="J120" i="2" s="1"/>
  <c r="H120" i="2" s="1"/>
  <c r="E120" i="2"/>
  <c r="F119" i="2"/>
  <c r="K119" i="2" s="1"/>
  <c r="E119" i="2"/>
  <c r="E118" i="2"/>
  <c r="G117" i="2"/>
  <c r="F117" i="2"/>
  <c r="K117" i="2" s="1"/>
  <c r="E117" i="2"/>
  <c r="F114" i="2"/>
  <c r="K114" i="2" s="1"/>
  <c r="E114" i="2"/>
  <c r="G114" i="2" s="1"/>
  <c r="E113" i="2"/>
  <c r="G112" i="2"/>
  <c r="F112" i="2"/>
  <c r="E112" i="2"/>
  <c r="G111" i="2"/>
  <c r="E111" i="2"/>
  <c r="G110" i="2"/>
  <c r="F110" i="2"/>
  <c r="E110" i="2"/>
  <c r="E109" i="2"/>
  <c r="E108" i="2"/>
  <c r="F107" i="2"/>
  <c r="F104" i="2"/>
  <c r="K104" i="2" s="1"/>
  <c r="E104" i="2"/>
  <c r="G104" i="2" s="1"/>
  <c r="G102" i="2"/>
  <c r="F102" i="2"/>
  <c r="I102" i="2" s="1"/>
  <c r="F101" i="2"/>
  <c r="F100" i="2"/>
  <c r="E100" i="2"/>
  <c r="F99" i="2"/>
  <c r="I99" i="2" s="1"/>
  <c r="E99" i="2"/>
  <c r="E98" i="2"/>
  <c r="G97" i="2"/>
  <c r="F97" i="2"/>
  <c r="J97" i="2" s="1"/>
  <c r="H97" i="2" s="1"/>
  <c r="E97" i="2"/>
  <c r="F96" i="2"/>
  <c r="K96" i="2" s="1"/>
  <c r="E96" i="2"/>
  <c r="G96" i="2" s="1"/>
  <c r="G94" i="2"/>
  <c r="F94" i="2"/>
  <c r="I94" i="2" s="1"/>
  <c r="E94" i="2"/>
  <c r="G93" i="2"/>
  <c r="E93" i="2"/>
  <c r="E91" i="2"/>
  <c r="E90" i="2"/>
  <c r="F89" i="2"/>
  <c r="K89" i="2" s="1"/>
  <c r="F86" i="2"/>
  <c r="K86" i="2" s="1"/>
  <c r="E86" i="2"/>
  <c r="G86" i="2" s="1"/>
  <c r="E85" i="2"/>
  <c r="G84" i="2"/>
  <c r="F84" i="2"/>
  <c r="I84" i="2" s="1"/>
  <c r="E84" i="2"/>
  <c r="G83" i="2"/>
  <c r="F83" i="2"/>
  <c r="E83" i="2"/>
  <c r="F82" i="2"/>
  <c r="J82" i="2" s="1"/>
  <c r="H82" i="2" s="1"/>
  <c r="F81" i="2"/>
  <c r="I81" i="2" s="1"/>
  <c r="E81" i="2"/>
  <c r="E80" i="2"/>
  <c r="F79" i="2"/>
  <c r="K79" i="2" s="1"/>
  <c r="F78" i="2"/>
  <c r="E78" i="2"/>
  <c r="G78" i="2" s="1"/>
  <c r="F76" i="2"/>
  <c r="J76" i="2" s="1"/>
  <c r="H76" i="2" s="1"/>
  <c r="G75" i="2"/>
  <c r="E75" i="2"/>
  <c r="F74" i="2"/>
  <c r="G72" i="2"/>
  <c r="E72" i="2"/>
  <c r="G71" i="2"/>
  <c r="F71" i="2"/>
  <c r="E71" i="2"/>
  <c r="F70" i="2"/>
  <c r="K70" i="2" s="1"/>
  <c r="E70" i="2"/>
  <c r="G70" i="2" s="1"/>
  <c r="E69" i="2"/>
  <c r="G68" i="2"/>
  <c r="F68" i="2"/>
  <c r="E68" i="2"/>
  <c r="E67" i="2"/>
  <c r="F66" i="2"/>
  <c r="J66" i="2" s="1"/>
  <c r="H66" i="2" s="1"/>
  <c r="E65" i="2"/>
  <c r="F65" i="2" s="1"/>
  <c r="G64" i="2"/>
  <c r="E64" i="2"/>
  <c r="G63" i="2"/>
  <c r="K63" i="2"/>
  <c r="F62" i="2"/>
  <c r="I62" i="2" s="1"/>
  <c r="E62" i="2"/>
  <c r="G62" i="2" s="1"/>
  <c r="G60" i="2"/>
  <c r="F60" i="2"/>
  <c r="J60" i="2" s="1"/>
  <c r="H60" i="2" s="1"/>
  <c r="E60" i="2"/>
  <c r="G59" i="2"/>
  <c r="E59" i="2"/>
  <c r="E58" i="2"/>
  <c r="E57" i="2"/>
  <c r="G55" i="2"/>
  <c r="E55" i="2"/>
  <c r="G53" i="2"/>
  <c r="F53" i="2"/>
  <c r="E53" i="2"/>
  <c r="F52" i="2"/>
  <c r="I52" i="2" s="1"/>
  <c r="E52" i="2"/>
  <c r="G52" i="2" s="1"/>
  <c r="E51" i="2"/>
  <c r="G50" i="2"/>
  <c r="F50" i="2"/>
  <c r="E50" i="2"/>
  <c r="E49" i="2"/>
  <c r="G48" i="2"/>
  <c r="F48" i="2"/>
  <c r="J48" i="2" s="1"/>
  <c r="H48" i="2" s="1"/>
  <c r="E48" i="2"/>
  <c r="F47" i="2"/>
  <c r="E47" i="2"/>
  <c r="G45" i="2"/>
  <c r="F45" i="2"/>
  <c r="K45" i="2" s="1"/>
  <c r="E45" i="2"/>
  <c r="F44" i="2"/>
  <c r="I44" i="2" s="1"/>
  <c r="E44" i="2"/>
  <c r="G44" i="2" s="1"/>
  <c r="E43" i="2"/>
  <c r="F42" i="2"/>
  <c r="J42" i="2" s="1"/>
  <c r="G41" i="2"/>
  <c r="E41" i="2"/>
  <c r="E40" i="2"/>
  <c r="E39" i="2"/>
  <c r="G36" i="2"/>
  <c r="E36" i="2"/>
  <c r="F35" i="2"/>
  <c r="F34" i="2"/>
  <c r="I34" i="2" s="1"/>
  <c r="E34" i="2"/>
  <c r="G34" i="2" s="1"/>
  <c r="F33" i="2"/>
  <c r="J33" i="2" s="1"/>
  <c r="H33" i="2" s="1"/>
  <c r="G32" i="2"/>
  <c r="F32" i="2"/>
  <c r="K32" i="2" s="1"/>
  <c r="E32" i="2"/>
  <c r="G31" i="2"/>
  <c r="F31" i="2"/>
  <c r="E31" i="2"/>
  <c r="F30" i="2"/>
  <c r="E30" i="2"/>
  <c r="E29" i="2"/>
  <c r="G28" i="2"/>
  <c r="F28" i="2"/>
  <c r="J28" i="2" s="1"/>
  <c r="H28" i="2" s="1"/>
  <c r="E28" i="2"/>
  <c r="G27" i="2"/>
  <c r="F27" i="2"/>
  <c r="I27" i="2" s="1"/>
  <c r="E27" i="2"/>
  <c r="F26" i="2"/>
  <c r="E23" i="2"/>
  <c r="F23" i="2" s="1"/>
  <c r="K23" i="2" s="1"/>
  <c r="G22" i="2"/>
  <c r="E22" i="2"/>
  <c r="F22" i="2" s="1"/>
  <c r="J22" i="2" s="1"/>
  <c r="H22" i="2" s="1"/>
  <c r="G21" i="2"/>
  <c r="F21" i="2"/>
  <c r="K21" i="2" s="1"/>
  <c r="E21" i="2"/>
  <c r="G19" i="2"/>
  <c r="F19" i="2"/>
  <c r="E19" i="2"/>
  <c r="G18" i="2"/>
  <c r="F18" i="2"/>
  <c r="K18" i="2" s="1"/>
  <c r="E18" i="2"/>
  <c r="F17" i="2"/>
  <c r="J17" i="2" s="1"/>
  <c r="H17" i="2" s="1"/>
  <c r="E17" i="2"/>
  <c r="E16" i="2"/>
  <c r="E15" i="2"/>
  <c r="G15" i="2" s="1"/>
  <c r="F14" i="2"/>
  <c r="J14" i="2" s="1"/>
  <c r="G13" i="2"/>
  <c r="K13" i="2"/>
  <c r="E12" i="2"/>
  <c r="G11" i="2"/>
  <c r="F11" i="2"/>
  <c r="E11" i="2"/>
  <c r="E8" i="2"/>
  <c r="G8" i="2" s="1"/>
  <c r="E6" i="2"/>
  <c r="E5" i="2"/>
  <c r="G5" i="2" s="1"/>
  <c r="F4" i="2"/>
  <c r="K4" i="2" s="1"/>
  <c r="J3" i="2"/>
  <c r="H3" i="2" s="1"/>
  <c r="I3" i="2"/>
  <c r="F3" i="2"/>
  <c r="K3" i="2" s="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K621" i="2" l="1"/>
  <c r="K631" i="2"/>
  <c r="K547" i="2"/>
  <c r="K417" i="2"/>
  <c r="K338" i="2"/>
  <c r="K283" i="2"/>
  <c r="K192" i="2"/>
  <c r="K182" i="2"/>
  <c r="K167" i="2"/>
  <c r="K214" i="2"/>
  <c r="G214" i="2" s="1"/>
  <c r="I125" i="2"/>
  <c r="I141" i="2"/>
  <c r="J569" i="2"/>
  <c r="H569" i="2" s="1"/>
  <c r="K185" i="2"/>
  <c r="K223" i="2"/>
  <c r="J141" i="2"/>
  <c r="H141" i="2" s="1"/>
  <c r="I470" i="2"/>
  <c r="J483" i="2"/>
  <c r="H483" i="2" s="1"/>
  <c r="I445" i="2"/>
  <c r="I283" i="2"/>
  <c r="I151" i="2"/>
  <c r="I569" i="2"/>
  <c r="J612" i="2"/>
  <c r="H612" i="2" s="1"/>
  <c r="K28" i="2"/>
  <c r="J159" i="2"/>
  <c r="H159" i="2" s="1"/>
  <c r="J332" i="2"/>
  <c r="H332" i="2" s="1"/>
  <c r="I314" i="2"/>
  <c r="I14" i="2"/>
  <c r="I42" i="2"/>
  <c r="K97" i="2"/>
  <c r="J185" i="2"/>
  <c r="H185" i="2" s="1"/>
  <c r="K33" i="2"/>
  <c r="I367" i="2"/>
  <c r="I444" i="2"/>
  <c r="J509" i="2"/>
  <c r="H509" i="2" s="1"/>
  <c r="I222" i="2"/>
  <c r="K630" i="2"/>
  <c r="J195" i="2"/>
  <c r="H195" i="2" s="1"/>
  <c r="J202" i="2"/>
  <c r="H202" i="2" s="1"/>
  <c r="K254" i="2"/>
  <c r="J414" i="2"/>
  <c r="K429" i="2" s="1"/>
  <c r="K490" i="2"/>
  <c r="J587" i="2"/>
  <c r="H587" i="2" s="1"/>
  <c r="J23" i="2"/>
  <c r="H23" i="2" s="1"/>
  <c r="J167" i="2"/>
  <c r="H167" i="2" s="1"/>
  <c r="K202" i="2"/>
  <c r="I421" i="2"/>
  <c r="I535" i="2"/>
  <c r="K145" i="2"/>
  <c r="I406" i="2"/>
  <c r="J445" i="2"/>
  <c r="H445" i="2" s="1"/>
  <c r="I568" i="2"/>
  <c r="J151" i="2"/>
  <c r="H151" i="2" s="1"/>
  <c r="K322" i="2"/>
  <c r="I326" i="2"/>
  <c r="J421" i="2"/>
  <c r="H421" i="2" s="1"/>
  <c r="I429" i="2"/>
  <c r="I454" i="2"/>
  <c r="I471" i="2"/>
  <c r="K612" i="2"/>
  <c r="I158" i="2"/>
  <c r="I247" i="2"/>
  <c r="K326" i="2"/>
  <c r="K342" i="2"/>
  <c r="J449" i="2"/>
  <c r="H449" i="2" s="1"/>
  <c r="K470" i="2"/>
  <c r="I479" i="2"/>
  <c r="J493" i="2"/>
  <c r="H493" i="2" s="1"/>
  <c r="K22" i="2"/>
  <c r="I23" i="2"/>
  <c r="I89" i="2"/>
  <c r="I97" i="2"/>
  <c r="I166" i="2"/>
  <c r="K198" i="2"/>
  <c r="K203" i="2"/>
  <c r="I210" i="2"/>
  <c r="I349" i="2"/>
  <c r="I387" i="2"/>
  <c r="K479" i="2"/>
  <c r="G479" i="2" s="1"/>
  <c r="K52" i="2"/>
  <c r="J70" i="2"/>
  <c r="H70" i="2" s="1"/>
  <c r="I104" i="2"/>
  <c r="I234" i="2"/>
  <c r="I242" i="2"/>
  <c r="K444" i="2"/>
  <c r="I587" i="2"/>
  <c r="K627" i="2"/>
  <c r="J104" i="2"/>
  <c r="H104" i="2" s="1"/>
  <c r="I159" i="2"/>
  <c r="K213" i="2"/>
  <c r="I547" i="2"/>
  <c r="K616" i="2"/>
  <c r="I32" i="2"/>
  <c r="I107" i="2"/>
  <c r="J158" i="2"/>
  <c r="H158" i="2" s="1"/>
  <c r="J254" i="2"/>
  <c r="H254" i="2" s="1"/>
  <c r="J262" i="2"/>
  <c r="H262" i="2" s="1"/>
  <c r="I332" i="2"/>
  <c r="I370" i="2"/>
  <c r="K396" i="2"/>
  <c r="I534" i="2"/>
  <c r="K579" i="2"/>
  <c r="I586" i="2"/>
  <c r="J595" i="2"/>
  <c r="H595" i="2" s="1"/>
  <c r="K634" i="2"/>
  <c r="I117" i="2"/>
  <c r="I301" i="2"/>
  <c r="J341" i="2"/>
  <c r="H341" i="2" s="1"/>
  <c r="K358" i="2"/>
  <c r="I413" i="2"/>
  <c r="I453" i="2"/>
  <c r="I460" i="2"/>
  <c r="I500" i="2"/>
  <c r="J586" i="2"/>
  <c r="K599" i="2" s="1"/>
  <c r="K60" i="2"/>
  <c r="J63" i="2"/>
  <c r="H63" i="2" s="1"/>
  <c r="I66" i="2"/>
  <c r="I79" i="2"/>
  <c r="I96" i="2"/>
  <c r="J117" i="2"/>
  <c r="H117" i="2" s="1"/>
  <c r="J166" i="2"/>
  <c r="H166" i="2" s="1"/>
  <c r="I200" i="2"/>
  <c r="I231" i="2"/>
  <c r="J244" i="2"/>
  <c r="J250" i="2"/>
  <c r="H250" i="2" s="1"/>
  <c r="I390" i="2"/>
  <c r="K453" i="2"/>
  <c r="I517" i="2"/>
  <c r="K539" i="2"/>
  <c r="K568" i="2"/>
  <c r="K583" i="2"/>
  <c r="I63" i="2"/>
  <c r="I13" i="2"/>
  <c r="I33" i="2"/>
  <c r="I48" i="2"/>
  <c r="J52" i="2"/>
  <c r="H52" i="2" s="1"/>
  <c r="I70" i="2"/>
  <c r="I76" i="2"/>
  <c r="J96" i="2"/>
  <c r="H96" i="2" s="1"/>
  <c r="K143" i="2"/>
  <c r="J177" i="2"/>
  <c r="K180" i="2" s="1"/>
  <c r="I195" i="2"/>
  <c r="I498" i="2"/>
  <c r="K510" i="2"/>
  <c r="J517" i="2"/>
  <c r="H517" i="2" s="1"/>
  <c r="K527" i="2"/>
  <c r="J561" i="2"/>
  <c r="H561" i="2" s="1"/>
  <c r="J631" i="2"/>
  <c r="K438" i="2"/>
  <c r="K480" i="2"/>
  <c r="J547" i="2"/>
  <c r="K563" i="2" s="1"/>
  <c r="I600" i="2"/>
  <c r="J620" i="2"/>
  <c r="H620" i="2" s="1"/>
  <c r="K99" i="2"/>
  <c r="K205" i="2"/>
  <c r="I223" i="2"/>
  <c r="J380" i="2"/>
  <c r="H380" i="2" s="1"/>
  <c r="K540" i="2"/>
  <c r="I278" i="2"/>
  <c r="K328" i="2"/>
  <c r="K460" i="2"/>
  <c r="K613" i="2"/>
  <c r="K635" i="2"/>
  <c r="K184" i="2"/>
  <c r="K11" i="2"/>
  <c r="J34" i="2"/>
  <c r="H34" i="2" s="1"/>
  <c r="I45" i="2"/>
  <c r="J79" i="2"/>
  <c r="K240" i="2" s="1"/>
  <c r="K83" i="2"/>
  <c r="J89" i="2"/>
  <c r="K107" i="2" s="1"/>
  <c r="J107" i="2"/>
  <c r="J114" i="2"/>
  <c r="H114" i="2" s="1"/>
  <c r="J125" i="2"/>
  <c r="H125" i="2" s="1"/>
  <c r="I133" i="2"/>
  <c r="I148" i="2"/>
  <c r="K170" i="2"/>
  <c r="K188" i="2"/>
  <c r="K194" i="2"/>
  <c r="J218" i="2"/>
  <c r="H218" i="2" s="1"/>
  <c r="I240" i="2"/>
  <c r="J246" i="2"/>
  <c r="H246" i="2" s="1"/>
  <c r="I341" i="2"/>
  <c r="J367" i="2"/>
  <c r="H367" i="2" s="1"/>
  <c r="J387" i="2"/>
  <c r="K414" i="2" s="1"/>
  <c r="I438" i="2"/>
  <c r="K454" i="2"/>
  <c r="J471" i="2"/>
  <c r="H471" i="2" s="1"/>
  <c r="I480" i="2"/>
  <c r="I490" i="2"/>
  <c r="K508" i="2"/>
  <c r="I509" i="2"/>
  <c r="I522" i="2"/>
  <c r="J602" i="2"/>
  <c r="I613" i="2"/>
  <c r="I114" i="2"/>
  <c r="I4" i="2"/>
  <c r="K31" i="2"/>
  <c r="K34" i="2"/>
  <c r="J45" i="2"/>
  <c r="H45" i="2" s="1"/>
  <c r="J133" i="2"/>
  <c r="H133" i="2" s="1"/>
  <c r="I164" i="2"/>
  <c r="I207" i="2"/>
  <c r="K218" i="2"/>
  <c r="J232" i="2"/>
  <c r="H232" i="2" s="1"/>
  <c r="J321" i="2"/>
  <c r="H321" i="2" s="1"/>
  <c r="I446" i="2"/>
  <c r="I532" i="2"/>
  <c r="I558" i="2"/>
  <c r="K602" i="2"/>
  <c r="J621" i="2"/>
  <c r="K176" i="2"/>
  <c r="J4" i="2"/>
  <c r="K14" i="2" s="1"/>
  <c r="I86" i="2"/>
  <c r="J124" i="2"/>
  <c r="H124" i="2" s="1"/>
  <c r="I153" i="2"/>
  <c r="I403" i="2"/>
  <c r="I437" i="2"/>
  <c r="K446" i="2"/>
  <c r="I461" i="2"/>
  <c r="I489" i="2"/>
  <c r="K498" i="2"/>
  <c r="I499" i="2"/>
  <c r="J535" i="2"/>
  <c r="I566" i="2"/>
  <c r="I603" i="2"/>
  <c r="K608" i="2"/>
  <c r="I610" i="2"/>
  <c r="J638" i="2"/>
  <c r="I60" i="2"/>
  <c r="J86" i="2"/>
  <c r="H86" i="2" s="1"/>
  <c r="K124" i="2"/>
  <c r="I172" i="2"/>
  <c r="I182" i="2"/>
  <c r="I192" i="2"/>
  <c r="I214" i="2"/>
  <c r="I291" i="2"/>
  <c r="J358" i="2"/>
  <c r="H358" i="2" s="1"/>
  <c r="I395" i="2"/>
  <c r="J403" i="2"/>
  <c r="H403" i="2" s="1"/>
  <c r="J428" i="2"/>
  <c r="H428" i="2" s="1"/>
  <c r="J457" i="2"/>
  <c r="H457" i="2" s="1"/>
  <c r="J461" i="2"/>
  <c r="H461" i="2" s="1"/>
  <c r="J489" i="2"/>
  <c r="J499" i="2"/>
  <c r="H499" i="2" s="1"/>
  <c r="I508" i="2"/>
  <c r="J546" i="2"/>
  <c r="H546" i="2" s="1"/>
  <c r="I573" i="2"/>
  <c r="I579" i="2"/>
  <c r="J630" i="2"/>
  <c r="H630" i="2" s="1"/>
  <c r="K638" i="2"/>
  <c r="J110" i="2"/>
  <c r="H110" i="2" s="1"/>
  <c r="J171" i="2"/>
  <c r="H171" i="2" s="1"/>
  <c r="J181" i="2"/>
  <c r="H181" i="2" s="1"/>
  <c r="J189" i="2"/>
  <c r="H189" i="2" s="1"/>
  <c r="J209" i="2"/>
  <c r="H209" i="2" s="1"/>
  <c r="I224" i="2"/>
  <c r="K262" i="2"/>
  <c r="J194" i="2"/>
  <c r="H194" i="2" s="1"/>
  <c r="K19" i="2"/>
  <c r="J199" i="2"/>
  <c r="I583" i="2"/>
  <c r="I595" i="2"/>
  <c r="J603" i="2"/>
  <c r="H603" i="2" s="1"/>
  <c r="K620" i="2"/>
  <c r="I631" i="2"/>
  <c r="K380" i="2"/>
  <c r="J396" i="2"/>
  <c r="H396" i="2" s="1"/>
  <c r="I436" i="2"/>
  <c r="K617" i="2"/>
  <c r="I621" i="2"/>
  <c r="G58" i="2"/>
  <c r="F12" i="2"/>
  <c r="J12" i="2" s="1"/>
  <c r="H12" i="2" s="1"/>
  <c r="G40" i="2"/>
  <c r="F8" i="2"/>
  <c r="J8" i="2" s="1"/>
  <c r="H8" i="2" s="1"/>
  <c r="G12" i="2"/>
  <c r="J13" i="2"/>
  <c r="H13" i="2" s="1"/>
  <c r="J18" i="2"/>
  <c r="H18" i="2" s="1"/>
  <c r="I18" i="2"/>
  <c r="F20" i="2"/>
  <c r="I20" i="2" s="1"/>
  <c r="I21" i="2"/>
  <c r="F40" i="2"/>
  <c r="J40" i="2" s="1"/>
  <c r="H40" i="2" s="1"/>
  <c r="J47" i="2"/>
  <c r="H47" i="2" s="1"/>
  <c r="G47" i="2"/>
  <c r="K47" i="2"/>
  <c r="I47" i="2"/>
  <c r="G49" i="2"/>
  <c r="F49" i="2"/>
  <c r="I49" i="2" s="1"/>
  <c r="K81" i="2"/>
  <c r="G208" i="2"/>
  <c r="F208" i="2"/>
  <c r="I208" i="2" s="1"/>
  <c r="K35" i="2"/>
  <c r="J35" i="2"/>
  <c r="K66" i="2" s="1"/>
  <c r="I35" i="2"/>
  <c r="G67" i="2"/>
  <c r="F67" i="2"/>
  <c r="J67" i="2" s="1"/>
  <c r="H67" i="2" s="1"/>
  <c r="G129" i="2"/>
  <c r="F129" i="2"/>
  <c r="J129" i="2" s="1"/>
  <c r="H129" i="2" s="1"/>
  <c r="G6" i="2"/>
  <c r="F6" i="2"/>
  <c r="J21" i="2"/>
  <c r="H21" i="2" s="1"/>
  <c r="K30" i="2"/>
  <c r="J30" i="2"/>
  <c r="H30" i="2" s="1"/>
  <c r="I30" i="2"/>
  <c r="G30" i="2"/>
  <c r="J68" i="2"/>
  <c r="H68" i="2" s="1"/>
  <c r="K68" i="2"/>
  <c r="I68" i="2"/>
  <c r="F77" i="2"/>
  <c r="I77" i="2" s="1"/>
  <c r="G90" i="2"/>
  <c r="F90" i="2"/>
  <c r="I90" i="2" s="1"/>
  <c r="K100" i="2"/>
  <c r="I100" i="2"/>
  <c r="J100" i="2"/>
  <c r="H100" i="2" s="1"/>
  <c r="G100" i="2"/>
  <c r="K53" i="2"/>
  <c r="J53" i="2"/>
  <c r="H53" i="2" s="1"/>
  <c r="I53" i="2"/>
  <c r="K140" i="2"/>
  <c r="J140" i="2"/>
  <c r="H140" i="2" s="1"/>
  <c r="I140" i="2"/>
  <c r="J157" i="2"/>
  <c r="H157" i="2" s="1"/>
  <c r="F58" i="2"/>
  <c r="K58" i="2" s="1"/>
  <c r="G16" i="2"/>
  <c r="F16" i="2"/>
  <c r="I16" i="2" s="1"/>
  <c r="J50" i="2"/>
  <c r="H50" i="2" s="1"/>
  <c r="K50" i="2"/>
  <c r="I50" i="2"/>
  <c r="F61" i="2"/>
  <c r="I61" i="2" s="1"/>
  <c r="K122" i="2"/>
  <c r="J122" i="2"/>
  <c r="I122" i="2"/>
  <c r="G160" i="2"/>
  <c r="K160" i="2"/>
  <c r="F95" i="2"/>
  <c r="K95" i="2" s="1"/>
  <c r="K78" i="2"/>
  <c r="J78" i="2"/>
  <c r="H78" i="2" s="1"/>
  <c r="F127" i="2"/>
  <c r="F147" i="2"/>
  <c r="K147" i="2" s="1"/>
  <c r="G169" i="2"/>
  <c r="F169" i="2"/>
  <c r="K169" i="2" s="1"/>
  <c r="G179" i="2"/>
  <c r="F179" i="2"/>
  <c r="I179" i="2" s="1"/>
  <c r="F187" i="2"/>
  <c r="K187" i="2" s="1"/>
  <c r="G238" i="2"/>
  <c r="F238" i="2"/>
  <c r="K238" i="2" s="1"/>
  <c r="J277" i="2"/>
  <c r="H277" i="2" s="1"/>
  <c r="G277" i="2"/>
  <c r="J135" i="2"/>
  <c r="H135" i="2" s="1"/>
  <c r="G135" i="2"/>
  <c r="K135" i="2"/>
  <c r="I135" i="2"/>
  <c r="J65" i="2"/>
  <c r="H65" i="2" s="1"/>
  <c r="G65" i="2"/>
  <c r="K65" i="2"/>
  <c r="I65" i="2"/>
  <c r="I22" i="2"/>
  <c r="F85" i="2"/>
  <c r="J85" i="2" s="1"/>
  <c r="H85" i="2" s="1"/>
  <c r="G98" i="2"/>
  <c r="F98" i="2"/>
  <c r="I98" i="2" s="1"/>
  <c r="K112" i="2"/>
  <c r="J112" i="2"/>
  <c r="H112" i="2" s="1"/>
  <c r="I112" i="2"/>
  <c r="G137" i="2"/>
  <c r="G313" i="2"/>
  <c r="F313" i="2"/>
  <c r="J313" i="2" s="1"/>
  <c r="H313" i="2" s="1"/>
  <c r="K132" i="2"/>
  <c r="J132" i="2"/>
  <c r="H132" i="2" s="1"/>
  <c r="I132" i="2"/>
  <c r="J26" i="2"/>
  <c r="I26" i="2"/>
  <c r="F43" i="2"/>
  <c r="J43" i="2" s="1"/>
  <c r="H43" i="2" s="1"/>
  <c r="G43" i="2"/>
  <c r="F7" i="2"/>
  <c r="J7" i="2" s="1"/>
  <c r="H7" i="2" s="1"/>
  <c r="K17" i="2"/>
  <c r="I17" i="2"/>
  <c r="G17" i="2"/>
  <c r="K27" i="2"/>
  <c r="K71" i="2"/>
  <c r="J71" i="2"/>
  <c r="H71" i="2" s="1"/>
  <c r="I71" i="2"/>
  <c r="K74" i="2"/>
  <c r="J74" i="2"/>
  <c r="I74" i="2"/>
  <c r="I78" i="2"/>
  <c r="G85" i="2"/>
  <c r="G92" i="2"/>
  <c r="I92" i="2"/>
  <c r="F137" i="2"/>
  <c r="J137" i="2" s="1"/>
  <c r="H137" i="2" s="1"/>
  <c r="K248" i="2"/>
  <c r="J248" i="2"/>
  <c r="H248" i="2" s="1"/>
  <c r="I11" i="2"/>
  <c r="I19" i="2"/>
  <c r="J27" i="2"/>
  <c r="H27" i="2" s="1"/>
  <c r="I31" i="2"/>
  <c r="J32" i="2"/>
  <c r="H32" i="2" s="1"/>
  <c r="J44" i="2"/>
  <c r="H44" i="2" s="1"/>
  <c r="F46" i="2"/>
  <c r="J62" i="2"/>
  <c r="H62" i="2" s="1"/>
  <c r="F64" i="2"/>
  <c r="I64" i="2" s="1"/>
  <c r="G80" i="2"/>
  <c r="F80" i="2"/>
  <c r="K80" i="2" s="1"/>
  <c r="K82" i="2"/>
  <c r="I82" i="2"/>
  <c r="K102" i="2"/>
  <c r="J102" i="2"/>
  <c r="H102" i="2" s="1"/>
  <c r="J119" i="2"/>
  <c r="H119" i="2" s="1"/>
  <c r="G119" i="2"/>
  <c r="J121" i="2"/>
  <c r="H121" i="2" s="1"/>
  <c r="I121" i="2"/>
  <c r="K139" i="2"/>
  <c r="J148" i="2"/>
  <c r="H148" i="2" s="1"/>
  <c r="G152" i="2"/>
  <c r="F152" i="2"/>
  <c r="K152" i="2" s="1"/>
  <c r="K154" i="2"/>
  <c r="I154" i="2"/>
  <c r="J216" i="2"/>
  <c r="H216" i="2" s="1"/>
  <c r="F289" i="2"/>
  <c r="I289" i="2" s="1"/>
  <c r="K430" i="2"/>
  <c r="J430" i="2"/>
  <c r="H430" i="2" s="1"/>
  <c r="I430" i="2"/>
  <c r="K162" i="2"/>
  <c r="I162" i="2"/>
  <c r="K224" i="2"/>
  <c r="J224" i="2"/>
  <c r="H224" i="2" s="1"/>
  <c r="K230" i="2"/>
  <c r="I350" i="2"/>
  <c r="K350" i="2"/>
  <c r="J350" i="2"/>
  <c r="H350" i="2" s="1"/>
  <c r="F5" i="2"/>
  <c r="J11" i="2"/>
  <c r="H11" i="2" s="1"/>
  <c r="F15" i="2"/>
  <c r="J19" i="2"/>
  <c r="H19" i="2" s="1"/>
  <c r="G23" i="2"/>
  <c r="F29" i="2"/>
  <c r="J31" i="2"/>
  <c r="H31" i="2" s="1"/>
  <c r="G39" i="2"/>
  <c r="K44" i="2"/>
  <c r="G57" i="2"/>
  <c r="K62" i="2"/>
  <c r="K94" i="2"/>
  <c r="J94" i="2"/>
  <c r="H94" i="2" s="1"/>
  <c r="G109" i="2"/>
  <c r="F131" i="2"/>
  <c r="K131" i="2" s="1"/>
  <c r="G142" i="2"/>
  <c r="F142" i="2"/>
  <c r="I142" i="2" s="1"/>
  <c r="G162" i="2"/>
  <c r="F204" i="2"/>
  <c r="F275" i="2"/>
  <c r="J275" i="2" s="1"/>
  <c r="H275" i="2" s="1"/>
  <c r="K311" i="2"/>
  <c r="I311" i="2"/>
  <c r="I340" i="2"/>
  <c r="J340" i="2"/>
  <c r="H340" i="2" s="1"/>
  <c r="J356" i="2"/>
  <c r="H356" i="2" s="1"/>
  <c r="I356" i="2"/>
  <c r="I584" i="2"/>
  <c r="G174" i="2"/>
  <c r="F174" i="2"/>
  <c r="J174" i="2" s="1"/>
  <c r="H174" i="2" s="1"/>
  <c r="G183" i="2"/>
  <c r="F183" i="2"/>
  <c r="J183" i="2" s="1"/>
  <c r="H183" i="2" s="1"/>
  <c r="G193" i="2"/>
  <c r="F193" i="2"/>
  <c r="K193" i="2" s="1"/>
  <c r="K227" i="2"/>
  <c r="J227" i="2"/>
  <c r="H227" i="2" s="1"/>
  <c r="I227" i="2"/>
  <c r="G227" i="2"/>
  <c r="I28" i="2"/>
  <c r="G29" i="2"/>
  <c r="F39" i="2"/>
  <c r="J39" i="2" s="1"/>
  <c r="H39" i="2" s="1"/>
  <c r="K48" i="2"/>
  <c r="F57" i="2"/>
  <c r="J57" i="2" s="1"/>
  <c r="H57" i="2" s="1"/>
  <c r="F73" i="2"/>
  <c r="J73" i="2" s="1"/>
  <c r="H73" i="2" s="1"/>
  <c r="K84" i="2"/>
  <c r="J84" i="2"/>
  <c r="H84" i="2" s="1"/>
  <c r="J99" i="2"/>
  <c r="H99" i="2" s="1"/>
  <c r="G99" i="2"/>
  <c r="J101" i="2"/>
  <c r="I101" i="2"/>
  <c r="F109" i="2"/>
  <c r="J109" i="2" s="1"/>
  <c r="H109" i="2" s="1"/>
  <c r="F111" i="2"/>
  <c r="K111" i="2" s="1"/>
  <c r="I119" i="2"/>
  <c r="G121" i="2"/>
  <c r="F123" i="2"/>
  <c r="K123" i="2" s="1"/>
  <c r="G131" i="2"/>
  <c r="F134" i="2"/>
  <c r="I134" i="2" s="1"/>
  <c r="K136" i="2"/>
  <c r="I136" i="2"/>
  <c r="F144" i="2"/>
  <c r="J144" i="2" s="1"/>
  <c r="H144" i="2" s="1"/>
  <c r="G154" i="2"/>
  <c r="K156" i="2"/>
  <c r="J156" i="2"/>
  <c r="H156" i="2" s="1"/>
  <c r="J162" i="2"/>
  <c r="H162" i="2" s="1"/>
  <c r="G275" i="2"/>
  <c r="K300" i="2"/>
  <c r="I300" i="2"/>
  <c r="J300" i="2"/>
  <c r="H300" i="2" s="1"/>
  <c r="K404" i="2"/>
  <c r="J404" i="2"/>
  <c r="H404" i="2" s="1"/>
  <c r="I404" i="2"/>
  <c r="F51" i="2"/>
  <c r="F69" i="2"/>
  <c r="K69" i="2" s="1"/>
  <c r="G91" i="2"/>
  <c r="F113" i="2"/>
  <c r="K113" i="2" s="1"/>
  <c r="F126" i="2"/>
  <c r="I126" i="2" s="1"/>
  <c r="K146" i="2"/>
  <c r="J146" i="2"/>
  <c r="H146" i="2" s="1"/>
  <c r="G161" i="2"/>
  <c r="F219" i="2"/>
  <c r="J219" i="2" s="1"/>
  <c r="H219" i="2" s="1"/>
  <c r="F315" i="2"/>
  <c r="I315" i="2" s="1"/>
  <c r="J352" i="2"/>
  <c r="H352" i="2" s="1"/>
  <c r="I352" i="2"/>
  <c r="J376" i="2"/>
  <c r="H376" i="2" s="1"/>
  <c r="I376" i="2"/>
  <c r="G384" i="2"/>
  <c r="F384" i="2"/>
  <c r="J384" i="2" s="1"/>
  <c r="H384" i="2" s="1"/>
  <c r="G474" i="2"/>
  <c r="F474" i="2"/>
  <c r="I474" i="2" s="1"/>
  <c r="F36" i="2"/>
  <c r="J36" i="2" s="1"/>
  <c r="H36" i="2" s="1"/>
  <c r="F41" i="2"/>
  <c r="J41" i="2" s="1"/>
  <c r="H41" i="2" s="1"/>
  <c r="G51" i="2"/>
  <c r="F55" i="2"/>
  <c r="J55" i="2" s="1"/>
  <c r="H55" i="2" s="1"/>
  <c r="F59" i="2"/>
  <c r="J59" i="2" s="1"/>
  <c r="H59" i="2" s="1"/>
  <c r="G69" i="2"/>
  <c r="F72" i="2"/>
  <c r="J72" i="2" s="1"/>
  <c r="H72" i="2" s="1"/>
  <c r="F75" i="2"/>
  <c r="J75" i="2" s="1"/>
  <c r="H75" i="2" s="1"/>
  <c r="J81" i="2"/>
  <c r="H81" i="2" s="1"/>
  <c r="G81" i="2"/>
  <c r="J83" i="2"/>
  <c r="H83" i="2" s="1"/>
  <c r="I83" i="2"/>
  <c r="F91" i="2"/>
  <c r="J91" i="2" s="1"/>
  <c r="H91" i="2" s="1"/>
  <c r="F93" i="2"/>
  <c r="K93" i="2" s="1"/>
  <c r="F103" i="2"/>
  <c r="I103" i="2" s="1"/>
  <c r="G113" i="2"/>
  <c r="G118" i="2"/>
  <c r="F118" i="2"/>
  <c r="K120" i="2"/>
  <c r="I120" i="2"/>
  <c r="F128" i="2"/>
  <c r="J128" i="2" s="1"/>
  <c r="K138" i="2"/>
  <c r="J138" i="2"/>
  <c r="H138" i="2" s="1"/>
  <c r="J153" i="2"/>
  <c r="H153" i="2" s="1"/>
  <c r="J155" i="2"/>
  <c r="I155" i="2"/>
  <c r="F161" i="2"/>
  <c r="F163" i="2"/>
  <c r="K163" i="2" s="1"/>
  <c r="G168" i="2"/>
  <c r="F168" i="2"/>
  <c r="J168" i="2" s="1"/>
  <c r="H168" i="2" s="1"/>
  <c r="J176" i="2"/>
  <c r="H176" i="2" s="1"/>
  <c r="F178" i="2"/>
  <c r="J184" i="2"/>
  <c r="H184" i="2" s="1"/>
  <c r="F186" i="2"/>
  <c r="G196" i="2"/>
  <c r="J196" i="2"/>
  <c r="H196" i="2" s="1"/>
  <c r="G212" i="2"/>
  <c r="F212" i="2"/>
  <c r="I212" i="2" s="1"/>
  <c r="G219" i="2"/>
  <c r="F273" i="2"/>
  <c r="J273" i="2" s="1"/>
  <c r="H273" i="2" s="1"/>
  <c r="F279" i="2"/>
  <c r="K279" i="2" s="1"/>
  <c r="G279" i="2"/>
  <c r="F287" i="2"/>
  <c r="J287" i="2" s="1"/>
  <c r="H287" i="2" s="1"/>
  <c r="G315" i="2"/>
  <c r="G108" i="2"/>
  <c r="F108" i="2"/>
  <c r="J108" i="2" s="1"/>
  <c r="H108" i="2" s="1"/>
  <c r="K110" i="2"/>
  <c r="I110" i="2"/>
  <c r="K130" i="2"/>
  <c r="J130" i="2"/>
  <c r="H130" i="2" s="1"/>
  <c r="J143" i="2"/>
  <c r="H143" i="2" s="1"/>
  <c r="G143" i="2"/>
  <c r="J145" i="2"/>
  <c r="I145" i="2"/>
  <c r="G165" i="2"/>
  <c r="F165" i="2"/>
  <c r="I165" i="2" s="1"/>
  <c r="K197" i="2"/>
  <c r="J197" i="2"/>
  <c r="H197" i="2" s="1"/>
  <c r="I197" i="2"/>
  <c r="G197" i="2"/>
  <c r="F243" i="2"/>
  <c r="K243" i="2" s="1"/>
  <c r="I248" i="2"/>
  <c r="J164" i="2"/>
  <c r="K177" i="2" s="1"/>
  <c r="I171" i="2"/>
  <c r="J172" i="2"/>
  <c r="H172" i="2" s="1"/>
  <c r="I181" i="2"/>
  <c r="J182" i="2"/>
  <c r="I189" i="2"/>
  <c r="J192" i="2"/>
  <c r="K244" i="2" s="1"/>
  <c r="I199" i="2"/>
  <c r="J200" i="2"/>
  <c r="H200" i="2" s="1"/>
  <c r="J205" i="2"/>
  <c r="J207" i="2"/>
  <c r="H207" i="2" s="1"/>
  <c r="I209" i="2"/>
  <c r="J210" i="2"/>
  <c r="H210" i="2" s="1"/>
  <c r="J213" i="2"/>
  <c r="H213" i="2" s="1"/>
  <c r="F215" i="2"/>
  <c r="I216" i="2"/>
  <c r="J228" i="2"/>
  <c r="H228" i="2" s="1"/>
  <c r="I232" i="2"/>
  <c r="J236" i="2"/>
  <c r="K250" i="2"/>
  <c r="J253" i="2"/>
  <c r="H253" i="2" s="1"/>
  <c r="F255" i="2"/>
  <c r="I255" i="2" s="1"/>
  <c r="J257" i="2"/>
  <c r="H257" i="2" s="1"/>
  <c r="K264" i="2"/>
  <c r="I264" i="2"/>
  <c r="I270" i="2"/>
  <c r="F281" i="2"/>
  <c r="I281" i="2" s="1"/>
  <c r="G285" i="2"/>
  <c r="F285" i="2"/>
  <c r="J285" i="2" s="1"/>
  <c r="H285" i="2" s="1"/>
  <c r="I296" i="2"/>
  <c r="K298" i="2"/>
  <c r="J298" i="2"/>
  <c r="H298" i="2" s="1"/>
  <c r="I298" i="2"/>
  <c r="F309" i="2"/>
  <c r="I309" i="2" s="1"/>
  <c r="I323" i="2"/>
  <c r="K323" i="2"/>
  <c r="J368" i="2"/>
  <c r="H368" i="2" s="1"/>
  <c r="I368" i="2"/>
  <c r="J394" i="2"/>
  <c r="H394" i="2" s="1"/>
  <c r="I394" i="2"/>
  <c r="I170" i="2"/>
  <c r="I180" i="2"/>
  <c r="I188" i="2"/>
  <c r="I198" i="2"/>
  <c r="K226" i="2"/>
  <c r="K228" i="2"/>
  <c r="K236" i="2"/>
  <c r="F245" i="2"/>
  <c r="K245" i="2" s="1"/>
  <c r="J247" i="2"/>
  <c r="H247" i="2" s="1"/>
  <c r="K253" i="2"/>
  <c r="F307" i="2"/>
  <c r="J307" i="2" s="1"/>
  <c r="H307" i="2" s="1"/>
  <c r="K331" i="2"/>
  <c r="I331" i="2"/>
  <c r="G354" i="2"/>
  <c r="F354" i="2"/>
  <c r="K354" i="2" s="1"/>
  <c r="F373" i="2"/>
  <c r="I373" i="2" s="1"/>
  <c r="K440" i="2"/>
  <c r="J440" i="2"/>
  <c r="H440" i="2" s="1"/>
  <c r="G582" i="2"/>
  <c r="F582" i="2"/>
  <c r="K582" i="2" s="1"/>
  <c r="K594" i="2"/>
  <c r="J594" i="2"/>
  <c r="H594" i="2" s="1"/>
  <c r="I594" i="2"/>
  <c r="F211" i="2"/>
  <c r="K211" i="2" s="1"/>
  <c r="F229" i="2"/>
  <c r="K229" i="2" s="1"/>
  <c r="F237" i="2"/>
  <c r="K272" i="2"/>
  <c r="I272" i="2"/>
  <c r="K290" i="2"/>
  <c r="I290" i="2"/>
  <c r="F303" i="2"/>
  <c r="K303" i="2" s="1"/>
  <c r="K316" i="2"/>
  <c r="J316" i="2"/>
  <c r="H316" i="2" s="1"/>
  <c r="I316" i="2"/>
  <c r="G374" i="2"/>
  <c r="F374" i="2"/>
  <c r="I374" i="2" s="1"/>
  <c r="F201" i="2"/>
  <c r="K201" i="2" s="1"/>
  <c r="I203" i="2"/>
  <c r="F206" i="2"/>
  <c r="G211" i="2"/>
  <c r="F217" i="2"/>
  <c r="I217" i="2" s="1"/>
  <c r="G229" i="2"/>
  <c r="J231" i="2"/>
  <c r="H231" i="2" s="1"/>
  <c r="G237" i="2"/>
  <c r="F239" i="2"/>
  <c r="J240" i="2"/>
  <c r="K489" i="2" s="1"/>
  <c r="G247" i="2"/>
  <c r="F249" i="2"/>
  <c r="J249" i="2" s="1"/>
  <c r="H249" i="2" s="1"/>
  <c r="I257" i="2"/>
  <c r="F263" i="2"/>
  <c r="J263" i="2" s="1"/>
  <c r="J264" i="2"/>
  <c r="H264" i="2" s="1"/>
  <c r="K274" i="2"/>
  <c r="I274" i="2"/>
  <c r="I286" i="2"/>
  <c r="K288" i="2"/>
  <c r="J288" i="2"/>
  <c r="H288" i="2" s="1"/>
  <c r="I288" i="2"/>
  <c r="F299" i="2"/>
  <c r="I299" i="2" s="1"/>
  <c r="G319" i="2"/>
  <c r="F319" i="2"/>
  <c r="J319" i="2" s="1"/>
  <c r="H319" i="2" s="1"/>
  <c r="F324" i="2"/>
  <c r="I324" i="2" s="1"/>
  <c r="G324" i="2"/>
  <c r="F329" i="2"/>
  <c r="K329" i="2" s="1"/>
  <c r="G329" i="2"/>
  <c r="J331" i="2"/>
  <c r="H331" i="2" s="1"/>
  <c r="J411" i="2"/>
  <c r="H411" i="2" s="1"/>
  <c r="I411" i="2"/>
  <c r="J516" i="2"/>
  <c r="K532" i="2" s="1"/>
  <c r="I516" i="2"/>
  <c r="G206" i="2"/>
  <c r="G217" i="2"/>
  <c r="F225" i="2"/>
  <c r="I225" i="2" s="1"/>
  <c r="I226" i="2"/>
  <c r="F241" i="2"/>
  <c r="I241" i="2" s="1"/>
  <c r="K256" i="2"/>
  <c r="I256" i="2"/>
  <c r="F265" i="2"/>
  <c r="J265" i="2" s="1"/>
  <c r="H265" i="2" s="1"/>
  <c r="F269" i="2"/>
  <c r="J269" i="2" s="1"/>
  <c r="K280" i="2"/>
  <c r="I280" i="2"/>
  <c r="F297" i="2"/>
  <c r="K310" i="2"/>
  <c r="I310" i="2"/>
  <c r="G541" i="2"/>
  <c r="F541" i="2"/>
  <c r="K541" i="2" s="1"/>
  <c r="K216" i="2"/>
  <c r="F233" i="2"/>
  <c r="K233" i="2" s="1"/>
  <c r="G241" i="2"/>
  <c r="G246" i="2"/>
  <c r="K246" i="2"/>
  <c r="I246" i="2"/>
  <c r="I260" i="2"/>
  <c r="F271" i="2"/>
  <c r="I271" i="2" s="1"/>
  <c r="K282" i="2"/>
  <c r="I282" i="2"/>
  <c r="G295" i="2"/>
  <c r="F295" i="2"/>
  <c r="J295" i="2" s="1"/>
  <c r="H295" i="2" s="1"/>
  <c r="I304" i="2"/>
  <c r="K308" i="2"/>
  <c r="J308" i="2"/>
  <c r="H308" i="2" s="1"/>
  <c r="I308" i="2"/>
  <c r="G317" i="2"/>
  <c r="J317" i="2"/>
  <c r="H317" i="2" s="1"/>
  <c r="F320" i="2"/>
  <c r="I320" i="2" s="1"/>
  <c r="J336" i="2"/>
  <c r="H336" i="2" s="1"/>
  <c r="I336" i="2"/>
  <c r="K344" i="2"/>
  <c r="I344" i="2"/>
  <c r="K260" i="2"/>
  <c r="I266" i="2"/>
  <c r="K270" i="2"/>
  <c r="I276" i="2"/>
  <c r="K278" i="2"/>
  <c r="I284" i="2"/>
  <c r="K286" i="2"/>
  <c r="I294" i="2"/>
  <c r="K296" i="2"/>
  <c r="I302" i="2"/>
  <c r="K304" i="2"/>
  <c r="I312" i="2"/>
  <c r="K314" i="2"/>
  <c r="I318" i="2"/>
  <c r="J322" i="2"/>
  <c r="H322" i="2" s="1"/>
  <c r="I327" i="2"/>
  <c r="J327" i="2"/>
  <c r="K387" i="2" s="1"/>
  <c r="J342" i="2"/>
  <c r="H342" i="2" s="1"/>
  <c r="J349" i="2"/>
  <c r="H349" i="2" s="1"/>
  <c r="G364" i="2"/>
  <c r="F364" i="2"/>
  <c r="K364" i="2" s="1"/>
  <c r="J388" i="2"/>
  <c r="H388" i="2" s="1"/>
  <c r="I388" i="2"/>
  <c r="F458" i="2"/>
  <c r="K458" i="2" s="1"/>
  <c r="G458" i="2"/>
  <c r="K557" i="2"/>
  <c r="J557" i="2"/>
  <c r="H557" i="2" s="1"/>
  <c r="G250" i="2"/>
  <c r="G262" i="2"/>
  <c r="K266" i="2"/>
  <c r="K276" i="2"/>
  <c r="J283" i="2"/>
  <c r="K312" i="2" s="1"/>
  <c r="K284" i="2"/>
  <c r="J291" i="2"/>
  <c r="H291" i="2" s="1"/>
  <c r="K294" i="2"/>
  <c r="J301" i="2"/>
  <c r="H301" i="2" s="1"/>
  <c r="K302" i="2"/>
  <c r="J311" i="2"/>
  <c r="H311" i="2" s="1"/>
  <c r="K318" i="2"/>
  <c r="G336" i="2"/>
  <c r="K336" i="2"/>
  <c r="J338" i="2"/>
  <c r="H338" i="2" s="1"/>
  <c r="I338" i="2"/>
  <c r="G343" i="2"/>
  <c r="F343" i="2"/>
  <c r="I345" i="2"/>
  <c r="J345" i="2"/>
  <c r="H345" i="2" s="1"/>
  <c r="F347" i="2"/>
  <c r="I347" i="2" s="1"/>
  <c r="K362" i="2"/>
  <c r="J362" i="2"/>
  <c r="H362" i="2" s="1"/>
  <c r="F365" i="2"/>
  <c r="K365" i="2" s="1"/>
  <c r="G369" i="2"/>
  <c r="F369" i="2"/>
  <c r="K369" i="2" s="1"/>
  <c r="I391" i="2"/>
  <c r="K391" i="2"/>
  <c r="J391" i="2"/>
  <c r="H391" i="2" s="1"/>
  <c r="G391" i="2"/>
  <c r="I407" i="2"/>
  <c r="K407" i="2"/>
  <c r="J407" i="2"/>
  <c r="H407" i="2" s="1"/>
  <c r="G407" i="2"/>
  <c r="J422" i="2"/>
  <c r="I422" i="2"/>
  <c r="G466" i="2"/>
  <c r="F466" i="2"/>
  <c r="K466" i="2" s="1"/>
  <c r="J503" i="2"/>
  <c r="H503" i="2" s="1"/>
  <c r="K382" i="2"/>
  <c r="J382" i="2"/>
  <c r="H382" i="2" s="1"/>
  <c r="F385" i="2"/>
  <c r="I385" i="2" s="1"/>
  <c r="K574" i="2"/>
  <c r="I574" i="2"/>
  <c r="J328" i="2"/>
  <c r="H328" i="2" s="1"/>
  <c r="I328" i="2"/>
  <c r="I382" i="2"/>
  <c r="G385" i="2"/>
  <c r="G400" i="2"/>
  <c r="F400" i="2"/>
  <c r="J400" i="2" s="1"/>
  <c r="H400" i="2" s="1"/>
  <c r="G418" i="2"/>
  <c r="F418" i="2"/>
  <c r="J418" i="2" s="1"/>
  <c r="H418" i="2" s="1"/>
  <c r="J452" i="2"/>
  <c r="H452" i="2" s="1"/>
  <c r="I452" i="2"/>
  <c r="J472" i="2"/>
  <c r="K472" i="2"/>
  <c r="I472" i="2"/>
  <c r="G533" i="2"/>
  <c r="F533" i="2"/>
  <c r="K533" i="2" s="1"/>
  <c r="G355" i="2"/>
  <c r="F355" i="2"/>
  <c r="I355" i="2" s="1"/>
  <c r="K357" i="2"/>
  <c r="J357" i="2"/>
  <c r="K321" i="2"/>
  <c r="G325" i="2"/>
  <c r="F325" i="2"/>
  <c r="I325" i="2" s="1"/>
  <c r="G328" i="2"/>
  <c r="F330" i="2"/>
  <c r="J330" i="2" s="1"/>
  <c r="H330" i="2" s="1"/>
  <c r="G335" i="2"/>
  <c r="F335" i="2"/>
  <c r="J335" i="2" s="1"/>
  <c r="H335" i="2" s="1"/>
  <c r="I337" i="2"/>
  <c r="J337" i="2"/>
  <c r="H337" i="2" s="1"/>
  <c r="F339" i="2"/>
  <c r="I339" i="2" s="1"/>
  <c r="J346" i="2"/>
  <c r="H346" i="2" s="1"/>
  <c r="I346" i="2"/>
  <c r="G346" i="2"/>
  <c r="G351" i="2"/>
  <c r="F351" i="2"/>
  <c r="J351" i="2" s="1"/>
  <c r="H351" i="2" s="1"/>
  <c r="I353" i="2"/>
  <c r="K353" i="2"/>
  <c r="J353" i="2"/>
  <c r="H353" i="2" s="1"/>
  <c r="K377" i="2"/>
  <c r="J377" i="2"/>
  <c r="H377" i="2" s="1"/>
  <c r="K398" i="2"/>
  <c r="J398" i="2"/>
  <c r="H398" i="2" s="1"/>
  <c r="K416" i="2"/>
  <c r="J416" i="2"/>
  <c r="H416" i="2" s="1"/>
  <c r="J462" i="2"/>
  <c r="H462" i="2" s="1"/>
  <c r="K462" i="2"/>
  <c r="I462" i="2"/>
  <c r="F468" i="2"/>
  <c r="I468" i="2" s="1"/>
  <c r="G477" i="2"/>
  <c r="F477" i="2"/>
  <c r="K477" i="2" s="1"/>
  <c r="K487" i="2"/>
  <c r="J487" i="2"/>
  <c r="H487" i="2" s="1"/>
  <c r="I487" i="2"/>
  <c r="G487" i="2"/>
  <c r="K516" i="2"/>
  <c r="I531" i="2"/>
  <c r="K531" i="2"/>
  <c r="J531" i="2"/>
  <c r="H531" i="2" s="1"/>
  <c r="G560" i="2"/>
  <c r="F560" i="2"/>
  <c r="I560" i="2" s="1"/>
  <c r="F361" i="2"/>
  <c r="I361" i="2" s="1"/>
  <c r="G381" i="2"/>
  <c r="F381" i="2"/>
  <c r="I381" i="2" s="1"/>
  <c r="J395" i="2"/>
  <c r="H395" i="2" s="1"/>
  <c r="G397" i="2"/>
  <c r="F397" i="2"/>
  <c r="J413" i="2"/>
  <c r="H413" i="2" s="1"/>
  <c r="F415" i="2"/>
  <c r="I415" i="2" s="1"/>
  <c r="G432" i="2"/>
  <c r="G443" i="2"/>
  <c r="G448" i="2"/>
  <c r="F450" i="2"/>
  <c r="G456" i="2"/>
  <c r="F456" i="2"/>
  <c r="K456" i="2" s="1"/>
  <c r="G469" i="2"/>
  <c r="F528" i="2"/>
  <c r="K528" i="2" s="1"/>
  <c r="G528" i="2"/>
  <c r="F536" i="2"/>
  <c r="I536" i="2" s="1"/>
  <c r="G536" i="2"/>
  <c r="G555" i="2"/>
  <c r="F555" i="2"/>
  <c r="J555" i="2" s="1"/>
  <c r="H555" i="2" s="1"/>
  <c r="K348" i="2"/>
  <c r="K366" i="2"/>
  <c r="F375" i="2"/>
  <c r="I375" i="2" s="1"/>
  <c r="K386" i="2"/>
  <c r="F393" i="2"/>
  <c r="I393" i="2" s="1"/>
  <c r="K402" i="2"/>
  <c r="F409" i="2"/>
  <c r="I409" i="2" s="1"/>
  <c r="K420" i="2"/>
  <c r="F424" i="2"/>
  <c r="F426" i="2"/>
  <c r="I426" i="2" s="1"/>
  <c r="K428" i="2"/>
  <c r="F432" i="2"/>
  <c r="K432" i="2" s="1"/>
  <c r="F434" i="2"/>
  <c r="J434" i="2" s="1"/>
  <c r="H434" i="2" s="1"/>
  <c r="K436" i="2"/>
  <c r="J441" i="2"/>
  <c r="H441" i="2" s="1"/>
  <c r="F443" i="2"/>
  <c r="I443" i="2" s="1"/>
  <c r="F448" i="2"/>
  <c r="K448" i="2" s="1"/>
  <c r="K459" i="2"/>
  <c r="J459" i="2"/>
  <c r="H459" i="2" s="1"/>
  <c r="I459" i="2"/>
  <c r="G459" i="2"/>
  <c r="F469" i="2"/>
  <c r="I469" i="2" s="1"/>
  <c r="J475" i="2"/>
  <c r="H475" i="2" s="1"/>
  <c r="K488" i="2"/>
  <c r="F514" i="2"/>
  <c r="I514" i="2" s="1"/>
  <c r="G526" i="2"/>
  <c r="F526" i="2"/>
  <c r="K526" i="2" s="1"/>
  <c r="F550" i="2"/>
  <c r="K550" i="2" s="1"/>
  <c r="G564" i="2"/>
  <c r="F564" i="2"/>
  <c r="K564" i="2" s="1"/>
  <c r="F590" i="2"/>
  <c r="K590" i="2" s="1"/>
  <c r="G614" i="2"/>
  <c r="F614" i="2"/>
  <c r="I614" i="2" s="1"/>
  <c r="I363" i="2"/>
  <c r="G375" i="2"/>
  <c r="I383" i="2"/>
  <c r="G393" i="2"/>
  <c r="I399" i="2"/>
  <c r="G409" i="2"/>
  <c r="I417" i="2"/>
  <c r="G426" i="2"/>
  <c r="G434" i="2"/>
  <c r="G439" i="2"/>
  <c r="F439" i="2"/>
  <c r="K439" i="2" s="1"/>
  <c r="K451" i="2"/>
  <c r="J451" i="2"/>
  <c r="H451" i="2" s="1"/>
  <c r="I451" i="2"/>
  <c r="G451" i="2"/>
  <c r="J467" i="2"/>
  <c r="H467" i="2" s="1"/>
  <c r="K478" i="2"/>
  <c r="F504" i="2"/>
  <c r="K504" i="2" s="1"/>
  <c r="G512" i="2"/>
  <c r="F512" i="2"/>
  <c r="I512" i="2" s="1"/>
  <c r="K521" i="2"/>
  <c r="J521" i="2"/>
  <c r="H521" i="2" s="1"/>
  <c r="K534" i="2"/>
  <c r="G545" i="2"/>
  <c r="F545" i="2"/>
  <c r="I545" i="2" s="1"/>
  <c r="I551" i="2"/>
  <c r="I565" i="2"/>
  <c r="G590" i="2"/>
  <c r="G615" i="2"/>
  <c r="F615" i="2"/>
  <c r="K615" i="2" s="1"/>
  <c r="F494" i="2"/>
  <c r="I494" i="2" s="1"/>
  <c r="G502" i="2"/>
  <c r="F502" i="2"/>
  <c r="J502" i="2" s="1"/>
  <c r="H502" i="2" s="1"/>
  <c r="G504" i="2"/>
  <c r="G515" i="2"/>
  <c r="G519" i="2"/>
  <c r="F519" i="2"/>
  <c r="I519" i="2" s="1"/>
  <c r="K565" i="2"/>
  <c r="J565" i="2"/>
  <c r="H565" i="2" s="1"/>
  <c r="G567" i="2"/>
  <c r="F567" i="2"/>
  <c r="K567" i="2" s="1"/>
  <c r="K576" i="2"/>
  <c r="I576" i="2"/>
  <c r="G389" i="2"/>
  <c r="F389" i="2"/>
  <c r="F392" i="2"/>
  <c r="K392" i="2" s="1"/>
  <c r="G405" i="2"/>
  <c r="F405" i="2"/>
  <c r="K405" i="2" s="1"/>
  <c r="F408" i="2"/>
  <c r="K408" i="2" s="1"/>
  <c r="G423" i="2"/>
  <c r="F423" i="2"/>
  <c r="I423" i="2" s="1"/>
  <c r="G431" i="2"/>
  <c r="F431" i="2"/>
  <c r="I431" i="2" s="1"/>
  <c r="F486" i="2"/>
  <c r="I486" i="2" s="1"/>
  <c r="I488" i="2"/>
  <c r="K492" i="2"/>
  <c r="G494" i="2"/>
  <c r="G505" i="2"/>
  <c r="F515" i="2"/>
  <c r="J515" i="2" s="1"/>
  <c r="H515" i="2" s="1"/>
  <c r="G530" i="2"/>
  <c r="F530" i="2"/>
  <c r="K530" i="2" s="1"/>
  <c r="F538" i="2"/>
  <c r="K538" i="2" s="1"/>
  <c r="J576" i="2"/>
  <c r="H576" i="2" s="1"/>
  <c r="K636" i="2"/>
  <c r="J636" i="2"/>
  <c r="H636" i="2" s="1"/>
  <c r="I636" i="2"/>
  <c r="K340" i="2"/>
  <c r="I348" i="2"/>
  <c r="K352" i="2"/>
  <c r="K356" i="2"/>
  <c r="J363" i="2"/>
  <c r="H363" i="2" s="1"/>
  <c r="I366" i="2"/>
  <c r="K370" i="2"/>
  <c r="K376" i="2"/>
  <c r="J383" i="2"/>
  <c r="I386" i="2"/>
  <c r="K390" i="2"/>
  <c r="G392" i="2"/>
  <c r="K394" i="2"/>
  <c r="J399" i="2"/>
  <c r="H399" i="2" s="1"/>
  <c r="F401" i="2"/>
  <c r="I401" i="2" s="1"/>
  <c r="I402" i="2"/>
  <c r="K406" i="2"/>
  <c r="G408" i="2"/>
  <c r="K411" i="2"/>
  <c r="J417" i="2"/>
  <c r="K437" i="2" s="1"/>
  <c r="F419" i="2"/>
  <c r="I419" i="2" s="1"/>
  <c r="I420" i="2"/>
  <c r="F425" i="2"/>
  <c r="K425" i="2" s="1"/>
  <c r="F427" i="2"/>
  <c r="J427" i="2" s="1"/>
  <c r="H427" i="2" s="1"/>
  <c r="F433" i="2"/>
  <c r="K433" i="2" s="1"/>
  <c r="F435" i="2"/>
  <c r="J435" i="2" s="1"/>
  <c r="H435" i="2" s="1"/>
  <c r="I440" i="2"/>
  <c r="G440" i="2"/>
  <c r="F442" i="2"/>
  <c r="K442" i="2" s="1"/>
  <c r="G447" i="2"/>
  <c r="F447" i="2"/>
  <c r="K447" i="2" s="1"/>
  <c r="K452" i="2"/>
  <c r="F476" i="2"/>
  <c r="K476" i="2" s="1"/>
  <c r="I478" i="2"/>
  <c r="F482" i="2"/>
  <c r="I482" i="2" s="1"/>
  <c r="K495" i="2"/>
  <c r="J495" i="2"/>
  <c r="H495" i="2" s="1"/>
  <c r="I495" i="2"/>
  <c r="G495" i="2"/>
  <c r="F505" i="2"/>
  <c r="K505" i="2" s="1"/>
  <c r="I510" i="2"/>
  <c r="J513" i="2"/>
  <c r="G538" i="2"/>
  <c r="J543" i="2"/>
  <c r="J551" i="2"/>
  <c r="H551" i="2" s="1"/>
  <c r="F562" i="2"/>
  <c r="G570" i="2"/>
  <c r="F570" i="2"/>
  <c r="K570" i="2" s="1"/>
  <c r="F588" i="2"/>
  <c r="J588" i="2" s="1"/>
  <c r="H588" i="2" s="1"/>
  <c r="I521" i="2"/>
  <c r="I543" i="2"/>
  <c r="I557" i="2"/>
  <c r="G580" i="2"/>
  <c r="F580" i="2"/>
  <c r="K580" i="2" s="1"/>
  <c r="G622" i="2"/>
  <c r="F622" i="2"/>
  <c r="K622" i="2" s="1"/>
  <c r="G575" i="2"/>
  <c r="F575" i="2"/>
  <c r="K575" i="2" s="1"/>
  <c r="G596" i="2"/>
  <c r="F596" i="2"/>
  <c r="K596" i="2" s="1"/>
  <c r="G623" i="2"/>
  <c r="F455" i="2"/>
  <c r="K455" i="2" s="1"/>
  <c r="F463" i="2"/>
  <c r="K463" i="2" s="1"/>
  <c r="F473" i="2"/>
  <c r="K473" i="2" s="1"/>
  <c r="F481" i="2"/>
  <c r="F491" i="2"/>
  <c r="F501" i="2"/>
  <c r="F511" i="2"/>
  <c r="F518" i="2"/>
  <c r="K518" i="2" s="1"/>
  <c r="G525" i="2"/>
  <c r="F525" i="2"/>
  <c r="K525" i="2" s="1"/>
  <c r="G537" i="2"/>
  <c r="I548" i="2"/>
  <c r="F552" i="2"/>
  <c r="K552" i="2" s="1"/>
  <c r="G559" i="2"/>
  <c r="F571" i="2"/>
  <c r="J571" i="2" s="1"/>
  <c r="H571" i="2" s="1"/>
  <c r="K581" i="2"/>
  <c r="J581" i="2"/>
  <c r="H581" i="2" s="1"/>
  <c r="G581" i="2"/>
  <c r="G585" i="2"/>
  <c r="F585" i="2"/>
  <c r="K585" i="2" s="1"/>
  <c r="I591" i="2"/>
  <c r="I592" i="2"/>
  <c r="G597" i="2"/>
  <c r="F623" i="2"/>
  <c r="K623" i="2" s="1"/>
  <c r="I441" i="2"/>
  <c r="I449" i="2"/>
  <c r="I457" i="2"/>
  <c r="I467" i="2"/>
  <c r="I475" i="2"/>
  <c r="I483" i="2"/>
  <c r="I493" i="2"/>
  <c r="I503" i="2"/>
  <c r="I513" i="2"/>
  <c r="G518" i="2"/>
  <c r="I527" i="2"/>
  <c r="I537" i="2"/>
  <c r="I539" i="2"/>
  <c r="F542" i="2"/>
  <c r="G552" i="2"/>
  <c r="F556" i="2"/>
  <c r="I561" i="2"/>
  <c r="K589" i="2"/>
  <c r="J589" i="2"/>
  <c r="H589" i="2" s="1"/>
  <c r="G589" i="2"/>
  <c r="G593" i="2"/>
  <c r="F593" i="2"/>
  <c r="F597" i="2"/>
  <c r="I597" i="2" s="1"/>
  <c r="G604" i="2"/>
  <c r="F604" i="2"/>
  <c r="K604" i="2" s="1"/>
  <c r="I618" i="2"/>
  <c r="K628" i="2"/>
  <c r="J628" i="2"/>
  <c r="H628" i="2" s="1"/>
  <c r="G632" i="2"/>
  <c r="F632" i="2"/>
  <c r="K632" i="2" s="1"/>
  <c r="K529" i="2"/>
  <c r="J529" i="2"/>
  <c r="H529" i="2" s="1"/>
  <c r="F544" i="2"/>
  <c r="K544" i="2" s="1"/>
  <c r="K546" i="2"/>
  <c r="F549" i="2"/>
  <c r="J563" i="2"/>
  <c r="K572" i="2"/>
  <c r="I572" i="2"/>
  <c r="K573" i="2"/>
  <c r="K598" i="2"/>
  <c r="K605" i="2"/>
  <c r="J605" i="2"/>
  <c r="H605" i="2" s="1"/>
  <c r="I605" i="2"/>
  <c r="G605" i="2"/>
  <c r="K633" i="2"/>
  <c r="J633" i="2"/>
  <c r="H633" i="2" s="1"/>
  <c r="I633" i="2"/>
  <c r="G633" i="2"/>
  <c r="G640" i="2"/>
  <c r="F640" i="2"/>
  <c r="J640" i="2" s="1"/>
  <c r="H640" i="2" s="1"/>
  <c r="J522" i="2"/>
  <c r="H522" i="2" s="1"/>
  <c r="J532" i="2"/>
  <c r="J540" i="2"/>
  <c r="H540" i="2" s="1"/>
  <c r="J548" i="2"/>
  <c r="H548" i="2" s="1"/>
  <c r="J558" i="2"/>
  <c r="H558" i="2" s="1"/>
  <c r="J566" i="2"/>
  <c r="H566" i="2" s="1"/>
  <c r="J574" i="2"/>
  <c r="H574" i="2" s="1"/>
  <c r="J584" i="2"/>
  <c r="J592" i="2"/>
  <c r="H592" i="2" s="1"/>
  <c r="I599" i="2"/>
  <c r="J600" i="2"/>
  <c r="H600" i="2" s="1"/>
  <c r="I609" i="2"/>
  <c r="J610" i="2"/>
  <c r="I617" i="2"/>
  <c r="J618" i="2"/>
  <c r="K626" i="2" s="1"/>
  <c r="I627" i="2"/>
  <c r="I635" i="2"/>
  <c r="I598" i="2"/>
  <c r="J599" i="2"/>
  <c r="K618" i="2" s="1"/>
  <c r="I608" i="2"/>
  <c r="J609" i="2"/>
  <c r="H609" i="2" s="1"/>
  <c r="I616" i="2"/>
  <c r="I626" i="2"/>
  <c r="I634" i="2"/>
  <c r="F639" i="2"/>
  <c r="I639" i="2" s="1"/>
  <c r="J598" i="2"/>
  <c r="J608" i="2"/>
  <c r="H608" i="2" s="1"/>
  <c r="F601" i="2"/>
  <c r="F611" i="2"/>
  <c r="K611" i="2" s="1"/>
  <c r="F619" i="2"/>
  <c r="K619" i="2" s="1"/>
  <c r="F629" i="2"/>
  <c r="F637" i="2"/>
  <c r="K637" i="2" s="1"/>
  <c r="H383" i="2" l="1"/>
  <c r="H199" i="2"/>
  <c r="H205" i="2"/>
  <c r="H79" i="2"/>
  <c r="G79" i="2"/>
  <c r="H638" i="2"/>
  <c r="G638" i="2"/>
  <c r="H631" i="2"/>
  <c r="H621" i="2"/>
  <c r="H610" i="2"/>
  <c r="H602" i="2"/>
  <c r="H598" i="2"/>
  <c r="H599" i="2"/>
  <c r="K586" i="2"/>
  <c r="H584" i="2"/>
  <c r="K584" i="2"/>
  <c r="K549" i="2"/>
  <c r="H543" i="2"/>
  <c r="H535" i="2"/>
  <c r="K520" i="2"/>
  <c r="H532" i="2"/>
  <c r="H516" i="2"/>
  <c r="H513" i="2"/>
  <c r="H489" i="2"/>
  <c r="K424" i="2"/>
  <c r="H422" i="2"/>
  <c r="K422" i="2"/>
  <c r="H417" i="2"/>
  <c r="H387" i="2"/>
  <c r="H357" i="2"/>
  <c r="K297" i="2"/>
  <c r="H240" i="2"/>
  <c r="H283" i="2"/>
  <c r="H269" i="2"/>
  <c r="H263" i="2"/>
  <c r="K235" i="2"/>
  <c r="H236" i="2"/>
  <c r="G236" i="2"/>
  <c r="K186" i="2"/>
  <c r="H182" i="2"/>
  <c r="H155" i="2"/>
  <c r="H145" i="2"/>
  <c r="H128" i="2"/>
  <c r="H122" i="2"/>
  <c r="H101" i="2"/>
  <c r="K76" i="2"/>
  <c r="H89" i="2"/>
  <c r="K42" i="2"/>
  <c r="J90" i="2"/>
  <c r="H90" i="2" s="1"/>
  <c r="J208" i="2"/>
  <c r="H208" i="2" s="1"/>
  <c r="I518" i="2"/>
  <c r="J152" i="2"/>
  <c r="H152" i="2" s="1"/>
  <c r="J212" i="2"/>
  <c r="H212" i="2" s="1"/>
  <c r="K212" i="2"/>
  <c r="J518" i="2"/>
  <c r="H518" i="2" s="1"/>
  <c r="J77" i="2"/>
  <c r="I67" i="2"/>
  <c r="J80" i="2"/>
  <c r="H80" i="2" s="1"/>
  <c r="J179" i="2"/>
  <c r="H179" i="2" s="1"/>
  <c r="J279" i="2"/>
  <c r="H279" i="2" s="1"/>
  <c r="K537" i="2"/>
  <c r="J160" i="2"/>
  <c r="H160" i="2" s="1"/>
  <c r="K281" i="2"/>
  <c r="I567" i="2"/>
  <c r="J324" i="2"/>
  <c r="H324" i="2" s="1"/>
  <c r="I275" i="2"/>
  <c r="I147" i="2"/>
  <c r="K275" i="2"/>
  <c r="J537" i="2"/>
  <c r="H537" i="2" s="1"/>
  <c r="K486" i="2"/>
  <c r="J426" i="2"/>
  <c r="H426" i="2" s="1"/>
  <c r="K307" i="2"/>
  <c r="I160" i="2"/>
  <c r="I137" i="2"/>
  <c r="J230" i="2"/>
  <c r="K179" i="2"/>
  <c r="J494" i="2"/>
  <c r="H494" i="2" s="1"/>
  <c r="J347" i="2"/>
  <c r="H347" i="2" s="1"/>
  <c r="J229" i="2"/>
  <c r="H229" i="2" s="1"/>
  <c r="I204" i="2"/>
  <c r="K43" i="2"/>
  <c r="J98" i="2"/>
  <c r="H98" i="2" s="1"/>
  <c r="J127" i="2"/>
  <c r="K164" i="2" s="1"/>
  <c r="K90" i="2"/>
  <c r="K494" i="2"/>
  <c r="J408" i="2"/>
  <c r="H408" i="2" s="1"/>
  <c r="J424" i="2"/>
  <c r="J233" i="2"/>
  <c r="H233" i="2" s="1"/>
  <c r="I108" i="2"/>
  <c r="K273" i="2"/>
  <c r="K384" i="2"/>
  <c r="I187" i="2"/>
  <c r="I12" i="2"/>
  <c r="I229" i="2"/>
  <c r="K319" i="2"/>
  <c r="I144" i="2"/>
  <c r="J468" i="2"/>
  <c r="H468" i="2" s="1"/>
  <c r="I533" i="2"/>
  <c r="K287" i="2"/>
  <c r="K77" i="2"/>
  <c r="K67" i="2"/>
  <c r="K208" i="2"/>
  <c r="J580" i="2"/>
  <c r="H580" i="2" s="1"/>
  <c r="J533" i="2"/>
  <c r="H533" i="2" s="1"/>
  <c r="I466" i="2"/>
  <c r="I541" i="2"/>
  <c r="I319" i="2"/>
  <c r="K12" i="2"/>
  <c r="J544" i="2"/>
  <c r="H544" i="2" s="1"/>
  <c r="I580" i="2"/>
  <c r="I456" i="2"/>
  <c r="K468" i="2"/>
  <c r="J355" i="2"/>
  <c r="H355" i="2" s="1"/>
  <c r="I303" i="2"/>
  <c r="I273" i="2"/>
  <c r="K103" i="2"/>
  <c r="K474" i="2"/>
  <c r="K144" i="2"/>
  <c r="H4" i="2"/>
  <c r="J536" i="2"/>
  <c r="H536" i="2" s="1"/>
  <c r="J93" i="2"/>
  <c r="H93" i="2" s="1"/>
  <c r="I575" i="2"/>
  <c r="I552" i="2"/>
  <c r="I562" i="2"/>
  <c r="I408" i="2"/>
  <c r="J614" i="2"/>
  <c r="H614" i="2" s="1"/>
  <c r="J241" i="2"/>
  <c r="H241" i="2" s="1"/>
  <c r="K92" i="2"/>
  <c r="I277" i="2"/>
  <c r="J562" i="2"/>
  <c r="K571" i="2" s="1"/>
  <c r="K502" i="2"/>
  <c r="K515" i="2"/>
  <c r="J432" i="2"/>
  <c r="H432" i="2" s="1"/>
  <c r="K614" i="2"/>
  <c r="K434" i="2"/>
  <c r="I243" i="2"/>
  <c r="K183" i="2"/>
  <c r="I235" i="2"/>
  <c r="K98" i="2"/>
  <c r="K277" i="2"/>
  <c r="K61" i="2"/>
  <c r="J245" i="2"/>
  <c r="H245" i="2" s="1"/>
  <c r="J243" i="2"/>
  <c r="H243" i="2" s="1"/>
  <c r="I279" i="2"/>
  <c r="J235" i="2"/>
  <c r="K157" i="2"/>
  <c r="J401" i="2"/>
  <c r="I329" i="2"/>
  <c r="J271" i="2"/>
  <c r="H271" i="2" s="1"/>
  <c r="K8" i="2"/>
  <c r="K339" i="2"/>
  <c r="J575" i="2"/>
  <c r="H575" i="2" s="1"/>
  <c r="I476" i="2"/>
  <c r="I442" i="2"/>
  <c r="J530" i="2"/>
  <c r="H530" i="2" s="1"/>
  <c r="I425" i="2"/>
  <c r="I590" i="2"/>
  <c r="K555" i="2"/>
  <c r="J528" i="2"/>
  <c r="H528" i="2" s="1"/>
  <c r="J393" i="2"/>
  <c r="H393" i="2" s="1"/>
  <c r="J320" i="2"/>
  <c r="H320" i="2" s="1"/>
  <c r="J297" i="2"/>
  <c r="K327" i="2" s="1"/>
  <c r="J303" i="2"/>
  <c r="K591" i="2" s="1"/>
  <c r="J354" i="2"/>
  <c r="H354" i="2" s="1"/>
  <c r="J309" i="2"/>
  <c r="H309" i="2" s="1"/>
  <c r="K165" i="2"/>
  <c r="K315" i="2"/>
  <c r="I128" i="2"/>
  <c r="I193" i="2"/>
  <c r="J187" i="2"/>
  <c r="I8" i="2"/>
  <c r="I530" i="2"/>
  <c r="K427" i="2"/>
  <c r="I528" i="2"/>
  <c r="K385" i="2"/>
  <c r="I354" i="2"/>
  <c r="I596" i="2"/>
  <c r="J476" i="2"/>
  <c r="H476" i="2" s="1"/>
  <c r="J442" i="2"/>
  <c r="H442" i="2" s="1"/>
  <c r="J425" i="2"/>
  <c r="H425" i="2" s="1"/>
  <c r="I502" i="2"/>
  <c r="I615" i="2"/>
  <c r="J545" i="2"/>
  <c r="H545" i="2" s="1"/>
  <c r="J514" i="2"/>
  <c r="H514" i="2" s="1"/>
  <c r="K393" i="2"/>
  <c r="K309" i="2"/>
  <c r="I178" i="2"/>
  <c r="I183" i="2"/>
  <c r="I571" i="2"/>
  <c r="K168" i="2"/>
  <c r="K40" i="2"/>
  <c r="J552" i="2"/>
  <c r="H552" i="2" s="1"/>
  <c r="J596" i="2"/>
  <c r="H596" i="2" s="1"/>
  <c r="J486" i="2"/>
  <c r="K500" i="2" s="1"/>
  <c r="J615" i="2"/>
  <c r="H615" i="2" s="1"/>
  <c r="K545" i="2"/>
  <c r="K514" i="2"/>
  <c r="J456" i="2"/>
  <c r="H456" i="2" s="1"/>
  <c r="K536" i="2"/>
  <c r="J469" i="2"/>
  <c r="H469" i="2" s="1"/>
  <c r="J443" i="2"/>
  <c r="H443" i="2" s="1"/>
  <c r="K418" i="2"/>
  <c r="K347" i="2"/>
  <c r="K317" i="2"/>
  <c r="J299" i="2"/>
  <c r="H299" i="2" s="1"/>
  <c r="I196" i="2"/>
  <c r="J178" i="2"/>
  <c r="J315" i="2"/>
  <c r="H315" i="2" s="1"/>
  <c r="I230" i="2"/>
  <c r="K85" i="2"/>
  <c r="K108" i="2"/>
  <c r="I555" i="2"/>
  <c r="K320" i="2"/>
  <c r="I297" i="2"/>
  <c r="K289" i="2"/>
  <c r="J597" i="2"/>
  <c r="H597" i="2" s="1"/>
  <c r="I564" i="2"/>
  <c r="K469" i="2"/>
  <c r="K443" i="2"/>
  <c r="I418" i="2"/>
  <c r="I364" i="2"/>
  <c r="K299" i="2"/>
  <c r="I245" i="2"/>
  <c r="J374" i="2"/>
  <c r="H374" i="2" s="1"/>
  <c r="I233" i="2"/>
  <c r="K196" i="2"/>
  <c r="I80" i="2"/>
  <c r="J92" i="2"/>
  <c r="H92" i="2" s="1"/>
  <c r="J385" i="2"/>
  <c r="H385" i="2" s="1"/>
  <c r="J289" i="2"/>
  <c r="H289" i="2" s="1"/>
  <c r="J590" i="2"/>
  <c r="H590" i="2" s="1"/>
  <c r="K597" i="2"/>
  <c r="I505" i="2"/>
  <c r="J433" i="2"/>
  <c r="H433" i="2" s="1"/>
  <c r="I434" i="2"/>
  <c r="K409" i="2"/>
  <c r="I365" i="2"/>
  <c r="J364" i="2"/>
  <c r="H364" i="2" s="1"/>
  <c r="I215" i="2"/>
  <c r="K174" i="2"/>
  <c r="J61" i="2"/>
  <c r="K155" i="2" s="1"/>
  <c r="J16" i="2"/>
  <c r="H16" i="2" s="1"/>
  <c r="J51" i="2"/>
  <c r="H51" i="2" s="1"/>
  <c r="I51" i="2"/>
  <c r="I269" i="2"/>
  <c r="K206" i="2"/>
  <c r="J206" i="2"/>
  <c r="H206" i="2" s="1"/>
  <c r="K46" i="2"/>
  <c r="J46" i="2"/>
  <c r="K450" i="2" s="1"/>
  <c r="I542" i="2"/>
  <c r="K542" i="2"/>
  <c r="J542" i="2"/>
  <c r="H542" i="2" s="1"/>
  <c r="I622" i="2"/>
  <c r="I570" i="2"/>
  <c r="K435" i="2"/>
  <c r="J564" i="2"/>
  <c r="H564" i="2" s="1"/>
  <c r="J526" i="2"/>
  <c r="H526" i="2" s="1"/>
  <c r="I450" i="2"/>
  <c r="K361" i="2"/>
  <c r="J361" i="2"/>
  <c r="K373" i="2" s="1"/>
  <c r="I477" i="2"/>
  <c r="I427" i="2"/>
  <c r="K400" i="2"/>
  <c r="J365" i="2"/>
  <c r="K324" i="2"/>
  <c r="K255" i="2"/>
  <c r="J582" i="2"/>
  <c r="H582" i="2" s="1"/>
  <c r="J373" i="2"/>
  <c r="I287" i="2"/>
  <c r="I186" i="2"/>
  <c r="I161" i="2"/>
  <c r="K161" i="2"/>
  <c r="I72" i="2"/>
  <c r="I36" i="2"/>
  <c r="I163" i="2"/>
  <c r="J126" i="2"/>
  <c r="K127" i="2" s="1"/>
  <c r="K126" i="2"/>
  <c r="K109" i="2"/>
  <c r="I109" i="2"/>
  <c r="I5" i="2"/>
  <c r="J5" i="2"/>
  <c r="H5" i="2" s="1"/>
  <c r="K5" i="2"/>
  <c r="I174" i="2"/>
  <c r="J139" i="2"/>
  <c r="H139" i="2" s="1"/>
  <c r="I139" i="2"/>
  <c r="I46" i="2"/>
  <c r="I43" i="2"/>
  <c r="J147" i="2"/>
  <c r="J103" i="2"/>
  <c r="I157" i="2"/>
  <c r="K129" i="2"/>
  <c r="J193" i="2"/>
  <c r="H193" i="2" s="1"/>
  <c r="J49" i="2"/>
  <c r="H49" i="2" s="1"/>
  <c r="J593" i="2"/>
  <c r="H593" i="2" s="1"/>
  <c r="I593" i="2"/>
  <c r="J375" i="2"/>
  <c r="H375" i="2" s="1"/>
  <c r="I239" i="2"/>
  <c r="K239" i="2"/>
  <c r="I632" i="2"/>
  <c r="J501" i="2"/>
  <c r="H501" i="2" s="1"/>
  <c r="I501" i="2"/>
  <c r="I623" i="2"/>
  <c r="I538" i="2"/>
  <c r="J567" i="2"/>
  <c r="H567" i="2" s="1"/>
  <c r="I504" i="2"/>
  <c r="J639" i="2"/>
  <c r="H639" i="2" s="1"/>
  <c r="K639" i="2"/>
  <c r="I640" i="2"/>
  <c r="I544" i="2"/>
  <c r="J632" i="2"/>
  <c r="H632" i="2" s="1"/>
  <c r="I604" i="2"/>
  <c r="I525" i="2"/>
  <c r="J525" i="2"/>
  <c r="H525" i="2" s="1"/>
  <c r="J491" i="2"/>
  <c r="H491" i="2" s="1"/>
  <c r="I491" i="2"/>
  <c r="J623" i="2"/>
  <c r="H623" i="2" s="1"/>
  <c r="J622" i="2"/>
  <c r="H622" i="2" s="1"/>
  <c r="K588" i="2"/>
  <c r="J570" i="2"/>
  <c r="H570" i="2" s="1"/>
  <c r="J538" i="2"/>
  <c r="H538" i="2" s="1"/>
  <c r="I492" i="2"/>
  <c r="I433" i="2"/>
  <c r="K423" i="2"/>
  <c r="J423" i="2"/>
  <c r="H423" i="2" s="1"/>
  <c r="K401" i="2"/>
  <c r="J519" i="2"/>
  <c r="H519" i="2" s="1"/>
  <c r="I392" i="2"/>
  <c r="I526" i="2"/>
  <c r="J504" i="2"/>
  <c r="H504" i="2" s="1"/>
  <c r="J448" i="2"/>
  <c r="H448" i="2" s="1"/>
  <c r="J450" i="2"/>
  <c r="I424" i="2"/>
  <c r="J477" i="2"/>
  <c r="H477" i="2" s="1"/>
  <c r="J339" i="2"/>
  <c r="H339" i="2" s="1"/>
  <c r="K325" i="2"/>
  <c r="J325" i="2"/>
  <c r="H325" i="2" s="1"/>
  <c r="I400" i="2"/>
  <c r="I435" i="2"/>
  <c r="K343" i="2"/>
  <c r="J343" i="2"/>
  <c r="H343" i="2" s="1"/>
  <c r="I343" i="2"/>
  <c r="I317" i="2"/>
  <c r="K295" i="2"/>
  <c r="I295" i="2"/>
  <c r="I211" i="2"/>
  <c r="K265" i="2"/>
  <c r="I265" i="2"/>
  <c r="J225" i="2"/>
  <c r="H225" i="2" s="1"/>
  <c r="K249" i="2"/>
  <c r="I249" i="2"/>
  <c r="I201" i="2"/>
  <c r="J201" i="2"/>
  <c r="J211" i="2"/>
  <c r="H211" i="2" s="1"/>
  <c r="K285" i="2"/>
  <c r="I285" i="2"/>
  <c r="J255" i="2"/>
  <c r="H255" i="2" s="1"/>
  <c r="J186" i="2"/>
  <c r="K91" i="2"/>
  <c r="I91" i="2"/>
  <c r="J474" i="2"/>
  <c r="H474" i="2" s="1"/>
  <c r="I384" i="2"/>
  <c r="J163" i="2"/>
  <c r="H163" i="2" s="1"/>
  <c r="I75" i="2"/>
  <c r="I73" i="2"/>
  <c r="K73" i="2"/>
  <c r="K137" i="2"/>
  <c r="K16" i="2"/>
  <c r="I169" i="2"/>
  <c r="I129" i="2"/>
  <c r="K49" i="2"/>
  <c r="J20" i="2"/>
  <c r="K26" i="2" s="1"/>
  <c r="K75" i="2"/>
  <c r="I559" i="2"/>
  <c r="J559" i="2"/>
  <c r="H559" i="2" s="1"/>
  <c r="I585" i="2"/>
  <c r="J585" i="2"/>
  <c r="H585" i="2" s="1"/>
  <c r="K375" i="2"/>
  <c r="K134" i="2"/>
  <c r="J134" i="2"/>
  <c r="J392" i="2"/>
  <c r="H392" i="2" s="1"/>
  <c r="I261" i="2"/>
  <c r="K261" i="2"/>
  <c r="I582" i="2"/>
  <c r="J118" i="2"/>
  <c r="H118" i="2" s="1"/>
  <c r="K118" i="2"/>
  <c r="K225" i="2"/>
  <c r="J165" i="2"/>
  <c r="H165" i="2" s="1"/>
  <c r="K241" i="2"/>
  <c r="K20" i="2"/>
  <c r="K72" i="2"/>
  <c r="J511" i="2"/>
  <c r="H511" i="2" s="1"/>
  <c r="I511" i="2"/>
  <c r="K142" i="2"/>
  <c r="J142" i="2"/>
  <c r="H142" i="2" s="1"/>
  <c r="K511" i="2"/>
  <c r="K519" i="2"/>
  <c r="J629" i="2"/>
  <c r="H629" i="2" s="1"/>
  <c r="I629" i="2"/>
  <c r="J492" i="2"/>
  <c r="J505" i="2"/>
  <c r="H505" i="2" s="1"/>
  <c r="K431" i="2"/>
  <c r="J431" i="2"/>
  <c r="H431" i="2" s="1"/>
  <c r="J419" i="2"/>
  <c r="H419" i="2" s="1"/>
  <c r="J389" i="2"/>
  <c r="H389" i="2" s="1"/>
  <c r="I389" i="2"/>
  <c r="J439" i="2"/>
  <c r="H439" i="2" s="1"/>
  <c r="I439" i="2"/>
  <c r="I550" i="2"/>
  <c r="J560" i="2"/>
  <c r="H560" i="2" s="1"/>
  <c r="K351" i="2"/>
  <c r="I351" i="2"/>
  <c r="K355" i="2"/>
  <c r="K389" i="2"/>
  <c r="J466" i="2"/>
  <c r="H466" i="2" s="1"/>
  <c r="I458" i="2"/>
  <c r="J541" i="2"/>
  <c r="H541" i="2" s="1"/>
  <c r="K374" i="2"/>
  <c r="J261" i="2"/>
  <c r="I206" i="2"/>
  <c r="I219" i="2"/>
  <c r="J161" i="2"/>
  <c r="H161" i="2" s="1"/>
  <c r="I69" i="2"/>
  <c r="J69" i="2"/>
  <c r="H69" i="2" s="1"/>
  <c r="I57" i="2"/>
  <c r="K57" i="2"/>
  <c r="J131" i="2"/>
  <c r="H131" i="2" s="1"/>
  <c r="I131" i="2"/>
  <c r="I29" i="2"/>
  <c r="K29" i="2"/>
  <c r="J204" i="2"/>
  <c r="K215" i="2" s="1"/>
  <c r="I313" i="2"/>
  <c r="I7" i="2"/>
  <c r="J238" i="2"/>
  <c r="H238" i="2" s="1"/>
  <c r="I95" i="2"/>
  <c r="K6" i="2"/>
  <c r="I6" i="2"/>
  <c r="I58" i="2"/>
  <c r="J601" i="2"/>
  <c r="H601" i="2" s="1"/>
  <c r="I601" i="2"/>
  <c r="J556" i="2"/>
  <c r="K562" i="2" s="1"/>
  <c r="I556" i="2"/>
  <c r="K237" i="2"/>
  <c r="I237" i="2"/>
  <c r="J447" i="2"/>
  <c r="H447" i="2" s="1"/>
  <c r="I447" i="2"/>
  <c r="K397" i="2"/>
  <c r="J397" i="2"/>
  <c r="H397" i="2" s="1"/>
  <c r="J604" i="2"/>
  <c r="H604" i="2" s="1"/>
  <c r="K415" i="2"/>
  <c r="J415" i="2"/>
  <c r="K629" i="2"/>
  <c r="K601" i="2"/>
  <c r="K640" i="2"/>
  <c r="J473" i="2"/>
  <c r="H473" i="2" s="1"/>
  <c r="I473" i="2"/>
  <c r="K501" i="2"/>
  <c r="I619" i="2"/>
  <c r="J619" i="2"/>
  <c r="H619" i="2" s="1"/>
  <c r="J520" i="2"/>
  <c r="K543" i="2" s="1"/>
  <c r="I520" i="2"/>
  <c r="I463" i="2"/>
  <c r="J463" i="2"/>
  <c r="H463" i="2" s="1"/>
  <c r="K491" i="2"/>
  <c r="I588" i="2"/>
  <c r="K419" i="2"/>
  <c r="I515" i="2"/>
  <c r="K512" i="2"/>
  <c r="J512" i="2"/>
  <c r="H512" i="2" s="1"/>
  <c r="J550" i="2"/>
  <c r="K610" i="2" s="1"/>
  <c r="I448" i="2"/>
  <c r="I432" i="2"/>
  <c r="J381" i="2"/>
  <c r="H381" i="2" s="1"/>
  <c r="K381" i="2"/>
  <c r="K560" i="2"/>
  <c r="I330" i="2"/>
  <c r="J369" i="2"/>
  <c r="H369" i="2" s="1"/>
  <c r="I369" i="2"/>
  <c r="J458" i="2"/>
  <c r="H458" i="2" s="1"/>
  <c r="J329" i="2"/>
  <c r="H329" i="2" s="1"/>
  <c r="I263" i="2"/>
  <c r="K263" i="2"/>
  <c r="K217" i="2"/>
  <c r="J217" i="2"/>
  <c r="H217" i="2" s="1"/>
  <c r="J239" i="2"/>
  <c r="K269" i="2" s="1"/>
  <c r="I307" i="2"/>
  <c r="J281" i="2"/>
  <c r="H281" i="2" s="1"/>
  <c r="J215" i="2"/>
  <c r="K271" i="2"/>
  <c r="I168" i="2"/>
  <c r="I118" i="2"/>
  <c r="I55" i="2"/>
  <c r="K219" i="2"/>
  <c r="J113" i="2"/>
  <c r="H113" i="2" s="1"/>
  <c r="I113" i="2"/>
  <c r="I59" i="2"/>
  <c r="I123" i="2"/>
  <c r="J123" i="2"/>
  <c r="H123" i="2" s="1"/>
  <c r="I111" i="2"/>
  <c r="K64" i="2"/>
  <c r="J64" i="2"/>
  <c r="H64" i="2" s="1"/>
  <c r="J29" i="2"/>
  <c r="H29" i="2" s="1"/>
  <c r="K313" i="2"/>
  <c r="I85" i="2"/>
  <c r="K7" i="2"/>
  <c r="I238" i="2"/>
  <c r="J169" i="2"/>
  <c r="H169" i="2" s="1"/>
  <c r="I127" i="2"/>
  <c r="J95" i="2"/>
  <c r="K101" i="2" s="1"/>
  <c r="K41" i="2"/>
  <c r="K59" i="2"/>
  <c r="I40" i="2"/>
  <c r="J58" i="2"/>
  <c r="H58" i="2" s="1"/>
  <c r="J405" i="2"/>
  <c r="H405" i="2" s="1"/>
  <c r="I405" i="2"/>
  <c r="I15" i="2"/>
  <c r="K15" i="2"/>
  <c r="J15" i="2"/>
  <c r="H15" i="2" s="1"/>
  <c r="K426" i="2"/>
  <c r="K128" i="2"/>
  <c r="I41" i="2"/>
  <c r="J637" i="2"/>
  <c r="H637" i="2" s="1"/>
  <c r="I637" i="2"/>
  <c r="J481" i="2"/>
  <c r="H481" i="2" s="1"/>
  <c r="I481" i="2"/>
  <c r="J611" i="2"/>
  <c r="H611" i="2" s="1"/>
  <c r="I611" i="2"/>
  <c r="J549" i="2"/>
  <c r="K556" i="2" s="1"/>
  <c r="I549" i="2"/>
  <c r="K593" i="2"/>
  <c r="K559" i="2"/>
  <c r="J455" i="2"/>
  <c r="H455" i="2" s="1"/>
  <c r="I455" i="2"/>
  <c r="K481" i="2"/>
  <c r="K482" i="2"/>
  <c r="J482" i="2"/>
  <c r="I397" i="2"/>
  <c r="J409" i="2"/>
  <c r="H409" i="2" s="1"/>
  <c r="K335" i="2"/>
  <c r="I335" i="2"/>
  <c r="K330" i="2"/>
  <c r="J237" i="2"/>
  <c r="H237" i="2" s="1"/>
  <c r="I93" i="2"/>
  <c r="K51" i="2"/>
  <c r="I39" i="2"/>
  <c r="K39" i="2"/>
  <c r="J111" i="2"/>
  <c r="H111" i="2" s="1"/>
  <c r="I152" i="2"/>
  <c r="K36" i="2"/>
  <c r="J6" i="2"/>
  <c r="H6" i="2" s="1"/>
  <c r="K55" i="2"/>
  <c r="H450" i="2" l="1"/>
  <c r="H361" i="2"/>
  <c r="H365" i="2"/>
  <c r="H261" i="2"/>
  <c r="H215" i="2"/>
  <c r="K234" i="2"/>
  <c r="H46" i="2"/>
  <c r="H562" i="2"/>
  <c r="H556" i="2"/>
  <c r="H550" i="2"/>
  <c r="H549" i="2"/>
  <c r="H520" i="2"/>
  <c r="H492" i="2"/>
  <c r="H482" i="2"/>
  <c r="H424" i="2"/>
  <c r="H415" i="2"/>
  <c r="H401" i="2"/>
  <c r="H303" i="2"/>
  <c r="G73" i="2"/>
  <c r="H235" i="2"/>
  <c r="K242" i="2"/>
  <c r="G242" i="2" s="1"/>
  <c r="H239" i="2"/>
  <c r="H230" i="2"/>
  <c r="K204" i="2"/>
  <c r="K222" i="2"/>
  <c r="H204" i="2"/>
  <c r="H201" i="2"/>
  <c r="H187" i="2"/>
  <c r="H186" i="2"/>
  <c r="H103" i="2"/>
  <c r="K178" i="2"/>
  <c r="H178" i="2"/>
  <c r="H147" i="2"/>
  <c r="H134" i="2"/>
  <c r="H127" i="2"/>
  <c r="H77" i="2"/>
  <c r="H61" i="2"/>
  <c r="H20" i="2"/>
</calcChain>
</file>

<file path=xl/sharedStrings.xml><?xml version="1.0" encoding="utf-8"?>
<sst xmlns="http://schemas.openxmlformats.org/spreadsheetml/2006/main" count="1657" uniqueCount="542">
  <si>
    <t>ID</t>
  </si>
  <si>
    <t>PRED_ID</t>
  </si>
  <si>
    <t>MARKER_AUTO</t>
  </si>
  <si>
    <t>PREDICATE</t>
  </si>
  <si>
    <t>TEXT</t>
  </si>
  <si>
    <t>SENTENCE</t>
  </si>
  <si>
    <t>MARKER</t>
  </si>
  <si>
    <t>TARGET</t>
  </si>
  <si>
    <t>RELATION</t>
  </si>
  <si>
    <t>COMMENT</t>
  </si>
  <si>
    <t>1</t>
  </si>
  <si>
    <t>4</t>
  </si>
  <si>
    <t>_</t>
  </si>
  <si>
    <t>Stabschef</t>
  </si>
  <si>
    <t>Russlands Putin feuert Stabschef Sergei Ivanov</t>
  </si>
  <si>
    <t>file://conllu/de/bbc.242436.conllu#s1_0</t>
  </si>
  <si>
    <t>2</t>
  </si>
  <si>
    <t>6</t>
  </si>
  <si>
    <t>haben</t>
  </si>
  <si>
    <t>Der russische Präsident Vladimir Putin hat unerwarteterweise seinen Stabschef Sergei Ivanov entlassen .</t>
  </si>
  <si>
    <t>file://conllu/de/bbc.242436.conllu#s2_0</t>
  </si>
  <si>
    <t>3</t>
  </si>
  <si>
    <t>sein (sein Teil)</t>
  </si>
  <si>
    <t>Ivanov war viele Jahre Teil des engsten Vertrauenskreises von Putin .</t>
  </si>
  <si>
    <t>file://conllu/de/bbc.242436.conllu#s3_0</t>
  </si>
  <si>
    <t>14</t>
  </si>
  <si>
    <t>ernennen</t>
  </si>
  <si>
    <t>Der 63 Jährige wurde zum zu dem Sonderbeauftragten für Umwelt und Transportangelegenheiten ernannt .</t>
  </si>
  <si>
    <t>file://conllu/de/bbc.242436.conllu#s4_0</t>
  </si>
  <si>
    <t>5</t>
  </si>
  <si>
    <t>lauten</t>
  </si>
  <si>
    <t>In einer Stellungnahme des Kreml lautet es , dass Putin ohne Angabe von Gründen &amp;quot; die Entlassung Ivanovs von seinen Pflichten als Vorsitzender der russischen Präsidialverwaltung angeordnet habe &amp;quot; .</t>
  </si>
  <si>
    <t>file://conllu/de/bbc.242436.conllu#s5_0</t>
  </si>
  <si>
    <t>15</t>
  </si>
  <si>
    <t>Anton Vaino , der seit 2012 Ivanovs Stellvertreter war , wurde zu seinem Nachfolger ernannt .</t>
  </si>
  <si>
    <t>file://conllu/de/bbc.242436.conllu#s6_0</t>
  </si>
  <si>
    <t>7</t>
  </si>
  <si>
    <t>sein (sein Diplomat)</t>
  </si>
  <si>
    <t>Vaino , 44 , ist ehemaliger Diplomat .</t>
  </si>
  <si>
    <t>file://conllu/de/bbc.242436.conllu#s7_0</t>
  </si>
  <si>
    <t>8</t>
  </si>
  <si>
    <t>9</t>
  </si>
  <si>
    <t>machen</t>
  </si>
  <si>
    <t>1972 in der estnischen Hauptstadt Tallinn geboren , machte er seinen Abschluss am an dem renommierten Staatlichen Moskauer Institut für Internationale Beziehungen ( MGIMO ) und arbeitete in der Botschaft in Tokyo .</t>
  </si>
  <si>
    <t>file://conllu/de/bbc.242436.conllu#s8_0</t>
  </si>
  <si>
    <t>heißen</t>
  </si>
  <si>
    <t>Auf der Website des Kreml heißt es ( auf Russisch ) , dass er später Protokollchef und Stabsleiter des Regierungspersonals war .</t>
  </si>
  <si>
    <t>file://conllu/de/bbc.242436.conllu#s9_0</t>
  </si>
  <si>
    <t>10</t>
  </si>
  <si>
    <t>sagen</t>
  </si>
  <si>
    <t>Über seine Ernennung sagte er zu Putin :&amp;quot; Danke für Ihr Vertrauen . &amp;quot;</t>
  </si>
  <si>
    <t>file://conllu/de/bbc.242436.conllu#s10_0</t>
  </si>
  <si>
    <t>11</t>
  </si>
  <si>
    <t>denken</t>
  </si>
  <si>
    <t>Ich denke , dass es die wichtigste Aufgabe der Regierung ist , Ihre Tätigkeit als Staatschef bezüglich Gesetzesentwürfen und Kontrollen zur zu der Umsetzung Ihrer Anweisungen zu unterstützen .</t>
  </si>
  <si>
    <t>file://conllu/de/bbc.242436.conllu#s11_0</t>
  </si>
  <si>
    <t>12</t>
  </si>
  <si>
    <t>teilen</t>
  </si>
  <si>
    <t>Putin teilte dem russischen TV Sender am an dem Freitag mit , dass Ivanov darum gebeten habe , seinen Posten zu verlassen und Vaino als seinen Nachfolger empfohlen habe .</t>
  </si>
  <si>
    <t>file://conllu/de/bbc.242436.conllu#s12_0</t>
  </si>
  <si>
    <t>13</t>
  </si>
  <si>
    <t>überzeugen</t>
  </si>
  <si>
    <t>Überzeugen die lächelnden Gesichter ?</t>
  </si>
  <si>
    <t>file://conllu/de/bbc.242436.conllu#s13_0</t>
  </si>
  <si>
    <t>Dieser Schritt hat Moskau geheimnisumwoben gemacht .</t>
  </si>
  <si>
    <t>file://conllu/de/bbc.242436.conllu#s14_0</t>
  </si>
  <si>
    <t>sein (sein Zeit)</t>
  </si>
  <si>
    <t>Sergei Ivanov war lange Zeit einer der engsten Vertrauten Vladimir Putins und arbeitet wie er für den sowjetischen Geheimdienst , dem KGB .</t>
  </si>
  <si>
    <t>file://conllu/de/bbc.242436.conllu#s15_0</t>
  </si>
  <si>
    <t>16</t>
  </si>
  <si>
    <t>sein (sein ein)</t>
  </si>
  <si>
    <t>Als Stabschef war er einer der mächtigsten Männer der Landes .</t>
  </si>
  <si>
    <t>file://conllu/de/bbc.242436.conllu#s16_0</t>
  </si>
  <si>
    <t>17</t>
  </si>
  <si>
    <t>behaupten</t>
  </si>
  <si>
    <t>Bei einem Treffen mit Präsident Putin , das im in dem Fernsehen ausgestrahlt wurde , behaupteten beide Männer , dass der Stabschef auf eigenen Wunsch zurücktritt .</t>
  </si>
  <si>
    <t>file://conllu/de/bbc.242436.conllu#s17_0</t>
  </si>
  <si>
    <t>18</t>
  </si>
  <si>
    <t>sein (sein Parlamentswahl)</t>
  </si>
  <si>
    <t>Aber trotz des Lächelns für die Kameras , sind hier nur wenige davon überzeugt vor allem jetzt , kurz vor den Parlamentswahlen .</t>
  </si>
  <si>
    <t>file://conllu/de/bbc.242436.conllu#s18_0</t>
  </si>
  <si>
    <t>19</t>
  </si>
  <si>
    <t>liegen</t>
  </si>
  <si>
    <t>Liegt hier also die Folge einer Art Machtkampf vor ?</t>
  </si>
  <si>
    <t>file://conllu/de/bbc.242436.conllu#s19_0</t>
  </si>
  <si>
    <t>20</t>
  </si>
  <si>
    <t>niemehen</t>
  </si>
  <si>
    <t>Das weiß derzeit niemand .</t>
  </si>
  <si>
    <t>file://conllu/de/bbc.242436.conllu#s20_0</t>
  </si>
  <si>
    <t>21</t>
  </si>
  <si>
    <t>Behauptung</t>
  </si>
  <si>
    <t>Aber die offizielle Behauptung dass ein Mann , der einst als potenzieller Präsident angepriesen wurde , auf einmal die russische Umweltpolitik leiten möchte stieß auf große Skepsis .</t>
  </si>
  <si>
    <t>file://conllu/de/bbc.242436.conllu#s21_0</t>
  </si>
  <si>
    <t>22</t>
  </si>
  <si>
    <t>In seinen Bemerkungen an Putin , die auf der Website des Kreml zitiert werden , sagte Ivanov &amp;quot; es ist wahr , dass ich Sie Anfang 2012 in einem Gespräch gebeten habe , mir diesen sehr komplizierten Posten man könnte beinahe sagen beschwerlichen Posten vier Jahre lang anzuvertrauen .</t>
  </si>
  <si>
    <t>file://conllu/de/bbc.242436.conllu#s22_0</t>
  </si>
  <si>
    <t>23</t>
  </si>
  <si>
    <t>sein (sein Vorsitzende)</t>
  </si>
  <si>
    <t>Wie es sich herausstellt , bin ich seit vier Jahren und acht Monaten Vorsitzender der russischen Präsidialverwaltung .</t>
  </si>
  <si>
    <t>file://conllu/de/bbc.242436.conllu#s23_0</t>
  </si>
  <si>
    <t>24</t>
  </si>
  <si>
    <t>nehmen</t>
  </si>
  <si>
    <t>Ivanov nahm den Posten im in dem Dezember 2011 an .</t>
  </si>
  <si>
    <t>file://conllu/de/bbc.242436.conllu#s24_0</t>
  </si>
  <si>
    <t>25</t>
  </si>
  <si>
    <t>sein (sein Ministerpräsident)</t>
  </si>
  <si>
    <t>Zuvor war er stellvertretender Ministerpräsident und Verteidigungsminister .</t>
  </si>
  <si>
    <t>file://conllu/de/bbc.242436.conllu#s25_0</t>
  </si>
  <si>
    <t>26</t>
  </si>
  <si>
    <t>sein (sein Mitglied)</t>
  </si>
  <si>
    <t>Er ist Mitglied des russischen Sicherheitsrates und wie Putin ehemaliges Mitglied des Staatssicherheitsdienstes KGB .</t>
  </si>
  <si>
    <t>file://conllu/de/bbc.242436.conllu#s26_0</t>
  </si>
  <si>
    <t>27</t>
  </si>
  <si>
    <t>In den späten 1990er Jahren , als Putin Vorsitzender des Bundessicherheitsdienstes ( FSB ) war , der den KGB ersetzte , wurde Ivanov zu seinem Stellvertreter ernannt .</t>
  </si>
  <si>
    <t>file://conllu/de/bbc.242436.conllu#s27_0</t>
  </si>
  <si>
    <t>28</t>
  </si>
  <si>
    <t>nennen</t>
  </si>
  <si>
    <t>Als Putin an die Macht gelangte nannte er Ivanov als einen von fünf Leuten , denen er am an dem meisten vertraute .</t>
  </si>
  <si>
    <t>file://conllu/de/bbc.242436.conllu#s28_0</t>
  </si>
  <si>
    <t>29</t>
  </si>
  <si>
    <t>annehmen</t>
  </si>
  <si>
    <t>Einst wurde angenommen , dass Ivanov nach Putins zweiter Amtszeit Präsident von Russland werden könnte , da eine dritte Amtszeit Putins gegen die Verfassung verstoßen hätte .</t>
  </si>
  <si>
    <t>file://conllu/de/bbc.242436.conllu#s29_0</t>
  </si>
  <si>
    <t>30</t>
  </si>
  <si>
    <t>einnehmen</t>
  </si>
  <si>
    <t>Aber dieser Posten wurde von einem weiteren , nahestehenden Verbündeten Putins eingenommen , Dmitry Medvedev .</t>
  </si>
  <si>
    <t>file://conllu/de/bbc.242436.conllu#s30_0</t>
  </si>
  <si>
    <t>31</t>
  </si>
  <si>
    <t>werden</t>
  </si>
  <si>
    <t>Putin wurde Ministerpräsident , bevor er dreieinhalb Jahre später wieder zum zu dem Präsidenten wurde .</t>
  </si>
  <si>
    <t>file://conllu/de/bbc.242436.conllu#s31_0</t>
  </si>
  <si>
    <t>WORD</t>
  </si>
  <si>
    <t>GR</t>
  </si>
  <si>
    <t>NP_TYPE</t>
  </si>
  <si>
    <t>REF_AUTO</t>
  </si>
  <si>
    <t>COREF</t>
  </si>
  <si>
    <t>REF</t>
  </si>
  <si>
    <t>IS</t>
  </si>
  <si>
    <t>CB</t>
  </si>
  <si>
    <t>GR_ANTE</t>
  </si>
  <si>
    <t>REF_DIST</t>
  </si>
  <si>
    <t>REF_DIST_ANTE</t>
  </si>
  <si>
    <t># text = Russlands Putin feuert Stabschef Sergei Ivanov</t>
  </si>
  <si>
    <t>Russlands</t>
  </si>
  <si>
    <t>other_2</t>
  </si>
  <si>
    <t>ne</t>
  </si>
  <si>
    <t>?OLD</t>
  </si>
  <si>
    <t>Putin</t>
  </si>
  <si>
    <t>feuert</t>
  </si>
  <si>
    <t>other</t>
  </si>
  <si>
    <t>indef-np.bare</t>
  </si>
  <si>
    <t>Sergei</t>
  </si>
  <si>
    <t>Ivanov</t>
  </si>
  <si>
    <t># text = Der russische Präsident Vladimir Putin hat unerwarteterweise seinen Stabschef Sergei Ivanov entlassen.</t>
  </si>
  <si>
    <t>Der</t>
  </si>
  <si>
    <t>russische</t>
  </si>
  <si>
    <t>Präsident</t>
  </si>
  <si>
    <t>SBJ</t>
  </si>
  <si>
    <t>def-np.the</t>
  </si>
  <si>
    <t>Vladimir</t>
  </si>
  <si>
    <t>hat</t>
  </si>
  <si>
    <t>unerwarteterweise</t>
  </si>
  <si>
    <t>seinen</t>
  </si>
  <si>
    <t>SBJ_2</t>
  </si>
  <si>
    <t>indef-np</t>
  </si>
  <si>
    <t>other_3</t>
  </si>
  <si>
    <t>entlassen</t>
  </si>
  <si>
    <t>.</t>
  </si>
  <si>
    <t># text = Ivanov war viele Jahre Teil des engsten Vertrauenskreises von Putin.</t>
  </si>
  <si>
    <t>war</t>
  </si>
  <si>
    <t>viele</t>
  </si>
  <si>
    <t>Jahre</t>
  </si>
  <si>
    <t>indef-np.quant</t>
  </si>
  <si>
    <t>Teil</t>
  </si>
  <si>
    <t>des</t>
  </si>
  <si>
    <t>engsten</t>
  </si>
  <si>
    <t>Vertrauenskreises</t>
  </si>
  <si>
    <t>von</t>
  </si>
  <si>
    <t># text = Der 63-Jährige wurde zum Sonderbeauftragten für Umwelt- und Transportangelegenheiten ernannt.</t>
  </si>
  <si>
    <t>63</t>
  </si>
  <si>
    <t>Jährige</t>
  </si>
  <si>
    <t>def-np.quant</t>
  </si>
  <si>
    <t>wurde</t>
  </si>
  <si>
    <t>zu</t>
  </si>
  <si>
    <t>pron.pind</t>
  </si>
  <si>
    <t>dem</t>
  </si>
  <si>
    <t>Sonderbeauftragten</t>
  </si>
  <si>
    <t>für</t>
  </si>
  <si>
    <t>Umwelt</t>
  </si>
  <si>
    <t>und</t>
  </si>
  <si>
    <t>Transportangelegenheiten</t>
  </si>
  <si>
    <t>ernannt</t>
  </si>
  <si>
    <t>--</t>
  </si>
  <si>
    <t># text = In einer Stellungnahme des Kreml lautet es, dass Putin ohne Angabe von Gründen \"die Entlassung Ivanovs von seinen Pflichten als Vorsitzender der russischen Präsidialverwaltung angeordnet habe\".</t>
  </si>
  <si>
    <t>In</t>
  </si>
  <si>
    <t>einer</t>
  </si>
  <si>
    <t>Stellungnahme</t>
  </si>
  <si>
    <t>indef-np.a</t>
  </si>
  <si>
    <t>Kreml</t>
  </si>
  <si>
    <t>lautet</t>
  </si>
  <si>
    <t>es</t>
  </si>
  <si>
    <t>pron.pper</t>
  </si>
  <si>
    <t>,</t>
  </si>
  <si>
    <t>dass</t>
  </si>
  <si>
    <t>ohne</t>
  </si>
  <si>
    <t>Angabe</t>
  </si>
  <si>
    <t>Gründen</t>
  </si>
  <si>
    <t>&amp;quot;</t>
  </si>
  <si>
    <t>die</t>
  </si>
  <si>
    <t>Entlassung</t>
  </si>
  <si>
    <t>Ivanovs</t>
  </si>
  <si>
    <t>Pflichten</t>
  </si>
  <si>
    <t>als</t>
  </si>
  <si>
    <t>Vorsitzender</t>
  </si>
  <si>
    <t>der</t>
  </si>
  <si>
    <t>russischen</t>
  </si>
  <si>
    <t>Präsidialverwaltung</t>
  </si>
  <si>
    <t>angeordnet</t>
  </si>
  <si>
    <t>habe</t>
  </si>
  <si>
    <t># text = Anton Vaino, der seit 2012 Ivanovs Stellvertreter war, wurde zu seinem Nachfolger ernannt.</t>
  </si>
  <si>
    <t>Anton</t>
  </si>
  <si>
    <t>Vaino</t>
  </si>
  <si>
    <t>SBJ_3</t>
  </si>
  <si>
    <t>pron</t>
  </si>
  <si>
    <t>seit</t>
  </si>
  <si>
    <t>2012</t>
  </si>
  <si>
    <t>Stellvertreter</t>
  </si>
  <si>
    <t>seinem</t>
  </si>
  <si>
    <t>Nachfolger</t>
  </si>
  <si>
    <t># text = Vaino, 44, ist ehemaliger Diplomat.</t>
  </si>
  <si>
    <t>44</t>
  </si>
  <si>
    <t>ist</t>
  </si>
  <si>
    <t>ehemaliger</t>
  </si>
  <si>
    <t>Diplomat</t>
  </si>
  <si>
    <t># text = 1972 in der estnischen Hauptstadt Tallinn geboren, machte er seinen Abschluss am renommierten Staatlichen Moskauer Institut für Internationale Beziehungen (MGIMO) und arbeitete in der Botschaft in Tokyo.</t>
  </si>
  <si>
    <t>1972</t>
  </si>
  <si>
    <t>in</t>
  </si>
  <si>
    <t>estnischen</t>
  </si>
  <si>
    <t>Hauptstadt</t>
  </si>
  <si>
    <t>Tallinn</t>
  </si>
  <si>
    <t>geboren</t>
  </si>
  <si>
    <t>machte</t>
  </si>
  <si>
    <t>er</t>
  </si>
  <si>
    <t>Abschluss</t>
  </si>
  <si>
    <t>OBJ</t>
  </si>
  <si>
    <t>an</t>
  </si>
  <si>
    <t>renommierten</t>
  </si>
  <si>
    <t>Staatlichen</t>
  </si>
  <si>
    <t>Moskauer</t>
  </si>
  <si>
    <t>Institut</t>
  </si>
  <si>
    <t>Internationale</t>
  </si>
  <si>
    <t>Beziehungen</t>
  </si>
  <si>
    <t>(</t>
  </si>
  <si>
    <t>MGIMO</t>
  </si>
  <si>
    <t>)</t>
  </si>
  <si>
    <t>arbeitete</t>
  </si>
  <si>
    <t>Botschaft</t>
  </si>
  <si>
    <t>Tokyo</t>
  </si>
  <si>
    <t># text = Auf der Website des Kreml heißt es (auf Russisch), dass er später Protokollchef und Stabsleiter des Regierungspersonals war.</t>
  </si>
  <si>
    <t>Auf</t>
  </si>
  <si>
    <t>Website</t>
  </si>
  <si>
    <t>heißt</t>
  </si>
  <si>
    <t>auf</t>
  </si>
  <si>
    <t>Russisch</t>
  </si>
  <si>
    <t>später</t>
  </si>
  <si>
    <t>Protokollchef</t>
  </si>
  <si>
    <t>Stabsleiter</t>
  </si>
  <si>
    <t>Regierungspersonals</t>
  </si>
  <si>
    <t># text = Über seine Ernennung sagte er zu Putin:"Danke für Ihr Vertrauen."</t>
  </si>
  <si>
    <t>Über</t>
  </si>
  <si>
    <t>seine</t>
  </si>
  <si>
    <t>Ernennung</t>
  </si>
  <si>
    <t>sagte</t>
  </si>
  <si>
    <t>:&amp;quot;</t>
  </si>
  <si>
    <t>Danke</t>
  </si>
  <si>
    <t>Ihr</t>
  </si>
  <si>
    <t>pron.ppos</t>
  </si>
  <si>
    <t>Vertrauen</t>
  </si>
  <si>
    <t># text = Ich denke, dass es die wichtigste Aufgabe der Regierung ist, Ihre Tätigkeit als Staatschef bezüglich Gesetzesentwürfen und Kontrollen zur Umsetzung Ihrer Anweisungen zu unterstützen.</t>
  </si>
  <si>
    <t>Ich</t>
  </si>
  <si>
    <t>denke</t>
  </si>
  <si>
    <t>wichtigste</t>
  </si>
  <si>
    <t>Aufgabe</t>
  </si>
  <si>
    <t>Regierung</t>
  </si>
  <si>
    <t>Ihre</t>
  </si>
  <si>
    <t>other_4</t>
  </si>
  <si>
    <t>Tätigkeit</t>
  </si>
  <si>
    <t>OBJ_3</t>
  </si>
  <si>
    <t>Staatschef</t>
  </si>
  <si>
    <t>other_5</t>
  </si>
  <si>
    <t>bezüglich</t>
  </si>
  <si>
    <t>Gesetzesentwürfen</t>
  </si>
  <si>
    <t>Kontrollen</t>
  </si>
  <si>
    <t>Umsetzung</t>
  </si>
  <si>
    <t>Ihrer</t>
  </si>
  <si>
    <t>other_6</t>
  </si>
  <si>
    <t>Anweisungen</t>
  </si>
  <si>
    <t>unterstützen</t>
  </si>
  <si>
    <t># text = Putin teilte dem russischen TV Sender am Freitag mit, dass Ivanov darum gebeten habe, seinen Posten zu verlassen und Vaino als seinen Nachfolger empfohlen habe.</t>
  </si>
  <si>
    <t>teilte</t>
  </si>
  <si>
    <t>TV</t>
  </si>
  <si>
    <t>OBJ_2</t>
  </si>
  <si>
    <t>Sender</t>
  </si>
  <si>
    <t>Freitag</t>
  </si>
  <si>
    <t>mit</t>
  </si>
  <si>
    <t>darum</t>
  </si>
  <si>
    <t>gebeten</t>
  </si>
  <si>
    <t>Posten</t>
  </si>
  <si>
    <t>verlassen</t>
  </si>
  <si>
    <t>empfohlen</t>
  </si>
  <si>
    <t># text = Überzeugen die lächelnden Gesichter?</t>
  </si>
  <si>
    <t>Überzeugen</t>
  </si>
  <si>
    <t>lächelnden</t>
  </si>
  <si>
    <t>Gesichter</t>
  </si>
  <si>
    <t>?</t>
  </si>
  <si>
    <t># text = Dieser Schritt hat Moskau geheimnisumwoben gemacht.</t>
  </si>
  <si>
    <t>Dieser</t>
  </si>
  <si>
    <t>pron.pds</t>
  </si>
  <si>
    <t>Schritt</t>
  </si>
  <si>
    <t>def-np.dem</t>
  </si>
  <si>
    <t>Moskau</t>
  </si>
  <si>
    <t>geheimnisumwoben</t>
  </si>
  <si>
    <t>gemacht</t>
  </si>
  <si>
    <t># text = Sergei Ivanov war lange Zeit einer der engsten Vertrauten Vladimir Putins und arbeitet wie er für den sowjetischen Geheimdienst, dem KGB.</t>
  </si>
  <si>
    <t>lange</t>
  </si>
  <si>
    <t>Zeit</t>
  </si>
  <si>
    <t>Vertrauten</t>
  </si>
  <si>
    <t>Putins</t>
  </si>
  <si>
    <t>arbeitet</t>
  </si>
  <si>
    <t>wie</t>
  </si>
  <si>
    <t>den</t>
  </si>
  <si>
    <t>sowjetischen</t>
  </si>
  <si>
    <t>Geheimdienst</t>
  </si>
  <si>
    <t>KGB</t>
  </si>
  <si>
    <t># text = Als Stabschef war er einer der mächtigsten Männer der Landes.</t>
  </si>
  <si>
    <t>Als</t>
  </si>
  <si>
    <t>mächtigsten</t>
  </si>
  <si>
    <t>Männer</t>
  </si>
  <si>
    <t>Landes</t>
  </si>
  <si>
    <t># text = Bei einem Treffen mit Präsident Putin, das im Fernsehen ausgestrahlt wurde, behaupteten beide Männer, dass der Stabschef auf eigenen Wunsch zurücktritt.</t>
  </si>
  <si>
    <t>Bei</t>
  </si>
  <si>
    <t>einem</t>
  </si>
  <si>
    <t>Treffen</t>
  </si>
  <si>
    <t>das</t>
  </si>
  <si>
    <t>Fernsehen</t>
  </si>
  <si>
    <t>ausgestrahlt</t>
  </si>
  <si>
    <t>behaupteten</t>
  </si>
  <si>
    <t>beide</t>
  </si>
  <si>
    <t>eigenen</t>
  </si>
  <si>
    <t>Wunsch</t>
  </si>
  <si>
    <t>zurücktritt</t>
  </si>
  <si>
    <t># text = Aber trotz des Lächelns für die Kameras, sind hier nur wenige davon überzeugt - vor allem jetzt, kurz vor den Parlamentswahlen.</t>
  </si>
  <si>
    <t>Aber</t>
  </si>
  <si>
    <t>trotz</t>
  </si>
  <si>
    <t>Lächelns</t>
  </si>
  <si>
    <t>Kameras</t>
  </si>
  <si>
    <t>sind</t>
  </si>
  <si>
    <t>hier</t>
  </si>
  <si>
    <t>nur</t>
  </si>
  <si>
    <t>wenige</t>
  </si>
  <si>
    <t>davon</t>
  </si>
  <si>
    <t>überzeugt</t>
  </si>
  <si>
    <t>vor</t>
  </si>
  <si>
    <t>allem</t>
  </si>
  <si>
    <t>jetzt</t>
  </si>
  <si>
    <t>kurz</t>
  </si>
  <si>
    <t>Parlamentswahlen</t>
  </si>
  <si>
    <t># text = Liegt hier also die Folge einer Art Machtkampf vor?</t>
  </si>
  <si>
    <t>Liegt</t>
  </si>
  <si>
    <t>also</t>
  </si>
  <si>
    <t>Folge</t>
  </si>
  <si>
    <t>Art</t>
  </si>
  <si>
    <t>Machtkampf</t>
  </si>
  <si>
    <t># text = Das weiß derzeit niemand.</t>
  </si>
  <si>
    <t>Das</t>
  </si>
  <si>
    <t>weiß</t>
  </si>
  <si>
    <t>derzeit</t>
  </si>
  <si>
    <t>niemand</t>
  </si>
  <si>
    <t># text = Aber die offizielle Behauptung - dass ein Mann, der einst als potenzieller Präsident angepriesen wurde, auf einmal die russische Umweltpolitik leiten möchte - stieß auf große Skepsis.</t>
  </si>
  <si>
    <t>offizielle</t>
  </si>
  <si>
    <t>ein</t>
  </si>
  <si>
    <t>Mann</t>
  </si>
  <si>
    <t>SBJ_4</t>
  </si>
  <si>
    <t>einst</t>
  </si>
  <si>
    <t>potenzieller</t>
  </si>
  <si>
    <t>angepriesen</t>
  </si>
  <si>
    <t>einmal</t>
  </si>
  <si>
    <t>Umweltpolitik</t>
  </si>
  <si>
    <t>leiten</t>
  </si>
  <si>
    <t>möchte</t>
  </si>
  <si>
    <t>stieß</t>
  </si>
  <si>
    <t>große</t>
  </si>
  <si>
    <t>Skepsis</t>
  </si>
  <si>
    <t># text = In seinen Bemerkungen an Putin, die auf der Website des Kreml zitiert werden, sagte Ivanov "es ist wahr, dass ich Sie Anfang 2012 in einem Gespräch gebeten habe, mir diesen sehr komplizierten Posten - man könnte beinahe sagen - beschwerlichen Posten vier Jahre lang anzuvertrauen.</t>
  </si>
  <si>
    <t>Bemerkungen</t>
  </si>
  <si>
    <t>zitiert</t>
  </si>
  <si>
    <t>wahr</t>
  </si>
  <si>
    <t>ich</t>
  </si>
  <si>
    <t>Sie</t>
  </si>
  <si>
    <t>Anfang</t>
  </si>
  <si>
    <t>Gespräch</t>
  </si>
  <si>
    <t>mir</t>
  </si>
  <si>
    <t>OBJ_4</t>
  </si>
  <si>
    <t>diesen</t>
  </si>
  <si>
    <t>sehr</t>
  </si>
  <si>
    <t>komplizierten</t>
  </si>
  <si>
    <t>man</t>
  </si>
  <si>
    <t>könnte</t>
  </si>
  <si>
    <t>beinahe</t>
  </si>
  <si>
    <t>beschwerlichen</t>
  </si>
  <si>
    <t>vier</t>
  </si>
  <si>
    <t>lang</t>
  </si>
  <si>
    <t>anzuvertrauen</t>
  </si>
  <si>
    <t># text = Wie es sich herausstellt, bin ich seit vier Jahren und acht Monaten Vorsitzender der russischen Präsidialverwaltung.</t>
  </si>
  <si>
    <t>Wie</t>
  </si>
  <si>
    <t>sich</t>
  </si>
  <si>
    <t>herausstellt</t>
  </si>
  <si>
    <t>bin</t>
  </si>
  <si>
    <t>Jahren</t>
  </si>
  <si>
    <t>acht</t>
  </si>
  <si>
    <t>Monaten</t>
  </si>
  <si>
    <t># text = Ivanov nahm den Posten im Dezember 2011 an.</t>
  </si>
  <si>
    <t>nahm</t>
  </si>
  <si>
    <t>Dezember</t>
  </si>
  <si>
    <t>2011</t>
  </si>
  <si>
    <t># text = Zuvor war er stellvertretender Ministerpräsident und Verteidigungsminister.</t>
  </si>
  <si>
    <t>Zuvor</t>
  </si>
  <si>
    <t>stellvertretender</t>
  </si>
  <si>
    <t>Ministerpräsident</t>
  </si>
  <si>
    <t>Verteidigungsminister</t>
  </si>
  <si>
    <t># text = Er ist Mitglied des russischen Sicherheitsrates und wie Putin ehemaliges Mitglied des Staatssicherheitsdienstes KGB.</t>
  </si>
  <si>
    <t>Er</t>
  </si>
  <si>
    <t>Mitglied</t>
  </si>
  <si>
    <t>Sicherheitsrates</t>
  </si>
  <si>
    <t>ehemaliges</t>
  </si>
  <si>
    <t>Staatssicherheitsdienstes</t>
  </si>
  <si>
    <t># text = In den späten 1990er Jahren, als Putin Vorsitzender des Bundessicherheitsdienstes (FSB) war, der den KGB ersetzte, wurde Ivanov zu seinem Stellvertreter ernannt.</t>
  </si>
  <si>
    <t>späten</t>
  </si>
  <si>
    <t>1990er</t>
  </si>
  <si>
    <t>Bundessicherheitsdienstes</t>
  </si>
  <si>
    <t>FSB</t>
  </si>
  <si>
    <t>ersetzte</t>
  </si>
  <si>
    <t># text = Als Putin an die Macht gelangte nannte er Ivanov als einen von fünf Leuten, denen er am meisten vertraute.</t>
  </si>
  <si>
    <t>Macht</t>
  </si>
  <si>
    <t>gelangte</t>
  </si>
  <si>
    <t>nannte</t>
  </si>
  <si>
    <t>einen</t>
  </si>
  <si>
    <t>fünf</t>
  </si>
  <si>
    <t>Leuten</t>
  </si>
  <si>
    <t>denen</t>
  </si>
  <si>
    <t>meisten</t>
  </si>
  <si>
    <t>vertraute</t>
  </si>
  <si>
    <t># text = Einst wurde angenommen, dass Ivanov nach Putins zweiter Amtszeit Präsident von Russland werden könnte, da eine dritte Amtszeit Putins gegen die Verfassung verstoßen hätte.</t>
  </si>
  <si>
    <t>Einst</t>
  </si>
  <si>
    <t>angenommen</t>
  </si>
  <si>
    <t>nach</t>
  </si>
  <si>
    <t>zweiter</t>
  </si>
  <si>
    <t>Amtszeit</t>
  </si>
  <si>
    <t>Russland</t>
  </si>
  <si>
    <t>da</t>
  </si>
  <si>
    <t>eine</t>
  </si>
  <si>
    <t>dritte</t>
  </si>
  <si>
    <t>gegen</t>
  </si>
  <si>
    <t>Verfassung</t>
  </si>
  <si>
    <t>verstoßen</t>
  </si>
  <si>
    <t>hätte</t>
  </si>
  <si>
    <t># text = Aber dieser Posten wurde von einem weiteren, nahestehenden Verbündeten Putins eingenommen, Dmitry Medvedev.</t>
  </si>
  <si>
    <t>dieser</t>
  </si>
  <si>
    <t>weiteren</t>
  </si>
  <si>
    <t>nahestehenden</t>
  </si>
  <si>
    <t>Verbündeten</t>
  </si>
  <si>
    <t>eingenommen</t>
  </si>
  <si>
    <t>Dmitry</t>
  </si>
  <si>
    <t>Medvedev</t>
  </si>
  <si>
    <t># text = Putin wurde Ministerpräsident, bevor er dreieinhalb Jahre später wieder zum Präsidenten wurde.</t>
  </si>
  <si>
    <t>bevor</t>
  </si>
  <si>
    <t>dreieinhalb</t>
  </si>
  <si>
    <t>wieder</t>
  </si>
  <si>
    <t>Präsidenten</t>
  </si>
  <si>
    <t>russland</t>
  </si>
  <si>
    <t>putin</t>
  </si>
  <si>
    <t>ivanov</t>
  </si>
  <si>
    <t>FAMILIAR</t>
  </si>
  <si>
    <t>UNIQUE</t>
  </si>
  <si>
    <t>PRED</t>
  </si>
  <si>
    <t>kreis_putin</t>
  </si>
  <si>
    <t>kreml</t>
  </si>
  <si>
    <t>praesidialverwaltung</t>
  </si>
  <si>
    <t>entlassung_ivanov</t>
  </si>
  <si>
    <t>kein auto ref</t>
  </si>
  <si>
    <t>anton_vaino</t>
  </si>
  <si>
    <t>BOUND</t>
  </si>
  <si>
    <t>tallinn</t>
  </si>
  <si>
    <t>abschluss_vaino</t>
  </si>
  <si>
    <t>botschaft</t>
  </si>
  <si>
    <t>tokyo</t>
  </si>
  <si>
    <t>website_kreml</t>
  </si>
  <si>
    <t>GEN</t>
  </si>
  <si>
    <t>regierungspersonal</t>
  </si>
  <si>
    <t>ernennung_vaino</t>
  </si>
  <si>
    <t>vertrauen_putin</t>
  </si>
  <si>
    <t>EXPL</t>
  </si>
  <si>
    <t>regierung</t>
  </si>
  <si>
    <t>tv_sender</t>
  </si>
  <si>
    <t>SIT</t>
  </si>
  <si>
    <t>freitag</t>
  </si>
  <si>
    <t>OLD</t>
  </si>
  <si>
    <t>moskau</t>
  </si>
  <si>
    <t>kgb</t>
  </si>
  <si>
    <t>mgimo</t>
  </si>
  <si>
    <t>artikel</t>
  </si>
  <si>
    <t>GROUP</t>
  </si>
  <si>
    <t>beide&gt;putin,ivanov</t>
  </si>
  <si>
    <t>IDIOM</t>
  </si>
  <si>
    <t>wahlen</t>
  </si>
  <si>
    <t>parser error</t>
  </si>
  <si>
    <t>umweltpolitik</t>
  </si>
  <si>
    <t>worte_ivanov</t>
  </si>
  <si>
    <t>dezember_2011</t>
  </si>
  <si>
    <t>sicherheitsrat</t>
  </si>
  <si>
    <t>spaete_90er</t>
  </si>
  <si>
    <t>fsb</t>
  </si>
  <si>
    <t>stellvertreter_putin</t>
  </si>
  <si>
    <t>zweite_amtszeit_putin</t>
  </si>
  <si>
    <t>dritte_amtszeit_putin</t>
  </si>
  <si>
    <t>verfassung</t>
  </si>
  <si>
    <t>medvedev</t>
  </si>
  <si>
    <t>FOCUS</t>
  </si>
  <si>
    <t>ACTIVATED</t>
  </si>
  <si>
    <t>beauftragter_umwelt</t>
  </si>
  <si>
    <t>pflichten_vorsitzender</t>
  </si>
  <si>
    <t>vorsitzender_praes</t>
  </si>
  <si>
    <t>Antezedens</t>
  </si>
  <si>
    <t>anweisungen_putin</t>
  </si>
  <si>
    <t>tun_putin</t>
  </si>
  <si>
    <t>aufgabe_unterstuetzung</t>
  </si>
  <si>
    <t>laecheln_putin_ivanov</t>
  </si>
  <si>
    <t>auch REF=ID entlassung_ivanov denkbar</t>
  </si>
  <si>
    <t>ACTIVATED, weil eines der lächelnden Gesichter</t>
  </si>
  <si>
    <t>folge_machtkampf</t>
  </si>
  <si>
    <t>vorliegen_folge</t>
  </si>
  <si>
    <t>off_behauptung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</si>
</sst>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workbookViewId="0">
      <pane xSplit="5" ySplit="1" topLeftCell="F2" activePane="bottomRight" state="frozen"/>
      <selection pane="topRight" activeCell="F1" sqref="F1"/>
      <selection pane="bottomLeft" activeCell="A2" sqref="A2"/>
      <selection pane="bottomRight" activeCell="E5" sqref="E5"/>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tr">
        <f t="shared" ref="G2:G32" si="0">IF(A2=1,"_",IF(C2="_","???",C2))</f>
        <v>???</v>
      </c>
      <c r="H2" s="10" t="s">
        <v>12</v>
      </c>
      <c r="I2" s="11" t="s">
        <v>12</v>
      </c>
      <c r="J2" s="12"/>
    </row>
    <row r="3" spans="1:10" ht="60" customHeight="1" x14ac:dyDescent="0.3">
      <c r="A3" s="6" t="s">
        <v>16</v>
      </c>
      <c r="B3" s="6" t="s">
        <v>17</v>
      </c>
      <c r="C3" s="6" t="s">
        <v>12</v>
      </c>
      <c r="D3" s="7" t="s">
        <v>18</v>
      </c>
      <c r="E3" s="8" t="s">
        <v>19</v>
      </c>
      <c r="F3" s="6" t="s">
        <v>20</v>
      </c>
      <c r="G3" s="9" t="str">
        <f t="shared" si="0"/>
        <v>???</v>
      </c>
      <c r="H3" s="10" t="s">
        <v>12</v>
      </c>
      <c r="I3" s="11" t="s">
        <v>12</v>
      </c>
      <c r="J3" s="12"/>
    </row>
    <row r="4" spans="1:10" ht="60" customHeight="1" x14ac:dyDescent="0.3">
      <c r="A4" s="6" t="s">
        <v>21</v>
      </c>
      <c r="B4" s="6" t="s">
        <v>16</v>
      </c>
      <c r="C4" s="6" t="s">
        <v>12</v>
      </c>
      <c r="D4" s="7" t="s">
        <v>22</v>
      </c>
      <c r="E4" s="8" t="s">
        <v>23</v>
      </c>
      <c r="F4" s="6" t="s">
        <v>24</v>
      </c>
      <c r="G4" s="9" t="str">
        <f t="shared" si="0"/>
        <v>???</v>
      </c>
      <c r="H4" s="10" t="s">
        <v>12</v>
      </c>
      <c r="I4" s="11" t="s">
        <v>12</v>
      </c>
      <c r="J4" s="12"/>
    </row>
    <row r="5" spans="1:10" ht="60" customHeight="1" x14ac:dyDescent="0.3">
      <c r="A5" s="6" t="s">
        <v>11</v>
      </c>
      <c r="B5" s="6" t="s">
        <v>25</v>
      </c>
      <c r="C5" s="6" t="s">
        <v>12</v>
      </c>
      <c r="D5" s="7" t="s">
        <v>26</v>
      </c>
      <c r="E5" s="8" t="s">
        <v>27</v>
      </c>
      <c r="F5" s="6" t="s">
        <v>28</v>
      </c>
      <c r="G5" s="9" t="str">
        <f t="shared" si="0"/>
        <v>???</v>
      </c>
      <c r="H5" s="10" t="s">
        <v>12</v>
      </c>
      <c r="I5" s="11" t="s">
        <v>12</v>
      </c>
      <c r="J5" s="12"/>
    </row>
    <row r="6" spans="1:10" ht="60" customHeight="1" x14ac:dyDescent="0.3">
      <c r="A6" s="6" t="s">
        <v>29</v>
      </c>
      <c r="B6" s="6" t="s">
        <v>17</v>
      </c>
      <c r="C6" s="6" t="s">
        <v>12</v>
      </c>
      <c r="D6" s="7" t="s">
        <v>30</v>
      </c>
      <c r="E6" s="8" t="s">
        <v>31</v>
      </c>
      <c r="F6" s="6" t="s">
        <v>32</v>
      </c>
      <c r="G6" s="9" t="str">
        <f t="shared" si="0"/>
        <v>???</v>
      </c>
      <c r="H6" s="10" t="s">
        <v>12</v>
      </c>
      <c r="I6" s="11" t="s">
        <v>12</v>
      </c>
      <c r="J6" s="12"/>
    </row>
    <row r="7" spans="1:10" ht="60" customHeight="1" x14ac:dyDescent="0.3">
      <c r="A7" s="6" t="s">
        <v>17</v>
      </c>
      <c r="B7" s="6" t="s">
        <v>33</v>
      </c>
      <c r="C7" s="6" t="s">
        <v>12</v>
      </c>
      <c r="D7" s="7" t="s">
        <v>26</v>
      </c>
      <c r="E7" s="8" t="s">
        <v>34</v>
      </c>
      <c r="F7" s="6" t="s">
        <v>35</v>
      </c>
      <c r="G7" s="9" t="str">
        <f t="shared" si="0"/>
        <v>???</v>
      </c>
      <c r="H7" s="10" t="s">
        <v>12</v>
      </c>
      <c r="I7" s="11" t="s">
        <v>12</v>
      </c>
      <c r="J7" s="12"/>
    </row>
    <row r="8" spans="1:10" ht="60" customHeight="1" x14ac:dyDescent="0.3">
      <c r="A8" s="6" t="s">
        <v>36</v>
      </c>
      <c r="B8" s="6" t="s">
        <v>29</v>
      </c>
      <c r="C8" s="6" t="s">
        <v>12</v>
      </c>
      <c r="D8" s="7" t="s">
        <v>37</v>
      </c>
      <c r="E8" s="8" t="s">
        <v>38</v>
      </c>
      <c r="F8" s="6" t="s">
        <v>39</v>
      </c>
      <c r="G8" s="9" t="str">
        <f t="shared" si="0"/>
        <v>???</v>
      </c>
      <c r="H8" s="10" t="s">
        <v>12</v>
      </c>
      <c r="I8" s="11" t="s">
        <v>12</v>
      </c>
      <c r="J8" s="12"/>
    </row>
    <row r="9" spans="1:10" ht="60" customHeight="1" x14ac:dyDescent="0.3">
      <c r="A9" s="6" t="s">
        <v>40</v>
      </c>
      <c r="B9" s="6" t="s">
        <v>41</v>
      </c>
      <c r="C9" s="6" t="s">
        <v>12</v>
      </c>
      <c r="D9" s="7" t="s">
        <v>42</v>
      </c>
      <c r="E9" s="8" t="s">
        <v>43</v>
      </c>
      <c r="F9" s="6" t="s">
        <v>44</v>
      </c>
      <c r="G9" s="9" t="str">
        <f t="shared" si="0"/>
        <v>???</v>
      </c>
      <c r="H9" s="10" t="s">
        <v>12</v>
      </c>
      <c r="I9" s="11" t="s">
        <v>12</v>
      </c>
      <c r="J9" s="12"/>
    </row>
    <row r="10" spans="1:10" ht="60" customHeight="1" x14ac:dyDescent="0.3">
      <c r="A10" s="6" t="s">
        <v>41</v>
      </c>
      <c r="B10" s="6" t="s">
        <v>17</v>
      </c>
      <c r="C10" s="6" t="s">
        <v>12</v>
      </c>
      <c r="D10" s="7" t="s">
        <v>45</v>
      </c>
      <c r="E10" s="8" t="s">
        <v>46</v>
      </c>
      <c r="F10" s="6" t="s">
        <v>47</v>
      </c>
      <c r="G10" s="9" t="str">
        <f t="shared" si="0"/>
        <v>???</v>
      </c>
      <c r="H10" s="10" t="s">
        <v>12</v>
      </c>
      <c r="I10" s="11" t="s">
        <v>12</v>
      </c>
      <c r="J10" s="12"/>
    </row>
    <row r="11" spans="1:10" ht="60" customHeight="1" x14ac:dyDescent="0.3">
      <c r="A11" s="6" t="s">
        <v>48</v>
      </c>
      <c r="B11" s="6" t="s">
        <v>11</v>
      </c>
      <c r="C11" s="6" t="s">
        <v>12</v>
      </c>
      <c r="D11" s="7" t="s">
        <v>49</v>
      </c>
      <c r="E11" s="8" t="s">
        <v>50</v>
      </c>
      <c r="F11" s="6" t="s">
        <v>51</v>
      </c>
      <c r="G11" s="9" t="str">
        <f t="shared" si="0"/>
        <v>???</v>
      </c>
      <c r="H11" s="10" t="s">
        <v>12</v>
      </c>
      <c r="I11" s="11" t="s">
        <v>12</v>
      </c>
      <c r="J11" s="12"/>
    </row>
    <row r="12" spans="1:10" ht="60" customHeight="1" x14ac:dyDescent="0.3">
      <c r="A12" s="6" t="s">
        <v>52</v>
      </c>
      <c r="B12" s="6" t="s">
        <v>16</v>
      </c>
      <c r="C12" s="6" t="s">
        <v>12</v>
      </c>
      <c r="D12" s="7" t="s">
        <v>53</v>
      </c>
      <c r="E12" s="8" t="s">
        <v>54</v>
      </c>
      <c r="F12" s="6" t="s">
        <v>55</v>
      </c>
      <c r="G12" s="9" t="str">
        <f t="shared" si="0"/>
        <v>???</v>
      </c>
      <c r="H12" s="10" t="s">
        <v>12</v>
      </c>
      <c r="I12" s="11" t="s">
        <v>12</v>
      </c>
      <c r="J12" s="12"/>
    </row>
    <row r="13" spans="1:10" ht="60" customHeight="1" x14ac:dyDescent="0.3">
      <c r="A13" s="6" t="s">
        <v>56</v>
      </c>
      <c r="B13" s="6" t="s">
        <v>16</v>
      </c>
      <c r="C13" s="6" t="s">
        <v>12</v>
      </c>
      <c r="D13" s="7" t="s">
        <v>57</v>
      </c>
      <c r="E13" s="8" t="s">
        <v>58</v>
      </c>
      <c r="F13" s="6" t="s">
        <v>59</v>
      </c>
      <c r="G13" s="9" t="str">
        <f t="shared" si="0"/>
        <v>???</v>
      </c>
      <c r="H13" s="10" t="s">
        <v>12</v>
      </c>
      <c r="I13" s="11" t="s">
        <v>12</v>
      </c>
      <c r="J13" s="12"/>
    </row>
    <row r="14" spans="1:10" ht="60" customHeight="1" x14ac:dyDescent="0.3">
      <c r="A14" s="6" t="s">
        <v>60</v>
      </c>
      <c r="B14" s="6" t="s">
        <v>10</v>
      </c>
      <c r="C14" s="6" t="s">
        <v>12</v>
      </c>
      <c r="D14" s="7" t="s">
        <v>61</v>
      </c>
      <c r="E14" s="8" t="s">
        <v>62</v>
      </c>
      <c r="F14" s="6" t="s">
        <v>63</v>
      </c>
      <c r="G14" s="9" t="str">
        <f t="shared" si="0"/>
        <v>???</v>
      </c>
      <c r="H14" s="10" t="s">
        <v>12</v>
      </c>
      <c r="I14" s="11" t="s">
        <v>12</v>
      </c>
      <c r="J14" s="12"/>
    </row>
    <row r="15" spans="1:10" ht="60" customHeight="1" x14ac:dyDescent="0.3">
      <c r="A15" s="6" t="s">
        <v>25</v>
      </c>
      <c r="B15" s="6" t="s">
        <v>17</v>
      </c>
      <c r="C15" s="6" t="s">
        <v>12</v>
      </c>
      <c r="D15" s="7" t="s">
        <v>42</v>
      </c>
      <c r="E15" s="8" t="s">
        <v>64</v>
      </c>
      <c r="F15" s="6" t="s">
        <v>65</v>
      </c>
      <c r="G15" s="9" t="str">
        <f t="shared" si="0"/>
        <v>???</v>
      </c>
      <c r="H15" s="10" t="s">
        <v>12</v>
      </c>
      <c r="I15" s="11" t="s">
        <v>12</v>
      </c>
      <c r="J15" s="12"/>
    </row>
    <row r="16" spans="1:10" ht="60" customHeight="1" x14ac:dyDescent="0.3">
      <c r="A16" s="6" t="s">
        <v>33</v>
      </c>
      <c r="B16" s="6" t="s">
        <v>21</v>
      </c>
      <c r="C16" s="6" t="s">
        <v>12</v>
      </c>
      <c r="D16" s="7" t="s">
        <v>66</v>
      </c>
      <c r="E16" s="8" t="s">
        <v>67</v>
      </c>
      <c r="F16" s="6" t="s">
        <v>68</v>
      </c>
      <c r="G16" s="9" t="str">
        <f t="shared" si="0"/>
        <v>???</v>
      </c>
      <c r="H16" s="10" t="s">
        <v>12</v>
      </c>
      <c r="I16" s="11" t="s">
        <v>12</v>
      </c>
      <c r="J16" s="12"/>
    </row>
    <row r="17" spans="1:10" ht="60" customHeight="1" x14ac:dyDescent="0.3">
      <c r="A17" s="6" t="s">
        <v>69</v>
      </c>
      <c r="B17" s="6" t="s">
        <v>21</v>
      </c>
      <c r="C17" s="6" t="s">
        <v>12</v>
      </c>
      <c r="D17" s="7" t="s">
        <v>70</v>
      </c>
      <c r="E17" s="8" t="s">
        <v>71</v>
      </c>
      <c r="F17" s="6" t="s">
        <v>72</v>
      </c>
      <c r="G17" s="9" t="str">
        <f t="shared" si="0"/>
        <v>???</v>
      </c>
      <c r="H17" s="10" t="s">
        <v>12</v>
      </c>
      <c r="I17" s="11" t="s">
        <v>12</v>
      </c>
      <c r="J17" s="12"/>
    </row>
    <row r="18" spans="1:10" ht="60" customHeight="1" x14ac:dyDescent="0.3">
      <c r="A18" s="6" t="s">
        <v>73</v>
      </c>
      <c r="B18" s="6" t="s">
        <v>33</v>
      </c>
      <c r="C18" s="6" t="s">
        <v>12</v>
      </c>
      <c r="D18" s="7" t="s">
        <v>74</v>
      </c>
      <c r="E18" s="8" t="s">
        <v>75</v>
      </c>
      <c r="F18" s="6" t="s">
        <v>76</v>
      </c>
      <c r="G18" s="9" t="str">
        <f t="shared" si="0"/>
        <v>???</v>
      </c>
      <c r="H18" s="10" t="s">
        <v>12</v>
      </c>
      <c r="I18" s="11" t="s">
        <v>12</v>
      </c>
      <c r="J18" s="12"/>
    </row>
    <row r="19" spans="1:10" ht="60" customHeight="1" x14ac:dyDescent="0.3">
      <c r="A19" s="6" t="s">
        <v>77</v>
      </c>
      <c r="B19" s="6" t="s">
        <v>41</v>
      </c>
      <c r="C19" s="6" t="s">
        <v>12</v>
      </c>
      <c r="D19" s="7" t="s">
        <v>78</v>
      </c>
      <c r="E19" s="8" t="s">
        <v>79</v>
      </c>
      <c r="F19" s="6" t="s">
        <v>80</v>
      </c>
      <c r="G19" s="9" t="str">
        <f t="shared" si="0"/>
        <v>???</v>
      </c>
      <c r="H19" s="10" t="s">
        <v>12</v>
      </c>
      <c r="I19" s="11" t="s">
        <v>12</v>
      </c>
      <c r="J19" s="12"/>
    </row>
    <row r="20" spans="1:10" ht="60" customHeight="1" x14ac:dyDescent="0.3">
      <c r="A20" s="6" t="s">
        <v>81</v>
      </c>
      <c r="B20" s="6" t="s">
        <v>10</v>
      </c>
      <c r="C20" s="6" t="s">
        <v>12</v>
      </c>
      <c r="D20" s="7" t="s">
        <v>82</v>
      </c>
      <c r="E20" s="8" t="s">
        <v>83</v>
      </c>
      <c r="F20" s="6" t="s">
        <v>84</v>
      </c>
      <c r="G20" s="9" t="str">
        <f t="shared" si="0"/>
        <v>???</v>
      </c>
      <c r="H20" s="10" t="s">
        <v>12</v>
      </c>
      <c r="I20" s="11" t="s">
        <v>12</v>
      </c>
      <c r="J20" s="12"/>
    </row>
    <row r="21" spans="1:10" ht="60" customHeight="1" x14ac:dyDescent="0.3">
      <c r="A21" s="6" t="s">
        <v>85</v>
      </c>
      <c r="B21" s="6" t="s">
        <v>11</v>
      </c>
      <c r="C21" s="6" t="s">
        <v>12</v>
      </c>
      <c r="D21" s="7" t="s">
        <v>86</v>
      </c>
      <c r="E21" s="8" t="s">
        <v>87</v>
      </c>
      <c r="F21" s="6" t="s">
        <v>88</v>
      </c>
      <c r="G21" s="9" t="str">
        <f t="shared" si="0"/>
        <v>???</v>
      </c>
      <c r="H21" s="10" t="s">
        <v>12</v>
      </c>
      <c r="I21" s="11" t="s">
        <v>12</v>
      </c>
      <c r="J21" s="12"/>
    </row>
    <row r="22" spans="1:10" ht="60" customHeight="1" x14ac:dyDescent="0.3">
      <c r="A22" s="6" t="s">
        <v>89</v>
      </c>
      <c r="B22" s="6" t="s">
        <v>11</v>
      </c>
      <c r="C22" s="6" t="s">
        <v>12</v>
      </c>
      <c r="D22" s="7" t="s">
        <v>90</v>
      </c>
      <c r="E22" s="8" t="s">
        <v>91</v>
      </c>
      <c r="F22" s="6" t="s">
        <v>92</v>
      </c>
      <c r="G22" s="9" t="str">
        <f t="shared" si="0"/>
        <v>???</v>
      </c>
      <c r="H22" s="10" t="s">
        <v>12</v>
      </c>
      <c r="I22" s="11" t="s">
        <v>12</v>
      </c>
      <c r="J22" s="12"/>
    </row>
    <row r="23" spans="1:10" ht="60" customHeight="1" x14ac:dyDescent="0.3">
      <c r="A23" s="6" t="s">
        <v>93</v>
      </c>
      <c r="B23" s="6" t="s">
        <v>69</v>
      </c>
      <c r="C23" s="6" t="s">
        <v>12</v>
      </c>
      <c r="D23" s="7" t="s">
        <v>49</v>
      </c>
      <c r="E23" s="8" t="s">
        <v>94</v>
      </c>
      <c r="F23" s="6" t="s">
        <v>95</v>
      </c>
      <c r="G23" s="9" t="str">
        <f t="shared" si="0"/>
        <v>???</v>
      </c>
      <c r="H23" s="10" t="s">
        <v>12</v>
      </c>
      <c r="I23" s="11" t="s">
        <v>12</v>
      </c>
      <c r="J23" s="12"/>
    </row>
    <row r="24" spans="1:10" ht="60" customHeight="1" x14ac:dyDescent="0.3">
      <c r="A24" s="6" t="s">
        <v>96</v>
      </c>
      <c r="B24" s="6" t="s">
        <v>17</v>
      </c>
      <c r="C24" s="6" t="s">
        <v>12</v>
      </c>
      <c r="D24" s="7" t="s">
        <v>97</v>
      </c>
      <c r="E24" s="8" t="s">
        <v>98</v>
      </c>
      <c r="F24" s="6" t="s">
        <v>99</v>
      </c>
      <c r="G24" s="9" t="str">
        <f t="shared" si="0"/>
        <v>???</v>
      </c>
      <c r="H24" s="10" t="s">
        <v>12</v>
      </c>
      <c r="I24" s="11" t="s">
        <v>12</v>
      </c>
      <c r="J24" s="12"/>
    </row>
    <row r="25" spans="1:10" ht="60" customHeight="1" x14ac:dyDescent="0.3">
      <c r="A25" s="6" t="s">
        <v>100</v>
      </c>
      <c r="B25" s="6" t="s">
        <v>16</v>
      </c>
      <c r="C25" s="6" t="s">
        <v>12</v>
      </c>
      <c r="D25" s="7" t="s">
        <v>101</v>
      </c>
      <c r="E25" s="8" t="s">
        <v>102</v>
      </c>
      <c r="F25" s="6" t="s">
        <v>103</v>
      </c>
      <c r="G25" s="9" t="str">
        <f t="shared" si="0"/>
        <v>???</v>
      </c>
      <c r="H25" s="10" t="s">
        <v>12</v>
      </c>
      <c r="I25" s="11" t="s">
        <v>12</v>
      </c>
      <c r="J25" s="12"/>
    </row>
    <row r="26" spans="1:10" ht="60" customHeight="1" x14ac:dyDescent="0.3">
      <c r="A26" s="6" t="s">
        <v>104</v>
      </c>
      <c r="B26" s="6" t="s">
        <v>16</v>
      </c>
      <c r="C26" s="6" t="s">
        <v>12</v>
      </c>
      <c r="D26" s="7" t="s">
        <v>105</v>
      </c>
      <c r="E26" s="8" t="s">
        <v>106</v>
      </c>
      <c r="F26" s="6" t="s">
        <v>107</v>
      </c>
      <c r="G26" s="9" t="str">
        <f t="shared" si="0"/>
        <v>???</v>
      </c>
      <c r="H26" s="10" t="s">
        <v>12</v>
      </c>
      <c r="I26" s="11" t="s">
        <v>12</v>
      </c>
      <c r="J26" s="12"/>
    </row>
    <row r="27" spans="1:10" ht="60" customHeight="1" x14ac:dyDescent="0.3">
      <c r="A27" s="6" t="s">
        <v>108</v>
      </c>
      <c r="B27" s="6" t="s">
        <v>16</v>
      </c>
      <c r="C27" s="6" t="s">
        <v>12</v>
      </c>
      <c r="D27" s="7" t="s">
        <v>109</v>
      </c>
      <c r="E27" s="8" t="s">
        <v>110</v>
      </c>
      <c r="F27" s="6" t="s">
        <v>111</v>
      </c>
      <c r="G27" s="9" t="str">
        <f t="shared" si="0"/>
        <v>???</v>
      </c>
      <c r="H27" s="10" t="s">
        <v>12</v>
      </c>
      <c r="I27" s="11" t="s">
        <v>12</v>
      </c>
      <c r="J27" s="12"/>
    </row>
    <row r="28" spans="1:10" ht="60" customHeight="1" x14ac:dyDescent="0.3">
      <c r="A28" s="6" t="s">
        <v>112</v>
      </c>
      <c r="B28" s="6" t="s">
        <v>112</v>
      </c>
      <c r="C28" s="6" t="s">
        <v>12</v>
      </c>
      <c r="D28" s="7" t="s">
        <v>26</v>
      </c>
      <c r="E28" s="8" t="s">
        <v>113</v>
      </c>
      <c r="F28" s="6" t="s">
        <v>114</v>
      </c>
      <c r="G28" s="9" t="str">
        <f t="shared" si="0"/>
        <v>???</v>
      </c>
      <c r="H28" s="10" t="s">
        <v>12</v>
      </c>
      <c r="I28" s="11" t="s">
        <v>12</v>
      </c>
      <c r="J28" s="12"/>
    </row>
    <row r="29" spans="1:10" ht="60" customHeight="1" x14ac:dyDescent="0.3">
      <c r="A29" s="6" t="s">
        <v>115</v>
      </c>
      <c r="B29" s="6" t="s">
        <v>36</v>
      </c>
      <c r="C29" s="6" t="s">
        <v>12</v>
      </c>
      <c r="D29" s="7" t="s">
        <v>116</v>
      </c>
      <c r="E29" s="8" t="s">
        <v>117</v>
      </c>
      <c r="F29" s="6" t="s">
        <v>118</v>
      </c>
      <c r="G29" s="9" t="str">
        <f t="shared" si="0"/>
        <v>???</v>
      </c>
      <c r="H29" s="10" t="s">
        <v>12</v>
      </c>
      <c r="I29" s="11" t="s">
        <v>12</v>
      </c>
      <c r="J29" s="12"/>
    </row>
    <row r="30" spans="1:10" ht="60" customHeight="1" x14ac:dyDescent="0.3">
      <c r="A30" s="6" t="s">
        <v>119</v>
      </c>
      <c r="B30" s="6" t="s">
        <v>21</v>
      </c>
      <c r="C30" s="6" t="s">
        <v>12</v>
      </c>
      <c r="D30" s="7" t="s">
        <v>120</v>
      </c>
      <c r="E30" s="8" t="s">
        <v>121</v>
      </c>
      <c r="F30" s="6" t="s">
        <v>122</v>
      </c>
      <c r="G30" s="9" t="str">
        <f t="shared" si="0"/>
        <v>???</v>
      </c>
      <c r="H30" s="10" t="s">
        <v>12</v>
      </c>
      <c r="I30" s="11" t="s">
        <v>12</v>
      </c>
      <c r="J30" s="12"/>
    </row>
    <row r="31" spans="1:10" ht="60" customHeight="1" x14ac:dyDescent="0.3">
      <c r="A31" s="6" t="s">
        <v>123</v>
      </c>
      <c r="B31" s="6" t="s">
        <v>56</v>
      </c>
      <c r="C31" s="6" t="s">
        <v>12</v>
      </c>
      <c r="D31" s="7" t="s">
        <v>124</v>
      </c>
      <c r="E31" s="8" t="s">
        <v>125</v>
      </c>
      <c r="F31" s="6" t="s">
        <v>126</v>
      </c>
      <c r="G31" s="9" t="str">
        <f t="shared" si="0"/>
        <v>???</v>
      </c>
      <c r="H31" s="10" t="s">
        <v>12</v>
      </c>
      <c r="I31" s="11" t="s">
        <v>12</v>
      </c>
      <c r="J31" s="12"/>
    </row>
    <row r="32" spans="1:10" ht="60" customHeight="1" x14ac:dyDescent="0.3">
      <c r="A32" s="6" t="s">
        <v>127</v>
      </c>
      <c r="B32" s="6" t="s">
        <v>16</v>
      </c>
      <c r="C32" s="6" t="s">
        <v>12</v>
      </c>
      <c r="D32" s="7" t="s">
        <v>128</v>
      </c>
      <c r="E32" s="8" t="s">
        <v>129</v>
      </c>
      <c r="F32" s="6" t="s">
        <v>130</v>
      </c>
      <c r="G32" s="9" t="str">
        <f t="shared" si="0"/>
        <v>???</v>
      </c>
      <c r="H32" s="10" t="s">
        <v>12</v>
      </c>
      <c r="I32" s="11" t="s">
        <v>12</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40"/>
  <sheetViews>
    <sheetView tabSelected="1" workbookViewId="0">
      <pane xSplit="1" ySplit="1" topLeftCell="C2" activePane="bottomRight" state="frozen"/>
      <selection pane="topRight" activeCell="B1" sqref="B1"/>
      <selection pane="bottomLeft" activeCell="A2" sqref="A2"/>
      <selection pane="bottomRight" activeCell="L4" sqref="L4"/>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131</v>
      </c>
      <c r="B1" s="13" t="s">
        <v>132</v>
      </c>
      <c r="C1" s="13" t="s">
        <v>133</v>
      </c>
      <c r="D1" s="13" t="s">
        <v>134</v>
      </c>
      <c r="E1" s="14" t="s">
        <v>135</v>
      </c>
      <c r="F1" s="15" t="s">
        <v>136</v>
      </c>
      <c r="G1" s="16" t="s">
        <v>137</v>
      </c>
      <c r="H1" s="17" t="s">
        <v>138</v>
      </c>
      <c r="I1" s="18" t="s">
        <v>139</v>
      </c>
      <c r="J1" s="18" t="s">
        <v>140</v>
      </c>
      <c r="K1" s="18" t="s">
        <v>141</v>
      </c>
      <c r="L1" s="19" t="s">
        <v>9</v>
      </c>
    </row>
    <row r="2" spans="1:12" x14ac:dyDescent="0.3">
      <c r="A2" t="s">
        <v>142</v>
      </c>
    </row>
    <row r="3" spans="1:12" x14ac:dyDescent="0.3">
      <c r="A3" t="s">
        <v>143</v>
      </c>
      <c r="B3" s="20" t="s">
        <v>144</v>
      </c>
      <c r="C3" s="20" t="s">
        <v>145</v>
      </c>
      <c r="D3" s="20" t="s">
        <v>146</v>
      </c>
      <c r="E3" s="21" t="s">
        <v>479</v>
      </c>
      <c r="F3" s="22" t="str">
        <f>IF(OR(E3="",E3="!!!"),"",IF(NOT(ISNA(VLOOKUP(E3,E$1:E2,1,FALSE()))),"OLD",IF(AND(E3&lt;&gt;"",E3&lt;&gt;"!!!"),"NEW","")))</f>
        <v>NEW</v>
      </c>
      <c r="G3" s="23" t="s">
        <v>482</v>
      </c>
      <c r="H3" s="24" t="str">
        <f t="shared" ref="H3:H8" ca="1" si="0">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row>
    <row r="4" spans="1:12" x14ac:dyDescent="0.3">
      <c r="A4" t="s">
        <v>147</v>
      </c>
      <c r="E4" s="21" t="s">
        <v>480</v>
      </c>
      <c r="F4" s="22" t="str">
        <f>IF(OR(E4="",E4="!!!"),"",IF(NOT(ISNA(VLOOKUP(E4,E$1:E3,1,FALSE()))),"OLD",IF(AND(E4&lt;&gt;"",E4&lt;&gt;"!!!"),"NEW","")))</f>
        <v>NEW</v>
      </c>
      <c r="G4" s="23" t="s">
        <v>482</v>
      </c>
      <c r="H4" s="24" t="str">
        <f t="shared" ca="1" si="0"/>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148</v>
      </c>
      <c r="E5" s="21" t="str">
        <f t="shared" ref="E3:E8" si="1">IF(D5="?OLD","!!!","")</f>
        <v/>
      </c>
      <c r="F5" s="22" t="str">
        <f>IF(OR(E5="",E5="!!!"),"",IF(NOT(ISNA(VLOOKUP(E5,E$1:E4,1,FALSE()))),"OLD",IF(AND(E5&lt;&gt;"",E5&lt;&gt;"!!!"),"NEW","")))</f>
        <v/>
      </c>
      <c r="G5" s="23" t="str">
        <f>IF(OR(E5="",E5="!!!"),"",IF(OR(J5=0,AND(J5=1,K5=1),AND(J5=1,I5="SBJ"),AND(J5=1,I5=0)),"?IN_FOCUS",IF(J5&lt;=2,"?ACTIVATED",IF(J5&lt;&gt;"","?FAMILIAR",IF(F5="NEW",IF(ISNA(VLOOKUP(E5,#REF!,1,FALSE())),"?TYPE_IDENTIFIABLE","?REFERENTIAL"),"_")))))</f>
        <v/>
      </c>
      <c r="H5" s="24" t="str">
        <f t="shared" ca="1" si="0"/>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13</v>
      </c>
      <c r="B6" s="20" t="s">
        <v>149</v>
      </c>
      <c r="C6" s="20" t="s">
        <v>150</v>
      </c>
      <c r="E6" s="21" t="str">
        <f t="shared" si="1"/>
        <v/>
      </c>
      <c r="F6" s="22" t="str">
        <f>IF(OR(E6="",E6="!!!"),"",IF(NOT(ISNA(VLOOKUP(E6,E$1:E5,1,FALSE()))),"OLD",IF(AND(E6&lt;&gt;"",E6&lt;&gt;"!!!"),"NEW","")))</f>
        <v/>
      </c>
      <c r="G6" s="23" t="str">
        <f>IF(OR(E6="",E6="!!!"),"",IF(OR(J6=0,AND(J6=1,K6=1),AND(J6=1,I6="SBJ"),AND(J6=1,I6=0)),"?IN_FOCUS",IF(J6&lt;=2,"?ACTIVATED",IF(J6&lt;&gt;"","?FAMILIAR",IF(F6="NEW",IF(ISNA(VLOOKUP(E6,#REF!,1,FALSE())),"?TYPE_IDENTIFIABLE","?REFERENTIAL"),"_")))))</f>
        <v/>
      </c>
      <c r="H6" s="24" t="str">
        <f t="shared" ca="1" si="0"/>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151</v>
      </c>
      <c r="B7" s="20" t="s">
        <v>149</v>
      </c>
      <c r="C7" s="20" t="s">
        <v>145</v>
      </c>
      <c r="D7" s="20" t="s">
        <v>146</v>
      </c>
      <c r="E7" s="21" t="s">
        <v>481</v>
      </c>
      <c r="F7" s="22" t="str">
        <f>IF(OR(E7="",E7="!!!"),"",IF(NOT(ISNA(VLOOKUP(E7,E$1:E6,1,FALSE()))),"OLD",IF(AND(E7&lt;&gt;"",E7&lt;&gt;"!!!"),"NEW","")))</f>
        <v>NEW</v>
      </c>
      <c r="G7" s="23" t="s">
        <v>483</v>
      </c>
      <c r="H7" s="24" t="str">
        <f t="shared" ca="1" si="0"/>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row>
    <row r="8" spans="1:12" x14ac:dyDescent="0.3">
      <c r="A8" t="s">
        <v>152</v>
      </c>
      <c r="E8" s="21" t="str">
        <f t="shared" si="1"/>
        <v/>
      </c>
      <c r="F8" s="22" t="str">
        <f>IF(OR(E8="",E8="!!!"),"",IF(NOT(ISNA(VLOOKUP(E8,E$1:E7,1,FALSE()))),"OLD",IF(AND(E8&lt;&gt;"",E8&lt;&gt;"!!!"),"NEW","")))</f>
        <v/>
      </c>
      <c r="G8" s="23" t="str">
        <f>IF(OR(E8="",E8="!!!"),"",IF(OR(J8=0,AND(J8=1,K8=1),AND(J8=1,I8="SBJ"),AND(J8=1,I8=0)),"?IN_FOCUS",IF(J8&lt;=2,"?ACTIVATED",IF(J8&lt;&gt;"","?FAMILIAR",IF(F8="NEW",IF(ISNA(VLOOKUP(E8,#REF!,1,FALSE())),"?TYPE_IDENTIFIABLE","?REFERENTIAL"),"_")))))</f>
        <v/>
      </c>
      <c r="H8" s="24" t="str">
        <f t="shared" ca="1" si="0"/>
        <v/>
      </c>
      <c r="I8" s="25" t="str">
        <f>IF(OR(E8="",E8="!!!",F8="NEW"),"",INDEX(B$2:B7,-1+SUMPRODUCT(MAX(ROW(E$2:E7)*(E8=E$2:E7)))))</f>
        <v/>
      </c>
      <c r="J8" s="25" t="str">
        <f ca="1">IF(OR(E8="",E8="!!!",F8="NEW"),"",COUNTBLANK(OFFSET(A$1,,,SUMPRODUCT(MAX(ROW(E$2:E8)*(E8=E$2:E8)))))-COUNTBLANK(OFFSET(A$1,,,SUMPRODUCT(MAX(ROW(E$1:E7)*(E2=E$1:E7))))))</f>
        <v/>
      </c>
      <c r="K8" s="25" t="str">
        <f>IF(OR(E8="",E8="!!!",F8="NEW"),"",INDEX(J$1:J7,SUMPRODUCT(MAX(ROW(E$1:E7)*(E8=E$1:E7)))))</f>
        <v/>
      </c>
      <c r="L8" s="26"/>
    </row>
    <row r="10" spans="1:12" x14ac:dyDescent="0.3">
      <c r="A10" t="s">
        <v>153</v>
      </c>
    </row>
    <row r="11" spans="1:12" x14ac:dyDescent="0.3">
      <c r="A11" t="s">
        <v>154</v>
      </c>
      <c r="E11" s="21" t="str">
        <f t="shared" ref="E11:E23" si="2">IF(D11="?OLD","!!!","")</f>
        <v/>
      </c>
      <c r="F11" s="22" t="str">
        <f>IF(OR(E11="",E11="!!!"),"",IF(NOT(ISNA(VLOOKUP(E11,E$1:E10,1,FALSE()))),"OLD",IF(AND(E11&lt;&gt;"",E11&lt;&gt;"!!!"),"NEW","")))</f>
        <v/>
      </c>
      <c r="G11" s="23" t="str">
        <f>IF(OR(E11="",E11="!!!"),"",IF(OR(J11=0,AND(J11=1,K11=1),AND(J11=1,I11="SBJ"),AND(J11=1,I11=0)),"?IN_FOCUS",IF(J11&lt;=2,"?ACTIVATED",IF(J11&lt;&gt;"","?FAMILIAR",IF(F11="NEW",IF(ISNA(VLOOKUP(E11,#REF!,1,FALSE())),"?TYPE_IDENTIFIABLE","?REFERENTIAL"),"_")))))</f>
        <v/>
      </c>
      <c r="H11" s="24" t="str">
        <f t="shared" ref="H11:H23" ca="1" si="3">IF(J11&lt;&gt;1,"",IF(I11="SBJ","CB","?"))</f>
        <v/>
      </c>
      <c r="I11" s="25" t="str">
        <f>IF(OR(E11="",E11="!!!",F11="NEW"),"",INDEX(B$2:B10,-1+SUMPRODUCT(MAX(ROW(E$2:E10)*(E11=E$2:E10)))))</f>
        <v/>
      </c>
      <c r="J11" s="25" t="str">
        <f ca="1">IF(OR(E11="",E11="!!!",F11="NEW"),"",COUNTBLANK(OFFSET(A$1,,,SUMPRODUCT(MAX(ROW(E$2:E11)*(E11=E$2:E11)))))-COUNTBLANK(OFFSET(A$1,,,SUMPRODUCT(MAX(ROW(E$1:E10)*(E2=E$1:E10))))))</f>
        <v/>
      </c>
      <c r="K11" s="25" t="str">
        <f>IF(OR(E11="",E11="!!!",F11="NEW"),"",INDEX(J$1:J10,SUMPRODUCT(MAX(ROW(E$1:E10)*(E11=E$1:E10)))))</f>
        <v/>
      </c>
      <c r="L11" s="26"/>
    </row>
    <row r="12" spans="1:12" x14ac:dyDescent="0.3">
      <c r="A12" t="s">
        <v>155</v>
      </c>
      <c r="E12" s="21" t="str">
        <f t="shared" si="2"/>
        <v/>
      </c>
      <c r="F12" s="22" t="str">
        <f>IF(OR(E12="",E12="!!!"),"",IF(NOT(ISNA(VLOOKUP(E12,E$1:E11,1,FALSE()))),"OLD",IF(AND(E12&lt;&gt;"",E12&lt;&gt;"!!!"),"NEW","")))</f>
        <v/>
      </c>
      <c r="G12" s="23" t="str">
        <f>IF(OR(E12="",E12="!!!"),"",IF(OR(J12=0,AND(J12=1,K12=1),AND(J12=1,I12="SBJ"),AND(J12=1,I12=0)),"?IN_FOCUS",IF(J12&lt;=2,"?ACTIVATED",IF(J12&lt;&gt;"","?FAMILIAR",IF(F12="NEW",IF(ISNA(VLOOKUP(E12,#REF!,1,FALSE())),"?TYPE_IDENTIFIABLE","?REFERENTIAL"),"_")))))</f>
        <v/>
      </c>
      <c r="H12" s="24" t="str">
        <f t="shared" ca="1" si="3"/>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3" spans="1:12" x14ac:dyDescent="0.3">
      <c r="A13" t="s">
        <v>156</v>
      </c>
      <c r="B13" s="20" t="s">
        <v>157</v>
      </c>
      <c r="C13" s="20" t="s">
        <v>158</v>
      </c>
      <c r="D13" s="20" t="s">
        <v>146</v>
      </c>
      <c r="E13" s="21"/>
      <c r="F13" s="22" t="s">
        <v>484</v>
      </c>
      <c r="G13" s="23" t="str">
        <f>IF(OR(E13="",E13="!!!"),"",IF(OR(J13=0,AND(J13=1,K13=1),AND(J13=1,I13="SBJ"),AND(J13=1,I13=0)),"?IN_FOCUS",IF(J13&lt;=2,"?ACTIVATED",IF(J13&lt;&gt;"","?FAMILIAR",IF(F13="NEW",IF(ISNA(VLOOKUP(E13,#REF!,1,FALSE())),"?TYPE_IDENTIFIABLE","?REFERENTIAL"),"_")))))</f>
        <v/>
      </c>
      <c r="H13" s="24" t="str">
        <f t="shared" ca="1" si="3"/>
        <v/>
      </c>
      <c r="I13" s="25" t="str">
        <f>IF(OR(E13="",E13="!!!",F13="NEW"),"",INDEX(B$2:B12,-1+SUMPRODUCT(MAX(ROW(E$2:E12)*(E13=E$2:E12)))))</f>
        <v/>
      </c>
      <c r="J13" s="25" t="str">
        <f ca="1">IF(OR(E13="",E13="!!!",F13="NEW"),"",COUNTBLANK(OFFSET(A$1,,,SUMPRODUCT(MAX(ROW(E$2:E13)*(E13=E$2:E13)))))-COUNTBLANK(OFFSET(A$1,,,SUMPRODUCT(MAX(ROW(E$1:E12)*(E2=E$1:E12))))))</f>
        <v/>
      </c>
      <c r="K13" s="25" t="str">
        <f>IF(OR(E13="",E13="!!!",F13="NEW"),"",INDEX(J$1:J12,SUMPRODUCT(MAX(ROW(E$1:E12)*(E13=E$1:E12)))))</f>
        <v/>
      </c>
      <c r="L13" s="26"/>
    </row>
    <row r="14" spans="1:12" x14ac:dyDescent="0.3">
      <c r="A14" t="s">
        <v>159</v>
      </c>
      <c r="B14" s="20" t="s">
        <v>144</v>
      </c>
      <c r="C14" s="20" t="s">
        <v>145</v>
      </c>
      <c r="D14" s="20" t="s">
        <v>146</v>
      </c>
      <c r="E14" s="21" t="s">
        <v>480</v>
      </c>
      <c r="F14" s="22" t="str">
        <f>IF(OR(E14="",E14="!!!"),"",IF(NOT(ISNA(VLOOKUP(E14,E$1:E13,1,FALSE()))),"OLD",IF(AND(E14&lt;&gt;"",E14&lt;&gt;"!!!"),"NEW","")))</f>
        <v>OLD</v>
      </c>
      <c r="G14" s="23" t="s">
        <v>527</v>
      </c>
      <c r="H14" s="24" t="s">
        <v>138</v>
      </c>
      <c r="I14" s="25">
        <f>IF(OR(E14="",E14="!!!",F14="NEW"),"",INDEX(B$2:B13,-1+SUMPRODUCT(MAX(ROW(E$2:E13)*(E14=E$2:E13)))))</f>
        <v>0</v>
      </c>
      <c r="J14" s="25">
        <f ca="1">IF(OR(E14="",E14="!!!",F14="NEW"),"",COUNTBLANK(OFFSET(A$1,,,SUMPRODUCT(MAX(ROW(E$2:E14)*(E14=E$2:E14)))))-COUNTBLANK(OFFSET(A$1,,,SUMPRODUCT(MAX(ROW(E$1:E13)*(E2=E$1:E13))))))</f>
        <v>0</v>
      </c>
      <c r="K14" s="25" t="str">
        <f ca="1">IF(OR(E14="",E14="!!!",F14="NEW"),"",INDEX(J$1:J13,SUMPRODUCT(MAX(ROW(E$1:E13)*(E14=E$1:E13)))))</f>
        <v/>
      </c>
      <c r="L14" s="26"/>
    </row>
    <row r="15" spans="1:12" x14ac:dyDescent="0.3">
      <c r="A15" t="s">
        <v>147</v>
      </c>
      <c r="E15" s="21" t="str">
        <f t="shared" si="2"/>
        <v/>
      </c>
      <c r="F15" s="22" t="str">
        <f>IF(OR(E15="",E15="!!!"),"",IF(NOT(ISNA(VLOOKUP(E15,E$1:E14,1,FALSE()))),"OLD",IF(AND(E15&lt;&gt;"",E15&lt;&gt;"!!!"),"NEW","")))</f>
        <v/>
      </c>
      <c r="G15" s="23" t="str">
        <f>IF(OR(E15="",E15="!!!"),"",IF(OR(J15=0,AND(J15=1,K15=1),AND(J15=1,I15="SBJ"),AND(J15=1,I15=0)),"?IN_FOCUS",IF(J15&lt;=2,"?ACTIVATED",IF(J15&lt;&gt;"","?FAMILIAR",IF(F15="NEW",IF(ISNA(VLOOKUP(E15,#REF!,1,FALSE())),"?TYPE_IDENTIFIABLE","?REFERENTIAL"),"_")))))</f>
        <v/>
      </c>
      <c r="H15" s="24" t="str">
        <f t="shared" ca="1" si="3"/>
        <v/>
      </c>
      <c r="I15" s="25" t="str">
        <f>IF(OR(E15="",E15="!!!",F15="NEW"),"",INDEX(B$2:B14,-1+SUMPRODUCT(MAX(ROW(E$2:E14)*(E15=E$2:E14)))))</f>
        <v/>
      </c>
      <c r="J15" s="25" t="str">
        <f ca="1">IF(OR(E15="",E15="!!!",F15="NEW"),"",COUNTBLANK(OFFSET(A$1,,,SUMPRODUCT(MAX(ROW(E$2:E15)*(E15=E$2:E15)))))-COUNTBLANK(OFFSET(A$1,,,SUMPRODUCT(MAX(ROW(E$1:E14)*(E2=E$1:E14))))))</f>
        <v/>
      </c>
      <c r="K15" s="25" t="str">
        <f>IF(OR(E15="",E15="!!!",F15="NEW"),"",INDEX(J$1:J14,SUMPRODUCT(MAX(ROW(E$1:E14)*(E15=E$1:E14)))))</f>
        <v/>
      </c>
      <c r="L15" s="26"/>
    </row>
    <row r="16" spans="1:12" x14ac:dyDescent="0.3">
      <c r="A16" t="s">
        <v>160</v>
      </c>
      <c r="E16" s="21" t="str">
        <f t="shared" si="2"/>
        <v/>
      </c>
      <c r="F16" s="22" t="str">
        <f>IF(OR(E16="",E16="!!!"),"",IF(NOT(ISNA(VLOOKUP(E16,E$1:E15,1,FALSE()))),"OLD",IF(AND(E16&lt;&gt;"",E16&lt;&gt;"!!!"),"NEW","")))</f>
        <v/>
      </c>
      <c r="G16" s="23" t="str">
        <f>IF(OR(E16="",E16="!!!"),"",IF(OR(J16=0,AND(J16=1,K16=1),AND(J16=1,I16="SBJ"),AND(J16=1,I16=0)),"?IN_FOCUS",IF(J16&lt;=2,"?ACTIVATED",IF(J16&lt;&gt;"","?FAMILIAR",IF(F16="NEW",IF(ISNA(VLOOKUP(E16,#REF!,1,FALSE())),"?TYPE_IDENTIFIABLE","?REFERENTIAL"),"_")))))</f>
        <v/>
      </c>
      <c r="H16" s="24" t="str">
        <f t="shared" ca="1" si="3"/>
        <v/>
      </c>
      <c r="I16" s="25" t="str">
        <f>IF(OR(E16="",E16="!!!",F16="NEW"),"",INDEX(B$2:B15,-1+SUMPRODUCT(MAX(ROW(E$2:E15)*(E16=E$2:E15)))))</f>
        <v/>
      </c>
      <c r="J16" s="25" t="str">
        <f ca="1">IF(OR(E16="",E16="!!!",F16="NEW"),"",COUNTBLANK(OFFSET(A$1,,,SUMPRODUCT(MAX(ROW(E$2:E16)*(E16=E$2:E16)))))-COUNTBLANK(OFFSET(A$1,,,SUMPRODUCT(MAX(ROW(E$1:E15)*(E2=E$1:E15))))))</f>
        <v/>
      </c>
      <c r="K16" s="25" t="str">
        <f>IF(OR(E16="",E16="!!!",F16="NEW"),"",INDEX(J$1:J15,SUMPRODUCT(MAX(ROW(E$1:E15)*(E16=E$1:E15)))))</f>
        <v/>
      </c>
      <c r="L16" s="26"/>
    </row>
    <row r="17" spans="1:12" x14ac:dyDescent="0.3">
      <c r="A17" t="s">
        <v>161</v>
      </c>
      <c r="E17" s="21" t="str">
        <f t="shared" si="2"/>
        <v/>
      </c>
      <c r="F17" s="22" t="str">
        <f>IF(OR(E17="",E17="!!!"),"",IF(NOT(ISNA(VLOOKUP(E17,E$1:E16,1,FALSE()))),"OLD",IF(AND(E17&lt;&gt;"",E17&lt;&gt;"!!!"),"NEW","")))</f>
        <v/>
      </c>
      <c r="G17" s="23" t="str">
        <f>IF(OR(E17="",E17="!!!"),"",IF(OR(J17=0,AND(J17=1,K17=1),AND(J17=1,I17="SBJ"),AND(J17=1,I17=0)),"?IN_FOCUS",IF(J17&lt;=2,"?ACTIVATED",IF(J17&lt;&gt;"","?FAMILIAR",IF(F17="NEW",IF(ISNA(VLOOKUP(E17,#REF!,1,FALSE())),"?TYPE_IDENTIFIABLE","?REFERENTIAL"),"_")))))</f>
        <v/>
      </c>
      <c r="H17" s="24" t="str">
        <f t="shared" ca="1" si="3"/>
        <v/>
      </c>
      <c r="I17" s="25" t="str">
        <f>IF(OR(E17="",E17="!!!",F17="NEW"),"",INDEX(B$2:B16,-1+SUMPRODUCT(MAX(ROW(E$2:E16)*(E17=E$2:E16)))))</f>
        <v/>
      </c>
      <c r="J17" s="25" t="str">
        <f ca="1">IF(OR(E17="",E17="!!!",F17="NEW"),"",COUNTBLANK(OFFSET(A$1,,,SUMPRODUCT(MAX(ROW(E$2:E17)*(E17=E$2:E17)))))-COUNTBLANK(OFFSET(A$1,,,SUMPRODUCT(MAX(ROW(E$1:E16)*(E2=E$1:E16))))))</f>
        <v/>
      </c>
      <c r="K17" s="25" t="str">
        <f>IF(OR(E17="",E17="!!!",F17="NEW"),"",INDEX(J$1:J16,SUMPRODUCT(MAX(ROW(E$1:E16)*(E17=E$1:E16)))))</f>
        <v/>
      </c>
      <c r="L17" s="26"/>
    </row>
    <row r="18" spans="1:12" x14ac:dyDescent="0.3">
      <c r="A18" t="s">
        <v>162</v>
      </c>
      <c r="E18" s="21" t="str">
        <f t="shared" si="2"/>
        <v/>
      </c>
      <c r="F18" s="22" t="str">
        <f>IF(OR(E18="",E18="!!!"),"",IF(NOT(ISNA(VLOOKUP(E18,E$1:E17,1,FALSE()))),"OLD",IF(AND(E18&lt;&gt;"",E18&lt;&gt;"!!!"),"NEW","")))</f>
        <v/>
      </c>
      <c r="G18" s="23" t="str">
        <f>IF(OR(E18="",E18="!!!"),"",IF(OR(J18=0,AND(J18=1,K18=1),AND(J18=1,I18="SBJ"),AND(J18=1,I18=0)),"?IN_FOCUS",IF(J18&lt;=2,"?ACTIVATED",IF(J18&lt;&gt;"","?FAMILIAR",IF(F18="NEW",IF(ISNA(VLOOKUP(E18,#REF!,1,FALSE())),"?TYPE_IDENTIFIABLE","?REFERENTIAL"),"_")))))</f>
        <v/>
      </c>
      <c r="H18" s="24" t="str">
        <f t="shared" ca="1" si="3"/>
        <v/>
      </c>
      <c r="I18" s="25" t="str">
        <f>IF(OR(E18="",E18="!!!",F18="NEW"),"",INDEX(B$2:B17,-1+SUMPRODUCT(MAX(ROW(E$2:E17)*(E18=E$2:E17)))))</f>
        <v/>
      </c>
      <c r="J18" s="25" t="str">
        <f ca="1">IF(OR(E18="",E18="!!!",F18="NEW"),"",COUNTBLANK(OFFSET(A$1,,,SUMPRODUCT(MAX(ROW(E$2:E18)*(E18=E$2:E18)))))-COUNTBLANK(OFFSET(A$1,,,SUMPRODUCT(MAX(ROW(E$1:E17)*(E2=E$1:E17))))))</f>
        <v/>
      </c>
      <c r="K18" s="25" t="str">
        <f>IF(OR(E18="",E18="!!!",F18="NEW"),"",INDEX(J$1:J17,SUMPRODUCT(MAX(ROW(E$1:E17)*(E18=E$1:E17)))))</f>
        <v/>
      </c>
      <c r="L18" s="26"/>
    </row>
    <row r="19" spans="1:12" x14ac:dyDescent="0.3">
      <c r="A19" t="s">
        <v>13</v>
      </c>
      <c r="B19" s="20" t="s">
        <v>163</v>
      </c>
      <c r="C19" s="20" t="s">
        <v>164</v>
      </c>
      <c r="E19" s="21" t="str">
        <f t="shared" si="2"/>
        <v/>
      </c>
      <c r="F19" s="22" t="str">
        <f>IF(OR(E19="",E19="!!!"),"",IF(NOT(ISNA(VLOOKUP(E19,E$1:E18,1,FALSE()))),"OLD",IF(AND(E19&lt;&gt;"",E19&lt;&gt;"!!!"),"NEW","")))</f>
        <v/>
      </c>
      <c r="G19" s="23" t="str">
        <f>IF(OR(E19="",E19="!!!"),"",IF(OR(J19=0,AND(J19=1,K19=1),AND(J19=1,I19="SBJ"),AND(J19=1,I19=0)),"?IN_FOCUS",IF(J19&lt;=2,"?ACTIVATED",IF(J19&lt;&gt;"","?FAMILIAR",IF(F19="NEW",IF(ISNA(VLOOKUP(E19,#REF!,1,FALSE())),"?TYPE_IDENTIFIABLE","?REFERENTIAL"),"_")))))</f>
        <v/>
      </c>
      <c r="H19" s="24" t="str">
        <f t="shared" ca="1" si="3"/>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151</v>
      </c>
      <c r="B20" s="20" t="s">
        <v>165</v>
      </c>
      <c r="C20" s="20" t="s">
        <v>145</v>
      </c>
      <c r="D20" s="20" t="s">
        <v>146</v>
      </c>
      <c r="E20" s="21" t="s">
        <v>481</v>
      </c>
      <c r="F20" s="22" t="str">
        <f>IF(OR(E20="",E20="!!!"),"",IF(NOT(ISNA(VLOOKUP(E20,E$1:E19,1,FALSE()))),"OLD",IF(AND(E20&lt;&gt;"",E20&lt;&gt;"!!!"),"NEW","")))</f>
        <v>OLD</v>
      </c>
      <c r="G20" s="23" t="s">
        <v>528</v>
      </c>
      <c r="H20" s="24" t="str">
        <f t="shared" ca="1" si="3"/>
        <v/>
      </c>
      <c r="I20" s="25" t="str">
        <f>IF(OR(E20="",E20="!!!",F20="NEW"),"",INDEX(B$2:B19,-1+SUMPRODUCT(MAX(ROW(E$2:E19)*(E20=E$2:E19)))))</f>
        <v>other</v>
      </c>
      <c r="J20" s="25">
        <f ca="1">IF(OR(E20="",E20="!!!",F20="NEW"),"",COUNTBLANK(OFFSET(A$1,,,SUMPRODUCT(MAX(ROW(E$2:E20)*(E20=E$2:E20)))))-COUNTBLANK(OFFSET(A$1,,,SUMPRODUCT(MAX(ROW(E$1:E19)*(E2=E$1:E19))))))</f>
        <v>0</v>
      </c>
      <c r="K20" s="25" t="str">
        <f ca="1">IF(OR(E20="",E20="!!!",F20="NEW"),"",INDEX(J$1:J19,SUMPRODUCT(MAX(ROW(E$1:E19)*(E20=E$1:E19)))))</f>
        <v/>
      </c>
      <c r="L20" s="26"/>
    </row>
    <row r="21" spans="1:12" x14ac:dyDescent="0.3">
      <c r="A21" t="s">
        <v>152</v>
      </c>
      <c r="E21" s="21" t="str">
        <f t="shared" si="2"/>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t="shared" ca="1" si="3"/>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166</v>
      </c>
      <c r="E22" s="21" t="str">
        <f t="shared" si="2"/>
        <v/>
      </c>
      <c r="F22" s="22" t="str">
        <f>IF(OR(E22="",E22="!!!"),"",IF(NOT(ISNA(VLOOKUP(E22,E$1:E21,1,FALSE()))),"OLD",IF(AND(E22&lt;&gt;"",E22&lt;&gt;"!!!"),"NEW","")))</f>
        <v/>
      </c>
      <c r="G22" s="23" t="str">
        <f>IF(OR(E22="",E22="!!!"),"",IF(OR(J22=0,AND(J22=1,K22=1),AND(J22=1,I22="SBJ"),AND(J22=1,I22=0)),"?IN_FOCUS",IF(J22&lt;=2,"?ACTIVATED",IF(J22&lt;&gt;"","?FAMILIAR",IF(F22="NEW",IF(ISNA(VLOOKUP(E22,#REF!,1,FALSE())),"?TYPE_IDENTIFIABLE","?REFERENTIAL"),"_")))))</f>
        <v/>
      </c>
      <c r="H22" s="24" t="str">
        <f t="shared" ca="1" si="3"/>
        <v/>
      </c>
      <c r="I22" s="25" t="str">
        <f>IF(OR(E22="",E22="!!!",F22="NEW"),"",INDEX(B$2:B21,-1+SUMPRODUCT(MAX(ROW(E$2:E21)*(E22=E$2:E21)))))</f>
        <v/>
      </c>
      <c r="J22" s="25" t="str">
        <f ca="1">IF(OR(E22="",E22="!!!",F22="NEW"),"",COUNTBLANK(OFFSET(A$1,,,SUMPRODUCT(MAX(ROW(E$2:E22)*(E22=E$2:E22)))))-COUNTBLANK(OFFSET(A$1,,,SUMPRODUCT(MAX(ROW(E$1:E21)*(E2=E$1:E21))))))</f>
        <v/>
      </c>
      <c r="K22" s="25" t="str">
        <f>IF(OR(E22="",E22="!!!",F22="NEW"),"",INDEX(J$1:J21,SUMPRODUCT(MAX(ROW(E$1:E21)*(E22=E$1:E21)))))</f>
        <v/>
      </c>
      <c r="L22" s="26"/>
    </row>
    <row r="23" spans="1:12" x14ac:dyDescent="0.3">
      <c r="A23" t="s">
        <v>167</v>
      </c>
      <c r="E23" s="21" t="str">
        <f t="shared" si="2"/>
        <v/>
      </c>
      <c r="F23" s="22" t="str">
        <f>IF(OR(E23="",E23="!!!"),"",IF(NOT(ISNA(VLOOKUP(E23,E$1:E22,1,FALSE()))),"OLD",IF(AND(E23&lt;&gt;"",E23&lt;&gt;"!!!"),"NEW","")))</f>
        <v/>
      </c>
      <c r="G23" s="23" t="str">
        <f>IF(OR(E23="",E23="!!!"),"",IF(OR(J23=0,AND(J23=1,K23=1),AND(J23=1,I23="SBJ"),AND(J23=1,I23=0)),"?IN_FOCUS",IF(J23&lt;=2,"?ACTIVATED",IF(J23&lt;&gt;"","?FAMILIAR",IF(F23="NEW",IF(ISNA(VLOOKUP(E23,#REF!,1,FALSE())),"?TYPE_IDENTIFIABLE","?REFERENTIAL"),"_")))))</f>
        <v/>
      </c>
      <c r="H23" s="24" t="str">
        <f t="shared" ca="1" si="3"/>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row>
    <row r="25" spans="1:12" x14ac:dyDescent="0.3">
      <c r="A25" t="s">
        <v>168</v>
      </c>
    </row>
    <row r="26" spans="1:12" x14ac:dyDescent="0.3">
      <c r="A26" t="s">
        <v>152</v>
      </c>
      <c r="B26" s="20" t="s">
        <v>157</v>
      </c>
      <c r="C26" s="20" t="s">
        <v>145</v>
      </c>
      <c r="D26" s="20" t="s">
        <v>146</v>
      </c>
      <c r="E26" s="21" t="s">
        <v>481</v>
      </c>
      <c r="F26" s="22" t="str">
        <f>IF(OR(E26="",E26="!!!"),"",IF(NOT(ISNA(VLOOKUP(E26,E$1:E25,1,FALSE()))),"OLD",IF(AND(E26&lt;&gt;"",E26&lt;&gt;"!!!"),"NEW","")))</f>
        <v>OLD</v>
      </c>
      <c r="G26" s="23" t="s">
        <v>527</v>
      </c>
      <c r="H26" s="24"/>
      <c r="I26" s="25" t="str">
        <f>IF(OR(E26="",E26="!!!",F26="NEW"),"",INDEX(B$2:B25,-1+SUMPRODUCT(MAX(ROW(E$2:E25)*(E26=E$2:E25)))))</f>
        <v>other_3</v>
      </c>
      <c r="J26" s="25">
        <f ca="1">IF(OR(E26="",E26="!!!",F26="NEW"),"",COUNTBLANK(OFFSET(A$1,,,SUMPRODUCT(MAX(ROW(E$2:E26)*(E26=E$2:E26)))))-COUNTBLANK(OFFSET(A$1,,,SUMPRODUCT(MAX(ROW(E$1:E25)*(E2=E$1:E25))))))</f>
        <v>0</v>
      </c>
      <c r="K26" s="25">
        <f ca="1">IF(OR(E26="",E26="!!!",F26="NEW"),"",INDEX(J$1:J25,SUMPRODUCT(MAX(ROW(E$1:E25)*(E26=E$1:E25)))))</f>
        <v>0</v>
      </c>
      <c r="L26" s="26"/>
    </row>
    <row r="27" spans="1:12" x14ac:dyDescent="0.3">
      <c r="A27" t="s">
        <v>169</v>
      </c>
      <c r="E27" s="21" t="str">
        <f t="shared" ref="E26:E36" si="4">IF(D27="?OLD","!!!","")</f>
        <v/>
      </c>
      <c r="F27" s="22" t="str">
        <f>IF(OR(E27="",E27="!!!"),"",IF(NOT(ISNA(VLOOKUP(E27,E$1:E26,1,FALSE()))),"OLD",IF(AND(E27&lt;&gt;"",E27&lt;&gt;"!!!"),"NEW","")))</f>
        <v/>
      </c>
      <c r="G27" s="23" t="str">
        <f>IF(OR(E27="",E27="!!!"),"",IF(OR(J27=0,AND(J27=1,K27=1),AND(J27=1,I27="SBJ"),AND(J27=1,I27=0)),"?IN_FOCUS",IF(J27&lt;=2,"?ACTIVATED",IF(J27&lt;&gt;"","?FAMILIAR",IF(F27="NEW",IF(ISNA(VLOOKUP(E27,#REF!,1,FALSE())),"?TYPE_IDENTIFIABLE","?REFERENTIAL"),"_")))))</f>
        <v/>
      </c>
      <c r="H27" s="24" t="str">
        <f t="shared" ref="H26:H36" ca="1" si="5">IF(J27&lt;&gt;1,"",IF(I27="SBJ","CB","?"))</f>
        <v/>
      </c>
      <c r="I27" s="25" t="str">
        <f>IF(OR(E27="",E27="!!!",F27="NEW"),"",INDEX(B$2:B26,-1+SUMPRODUCT(MAX(ROW(E$2:E26)*(E27=E$2:E26)))))</f>
        <v/>
      </c>
      <c r="J27" s="25" t="str">
        <f ca="1">IF(OR(E27="",E27="!!!",F27="NEW"),"",COUNTBLANK(OFFSET(A$1,,,SUMPRODUCT(MAX(ROW(E$2:E27)*(E27=E$2:E27)))))-COUNTBLANK(OFFSET(A$1,,,SUMPRODUCT(MAX(ROW(E$1:E26)*(E2=E$1:E26))))))</f>
        <v/>
      </c>
      <c r="K27" s="25" t="str">
        <f>IF(OR(E27="",E27="!!!",F27="NEW"),"",INDEX(J$1:J26,SUMPRODUCT(MAX(ROW(E$1:E26)*(E27=E$1:E26)))))</f>
        <v/>
      </c>
      <c r="L27" s="26"/>
    </row>
    <row r="28" spans="1:12" x14ac:dyDescent="0.3">
      <c r="A28" t="s">
        <v>170</v>
      </c>
      <c r="E28" s="21" t="str">
        <f t="shared" si="4"/>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ca="1" si="5"/>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29" spans="1:12" x14ac:dyDescent="0.3">
      <c r="A29" t="s">
        <v>171</v>
      </c>
      <c r="B29" s="20" t="s">
        <v>149</v>
      </c>
      <c r="C29" s="20" t="s">
        <v>172</v>
      </c>
      <c r="E29" s="21" t="str">
        <f t="shared" si="4"/>
        <v/>
      </c>
      <c r="F29" s="22" t="str">
        <f>IF(OR(E29="",E29="!!!"),"",IF(NOT(ISNA(VLOOKUP(E29,E$1:E28,1,FALSE()))),"OLD",IF(AND(E29&lt;&gt;"",E29&lt;&gt;"!!!"),"NEW","")))</f>
        <v/>
      </c>
      <c r="G29" s="23" t="str">
        <f>IF(OR(E29="",E29="!!!"),"",IF(OR(J29=0,AND(J29=1,K29=1),AND(J29=1,I29="SBJ"),AND(J29=1,I29=0)),"?IN_FOCUS",IF(J29&lt;=2,"?ACTIVATED",IF(J29&lt;&gt;"","?FAMILIAR",IF(F29="NEW",IF(ISNA(VLOOKUP(E29,#REF!,1,FALSE())),"?TYPE_IDENTIFIABLE","?REFERENTIAL"),"_")))))</f>
        <v/>
      </c>
      <c r="H29" s="24" t="str">
        <f t="shared" ca="1" si="5"/>
        <v/>
      </c>
      <c r="I29" s="25" t="str">
        <f>IF(OR(E29="",E29="!!!",F29="NEW"),"",INDEX(B$2:B28,-1+SUMPRODUCT(MAX(ROW(E$2:E28)*(E29=E$2:E28)))))</f>
        <v/>
      </c>
      <c r="J29" s="25" t="str">
        <f ca="1">IF(OR(E29="",E29="!!!",F29="NEW"),"",COUNTBLANK(OFFSET(A$1,,,SUMPRODUCT(MAX(ROW(E$2:E29)*(E29=E$2:E29)))))-COUNTBLANK(OFFSET(A$1,,,SUMPRODUCT(MAX(ROW(E$1:E28)*(E2=E$1:E28))))))</f>
        <v/>
      </c>
      <c r="K29" s="25" t="str">
        <f>IF(OR(E29="",E29="!!!",F29="NEW"),"",INDEX(J$1:J28,SUMPRODUCT(MAX(ROW(E$1:E28)*(E29=E$1:E28)))))</f>
        <v/>
      </c>
      <c r="L29" s="26"/>
    </row>
    <row r="30" spans="1:12" x14ac:dyDescent="0.3">
      <c r="A30" t="s">
        <v>173</v>
      </c>
      <c r="B30" s="20" t="s">
        <v>149</v>
      </c>
      <c r="C30" s="20" t="s">
        <v>150</v>
      </c>
      <c r="E30" s="21" t="str">
        <f t="shared" si="4"/>
        <v/>
      </c>
      <c r="F30" s="22" t="str">
        <f>IF(OR(E30="",E30="!!!"),"",IF(NOT(ISNA(VLOOKUP(E30,E$1:E29,1,FALSE()))),"OLD",IF(AND(E30&lt;&gt;"",E30&lt;&gt;"!!!"),"NEW","")))</f>
        <v/>
      </c>
      <c r="G30" s="23" t="str">
        <f>IF(OR(E30="",E30="!!!"),"",IF(OR(J30=0,AND(J30=1,K30=1),AND(J30=1,I30="SBJ"),AND(J30=1,I30=0)),"?IN_FOCUS",IF(J30&lt;=2,"?ACTIVATED",IF(J30&lt;&gt;"","?FAMILIAR",IF(F30="NEW",IF(ISNA(VLOOKUP(E30,#REF!,1,FALSE())),"?TYPE_IDENTIFIABLE","?REFERENTIAL"),"_")))))</f>
        <v/>
      </c>
      <c r="H30" s="24" t="str">
        <f t="shared" ca="1" si="5"/>
        <v/>
      </c>
      <c r="I30" s="25" t="str">
        <f>IF(OR(E30="",E30="!!!",F30="NEW"),"",INDEX(B$2:B29,-1+SUMPRODUCT(MAX(ROW(E$2:E29)*(E30=E$2:E29)))))</f>
        <v/>
      </c>
      <c r="J30" s="25" t="str">
        <f ca="1">IF(OR(E30="",E30="!!!",F30="NEW"),"",COUNTBLANK(OFFSET(A$1,,,SUMPRODUCT(MAX(ROW(E$2:E30)*(E30=E$2:E30)))))-COUNTBLANK(OFFSET(A$1,,,SUMPRODUCT(MAX(ROW(E$1:E29)*(E2=E$1:E29))))))</f>
        <v/>
      </c>
      <c r="K30" s="25" t="str">
        <f>IF(OR(E30="",E30="!!!",F30="NEW"),"",INDEX(J$1:J29,SUMPRODUCT(MAX(ROW(E$1:E29)*(E30=E$1:E29)))))</f>
        <v/>
      </c>
      <c r="L30" s="26"/>
    </row>
    <row r="31" spans="1:12" x14ac:dyDescent="0.3">
      <c r="A31" t="s">
        <v>174</v>
      </c>
      <c r="E31" s="21" t="str">
        <f t="shared" si="4"/>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ca="1" si="5"/>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175</v>
      </c>
      <c r="E32" s="21" t="str">
        <f t="shared" si="4"/>
        <v/>
      </c>
      <c r="F32" s="22" t="str">
        <f>IF(OR(E32="",E32="!!!"),"",IF(NOT(ISNA(VLOOKUP(E32,E$1:E31,1,FALSE()))),"OLD",IF(AND(E32&lt;&gt;"",E32&lt;&gt;"!!!"),"NEW","")))</f>
        <v/>
      </c>
      <c r="G32" s="23" t="str">
        <f>IF(OR(E32="",E32="!!!"),"",IF(OR(J32=0,AND(J32=1,K32=1),AND(J32=1,I32="SBJ"),AND(J32=1,I32=0)),"?IN_FOCUS",IF(J32&lt;=2,"?ACTIVATED",IF(J32&lt;&gt;"","?FAMILIAR",IF(F32="NEW",IF(ISNA(VLOOKUP(E32,#REF!,1,FALSE())),"?TYPE_IDENTIFIABLE","?REFERENTIAL"),"_")))))</f>
        <v/>
      </c>
      <c r="H32" s="24" t="str">
        <f t="shared" ca="1" si="5"/>
        <v/>
      </c>
      <c r="I32" s="25" t="str">
        <f>IF(OR(E32="",E32="!!!",F32="NEW"),"",INDEX(B$2:B31,-1+SUMPRODUCT(MAX(ROW(E$2:E31)*(E32=E$2:E31)))))</f>
        <v/>
      </c>
      <c r="J32" s="25" t="str">
        <f ca="1">IF(OR(E32="",E32="!!!",F32="NEW"),"",COUNTBLANK(OFFSET(A$1,,,SUMPRODUCT(MAX(ROW(E$2:E32)*(E32=E$2:E32)))))-COUNTBLANK(OFFSET(A$1,,,SUMPRODUCT(MAX(ROW(E$1:E31)*(E2=E$1:E31))))))</f>
        <v/>
      </c>
      <c r="K32" s="25" t="str">
        <f>IF(OR(E32="",E32="!!!",F32="NEW"),"",INDEX(J$1:J31,SUMPRODUCT(MAX(ROW(E$1:E31)*(E32=E$1:E31)))))</f>
        <v/>
      </c>
      <c r="L32" s="26"/>
    </row>
    <row r="33" spans="1:12" x14ac:dyDescent="0.3">
      <c r="A33" t="s">
        <v>176</v>
      </c>
      <c r="B33" s="20" t="s">
        <v>149</v>
      </c>
      <c r="C33" s="20" t="s">
        <v>158</v>
      </c>
      <c r="D33" s="20" t="s">
        <v>146</v>
      </c>
      <c r="E33" s="21" t="s">
        <v>485</v>
      </c>
      <c r="F33" s="22" t="str">
        <f>IF(OR(E33="",E33="!!!"),"",IF(NOT(ISNA(VLOOKUP(E33,E$1:E32,1,FALSE()))),"OLD",IF(AND(E33&lt;&gt;"",E33&lt;&gt;"!!!"),"NEW","")))</f>
        <v>NEW</v>
      </c>
      <c r="G33" s="23" t="s">
        <v>136</v>
      </c>
      <c r="H33" s="24" t="str">
        <f t="shared" ca="1" si="5"/>
        <v/>
      </c>
      <c r="I33" s="25" t="str">
        <f>IF(OR(E33="",E33="!!!",F33="NEW"),"",INDEX(B$2:B32,-1+SUMPRODUCT(MAX(ROW(E$2:E32)*(E33=E$2:E32)))))</f>
        <v/>
      </c>
      <c r="J33" s="25" t="str">
        <f ca="1">IF(OR(E33="",E33="!!!",F33="NEW"),"",COUNTBLANK(OFFSET(A$1,,,SUMPRODUCT(MAX(ROW(E$2:E33)*(E33=E$2:E33)))))-COUNTBLANK(OFFSET(A$1,,,SUMPRODUCT(MAX(ROW(E$1:E32)*(E2=E$1:E32))))))</f>
        <v/>
      </c>
      <c r="K33" s="25" t="str">
        <f>IF(OR(E33="",E33="!!!",F33="NEW"),"",INDEX(J$1:J32,SUMPRODUCT(MAX(ROW(E$1:E32)*(E33=E$1:E32)))))</f>
        <v/>
      </c>
      <c r="L33" s="26"/>
    </row>
    <row r="34" spans="1:12" x14ac:dyDescent="0.3">
      <c r="A34" t="s">
        <v>177</v>
      </c>
      <c r="E34" s="21" t="str">
        <f t="shared" si="4"/>
        <v/>
      </c>
      <c r="F34" s="22" t="str">
        <f>IF(OR(E34="",E34="!!!"),"",IF(NOT(ISNA(VLOOKUP(E34,E$1:E33,1,FALSE()))),"OLD",IF(AND(E34&lt;&gt;"",E34&lt;&gt;"!!!"),"NEW","")))</f>
        <v/>
      </c>
      <c r="G34" s="23" t="str">
        <f>IF(OR(E34="",E34="!!!"),"",IF(OR(J34=0,AND(J34=1,K34=1),AND(J34=1,I34="SBJ"),AND(J34=1,I34=0)),"?IN_FOCUS",IF(J34&lt;=2,"?ACTIVATED",IF(J34&lt;&gt;"","?FAMILIAR",IF(F34="NEW",IF(ISNA(VLOOKUP(E34,#REF!,1,FALSE())),"?TYPE_IDENTIFIABLE","?REFERENTIAL"),"_")))))</f>
        <v/>
      </c>
      <c r="H34" s="24" t="str">
        <f t="shared" ca="1" si="5"/>
        <v/>
      </c>
      <c r="I34" s="25" t="str">
        <f>IF(OR(E34="",E34="!!!",F34="NEW"),"",INDEX(B$2:B33,-1+SUMPRODUCT(MAX(ROW(E$2:E33)*(E34=E$2:E33)))))</f>
        <v/>
      </c>
      <c r="J34" s="25" t="str">
        <f ca="1">IF(OR(E34="",E34="!!!",F34="NEW"),"",COUNTBLANK(OFFSET(A$1,,,SUMPRODUCT(MAX(ROW(E$2:E34)*(E34=E$2:E34)))))-COUNTBLANK(OFFSET(A$1,,,SUMPRODUCT(MAX(ROW(E$1:E33)*(E2=E$1:E33))))))</f>
        <v/>
      </c>
      <c r="K34" s="25" t="str">
        <f>IF(OR(E34="",E34="!!!",F34="NEW"),"",INDEX(J$1:J33,SUMPRODUCT(MAX(ROW(E$1:E33)*(E34=E$1:E33)))))</f>
        <v/>
      </c>
      <c r="L34" s="26"/>
    </row>
    <row r="35" spans="1:12" x14ac:dyDescent="0.3">
      <c r="A35" t="s">
        <v>147</v>
      </c>
      <c r="B35" s="20" t="s">
        <v>144</v>
      </c>
      <c r="C35" s="20" t="s">
        <v>150</v>
      </c>
      <c r="E35" s="21" t="s">
        <v>480</v>
      </c>
      <c r="F35" s="22" t="str">
        <f>IF(OR(E35="",E35="!!!"),"",IF(NOT(ISNA(VLOOKUP(E35,E$1:E34,1,FALSE()))),"OLD",IF(AND(E35&lt;&gt;"",E35&lt;&gt;"!!!"),"NEW","")))</f>
        <v>OLD</v>
      </c>
      <c r="G35" s="23" t="s">
        <v>527</v>
      </c>
      <c r="H35" s="24" t="s">
        <v>138</v>
      </c>
      <c r="I35" s="25" t="str">
        <f>IF(OR(E35="",E35="!!!",F35="NEW"),"",INDEX(B$2:B34,-1+SUMPRODUCT(MAX(ROW(E$2:E34)*(E35=E$2:E34)))))</f>
        <v>other_2</v>
      </c>
      <c r="J35" s="25">
        <f ca="1">IF(OR(E35="",E35="!!!",F35="NEW"),"",COUNTBLANK(OFFSET(A$1,,,SUMPRODUCT(MAX(ROW(E$2:E35)*(E35=E$2:E35)))))-COUNTBLANK(OFFSET(A$1,,,SUMPRODUCT(MAX(ROW(E$1:E34)*(E2=E$1:E34))))))</f>
        <v>0</v>
      </c>
      <c r="K35" s="25">
        <f ca="1">IF(OR(E35="",E35="!!!",F35="NEW"),"",INDEX(J$1:J34,SUMPRODUCT(MAX(ROW(E$1:E34)*(E35=E$1:E34)))))</f>
        <v>0</v>
      </c>
      <c r="L35" s="26"/>
    </row>
    <row r="36" spans="1:12" x14ac:dyDescent="0.3">
      <c r="A36" t="s">
        <v>167</v>
      </c>
      <c r="E36" s="21" t="str">
        <f t="shared" si="4"/>
        <v/>
      </c>
      <c r="F36" s="22" t="str">
        <f>IF(OR(E36="",E36="!!!"),"",IF(NOT(ISNA(VLOOKUP(E36,E$1:E35,1,FALSE()))),"OLD",IF(AND(E36&lt;&gt;"",E36&lt;&gt;"!!!"),"NEW","")))</f>
        <v/>
      </c>
      <c r="G36" s="23" t="str">
        <f>IF(OR(E36="",E36="!!!"),"",IF(OR(J36=0,AND(J36=1,K36=1),AND(J36=1,I36="SBJ"),AND(J36=1,I36=0)),"?IN_FOCUS",IF(J36&lt;=2,"?ACTIVATED",IF(J36&lt;&gt;"","?FAMILIAR",IF(F36="NEW",IF(ISNA(VLOOKUP(E36,#REF!,1,FALSE())),"?TYPE_IDENTIFIABLE","?REFERENTIAL"),"_")))))</f>
        <v/>
      </c>
      <c r="H36" s="24" t="str">
        <f t="shared" ca="1" si="5"/>
        <v/>
      </c>
      <c r="I36" s="25" t="str">
        <f>IF(OR(E36="",E36="!!!",F36="NEW"),"",INDEX(B$2:B35,-1+SUMPRODUCT(MAX(ROW(E$2:E35)*(E36=E$2:E35)))))</f>
        <v/>
      </c>
      <c r="J36" s="25" t="str">
        <f ca="1">IF(OR(E36="",E36="!!!",F36="NEW"),"",COUNTBLANK(OFFSET(A$1,,,SUMPRODUCT(MAX(ROW(E$2:E36)*(E36=E$2:E36)))))-COUNTBLANK(OFFSET(A$1,,,SUMPRODUCT(MAX(ROW(E$1:E35)*(E2=E$1:E35))))))</f>
        <v/>
      </c>
      <c r="K36" s="25" t="str">
        <f>IF(OR(E36="",E36="!!!",F36="NEW"),"",INDEX(J$1:J35,SUMPRODUCT(MAX(ROW(E$1:E35)*(E36=E$1:E35)))))</f>
        <v/>
      </c>
      <c r="L36" s="26"/>
    </row>
    <row r="38" spans="1:12" x14ac:dyDescent="0.3">
      <c r="A38" t="s">
        <v>178</v>
      </c>
    </row>
    <row r="39" spans="1:12" x14ac:dyDescent="0.3">
      <c r="A39" t="s">
        <v>154</v>
      </c>
      <c r="E39" s="21" t="str">
        <f t="shared" ref="E39:E53" si="6">IF(D39="?OLD","!!!","")</f>
        <v/>
      </c>
      <c r="F39" s="22" t="str">
        <f>IF(OR(E39="",E39="!!!"),"",IF(NOT(ISNA(VLOOKUP(E39,E$1:E38,1,FALSE()))),"OLD",IF(AND(E39&lt;&gt;"",E39&lt;&gt;"!!!"),"NEW","")))</f>
        <v/>
      </c>
      <c r="G39" s="23" t="str">
        <f>IF(OR(E39="",E39="!!!"),"",IF(OR(J39=0,AND(J39=1,K39=1),AND(J39=1,I39="SBJ"),AND(J39=1,I39=0)),"?IN_FOCUS",IF(J39&lt;=2,"?ACTIVATED",IF(J39&lt;&gt;"","?FAMILIAR",IF(F39="NEW",IF(ISNA(VLOOKUP(E39,#REF!,1,FALSE())),"?TYPE_IDENTIFIABLE","?REFERENTIAL"),"_")))))</f>
        <v/>
      </c>
      <c r="H39" s="24" t="str">
        <f t="shared" ref="H39:H53" ca="1" si="7">IF(J39&lt;&gt;1,"",IF(I39="SBJ","CB","?"))</f>
        <v/>
      </c>
      <c r="I39" s="25" t="str">
        <f>IF(OR(E39="",E39="!!!",F39="NEW"),"",INDEX(B$2:B38,-1+SUMPRODUCT(MAX(ROW(E$2:E38)*(E39=E$2:E38)))))</f>
        <v/>
      </c>
      <c r="J39" s="25" t="str">
        <f ca="1">IF(OR(E39="",E39="!!!",F39="NEW"),"",COUNTBLANK(OFFSET(A$1,,,SUMPRODUCT(MAX(ROW(E$2:E39)*(E39=E$2:E39)))))-COUNTBLANK(OFFSET(A$1,,,SUMPRODUCT(MAX(ROW(E$1:E38)*(E2=E$1:E38))))))</f>
        <v/>
      </c>
      <c r="K39" s="25" t="str">
        <f>IF(OR(E39="",E39="!!!",F39="NEW"),"",INDEX(J$1:J38,SUMPRODUCT(MAX(ROW(E$1:E38)*(E39=E$1:E38)))))</f>
        <v/>
      </c>
      <c r="L39" s="26"/>
    </row>
    <row r="40" spans="1:12" x14ac:dyDescent="0.3">
      <c r="A40" t="s">
        <v>179</v>
      </c>
      <c r="E40" s="21" t="str">
        <f t="shared" si="6"/>
        <v/>
      </c>
      <c r="F40" s="22" t="str">
        <f>IF(OR(E40="",E40="!!!"),"",IF(NOT(ISNA(VLOOKUP(E40,E$1:E39,1,FALSE()))),"OLD",IF(AND(E40&lt;&gt;"",E40&lt;&gt;"!!!"),"NEW","")))</f>
        <v/>
      </c>
      <c r="G40" s="23" t="str">
        <f>IF(OR(E40="",E40="!!!"),"",IF(OR(J40=0,AND(J40=1,K40=1),AND(J40=1,I40="SBJ"),AND(J40=1,I40=0)),"?IN_FOCUS",IF(J40&lt;=2,"?ACTIVATED",IF(J40&lt;&gt;"","?FAMILIAR",IF(F40="NEW",IF(ISNA(VLOOKUP(E40,#REF!,1,FALSE())),"?TYPE_IDENTIFIABLE","?REFERENTIAL"),"_")))))</f>
        <v/>
      </c>
      <c r="H40" s="24" t="str">
        <f t="shared" ca="1" si="7"/>
        <v/>
      </c>
      <c r="I40" s="25" t="str">
        <f>IF(OR(E40="",E40="!!!",F40="NEW"),"",INDEX(B$2:B39,-1+SUMPRODUCT(MAX(ROW(E$2:E39)*(E40=E$2:E39)))))</f>
        <v/>
      </c>
      <c r="J40" s="25" t="str">
        <f ca="1">IF(OR(E40="",E40="!!!",F40="NEW"),"",COUNTBLANK(OFFSET(A$1,,,SUMPRODUCT(MAX(ROW(E$2:E40)*(E40=E$2:E40)))))-COUNTBLANK(OFFSET(A$1,,,SUMPRODUCT(MAX(ROW(E$1:E39)*(E2=E$1:E39))))))</f>
        <v/>
      </c>
      <c r="K40" s="25" t="str">
        <f>IF(OR(E40="",E40="!!!",F40="NEW"),"",INDEX(J$1:J39,SUMPRODUCT(MAX(ROW(E$1:E39)*(E40=E$1:E39)))))</f>
        <v/>
      </c>
      <c r="L40" s="26"/>
    </row>
    <row r="41" spans="1:12" x14ac:dyDescent="0.3">
      <c r="A41" t="s">
        <v>12</v>
      </c>
      <c r="E41" s="21" t="str">
        <f t="shared" si="6"/>
        <v/>
      </c>
      <c r="F41" s="22" t="str">
        <f>IF(OR(E41="",E41="!!!"),"",IF(NOT(ISNA(VLOOKUP(E41,E$1:E40,1,FALSE()))),"OLD",IF(AND(E41&lt;&gt;"",E41&lt;&gt;"!!!"),"NEW","")))</f>
        <v/>
      </c>
      <c r="G41" s="23" t="str">
        <f>IF(OR(E41="",E41="!!!"),"",IF(OR(J41=0,AND(J41=1,K41=1),AND(J41=1,I41="SBJ"),AND(J41=1,I41=0)),"?IN_FOCUS",IF(J41&lt;=2,"?ACTIVATED",IF(J41&lt;&gt;"","?FAMILIAR",IF(F41="NEW",IF(ISNA(VLOOKUP(E41,#REF!,1,FALSE())),"?TYPE_IDENTIFIABLE","?REFERENTIAL"),"_")))))</f>
        <v/>
      </c>
      <c r="H41" s="24" t="str">
        <f t="shared" ca="1" si="7"/>
        <v/>
      </c>
      <c r="I41" s="25" t="str">
        <f>IF(OR(E41="",E41="!!!",F41="NEW"),"",INDEX(B$2:B40,-1+SUMPRODUCT(MAX(ROW(E$2:E40)*(E41=E$2:E40)))))</f>
        <v/>
      </c>
      <c r="J41" s="25" t="str">
        <f ca="1">IF(OR(E41="",E41="!!!",F41="NEW"),"",COUNTBLANK(OFFSET(A$1,,,SUMPRODUCT(MAX(ROW(E$2:E41)*(E41=E$2:E41)))))-COUNTBLANK(OFFSET(A$1,,,SUMPRODUCT(MAX(ROW(E$1:E40)*(E2=E$1:E40))))))</f>
        <v/>
      </c>
      <c r="K41" s="25" t="str">
        <f>IF(OR(E41="",E41="!!!",F41="NEW"),"",INDEX(J$1:J40,SUMPRODUCT(MAX(ROW(E$1:E40)*(E41=E$1:E40)))))</f>
        <v/>
      </c>
      <c r="L41" s="26"/>
    </row>
    <row r="42" spans="1:12" x14ac:dyDescent="0.3">
      <c r="A42" t="s">
        <v>180</v>
      </c>
      <c r="B42" s="20" t="s">
        <v>157</v>
      </c>
      <c r="C42" s="20" t="s">
        <v>181</v>
      </c>
      <c r="D42" s="20" t="s">
        <v>146</v>
      </c>
      <c r="E42" s="21" t="s">
        <v>481</v>
      </c>
      <c r="F42" s="22" t="str">
        <f>IF(OR(E42="",E42="!!!"),"",IF(NOT(ISNA(VLOOKUP(E42,E$1:E41,1,FALSE()))),"OLD",IF(AND(E42&lt;&gt;"",E42&lt;&gt;"!!!"),"NEW","")))</f>
        <v>OLD</v>
      </c>
      <c r="G42" s="23" t="s">
        <v>527</v>
      </c>
      <c r="H42" s="24" t="s">
        <v>138</v>
      </c>
      <c r="I42" s="25" t="str">
        <f>IF(OR(E42="",E42="!!!",F42="NEW"),"",INDEX(B$2:B41,-1+SUMPRODUCT(MAX(ROW(E$2:E41)*(E42=E$2:E41)))))</f>
        <v>SBJ</v>
      </c>
      <c r="J42" s="25">
        <f ca="1">IF(OR(E42="",E42="!!!",F42="NEW"),"",COUNTBLANK(OFFSET(A$1,,,SUMPRODUCT(MAX(ROW(E$2:E42)*(E42=E$2:E42)))))-COUNTBLANK(OFFSET(A$1,,,SUMPRODUCT(MAX(ROW(E$1:E41)*(E2=E$1:E41))))))</f>
        <v>0</v>
      </c>
      <c r="K42" s="25">
        <f ca="1">IF(OR(E42="",E42="!!!",F42="NEW"),"",INDEX(J$1:J41,SUMPRODUCT(MAX(ROW(E$1:E41)*(E42=E$1:E41)))))</f>
        <v>0</v>
      </c>
      <c r="L42" s="26"/>
    </row>
    <row r="43" spans="1:12" x14ac:dyDescent="0.3">
      <c r="A43" t="s">
        <v>182</v>
      </c>
      <c r="E43" s="21" t="str">
        <f t="shared" si="6"/>
        <v/>
      </c>
      <c r="F43" s="22" t="str">
        <f>IF(OR(E43="",E43="!!!"),"",IF(NOT(ISNA(VLOOKUP(E43,E$1:E42,1,FALSE()))),"OLD",IF(AND(E43&lt;&gt;"",E43&lt;&gt;"!!!"),"NEW","")))</f>
        <v/>
      </c>
      <c r="G43" s="23" t="str">
        <f>IF(OR(E43="",E43="!!!"),"",IF(OR(J43=0,AND(J43=1,K43=1),AND(J43=1,I43="SBJ"),AND(J43=1,I43=0)),"?IN_FOCUS",IF(J43&lt;=2,"?ACTIVATED",IF(J43&lt;&gt;"","?FAMILIAR",IF(F43="NEW",IF(ISNA(VLOOKUP(E43,#REF!,1,FALSE())),"?TYPE_IDENTIFIABLE","?REFERENTIAL"),"_")))))</f>
        <v/>
      </c>
      <c r="H43" s="24" t="str">
        <f t="shared" ca="1" si="7"/>
        <v/>
      </c>
      <c r="I43" s="25" t="str">
        <f>IF(OR(E43="",E43="!!!",F43="NEW"),"",INDEX(B$2:B42,-1+SUMPRODUCT(MAX(ROW(E$2:E42)*(E43=E$2:E42)))))</f>
        <v/>
      </c>
      <c r="J43" s="25" t="str">
        <f ca="1">IF(OR(E43="",E43="!!!",F43="NEW"),"",COUNTBLANK(OFFSET(A$1,,,SUMPRODUCT(MAX(ROW(E$2:E43)*(E43=E$2:E43)))))-COUNTBLANK(OFFSET(A$1,,,SUMPRODUCT(MAX(ROW(E$1:E42)*(E2=E$1:E42))))))</f>
        <v/>
      </c>
      <c r="K43" s="25" t="str">
        <f>IF(OR(E43="",E43="!!!",F43="NEW"),"",INDEX(J$1:J42,SUMPRODUCT(MAX(ROW(E$1:E42)*(E43=E$1:E42)))))</f>
        <v/>
      </c>
      <c r="L43" s="26"/>
    </row>
    <row r="44" spans="1:12" x14ac:dyDescent="0.3">
      <c r="A44" t="s">
        <v>183</v>
      </c>
      <c r="B44" s="20" t="s">
        <v>144</v>
      </c>
      <c r="C44" s="20" t="s">
        <v>184</v>
      </c>
      <c r="E44" s="21" t="str">
        <f t="shared" si="6"/>
        <v/>
      </c>
      <c r="F44" s="22" t="str">
        <f>IF(OR(E44="",E44="!!!"),"",IF(NOT(ISNA(VLOOKUP(E44,E$1:E43,1,FALSE()))),"OLD",IF(AND(E44&lt;&gt;"",E44&lt;&gt;"!!!"),"NEW","")))</f>
        <v/>
      </c>
      <c r="G44" s="23" t="str">
        <f>IF(OR(E44="",E44="!!!"),"",IF(OR(J44=0,AND(J44=1,K44=1),AND(J44=1,I44="SBJ"),AND(J44=1,I44=0)),"?IN_FOCUS",IF(J44&lt;=2,"?ACTIVATED",IF(J44&lt;&gt;"","?FAMILIAR",IF(F44="NEW",IF(ISNA(VLOOKUP(E44,#REF!,1,FALSE())),"?TYPE_IDENTIFIABLE","?REFERENTIAL"),"_")))))</f>
        <v/>
      </c>
      <c r="H44" s="24" t="str">
        <f t="shared" ca="1" si="7"/>
        <v/>
      </c>
      <c r="I44" s="25" t="str">
        <f>IF(OR(E44="",E44="!!!",F44="NEW"),"",INDEX(B$2:B43,-1+SUMPRODUCT(MAX(ROW(E$2:E43)*(E44=E$2:E43)))))</f>
        <v/>
      </c>
      <c r="J44" s="25" t="str">
        <f ca="1">IF(OR(E44="",E44="!!!",F44="NEW"),"",COUNTBLANK(OFFSET(A$1,,,SUMPRODUCT(MAX(ROW(E$2:E44)*(E44=E$2:E44)))))-COUNTBLANK(OFFSET(A$1,,,SUMPRODUCT(MAX(ROW(E$1:E43)*(E2=E$1:E43))))))</f>
        <v/>
      </c>
      <c r="K44" s="25" t="str">
        <f>IF(OR(E44="",E44="!!!",F44="NEW"),"",INDEX(J$1:J43,SUMPRODUCT(MAX(ROW(E$1:E43)*(E44=E$1:E43)))))</f>
        <v/>
      </c>
      <c r="L44" s="26"/>
    </row>
    <row r="45" spans="1:12" x14ac:dyDescent="0.3">
      <c r="A45" t="s">
        <v>185</v>
      </c>
      <c r="E45" s="21" t="str">
        <f t="shared" si="6"/>
        <v/>
      </c>
      <c r="F45" s="22" t="str">
        <f>IF(OR(E45="",E45="!!!"),"",IF(NOT(ISNA(VLOOKUP(E45,E$1:E44,1,FALSE()))),"OLD",IF(AND(E45&lt;&gt;"",E45&lt;&gt;"!!!"),"NEW","")))</f>
        <v/>
      </c>
      <c r="G45" s="23" t="str">
        <f>IF(OR(E45="",E45="!!!"),"",IF(OR(J45=0,AND(J45=1,K45=1),AND(J45=1,I45="SBJ"),AND(J45=1,I45=0)),"?IN_FOCUS",IF(J45&lt;=2,"?ACTIVATED",IF(J45&lt;&gt;"","?FAMILIAR",IF(F45="NEW",IF(ISNA(VLOOKUP(E45,#REF!,1,FALSE())),"?TYPE_IDENTIFIABLE","?REFERENTIAL"),"_")))))</f>
        <v/>
      </c>
      <c r="H45" s="24" t="str">
        <f t="shared" ca="1" si="7"/>
        <v/>
      </c>
      <c r="I45" s="25" t="str">
        <f>IF(OR(E45="",E45="!!!",F45="NEW"),"",INDEX(B$2:B44,-1+SUMPRODUCT(MAX(ROW(E$2:E44)*(E45=E$2:E44)))))</f>
        <v/>
      </c>
      <c r="J45" s="25" t="str">
        <f ca="1">IF(OR(E45="",E45="!!!",F45="NEW"),"",COUNTBLANK(OFFSET(A$1,,,SUMPRODUCT(MAX(ROW(E$2:E45)*(E45=E$2:E45)))))-COUNTBLANK(OFFSET(A$1,,,SUMPRODUCT(MAX(ROW(E$1:E44)*(E2=E$1:E44))))))</f>
        <v/>
      </c>
      <c r="K45" s="25" t="str">
        <f>IF(OR(E45="",E45="!!!",F45="NEW"),"",INDEX(J$1:J44,SUMPRODUCT(MAX(ROW(E$1:E44)*(E45=E$1:E44)))))</f>
        <v/>
      </c>
      <c r="L45" s="26"/>
    </row>
    <row r="46" spans="1:12" x14ac:dyDescent="0.3">
      <c r="A46" t="s">
        <v>186</v>
      </c>
      <c r="B46" s="20" t="s">
        <v>149</v>
      </c>
      <c r="C46" s="20" t="s">
        <v>158</v>
      </c>
      <c r="D46" s="20" t="s">
        <v>146</v>
      </c>
      <c r="E46" s="21" t="s">
        <v>529</v>
      </c>
      <c r="F46" s="22" t="str">
        <f>IF(OR(E46="",E46="!!!"),"",IF(NOT(ISNA(VLOOKUP(E46,E$1:E45,1,FALSE()))),"OLD",IF(AND(E46&lt;&gt;"",E46&lt;&gt;"!!!"),"NEW","")))</f>
        <v>NEW</v>
      </c>
      <c r="G46" s="23" t="s">
        <v>482</v>
      </c>
      <c r="H46" s="24" t="str">
        <f t="shared" ca="1" si="7"/>
        <v/>
      </c>
      <c r="I46" s="25" t="str">
        <f>IF(OR(E46="",E46="!!!",F46="NEW"),"",INDEX(B$2:B45,-1+SUMPRODUCT(MAX(ROW(E$2:E45)*(E46=E$2:E45)))))</f>
        <v/>
      </c>
      <c r="J46" s="25" t="str">
        <f ca="1">IF(OR(E46="",E46="!!!",F46="NEW"),"",COUNTBLANK(OFFSET(A$1,,,SUMPRODUCT(MAX(ROW(E$2:E46)*(E46=E$2:E46)))))-COUNTBLANK(OFFSET(A$1,,,SUMPRODUCT(MAX(ROW(E$1:E45)*(E2=E$1:E45))))))</f>
        <v/>
      </c>
      <c r="K46" s="25" t="str">
        <f>IF(OR(E46="",E46="!!!",F46="NEW"),"",INDEX(J$1:J45,SUMPRODUCT(MAX(ROW(E$1:E45)*(E46=E$1:E45)))))</f>
        <v/>
      </c>
      <c r="L46" s="26"/>
    </row>
    <row r="47" spans="1:12" x14ac:dyDescent="0.3">
      <c r="A47" t="s">
        <v>187</v>
      </c>
      <c r="E47" s="21" t="str">
        <f t="shared" si="6"/>
        <v/>
      </c>
      <c r="F47" s="22" t="str">
        <f>IF(OR(E47="",E47="!!!"),"",IF(NOT(ISNA(VLOOKUP(E47,E$1:E46,1,FALSE()))),"OLD",IF(AND(E47&lt;&gt;"",E47&lt;&gt;"!!!"),"NEW","")))</f>
        <v/>
      </c>
      <c r="G47" s="23" t="str">
        <f>IF(OR(E47="",E47="!!!"),"",IF(OR(J47=0,AND(J47=1,K47=1),AND(J47=1,I47="SBJ"),AND(J47=1,I47=0)),"?IN_FOCUS",IF(J47&lt;=2,"?ACTIVATED",IF(J47&lt;&gt;"","?FAMILIAR",IF(F47="NEW",IF(ISNA(VLOOKUP(E47,#REF!,1,FALSE())),"?TYPE_IDENTIFIABLE","?REFERENTIAL"),"_")))))</f>
        <v/>
      </c>
      <c r="H47" s="24" t="str">
        <f t="shared" ca="1" si="7"/>
        <v/>
      </c>
      <c r="I47" s="25" t="str">
        <f>IF(OR(E47="",E47="!!!",F47="NEW"),"",INDEX(B$2:B46,-1+SUMPRODUCT(MAX(ROW(E$2:E46)*(E47=E$2:E46)))))</f>
        <v/>
      </c>
      <c r="J47" s="25" t="str">
        <f ca="1">IF(OR(E47="",E47="!!!",F47="NEW"),"",COUNTBLANK(OFFSET(A$1,,,SUMPRODUCT(MAX(ROW(E$2:E47)*(E47=E$2:E47)))))-COUNTBLANK(OFFSET(A$1,,,SUMPRODUCT(MAX(ROW(E$1:E46)*(E2=E$1:E46))))))</f>
        <v/>
      </c>
      <c r="K47" s="25" t="str">
        <f>IF(OR(E47="",E47="!!!",F47="NEW"),"",INDEX(J$1:J46,SUMPRODUCT(MAX(ROW(E$1:E46)*(E47=E$1:E46)))))</f>
        <v/>
      </c>
      <c r="L47" s="26"/>
    </row>
    <row r="48" spans="1:12" x14ac:dyDescent="0.3">
      <c r="A48" t="s">
        <v>188</v>
      </c>
      <c r="B48" s="20" t="s">
        <v>144</v>
      </c>
      <c r="C48" s="20" t="s">
        <v>150</v>
      </c>
      <c r="E48" s="21" t="str">
        <f t="shared" si="6"/>
        <v/>
      </c>
      <c r="F48" s="22" t="str">
        <f>IF(OR(E48="",E48="!!!"),"",IF(NOT(ISNA(VLOOKUP(E48,E$1:E47,1,FALSE()))),"OLD",IF(AND(E48&lt;&gt;"",E48&lt;&gt;"!!!"),"NEW","")))</f>
        <v/>
      </c>
      <c r="G48" s="23" t="str">
        <f>IF(OR(E48="",E48="!!!"),"",IF(OR(J48=0,AND(J48=1,K48=1),AND(J48=1,I48="SBJ"),AND(J48=1,I48=0)),"?IN_FOCUS",IF(J48&lt;=2,"?ACTIVATED",IF(J48&lt;&gt;"","?FAMILIAR",IF(F48="NEW",IF(ISNA(VLOOKUP(E48,#REF!,1,FALSE())),"?TYPE_IDENTIFIABLE","?REFERENTIAL"),"_")))))</f>
        <v/>
      </c>
      <c r="H48" s="24" t="str">
        <f t="shared" ca="1" si="7"/>
        <v/>
      </c>
      <c r="I48" s="25" t="str">
        <f>IF(OR(E48="",E48="!!!",F48="NEW"),"",INDEX(B$2:B47,-1+SUMPRODUCT(MAX(ROW(E$2:E47)*(E48=E$2:E47)))))</f>
        <v/>
      </c>
      <c r="J48" s="25" t="str">
        <f ca="1">IF(OR(E48="",E48="!!!",F48="NEW"),"",COUNTBLANK(OFFSET(A$1,,,SUMPRODUCT(MAX(ROW(E$2:E48)*(E48=E$2:E48)))))-COUNTBLANK(OFFSET(A$1,,,SUMPRODUCT(MAX(ROW(E$1:E47)*(E2=E$1:E47))))))</f>
        <v/>
      </c>
      <c r="K48" s="25" t="str">
        <f>IF(OR(E48="",E48="!!!",F48="NEW"),"",INDEX(J$1:J47,SUMPRODUCT(MAX(ROW(E$1:E47)*(E48=E$1:E47)))))</f>
        <v/>
      </c>
      <c r="L48" s="26"/>
    </row>
    <row r="49" spans="1:12" x14ac:dyDescent="0.3">
      <c r="A49" t="s">
        <v>12</v>
      </c>
      <c r="E49" s="21" t="str">
        <f t="shared" si="6"/>
        <v/>
      </c>
      <c r="F49" s="22" t="str">
        <f>IF(OR(E49="",E49="!!!"),"",IF(NOT(ISNA(VLOOKUP(E49,E$1:E48,1,FALSE()))),"OLD",IF(AND(E49&lt;&gt;"",E49&lt;&gt;"!!!"),"NEW","")))</f>
        <v/>
      </c>
      <c r="G49" s="23" t="str">
        <f>IF(OR(E49="",E49="!!!"),"",IF(OR(J49=0,AND(J49=1,K49=1),AND(J49=1,I49="SBJ"),AND(J49=1,I49=0)),"?IN_FOCUS",IF(J49&lt;=2,"?ACTIVATED",IF(J49&lt;&gt;"","?FAMILIAR",IF(F49="NEW",IF(ISNA(VLOOKUP(E49,#REF!,1,FALSE())),"?TYPE_IDENTIFIABLE","?REFERENTIAL"),"_")))))</f>
        <v/>
      </c>
      <c r="H49" s="24" t="str">
        <f t="shared" ca="1" si="7"/>
        <v/>
      </c>
      <c r="I49" s="25" t="str">
        <f>IF(OR(E49="",E49="!!!",F49="NEW"),"",INDEX(B$2:B48,-1+SUMPRODUCT(MAX(ROW(E$2:E48)*(E49=E$2:E48)))))</f>
        <v/>
      </c>
      <c r="J49" s="25" t="str">
        <f ca="1">IF(OR(E49="",E49="!!!",F49="NEW"),"",COUNTBLANK(OFFSET(A$1,,,SUMPRODUCT(MAX(ROW(E$2:E49)*(E49=E$2:E49)))))-COUNTBLANK(OFFSET(A$1,,,SUMPRODUCT(MAX(ROW(E$1:E48)*(E2=E$1:E48))))))</f>
        <v/>
      </c>
      <c r="K49" s="25" t="str">
        <f>IF(OR(E49="",E49="!!!",F49="NEW"),"",INDEX(J$1:J48,SUMPRODUCT(MAX(ROW(E$1:E48)*(E49=E$1:E48)))))</f>
        <v/>
      </c>
      <c r="L49" s="26"/>
    </row>
    <row r="50" spans="1:12" x14ac:dyDescent="0.3">
      <c r="A50" t="s">
        <v>189</v>
      </c>
      <c r="E50" s="21" t="str">
        <f t="shared" si="6"/>
        <v/>
      </c>
      <c r="F50" s="22" t="str">
        <f>IF(OR(E50="",E50="!!!"),"",IF(NOT(ISNA(VLOOKUP(E50,E$1:E49,1,FALSE()))),"OLD",IF(AND(E50&lt;&gt;"",E50&lt;&gt;"!!!"),"NEW","")))</f>
        <v/>
      </c>
      <c r="G50" s="23" t="str">
        <f>IF(OR(E50="",E50="!!!"),"",IF(OR(J50=0,AND(J50=1,K50=1),AND(J50=1,I50="SBJ"),AND(J50=1,I50=0)),"?IN_FOCUS",IF(J50&lt;=2,"?ACTIVATED",IF(J50&lt;&gt;"","?FAMILIAR",IF(F50="NEW",IF(ISNA(VLOOKUP(E50,#REF!,1,FALSE())),"?TYPE_IDENTIFIABLE","?REFERENTIAL"),"_")))))</f>
        <v/>
      </c>
      <c r="H50" s="24" t="str">
        <f t="shared" ca="1" si="7"/>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1" spans="1:12" x14ac:dyDescent="0.3">
      <c r="A51" t="s">
        <v>190</v>
      </c>
      <c r="B51" s="20" t="s">
        <v>165</v>
      </c>
      <c r="C51" s="20" t="s">
        <v>150</v>
      </c>
      <c r="E51" s="21" t="str">
        <f t="shared" si="6"/>
        <v/>
      </c>
      <c r="F51" s="22" t="str">
        <f>IF(OR(E51="",E51="!!!"),"",IF(NOT(ISNA(VLOOKUP(E51,E$1:E50,1,FALSE()))),"OLD",IF(AND(E51&lt;&gt;"",E51&lt;&gt;"!!!"),"NEW","")))</f>
        <v/>
      </c>
      <c r="G51" s="23" t="str">
        <f>IF(OR(E51="",E51="!!!"),"",IF(OR(J51=0,AND(J51=1,K51=1),AND(J51=1,I51="SBJ"),AND(J51=1,I51=0)),"?IN_FOCUS",IF(J51&lt;=2,"?ACTIVATED",IF(J51&lt;&gt;"","?FAMILIAR",IF(F51="NEW",IF(ISNA(VLOOKUP(E51,#REF!,1,FALSE())),"?TYPE_IDENTIFIABLE","?REFERENTIAL"),"_")))))</f>
        <v/>
      </c>
      <c r="H51" s="24" t="str">
        <f t="shared" ca="1" si="7"/>
        <v/>
      </c>
      <c r="I51" s="25" t="str">
        <f>IF(OR(E51="",E51="!!!",F51="NEW"),"",INDEX(B$2:B50,-1+SUMPRODUCT(MAX(ROW(E$2:E50)*(E51=E$2:E50)))))</f>
        <v/>
      </c>
      <c r="J51" s="25" t="str">
        <f ca="1">IF(OR(E51="",E51="!!!",F51="NEW"),"",COUNTBLANK(OFFSET(A$1,,,SUMPRODUCT(MAX(ROW(E$2:E51)*(E51=E$2:E51)))))-COUNTBLANK(OFFSET(A$1,,,SUMPRODUCT(MAX(ROW(E$1:E50)*(E2=E$1:E50))))))</f>
        <v/>
      </c>
      <c r="K51" s="25" t="str">
        <f>IF(OR(E51="",E51="!!!",F51="NEW"),"",INDEX(J$1:J50,SUMPRODUCT(MAX(ROW(E$1:E50)*(E51=E$1:E50)))))</f>
        <v/>
      </c>
      <c r="L51" s="26"/>
    </row>
    <row r="52" spans="1:12" x14ac:dyDescent="0.3">
      <c r="A52" t="s">
        <v>191</v>
      </c>
      <c r="E52" s="21" t="str">
        <f t="shared" si="6"/>
        <v/>
      </c>
      <c r="F52" s="22" t="str">
        <f>IF(OR(E52="",E52="!!!"),"",IF(NOT(ISNA(VLOOKUP(E52,E$1:E51,1,FALSE()))),"OLD",IF(AND(E52&lt;&gt;"",E52&lt;&gt;"!!!"),"NEW","")))</f>
        <v/>
      </c>
      <c r="G52" s="23" t="str">
        <f>IF(OR(E52="",E52="!!!"),"",IF(OR(J52=0,AND(J52=1,K52=1),AND(J52=1,I52="SBJ"),AND(J52=1,I52=0)),"?IN_FOCUS",IF(J52&lt;=2,"?ACTIVATED",IF(J52&lt;&gt;"","?FAMILIAR",IF(F52="NEW",IF(ISNA(VLOOKUP(E52,#REF!,1,FALSE())),"?TYPE_IDENTIFIABLE","?REFERENTIAL"),"_")))))</f>
        <v/>
      </c>
      <c r="H52" s="24" t="str">
        <f t="shared" ca="1" si="7"/>
        <v/>
      </c>
      <c r="I52" s="25" t="str">
        <f>IF(OR(E52="",E52="!!!",F52="NEW"),"",INDEX(B$2:B51,-1+SUMPRODUCT(MAX(ROW(E$2:E51)*(E52=E$2:E51)))))</f>
        <v/>
      </c>
      <c r="J52" s="25" t="str">
        <f ca="1">IF(OR(E52="",E52="!!!",F52="NEW"),"",COUNTBLANK(OFFSET(A$1,,,SUMPRODUCT(MAX(ROW(E$2:E52)*(E52=E$2:E52)))))-COUNTBLANK(OFFSET(A$1,,,SUMPRODUCT(MAX(ROW(E$1:E51)*(E2=E$1:E51))))))</f>
        <v/>
      </c>
      <c r="K52" s="25" t="str">
        <f>IF(OR(E52="",E52="!!!",F52="NEW"),"",INDEX(J$1:J51,SUMPRODUCT(MAX(ROW(E$1:E51)*(E52=E$1:E51)))))</f>
        <v/>
      </c>
      <c r="L52" s="26"/>
    </row>
    <row r="53" spans="1:12" x14ac:dyDescent="0.3">
      <c r="A53" t="s">
        <v>167</v>
      </c>
      <c r="E53" s="21" t="str">
        <f t="shared" si="6"/>
        <v/>
      </c>
      <c r="F53" s="22" t="str">
        <f>IF(OR(E53="",E53="!!!"),"",IF(NOT(ISNA(VLOOKUP(E53,E$1:E52,1,FALSE()))),"OLD",IF(AND(E53&lt;&gt;"",E53&lt;&gt;"!!!"),"NEW","")))</f>
        <v/>
      </c>
      <c r="G53" s="23" t="str">
        <f>IF(OR(E53="",E53="!!!"),"",IF(OR(J53=0,AND(J53=1,K53=1),AND(J53=1,I53="SBJ"),AND(J53=1,I53=0)),"?IN_FOCUS",IF(J53&lt;=2,"?ACTIVATED",IF(J53&lt;&gt;"","?FAMILIAR",IF(F53="NEW",IF(ISNA(VLOOKUP(E53,#REF!,1,FALSE())),"?TYPE_IDENTIFIABLE","?REFERENTIAL"),"_")))))</f>
        <v/>
      </c>
      <c r="H53" s="24" t="str">
        <f t="shared" ca="1" si="7"/>
        <v/>
      </c>
      <c r="I53" s="25" t="str">
        <f>IF(OR(E53="",E53="!!!",F53="NEW"),"",INDEX(B$2:B52,-1+SUMPRODUCT(MAX(ROW(E$2:E52)*(E53=E$2:E52)))))</f>
        <v/>
      </c>
      <c r="J53" s="25" t="str">
        <f ca="1">IF(OR(E53="",E53="!!!",F53="NEW"),"",COUNTBLANK(OFFSET(A$1,,,SUMPRODUCT(MAX(ROW(E$2:E53)*(E53=E$2:E53)))))-COUNTBLANK(OFFSET(A$1,,,SUMPRODUCT(MAX(ROW(E$1:E52)*(E2=E$1:E52))))))</f>
        <v/>
      </c>
      <c r="K53" s="25" t="str">
        <f>IF(OR(E53="",E53="!!!",F53="NEW"),"",INDEX(J$1:J52,SUMPRODUCT(MAX(ROW(E$1:E52)*(E53=E$1:E52)))))</f>
        <v/>
      </c>
      <c r="L53" s="26"/>
    </row>
    <row r="55" spans="1:12" x14ac:dyDescent="0.3">
      <c r="A55" t="s">
        <v>192</v>
      </c>
      <c r="E55" s="21" t="str">
        <f>IF(D55="?OLD","!!!","")</f>
        <v/>
      </c>
      <c r="F55" s="22" t="str">
        <f>IF(OR(E55="",E55="!!!"),"",IF(NOT(ISNA(VLOOKUP(E55,E$1:E54,1,FALSE()))),"OLD",IF(AND(E55&lt;&gt;"",E55&lt;&gt;"!!!"),"NEW","")))</f>
        <v/>
      </c>
      <c r="G55" s="23" t="str">
        <f>IF(OR(E55="",E55="!!!"),"",IF(OR(J55=0,AND(J55=1,K55=1),AND(J55=1,I55="SBJ"),AND(J55=1,I55=0)),"?IN_FOCUS",IF(J55&lt;=2,"?ACTIVATED",IF(J55&lt;&gt;"","?FAMILIAR",IF(F55="NEW",IF(ISNA(VLOOKUP(E55,#REF!,1,FALSE())),"?TYPE_IDENTIFIABLE","?REFERENTIAL"),"_")))))</f>
        <v/>
      </c>
      <c r="H55" s="24" t="str">
        <f ca="1">IF(J55&lt;&gt;1,"",IF(I55="SBJ","CB","?"))</f>
        <v/>
      </c>
      <c r="I55" s="25" t="str">
        <f>IF(OR(E55="",E55="!!!",F55="NEW"),"",INDEX(B$2:B54,-1+SUMPRODUCT(MAX(ROW(E$2:E54)*(E55=E$2:E54)))))</f>
        <v/>
      </c>
      <c r="J55" s="25" t="str">
        <f ca="1">IF(OR(E55="",E55="!!!",F55="NEW"),"",COUNTBLANK(OFFSET(A$1,,,SUMPRODUCT(MAX(ROW(E$2:E55)*(E55=E$2:E55)))))-COUNTBLANK(OFFSET(A$1,,,SUMPRODUCT(MAX(ROW(E$1:E54)*(E2=E$1:E54))))))</f>
        <v/>
      </c>
      <c r="K55" s="25" t="str">
        <f>IF(OR(E55="",E55="!!!",F55="NEW"),"",INDEX(J$1:J54,SUMPRODUCT(MAX(ROW(E$1:E54)*(E55=E$1:E54)))))</f>
        <v/>
      </c>
      <c r="L55" s="26"/>
    </row>
    <row r="56" spans="1:12" x14ac:dyDescent="0.3">
      <c r="A56" t="s">
        <v>193</v>
      </c>
    </row>
    <row r="57" spans="1:12" x14ac:dyDescent="0.3">
      <c r="A57" t="s">
        <v>194</v>
      </c>
      <c r="E57" s="21" t="str">
        <f t="shared" ref="E57:E86" si="8">IF(D57="?OLD","!!!","")</f>
        <v/>
      </c>
      <c r="F57" s="22" t="str">
        <f>IF(OR(E57="",E57="!!!"),"",IF(NOT(ISNA(VLOOKUP(E57,E$1:E56,1,FALSE()))),"OLD",IF(AND(E57&lt;&gt;"",E57&lt;&gt;"!!!"),"NEW","")))</f>
        <v/>
      </c>
      <c r="G57" s="23" t="str">
        <f>IF(OR(E57="",E57="!!!"),"",IF(OR(J57=0,AND(J57=1,K57=1),AND(J57=1,I57="SBJ"),AND(J57=1,I57=0)),"?IN_FOCUS",IF(J57&lt;=2,"?ACTIVATED",IF(J57&lt;&gt;"","?FAMILIAR",IF(F57="NEW",IF(ISNA(VLOOKUP(E57,#REF!,1,FALSE())),"?TYPE_IDENTIFIABLE","?REFERENTIAL"),"_")))))</f>
        <v/>
      </c>
      <c r="H57" s="24" t="str">
        <f t="shared" ref="H57:H86" ca="1" si="9">IF(J57&lt;&gt;1,"",IF(I57="SBJ","CB","?"))</f>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195</v>
      </c>
      <c r="E58" s="21" t="str">
        <f t="shared" si="8"/>
        <v/>
      </c>
      <c r="F58" s="22" t="str">
        <f>IF(OR(E58="",E58="!!!"),"",IF(NOT(ISNA(VLOOKUP(E58,E$1:E57,1,FALSE()))),"OLD",IF(AND(E58&lt;&gt;"",E58&lt;&gt;"!!!"),"NEW","")))</f>
        <v/>
      </c>
      <c r="G58" s="23" t="str">
        <f>IF(OR(E58="",E58="!!!"),"",IF(OR(J58=0,AND(J58=1,K58=1),AND(J58=1,I58="SBJ"),AND(J58=1,I58=0)),"?IN_FOCUS",IF(J58&lt;=2,"?ACTIVATED",IF(J58&lt;&gt;"","?FAMILIAR",IF(F58="NEW",IF(ISNA(VLOOKUP(E58,#REF!,1,FALSE())),"?TYPE_IDENTIFIABLE","?REFERENTIAL"),"_")))))</f>
        <v/>
      </c>
      <c r="H58" s="24" t="str">
        <f t="shared" ca="1" si="9"/>
        <v/>
      </c>
      <c r="I58" s="25" t="str">
        <f>IF(OR(E58="",E58="!!!",F58="NEW"),"",INDEX(B$2:B57,-1+SUMPRODUCT(MAX(ROW(E$2:E57)*(E58=E$2:E57)))))</f>
        <v/>
      </c>
      <c r="J58" s="25" t="str">
        <f ca="1">IF(OR(E58="",E58="!!!",F58="NEW"),"",COUNTBLANK(OFFSET(A$1,,,SUMPRODUCT(MAX(ROW(E$2:E58)*(E58=E$2:E58)))))-COUNTBLANK(OFFSET(A$1,,,SUMPRODUCT(MAX(ROW(E$1:E57)*(E2=E$1:E57))))))</f>
        <v/>
      </c>
      <c r="K58" s="25" t="str">
        <f>IF(OR(E58="",E58="!!!",F58="NEW"),"",INDEX(J$1:J57,SUMPRODUCT(MAX(ROW(E$1:E57)*(E58=E$1:E57)))))</f>
        <v/>
      </c>
      <c r="L58" s="26"/>
    </row>
    <row r="59" spans="1:12" x14ac:dyDescent="0.3">
      <c r="A59" t="s">
        <v>196</v>
      </c>
      <c r="B59" s="20" t="s">
        <v>149</v>
      </c>
      <c r="C59" s="20" t="s">
        <v>197</v>
      </c>
      <c r="E59" s="21" t="str">
        <f t="shared" si="8"/>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t="shared" ca="1" si="9"/>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174</v>
      </c>
      <c r="E60" s="21" t="str">
        <f t="shared" si="8"/>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t="shared" ca="1" si="9"/>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1" spans="1:12" x14ac:dyDescent="0.3">
      <c r="A61" t="s">
        <v>198</v>
      </c>
      <c r="B61" s="20" t="s">
        <v>144</v>
      </c>
      <c r="C61" s="20" t="s">
        <v>158</v>
      </c>
      <c r="D61" s="20" t="s">
        <v>146</v>
      </c>
      <c r="E61" s="21" t="s">
        <v>486</v>
      </c>
      <c r="F61" s="22" t="str">
        <f>IF(OR(E61="",E61="!!!"),"",IF(NOT(ISNA(VLOOKUP(E61,E$1:E60,1,FALSE()))),"OLD",IF(AND(E61&lt;&gt;"",E61&lt;&gt;"!!!"),"NEW","")))</f>
        <v>NEW</v>
      </c>
      <c r="G61" s="23" t="s">
        <v>482</v>
      </c>
      <c r="H61" s="24" t="str">
        <f t="shared" ca="1" si="9"/>
        <v/>
      </c>
      <c r="I61" s="25" t="str">
        <f>IF(OR(E61="",E61="!!!",F61="NEW"),"",INDEX(B$2:B60,-1+SUMPRODUCT(MAX(ROW(E$2:E60)*(E61=E$2:E60)))))</f>
        <v/>
      </c>
      <c r="J61" s="25" t="str">
        <f ca="1">IF(OR(E61="",E61="!!!",F61="NEW"),"",COUNTBLANK(OFFSET(A$1,,,SUMPRODUCT(MAX(ROW(E$2:E61)*(E61=E$2:E61)))))-COUNTBLANK(OFFSET(A$1,,,SUMPRODUCT(MAX(ROW(E$1:E60)*(E2=E$1:E60))))))</f>
        <v/>
      </c>
      <c r="K61" s="25" t="str">
        <f>IF(OR(E61="",E61="!!!",F61="NEW"),"",INDEX(J$1:J60,SUMPRODUCT(MAX(ROW(E$1:E60)*(E61=E$1:E60)))))</f>
        <v/>
      </c>
      <c r="L61" s="26"/>
    </row>
    <row r="62" spans="1:12" x14ac:dyDescent="0.3">
      <c r="A62" t="s">
        <v>199</v>
      </c>
      <c r="E62" s="21" t="str">
        <f t="shared" si="8"/>
        <v/>
      </c>
      <c r="F62" s="22" t="str">
        <f>IF(OR(E62="",E62="!!!"),"",IF(NOT(ISNA(VLOOKUP(E62,E$1:E61,1,FALSE()))),"OLD",IF(AND(E62&lt;&gt;"",E62&lt;&gt;"!!!"),"NEW","")))</f>
        <v/>
      </c>
      <c r="G62" s="23" t="str">
        <f>IF(OR(E62="",E62="!!!"),"",IF(OR(J62=0,AND(J62=1,K62=1),AND(J62=1,I62="SBJ"),AND(J62=1,I62=0)),"?IN_FOCUS",IF(J62&lt;=2,"?ACTIVATED",IF(J62&lt;&gt;"","?FAMILIAR",IF(F62="NEW",IF(ISNA(VLOOKUP(E62,#REF!,1,FALSE())),"?TYPE_IDENTIFIABLE","?REFERENTIAL"),"_")))))</f>
        <v/>
      </c>
      <c r="H62" s="24" t="str">
        <f t="shared" ca="1" si="9"/>
        <v/>
      </c>
      <c r="I62" s="25" t="str">
        <f>IF(OR(E62="",E62="!!!",F62="NEW"),"",INDEX(B$2:B61,-1+SUMPRODUCT(MAX(ROW(E$2:E61)*(E62=E$2:E61)))))</f>
        <v/>
      </c>
      <c r="J62" s="25" t="str">
        <f ca="1">IF(OR(E62="",E62="!!!",F62="NEW"),"",COUNTBLANK(OFFSET(A$1,,,SUMPRODUCT(MAX(ROW(E$2:E62)*(E62=E$2:E62)))))-COUNTBLANK(OFFSET(A$1,,,SUMPRODUCT(MAX(ROW(E$1:E61)*(E2=E$1:E61))))))</f>
        <v/>
      </c>
      <c r="K62" s="25" t="str">
        <f>IF(OR(E62="",E62="!!!",F62="NEW"),"",INDEX(J$1:J61,SUMPRODUCT(MAX(ROW(E$1:E61)*(E62=E$1:E61)))))</f>
        <v/>
      </c>
      <c r="L62" s="26"/>
    </row>
    <row r="63" spans="1:12" x14ac:dyDescent="0.3">
      <c r="A63" t="s">
        <v>200</v>
      </c>
      <c r="B63" s="20" t="s">
        <v>157</v>
      </c>
      <c r="C63" s="20" t="s">
        <v>201</v>
      </c>
      <c r="D63" s="20" t="s">
        <v>146</v>
      </c>
      <c r="E63" s="21"/>
      <c r="F63" s="22" t="s">
        <v>501</v>
      </c>
      <c r="G63" s="23" t="str">
        <f>IF(OR(E63="",E63="!!!"),"",IF(OR(J63=0,AND(J63=1,K63=1),AND(J63=1,I63="SBJ"),AND(J63=1,I63=0)),"?IN_FOCUS",IF(J63&lt;=2,"?ACTIVATED",IF(J63&lt;&gt;"","?FAMILIAR",IF(F63="NEW",IF(ISNA(VLOOKUP(E63,#REF!,1,FALSE())),"?TYPE_IDENTIFIABLE","?REFERENTIAL"),"_")))))</f>
        <v/>
      </c>
      <c r="H63" s="24" t="str">
        <f t="shared" ca="1" si="9"/>
        <v/>
      </c>
      <c r="I63" s="25" t="str">
        <f>IF(OR(E63="",E63="!!!",F63="NEW"),"",INDEX(B$2:B62,-1+SUMPRODUCT(MAX(ROW(E$2:E62)*(E63=E$2:E62)))))</f>
        <v/>
      </c>
      <c r="J63" s="25" t="str">
        <f ca="1">IF(OR(E63="",E63="!!!",F63="NEW"),"",COUNTBLANK(OFFSET(A$1,,,SUMPRODUCT(MAX(ROW(E$2:E63)*(E63=E$2:E63)))))-COUNTBLANK(OFFSET(A$1,,,SUMPRODUCT(MAX(ROW(E$1:E62)*(E2=E$1:E62))))))</f>
        <v/>
      </c>
      <c r="K63" s="25" t="str">
        <f>IF(OR(E63="",E63="!!!",F63="NEW"),"",INDEX(J$1:J62,SUMPRODUCT(MAX(ROW(E$1:E62)*(E63=E$1:E62)))))</f>
        <v/>
      </c>
      <c r="L63" s="26"/>
    </row>
    <row r="64" spans="1:12" x14ac:dyDescent="0.3">
      <c r="A64" t="s">
        <v>202</v>
      </c>
      <c r="E64" s="21" t="str">
        <f t="shared" si="8"/>
        <v/>
      </c>
      <c r="F64" s="22" t="str">
        <f>IF(OR(E64="",E64="!!!"),"",IF(NOT(ISNA(VLOOKUP(E64,E$1:E63,1,FALSE()))),"OLD",IF(AND(E64&lt;&gt;"",E64&lt;&gt;"!!!"),"NEW","")))</f>
        <v/>
      </c>
      <c r="G64" s="23" t="str">
        <f>IF(OR(E64="",E64="!!!"),"",IF(OR(J64=0,AND(J64=1,K64=1),AND(J64=1,I64="SBJ"),AND(J64=1,I64=0)),"?IN_FOCUS",IF(J64&lt;=2,"?ACTIVATED",IF(J64&lt;&gt;"","?FAMILIAR",IF(F64="NEW",IF(ISNA(VLOOKUP(E64,#REF!,1,FALSE())),"?TYPE_IDENTIFIABLE","?REFERENTIAL"),"_")))))</f>
        <v/>
      </c>
      <c r="H64" s="24" t="str">
        <f t="shared" ca="1" si="9"/>
        <v/>
      </c>
      <c r="I64" s="25" t="str">
        <f>IF(OR(E64="",E64="!!!",F64="NEW"),"",INDEX(B$2:B63,-1+SUMPRODUCT(MAX(ROW(E$2:E63)*(E64=E$2:E63)))))</f>
        <v/>
      </c>
      <c r="J64" s="25" t="str">
        <f ca="1">IF(OR(E64="",E64="!!!",F64="NEW"),"",COUNTBLANK(OFFSET(A$1,,,SUMPRODUCT(MAX(ROW(E$2:E64)*(E64=E$2:E64)))))-COUNTBLANK(OFFSET(A$1,,,SUMPRODUCT(MAX(ROW(E$1:E63)*(E2=E$1:E63))))))</f>
        <v/>
      </c>
      <c r="K64" s="25" t="str">
        <f>IF(OR(E64="",E64="!!!",F64="NEW"),"",INDEX(J$1:J63,SUMPRODUCT(MAX(ROW(E$1:E63)*(E64=E$1:E63)))))</f>
        <v/>
      </c>
      <c r="L64" s="26"/>
    </row>
    <row r="65" spans="1:12" x14ac:dyDescent="0.3">
      <c r="A65" t="s">
        <v>203</v>
      </c>
      <c r="E65" s="21" t="str">
        <f t="shared" si="8"/>
        <v/>
      </c>
      <c r="F65" s="22" t="str">
        <f>IF(OR(E65="",E65="!!!"),"",IF(NOT(ISNA(VLOOKUP(E65,E$1:E64,1,FALSE()))),"OLD",IF(AND(E65&lt;&gt;"",E65&lt;&gt;"!!!"),"NEW","")))</f>
        <v/>
      </c>
      <c r="G65" s="23" t="str">
        <f>IF(OR(E65="",E65="!!!"),"",IF(OR(J65=0,AND(J65=1,K65=1),AND(J65=1,I65="SBJ"),AND(J65=1,I65=0)),"?IN_FOCUS",IF(J65&lt;=2,"?ACTIVATED",IF(J65&lt;&gt;"","?FAMILIAR",IF(F65="NEW",IF(ISNA(VLOOKUP(E65,#REF!,1,FALSE())),"?TYPE_IDENTIFIABLE","?REFERENTIAL"),"_")))))</f>
        <v/>
      </c>
      <c r="H65" s="24" t="str">
        <f t="shared" ca="1" si="9"/>
        <v/>
      </c>
      <c r="I65" s="25" t="str">
        <f>IF(OR(E65="",E65="!!!",F65="NEW"),"",INDEX(B$2:B64,-1+SUMPRODUCT(MAX(ROW(E$2:E64)*(E65=E$2:E64)))))</f>
        <v/>
      </c>
      <c r="J65" s="25" t="str">
        <f ca="1">IF(OR(E65="",E65="!!!",F65="NEW"),"",COUNTBLANK(OFFSET(A$1,,,SUMPRODUCT(MAX(ROW(E$2:E65)*(E65=E$2:E65)))))-COUNTBLANK(OFFSET(A$1,,,SUMPRODUCT(MAX(ROW(E$1:E64)*(E2=E$1:E64))))))</f>
        <v/>
      </c>
      <c r="K65" s="25" t="str">
        <f>IF(OR(E65="",E65="!!!",F65="NEW"),"",INDEX(J$1:J64,SUMPRODUCT(MAX(ROW(E$1:E64)*(E65=E$1:E64)))))</f>
        <v/>
      </c>
      <c r="L65" s="26"/>
    </row>
    <row r="66" spans="1:12" x14ac:dyDescent="0.3">
      <c r="A66" t="s">
        <v>147</v>
      </c>
      <c r="B66" s="20" t="s">
        <v>163</v>
      </c>
      <c r="C66" s="20" t="s">
        <v>145</v>
      </c>
      <c r="D66" s="20" t="s">
        <v>146</v>
      </c>
      <c r="E66" s="21" t="s">
        <v>480</v>
      </c>
      <c r="F66" s="22" t="str">
        <f>IF(OR(E66="",E66="!!!"),"",IF(NOT(ISNA(VLOOKUP(E66,E$1:E65,1,FALSE()))),"OLD",IF(AND(E66&lt;&gt;"",E66&lt;&gt;"!!!"),"NEW","")))</f>
        <v>OLD</v>
      </c>
      <c r="G66" s="23" t="s">
        <v>528</v>
      </c>
      <c r="H66" s="24" t="str">
        <f t="shared" ca="1" si="9"/>
        <v/>
      </c>
      <c r="I66" s="25" t="str">
        <f>IF(OR(E66="",E66="!!!",F66="NEW"),"",INDEX(B$2:B65,-1+SUMPRODUCT(MAX(ROW(E$2:E65)*(E66=E$2:E65)))))</f>
        <v>other_2</v>
      </c>
      <c r="J66" s="25">
        <f ca="1">IF(OR(E66="",E66="!!!",F66="NEW"),"",COUNTBLANK(OFFSET(A$1,,,SUMPRODUCT(MAX(ROW(E$2:E66)*(E66=E$2:E66)))))-COUNTBLANK(OFFSET(A$1,,,SUMPRODUCT(MAX(ROW(E$1:E65)*(E2=E$1:E65))))))</f>
        <v>0</v>
      </c>
      <c r="K66" s="25">
        <f ca="1">IF(OR(E66="",E66="!!!",F66="NEW"),"",INDEX(J$1:J65,SUMPRODUCT(MAX(ROW(E$1:E65)*(E66=E$1:E65)))))</f>
        <v>0</v>
      </c>
      <c r="L66" s="26"/>
    </row>
    <row r="67" spans="1:12" x14ac:dyDescent="0.3">
      <c r="A67" t="s">
        <v>204</v>
      </c>
      <c r="E67" s="21" t="str">
        <f t="shared" si="8"/>
        <v/>
      </c>
      <c r="F67" s="22" t="str">
        <f>IF(OR(E67="",E67="!!!"),"",IF(NOT(ISNA(VLOOKUP(E67,E$1:E66,1,FALSE()))),"OLD",IF(AND(E67&lt;&gt;"",E67&lt;&gt;"!!!"),"NEW","")))</f>
        <v/>
      </c>
      <c r="G67" s="23" t="str">
        <f>IF(OR(E67="",E67="!!!"),"",IF(OR(J67=0,AND(J67=1,K67=1),AND(J67=1,I67="SBJ"),AND(J67=1,I67=0)),"?IN_FOCUS",IF(J67&lt;=2,"?ACTIVATED",IF(J67&lt;&gt;"","?FAMILIAR",IF(F67="NEW",IF(ISNA(VLOOKUP(E67,#REF!,1,FALSE())),"?TYPE_IDENTIFIABLE","?REFERENTIAL"),"_")))))</f>
        <v/>
      </c>
      <c r="H67" s="24" t="str">
        <f t="shared" ca="1" si="9"/>
        <v/>
      </c>
      <c r="I67" s="25" t="str">
        <f>IF(OR(E67="",E67="!!!",F67="NEW"),"",INDEX(B$2:B66,-1+SUMPRODUCT(MAX(ROW(E$2:E66)*(E67=E$2:E66)))))</f>
        <v/>
      </c>
      <c r="J67" s="25" t="str">
        <f ca="1">IF(OR(E67="",E67="!!!",F67="NEW"),"",COUNTBLANK(OFFSET(A$1,,,SUMPRODUCT(MAX(ROW(E$2:E67)*(E67=E$2:E67)))))-COUNTBLANK(OFFSET(A$1,,,SUMPRODUCT(MAX(ROW(E$1:E66)*(E2=E$1:E66))))))</f>
        <v/>
      </c>
      <c r="K67" s="25" t="str">
        <f>IF(OR(E67="",E67="!!!",F67="NEW"),"",INDEX(J$1:J66,SUMPRODUCT(MAX(ROW(E$1:E66)*(E67=E$1:E66)))))</f>
        <v/>
      </c>
      <c r="L67" s="26"/>
    </row>
    <row r="68" spans="1:12" x14ac:dyDescent="0.3">
      <c r="A68" t="s">
        <v>205</v>
      </c>
      <c r="B68" s="20" t="s">
        <v>144</v>
      </c>
      <c r="C68" s="20" t="s">
        <v>150</v>
      </c>
      <c r="E68" s="21" t="str">
        <f t="shared" si="8"/>
        <v/>
      </c>
      <c r="F68" s="22" t="str">
        <f>IF(OR(E68="",E68="!!!"),"",IF(NOT(ISNA(VLOOKUP(E68,E$1:E67,1,FALSE()))),"OLD",IF(AND(E68&lt;&gt;"",E68&lt;&gt;"!!!"),"NEW","")))</f>
        <v/>
      </c>
      <c r="G68" s="23" t="str">
        <f>IF(OR(E68="",E68="!!!"),"",IF(OR(J68=0,AND(J68=1,K68=1),AND(J68=1,I68="SBJ"),AND(J68=1,I68=0)),"?IN_FOCUS",IF(J68&lt;=2,"?ACTIVATED",IF(J68&lt;&gt;"","?FAMILIAR",IF(F68="NEW",IF(ISNA(VLOOKUP(E68,#REF!,1,FALSE())),"?TYPE_IDENTIFIABLE","?REFERENTIAL"),"_")))))</f>
        <v/>
      </c>
      <c r="H68" s="24" t="str">
        <f t="shared" ca="1" si="9"/>
        <v/>
      </c>
      <c r="I68" s="25" t="str">
        <f>IF(OR(E68="",E68="!!!",F68="NEW"),"",INDEX(B$2:B67,-1+SUMPRODUCT(MAX(ROW(E$2:E67)*(E68=E$2:E67)))))</f>
        <v/>
      </c>
      <c r="J68" s="25" t="str">
        <f ca="1">IF(OR(E68="",E68="!!!",F68="NEW"),"",COUNTBLANK(OFFSET(A$1,,,SUMPRODUCT(MAX(ROW(E$2:E68)*(E68=E$2:E68)))))-COUNTBLANK(OFFSET(A$1,,,SUMPRODUCT(MAX(ROW(E$1:E67)*(E2=E$1:E67))))))</f>
        <v/>
      </c>
      <c r="K68" s="25" t="str">
        <f>IF(OR(E68="",E68="!!!",F68="NEW"),"",INDEX(J$1:J67,SUMPRODUCT(MAX(ROW(E$1:E67)*(E68=E$1:E67)))))</f>
        <v/>
      </c>
      <c r="L68" s="26"/>
    </row>
    <row r="69" spans="1:12" x14ac:dyDescent="0.3">
      <c r="A69" t="s">
        <v>177</v>
      </c>
      <c r="E69" s="21" t="str">
        <f t="shared" si="8"/>
        <v/>
      </c>
      <c r="F69" s="22" t="str">
        <f>IF(OR(E69="",E69="!!!"),"",IF(NOT(ISNA(VLOOKUP(E69,E$1:E68,1,FALSE()))),"OLD",IF(AND(E69&lt;&gt;"",E69&lt;&gt;"!!!"),"NEW","")))</f>
        <v/>
      </c>
      <c r="G69" s="23" t="str">
        <f>IF(OR(E69="",E69="!!!"),"",IF(OR(J69=0,AND(J69=1,K69=1),AND(J69=1,I69="SBJ"),AND(J69=1,I69=0)),"?IN_FOCUS",IF(J69&lt;=2,"?ACTIVATED",IF(J69&lt;&gt;"","?FAMILIAR",IF(F69="NEW",IF(ISNA(VLOOKUP(E69,#REF!,1,FALSE())),"?TYPE_IDENTIFIABLE","?REFERENTIAL"),"_")))))</f>
        <v/>
      </c>
      <c r="H69" s="24" t="str">
        <f t="shared" ca="1" si="9"/>
        <v/>
      </c>
      <c r="I69" s="25" t="str">
        <f>IF(OR(E69="",E69="!!!",F69="NEW"),"",INDEX(B$2:B68,-1+SUMPRODUCT(MAX(ROW(E$2:E68)*(E69=E$2:E68)))))</f>
        <v/>
      </c>
      <c r="J69" s="25" t="str">
        <f ca="1">IF(OR(E69="",E69="!!!",F69="NEW"),"",COUNTBLANK(OFFSET(A$1,,,SUMPRODUCT(MAX(ROW(E$2:E69)*(E69=E$2:E69)))))-COUNTBLANK(OFFSET(A$1,,,SUMPRODUCT(MAX(ROW(E$1:E68)*(E2=E$1:E68))))))</f>
        <v/>
      </c>
      <c r="K69" s="25" t="str">
        <f>IF(OR(E69="",E69="!!!",F69="NEW"),"",INDEX(J$1:J68,SUMPRODUCT(MAX(ROW(E$1:E68)*(E69=E$1:E68)))))</f>
        <v/>
      </c>
      <c r="L69" s="26"/>
    </row>
    <row r="70" spans="1:12" x14ac:dyDescent="0.3">
      <c r="A70" t="s">
        <v>206</v>
      </c>
      <c r="B70" s="20" t="s">
        <v>165</v>
      </c>
      <c r="C70" s="20" t="s">
        <v>150</v>
      </c>
      <c r="E70" s="21" t="str">
        <f t="shared" si="8"/>
        <v/>
      </c>
      <c r="F70" s="22" t="str">
        <f>IF(OR(E70="",E70="!!!"),"",IF(NOT(ISNA(VLOOKUP(E70,E$1:E69,1,FALSE()))),"OLD",IF(AND(E70&lt;&gt;"",E70&lt;&gt;"!!!"),"NEW","")))</f>
        <v/>
      </c>
      <c r="G70" s="23" t="str">
        <f>IF(OR(E70="",E70="!!!"),"",IF(OR(J70=0,AND(J70=1,K70=1),AND(J70=1,I70="SBJ"),AND(J70=1,I70=0)),"?IN_FOCUS",IF(J70&lt;=2,"?ACTIVATED",IF(J70&lt;&gt;"","?FAMILIAR",IF(F70="NEW",IF(ISNA(VLOOKUP(E70,#REF!,1,FALSE())),"?TYPE_IDENTIFIABLE","?REFERENTIAL"),"_")))))</f>
        <v/>
      </c>
      <c r="H70" s="24" t="str">
        <f t="shared" ca="1" si="9"/>
        <v/>
      </c>
      <c r="I70" s="25" t="str">
        <f>IF(OR(E70="",E70="!!!",F70="NEW"),"",INDEX(B$2:B69,-1+SUMPRODUCT(MAX(ROW(E$2:E69)*(E70=E$2:E69)))))</f>
        <v/>
      </c>
      <c r="J70" s="25" t="str">
        <f ca="1">IF(OR(E70="",E70="!!!",F70="NEW"),"",COUNTBLANK(OFFSET(A$1,,,SUMPRODUCT(MAX(ROW(E$2:E70)*(E70=E$2:E70)))))-COUNTBLANK(OFFSET(A$1,,,SUMPRODUCT(MAX(ROW(E$1:E69)*(E2=E$1:E69))))))</f>
        <v/>
      </c>
      <c r="K70" s="25" t="str">
        <f>IF(OR(E70="",E70="!!!",F70="NEW"),"",INDEX(J$1:J69,SUMPRODUCT(MAX(ROW(E$1:E69)*(E70=E$1:E69)))))</f>
        <v/>
      </c>
      <c r="L70" s="26"/>
    </row>
    <row r="71" spans="1:12" x14ac:dyDescent="0.3">
      <c r="A71" t="s">
        <v>207</v>
      </c>
      <c r="E71" s="21" t="str">
        <f t="shared" si="8"/>
        <v/>
      </c>
      <c r="F71" s="22" t="str">
        <f>IF(OR(E71="",E71="!!!"),"",IF(NOT(ISNA(VLOOKUP(E71,E$1:E70,1,FALSE()))),"OLD",IF(AND(E71&lt;&gt;"",E71&lt;&gt;"!!!"),"NEW","")))</f>
        <v/>
      </c>
      <c r="G71" s="23" t="str">
        <f>IF(OR(E71="",E71="!!!"),"",IF(OR(J71=0,AND(J71=1,K71=1),AND(J71=1,I71="SBJ"),AND(J71=1,I71=0)),"?IN_FOCUS",IF(J71&lt;=2,"?ACTIVATED",IF(J71&lt;&gt;"","?FAMILIAR",IF(F71="NEW",IF(ISNA(VLOOKUP(E71,#REF!,1,FALSE())),"?TYPE_IDENTIFIABLE","?REFERENTIAL"),"_")))))</f>
        <v/>
      </c>
      <c r="H71" s="24" t="str">
        <f t="shared" ca="1" si="9"/>
        <v/>
      </c>
      <c r="I71" s="25" t="str">
        <f>IF(OR(E71="",E71="!!!",F71="NEW"),"",INDEX(B$2:B70,-1+SUMPRODUCT(MAX(ROW(E$2:E70)*(E71=E$2:E70)))))</f>
        <v/>
      </c>
      <c r="J71" s="25" t="str">
        <f ca="1">IF(OR(E71="",E71="!!!",F71="NEW"),"",COUNTBLANK(OFFSET(A$1,,,SUMPRODUCT(MAX(ROW(E$2:E71)*(E71=E$2:E71)))))-COUNTBLANK(OFFSET(A$1,,,SUMPRODUCT(MAX(ROW(E$1:E70)*(E2=E$1:E70))))))</f>
        <v/>
      </c>
      <c r="K71" s="25" t="str">
        <f>IF(OR(E71="",E71="!!!",F71="NEW"),"",INDEX(J$1:J70,SUMPRODUCT(MAX(ROW(E$1:E70)*(E71=E$1:E70)))))</f>
        <v/>
      </c>
      <c r="L71" s="26"/>
    </row>
    <row r="72" spans="1:12" x14ac:dyDescent="0.3">
      <c r="A72" t="s">
        <v>208</v>
      </c>
      <c r="E72" s="21" t="str">
        <f t="shared" si="8"/>
        <v/>
      </c>
      <c r="F72" s="22" t="str">
        <f>IF(OR(E72="",E72="!!!"),"",IF(NOT(ISNA(VLOOKUP(E72,E$1:E71,1,FALSE()))),"OLD",IF(AND(E72&lt;&gt;"",E72&lt;&gt;"!!!"),"NEW","")))</f>
        <v/>
      </c>
      <c r="G72" s="23" t="str">
        <f>IF(OR(E72="",E72="!!!"),"",IF(OR(J72=0,AND(J72=1,K72=1),AND(J72=1,I72="SBJ"),AND(J72=1,I72=0)),"?IN_FOCUS",IF(J72&lt;=2,"?ACTIVATED",IF(J72&lt;&gt;"","?FAMILIAR",IF(F72="NEW",IF(ISNA(VLOOKUP(E72,#REF!,1,FALSE())),"?TYPE_IDENTIFIABLE","?REFERENTIAL"),"_")))))</f>
        <v/>
      </c>
      <c r="H72" s="24" t="str">
        <f t="shared" ca="1" si="9"/>
        <v/>
      </c>
      <c r="I72" s="25" t="str">
        <f>IF(OR(E72="",E72="!!!",F72="NEW"),"",INDEX(B$2:B71,-1+SUMPRODUCT(MAX(ROW(E$2:E71)*(E72=E$2:E71)))))</f>
        <v/>
      </c>
      <c r="J72" s="25" t="str">
        <f ca="1">IF(OR(E72="",E72="!!!",F72="NEW"),"",COUNTBLANK(OFFSET(A$1,,,SUMPRODUCT(MAX(ROW(E$2:E72)*(E72=E$2:E72)))))-COUNTBLANK(OFFSET(A$1,,,SUMPRODUCT(MAX(ROW(E$1:E71)*(E2=E$1:E71))))))</f>
        <v/>
      </c>
      <c r="K72" s="25" t="str">
        <f>IF(OR(E72="",E72="!!!",F72="NEW"),"",INDEX(J$1:J71,SUMPRODUCT(MAX(ROW(E$1:E71)*(E72=E$1:E71)))))</f>
        <v/>
      </c>
      <c r="L72" s="26"/>
    </row>
    <row r="73" spans="1:12" x14ac:dyDescent="0.3">
      <c r="A73" t="s">
        <v>209</v>
      </c>
      <c r="B73" s="20" t="s">
        <v>163</v>
      </c>
      <c r="C73" s="20" t="s">
        <v>158</v>
      </c>
      <c r="D73" s="20" t="s">
        <v>146</v>
      </c>
      <c r="E73" s="21" t="s">
        <v>488</v>
      </c>
      <c r="F73" s="22" t="str">
        <f>IF(OR(E73="",E73="!!!"),"",IF(NOT(ISNA(VLOOKUP(E73,E$1:E72,1,FALSE()))),"OLD",IF(AND(E73&lt;&gt;"",E73&lt;&gt;"!!!"),"NEW","")))</f>
        <v>NEW</v>
      </c>
      <c r="G73" s="23" t="str">
        <f ca="1">IF(OR(E73="",E73="!!!"),"",IF(OR(J73=0,AND(J73=1,K73=1),AND(J73=1,I73="SBJ"),AND(J73=1,I73=0)),"?IN_FOCUS",IF(J73&lt;=2,"?ACTIVATED",IF(J73&lt;&gt;"","?FAMILIAR",IF(F73="NEW",IF(ISNA(VLOOKUP(E73,#REF!,1,FALSE())),"?TYPE_IDENTIFIABLE","?REFERENTIAL"),"_")))))</f>
        <v>?REFERENTIAL</v>
      </c>
      <c r="H73" s="24" t="str">
        <f t="shared" ca="1" si="9"/>
        <v/>
      </c>
      <c r="I73" s="25" t="str">
        <f>IF(OR(E73="",E73="!!!",F73="NEW"),"",INDEX(B$2:B72,-1+SUMPRODUCT(MAX(ROW(E$2:E72)*(E73=E$2:E72)))))</f>
        <v/>
      </c>
      <c r="J73" s="25" t="str">
        <f ca="1">IF(OR(E73="",E73="!!!",F73="NEW"),"",COUNTBLANK(OFFSET(A$1,,,SUMPRODUCT(MAX(ROW(E$2:E73)*(E73=E$2:E73)))))-COUNTBLANK(OFFSET(A$1,,,SUMPRODUCT(MAX(ROW(E$1:E72)*(E2=E$1:E72))))))</f>
        <v/>
      </c>
      <c r="K73" s="25" t="str">
        <f>IF(OR(E73="",E73="!!!",F73="NEW"),"",INDEX(J$1:J72,SUMPRODUCT(MAX(ROW(E$1:E72)*(E73=E$1:E72)))))</f>
        <v/>
      </c>
      <c r="L73" s="26"/>
    </row>
    <row r="74" spans="1:12" x14ac:dyDescent="0.3">
      <c r="A74" t="s">
        <v>210</v>
      </c>
      <c r="B74" s="20" t="s">
        <v>165</v>
      </c>
      <c r="C74" s="20" t="s">
        <v>145</v>
      </c>
      <c r="D74" s="20" t="s">
        <v>146</v>
      </c>
      <c r="E74" s="21" t="s">
        <v>481</v>
      </c>
      <c r="F74" s="22" t="str">
        <f>IF(OR(E74="",E74="!!!"),"",IF(NOT(ISNA(VLOOKUP(E74,E$1:E73,1,FALSE()))),"OLD",IF(AND(E74&lt;&gt;"",E74&lt;&gt;"!!!"),"NEW","")))</f>
        <v>OLD</v>
      </c>
      <c r="G74" s="23" t="s">
        <v>527</v>
      </c>
      <c r="H74" s="24" t="s">
        <v>138</v>
      </c>
      <c r="I74" s="25" t="str">
        <f>IF(OR(E74="",E74="!!!",F74="NEW"),"",INDEX(B$2:B73,-1+SUMPRODUCT(MAX(ROW(E$2:E73)*(E74=E$2:E73)))))</f>
        <v>SBJ</v>
      </c>
      <c r="J74" s="25">
        <f ca="1">IF(OR(E74="",E74="!!!",F74="NEW"),"",COUNTBLANK(OFFSET(A$1,,,SUMPRODUCT(MAX(ROW(E$2:E74)*(E74=E$2:E74)))))-COUNTBLANK(OFFSET(A$1,,,SUMPRODUCT(MAX(ROW(E$1:E73)*(E2=E$1:E73))))))</f>
        <v>0</v>
      </c>
      <c r="K74" s="25">
        <f ca="1">IF(OR(E74="",E74="!!!",F74="NEW"),"",INDEX(J$1:J73,SUMPRODUCT(MAX(ROW(E$1:E73)*(E74=E$1:E73)))))</f>
        <v>0</v>
      </c>
      <c r="L74" s="26"/>
    </row>
    <row r="75" spans="1:12" x14ac:dyDescent="0.3">
      <c r="A75" t="s">
        <v>177</v>
      </c>
      <c r="E75" s="21" t="str">
        <f t="shared" si="8"/>
        <v/>
      </c>
      <c r="F75" s="22" t="str">
        <f>IF(OR(E75="",E75="!!!"),"",IF(NOT(ISNA(VLOOKUP(E75,E$1:E74,1,FALSE()))),"OLD",IF(AND(E75&lt;&gt;"",E75&lt;&gt;"!!!"),"NEW","")))</f>
        <v/>
      </c>
      <c r="G75" s="23" t="str">
        <f>IF(OR(E75="",E75="!!!"),"",IF(OR(J75=0,AND(J75=1,K75=1),AND(J75=1,I75="SBJ"),AND(J75=1,I75=0)),"?IN_FOCUS",IF(J75&lt;=2,"?ACTIVATED",IF(J75&lt;&gt;"","?FAMILIAR",IF(F75="NEW",IF(ISNA(VLOOKUP(E75,#REF!,1,FALSE())),"?TYPE_IDENTIFIABLE","?REFERENTIAL"),"_")))))</f>
        <v/>
      </c>
      <c r="H75" s="24" t="str">
        <f t="shared" ca="1" si="9"/>
        <v/>
      </c>
      <c r="I75" s="25" t="str">
        <f>IF(OR(E75="",E75="!!!",F75="NEW"),"",INDEX(B$2:B74,-1+SUMPRODUCT(MAX(ROW(E$2:E74)*(E75=E$2:E74)))))</f>
        <v/>
      </c>
      <c r="J75" s="25" t="str">
        <f ca="1">IF(OR(E75="",E75="!!!",F75="NEW"),"",COUNTBLANK(OFFSET(A$1,,,SUMPRODUCT(MAX(ROW(E$2:E75)*(E75=E$2:E75)))))-COUNTBLANK(OFFSET(A$1,,,SUMPRODUCT(MAX(ROW(E$1:E74)*(E2=E$1:E74))))))</f>
        <v/>
      </c>
      <c r="K75" s="25" t="str">
        <f>IF(OR(E75="",E75="!!!",F75="NEW"),"",INDEX(J$1:J74,SUMPRODUCT(MAX(ROW(E$1:E74)*(E75=E$1:E74)))))</f>
        <v/>
      </c>
      <c r="L75" s="26"/>
    </row>
    <row r="76" spans="1:12" x14ac:dyDescent="0.3">
      <c r="A76" t="s">
        <v>162</v>
      </c>
      <c r="E76" s="21" t="s">
        <v>481</v>
      </c>
      <c r="F76" s="22" t="str">
        <f>IF(OR(E76="",E76="!!!"),"",IF(NOT(ISNA(VLOOKUP(E76,E$1:E75,1,FALSE()))),"OLD",IF(AND(E76&lt;&gt;"",E76&lt;&gt;"!!!"),"NEW","")))</f>
        <v>OLD</v>
      </c>
      <c r="G76" s="23" t="s">
        <v>527</v>
      </c>
      <c r="H76" s="24" t="str">
        <f t="shared" ca="1" si="9"/>
        <v/>
      </c>
      <c r="I76" s="25" t="str">
        <f>IF(OR(E76="",E76="!!!",F76="NEW"),"",INDEX(B$2:B75,-1+SUMPRODUCT(MAX(ROW(E$2:E75)*(E76=E$2:E75)))))</f>
        <v>other_3</v>
      </c>
      <c r="J76" s="25">
        <f ca="1">IF(OR(E76="",E76="!!!",F76="NEW"),"",COUNTBLANK(OFFSET(A$1,,,SUMPRODUCT(MAX(ROW(E$2:E76)*(E76=E$2:E76)))))-COUNTBLANK(OFFSET(A$1,,,SUMPRODUCT(MAX(ROW(E$1:E75)*(E2=E$1:E75))))))</f>
        <v>0</v>
      </c>
      <c r="K76" s="25">
        <f ca="1">IF(OR(E76="",E76="!!!",F76="NEW"),"",INDEX(J$1:J75,SUMPRODUCT(MAX(ROW(E$1:E75)*(E76=E$1:E75)))))</f>
        <v>0</v>
      </c>
      <c r="L76" s="26" t="s">
        <v>489</v>
      </c>
    </row>
    <row r="77" spans="1:12" x14ac:dyDescent="0.3">
      <c r="A77" t="s">
        <v>211</v>
      </c>
      <c r="B77" s="20" t="s">
        <v>144</v>
      </c>
      <c r="C77" s="20" t="s">
        <v>164</v>
      </c>
      <c r="E77" s="21" t="s">
        <v>530</v>
      </c>
      <c r="F77" s="22" t="str">
        <f>IF(OR(E77="",E77="!!!"),"",IF(NOT(ISNA(VLOOKUP(E77,E$1:E76,1,FALSE()))),"OLD",IF(AND(E77&lt;&gt;"",E77&lt;&gt;"!!!"),"NEW","")))</f>
        <v>NEW</v>
      </c>
      <c r="G77" s="23" t="s">
        <v>483</v>
      </c>
      <c r="H77" s="24" t="str">
        <f t="shared" ca="1" si="9"/>
        <v/>
      </c>
      <c r="I77" s="25" t="str">
        <f>IF(OR(E77="",E77="!!!",F77="NEW"),"",INDEX(B$2:B76,-1+SUMPRODUCT(MAX(ROW(E$2:E76)*(E77=E$2:E76)))))</f>
        <v/>
      </c>
      <c r="J77" s="25" t="str">
        <f ca="1">IF(OR(E77="",E77="!!!",F77="NEW"),"",COUNTBLANK(OFFSET(A$1,,,SUMPRODUCT(MAX(ROW(E$2:E77)*(E77=E$2:E77)))))-COUNTBLANK(OFFSET(A$1,,,SUMPRODUCT(MAX(ROW(E$1:E76)*(E2=E$1:E76))))))</f>
        <v/>
      </c>
      <c r="K77" s="25" t="str">
        <f>IF(OR(E77="",E77="!!!",F77="NEW"),"",INDEX(J$1:J76,SUMPRODUCT(MAX(ROW(E$1:E76)*(E77=E$1:E76)))))</f>
        <v/>
      </c>
      <c r="L77" s="26"/>
    </row>
    <row r="78" spans="1:12" x14ac:dyDescent="0.3">
      <c r="A78" t="s">
        <v>212</v>
      </c>
      <c r="E78" s="21" t="str">
        <f t="shared" si="8"/>
        <v/>
      </c>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9"/>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213</v>
      </c>
      <c r="B79" s="20" t="s">
        <v>144</v>
      </c>
      <c r="C79" s="20" t="s">
        <v>150</v>
      </c>
      <c r="E79" s="21" t="s">
        <v>531</v>
      </c>
      <c r="F79" s="22" t="str">
        <f>IF(OR(E79="",E79="!!!"),"",IF(NOT(ISNA(VLOOKUP(E79,E$1:E78,1,FALSE()))),"OLD",IF(AND(E79&lt;&gt;"",E79&lt;&gt;"!!!"),"NEW","")))</f>
        <v>NEW</v>
      </c>
      <c r="G79" s="23" t="str">
        <f ca="1">IF(OR(E79="",E79="!!!"),"",IF(OR(J79=0,AND(J79=1,K79=1),AND(J79=1,I79="SBJ"),AND(J79=1,I79=0)),"?IN_FOCUS",IF(J79&lt;=2,"?ACTIVATED",IF(J79&lt;&gt;"","?FAMILIAR",IF(F79="NEW",IF(ISNA(VLOOKUP(E79,#REF!,1,FALSE())),"?TYPE_IDENTIFIABLE","?REFERENTIAL"),"_")))))</f>
        <v>?REFERENTIAL</v>
      </c>
      <c r="H79" s="24" t="str">
        <f t="shared" ca="1" si="9"/>
        <v/>
      </c>
      <c r="I79" s="25" t="str">
        <f>IF(OR(E79="",E79="!!!",F79="NEW"),"",INDEX(B$2:B78,-1+SUMPRODUCT(MAX(ROW(E$2:E78)*(E79=E$2:E78)))))</f>
        <v/>
      </c>
      <c r="J79" s="25" t="str">
        <f ca="1">IF(OR(E79="",E79="!!!",F79="NEW"),"",COUNTBLANK(OFFSET(A$1,,,SUMPRODUCT(MAX(ROW(E$2:E79)*(E79=E$2:E79)))))-COUNTBLANK(OFFSET(A$1,,,SUMPRODUCT(MAX(ROW(E$1:E78)*(E2=E$1:E78))))))</f>
        <v/>
      </c>
      <c r="K79" s="25" t="str">
        <f>IF(OR(E79="",E79="!!!",F79="NEW"),"",INDEX(J$1:J78,SUMPRODUCT(MAX(ROW(E$1:E78)*(E79=E$1:E78)))))</f>
        <v/>
      </c>
      <c r="L79" s="26" t="s">
        <v>532</v>
      </c>
    </row>
    <row r="80" spans="1:12" x14ac:dyDescent="0.3">
      <c r="A80" t="s">
        <v>214</v>
      </c>
      <c r="E80" s="21" t="str">
        <f t="shared" si="8"/>
        <v/>
      </c>
      <c r="F80" s="22" t="str">
        <f>IF(OR(E80="",E80="!!!"),"",IF(NOT(ISNA(VLOOKUP(E80,E$1:E79,1,FALSE()))),"OLD",IF(AND(E80&lt;&gt;"",E80&lt;&gt;"!!!"),"NEW","")))</f>
        <v/>
      </c>
      <c r="G80" s="23" t="str">
        <f>IF(OR(E80="",E80="!!!"),"",IF(OR(J80=0,AND(J80=1,K80=1),AND(J80=1,I80="SBJ"),AND(J80=1,I80=0)),"?IN_FOCUS",IF(J80&lt;=2,"?ACTIVATED",IF(J80&lt;&gt;"","?FAMILIAR",IF(F80="NEW",IF(ISNA(VLOOKUP(E80,#REF!,1,FALSE())),"?TYPE_IDENTIFIABLE","?REFERENTIAL"),"_")))))</f>
        <v/>
      </c>
      <c r="H80" s="24" t="str">
        <f t="shared" ca="1" si="9"/>
        <v/>
      </c>
      <c r="I80" s="25" t="str">
        <f>IF(OR(E80="",E80="!!!",F80="NEW"),"",INDEX(B$2:B79,-1+SUMPRODUCT(MAX(ROW(E$2:E79)*(E80=E$2:E79)))))</f>
        <v/>
      </c>
      <c r="J80" s="25" t="str">
        <f ca="1">IF(OR(E80="",E80="!!!",F80="NEW"),"",COUNTBLANK(OFFSET(A$1,,,SUMPRODUCT(MAX(ROW(E$2:E80)*(E80=E$2:E80)))))-COUNTBLANK(OFFSET(A$1,,,SUMPRODUCT(MAX(ROW(E$1:E79)*(E2=E$1:E79))))))</f>
        <v/>
      </c>
      <c r="K80" s="25" t="str">
        <f>IF(OR(E80="",E80="!!!",F80="NEW"),"",INDEX(J$1:J79,SUMPRODUCT(MAX(ROW(E$1:E79)*(E80=E$1:E79)))))</f>
        <v/>
      </c>
      <c r="L80" s="26"/>
    </row>
    <row r="81" spans="1:12" x14ac:dyDescent="0.3">
      <c r="A81" t="s">
        <v>215</v>
      </c>
      <c r="E81" s="21" t="str">
        <f t="shared" si="8"/>
        <v/>
      </c>
      <c r="F81" s="22" t="str">
        <f>IF(OR(E81="",E81="!!!"),"",IF(NOT(ISNA(VLOOKUP(E81,E$1:E80,1,FALSE()))),"OLD",IF(AND(E81&lt;&gt;"",E81&lt;&gt;"!!!"),"NEW","")))</f>
        <v/>
      </c>
      <c r="G81" s="23" t="str">
        <f>IF(OR(E81="",E81="!!!"),"",IF(OR(J81=0,AND(J81=1,K81=1),AND(J81=1,I81="SBJ"),AND(J81=1,I81=0)),"?IN_FOCUS",IF(J81&lt;=2,"?ACTIVATED",IF(J81&lt;&gt;"","?FAMILIAR",IF(F81="NEW",IF(ISNA(VLOOKUP(E81,#REF!,1,FALSE())),"?TYPE_IDENTIFIABLE","?REFERENTIAL"),"_")))))</f>
        <v/>
      </c>
      <c r="H81" s="24" t="str">
        <f t="shared" ca="1" si="9"/>
        <v/>
      </c>
      <c r="I81" s="25" t="str">
        <f>IF(OR(E81="",E81="!!!",F81="NEW"),"",INDEX(B$2:B80,-1+SUMPRODUCT(MAX(ROW(E$2:E80)*(E81=E$2:E80)))))</f>
        <v/>
      </c>
      <c r="J81" s="25" t="str">
        <f ca="1">IF(OR(E81="",E81="!!!",F81="NEW"),"",COUNTBLANK(OFFSET(A$1,,,SUMPRODUCT(MAX(ROW(E$2:E81)*(E81=E$2:E81)))))-COUNTBLANK(OFFSET(A$1,,,SUMPRODUCT(MAX(ROW(E$1:E80)*(E2=E$1:E80))))))</f>
        <v/>
      </c>
      <c r="K81" s="25" t="str">
        <f>IF(OR(E81="",E81="!!!",F81="NEW"),"",INDEX(J$1:J80,SUMPRODUCT(MAX(ROW(E$1:E80)*(E81=E$1:E80)))))</f>
        <v/>
      </c>
      <c r="L81" s="26"/>
    </row>
    <row r="82" spans="1:12" x14ac:dyDescent="0.3">
      <c r="A82" t="s">
        <v>216</v>
      </c>
      <c r="B82" s="20" t="s">
        <v>165</v>
      </c>
      <c r="C82" s="20" t="s">
        <v>158</v>
      </c>
      <c r="D82" s="20" t="s">
        <v>146</v>
      </c>
      <c r="E82" s="21" t="s">
        <v>487</v>
      </c>
      <c r="F82" s="22" t="str">
        <f>IF(OR(E82="",E82="!!!"),"",IF(NOT(ISNA(VLOOKUP(E82,E$1:E81,1,FALSE()))),"OLD",IF(AND(E82&lt;&gt;"",E82&lt;&gt;"!!!"),"NEW","")))</f>
        <v>NEW</v>
      </c>
      <c r="G82" s="23" t="s">
        <v>482</v>
      </c>
      <c r="H82" s="24" t="str">
        <f t="shared" ca="1" si="9"/>
        <v/>
      </c>
      <c r="I82" s="25" t="str">
        <f>IF(OR(E82="",E82="!!!",F82="NEW"),"",INDEX(B$2:B81,-1+SUMPRODUCT(MAX(ROW(E$2:E81)*(E82=E$2:E81)))))</f>
        <v/>
      </c>
      <c r="J82" s="25" t="str">
        <f ca="1">IF(OR(E82="",E82="!!!",F82="NEW"),"",COUNTBLANK(OFFSET(A$1,,,SUMPRODUCT(MAX(ROW(E$2:E82)*(E82=E$2:E82)))))-COUNTBLANK(OFFSET(A$1,,,SUMPRODUCT(MAX(ROW(E$1:E81)*(E2=E$1:E81))))))</f>
        <v/>
      </c>
      <c r="K82" s="25" t="str">
        <f>IF(OR(E82="",E82="!!!",F82="NEW"),"",INDEX(J$1:J81,SUMPRODUCT(MAX(ROW(E$1:E81)*(E82=E$1:E81)))))</f>
        <v/>
      </c>
      <c r="L82" s="26"/>
    </row>
    <row r="83" spans="1:12" x14ac:dyDescent="0.3">
      <c r="A83" t="s">
        <v>217</v>
      </c>
      <c r="E83" s="21" t="str">
        <f t="shared" si="8"/>
        <v/>
      </c>
      <c r="F83" s="22" t="str">
        <f>IF(OR(E83="",E83="!!!"),"",IF(NOT(ISNA(VLOOKUP(E83,E$1:E82,1,FALSE()))),"OLD",IF(AND(E83&lt;&gt;"",E83&lt;&gt;"!!!"),"NEW","")))</f>
        <v/>
      </c>
      <c r="G83" s="23" t="str">
        <f>IF(OR(E83="",E83="!!!"),"",IF(OR(J83=0,AND(J83=1,K83=1),AND(J83=1,I83="SBJ"),AND(J83=1,I83=0)),"?IN_FOCUS",IF(J83&lt;=2,"?ACTIVATED",IF(J83&lt;&gt;"","?FAMILIAR",IF(F83="NEW",IF(ISNA(VLOOKUP(E83,#REF!,1,FALSE())),"?TYPE_IDENTIFIABLE","?REFERENTIAL"),"_")))))</f>
        <v/>
      </c>
      <c r="H83" s="24" t="str">
        <f t="shared" ca="1" si="9"/>
        <v/>
      </c>
      <c r="I83" s="25" t="str">
        <f>IF(OR(E83="",E83="!!!",F83="NEW"),"",INDEX(B$2:B82,-1+SUMPRODUCT(MAX(ROW(E$2:E82)*(E83=E$2:E82)))))</f>
        <v/>
      </c>
      <c r="J83" s="25" t="str">
        <f ca="1">IF(OR(E83="",E83="!!!",F83="NEW"),"",COUNTBLANK(OFFSET(A$1,,,SUMPRODUCT(MAX(ROW(E$2:E83)*(E83=E$2:E83)))))-COUNTBLANK(OFFSET(A$1,,,SUMPRODUCT(MAX(ROW(E$1:E82)*(E2=E$1:E82))))))</f>
        <v/>
      </c>
      <c r="K83" s="25" t="str">
        <f>IF(OR(E83="",E83="!!!",F83="NEW"),"",INDEX(J$1:J82,SUMPRODUCT(MAX(ROW(E$1:E82)*(E83=E$1:E82)))))</f>
        <v/>
      </c>
      <c r="L83" s="26"/>
    </row>
    <row r="84" spans="1:12" x14ac:dyDescent="0.3">
      <c r="A84" t="s">
        <v>218</v>
      </c>
      <c r="E84" s="21" t="str">
        <f t="shared" si="8"/>
        <v/>
      </c>
      <c r="F84" s="22" t="str">
        <f>IF(OR(E84="",E84="!!!"),"",IF(NOT(ISNA(VLOOKUP(E84,E$1:E83,1,FALSE()))),"OLD",IF(AND(E84&lt;&gt;"",E84&lt;&gt;"!!!"),"NEW","")))</f>
        <v/>
      </c>
      <c r="G84" s="23" t="str">
        <f>IF(OR(E84="",E84="!!!"),"",IF(OR(J84=0,AND(J84=1,K84=1),AND(J84=1,I84="SBJ"),AND(J84=1,I84=0)),"?IN_FOCUS",IF(J84&lt;=2,"?ACTIVATED",IF(J84&lt;&gt;"","?FAMILIAR",IF(F84="NEW",IF(ISNA(VLOOKUP(E84,#REF!,1,FALSE())),"?TYPE_IDENTIFIABLE","?REFERENTIAL"),"_")))))</f>
        <v/>
      </c>
      <c r="H84" s="24" t="str">
        <f t="shared" ca="1" si="9"/>
        <v/>
      </c>
      <c r="I84" s="25" t="str">
        <f>IF(OR(E84="",E84="!!!",F84="NEW"),"",INDEX(B$2:B83,-1+SUMPRODUCT(MAX(ROW(E$2:E83)*(E84=E$2:E83)))))</f>
        <v/>
      </c>
      <c r="J84" s="25" t="str">
        <f ca="1">IF(OR(E84="",E84="!!!",F84="NEW"),"",COUNTBLANK(OFFSET(A$1,,,SUMPRODUCT(MAX(ROW(E$2:E84)*(E84=E$2:E84)))))-COUNTBLANK(OFFSET(A$1,,,SUMPRODUCT(MAX(ROW(E$1:E83)*(E2=E$1:E83))))))</f>
        <v/>
      </c>
      <c r="K84" s="25" t="str">
        <f>IF(OR(E84="",E84="!!!",F84="NEW"),"",INDEX(J$1:J83,SUMPRODUCT(MAX(ROW(E$1:E83)*(E84=E$1:E83)))))</f>
        <v/>
      </c>
      <c r="L84" s="26"/>
    </row>
    <row r="85" spans="1:12" x14ac:dyDescent="0.3">
      <c r="A85" t="s">
        <v>207</v>
      </c>
      <c r="E85" s="21" t="str">
        <f t="shared" si="8"/>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9"/>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167</v>
      </c>
      <c r="E86" s="21" t="str">
        <f t="shared" si="8"/>
        <v/>
      </c>
      <c r="F86" s="22" t="str">
        <f>IF(OR(E86="",E86="!!!"),"",IF(NOT(ISNA(VLOOKUP(E86,E$1:E85,1,FALSE()))),"OLD",IF(AND(E86&lt;&gt;"",E86&lt;&gt;"!!!"),"NEW","")))</f>
        <v/>
      </c>
      <c r="G86" s="23" t="str">
        <f>IF(OR(E86="",E86="!!!"),"",IF(OR(J86=0,AND(J86=1,K86=1),AND(J86=1,I86="SBJ"),AND(J86=1,I86=0)),"?IN_FOCUS",IF(J86&lt;=2,"?ACTIVATED",IF(J86&lt;&gt;"","?FAMILIAR",IF(F86="NEW",IF(ISNA(VLOOKUP(E86,#REF!,1,FALSE())),"?TYPE_IDENTIFIABLE","?REFERENTIAL"),"_")))))</f>
        <v/>
      </c>
      <c r="H86" s="24" t="str">
        <f t="shared" ca="1" si="9"/>
        <v/>
      </c>
      <c r="I86" s="25" t="str">
        <f>IF(OR(E86="",E86="!!!",F86="NEW"),"",INDEX(B$2:B85,-1+SUMPRODUCT(MAX(ROW(E$2:E85)*(E86=E$2:E85)))))</f>
        <v/>
      </c>
      <c r="J86" s="25" t="str">
        <f ca="1">IF(OR(E86="",E86="!!!",F86="NEW"),"",COUNTBLANK(OFFSET(A$1,,,SUMPRODUCT(MAX(ROW(E$2:E86)*(E86=E$2:E86)))))-COUNTBLANK(OFFSET(A$1,,,SUMPRODUCT(MAX(ROW(E$1:E85)*(E2=E$1:E85))))))</f>
        <v/>
      </c>
      <c r="K86" s="25" t="str">
        <f>IF(OR(E86="",E86="!!!",F86="NEW"),"",INDEX(J$1:J85,SUMPRODUCT(MAX(ROW(E$1:E85)*(E86=E$1:E85)))))</f>
        <v/>
      </c>
      <c r="L86" s="26"/>
    </row>
    <row r="88" spans="1:12" x14ac:dyDescent="0.3">
      <c r="A88" t="s">
        <v>219</v>
      </c>
    </row>
    <row r="89" spans="1:12" x14ac:dyDescent="0.3">
      <c r="A89" t="s">
        <v>220</v>
      </c>
      <c r="B89" s="20" t="s">
        <v>157</v>
      </c>
      <c r="C89" s="20" t="s">
        <v>145</v>
      </c>
      <c r="D89" s="20" t="s">
        <v>146</v>
      </c>
      <c r="E89" s="21" t="s">
        <v>490</v>
      </c>
      <c r="F89" s="22" t="str">
        <f>IF(OR(E89="",E89="!!!"),"",IF(NOT(ISNA(VLOOKUP(E89,E$1:E88,1,FALSE()))),"OLD",IF(AND(E89&lt;&gt;"",E89&lt;&gt;"!!!"),"NEW","")))</f>
        <v>NEW</v>
      </c>
      <c r="G89" s="23" t="s">
        <v>136</v>
      </c>
      <c r="H89" s="24" t="str">
        <f t="shared" ref="H89:H104" ca="1" si="10">IF(J89&lt;&gt;1,"",IF(I89="SBJ","CB","?"))</f>
        <v/>
      </c>
      <c r="I89" s="25" t="str">
        <f>IF(OR(E89="",E89="!!!",F89="NEW"),"",INDEX(B$2:B88,-1+SUMPRODUCT(MAX(ROW(E$2:E88)*(E89=E$2:E88)))))</f>
        <v/>
      </c>
      <c r="J89" s="25" t="str">
        <f ca="1">IF(OR(E89="",E89="!!!",F89="NEW"),"",COUNTBLANK(OFFSET(A$1,,,SUMPRODUCT(MAX(ROW(E$2:E89)*(E89=E$2:E89)))))-COUNTBLANK(OFFSET(A$1,,,SUMPRODUCT(MAX(ROW(E$1:E88)*(E2=E$1:E88))))))</f>
        <v/>
      </c>
      <c r="K89" s="25" t="str">
        <f>IF(OR(E89="",E89="!!!",F89="NEW"),"",INDEX(J$1:J88,SUMPRODUCT(MAX(ROW(E$1:E88)*(E89=E$1:E88)))))</f>
        <v/>
      </c>
      <c r="L89" s="26"/>
    </row>
    <row r="90" spans="1:12" x14ac:dyDescent="0.3">
      <c r="A90" t="s">
        <v>221</v>
      </c>
      <c r="E90" s="21" t="str">
        <f t="shared" ref="E89:E104" si="11">IF(D90="?OLD","!!!","")</f>
        <v/>
      </c>
      <c r="F90" s="22" t="str">
        <f>IF(OR(E90="",E90="!!!"),"",IF(NOT(ISNA(VLOOKUP(E90,E$1:E89,1,FALSE()))),"OLD",IF(AND(E90&lt;&gt;"",E90&lt;&gt;"!!!"),"NEW","")))</f>
        <v/>
      </c>
      <c r="G90" s="23" t="str">
        <f>IF(OR(E90="",E90="!!!"),"",IF(OR(J90=0,AND(J90=1,K90=1),AND(J90=1,I90="SBJ"),AND(J90=1,I90=0)),"?IN_FOCUS",IF(J90&lt;=2,"?ACTIVATED",IF(J90&lt;&gt;"","?FAMILIAR",IF(F90="NEW",IF(ISNA(VLOOKUP(E90,#REF!,1,FALSE())),"?TYPE_IDENTIFIABLE","?REFERENTIAL"),"_")))))</f>
        <v/>
      </c>
      <c r="H90" s="24" t="str">
        <f t="shared" ca="1" si="10"/>
        <v/>
      </c>
      <c r="I90" s="25" t="str">
        <f>IF(OR(E90="",E90="!!!",F90="NEW"),"",INDEX(B$2:B89,-1+SUMPRODUCT(MAX(ROW(E$2:E89)*(E90=E$2:E89)))))</f>
        <v/>
      </c>
      <c r="J90" s="25" t="str">
        <f ca="1">IF(OR(E90="",E90="!!!",F90="NEW"),"",COUNTBLANK(OFFSET(A$1,,,SUMPRODUCT(MAX(ROW(E$2:E90)*(E90=E$2:E90)))))-COUNTBLANK(OFFSET(A$1,,,SUMPRODUCT(MAX(ROW(E$1:E89)*(E2=E$1:E89))))))</f>
        <v/>
      </c>
      <c r="K90" s="25" t="str">
        <f>IF(OR(E90="",E90="!!!",F90="NEW"),"",INDEX(J$1:J89,SUMPRODUCT(MAX(ROW(E$1:E89)*(E90=E$1:E89)))))</f>
        <v/>
      </c>
      <c r="L90" s="26"/>
    </row>
    <row r="91" spans="1:12" x14ac:dyDescent="0.3">
      <c r="A91" t="s">
        <v>202</v>
      </c>
      <c r="E91" s="21" t="str">
        <f t="shared" si="11"/>
        <v/>
      </c>
      <c r="F91" s="22" t="str">
        <f>IF(OR(E91="",E91="!!!"),"",IF(NOT(ISNA(VLOOKUP(E91,E$1:E90,1,FALSE()))),"OLD",IF(AND(E91&lt;&gt;"",E91&lt;&gt;"!!!"),"NEW","")))</f>
        <v/>
      </c>
      <c r="G91" s="23" t="str">
        <f>IF(OR(E91="",E91="!!!"),"",IF(OR(J91=0,AND(J91=1,K91=1),AND(J91=1,I91="SBJ"),AND(J91=1,I91=0)),"?IN_FOCUS",IF(J91&lt;=2,"?ACTIVATED",IF(J91&lt;&gt;"","?FAMILIAR",IF(F91="NEW",IF(ISNA(VLOOKUP(E91,#REF!,1,FALSE())),"?TYPE_IDENTIFIABLE","?REFERENTIAL"),"_")))))</f>
        <v/>
      </c>
      <c r="H91" s="24" t="str">
        <f t="shared" ca="1" si="10"/>
        <v/>
      </c>
      <c r="I91" s="25" t="str">
        <f>IF(OR(E91="",E91="!!!",F91="NEW"),"",INDEX(B$2:B90,-1+SUMPRODUCT(MAX(ROW(E$2:E90)*(E91=E$2:E90)))))</f>
        <v/>
      </c>
      <c r="J91" s="25" t="str">
        <f ca="1">IF(OR(E91="",E91="!!!",F91="NEW"),"",COUNTBLANK(OFFSET(A$1,,,SUMPRODUCT(MAX(ROW(E$2:E91)*(E91=E$2:E91)))))-COUNTBLANK(OFFSET(A$1,,,SUMPRODUCT(MAX(ROW(E$1:E90)*(E2=E$1:E90))))))</f>
        <v/>
      </c>
      <c r="K91" s="25" t="str">
        <f>IF(OR(E91="",E91="!!!",F91="NEW"),"",INDEX(J$1:J90,SUMPRODUCT(MAX(ROW(E$1:E90)*(E91=E$1:E90)))))</f>
        <v/>
      </c>
      <c r="L91" s="26"/>
    </row>
    <row r="92" spans="1:12" x14ac:dyDescent="0.3">
      <c r="A92" t="s">
        <v>214</v>
      </c>
      <c r="B92" s="20" t="s">
        <v>222</v>
      </c>
      <c r="C92" s="20" t="s">
        <v>223</v>
      </c>
      <c r="D92" s="20" t="s">
        <v>146</v>
      </c>
      <c r="E92" s="21"/>
      <c r="F92" s="22" t="s">
        <v>491</v>
      </c>
      <c r="G92" s="23" t="str">
        <f>IF(OR(E92="",E92="!!!"),"",IF(OR(J92=0,AND(J92=1,K92=1),AND(J92=1,I92="SBJ"),AND(J92=1,I92=0)),"?IN_FOCUS",IF(J92&lt;=2,"?ACTIVATED",IF(J92&lt;&gt;"","?FAMILIAR",IF(F92="NEW",IF(ISNA(VLOOKUP(E92,#REF!,1,FALSE())),"?TYPE_IDENTIFIABLE","?REFERENTIAL"),"_")))))</f>
        <v/>
      </c>
      <c r="H92" s="24" t="str">
        <f t="shared" ca="1" si="10"/>
        <v/>
      </c>
      <c r="I92" s="25" t="str">
        <f>IF(OR(E92="",E92="!!!",F92="NEW"),"",INDEX(B$2:B91,-1+SUMPRODUCT(MAX(ROW(E$2:E91)*(E92=E$2:E91)))))</f>
        <v/>
      </c>
      <c r="J92" s="25" t="str">
        <f ca="1">IF(OR(E92="",E92="!!!",F92="NEW"),"",COUNTBLANK(OFFSET(A$1,,,SUMPRODUCT(MAX(ROW(E$2:E92)*(E92=E$2:E92)))))-COUNTBLANK(OFFSET(A$1,,,SUMPRODUCT(MAX(ROW(E$1:E91)*(E2=E$1:E91))))))</f>
        <v/>
      </c>
      <c r="K92" s="25" t="str">
        <f>IF(OR(E92="",E92="!!!",F92="NEW"),"",INDEX(J$1:J91,SUMPRODUCT(MAX(ROW(E$1:E91)*(E92=E$1:E91)))))</f>
        <v/>
      </c>
      <c r="L92" s="26"/>
    </row>
    <row r="93" spans="1:12" x14ac:dyDescent="0.3">
      <c r="A93" t="s">
        <v>224</v>
      </c>
      <c r="E93" s="21" t="str">
        <f t="shared" si="11"/>
        <v/>
      </c>
      <c r="F93" s="22" t="str">
        <f>IF(OR(E93="",E93="!!!"),"",IF(NOT(ISNA(VLOOKUP(E93,E$1:E92,1,FALSE()))),"OLD",IF(AND(E93&lt;&gt;"",E93&lt;&gt;"!!!"),"NEW","")))</f>
        <v/>
      </c>
      <c r="G93" s="23" t="str">
        <f>IF(OR(E93="",E93="!!!"),"",IF(OR(J93=0,AND(J93=1,K93=1),AND(J93=1,I93="SBJ"),AND(J93=1,I93=0)),"?IN_FOCUS",IF(J93&lt;=2,"?ACTIVATED",IF(J93&lt;&gt;"","?FAMILIAR",IF(F93="NEW",IF(ISNA(VLOOKUP(E93,#REF!,1,FALSE())),"?TYPE_IDENTIFIABLE","?REFERENTIAL"),"_")))))</f>
        <v/>
      </c>
      <c r="H93" s="24" t="str">
        <f t="shared" ca="1" si="10"/>
        <v/>
      </c>
      <c r="I93" s="25" t="str">
        <f>IF(OR(E93="",E93="!!!",F93="NEW"),"",INDEX(B$2:B92,-1+SUMPRODUCT(MAX(ROW(E$2:E92)*(E93=E$2:E92)))))</f>
        <v/>
      </c>
      <c r="J93" s="25" t="str">
        <f ca="1">IF(OR(E93="",E93="!!!",F93="NEW"),"",COUNTBLANK(OFFSET(A$1,,,SUMPRODUCT(MAX(ROW(E$2:E93)*(E93=E$2:E93)))))-COUNTBLANK(OFFSET(A$1,,,SUMPRODUCT(MAX(ROW(E$1:E92)*(E2=E$1:E92))))))</f>
        <v/>
      </c>
      <c r="K93" s="25" t="str">
        <f>IF(OR(E93="",E93="!!!",F93="NEW"),"",INDEX(J$1:J92,SUMPRODUCT(MAX(ROW(E$1:E92)*(E93=E$1:E92)))))</f>
        <v/>
      </c>
      <c r="L93" s="26"/>
    </row>
    <row r="94" spans="1:12" x14ac:dyDescent="0.3">
      <c r="A94" t="s">
        <v>225</v>
      </c>
      <c r="E94" s="21" t="str">
        <f t="shared" si="11"/>
        <v/>
      </c>
      <c r="F94" s="22" t="str">
        <f>IF(OR(E94="",E94="!!!"),"",IF(NOT(ISNA(VLOOKUP(E94,E$1:E93,1,FALSE()))),"OLD",IF(AND(E94&lt;&gt;"",E94&lt;&gt;"!!!"),"NEW","")))</f>
        <v/>
      </c>
      <c r="G94" s="23" t="str">
        <f>IF(OR(E94="",E94="!!!"),"",IF(OR(J94=0,AND(J94=1,K94=1),AND(J94=1,I94="SBJ"),AND(J94=1,I94=0)),"?IN_FOCUS",IF(J94&lt;=2,"?ACTIVATED",IF(J94&lt;&gt;"","?FAMILIAR",IF(F94="NEW",IF(ISNA(VLOOKUP(E94,#REF!,1,FALSE())),"?TYPE_IDENTIFIABLE","?REFERENTIAL"),"_")))))</f>
        <v/>
      </c>
      <c r="H94" s="24" t="str">
        <f t="shared" ca="1" si="10"/>
        <v/>
      </c>
      <c r="I94" s="25" t="str">
        <f>IF(OR(E94="",E94="!!!",F94="NEW"),"",INDEX(B$2:B93,-1+SUMPRODUCT(MAX(ROW(E$2:E93)*(E94=E$2:E93)))))</f>
        <v/>
      </c>
      <c r="J94" s="25" t="str">
        <f ca="1">IF(OR(E94="",E94="!!!",F94="NEW"),"",COUNTBLANK(OFFSET(A$1,,,SUMPRODUCT(MAX(ROW(E$2:E94)*(E94=E$2:E94)))))-COUNTBLANK(OFFSET(A$1,,,SUMPRODUCT(MAX(ROW(E$1:E93)*(E2=E$1:E93))))))</f>
        <v/>
      </c>
      <c r="K94" s="25" t="str">
        <f>IF(OR(E94="",E94="!!!",F94="NEW"),"",INDEX(J$1:J93,SUMPRODUCT(MAX(ROW(E$1:E93)*(E94=E$1:E93)))))</f>
        <v/>
      </c>
      <c r="L94" s="26"/>
    </row>
    <row r="95" spans="1:12" x14ac:dyDescent="0.3">
      <c r="A95" t="s">
        <v>210</v>
      </c>
      <c r="B95" s="20" t="s">
        <v>165</v>
      </c>
      <c r="C95" s="20" t="s">
        <v>172</v>
      </c>
      <c r="E95" s="21" t="s">
        <v>481</v>
      </c>
      <c r="F95" s="22" t="str">
        <f>IF(OR(E95="",E95="!!!"),"",IF(NOT(ISNA(VLOOKUP(E95,E$1:E94,1,FALSE()))),"OLD",IF(AND(E95&lt;&gt;"",E95&lt;&gt;"!!!"),"NEW","")))</f>
        <v>OLD</v>
      </c>
      <c r="G95" s="23" t="s">
        <v>527</v>
      </c>
      <c r="H95" s="24" t="s">
        <v>138</v>
      </c>
      <c r="I95" s="25">
        <f>IF(OR(E95="",E95="!!!",F95="NEW"),"",INDEX(B$2:B94,-1+SUMPRODUCT(MAX(ROW(E$2:E94)*(E95=E$2:E94)))))</f>
        <v>0</v>
      </c>
      <c r="J95" s="25">
        <f ca="1">IF(OR(E95="",E95="!!!",F95="NEW"),"",COUNTBLANK(OFFSET(A$1,,,SUMPRODUCT(MAX(ROW(E$2:E95)*(E95=E$2:E95)))))-COUNTBLANK(OFFSET(A$1,,,SUMPRODUCT(MAX(ROW(E$1:E94)*(E2=E$1:E94))))))</f>
        <v>0</v>
      </c>
      <c r="K95" s="25">
        <f ca="1">IF(OR(E95="",E95="!!!",F95="NEW"),"",INDEX(J$1:J94,SUMPRODUCT(MAX(ROW(E$1:E94)*(E95=E$1:E94)))))</f>
        <v>0</v>
      </c>
      <c r="L95" s="26"/>
    </row>
    <row r="96" spans="1:12" x14ac:dyDescent="0.3">
      <c r="A96" t="s">
        <v>226</v>
      </c>
      <c r="B96" s="20" t="s">
        <v>144</v>
      </c>
      <c r="C96" s="20" t="s">
        <v>150</v>
      </c>
      <c r="E96" s="21" t="str">
        <f t="shared" si="11"/>
        <v/>
      </c>
      <c r="F96" s="22" t="str">
        <f>IF(OR(E96="",E96="!!!"),"",IF(NOT(ISNA(VLOOKUP(E96,E$1:E95,1,FALSE()))),"OLD",IF(AND(E96&lt;&gt;"",E96&lt;&gt;"!!!"),"NEW","")))</f>
        <v/>
      </c>
      <c r="G96" s="23" t="str">
        <f>IF(OR(E96="",E96="!!!"),"",IF(OR(J96=0,AND(J96=1,K96=1),AND(J96=1,I96="SBJ"),AND(J96=1,I96=0)),"?IN_FOCUS",IF(J96&lt;=2,"?ACTIVATED",IF(J96&lt;&gt;"","?FAMILIAR",IF(F96="NEW",IF(ISNA(VLOOKUP(E96,#REF!,1,FALSE())),"?TYPE_IDENTIFIABLE","?REFERENTIAL"),"_")))))</f>
        <v/>
      </c>
      <c r="H96" s="24" t="str">
        <f t="shared" ca="1" si="10"/>
        <v/>
      </c>
      <c r="I96" s="25" t="str">
        <f>IF(OR(E96="",E96="!!!",F96="NEW"),"",INDEX(B$2:B95,-1+SUMPRODUCT(MAX(ROW(E$2:E95)*(E96=E$2:E95)))))</f>
        <v/>
      </c>
      <c r="J96" s="25" t="str">
        <f ca="1">IF(OR(E96="",E96="!!!",F96="NEW"),"",COUNTBLANK(OFFSET(A$1,,,SUMPRODUCT(MAX(ROW(E$2:E96)*(E96=E$2:E96)))))-COUNTBLANK(OFFSET(A$1,,,SUMPRODUCT(MAX(ROW(E$1:E95)*(E2=E$1:E95))))))</f>
        <v/>
      </c>
      <c r="K96" s="25" t="str">
        <f>IF(OR(E96="",E96="!!!",F96="NEW"),"",INDEX(J$1:J95,SUMPRODUCT(MAX(ROW(E$1:E95)*(E96=E$1:E95)))))</f>
        <v/>
      </c>
      <c r="L96" s="26"/>
    </row>
    <row r="97" spans="1:12" x14ac:dyDescent="0.3">
      <c r="A97" t="s">
        <v>169</v>
      </c>
      <c r="E97" s="21" t="str">
        <f t="shared" si="11"/>
        <v/>
      </c>
      <c r="F97" s="22" t="str">
        <f>IF(OR(E97="",E97="!!!"),"",IF(NOT(ISNA(VLOOKUP(E97,E$1:E96,1,FALSE()))),"OLD",IF(AND(E97&lt;&gt;"",E97&lt;&gt;"!!!"),"NEW","")))</f>
        <v/>
      </c>
      <c r="G97" s="23" t="str">
        <f>IF(OR(E97="",E97="!!!"),"",IF(OR(J97=0,AND(J97=1,K97=1),AND(J97=1,I97="SBJ"),AND(J97=1,I97=0)),"?IN_FOCUS",IF(J97&lt;=2,"?ACTIVATED",IF(J97&lt;&gt;"","?FAMILIAR",IF(F97="NEW",IF(ISNA(VLOOKUP(E97,#REF!,1,FALSE())),"?TYPE_IDENTIFIABLE","?REFERENTIAL"),"_")))))</f>
        <v/>
      </c>
      <c r="H97" s="24" t="str">
        <f t="shared" ca="1" si="10"/>
        <v/>
      </c>
      <c r="I97" s="25" t="str">
        <f>IF(OR(E97="",E97="!!!",F97="NEW"),"",INDEX(B$2:B96,-1+SUMPRODUCT(MAX(ROW(E$2:E96)*(E97=E$2:E96)))))</f>
        <v/>
      </c>
      <c r="J97" s="25" t="str">
        <f ca="1">IF(OR(E97="",E97="!!!",F97="NEW"),"",COUNTBLANK(OFFSET(A$1,,,SUMPRODUCT(MAX(ROW(E$2:E97)*(E97=E$2:E97)))))-COUNTBLANK(OFFSET(A$1,,,SUMPRODUCT(MAX(ROW(E$1:E96)*(E2=E$1:E96))))))</f>
        <v/>
      </c>
      <c r="K97" s="25" t="str">
        <f>IF(OR(E97="",E97="!!!",F97="NEW"),"",INDEX(J$1:J96,SUMPRODUCT(MAX(ROW(E$1:E96)*(E97=E$1:E96)))))</f>
        <v/>
      </c>
      <c r="L97" s="26"/>
    </row>
    <row r="98" spans="1:12" x14ac:dyDescent="0.3">
      <c r="A98" t="s">
        <v>202</v>
      </c>
      <c r="E98" s="21" t="str">
        <f t="shared" si="11"/>
        <v/>
      </c>
      <c r="F98" s="22" t="str">
        <f>IF(OR(E98="",E98="!!!"),"",IF(NOT(ISNA(VLOOKUP(E98,E$1:E97,1,FALSE()))),"OLD",IF(AND(E98&lt;&gt;"",E98&lt;&gt;"!!!"),"NEW","")))</f>
        <v/>
      </c>
      <c r="G98" s="23" t="str">
        <f>IF(OR(E98="",E98="!!!"),"",IF(OR(J98=0,AND(J98=1,K98=1),AND(J98=1,I98="SBJ"),AND(J98=1,I98=0)),"?IN_FOCUS",IF(J98&lt;=2,"?ACTIVATED",IF(J98&lt;&gt;"","?FAMILIAR",IF(F98="NEW",IF(ISNA(VLOOKUP(E98,#REF!,1,FALSE())),"?TYPE_IDENTIFIABLE","?REFERENTIAL"),"_")))))</f>
        <v/>
      </c>
      <c r="H98" s="24" t="str">
        <f t="shared" ca="1" si="10"/>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row>
    <row r="99" spans="1:12" x14ac:dyDescent="0.3">
      <c r="A99" t="s">
        <v>182</v>
      </c>
      <c r="E99" s="21" t="str">
        <f t="shared" si="11"/>
        <v/>
      </c>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10"/>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row>
    <row r="100" spans="1:12" x14ac:dyDescent="0.3">
      <c r="A100" t="s">
        <v>183</v>
      </c>
      <c r="B100" s="20" t="s">
        <v>144</v>
      </c>
      <c r="C100" s="20" t="s">
        <v>184</v>
      </c>
      <c r="E100" s="21" t="str">
        <f t="shared" si="11"/>
        <v/>
      </c>
      <c r="F100" s="22" t="str">
        <f>IF(OR(E100="",E100="!!!"),"",IF(NOT(ISNA(VLOOKUP(E100,E$1:E99,1,FALSE()))),"OLD",IF(AND(E100&lt;&gt;"",E100&lt;&gt;"!!!"),"NEW","")))</f>
        <v/>
      </c>
      <c r="G100" s="23" t="str">
        <f>IF(OR(E100="",E100="!!!"),"",IF(OR(J100=0,AND(J100=1,K100=1),AND(J100=1,I100="SBJ"),AND(J100=1,I100=0)),"?IN_FOCUS",IF(J100&lt;=2,"?ACTIVATED",IF(J100&lt;&gt;"","?FAMILIAR",IF(F100="NEW",IF(ISNA(VLOOKUP(E100,#REF!,1,FALSE())),"?TYPE_IDENTIFIABLE","?REFERENTIAL"),"_")))))</f>
        <v/>
      </c>
      <c r="H100" s="24" t="str">
        <f t="shared" ca="1" si="10"/>
        <v/>
      </c>
      <c r="I100" s="25" t="str">
        <f>IF(OR(E100="",E100="!!!",F100="NEW"),"",INDEX(B$2:B99,-1+SUMPRODUCT(MAX(ROW(E$2:E99)*(E100=E$2:E99)))))</f>
        <v/>
      </c>
      <c r="J100" s="25" t="str">
        <f ca="1">IF(OR(E100="",E100="!!!",F100="NEW"),"",COUNTBLANK(OFFSET(A$1,,,SUMPRODUCT(MAX(ROW(E$2:E100)*(E100=E$2:E100)))))-COUNTBLANK(OFFSET(A$1,,,SUMPRODUCT(MAX(ROW(E$1:E99)*(E2=E$1:E99))))))</f>
        <v/>
      </c>
      <c r="K100" s="25" t="str">
        <f>IF(OR(E100="",E100="!!!",F100="NEW"),"",INDEX(J$1:J99,SUMPRODUCT(MAX(ROW(E$1:E99)*(E100=E$1:E99)))))</f>
        <v/>
      </c>
      <c r="L100" s="26"/>
    </row>
    <row r="101" spans="1:12" x14ac:dyDescent="0.3">
      <c r="A101" t="s">
        <v>227</v>
      </c>
      <c r="E101" s="21"/>
      <c r="F101" s="22" t="str">
        <f>IF(OR(E101="",E101="!!!"),"",IF(NOT(ISNA(VLOOKUP(E101,E$1:E100,1,FALSE()))),"OLD",IF(AND(E101&lt;&gt;"",E101&lt;&gt;"!!!"),"NEW","")))</f>
        <v/>
      </c>
      <c r="G101" s="23"/>
      <c r="H101" s="24" t="str">
        <f t="shared" ca="1" si="10"/>
        <v/>
      </c>
      <c r="I101" s="25" t="str">
        <f>IF(OR(E101="",E101="!!!",F101="NEW"),"",INDEX(B$2:B100,-1+SUMPRODUCT(MAX(ROW(E$2:E100)*(E101=E$2:E100)))))</f>
        <v/>
      </c>
      <c r="J101" s="25" t="str">
        <f ca="1">IF(OR(E101="",E101="!!!",F101="NEW"),"",COUNTBLANK(OFFSET(A$1,,,SUMPRODUCT(MAX(ROW(E$2:E101)*(E101=E$2:E101)))))-COUNTBLANK(OFFSET(A$1,,,SUMPRODUCT(MAX(ROW(E$1:E100)*(E2=E$1:E100))))))</f>
        <v/>
      </c>
      <c r="K101" s="25" t="str">
        <f>IF(OR(E101="",E101="!!!",F101="NEW"),"",INDEX(J$1:J100,SUMPRODUCT(MAX(ROW(E$1:E100)*(E101=E$1:E100)))))</f>
        <v/>
      </c>
      <c r="L101" s="26"/>
    </row>
    <row r="102" spans="1:12" x14ac:dyDescent="0.3">
      <c r="A102" t="s">
        <v>228</v>
      </c>
      <c r="B102" s="20" t="s">
        <v>149</v>
      </c>
      <c r="C102" s="20" t="s">
        <v>164</v>
      </c>
      <c r="E102" s="21"/>
      <c r="F102" s="22" t="str">
        <f>IF(OR(E102="",E102="!!!"),"",IF(NOT(ISNA(VLOOKUP(E102,E$1:E101,1,FALSE()))),"OLD",IF(AND(E102&lt;&gt;"",E102&lt;&gt;"!!!"),"NEW","")))</f>
        <v/>
      </c>
      <c r="G102" s="23" t="str">
        <f>IF(OR(E102="",E102="!!!"),"",IF(OR(J102=0,AND(J102=1,K102=1),AND(J102=1,I102="SBJ"),AND(J102=1,I102=0)),"?IN_FOCUS",IF(J102&lt;=2,"?ACTIVATED",IF(J102&lt;&gt;"","?FAMILIAR",IF(F102="NEW",IF(ISNA(VLOOKUP(E102,#REF!,1,FALSE())),"?TYPE_IDENTIFIABLE","?REFERENTIAL"),"_")))))</f>
        <v/>
      </c>
      <c r="H102" s="24" t="str">
        <f t="shared" ca="1" si="10"/>
        <v/>
      </c>
      <c r="I102" s="25" t="str">
        <f>IF(OR(E102="",E102="!!!",F102="NEW"),"",INDEX(B$2:B101,-1+SUMPRODUCT(MAX(ROW(E$2:E101)*(E102=E$2:E101)))))</f>
        <v/>
      </c>
      <c r="J102" s="25" t="str">
        <f ca="1">IF(OR(E102="",E102="!!!",F102="NEW"),"",COUNTBLANK(OFFSET(A$1,,,SUMPRODUCT(MAX(ROW(E$2:E102)*(E102=E$2:E102)))))-COUNTBLANK(OFFSET(A$1,,,SUMPRODUCT(MAX(ROW(E$1:E101)*(E2=E$1:E101))))))</f>
        <v/>
      </c>
      <c r="K102" s="25" t="str">
        <f>IF(OR(E102="",E102="!!!",F102="NEW"),"",INDEX(J$1:J101,SUMPRODUCT(MAX(ROW(E$1:E101)*(E102=E$1:E101)))))</f>
        <v/>
      </c>
      <c r="L102" s="26"/>
    </row>
    <row r="103" spans="1:12" x14ac:dyDescent="0.3">
      <c r="A103" t="s">
        <v>191</v>
      </c>
      <c r="E103" s="21" t="s">
        <v>499</v>
      </c>
      <c r="F103" s="22" t="str">
        <f>IF(OR(E103="",E103="!!!"),"",IF(NOT(ISNA(VLOOKUP(E103,E$1:E102,1,FALSE()))),"OLD",IF(AND(E103&lt;&gt;"",E103&lt;&gt;"!!!"),"NEW","")))</f>
        <v>NEW</v>
      </c>
      <c r="G103" s="23" t="s">
        <v>483</v>
      </c>
      <c r="H103" s="24" t="str">
        <f t="shared" ca="1" si="10"/>
        <v/>
      </c>
      <c r="I103" s="25" t="str">
        <f>IF(OR(E103="",E103="!!!",F103="NEW"),"",INDEX(B$2:B102,-1+SUMPRODUCT(MAX(ROW(E$2:E102)*(E103=E$2:E102)))))</f>
        <v/>
      </c>
      <c r="J103" s="25" t="str">
        <f ca="1">IF(OR(E103="",E103="!!!",F103="NEW"),"",COUNTBLANK(OFFSET(A$1,,,SUMPRODUCT(MAX(ROW(E$2:E103)*(E103=E$2:E103)))))-COUNTBLANK(OFFSET(A$1,,,SUMPRODUCT(MAX(ROW(E$1:E102)*(E2=E$1:E102))))))</f>
        <v/>
      </c>
      <c r="K103" s="25" t="str">
        <f>IF(OR(E103="",E103="!!!",F103="NEW"),"",INDEX(J$1:J102,SUMPRODUCT(MAX(ROW(E$1:E102)*(E103=E$1:E102)))))</f>
        <v/>
      </c>
      <c r="L103" s="26" t="s">
        <v>532</v>
      </c>
    </row>
    <row r="104" spans="1:12" x14ac:dyDescent="0.3">
      <c r="A104" t="s">
        <v>167</v>
      </c>
      <c r="E104" s="21" t="str">
        <f t="shared" si="11"/>
        <v/>
      </c>
      <c r="F104" s="22" t="str">
        <f>IF(OR(E104="",E104="!!!"),"",IF(NOT(ISNA(VLOOKUP(E104,E$1:E103,1,FALSE()))),"OLD",IF(AND(E104&lt;&gt;"",E104&lt;&gt;"!!!"),"NEW","")))</f>
        <v/>
      </c>
      <c r="G104" s="23" t="str">
        <f>IF(OR(E104="",E104="!!!"),"",IF(OR(J104=0,AND(J104=1,K104=1),AND(J104=1,I104="SBJ"),AND(J104=1,I104=0)),"?IN_FOCUS",IF(J104&lt;=2,"?ACTIVATED",IF(J104&lt;&gt;"","?FAMILIAR",IF(F104="NEW",IF(ISNA(VLOOKUP(E104,#REF!,1,FALSE())),"?TYPE_IDENTIFIABLE","?REFERENTIAL"),"_")))))</f>
        <v/>
      </c>
      <c r="H104" s="24" t="str">
        <f t="shared" ca="1" si="10"/>
        <v/>
      </c>
      <c r="I104" s="25" t="str">
        <f>IF(OR(E104="",E104="!!!",F104="NEW"),"",INDEX(B$2:B103,-1+SUMPRODUCT(MAX(ROW(E$2:E103)*(E104=E$2:E103)))))</f>
        <v/>
      </c>
      <c r="J104" s="25" t="str">
        <f ca="1">IF(OR(E104="",E104="!!!",F104="NEW"),"",COUNTBLANK(OFFSET(A$1,,,SUMPRODUCT(MAX(ROW(E$2:E104)*(E104=E$2:E104)))))-COUNTBLANK(OFFSET(A$1,,,SUMPRODUCT(MAX(ROW(E$1:E103)*(E2=E$1:E103))))))</f>
        <v/>
      </c>
      <c r="K104" s="25" t="str">
        <f>IF(OR(E104="",E104="!!!",F104="NEW"),"",INDEX(J$1:J103,SUMPRODUCT(MAX(ROW(E$1:E103)*(E104=E$1:E103)))))</f>
        <v/>
      </c>
      <c r="L104" s="26"/>
    </row>
    <row r="106" spans="1:12" x14ac:dyDescent="0.3">
      <c r="A106" t="s">
        <v>229</v>
      </c>
    </row>
    <row r="107" spans="1:12" x14ac:dyDescent="0.3">
      <c r="A107" t="s">
        <v>221</v>
      </c>
      <c r="B107" s="20" t="s">
        <v>157</v>
      </c>
      <c r="C107" s="20" t="s">
        <v>145</v>
      </c>
      <c r="D107" s="20" t="s">
        <v>146</v>
      </c>
      <c r="E107" s="21" t="s">
        <v>490</v>
      </c>
      <c r="F107" s="22" t="str">
        <f>IF(OR(E107="",E107="!!!"),"",IF(NOT(ISNA(VLOOKUP(E107,E$1:E106,1,FALSE()))),"OLD",IF(AND(E107&lt;&gt;"",E107&lt;&gt;"!!!"),"NEW","")))</f>
        <v>OLD</v>
      </c>
      <c r="G107" s="23" t="s">
        <v>527</v>
      </c>
      <c r="H107" s="24" t="s">
        <v>138</v>
      </c>
      <c r="I107" s="25" t="str">
        <f>IF(OR(E107="",E107="!!!",F107="NEW"),"",INDEX(B$2:B106,-1+SUMPRODUCT(MAX(ROW(E$2:E106)*(E107=E$2:E106)))))</f>
        <v>SBJ</v>
      </c>
      <c r="J107" s="25">
        <f ca="1">IF(OR(E107="",E107="!!!",F107="NEW"),"",COUNTBLANK(OFFSET(A$1,,,SUMPRODUCT(MAX(ROW(E$2:E107)*(E107=E$2:E107)))))-COUNTBLANK(OFFSET(A$1,,,SUMPRODUCT(MAX(ROW(E$1:E106)*(E2=E$1:E106))))))</f>
        <v>0</v>
      </c>
      <c r="K107" s="25" t="str">
        <f ca="1">IF(OR(E107="",E107="!!!",F107="NEW"),"",INDEX(J$1:J106,SUMPRODUCT(MAX(ROW(E$1:E106)*(E107=E$1:E106)))))</f>
        <v/>
      </c>
      <c r="L107" s="26"/>
    </row>
    <row r="108" spans="1:12" x14ac:dyDescent="0.3">
      <c r="A108" t="s">
        <v>202</v>
      </c>
      <c r="E108" s="21" t="str">
        <f t="shared" ref="E107:E114" si="12">IF(D108="?OLD","!!!","")</f>
        <v/>
      </c>
      <c r="F108" s="22" t="str">
        <f>IF(OR(E108="",E108="!!!"),"",IF(NOT(ISNA(VLOOKUP(E108,E$1:E107,1,FALSE()))),"OLD",IF(AND(E108&lt;&gt;"",E108&lt;&gt;"!!!"),"NEW","")))</f>
        <v/>
      </c>
      <c r="G108" s="23" t="str">
        <f>IF(OR(E108="",E108="!!!"),"",IF(OR(J108=0,AND(J108=1,K108=1),AND(J108=1,I108="SBJ"),AND(J108=1,I108=0)),"?IN_FOCUS",IF(J108&lt;=2,"?ACTIVATED",IF(J108&lt;&gt;"","?FAMILIAR",IF(F108="NEW",IF(ISNA(VLOOKUP(E108,#REF!,1,FALSE())),"?TYPE_IDENTIFIABLE","?REFERENTIAL"),"_")))))</f>
        <v/>
      </c>
      <c r="H108" s="24" t="str">
        <f t="shared" ref="H107:H114" ca="1" si="13">IF(J108&lt;&gt;1,"",IF(I108="SBJ","CB","?"))</f>
        <v/>
      </c>
      <c r="I108" s="25" t="str">
        <f>IF(OR(E108="",E108="!!!",F108="NEW"),"",INDEX(B$2:B107,-1+SUMPRODUCT(MAX(ROW(E$2:E107)*(E108=E$2:E107)))))</f>
        <v/>
      </c>
      <c r="J108" s="25" t="str">
        <f ca="1">IF(OR(E108="",E108="!!!",F108="NEW"),"",COUNTBLANK(OFFSET(A$1,,,SUMPRODUCT(MAX(ROW(E$2:E108)*(E108=E$2:E108)))))-COUNTBLANK(OFFSET(A$1,,,SUMPRODUCT(MAX(ROW(E$1:E107)*(E2=E$1:E107))))))</f>
        <v/>
      </c>
      <c r="K108" s="25" t="str">
        <f>IF(OR(E108="",E108="!!!",F108="NEW"),"",INDEX(J$1:J107,SUMPRODUCT(MAX(ROW(E$1:E107)*(E108=E$1:E107)))))</f>
        <v/>
      </c>
      <c r="L108" s="26"/>
    </row>
    <row r="109" spans="1:12" x14ac:dyDescent="0.3">
      <c r="A109" t="s">
        <v>230</v>
      </c>
      <c r="E109" s="21" t="str">
        <f t="shared" si="12"/>
        <v/>
      </c>
      <c r="F109" s="22" t="str">
        <f>IF(OR(E109="",E109="!!!"),"",IF(NOT(ISNA(VLOOKUP(E109,E$1:E108,1,FALSE()))),"OLD",IF(AND(E109&lt;&gt;"",E109&lt;&gt;"!!!"),"NEW","")))</f>
        <v/>
      </c>
      <c r="G109" s="23" t="str">
        <f>IF(OR(E109="",E109="!!!"),"",IF(OR(J109=0,AND(J109=1,K109=1),AND(J109=1,I109="SBJ"),AND(J109=1,I109=0)),"?IN_FOCUS",IF(J109&lt;=2,"?ACTIVATED",IF(J109&lt;&gt;"","?FAMILIAR",IF(F109="NEW",IF(ISNA(VLOOKUP(E109,#REF!,1,FALSE())),"?TYPE_IDENTIFIABLE","?REFERENTIAL"),"_")))))</f>
        <v/>
      </c>
      <c r="H109" s="24" t="str">
        <f t="shared" ca="1" si="13"/>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202</v>
      </c>
      <c r="E110" s="21" t="str">
        <f t="shared" si="12"/>
        <v/>
      </c>
      <c r="F110" s="22" t="str">
        <f>IF(OR(E110="",E110="!!!"),"",IF(NOT(ISNA(VLOOKUP(E110,E$1:E109,1,FALSE()))),"OLD",IF(AND(E110&lt;&gt;"",E110&lt;&gt;"!!!"),"NEW","")))</f>
        <v/>
      </c>
      <c r="G110" s="23" t="str">
        <f>IF(OR(E110="",E110="!!!"),"",IF(OR(J110=0,AND(J110=1,K110=1),AND(J110=1,I110="SBJ"),AND(J110=1,I110=0)),"?IN_FOCUS",IF(J110&lt;=2,"?ACTIVATED",IF(J110&lt;&gt;"","?FAMILIAR",IF(F110="NEW",IF(ISNA(VLOOKUP(E110,#REF!,1,FALSE())),"?TYPE_IDENTIFIABLE","?REFERENTIAL"),"_")))))</f>
        <v/>
      </c>
      <c r="H110" s="24" t="str">
        <f t="shared" ca="1" si="13"/>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1" spans="1:12" x14ac:dyDescent="0.3">
      <c r="A111" t="s">
        <v>231</v>
      </c>
      <c r="E111" s="21" t="str">
        <f t="shared" si="12"/>
        <v/>
      </c>
      <c r="F111" s="22" t="str">
        <f>IF(OR(E111="",E111="!!!"),"",IF(NOT(ISNA(VLOOKUP(E111,E$1:E110,1,FALSE()))),"OLD",IF(AND(E111&lt;&gt;"",E111&lt;&gt;"!!!"),"NEW","")))</f>
        <v/>
      </c>
      <c r="G111" s="23" t="str">
        <f>IF(OR(E111="",E111="!!!"),"",IF(OR(J111=0,AND(J111=1,K111=1),AND(J111=1,I111="SBJ"),AND(J111=1,I111=0)),"?IN_FOCUS",IF(J111&lt;=2,"?ACTIVATED",IF(J111&lt;&gt;"","?FAMILIAR",IF(F111="NEW",IF(ISNA(VLOOKUP(E111,#REF!,1,FALSE())),"?TYPE_IDENTIFIABLE","?REFERENTIAL"),"_")))))</f>
        <v/>
      </c>
      <c r="H111" s="24" t="str">
        <f t="shared" ca="1" si="13"/>
        <v/>
      </c>
      <c r="I111" s="25" t="str">
        <f>IF(OR(E111="",E111="!!!",F111="NEW"),"",INDEX(B$2:B110,-1+SUMPRODUCT(MAX(ROW(E$2:E110)*(E111=E$2:E110)))))</f>
        <v/>
      </c>
      <c r="J111" s="25" t="str">
        <f ca="1">IF(OR(E111="",E111="!!!",F111="NEW"),"",COUNTBLANK(OFFSET(A$1,,,SUMPRODUCT(MAX(ROW(E$2:E111)*(E111=E$2:E111)))))-COUNTBLANK(OFFSET(A$1,,,SUMPRODUCT(MAX(ROW(E$1:E110)*(E2=E$1:E110))))))</f>
        <v/>
      </c>
      <c r="K111" s="25" t="str">
        <f>IF(OR(E111="",E111="!!!",F111="NEW"),"",INDEX(J$1:J110,SUMPRODUCT(MAX(ROW(E$1:E110)*(E111=E$1:E110)))))</f>
        <v/>
      </c>
      <c r="L111" s="26"/>
    </row>
    <row r="112" spans="1:12" x14ac:dyDescent="0.3">
      <c r="A112" t="s">
        <v>232</v>
      </c>
      <c r="E112" s="21" t="str">
        <f t="shared" si="12"/>
        <v/>
      </c>
      <c r="F112" s="22" t="str">
        <f>IF(OR(E112="",E112="!!!"),"",IF(NOT(ISNA(VLOOKUP(E112,E$1:E111,1,FALSE()))),"OLD",IF(AND(E112&lt;&gt;"",E112&lt;&gt;"!!!"),"NEW","")))</f>
        <v/>
      </c>
      <c r="G112" s="23" t="str">
        <f>IF(OR(E112="",E112="!!!"),"",IF(OR(J112=0,AND(J112=1,K112=1),AND(J112=1,I112="SBJ"),AND(J112=1,I112=0)),"?IN_FOCUS",IF(J112&lt;=2,"?ACTIVATED",IF(J112&lt;&gt;"","?FAMILIAR",IF(F112="NEW",IF(ISNA(VLOOKUP(E112,#REF!,1,FALSE())),"?TYPE_IDENTIFIABLE","?REFERENTIAL"),"_")))))</f>
        <v/>
      </c>
      <c r="H112" s="24" t="str">
        <f t="shared" ca="1" si="13"/>
        <v/>
      </c>
      <c r="I112" s="25" t="str">
        <f>IF(OR(E112="",E112="!!!",F112="NEW"),"",INDEX(B$2:B111,-1+SUMPRODUCT(MAX(ROW(E$2:E111)*(E112=E$2:E111)))))</f>
        <v/>
      </c>
      <c r="J112" s="25" t="str">
        <f ca="1">IF(OR(E112="",E112="!!!",F112="NEW"),"",COUNTBLANK(OFFSET(A$1,,,SUMPRODUCT(MAX(ROW(E$2:E112)*(E112=E$2:E112)))))-COUNTBLANK(OFFSET(A$1,,,SUMPRODUCT(MAX(ROW(E$1:E111)*(E2=E$1:E111))))))</f>
        <v/>
      </c>
      <c r="K112" s="25" t="str">
        <f>IF(OR(E112="",E112="!!!",F112="NEW"),"",INDEX(J$1:J111,SUMPRODUCT(MAX(ROW(E$1:E111)*(E112=E$1:E111)))))</f>
        <v/>
      </c>
      <c r="L112" s="26"/>
    </row>
    <row r="113" spans="1:12" x14ac:dyDescent="0.3">
      <c r="A113" t="s">
        <v>233</v>
      </c>
      <c r="B113" s="20" t="s">
        <v>149</v>
      </c>
      <c r="C113" s="20" t="s">
        <v>150</v>
      </c>
      <c r="E113" s="21" t="str">
        <f t="shared" si="12"/>
        <v/>
      </c>
      <c r="F113" s="22" t="str">
        <f>IF(OR(E113="",E113="!!!"),"",IF(NOT(ISNA(VLOOKUP(E113,E$1:E112,1,FALSE()))),"OLD",IF(AND(E113&lt;&gt;"",E113&lt;&gt;"!!!"),"NEW","")))</f>
        <v/>
      </c>
      <c r="G113" s="23" t="str">
        <f>IF(OR(E113="",E113="!!!"),"",IF(OR(J113=0,AND(J113=1,K113=1),AND(J113=1,I113="SBJ"),AND(J113=1,I113=0)),"?IN_FOCUS",IF(J113&lt;=2,"?ACTIVATED",IF(J113&lt;&gt;"","?FAMILIAR",IF(F113="NEW",IF(ISNA(VLOOKUP(E113,#REF!,1,FALSE())),"?TYPE_IDENTIFIABLE","?REFERENTIAL"),"_")))))</f>
        <v/>
      </c>
      <c r="H113" s="24" t="str">
        <f t="shared" ca="1" si="13"/>
        <v/>
      </c>
      <c r="I113" s="25" t="str">
        <f>IF(OR(E113="",E113="!!!",F113="NEW"),"",INDEX(B$2:B112,-1+SUMPRODUCT(MAX(ROW(E$2:E112)*(E113=E$2:E112)))))</f>
        <v/>
      </c>
      <c r="J113" s="25" t="str">
        <f ca="1">IF(OR(E113="",E113="!!!",F113="NEW"),"",COUNTBLANK(OFFSET(A$1,,,SUMPRODUCT(MAX(ROW(E$2:E113)*(E113=E$2:E113)))))-COUNTBLANK(OFFSET(A$1,,,SUMPRODUCT(MAX(ROW(E$1:E112)*(E2=E$1:E112))))))</f>
        <v/>
      </c>
      <c r="K113" s="25" t="str">
        <f>IF(OR(E113="",E113="!!!",F113="NEW"),"",INDEX(J$1:J112,SUMPRODUCT(MAX(ROW(E$1:E112)*(E113=E$1:E112)))))</f>
        <v/>
      </c>
      <c r="L113" s="26"/>
    </row>
    <row r="114" spans="1:12" x14ac:dyDescent="0.3">
      <c r="A114" t="s">
        <v>167</v>
      </c>
      <c r="E114" s="21" t="str">
        <f t="shared" si="12"/>
        <v/>
      </c>
      <c r="F114" s="22" t="str">
        <f>IF(OR(E114="",E114="!!!"),"",IF(NOT(ISNA(VLOOKUP(E114,E$1:E113,1,FALSE()))),"OLD",IF(AND(E114&lt;&gt;"",E114&lt;&gt;"!!!"),"NEW","")))</f>
        <v/>
      </c>
      <c r="G114" s="23" t="str">
        <f>IF(OR(E114="",E114="!!!"),"",IF(OR(J114=0,AND(J114=1,K114=1),AND(J114=1,I114="SBJ"),AND(J114=1,I114=0)),"?IN_FOCUS",IF(J114&lt;=2,"?ACTIVATED",IF(J114&lt;&gt;"","?FAMILIAR",IF(F114="NEW",IF(ISNA(VLOOKUP(E114,#REF!,1,FALSE())),"?TYPE_IDENTIFIABLE","?REFERENTIAL"),"_")))))</f>
        <v/>
      </c>
      <c r="H114" s="24" t="str">
        <f t="shared" ca="1" si="13"/>
        <v/>
      </c>
      <c r="I114" s="25" t="str">
        <f>IF(OR(E114="",E114="!!!",F114="NEW"),"",INDEX(B$2:B113,-1+SUMPRODUCT(MAX(ROW(E$2:E113)*(E114=E$2:E113)))))</f>
        <v/>
      </c>
      <c r="J114" s="25" t="str">
        <f ca="1">IF(OR(E114="",E114="!!!",F114="NEW"),"",COUNTBLANK(OFFSET(A$1,,,SUMPRODUCT(MAX(ROW(E$2:E114)*(E114=E$2:E114)))))-COUNTBLANK(OFFSET(A$1,,,SUMPRODUCT(MAX(ROW(E$1:E113)*(E2=E$1:E113))))))</f>
        <v/>
      </c>
      <c r="K114" s="25" t="str">
        <f>IF(OR(E114="",E114="!!!",F114="NEW"),"",INDEX(J$1:J113,SUMPRODUCT(MAX(ROW(E$1:E113)*(E114=E$1:E113)))))</f>
        <v/>
      </c>
      <c r="L114" s="26"/>
    </row>
    <row r="116" spans="1:12" x14ac:dyDescent="0.3">
      <c r="A116" t="s">
        <v>234</v>
      </c>
    </row>
    <row r="117" spans="1:12" x14ac:dyDescent="0.3">
      <c r="A117" t="s">
        <v>235</v>
      </c>
      <c r="E117" s="21" t="str">
        <f t="shared" ref="E117:E148" si="14">IF(D117="?OLD","!!!","")</f>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ref="H117:H148" ca="1" si="15">IF(J117&lt;&gt;1,"",IF(I117="SBJ","CB","?"))</f>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8" spans="1:12" x14ac:dyDescent="0.3">
      <c r="A118" t="s">
        <v>236</v>
      </c>
      <c r="E118" s="21" t="str">
        <f t="shared" si="14"/>
        <v/>
      </c>
      <c r="F118" s="22" t="str">
        <f>IF(OR(E118="",E118="!!!"),"",IF(NOT(ISNA(VLOOKUP(E118,E$1:E117,1,FALSE()))),"OLD",IF(AND(E118&lt;&gt;"",E118&lt;&gt;"!!!"),"NEW","")))</f>
        <v/>
      </c>
      <c r="G118" s="23" t="str">
        <f>IF(OR(E118="",E118="!!!"),"",IF(OR(J118=0,AND(J118=1,K118=1),AND(J118=1,I118="SBJ"),AND(J118=1,I118=0)),"?IN_FOCUS",IF(J118&lt;=2,"?ACTIVATED",IF(J118&lt;&gt;"","?FAMILIAR",IF(F118="NEW",IF(ISNA(VLOOKUP(E118,#REF!,1,FALSE())),"?TYPE_IDENTIFIABLE","?REFERENTIAL"),"_")))))</f>
        <v/>
      </c>
      <c r="H118" s="24" t="str">
        <f t="shared" ca="1" si="15"/>
        <v/>
      </c>
      <c r="I118" s="25" t="str">
        <f>IF(OR(E118="",E118="!!!",F118="NEW"),"",INDEX(B$2:B117,-1+SUMPRODUCT(MAX(ROW(E$2:E117)*(E118=E$2:E117)))))</f>
        <v/>
      </c>
      <c r="J118" s="25" t="str">
        <f ca="1">IF(OR(E118="",E118="!!!",F118="NEW"),"",COUNTBLANK(OFFSET(A$1,,,SUMPRODUCT(MAX(ROW(E$2:E118)*(E118=E$2:E118)))))-COUNTBLANK(OFFSET(A$1,,,SUMPRODUCT(MAX(ROW(E$1:E117)*(E2=E$1:E117))))))</f>
        <v/>
      </c>
      <c r="K118" s="25" t="str">
        <f>IF(OR(E118="",E118="!!!",F118="NEW"),"",INDEX(J$1:J117,SUMPRODUCT(MAX(ROW(E$1:E117)*(E118=E$1:E117)))))</f>
        <v/>
      </c>
      <c r="L118" s="26"/>
    </row>
    <row r="119" spans="1:12" x14ac:dyDescent="0.3">
      <c r="A119" t="s">
        <v>214</v>
      </c>
      <c r="E119" s="21" t="str">
        <f t="shared" si="14"/>
        <v/>
      </c>
      <c r="F119" s="22" t="str">
        <f>IF(OR(E119="",E119="!!!"),"",IF(NOT(ISNA(VLOOKUP(E119,E$1:E118,1,FALSE()))),"OLD",IF(AND(E119&lt;&gt;"",E119&lt;&gt;"!!!"),"NEW","")))</f>
        <v/>
      </c>
      <c r="G119" s="23" t="str">
        <f>IF(OR(E119="",E119="!!!"),"",IF(OR(J119=0,AND(J119=1,K119=1),AND(J119=1,I119="SBJ"),AND(J119=1,I119=0)),"?IN_FOCUS",IF(J119&lt;=2,"?ACTIVATED",IF(J119&lt;&gt;"","?FAMILIAR",IF(F119="NEW",IF(ISNA(VLOOKUP(E119,#REF!,1,FALSE())),"?TYPE_IDENTIFIABLE","?REFERENTIAL"),"_")))))</f>
        <v/>
      </c>
      <c r="H119" s="24" t="str">
        <f t="shared" ca="1" si="15"/>
        <v/>
      </c>
      <c r="I119" s="25" t="str">
        <f>IF(OR(E119="",E119="!!!",F119="NEW"),"",INDEX(B$2:B118,-1+SUMPRODUCT(MAX(ROW(E$2:E118)*(E119=E$2:E118)))))</f>
        <v/>
      </c>
      <c r="J119" s="25" t="str">
        <f ca="1">IF(OR(E119="",E119="!!!",F119="NEW"),"",COUNTBLANK(OFFSET(A$1,,,SUMPRODUCT(MAX(ROW(E$2:E119)*(E119=E$2:E119)))))-COUNTBLANK(OFFSET(A$1,,,SUMPRODUCT(MAX(ROW(E$1:E118)*(E2=E$1:E118))))))</f>
        <v/>
      </c>
      <c r="K119" s="25" t="str">
        <f>IF(OR(E119="",E119="!!!",F119="NEW"),"",INDEX(J$1:J118,SUMPRODUCT(MAX(ROW(E$1:E118)*(E119=E$1:E118)))))</f>
        <v/>
      </c>
      <c r="L119" s="26"/>
    </row>
    <row r="120" spans="1:12" x14ac:dyDescent="0.3">
      <c r="A120" t="s">
        <v>237</v>
      </c>
      <c r="E120" s="21" t="str">
        <f t="shared" si="14"/>
        <v/>
      </c>
      <c r="F120" s="22" t="str">
        <f>IF(OR(E120="",E120="!!!"),"",IF(NOT(ISNA(VLOOKUP(E120,E$1:E119,1,FALSE()))),"OLD",IF(AND(E120&lt;&gt;"",E120&lt;&gt;"!!!"),"NEW","")))</f>
        <v/>
      </c>
      <c r="G120" s="23" t="str">
        <f>IF(OR(E120="",E120="!!!"),"",IF(OR(J120=0,AND(J120=1,K120=1),AND(J120=1,I120="SBJ"),AND(J120=1,I120=0)),"?IN_FOCUS",IF(J120&lt;=2,"?ACTIVATED",IF(J120&lt;&gt;"","?FAMILIAR",IF(F120="NEW",IF(ISNA(VLOOKUP(E120,#REF!,1,FALSE())),"?TYPE_IDENTIFIABLE","?REFERENTIAL"),"_")))))</f>
        <v/>
      </c>
      <c r="H120" s="24" t="str">
        <f t="shared" ca="1" si="15"/>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238</v>
      </c>
      <c r="B121" s="20" t="s">
        <v>144</v>
      </c>
      <c r="C121" s="20" t="s">
        <v>158</v>
      </c>
      <c r="D121" s="20" t="s">
        <v>146</v>
      </c>
      <c r="E121" s="21"/>
      <c r="F121" s="22" t="s">
        <v>484</v>
      </c>
      <c r="G121" s="23" t="str">
        <f>IF(OR(E121="",E121="!!!"),"",IF(OR(J121=0,AND(J121=1,K121=1),AND(J121=1,I121="SBJ"),AND(J121=1,I121=0)),"?IN_FOCUS",IF(J121&lt;=2,"?ACTIVATED",IF(J121&lt;&gt;"","?FAMILIAR",IF(F121="NEW",IF(ISNA(VLOOKUP(E121,#REF!,1,FALSE())),"?TYPE_IDENTIFIABLE","?REFERENTIAL"),"_")))))</f>
        <v/>
      </c>
      <c r="H121" s="24" t="str">
        <f t="shared" ca="1" si="15"/>
        <v/>
      </c>
      <c r="I121" s="25" t="str">
        <f>IF(OR(E121="",E121="!!!",F121="NEW"),"",INDEX(B$2:B120,-1+SUMPRODUCT(MAX(ROW(E$2:E120)*(E121=E$2:E120)))))</f>
        <v/>
      </c>
      <c r="J121" s="25" t="str">
        <f ca="1">IF(OR(E121="",E121="!!!",F121="NEW"),"",COUNTBLANK(OFFSET(A$1,,,SUMPRODUCT(MAX(ROW(E$2:E121)*(E121=E$2:E121)))))-COUNTBLANK(OFFSET(A$1,,,SUMPRODUCT(MAX(ROW(E$1:E120)*(E2=E$1:E120))))))</f>
        <v/>
      </c>
      <c r="K121" s="25" t="str">
        <f>IF(OR(E121="",E121="!!!",F121="NEW"),"",INDEX(J$1:J120,SUMPRODUCT(MAX(ROW(E$1:E120)*(E121=E$1:E120)))))</f>
        <v/>
      </c>
      <c r="L121" s="26"/>
    </row>
    <row r="122" spans="1:12" x14ac:dyDescent="0.3">
      <c r="A122" t="s">
        <v>239</v>
      </c>
      <c r="B122" s="20" t="s">
        <v>165</v>
      </c>
      <c r="C122" s="20" t="s">
        <v>145</v>
      </c>
      <c r="D122" s="20" t="s">
        <v>146</v>
      </c>
      <c r="E122" s="21" t="s">
        <v>492</v>
      </c>
      <c r="F122" s="22" t="str">
        <f>IF(OR(E122="",E122="!!!"),"",IF(NOT(ISNA(VLOOKUP(E122,E$1:E121,1,FALSE()))),"OLD",IF(AND(E122&lt;&gt;"",E122&lt;&gt;"!!!"),"NEW","")))</f>
        <v>NEW</v>
      </c>
      <c r="G122" s="23" t="s">
        <v>482</v>
      </c>
      <c r="H122" s="24" t="str">
        <f t="shared" ca="1" si="15"/>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240</v>
      </c>
      <c r="E123" s="21" t="str">
        <f t="shared" si="14"/>
        <v/>
      </c>
      <c r="F123" s="22" t="str">
        <f>IF(OR(E123="",E123="!!!"),"",IF(NOT(ISNA(VLOOKUP(E123,E$1:E122,1,FALSE()))),"OLD",IF(AND(E123&lt;&gt;"",E123&lt;&gt;"!!!"),"NEW","")))</f>
        <v/>
      </c>
      <c r="G123" s="23" t="str">
        <f>IF(OR(E123="",E123="!!!"),"",IF(OR(J123=0,AND(J123=1,K123=1),AND(J123=1,I123="SBJ"),AND(J123=1,I123=0)),"?IN_FOCUS",IF(J123&lt;=2,"?ACTIVATED",IF(J123&lt;&gt;"","?FAMILIAR",IF(F123="NEW",IF(ISNA(VLOOKUP(E123,#REF!,1,FALSE())),"?TYPE_IDENTIFIABLE","?REFERENTIAL"),"_")))))</f>
        <v/>
      </c>
      <c r="H123" s="24" t="str">
        <f t="shared" ca="1" si="15"/>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202</v>
      </c>
      <c r="E124" s="21" t="str">
        <f t="shared" si="14"/>
        <v/>
      </c>
      <c r="F124" s="22" t="str">
        <f>IF(OR(E124="",E124="!!!"),"",IF(NOT(ISNA(VLOOKUP(E124,E$1:E123,1,FALSE()))),"OLD",IF(AND(E124&lt;&gt;"",E124&lt;&gt;"!!!"),"NEW","")))</f>
        <v/>
      </c>
      <c r="G124" s="23" t="str">
        <f>IF(OR(E124="",E124="!!!"),"",IF(OR(J124=0,AND(J124=1,K124=1),AND(J124=1,I124="SBJ"),AND(J124=1,I124=0)),"?IN_FOCUS",IF(J124&lt;=2,"?ACTIVATED",IF(J124&lt;&gt;"","?FAMILIAR",IF(F124="NEW",IF(ISNA(VLOOKUP(E124,#REF!,1,FALSE())),"?TYPE_IDENTIFIABLE","?REFERENTIAL"),"_")))))</f>
        <v/>
      </c>
      <c r="H124" s="24" t="str">
        <f t="shared" ca="1" si="15"/>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241</v>
      </c>
      <c r="E125" s="21" t="str">
        <f t="shared" si="14"/>
        <v/>
      </c>
      <c r="F125" s="22" t="str">
        <f>IF(OR(E125="",E125="!!!"),"",IF(NOT(ISNA(VLOOKUP(E125,E$1:E124,1,FALSE()))),"OLD",IF(AND(E125&lt;&gt;"",E125&lt;&gt;"!!!"),"NEW","")))</f>
        <v/>
      </c>
      <c r="G125" s="23" t="str">
        <f>IF(OR(E125="",E125="!!!"),"",IF(OR(J125=0,AND(J125=1,K125=1),AND(J125=1,I125="SBJ"),AND(J125=1,I125=0)),"?IN_FOCUS",IF(J125&lt;=2,"?ACTIVATED",IF(J125&lt;&gt;"","?FAMILIAR",IF(F125="NEW",IF(ISNA(VLOOKUP(E125,#REF!,1,FALSE())),"?TYPE_IDENTIFIABLE","?REFERENTIAL"),"_")))))</f>
        <v/>
      </c>
      <c r="H125" s="24" t="str">
        <f t="shared" ca="1" si="15"/>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242</v>
      </c>
      <c r="B126" s="20" t="s">
        <v>157</v>
      </c>
      <c r="C126" s="20" t="s">
        <v>201</v>
      </c>
      <c r="D126" s="20" t="s">
        <v>146</v>
      </c>
      <c r="E126" s="21" t="s">
        <v>490</v>
      </c>
      <c r="F126" s="22" t="str">
        <f>IF(OR(E126="",E126="!!!"),"",IF(NOT(ISNA(VLOOKUP(E126,E$1:E125,1,FALSE()))),"OLD",IF(AND(E126&lt;&gt;"",E126&lt;&gt;"!!!"),"NEW","")))</f>
        <v>OLD</v>
      </c>
      <c r="G126" s="23" t="s">
        <v>527</v>
      </c>
      <c r="H126" s="24" t="s">
        <v>138</v>
      </c>
      <c r="I126" s="25" t="str">
        <f>IF(OR(E126="",E126="!!!",F126="NEW"),"",INDEX(B$2:B125,-1+SUMPRODUCT(MAX(ROW(E$2:E125)*(E126=E$2:E125)))))</f>
        <v>SBJ</v>
      </c>
      <c r="J126" s="25">
        <f ca="1">IF(OR(E126="",E126="!!!",F126="NEW"),"",COUNTBLANK(OFFSET(A$1,,,SUMPRODUCT(MAX(ROW(E$2:E126)*(E126=E$2:E126)))))-COUNTBLANK(OFFSET(A$1,,,SUMPRODUCT(MAX(ROW(E$1:E125)*(E2=E$1:E125))))))</f>
        <v>0</v>
      </c>
      <c r="K126" s="25">
        <f ca="1">IF(OR(E126="",E126="!!!",F126="NEW"),"",INDEX(J$1:J125,SUMPRODUCT(MAX(ROW(E$1:E125)*(E126=E$1:E125)))))</f>
        <v>0</v>
      </c>
      <c r="L126" s="26"/>
    </row>
    <row r="127" spans="1:12" x14ac:dyDescent="0.3">
      <c r="A127" t="s">
        <v>162</v>
      </c>
      <c r="E127" s="21" t="s">
        <v>490</v>
      </c>
      <c r="F127" s="22" t="str">
        <f>IF(OR(E127="",E127="!!!"),"",IF(NOT(ISNA(VLOOKUP(E127,E$1:E126,1,FALSE()))),"OLD",IF(AND(E127&lt;&gt;"",E127&lt;&gt;"!!!"),"NEW","")))</f>
        <v>OLD</v>
      </c>
      <c r="G127" s="23" t="s">
        <v>527</v>
      </c>
      <c r="H127" s="24" t="str">
        <f t="shared" ca="1" si="15"/>
        <v/>
      </c>
      <c r="I127" s="25" t="str">
        <f>IF(OR(E127="",E127="!!!",F127="NEW"),"",INDEX(B$2:B126,-1+SUMPRODUCT(MAX(ROW(E$2:E126)*(E127=E$2:E126)))))</f>
        <v>SBJ</v>
      </c>
      <c r="J127" s="25">
        <f ca="1">IF(OR(E127="",E127="!!!",F127="NEW"),"",COUNTBLANK(OFFSET(A$1,,,SUMPRODUCT(MAX(ROW(E$2:E127)*(E127=E$2:E127)))))-COUNTBLANK(OFFSET(A$1,,,SUMPRODUCT(MAX(ROW(E$1:E126)*(E2=E$1:E126))))))</f>
        <v>0</v>
      </c>
      <c r="K127" s="25">
        <f ca="1">IF(OR(E127="",E127="!!!",F127="NEW"),"",INDEX(J$1:J126,SUMPRODUCT(MAX(ROW(E$1:E126)*(E127=E$1:E126)))))</f>
        <v>0</v>
      </c>
      <c r="L127" s="26" t="s">
        <v>489</v>
      </c>
    </row>
    <row r="128" spans="1:12" x14ac:dyDescent="0.3">
      <c r="A128" t="s">
        <v>243</v>
      </c>
      <c r="B128" s="20" t="s">
        <v>244</v>
      </c>
      <c r="C128" s="20" t="s">
        <v>164</v>
      </c>
      <c r="E128" s="21" t="s">
        <v>493</v>
      </c>
      <c r="F128" s="22" t="str">
        <f>IF(OR(E128="",E128="!!!"),"",IF(NOT(ISNA(VLOOKUP(E128,E$1:E127,1,FALSE()))),"OLD",IF(AND(E128&lt;&gt;"",E128&lt;&gt;"!!!"),"NEW","")))</f>
        <v>NEW</v>
      </c>
      <c r="G128" s="23" t="s">
        <v>483</v>
      </c>
      <c r="H128" s="24" t="str">
        <f t="shared" ca="1" si="15"/>
        <v/>
      </c>
      <c r="I128" s="25" t="str">
        <f>IF(OR(E128="",E128="!!!",F128="NEW"),"",INDEX(B$2:B127,-1+SUMPRODUCT(MAX(ROW(E$2:E127)*(E128=E$2:E127)))))</f>
        <v/>
      </c>
      <c r="J128" s="25" t="str">
        <f ca="1">IF(OR(E128="",E128="!!!",F128="NEW"),"",COUNTBLANK(OFFSET(A$1,,,SUMPRODUCT(MAX(ROW(E$2:E128)*(E128=E$2:E128)))))-COUNTBLANK(OFFSET(A$1,,,SUMPRODUCT(MAX(ROW(E$1:E127)*(E2=E$1:E127))))))</f>
        <v/>
      </c>
      <c r="K128" s="25" t="str">
        <f>IF(OR(E128="",E128="!!!",F128="NEW"),"",INDEX(J$1:J127,SUMPRODUCT(MAX(ROW(E$1:E127)*(E128=E$1:E127)))))</f>
        <v/>
      </c>
      <c r="L128" s="26"/>
    </row>
    <row r="129" spans="1:12" x14ac:dyDescent="0.3">
      <c r="A129" t="s">
        <v>245</v>
      </c>
      <c r="E129" s="21" t="str">
        <f t="shared" si="14"/>
        <v/>
      </c>
      <c r="F129" s="22" t="str">
        <f>IF(OR(E129="",E129="!!!"),"",IF(NOT(ISNA(VLOOKUP(E129,E$1:E128,1,FALSE()))),"OLD",IF(AND(E129&lt;&gt;"",E129&lt;&gt;"!!!"),"NEW","")))</f>
        <v/>
      </c>
      <c r="G129" s="23" t="str">
        <f>IF(OR(E129="",E129="!!!"),"",IF(OR(J129=0,AND(J129=1,K129=1),AND(J129=1,I129="SBJ"),AND(J129=1,I129=0)),"?IN_FOCUS",IF(J129&lt;=2,"?ACTIVATED",IF(J129&lt;&gt;"","?FAMILIAR",IF(F129="NEW",IF(ISNA(VLOOKUP(E129,#REF!,1,FALSE())),"?TYPE_IDENTIFIABLE","?REFERENTIAL"),"_")))))</f>
        <v/>
      </c>
      <c r="H129" s="24" t="str">
        <f t="shared" ca="1" si="15"/>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row>
    <row r="130" spans="1:12" x14ac:dyDescent="0.3">
      <c r="A130" t="s">
        <v>185</v>
      </c>
      <c r="E130" s="21" t="str">
        <f t="shared" si="14"/>
        <v/>
      </c>
      <c r="F130" s="22" t="str">
        <f>IF(OR(E130="",E130="!!!"),"",IF(NOT(ISNA(VLOOKUP(E130,E$1:E129,1,FALSE()))),"OLD",IF(AND(E130&lt;&gt;"",E130&lt;&gt;"!!!"),"NEW","")))</f>
        <v/>
      </c>
      <c r="G130" s="23" t="str">
        <f>IF(OR(E130="",E130="!!!"),"",IF(OR(J130=0,AND(J130=1,K130=1),AND(J130=1,I130="SBJ"),AND(J130=1,I130=0)),"?IN_FOCUS",IF(J130&lt;=2,"?ACTIVATED",IF(J130&lt;&gt;"","?FAMILIAR",IF(F130="NEW",IF(ISNA(VLOOKUP(E130,#REF!,1,FALSE())),"?TYPE_IDENTIFIABLE","?REFERENTIAL"),"_")))))</f>
        <v/>
      </c>
      <c r="H130" s="24" t="str">
        <f t="shared" ca="1" si="15"/>
        <v/>
      </c>
      <c r="I130" s="25" t="str">
        <f>IF(OR(E130="",E130="!!!",F130="NEW"),"",INDEX(B$2:B129,-1+SUMPRODUCT(MAX(ROW(E$2:E129)*(E130=E$2:E129)))))</f>
        <v/>
      </c>
      <c r="J130" s="25" t="str">
        <f ca="1">IF(OR(E130="",E130="!!!",F130="NEW"),"",COUNTBLANK(OFFSET(A$1,,,SUMPRODUCT(MAX(ROW(E$2:E130)*(E130=E$2:E130)))))-COUNTBLANK(OFFSET(A$1,,,SUMPRODUCT(MAX(ROW(E$1:E129)*(E2=E$1:E129))))))</f>
        <v/>
      </c>
      <c r="K130" s="25" t="str">
        <f>IF(OR(E130="",E130="!!!",F130="NEW"),"",INDEX(J$1:J129,SUMPRODUCT(MAX(ROW(E$1:E129)*(E130=E$1:E129)))))</f>
        <v/>
      </c>
      <c r="L130" s="26"/>
    </row>
    <row r="131" spans="1:12" x14ac:dyDescent="0.3">
      <c r="A131" t="s">
        <v>246</v>
      </c>
      <c r="E131" s="21" t="str">
        <f t="shared" si="14"/>
        <v/>
      </c>
      <c r="F131" s="22" t="str">
        <f>IF(OR(E131="",E131="!!!"),"",IF(NOT(ISNA(VLOOKUP(E131,E$1:E130,1,FALSE()))),"OLD",IF(AND(E131&lt;&gt;"",E131&lt;&gt;"!!!"),"NEW","")))</f>
        <v/>
      </c>
      <c r="G131" s="23" t="str">
        <f>IF(OR(E131="",E131="!!!"),"",IF(OR(J131=0,AND(J131=1,K131=1),AND(J131=1,I131="SBJ"),AND(J131=1,I131=0)),"?IN_FOCUS",IF(J131&lt;=2,"?ACTIVATED",IF(J131&lt;&gt;"","?FAMILIAR",IF(F131="NEW",IF(ISNA(VLOOKUP(E131,#REF!,1,FALSE())),"?TYPE_IDENTIFIABLE","?REFERENTIAL"),"_")))))</f>
        <v/>
      </c>
      <c r="H131" s="24" t="str">
        <f t="shared" ca="1" si="15"/>
        <v/>
      </c>
      <c r="I131" s="25" t="str">
        <f>IF(OR(E131="",E131="!!!",F131="NEW"),"",INDEX(B$2:B130,-1+SUMPRODUCT(MAX(ROW(E$2:E130)*(E131=E$2:E130)))))</f>
        <v/>
      </c>
      <c r="J131" s="25" t="str">
        <f ca="1">IF(OR(E131="",E131="!!!",F131="NEW"),"",COUNTBLANK(OFFSET(A$1,,,SUMPRODUCT(MAX(ROW(E$2:E131)*(E131=E$2:E131)))))-COUNTBLANK(OFFSET(A$1,,,SUMPRODUCT(MAX(ROW(E$1:E130)*(E2=E$1:E130))))))</f>
        <v/>
      </c>
      <c r="K131" s="25" t="str">
        <f>IF(OR(E131="",E131="!!!",F131="NEW"),"",INDEX(J$1:J130,SUMPRODUCT(MAX(ROW(E$1:E130)*(E131=E$1:E130)))))</f>
        <v/>
      </c>
      <c r="L131" s="26"/>
    </row>
    <row r="132" spans="1:12" x14ac:dyDescent="0.3">
      <c r="A132" t="s">
        <v>247</v>
      </c>
      <c r="E132" s="21" t="str">
        <f t="shared" si="14"/>
        <v/>
      </c>
      <c r="F132" s="22" t="str">
        <f>IF(OR(E132="",E132="!!!"),"",IF(NOT(ISNA(VLOOKUP(E132,E$1:E131,1,FALSE()))),"OLD",IF(AND(E132&lt;&gt;"",E132&lt;&gt;"!!!"),"NEW","")))</f>
        <v/>
      </c>
      <c r="G132" s="23" t="str">
        <f>IF(OR(E132="",E132="!!!"),"",IF(OR(J132=0,AND(J132=1,K132=1),AND(J132=1,I132="SBJ"),AND(J132=1,I132=0)),"?IN_FOCUS",IF(J132&lt;=2,"?ACTIVATED",IF(J132&lt;&gt;"","?FAMILIAR",IF(F132="NEW",IF(ISNA(VLOOKUP(E132,#REF!,1,FALSE())),"?TYPE_IDENTIFIABLE","?REFERENTIAL"),"_")))))</f>
        <v/>
      </c>
      <c r="H132" s="24" t="str">
        <f t="shared" ca="1" si="15"/>
        <v/>
      </c>
      <c r="I132" s="25" t="str">
        <f>IF(OR(E132="",E132="!!!",F132="NEW"),"",INDEX(B$2:B131,-1+SUMPRODUCT(MAX(ROW(E$2:E131)*(E132=E$2:E131)))))</f>
        <v/>
      </c>
      <c r="J132" s="25" t="str">
        <f ca="1">IF(OR(E132="",E132="!!!",F132="NEW"),"",COUNTBLANK(OFFSET(A$1,,,SUMPRODUCT(MAX(ROW(E$2:E132)*(E132=E$2:E132)))))-COUNTBLANK(OFFSET(A$1,,,SUMPRODUCT(MAX(ROW(E$1:E131)*(E2=E$1:E131))))))</f>
        <v/>
      </c>
      <c r="K132" s="25" t="str">
        <f>IF(OR(E132="",E132="!!!",F132="NEW"),"",INDEX(J$1:J131,SUMPRODUCT(MAX(ROW(E$1:E131)*(E132=E$1:E131)))))</f>
        <v/>
      </c>
      <c r="L132" s="26"/>
    </row>
    <row r="133" spans="1:12" x14ac:dyDescent="0.3">
      <c r="A133" t="s">
        <v>248</v>
      </c>
      <c r="E133" s="21" t="str">
        <f t="shared" si="14"/>
        <v/>
      </c>
      <c r="F133" s="22" t="str">
        <f>IF(OR(E133="",E133="!!!"),"",IF(NOT(ISNA(VLOOKUP(E133,E$1:E132,1,FALSE()))),"OLD",IF(AND(E133&lt;&gt;"",E133&lt;&gt;"!!!"),"NEW","")))</f>
        <v/>
      </c>
      <c r="G133" s="23" t="str">
        <f>IF(OR(E133="",E133="!!!"),"",IF(OR(J133=0,AND(J133=1,K133=1),AND(J133=1,I133="SBJ"),AND(J133=1,I133=0)),"?IN_FOCUS",IF(J133&lt;=2,"?ACTIVATED",IF(J133&lt;&gt;"","?FAMILIAR",IF(F133="NEW",IF(ISNA(VLOOKUP(E133,#REF!,1,FALSE())),"?TYPE_IDENTIFIABLE","?REFERENTIAL"),"_")))))</f>
        <v/>
      </c>
      <c r="H133" s="24" t="str">
        <f t="shared" ca="1" si="15"/>
        <v/>
      </c>
      <c r="I133" s="25" t="str">
        <f>IF(OR(E133="",E133="!!!",F133="NEW"),"",INDEX(B$2:B132,-1+SUMPRODUCT(MAX(ROW(E$2:E132)*(E133=E$2:E132)))))</f>
        <v/>
      </c>
      <c r="J133" s="25" t="str">
        <f ca="1">IF(OR(E133="",E133="!!!",F133="NEW"),"",COUNTBLANK(OFFSET(A$1,,,SUMPRODUCT(MAX(ROW(E$2:E133)*(E133=E$2:E133)))))-COUNTBLANK(OFFSET(A$1,,,SUMPRODUCT(MAX(ROW(E$1:E132)*(E2=E$1:E132))))))</f>
        <v/>
      </c>
      <c r="K133" s="25" t="str">
        <f>IF(OR(E133="",E133="!!!",F133="NEW"),"",INDEX(J$1:J132,SUMPRODUCT(MAX(ROW(E$1:E132)*(E133=E$1:E132)))))</f>
        <v/>
      </c>
      <c r="L133" s="26"/>
    </row>
    <row r="134" spans="1:12" x14ac:dyDescent="0.3">
      <c r="A134" t="s">
        <v>249</v>
      </c>
      <c r="B134" s="20" t="s">
        <v>149</v>
      </c>
      <c r="C134" s="20" t="s">
        <v>145</v>
      </c>
      <c r="D134" s="20" t="s">
        <v>146</v>
      </c>
      <c r="E134" s="21" t="s">
        <v>509</v>
      </c>
      <c r="F134" s="22" t="str">
        <f>IF(OR(E134="",E134="!!!"),"",IF(NOT(ISNA(VLOOKUP(E134,E$1:E133,1,FALSE()))),"OLD",IF(AND(E134&lt;&gt;"",E134&lt;&gt;"!!!"),"NEW","")))</f>
        <v>NEW</v>
      </c>
      <c r="G134" s="23" t="s">
        <v>483</v>
      </c>
      <c r="H134" s="24" t="str">
        <f t="shared" ca="1" si="15"/>
        <v/>
      </c>
      <c r="I134" s="25" t="str">
        <f>IF(OR(E134="",E134="!!!",F134="NEW"),"",INDEX(B$2:B133,-1+SUMPRODUCT(MAX(ROW(E$2:E133)*(E134=E$2:E133)))))</f>
        <v/>
      </c>
      <c r="J134" s="25" t="str">
        <f ca="1">IF(OR(E134="",E134="!!!",F134="NEW"),"",COUNTBLANK(OFFSET(A$1,,,SUMPRODUCT(MAX(ROW(E$2:E134)*(E134=E$2:E134)))))-COUNTBLANK(OFFSET(A$1,,,SUMPRODUCT(MAX(ROW(E$1:E133)*(E2=E$1:E133))))))</f>
        <v/>
      </c>
      <c r="K134" s="25" t="str">
        <f>IF(OR(E134="",E134="!!!",F134="NEW"),"",INDEX(J$1:J133,SUMPRODUCT(MAX(ROW(E$1:E133)*(E134=E$1:E133)))))</f>
        <v/>
      </c>
      <c r="L134" s="26"/>
    </row>
    <row r="135" spans="1:12" x14ac:dyDescent="0.3">
      <c r="A135" t="s">
        <v>187</v>
      </c>
      <c r="E135" s="21" t="str">
        <f t="shared" si="14"/>
        <v/>
      </c>
      <c r="F135" s="22" t="str">
        <f>IF(OR(E135="",E135="!!!"),"",IF(NOT(ISNA(VLOOKUP(E135,E$1:E134,1,FALSE()))),"OLD",IF(AND(E135&lt;&gt;"",E135&lt;&gt;"!!!"),"NEW","")))</f>
        <v/>
      </c>
      <c r="G135" s="23" t="str">
        <f>IF(OR(E135="",E135="!!!"),"",IF(OR(J135=0,AND(J135=1,K135=1),AND(J135=1,I135="SBJ"),AND(J135=1,I135=0)),"?IN_FOCUS",IF(J135&lt;=2,"?ACTIVATED",IF(J135&lt;&gt;"","?FAMILIAR",IF(F135="NEW",IF(ISNA(VLOOKUP(E135,#REF!,1,FALSE())),"?TYPE_IDENTIFIABLE","?REFERENTIAL"),"_")))))</f>
        <v/>
      </c>
      <c r="H135" s="24" t="str">
        <f t="shared" ca="1" si="15"/>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6" spans="1:12" x14ac:dyDescent="0.3">
      <c r="A136" t="s">
        <v>250</v>
      </c>
      <c r="E136" s="21" t="str">
        <f t="shared" si="14"/>
        <v/>
      </c>
      <c r="F136" s="22" t="str">
        <f>IF(OR(E136="",E136="!!!"),"",IF(NOT(ISNA(VLOOKUP(E136,E$1:E135,1,FALSE()))),"OLD",IF(AND(E136&lt;&gt;"",E136&lt;&gt;"!!!"),"NEW","")))</f>
        <v/>
      </c>
      <c r="G136" s="23" t="str">
        <f>IF(OR(E136="",E136="!!!"),"",IF(OR(J136=0,AND(J136=1,K136=1),AND(J136=1,I136="SBJ"),AND(J136=1,I136=0)),"?IN_FOCUS",IF(J136&lt;=2,"?ACTIVATED",IF(J136&lt;&gt;"","?FAMILIAR",IF(F136="NEW",IF(ISNA(VLOOKUP(E136,#REF!,1,FALSE())),"?TYPE_IDENTIFIABLE","?REFERENTIAL"),"_")))))</f>
        <v/>
      </c>
      <c r="H136" s="24" t="str">
        <f t="shared" ca="1" si="15"/>
        <v/>
      </c>
      <c r="I136" s="25" t="str">
        <f>IF(OR(E136="",E136="!!!",F136="NEW"),"",INDEX(B$2:B135,-1+SUMPRODUCT(MAX(ROW(E$2:E135)*(E136=E$2:E135)))))</f>
        <v/>
      </c>
      <c r="J136" s="25" t="str">
        <f ca="1">IF(OR(E136="",E136="!!!",F136="NEW"),"",COUNTBLANK(OFFSET(A$1,,,SUMPRODUCT(MAX(ROW(E$2:E136)*(E136=E$2:E136)))))-COUNTBLANK(OFFSET(A$1,,,SUMPRODUCT(MAX(ROW(E$1:E135)*(E2=E$1:E135))))))</f>
        <v/>
      </c>
      <c r="K136" s="25" t="str">
        <f>IF(OR(E136="",E136="!!!",F136="NEW"),"",INDEX(J$1:J135,SUMPRODUCT(MAX(ROW(E$1:E135)*(E136=E$1:E135)))))</f>
        <v/>
      </c>
      <c r="L136" s="26"/>
    </row>
    <row r="137" spans="1:12" x14ac:dyDescent="0.3">
      <c r="A137" t="s">
        <v>251</v>
      </c>
      <c r="B137" s="20" t="s">
        <v>144</v>
      </c>
      <c r="C137" s="20" t="s">
        <v>150</v>
      </c>
      <c r="E137" s="21" t="str">
        <f t="shared" si="14"/>
        <v/>
      </c>
      <c r="F137" s="22" t="str">
        <f>IF(OR(E137="",E137="!!!"),"",IF(NOT(ISNA(VLOOKUP(E137,E$1:E136,1,FALSE()))),"OLD",IF(AND(E137&lt;&gt;"",E137&lt;&gt;"!!!"),"NEW","")))</f>
        <v/>
      </c>
      <c r="G137" s="23" t="str">
        <f>IF(OR(E137="",E137="!!!"),"",IF(OR(J137=0,AND(J137=1,K137=1),AND(J137=1,I137="SBJ"),AND(J137=1,I137=0)),"?IN_FOCUS",IF(J137&lt;=2,"?ACTIVATED",IF(J137&lt;&gt;"","?FAMILIAR",IF(F137="NEW",IF(ISNA(VLOOKUP(E137,#REF!,1,FALSE())),"?TYPE_IDENTIFIABLE","?REFERENTIAL"),"_")))))</f>
        <v/>
      </c>
      <c r="H137" s="24" t="str">
        <f t="shared" ca="1" si="15"/>
        <v/>
      </c>
      <c r="I137" s="25" t="str">
        <f>IF(OR(E137="",E137="!!!",F137="NEW"),"",INDEX(B$2:B136,-1+SUMPRODUCT(MAX(ROW(E$2:E136)*(E137=E$2:E136)))))</f>
        <v/>
      </c>
      <c r="J137" s="25" t="str">
        <f ca="1">IF(OR(E137="",E137="!!!",F137="NEW"),"",COUNTBLANK(OFFSET(A$1,,,SUMPRODUCT(MAX(ROW(E$2:E137)*(E137=E$2:E137)))))-COUNTBLANK(OFFSET(A$1,,,SUMPRODUCT(MAX(ROW(E$1:E136)*(E2=E$1:E136))))))</f>
        <v/>
      </c>
      <c r="K137" s="25" t="str">
        <f>IF(OR(E137="",E137="!!!",F137="NEW"),"",INDEX(J$1:J136,SUMPRODUCT(MAX(ROW(E$1:E136)*(E137=E$1:E136)))))</f>
        <v/>
      </c>
      <c r="L137" s="26"/>
    </row>
    <row r="138" spans="1:12" x14ac:dyDescent="0.3">
      <c r="A138" t="s">
        <v>252</v>
      </c>
      <c r="E138" s="21" t="str">
        <f t="shared" si="14"/>
        <v/>
      </c>
      <c r="F138" s="22" t="str">
        <f>IF(OR(E138="",E138="!!!"),"",IF(NOT(ISNA(VLOOKUP(E138,E$1:E137,1,FALSE()))),"OLD",IF(AND(E138&lt;&gt;"",E138&lt;&gt;"!!!"),"NEW","")))</f>
        <v/>
      </c>
      <c r="G138" s="23" t="str">
        <f>IF(OR(E138="",E138="!!!"),"",IF(OR(J138=0,AND(J138=1,K138=1),AND(J138=1,I138="SBJ"),AND(J138=1,I138=0)),"?IN_FOCUS",IF(J138&lt;=2,"?ACTIVATED",IF(J138&lt;&gt;"","?FAMILIAR",IF(F138="NEW",IF(ISNA(VLOOKUP(E138,#REF!,1,FALSE())),"?TYPE_IDENTIFIABLE","?REFERENTIAL"),"_")))))</f>
        <v/>
      </c>
      <c r="H138" s="24" t="str">
        <f t="shared" ca="1" si="15"/>
        <v/>
      </c>
      <c r="I138" s="25" t="str">
        <f>IF(OR(E138="",E138="!!!",F138="NEW"),"",INDEX(B$2:B137,-1+SUMPRODUCT(MAX(ROW(E$2:E137)*(E138=E$2:E137)))))</f>
        <v/>
      </c>
      <c r="J138" s="25" t="str">
        <f ca="1">IF(OR(E138="",E138="!!!",F138="NEW"),"",COUNTBLANK(OFFSET(A$1,,,SUMPRODUCT(MAX(ROW(E$2:E138)*(E138=E$2:E138)))))-COUNTBLANK(OFFSET(A$1,,,SUMPRODUCT(MAX(ROW(E$1:E137)*(E2=E$1:E137))))))</f>
        <v/>
      </c>
      <c r="K138" s="25" t="str">
        <f>IF(OR(E138="",E138="!!!",F138="NEW"),"",INDEX(J$1:J137,SUMPRODUCT(MAX(ROW(E$1:E137)*(E138=E$1:E137)))))</f>
        <v/>
      </c>
      <c r="L138" s="26"/>
    </row>
    <row r="139" spans="1:12" x14ac:dyDescent="0.3">
      <c r="A139" t="s">
        <v>253</v>
      </c>
      <c r="B139" s="20" t="s">
        <v>165</v>
      </c>
      <c r="C139" s="20" t="s">
        <v>145</v>
      </c>
      <c r="D139" s="20" t="s">
        <v>146</v>
      </c>
      <c r="E139" s="21"/>
      <c r="F139" s="22" t="s">
        <v>484</v>
      </c>
      <c r="G139" s="23" t="str">
        <f>IF(OR(E139="",E139="!!!"),"",IF(OR(J139=0,AND(J139=1,K139=1),AND(J139=1,I139="SBJ"),AND(J139=1,I139=0)),"?IN_FOCUS",IF(J139&lt;=2,"?ACTIVATED",IF(J139&lt;&gt;"","?FAMILIAR",IF(F139="NEW",IF(ISNA(VLOOKUP(E139,#REF!,1,FALSE())),"?TYPE_IDENTIFIABLE","?REFERENTIAL"),"_")))))</f>
        <v/>
      </c>
      <c r="H139" s="24" t="str">
        <f t="shared" ca="1" si="15"/>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254</v>
      </c>
      <c r="E140" s="21" t="str">
        <f t="shared" si="14"/>
        <v/>
      </c>
      <c r="F140" s="22" t="str">
        <f>IF(OR(E140="",E140="!!!"),"",IF(NOT(ISNA(VLOOKUP(E140,E$1:E139,1,FALSE()))),"OLD",IF(AND(E140&lt;&gt;"",E140&lt;&gt;"!!!"),"NEW","")))</f>
        <v/>
      </c>
      <c r="G140" s="23" t="str">
        <f>IF(OR(E140="",E140="!!!"),"",IF(OR(J140=0,AND(J140=1,K140=1),AND(J140=1,I140="SBJ"),AND(J140=1,I140=0)),"?IN_FOCUS",IF(J140&lt;=2,"?ACTIVATED",IF(J140&lt;&gt;"","?FAMILIAR",IF(F140="NEW",IF(ISNA(VLOOKUP(E140,#REF!,1,FALSE())),"?TYPE_IDENTIFIABLE","?REFERENTIAL"),"_")))))</f>
        <v/>
      </c>
      <c r="H140" s="24" t="str">
        <f t="shared" ca="1" si="15"/>
        <v/>
      </c>
      <c r="I140" s="25" t="str">
        <f>IF(OR(E140="",E140="!!!",F140="NEW"),"",INDEX(B$2:B139,-1+SUMPRODUCT(MAX(ROW(E$2:E139)*(E140=E$2:E139)))))</f>
        <v/>
      </c>
      <c r="J140" s="25" t="str">
        <f ca="1">IF(OR(E140="",E140="!!!",F140="NEW"),"",COUNTBLANK(OFFSET(A$1,,,SUMPRODUCT(MAX(ROW(E$2:E140)*(E140=E$2:E140)))))-COUNTBLANK(OFFSET(A$1,,,SUMPRODUCT(MAX(ROW(E$1:E139)*(E2=E$1:E139))))))</f>
        <v/>
      </c>
      <c r="K140" s="25" t="str">
        <f>IF(OR(E140="",E140="!!!",F140="NEW"),"",INDEX(J$1:J139,SUMPRODUCT(MAX(ROW(E$1:E139)*(E140=E$1:E139)))))</f>
        <v/>
      </c>
      <c r="L140" s="26"/>
    </row>
    <row r="141" spans="1:12" x14ac:dyDescent="0.3">
      <c r="A141" t="s">
        <v>189</v>
      </c>
      <c r="E141" s="21" t="str">
        <f t="shared" si="14"/>
        <v/>
      </c>
      <c r="F141" s="22" t="str">
        <f>IF(OR(E141="",E141="!!!"),"",IF(NOT(ISNA(VLOOKUP(E141,E$1:E140,1,FALSE()))),"OLD",IF(AND(E141&lt;&gt;"",E141&lt;&gt;"!!!"),"NEW","")))</f>
        <v/>
      </c>
      <c r="G141" s="23" t="str">
        <f>IF(OR(E141="",E141="!!!"),"",IF(OR(J141=0,AND(J141=1,K141=1),AND(J141=1,I141="SBJ"),AND(J141=1,I141=0)),"?IN_FOCUS",IF(J141&lt;=2,"?ACTIVATED",IF(J141&lt;&gt;"","?FAMILIAR",IF(F141="NEW",IF(ISNA(VLOOKUP(E141,#REF!,1,FALSE())),"?TYPE_IDENTIFIABLE","?REFERENTIAL"),"_")))))</f>
        <v/>
      </c>
      <c r="H141" s="24" t="str">
        <f t="shared" ca="1" si="15"/>
        <v/>
      </c>
      <c r="I141" s="25" t="str">
        <f>IF(OR(E141="",E141="!!!",F141="NEW"),"",INDEX(B$2:B140,-1+SUMPRODUCT(MAX(ROW(E$2:E140)*(E141=E$2:E140)))))</f>
        <v/>
      </c>
      <c r="J141" s="25" t="str">
        <f ca="1">IF(OR(E141="",E141="!!!",F141="NEW"),"",COUNTBLANK(OFFSET(A$1,,,SUMPRODUCT(MAX(ROW(E$2:E141)*(E141=E$2:E141)))))-COUNTBLANK(OFFSET(A$1,,,SUMPRODUCT(MAX(ROW(E$1:E140)*(E2=E$1:E140))))))</f>
        <v/>
      </c>
      <c r="K141" s="25" t="str">
        <f>IF(OR(E141="",E141="!!!",F141="NEW"),"",INDEX(J$1:J140,SUMPRODUCT(MAX(ROW(E$1:E140)*(E141=E$1:E140)))))</f>
        <v/>
      </c>
      <c r="L141" s="26"/>
    </row>
    <row r="142" spans="1:12" x14ac:dyDescent="0.3">
      <c r="A142" t="s">
        <v>255</v>
      </c>
      <c r="E142" s="21" t="str">
        <f t="shared" si="14"/>
        <v/>
      </c>
      <c r="F142" s="22" t="str">
        <f>IF(OR(E142="",E142="!!!"),"",IF(NOT(ISNA(VLOOKUP(E142,E$1:E141,1,FALSE()))),"OLD",IF(AND(E142&lt;&gt;"",E142&lt;&gt;"!!!"),"NEW","")))</f>
        <v/>
      </c>
      <c r="G142" s="23" t="str">
        <f>IF(OR(E142="",E142="!!!"),"",IF(OR(J142=0,AND(J142=1,K142=1),AND(J142=1,I142="SBJ"),AND(J142=1,I142=0)),"?IN_FOCUS",IF(J142&lt;=2,"?ACTIVATED",IF(J142&lt;&gt;"","?FAMILIAR",IF(F142="NEW",IF(ISNA(VLOOKUP(E142,#REF!,1,FALSE())),"?TYPE_IDENTIFIABLE","?REFERENTIAL"),"_")))))</f>
        <v/>
      </c>
      <c r="H142" s="24" t="str">
        <f t="shared" ca="1" si="15"/>
        <v/>
      </c>
      <c r="I142" s="25" t="str">
        <f>IF(OR(E142="",E142="!!!",F142="NEW"),"",INDEX(B$2:B141,-1+SUMPRODUCT(MAX(ROW(E$2:E141)*(E142=E$2:E141)))))</f>
        <v/>
      </c>
      <c r="J142" s="25" t="str">
        <f ca="1">IF(OR(E142="",E142="!!!",F142="NEW"),"",COUNTBLANK(OFFSET(A$1,,,SUMPRODUCT(MAX(ROW(E$2:E142)*(E142=E$2:E142)))))-COUNTBLANK(OFFSET(A$1,,,SUMPRODUCT(MAX(ROW(E$1:E141)*(E2=E$1:E141))))))</f>
        <v/>
      </c>
      <c r="K142" s="25" t="str">
        <f>IF(OR(E142="",E142="!!!",F142="NEW"),"",INDEX(J$1:J141,SUMPRODUCT(MAX(ROW(E$1:E141)*(E142=E$1:E141)))))</f>
        <v/>
      </c>
      <c r="L142" s="26"/>
    </row>
    <row r="143" spans="1:12" x14ac:dyDescent="0.3">
      <c r="A143" t="s">
        <v>236</v>
      </c>
      <c r="E143" s="21" t="str">
        <f t="shared" si="14"/>
        <v/>
      </c>
      <c r="F143" s="22" t="str">
        <f>IF(OR(E143="",E143="!!!"),"",IF(NOT(ISNA(VLOOKUP(E143,E$1:E142,1,FALSE()))),"OLD",IF(AND(E143&lt;&gt;"",E143&lt;&gt;"!!!"),"NEW","")))</f>
        <v/>
      </c>
      <c r="G143" s="23" t="str">
        <f>IF(OR(E143="",E143="!!!"),"",IF(OR(J143=0,AND(J143=1,K143=1),AND(J143=1,I143="SBJ"),AND(J143=1,I143=0)),"?IN_FOCUS",IF(J143&lt;=2,"?ACTIVATED",IF(J143&lt;&gt;"","?FAMILIAR",IF(F143="NEW",IF(ISNA(VLOOKUP(E143,#REF!,1,FALSE())),"?TYPE_IDENTIFIABLE","?REFERENTIAL"),"_")))))</f>
        <v/>
      </c>
      <c r="H143" s="24" t="str">
        <f t="shared" ca="1" si="15"/>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214</v>
      </c>
      <c r="E144" s="21" t="str">
        <f t="shared" si="14"/>
        <v/>
      </c>
      <c r="F144" s="22" t="str">
        <f>IF(OR(E144="",E144="!!!"),"",IF(NOT(ISNA(VLOOKUP(E144,E$1:E143,1,FALSE()))),"OLD",IF(AND(E144&lt;&gt;"",E144&lt;&gt;"!!!"),"NEW","")))</f>
        <v/>
      </c>
      <c r="G144" s="23" t="str">
        <f>IF(OR(E144="",E144="!!!"),"",IF(OR(J144=0,AND(J144=1,K144=1),AND(J144=1,I144="SBJ"),AND(J144=1,I144=0)),"?IN_FOCUS",IF(J144&lt;=2,"?ACTIVATED",IF(J144&lt;&gt;"","?FAMILIAR",IF(F144="NEW",IF(ISNA(VLOOKUP(E144,#REF!,1,FALSE())),"?TYPE_IDENTIFIABLE","?REFERENTIAL"),"_")))))</f>
        <v/>
      </c>
      <c r="H144" s="24" t="str">
        <f t="shared" ca="1" si="15"/>
        <v/>
      </c>
      <c r="I144" s="25" t="str">
        <f>IF(OR(E144="",E144="!!!",F144="NEW"),"",INDEX(B$2:B143,-1+SUMPRODUCT(MAX(ROW(E$2:E143)*(E144=E$2:E143)))))</f>
        <v/>
      </c>
      <c r="J144" s="25" t="str">
        <f ca="1">IF(OR(E144="",E144="!!!",F144="NEW"),"",COUNTBLANK(OFFSET(A$1,,,SUMPRODUCT(MAX(ROW(E$2:E144)*(E144=E$2:E144)))))-COUNTBLANK(OFFSET(A$1,,,SUMPRODUCT(MAX(ROW(E$1:E143)*(E2=E$1:E143))))))</f>
        <v/>
      </c>
      <c r="K144" s="25" t="str">
        <f>IF(OR(E144="",E144="!!!",F144="NEW"),"",INDEX(J$1:J143,SUMPRODUCT(MAX(ROW(E$1:E143)*(E144=E$1:E143)))))</f>
        <v/>
      </c>
      <c r="L144" s="26"/>
    </row>
    <row r="145" spans="1:12" x14ac:dyDescent="0.3">
      <c r="A145" t="s">
        <v>256</v>
      </c>
      <c r="B145" s="20" t="s">
        <v>144</v>
      </c>
      <c r="C145" s="20" t="s">
        <v>158</v>
      </c>
      <c r="D145" s="20" t="s">
        <v>146</v>
      </c>
      <c r="E145" s="21" t="s">
        <v>494</v>
      </c>
      <c r="F145" s="22" t="str">
        <f>IF(OR(E145="",E145="!!!"),"",IF(NOT(ISNA(VLOOKUP(E145,E$1:E144,1,FALSE()))),"OLD",IF(AND(E145&lt;&gt;"",E145&lt;&gt;"!!!"),"NEW","")))</f>
        <v>NEW</v>
      </c>
      <c r="G145" s="23" t="s">
        <v>482</v>
      </c>
      <c r="H145" s="24" t="str">
        <f t="shared" ca="1" si="15"/>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236</v>
      </c>
      <c r="E146" s="21" t="str">
        <f t="shared" si="14"/>
        <v/>
      </c>
      <c r="F146" s="22" t="str">
        <f>IF(OR(E146="",E146="!!!"),"",IF(NOT(ISNA(VLOOKUP(E146,E$1:E145,1,FALSE()))),"OLD",IF(AND(E146&lt;&gt;"",E146&lt;&gt;"!!!"),"NEW","")))</f>
        <v/>
      </c>
      <c r="G146" s="23" t="str">
        <f>IF(OR(E146="",E146="!!!"),"",IF(OR(J146=0,AND(J146=1,K146=1),AND(J146=1,I146="SBJ"),AND(J146=1,I146=0)),"?IN_FOCUS",IF(J146&lt;=2,"?ACTIVATED",IF(J146&lt;&gt;"","?FAMILIAR",IF(F146="NEW",IF(ISNA(VLOOKUP(E146,#REF!,1,FALSE())),"?TYPE_IDENTIFIABLE","?REFERENTIAL"),"_")))))</f>
        <v/>
      </c>
      <c r="H146" s="24" t="str">
        <f t="shared" ca="1" si="15"/>
        <v/>
      </c>
      <c r="I146" s="25" t="str">
        <f>IF(OR(E146="",E146="!!!",F146="NEW"),"",INDEX(B$2:B145,-1+SUMPRODUCT(MAX(ROW(E$2:E145)*(E146=E$2:E145)))))</f>
        <v/>
      </c>
      <c r="J146" s="25" t="str">
        <f ca="1">IF(OR(E146="",E146="!!!",F146="NEW"),"",COUNTBLANK(OFFSET(A$1,,,SUMPRODUCT(MAX(ROW(E$2:E146)*(E146=E$2:E146)))))-COUNTBLANK(OFFSET(A$1,,,SUMPRODUCT(MAX(ROW(E$1:E145)*(E2=E$1:E145))))))</f>
        <v/>
      </c>
      <c r="K146" s="25" t="str">
        <f>IF(OR(E146="",E146="!!!",F146="NEW"),"",INDEX(J$1:J145,SUMPRODUCT(MAX(ROW(E$1:E145)*(E146=E$1:E145)))))</f>
        <v/>
      </c>
      <c r="L146" s="26"/>
    </row>
    <row r="147" spans="1:12" x14ac:dyDescent="0.3">
      <c r="A147" t="s">
        <v>257</v>
      </c>
      <c r="B147" s="20" t="s">
        <v>144</v>
      </c>
      <c r="C147" s="20" t="s">
        <v>145</v>
      </c>
      <c r="D147" s="20" t="s">
        <v>146</v>
      </c>
      <c r="E147" s="21" t="s">
        <v>495</v>
      </c>
      <c r="F147" s="22" t="str">
        <f>IF(OR(E147="",E147="!!!"),"",IF(NOT(ISNA(VLOOKUP(E147,E$1:E146,1,FALSE()))),"OLD",IF(AND(E147&lt;&gt;"",E147&lt;&gt;"!!!"),"NEW","")))</f>
        <v>NEW</v>
      </c>
      <c r="G147" s="23" t="s">
        <v>482</v>
      </c>
      <c r="H147" s="24" t="str">
        <f t="shared" ca="1" si="15"/>
        <v/>
      </c>
      <c r="I147" s="25" t="str">
        <f>IF(OR(E147="",E147="!!!",F147="NEW"),"",INDEX(B$2:B146,-1+SUMPRODUCT(MAX(ROW(E$2:E146)*(E147=E$2:E146)))))</f>
        <v/>
      </c>
      <c r="J147" s="25" t="str">
        <f ca="1">IF(OR(E147="",E147="!!!",F147="NEW"),"",COUNTBLANK(OFFSET(A$1,,,SUMPRODUCT(MAX(ROW(E$2:E147)*(E147=E$2:E147)))))-COUNTBLANK(OFFSET(A$1,,,SUMPRODUCT(MAX(ROW(E$1:E146)*(E2=E$1:E146))))))</f>
        <v/>
      </c>
      <c r="K147" s="25" t="str">
        <f>IF(OR(E147="",E147="!!!",F147="NEW"),"",INDEX(J$1:J146,SUMPRODUCT(MAX(ROW(E$1:E146)*(E147=E$1:E146)))))</f>
        <v/>
      </c>
      <c r="L147" s="26"/>
    </row>
    <row r="148" spans="1:12" x14ac:dyDescent="0.3">
      <c r="A148" t="s">
        <v>167</v>
      </c>
      <c r="E148" s="21" t="str">
        <f t="shared" si="14"/>
        <v/>
      </c>
      <c r="F148" s="22" t="str">
        <f>IF(OR(E148="",E148="!!!"),"",IF(NOT(ISNA(VLOOKUP(E148,E$1:E147,1,FALSE()))),"OLD",IF(AND(E148&lt;&gt;"",E148&lt;&gt;"!!!"),"NEW","")))</f>
        <v/>
      </c>
      <c r="G148" s="23" t="str">
        <f>IF(OR(E148="",E148="!!!"),"",IF(OR(J148=0,AND(J148=1,K148=1),AND(J148=1,I148="SBJ"),AND(J148=1,I148=0)),"?IN_FOCUS",IF(J148&lt;=2,"?ACTIVATED",IF(J148&lt;&gt;"","?FAMILIAR",IF(F148="NEW",IF(ISNA(VLOOKUP(E148,#REF!,1,FALSE())),"?TYPE_IDENTIFIABLE","?REFERENTIAL"),"_")))))</f>
        <v/>
      </c>
      <c r="H148" s="24" t="str">
        <f t="shared" ca="1" si="15"/>
        <v/>
      </c>
      <c r="I148" s="25" t="str">
        <f>IF(OR(E148="",E148="!!!",F148="NEW"),"",INDEX(B$2:B147,-1+SUMPRODUCT(MAX(ROW(E$2:E147)*(E148=E$2:E147)))))</f>
        <v/>
      </c>
      <c r="J148" s="25" t="str">
        <f ca="1">IF(OR(E148="",E148="!!!",F148="NEW"),"",COUNTBLANK(OFFSET(A$1,,,SUMPRODUCT(MAX(ROW(E$2:E148)*(E148=E$2:E148)))))-COUNTBLANK(OFFSET(A$1,,,SUMPRODUCT(MAX(ROW(E$1:E147)*(E2=E$1:E147))))))</f>
        <v/>
      </c>
      <c r="K148" s="25" t="str">
        <f>IF(OR(E148="",E148="!!!",F148="NEW"),"",INDEX(J$1:J147,SUMPRODUCT(MAX(ROW(E$1:E147)*(E148=E$1:E147)))))</f>
        <v/>
      </c>
      <c r="L148" s="26"/>
    </row>
    <row r="150" spans="1:12" x14ac:dyDescent="0.3">
      <c r="A150" t="s">
        <v>258</v>
      </c>
    </row>
    <row r="151" spans="1:12" x14ac:dyDescent="0.3">
      <c r="A151" t="s">
        <v>259</v>
      </c>
      <c r="E151" s="21" t="str">
        <f t="shared" ref="E151:E172" si="16">IF(D151="?OLD","!!!","")</f>
        <v/>
      </c>
      <c r="F151" s="22" t="str">
        <f>IF(OR(E151="",E151="!!!"),"",IF(NOT(ISNA(VLOOKUP(E151,E$1:E150,1,FALSE()))),"OLD",IF(AND(E151&lt;&gt;"",E151&lt;&gt;"!!!"),"NEW","")))</f>
        <v/>
      </c>
      <c r="G151" s="23" t="str">
        <f>IF(OR(E151="",E151="!!!"),"",IF(OR(J151=0,AND(J151=1,K151=1),AND(J151=1,I151="SBJ"),AND(J151=1,I151=0)),"?IN_FOCUS",IF(J151&lt;=2,"?ACTIVATED",IF(J151&lt;&gt;"","?FAMILIAR",IF(F151="NEW",IF(ISNA(VLOOKUP(E151,#REF!,1,FALSE())),"?TYPE_IDENTIFIABLE","?REFERENTIAL"),"_")))))</f>
        <v/>
      </c>
      <c r="H151" s="24" t="str">
        <f t="shared" ref="H151:H172" ca="1" si="17">IF(J151&lt;&gt;1,"",IF(I151="SBJ","CB","?"))</f>
        <v/>
      </c>
      <c r="I151" s="25" t="str">
        <f>IF(OR(E151="",E151="!!!",F151="NEW"),"",INDEX(B$2:B150,-1+SUMPRODUCT(MAX(ROW(E$2:E150)*(E151=E$2:E150)))))</f>
        <v/>
      </c>
      <c r="J151" s="25" t="str">
        <f ca="1">IF(OR(E151="",E151="!!!",F151="NEW"),"",COUNTBLANK(OFFSET(A$1,,,SUMPRODUCT(MAX(ROW(E$2:E151)*(E151=E$2:E151)))))-COUNTBLANK(OFFSET(A$1,,,SUMPRODUCT(MAX(ROW(E$1:E150)*(E2=E$1:E150))))))</f>
        <v/>
      </c>
      <c r="K151" s="25" t="str">
        <f>IF(OR(E151="",E151="!!!",F151="NEW"),"",INDEX(J$1:J150,SUMPRODUCT(MAX(ROW(E$1:E150)*(E151=E$1:E150)))))</f>
        <v/>
      </c>
      <c r="L151" s="26"/>
    </row>
    <row r="152" spans="1:12" x14ac:dyDescent="0.3">
      <c r="A152" t="s">
        <v>214</v>
      </c>
      <c r="E152" s="21" t="str">
        <f t="shared" si="16"/>
        <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ca="1" si="17"/>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260</v>
      </c>
      <c r="B153" s="20" t="s">
        <v>149</v>
      </c>
      <c r="C153" s="20" t="s">
        <v>158</v>
      </c>
      <c r="D153" s="20" t="s">
        <v>146</v>
      </c>
      <c r="E153" s="21" t="s">
        <v>496</v>
      </c>
      <c r="F153" s="22" t="str">
        <f>IF(OR(E153="",E153="!!!"),"",IF(NOT(ISNA(VLOOKUP(E153,E$1:E152,1,FALSE()))),"OLD",IF(AND(E153&lt;&gt;"",E153&lt;&gt;"!!!"),"NEW","")))</f>
        <v>NEW</v>
      </c>
      <c r="G153" s="23" t="s">
        <v>483</v>
      </c>
      <c r="H153" s="24" t="str">
        <f t="shared" ca="1" si="17"/>
        <v/>
      </c>
      <c r="I153" s="25" t="str">
        <f>IF(OR(E153="",E153="!!!",F153="NEW"),"",INDEX(B$2:B152,-1+SUMPRODUCT(MAX(ROW(E$2:E152)*(E153=E$2:E152)))))</f>
        <v/>
      </c>
      <c r="J153" s="25" t="str">
        <f ca="1">IF(OR(E153="",E153="!!!",F153="NEW"),"",COUNTBLANK(OFFSET(A$1,,,SUMPRODUCT(MAX(ROW(E$2:E153)*(E153=E$2:E153)))))-COUNTBLANK(OFFSET(A$1,,,SUMPRODUCT(MAX(ROW(E$1:E152)*(E2=E$1:E152))))))</f>
        <v/>
      </c>
      <c r="K153" s="25" t="str">
        <f>IF(OR(E153="",E153="!!!",F153="NEW"),"",INDEX(J$1:J152,SUMPRODUCT(MAX(ROW(E$1:E152)*(E153=E$1:E152)))))</f>
        <v/>
      </c>
      <c r="L153" s="26"/>
    </row>
    <row r="154" spans="1:12" x14ac:dyDescent="0.3">
      <c r="A154" t="s">
        <v>174</v>
      </c>
      <c r="E154" s="21" t="str">
        <f t="shared" si="16"/>
        <v/>
      </c>
      <c r="F154" s="22" t="str">
        <f>IF(OR(E154="",E154="!!!"),"",IF(NOT(ISNA(VLOOKUP(E154,E$1:E153,1,FALSE()))),"OLD",IF(AND(E154&lt;&gt;"",E154&lt;&gt;"!!!"),"NEW","")))</f>
        <v/>
      </c>
      <c r="G154" s="23" t="str">
        <f>IF(OR(E154="",E154="!!!"),"",IF(OR(J154=0,AND(J154=1,K154=1),AND(J154=1,I154="SBJ"),AND(J154=1,I154=0)),"?IN_FOCUS",IF(J154&lt;=2,"?ACTIVATED",IF(J154&lt;&gt;"","?FAMILIAR",IF(F154="NEW",IF(ISNA(VLOOKUP(E154,#REF!,1,FALSE())),"?TYPE_IDENTIFIABLE","?REFERENTIAL"),"_")))))</f>
        <v/>
      </c>
      <c r="H154" s="24" t="str">
        <f t="shared" ca="1" si="17"/>
        <v/>
      </c>
      <c r="I154" s="25" t="str">
        <f>IF(OR(E154="",E154="!!!",F154="NEW"),"",INDEX(B$2:B153,-1+SUMPRODUCT(MAX(ROW(E$2:E153)*(E154=E$2:E153)))))</f>
        <v/>
      </c>
      <c r="J154" s="25" t="str">
        <f ca="1">IF(OR(E154="",E154="!!!",F154="NEW"),"",COUNTBLANK(OFFSET(A$1,,,SUMPRODUCT(MAX(ROW(E$2:E154)*(E154=E$2:E154)))))-COUNTBLANK(OFFSET(A$1,,,SUMPRODUCT(MAX(ROW(E$1:E153)*(E2=E$1:E153))))))</f>
        <v/>
      </c>
      <c r="K154" s="25" t="str">
        <f>IF(OR(E154="",E154="!!!",F154="NEW"),"",INDEX(J$1:J153,SUMPRODUCT(MAX(ROW(E$1:E153)*(E154=E$1:E153)))))</f>
        <v/>
      </c>
      <c r="L154" s="26"/>
    </row>
    <row r="155" spans="1:12" x14ac:dyDescent="0.3">
      <c r="A155" t="s">
        <v>198</v>
      </c>
      <c r="B155" s="20" t="s">
        <v>144</v>
      </c>
      <c r="C155" s="20" t="s">
        <v>145</v>
      </c>
      <c r="D155" s="20" t="s">
        <v>146</v>
      </c>
      <c r="E155" s="21" t="s">
        <v>486</v>
      </c>
      <c r="F155" s="22" t="str">
        <f>IF(OR(E155="",E155="!!!"),"",IF(NOT(ISNA(VLOOKUP(E155,E$1:E154,1,FALSE()))),"OLD",IF(AND(E155&lt;&gt;"",E155&lt;&gt;"!!!"),"NEW","")))</f>
        <v>OLD</v>
      </c>
      <c r="G155" s="23" t="s">
        <v>482</v>
      </c>
      <c r="H155" s="24" t="str">
        <f t="shared" ca="1" si="17"/>
        <v/>
      </c>
      <c r="I155" s="25" t="str">
        <f>IF(OR(E155="",E155="!!!",F155="NEW"),"",INDEX(B$2:B154,-1+SUMPRODUCT(MAX(ROW(E$2:E154)*(E155=E$2:E154)))))</f>
        <v>other_2</v>
      </c>
      <c r="J155" s="25">
        <f ca="1">IF(OR(E155="",E155="!!!",F155="NEW"),"",COUNTBLANK(OFFSET(A$1,,,SUMPRODUCT(MAX(ROW(E$2:E155)*(E155=E$2:E155)))))-COUNTBLANK(OFFSET(A$1,,,SUMPRODUCT(MAX(ROW(E$1:E154)*(E2=E$1:E154))))))</f>
        <v>0</v>
      </c>
      <c r="K155" s="25" t="str">
        <f ca="1">IF(OR(E155="",E155="!!!",F155="NEW"),"",INDEX(J$1:J154,SUMPRODUCT(MAX(ROW(E$1:E154)*(E155=E$1:E154)))))</f>
        <v/>
      </c>
      <c r="L155" s="26"/>
    </row>
    <row r="156" spans="1:12" x14ac:dyDescent="0.3">
      <c r="A156" t="s">
        <v>261</v>
      </c>
      <c r="E156" s="21" t="str">
        <f t="shared" si="16"/>
        <v/>
      </c>
      <c r="F156" s="22" t="str">
        <f>IF(OR(E156="",E156="!!!"),"",IF(NOT(ISNA(VLOOKUP(E156,E$1:E155,1,FALSE()))),"OLD",IF(AND(E156&lt;&gt;"",E156&lt;&gt;"!!!"),"NEW","")))</f>
        <v/>
      </c>
      <c r="G156" s="23" t="str">
        <f>IF(OR(E156="",E156="!!!"),"",IF(OR(J156=0,AND(J156=1,K156=1),AND(J156=1,I156="SBJ"),AND(J156=1,I156=0)),"?IN_FOCUS",IF(J156&lt;=2,"?ACTIVATED",IF(J156&lt;&gt;"","?FAMILIAR",IF(F156="NEW",IF(ISNA(VLOOKUP(E156,#REF!,1,FALSE())),"?TYPE_IDENTIFIABLE","?REFERENTIAL"),"_")))))</f>
        <v/>
      </c>
      <c r="H156" s="24" t="str">
        <f t="shared" ca="1" si="17"/>
        <v/>
      </c>
      <c r="I156" s="25" t="str">
        <f>IF(OR(E156="",E156="!!!",F156="NEW"),"",INDEX(B$2:B155,-1+SUMPRODUCT(MAX(ROW(E$2:E155)*(E156=E$2:E155)))))</f>
        <v/>
      </c>
      <c r="J156" s="25" t="str">
        <f ca="1">IF(OR(E156="",E156="!!!",F156="NEW"),"",COUNTBLANK(OFFSET(A$1,,,SUMPRODUCT(MAX(ROW(E$2:E156)*(E156=E$2:E156)))))-COUNTBLANK(OFFSET(A$1,,,SUMPRODUCT(MAX(ROW(E$1:E155)*(E2=E$1:E155))))))</f>
        <v/>
      </c>
      <c r="K156" s="25" t="str">
        <f>IF(OR(E156="",E156="!!!",F156="NEW"),"",INDEX(J$1:J155,SUMPRODUCT(MAX(ROW(E$1:E155)*(E156=E$1:E155)))))</f>
        <v/>
      </c>
      <c r="L156" s="26"/>
    </row>
    <row r="157" spans="1:12" x14ac:dyDescent="0.3">
      <c r="A157" t="s">
        <v>200</v>
      </c>
      <c r="B157" s="20" t="s">
        <v>157</v>
      </c>
      <c r="C157" s="20" t="s">
        <v>201</v>
      </c>
      <c r="D157" s="20" t="s">
        <v>146</v>
      </c>
      <c r="E157" s="21"/>
      <c r="F157" s="22" t="s">
        <v>501</v>
      </c>
      <c r="G157" s="23" t="str">
        <f>IF(OR(E157="",E157="!!!"),"",IF(OR(J157=0,AND(J157=1,K157=1),AND(J157=1,I157="SBJ"),AND(J157=1,I157=0)),"?IN_FOCUS",IF(J157&lt;=2,"?ACTIVATED",IF(J157&lt;&gt;"","?FAMILIAR",IF(F157="NEW",IF(ISNA(VLOOKUP(E157,#REF!,1,FALSE())),"?TYPE_IDENTIFIABLE","?REFERENTIAL"),"_")))))</f>
        <v/>
      </c>
      <c r="H157" s="24" t="str">
        <f t="shared" ca="1" si="17"/>
        <v/>
      </c>
      <c r="I157" s="25" t="str">
        <f>IF(OR(E157="",E157="!!!",F157="NEW"),"",INDEX(B$2:B156,-1+SUMPRODUCT(MAX(ROW(E$2:E156)*(E157=E$2:E156)))))</f>
        <v/>
      </c>
      <c r="J157" s="25" t="str">
        <f ca="1">IF(OR(E157="",E157="!!!",F157="NEW"),"",COUNTBLANK(OFFSET(A$1,,,SUMPRODUCT(MAX(ROW(E$2:E157)*(E157=E$2:E157)))))-COUNTBLANK(OFFSET(A$1,,,SUMPRODUCT(MAX(ROW(E$1:E156)*(E2=E$1:E156))))))</f>
        <v/>
      </c>
      <c r="K157" s="25" t="str">
        <f>IF(OR(E157="",E157="!!!",F157="NEW"),"",INDEX(J$1:J156,SUMPRODUCT(MAX(ROW(E$1:E156)*(E157=E$1:E156)))))</f>
        <v/>
      </c>
      <c r="L157" s="26"/>
    </row>
    <row r="158" spans="1:12" x14ac:dyDescent="0.3">
      <c r="A158" t="s">
        <v>252</v>
      </c>
      <c r="E158" s="21" t="str">
        <f t="shared" si="16"/>
        <v/>
      </c>
      <c r="F158" s="22" t="str">
        <f>IF(OR(E158="",E158="!!!"),"",IF(NOT(ISNA(VLOOKUP(E158,E$1:E157,1,FALSE()))),"OLD",IF(AND(E158&lt;&gt;"",E158&lt;&gt;"!!!"),"NEW","")))</f>
        <v/>
      </c>
      <c r="G158" s="23" t="str">
        <f>IF(OR(E158="",E158="!!!"),"",IF(OR(J158=0,AND(J158=1,K158=1),AND(J158=1,I158="SBJ"),AND(J158=1,I158=0)),"?IN_FOCUS",IF(J158&lt;=2,"?ACTIVATED",IF(J158&lt;&gt;"","?FAMILIAR",IF(F158="NEW",IF(ISNA(VLOOKUP(E158,#REF!,1,FALSE())),"?TYPE_IDENTIFIABLE","?REFERENTIAL"),"_")))))</f>
        <v/>
      </c>
      <c r="H158" s="24" t="str">
        <f t="shared" ca="1" si="17"/>
        <v/>
      </c>
      <c r="I158" s="25" t="str">
        <f>IF(OR(E158="",E158="!!!",F158="NEW"),"",INDEX(B$2:B157,-1+SUMPRODUCT(MAX(ROW(E$2:E157)*(E158=E$2:E157)))))</f>
        <v/>
      </c>
      <c r="J158" s="25" t="str">
        <f ca="1">IF(OR(E158="",E158="!!!",F158="NEW"),"",COUNTBLANK(OFFSET(A$1,,,SUMPRODUCT(MAX(ROW(E$2:E158)*(E158=E$2:E158)))))-COUNTBLANK(OFFSET(A$1,,,SUMPRODUCT(MAX(ROW(E$1:E157)*(E2=E$1:E157))))))</f>
        <v/>
      </c>
      <c r="K158" s="25" t="str">
        <f>IF(OR(E158="",E158="!!!",F158="NEW"),"",INDEX(J$1:J157,SUMPRODUCT(MAX(ROW(E$1:E157)*(E158=E$1:E157)))))</f>
        <v/>
      </c>
      <c r="L158" s="26"/>
    </row>
    <row r="159" spans="1:12" x14ac:dyDescent="0.3">
      <c r="A159" t="s">
        <v>262</v>
      </c>
      <c r="E159" s="21" t="str">
        <f t="shared" si="16"/>
        <v/>
      </c>
      <c r="F159" s="22" t="str">
        <f>IF(OR(E159="",E159="!!!"),"",IF(NOT(ISNA(VLOOKUP(E159,E$1:E158,1,FALSE()))),"OLD",IF(AND(E159&lt;&gt;"",E159&lt;&gt;"!!!"),"NEW","")))</f>
        <v/>
      </c>
      <c r="G159" s="23" t="str">
        <f>IF(OR(E159="",E159="!!!"),"",IF(OR(J159=0,AND(J159=1,K159=1),AND(J159=1,I159="SBJ"),AND(J159=1,I159=0)),"?IN_FOCUS",IF(J159&lt;=2,"?ACTIVATED",IF(J159&lt;&gt;"","?FAMILIAR",IF(F159="NEW",IF(ISNA(VLOOKUP(E159,#REF!,1,FALSE())),"?TYPE_IDENTIFIABLE","?REFERENTIAL"),"_")))))</f>
        <v/>
      </c>
      <c r="H159" s="24" t="str">
        <f t="shared" ca="1" si="17"/>
        <v/>
      </c>
      <c r="I159" s="25" t="str">
        <f>IF(OR(E159="",E159="!!!",F159="NEW"),"",INDEX(B$2:B158,-1+SUMPRODUCT(MAX(ROW(E$2:E158)*(E159=E$2:E158)))))</f>
        <v/>
      </c>
      <c r="J159" s="25" t="str">
        <f ca="1">IF(OR(E159="",E159="!!!",F159="NEW"),"",COUNTBLANK(OFFSET(A$1,,,SUMPRODUCT(MAX(ROW(E$2:E159)*(E159=E$2:E159)))))-COUNTBLANK(OFFSET(A$1,,,SUMPRODUCT(MAX(ROW(E$1:E158)*(E2=E$1:E158))))))</f>
        <v/>
      </c>
      <c r="K159" s="25" t="str">
        <f>IF(OR(E159="",E159="!!!",F159="NEW"),"",INDEX(J$1:J158,SUMPRODUCT(MAX(ROW(E$1:E158)*(E159=E$1:E158)))))</f>
        <v/>
      </c>
      <c r="L159" s="26"/>
    </row>
    <row r="160" spans="1:12" x14ac:dyDescent="0.3">
      <c r="A160" t="s">
        <v>263</v>
      </c>
      <c r="B160" s="20" t="s">
        <v>149</v>
      </c>
      <c r="C160" s="20" t="s">
        <v>145</v>
      </c>
      <c r="D160" s="20" t="s">
        <v>146</v>
      </c>
      <c r="E160" s="21"/>
      <c r="F160" s="22" t="s">
        <v>497</v>
      </c>
      <c r="G160" s="23" t="str">
        <f>IF(OR(E160="",E160="!!!"),"",IF(OR(J160=0,AND(J160=1,K160=1),AND(J160=1,I160="SBJ"),AND(J160=1,I160=0)),"?IN_FOCUS",IF(J160&lt;=2,"?ACTIVATED",IF(J160&lt;&gt;"","?FAMILIAR",IF(F160="NEW",IF(ISNA(VLOOKUP(E160,#REF!,1,FALSE())),"?TYPE_IDENTIFIABLE","?REFERENTIAL"),"_")))))</f>
        <v/>
      </c>
      <c r="H160" s="24" t="str">
        <f t="shared" ca="1" si="17"/>
        <v/>
      </c>
      <c r="I160" s="25" t="str">
        <f>IF(OR(E160="",E160="!!!",F160="NEW"),"",INDEX(B$2:B159,-1+SUMPRODUCT(MAX(ROW(E$2:E159)*(E160=E$2:E159)))))</f>
        <v/>
      </c>
      <c r="J160" s="25" t="str">
        <f ca="1">IF(OR(E160="",E160="!!!",F160="NEW"),"",COUNTBLANK(OFFSET(A$1,,,SUMPRODUCT(MAX(ROW(E$2:E160)*(E160=E$2:E160)))))-COUNTBLANK(OFFSET(A$1,,,SUMPRODUCT(MAX(ROW(E$1:E159)*(E2=E$1:E159))))))</f>
        <v/>
      </c>
      <c r="K160" s="25" t="str">
        <f>IF(OR(E160="",E160="!!!",F160="NEW"),"",INDEX(J$1:J159,SUMPRODUCT(MAX(ROW(E$1:E159)*(E160=E$1:E159)))))</f>
        <v/>
      </c>
      <c r="L160" s="26"/>
    </row>
    <row r="161" spans="1:12" x14ac:dyDescent="0.3">
      <c r="A161" t="s">
        <v>254</v>
      </c>
      <c r="E161" s="21" t="str">
        <f t="shared" si="16"/>
        <v/>
      </c>
      <c r="F161" s="22" t="str">
        <f>IF(OR(E161="",E161="!!!"),"",IF(NOT(ISNA(VLOOKUP(E161,E$1:E160,1,FALSE()))),"OLD",IF(AND(E161&lt;&gt;"",E161&lt;&gt;"!!!"),"NEW","")))</f>
        <v/>
      </c>
      <c r="G161" s="23" t="str">
        <f>IF(OR(E161="",E161="!!!"),"",IF(OR(J161=0,AND(J161=1,K161=1),AND(J161=1,I161="SBJ"),AND(J161=1,I161=0)),"?IN_FOCUS",IF(J161&lt;=2,"?ACTIVATED",IF(J161&lt;&gt;"","?FAMILIAR",IF(F161="NEW",IF(ISNA(VLOOKUP(E161,#REF!,1,FALSE())),"?TYPE_IDENTIFIABLE","?REFERENTIAL"),"_")))))</f>
        <v/>
      </c>
      <c r="H161" s="24" t="str">
        <f t="shared" ca="1" si="17"/>
        <v/>
      </c>
      <c r="I161" s="25" t="str">
        <f>IF(OR(E161="",E161="!!!",F161="NEW"),"",INDEX(B$2:B160,-1+SUMPRODUCT(MAX(ROW(E$2:E160)*(E161=E$2:E160)))))</f>
        <v/>
      </c>
      <c r="J161" s="25" t="str">
        <f ca="1">IF(OR(E161="",E161="!!!",F161="NEW"),"",COUNTBLANK(OFFSET(A$1,,,SUMPRODUCT(MAX(ROW(E$2:E161)*(E161=E$2:E161)))))-COUNTBLANK(OFFSET(A$1,,,SUMPRODUCT(MAX(ROW(E$1:E160)*(E2=E$1:E160))))))</f>
        <v/>
      </c>
      <c r="K161" s="25" t="str">
        <f>IF(OR(E161="",E161="!!!",F161="NEW"),"",INDEX(J$1:J160,SUMPRODUCT(MAX(ROW(E$1:E160)*(E161=E$1:E160)))))</f>
        <v/>
      </c>
      <c r="L161" s="26"/>
    </row>
    <row r="162" spans="1:12" x14ac:dyDescent="0.3">
      <c r="A162" t="s">
        <v>202</v>
      </c>
      <c r="E162" s="21" t="str">
        <f t="shared" si="16"/>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ca="1" si="17"/>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203</v>
      </c>
      <c r="E163" s="21" t="str">
        <f t="shared" si="16"/>
        <v/>
      </c>
      <c r="F163" s="22" t="str">
        <f>IF(OR(E163="",E163="!!!"),"",IF(NOT(ISNA(VLOOKUP(E163,E$1:E162,1,FALSE()))),"OLD",IF(AND(E163&lt;&gt;"",E163&lt;&gt;"!!!"),"NEW","")))</f>
        <v/>
      </c>
      <c r="G163" s="23" t="str">
        <f>IF(OR(E163="",E163="!!!"),"",IF(OR(J163=0,AND(J163=1,K163=1),AND(J163=1,I163="SBJ"),AND(J163=1,I163=0)),"?IN_FOCUS",IF(J163&lt;=2,"?ACTIVATED",IF(J163&lt;&gt;"","?FAMILIAR",IF(F163="NEW",IF(ISNA(VLOOKUP(E163,#REF!,1,FALSE())),"?TYPE_IDENTIFIABLE","?REFERENTIAL"),"_")))))</f>
        <v/>
      </c>
      <c r="H163" s="24" t="str">
        <f t="shared" ca="1" si="17"/>
        <v/>
      </c>
      <c r="I163" s="25" t="str">
        <f>IF(OR(E163="",E163="!!!",F163="NEW"),"",INDEX(B$2:B162,-1+SUMPRODUCT(MAX(ROW(E$2:E162)*(E163=E$2:E162)))))</f>
        <v/>
      </c>
      <c r="J163" s="25" t="str">
        <f ca="1">IF(OR(E163="",E163="!!!",F163="NEW"),"",COUNTBLANK(OFFSET(A$1,,,SUMPRODUCT(MAX(ROW(E$2:E163)*(E163=E$2:E163)))))-COUNTBLANK(OFFSET(A$1,,,SUMPRODUCT(MAX(ROW(E$1:E162)*(E2=E$1:E162))))))</f>
        <v/>
      </c>
      <c r="K163" s="25" t="str">
        <f>IF(OR(E163="",E163="!!!",F163="NEW"),"",INDEX(J$1:J162,SUMPRODUCT(MAX(ROW(E$1:E162)*(E163=E$1:E162)))))</f>
        <v/>
      </c>
      <c r="L163" s="26"/>
    </row>
    <row r="164" spans="1:12" x14ac:dyDescent="0.3">
      <c r="A164" t="s">
        <v>242</v>
      </c>
      <c r="B164" s="20" t="s">
        <v>163</v>
      </c>
      <c r="C164" s="20" t="s">
        <v>201</v>
      </c>
      <c r="D164" s="20" t="s">
        <v>146</v>
      </c>
      <c r="E164" s="21" t="s">
        <v>490</v>
      </c>
      <c r="F164" s="22" t="str">
        <f>IF(OR(E164="",E164="!!!"),"",IF(NOT(ISNA(VLOOKUP(E164,E$1:E163,1,FALSE()))),"OLD",IF(AND(E164&lt;&gt;"",E164&lt;&gt;"!!!"),"NEW","")))</f>
        <v>OLD</v>
      </c>
      <c r="G164" s="23" t="s">
        <v>527</v>
      </c>
      <c r="H164" s="24" t="s">
        <v>138</v>
      </c>
      <c r="I164" s="25">
        <f>IF(OR(E164="",E164="!!!",F164="NEW"),"",INDEX(B$2:B163,-1+SUMPRODUCT(MAX(ROW(E$2:E163)*(E164=E$2:E163)))))</f>
        <v>0</v>
      </c>
      <c r="J164" s="25">
        <f ca="1">IF(OR(E164="",E164="!!!",F164="NEW"),"",COUNTBLANK(OFFSET(A$1,,,SUMPRODUCT(MAX(ROW(E$2:E164)*(E164=E$2:E164)))))-COUNTBLANK(OFFSET(A$1,,,SUMPRODUCT(MAX(ROW(E$1:E163)*(E2=E$1:E163))))))</f>
        <v>0</v>
      </c>
      <c r="K164" s="25">
        <f ca="1">IF(OR(E164="",E164="!!!",F164="NEW"),"",INDEX(J$1:J163,SUMPRODUCT(MAX(ROW(E$1:E163)*(E164=E$1:E163)))))</f>
        <v>0</v>
      </c>
      <c r="L164" s="26"/>
    </row>
    <row r="165" spans="1:12" x14ac:dyDescent="0.3">
      <c r="A165" t="s">
        <v>264</v>
      </c>
      <c r="E165" s="21" t="str">
        <f t="shared" si="16"/>
        <v/>
      </c>
      <c r="F165" s="22" t="str">
        <f>IF(OR(E165="",E165="!!!"),"",IF(NOT(ISNA(VLOOKUP(E165,E$1:E164,1,FALSE()))),"OLD",IF(AND(E165&lt;&gt;"",E165&lt;&gt;"!!!"),"NEW","")))</f>
        <v/>
      </c>
      <c r="G165" s="23" t="str">
        <f>IF(OR(E165="",E165="!!!"),"",IF(OR(J165=0,AND(J165=1,K165=1),AND(J165=1,I165="SBJ"),AND(J165=1,I165=0)),"?IN_FOCUS",IF(J165&lt;=2,"?ACTIVATED",IF(J165&lt;&gt;"","?FAMILIAR",IF(F165="NEW",IF(ISNA(VLOOKUP(E165,#REF!,1,FALSE())),"?TYPE_IDENTIFIABLE","?REFERENTIAL"),"_")))))</f>
        <v/>
      </c>
      <c r="H165" s="24" t="str">
        <f t="shared" ca="1" si="17"/>
        <v/>
      </c>
      <c r="I165" s="25" t="str">
        <f>IF(OR(E165="",E165="!!!",F165="NEW"),"",INDEX(B$2:B164,-1+SUMPRODUCT(MAX(ROW(E$2:E164)*(E165=E$2:E164)))))</f>
        <v/>
      </c>
      <c r="J165" s="25" t="str">
        <f ca="1">IF(OR(E165="",E165="!!!",F165="NEW"),"",COUNTBLANK(OFFSET(A$1,,,SUMPRODUCT(MAX(ROW(E$2:E165)*(E165=E$2:E165)))))-COUNTBLANK(OFFSET(A$1,,,SUMPRODUCT(MAX(ROW(E$1:E164)*(E2=E$1:E164))))))</f>
        <v/>
      </c>
      <c r="K165" s="25" t="str">
        <f>IF(OR(E165="",E165="!!!",F165="NEW"),"",INDEX(J$1:J164,SUMPRODUCT(MAX(ROW(E$1:E164)*(E165=E$1:E164)))))</f>
        <v/>
      </c>
      <c r="L165" s="26"/>
    </row>
    <row r="166" spans="1:12" x14ac:dyDescent="0.3">
      <c r="A166" t="s">
        <v>265</v>
      </c>
      <c r="B166" s="20" t="s">
        <v>149</v>
      </c>
      <c r="C166" s="20" t="s">
        <v>150</v>
      </c>
      <c r="E166" s="21" t="str">
        <f t="shared" si="16"/>
        <v/>
      </c>
      <c r="F166" s="22" t="str">
        <f>IF(OR(E166="",E166="!!!"),"",IF(NOT(ISNA(VLOOKUP(E166,E$1:E165,1,FALSE()))),"OLD",IF(AND(E166&lt;&gt;"",E166&lt;&gt;"!!!"),"NEW","")))</f>
        <v/>
      </c>
      <c r="G166" s="23" t="str">
        <f>IF(OR(E166="",E166="!!!"),"",IF(OR(J166=0,AND(J166=1,K166=1),AND(J166=1,I166="SBJ"),AND(J166=1,I166=0)),"?IN_FOCUS",IF(J166&lt;=2,"?ACTIVATED",IF(J166&lt;&gt;"","?FAMILIAR",IF(F166="NEW",IF(ISNA(VLOOKUP(E166,#REF!,1,FALSE())),"?TYPE_IDENTIFIABLE","?REFERENTIAL"),"_")))))</f>
        <v/>
      </c>
      <c r="H166" s="24" t="str">
        <f t="shared" ca="1" si="17"/>
        <v/>
      </c>
      <c r="I166" s="25" t="str">
        <f>IF(OR(E166="",E166="!!!",F166="NEW"),"",INDEX(B$2:B165,-1+SUMPRODUCT(MAX(ROW(E$2:E165)*(E166=E$2:E165)))))</f>
        <v/>
      </c>
      <c r="J166" s="25" t="str">
        <f ca="1">IF(OR(E166="",E166="!!!",F166="NEW"),"",COUNTBLANK(OFFSET(A$1,,,SUMPRODUCT(MAX(ROW(E$2:E166)*(E166=E$2:E166)))))-COUNTBLANK(OFFSET(A$1,,,SUMPRODUCT(MAX(ROW(E$1:E165)*(E2=E$1:E165))))))</f>
        <v/>
      </c>
      <c r="K166" s="25" t="str">
        <f>IF(OR(E166="",E166="!!!",F166="NEW"),"",INDEX(J$1:J165,SUMPRODUCT(MAX(ROW(E$1:E165)*(E166=E$1:E165)))))</f>
        <v/>
      </c>
      <c r="L166" s="26"/>
    </row>
    <row r="167" spans="1:12" x14ac:dyDescent="0.3">
      <c r="A167" t="s">
        <v>189</v>
      </c>
      <c r="E167" s="21" t="str">
        <f t="shared" si="16"/>
        <v/>
      </c>
      <c r="F167" s="22" t="str">
        <f>IF(OR(E167="",E167="!!!"),"",IF(NOT(ISNA(VLOOKUP(E167,E$1:E166,1,FALSE()))),"OLD",IF(AND(E167&lt;&gt;"",E167&lt;&gt;"!!!"),"NEW","")))</f>
        <v/>
      </c>
      <c r="G167" s="23" t="str">
        <f>IF(OR(E167="",E167="!!!"),"",IF(OR(J167=0,AND(J167=1,K167=1),AND(J167=1,I167="SBJ"),AND(J167=1,I167=0)),"?IN_FOCUS",IF(J167&lt;=2,"?ACTIVATED",IF(J167&lt;&gt;"","?FAMILIAR",IF(F167="NEW",IF(ISNA(VLOOKUP(E167,#REF!,1,FALSE())),"?TYPE_IDENTIFIABLE","?REFERENTIAL"),"_")))))</f>
        <v/>
      </c>
      <c r="H167" s="24" t="str">
        <f t="shared" ca="1" si="17"/>
        <v/>
      </c>
      <c r="I167" s="25" t="str">
        <f>IF(OR(E167="",E167="!!!",F167="NEW"),"",INDEX(B$2:B166,-1+SUMPRODUCT(MAX(ROW(E$2:E166)*(E167=E$2:E166)))))</f>
        <v/>
      </c>
      <c r="J167" s="25" t="str">
        <f ca="1">IF(OR(E167="",E167="!!!",F167="NEW"),"",COUNTBLANK(OFFSET(A$1,,,SUMPRODUCT(MAX(ROW(E$2:E167)*(E167=E$2:E167)))))-COUNTBLANK(OFFSET(A$1,,,SUMPRODUCT(MAX(ROW(E$1:E166)*(E2=E$1:E166))))))</f>
        <v/>
      </c>
      <c r="K167" s="25" t="str">
        <f>IF(OR(E167="",E167="!!!",F167="NEW"),"",INDEX(J$1:J166,SUMPRODUCT(MAX(ROW(E$1:E166)*(E167=E$1:E166)))))</f>
        <v/>
      </c>
      <c r="L167" s="26"/>
    </row>
    <row r="168" spans="1:12" x14ac:dyDescent="0.3">
      <c r="A168" t="s">
        <v>266</v>
      </c>
      <c r="B168" s="20" t="s">
        <v>144</v>
      </c>
      <c r="C168" s="20" t="s">
        <v>150</v>
      </c>
      <c r="E168" s="21" t="str">
        <f t="shared" si="16"/>
        <v/>
      </c>
      <c r="F168" s="22" t="str">
        <f>IF(OR(E168="",E168="!!!"),"",IF(NOT(ISNA(VLOOKUP(E168,E$1:E167,1,FALSE()))),"OLD",IF(AND(E168&lt;&gt;"",E168&lt;&gt;"!!!"),"NEW","")))</f>
        <v/>
      </c>
      <c r="G168" s="23" t="str">
        <f>IF(OR(E168="",E168="!!!"),"",IF(OR(J168=0,AND(J168=1,K168=1),AND(J168=1,I168="SBJ"),AND(J168=1,I168=0)),"?IN_FOCUS",IF(J168&lt;=2,"?ACTIVATED",IF(J168&lt;&gt;"","?FAMILIAR",IF(F168="NEW",IF(ISNA(VLOOKUP(E168,#REF!,1,FALSE())),"?TYPE_IDENTIFIABLE","?REFERENTIAL"),"_")))))</f>
        <v/>
      </c>
      <c r="H168" s="24" t="str">
        <f t="shared" ca="1" si="17"/>
        <v/>
      </c>
      <c r="I168" s="25" t="str">
        <f>IF(OR(E168="",E168="!!!",F168="NEW"),"",INDEX(B$2:B167,-1+SUMPRODUCT(MAX(ROW(E$2:E167)*(E168=E$2:E167)))))</f>
        <v/>
      </c>
      <c r="J168" s="25" t="str">
        <f ca="1">IF(OR(E168="",E168="!!!",F168="NEW"),"",COUNTBLANK(OFFSET(A$1,,,SUMPRODUCT(MAX(ROW(E$2:E168)*(E168=E$2:E168)))))-COUNTBLANK(OFFSET(A$1,,,SUMPRODUCT(MAX(ROW(E$1:E167)*(E2=E$1:E167))))))</f>
        <v/>
      </c>
      <c r="K168" s="25" t="str">
        <f>IF(OR(E168="",E168="!!!",F168="NEW"),"",INDEX(J$1:J167,SUMPRODUCT(MAX(ROW(E$1:E167)*(E168=E$1:E167)))))</f>
        <v/>
      </c>
      <c r="L168" s="26"/>
    </row>
    <row r="169" spans="1:12" x14ac:dyDescent="0.3">
      <c r="A169" t="s">
        <v>174</v>
      </c>
      <c r="E169" s="21" t="str">
        <f t="shared" si="16"/>
        <v/>
      </c>
      <c r="F169" s="22" t="str">
        <f>IF(OR(E169="",E169="!!!"),"",IF(NOT(ISNA(VLOOKUP(E169,E$1:E168,1,FALSE()))),"OLD",IF(AND(E169&lt;&gt;"",E169&lt;&gt;"!!!"),"NEW","")))</f>
        <v/>
      </c>
      <c r="G169" s="23" t="str">
        <f>IF(OR(E169="",E169="!!!"),"",IF(OR(J169=0,AND(J169=1,K169=1),AND(J169=1,I169="SBJ"),AND(J169=1,I169=0)),"?IN_FOCUS",IF(J169&lt;=2,"?ACTIVATED",IF(J169&lt;&gt;"","?FAMILIAR",IF(F169="NEW",IF(ISNA(VLOOKUP(E169,#REF!,1,FALSE())),"?TYPE_IDENTIFIABLE","?REFERENTIAL"),"_")))))</f>
        <v/>
      </c>
      <c r="H169" s="24" t="str">
        <f t="shared" ca="1" si="17"/>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row>
    <row r="170" spans="1:12" x14ac:dyDescent="0.3">
      <c r="A170" t="s">
        <v>267</v>
      </c>
      <c r="B170" s="20" t="s">
        <v>144</v>
      </c>
      <c r="C170" s="20" t="s">
        <v>158</v>
      </c>
      <c r="D170" s="20" t="s">
        <v>146</v>
      </c>
      <c r="E170" s="21" t="s">
        <v>498</v>
      </c>
      <c r="F170" s="22" t="str">
        <f>IF(OR(E170="",E170="!!!"),"",IF(NOT(ISNA(VLOOKUP(E170,E$1:E169,1,FALSE()))),"OLD",IF(AND(E170&lt;&gt;"",E170&lt;&gt;"!!!"),"NEW","")))</f>
        <v>NEW</v>
      </c>
      <c r="G170" s="23" t="s">
        <v>483</v>
      </c>
      <c r="H170" s="24" t="str">
        <f t="shared" ca="1" si="17"/>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row>
    <row r="171" spans="1:12" x14ac:dyDescent="0.3">
      <c r="A171" t="s">
        <v>169</v>
      </c>
      <c r="E171" s="21" t="str">
        <f t="shared" si="16"/>
        <v/>
      </c>
      <c r="F171" s="22" t="str">
        <f>IF(OR(E171="",E171="!!!"),"",IF(NOT(ISNA(VLOOKUP(E171,E$1:E170,1,FALSE()))),"OLD",IF(AND(E171&lt;&gt;"",E171&lt;&gt;"!!!"),"NEW","")))</f>
        <v/>
      </c>
      <c r="G171" s="23" t="str">
        <f>IF(OR(E171="",E171="!!!"),"",IF(OR(J171=0,AND(J171=1,K171=1),AND(J171=1,I171="SBJ"),AND(J171=1,I171=0)),"?IN_FOCUS",IF(J171&lt;=2,"?ACTIVATED",IF(J171&lt;&gt;"","?FAMILIAR",IF(F171="NEW",IF(ISNA(VLOOKUP(E171,#REF!,1,FALSE())),"?TYPE_IDENTIFIABLE","?REFERENTIAL"),"_")))))</f>
        <v/>
      </c>
      <c r="H171" s="24" t="str">
        <f t="shared" ca="1" si="17"/>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167</v>
      </c>
      <c r="E172" s="21" t="str">
        <f t="shared" si="16"/>
        <v/>
      </c>
      <c r="F172" s="22" t="str">
        <f>IF(OR(E172="",E172="!!!"),"",IF(NOT(ISNA(VLOOKUP(E172,E$1:E171,1,FALSE()))),"OLD",IF(AND(E172&lt;&gt;"",E172&lt;&gt;"!!!"),"NEW","")))</f>
        <v/>
      </c>
      <c r="G172" s="23" t="str">
        <f>IF(OR(E172="",E172="!!!"),"",IF(OR(J172=0,AND(J172=1,K172=1),AND(J172=1,I172="SBJ"),AND(J172=1,I172=0)),"?IN_FOCUS",IF(J172&lt;=2,"?ACTIVATED",IF(J172&lt;&gt;"","?FAMILIAR",IF(F172="NEW",IF(ISNA(VLOOKUP(E172,#REF!,1,FALSE())),"?TYPE_IDENTIFIABLE","?REFERENTIAL"),"_")))))</f>
        <v/>
      </c>
      <c r="H172" s="24" t="str">
        <f t="shared" ca="1" si="17"/>
        <v/>
      </c>
      <c r="I172" s="25" t="str">
        <f>IF(OR(E172="",E172="!!!",F172="NEW"),"",INDEX(B$2:B171,-1+SUMPRODUCT(MAX(ROW(E$2:E171)*(E172=E$2:E171)))))</f>
        <v/>
      </c>
      <c r="J172" s="25" t="str">
        <f ca="1">IF(OR(E172="",E172="!!!",F172="NEW"),"",COUNTBLANK(OFFSET(A$1,,,SUMPRODUCT(MAX(ROW(E$2:E172)*(E172=E$2:E172)))))-COUNTBLANK(OFFSET(A$1,,,SUMPRODUCT(MAX(ROW(E$1:E171)*(E2=E$1:E171))))))</f>
        <v/>
      </c>
      <c r="K172" s="25" t="str">
        <f>IF(OR(E172="",E172="!!!",F172="NEW"),"",INDEX(J$1:J171,SUMPRODUCT(MAX(ROW(E$1:E171)*(E172=E$1:E171)))))</f>
        <v/>
      </c>
      <c r="L172" s="26"/>
    </row>
    <row r="174" spans="1:12" x14ac:dyDescent="0.3">
      <c r="A174" t="s">
        <v>192</v>
      </c>
      <c r="E174" s="21" t="str">
        <f>IF(D174="?OLD","!!!","")</f>
        <v/>
      </c>
      <c r="F174" s="22" t="str">
        <f>IF(OR(E174="",E174="!!!"),"",IF(NOT(ISNA(VLOOKUP(E174,E$1:E173,1,FALSE()))),"OLD",IF(AND(E174&lt;&gt;"",E174&lt;&gt;"!!!"),"NEW","")))</f>
        <v/>
      </c>
      <c r="G174" s="23" t="str">
        <f>IF(OR(E174="",E174="!!!"),"",IF(OR(J174=0,AND(J174=1,K174=1),AND(J174=1,I174="SBJ"),AND(J174=1,I174=0)),"?IN_FOCUS",IF(J174&lt;=2,"?ACTIVATED",IF(J174&lt;&gt;"","?FAMILIAR",IF(F174="NEW",IF(ISNA(VLOOKUP(E174,#REF!,1,FALSE())),"?TYPE_IDENTIFIABLE","?REFERENTIAL"),"_")))))</f>
        <v/>
      </c>
      <c r="H174" s="24" t="str">
        <f ca="1">IF(J174&lt;&gt;1,"",IF(I174="SBJ","CB","?"))</f>
        <v/>
      </c>
      <c r="I174" s="25" t="str">
        <f>IF(OR(E174="",E174="!!!",F174="NEW"),"",INDEX(B$2:B173,-1+SUMPRODUCT(MAX(ROW(E$2:E173)*(E174=E$2:E173)))))</f>
        <v/>
      </c>
      <c r="J174" s="25" t="str">
        <f ca="1">IF(OR(E174="",E174="!!!",F174="NEW"),"",COUNTBLANK(OFFSET(A$1,,,SUMPRODUCT(MAX(ROW(E$2:E174)*(E174=E$2:E174)))))-COUNTBLANK(OFFSET(A$1,,,SUMPRODUCT(MAX(ROW(E$1:E173)*(E2=E$1:E173))))))</f>
        <v/>
      </c>
      <c r="K174" s="25" t="str">
        <f>IF(OR(E174="",E174="!!!",F174="NEW"),"",INDEX(J$1:J173,SUMPRODUCT(MAX(ROW(E$1:E173)*(E174=E$1:E173)))))</f>
        <v/>
      </c>
      <c r="L174" s="26"/>
    </row>
    <row r="175" spans="1:12" x14ac:dyDescent="0.3">
      <c r="A175" t="s">
        <v>268</v>
      </c>
    </row>
    <row r="176" spans="1:12" x14ac:dyDescent="0.3">
      <c r="A176" t="s">
        <v>269</v>
      </c>
      <c r="E176" s="21" t="str">
        <f t="shared" ref="E176:E189" si="18">IF(D176="?OLD","!!!","")</f>
        <v/>
      </c>
      <c r="F176" s="22" t="str">
        <f>IF(OR(E176="",E176="!!!"),"",IF(NOT(ISNA(VLOOKUP(E176,E$1:E175,1,FALSE()))),"OLD",IF(AND(E176&lt;&gt;"",E176&lt;&gt;"!!!"),"NEW","")))</f>
        <v/>
      </c>
      <c r="G176" s="23" t="str">
        <f>IF(OR(E176="",E176="!!!"),"",IF(OR(J176=0,AND(J176=1,K176=1),AND(J176=1,I176="SBJ"),AND(J176=1,I176=0)),"?IN_FOCUS",IF(J176&lt;=2,"?ACTIVATED",IF(J176&lt;&gt;"","?FAMILIAR",IF(F176="NEW",IF(ISNA(VLOOKUP(E176,#REF!,1,FALSE())),"?TYPE_IDENTIFIABLE","?REFERENTIAL"),"_")))))</f>
        <v/>
      </c>
      <c r="H176" s="24" t="str">
        <f t="shared" ref="H176:H189" ca="1" si="19">IF(J176&lt;&gt;1,"",IF(I176="SBJ","CB","?"))</f>
        <v/>
      </c>
      <c r="I176" s="25" t="str">
        <f>IF(OR(E176="",E176="!!!",F176="NEW"),"",INDEX(B$2:B175,-1+SUMPRODUCT(MAX(ROW(E$2:E175)*(E176=E$2:E175)))))</f>
        <v/>
      </c>
      <c r="J176" s="25" t="str">
        <f ca="1">IF(OR(E176="",E176="!!!",F176="NEW"),"",COUNTBLANK(OFFSET(A$1,,,SUMPRODUCT(MAX(ROW(E$2:E176)*(E176=E$2:E176)))))-COUNTBLANK(OFFSET(A$1,,,SUMPRODUCT(MAX(ROW(E$1:E175)*(E2=E$1:E175))))))</f>
        <v/>
      </c>
      <c r="K176" s="25" t="str">
        <f>IF(OR(E176="",E176="!!!",F176="NEW"),"",INDEX(J$1:J175,SUMPRODUCT(MAX(ROW(E$1:E175)*(E176=E$1:E175)))))</f>
        <v/>
      </c>
      <c r="L176" s="26"/>
    </row>
    <row r="177" spans="1:12" x14ac:dyDescent="0.3">
      <c r="A177" t="s">
        <v>270</v>
      </c>
      <c r="E177" s="21" t="s">
        <v>490</v>
      </c>
      <c r="F177" s="22" t="str">
        <f>IF(OR(E177="",E177="!!!"),"",IF(NOT(ISNA(VLOOKUP(E177,E$1:E176,1,FALSE()))),"OLD",IF(AND(E177&lt;&gt;"",E177&lt;&gt;"!!!"),"NEW","")))</f>
        <v>OLD</v>
      </c>
      <c r="G177" s="23" t="s">
        <v>527</v>
      </c>
      <c r="H177" s="24" t="s">
        <v>138</v>
      </c>
      <c r="I177" s="25" t="str">
        <f>IF(OR(E177="",E177="!!!",F177="NEW"),"",INDEX(B$2:B176,-1+SUMPRODUCT(MAX(ROW(E$2:E176)*(E177=E$2:E176)))))</f>
        <v>SBJ_2</v>
      </c>
      <c r="J177" s="25">
        <f ca="1">IF(OR(E177="",E177="!!!",F177="NEW"),"",COUNTBLANK(OFFSET(A$1,,,SUMPRODUCT(MAX(ROW(E$2:E177)*(E177=E$2:E177)))))-COUNTBLANK(OFFSET(A$1,,,SUMPRODUCT(MAX(ROW(E$1:E176)*(E2=E$1:E176))))))</f>
        <v>0</v>
      </c>
      <c r="K177" s="25">
        <f ca="1">IF(OR(E177="",E177="!!!",F177="NEW"),"",INDEX(J$1:J176,SUMPRODUCT(MAX(ROW(E$1:E176)*(E177=E$1:E176)))))</f>
        <v>0</v>
      </c>
      <c r="L177" s="26"/>
    </row>
    <row r="178" spans="1:12" x14ac:dyDescent="0.3">
      <c r="A178" t="s">
        <v>271</v>
      </c>
      <c r="B178" s="20" t="s">
        <v>149</v>
      </c>
      <c r="C178" s="20" t="s">
        <v>164</v>
      </c>
      <c r="E178" s="21" t="s">
        <v>499</v>
      </c>
      <c r="F178" s="22" t="str">
        <f>IF(OR(E178="",E178="!!!"),"",IF(NOT(ISNA(VLOOKUP(E178,E$1:E177,1,FALSE()))),"OLD",IF(AND(E178&lt;&gt;"",E178&lt;&gt;"!!!"),"NEW","")))</f>
        <v>OLD</v>
      </c>
      <c r="G178" s="23" t="s">
        <v>482</v>
      </c>
      <c r="H178" s="24" t="str">
        <f t="shared" ca="1" si="19"/>
        <v/>
      </c>
      <c r="I178" s="25">
        <f>IF(OR(E178="",E178="!!!",F178="NEW"),"",INDEX(B$2:B177,-1+SUMPRODUCT(MAX(ROW(E$2:E177)*(E178=E$2:E177)))))</f>
        <v>0</v>
      </c>
      <c r="J178" s="25">
        <f ca="1">IF(OR(E178="",E178="!!!",F178="NEW"),"",COUNTBLANK(OFFSET(A$1,,,SUMPRODUCT(MAX(ROW(E$2:E178)*(E178=E$2:E178)))))-COUNTBLANK(OFFSET(A$1,,,SUMPRODUCT(MAX(ROW(E$1:E177)*(E2=E$1:E177))))))</f>
        <v>0</v>
      </c>
      <c r="K178" s="25" t="str">
        <f ca="1">IF(OR(E178="",E178="!!!",F178="NEW"),"",INDEX(J$1:J177,SUMPRODUCT(MAX(ROW(E$1:E177)*(E178=E$1:E177)))))</f>
        <v/>
      </c>
      <c r="L178" s="26"/>
    </row>
    <row r="179" spans="1:12" x14ac:dyDescent="0.3">
      <c r="A179" t="s">
        <v>272</v>
      </c>
      <c r="E179" s="21" t="str">
        <f t="shared" si="18"/>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9"/>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242</v>
      </c>
      <c r="B180" s="20" t="s">
        <v>157</v>
      </c>
      <c r="C180" s="20" t="s">
        <v>201</v>
      </c>
      <c r="D180" s="20" t="s">
        <v>146</v>
      </c>
      <c r="E180" s="21" t="s">
        <v>490</v>
      </c>
      <c r="F180" s="22" t="str">
        <f>IF(OR(E180="",E180="!!!"),"",IF(NOT(ISNA(VLOOKUP(E180,E$1:E179,1,FALSE()))),"OLD",IF(AND(E180&lt;&gt;"",E180&lt;&gt;"!!!"),"NEW","")))</f>
        <v>OLD</v>
      </c>
      <c r="G180" s="23" t="s">
        <v>527</v>
      </c>
      <c r="H180" s="24" t="str">
        <f t="shared" ca="1" si="19"/>
        <v/>
      </c>
      <c r="I180" s="25">
        <f>IF(OR(E180="",E180="!!!",F180="NEW"),"",INDEX(B$2:B179,-1+SUMPRODUCT(MAX(ROW(E$2:E179)*(E180=E$2:E179)))))</f>
        <v>0</v>
      </c>
      <c r="J180" s="25">
        <f ca="1">IF(OR(E180="",E180="!!!",F180="NEW"),"",COUNTBLANK(OFFSET(A$1,,,SUMPRODUCT(MAX(ROW(E$2:E180)*(E180=E$2:E180)))))-COUNTBLANK(OFFSET(A$1,,,SUMPRODUCT(MAX(ROW(E$1:E179)*(E2=E$1:E179))))))</f>
        <v>0</v>
      </c>
      <c r="K180" s="25">
        <f ca="1">IF(OR(E180="",E180="!!!",F180="NEW"),"",INDEX(J$1:J179,SUMPRODUCT(MAX(ROW(E$1:E179)*(E180=E$1:E179)))))</f>
        <v>0</v>
      </c>
      <c r="L180" s="26"/>
    </row>
    <row r="181" spans="1:12" x14ac:dyDescent="0.3">
      <c r="A181" t="s">
        <v>183</v>
      </c>
      <c r="B181" s="20" t="s">
        <v>144</v>
      </c>
      <c r="C181" s="20" t="s">
        <v>184</v>
      </c>
      <c r="E181" s="21" t="str">
        <f t="shared" si="18"/>
        <v/>
      </c>
      <c r="F181" s="22" t="str">
        <f>IF(OR(E181="",E181="!!!"),"",IF(NOT(ISNA(VLOOKUP(E181,E$1:E180,1,FALSE()))),"OLD",IF(AND(E181&lt;&gt;"",E181&lt;&gt;"!!!"),"NEW","")))</f>
        <v/>
      </c>
      <c r="G181" s="23" t="str">
        <f>IF(OR(E181="",E181="!!!"),"",IF(OR(J181=0,AND(J181=1,K181=1),AND(J181=1,I181="SBJ"),AND(J181=1,I181=0)),"?IN_FOCUS",IF(J181&lt;=2,"?ACTIVATED",IF(J181&lt;&gt;"","?FAMILIAR",IF(F181="NEW",IF(ISNA(VLOOKUP(E181,#REF!,1,FALSE())),"?TYPE_IDENTIFIABLE","?REFERENTIAL"),"_")))))</f>
        <v/>
      </c>
      <c r="H181" s="24" t="str">
        <f t="shared" ca="1" si="19"/>
        <v/>
      </c>
      <c r="I181" s="25" t="str">
        <f>IF(OR(E181="",E181="!!!",F181="NEW"),"",INDEX(B$2:B180,-1+SUMPRODUCT(MAX(ROW(E$2:E180)*(E181=E$2:E180)))))</f>
        <v/>
      </c>
      <c r="J181" s="25" t="str">
        <f ca="1">IF(OR(E181="",E181="!!!",F181="NEW"),"",COUNTBLANK(OFFSET(A$1,,,SUMPRODUCT(MAX(ROW(E$2:E181)*(E181=E$2:E181)))))-COUNTBLANK(OFFSET(A$1,,,SUMPRODUCT(MAX(ROW(E$1:E180)*(E2=E$1:E180))))))</f>
        <v/>
      </c>
      <c r="K181" s="25" t="str">
        <f>IF(OR(E181="",E181="!!!",F181="NEW"),"",INDEX(J$1:J180,SUMPRODUCT(MAX(ROW(E$1:E180)*(E181=E$1:E180)))))</f>
        <v/>
      </c>
      <c r="L181" s="26"/>
    </row>
    <row r="182" spans="1:12" x14ac:dyDescent="0.3">
      <c r="A182" t="s">
        <v>147</v>
      </c>
      <c r="B182" s="20" t="s">
        <v>149</v>
      </c>
      <c r="C182" s="20" t="s">
        <v>145</v>
      </c>
      <c r="D182" s="20" t="s">
        <v>146</v>
      </c>
      <c r="E182" s="21" t="s">
        <v>480</v>
      </c>
      <c r="F182" s="22" t="str">
        <f>IF(OR(E182="",E182="!!!"),"",IF(NOT(ISNA(VLOOKUP(E182,E$1:E181,1,FALSE()))),"OLD",IF(AND(E182&lt;&gt;"",E182&lt;&gt;"!!!"),"NEW","")))</f>
        <v>OLD</v>
      </c>
      <c r="G182" s="23" t="s">
        <v>482</v>
      </c>
      <c r="H182" s="24" t="str">
        <f t="shared" ca="1" si="19"/>
        <v/>
      </c>
      <c r="I182" s="25" t="str">
        <f>IF(OR(E182="",E182="!!!",F182="NEW"),"",INDEX(B$2:B181,-1+SUMPRODUCT(MAX(ROW(E$2:E181)*(E182=E$2:E181)))))</f>
        <v>SBJ_2</v>
      </c>
      <c r="J182" s="25">
        <f ca="1">IF(OR(E182="",E182="!!!",F182="NEW"),"",COUNTBLANK(OFFSET(A$1,,,SUMPRODUCT(MAX(ROW(E$2:E182)*(E182=E$2:E182)))))-COUNTBLANK(OFFSET(A$1,,,SUMPRODUCT(MAX(ROW(E$1:E181)*(E2=E$1:E181))))))</f>
        <v>0</v>
      </c>
      <c r="K182" s="25">
        <f ca="1">IF(OR(E182="",E182="!!!",F182="NEW"),"",INDEX(J$1:J181,SUMPRODUCT(MAX(ROW(E$1:E181)*(E182=E$1:E181)))))</f>
        <v>0</v>
      </c>
      <c r="L182" s="26"/>
    </row>
    <row r="183" spans="1:12" x14ac:dyDescent="0.3">
      <c r="A183" t="s">
        <v>273</v>
      </c>
      <c r="E183" s="21" t="str">
        <f t="shared" si="18"/>
        <v/>
      </c>
      <c r="F183" s="22" t="str">
        <f>IF(OR(E183="",E183="!!!"),"",IF(NOT(ISNA(VLOOKUP(E183,E$1:E182,1,FALSE()))),"OLD",IF(AND(E183&lt;&gt;"",E183&lt;&gt;"!!!"),"NEW","")))</f>
        <v/>
      </c>
      <c r="G183" s="23" t="str">
        <f>IF(OR(E183="",E183="!!!"),"",IF(OR(J183=0,AND(J183=1,K183=1),AND(J183=1,I183="SBJ"),AND(J183=1,I183=0)),"?IN_FOCUS",IF(J183&lt;=2,"?ACTIVATED",IF(J183&lt;&gt;"","?FAMILIAR",IF(F183="NEW",IF(ISNA(VLOOKUP(E183,#REF!,1,FALSE())),"?TYPE_IDENTIFIABLE","?REFERENTIAL"),"_")))))</f>
        <v/>
      </c>
      <c r="H183" s="24" t="str">
        <f t="shared" ca="1" si="19"/>
        <v/>
      </c>
      <c r="I183" s="25" t="str">
        <f>IF(OR(E183="",E183="!!!",F183="NEW"),"",INDEX(B$2:B182,-1+SUMPRODUCT(MAX(ROW(E$2:E182)*(E183=E$2:E182)))))</f>
        <v/>
      </c>
      <c r="J183" s="25" t="str">
        <f ca="1">IF(OR(E183="",E183="!!!",F183="NEW"),"",COUNTBLANK(OFFSET(A$1,,,SUMPRODUCT(MAX(ROW(E$2:E183)*(E183=E$2:E183)))))-COUNTBLANK(OFFSET(A$1,,,SUMPRODUCT(MAX(ROW(E$1:E182)*(E2=E$1:E182))))))</f>
        <v/>
      </c>
      <c r="K183" s="25" t="str">
        <f>IF(OR(E183="",E183="!!!",F183="NEW"),"",INDEX(J$1:J182,SUMPRODUCT(MAX(ROW(E$1:E182)*(E183=E$1:E182)))))</f>
        <v/>
      </c>
      <c r="L183" s="26"/>
    </row>
    <row r="184" spans="1:12" x14ac:dyDescent="0.3">
      <c r="A184" t="s">
        <v>274</v>
      </c>
      <c r="E184" s="21" t="str">
        <f t="shared" si="18"/>
        <v/>
      </c>
      <c r="F184" s="22" t="str">
        <f>IF(OR(E184="",E184="!!!"),"",IF(NOT(ISNA(VLOOKUP(E184,E$1:E183,1,FALSE()))),"OLD",IF(AND(E184&lt;&gt;"",E184&lt;&gt;"!!!"),"NEW","")))</f>
        <v/>
      </c>
      <c r="G184" s="23" t="str">
        <f>IF(OR(E184="",E184="!!!"),"",IF(OR(J184=0,AND(J184=1,K184=1),AND(J184=1,I184="SBJ"),AND(J184=1,I184=0)),"?IN_FOCUS",IF(J184&lt;=2,"?ACTIVATED",IF(J184&lt;&gt;"","?FAMILIAR",IF(F184="NEW",IF(ISNA(VLOOKUP(E184,#REF!,1,FALSE())),"?TYPE_IDENTIFIABLE","?REFERENTIAL"),"_")))))</f>
        <v/>
      </c>
      <c r="H184" s="24" t="str">
        <f t="shared" ca="1" si="19"/>
        <v/>
      </c>
      <c r="I184" s="25" t="str">
        <f>IF(OR(E184="",E184="!!!",F184="NEW"),"",INDEX(B$2:B183,-1+SUMPRODUCT(MAX(ROW(E$2:E183)*(E184=E$2:E183)))))</f>
        <v/>
      </c>
      <c r="J184" s="25" t="str">
        <f ca="1">IF(OR(E184="",E184="!!!",F184="NEW"),"",COUNTBLANK(OFFSET(A$1,,,SUMPRODUCT(MAX(ROW(E$2:E184)*(E184=E$2:E184)))))-COUNTBLANK(OFFSET(A$1,,,SUMPRODUCT(MAX(ROW(E$1:E183)*(E2=E$1:E183))))))</f>
        <v/>
      </c>
      <c r="K184" s="25" t="str">
        <f>IF(OR(E184="",E184="!!!",F184="NEW"),"",INDEX(J$1:J183,SUMPRODUCT(MAX(ROW(E$1:E183)*(E184=E$1:E183)))))</f>
        <v/>
      </c>
      <c r="L184" s="26"/>
    </row>
    <row r="185" spans="1:12" x14ac:dyDescent="0.3">
      <c r="A185" t="s">
        <v>187</v>
      </c>
      <c r="E185" s="21" t="str">
        <f t="shared" si="18"/>
        <v/>
      </c>
      <c r="F185" s="22" t="str">
        <f>IF(OR(E185="",E185="!!!"),"",IF(NOT(ISNA(VLOOKUP(E185,E$1:E184,1,FALSE()))),"OLD",IF(AND(E185&lt;&gt;"",E185&lt;&gt;"!!!"),"NEW","")))</f>
        <v/>
      </c>
      <c r="G185" s="23" t="str">
        <f>IF(OR(E185="",E185="!!!"),"",IF(OR(J185=0,AND(J185=1,K185=1),AND(J185=1,I185="SBJ"),AND(J185=1,I185=0)),"?IN_FOCUS",IF(J185&lt;=2,"?ACTIVATED",IF(J185&lt;&gt;"","?FAMILIAR",IF(F185="NEW",IF(ISNA(VLOOKUP(E185,#REF!,1,FALSE())),"?TYPE_IDENTIFIABLE","?REFERENTIAL"),"_")))))</f>
        <v/>
      </c>
      <c r="H185" s="24" t="str">
        <f t="shared" ca="1" si="19"/>
        <v/>
      </c>
      <c r="I185" s="25" t="str">
        <f>IF(OR(E185="",E185="!!!",F185="NEW"),"",INDEX(B$2:B184,-1+SUMPRODUCT(MAX(ROW(E$2:E184)*(E185=E$2:E184)))))</f>
        <v/>
      </c>
      <c r="J185" s="25" t="str">
        <f ca="1">IF(OR(E185="",E185="!!!",F185="NEW"),"",COUNTBLANK(OFFSET(A$1,,,SUMPRODUCT(MAX(ROW(E$2:E185)*(E185=E$2:E185)))))-COUNTBLANK(OFFSET(A$1,,,SUMPRODUCT(MAX(ROW(E$1:E184)*(E2=E$1:E184))))))</f>
        <v/>
      </c>
      <c r="K185" s="25" t="str">
        <f>IF(OR(E185="",E185="!!!",F185="NEW"),"",INDEX(J$1:J184,SUMPRODUCT(MAX(ROW(E$1:E184)*(E185=E$1:E184)))))</f>
        <v/>
      </c>
      <c r="L185" s="26"/>
    </row>
    <row r="186" spans="1:12" x14ac:dyDescent="0.3">
      <c r="A186" t="s">
        <v>275</v>
      </c>
      <c r="B186" s="20" t="s">
        <v>165</v>
      </c>
      <c r="C186" s="20" t="s">
        <v>276</v>
      </c>
      <c r="D186" s="20" t="s">
        <v>146</v>
      </c>
      <c r="E186" s="21" t="s">
        <v>480</v>
      </c>
      <c r="F186" s="22" t="str">
        <f>IF(OR(E186="",E186="!!!"),"",IF(NOT(ISNA(VLOOKUP(E186,E$1:E185,1,FALSE()))),"OLD",IF(AND(E186&lt;&gt;"",E186&lt;&gt;"!!!"),"NEW","")))</f>
        <v>OLD</v>
      </c>
      <c r="G186" s="23" t="s">
        <v>527</v>
      </c>
      <c r="H186" s="24" t="str">
        <f t="shared" ca="1" si="19"/>
        <v/>
      </c>
      <c r="I186" s="25" t="str">
        <f>IF(OR(E186="",E186="!!!",F186="NEW"),"",INDEX(B$2:B185,-1+SUMPRODUCT(MAX(ROW(E$2:E185)*(E186=E$2:E185)))))</f>
        <v>other</v>
      </c>
      <c r="J186" s="25">
        <f ca="1">IF(OR(E186="",E186="!!!",F186="NEW"),"",COUNTBLANK(OFFSET(A$1,,,SUMPRODUCT(MAX(ROW(E$2:E186)*(E186=E$2:E186)))))-COUNTBLANK(OFFSET(A$1,,,SUMPRODUCT(MAX(ROW(E$1:E185)*(E2=E$1:E185))))))</f>
        <v>0</v>
      </c>
      <c r="K186" s="25">
        <f ca="1">IF(OR(E186="",E186="!!!",F186="NEW"),"",INDEX(J$1:J185,SUMPRODUCT(MAX(ROW(E$1:E185)*(E186=E$1:E185)))))</f>
        <v>0</v>
      </c>
      <c r="L186" s="26"/>
    </row>
    <row r="187" spans="1:12" x14ac:dyDescent="0.3">
      <c r="A187" t="s">
        <v>277</v>
      </c>
      <c r="B187" s="20" t="s">
        <v>144</v>
      </c>
      <c r="C187" s="20" t="s">
        <v>150</v>
      </c>
      <c r="E187" s="21" t="s">
        <v>500</v>
      </c>
      <c r="F187" s="22" t="str">
        <f>IF(OR(E187="",E187="!!!"),"",IF(NOT(ISNA(VLOOKUP(E187,E$1:E186,1,FALSE()))),"OLD",IF(AND(E187&lt;&gt;"",E187&lt;&gt;"!!!"),"NEW","")))</f>
        <v>NEW</v>
      </c>
      <c r="G187" s="23" t="s">
        <v>483</v>
      </c>
      <c r="H187" s="24" t="str">
        <f t="shared" ca="1" si="19"/>
        <v/>
      </c>
      <c r="I187" s="25" t="str">
        <f>IF(OR(E187="",E187="!!!",F187="NEW"),"",INDEX(B$2:B186,-1+SUMPRODUCT(MAX(ROW(E$2:E186)*(E187=E$2:E186)))))</f>
        <v/>
      </c>
      <c r="J187" s="25" t="str">
        <f ca="1">IF(OR(E187="",E187="!!!",F187="NEW"),"",COUNTBLANK(OFFSET(A$1,,,SUMPRODUCT(MAX(ROW(E$2:E187)*(E187=E$2:E187)))))-COUNTBLANK(OFFSET(A$1,,,SUMPRODUCT(MAX(ROW(E$1:E186)*(E2=E$1:E186))))))</f>
        <v/>
      </c>
      <c r="K187" s="25" t="str">
        <f>IF(OR(E187="",E187="!!!",F187="NEW"),"",INDEX(J$1:J186,SUMPRODUCT(MAX(ROW(E$1:E186)*(E187=E$1:E186)))))</f>
        <v/>
      </c>
      <c r="L187" s="26"/>
    </row>
    <row r="188" spans="1:12" x14ac:dyDescent="0.3">
      <c r="A188" t="s">
        <v>167</v>
      </c>
      <c r="E188" s="21" t="str">
        <f t="shared" si="18"/>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ca="1" si="19"/>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207</v>
      </c>
      <c r="E189" s="21" t="str">
        <f t="shared" si="18"/>
        <v/>
      </c>
      <c r="F189" s="22" t="str">
        <f>IF(OR(E189="",E189="!!!"),"",IF(NOT(ISNA(VLOOKUP(E189,E$1:E188,1,FALSE()))),"OLD",IF(AND(E189&lt;&gt;"",E189&lt;&gt;"!!!"),"NEW","")))</f>
        <v/>
      </c>
      <c r="G189" s="23" t="str">
        <f>IF(OR(E189="",E189="!!!"),"",IF(OR(J189=0,AND(J189=1,K189=1),AND(J189=1,I189="SBJ"),AND(J189=1,I189=0)),"?IN_FOCUS",IF(J189&lt;=2,"?ACTIVATED",IF(J189&lt;&gt;"","?FAMILIAR",IF(F189="NEW",IF(ISNA(VLOOKUP(E189,#REF!,1,FALSE())),"?TYPE_IDENTIFIABLE","?REFERENTIAL"),"_")))))</f>
        <v/>
      </c>
      <c r="H189" s="24" t="str">
        <f t="shared" ca="1" si="19"/>
        <v/>
      </c>
      <c r="I189" s="25" t="str">
        <f>IF(OR(E189="",E189="!!!",F189="NEW"),"",INDEX(B$2:B188,-1+SUMPRODUCT(MAX(ROW(E$2:E188)*(E189=E$2:E188)))))</f>
        <v/>
      </c>
      <c r="J189" s="25" t="str">
        <f ca="1">IF(OR(E189="",E189="!!!",F189="NEW"),"",COUNTBLANK(OFFSET(A$1,,,SUMPRODUCT(MAX(ROW(E$2:E189)*(E189=E$2:E189)))))-COUNTBLANK(OFFSET(A$1,,,SUMPRODUCT(MAX(ROW(E$1:E188)*(E2=E$1:E188))))))</f>
        <v/>
      </c>
      <c r="K189" s="25" t="str">
        <f>IF(OR(E189="",E189="!!!",F189="NEW"),"",INDEX(J$1:J188,SUMPRODUCT(MAX(ROW(E$1:E188)*(E189=E$1:E188)))))</f>
        <v/>
      </c>
      <c r="L189" s="26"/>
    </row>
    <row r="191" spans="1:12" x14ac:dyDescent="0.3">
      <c r="A191" t="s">
        <v>278</v>
      </c>
    </row>
    <row r="192" spans="1:12" x14ac:dyDescent="0.3">
      <c r="A192" t="s">
        <v>279</v>
      </c>
      <c r="B192" s="20" t="s">
        <v>157</v>
      </c>
      <c r="C192" s="20" t="s">
        <v>201</v>
      </c>
      <c r="D192" s="20" t="s">
        <v>146</v>
      </c>
      <c r="E192" s="21" t="s">
        <v>490</v>
      </c>
      <c r="F192" s="22" t="str">
        <f>IF(OR(E192="",E192="!!!"),"",IF(NOT(ISNA(VLOOKUP(E192,E$1:E191,1,FALSE()))),"OLD",IF(AND(E192&lt;&gt;"",E192&lt;&gt;"!!!"),"NEW","")))</f>
        <v>OLD</v>
      </c>
      <c r="G192" s="23" t="s">
        <v>527</v>
      </c>
      <c r="H192" s="24" t="s">
        <v>138</v>
      </c>
      <c r="I192" s="25" t="str">
        <f>IF(OR(E192="",E192="!!!",F192="NEW"),"",INDEX(B$2:B191,-1+SUMPRODUCT(MAX(ROW(E$2:E191)*(E192=E$2:E191)))))</f>
        <v>SBJ</v>
      </c>
      <c r="J192" s="25">
        <f ca="1">IF(OR(E192="",E192="!!!",F192="NEW"),"",COUNTBLANK(OFFSET(A$1,,,SUMPRODUCT(MAX(ROW(E$2:E192)*(E192=E$2:E192)))))-COUNTBLANK(OFFSET(A$1,,,SUMPRODUCT(MAX(ROW(E$1:E191)*(E2=E$1:E191))))))</f>
        <v>0</v>
      </c>
      <c r="K192" s="25">
        <f ca="1">IF(OR(E192="",E192="!!!",F192="NEW"),"",INDEX(J$1:J191,SUMPRODUCT(MAX(ROW(E$1:E191)*(E192=E$1:E191)))))</f>
        <v>0</v>
      </c>
      <c r="L192" s="26"/>
    </row>
    <row r="193" spans="1:12" x14ac:dyDescent="0.3">
      <c r="A193" t="s">
        <v>280</v>
      </c>
      <c r="E193" s="21" t="str">
        <f t="shared" ref="E192:E219" si="20">IF(D193="?OLD","!!!","")</f>
        <v/>
      </c>
      <c r="F193" s="22" t="str">
        <f>IF(OR(E193="",E193="!!!"),"",IF(NOT(ISNA(VLOOKUP(E193,E$1:E192,1,FALSE()))),"OLD",IF(AND(E193&lt;&gt;"",E193&lt;&gt;"!!!"),"NEW","")))</f>
        <v/>
      </c>
      <c r="G193" s="23" t="str">
        <f>IF(OR(E193="",E193="!!!"),"",IF(OR(J193=0,AND(J193=1,K193=1),AND(J193=1,I193="SBJ"),AND(J193=1,I193=0)),"?IN_FOCUS",IF(J193&lt;=2,"?ACTIVATED",IF(J193&lt;&gt;"","?FAMILIAR",IF(F193="NEW",IF(ISNA(VLOOKUP(E193,#REF!,1,FALSE())),"?TYPE_IDENTIFIABLE","?REFERENTIAL"),"_")))))</f>
        <v/>
      </c>
      <c r="H193" s="24" t="str">
        <f t="shared" ref="H192:H219" ca="1" si="21">IF(J193&lt;&gt;1,"",IF(I193="SBJ","CB","?"))</f>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4" spans="1:12" x14ac:dyDescent="0.3">
      <c r="A194" t="s">
        <v>202</v>
      </c>
      <c r="E194" s="21" t="str">
        <f t="shared" si="20"/>
        <v/>
      </c>
      <c r="F194" s="22" t="str">
        <f>IF(OR(E194="",E194="!!!"),"",IF(NOT(ISNA(VLOOKUP(E194,E$1:E193,1,FALSE()))),"OLD",IF(AND(E194&lt;&gt;"",E194&lt;&gt;"!!!"),"NEW","")))</f>
        <v/>
      </c>
      <c r="G194" s="23" t="str">
        <f>IF(OR(E194="",E194="!!!"),"",IF(OR(J194=0,AND(J194=1,K194=1),AND(J194=1,I194="SBJ"),AND(J194=1,I194=0)),"?IN_FOCUS",IF(J194&lt;=2,"?ACTIVATED",IF(J194&lt;&gt;"","?FAMILIAR",IF(F194="NEW",IF(ISNA(VLOOKUP(E194,#REF!,1,FALSE())),"?TYPE_IDENTIFIABLE","?REFERENTIAL"),"_")))))</f>
        <v/>
      </c>
      <c r="H194" s="24" t="str">
        <f t="shared" ca="1" si="21"/>
        <v/>
      </c>
      <c r="I194" s="25" t="str">
        <f>IF(OR(E194="",E194="!!!",F194="NEW"),"",INDEX(B$2:B193,-1+SUMPRODUCT(MAX(ROW(E$2:E193)*(E194=E$2:E193)))))</f>
        <v/>
      </c>
      <c r="J194" s="25" t="str">
        <f ca="1">IF(OR(E194="",E194="!!!",F194="NEW"),"",COUNTBLANK(OFFSET(A$1,,,SUMPRODUCT(MAX(ROW(E$2:E194)*(E194=E$2:E194)))))-COUNTBLANK(OFFSET(A$1,,,SUMPRODUCT(MAX(ROW(E$1:E193)*(E2=E$1:E193))))))</f>
        <v/>
      </c>
      <c r="K194" s="25" t="str">
        <f>IF(OR(E194="",E194="!!!",F194="NEW"),"",INDEX(J$1:J193,SUMPRODUCT(MAX(ROW(E$1:E193)*(E194=E$1:E193)))))</f>
        <v/>
      </c>
      <c r="L194" s="26"/>
    </row>
    <row r="195" spans="1:12" x14ac:dyDescent="0.3">
      <c r="A195" t="s">
        <v>203</v>
      </c>
      <c r="E195" s="21" t="str">
        <f t="shared" si="20"/>
        <v/>
      </c>
      <c r="F195" s="22" t="str">
        <f>IF(OR(E195="",E195="!!!"),"",IF(NOT(ISNA(VLOOKUP(E195,E$1:E194,1,FALSE()))),"OLD",IF(AND(E195&lt;&gt;"",E195&lt;&gt;"!!!"),"NEW","")))</f>
        <v/>
      </c>
      <c r="G195" s="23" t="str">
        <f>IF(OR(E195="",E195="!!!"),"",IF(OR(J195=0,AND(J195=1,K195=1),AND(J195=1,I195="SBJ"),AND(J195=1,I195=0)),"?IN_FOCUS",IF(J195&lt;=2,"?ACTIVATED",IF(J195&lt;&gt;"","?FAMILIAR",IF(F195="NEW",IF(ISNA(VLOOKUP(E195,#REF!,1,FALSE())),"?TYPE_IDENTIFIABLE","?REFERENTIAL"),"_")))))</f>
        <v/>
      </c>
      <c r="H195" s="24" t="str">
        <f t="shared" ca="1" si="21"/>
        <v/>
      </c>
      <c r="I195" s="25" t="str">
        <f>IF(OR(E195="",E195="!!!",F195="NEW"),"",INDEX(B$2:B194,-1+SUMPRODUCT(MAX(ROW(E$2:E194)*(E195=E$2:E194)))))</f>
        <v/>
      </c>
      <c r="J195" s="25" t="str">
        <f ca="1">IF(OR(E195="",E195="!!!",F195="NEW"),"",COUNTBLANK(OFFSET(A$1,,,SUMPRODUCT(MAX(ROW(E$2:E195)*(E195=E$2:E195)))))-COUNTBLANK(OFFSET(A$1,,,SUMPRODUCT(MAX(ROW(E$1:E194)*(E2=E$1:E194))))))</f>
        <v/>
      </c>
      <c r="K195" s="25" t="str">
        <f>IF(OR(E195="",E195="!!!",F195="NEW"),"",INDEX(J$1:J194,SUMPRODUCT(MAX(ROW(E$1:E194)*(E195=E$1:E194)))))</f>
        <v/>
      </c>
      <c r="L195" s="26"/>
    </row>
    <row r="196" spans="1:12" x14ac:dyDescent="0.3">
      <c r="A196" t="s">
        <v>200</v>
      </c>
      <c r="B196" s="20" t="s">
        <v>163</v>
      </c>
      <c r="C196" s="20" t="s">
        <v>201</v>
      </c>
      <c r="D196" s="20" t="s">
        <v>146</v>
      </c>
      <c r="E196" s="21"/>
      <c r="F196" s="22" t="s">
        <v>501</v>
      </c>
      <c r="G196" s="23" t="str">
        <f>IF(OR(E196="",E196="!!!"),"",IF(OR(J196=0,AND(J196=1,K196=1),AND(J196=1,I196="SBJ"),AND(J196=1,I196=0)),"?IN_FOCUS",IF(J196&lt;=2,"?ACTIVATED",IF(J196&lt;&gt;"","?FAMILIAR",IF(F196="NEW",IF(ISNA(VLOOKUP(E196,#REF!,1,FALSE())),"?TYPE_IDENTIFIABLE","?REFERENTIAL"),"_")))))</f>
        <v/>
      </c>
      <c r="H196" s="24" t="str">
        <f t="shared" ca="1" si="21"/>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7" spans="1:12" x14ac:dyDescent="0.3">
      <c r="A197" t="s">
        <v>208</v>
      </c>
      <c r="E197" s="21" t="str">
        <f t="shared" si="20"/>
        <v/>
      </c>
      <c r="F197" s="22" t="str">
        <f>IF(OR(E197="",E197="!!!"),"",IF(NOT(ISNA(VLOOKUP(E197,E$1:E196,1,FALSE()))),"OLD",IF(AND(E197&lt;&gt;"",E197&lt;&gt;"!!!"),"NEW","")))</f>
        <v/>
      </c>
      <c r="G197" s="23" t="str">
        <f>IF(OR(E197="",E197="!!!"),"",IF(OR(J197=0,AND(J197=1,K197=1),AND(J197=1,I197="SBJ"),AND(J197=1,I197=0)),"?IN_FOCUS",IF(J197&lt;=2,"?ACTIVATED",IF(J197&lt;&gt;"","?FAMILIAR",IF(F197="NEW",IF(ISNA(VLOOKUP(E197,#REF!,1,FALSE())),"?TYPE_IDENTIFIABLE","?REFERENTIAL"),"_")))))</f>
        <v/>
      </c>
      <c r="H197" s="24" t="str">
        <f t="shared" ca="1" si="21"/>
        <v/>
      </c>
      <c r="I197" s="25" t="str">
        <f>IF(OR(E197="",E197="!!!",F197="NEW"),"",INDEX(B$2:B196,-1+SUMPRODUCT(MAX(ROW(E$2:E196)*(E197=E$2:E196)))))</f>
        <v/>
      </c>
      <c r="J197" s="25" t="str">
        <f ca="1">IF(OR(E197="",E197="!!!",F197="NEW"),"",COUNTBLANK(OFFSET(A$1,,,SUMPRODUCT(MAX(ROW(E$2:E197)*(E197=E$2:E197)))))-COUNTBLANK(OFFSET(A$1,,,SUMPRODUCT(MAX(ROW(E$1:E196)*(E2=E$1:E196))))))</f>
        <v/>
      </c>
      <c r="K197" s="25" t="str">
        <f>IF(OR(E197="",E197="!!!",F197="NEW"),"",INDEX(J$1:J196,SUMPRODUCT(MAX(ROW(E$1:E196)*(E197=E$1:E196)))))</f>
        <v/>
      </c>
      <c r="L197" s="26"/>
    </row>
    <row r="198" spans="1:12" x14ac:dyDescent="0.3">
      <c r="A198" t="s">
        <v>281</v>
      </c>
      <c r="E198" s="21" t="str">
        <f t="shared" si="20"/>
        <v/>
      </c>
      <c r="F198" s="22" t="str">
        <f>IF(OR(E198="",E198="!!!"),"",IF(NOT(ISNA(VLOOKUP(E198,E$1:E197,1,FALSE()))),"OLD",IF(AND(E198&lt;&gt;"",E198&lt;&gt;"!!!"),"NEW","")))</f>
        <v/>
      </c>
      <c r="G198" s="23" t="str">
        <f>IF(OR(E198="",E198="!!!"),"",IF(OR(J198=0,AND(J198=1,K198=1),AND(J198=1,I198="SBJ"),AND(J198=1,I198=0)),"?IN_FOCUS",IF(J198&lt;=2,"?ACTIVATED",IF(J198&lt;&gt;"","?FAMILIAR",IF(F198="NEW",IF(ISNA(VLOOKUP(E198,#REF!,1,FALSE())),"?TYPE_IDENTIFIABLE","?REFERENTIAL"),"_")))))</f>
        <v/>
      </c>
      <c r="H198" s="24" t="str">
        <f t="shared" ca="1" si="21"/>
        <v/>
      </c>
      <c r="I198" s="25" t="str">
        <f>IF(OR(E198="",E198="!!!",F198="NEW"),"",INDEX(B$2:B197,-1+SUMPRODUCT(MAX(ROW(E$2:E197)*(E198=E$2:E197)))))</f>
        <v/>
      </c>
      <c r="J198" s="25" t="str">
        <f ca="1">IF(OR(E198="",E198="!!!",F198="NEW"),"",COUNTBLANK(OFFSET(A$1,,,SUMPRODUCT(MAX(ROW(E$2:E198)*(E198=E$2:E198)))))-COUNTBLANK(OFFSET(A$1,,,SUMPRODUCT(MAX(ROW(E$1:E197)*(E2=E$1:E197))))))</f>
        <v/>
      </c>
      <c r="K198" s="25" t="str">
        <f>IF(OR(E198="",E198="!!!",F198="NEW"),"",INDEX(J$1:J197,SUMPRODUCT(MAX(ROW(E$1:E197)*(E198=E$1:E197)))))</f>
        <v/>
      </c>
      <c r="L198" s="26"/>
    </row>
    <row r="199" spans="1:12" x14ac:dyDescent="0.3">
      <c r="A199" t="s">
        <v>282</v>
      </c>
      <c r="B199" s="20" t="s">
        <v>149</v>
      </c>
      <c r="C199" s="20" t="s">
        <v>158</v>
      </c>
      <c r="D199" s="20" t="s">
        <v>146</v>
      </c>
      <c r="E199" s="21" t="s">
        <v>535</v>
      </c>
      <c r="F199" s="22" t="str">
        <f>IF(OR(E199="",E199="!!!"),"",IF(NOT(ISNA(VLOOKUP(E199,E$1:E198,1,FALSE()))),"OLD",IF(AND(E199&lt;&gt;"",E199&lt;&gt;"!!!"),"NEW","")))</f>
        <v>NEW</v>
      </c>
      <c r="G199" s="23" t="s">
        <v>483</v>
      </c>
      <c r="H199" s="24" t="str">
        <f t="shared" ca="1" si="21"/>
        <v/>
      </c>
      <c r="I199" s="25" t="str">
        <f>IF(OR(E199="",E199="!!!",F199="NEW"),"",INDEX(B$2:B198,-1+SUMPRODUCT(MAX(ROW(E$2:E198)*(E199=E$2:E198)))))</f>
        <v/>
      </c>
      <c r="J199" s="25" t="str">
        <f ca="1">IF(OR(E199="",E199="!!!",F199="NEW"),"",COUNTBLANK(OFFSET(A$1,,,SUMPRODUCT(MAX(ROW(E$2:E199)*(E199=E$2:E199)))))-COUNTBLANK(OFFSET(A$1,,,SUMPRODUCT(MAX(ROW(E$1:E198)*(E2=E$1:E198))))))</f>
        <v/>
      </c>
      <c r="K199" s="25" t="str">
        <f>IF(OR(E199="",E199="!!!",F199="NEW"),"",INDEX(J$1:J198,SUMPRODUCT(MAX(ROW(E$1:E198)*(E199=E$1:E198)))))</f>
        <v/>
      </c>
      <c r="L199" s="26"/>
    </row>
    <row r="200" spans="1:12" x14ac:dyDescent="0.3">
      <c r="A200" t="s">
        <v>214</v>
      </c>
      <c r="E200" s="21" t="str">
        <f t="shared" si="20"/>
        <v/>
      </c>
      <c r="F200" s="22" t="str">
        <f>IF(OR(E200="",E200="!!!"),"",IF(NOT(ISNA(VLOOKUP(E200,E$1:E199,1,FALSE()))),"OLD",IF(AND(E200&lt;&gt;"",E200&lt;&gt;"!!!"),"NEW","")))</f>
        <v/>
      </c>
      <c r="G200" s="23" t="str">
        <f>IF(OR(E200="",E200="!!!"),"",IF(OR(J200=0,AND(J200=1,K200=1),AND(J200=1,I200="SBJ"),AND(J200=1,I200=0)),"?IN_FOCUS",IF(J200&lt;=2,"?ACTIVATED",IF(J200&lt;&gt;"","?FAMILIAR",IF(F200="NEW",IF(ISNA(VLOOKUP(E200,#REF!,1,FALSE())),"?TYPE_IDENTIFIABLE","?REFERENTIAL"),"_")))))</f>
        <v/>
      </c>
      <c r="H200" s="24" t="str">
        <f t="shared" ca="1" si="21"/>
        <v/>
      </c>
      <c r="I200" s="25" t="str">
        <f>IF(OR(E200="",E200="!!!",F200="NEW"),"",INDEX(B$2:B199,-1+SUMPRODUCT(MAX(ROW(E$2:E199)*(E200=E$2:E199)))))</f>
        <v/>
      </c>
      <c r="J200" s="25" t="str">
        <f ca="1">IF(OR(E200="",E200="!!!",F200="NEW"),"",COUNTBLANK(OFFSET(A$1,,,SUMPRODUCT(MAX(ROW(E$2:E200)*(E200=E$2:E200)))))-COUNTBLANK(OFFSET(A$1,,,SUMPRODUCT(MAX(ROW(E$1:E199)*(E2=E$1:E199))))))</f>
        <v/>
      </c>
      <c r="K200" s="25" t="str">
        <f>IF(OR(E200="",E200="!!!",F200="NEW"),"",INDEX(J$1:J199,SUMPRODUCT(MAX(ROW(E$1:E199)*(E200=E$1:E199)))))</f>
        <v/>
      </c>
      <c r="L200" s="26"/>
    </row>
    <row r="201" spans="1:12" x14ac:dyDescent="0.3">
      <c r="A201" t="s">
        <v>283</v>
      </c>
      <c r="B201" s="20" t="s">
        <v>144</v>
      </c>
      <c r="C201" s="20" t="s">
        <v>158</v>
      </c>
      <c r="D201" s="20" t="s">
        <v>146</v>
      </c>
      <c r="E201" s="21" t="s">
        <v>502</v>
      </c>
      <c r="F201" s="22" t="str">
        <f>IF(OR(E201="",E201="!!!"),"",IF(NOT(ISNA(VLOOKUP(E201,E$1:E200,1,FALSE()))),"OLD",IF(AND(E201&lt;&gt;"",E201&lt;&gt;"!!!"),"NEW","")))</f>
        <v>NEW</v>
      </c>
      <c r="G201" s="23" t="s">
        <v>482</v>
      </c>
      <c r="H201" s="24" t="str">
        <f t="shared" ca="1" si="21"/>
        <v/>
      </c>
      <c r="I201" s="25" t="str">
        <f>IF(OR(E201="",E201="!!!",F201="NEW"),"",INDEX(B$2:B200,-1+SUMPRODUCT(MAX(ROW(E$2:E200)*(E201=E$2:E200)))))</f>
        <v/>
      </c>
      <c r="J201" s="25" t="str">
        <f ca="1">IF(OR(E201="",E201="!!!",F201="NEW"),"",COUNTBLANK(OFFSET(A$1,,,SUMPRODUCT(MAX(ROW(E$2:E201)*(E201=E$2:E201)))))-COUNTBLANK(OFFSET(A$1,,,SUMPRODUCT(MAX(ROW(E$1:E200)*(E2=E$1:E200))))))</f>
        <v/>
      </c>
      <c r="K201" s="25" t="str">
        <f>IF(OR(E201="",E201="!!!",F201="NEW"),"",INDEX(J$1:J200,SUMPRODUCT(MAX(ROW(E$1:E200)*(E201=E$1:E200)))))</f>
        <v/>
      </c>
      <c r="L201" s="26"/>
    </row>
    <row r="202" spans="1:12" x14ac:dyDescent="0.3">
      <c r="A202" t="s">
        <v>231</v>
      </c>
      <c r="E202" s="21" t="str">
        <f t="shared" si="20"/>
        <v/>
      </c>
      <c r="F202" s="22" t="str">
        <f>IF(OR(E202="",E202="!!!"),"",IF(NOT(ISNA(VLOOKUP(E202,E$1:E201,1,FALSE()))),"OLD",IF(AND(E202&lt;&gt;"",E202&lt;&gt;"!!!"),"NEW","")))</f>
        <v/>
      </c>
      <c r="G202" s="23" t="str">
        <f>IF(OR(E202="",E202="!!!"),"",IF(OR(J202=0,AND(J202=1,K202=1),AND(J202=1,I202="SBJ"),AND(J202=1,I202=0)),"?IN_FOCUS",IF(J202&lt;=2,"?ACTIVATED",IF(J202&lt;&gt;"","?FAMILIAR",IF(F202="NEW",IF(ISNA(VLOOKUP(E202,#REF!,1,FALSE())),"?TYPE_IDENTIFIABLE","?REFERENTIAL"),"_")))))</f>
        <v/>
      </c>
      <c r="H202" s="24" t="str">
        <f t="shared" ca="1" si="21"/>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row>
    <row r="203" spans="1:12" x14ac:dyDescent="0.3">
      <c r="A203" t="s">
        <v>202</v>
      </c>
      <c r="E203" s="21" t="str">
        <f t="shared" si="20"/>
        <v/>
      </c>
      <c r="F203" s="22" t="str">
        <f>IF(OR(E203="",E203="!!!"),"",IF(NOT(ISNA(VLOOKUP(E203,E$1:E202,1,FALSE()))),"OLD",IF(AND(E203&lt;&gt;"",E203&lt;&gt;"!!!"),"NEW","")))</f>
        <v/>
      </c>
      <c r="G203" s="23" t="str">
        <f>IF(OR(E203="",E203="!!!"),"",IF(OR(J203=0,AND(J203=1,K203=1),AND(J203=1,I203="SBJ"),AND(J203=1,I203=0)),"?IN_FOCUS",IF(J203&lt;=2,"?ACTIVATED",IF(J203&lt;&gt;"","?FAMILIAR",IF(F203="NEW",IF(ISNA(VLOOKUP(E203,#REF!,1,FALSE())),"?TYPE_IDENTIFIABLE","?REFERENTIAL"),"_")))))</f>
        <v/>
      </c>
      <c r="H203" s="24" t="str">
        <f t="shared" ca="1" si="21"/>
        <v/>
      </c>
      <c r="I203" s="25" t="str">
        <f>IF(OR(E203="",E203="!!!",F203="NEW"),"",INDEX(B$2:B202,-1+SUMPRODUCT(MAX(ROW(E$2:E202)*(E203=E$2:E202)))))</f>
        <v/>
      </c>
      <c r="J203" s="25" t="str">
        <f ca="1">IF(OR(E203="",E203="!!!",F203="NEW"),"",COUNTBLANK(OFFSET(A$1,,,SUMPRODUCT(MAX(ROW(E$2:E203)*(E203=E$2:E203)))))-COUNTBLANK(OFFSET(A$1,,,SUMPRODUCT(MAX(ROW(E$1:E202)*(E2=E$1:E202))))))</f>
        <v/>
      </c>
      <c r="K203" s="25" t="str">
        <f>IF(OR(E203="",E203="!!!",F203="NEW"),"",INDEX(J$1:J202,SUMPRODUCT(MAX(ROW(E$1:E202)*(E203=E$1:E202)))))</f>
        <v/>
      </c>
      <c r="L203" s="26"/>
    </row>
    <row r="204" spans="1:12" x14ac:dyDescent="0.3">
      <c r="A204" t="s">
        <v>284</v>
      </c>
      <c r="B204" s="20" t="s">
        <v>285</v>
      </c>
      <c r="C204" s="20" t="s">
        <v>276</v>
      </c>
      <c r="D204" s="20" t="s">
        <v>146</v>
      </c>
      <c r="E204" s="21" t="s">
        <v>480</v>
      </c>
      <c r="F204" s="22" t="str">
        <f>IF(OR(E204="",E204="!!!"),"",IF(NOT(ISNA(VLOOKUP(E204,E$1:E203,1,FALSE()))),"OLD",IF(AND(E204&lt;&gt;"",E204&lt;&gt;"!!!"),"NEW","")))</f>
        <v>OLD</v>
      </c>
      <c r="G204" s="23" t="s">
        <v>528</v>
      </c>
      <c r="H204" s="24" t="str">
        <f t="shared" ca="1" si="21"/>
        <v/>
      </c>
      <c r="I204" s="25" t="str">
        <f>IF(OR(E204="",E204="!!!",F204="NEW"),"",INDEX(B$2:B203,-1+SUMPRODUCT(MAX(ROW(E$2:E203)*(E204=E$2:E203)))))</f>
        <v>other_3</v>
      </c>
      <c r="J204" s="25">
        <f ca="1">IF(OR(E204="",E204="!!!",F204="NEW"),"",COUNTBLANK(OFFSET(A$1,,,SUMPRODUCT(MAX(ROW(E$2:E204)*(E204=E$2:E204)))))-COUNTBLANK(OFFSET(A$1,,,SUMPRODUCT(MAX(ROW(E$1:E203)*(E2=E$1:E203))))))</f>
        <v>0</v>
      </c>
      <c r="K204" s="25">
        <f ca="1">IF(OR(E204="",E204="!!!",F204="NEW"),"",INDEX(J$1:J203,SUMPRODUCT(MAX(ROW(E$1:E203)*(E204=E$1:E203)))))</f>
        <v>0</v>
      </c>
      <c r="L204" s="26"/>
    </row>
    <row r="205" spans="1:12" x14ac:dyDescent="0.3">
      <c r="A205" t="s">
        <v>286</v>
      </c>
      <c r="B205" s="20" t="s">
        <v>287</v>
      </c>
      <c r="C205" s="20" t="s">
        <v>150</v>
      </c>
      <c r="E205" s="21" t="s">
        <v>534</v>
      </c>
      <c r="F205" s="22" t="str">
        <f>IF(OR(E205="",E205="!!!"),"",IF(NOT(ISNA(VLOOKUP(E205,E$1:E204,1,FALSE()))),"OLD",IF(AND(E205&lt;&gt;"",E205&lt;&gt;"!!!"),"NEW","")))</f>
        <v>NEW</v>
      </c>
      <c r="G205" s="23" t="s">
        <v>483</v>
      </c>
      <c r="H205" s="24" t="str">
        <f t="shared" ca="1" si="21"/>
        <v/>
      </c>
      <c r="I205" s="25" t="str">
        <f>IF(OR(E205="",E205="!!!",F205="NEW"),"",INDEX(B$2:B204,-1+SUMPRODUCT(MAX(ROW(E$2:E204)*(E205=E$2:E204)))))</f>
        <v/>
      </c>
      <c r="J205" s="25" t="str">
        <f ca="1">IF(OR(E205="",E205="!!!",F205="NEW"),"",COUNTBLANK(OFFSET(A$1,,,SUMPRODUCT(MAX(ROW(E$2:E205)*(E205=E$2:E205)))))-COUNTBLANK(OFFSET(A$1,,,SUMPRODUCT(MAX(ROW(E$1:E204)*(E2=E$1:E204))))))</f>
        <v/>
      </c>
      <c r="K205" s="25" t="str">
        <f>IF(OR(E205="",E205="!!!",F205="NEW"),"",INDEX(J$1:J204,SUMPRODUCT(MAX(ROW(E$1:E204)*(E205=E$1:E204)))))</f>
        <v/>
      </c>
      <c r="L205" s="26"/>
    </row>
    <row r="206" spans="1:12" x14ac:dyDescent="0.3">
      <c r="A206" t="s">
        <v>212</v>
      </c>
      <c r="E206" s="21" t="str">
        <f t="shared" si="20"/>
        <v/>
      </c>
      <c r="F206" s="22" t="str">
        <f>IF(OR(E206="",E206="!!!"),"",IF(NOT(ISNA(VLOOKUP(E206,E$1:E205,1,FALSE()))),"OLD",IF(AND(E206&lt;&gt;"",E206&lt;&gt;"!!!"),"NEW","")))</f>
        <v/>
      </c>
      <c r="G206" s="23" t="str">
        <f>IF(OR(E206="",E206="!!!"),"",IF(OR(J206=0,AND(J206=1,K206=1),AND(J206=1,I206="SBJ"),AND(J206=1,I206=0)),"?IN_FOCUS",IF(J206&lt;=2,"?ACTIVATED",IF(J206&lt;&gt;"","?FAMILIAR",IF(F206="NEW",IF(ISNA(VLOOKUP(E206,#REF!,1,FALSE())),"?TYPE_IDENTIFIABLE","?REFERENTIAL"),"_")))))</f>
        <v/>
      </c>
      <c r="H206" s="24" t="str">
        <f t="shared" ca="1" si="21"/>
        <v/>
      </c>
      <c r="I206" s="25" t="str">
        <f>IF(OR(E206="",E206="!!!",F206="NEW"),"",INDEX(B$2:B205,-1+SUMPRODUCT(MAX(ROW(E$2:E205)*(E206=E$2:E205)))))</f>
        <v/>
      </c>
      <c r="J206" s="25" t="str">
        <f ca="1">IF(OR(E206="",E206="!!!",F206="NEW"),"",COUNTBLANK(OFFSET(A$1,,,SUMPRODUCT(MAX(ROW(E$2:E206)*(E206=E$2:E206)))))-COUNTBLANK(OFFSET(A$1,,,SUMPRODUCT(MAX(ROW(E$1:E205)*(E2=E$1:E205))))))</f>
        <v/>
      </c>
      <c r="K206" s="25" t="str">
        <f>IF(OR(E206="",E206="!!!",F206="NEW"),"",INDEX(J$1:J205,SUMPRODUCT(MAX(ROW(E$1:E205)*(E206=E$1:E205)))))</f>
        <v/>
      </c>
      <c r="L206" s="26"/>
    </row>
    <row r="207" spans="1:12" x14ac:dyDescent="0.3">
      <c r="A207" t="s">
        <v>288</v>
      </c>
      <c r="B207" s="20" t="s">
        <v>289</v>
      </c>
      <c r="C207" s="20" t="s">
        <v>150</v>
      </c>
      <c r="E207" s="21" t="str">
        <f t="shared" si="20"/>
        <v/>
      </c>
      <c r="F207" s="22" t="str">
        <f>IF(OR(E207="",E207="!!!"),"",IF(NOT(ISNA(VLOOKUP(E207,E$1:E206,1,FALSE()))),"OLD",IF(AND(E207&lt;&gt;"",E207&lt;&gt;"!!!"),"NEW","")))</f>
        <v/>
      </c>
      <c r="G207" s="23" t="str">
        <f>IF(OR(E207="",E207="!!!"),"",IF(OR(J207=0,AND(J207=1,K207=1),AND(J207=1,I207="SBJ"),AND(J207=1,I207=0)),"?IN_FOCUS",IF(J207&lt;=2,"?ACTIVATED",IF(J207&lt;&gt;"","?FAMILIAR",IF(F207="NEW",IF(ISNA(VLOOKUP(E207,#REF!,1,FALSE())),"?TYPE_IDENTIFIABLE","?REFERENTIAL"),"_")))))</f>
        <v/>
      </c>
      <c r="H207" s="24" t="str">
        <f t="shared" ca="1" si="21"/>
        <v/>
      </c>
      <c r="I207" s="25" t="str">
        <f>IF(OR(E207="",E207="!!!",F207="NEW"),"",INDEX(B$2:B206,-1+SUMPRODUCT(MAX(ROW(E$2:E206)*(E207=E$2:E206)))))</f>
        <v/>
      </c>
      <c r="J207" s="25" t="str">
        <f ca="1">IF(OR(E207="",E207="!!!",F207="NEW"),"",COUNTBLANK(OFFSET(A$1,,,SUMPRODUCT(MAX(ROW(E$2:E207)*(E207=E$2:E207)))))-COUNTBLANK(OFFSET(A$1,,,SUMPRODUCT(MAX(ROW(E$1:E206)*(E2=E$1:E206))))))</f>
        <v/>
      </c>
      <c r="K207" s="25" t="str">
        <f>IF(OR(E207="",E207="!!!",F207="NEW"),"",INDEX(J$1:J206,SUMPRODUCT(MAX(ROW(E$1:E206)*(E207=E$1:E206)))))</f>
        <v/>
      </c>
      <c r="L207" s="26"/>
    </row>
    <row r="208" spans="1:12" x14ac:dyDescent="0.3">
      <c r="A208" t="s">
        <v>290</v>
      </c>
      <c r="E208" s="21" t="str">
        <f t="shared" si="20"/>
        <v/>
      </c>
      <c r="F208" s="22" t="str">
        <f>IF(OR(E208="",E208="!!!"),"",IF(NOT(ISNA(VLOOKUP(E208,E$1:E207,1,FALSE()))),"OLD",IF(AND(E208&lt;&gt;"",E208&lt;&gt;"!!!"),"NEW","")))</f>
        <v/>
      </c>
      <c r="G208" s="23" t="str">
        <f>IF(OR(E208="",E208="!!!"),"",IF(OR(J208=0,AND(J208=1,K208=1),AND(J208=1,I208="SBJ"),AND(J208=1,I208=0)),"?IN_FOCUS",IF(J208&lt;=2,"?ACTIVATED",IF(J208&lt;&gt;"","?FAMILIAR",IF(F208="NEW",IF(ISNA(VLOOKUP(E208,#REF!,1,FALSE())),"?TYPE_IDENTIFIABLE","?REFERENTIAL"),"_")))))</f>
        <v/>
      </c>
      <c r="H208" s="24" t="str">
        <f t="shared" ca="1" si="21"/>
        <v/>
      </c>
      <c r="I208" s="25" t="str">
        <f>IF(OR(E208="",E208="!!!",F208="NEW"),"",INDEX(B$2:B207,-1+SUMPRODUCT(MAX(ROW(E$2:E207)*(E208=E$2:E207)))))</f>
        <v/>
      </c>
      <c r="J208" s="25" t="str">
        <f ca="1">IF(OR(E208="",E208="!!!",F208="NEW"),"",COUNTBLANK(OFFSET(A$1,,,SUMPRODUCT(MAX(ROW(E$2:E208)*(E208=E$2:E208)))))-COUNTBLANK(OFFSET(A$1,,,SUMPRODUCT(MAX(ROW(E$1:E207)*(E2=E$1:E207))))))</f>
        <v/>
      </c>
      <c r="K208" s="25" t="str">
        <f>IF(OR(E208="",E208="!!!",F208="NEW"),"",INDEX(J$1:J207,SUMPRODUCT(MAX(ROW(E$1:E207)*(E208=E$1:E207)))))</f>
        <v/>
      </c>
      <c r="L208" s="26"/>
    </row>
    <row r="209" spans="1:12" x14ac:dyDescent="0.3">
      <c r="A209" t="s">
        <v>291</v>
      </c>
      <c r="B209" s="20" t="s">
        <v>287</v>
      </c>
      <c r="C209" s="20" t="s">
        <v>150</v>
      </c>
      <c r="E209" s="21" t="str">
        <f t="shared" si="20"/>
        <v/>
      </c>
      <c r="F209" s="22" t="str">
        <f>IF(OR(E209="",E209="!!!"),"",IF(NOT(ISNA(VLOOKUP(E209,E$1:E208,1,FALSE()))),"OLD",IF(AND(E209&lt;&gt;"",E209&lt;&gt;"!!!"),"NEW","")))</f>
        <v/>
      </c>
      <c r="G209" s="23" t="str">
        <f>IF(OR(E209="",E209="!!!"),"",IF(OR(J209=0,AND(J209=1,K209=1),AND(J209=1,I209="SBJ"),AND(J209=1,I209=0)),"?IN_FOCUS",IF(J209&lt;=2,"?ACTIVATED",IF(J209&lt;&gt;"","?FAMILIAR",IF(F209="NEW",IF(ISNA(VLOOKUP(E209,#REF!,1,FALSE())),"?TYPE_IDENTIFIABLE","?REFERENTIAL"),"_")))))</f>
        <v/>
      </c>
      <c r="H209" s="24" t="str">
        <f t="shared" ca="1" si="21"/>
        <v/>
      </c>
      <c r="I209" s="25" t="str">
        <f>IF(OR(E209="",E209="!!!",F209="NEW"),"",INDEX(B$2:B208,-1+SUMPRODUCT(MAX(ROW(E$2:E208)*(E209=E$2:E208)))))</f>
        <v/>
      </c>
      <c r="J209" s="25" t="str">
        <f ca="1">IF(OR(E209="",E209="!!!",F209="NEW"),"",COUNTBLANK(OFFSET(A$1,,,SUMPRODUCT(MAX(ROW(E$2:E209)*(E209=E$2:E209)))))-COUNTBLANK(OFFSET(A$1,,,SUMPRODUCT(MAX(ROW(E$1:E208)*(E2=E$1:E208))))))</f>
        <v/>
      </c>
      <c r="K209" s="25" t="str">
        <f>IF(OR(E209="",E209="!!!",F209="NEW"),"",INDEX(J$1:J208,SUMPRODUCT(MAX(ROW(E$1:E208)*(E209=E$1:E208)))))</f>
        <v/>
      </c>
      <c r="L209" s="26"/>
    </row>
    <row r="210" spans="1:12" x14ac:dyDescent="0.3">
      <c r="A210" t="s">
        <v>189</v>
      </c>
      <c r="E210" s="21" t="str">
        <f t="shared" si="20"/>
        <v/>
      </c>
      <c r="F210" s="22" t="str">
        <f>IF(OR(E210="",E210="!!!"),"",IF(NOT(ISNA(VLOOKUP(E210,E$1:E209,1,FALSE()))),"OLD",IF(AND(E210&lt;&gt;"",E210&lt;&gt;"!!!"),"NEW","")))</f>
        <v/>
      </c>
      <c r="G210" s="23" t="str">
        <f>IF(OR(E210="",E210="!!!"),"",IF(OR(J210=0,AND(J210=1,K210=1),AND(J210=1,I210="SBJ"),AND(J210=1,I210=0)),"?IN_FOCUS",IF(J210&lt;=2,"?ACTIVATED",IF(J210&lt;&gt;"","?FAMILIAR",IF(F210="NEW",IF(ISNA(VLOOKUP(E210,#REF!,1,FALSE())),"?TYPE_IDENTIFIABLE","?REFERENTIAL"),"_")))))</f>
        <v/>
      </c>
      <c r="H210" s="24" t="str">
        <f t="shared" ca="1" si="21"/>
        <v/>
      </c>
      <c r="I210" s="25" t="str">
        <f>IF(OR(E210="",E210="!!!",F210="NEW"),"",INDEX(B$2:B209,-1+SUMPRODUCT(MAX(ROW(E$2:E209)*(E210=E$2:E209)))))</f>
        <v/>
      </c>
      <c r="J210" s="25" t="str">
        <f ca="1">IF(OR(E210="",E210="!!!",F210="NEW"),"",COUNTBLANK(OFFSET(A$1,,,SUMPRODUCT(MAX(ROW(E$2:E210)*(E210=E$2:E210)))))-COUNTBLANK(OFFSET(A$1,,,SUMPRODUCT(MAX(ROW(E$1:E209)*(E2=E$1:E209))))))</f>
        <v/>
      </c>
      <c r="K210" s="25" t="str">
        <f>IF(OR(E210="",E210="!!!",F210="NEW"),"",INDEX(J$1:J209,SUMPRODUCT(MAX(ROW(E$1:E209)*(E210=E$1:E209)))))</f>
        <v/>
      </c>
      <c r="L210" s="26"/>
    </row>
    <row r="211" spans="1:12" x14ac:dyDescent="0.3">
      <c r="A211" t="s">
        <v>292</v>
      </c>
      <c r="B211" s="20" t="s">
        <v>285</v>
      </c>
      <c r="C211" s="20" t="s">
        <v>150</v>
      </c>
      <c r="E211" s="21" t="str">
        <f t="shared" si="20"/>
        <v/>
      </c>
      <c r="F211" s="22" t="str">
        <f>IF(OR(E211="",E211="!!!"),"",IF(NOT(ISNA(VLOOKUP(E211,E$1:E210,1,FALSE()))),"OLD",IF(AND(E211&lt;&gt;"",E211&lt;&gt;"!!!"),"NEW","")))</f>
        <v/>
      </c>
      <c r="G211" s="23" t="str">
        <f>IF(OR(E211="",E211="!!!"),"",IF(OR(J211=0,AND(J211=1,K211=1),AND(J211=1,I211="SBJ"),AND(J211=1,I211=0)),"?IN_FOCUS",IF(J211&lt;=2,"?ACTIVATED",IF(J211&lt;&gt;"","?FAMILIAR",IF(F211="NEW",IF(ISNA(VLOOKUP(E211,#REF!,1,FALSE())),"?TYPE_IDENTIFIABLE","?REFERENTIAL"),"_")))))</f>
        <v/>
      </c>
      <c r="H211" s="24" t="str">
        <f t="shared" ca="1" si="21"/>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183</v>
      </c>
      <c r="B212" s="20" t="s">
        <v>289</v>
      </c>
      <c r="C212" s="20" t="s">
        <v>184</v>
      </c>
      <c r="E212" s="21" t="str">
        <f t="shared" si="20"/>
        <v/>
      </c>
      <c r="F212" s="22" t="str">
        <f>IF(OR(E212="",E212="!!!"),"",IF(NOT(ISNA(VLOOKUP(E212,E$1:E211,1,FALSE()))),"OLD",IF(AND(E212&lt;&gt;"",E212&lt;&gt;"!!!"),"NEW","")))</f>
        <v/>
      </c>
      <c r="G212" s="23" t="str">
        <f>IF(OR(E212="",E212="!!!"),"",IF(OR(J212=0,AND(J212=1,K212=1),AND(J212=1,I212="SBJ"),AND(J212=1,I212=0)),"?IN_FOCUS",IF(J212&lt;=2,"?ACTIVATED",IF(J212&lt;&gt;"","?FAMILIAR",IF(F212="NEW",IF(ISNA(VLOOKUP(E212,#REF!,1,FALSE())),"?TYPE_IDENTIFIABLE","?REFERENTIAL"),"_")))))</f>
        <v/>
      </c>
      <c r="H212" s="24" t="str">
        <f t="shared" ca="1" si="21"/>
        <v/>
      </c>
      <c r="I212" s="25" t="str">
        <f>IF(OR(E212="",E212="!!!",F212="NEW"),"",INDEX(B$2:B211,-1+SUMPRODUCT(MAX(ROW(E$2:E211)*(E212=E$2:E211)))))</f>
        <v/>
      </c>
      <c r="J212" s="25" t="str">
        <f ca="1">IF(OR(E212="",E212="!!!",F212="NEW"),"",COUNTBLANK(OFFSET(A$1,,,SUMPRODUCT(MAX(ROW(E$2:E212)*(E212=E$2:E212)))))-COUNTBLANK(OFFSET(A$1,,,SUMPRODUCT(MAX(ROW(E$1:E211)*(E2=E$1:E211))))))</f>
        <v/>
      </c>
      <c r="K212" s="25" t="str">
        <f>IF(OR(E212="",E212="!!!",F212="NEW"),"",INDEX(J$1:J211,SUMPRODUCT(MAX(ROW(E$1:E211)*(E212=E$1:E211)))))</f>
        <v/>
      </c>
      <c r="L212" s="26"/>
    </row>
    <row r="213" spans="1:12" x14ac:dyDescent="0.3">
      <c r="A213" t="s">
        <v>214</v>
      </c>
      <c r="E213" s="21" t="str">
        <f t="shared" si="20"/>
        <v/>
      </c>
      <c r="F213" s="22" t="str">
        <f>IF(OR(E213="",E213="!!!"),"",IF(NOT(ISNA(VLOOKUP(E213,E$1:E212,1,FALSE()))),"OLD",IF(AND(E213&lt;&gt;"",E213&lt;&gt;"!!!"),"NEW","")))</f>
        <v/>
      </c>
      <c r="G213" s="23" t="str">
        <f>IF(OR(E213="",E213="!!!"),"",IF(OR(J213=0,AND(J213=1,K213=1),AND(J213=1,I213="SBJ"),AND(J213=1,I213=0)),"?IN_FOCUS",IF(J213&lt;=2,"?ACTIVATED",IF(J213&lt;&gt;"","?FAMILIAR",IF(F213="NEW",IF(ISNA(VLOOKUP(E213,#REF!,1,FALSE())),"?TYPE_IDENTIFIABLE","?REFERENTIAL"),"_")))))</f>
        <v/>
      </c>
      <c r="H213" s="24" t="str">
        <f t="shared" ca="1" si="21"/>
        <v/>
      </c>
      <c r="I213" s="25" t="str">
        <f>IF(OR(E213="",E213="!!!",F213="NEW"),"",INDEX(B$2:B212,-1+SUMPRODUCT(MAX(ROW(E$2:E212)*(E213=E$2:E212)))))</f>
        <v/>
      </c>
      <c r="J213" s="25" t="str">
        <f ca="1">IF(OR(E213="",E213="!!!",F213="NEW"),"",COUNTBLANK(OFFSET(A$1,,,SUMPRODUCT(MAX(ROW(E$2:E213)*(E213=E$2:E213)))))-COUNTBLANK(OFFSET(A$1,,,SUMPRODUCT(MAX(ROW(E$1:E212)*(E2=E$1:E212))))))</f>
        <v/>
      </c>
      <c r="K213" s="25" t="str">
        <f>IF(OR(E213="",E213="!!!",F213="NEW"),"",INDEX(J$1:J212,SUMPRODUCT(MAX(ROW(E$1:E212)*(E213=E$1:E212)))))</f>
        <v/>
      </c>
      <c r="L213" s="26"/>
    </row>
    <row r="214" spans="1:12" x14ac:dyDescent="0.3">
      <c r="A214" t="s">
        <v>293</v>
      </c>
      <c r="B214" s="20" t="s">
        <v>285</v>
      </c>
      <c r="C214" s="20" t="s">
        <v>158</v>
      </c>
      <c r="D214" s="20" t="s">
        <v>146</v>
      </c>
      <c r="E214" s="21"/>
      <c r="F214" s="22" t="s">
        <v>497</v>
      </c>
      <c r="G214" s="23" t="str">
        <f>IF(OR(E214="",E214="!!!"),"",IF(OR(J214=0,AND(J214=1,K214=1),AND(J214=1,I214="SBJ"),AND(J214=1,I214=0)),"?IN_FOCUS",IF(J214&lt;=2,"?ACTIVATED",IF(J214&lt;&gt;"","?FAMILIAR",IF(F214="NEW",IF(ISNA(VLOOKUP(E214,#REF!,1,FALSE())),"?TYPE_IDENTIFIABLE","?REFERENTIAL"),"_")))))</f>
        <v/>
      </c>
      <c r="H214" s="24" t="str">
        <f t="shared" ca="1" si="21"/>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294</v>
      </c>
      <c r="B215" s="20" t="s">
        <v>295</v>
      </c>
      <c r="C215" s="20" t="s">
        <v>276</v>
      </c>
      <c r="D215" s="20" t="s">
        <v>146</v>
      </c>
      <c r="E215" s="21" t="s">
        <v>480</v>
      </c>
      <c r="F215" s="22" t="str">
        <f>IF(OR(E215="",E215="!!!"),"",IF(NOT(ISNA(VLOOKUP(E215,E$1:E214,1,FALSE()))),"OLD",IF(AND(E215&lt;&gt;"",E215&lt;&gt;"!!!"),"NEW","")))</f>
        <v>OLD</v>
      </c>
      <c r="G215" s="23" t="s">
        <v>527</v>
      </c>
      <c r="H215" s="24" t="str">
        <f t="shared" ca="1" si="21"/>
        <v/>
      </c>
      <c r="I215" s="25" t="str">
        <f>IF(OR(E215="",E215="!!!",F215="NEW"),"",INDEX(B$2:B214,-1+SUMPRODUCT(MAX(ROW(E$2:E214)*(E215=E$2:E214)))))</f>
        <v>other_4</v>
      </c>
      <c r="J215" s="25">
        <f ca="1">IF(OR(E215="",E215="!!!",F215="NEW"),"",COUNTBLANK(OFFSET(A$1,,,SUMPRODUCT(MAX(ROW(E$2:E215)*(E215=E$2:E215)))))-COUNTBLANK(OFFSET(A$1,,,SUMPRODUCT(MAX(ROW(E$1:E214)*(E2=E$1:E214))))))</f>
        <v>0</v>
      </c>
      <c r="K215" s="25">
        <f ca="1">IF(OR(E215="",E215="!!!",F215="NEW"),"",INDEX(J$1:J214,SUMPRODUCT(MAX(ROW(E$1:E214)*(E215=E$1:E214)))))</f>
        <v>0</v>
      </c>
      <c r="L215" s="26"/>
    </row>
    <row r="216" spans="1:12" x14ac:dyDescent="0.3">
      <c r="A216" t="s">
        <v>296</v>
      </c>
      <c r="B216" s="20" t="s">
        <v>289</v>
      </c>
      <c r="C216" s="20" t="s">
        <v>150</v>
      </c>
      <c r="E216" s="21" t="s">
        <v>533</v>
      </c>
      <c r="F216" s="22" t="str">
        <f>IF(OR(E216="",E216="!!!"),"",IF(NOT(ISNA(VLOOKUP(E216,E$1:E215,1,FALSE()))),"OLD",IF(AND(E216&lt;&gt;"",E216&lt;&gt;"!!!"),"NEW","")))</f>
        <v>NEW</v>
      </c>
      <c r="G216" s="23" t="s">
        <v>483</v>
      </c>
      <c r="H216" s="24" t="str">
        <f t="shared" ca="1" si="21"/>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183</v>
      </c>
      <c r="E217" s="21" t="str">
        <f t="shared" si="20"/>
        <v/>
      </c>
      <c r="F217" s="22" t="str">
        <f>IF(OR(E217="",E217="!!!"),"",IF(NOT(ISNA(VLOOKUP(E217,E$1:E216,1,FALSE()))),"OLD",IF(AND(E217&lt;&gt;"",E217&lt;&gt;"!!!"),"NEW","")))</f>
        <v/>
      </c>
      <c r="G217" s="23" t="str">
        <f>IF(OR(E217="",E217="!!!"),"",IF(OR(J217=0,AND(J217=1,K217=1),AND(J217=1,I217="SBJ"),AND(J217=1,I217=0)),"?IN_FOCUS",IF(J217&lt;=2,"?ACTIVATED",IF(J217&lt;&gt;"","?FAMILIAR",IF(F217="NEW",IF(ISNA(VLOOKUP(E217,#REF!,1,FALSE())),"?TYPE_IDENTIFIABLE","?REFERENTIAL"),"_")))))</f>
        <v/>
      </c>
      <c r="H217" s="24" t="str">
        <f t="shared" ca="1" si="21"/>
        <v/>
      </c>
      <c r="I217" s="25" t="str">
        <f>IF(OR(E217="",E217="!!!",F217="NEW"),"",INDEX(B$2:B216,-1+SUMPRODUCT(MAX(ROW(E$2:E216)*(E217=E$2:E216)))))</f>
        <v/>
      </c>
      <c r="J217" s="25" t="str">
        <f ca="1">IF(OR(E217="",E217="!!!",F217="NEW"),"",COUNTBLANK(OFFSET(A$1,,,SUMPRODUCT(MAX(ROW(E$2:E217)*(E217=E$2:E217)))))-COUNTBLANK(OFFSET(A$1,,,SUMPRODUCT(MAX(ROW(E$1:E216)*(E2=E$1:E216))))))</f>
        <v/>
      </c>
      <c r="K217" s="25" t="str">
        <f>IF(OR(E217="",E217="!!!",F217="NEW"),"",INDEX(J$1:J216,SUMPRODUCT(MAX(ROW(E$1:E216)*(E217=E$1:E216)))))</f>
        <v/>
      </c>
      <c r="L217" s="26"/>
    </row>
    <row r="218" spans="1:12" x14ac:dyDescent="0.3">
      <c r="A218" t="s">
        <v>297</v>
      </c>
      <c r="E218" s="21" t="str">
        <f t="shared" si="20"/>
        <v/>
      </c>
      <c r="F218" s="22" t="str">
        <f>IF(OR(E218="",E218="!!!"),"",IF(NOT(ISNA(VLOOKUP(E218,E$1:E217,1,FALSE()))),"OLD",IF(AND(E218&lt;&gt;"",E218&lt;&gt;"!!!"),"NEW","")))</f>
        <v/>
      </c>
      <c r="G218" s="23" t="str">
        <f>IF(OR(E218="",E218="!!!"),"",IF(OR(J218=0,AND(J218=1,K218=1),AND(J218=1,I218="SBJ"),AND(J218=1,I218=0)),"?IN_FOCUS",IF(J218&lt;=2,"?ACTIVATED",IF(J218&lt;&gt;"","?FAMILIAR",IF(F218="NEW",IF(ISNA(VLOOKUP(E218,#REF!,1,FALSE())),"?TYPE_IDENTIFIABLE","?REFERENTIAL"),"_")))))</f>
        <v/>
      </c>
      <c r="H218" s="24" t="str">
        <f t="shared" ca="1" si="21"/>
        <v/>
      </c>
      <c r="I218" s="25" t="str">
        <f>IF(OR(E218="",E218="!!!",F218="NEW"),"",INDEX(B$2:B217,-1+SUMPRODUCT(MAX(ROW(E$2:E217)*(E218=E$2:E217)))))</f>
        <v/>
      </c>
      <c r="J218" s="25" t="str">
        <f ca="1">IF(OR(E218="",E218="!!!",F218="NEW"),"",COUNTBLANK(OFFSET(A$1,,,SUMPRODUCT(MAX(ROW(E$2:E218)*(E218=E$2:E218)))))-COUNTBLANK(OFFSET(A$1,,,SUMPRODUCT(MAX(ROW(E$1:E217)*(E2=E$1:E217))))))</f>
        <v/>
      </c>
      <c r="K218" s="25" t="str">
        <f>IF(OR(E218="",E218="!!!",F218="NEW"),"",INDEX(J$1:J217,SUMPRODUCT(MAX(ROW(E$1:E217)*(E218=E$1:E217)))))</f>
        <v/>
      </c>
      <c r="L218" s="26"/>
    </row>
    <row r="219" spans="1:12" x14ac:dyDescent="0.3">
      <c r="A219" t="s">
        <v>167</v>
      </c>
      <c r="E219" s="21" t="str">
        <f t="shared" si="20"/>
        <v/>
      </c>
      <c r="F219" s="22" t="str">
        <f>IF(OR(E219="",E219="!!!"),"",IF(NOT(ISNA(VLOOKUP(E219,E$1:E218,1,FALSE()))),"OLD",IF(AND(E219&lt;&gt;"",E219&lt;&gt;"!!!"),"NEW","")))</f>
        <v/>
      </c>
      <c r="G219" s="23" t="str">
        <f>IF(OR(E219="",E219="!!!"),"",IF(OR(J219=0,AND(J219=1,K219=1),AND(J219=1,I219="SBJ"),AND(J219=1,I219=0)),"?IN_FOCUS",IF(J219&lt;=2,"?ACTIVATED",IF(J219&lt;&gt;"","?FAMILIAR",IF(F219="NEW",IF(ISNA(VLOOKUP(E219,#REF!,1,FALSE())),"?TYPE_IDENTIFIABLE","?REFERENTIAL"),"_")))))</f>
        <v/>
      </c>
      <c r="H219" s="24" t="str">
        <f t="shared" ca="1" si="21"/>
        <v/>
      </c>
      <c r="I219" s="25" t="str">
        <f>IF(OR(E219="",E219="!!!",F219="NEW"),"",INDEX(B$2:B218,-1+SUMPRODUCT(MAX(ROW(E$2:E218)*(E219=E$2:E218)))))</f>
        <v/>
      </c>
      <c r="J219" s="25" t="str">
        <f ca="1">IF(OR(E219="",E219="!!!",F219="NEW"),"",COUNTBLANK(OFFSET(A$1,,,SUMPRODUCT(MAX(ROW(E$2:E219)*(E219=E$2:E219)))))-COUNTBLANK(OFFSET(A$1,,,SUMPRODUCT(MAX(ROW(E$1:E218)*(E2=E$1:E218))))))</f>
        <v/>
      </c>
      <c r="K219" s="25" t="str">
        <f>IF(OR(E219="",E219="!!!",F219="NEW"),"",INDEX(J$1:J218,SUMPRODUCT(MAX(ROW(E$1:E218)*(E219=E$1:E218)))))</f>
        <v/>
      </c>
      <c r="L219" s="26"/>
    </row>
    <row r="221" spans="1:12" x14ac:dyDescent="0.3">
      <c r="A221" t="s">
        <v>298</v>
      </c>
    </row>
    <row r="222" spans="1:12" x14ac:dyDescent="0.3">
      <c r="A222" t="s">
        <v>147</v>
      </c>
      <c r="B222" s="20" t="s">
        <v>157</v>
      </c>
      <c r="C222" s="20" t="s">
        <v>145</v>
      </c>
      <c r="D222" s="20" t="s">
        <v>146</v>
      </c>
      <c r="E222" s="21" t="s">
        <v>480</v>
      </c>
      <c r="F222" s="22" t="str">
        <f>IF(OR(E222="",E222="!!!"),"",IF(NOT(ISNA(VLOOKUP(E222,E$1:E221,1,FALSE()))),"OLD",IF(AND(E222&lt;&gt;"",E222&lt;&gt;"!!!"),"NEW","")))</f>
        <v>OLD</v>
      </c>
      <c r="G222" s="23" t="s">
        <v>527</v>
      </c>
      <c r="H222" s="24" t="str">
        <f t="shared" ref="H222:H250" ca="1" si="22">IF(J222&lt;&gt;1,"",IF(I222="SBJ","CB","?"))</f>
        <v/>
      </c>
      <c r="I222" s="25" t="str">
        <f>IF(OR(E222="",E222="!!!",F222="NEW"),"",INDEX(B$2:B221,-1+SUMPRODUCT(MAX(ROW(E$2:E221)*(E222=E$2:E221)))))</f>
        <v>other_6</v>
      </c>
      <c r="J222" s="25">
        <f ca="1">IF(OR(E222="",E222="!!!",F222="NEW"),"",COUNTBLANK(OFFSET(A$1,,,SUMPRODUCT(MAX(ROW(E$2:E222)*(E222=E$2:E222)))))-COUNTBLANK(OFFSET(A$1,,,SUMPRODUCT(MAX(ROW(E$1:E221)*(E2=E$1:E221))))))</f>
        <v>0</v>
      </c>
      <c r="K222" s="25">
        <f ca="1">IF(OR(E222="",E222="!!!",F222="NEW"),"",INDEX(J$1:J221,SUMPRODUCT(MAX(ROW(E$1:E221)*(E222=E$1:E221)))))</f>
        <v>0</v>
      </c>
      <c r="L222" s="26"/>
    </row>
    <row r="223" spans="1:12" x14ac:dyDescent="0.3">
      <c r="A223" t="s">
        <v>299</v>
      </c>
      <c r="E223" s="21" t="str">
        <f t="shared" ref="E222:E250" si="23">IF(D223="?OLD","!!!","")</f>
        <v/>
      </c>
      <c r="F223" s="22" t="str">
        <f>IF(OR(E223="",E223="!!!"),"",IF(NOT(ISNA(VLOOKUP(E223,E$1:E222,1,FALSE()))),"OLD",IF(AND(E223&lt;&gt;"",E223&lt;&gt;"!!!"),"NEW","")))</f>
        <v/>
      </c>
      <c r="G223" s="23" t="str">
        <f>IF(OR(E223="",E223="!!!"),"",IF(OR(J223=0,AND(J223=1,K223=1),AND(J223=1,I223="SBJ"),AND(J223=1,I223=0)),"?IN_FOCUS",IF(J223&lt;=2,"?ACTIVATED",IF(J223&lt;&gt;"","?FAMILIAR",IF(F223="NEW",IF(ISNA(VLOOKUP(E223,#REF!,1,FALSE())),"?TYPE_IDENTIFIABLE","?REFERENTIAL"),"_")))))</f>
        <v/>
      </c>
      <c r="H223" s="24" t="str">
        <f t="shared" ca="1" si="22"/>
        <v/>
      </c>
      <c r="I223" s="25" t="str">
        <f>IF(OR(E223="",E223="!!!",F223="NEW"),"",INDEX(B$2:B222,-1+SUMPRODUCT(MAX(ROW(E$2:E222)*(E223=E$2:E222)))))</f>
        <v/>
      </c>
      <c r="J223" s="25" t="str">
        <f ca="1">IF(OR(E223="",E223="!!!",F223="NEW"),"",COUNTBLANK(OFFSET(A$1,,,SUMPRODUCT(MAX(ROW(E$2:E223)*(E223=E$2:E223)))))-COUNTBLANK(OFFSET(A$1,,,SUMPRODUCT(MAX(ROW(E$1:E222)*(E2=E$1:E222))))))</f>
        <v/>
      </c>
      <c r="K223" s="25" t="str">
        <f>IF(OR(E223="",E223="!!!",F223="NEW"),"",INDEX(J$1:J222,SUMPRODUCT(MAX(ROW(E$1:E222)*(E223=E$1:E222)))))</f>
        <v/>
      </c>
      <c r="L223" s="26"/>
    </row>
    <row r="224" spans="1:12" x14ac:dyDescent="0.3">
      <c r="A224" t="s">
        <v>185</v>
      </c>
      <c r="E224" s="21" t="str">
        <f t="shared" si="23"/>
        <v/>
      </c>
      <c r="F224" s="22" t="str">
        <f>IF(OR(E224="",E224="!!!"),"",IF(NOT(ISNA(VLOOKUP(E224,E$1:E223,1,FALSE()))),"OLD",IF(AND(E224&lt;&gt;"",E224&lt;&gt;"!!!"),"NEW","")))</f>
        <v/>
      </c>
      <c r="G224" s="23" t="str">
        <f>IF(OR(E224="",E224="!!!"),"",IF(OR(J224=0,AND(J224=1,K224=1),AND(J224=1,I224="SBJ"),AND(J224=1,I224=0)),"?IN_FOCUS",IF(J224&lt;=2,"?ACTIVATED",IF(J224&lt;&gt;"","?FAMILIAR",IF(F224="NEW",IF(ISNA(VLOOKUP(E224,#REF!,1,FALSE())),"?TYPE_IDENTIFIABLE","?REFERENTIAL"),"_")))))</f>
        <v/>
      </c>
      <c r="H224" s="24" t="str">
        <f t="shared" ca="1" si="22"/>
        <v/>
      </c>
      <c r="I224" s="25" t="str">
        <f>IF(OR(E224="",E224="!!!",F224="NEW"),"",INDEX(B$2:B223,-1+SUMPRODUCT(MAX(ROW(E$2:E223)*(E224=E$2:E223)))))</f>
        <v/>
      </c>
      <c r="J224" s="25" t="str">
        <f ca="1">IF(OR(E224="",E224="!!!",F224="NEW"),"",COUNTBLANK(OFFSET(A$1,,,SUMPRODUCT(MAX(ROW(E$2:E224)*(E224=E$2:E224)))))-COUNTBLANK(OFFSET(A$1,,,SUMPRODUCT(MAX(ROW(E$1:E223)*(E2=E$1:E223))))))</f>
        <v/>
      </c>
      <c r="K224" s="25" t="str">
        <f>IF(OR(E224="",E224="!!!",F224="NEW"),"",INDEX(J$1:J223,SUMPRODUCT(MAX(ROW(E$1:E223)*(E224=E$1:E223)))))</f>
        <v/>
      </c>
      <c r="L224" s="26"/>
    </row>
    <row r="225" spans="1:12" x14ac:dyDescent="0.3">
      <c r="A225" t="s">
        <v>215</v>
      </c>
      <c r="E225" s="21" t="str">
        <f t="shared" si="23"/>
        <v/>
      </c>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ca="1" si="22"/>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row>
    <row r="226" spans="1:12" x14ac:dyDescent="0.3">
      <c r="A226" t="s">
        <v>300</v>
      </c>
      <c r="B226" s="20" t="s">
        <v>301</v>
      </c>
      <c r="C226" s="20" t="s">
        <v>158</v>
      </c>
      <c r="D226" s="20" t="s">
        <v>146</v>
      </c>
      <c r="E226" s="21" t="s">
        <v>503</v>
      </c>
      <c r="F226" s="22" t="str">
        <f>IF(OR(E226="",E226="!!!"),"",IF(NOT(ISNA(VLOOKUP(E226,E$1:E225,1,FALSE()))),"OLD",IF(AND(E226&lt;&gt;"",E226&lt;&gt;"!!!"),"NEW","")))</f>
        <v>NEW</v>
      </c>
      <c r="G226" s="23" t="s">
        <v>483</v>
      </c>
      <c r="H226" s="24" t="str">
        <f t="shared" ca="1" si="22"/>
        <v/>
      </c>
      <c r="I226" s="25" t="str">
        <f>IF(OR(E226="",E226="!!!",F226="NEW"),"",INDEX(B$2:B225,-1+SUMPRODUCT(MAX(ROW(E$2:E225)*(E226=E$2:E225)))))</f>
        <v/>
      </c>
      <c r="J226" s="25" t="str">
        <f ca="1">IF(OR(E226="",E226="!!!",F226="NEW"),"",COUNTBLANK(OFFSET(A$1,,,SUMPRODUCT(MAX(ROW(E$2:E226)*(E226=E$2:E226)))))-COUNTBLANK(OFFSET(A$1,,,SUMPRODUCT(MAX(ROW(E$1:E225)*(E2=E$1:E225))))))</f>
        <v/>
      </c>
      <c r="K226" s="25" t="str">
        <f>IF(OR(E226="",E226="!!!",F226="NEW"),"",INDEX(J$1:J225,SUMPRODUCT(MAX(ROW(E$1:E225)*(E226=E$1:E225)))))</f>
        <v/>
      </c>
      <c r="L226" s="26"/>
    </row>
    <row r="227" spans="1:12" x14ac:dyDescent="0.3">
      <c r="A227" t="s">
        <v>302</v>
      </c>
      <c r="B227" s="20" t="s">
        <v>244</v>
      </c>
      <c r="C227" s="20" t="s">
        <v>150</v>
      </c>
      <c r="E227" s="21" t="str">
        <f t="shared" si="23"/>
        <v/>
      </c>
      <c r="F227" s="22" t="str">
        <f>IF(OR(E227="",E227="!!!"),"",IF(NOT(ISNA(VLOOKUP(E227,E$1:E226,1,FALSE()))),"OLD",IF(AND(E227&lt;&gt;"",E227&lt;&gt;"!!!"),"NEW","")))</f>
        <v/>
      </c>
      <c r="G227" s="23" t="str">
        <f>IF(OR(E227="",E227="!!!"),"",IF(OR(J227=0,AND(J227=1,K227=1),AND(J227=1,I227="SBJ"),AND(J227=1,I227=0)),"?IN_FOCUS",IF(J227&lt;=2,"?ACTIVATED",IF(J227&lt;&gt;"","?FAMILIAR",IF(F227="NEW",IF(ISNA(VLOOKUP(E227,#REF!,1,FALSE())),"?TYPE_IDENTIFIABLE","?REFERENTIAL"),"_")))))</f>
        <v/>
      </c>
      <c r="H227" s="24" t="str">
        <f t="shared" ca="1" si="22"/>
        <v/>
      </c>
      <c r="I227" s="25" t="str">
        <f>IF(OR(E227="",E227="!!!",F227="NEW"),"",INDEX(B$2:B226,-1+SUMPRODUCT(MAX(ROW(E$2:E226)*(E227=E$2:E226)))))</f>
        <v/>
      </c>
      <c r="J227" s="25" t="str">
        <f ca="1">IF(OR(E227="",E227="!!!",F227="NEW"),"",COUNTBLANK(OFFSET(A$1,,,SUMPRODUCT(MAX(ROW(E$2:E227)*(E227=E$2:E227)))))-COUNTBLANK(OFFSET(A$1,,,SUMPRODUCT(MAX(ROW(E$1:E226)*(E2=E$1:E226))))))</f>
        <v/>
      </c>
      <c r="K227" s="25" t="str">
        <f>IF(OR(E227="",E227="!!!",F227="NEW"),"",INDEX(J$1:J226,SUMPRODUCT(MAX(ROW(E$1:E226)*(E227=E$1:E226)))))</f>
        <v/>
      </c>
      <c r="L227" s="26"/>
    </row>
    <row r="228" spans="1:12" x14ac:dyDescent="0.3">
      <c r="A228" t="s">
        <v>245</v>
      </c>
      <c r="E228" s="21" t="str">
        <f t="shared" si="23"/>
        <v/>
      </c>
      <c r="F228" s="22" t="str">
        <f>IF(OR(E228="",E228="!!!"),"",IF(NOT(ISNA(VLOOKUP(E228,E$1:E227,1,FALSE()))),"OLD",IF(AND(E228&lt;&gt;"",E228&lt;&gt;"!!!"),"NEW","")))</f>
        <v/>
      </c>
      <c r="G228" s="23" t="str">
        <f>IF(OR(E228="",E228="!!!"),"",IF(OR(J228=0,AND(J228=1,K228=1),AND(J228=1,I228="SBJ"),AND(J228=1,I228=0)),"?IN_FOCUS",IF(J228&lt;=2,"?ACTIVATED",IF(J228&lt;&gt;"","?FAMILIAR",IF(F228="NEW",IF(ISNA(VLOOKUP(E228,#REF!,1,FALSE())),"?TYPE_IDENTIFIABLE","?REFERENTIAL"),"_")))))</f>
        <v/>
      </c>
      <c r="H228" s="24" t="str">
        <f t="shared" ca="1" si="22"/>
        <v/>
      </c>
      <c r="I228" s="25" t="str">
        <f>IF(OR(E228="",E228="!!!",F228="NEW"),"",INDEX(B$2:B227,-1+SUMPRODUCT(MAX(ROW(E$2:E227)*(E228=E$2:E227)))))</f>
        <v/>
      </c>
      <c r="J228" s="25" t="str">
        <f ca="1">IF(OR(E228="",E228="!!!",F228="NEW"),"",COUNTBLANK(OFFSET(A$1,,,SUMPRODUCT(MAX(ROW(E$2:E228)*(E228=E$2:E228)))))-COUNTBLANK(OFFSET(A$1,,,SUMPRODUCT(MAX(ROW(E$1:E227)*(E2=E$1:E227))))))</f>
        <v/>
      </c>
      <c r="K228" s="25" t="str">
        <f>IF(OR(E228="",E228="!!!",F228="NEW"),"",INDEX(J$1:J227,SUMPRODUCT(MAX(ROW(E$1:E227)*(E228=E$1:E227)))))</f>
        <v/>
      </c>
      <c r="L228" s="26"/>
    </row>
    <row r="229" spans="1:12" x14ac:dyDescent="0.3">
      <c r="A229" t="s">
        <v>185</v>
      </c>
      <c r="E229" s="21" t="str">
        <f t="shared" si="23"/>
        <v/>
      </c>
      <c r="F229" s="22" t="str">
        <f>IF(OR(E229="",E229="!!!"),"",IF(NOT(ISNA(VLOOKUP(E229,E$1:E228,1,FALSE()))),"OLD",IF(AND(E229&lt;&gt;"",E229&lt;&gt;"!!!"),"NEW","")))</f>
        <v/>
      </c>
      <c r="G229" s="23" t="str">
        <f>IF(OR(E229="",E229="!!!"),"",IF(OR(J229=0,AND(J229=1,K229=1),AND(J229=1,I229="SBJ"),AND(J229=1,I229=0)),"?IN_FOCUS",IF(J229&lt;=2,"?ACTIVATED",IF(J229&lt;&gt;"","?FAMILIAR",IF(F229="NEW",IF(ISNA(VLOOKUP(E229,#REF!,1,FALSE())),"?TYPE_IDENTIFIABLE","?REFERENTIAL"),"_")))))</f>
        <v/>
      </c>
      <c r="H229" s="24" t="str">
        <f t="shared" ca="1" si="22"/>
        <v/>
      </c>
      <c r="I229" s="25" t="str">
        <f>IF(OR(E229="",E229="!!!",F229="NEW"),"",INDEX(B$2:B228,-1+SUMPRODUCT(MAX(ROW(E$2:E228)*(E229=E$2:E228)))))</f>
        <v/>
      </c>
      <c r="J229" s="25" t="str">
        <f ca="1">IF(OR(E229="",E229="!!!",F229="NEW"),"",COUNTBLANK(OFFSET(A$1,,,SUMPRODUCT(MAX(ROW(E$2:E229)*(E229=E$2:E229)))))-COUNTBLANK(OFFSET(A$1,,,SUMPRODUCT(MAX(ROW(E$1:E228)*(E2=E$1:E228))))))</f>
        <v/>
      </c>
      <c r="K229" s="25" t="str">
        <f>IF(OR(E229="",E229="!!!",F229="NEW"),"",INDEX(J$1:J228,SUMPRODUCT(MAX(ROW(E$1:E228)*(E229=E$1:E228)))))</f>
        <v/>
      </c>
      <c r="L229" s="26"/>
    </row>
    <row r="230" spans="1:12" x14ac:dyDescent="0.3">
      <c r="A230" t="s">
        <v>303</v>
      </c>
      <c r="B230" s="20" t="s">
        <v>144</v>
      </c>
      <c r="C230" s="20" t="s">
        <v>145</v>
      </c>
      <c r="D230" s="20" t="s">
        <v>146</v>
      </c>
      <c r="E230" s="21" t="s">
        <v>505</v>
      </c>
      <c r="F230" s="22" t="s">
        <v>504</v>
      </c>
      <c r="G230" s="23"/>
      <c r="H230" s="24" t="str">
        <f t="shared" ca="1" si="22"/>
        <v/>
      </c>
      <c r="I230" s="25" t="e">
        <f>IF(OR(E230="",E230="!!!",F230="NEW"),"",INDEX(B$2:B229,-1+SUMPRODUCT(MAX(ROW(E$2:E229)*(E230=E$2:E229)))))</f>
        <v>#VALUE!</v>
      </c>
      <c r="J230" s="25">
        <f ca="1">IF(OR(E230="",E230="!!!",F230="NEW"),"",COUNTBLANK(OFFSET(A$1,,,SUMPRODUCT(MAX(ROW(E$2:E230)*(E230=E$2:E230)))))-COUNTBLANK(OFFSET(A$1,,,SUMPRODUCT(MAX(ROW(E$1:E229)*(E2=E$1:E229))))))</f>
        <v>0</v>
      </c>
      <c r="K230" s="25" t="e">
        <f>IF(OR(E230="",E230="!!!",F230="NEW"),"",INDEX(J$1:J229,SUMPRODUCT(MAX(ROW(E$1:E229)*(E230=E$1:E229)))))</f>
        <v>#VALUE!</v>
      </c>
      <c r="L230" s="26"/>
    </row>
    <row r="231" spans="1:12" x14ac:dyDescent="0.3">
      <c r="A231" t="s">
        <v>304</v>
      </c>
      <c r="E231" s="21" t="str">
        <f t="shared" si="23"/>
        <v/>
      </c>
      <c r="F231" s="22" t="str">
        <f>IF(OR(E231="",E231="!!!"),"",IF(NOT(ISNA(VLOOKUP(E231,E$1:E230,1,FALSE()))),"OLD",IF(AND(E231&lt;&gt;"",E231&lt;&gt;"!!!"),"NEW","")))</f>
        <v/>
      </c>
      <c r="G231" s="23" t="str">
        <f>IF(OR(E231="",E231="!!!"),"",IF(OR(J231=0,AND(J231=1,K231=1),AND(J231=1,I231="SBJ"),AND(J231=1,I231=0)),"?IN_FOCUS",IF(J231&lt;=2,"?ACTIVATED",IF(J231&lt;&gt;"","?FAMILIAR",IF(F231="NEW",IF(ISNA(VLOOKUP(E231,#REF!,1,FALSE())),"?TYPE_IDENTIFIABLE","?REFERENTIAL"),"_")))))</f>
        <v/>
      </c>
      <c r="H231" s="24" t="str">
        <f t="shared" ca="1" si="22"/>
        <v/>
      </c>
      <c r="I231" s="25" t="str">
        <f>IF(OR(E231="",E231="!!!",F231="NEW"),"",INDEX(B$2:B230,-1+SUMPRODUCT(MAX(ROW(E$2:E230)*(E231=E$2:E230)))))</f>
        <v/>
      </c>
      <c r="J231" s="25" t="str">
        <f ca="1">IF(OR(E231="",E231="!!!",F231="NEW"),"",COUNTBLANK(OFFSET(A$1,,,SUMPRODUCT(MAX(ROW(E$2:E231)*(E231=E$2:E231)))))-COUNTBLANK(OFFSET(A$1,,,SUMPRODUCT(MAX(ROW(E$1:E230)*(E2=E$1:E230))))))</f>
        <v/>
      </c>
      <c r="K231" s="25" t="str">
        <f>IF(OR(E231="",E231="!!!",F231="NEW"),"",INDEX(J$1:J230,SUMPRODUCT(MAX(ROW(E$1:E230)*(E231=E$1:E230)))))</f>
        <v/>
      </c>
      <c r="L231" s="26"/>
    </row>
    <row r="232" spans="1:12" x14ac:dyDescent="0.3">
      <c r="A232" t="s">
        <v>202</v>
      </c>
      <c r="E232" s="21" t="str">
        <f t="shared" si="23"/>
        <v/>
      </c>
      <c r="F232" s="22" t="str">
        <f>IF(OR(E232="",E232="!!!"),"",IF(NOT(ISNA(VLOOKUP(E232,E$1:E231,1,FALSE()))),"OLD",IF(AND(E232&lt;&gt;"",E232&lt;&gt;"!!!"),"NEW","")))</f>
        <v/>
      </c>
      <c r="G232" s="23" t="str">
        <f>IF(OR(E232="",E232="!!!"),"",IF(OR(J232=0,AND(J232=1,K232=1),AND(J232=1,I232="SBJ"),AND(J232=1,I232=0)),"?IN_FOCUS",IF(J232&lt;=2,"?ACTIVATED",IF(J232&lt;&gt;"","?FAMILIAR",IF(F232="NEW",IF(ISNA(VLOOKUP(E232,#REF!,1,FALSE())),"?TYPE_IDENTIFIABLE","?REFERENTIAL"),"_")))))</f>
        <v/>
      </c>
      <c r="H232" s="24" t="str">
        <f t="shared" ca="1" si="22"/>
        <v/>
      </c>
      <c r="I232" s="25" t="str">
        <f>IF(OR(E232="",E232="!!!",F232="NEW"),"",INDEX(B$2:B231,-1+SUMPRODUCT(MAX(ROW(E$2:E231)*(E232=E$2:E231)))))</f>
        <v/>
      </c>
      <c r="J232" s="25" t="str">
        <f ca="1">IF(OR(E232="",E232="!!!",F232="NEW"),"",COUNTBLANK(OFFSET(A$1,,,SUMPRODUCT(MAX(ROW(E$2:E232)*(E232=E$2:E232)))))-COUNTBLANK(OFFSET(A$1,,,SUMPRODUCT(MAX(ROW(E$1:E231)*(E2=E$1:E231))))))</f>
        <v/>
      </c>
      <c r="K232" s="25" t="str">
        <f>IF(OR(E232="",E232="!!!",F232="NEW"),"",INDEX(J$1:J231,SUMPRODUCT(MAX(ROW(E$1:E231)*(E232=E$1:E231)))))</f>
        <v/>
      </c>
      <c r="L232" s="26"/>
    </row>
    <row r="233" spans="1:12" x14ac:dyDescent="0.3">
      <c r="A233" t="s">
        <v>203</v>
      </c>
      <c r="E233" s="21" t="str">
        <f t="shared" si="23"/>
        <v/>
      </c>
      <c r="F233" s="22" t="str">
        <f>IF(OR(E233="",E233="!!!"),"",IF(NOT(ISNA(VLOOKUP(E233,E$1:E232,1,FALSE()))),"OLD",IF(AND(E233&lt;&gt;"",E233&lt;&gt;"!!!"),"NEW","")))</f>
        <v/>
      </c>
      <c r="G233" s="23" t="str">
        <f>IF(OR(E233="",E233="!!!"),"",IF(OR(J233=0,AND(J233=1,K233=1),AND(J233=1,I233="SBJ"),AND(J233=1,I233=0)),"?IN_FOCUS",IF(J233&lt;=2,"?ACTIVATED",IF(J233&lt;&gt;"","?FAMILIAR",IF(F233="NEW",IF(ISNA(VLOOKUP(E233,#REF!,1,FALSE())),"?TYPE_IDENTIFIABLE","?REFERENTIAL"),"_")))))</f>
        <v/>
      </c>
      <c r="H233" s="24" t="str">
        <f t="shared" ca="1" si="22"/>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row>
    <row r="234" spans="1:12" x14ac:dyDescent="0.3">
      <c r="A234" t="s">
        <v>152</v>
      </c>
      <c r="B234" s="20" t="s">
        <v>163</v>
      </c>
      <c r="C234" s="20" t="s">
        <v>145</v>
      </c>
      <c r="D234" s="20" t="s">
        <v>146</v>
      </c>
      <c r="E234" s="21" t="s">
        <v>481</v>
      </c>
      <c r="F234" s="22" t="str">
        <f>IF(OR(E234="",E234="!!!"),"",IF(NOT(ISNA(VLOOKUP(E234,E$1:E233,1,FALSE()))),"OLD",IF(AND(E234&lt;&gt;"",E234&lt;&gt;"!!!"),"NEW","")))</f>
        <v>OLD</v>
      </c>
      <c r="G234" s="23" t="s">
        <v>482</v>
      </c>
      <c r="H234" s="24" t="str">
        <f t="shared" ca="1" si="22"/>
        <v/>
      </c>
      <c r="I234" s="25" t="str">
        <f>IF(OR(E234="",E234="!!!",F234="NEW"),"",INDEX(B$2:B233,-1+SUMPRODUCT(MAX(ROW(E$2:E233)*(E234=E$2:E233)))))</f>
        <v>other_3</v>
      </c>
      <c r="J234" s="25">
        <f ca="1">IF(OR(E234="",E234="!!!",F234="NEW"),"",COUNTBLANK(OFFSET(A$1,,,SUMPRODUCT(MAX(ROW(E$2:E234)*(E234=E$2:E234)))))-COUNTBLANK(OFFSET(A$1,,,SUMPRODUCT(MAX(ROW(E$1:E233)*(E2=E$1:E233))))))</f>
        <v>0</v>
      </c>
      <c r="K234" s="25">
        <f ca="1">IF(OR(E234="",E234="!!!",F234="NEW"),"",INDEX(J$1:J233,SUMPRODUCT(MAX(ROW(E$1:E233)*(E234=E$1:E233)))))</f>
        <v>0</v>
      </c>
      <c r="L234" s="26"/>
    </row>
    <row r="235" spans="1:12" x14ac:dyDescent="0.3">
      <c r="A235" t="s">
        <v>305</v>
      </c>
      <c r="E235" s="21"/>
      <c r="F235" s="22"/>
      <c r="G235" s="23"/>
      <c r="H235" s="24" t="str">
        <f t="shared" ca="1" si="22"/>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306</v>
      </c>
      <c r="E236" s="21"/>
      <c r="F236" s="22" t="str">
        <f>IF(OR(E236="",E236="!!!"),"",IF(NOT(ISNA(VLOOKUP(E236,E$1:E235,1,FALSE()))),"OLD",IF(AND(E236&lt;&gt;"",E236&lt;&gt;"!!!"),"NEW","")))</f>
        <v/>
      </c>
      <c r="G236" s="23" t="str">
        <f>IF(OR(E236="",E236="!!!"),"",IF(OR(J236=0,AND(J236=1,K236=1),AND(J236=1,I236="SBJ"),AND(J236=1,I236=0)),"?IN_FOCUS",IF(J236&lt;=2,"?ACTIVATED",IF(J236&lt;&gt;"","?FAMILIAR",IF(F236="NEW",IF(ISNA(VLOOKUP(E236,#REF!,1,FALSE())),"?TYPE_IDENTIFIABLE","?REFERENTIAL"),"_")))))</f>
        <v/>
      </c>
      <c r="H236" s="24" t="str">
        <f t="shared" ca="1" si="22"/>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218</v>
      </c>
      <c r="E237" s="21" t="str">
        <f t="shared" si="23"/>
        <v/>
      </c>
      <c r="F237" s="22" t="str">
        <f>IF(OR(E237="",E237="!!!"),"",IF(NOT(ISNA(VLOOKUP(E237,E$1:E236,1,FALSE()))),"OLD",IF(AND(E237&lt;&gt;"",E237&lt;&gt;"!!!"),"NEW","")))</f>
        <v/>
      </c>
      <c r="G237" s="23" t="str">
        <f>IF(OR(E237="",E237="!!!"),"",IF(OR(J237=0,AND(J237=1,K237=1),AND(J237=1,I237="SBJ"),AND(J237=1,I237=0)),"?IN_FOCUS",IF(J237&lt;=2,"?ACTIVATED",IF(J237&lt;&gt;"","?FAMILIAR",IF(F237="NEW",IF(ISNA(VLOOKUP(E237,#REF!,1,FALSE())),"?TYPE_IDENTIFIABLE","?REFERENTIAL"),"_")))))</f>
        <v/>
      </c>
      <c r="H237" s="24" t="str">
        <f t="shared" ca="1" si="22"/>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202</v>
      </c>
      <c r="E238" s="21" t="str">
        <f t="shared" si="23"/>
        <v/>
      </c>
      <c r="F238" s="22" t="str">
        <f>IF(OR(E238="",E238="!!!"),"",IF(NOT(ISNA(VLOOKUP(E238,E$1:E237,1,FALSE()))),"OLD",IF(AND(E238&lt;&gt;"",E238&lt;&gt;"!!!"),"NEW","")))</f>
        <v/>
      </c>
      <c r="G238" s="23" t="str">
        <f>IF(OR(E238="",E238="!!!"),"",IF(OR(J238=0,AND(J238=1,K238=1),AND(J238=1,I238="SBJ"),AND(J238=1,I238=0)),"?IN_FOCUS",IF(J238&lt;=2,"?ACTIVATED",IF(J238&lt;&gt;"","?FAMILIAR",IF(F238="NEW",IF(ISNA(VLOOKUP(E238,#REF!,1,FALSE())),"?TYPE_IDENTIFIABLE","?REFERENTIAL"),"_")))))</f>
        <v/>
      </c>
      <c r="H238" s="24" t="str">
        <f t="shared" ca="1" si="22"/>
        <v/>
      </c>
      <c r="I238" s="25" t="str">
        <f>IF(OR(E238="",E238="!!!",F238="NEW"),"",INDEX(B$2:B237,-1+SUMPRODUCT(MAX(ROW(E$2:E237)*(E238=E$2:E237)))))</f>
        <v/>
      </c>
      <c r="J238" s="25" t="str">
        <f ca="1">IF(OR(E238="",E238="!!!",F238="NEW"),"",COUNTBLANK(OFFSET(A$1,,,SUMPRODUCT(MAX(ROW(E$2:E238)*(E238=E$2:E238)))))-COUNTBLANK(OFFSET(A$1,,,SUMPRODUCT(MAX(ROW(E$1:E237)*(E2=E$1:E237))))))</f>
        <v/>
      </c>
      <c r="K238" s="25" t="str">
        <f>IF(OR(E238="",E238="!!!",F238="NEW"),"",INDEX(J$1:J237,SUMPRODUCT(MAX(ROW(E$1:E237)*(E238=E$1:E237)))))</f>
        <v/>
      </c>
      <c r="L238" s="26"/>
    </row>
    <row r="239" spans="1:12" x14ac:dyDescent="0.3">
      <c r="A239" t="s">
        <v>162</v>
      </c>
      <c r="E239" s="21" t="s">
        <v>481</v>
      </c>
      <c r="F239" s="22" t="str">
        <f>IF(OR(E239="",E239="!!!"),"",IF(NOT(ISNA(VLOOKUP(E239,E$1:E238,1,FALSE()))),"OLD",IF(AND(E239&lt;&gt;"",E239&lt;&gt;"!!!"),"NEW","")))</f>
        <v>OLD</v>
      </c>
      <c r="G239" s="23" t="s">
        <v>527</v>
      </c>
      <c r="H239" s="24" t="str">
        <f t="shared" ca="1" si="22"/>
        <v/>
      </c>
      <c r="I239" s="25" t="str">
        <f>IF(OR(E239="",E239="!!!",F239="NEW"),"",INDEX(B$2:B238,-1+SUMPRODUCT(MAX(ROW(E$2:E238)*(E239=E$2:E238)))))</f>
        <v>SBJ_2</v>
      </c>
      <c r="J239" s="25">
        <f ca="1">IF(OR(E239="",E239="!!!",F239="NEW"),"",COUNTBLANK(OFFSET(A$1,,,SUMPRODUCT(MAX(ROW(E$2:E239)*(E239=E$2:E239)))))-COUNTBLANK(OFFSET(A$1,,,SUMPRODUCT(MAX(ROW(E$1:E238)*(E2=E$1:E238))))))</f>
        <v>0</v>
      </c>
      <c r="K239" s="25">
        <f ca="1">IF(OR(E239="",E239="!!!",F239="NEW"),"",INDEX(J$1:J238,SUMPRODUCT(MAX(ROW(E$1:E238)*(E239=E$1:E238)))))</f>
        <v>0</v>
      </c>
      <c r="L239" s="26"/>
    </row>
    <row r="240" spans="1:12" x14ac:dyDescent="0.3">
      <c r="A240" t="s">
        <v>307</v>
      </c>
      <c r="B240" s="20" t="s">
        <v>287</v>
      </c>
      <c r="C240" s="20" t="s">
        <v>164</v>
      </c>
      <c r="E240" s="21" t="s">
        <v>531</v>
      </c>
      <c r="F240" s="22" t="str">
        <f>IF(OR(E240="",E240="!!!"),"",IF(NOT(ISNA(VLOOKUP(E240,E$1:E239,1,FALSE()))),"OLD",IF(AND(E240&lt;&gt;"",E240&lt;&gt;"!!!"),"NEW","")))</f>
        <v>OLD</v>
      </c>
      <c r="G240" s="23" t="s">
        <v>482</v>
      </c>
      <c r="H240" s="24" t="str">
        <f t="shared" ca="1" si="22"/>
        <v/>
      </c>
      <c r="I240" s="25" t="str">
        <f>IF(OR(E240="",E240="!!!",F240="NEW"),"",INDEX(B$2:B239,-1+SUMPRODUCT(MAX(ROW(E$2:E239)*(E240=E$2:E239)))))</f>
        <v>other_2</v>
      </c>
      <c r="J240" s="25">
        <f ca="1">IF(OR(E240="",E240="!!!",F240="NEW"),"",COUNTBLANK(OFFSET(A$1,,,SUMPRODUCT(MAX(ROW(E$2:E240)*(E240=E$2:E240)))))-COUNTBLANK(OFFSET(A$1,,,SUMPRODUCT(MAX(ROW(E$1:E239)*(E2=E$1:E239))))))</f>
        <v>0</v>
      </c>
      <c r="K240" s="25" t="str">
        <f ca="1">IF(OR(E240="",E240="!!!",F240="NEW"),"",INDEX(J$1:J239,SUMPRODUCT(MAX(ROW(E$1:E239)*(E240=E$1:E239)))))</f>
        <v/>
      </c>
      <c r="L240" s="26"/>
    </row>
    <row r="241" spans="1:12" x14ac:dyDescent="0.3">
      <c r="A241" t="s">
        <v>183</v>
      </c>
      <c r="E241" s="21" t="str">
        <f t="shared" si="23"/>
        <v/>
      </c>
      <c r="F241" s="22" t="str">
        <f>IF(OR(E241="",E241="!!!"),"",IF(NOT(ISNA(VLOOKUP(E241,E$1:E240,1,FALSE()))),"OLD",IF(AND(E241&lt;&gt;"",E241&lt;&gt;"!!!"),"NEW","")))</f>
        <v/>
      </c>
      <c r="G241" s="23" t="str">
        <f>IF(OR(E241="",E241="!!!"),"",IF(OR(J241=0,AND(J241=1,K241=1),AND(J241=1,I241="SBJ"),AND(J241=1,I241=0)),"?IN_FOCUS",IF(J241&lt;=2,"?ACTIVATED",IF(J241&lt;&gt;"","?FAMILIAR",IF(F241="NEW",IF(ISNA(VLOOKUP(E241,#REF!,1,FALSE())),"?TYPE_IDENTIFIABLE","?REFERENTIAL"),"_")))))</f>
        <v/>
      </c>
      <c r="H241" s="24" t="str">
        <f t="shared" ca="1" si="22"/>
        <v/>
      </c>
      <c r="I241" s="25" t="str">
        <f>IF(OR(E241="",E241="!!!",F241="NEW"),"",INDEX(B$2:B240,-1+SUMPRODUCT(MAX(ROW(E$2:E240)*(E241=E$2:E240)))))</f>
        <v/>
      </c>
      <c r="J241" s="25" t="str">
        <f ca="1">IF(OR(E241="",E241="!!!",F241="NEW"),"",COUNTBLANK(OFFSET(A$1,,,SUMPRODUCT(MAX(ROW(E$2:E241)*(E241=E$2:E241)))))-COUNTBLANK(OFFSET(A$1,,,SUMPRODUCT(MAX(ROW(E$1:E240)*(E2=E$1:E240))))))</f>
        <v/>
      </c>
      <c r="K241" s="25" t="str">
        <f>IF(OR(E241="",E241="!!!",F241="NEW"),"",INDEX(J$1:J240,SUMPRODUCT(MAX(ROW(E$1:E240)*(E241=E$1:E240)))))</f>
        <v/>
      </c>
      <c r="L241" s="26"/>
    </row>
    <row r="242" spans="1:12" x14ac:dyDescent="0.3">
      <c r="A242" t="s">
        <v>308</v>
      </c>
      <c r="E242" s="21"/>
      <c r="F242" s="22" t="str">
        <f>IF(OR(E242="",E242="!!!"),"",IF(NOT(ISNA(VLOOKUP(E242,E$1:E241,1,FALSE()))),"OLD",IF(AND(E242&lt;&gt;"",E242&lt;&gt;"!!!"),"NEW","")))</f>
        <v/>
      </c>
      <c r="G242" s="23" t="str">
        <f>IF(OR(E242="",E242="!!!"),"",IF(OR(J242=0,AND(J242=1,K242=1),AND(J242=1,I242="SBJ"),AND(J242=1,I242=0)),"?IN_FOCUS",IF(J242&lt;=2,"?ACTIVATED",IF(J242&lt;&gt;"","?FAMILIAR",IF(F242="NEW",IF(ISNA(VLOOKUP(E242,#REF!,1,FALSE())),"?TYPE_IDENTIFIABLE","?REFERENTIAL"),"_")))))</f>
        <v/>
      </c>
      <c r="H242" s="24" t="str">
        <f t="shared" ca="1" si="22"/>
        <v/>
      </c>
      <c r="I242" s="25" t="str">
        <f>IF(OR(E242="",E242="!!!",F242="NEW"),"",INDEX(B$2:B241,-1+SUMPRODUCT(MAX(ROW(E$2:E241)*(E242=E$2:E241)))))</f>
        <v/>
      </c>
      <c r="J242" s="25" t="str">
        <f ca="1">IF(OR(E242="",E242="!!!",F242="NEW"),"",COUNTBLANK(OFFSET(A$1,,,SUMPRODUCT(MAX(ROW(E$2:E242)*(E242=E$2:E242)))))-COUNTBLANK(OFFSET(A$1,,,SUMPRODUCT(MAX(ROW(E$1:E241)*(E2=E$1:E241))))))</f>
        <v/>
      </c>
      <c r="K242" s="25" t="str">
        <f>IF(OR(E242="",E242="!!!",F242="NEW"),"",INDEX(J$1:J241,SUMPRODUCT(MAX(ROW(E$1:E241)*(E242=E$1:E241)))))</f>
        <v/>
      </c>
      <c r="L242" s="26"/>
    </row>
    <row r="243" spans="1:12" x14ac:dyDescent="0.3">
      <c r="A243" t="s">
        <v>189</v>
      </c>
      <c r="E243" s="21" t="str">
        <f t="shared" si="23"/>
        <v/>
      </c>
      <c r="F243" s="22" t="str">
        <f>IF(OR(E243="",E243="!!!"),"",IF(NOT(ISNA(VLOOKUP(E243,E$1:E242,1,FALSE()))),"OLD",IF(AND(E243&lt;&gt;"",E243&lt;&gt;"!!!"),"NEW","")))</f>
        <v/>
      </c>
      <c r="G243" s="23" t="str">
        <f>IF(OR(E243="",E243="!!!"),"",IF(OR(J243=0,AND(J243=1,K243=1),AND(J243=1,I243="SBJ"),AND(J243=1,I243=0)),"?IN_FOCUS",IF(J243&lt;=2,"?ACTIVATED",IF(J243&lt;&gt;"","?FAMILIAR",IF(F243="NEW",IF(ISNA(VLOOKUP(E243,#REF!,1,FALSE())),"?TYPE_IDENTIFIABLE","?REFERENTIAL"),"_")))))</f>
        <v/>
      </c>
      <c r="H243" s="24" t="str">
        <f t="shared" ca="1" si="22"/>
        <v/>
      </c>
      <c r="I243" s="25" t="str">
        <f>IF(OR(E243="",E243="!!!",F243="NEW"),"",INDEX(B$2:B242,-1+SUMPRODUCT(MAX(ROW(E$2:E242)*(E243=E$2:E242)))))</f>
        <v/>
      </c>
      <c r="J243" s="25" t="str">
        <f ca="1">IF(OR(E243="",E243="!!!",F243="NEW"),"",COUNTBLANK(OFFSET(A$1,,,SUMPRODUCT(MAX(ROW(E$2:E243)*(E243=E$2:E243)))))-COUNTBLANK(OFFSET(A$1,,,SUMPRODUCT(MAX(ROW(E$1:E242)*(E2=E$1:E242))))))</f>
        <v/>
      </c>
      <c r="K243" s="25" t="str">
        <f>IF(OR(E243="",E243="!!!",F243="NEW"),"",INDEX(J$1:J242,SUMPRODUCT(MAX(ROW(E$1:E242)*(E243=E$1:E242)))))</f>
        <v/>
      </c>
      <c r="L243" s="26"/>
    </row>
    <row r="244" spans="1:12" x14ac:dyDescent="0.3">
      <c r="A244" t="s">
        <v>221</v>
      </c>
      <c r="B244" s="20" t="s">
        <v>149</v>
      </c>
      <c r="C244" s="20" t="s">
        <v>145</v>
      </c>
      <c r="D244" s="20" t="s">
        <v>146</v>
      </c>
      <c r="E244" s="21" t="s">
        <v>490</v>
      </c>
      <c r="F244" s="22" t="str">
        <f>IF(OR(E244="",E244="!!!"),"",IF(NOT(ISNA(VLOOKUP(E244,E$1:E243,1,FALSE()))),"OLD",IF(AND(E244&lt;&gt;"",E244&lt;&gt;"!!!"),"NEW","")))</f>
        <v>OLD</v>
      </c>
      <c r="G244" s="23" t="s">
        <v>527</v>
      </c>
      <c r="H244" s="24" t="s">
        <v>138</v>
      </c>
      <c r="I244" s="25" t="str">
        <f>IF(OR(E244="",E244="!!!",F244="NEW"),"",INDEX(B$2:B243,-1+SUMPRODUCT(MAX(ROW(E$2:E243)*(E244=E$2:E243)))))</f>
        <v>SBJ</v>
      </c>
      <c r="J244" s="25">
        <f ca="1">IF(OR(E244="",E244="!!!",F244="NEW"),"",COUNTBLANK(OFFSET(A$1,,,SUMPRODUCT(MAX(ROW(E$2:E244)*(E244=E$2:E244)))))-COUNTBLANK(OFFSET(A$1,,,SUMPRODUCT(MAX(ROW(E$1:E243)*(E2=E$1:E243))))))</f>
        <v>0</v>
      </c>
      <c r="K244" s="25">
        <f ca="1">IF(OR(E244="",E244="!!!",F244="NEW"),"",INDEX(J$1:J243,SUMPRODUCT(MAX(ROW(E$1:E243)*(E244=E$1:E243)))))</f>
        <v>0</v>
      </c>
      <c r="L244" s="26"/>
    </row>
    <row r="245" spans="1:12" x14ac:dyDescent="0.3">
      <c r="A245" t="s">
        <v>212</v>
      </c>
      <c r="E245" s="21" t="str">
        <f t="shared" si="23"/>
        <v/>
      </c>
      <c r="F245" s="22" t="str">
        <f>IF(OR(E245="",E245="!!!"),"",IF(NOT(ISNA(VLOOKUP(E245,E$1:E244,1,FALSE()))),"OLD",IF(AND(E245&lt;&gt;"",E245&lt;&gt;"!!!"),"NEW","")))</f>
        <v/>
      </c>
      <c r="G245" s="23" t="str">
        <f>IF(OR(E245="",E245="!!!"),"",IF(OR(J245=0,AND(J245=1,K245=1),AND(J245=1,I245="SBJ"),AND(J245=1,I245=0)),"?IN_FOCUS",IF(J245&lt;=2,"?ACTIVATED",IF(J245&lt;&gt;"","?FAMILIAR",IF(F245="NEW",IF(ISNA(VLOOKUP(E245,#REF!,1,FALSE())),"?TYPE_IDENTIFIABLE","?REFERENTIAL"),"_")))))</f>
        <v/>
      </c>
      <c r="H245" s="24" t="str">
        <f t="shared" ca="1" si="22"/>
        <v/>
      </c>
      <c r="I245" s="25" t="str">
        <f>IF(OR(E245="",E245="!!!",F245="NEW"),"",INDEX(B$2:B244,-1+SUMPRODUCT(MAX(ROW(E$2:E244)*(E245=E$2:E244)))))</f>
        <v/>
      </c>
      <c r="J245" s="25" t="str">
        <f ca="1">IF(OR(E245="",E245="!!!",F245="NEW"),"",COUNTBLANK(OFFSET(A$1,,,SUMPRODUCT(MAX(ROW(E$2:E245)*(E245=E$2:E245)))))-COUNTBLANK(OFFSET(A$1,,,SUMPRODUCT(MAX(ROW(E$1:E244)*(E2=E$1:E244))))))</f>
        <v/>
      </c>
      <c r="K245" s="25" t="str">
        <f>IF(OR(E245="",E245="!!!",F245="NEW"),"",INDEX(J$1:J244,SUMPRODUCT(MAX(ROW(E$1:E244)*(E245=E$1:E244)))))</f>
        <v/>
      </c>
      <c r="L245" s="26"/>
    </row>
    <row r="246" spans="1:12" x14ac:dyDescent="0.3">
      <c r="A246" t="s">
        <v>162</v>
      </c>
      <c r="E246" s="21" t="str">
        <f t="shared" si="23"/>
        <v/>
      </c>
      <c r="F246" s="22" t="str">
        <f>IF(OR(E246="",E246="!!!"),"",IF(NOT(ISNA(VLOOKUP(E246,E$1:E245,1,FALSE()))),"OLD",IF(AND(E246&lt;&gt;"",E246&lt;&gt;"!!!"),"NEW","")))</f>
        <v/>
      </c>
      <c r="G246" s="23" t="str">
        <f>IF(OR(E246="",E246="!!!"),"",IF(OR(J246=0,AND(J246=1,K246=1),AND(J246=1,I246="SBJ"),AND(J246=1,I246=0)),"?IN_FOCUS",IF(J246&lt;=2,"?ACTIVATED",IF(J246&lt;&gt;"","?FAMILIAR",IF(F246="NEW",IF(ISNA(VLOOKUP(E246,#REF!,1,FALSE())),"?TYPE_IDENTIFIABLE","?REFERENTIAL"),"_")))))</f>
        <v/>
      </c>
      <c r="H246" s="24" t="str">
        <f t="shared" ca="1" si="22"/>
        <v/>
      </c>
      <c r="I246" s="25" t="str">
        <f>IF(OR(E246="",E246="!!!",F246="NEW"),"",INDEX(B$2:B245,-1+SUMPRODUCT(MAX(ROW(E$2:E245)*(E246=E$2:E245)))))</f>
        <v/>
      </c>
      <c r="J246" s="25" t="str">
        <f ca="1">IF(OR(E246="",E246="!!!",F246="NEW"),"",COUNTBLANK(OFFSET(A$1,,,SUMPRODUCT(MAX(ROW(E$2:E246)*(E246=E$2:E246)))))-COUNTBLANK(OFFSET(A$1,,,SUMPRODUCT(MAX(ROW(E$1:E245)*(E2=E$1:E245))))))</f>
        <v/>
      </c>
      <c r="K246" s="25" t="str">
        <f>IF(OR(E246="",E246="!!!",F246="NEW"),"",INDEX(J$1:J245,SUMPRODUCT(MAX(ROW(E$1:E245)*(E246=E$1:E245)))))</f>
        <v/>
      </c>
      <c r="L246" s="26"/>
    </row>
    <row r="247" spans="1:12" x14ac:dyDescent="0.3">
      <c r="A247" t="s">
        <v>228</v>
      </c>
      <c r="B247" s="20" t="s">
        <v>149</v>
      </c>
      <c r="C247" s="20" t="s">
        <v>164</v>
      </c>
      <c r="E247" s="21" t="str">
        <f t="shared" si="23"/>
        <v/>
      </c>
      <c r="F247" s="22" t="str">
        <f>IF(OR(E247="",E247="!!!"),"",IF(NOT(ISNA(VLOOKUP(E247,E$1:E246,1,FALSE()))),"OLD",IF(AND(E247&lt;&gt;"",E247&lt;&gt;"!!!"),"NEW","")))</f>
        <v/>
      </c>
      <c r="G247" s="23" t="str">
        <f>IF(OR(E247="",E247="!!!"),"",IF(OR(J247=0,AND(J247=1,K247=1),AND(J247=1,I247="SBJ"),AND(J247=1,I247=0)),"?IN_FOCUS",IF(J247&lt;=2,"?ACTIVATED",IF(J247&lt;&gt;"","?FAMILIAR",IF(F247="NEW",IF(ISNA(VLOOKUP(E247,#REF!,1,FALSE())),"?TYPE_IDENTIFIABLE","?REFERENTIAL"),"_")))))</f>
        <v/>
      </c>
      <c r="H247" s="24" t="str">
        <f t="shared" ca="1" si="22"/>
        <v/>
      </c>
      <c r="I247" s="25" t="str">
        <f>IF(OR(E247="",E247="!!!",F247="NEW"),"",INDEX(B$2:B246,-1+SUMPRODUCT(MAX(ROW(E$2:E246)*(E247=E$2:E246)))))</f>
        <v/>
      </c>
      <c r="J247" s="25" t="str">
        <f ca="1">IF(OR(E247="",E247="!!!",F247="NEW"),"",COUNTBLANK(OFFSET(A$1,,,SUMPRODUCT(MAX(ROW(E$2:E247)*(E247=E$2:E247)))))-COUNTBLANK(OFFSET(A$1,,,SUMPRODUCT(MAX(ROW(E$1:E246)*(E2=E$1:E246))))))</f>
        <v/>
      </c>
      <c r="K247" s="25" t="str">
        <f>IF(OR(E247="",E247="!!!",F247="NEW"),"",INDEX(J$1:J246,SUMPRODUCT(MAX(ROW(E$1:E246)*(E247=E$1:E246)))))</f>
        <v/>
      </c>
      <c r="L247" s="26"/>
    </row>
    <row r="248" spans="1:12" x14ac:dyDescent="0.3">
      <c r="A248" t="s">
        <v>309</v>
      </c>
      <c r="E248" s="21" t="str">
        <f t="shared" si="23"/>
        <v/>
      </c>
      <c r="F248" s="22" t="str">
        <f>IF(OR(E248="",E248="!!!"),"",IF(NOT(ISNA(VLOOKUP(E248,E$1:E247,1,FALSE()))),"OLD",IF(AND(E248&lt;&gt;"",E248&lt;&gt;"!!!"),"NEW","")))</f>
        <v/>
      </c>
      <c r="G248" s="23" t="str">
        <f>IF(OR(E248="",E248="!!!"),"",IF(OR(J248=0,AND(J248=1,K248=1),AND(J248=1,I248="SBJ"),AND(J248=1,I248=0)),"?IN_FOCUS",IF(J248&lt;=2,"?ACTIVATED",IF(J248&lt;&gt;"","?FAMILIAR",IF(F248="NEW",IF(ISNA(VLOOKUP(E248,#REF!,1,FALSE())),"?TYPE_IDENTIFIABLE","?REFERENTIAL"),"_")))))</f>
        <v/>
      </c>
      <c r="H248" s="24" t="str">
        <f t="shared" ca="1" si="22"/>
        <v/>
      </c>
      <c r="I248" s="25" t="str">
        <f>IF(OR(E248="",E248="!!!",F248="NEW"),"",INDEX(B$2:B247,-1+SUMPRODUCT(MAX(ROW(E$2:E247)*(E248=E$2:E247)))))</f>
        <v/>
      </c>
      <c r="J248" s="25" t="str">
        <f ca="1">IF(OR(E248="",E248="!!!",F248="NEW"),"",COUNTBLANK(OFFSET(A$1,,,SUMPRODUCT(MAX(ROW(E$2:E248)*(E248=E$2:E248)))))-COUNTBLANK(OFFSET(A$1,,,SUMPRODUCT(MAX(ROW(E$1:E247)*(E2=E$1:E247))))))</f>
        <v/>
      </c>
      <c r="K248" s="25" t="str">
        <f>IF(OR(E248="",E248="!!!",F248="NEW"),"",INDEX(J$1:J247,SUMPRODUCT(MAX(ROW(E$1:E247)*(E248=E$1:E247)))))</f>
        <v/>
      </c>
      <c r="L248" s="26"/>
    </row>
    <row r="249" spans="1:12" x14ac:dyDescent="0.3">
      <c r="A249" t="s">
        <v>218</v>
      </c>
      <c r="E249" s="21" t="str">
        <f t="shared" si="23"/>
        <v/>
      </c>
      <c r="F249" s="22" t="str">
        <f>IF(OR(E249="",E249="!!!"),"",IF(NOT(ISNA(VLOOKUP(E249,E$1:E248,1,FALSE()))),"OLD",IF(AND(E249&lt;&gt;"",E249&lt;&gt;"!!!"),"NEW","")))</f>
        <v/>
      </c>
      <c r="G249" s="23" t="str">
        <f>IF(OR(E249="",E249="!!!"),"",IF(OR(J249=0,AND(J249=1,K249=1),AND(J249=1,I249="SBJ"),AND(J249=1,I249=0)),"?IN_FOCUS",IF(J249&lt;=2,"?ACTIVATED",IF(J249&lt;&gt;"","?FAMILIAR",IF(F249="NEW",IF(ISNA(VLOOKUP(E249,#REF!,1,FALSE())),"?TYPE_IDENTIFIABLE","?REFERENTIAL"),"_")))))</f>
        <v/>
      </c>
      <c r="H249" s="24" t="str">
        <f t="shared" ca="1" si="22"/>
        <v/>
      </c>
      <c r="I249" s="25" t="str">
        <f>IF(OR(E249="",E249="!!!",F249="NEW"),"",INDEX(B$2:B248,-1+SUMPRODUCT(MAX(ROW(E$2:E248)*(E249=E$2:E248)))))</f>
        <v/>
      </c>
      <c r="J249" s="25" t="str">
        <f ca="1">IF(OR(E249="",E249="!!!",F249="NEW"),"",COUNTBLANK(OFFSET(A$1,,,SUMPRODUCT(MAX(ROW(E$2:E249)*(E249=E$2:E249)))))-COUNTBLANK(OFFSET(A$1,,,SUMPRODUCT(MAX(ROW(E$1:E248)*(E2=E$1:E248))))))</f>
        <v/>
      </c>
      <c r="K249" s="25" t="str">
        <f>IF(OR(E249="",E249="!!!",F249="NEW"),"",INDEX(J$1:J248,SUMPRODUCT(MAX(ROW(E$1:E248)*(E249=E$1:E248)))))</f>
        <v/>
      </c>
      <c r="L249" s="26"/>
    </row>
    <row r="250" spans="1:12" x14ac:dyDescent="0.3">
      <c r="A250" t="s">
        <v>167</v>
      </c>
      <c r="E250" s="21" t="str">
        <f t="shared" si="23"/>
        <v/>
      </c>
      <c r="F250" s="22" t="str">
        <f>IF(OR(E250="",E250="!!!"),"",IF(NOT(ISNA(VLOOKUP(E250,E$1:E249,1,FALSE()))),"OLD",IF(AND(E250&lt;&gt;"",E250&lt;&gt;"!!!"),"NEW","")))</f>
        <v/>
      </c>
      <c r="G250" s="23" t="str">
        <f>IF(OR(E250="",E250="!!!"),"",IF(OR(J250=0,AND(J250=1,K250=1),AND(J250=1,I250="SBJ"),AND(J250=1,I250=0)),"?IN_FOCUS",IF(J250&lt;=2,"?ACTIVATED",IF(J250&lt;&gt;"","?FAMILIAR",IF(F250="NEW",IF(ISNA(VLOOKUP(E250,#REF!,1,FALSE())),"?TYPE_IDENTIFIABLE","?REFERENTIAL"),"_")))))</f>
        <v/>
      </c>
      <c r="H250" s="24" t="str">
        <f t="shared" ca="1" si="22"/>
        <v/>
      </c>
      <c r="I250" s="25" t="str">
        <f>IF(OR(E250="",E250="!!!",F250="NEW"),"",INDEX(B$2:B249,-1+SUMPRODUCT(MAX(ROW(E$2:E249)*(E250=E$2:E249)))))</f>
        <v/>
      </c>
      <c r="J250" s="25" t="str">
        <f ca="1">IF(OR(E250="",E250="!!!",F250="NEW"),"",COUNTBLANK(OFFSET(A$1,,,SUMPRODUCT(MAX(ROW(E$2:E250)*(E250=E$2:E250)))))-COUNTBLANK(OFFSET(A$1,,,SUMPRODUCT(MAX(ROW(E$1:E249)*(E2=E$1:E249))))))</f>
        <v/>
      </c>
      <c r="K250" s="25" t="str">
        <f>IF(OR(E250="",E250="!!!",F250="NEW"),"",INDEX(J$1:J249,SUMPRODUCT(MAX(ROW(E$1:E249)*(E250=E$1:E249)))))</f>
        <v/>
      </c>
      <c r="L250" s="26"/>
    </row>
    <row r="252" spans="1:12" x14ac:dyDescent="0.3">
      <c r="A252" t="s">
        <v>310</v>
      </c>
    </row>
    <row r="253" spans="1:12" x14ac:dyDescent="0.3">
      <c r="A253" t="s">
        <v>311</v>
      </c>
      <c r="E253" s="21" t="str">
        <f>IF(D253="?OLD","!!!","")</f>
        <v/>
      </c>
      <c r="F253" s="22" t="str">
        <f>IF(OR(E253="",E253="!!!"),"",IF(NOT(ISNA(VLOOKUP(E253,E$1:E252,1,FALSE()))),"OLD",IF(AND(E253&lt;&gt;"",E253&lt;&gt;"!!!"),"NEW","")))</f>
        <v/>
      </c>
      <c r="G253" s="23" t="str">
        <f>IF(OR(E253="",E253="!!!"),"",IF(OR(J253=0,AND(J253=1,K253=1),AND(J253=1,I253="SBJ"),AND(J253=1,I253=0)),"?IN_FOCUS",IF(J253&lt;=2,"?ACTIVATED",IF(J253&lt;&gt;"","?FAMILIAR",IF(F253="NEW",IF(ISNA(VLOOKUP(E253,#REF!,1,FALSE())),"?TYPE_IDENTIFIABLE","?REFERENTIAL"),"_")))))</f>
        <v/>
      </c>
      <c r="H253" s="24" t="str">
        <f ca="1">IF(J253&lt;&gt;1,"",IF(I253="SBJ","CB","?"))</f>
        <v/>
      </c>
      <c r="I253" s="25" t="str">
        <f>IF(OR(E253="",E253="!!!",F253="NEW"),"",INDEX(B$2:B252,-1+SUMPRODUCT(MAX(ROW(E$2:E252)*(E253=E$2:E252)))))</f>
        <v/>
      </c>
      <c r="J253" s="25" t="str">
        <f ca="1">IF(OR(E253="",E253="!!!",F253="NEW"),"",COUNTBLANK(OFFSET(A$1,,,SUMPRODUCT(MAX(ROW(E$2:E253)*(E253=E$2:E253)))))-COUNTBLANK(OFFSET(A$1,,,SUMPRODUCT(MAX(ROW(E$1:E252)*(E2=E$1:E252))))))</f>
        <v/>
      </c>
      <c r="K253" s="25" t="str">
        <f>IF(OR(E253="",E253="!!!",F253="NEW"),"",INDEX(J$1:J252,SUMPRODUCT(MAX(ROW(E$1:E252)*(E253=E$1:E252)))))</f>
        <v/>
      </c>
      <c r="L253" s="26"/>
    </row>
    <row r="254" spans="1:12" x14ac:dyDescent="0.3">
      <c r="A254" t="s">
        <v>208</v>
      </c>
      <c r="E254" s="21" t="str">
        <f>IF(D254="?OLD","!!!","")</f>
        <v/>
      </c>
      <c r="F254" s="22" t="str">
        <f>IF(OR(E254="",E254="!!!"),"",IF(NOT(ISNA(VLOOKUP(E254,E$1:E253,1,FALSE()))),"OLD",IF(AND(E254&lt;&gt;"",E254&lt;&gt;"!!!"),"NEW","")))</f>
        <v/>
      </c>
      <c r="G254" s="23" t="str">
        <f>IF(OR(E254="",E254="!!!"),"",IF(OR(J254=0,AND(J254=1,K254=1),AND(J254=1,I254="SBJ"),AND(J254=1,I254=0)),"?IN_FOCUS",IF(J254&lt;=2,"?ACTIVATED",IF(J254&lt;&gt;"","?FAMILIAR",IF(F254="NEW",IF(ISNA(VLOOKUP(E254,#REF!,1,FALSE())),"?TYPE_IDENTIFIABLE","?REFERENTIAL"),"_")))))</f>
        <v/>
      </c>
      <c r="H254" s="24" t="str">
        <f ca="1">IF(J254&lt;&gt;1,"",IF(I254="SBJ","CB","?"))</f>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312</v>
      </c>
      <c r="E255" s="21" t="str">
        <f>IF(D255="?OLD","!!!","")</f>
        <v/>
      </c>
      <c r="F255" s="22" t="str">
        <f>IF(OR(E255="",E255="!!!"),"",IF(NOT(ISNA(VLOOKUP(E255,E$1:E254,1,FALSE()))),"OLD",IF(AND(E255&lt;&gt;"",E255&lt;&gt;"!!!"),"NEW","")))</f>
        <v/>
      </c>
      <c r="G255" s="23" t="str">
        <f>IF(OR(E255="",E255="!!!"),"",IF(OR(J255=0,AND(J255=1,K255=1),AND(J255=1,I255="SBJ"),AND(J255=1,I255=0)),"?IN_FOCUS",IF(J255&lt;=2,"?ACTIVATED",IF(J255&lt;&gt;"","?FAMILIAR",IF(F255="NEW",IF(ISNA(VLOOKUP(E255,#REF!,1,FALSE())),"?TYPE_IDENTIFIABLE","?REFERENTIAL"),"_")))))</f>
        <v/>
      </c>
      <c r="H255" s="24" t="str">
        <f ca="1">IF(J255&lt;&gt;1,"",IF(I255="SBJ","CB","?"))</f>
        <v/>
      </c>
      <c r="I255" s="25" t="str">
        <f>IF(OR(E255="",E255="!!!",F255="NEW"),"",INDEX(B$2:B254,-1+SUMPRODUCT(MAX(ROW(E$2:E254)*(E255=E$2:E254)))))</f>
        <v/>
      </c>
      <c r="J255" s="25" t="str">
        <f ca="1">IF(OR(E255="",E255="!!!",F255="NEW"),"",COUNTBLANK(OFFSET(A$1,,,SUMPRODUCT(MAX(ROW(E$2:E255)*(E255=E$2:E255)))))-COUNTBLANK(OFFSET(A$1,,,SUMPRODUCT(MAX(ROW(E$1:E254)*(E2=E$1:E254))))))</f>
        <v/>
      </c>
      <c r="K255" s="25" t="str">
        <f>IF(OR(E255="",E255="!!!",F255="NEW"),"",INDEX(J$1:J254,SUMPRODUCT(MAX(ROW(E$1:E254)*(E255=E$1:E254)))))</f>
        <v/>
      </c>
      <c r="L255" s="26"/>
    </row>
    <row r="256" spans="1:12" x14ac:dyDescent="0.3">
      <c r="A256" t="s">
        <v>313</v>
      </c>
      <c r="B256" s="20" t="s">
        <v>157</v>
      </c>
      <c r="C256" s="20" t="s">
        <v>158</v>
      </c>
      <c r="D256" s="20" t="s">
        <v>146</v>
      </c>
      <c r="E256" s="21" t="s">
        <v>536</v>
      </c>
      <c r="F256" s="22" t="str">
        <f>IF(OR(E256="",E256="!!!"),"",IF(NOT(ISNA(VLOOKUP(E256,E$1:E255,1,FALSE()))),"OLD",IF(AND(E256&lt;&gt;"",E256&lt;&gt;"!!!"),"NEW","")))</f>
        <v>NEW</v>
      </c>
      <c r="G256" s="23" t="s">
        <v>483</v>
      </c>
      <c r="H256" s="24" t="str">
        <f ca="1">IF(J256&lt;&gt;1,"",IF(I256="SBJ","CB","?"))</f>
        <v/>
      </c>
      <c r="I256" s="25" t="str">
        <f>IF(OR(E256="",E256="!!!",F256="NEW"),"",INDEX(B$2:B255,-1+SUMPRODUCT(MAX(ROW(E$2:E255)*(E256=E$2:E255)))))</f>
        <v/>
      </c>
      <c r="J256" s="25" t="str">
        <f ca="1">IF(OR(E256="",E256="!!!",F256="NEW"),"",COUNTBLANK(OFFSET(A$1,,,SUMPRODUCT(MAX(ROW(E$2:E256)*(E256=E$2:E256)))))-COUNTBLANK(OFFSET(A$1,,,SUMPRODUCT(MAX(ROW(E$1:E255)*(E2=E$1:E255))))))</f>
        <v/>
      </c>
      <c r="K256" s="25" t="str">
        <f>IF(OR(E256="",E256="!!!",F256="NEW"),"",INDEX(J$1:J255,SUMPRODUCT(MAX(ROW(E$1:E255)*(E256=E$1:E255)))))</f>
        <v/>
      </c>
      <c r="L256" s="26"/>
    </row>
    <row r="257" spans="1:12" x14ac:dyDescent="0.3">
      <c r="A257" t="s">
        <v>314</v>
      </c>
      <c r="E257" s="21" t="str">
        <f>IF(D257="?OLD","!!!","")</f>
        <v/>
      </c>
      <c r="F257" s="22" t="str">
        <f>IF(OR(E257="",E257="!!!"),"",IF(NOT(ISNA(VLOOKUP(E257,E$1:E256,1,FALSE()))),"OLD",IF(AND(E257&lt;&gt;"",E257&lt;&gt;"!!!"),"NEW","")))</f>
        <v/>
      </c>
      <c r="G257" s="23" t="str">
        <f>IF(OR(E257="",E257="!!!"),"",IF(OR(J257=0,AND(J257=1,K257=1),AND(J257=1,I257="SBJ"),AND(J257=1,I257=0)),"?IN_FOCUS",IF(J257&lt;=2,"?ACTIVATED",IF(J257&lt;&gt;"","?FAMILIAR",IF(F257="NEW",IF(ISNA(VLOOKUP(E257,#REF!,1,FALSE())),"?TYPE_IDENTIFIABLE","?REFERENTIAL"),"_")))))</f>
        <v/>
      </c>
      <c r="H257" s="24" t="str">
        <f ca="1">IF(J257&lt;&gt;1,"",IF(I257="SBJ","CB","?"))</f>
        <v/>
      </c>
      <c r="I257" s="25" t="str">
        <f>IF(OR(E257="",E257="!!!",F257="NEW"),"",INDEX(B$2:B256,-1+SUMPRODUCT(MAX(ROW(E$2:E256)*(E257=E$2:E256)))))</f>
        <v/>
      </c>
      <c r="J257" s="25" t="str">
        <f ca="1">IF(OR(E257="",E257="!!!",F257="NEW"),"",COUNTBLANK(OFFSET(A$1,,,SUMPRODUCT(MAX(ROW(E$2:E257)*(E257=E$2:E257)))))-COUNTBLANK(OFFSET(A$1,,,SUMPRODUCT(MAX(ROW(E$1:E256)*(E2=E$1:E256))))))</f>
        <v/>
      </c>
      <c r="K257" s="25" t="str">
        <f>IF(OR(E257="",E257="!!!",F257="NEW"),"",INDEX(J$1:J256,SUMPRODUCT(MAX(ROW(E$1:E256)*(E257=E$1:E256)))))</f>
        <v/>
      </c>
      <c r="L257" s="26"/>
    </row>
    <row r="259" spans="1:12" x14ac:dyDescent="0.3">
      <c r="A259" t="s">
        <v>315</v>
      </c>
    </row>
    <row r="260" spans="1:12" x14ac:dyDescent="0.3">
      <c r="A260" t="s">
        <v>316</v>
      </c>
      <c r="B260" s="20" t="s">
        <v>144</v>
      </c>
      <c r="C260" s="20" t="s">
        <v>317</v>
      </c>
      <c r="D260" s="20" t="s">
        <v>146</v>
      </c>
      <c r="E260" s="21"/>
      <c r="F260" s="22" t="str">
        <f>IF(OR(E260="",E260="!!!"),"",IF(NOT(ISNA(VLOOKUP(E260,E$1:E259,1,FALSE()))),"OLD",IF(AND(E260&lt;&gt;"",E260&lt;&gt;"!!!"),"NEW","")))</f>
        <v/>
      </c>
      <c r="G260" s="23" t="str">
        <f>IF(OR(E260="",E260="!!!"),"",IF(OR(J260=0,AND(J260=1,K260=1),AND(J260=1,I260="SBJ"),AND(J260=1,I260=0)),"?IN_FOCUS",IF(J260&lt;=2,"?ACTIVATED",IF(J260&lt;&gt;"","?FAMILIAR",IF(F260="NEW",IF(ISNA(VLOOKUP(E260,#REF!,1,FALSE())),"?TYPE_IDENTIFIABLE","?REFERENTIAL"),"_")))))</f>
        <v/>
      </c>
      <c r="H260" s="24" t="str">
        <f t="shared" ref="H260:H266" ca="1" si="24">IF(J260&lt;&gt;1,"",IF(I260="SBJ","CB","?"))</f>
        <v/>
      </c>
      <c r="I260" s="25" t="str">
        <f>IF(OR(E260="",E260="!!!",F260="NEW"),"",INDEX(B$2:B259,-1+SUMPRODUCT(MAX(ROW(E$2:E259)*(E260=E$2:E259)))))</f>
        <v/>
      </c>
      <c r="J260" s="25" t="str">
        <f ca="1">IF(OR(E260="",E260="!!!",F260="NEW"),"",COUNTBLANK(OFFSET(A$1,,,SUMPRODUCT(MAX(ROW(E$2:E260)*(E260=E$2:E260)))))-COUNTBLANK(OFFSET(A$1,,,SUMPRODUCT(MAX(ROW(E$1:E259)*(E2=E$1:E259))))))</f>
        <v/>
      </c>
      <c r="K260" s="25" t="str">
        <f>IF(OR(E260="",E260="!!!",F260="NEW"),"",INDEX(J$1:J259,SUMPRODUCT(MAX(ROW(E$1:E259)*(E260=E$1:E259)))))</f>
        <v/>
      </c>
      <c r="L260" s="26" t="s">
        <v>510</v>
      </c>
    </row>
    <row r="261" spans="1:12" x14ac:dyDescent="0.3">
      <c r="A261" t="s">
        <v>318</v>
      </c>
      <c r="B261" s="20" t="s">
        <v>157</v>
      </c>
      <c r="C261" s="20" t="s">
        <v>319</v>
      </c>
      <c r="D261" s="20" t="s">
        <v>146</v>
      </c>
      <c r="E261" s="21"/>
      <c r="F261" s="22" t="s">
        <v>513</v>
      </c>
      <c r="G261" s="23"/>
      <c r="H261" s="24" t="str">
        <f t="shared" ca="1" si="24"/>
        <v/>
      </c>
      <c r="I261" s="25" t="str">
        <f>IF(OR(E261="",E261="!!!",F261="NEW"),"",INDEX(B$2:B260,-1+SUMPRODUCT(MAX(ROW(E$2:E260)*(E261=E$2:E260)))))</f>
        <v/>
      </c>
      <c r="J261" s="25" t="str">
        <f ca="1">IF(OR(E261="",E261="!!!",F261="NEW"),"",COUNTBLANK(OFFSET(A$1,,,SUMPRODUCT(MAX(ROW(E$2:E261)*(E261=E$2:E261)))))-COUNTBLANK(OFFSET(A$1,,,SUMPRODUCT(MAX(ROW(E$1:E260)*(E2=E$1:E260))))))</f>
        <v/>
      </c>
      <c r="K261" s="25" t="str">
        <f>IF(OR(E261="",E261="!!!",F261="NEW"),"",INDEX(J$1:J260,SUMPRODUCT(MAX(ROW(E$1:E260)*(E261=E$1:E260)))))</f>
        <v/>
      </c>
      <c r="L261" s="26" t="s">
        <v>537</v>
      </c>
    </row>
    <row r="262" spans="1:12" x14ac:dyDescent="0.3">
      <c r="A262" t="s">
        <v>160</v>
      </c>
      <c r="E262" s="21" t="str">
        <f t="shared" ref="E260:E266" si="25">IF(D262="?OLD","!!!","")</f>
        <v/>
      </c>
      <c r="F262" s="22" t="str">
        <f>IF(OR(E262="",E262="!!!"),"",IF(NOT(ISNA(VLOOKUP(E262,E$1:E261,1,FALSE()))),"OLD",IF(AND(E262&lt;&gt;"",E262&lt;&gt;"!!!"),"NEW","")))</f>
        <v/>
      </c>
      <c r="G262" s="23" t="str">
        <f>IF(OR(E262="",E262="!!!"),"",IF(OR(J262=0,AND(J262=1,K262=1),AND(J262=1,I262="SBJ"),AND(J262=1,I262=0)),"?IN_FOCUS",IF(J262&lt;=2,"?ACTIVATED",IF(J262&lt;&gt;"","?FAMILIAR",IF(F262="NEW",IF(ISNA(VLOOKUP(E262,#REF!,1,FALSE())),"?TYPE_IDENTIFIABLE","?REFERENTIAL"),"_")))))</f>
        <v/>
      </c>
      <c r="H262" s="24" t="str">
        <f t="shared" ca="1" si="24"/>
        <v/>
      </c>
      <c r="I262" s="25" t="str">
        <f>IF(OR(E262="",E262="!!!",F262="NEW"),"",INDEX(B$2:B261,-1+SUMPRODUCT(MAX(ROW(E$2:E261)*(E262=E$2:E261)))))</f>
        <v/>
      </c>
      <c r="J262" s="25" t="str">
        <f ca="1">IF(OR(E262="",E262="!!!",F262="NEW"),"",COUNTBLANK(OFFSET(A$1,,,SUMPRODUCT(MAX(ROW(E$2:E262)*(E262=E$2:E262)))))-COUNTBLANK(OFFSET(A$1,,,SUMPRODUCT(MAX(ROW(E$1:E261)*(E2=E$1:E261))))))</f>
        <v/>
      </c>
      <c r="K262" s="25" t="str">
        <f>IF(OR(E262="",E262="!!!",F262="NEW"),"",INDEX(J$1:J261,SUMPRODUCT(MAX(ROW(E$1:E261)*(E262=E$1:E261)))))</f>
        <v/>
      </c>
      <c r="L262" s="26"/>
    </row>
    <row r="263" spans="1:12" x14ac:dyDescent="0.3">
      <c r="A263" t="s">
        <v>320</v>
      </c>
      <c r="B263" s="20" t="s">
        <v>144</v>
      </c>
      <c r="C263" s="20" t="s">
        <v>276</v>
      </c>
      <c r="D263" s="20" t="s">
        <v>146</v>
      </c>
      <c r="E263" s="21" t="s">
        <v>507</v>
      </c>
      <c r="F263" s="22" t="str">
        <f>IF(OR(E263="",E263="!!!"),"",IF(NOT(ISNA(VLOOKUP(E263,E$1:E262,1,FALSE()))),"OLD",IF(AND(E263&lt;&gt;"",E263&lt;&gt;"!!!"),"NEW","")))</f>
        <v>NEW</v>
      </c>
      <c r="G263" s="23" t="s">
        <v>482</v>
      </c>
      <c r="H263" s="24" t="str">
        <f t="shared" ca="1" si="24"/>
        <v/>
      </c>
      <c r="I263" s="25" t="str">
        <f>IF(OR(E263="",E263="!!!",F263="NEW"),"",INDEX(B$2:B262,-1+SUMPRODUCT(MAX(ROW(E$2:E262)*(E263=E$2:E262)))))</f>
        <v/>
      </c>
      <c r="J263" s="25" t="str">
        <f ca="1">IF(OR(E263="",E263="!!!",F263="NEW"),"",COUNTBLANK(OFFSET(A$1,,,SUMPRODUCT(MAX(ROW(E$2:E263)*(E263=E$2:E263)))))-COUNTBLANK(OFFSET(A$1,,,SUMPRODUCT(MAX(ROW(E$1:E262)*(E2=E$1:E262))))))</f>
        <v/>
      </c>
      <c r="K263" s="25" t="str">
        <f>IF(OR(E263="",E263="!!!",F263="NEW"),"",INDEX(J$1:J262,SUMPRODUCT(MAX(ROW(E$1:E262)*(E263=E$1:E262)))))</f>
        <v/>
      </c>
      <c r="L263" s="26"/>
    </row>
    <row r="264" spans="1:12" x14ac:dyDescent="0.3">
      <c r="A264" t="s">
        <v>321</v>
      </c>
      <c r="B264" s="20" t="s">
        <v>244</v>
      </c>
      <c r="C264" s="20" t="s">
        <v>150</v>
      </c>
      <c r="E264" s="21" t="str">
        <f t="shared" si="25"/>
        <v/>
      </c>
      <c r="F264" s="22" t="str">
        <f>IF(OR(E264="",E264="!!!"),"",IF(NOT(ISNA(VLOOKUP(E264,E$1:E263,1,FALSE()))),"OLD",IF(AND(E264&lt;&gt;"",E264&lt;&gt;"!!!"),"NEW","")))</f>
        <v/>
      </c>
      <c r="G264" s="23" t="str">
        <f>IF(OR(E264="",E264="!!!"),"",IF(OR(J264=0,AND(J264=1,K264=1),AND(J264=1,I264="SBJ"),AND(J264=1,I264=0)),"?IN_FOCUS",IF(J264&lt;=2,"?ACTIVATED",IF(J264&lt;&gt;"","?FAMILIAR",IF(F264="NEW",IF(ISNA(VLOOKUP(E264,#REF!,1,FALSE())),"?TYPE_IDENTIFIABLE","?REFERENTIAL"),"_")))))</f>
        <v/>
      </c>
      <c r="H264" s="24" t="str">
        <f t="shared" ca="1" si="24"/>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322</v>
      </c>
      <c r="E265" s="21" t="str">
        <f t="shared" si="25"/>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24"/>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6" spans="1:12" x14ac:dyDescent="0.3">
      <c r="A266" t="s">
        <v>167</v>
      </c>
      <c r="E266" s="21" t="str">
        <f t="shared" si="25"/>
        <v/>
      </c>
      <c r="F266" s="22" t="str">
        <f>IF(OR(E266="",E266="!!!"),"",IF(NOT(ISNA(VLOOKUP(E266,E$1:E265,1,FALSE()))),"OLD",IF(AND(E266&lt;&gt;"",E266&lt;&gt;"!!!"),"NEW","")))</f>
        <v/>
      </c>
      <c r="G266" s="23" t="str">
        <f>IF(OR(E266="",E266="!!!"),"",IF(OR(J266=0,AND(J266=1,K266=1),AND(J266=1,I266="SBJ"),AND(J266=1,I266=0)),"?IN_FOCUS",IF(J266&lt;=2,"?ACTIVATED",IF(J266&lt;&gt;"","?FAMILIAR",IF(F266="NEW",IF(ISNA(VLOOKUP(E266,#REF!,1,FALSE())),"?TYPE_IDENTIFIABLE","?REFERENTIAL"),"_")))))</f>
        <v/>
      </c>
      <c r="H266" s="24" t="str">
        <f t="shared" ca="1" si="24"/>
        <v/>
      </c>
      <c r="I266" s="25" t="str">
        <f>IF(OR(E266="",E266="!!!",F266="NEW"),"",INDEX(B$2:B265,-1+SUMPRODUCT(MAX(ROW(E$2:E265)*(E266=E$2:E265)))))</f>
        <v/>
      </c>
      <c r="J266" s="25" t="str">
        <f ca="1">IF(OR(E266="",E266="!!!",F266="NEW"),"",COUNTBLANK(OFFSET(A$1,,,SUMPRODUCT(MAX(ROW(E$2:E266)*(E266=E$2:E266)))))-COUNTBLANK(OFFSET(A$1,,,SUMPRODUCT(MAX(ROW(E$1:E265)*(E2=E$1:E265))))))</f>
        <v/>
      </c>
      <c r="K266" s="25" t="str">
        <f>IF(OR(E266="",E266="!!!",F266="NEW"),"",INDEX(J$1:J265,SUMPRODUCT(MAX(ROW(E$1:E265)*(E266=E$1:E265)))))</f>
        <v/>
      </c>
      <c r="L266" s="26"/>
    </row>
    <row r="268" spans="1:12" x14ac:dyDescent="0.3">
      <c r="A268" t="s">
        <v>323</v>
      </c>
    </row>
    <row r="269" spans="1:12" x14ac:dyDescent="0.3">
      <c r="A269" t="s">
        <v>151</v>
      </c>
      <c r="B269" s="20" t="s">
        <v>157</v>
      </c>
      <c r="C269" s="20" t="s">
        <v>145</v>
      </c>
      <c r="D269" s="20" t="s">
        <v>146</v>
      </c>
      <c r="E269" s="21" t="s">
        <v>481</v>
      </c>
      <c r="F269" s="22" t="str">
        <f>IF(OR(E269="",E269="!!!"),"",IF(NOT(ISNA(VLOOKUP(E269,E$1:E268,1,FALSE()))),"OLD",IF(AND(E269&lt;&gt;"",E269&lt;&gt;"!!!"),"NEW","")))</f>
        <v>OLD</v>
      </c>
      <c r="G269" s="23" t="s">
        <v>528</v>
      </c>
      <c r="H269" s="24" t="str">
        <f t="shared" ref="H269:H291" ca="1" si="26">IF(J269&lt;&gt;1,"",IF(I269="SBJ","CB","?"))</f>
        <v/>
      </c>
      <c r="I269" s="25">
        <f>IF(OR(E269="",E269="!!!",F269="NEW"),"",INDEX(B$2:B268,-1+SUMPRODUCT(MAX(ROW(E$2:E268)*(E269=E$2:E268)))))</f>
        <v>0</v>
      </c>
      <c r="J269" s="25">
        <f ca="1">IF(OR(E269="",E269="!!!",F269="NEW"),"",COUNTBLANK(OFFSET(A$1,,,SUMPRODUCT(MAX(ROW(E$2:E269)*(E269=E$2:E269)))))-COUNTBLANK(OFFSET(A$1,,,SUMPRODUCT(MAX(ROW(E$1:E268)*(E2=E$1:E268))))))</f>
        <v>0</v>
      </c>
      <c r="K269" s="25">
        <f ca="1">IF(OR(E269="",E269="!!!",F269="NEW"),"",INDEX(J$1:J268,SUMPRODUCT(MAX(ROW(E$1:E268)*(E269=E$1:E268)))))</f>
        <v>0</v>
      </c>
      <c r="L269" s="26" t="s">
        <v>538</v>
      </c>
    </row>
    <row r="270" spans="1:12" x14ac:dyDescent="0.3">
      <c r="A270" t="s">
        <v>152</v>
      </c>
      <c r="E270" s="21" t="str">
        <f t="shared" ref="E269:E291" si="27">IF(D270="?OLD","!!!","")</f>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ca="1" si="26"/>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1" spans="1:12" x14ac:dyDescent="0.3">
      <c r="A271" t="s">
        <v>169</v>
      </c>
      <c r="E271" s="21" t="str">
        <f t="shared" si="27"/>
        <v/>
      </c>
      <c r="F271" s="22" t="str">
        <f>IF(OR(E271="",E271="!!!"),"",IF(NOT(ISNA(VLOOKUP(E271,E$1:E270,1,FALSE()))),"OLD",IF(AND(E271&lt;&gt;"",E271&lt;&gt;"!!!"),"NEW","")))</f>
        <v/>
      </c>
      <c r="G271" s="23" t="str">
        <f>IF(OR(E271="",E271="!!!"),"",IF(OR(J271=0,AND(J271=1,K271=1),AND(J271=1,I271="SBJ"),AND(J271=1,I271=0)),"?IN_FOCUS",IF(J271&lt;=2,"?ACTIVATED",IF(J271&lt;&gt;"","?FAMILIAR",IF(F271="NEW",IF(ISNA(VLOOKUP(E271,#REF!,1,FALSE())),"?TYPE_IDENTIFIABLE","?REFERENTIAL"),"_")))))</f>
        <v/>
      </c>
      <c r="H271" s="24" t="str">
        <f t="shared" ca="1" si="26"/>
        <v/>
      </c>
      <c r="I271" s="25" t="str">
        <f>IF(OR(E271="",E271="!!!",F271="NEW"),"",INDEX(B$2:B270,-1+SUMPRODUCT(MAX(ROW(E$2:E270)*(E271=E$2:E270)))))</f>
        <v/>
      </c>
      <c r="J271" s="25" t="str">
        <f ca="1">IF(OR(E271="",E271="!!!",F271="NEW"),"",COUNTBLANK(OFFSET(A$1,,,SUMPRODUCT(MAX(ROW(E$2:E271)*(E271=E$2:E271)))))-COUNTBLANK(OFFSET(A$1,,,SUMPRODUCT(MAX(ROW(E$1:E270)*(E2=E$1:E270))))))</f>
        <v/>
      </c>
      <c r="K271" s="25" t="str">
        <f>IF(OR(E271="",E271="!!!",F271="NEW"),"",INDEX(J$1:J270,SUMPRODUCT(MAX(ROW(E$1:E270)*(E271=E$1:E270)))))</f>
        <v/>
      </c>
      <c r="L271" s="26"/>
    </row>
    <row r="272" spans="1:12" x14ac:dyDescent="0.3">
      <c r="A272" t="s">
        <v>324</v>
      </c>
      <c r="E272" s="21" t="str">
        <f t="shared" si="27"/>
        <v/>
      </c>
      <c r="F272" s="22" t="str">
        <f>IF(OR(E272="",E272="!!!"),"",IF(NOT(ISNA(VLOOKUP(E272,E$1:E271,1,FALSE()))),"OLD",IF(AND(E272&lt;&gt;"",E272&lt;&gt;"!!!"),"NEW","")))</f>
        <v/>
      </c>
      <c r="G272" s="23" t="str">
        <f>IF(OR(E272="",E272="!!!"),"",IF(OR(J272=0,AND(J272=1,K272=1),AND(J272=1,I272="SBJ"),AND(J272=1,I272=0)),"?IN_FOCUS",IF(J272&lt;=2,"?ACTIVATED",IF(J272&lt;&gt;"","?FAMILIAR",IF(F272="NEW",IF(ISNA(VLOOKUP(E272,#REF!,1,FALSE())),"?TYPE_IDENTIFIABLE","?REFERENTIAL"),"_")))))</f>
        <v/>
      </c>
      <c r="H272" s="24" t="str">
        <f t="shared" ca="1" si="26"/>
        <v/>
      </c>
      <c r="I272" s="25" t="str">
        <f>IF(OR(E272="",E272="!!!",F272="NEW"),"",INDEX(B$2:B271,-1+SUMPRODUCT(MAX(ROW(E$2:E271)*(E272=E$2:E271)))))</f>
        <v/>
      </c>
      <c r="J272" s="25" t="str">
        <f ca="1">IF(OR(E272="",E272="!!!",F272="NEW"),"",COUNTBLANK(OFFSET(A$1,,,SUMPRODUCT(MAX(ROW(E$2:E272)*(E272=E$2:E272)))))-COUNTBLANK(OFFSET(A$1,,,SUMPRODUCT(MAX(ROW(E$1:E271)*(E2=E$1:E271))))))</f>
        <v/>
      </c>
      <c r="K272" s="25" t="str">
        <f>IF(OR(E272="",E272="!!!",F272="NEW"),"",INDEX(J$1:J271,SUMPRODUCT(MAX(ROW(E$1:E271)*(E272=E$1:E271)))))</f>
        <v/>
      </c>
      <c r="L272" s="26"/>
    </row>
    <row r="273" spans="1:12" x14ac:dyDescent="0.3">
      <c r="A273" t="s">
        <v>325</v>
      </c>
      <c r="B273" s="20" t="s">
        <v>149</v>
      </c>
      <c r="C273" s="20" t="s">
        <v>150</v>
      </c>
      <c r="E273" s="21" t="str">
        <f t="shared" si="27"/>
        <v/>
      </c>
      <c r="F273" s="22" t="str">
        <f>IF(OR(E273="",E273="!!!"),"",IF(NOT(ISNA(VLOOKUP(E273,E$1:E272,1,FALSE()))),"OLD",IF(AND(E273&lt;&gt;"",E273&lt;&gt;"!!!"),"NEW","")))</f>
        <v/>
      </c>
      <c r="G273" s="23" t="str">
        <f>IF(OR(E273="",E273="!!!"),"",IF(OR(J273=0,AND(J273=1,K273=1),AND(J273=1,I273="SBJ"),AND(J273=1,I273=0)),"?IN_FOCUS",IF(J273&lt;=2,"?ACTIVATED",IF(J273&lt;&gt;"","?FAMILIAR",IF(F273="NEW",IF(ISNA(VLOOKUP(E273,#REF!,1,FALSE())),"?TYPE_IDENTIFIABLE","?REFERENTIAL"),"_")))))</f>
        <v/>
      </c>
      <c r="H273" s="24" t="str">
        <f t="shared" ca="1" si="26"/>
        <v/>
      </c>
      <c r="I273" s="25" t="str">
        <f>IF(OR(E273="",E273="!!!",F273="NEW"),"",INDEX(B$2:B272,-1+SUMPRODUCT(MAX(ROW(E$2:E272)*(E273=E$2:E272)))))</f>
        <v/>
      </c>
      <c r="J273" s="25" t="str">
        <f ca="1">IF(OR(E273="",E273="!!!",F273="NEW"),"",COUNTBLANK(OFFSET(A$1,,,SUMPRODUCT(MAX(ROW(E$2:E273)*(E273=E$2:E273)))))-COUNTBLANK(OFFSET(A$1,,,SUMPRODUCT(MAX(ROW(E$1:E272)*(E2=E$1:E272))))))</f>
        <v/>
      </c>
      <c r="K273" s="25" t="str">
        <f>IF(OR(E273="",E273="!!!",F273="NEW"),"",INDEX(J$1:J272,SUMPRODUCT(MAX(ROW(E$1:E272)*(E273=E$1:E272)))))</f>
        <v/>
      </c>
      <c r="L273" s="26"/>
    </row>
    <row r="274" spans="1:12" x14ac:dyDescent="0.3">
      <c r="A274" t="s">
        <v>195</v>
      </c>
      <c r="B274" s="20" t="s">
        <v>149</v>
      </c>
      <c r="C274" s="20" t="s">
        <v>184</v>
      </c>
      <c r="E274" s="21" t="str">
        <f t="shared" si="27"/>
        <v/>
      </c>
      <c r="F274" s="22" t="str">
        <f>IF(OR(E274="",E274="!!!"),"",IF(NOT(ISNA(VLOOKUP(E274,E$1:E273,1,FALSE()))),"OLD",IF(AND(E274&lt;&gt;"",E274&lt;&gt;"!!!"),"NEW","")))</f>
        <v/>
      </c>
      <c r="G274" s="23" t="str">
        <f>IF(OR(E274="",E274="!!!"),"",IF(OR(J274=0,AND(J274=1,K274=1),AND(J274=1,I274="SBJ"),AND(J274=1,I274=0)),"?IN_FOCUS",IF(J274&lt;=2,"?ACTIVATED",IF(J274&lt;&gt;"","?FAMILIAR",IF(F274="NEW",IF(ISNA(VLOOKUP(E274,#REF!,1,FALSE())),"?TYPE_IDENTIFIABLE","?REFERENTIAL"),"_")))))</f>
        <v/>
      </c>
      <c r="H274" s="24" t="str">
        <f t="shared" ca="1" si="26"/>
        <v/>
      </c>
      <c r="I274" s="25" t="str">
        <f>IF(OR(E274="",E274="!!!",F274="NEW"),"",INDEX(B$2:B273,-1+SUMPRODUCT(MAX(ROW(E$2:E273)*(E274=E$2:E273)))))</f>
        <v/>
      </c>
      <c r="J274" s="25" t="str">
        <f ca="1">IF(OR(E274="",E274="!!!",F274="NEW"),"",COUNTBLANK(OFFSET(A$1,,,SUMPRODUCT(MAX(ROW(E$2:E274)*(E274=E$2:E274)))))-COUNTBLANK(OFFSET(A$1,,,SUMPRODUCT(MAX(ROW(E$1:E273)*(E2=E$1:E273))))))</f>
        <v/>
      </c>
      <c r="K274" s="25" t="str">
        <f>IF(OR(E274="",E274="!!!",F274="NEW"),"",INDEX(J$1:J273,SUMPRODUCT(MAX(ROW(E$1:E273)*(E274=E$1:E273)))))</f>
        <v/>
      </c>
      <c r="L274" s="26"/>
    </row>
    <row r="275" spans="1:12" x14ac:dyDescent="0.3">
      <c r="A275" t="s">
        <v>214</v>
      </c>
      <c r="E275" s="21" t="str">
        <f t="shared" si="27"/>
        <v/>
      </c>
      <c r="F275" s="22" t="str">
        <f>IF(OR(E275="",E275="!!!"),"",IF(NOT(ISNA(VLOOKUP(E275,E$1:E274,1,FALSE()))),"OLD",IF(AND(E275&lt;&gt;"",E275&lt;&gt;"!!!"),"NEW","")))</f>
        <v/>
      </c>
      <c r="G275" s="23" t="str">
        <f>IF(OR(E275="",E275="!!!"),"",IF(OR(J275=0,AND(J275=1,K275=1),AND(J275=1,I275="SBJ"),AND(J275=1,I275=0)),"?IN_FOCUS",IF(J275&lt;=2,"?ACTIVATED",IF(J275&lt;&gt;"","?FAMILIAR",IF(F275="NEW",IF(ISNA(VLOOKUP(E275,#REF!,1,FALSE())),"?TYPE_IDENTIFIABLE","?REFERENTIAL"),"_")))))</f>
        <v/>
      </c>
      <c r="H275" s="24" t="str">
        <f t="shared" ca="1" si="26"/>
        <v/>
      </c>
      <c r="I275" s="25" t="str">
        <f>IF(OR(E275="",E275="!!!",F275="NEW"),"",INDEX(B$2:B274,-1+SUMPRODUCT(MAX(ROW(E$2:E274)*(E275=E$2:E274)))))</f>
        <v/>
      </c>
      <c r="J275" s="25" t="str">
        <f ca="1">IF(OR(E275="",E275="!!!",F275="NEW"),"",COUNTBLANK(OFFSET(A$1,,,SUMPRODUCT(MAX(ROW(E$2:E275)*(E275=E$2:E275)))))-COUNTBLANK(OFFSET(A$1,,,SUMPRODUCT(MAX(ROW(E$1:E274)*(E2=E$1:E274))))))</f>
        <v/>
      </c>
      <c r="K275" s="25" t="str">
        <f>IF(OR(E275="",E275="!!!",F275="NEW"),"",INDEX(J$1:J274,SUMPRODUCT(MAX(ROW(E$1:E274)*(E275=E$1:E274)))))</f>
        <v/>
      </c>
      <c r="L275" s="26"/>
    </row>
    <row r="276" spans="1:12" x14ac:dyDescent="0.3">
      <c r="A276" t="s">
        <v>175</v>
      </c>
      <c r="E276" s="21" t="str">
        <f t="shared" si="27"/>
        <v/>
      </c>
      <c r="F276" s="22" t="str">
        <f>IF(OR(E276="",E276="!!!"),"",IF(NOT(ISNA(VLOOKUP(E276,E$1:E275,1,FALSE()))),"OLD",IF(AND(E276&lt;&gt;"",E276&lt;&gt;"!!!"),"NEW","")))</f>
        <v/>
      </c>
      <c r="G276" s="23" t="str">
        <f>IF(OR(E276="",E276="!!!"),"",IF(OR(J276=0,AND(J276=1,K276=1),AND(J276=1,I276="SBJ"),AND(J276=1,I276=0)),"?IN_FOCUS",IF(J276&lt;=2,"?ACTIVATED",IF(J276&lt;&gt;"","?FAMILIAR",IF(F276="NEW",IF(ISNA(VLOOKUP(E276,#REF!,1,FALSE())),"?TYPE_IDENTIFIABLE","?REFERENTIAL"),"_")))))</f>
        <v/>
      </c>
      <c r="H276" s="24" t="str">
        <f t="shared" ca="1" si="26"/>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326</v>
      </c>
      <c r="B277" s="20" t="s">
        <v>144</v>
      </c>
      <c r="C277" s="20" t="s">
        <v>158</v>
      </c>
      <c r="D277" s="20" t="s">
        <v>146</v>
      </c>
      <c r="E277" s="21"/>
      <c r="F277" s="22" t="s">
        <v>484</v>
      </c>
      <c r="G277" s="23" t="str">
        <f>IF(OR(E277="",E277="!!!"),"",IF(OR(J277=0,AND(J277=1,K277=1),AND(J277=1,I277="SBJ"),AND(J277=1,I277=0)),"?IN_FOCUS",IF(J277&lt;=2,"?ACTIVATED",IF(J277&lt;&gt;"","?FAMILIAR",IF(F277="NEW",IF(ISNA(VLOOKUP(E277,#REF!,1,FALSE())),"?TYPE_IDENTIFIABLE","?REFERENTIAL"),"_")))))</f>
        <v/>
      </c>
      <c r="H277" s="24" t="str">
        <f t="shared" ca="1" si="26"/>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159</v>
      </c>
      <c r="B278" s="20" t="s">
        <v>165</v>
      </c>
      <c r="C278" s="20" t="s">
        <v>145</v>
      </c>
      <c r="D278" s="20" t="s">
        <v>146</v>
      </c>
      <c r="E278" s="21" t="s">
        <v>480</v>
      </c>
      <c r="F278" s="22" t="str">
        <f>IF(OR(E278="",E278="!!!"),"",IF(NOT(ISNA(VLOOKUP(E278,E$1:E277,1,FALSE()))),"OLD",IF(AND(E278&lt;&gt;"",E278&lt;&gt;"!!!"),"NEW","")))</f>
        <v>OLD</v>
      </c>
      <c r="G278" s="23" t="s">
        <v>528</v>
      </c>
      <c r="H278" s="24" t="str">
        <f t="shared" ca="1" si="26"/>
        <v/>
      </c>
      <c r="I278" s="25" t="str">
        <f>IF(OR(E278="",E278="!!!",F278="NEW"),"",INDEX(B$2:B277,-1+SUMPRODUCT(MAX(ROW(E$2:E277)*(E278=E$2:E277)))))</f>
        <v>SBJ</v>
      </c>
      <c r="J278" s="25">
        <f ca="1">IF(OR(E278="",E278="!!!",F278="NEW"),"",COUNTBLANK(OFFSET(A$1,,,SUMPRODUCT(MAX(ROW(E$2:E278)*(E278=E$2:E278)))))-COUNTBLANK(OFFSET(A$1,,,SUMPRODUCT(MAX(ROW(E$1:E277)*(E2=E$1:E277))))))</f>
        <v>0</v>
      </c>
      <c r="K278" s="25">
        <f ca="1">IF(OR(E278="",E278="!!!",F278="NEW"),"",INDEX(J$1:J277,SUMPRODUCT(MAX(ROW(E$1:E277)*(E278=E$1:E277)))))</f>
        <v>0</v>
      </c>
      <c r="L278" s="26" t="s">
        <v>538</v>
      </c>
    </row>
    <row r="279" spans="1:12" x14ac:dyDescent="0.3">
      <c r="A279" t="s">
        <v>327</v>
      </c>
      <c r="E279" s="21" t="str">
        <f t="shared" si="27"/>
        <v/>
      </c>
      <c r="F279" s="22" t="str">
        <f>IF(OR(E279="",E279="!!!"),"",IF(NOT(ISNA(VLOOKUP(E279,E$1:E278,1,FALSE()))),"OLD",IF(AND(E279&lt;&gt;"",E279&lt;&gt;"!!!"),"NEW","")))</f>
        <v/>
      </c>
      <c r="G279" s="23" t="str">
        <f>IF(OR(E279="",E279="!!!"),"",IF(OR(J279=0,AND(J279=1,K279=1),AND(J279=1,I279="SBJ"),AND(J279=1,I279=0)),"?IN_FOCUS",IF(J279&lt;=2,"?ACTIVATED",IF(J279&lt;&gt;"","?FAMILIAR",IF(F279="NEW",IF(ISNA(VLOOKUP(E279,#REF!,1,FALSE())),"?TYPE_IDENTIFIABLE","?REFERENTIAL"),"_")))))</f>
        <v/>
      </c>
      <c r="H279" s="24" t="str">
        <f t="shared" ca="1" si="26"/>
        <v/>
      </c>
      <c r="I279" s="25" t="str">
        <f>IF(OR(E279="",E279="!!!",F279="NEW"),"",INDEX(B$2:B278,-1+SUMPRODUCT(MAX(ROW(E$2:E278)*(E279=E$2:E278)))))</f>
        <v/>
      </c>
      <c r="J279" s="25" t="str">
        <f ca="1">IF(OR(E279="",E279="!!!",F279="NEW"),"",COUNTBLANK(OFFSET(A$1,,,SUMPRODUCT(MAX(ROW(E$2:E279)*(E279=E$2:E279)))))-COUNTBLANK(OFFSET(A$1,,,SUMPRODUCT(MAX(ROW(E$1:E278)*(E2=E$1:E278))))))</f>
        <v/>
      </c>
      <c r="K279" s="25" t="str">
        <f>IF(OR(E279="",E279="!!!",F279="NEW"),"",INDEX(J$1:J278,SUMPRODUCT(MAX(ROW(E$1:E278)*(E279=E$1:E278)))))</f>
        <v/>
      </c>
      <c r="L279" s="26"/>
    </row>
    <row r="280" spans="1:12" x14ac:dyDescent="0.3">
      <c r="A280" t="s">
        <v>189</v>
      </c>
      <c r="E280" s="21" t="str">
        <f t="shared" si="27"/>
        <v/>
      </c>
      <c r="F280" s="22" t="str">
        <f>IF(OR(E280="",E280="!!!"),"",IF(NOT(ISNA(VLOOKUP(E280,E$1:E279,1,FALSE()))),"OLD",IF(AND(E280&lt;&gt;"",E280&lt;&gt;"!!!"),"NEW","")))</f>
        <v/>
      </c>
      <c r="G280" s="23" t="str">
        <f>IF(OR(E280="",E280="!!!"),"",IF(OR(J280=0,AND(J280=1,K280=1),AND(J280=1,I280="SBJ"),AND(J280=1,I280=0)),"?IN_FOCUS",IF(J280&lt;=2,"?ACTIVATED",IF(J280&lt;&gt;"","?FAMILIAR",IF(F280="NEW",IF(ISNA(VLOOKUP(E280,#REF!,1,FALSE())),"?TYPE_IDENTIFIABLE","?REFERENTIAL"),"_")))))</f>
        <v/>
      </c>
      <c r="H280" s="24" t="str">
        <f t="shared" ca="1" si="26"/>
        <v/>
      </c>
      <c r="I280" s="25" t="str">
        <f>IF(OR(E280="",E280="!!!",F280="NEW"),"",INDEX(B$2:B279,-1+SUMPRODUCT(MAX(ROW(E$2:E279)*(E280=E$2:E279)))))</f>
        <v/>
      </c>
      <c r="J280" s="25" t="str">
        <f ca="1">IF(OR(E280="",E280="!!!",F280="NEW"),"",COUNTBLANK(OFFSET(A$1,,,SUMPRODUCT(MAX(ROW(E$2:E280)*(E280=E$2:E280)))))-COUNTBLANK(OFFSET(A$1,,,SUMPRODUCT(MAX(ROW(E$1:E279)*(E2=E$1:E279))))))</f>
        <v/>
      </c>
      <c r="K280" s="25" t="str">
        <f>IF(OR(E280="",E280="!!!",F280="NEW"),"",INDEX(J$1:J279,SUMPRODUCT(MAX(ROW(E$1:E279)*(E280=E$1:E279)))))</f>
        <v/>
      </c>
      <c r="L280" s="26"/>
    </row>
    <row r="281" spans="1:12" x14ac:dyDescent="0.3">
      <c r="A281" t="s">
        <v>328</v>
      </c>
      <c r="E281" s="21" t="str">
        <f t="shared" si="27"/>
        <v/>
      </c>
      <c r="F281" s="22" t="str">
        <f>IF(OR(E281="",E281="!!!"),"",IF(NOT(ISNA(VLOOKUP(E281,E$1:E280,1,FALSE()))),"OLD",IF(AND(E281&lt;&gt;"",E281&lt;&gt;"!!!"),"NEW","")))</f>
        <v/>
      </c>
      <c r="G281" s="23" t="str">
        <f>IF(OR(E281="",E281="!!!"),"",IF(OR(J281=0,AND(J281=1,K281=1),AND(J281=1,I281="SBJ"),AND(J281=1,I281=0)),"?IN_FOCUS",IF(J281&lt;=2,"?ACTIVATED",IF(J281&lt;&gt;"","?FAMILIAR",IF(F281="NEW",IF(ISNA(VLOOKUP(E281,#REF!,1,FALSE())),"?TYPE_IDENTIFIABLE","?REFERENTIAL"),"_")))))</f>
        <v/>
      </c>
      <c r="H281" s="24" t="str">
        <f t="shared" ca="1" si="26"/>
        <v/>
      </c>
      <c r="I281" s="25" t="str">
        <f>IF(OR(E281="",E281="!!!",F281="NEW"),"",INDEX(B$2:B280,-1+SUMPRODUCT(MAX(ROW(E$2:E280)*(E281=E$2:E280)))))</f>
        <v/>
      </c>
      <c r="J281" s="25" t="str">
        <f ca="1">IF(OR(E281="",E281="!!!",F281="NEW"),"",COUNTBLANK(OFFSET(A$1,,,SUMPRODUCT(MAX(ROW(E$2:E281)*(E281=E$2:E281)))))-COUNTBLANK(OFFSET(A$1,,,SUMPRODUCT(MAX(ROW(E$1:E280)*(E2=E$1:E280))))))</f>
        <v/>
      </c>
      <c r="K281" s="25" t="str">
        <f>IF(OR(E281="",E281="!!!",F281="NEW"),"",INDEX(J$1:J280,SUMPRODUCT(MAX(ROW(E$1:E280)*(E281=E$1:E280)))))</f>
        <v/>
      </c>
      <c r="L281" s="26"/>
    </row>
    <row r="282" spans="1:12" x14ac:dyDescent="0.3">
      <c r="A282" t="s">
        <v>329</v>
      </c>
      <c r="E282" s="21" t="str">
        <f t="shared" si="27"/>
        <v/>
      </c>
      <c r="F282" s="22" t="str">
        <f>IF(OR(E282="",E282="!!!"),"",IF(NOT(ISNA(VLOOKUP(E282,E$1:E281,1,FALSE()))),"OLD",IF(AND(E282&lt;&gt;"",E282&lt;&gt;"!!!"),"NEW","")))</f>
        <v/>
      </c>
      <c r="G282" s="23" t="str">
        <f>IF(OR(E282="",E282="!!!"),"",IF(OR(J282=0,AND(J282=1,K282=1),AND(J282=1,I282="SBJ"),AND(J282=1,I282=0)),"?IN_FOCUS",IF(J282&lt;=2,"?ACTIVATED",IF(J282&lt;&gt;"","?FAMILIAR",IF(F282="NEW",IF(ISNA(VLOOKUP(E282,#REF!,1,FALSE())),"?TYPE_IDENTIFIABLE","?REFERENTIAL"),"_")))))</f>
        <v/>
      </c>
      <c r="H282" s="24" t="str">
        <f t="shared" ca="1" si="26"/>
        <v/>
      </c>
      <c r="I282" s="25" t="str">
        <f>IF(OR(E282="",E282="!!!",F282="NEW"),"",INDEX(B$2:B281,-1+SUMPRODUCT(MAX(ROW(E$2:E281)*(E282=E$2:E281)))))</f>
        <v/>
      </c>
      <c r="J282" s="25" t="str">
        <f ca="1">IF(OR(E282="",E282="!!!",F282="NEW"),"",COUNTBLANK(OFFSET(A$1,,,SUMPRODUCT(MAX(ROW(E$2:E282)*(E282=E$2:E282)))))-COUNTBLANK(OFFSET(A$1,,,SUMPRODUCT(MAX(ROW(E$1:E281)*(E2=E$1:E281))))))</f>
        <v/>
      </c>
      <c r="K282" s="25" t="str">
        <f>IF(OR(E282="",E282="!!!",F282="NEW"),"",INDEX(J$1:J281,SUMPRODUCT(MAX(ROW(E$1:E281)*(E282=E$1:E281)))))</f>
        <v/>
      </c>
      <c r="L282" s="26"/>
    </row>
    <row r="283" spans="1:12" x14ac:dyDescent="0.3">
      <c r="A283" t="s">
        <v>242</v>
      </c>
      <c r="B283" s="20" t="s">
        <v>222</v>
      </c>
      <c r="C283" s="20" t="s">
        <v>201</v>
      </c>
      <c r="D283" s="20" t="s">
        <v>146</v>
      </c>
      <c r="E283" s="21" t="s">
        <v>480</v>
      </c>
      <c r="F283" s="22" t="str">
        <f>IF(OR(E283="",E283="!!!"),"",IF(NOT(ISNA(VLOOKUP(E283,E$1:E282,1,FALSE()))),"OLD",IF(AND(E283&lt;&gt;"",E283&lt;&gt;"!!!"),"NEW","")))</f>
        <v>OLD</v>
      </c>
      <c r="G283" s="23" t="s">
        <v>527</v>
      </c>
      <c r="H283" s="24" t="str">
        <f t="shared" ca="1" si="26"/>
        <v/>
      </c>
      <c r="I283" s="25" t="str">
        <f>IF(OR(E283="",E283="!!!",F283="NEW"),"",INDEX(B$2:B282,-1+SUMPRODUCT(MAX(ROW(E$2:E282)*(E283=E$2:E282)))))</f>
        <v>other_3</v>
      </c>
      <c r="J283" s="25">
        <f ca="1">IF(OR(E283="",E283="!!!",F283="NEW"),"",COUNTBLANK(OFFSET(A$1,,,SUMPRODUCT(MAX(ROW(E$2:E283)*(E283=E$2:E283)))))-COUNTBLANK(OFFSET(A$1,,,SUMPRODUCT(MAX(ROW(E$1:E282)*(E2=E$1:E282))))))</f>
        <v>0</v>
      </c>
      <c r="K283" s="25">
        <f ca="1">IF(OR(E283="",E283="!!!",F283="NEW"),"",INDEX(J$1:J282,SUMPRODUCT(MAX(ROW(E$1:E282)*(E283=E$1:E282)))))</f>
        <v>0</v>
      </c>
      <c r="L283" s="26"/>
    </row>
    <row r="284" spans="1:12" x14ac:dyDescent="0.3">
      <c r="A284" t="s">
        <v>187</v>
      </c>
      <c r="E284" s="21" t="str">
        <f t="shared" si="27"/>
        <v/>
      </c>
      <c r="F284" s="22" t="str">
        <f>IF(OR(E284="",E284="!!!"),"",IF(NOT(ISNA(VLOOKUP(E284,E$1:E283,1,FALSE()))),"OLD",IF(AND(E284&lt;&gt;"",E284&lt;&gt;"!!!"),"NEW","")))</f>
        <v/>
      </c>
      <c r="G284" s="23" t="str">
        <f>IF(OR(E284="",E284="!!!"),"",IF(OR(J284=0,AND(J284=1,K284=1),AND(J284=1,I284="SBJ"),AND(J284=1,I284=0)),"?IN_FOCUS",IF(J284&lt;=2,"?ACTIVATED",IF(J284&lt;&gt;"","?FAMILIAR",IF(F284="NEW",IF(ISNA(VLOOKUP(E284,#REF!,1,FALSE())),"?TYPE_IDENTIFIABLE","?REFERENTIAL"),"_")))))</f>
        <v/>
      </c>
      <c r="H284" s="24" t="str">
        <f t="shared" ca="1" si="26"/>
        <v/>
      </c>
      <c r="I284" s="25" t="str">
        <f>IF(OR(E284="",E284="!!!",F284="NEW"),"",INDEX(B$2:B283,-1+SUMPRODUCT(MAX(ROW(E$2:E283)*(E284=E$2:E283)))))</f>
        <v/>
      </c>
      <c r="J284" s="25" t="str">
        <f ca="1">IF(OR(E284="",E284="!!!",F284="NEW"),"",COUNTBLANK(OFFSET(A$1,,,SUMPRODUCT(MAX(ROW(E$2:E284)*(E284=E$2:E284)))))-COUNTBLANK(OFFSET(A$1,,,SUMPRODUCT(MAX(ROW(E$1:E283)*(E2=E$1:E283))))))</f>
        <v/>
      </c>
      <c r="K284" s="25" t="str">
        <f>IF(OR(E284="",E284="!!!",F284="NEW"),"",INDEX(J$1:J283,SUMPRODUCT(MAX(ROW(E$1:E283)*(E284=E$1:E283)))))</f>
        <v/>
      </c>
      <c r="L284" s="26"/>
    </row>
    <row r="285" spans="1:12" x14ac:dyDescent="0.3">
      <c r="A285" t="s">
        <v>330</v>
      </c>
      <c r="E285" s="21" t="str">
        <f t="shared" si="27"/>
        <v/>
      </c>
      <c r="F285" s="22" t="str">
        <f>IF(OR(E285="",E285="!!!"),"",IF(NOT(ISNA(VLOOKUP(E285,E$1:E284,1,FALSE()))),"OLD",IF(AND(E285&lt;&gt;"",E285&lt;&gt;"!!!"),"NEW","")))</f>
        <v/>
      </c>
      <c r="G285" s="23" t="str">
        <f>IF(OR(E285="",E285="!!!"),"",IF(OR(J285=0,AND(J285=1,K285=1),AND(J285=1,I285="SBJ"),AND(J285=1,I285=0)),"?IN_FOCUS",IF(J285&lt;=2,"?ACTIVATED",IF(J285&lt;&gt;"","?FAMILIAR",IF(F285="NEW",IF(ISNA(VLOOKUP(E285,#REF!,1,FALSE())),"?TYPE_IDENTIFIABLE","?REFERENTIAL"),"_")))))</f>
        <v/>
      </c>
      <c r="H285" s="24" t="str">
        <f t="shared" ca="1" si="26"/>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row>
    <row r="286" spans="1:12" x14ac:dyDescent="0.3">
      <c r="A286" t="s">
        <v>331</v>
      </c>
      <c r="E286" s="21" t="str">
        <f t="shared" si="27"/>
        <v/>
      </c>
      <c r="F286" s="22" t="str">
        <f>IF(OR(E286="",E286="!!!"),"",IF(NOT(ISNA(VLOOKUP(E286,E$1:E285,1,FALSE()))),"OLD",IF(AND(E286&lt;&gt;"",E286&lt;&gt;"!!!"),"NEW","")))</f>
        <v/>
      </c>
      <c r="G286" s="23" t="str">
        <f>IF(OR(E286="",E286="!!!"),"",IF(OR(J286=0,AND(J286=1,K286=1),AND(J286=1,I286="SBJ"),AND(J286=1,I286=0)),"?IN_FOCUS",IF(J286&lt;=2,"?ACTIVATED",IF(J286&lt;&gt;"","?FAMILIAR",IF(F286="NEW",IF(ISNA(VLOOKUP(E286,#REF!,1,FALSE())),"?TYPE_IDENTIFIABLE","?REFERENTIAL"),"_")))))</f>
        <v/>
      </c>
      <c r="H286" s="24" t="str">
        <f t="shared" ca="1" si="26"/>
        <v/>
      </c>
      <c r="I286" s="25" t="str">
        <f>IF(OR(E286="",E286="!!!",F286="NEW"),"",INDEX(B$2:B285,-1+SUMPRODUCT(MAX(ROW(E$2:E285)*(E286=E$2:E285)))))</f>
        <v/>
      </c>
      <c r="J286" s="25" t="str">
        <f ca="1">IF(OR(E286="",E286="!!!",F286="NEW"),"",COUNTBLANK(OFFSET(A$1,,,SUMPRODUCT(MAX(ROW(E$2:E286)*(E286=E$2:E286)))))-COUNTBLANK(OFFSET(A$1,,,SUMPRODUCT(MAX(ROW(E$1:E285)*(E2=E$1:E285))))))</f>
        <v/>
      </c>
      <c r="K286" s="25" t="str">
        <f>IF(OR(E286="",E286="!!!",F286="NEW"),"",INDEX(J$1:J285,SUMPRODUCT(MAX(ROW(E$1:E285)*(E286=E$1:E285)))))</f>
        <v/>
      </c>
      <c r="L286" s="26"/>
    </row>
    <row r="287" spans="1:12" x14ac:dyDescent="0.3">
      <c r="A287" t="s">
        <v>332</v>
      </c>
      <c r="B287" s="20" t="s">
        <v>144</v>
      </c>
      <c r="C287" s="20" t="s">
        <v>158</v>
      </c>
      <c r="D287" s="20" t="s">
        <v>146</v>
      </c>
      <c r="E287" s="21" t="s">
        <v>508</v>
      </c>
      <c r="F287" s="22" t="str">
        <f>IF(OR(E287="",E287="!!!"),"",IF(NOT(ISNA(VLOOKUP(E287,E$1:E286,1,FALSE()))),"OLD",IF(AND(E287&lt;&gt;"",E287&lt;&gt;"!!!"),"NEW","")))</f>
        <v>NEW</v>
      </c>
      <c r="G287" s="23" t="s">
        <v>482</v>
      </c>
      <c r="H287" s="24" t="str">
        <f t="shared" ca="1" si="26"/>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202</v>
      </c>
      <c r="E288" s="21" t="str">
        <f t="shared" si="27"/>
        <v/>
      </c>
      <c r="F288" s="22" t="str">
        <f>IF(OR(E288="",E288="!!!"),"",IF(NOT(ISNA(VLOOKUP(E288,E$1:E287,1,FALSE()))),"OLD",IF(AND(E288&lt;&gt;"",E288&lt;&gt;"!!!"),"NEW","")))</f>
        <v/>
      </c>
      <c r="G288" s="23" t="str">
        <f>IF(OR(E288="",E288="!!!"),"",IF(OR(J288=0,AND(J288=1,K288=1),AND(J288=1,I288="SBJ"),AND(J288=1,I288=0)),"?IN_FOCUS",IF(J288&lt;=2,"?ACTIVATED",IF(J288&lt;&gt;"","?FAMILIAR",IF(F288="NEW",IF(ISNA(VLOOKUP(E288,#REF!,1,FALSE())),"?TYPE_IDENTIFIABLE","?REFERENTIAL"),"_")))))</f>
        <v/>
      </c>
      <c r="H288" s="24" t="str">
        <f t="shared" ca="1" si="26"/>
        <v/>
      </c>
      <c r="I288" s="25" t="str">
        <f>IF(OR(E288="",E288="!!!",F288="NEW"),"",INDEX(B$2:B287,-1+SUMPRODUCT(MAX(ROW(E$2:E287)*(E288=E$2:E287)))))</f>
        <v/>
      </c>
      <c r="J288" s="25" t="str">
        <f ca="1">IF(OR(E288="",E288="!!!",F288="NEW"),"",COUNTBLANK(OFFSET(A$1,,,SUMPRODUCT(MAX(ROW(E$2:E288)*(E288=E$2:E288)))))-COUNTBLANK(OFFSET(A$1,,,SUMPRODUCT(MAX(ROW(E$1:E287)*(E2=E$1:E287))))))</f>
        <v/>
      </c>
      <c r="K288" s="25" t="str">
        <f>IF(OR(E288="",E288="!!!",F288="NEW"),"",INDEX(J$1:J287,SUMPRODUCT(MAX(ROW(E$1:E287)*(E288=E$1:E287)))))</f>
        <v/>
      </c>
      <c r="L288" s="26"/>
    </row>
    <row r="289" spans="1:12" x14ac:dyDescent="0.3">
      <c r="A289" t="s">
        <v>185</v>
      </c>
      <c r="E289" s="21" t="str">
        <f t="shared" si="27"/>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26"/>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0" spans="1:12" x14ac:dyDescent="0.3">
      <c r="A290" t="s">
        <v>333</v>
      </c>
      <c r="B290" s="20" t="s">
        <v>165</v>
      </c>
      <c r="C290" s="20" t="s">
        <v>145</v>
      </c>
      <c r="D290" s="20" t="s">
        <v>146</v>
      </c>
      <c r="E290" s="21"/>
      <c r="F290" s="22" t="s">
        <v>484</v>
      </c>
      <c r="G290" s="23" t="str">
        <f>IF(OR(E290="",E290="!!!"),"",IF(OR(J290=0,AND(J290=1,K290=1),AND(J290=1,I290="SBJ"),AND(J290=1,I290=0)),"?IN_FOCUS",IF(J290&lt;=2,"?ACTIVATED",IF(J290&lt;&gt;"","?FAMILIAR",IF(F290="NEW",IF(ISNA(VLOOKUP(E290,#REF!,1,FALSE())),"?TYPE_IDENTIFIABLE","?REFERENTIAL"),"_")))))</f>
        <v/>
      </c>
      <c r="H290" s="24" t="str">
        <f t="shared" ca="1" si="26"/>
        <v/>
      </c>
      <c r="I290" s="25" t="str">
        <f>IF(OR(E290="",E290="!!!",F290="NEW"),"",INDEX(B$2:B289,-1+SUMPRODUCT(MAX(ROW(E$2:E289)*(E290=E$2:E289)))))</f>
        <v/>
      </c>
      <c r="J290" s="25" t="str">
        <f ca="1">IF(OR(E290="",E290="!!!",F290="NEW"),"",COUNTBLANK(OFFSET(A$1,,,SUMPRODUCT(MAX(ROW(E$2:E290)*(E290=E$2:E290)))))-COUNTBLANK(OFFSET(A$1,,,SUMPRODUCT(MAX(ROW(E$1:E289)*(E2=E$1:E289))))))</f>
        <v/>
      </c>
      <c r="K290" s="25" t="str">
        <f>IF(OR(E290="",E290="!!!",F290="NEW"),"",INDEX(J$1:J289,SUMPRODUCT(MAX(ROW(E$1:E289)*(E290=E$1:E289)))))</f>
        <v/>
      </c>
      <c r="L290" s="26"/>
    </row>
    <row r="291" spans="1:12" x14ac:dyDescent="0.3">
      <c r="A291" t="s">
        <v>167</v>
      </c>
      <c r="E291" s="21" t="str">
        <f t="shared" si="27"/>
        <v/>
      </c>
      <c r="F291" s="22" t="str">
        <f>IF(OR(E291="",E291="!!!"),"",IF(NOT(ISNA(VLOOKUP(E291,E$1:E290,1,FALSE()))),"OLD",IF(AND(E291&lt;&gt;"",E291&lt;&gt;"!!!"),"NEW","")))</f>
        <v/>
      </c>
      <c r="G291" s="23" t="str">
        <f>IF(OR(E291="",E291="!!!"),"",IF(OR(J291=0,AND(J291=1,K291=1),AND(J291=1,I291="SBJ"),AND(J291=1,I291=0)),"?IN_FOCUS",IF(J291&lt;=2,"?ACTIVATED",IF(J291&lt;&gt;"","?FAMILIAR",IF(F291="NEW",IF(ISNA(VLOOKUP(E291,#REF!,1,FALSE())),"?TYPE_IDENTIFIABLE","?REFERENTIAL"),"_")))))</f>
        <v/>
      </c>
      <c r="H291" s="24" t="str">
        <f t="shared" ca="1" si="26"/>
        <v/>
      </c>
      <c r="I291" s="25" t="str">
        <f>IF(OR(E291="",E291="!!!",F291="NEW"),"",INDEX(B$2:B290,-1+SUMPRODUCT(MAX(ROW(E$2:E290)*(E291=E$2:E290)))))</f>
        <v/>
      </c>
      <c r="J291" s="25" t="str">
        <f ca="1">IF(OR(E291="",E291="!!!",F291="NEW"),"",COUNTBLANK(OFFSET(A$1,,,SUMPRODUCT(MAX(ROW(E$2:E291)*(E291=E$2:E291)))))-COUNTBLANK(OFFSET(A$1,,,SUMPRODUCT(MAX(ROW(E$1:E290)*(E2=E$1:E290))))))</f>
        <v/>
      </c>
      <c r="K291" s="25" t="str">
        <f>IF(OR(E291="",E291="!!!",F291="NEW"),"",INDEX(J$1:J290,SUMPRODUCT(MAX(ROW(E$1:E290)*(E291=E$1:E290)))))</f>
        <v/>
      </c>
      <c r="L291" s="26"/>
    </row>
    <row r="293" spans="1:12" x14ac:dyDescent="0.3">
      <c r="A293" t="s">
        <v>334</v>
      </c>
    </row>
    <row r="294" spans="1:12" x14ac:dyDescent="0.3">
      <c r="A294" t="s">
        <v>335</v>
      </c>
      <c r="E294" s="21" t="str">
        <f t="shared" ref="E294:E304" si="28">IF(D294="?OLD","!!!","")</f>
        <v/>
      </c>
      <c r="F294" s="22" t="str">
        <f>IF(OR(E294="",E294="!!!"),"",IF(NOT(ISNA(VLOOKUP(E294,E$1:E293,1,FALSE()))),"OLD",IF(AND(E294&lt;&gt;"",E294&lt;&gt;"!!!"),"NEW","")))</f>
        <v/>
      </c>
      <c r="G294" s="23" t="str">
        <f>IF(OR(E294="",E294="!!!"),"",IF(OR(J294=0,AND(J294=1,K294=1),AND(J294=1,I294="SBJ"),AND(J294=1,I294=0)),"?IN_FOCUS",IF(J294&lt;=2,"?ACTIVATED",IF(J294&lt;&gt;"","?FAMILIAR",IF(F294="NEW",IF(ISNA(VLOOKUP(E294,#REF!,1,FALSE())),"?TYPE_IDENTIFIABLE","?REFERENTIAL"),"_")))))</f>
        <v/>
      </c>
      <c r="H294" s="24" t="str">
        <f t="shared" ref="H294:H304" ca="1" si="29">IF(J294&lt;&gt;1,"",IF(I294="SBJ","CB","?"))</f>
        <v/>
      </c>
      <c r="I294" s="25" t="str">
        <f>IF(OR(E294="",E294="!!!",F294="NEW"),"",INDEX(B$2:B293,-1+SUMPRODUCT(MAX(ROW(E$2:E293)*(E294=E$2:E293)))))</f>
        <v/>
      </c>
      <c r="J294" s="25" t="str">
        <f ca="1">IF(OR(E294="",E294="!!!",F294="NEW"),"",COUNTBLANK(OFFSET(A$1,,,SUMPRODUCT(MAX(ROW(E$2:E294)*(E294=E$2:E294)))))-COUNTBLANK(OFFSET(A$1,,,SUMPRODUCT(MAX(ROW(E$1:E293)*(E2=E$1:E293))))))</f>
        <v/>
      </c>
      <c r="K294" s="25" t="str">
        <f>IF(OR(E294="",E294="!!!",F294="NEW"),"",INDEX(J$1:J293,SUMPRODUCT(MAX(ROW(E$1:E293)*(E294=E$1:E293)))))</f>
        <v/>
      </c>
      <c r="L294" s="26"/>
    </row>
    <row r="295" spans="1:12" x14ac:dyDescent="0.3">
      <c r="A295" t="s">
        <v>13</v>
      </c>
      <c r="B295" s="20" t="s">
        <v>149</v>
      </c>
      <c r="C295" s="20" t="s">
        <v>150</v>
      </c>
      <c r="E295" s="21" t="str">
        <f t="shared" si="28"/>
        <v/>
      </c>
      <c r="F295" s="22" t="str">
        <f>IF(OR(E295="",E295="!!!"),"",IF(NOT(ISNA(VLOOKUP(E295,E$1:E294,1,FALSE()))),"OLD",IF(AND(E295&lt;&gt;"",E295&lt;&gt;"!!!"),"NEW","")))</f>
        <v/>
      </c>
      <c r="G295" s="23" t="str">
        <f>IF(OR(E295="",E295="!!!"),"",IF(OR(J295=0,AND(J295=1,K295=1),AND(J295=1,I295="SBJ"),AND(J295=1,I295=0)),"?IN_FOCUS",IF(J295&lt;=2,"?ACTIVATED",IF(J295&lt;&gt;"","?FAMILIAR",IF(F295="NEW",IF(ISNA(VLOOKUP(E295,#REF!,1,FALSE())),"?TYPE_IDENTIFIABLE","?REFERENTIAL"),"_")))))</f>
        <v/>
      </c>
      <c r="H295" s="24" t="str">
        <f t="shared" ca="1" si="29"/>
        <v/>
      </c>
      <c r="I295" s="25" t="str">
        <f>IF(OR(E295="",E295="!!!",F295="NEW"),"",INDEX(B$2:B294,-1+SUMPRODUCT(MAX(ROW(E$2:E294)*(E295=E$2:E294)))))</f>
        <v/>
      </c>
      <c r="J295" s="25" t="str">
        <f ca="1">IF(OR(E295="",E295="!!!",F295="NEW"),"",COUNTBLANK(OFFSET(A$1,,,SUMPRODUCT(MAX(ROW(E$2:E295)*(E295=E$2:E295)))))-COUNTBLANK(OFFSET(A$1,,,SUMPRODUCT(MAX(ROW(E$1:E294)*(E2=E$1:E294))))))</f>
        <v/>
      </c>
      <c r="K295" s="25" t="str">
        <f>IF(OR(E295="",E295="!!!",F295="NEW"),"",INDEX(J$1:J294,SUMPRODUCT(MAX(ROW(E$1:E294)*(E295=E$1:E294)))))</f>
        <v/>
      </c>
      <c r="L295" s="26"/>
    </row>
    <row r="296" spans="1:12" x14ac:dyDescent="0.3">
      <c r="A296" t="s">
        <v>169</v>
      </c>
      <c r="E296" s="21" t="str">
        <f t="shared" si="28"/>
        <v/>
      </c>
      <c r="F296" s="22" t="str">
        <f>IF(OR(E296="",E296="!!!"),"",IF(NOT(ISNA(VLOOKUP(E296,E$1:E295,1,FALSE()))),"OLD",IF(AND(E296&lt;&gt;"",E296&lt;&gt;"!!!"),"NEW","")))</f>
        <v/>
      </c>
      <c r="G296" s="23" t="str">
        <f>IF(OR(E296="",E296="!!!"),"",IF(OR(J296=0,AND(J296=1,K296=1),AND(J296=1,I296="SBJ"),AND(J296=1,I296=0)),"?IN_FOCUS",IF(J296&lt;=2,"?ACTIVATED",IF(J296&lt;&gt;"","?FAMILIAR",IF(F296="NEW",IF(ISNA(VLOOKUP(E296,#REF!,1,FALSE())),"?TYPE_IDENTIFIABLE","?REFERENTIAL"),"_")))))</f>
        <v/>
      </c>
      <c r="H296" s="24" t="str">
        <f t="shared" ca="1" si="29"/>
        <v/>
      </c>
      <c r="I296" s="25" t="str">
        <f>IF(OR(E296="",E296="!!!",F296="NEW"),"",INDEX(B$2:B295,-1+SUMPRODUCT(MAX(ROW(E$2:E295)*(E296=E$2:E295)))))</f>
        <v/>
      </c>
      <c r="J296" s="25" t="str">
        <f ca="1">IF(OR(E296="",E296="!!!",F296="NEW"),"",COUNTBLANK(OFFSET(A$1,,,SUMPRODUCT(MAX(ROW(E$2:E296)*(E296=E$2:E296)))))-COUNTBLANK(OFFSET(A$1,,,SUMPRODUCT(MAX(ROW(E$1:E295)*(E2=E$1:E295))))))</f>
        <v/>
      </c>
      <c r="K296" s="25" t="str">
        <f>IF(OR(E296="",E296="!!!",F296="NEW"),"",INDEX(J$1:J295,SUMPRODUCT(MAX(ROW(E$1:E295)*(E296=E$1:E295)))))</f>
        <v/>
      </c>
      <c r="L296" s="26"/>
    </row>
    <row r="297" spans="1:12" x14ac:dyDescent="0.3">
      <c r="A297" t="s">
        <v>242</v>
      </c>
      <c r="B297" s="20" t="s">
        <v>157</v>
      </c>
      <c r="C297" s="20" t="s">
        <v>201</v>
      </c>
      <c r="D297" s="20" t="s">
        <v>146</v>
      </c>
      <c r="E297" s="21" t="s">
        <v>481</v>
      </c>
      <c r="F297" s="22" t="str">
        <f>IF(OR(E297="",E297="!!!"),"",IF(NOT(ISNA(VLOOKUP(E297,E$1:E296,1,FALSE()))),"OLD",IF(AND(E297&lt;&gt;"",E297&lt;&gt;"!!!"),"NEW","")))</f>
        <v>OLD</v>
      </c>
      <c r="G297" s="23" t="s">
        <v>527</v>
      </c>
      <c r="H297" s="24" t="s">
        <v>138</v>
      </c>
      <c r="I297" s="25" t="str">
        <f>IF(OR(E297="",E297="!!!",F297="NEW"),"",INDEX(B$2:B296,-1+SUMPRODUCT(MAX(ROW(E$2:E296)*(E297=E$2:E296)))))</f>
        <v>SBJ</v>
      </c>
      <c r="J297" s="25">
        <f ca="1">IF(OR(E297="",E297="!!!",F297="NEW"),"",COUNTBLANK(OFFSET(A$1,,,SUMPRODUCT(MAX(ROW(E$2:E297)*(E297=E$2:E297)))))-COUNTBLANK(OFFSET(A$1,,,SUMPRODUCT(MAX(ROW(E$1:E296)*(E2=E$1:E296))))))</f>
        <v>0</v>
      </c>
      <c r="K297" s="25">
        <f ca="1">IF(OR(E297="",E297="!!!",F297="NEW"),"",INDEX(J$1:J296,SUMPRODUCT(MAX(ROW(E$1:E296)*(E297=E$1:E296)))))</f>
        <v>0</v>
      </c>
      <c r="L297" s="26"/>
    </row>
    <row r="298" spans="1:12" x14ac:dyDescent="0.3">
      <c r="A298" t="s">
        <v>195</v>
      </c>
      <c r="B298" s="20" t="s">
        <v>149</v>
      </c>
      <c r="C298" s="20" t="s">
        <v>184</v>
      </c>
      <c r="E298" s="21" t="str">
        <f t="shared" si="28"/>
        <v/>
      </c>
      <c r="F298" s="22" t="str">
        <f>IF(OR(E298="",E298="!!!"),"",IF(NOT(ISNA(VLOOKUP(E298,E$1:E297,1,FALSE()))),"OLD",IF(AND(E298&lt;&gt;"",E298&lt;&gt;"!!!"),"NEW","")))</f>
        <v/>
      </c>
      <c r="G298" s="23" t="str">
        <f>IF(OR(E298="",E298="!!!"),"",IF(OR(J298=0,AND(J298=1,K298=1),AND(J298=1,I298="SBJ"),AND(J298=1,I298=0)),"?IN_FOCUS",IF(J298&lt;=2,"?ACTIVATED",IF(J298&lt;&gt;"","?FAMILIAR",IF(F298="NEW",IF(ISNA(VLOOKUP(E298,#REF!,1,FALSE())),"?TYPE_IDENTIFIABLE","?REFERENTIAL"),"_")))))</f>
        <v/>
      </c>
      <c r="H298" s="24" t="str">
        <f t="shared" ca="1" si="29"/>
        <v/>
      </c>
      <c r="I298" s="25" t="str">
        <f>IF(OR(E298="",E298="!!!",F298="NEW"),"",INDEX(B$2:B297,-1+SUMPRODUCT(MAX(ROW(E$2:E297)*(E298=E$2:E297)))))</f>
        <v/>
      </c>
      <c r="J298" s="25" t="str">
        <f ca="1">IF(OR(E298="",E298="!!!",F298="NEW"),"",COUNTBLANK(OFFSET(A$1,,,SUMPRODUCT(MAX(ROW(E$2:E298)*(E298=E$2:E298)))))-COUNTBLANK(OFFSET(A$1,,,SUMPRODUCT(MAX(ROW(E$1:E297)*(E2=E$1:E297))))))</f>
        <v/>
      </c>
      <c r="K298" s="25" t="str">
        <f>IF(OR(E298="",E298="!!!",F298="NEW"),"",INDEX(J$1:J297,SUMPRODUCT(MAX(ROW(E$1:E297)*(E298=E$1:E297)))))</f>
        <v/>
      </c>
      <c r="L298" s="26"/>
    </row>
    <row r="299" spans="1:12" x14ac:dyDescent="0.3">
      <c r="A299" t="s">
        <v>214</v>
      </c>
      <c r="E299" s="21" t="str">
        <f t="shared" si="28"/>
        <v/>
      </c>
      <c r="F299" s="22" t="str">
        <f>IF(OR(E299="",E299="!!!"),"",IF(NOT(ISNA(VLOOKUP(E299,E$1:E298,1,FALSE()))),"OLD",IF(AND(E299&lt;&gt;"",E299&lt;&gt;"!!!"),"NEW","")))</f>
        <v/>
      </c>
      <c r="G299" s="23" t="str">
        <f>IF(OR(E299="",E299="!!!"),"",IF(OR(J299=0,AND(J299=1,K299=1),AND(J299=1,I299="SBJ"),AND(J299=1,I299=0)),"?IN_FOCUS",IF(J299&lt;=2,"?ACTIVATED",IF(J299&lt;&gt;"","?FAMILIAR",IF(F299="NEW",IF(ISNA(VLOOKUP(E299,#REF!,1,FALSE())),"?TYPE_IDENTIFIABLE","?REFERENTIAL"),"_")))))</f>
        <v/>
      </c>
      <c r="H299" s="24" t="str">
        <f t="shared" ca="1" si="29"/>
        <v/>
      </c>
      <c r="I299" s="25" t="str">
        <f>IF(OR(E299="",E299="!!!",F299="NEW"),"",INDEX(B$2:B298,-1+SUMPRODUCT(MAX(ROW(E$2:E298)*(E299=E$2:E298)))))</f>
        <v/>
      </c>
      <c r="J299" s="25" t="str">
        <f ca="1">IF(OR(E299="",E299="!!!",F299="NEW"),"",COUNTBLANK(OFFSET(A$1,,,SUMPRODUCT(MAX(ROW(E$2:E299)*(E299=E$2:E299)))))-COUNTBLANK(OFFSET(A$1,,,SUMPRODUCT(MAX(ROW(E$1:E298)*(E2=E$1:E298))))))</f>
        <v/>
      </c>
      <c r="K299" s="25" t="str">
        <f>IF(OR(E299="",E299="!!!",F299="NEW"),"",INDEX(J$1:J298,SUMPRODUCT(MAX(ROW(E$1:E298)*(E299=E$1:E298)))))</f>
        <v/>
      </c>
      <c r="L299" s="26"/>
    </row>
    <row r="300" spans="1:12" x14ac:dyDescent="0.3">
      <c r="A300" t="s">
        <v>336</v>
      </c>
      <c r="E300" s="21" t="str">
        <f t="shared" si="28"/>
        <v/>
      </c>
      <c r="F300" s="22" t="str">
        <f>IF(OR(E300="",E300="!!!"),"",IF(NOT(ISNA(VLOOKUP(E300,E$1:E299,1,FALSE()))),"OLD",IF(AND(E300&lt;&gt;"",E300&lt;&gt;"!!!"),"NEW","")))</f>
        <v/>
      </c>
      <c r="G300" s="23" t="str">
        <f>IF(OR(E300="",E300="!!!"),"",IF(OR(J300=0,AND(J300=1,K300=1),AND(J300=1,I300="SBJ"),AND(J300=1,I300=0)),"?IN_FOCUS",IF(J300&lt;=2,"?ACTIVATED",IF(J300&lt;&gt;"","?FAMILIAR",IF(F300="NEW",IF(ISNA(VLOOKUP(E300,#REF!,1,FALSE())),"?TYPE_IDENTIFIABLE","?REFERENTIAL"),"_")))))</f>
        <v/>
      </c>
      <c r="H300" s="24" t="str">
        <f t="shared" ca="1" si="29"/>
        <v/>
      </c>
      <c r="I300" s="25" t="str">
        <f>IF(OR(E300="",E300="!!!",F300="NEW"),"",INDEX(B$2:B299,-1+SUMPRODUCT(MAX(ROW(E$2:E299)*(E300=E$2:E299)))))</f>
        <v/>
      </c>
      <c r="J300" s="25" t="str">
        <f ca="1">IF(OR(E300="",E300="!!!",F300="NEW"),"",COUNTBLANK(OFFSET(A$1,,,SUMPRODUCT(MAX(ROW(E$2:E300)*(E300=E$2:E300)))))-COUNTBLANK(OFFSET(A$1,,,SUMPRODUCT(MAX(ROW(E$1:E299)*(E2=E$1:E299))))))</f>
        <v/>
      </c>
      <c r="K300" s="25" t="str">
        <f>IF(OR(E300="",E300="!!!",F300="NEW"),"",INDEX(J$1:J299,SUMPRODUCT(MAX(ROW(E$1:E299)*(E300=E$1:E299)))))</f>
        <v/>
      </c>
      <c r="L300" s="26"/>
    </row>
    <row r="301" spans="1:12" x14ac:dyDescent="0.3">
      <c r="A301" t="s">
        <v>337</v>
      </c>
      <c r="B301" s="20" t="s">
        <v>149</v>
      </c>
      <c r="C301" s="20" t="s">
        <v>158</v>
      </c>
      <c r="D301" s="20" t="s">
        <v>146</v>
      </c>
      <c r="E301" s="21"/>
      <c r="F301" s="22" t="s">
        <v>484</v>
      </c>
      <c r="G301" s="23" t="str">
        <f>IF(OR(E301="",E301="!!!"),"",IF(OR(J301=0,AND(J301=1,K301=1),AND(J301=1,I301="SBJ"),AND(J301=1,I301=0)),"?IN_FOCUS",IF(J301&lt;=2,"?ACTIVATED",IF(J301&lt;&gt;"","?FAMILIAR",IF(F301="NEW",IF(ISNA(VLOOKUP(E301,#REF!,1,FALSE())),"?TYPE_IDENTIFIABLE","?REFERENTIAL"),"_")))))</f>
        <v/>
      </c>
      <c r="H301" s="24" t="str">
        <f t="shared" ca="1" si="29"/>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2" spans="1:12" x14ac:dyDescent="0.3">
      <c r="A302" t="s">
        <v>214</v>
      </c>
      <c r="E302" s="21" t="str">
        <f t="shared" si="28"/>
        <v/>
      </c>
      <c r="F302" s="22" t="str">
        <f>IF(OR(E302="",E302="!!!"),"",IF(NOT(ISNA(VLOOKUP(E302,E$1:E301,1,FALSE()))),"OLD",IF(AND(E302&lt;&gt;"",E302&lt;&gt;"!!!"),"NEW","")))</f>
        <v/>
      </c>
      <c r="G302" s="23" t="str">
        <f>IF(OR(E302="",E302="!!!"),"",IF(OR(J302=0,AND(J302=1,K302=1),AND(J302=1,I302="SBJ"),AND(J302=1,I302=0)),"?IN_FOCUS",IF(J302&lt;=2,"?ACTIVATED",IF(J302&lt;&gt;"","?FAMILIAR",IF(F302="NEW",IF(ISNA(VLOOKUP(E302,#REF!,1,FALSE())),"?TYPE_IDENTIFIABLE","?REFERENTIAL"),"_")))))</f>
        <v/>
      </c>
      <c r="H302" s="24" t="str">
        <f t="shared" ca="1" si="29"/>
        <v/>
      </c>
      <c r="I302" s="25" t="str">
        <f>IF(OR(E302="",E302="!!!",F302="NEW"),"",INDEX(B$2:B301,-1+SUMPRODUCT(MAX(ROW(E$2:E301)*(E302=E$2:E301)))))</f>
        <v/>
      </c>
      <c r="J302" s="25" t="str">
        <f ca="1">IF(OR(E302="",E302="!!!",F302="NEW"),"",COUNTBLANK(OFFSET(A$1,,,SUMPRODUCT(MAX(ROW(E$2:E302)*(E302=E$2:E302)))))-COUNTBLANK(OFFSET(A$1,,,SUMPRODUCT(MAX(ROW(E$1:E301)*(E2=E$1:E301))))))</f>
        <v/>
      </c>
      <c r="K302" s="25" t="str">
        <f>IF(OR(E302="",E302="!!!",F302="NEW"),"",INDEX(J$1:J301,SUMPRODUCT(MAX(ROW(E$1:E301)*(E302=E$1:E301)))))</f>
        <v/>
      </c>
      <c r="L302" s="26"/>
    </row>
    <row r="303" spans="1:12" x14ac:dyDescent="0.3">
      <c r="A303" t="s">
        <v>338</v>
      </c>
      <c r="B303" s="20" t="s">
        <v>144</v>
      </c>
      <c r="C303" s="20" t="s">
        <v>158</v>
      </c>
      <c r="D303" s="20" t="s">
        <v>146</v>
      </c>
      <c r="E303" s="21" t="s">
        <v>479</v>
      </c>
      <c r="F303" s="22" t="str">
        <f>IF(OR(E303="",E303="!!!"),"",IF(NOT(ISNA(VLOOKUP(E303,E$1:E302,1,FALSE()))),"OLD",IF(AND(E303&lt;&gt;"",E303&lt;&gt;"!!!"),"NEW","")))</f>
        <v>OLD</v>
      </c>
      <c r="G303" s="23" t="s">
        <v>482</v>
      </c>
      <c r="H303" s="24" t="str">
        <f t="shared" ca="1" si="29"/>
        <v/>
      </c>
      <c r="I303" s="25" t="str">
        <f>IF(OR(E303="",E303="!!!",F303="NEW"),"",INDEX(B$2:B302,-1+SUMPRODUCT(MAX(ROW(E$2:E302)*(E303=E$2:E302)))))</f>
        <v>other_2</v>
      </c>
      <c r="J303" s="25">
        <f ca="1">IF(OR(E303="",E303="!!!",F303="NEW"),"",COUNTBLANK(OFFSET(A$1,,,SUMPRODUCT(MAX(ROW(E$2:E303)*(E303=E$2:E303)))))-COUNTBLANK(OFFSET(A$1,,,SUMPRODUCT(MAX(ROW(E$1:E302)*(E2=E$1:E302))))))</f>
        <v>0</v>
      </c>
      <c r="K303" s="25" t="str">
        <f ca="1">IF(OR(E303="",E303="!!!",F303="NEW"),"",INDEX(J$1:J302,SUMPRODUCT(MAX(ROW(E$1:E302)*(E303=E$1:E302)))))</f>
        <v/>
      </c>
      <c r="L303" s="26"/>
    </row>
    <row r="304" spans="1:12" x14ac:dyDescent="0.3">
      <c r="A304" t="s">
        <v>167</v>
      </c>
      <c r="E304" s="21" t="str">
        <f t="shared" si="28"/>
        <v/>
      </c>
      <c r="F304" s="22" t="str">
        <f>IF(OR(E304="",E304="!!!"),"",IF(NOT(ISNA(VLOOKUP(E304,E$1:E303,1,FALSE()))),"OLD",IF(AND(E304&lt;&gt;"",E304&lt;&gt;"!!!"),"NEW","")))</f>
        <v/>
      </c>
      <c r="G304" s="23" t="str">
        <f>IF(OR(E304="",E304="!!!"),"",IF(OR(J304=0,AND(J304=1,K304=1),AND(J304=1,I304="SBJ"),AND(J304=1,I304=0)),"?IN_FOCUS",IF(J304&lt;=2,"?ACTIVATED",IF(J304&lt;&gt;"","?FAMILIAR",IF(F304="NEW",IF(ISNA(VLOOKUP(E304,#REF!,1,FALSE())),"?TYPE_IDENTIFIABLE","?REFERENTIAL"),"_")))))</f>
        <v/>
      </c>
      <c r="H304" s="24" t="str">
        <f t="shared" ca="1" si="29"/>
        <v/>
      </c>
      <c r="I304" s="25" t="str">
        <f>IF(OR(E304="",E304="!!!",F304="NEW"),"",INDEX(B$2:B303,-1+SUMPRODUCT(MAX(ROW(E$2:E303)*(E304=E$2:E303)))))</f>
        <v/>
      </c>
      <c r="J304" s="25" t="str">
        <f ca="1">IF(OR(E304="",E304="!!!",F304="NEW"),"",COUNTBLANK(OFFSET(A$1,,,SUMPRODUCT(MAX(ROW(E$2:E304)*(E304=E$2:E304)))))-COUNTBLANK(OFFSET(A$1,,,SUMPRODUCT(MAX(ROW(E$1:E303)*(E2=E$1:E303))))))</f>
        <v/>
      </c>
      <c r="K304" s="25" t="str">
        <f>IF(OR(E304="",E304="!!!",F304="NEW"),"",INDEX(J$1:J303,SUMPRODUCT(MAX(ROW(E$1:E303)*(E304=E$1:E303)))))</f>
        <v/>
      </c>
      <c r="L304" s="26"/>
    </row>
    <row r="306" spans="1:12" x14ac:dyDescent="0.3">
      <c r="A306" t="s">
        <v>339</v>
      </c>
    </row>
    <row r="307" spans="1:12" x14ac:dyDescent="0.3">
      <c r="A307" t="s">
        <v>340</v>
      </c>
      <c r="E307" s="21" t="str">
        <f t="shared" ref="E307:E332" si="30">IF(D307="?OLD","!!!","")</f>
        <v/>
      </c>
      <c r="F307" s="22" t="str">
        <f>IF(OR(E307="",E307="!!!"),"",IF(NOT(ISNA(VLOOKUP(E307,E$1:E306,1,FALSE()))),"OLD",IF(AND(E307&lt;&gt;"",E307&lt;&gt;"!!!"),"NEW","")))</f>
        <v/>
      </c>
      <c r="G307" s="23" t="str">
        <f>IF(OR(E307="",E307="!!!"),"",IF(OR(J307=0,AND(J307=1,K307=1),AND(J307=1,I307="SBJ"),AND(J307=1,I307=0)),"?IN_FOCUS",IF(J307&lt;=2,"?ACTIVATED",IF(J307&lt;&gt;"","?FAMILIAR",IF(F307="NEW",IF(ISNA(VLOOKUP(E307,#REF!,1,FALSE())),"?TYPE_IDENTIFIABLE","?REFERENTIAL"),"_")))))</f>
        <v/>
      </c>
      <c r="H307" s="24" t="str">
        <f t="shared" ref="H307:H332" ca="1" si="31">IF(J307&lt;&gt;1,"",IF(I307="SBJ","CB","?"))</f>
        <v/>
      </c>
      <c r="I307" s="25" t="str">
        <f>IF(OR(E307="",E307="!!!",F307="NEW"),"",INDEX(B$2:B306,-1+SUMPRODUCT(MAX(ROW(E$2:E306)*(E307=E$2:E306)))))</f>
        <v/>
      </c>
      <c r="J307" s="25" t="str">
        <f ca="1">IF(OR(E307="",E307="!!!",F307="NEW"),"",COUNTBLANK(OFFSET(A$1,,,SUMPRODUCT(MAX(ROW(E$2:E307)*(E307=E$2:E307)))))-COUNTBLANK(OFFSET(A$1,,,SUMPRODUCT(MAX(ROW(E$1:E306)*(E2=E$1:E306))))))</f>
        <v/>
      </c>
      <c r="K307" s="25" t="str">
        <f>IF(OR(E307="",E307="!!!",F307="NEW"),"",INDEX(J$1:J306,SUMPRODUCT(MAX(ROW(E$1:E306)*(E307=E$1:E306)))))</f>
        <v/>
      </c>
      <c r="L307" s="26"/>
    </row>
    <row r="308" spans="1:12" x14ac:dyDescent="0.3">
      <c r="A308" t="s">
        <v>341</v>
      </c>
      <c r="E308" s="21" t="str">
        <f t="shared" si="30"/>
        <v/>
      </c>
      <c r="F308" s="22" t="str">
        <f>IF(OR(E308="",E308="!!!"),"",IF(NOT(ISNA(VLOOKUP(E308,E$1:E307,1,FALSE()))),"OLD",IF(AND(E308&lt;&gt;"",E308&lt;&gt;"!!!"),"NEW","")))</f>
        <v/>
      </c>
      <c r="G308" s="23" t="str">
        <f>IF(OR(E308="",E308="!!!"),"",IF(OR(J308=0,AND(J308=1,K308=1),AND(J308=1,I308="SBJ"),AND(J308=1,I308=0)),"?IN_FOCUS",IF(J308&lt;=2,"?ACTIVATED",IF(J308&lt;&gt;"","?FAMILIAR",IF(F308="NEW",IF(ISNA(VLOOKUP(E308,#REF!,1,FALSE())),"?TYPE_IDENTIFIABLE","?REFERENTIAL"),"_")))))</f>
        <v/>
      </c>
      <c r="H308" s="24" t="str">
        <f t="shared" ca="1" si="31"/>
        <v/>
      </c>
      <c r="I308" s="25" t="str">
        <f>IF(OR(E308="",E308="!!!",F308="NEW"),"",INDEX(B$2:B307,-1+SUMPRODUCT(MAX(ROW(E$2:E307)*(E308=E$2:E307)))))</f>
        <v/>
      </c>
      <c r="J308" s="25" t="str">
        <f ca="1">IF(OR(E308="",E308="!!!",F308="NEW"),"",COUNTBLANK(OFFSET(A$1,,,SUMPRODUCT(MAX(ROW(E$2:E308)*(E308=E$2:E308)))))-COUNTBLANK(OFFSET(A$1,,,SUMPRODUCT(MAX(ROW(E$1:E307)*(E2=E$1:E307))))))</f>
        <v/>
      </c>
      <c r="K308" s="25" t="str">
        <f>IF(OR(E308="",E308="!!!",F308="NEW"),"",INDEX(J$1:J307,SUMPRODUCT(MAX(ROW(E$1:E307)*(E308=E$1:E307)))))</f>
        <v/>
      </c>
      <c r="L308" s="26"/>
    </row>
    <row r="309" spans="1:12" x14ac:dyDescent="0.3">
      <c r="A309" t="s">
        <v>342</v>
      </c>
      <c r="B309" s="20" t="s">
        <v>149</v>
      </c>
      <c r="C309" s="20" t="s">
        <v>197</v>
      </c>
      <c r="E309" s="21" t="str">
        <f t="shared" si="30"/>
        <v/>
      </c>
      <c r="F309" s="22" t="str">
        <f>IF(OR(E309="",E309="!!!"),"",IF(NOT(ISNA(VLOOKUP(E309,E$1:E308,1,FALSE()))),"OLD",IF(AND(E309&lt;&gt;"",E309&lt;&gt;"!!!"),"NEW","")))</f>
        <v/>
      </c>
      <c r="G309" s="23" t="str">
        <f>IF(OR(E309="",E309="!!!"),"",IF(OR(J309=0,AND(J309=1,K309=1),AND(J309=1,I309="SBJ"),AND(J309=1,I309=0)),"?IN_FOCUS",IF(J309&lt;=2,"?ACTIVATED",IF(J309&lt;&gt;"","?FAMILIAR",IF(F309="NEW",IF(ISNA(VLOOKUP(E309,#REF!,1,FALSE())),"?TYPE_IDENTIFIABLE","?REFERENTIAL"),"_")))))</f>
        <v/>
      </c>
      <c r="H309" s="24" t="str">
        <f t="shared" ca="1" si="31"/>
        <v/>
      </c>
      <c r="I309" s="25" t="str">
        <f>IF(OR(E309="",E309="!!!",F309="NEW"),"",INDEX(B$2:B308,-1+SUMPRODUCT(MAX(ROW(E$2:E308)*(E309=E$2:E308)))))</f>
        <v/>
      </c>
      <c r="J309" s="25" t="str">
        <f ca="1">IF(OR(E309="",E309="!!!",F309="NEW"),"",COUNTBLANK(OFFSET(A$1,,,SUMPRODUCT(MAX(ROW(E$2:E309)*(E309=E$2:E309)))))-COUNTBLANK(OFFSET(A$1,,,SUMPRODUCT(MAX(ROW(E$1:E308)*(E2=E$1:E308))))))</f>
        <v/>
      </c>
      <c r="K309" s="25" t="str">
        <f>IF(OR(E309="",E309="!!!",F309="NEW"),"",INDEX(J$1:J308,SUMPRODUCT(MAX(ROW(E$1:E308)*(E309=E$1:E308)))))</f>
        <v/>
      </c>
      <c r="L309" s="26"/>
    </row>
    <row r="310" spans="1:12" x14ac:dyDescent="0.3">
      <c r="A310" t="s">
        <v>304</v>
      </c>
      <c r="E310" s="21" t="str">
        <f t="shared" si="30"/>
        <v/>
      </c>
      <c r="F310" s="22" t="str">
        <f>IF(OR(E310="",E310="!!!"),"",IF(NOT(ISNA(VLOOKUP(E310,E$1:E309,1,FALSE()))),"OLD",IF(AND(E310&lt;&gt;"",E310&lt;&gt;"!!!"),"NEW","")))</f>
        <v/>
      </c>
      <c r="G310" s="23" t="str">
        <f>IF(OR(E310="",E310="!!!"),"",IF(OR(J310=0,AND(J310=1,K310=1),AND(J310=1,I310="SBJ"),AND(J310=1,I310=0)),"?IN_FOCUS",IF(J310&lt;=2,"?ACTIVATED",IF(J310&lt;&gt;"","?FAMILIAR",IF(F310="NEW",IF(ISNA(VLOOKUP(E310,#REF!,1,FALSE())),"?TYPE_IDENTIFIABLE","?REFERENTIAL"),"_")))))</f>
        <v/>
      </c>
      <c r="H310" s="24" t="str">
        <f t="shared" ca="1" si="31"/>
        <v/>
      </c>
      <c r="I310" s="25" t="str">
        <f>IF(OR(E310="",E310="!!!",F310="NEW"),"",INDEX(B$2:B309,-1+SUMPRODUCT(MAX(ROW(E$2:E309)*(E310=E$2:E309)))))</f>
        <v/>
      </c>
      <c r="J310" s="25" t="str">
        <f ca="1">IF(OR(E310="",E310="!!!",F310="NEW"),"",COUNTBLANK(OFFSET(A$1,,,SUMPRODUCT(MAX(ROW(E$2:E310)*(E310=E$2:E310)))))-COUNTBLANK(OFFSET(A$1,,,SUMPRODUCT(MAX(ROW(E$1:E309)*(E2=E$1:E309))))))</f>
        <v/>
      </c>
      <c r="K310" s="25" t="str">
        <f>IF(OR(E310="",E310="!!!",F310="NEW"),"",INDEX(J$1:J309,SUMPRODUCT(MAX(ROW(E$1:E309)*(E310=E$1:E309)))))</f>
        <v/>
      </c>
      <c r="L310" s="26"/>
    </row>
    <row r="311" spans="1:12" x14ac:dyDescent="0.3">
      <c r="A311" t="s">
        <v>156</v>
      </c>
      <c r="B311" s="20" t="s">
        <v>144</v>
      </c>
      <c r="C311" s="20" t="s">
        <v>150</v>
      </c>
      <c r="E311" s="21" t="str">
        <f t="shared" si="30"/>
        <v/>
      </c>
      <c r="F311" s="22" t="str">
        <f>IF(OR(E311="",E311="!!!"),"",IF(NOT(ISNA(VLOOKUP(E311,E$1:E310,1,FALSE()))),"OLD",IF(AND(E311&lt;&gt;"",E311&lt;&gt;"!!!"),"NEW","")))</f>
        <v/>
      </c>
      <c r="G311" s="23" t="str">
        <f>IF(OR(E311="",E311="!!!"),"",IF(OR(J311=0,AND(J311=1,K311=1),AND(J311=1,I311="SBJ"),AND(J311=1,I311=0)),"?IN_FOCUS",IF(J311&lt;=2,"?ACTIVATED",IF(J311&lt;&gt;"","?FAMILIAR",IF(F311="NEW",IF(ISNA(VLOOKUP(E311,#REF!,1,FALSE())),"?TYPE_IDENTIFIABLE","?REFERENTIAL"),"_")))))</f>
        <v/>
      </c>
      <c r="H311" s="24" t="str">
        <f t="shared" ca="1" si="31"/>
        <v/>
      </c>
      <c r="I311" s="25" t="str">
        <f>IF(OR(E311="",E311="!!!",F311="NEW"),"",INDEX(B$2:B310,-1+SUMPRODUCT(MAX(ROW(E$2:E310)*(E311=E$2:E310)))))</f>
        <v/>
      </c>
      <c r="J311" s="25" t="str">
        <f ca="1">IF(OR(E311="",E311="!!!",F311="NEW"),"",COUNTBLANK(OFFSET(A$1,,,SUMPRODUCT(MAX(ROW(E$2:E311)*(E311=E$2:E311)))))-COUNTBLANK(OFFSET(A$1,,,SUMPRODUCT(MAX(ROW(E$1:E310)*(E2=E$1:E310))))))</f>
        <v/>
      </c>
      <c r="K311" s="25" t="str">
        <f>IF(OR(E311="",E311="!!!",F311="NEW"),"",INDEX(J$1:J310,SUMPRODUCT(MAX(ROW(E$1:E310)*(E311=E$1:E310)))))</f>
        <v/>
      </c>
      <c r="L311" s="26"/>
    </row>
    <row r="312" spans="1:12" x14ac:dyDescent="0.3">
      <c r="A312" t="s">
        <v>147</v>
      </c>
      <c r="B312" s="20" t="s">
        <v>165</v>
      </c>
      <c r="C312" s="20" t="s">
        <v>145</v>
      </c>
      <c r="D312" s="20" t="s">
        <v>146</v>
      </c>
      <c r="E312" s="21" t="s">
        <v>480</v>
      </c>
      <c r="F312" s="22" t="str">
        <f>IF(OR(E312="",E312="!!!"),"",IF(NOT(ISNA(VLOOKUP(E312,E$1:E311,1,FALSE()))),"OLD",IF(AND(E312&lt;&gt;"",E312&lt;&gt;"!!!"),"NEW","")))</f>
        <v>OLD</v>
      </c>
      <c r="G312" s="23" t="s">
        <v>528</v>
      </c>
      <c r="H312" s="24" t="str">
        <f t="shared" ca="1" si="31"/>
        <v/>
      </c>
      <c r="I312" s="25" t="str">
        <f>IF(OR(E312="",E312="!!!",F312="NEW"),"",INDEX(B$2:B311,-1+SUMPRODUCT(MAX(ROW(E$2:E311)*(E312=E$2:E311)))))</f>
        <v>SBJ_3</v>
      </c>
      <c r="J312" s="25">
        <f ca="1">IF(OR(E312="",E312="!!!",F312="NEW"),"",COUNTBLANK(OFFSET(A$1,,,SUMPRODUCT(MAX(ROW(E$2:E312)*(E312=E$2:E312)))))-COUNTBLANK(OFFSET(A$1,,,SUMPRODUCT(MAX(ROW(E$1:E311)*(E2=E$1:E311))))))</f>
        <v>0</v>
      </c>
      <c r="K312" s="25">
        <f ca="1">IF(OR(E312="",E312="!!!",F312="NEW"),"",INDEX(J$1:J311,SUMPRODUCT(MAX(ROW(E$1:E311)*(E312=E$1:E311)))))</f>
        <v>0</v>
      </c>
      <c r="L312" s="26"/>
    </row>
    <row r="313" spans="1:12" x14ac:dyDescent="0.3">
      <c r="A313" t="s">
        <v>202</v>
      </c>
      <c r="E313" s="21" t="str">
        <f t="shared" si="30"/>
        <v/>
      </c>
      <c r="F313" s="22" t="str">
        <f>IF(OR(E313="",E313="!!!"),"",IF(NOT(ISNA(VLOOKUP(E313,E$1:E312,1,FALSE()))),"OLD",IF(AND(E313&lt;&gt;"",E313&lt;&gt;"!!!"),"NEW","")))</f>
        <v/>
      </c>
      <c r="G313" s="23" t="str">
        <f>IF(OR(E313="",E313="!!!"),"",IF(OR(J313=0,AND(J313=1,K313=1),AND(J313=1,I313="SBJ"),AND(J313=1,I313=0)),"?IN_FOCUS",IF(J313&lt;=2,"?ACTIVATED",IF(J313&lt;&gt;"","?FAMILIAR",IF(F313="NEW",IF(ISNA(VLOOKUP(E313,#REF!,1,FALSE())),"?TYPE_IDENTIFIABLE","?REFERENTIAL"),"_")))))</f>
        <v/>
      </c>
      <c r="H313" s="24" t="str">
        <f t="shared" ca="1" si="31"/>
        <v/>
      </c>
      <c r="I313" s="25" t="str">
        <f>IF(OR(E313="",E313="!!!",F313="NEW"),"",INDEX(B$2:B312,-1+SUMPRODUCT(MAX(ROW(E$2:E312)*(E313=E$2:E312)))))</f>
        <v/>
      </c>
      <c r="J313" s="25" t="str">
        <f ca="1">IF(OR(E313="",E313="!!!",F313="NEW"),"",COUNTBLANK(OFFSET(A$1,,,SUMPRODUCT(MAX(ROW(E$2:E313)*(E313=E$2:E313)))))-COUNTBLANK(OFFSET(A$1,,,SUMPRODUCT(MAX(ROW(E$1:E312)*(E2=E$1:E312))))))</f>
        <v/>
      </c>
      <c r="K313" s="25" t="str">
        <f>IF(OR(E313="",E313="!!!",F313="NEW"),"",INDEX(J$1:J312,SUMPRODUCT(MAX(ROW(E$1:E312)*(E313=E$1:E312)))))</f>
        <v/>
      </c>
      <c r="L313" s="26"/>
    </row>
    <row r="314" spans="1:12" x14ac:dyDescent="0.3">
      <c r="A314" t="s">
        <v>343</v>
      </c>
      <c r="B314" s="20" t="s">
        <v>222</v>
      </c>
      <c r="E314" s="21" t="str">
        <f t="shared" si="30"/>
        <v/>
      </c>
      <c r="F314" s="22" t="str">
        <f>IF(OR(E314="",E314="!!!"),"",IF(NOT(ISNA(VLOOKUP(E314,E$1:E313,1,FALSE()))),"OLD",IF(AND(E314&lt;&gt;"",E314&lt;&gt;"!!!"),"NEW","")))</f>
        <v/>
      </c>
      <c r="G314" s="23" t="str">
        <f>IF(OR(E314="",E314="!!!"),"",IF(OR(J314=0,AND(J314=1,K314=1),AND(J314=1,I314="SBJ"),AND(J314=1,I314=0)),"?IN_FOCUS",IF(J314&lt;=2,"?ACTIVATED",IF(J314&lt;&gt;"","?FAMILIAR",IF(F314="NEW",IF(ISNA(VLOOKUP(E314,#REF!,1,FALSE())),"?TYPE_IDENTIFIABLE","?REFERENTIAL"),"_")))))</f>
        <v/>
      </c>
      <c r="H314" s="24" t="str">
        <f t="shared" ca="1" si="31"/>
        <v/>
      </c>
      <c r="I314" s="25" t="str">
        <f>IF(OR(E314="",E314="!!!",F314="NEW"),"",INDEX(B$2:B313,-1+SUMPRODUCT(MAX(ROW(E$2:E313)*(E314=E$2:E313)))))</f>
        <v/>
      </c>
      <c r="J314" s="25" t="str">
        <f ca="1">IF(OR(E314="",E314="!!!",F314="NEW"),"",COUNTBLANK(OFFSET(A$1,,,SUMPRODUCT(MAX(ROW(E$2:E314)*(E314=E$2:E314)))))-COUNTBLANK(OFFSET(A$1,,,SUMPRODUCT(MAX(ROW(E$1:E313)*(E2=E$1:E313))))))</f>
        <v/>
      </c>
      <c r="K314" s="25" t="str">
        <f>IF(OR(E314="",E314="!!!",F314="NEW"),"",INDEX(J$1:J313,SUMPRODUCT(MAX(ROW(E$1:E313)*(E314=E$1:E313)))))</f>
        <v/>
      </c>
      <c r="L314" s="26"/>
    </row>
    <row r="315" spans="1:12" x14ac:dyDescent="0.3">
      <c r="A315" t="s">
        <v>236</v>
      </c>
      <c r="E315" s="21" t="str">
        <f t="shared" si="30"/>
        <v/>
      </c>
      <c r="F315" s="22" t="str">
        <f>IF(OR(E315="",E315="!!!"),"",IF(NOT(ISNA(VLOOKUP(E315,E$1:E314,1,FALSE()))),"OLD",IF(AND(E315&lt;&gt;"",E315&lt;&gt;"!!!"),"NEW","")))</f>
        <v/>
      </c>
      <c r="G315" s="23" t="str">
        <f>IF(OR(E315="",E315="!!!"),"",IF(OR(J315=0,AND(J315=1,K315=1),AND(J315=1,I315="SBJ"),AND(J315=1,I315=0)),"?IN_FOCUS",IF(J315&lt;=2,"?ACTIVATED",IF(J315&lt;&gt;"","?FAMILIAR",IF(F315="NEW",IF(ISNA(VLOOKUP(E315,#REF!,1,FALSE())),"?TYPE_IDENTIFIABLE","?REFERENTIAL"),"_")))))</f>
        <v/>
      </c>
      <c r="H315" s="24" t="str">
        <f t="shared" ca="1" si="31"/>
        <v/>
      </c>
      <c r="I315" s="25" t="str">
        <f>IF(OR(E315="",E315="!!!",F315="NEW"),"",INDEX(B$2:B314,-1+SUMPRODUCT(MAX(ROW(E$2:E314)*(E315=E$2:E314)))))</f>
        <v/>
      </c>
      <c r="J315" s="25" t="str">
        <f ca="1">IF(OR(E315="",E315="!!!",F315="NEW"),"",COUNTBLANK(OFFSET(A$1,,,SUMPRODUCT(MAX(ROW(E$2:E315)*(E315=E$2:E315)))))-COUNTBLANK(OFFSET(A$1,,,SUMPRODUCT(MAX(ROW(E$1:E314)*(E2=E$1:E314))))))</f>
        <v/>
      </c>
      <c r="K315" s="25" t="str">
        <f>IF(OR(E315="",E315="!!!",F315="NEW"),"",INDEX(J$1:J314,SUMPRODUCT(MAX(ROW(E$1:E314)*(E315=E$1:E314)))))</f>
        <v/>
      </c>
      <c r="L315" s="26"/>
    </row>
    <row r="316" spans="1:12" x14ac:dyDescent="0.3">
      <c r="A316" t="s">
        <v>185</v>
      </c>
      <c r="E316" s="21" t="str">
        <f t="shared" si="30"/>
        <v/>
      </c>
      <c r="F316" s="22" t="str">
        <f>IF(OR(E316="",E316="!!!"),"",IF(NOT(ISNA(VLOOKUP(E316,E$1:E315,1,FALSE()))),"OLD",IF(AND(E316&lt;&gt;"",E316&lt;&gt;"!!!"),"NEW","")))</f>
        <v/>
      </c>
      <c r="G316" s="23" t="str">
        <f>IF(OR(E316="",E316="!!!"),"",IF(OR(J316=0,AND(J316=1,K316=1),AND(J316=1,I316="SBJ"),AND(J316=1,I316=0)),"?IN_FOCUS",IF(J316&lt;=2,"?ACTIVATED",IF(J316&lt;&gt;"","?FAMILIAR",IF(F316="NEW",IF(ISNA(VLOOKUP(E316,#REF!,1,FALSE())),"?TYPE_IDENTIFIABLE","?REFERENTIAL"),"_")))))</f>
        <v/>
      </c>
      <c r="H316" s="24" t="str">
        <f t="shared" ca="1" si="31"/>
        <v/>
      </c>
      <c r="I316" s="25" t="str">
        <f>IF(OR(E316="",E316="!!!",F316="NEW"),"",INDEX(B$2:B315,-1+SUMPRODUCT(MAX(ROW(E$2:E315)*(E316=E$2:E315)))))</f>
        <v/>
      </c>
      <c r="J316" s="25" t="str">
        <f ca="1">IF(OR(E316="",E316="!!!",F316="NEW"),"",COUNTBLANK(OFFSET(A$1,,,SUMPRODUCT(MAX(ROW(E$2:E316)*(E316=E$2:E316)))))-COUNTBLANK(OFFSET(A$1,,,SUMPRODUCT(MAX(ROW(E$1:E315)*(E2=E$1:E315))))))</f>
        <v/>
      </c>
      <c r="K316" s="25" t="str">
        <f>IF(OR(E316="",E316="!!!",F316="NEW"),"",INDEX(J$1:J315,SUMPRODUCT(MAX(ROW(E$1:E315)*(E316=E$1:E315)))))</f>
        <v/>
      </c>
      <c r="L316" s="26"/>
    </row>
    <row r="317" spans="1:12" x14ac:dyDescent="0.3">
      <c r="A317" t="s">
        <v>344</v>
      </c>
      <c r="B317" s="20" t="s">
        <v>165</v>
      </c>
      <c r="C317" s="20" t="s">
        <v>158</v>
      </c>
      <c r="D317" s="20" t="s">
        <v>146</v>
      </c>
      <c r="E317" s="21"/>
      <c r="F317" s="22" t="s">
        <v>497</v>
      </c>
      <c r="G317" s="23" t="str">
        <f>IF(OR(E317="",E317="!!!"),"",IF(OR(J317=0,AND(J317=1,K317=1),AND(J317=1,I317="SBJ"),AND(J317=1,I317=0)),"?IN_FOCUS",IF(J317&lt;=2,"?ACTIVATED",IF(J317&lt;&gt;"","?FAMILIAR",IF(F317="NEW",IF(ISNA(VLOOKUP(E317,#REF!,1,FALSE())),"?TYPE_IDENTIFIABLE","?REFERENTIAL"),"_")))))</f>
        <v/>
      </c>
      <c r="H317" s="24" t="str">
        <f t="shared" ca="1" si="31"/>
        <v/>
      </c>
      <c r="I317" s="25" t="str">
        <f>IF(OR(E317="",E317="!!!",F317="NEW"),"",INDEX(B$2:B316,-1+SUMPRODUCT(MAX(ROW(E$2:E316)*(E317=E$2:E316)))))</f>
        <v/>
      </c>
      <c r="J317" s="25" t="str">
        <f ca="1">IF(OR(E317="",E317="!!!",F317="NEW"),"",COUNTBLANK(OFFSET(A$1,,,SUMPRODUCT(MAX(ROW(E$2:E317)*(E317=E$2:E317)))))-COUNTBLANK(OFFSET(A$1,,,SUMPRODUCT(MAX(ROW(E$1:E316)*(E2=E$1:E316))))))</f>
        <v/>
      </c>
      <c r="K317" s="25" t="str">
        <f>IF(OR(E317="",E317="!!!",F317="NEW"),"",INDEX(J$1:J316,SUMPRODUCT(MAX(ROW(E$1:E316)*(E317=E$1:E316)))))</f>
        <v/>
      </c>
      <c r="L317" s="26"/>
    </row>
    <row r="318" spans="1:12" x14ac:dyDescent="0.3">
      <c r="A318" t="s">
        <v>345</v>
      </c>
      <c r="E318" s="21" t="str">
        <f t="shared" si="30"/>
        <v/>
      </c>
      <c r="F318" s="22" t="str">
        <f>IF(OR(E318="",E318="!!!"),"",IF(NOT(ISNA(VLOOKUP(E318,E$1:E317,1,FALSE()))),"OLD",IF(AND(E318&lt;&gt;"",E318&lt;&gt;"!!!"),"NEW","")))</f>
        <v/>
      </c>
      <c r="G318" s="23" t="str">
        <f>IF(OR(E318="",E318="!!!"),"",IF(OR(J318=0,AND(J318=1,K318=1),AND(J318=1,I318="SBJ"),AND(J318=1,I318=0)),"?IN_FOCUS",IF(J318&lt;=2,"?ACTIVATED",IF(J318&lt;&gt;"","?FAMILIAR",IF(F318="NEW",IF(ISNA(VLOOKUP(E318,#REF!,1,FALSE())),"?TYPE_IDENTIFIABLE","?REFERENTIAL"),"_")))))</f>
        <v/>
      </c>
      <c r="H318" s="24" t="str">
        <f t="shared" ca="1" si="31"/>
        <v/>
      </c>
      <c r="I318" s="25" t="str">
        <f>IF(OR(E318="",E318="!!!",F318="NEW"),"",INDEX(B$2:B317,-1+SUMPRODUCT(MAX(ROW(E$2:E317)*(E318=E$2:E317)))))</f>
        <v/>
      </c>
      <c r="J318" s="25" t="str">
        <f ca="1">IF(OR(E318="",E318="!!!",F318="NEW"),"",COUNTBLANK(OFFSET(A$1,,,SUMPRODUCT(MAX(ROW(E$2:E318)*(E318=E$2:E318)))))-COUNTBLANK(OFFSET(A$1,,,SUMPRODUCT(MAX(ROW(E$1:E317)*(E2=E$1:E317))))))</f>
        <v/>
      </c>
      <c r="K318" s="25" t="str">
        <f>IF(OR(E318="",E318="!!!",F318="NEW"),"",INDEX(J$1:J317,SUMPRODUCT(MAX(ROW(E$1:E317)*(E318=E$1:E317)))))</f>
        <v/>
      </c>
      <c r="L318" s="26"/>
    </row>
    <row r="319" spans="1:12" x14ac:dyDescent="0.3">
      <c r="A319" t="s">
        <v>182</v>
      </c>
      <c r="E319" s="21" t="str">
        <f t="shared" si="30"/>
        <v/>
      </c>
      <c r="F319" s="22" t="str">
        <f>IF(OR(E319="",E319="!!!"),"",IF(NOT(ISNA(VLOOKUP(E319,E$1:E318,1,FALSE()))),"OLD",IF(AND(E319&lt;&gt;"",E319&lt;&gt;"!!!"),"NEW","")))</f>
        <v/>
      </c>
      <c r="G319" s="23" t="str">
        <f>IF(OR(E319="",E319="!!!"),"",IF(OR(J319=0,AND(J319=1,K319=1),AND(J319=1,I319="SBJ"),AND(J319=1,I319=0)),"?IN_FOCUS",IF(J319&lt;=2,"?ACTIVATED",IF(J319&lt;&gt;"","?FAMILIAR",IF(F319="NEW",IF(ISNA(VLOOKUP(E319,#REF!,1,FALSE())),"?TYPE_IDENTIFIABLE","?REFERENTIAL"),"_")))))</f>
        <v/>
      </c>
      <c r="H319" s="24" t="str">
        <f t="shared" ca="1" si="31"/>
        <v/>
      </c>
      <c r="I319" s="25" t="str">
        <f>IF(OR(E319="",E319="!!!",F319="NEW"),"",INDEX(B$2:B318,-1+SUMPRODUCT(MAX(ROW(E$2:E318)*(E319=E$2:E318)))))</f>
        <v/>
      </c>
      <c r="J319" s="25" t="str">
        <f ca="1">IF(OR(E319="",E319="!!!",F319="NEW"),"",COUNTBLANK(OFFSET(A$1,,,SUMPRODUCT(MAX(ROW(E$2:E319)*(E319=E$2:E319)))))-COUNTBLANK(OFFSET(A$1,,,SUMPRODUCT(MAX(ROW(E$1:E318)*(E2=E$1:E318))))))</f>
        <v/>
      </c>
      <c r="K319" s="25" t="str">
        <f>IF(OR(E319="",E319="!!!",F319="NEW"),"",INDEX(J$1:J318,SUMPRODUCT(MAX(ROW(E$1:E318)*(E319=E$1:E318)))))</f>
        <v/>
      </c>
      <c r="L319" s="26"/>
    </row>
    <row r="320" spans="1:12" x14ac:dyDescent="0.3">
      <c r="A320" t="s">
        <v>202</v>
      </c>
      <c r="E320" s="21" t="str">
        <f t="shared" si="30"/>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31"/>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346</v>
      </c>
      <c r="E321" s="21" t="str">
        <f t="shared" si="30"/>
        <v/>
      </c>
      <c r="F321" s="22" t="str">
        <f>IF(OR(E321="",E321="!!!"),"",IF(NOT(ISNA(VLOOKUP(E321,E$1:E320,1,FALSE()))),"OLD",IF(AND(E321&lt;&gt;"",E321&lt;&gt;"!!!"),"NEW","")))</f>
        <v/>
      </c>
      <c r="G321" s="23" t="str">
        <f>IF(OR(E321="",E321="!!!"),"",IF(OR(J321=0,AND(J321=1,K321=1),AND(J321=1,I321="SBJ"),AND(J321=1,I321=0)),"?IN_FOCUS",IF(J321&lt;=2,"?ACTIVATED",IF(J321&lt;&gt;"","?FAMILIAR",IF(F321="NEW",IF(ISNA(VLOOKUP(E321,#REF!,1,FALSE())),"?TYPE_IDENTIFIABLE","?REFERENTIAL"),"_")))))</f>
        <v/>
      </c>
      <c r="H321" s="24" t="str">
        <f t="shared" ca="1" si="31"/>
        <v/>
      </c>
      <c r="I321" s="25" t="str">
        <f>IF(OR(E321="",E321="!!!",F321="NEW"),"",INDEX(B$2:B320,-1+SUMPRODUCT(MAX(ROW(E$2:E320)*(E321=E$2:E320)))))</f>
        <v/>
      </c>
      <c r="J321" s="25" t="str">
        <f ca="1">IF(OR(E321="",E321="!!!",F321="NEW"),"",COUNTBLANK(OFFSET(A$1,,,SUMPRODUCT(MAX(ROW(E$2:E321)*(E321=E$2:E321)))))-COUNTBLANK(OFFSET(A$1,,,SUMPRODUCT(MAX(ROW(E$1:E320)*(E2=E$1:E320))))))</f>
        <v/>
      </c>
      <c r="K321" s="25" t="str">
        <f>IF(OR(E321="",E321="!!!",F321="NEW"),"",INDEX(J$1:J320,SUMPRODUCT(MAX(ROW(E$1:E320)*(E321=E$1:E320)))))</f>
        <v/>
      </c>
      <c r="L321" s="26"/>
    </row>
    <row r="322" spans="1:12" x14ac:dyDescent="0.3">
      <c r="A322" t="s">
        <v>347</v>
      </c>
      <c r="B322" s="20" t="s">
        <v>157</v>
      </c>
      <c r="C322" s="20" t="s">
        <v>184</v>
      </c>
      <c r="E322" s="21" t="str">
        <f t="shared" si="30"/>
        <v/>
      </c>
      <c r="F322" s="22" t="str">
        <f>IF(OR(E322="",E322="!!!"),"",IF(NOT(ISNA(VLOOKUP(E322,E$1:E321,1,FALSE()))),"OLD",IF(AND(E322&lt;&gt;"",E322&lt;&gt;"!!!"),"NEW","")))</f>
        <v/>
      </c>
      <c r="G322" s="23" t="str">
        <f>IF(OR(E322="",E322="!!!"),"",IF(OR(J322=0,AND(J322=1,K322=1),AND(J322=1,I322="SBJ"),AND(J322=1,I322=0)),"?IN_FOCUS",IF(J322&lt;=2,"?ACTIVATED",IF(J322&lt;&gt;"","?FAMILIAR",IF(F322="NEW",IF(ISNA(VLOOKUP(E322,#REF!,1,FALSE())),"?TYPE_IDENTIFIABLE","?REFERENTIAL"),"_")))))</f>
        <v/>
      </c>
      <c r="H322" s="24" t="str">
        <f t="shared" ca="1" si="31"/>
        <v/>
      </c>
      <c r="I322" s="25" t="str">
        <f>IF(OR(E322="",E322="!!!",F322="NEW"),"",INDEX(B$2:B321,-1+SUMPRODUCT(MAX(ROW(E$2:E321)*(E322=E$2:E321)))))</f>
        <v/>
      </c>
      <c r="J322" s="25" t="str">
        <f ca="1">IF(OR(E322="",E322="!!!",F322="NEW"),"",COUNTBLANK(OFFSET(A$1,,,SUMPRODUCT(MAX(ROW(E$2:E322)*(E322=E$2:E322)))))-COUNTBLANK(OFFSET(A$1,,,SUMPRODUCT(MAX(ROW(E$1:E321)*(E2=E$1:E321))))))</f>
        <v/>
      </c>
      <c r="K322" s="25" t="str">
        <f>IF(OR(E322="",E322="!!!",F322="NEW"),"",INDEX(J$1:J321,SUMPRODUCT(MAX(ROW(E$1:E321)*(E322=E$1:E321)))))</f>
        <v/>
      </c>
      <c r="L322" s="26"/>
    </row>
    <row r="323" spans="1:12" x14ac:dyDescent="0.3">
      <c r="A323" t="s">
        <v>337</v>
      </c>
      <c r="B323" s="20" t="s">
        <v>244</v>
      </c>
      <c r="C323" s="20" t="s">
        <v>150</v>
      </c>
      <c r="E323" s="21" t="s">
        <v>512</v>
      </c>
      <c r="F323" s="22" t="s">
        <v>511</v>
      </c>
      <c r="G323" s="23" t="s">
        <v>528</v>
      </c>
      <c r="H323" s="24" t="str">
        <f t="shared" ca="1" si="31"/>
        <v/>
      </c>
      <c r="I323" s="25" t="e">
        <f>IF(OR(E323="",E323="!!!",F323="NEW"),"",INDEX(B$2:B322,-1+SUMPRODUCT(MAX(ROW(E$2:E322)*(E323=E$2:E322)))))</f>
        <v>#VALUE!</v>
      </c>
      <c r="J323" s="25">
        <f ca="1">IF(OR(E323="",E323="!!!",F323="NEW"),"",COUNTBLANK(OFFSET(A$1,,,SUMPRODUCT(MAX(ROW(E$2:E323)*(E323=E$2:E323)))))-COUNTBLANK(OFFSET(A$1,,,SUMPRODUCT(MAX(ROW(E$1:E322)*(E2=E$1:E322))))))</f>
        <v>0</v>
      </c>
      <c r="K323" s="25" t="e">
        <f>IF(OR(E323="",E323="!!!",F323="NEW"),"",INDEX(J$1:J322,SUMPRODUCT(MAX(ROW(E$1:E322)*(E323=E$1:E322)))))</f>
        <v>#VALUE!</v>
      </c>
      <c r="L323" s="26"/>
    </row>
    <row r="324" spans="1:12" x14ac:dyDescent="0.3">
      <c r="A324" t="s">
        <v>202</v>
      </c>
      <c r="E324" s="21" t="str">
        <f t="shared" si="30"/>
        <v/>
      </c>
      <c r="F324" s="22" t="str">
        <f>IF(OR(E324="",E324="!!!"),"",IF(NOT(ISNA(VLOOKUP(E324,E$1:E323,1,FALSE()))),"OLD",IF(AND(E324&lt;&gt;"",E324&lt;&gt;"!!!"),"NEW","")))</f>
        <v/>
      </c>
      <c r="G324" s="23" t="str">
        <f>IF(OR(E324="",E324="!!!"),"",IF(OR(J324=0,AND(J324=1,K324=1),AND(J324=1,I324="SBJ"),AND(J324=1,I324=0)),"?IN_FOCUS",IF(J324&lt;=2,"?ACTIVATED",IF(J324&lt;&gt;"","?FAMILIAR",IF(F324="NEW",IF(ISNA(VLOOKUP(E324,#REF!,1,FALSE())),"?TYPE_IDENTIFIABLE","?REFERENTIAL"),"_")))))</f>
        <v/>
      </c>
      <c r="H324" s="24" t="str">
        <f t="shared" ca="1" si="31"/>
        <v/>
      </c>
      <c r="I324" s="25" t="str">
        <f>IF(OR(E324="",E324="!!!",F324="NEW"),"",INDEX(B$2:B323,-1+SUMPRODUCT(MAX(ROW(E$2:E323)*(E324=E$2:E323)))))</f>
        <v/>
      </c>
      <c r="J324" s="25" t="str">
        <f ca="1">IF(OR(E324="",E324="!!!",F324="NEW"),"",COUNTBLANK(OFFSET(A$1,,,SUMPRODUCT(MAX(ROW(E$2:E324)*(E324=E$2:E324)))))-COUNTBLANK(OFFSET(A$1,,,SUMPRODUCT(MAX(ROW(E$1:E323)*(E2=E$1:E323))))))</f>
        <v/>
      </c>
      <c r="K324" s="25" t="str">
        <f>IF(OR(E324="",E324="!!!",F324="NEW"),"",INDEX(J$1:J323,SUMPRODUCT(MAX(ROW(E$1:E323)*(E324=E$1:E323)))))</f>
        <v/>
      </c>
      <c r="L324" s="26"/>
    </row>
    <row r="325" spans="1:12" x14ac:dyDescent="0.3">
      <c r="A325" t="s">
        <v>203</v>
      </c>
      <c r="E325" s="21" t="str">
        <f t="shared" si="30"/>
        <v/>
      </c>
      <c r="F325" s="22" t="str">
        <f>IF(OR(E325="",E325="!!!"),"",IF(NOT(ISNA(VLOOKUP(E325,E$1:E324,1,FALSE()))),"OLD",IF(AND(E325&lt;&gt;"",E325&lt;&gt;"!!!"),"NEW","")))</f>
        <v/>
      </c>
      <c r="G325" s="23" t="str">
        <f>IF(OR(E325="",E325="!!!"),"",IF(OR(J325=0,AND(J325=1,K325=1),AND(J325=1,I325="SBJ"),AND(J325=1,I325=0)),"?IN_FOCUS",IF(J325&lt;=2,"?ACTIVATED",IF(J325&lt;&gt;"","?FAMILIAR",IF(F325="NEW",IF(ISNA(VLOOKUP(E325,#REF!,1,FALSE())),"?TYPE_IDENTIFIABLE","?REFERENTIAL"),"_")))))</f>
        <v/>
      </c>
      <c r="H325" s="24" t="str">
        <f t="shared" ca="1" si="31"/>
        <v/>
      </c>
      <c r="I325" s="25" t="str">
        <f>IF(OR(E325="",E325="!!!",F325="NEW"),"",INDEX(B$2:B324,-1+SUMPRODUCT(MAX(ROW(E$2:E324)*(E325=E$2:E324)))))</f>
        <v/>
      </c>
      <c r="J325" s="25" t="str">
        <f ca="1">IF(OR(E325="",E325="!!!",F325="NEW"),"",COUNTBLANK(OFFSET(A$1,,,SUMPRODUCT(MAX(ROW(E$2:E325)*(E325=E$2:E325)))))-COUNTBLANK(OFFSET(A$1,,,SUMPRODUCT(MAX(ROW(E$1:E324)*(E2=E$1:E324))))))</f>
        <v/>
      </c>
      <c r="K325" s="25" t="str">
        <f>IF(OR(E325="",E325="!!!",F325="NEW"),"",INDEX(J$1:J324,SUMPRODUCT(MAX(ROW(E$1:E324)*(E325=E$1:E324)))))</f>
        <v/>
      </c>
      <c r="L325" s="26"/>
    </row>
    <row r="326" spans="1:12" x14ac:dyDescent="0.3">
      <c r="A326" t="s">
        <v>214</v>
      </c>
      <c r="E326" s="21" t="str">
        <f t="shared" si="30"/>
        <v/>
      </c>
      <c r="F326" s="22" t="str">
        <f>IF(OR(E326="",E326="!!!"),"",IF(NOT(ISNA(VLOOKUP(E326,E$1:E325,1,FALSE()))),"OLD",IF(AND(E326&lt;&gt;"",E326&lt;&gt;"!!!"),"NEW","")))</f>
        <v/>
      </c>
      <c r="G326" s="23" t="str">
        <f>IF(OR(E326="",E326="!!!"),"",IF(OR(J326=0,AND(J326=1,K326=1),AND(J326=1,I326="SBJ"),AND(J326=1,I326=0)),"?IN_FOCUS",IF(J326&lt;=2,"?ACTIVATED",IF(J326&lt;&gt;"","?FAMILIAR",IF(F326="NEW",IF(ISNA(VLOOKUP(E326,#REF!,1,FALSE())),"?TYPE_IDENTIFIABLE","?REFERENTIAL"),"_")))))</f>
        <v/>
      </c>
      <c r="H326" s="24" t="str">
        <f t="shared" ca="1" si="31"/>
        <v/>
      </c>
      <c r="I326" s="25" t="str">
        <f>IF(OR(E326="",E326="!!!",F326="NEW"),"",INDEX(B$2:B325,-1+SUMPRODUCT(MAX(ROW(E$2:E325)*(E326=E$2:E325)))))</f>
        <v/>
      </c>
      <c r="J326" s="25" t="str">
        <f ca="1">IF(OR(E326="",E326="!!!",F326="NEW"),"",COUNTBLANK(OFFSET(A$1,,,SUMPRODUCT(MAX(ROW(E$2:E326)*(E326=E$2:E326)))))-COUNTBLANK(OFFSET(A$1,,,SUMPRODUCT(MAX(ROW(E$1:E325)*(E2=E$1:E325))))))</f>
        <v/>
      </c>
      <c r="K326" s="25" t="str">
        <f>IF(OR(E326="",E326="!!!",F326="NEW"),"",INDEX(J$1:J325,SUMPRODUCT(MAX(ROW(E$1:E325)*(E326=E$1:E325)))))</f>
        <v/>
      </c>
      <c r="L326" s="26"/>
    </row>
    <row r="327" spans="1:12" x14ac:dyDescent="0.3">
      <c r="A327" t="s">
        <v>13</v>
      </c>
      <c r="B327" s="20" t="s">
        <v>222</v>
      </c>
      <c r="C327" s="20" t="s">
        <v>158</v>
      </c>
      <c r="D327" s="20" t="s">
        <v>146</v>
      </c>
      <c r="E327" s="21" t="s">
        <v>481</v>
      </c>
      <c r="F327" s="22" t="str">
        <f>IF(OR(E327="",E327="!!!"),"",IF(NOT(ISNA(VLOOKUP(E327,E$1:E326,1,FALSE()))),"OLD",IF(AND(E327&lt;&gt;"",E327&lt;&gt;"!!!"),"NEW","")))</f>
        <v>OLD</v>
      </c>
      <c r="G327" s="23" t="s">
        <v>527</v>
      </c>
      <c r="H327" s="24" t="s">
        <v>138</v>
      </c>
      <c r="I327" s="25" t="str">
        <f>IF(OR(E327="",E327="!!!",F327="NEW"),"",INDEX(B$2:B326,-1+SUMPRODUCT(MAX(ROW(E$2:E326)*(E327=E$2:E326)))))</f>
        <v>SBJ</v>
      </c>
      <c r="J327" s="25">
        <f ca="1">IF(OR(E327="",E327="!!!",F327="NEW"),"",COUNTBLANK(OFFSET(A$1,,,SUMPRODUCT(MAX(ROW(E$2:E327)*(E327=E$2:E327)))))-COUNTBLANK(OFFSET(A$1,,,SUMPRODUCT(MAX(ROW(E$1:E326)*(E2=E$1:E326))))))</f>
        <v>0</v>
      </c>
      <c r="K327" s="25">
        <f ca="1">IF(OR(E327="",E327="!!!",F327="NEW"),"",INDEX(J$1:J326,SUMPRODUCT(MAX(ROW(E$1:E326)*(E327=E$1:E326)))))</f>
        <v>0</v>
      </c>
      <c r="L327" s="26"/>
    </row>
    <row r="328" spans="1:12" x14ac:dyDescent="0.3">
      <c r="A328" t="s">
        <v>262</v>
      </c>
      <c r="E328" s="21" t="str">
        <f t="shared" si="30"/>
        <v/>
      </c>
      <c r="F328" s="22" t="str">
        <f>IF(OR(E328="",E328="!!!"),"",IF(NOT(ISNA(VLOOKUP(E328,E$1:E327,1,FALSE()))),"OLD",IF(AND(E328&lt;&gt;"",E328&lt;&gt;"!!!"),"NEW","")))</f>
        <v/>
      </c>
      <c r="G328" s="23" t="str">
        <f>IF(OR(E328="",E328="!!!"),"",IF(OR(J328=0,AND(J328=1,K328=1),AND(J328=1,I328="SBJ"),AND(J328=1,I328=0)),"?IN_FOCUS",IF(J328&lt;=2,"?ACTIVATED",IF(J328&lt;&gt;"","?FAMILIAR",IF(F328="NEW",IF(ISNA(VLOOKUP(E328,#REF!,1,FALSE())),"?TYPE_IDENTIFIABLE","?REFERENTIAL"),"_")))))</f>
        <v/>
      </c>
      <c r="H328" s="24" t="str">
        <f t="shared" ca="1" si="31"/>
        <v/>
      </c>
      <c r="I328" s="25" t="str">
        <f>IF(OR(E328="",E328="!!!",F328="NEW"),"",INDEX(B$2:B327,-1+SUMPRODUCT(MAX(ROW(E$2:E327)*(E328=E$2:E327)))))</f>
        <v/>
      </c>
      <c r="J328" s="25" t="str">
        <f ca="1">IF(OR(E328="",E328="!!!",F328="NEW"),"",COUNTBLANK(OFFSET(A$1,,,SUMPRODUCT(MAX(ROW(E$2:E328)*(E328=E$2:E328)))))-COUNTBLANK(OFFSET(A$1,,,SUMPRODUCT(MAX(ROW(E$1:E327)*(E2=E$1:E327))))))</f>
        <v/>
      </c>
      <c r="K328" s="25" t="str">
        <f>IF(OR(E328="",E328="!!!",F328="NEW"),"",INDEX(J$1:J327,SUMPRODUCT(MAX(ROW(E$1:E327)*(E328=E$1:E327)))))</f>
        <v/>
      </c>
      <c r="L328" s="26"/>
    </row>
    <row r="329" spans="1:12" x14ac:dyDescent="0.3">
      <c r="A329" t="s">
        <v>348</v>
      </c>
      <c r="E329" s="21" t="str">
        <f t="shared" si="30"/>
        <v/>
      </c>
      <c r="F329" s="22" t="str">
        <f>IF(OR(E329="",E329="!!!"),"",IF(NOT(ISNA(VLOOKUP(E329,E$1:E328,1,FALSE()))),"OLD",IF(AND(E329&lt;&gt;"",E329&lt;&gt;"!!!"),"NEW","")))</f>
        <v/>
      </c>
      <c r="G329" s="23" t="str">
        <f>IF(OR(E329="",E329="!!!"),"",IF(OR(J329=0,AND(J329=1,K329=1),AND(J329=1,I329="SBJ"),AND(J329=1,I329=0)),"?IN_FOCUS",IF(J329&lt;=2,"?ACTIVATED",IF(J329&lt;&gt;"","?FAMILIAR",IF(F329="NEW",IF(ISNA(VLOOKUP(E329,#REF!,1,FALSE())),"?TYPE_IDENTIFIABLE","?REFERENTIAL"),"_")))))</f>
        <v/>
      </c>
      <c r="H329" s="24" t="str">
        <f t="shared" ca="1" si="31"/>
        <v/>
      </c>
      <c r="I329" s="25" t="str">
        <f>IF(OR(E329="",E329="!!!",F329="NEW"),"",INDEX(B$2:B328,-1+SUMPRODUCT(MAX(ROW(E$2:E328)*(E329=E$2:E328)))))</f>
        <v/>
      </c>
      <c r="J329" s="25" t="str">
        <f ca="1">IF(OR(E329="",E329="!!!",F329="NEW"),"",COUNTBLANK(OFFSET(A$1,,,SUMPRODUCT(MAX(ROW(E$2:E329)*(E329=E$2:E329)))))-COUNTBLANK(OFFSET(A$1,,,SUMPRODUCT(MAX(ROW(E$1:E328)*(E2=E$1:E328))))))</f>
        <v/>
      </c>
      <c r="K329" s="25" t="str">
        <f>IF(OR(E329="",E329="!!!",F329="NEW"),"",INDEX(J$1:J328,SUMPRODUCT(MAX(ROW(E$1:E328)*(E329=E$1:E328)))))</f>
        <v/>
      </c>
      <c r="L329" s="26"/>
    </row>
    <row r="330" spans="1:12" x14ac:dyDescent="0.3">
      <c r="A330" t="s">
        <v>349</v>
      </c>
      <c r="B330" s="20" t="s">
        <v>165</v>
      </c>
      <c r="C330" s="20" t="s">
        <v>150</v>
      </c>
      <c r="E330" s="21" t="str">
        <f t="shared" si="30"/>
        <v/>
      </c>
      <c r="F330" s="22" t="str">
        <f>IF(OR(E330="",E330="!!!"),"",IF(NOT(ISNA(VLOOKUP(E330,E$1:E329,1,FALSE()))),"OLD",IF(AND(E330&lt;&gt;"",E330&lt;&gt;"!!!"),"NEW","")))</f>
        <v/>
      </c>
      <c r="G330" s="23" t="str">
        <f>IF(OR(E330="",E330="!!!"),"",IF(OR(J330=0,AND(J330=1,K330=1),AND(J330=1,I330="SBJ"),AND(J330=1,I330=0)),"?IN_FOCUS",IF(J330&lt;=2,"?ACTIVATED",IF(J330&lt;&gt;"","?FAMILIAR",IF(F330="NEW",IF(ISNA(VLOOKUP(E330,#REF!,1,FALSE())),"?TYPE_IDENTIFIABLE","?REFERENTIAL"),"_")))))</f>
        <v/>
      </c>
      <c r="H330" s="24" t="str">
        <f t="shared" ca="1" si="31"/>
        <v/>
      </c>
      <c r="I330" s="25" t="str">
        <f>IF(OR(E330="",E330="!!!",F330="NEW"),"",INDEX(B$2:B329,-1+SUMPRODUCT(MAX(ROW(E$2:E329)*(E330=E$2:E329)))))</f>
        <v/>
      </c>
      <c r="J330" s="25" t="str">
        <f ca="1">IF(OR(E330="",E330="!!!",F330="NEW"),"",COUNTBLANK(OFFSET(A$1,,,SUMPRODUCT(MAX(ROW(E$2:E330)*(E330=E$2:E330)))))-COUNTBLANK(OFFSET(A$1,,,SUMPRODUCT(MAX(ROW(E$1:E329)*(E2=E$1:E329))))))</f>
        <v/>
      </c>
      <c r="K330" s="25" t="str">
        <f>IF(OR(E330="",E330="!!!",F330="NEW"),"",INDEX(J$1:J329,SUMPRODUCT(MAX(ROW(E$1:E329)*(E330=E$1:E329)))))</f>
        <v/>
      </c>
      <c r="L330" s="26"/>
    </row>
    <row r="331" spans="1:12" x14ac:dyDescent="0.3">
      <c r="A331" t="s">
        <v>350</v>
      </c>
      <c r="E331" s="21" t="str">
        <f t="shared" si="30"/>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31"/>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2" spans="1:12" x14ac:dyDescent="0.3">
      <c r="A332" t="s">
        <v>167</v>
      </c>
      <c r="E332" s="21" t="str">
        <f t="shared" si="30"/>
        <v/>
      </c>
      <c r="F332" s="22" t="str">
        <f>IF(OR(E332="",E332="!!!"),"",IF(NOT(ISNA(VLOOKUP(E332,E$1:E331,1,FALSE()))),"OLD",IF(AND(E332&lt;&gt;"",E332&lt;&gt;"!!!"),"NEW","")))</f>
        <v/>
      </c>
      <c r="G332" s="23" t="str">
        <f>IF(OR(E332="",E332="!!!"),"",IF(OR(J332=0,AND(J332=1,K332=1),AND(J332=1,I332="SBJ"),AND(J332=1,I332=0)),"?IN_FOCUS",IF(J332&lt;=2,"?ACTIVATED",IF(J332&lt;&gt;"","?FAMILIAR",IF(F332="NEW",IF(ISNA(VLOOKUP(E332,#REF!,1,FALSE())),"?TYPE_IDENTIFIABLE","?REFERENTIAL"),"_")))))</f>
        <v/>
      </c>
      <c r="H332" s="24" t="str">
        <f t="shared" ca="1" si="31"/>
        <v/>
      </c>
      <c r="I332" s="25" t="str">
        <f>IF(OR(E332="",E332="!!!",F332="NEW"),"",INDEX(B$2:B331,-1+SUMPRODUCT(MAX(ROW(E$2:E331)*(E332=E$2:E331)))))</f>
        <v/>
      </c>
      <c r="J332" s="25" t="str">
        <f ca="1">IF(OR(E332="",E332="!!!",F332="NEW"),"",COUNTBLANK(OFFSET(A$1,,,SUMPRODUCT(MAX(ROW(E$2:E332)*(E332=E$2:E332)))))-COUNTBLANK(OFFSET(A$1,,,SUMPRODUCT(MAX(ROW(E$1:E331)*(E2=E$1:E331))))))</f>
        <v/>
      </c>
      <c r="K332" s="25" t="str">
        <f>IF(OR(E332="",E332="!!!",F332="NEW"),"",INDEX(J$1:J331,SUMPRODUCT(MAX(ROW(E$1:E331)*(E332=E$1:E331)))))</f>
        <v/>
      </c>
      <c r="L332" s="26"/>
    </row>
    <row r="334" spans="1:12" x14ac:dyDescent="0.3">
      <c r="A334" t="s">
        <v>351</v>
      </c>
    </row>
    <row r="335" spans="1:12" x14ac:dyDescent="0.3">
      <c r="A335" t="s">
        <v>352</v>
      </c>
      <c r="E335" s="21" t="str">
        <f t="shared" ref="E335:E358" si="32">IF(D335="?OLD","!!!","")</f>
        <v/>
      </c>
      <c r="F335" s="22" t="str">
        <f>IF(OR(E335="",E335="!!!"),"",IF(NOT(ISNA(VLOOKUP(E335,E$1:E334,1,FALSE()))),"OLD",IF(AND(E335&lt;&gt;"",E335&lt;&gt;"!!!"),"NEW","")))</f>
        <v/>
      </c>
      <c r="G335" s="23" t="str">
        <f>IF(OR(E335="",E335="!!!"),"",IF(OR(J335=0,AND(J335=1,K335=1),AND(J335=1,I335="SBJ"),AND(J335=1,I335=0)),"?IN_FOCUS",IF(J335&lt;=2,"?ACTIVATED",IF(J335&lt;&gt;"","?FAMILIAR",IF(F335="NEW",IF(ISNA(VLOOKUP(E335,#REF!,1,FALSE())),"?TYPE_IDENTIFIABLE","?REFERENTIAL"),"_")))))</f>
        <v/>
      </c>
      <c r="H335" s="24" t="str">
        <f t="shared" ref="H335:H358" ca="1" si="33">IF(J335&lt;&gt;1,"",IF(I335="SBJ","CB","?"))</f>
        <v/>
      </c>
      <c r="I335" s="25" t="str">
        <f>IF(OR(E335="",E335="!!!",F335="NEW"),"",INDEX(B$2:B334,-1+SUMPRODUCT(MAX(ROW(E$2:E334)*(E335=E$2:E334)))))</f>
        <v/>
      </c>
      <c r="J335" s="25" t="str">
        <f ca="1">IF(OR(E335="",E335="!!!",F335="NEW"),"",COUNTBLANK(OFFSET(A$1,,,SUMPRODUCT(MAX(ROW(E$2:E335)*(E335=E$2:E335)))))-COUNTBLANK(OFFSET(A$1,,,SUMPRODUCT(MAX(ROW(E$1:E334)*(E2=E$1:E334))))))</f>
        <v/>
      </c>
      <c r="K335" s="25" t="str">
        <f>IF(OR(E335="",E335="!!!",F335="NEW"),"",INDEX(J$1:J334,SUMPRODUCT(MAX(ROW(E$1:E334)*(E335=E$1:E334)))))</f>
        <v/>
      </c>
      <c r="L335" s="26"/>
    </row>
    <row r="336" spans="1:12" x14ac:dyDescent="0.3">
      <c r="A336" t="s">
        <v>353</v>
      </c>
      <c r="E336" s="21" t="str">
        <f t="shared" si="32"/>
        <v/>
      </c>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33"/>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row>
    <row r="337" spans="1:12" x14ac:dyDescent="0.3">
      <c r="A337" t="s">
        <v>174</v>
      </c>
      <c r="E337" s="21" t="str">
        <f t="shared" si="32"/>
        <v/>
      </c>
      <c r="F337" s="22" t="str">
        <f>IF(OR(E337="",E337="!!!"),"",IF(NOT(ISNA(VLOOKUP(E337,E$1:E336,1,FALSE()))),"OLD",IF(AND(E337&lt;&gt;"",E337&lt;&gt;"!!!"),"NEW","")))</f>
        <v/>
      </c>
      <c r="G337" s="23" t="str">
        <f>IF(OR(E337="",E337="!!!"),"",IF(OR(J337=0,AND(J337=1,K337=1),AND(J337=1,I337="SBJ"),AND(J337=1,I337=0)),"?IN_FOCUS",IF(J337&lt;=2,"?ACTIVATED",IF(J337&lt;&gt;"","?FAMILIAR",IF(F337="NEW",IF(ISNA(VLOOKUP(E337,#REF!,1,FALSE())),"?TYPE_IDENTIFIABLE","?REFERENTIAL"),"_")))))</f>
        <v/>
      </c>
      <c r="H337" s="24" t="str">
        <f t="shared" ca="1" si="33"/>
        <v/>
      </c>
      <c r="I337" s="25" t="str">
        <f>IF(OR(E337="",E337="!!!",F337="NEW"),"",INDEX(B$2:B336,-1+SUMPRODUCT(MAX(ROW(E$2:E336)*(E337=E$2:E336)))))</f>
        <v/>
      </c>
      <c r="J337" s="25" t="str">
        <f ca="1">IF(OR(E337="",E337="!!!",F337="NEW"),"",COUNTBLANK(OFFSET(A$1,,,SUMPRODUCT(MAX(ROW(E$2:E337)*(E337=E$2:E337)))))-COUNTBLANK(OFFSET(A$1,,,SUMPRODUCT(MAX(ROW(E$1:E336)*(E2=E$1:E336))))))</f>
        <v/>
      </c>
      <c r="K337" s="25" t="str">
        <f>IF(OR(E337="",E337="!!!",F337="NEW"),"",INDEX(J$1:J336,SUMPRODUCT(MAX(ROW(E$1:E336)*(E337=E$1:E336)))))</f>
        <v/>
      </c>
      <c r="L337" s="26"/>
    </row>
    <row r="338" spans="1:12" x14ac:dyDescent="0.3">
      <c r="A338" t="s">
        <v>354</v>
      </c>
      <c r="B338" s="20" t="s">
        <v>149</v>
      </c>
      <c r="C338" s="20" t="s">
        <v>158</v>
      </c>
      <c r="D338" s="20" t="s">
        <v>146</v>
      </c>
      <c r="E338" s="21" t="s">
        <v>536</v>
      </c>
      <c r="F338" s="22" t="str">
        <f>IF(OR(E338="",E338="!!!"),"",IF(NOT(ISNA(VLOOKUP(E338,E$1:E337,1,FALSE()))),"OLD",IF(AND(E338&lt;&gt;"",E338&lt;&gt;"!!!"),"NEW","")))</f>
        <v>OLD</v>
      </c>
      <c r="G338" s="23" t="s">
        <v>482</v>
      </c>
      <c r="H338" s="24" t="str">
        <f t="shared" ca="1" si="33"/>
        <v/>
      </c>
      <c r="I338" s="25" t="str">
        <f>IF(OR(E338="",E338="!!!",F338="NEW"),"",INDEX(B$2:B337,-1+SUMPRODUCT(MAX(ROW(E$2:E337)*(E338=E$2:E337)))))</f>
        <v>SBJ</v>
      </c>
      <c r="J338" s="25">
        <f ca="1">IF(OR(E338="",E338="!!!",F338="NEW"),"",COUNTBLANK(OFFSET(A$1,,,SUMPRODUCT(MAX(ROW(E$2:E338)*(E338=E$2:E338)))))-COUNTBLANK(OFFSET(A$1,,,SUMPRODUCT(MAX(ROW(E$1:E337)*(E2=E$1:E337))))))</f>
        <v>0</v>
      </c>
      <c r="K338" s="25" t="str">
        <f ca="1">IF(OR(E338="",E338="!!!",F338="NEW"),"",INDEX(J$1:J337,SUMPRODUCT(MAX(ROW(E$1:E337)*(E338=E$1:E337)))))</f>
        <v/>
      </c>
      <c r="L338" s="26"/>
    </row>
    <row r="339" spans="1:12" x14ac:dyDescent="0.3">
      <c r="A339" t="s">
        <v>187</v>
      </c>
      <c r="E339" s="21" t="str">
        <f t="shared" si="32"/>
        <v/>
      </c>
      <c r="F339" s="22" t="str">
        <f>IF(OR(E339="",E339="!!!"),"",IF(NOT(ISNA(VLOOKUP(E339,E$1:E338,1,FALSE()))),"OLD",IF(AND(E339&lt;&gt;"",E339&lt;&gt;"!!!"),"NEW","")))</f>
        <v/>
      </c>
      <c r="G339" s="23" t="str">
        <f>IF(OR(E339="",E339="!!!"),"",IF(OR(J339=0,AND(J339=1,K339=1),AND(J339=1,I339="SBJ"),AND(J339=1,I339=0)),"?IN_FOCUS",IF(J339&lt;=2,"?ACTIVATED",IF(J339&lt;&gt;"","?FAMILIAR",IF(F339="NEW",IF(ISNA(VLOOKUP(E339,#REF!,1,FALSE())),"?TYPE_IDENTIFIABLE","?REFERENTIAL"),"_")))))</f>
        <v/>
      </c>
      <c r="H339" s="24" t="str">
        <f t="shared" ca="1" si="33"/>
        <v/>
      </c>
      <c r="I339" s="25" t="str">
        <f>IF(OR(E339="",E339="!!!",F339="NEW"),"",INDEX(B$2:B338,-1+SUMPRODUCT(MAX(ROW(E$2:E338)*(E339=E$2:E338)))))</f>
        <v/>
      </c>
      <c r="J339" s="25" t="str">
        <f ca="1">IF(OR(E339="",E339="!!!",F339="NEW"),"",COUNTBLANK(OFFSET(A$1,,,SUMPRODUCT(MAX(ROW(E$2:E339)*(E339=E$2:E339)))))-COUNTBLANK(OFFSET(A$1,,,SUMPRODUCT(MAX(ROW(E$1:E338)*(E2=E$1:E338))))))</f>
        <v/>
      </c>
      <c r="K339" s="25" t="str">
        <f>IF(OR(E339="",E339="!!!",F339="NEW"),"",INDEX(J$1:J338,SUMPRODUCT(MAX(ROW(E$1:E338)*(E339=E$1:E338)))))</f>
        <v/>
      </c>
      <c r="L339" s="26"/>
    </row>
    <row r="340" spans="1:12" x14ac:dyDescent="0.3">
      <c r="A340" t="s">
        <v>208</v>
      </c>
      <c r="E340" s="21" t="str">
        <f t="shared" si="32"/>
        <v/>
      </c>
      <c r="F340" s="22" t="str">
        <f>IF(OR(E340="",E340="!!!"),"",IF(NOT(ISNA(VLOOKUP(E340,E$1:E339,1,FALSE()))),"OLD",IF(AND(E340&lt;&gt;"",E340&lt;&gt;"!!!"),"NEW","")))</f>
        <v/>
      </c>
      <c r="G340" s="23" t="str">
        <f>IF(OR(E340="",E340="!!!"),"",IF(OR(J340=0,AND(J340=1,K340=1),AND(J340=1,I340="SBJ"),AND(J340=1,I340=0)),"?IN_FOCUS",IF(J340&lt;=2,"?ACTIVATED",IF(J340&lt;&gt;"","?FAMILIAR",IF(F340="NEW",IF(ISNA(VLOOKUP(E340,#REF!,1,FALSE())),"?TYPE_IDENTIFIABLE","?REFERENTIAL"),"_")))))</f>
        <v/>
      </c>
      <c r="H340" s="24" t="str">
        <f t="shared" ca="1" si="33"/>
        <v/>
      </c>
      <c r="I340" s="25" t="str">
        <f>IF(OR(E340="",E340="!!!",F340="NEW"),"",INDEX(B$2:B339,-1+SUMPRODUCT(MAX(ROW(E$2:E339)*(E340=E$2:E339)))))</f>
        <v/>
      </c>
      <c r="J340" s="25" t="str">
        <f ca="1">IF(OR(E340="",E340="!!!",F340="NEW"),"",COUNTBLANK(OFFSET(A$1,,,SUMPRODUCT(MAX(ROW(E$2:E340)*(E340=E$2:E340)))))-COUNTBLANK(OFFSET(A$1,,,SUMPRODUCT(MAX(ROW(E$1:E339)*(E2=E$1:E339))))))</f>
        <v/>
      </c>
      <c r="K340" s="25" t="str">
        <f>IF(OR(E340="",E340="!!!",F340="NEW"),"",INDEX(J$1:J339,SUMPRODUCT(MAX(ROW(E$1:E339)*(E340=E$1:E339)))))</f>
        <v/>
      </c>
      <c r="L340" s="26"/>
    </row>
    <row r="341" spans="1:12" x14ac:dyDescent="0.3">
      <c r="A341" t="s">
        <v>355</v>
      </c>
      <c r="B341" s="20" t="s">
        <v>144</v>
      </c>
      <c r="C341" s="20" t="s">
        <v>158</v>
      </c>
      <c r="D341" s="20" t="s">
        <v>146</v>
      </c>
      <c r="E341" s="21"/>
      <c r="F341" s="22" t="s">
        <v>513</v>
      </c>
      <c r="G341" s="23" t="str">
        <f>IF(OR(E341="",E341="!!!"),"",IF(OR(J341=0,AND(J341=1,K341=1),AND(J341=1,I341="SBJ"),AND(J341=1,I341=0)),"?IN_FOCUS",IF(J341&lt;=2,"?ACTIVATED",IF(J341&lt;&gt;"","?FAMILIAR",IF(F341="NEW",IF(ISNA(VLOOKUP(E341,#REF!,1,FALSE())),"?TYPE_IDENTIFIABLE","?REFERENTIAL"),"_")))))</f>
        <v/>
      </c>
      <c r="H341" s="24" t="str">
        <f t="shared" ca="1" si="33"/>
        <v/>
      </c>
      <c r="I341" s="25" t="str">
        <f>IF(OR(E341="",E341="!!!",F341="NEW"),"",INDEX(B$2:B340,-1+SUMPRODUCT(MAX(ROW(E$2:E340)*(E341=E$2:E340)))))</f>
        <v/>
      </c>
      <c r="J341" s="25" t="str">
        <f ca="1">IF(OR(E341="",E341="!!!",F341="NEW"),"",COUNTBLANK(OFFSET(A$1,,,SUMPRODUCT(MAX(ROW(E$2:E341)*(E341=E$2:E341)))))-COUNTBLANK(OFFSET(A$1,,,SUMPRODUCT(MAX(ROW(E$1:E340)*(E2=E$1:E340))))))</f>
        <v/>
      </c>
      <c r="K341" s="25" t="str">
        <f>IF(OR(E341="",E341="!!!",F341="NEW"),"",INDEX(J$1:J340,SUMPRODUCT(MAX(ROW(E$1:E340)*(E341=E$1:E340)))))</f>
        <v/>
      </c>
      <c r="L341" s="26"/>
    </row>
    <row r="342" spans="1:12" x14ac:dyDescent="0.3">
      <c r="A342" t="s">
        <v>202</v>
      </c>
      <c r="E342" s="21" t="str">
        <f t="shared" si="32"/>
        <v/>
      </c>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ca="1" si="33"/>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356</v>
      </c>
      <c r="E343" s="21" t="str">
        <f t="shared" si="32"/>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33"/>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4" spans="1:12" x14ac:dyDescent="0.3">
      <c r="A344" t="s">
        <v>357</v>
      </c>
      <c r="E344" s="21" t="str">
        <f t="shared" si="32"/>
        <v/>
      </c>
      <c r="F344" s="22" t="str">
        <f>IF(OR(E344="",E344="!!!"),"",IF(NOT(ISNA(VLOOKUP(E344,E$1:E343,1,FALSE()))),"OLD",IF(AND(E344&lt;&gt;"",E344&lt;&gt;"!!!"),"NEW","")))</f>
        <v/>
      </c>
      <c r="G344" s="23" t="str">
        <f>IF(OR(E344="",E344="!!!"),"",IF(OR(J344=0,AND(J344=1,K344=1),AND(J344=1,I344="SBJ"),AND(J344=1,I344=0)),"?IN_FOCUS",IF(J344&lt;=2,"?ACTIVATED",IF(J344&lt;&gt;"","?FAMILIAR",IF(F344="NEW",IF(ISNA(VLOOKUP(E344,#REF!,1,FALSE())),"?TYPE_IDENTIFIABLE","?REFERENTIAL"),"_")))))</f>
        <v/>
      </c>
      <c r="H344" s="24" t="str">
        <f t="shared" ca="1" si="33"/>
        <v/>
      </c>
      <c r="I344" s="25" t="str">
        <f>IF(OR(E344="",E344="!!!",F344="NEW"),"",INDEX(B$2:B343,-1+SUMPRODUCT(MAX(ROW(E$2:E343)*(E344=E$2:E343)))))</f>
        <v/>
      </c>
      <c r="J344" s="25" t="str">
        <f ca="1">IF(OR(E344="",E344="!!!",F344="NEW"),"",COUNTBLANK(OFFSET(A$1,,,SUMPRODUCT(MAX(ROW(E$2:E344)*(E344=E$2:E344)))))-COUNTBLANK(OFFSET(A$1,,,SUMPRODUCT(MAX(ROW(E$1:E343)*(E2=E$1:E343))))))</f>
        <v/>
      </c>
      <c r="K344" s="25" t="str">
        <f>IF(OR(E344="",E344="!!!",F344="NEW"),"",INDEX(J$1:J343,SUMPRODUCT(MAX(ROW(E$1:E343)*(E344=E$1:E343)))))</f>
        <v/>
      </c>
      <c r="L344" s="26"/>
    </row>
    <row r="345" spans="1:12" x14ac:dyDescent="0.3">
      <c r="A345" t="s">
        <v>358</v>
      </c>
      <c r="E345" s="21" t="str">
        <f t="shared" si="32"/>
        <v/>
      </c>
      <c r="F345" s="22" t="str">
        <f>IF(OR(E345="",E345="!!!"),"",IF(NOT(ISNA(VLOOKUP(E345,E$1:E344,1,FALSE()))),"OLD",IF(AND(E345&lt;&gt;"",E345&lt;&gt;"!!!"),"NEW","")))</f>
        <v/>
      </c>
      <c r="G345" s="23" t="str">
        <f>IF(OR(E345="",E345="!!!"),"",IF(OR(J345=0,AND(J345=1,K345=1),AND(J345=1,I345="SBJ"),AND(J345=1,I345=0)),"?IN_FOCUS",IF(J345&lt;=2,"?ACTIVATED",IF(J345&lt;&gt;"","?FAMILIAR",IF(F345="NEW",IF(ISNA(VLOOKUP(E345,#REF!,1,FALSE())),"?TYPE_IDENTIFIABLE","?REFERENTIAL"),"_")))))</f>
        <v/>
      </c>
      <c r="H345" s="24" t="str">
        <f t="shared" ca="1" si="33"/>
        <v/>
      </c>
      <c r="I345" s="25" t="str">
        <f>IF(OR(E345="",E345="!!!",F345="NEW"),"",INDEX(B$2:B344,-1+SUMPRODUCT(MAX(ROW(E$2:E344)*(E345=E$2:E344)))))</f>
        <v/>
      </c>
      <c r="J345" s="25" t="str">
        <f ca="1">IF(OR(E345="",E345="!!!",F345="NEW"),"",COUNTBLANK(OFFSET(A$1,,,SUMPRODUCT(MAX(ROW(E$2:E345)*(E345=E$2:E345)))))-COUNTBLANK(OFFSET(A$1,,,SUMPRODUCT(MAX(ROW(E$1:E344)*(E2=E$1:E344))))))</f>
        <v/>
      </c>
      <c r="K345" s="25" t="str">
        <f>IF(OR(E345="",E345="!!!",F345="NEW"),"",INDEX(J$1:J344,SUMPRODUCT(MAX(ROW(E$1:E344)*(E345=E$1:E344)))))</f>
        <v/>
      </c>
      <c r="L345" s="26"/>
    </row>
    <row r="346" spans="1:12" x14ac:dyDescent="0.3">
      <c r="A346" t="s">
        <v>359</v>
      </c>
      <c r="E346" s="21" t="str">
        <f t="shared" si="32"/>
        <v/>
      </c>
      <c r="F346" s="22" t="str">
        <f>IF(OR(E346="",E346="!!!"),"",IF(NOT(ISNA(VLOOKUP(E346,E$1:E345,1,FALSE()))),"OLD",IF(AND(E346&lt;&gt;"",E346&lt;&gt;"!!!"),"NEW","")))</f>
        <v/>
      </c>
      <c r="G346" s="23" t="str">
        <f>IF(OR(E346="",E346="!!!"),"",IF(OR(J346=0,AND(J346=1,K346=1),AND(J346=1,I346="SBJ"),AND(J346=1,I346=0)),"?IN_FOCUS",IF(J346&lt;=2,"?ACTIVATED",IF(J346&lt;&gt;"","?FAMILIAR",IF(F346="NEW",IF(ISNA(VLOOKUP(E346,#REF!,1,FALSE())),"?TYPE_IDENTIFIABLE","?REFERENTIAL"),"_")))))</f>
        <v/>
      </c>
      <c r="H346" s="24" t="str">
        <f t="shared" ca="1" si="33"/>
        <v/>
      </c>
      <c r="I346" s="25" t="str">
        <f>IF(OR(E346="",E346="!!!",F346="NEW"),"",INDEX(B$2:B345,-1+SUMPRODUCT(MAX(ROW(E$2:E345)*(E346=E$2:E345)))))</f>
        <v/>
      </c>
      <c r="J346" s="25" t="str">
        <f ca="1">IF(OR(E346="",E346="!!!",F346="NEW"),"",COUNTBLANK(OFFSET(A$1,,,SUMPRODUCT(MAX(ROW(E$2:E346)*(E346=E$2:E346)))))-COUNTBLANK(OFFSET(A$1,,,SUMPRODUCT(MAX(ROW(E$1:E345)*(E2=E$1:E345))))))</f>
        <v/>
      </c>
      <c r="K346" s="25" t="str">
        <f>IF(OR(E346="",E346="!!!",F346="NEW"),"",INDEX(J$1:J345,SUMPRODUCT(MAX(ROW(E$1:E345)*(E346=E$1:E345)))))</f>
        <v/>
      </c>
      <c r="L346" s="26"/>
    </row>
    <row r="347" spans="1:12" x14ac:dyDescent="0.3">
      <c r="A347" t="s">
        <v>360</v>
      </c>
      <c r="E347" s="21" t="str">
        <f t="shared" si="32"/>
        <v/>
      </c>
      <c r="F347" s="22" t="str">
        <f>IF(OR(E347="",E347="!!!"),"",IF(NOT(ISNA(VLOOKUP(E347,E$1:E346,1,FALSE()))),"OLD",IF(AND(E347&lt;&gt;"",E347&lt;&gt;"!!!"),"NEW","")))</f>
        <v/>
      </c>
      <c r="G347" s="23" t="str">
        <f>IF(OR(E347="",E347="!!!"),"",IF(OR(J347=0,AND(J347=1,K347=1),AND(J347=1,I347="SBJ"),AND(J347=1,I347=0)),"?IN_FOCUS",IF(J347&lt;=2,"?ACTIVATED",IF(J347&lt;&gt;"","?FAMILIAR",IF(F347="NEW",IF(ISNA(VLOOKUP(E347,#REF!,1,FALSE())),"?TYPE_IDENTIFIABLE","?REFERENTIAL"),"_")))))</f>
        <v/>
      </c>
      <c r="H347" s="24" t="str">
        <f t="shared" ca="1" si="33"/>
        <v/>
      </c>
      <c r="I347" s="25" t="str">
        <f>IF(OR(E347="",E347="!!!",F347="NEW"),"",INDEX(B$2:B346,-1+SUMPRODUCT(MAX(ROW(E$2:E346)*(E347=E$2:E346)))))</f>
        <v/>
      </c>
      <c r="J347" s="25" t="str">
        <f ca="1">IF(OR(E347="",E347="!!!",F347="NEW"),"",COUNTBLANK(OFFSET(A$1,,,SUMPRODUCT(MAX(ROW(E$2:E347)*(E347=E$2:E347)))))-COUNTBLANK(OFFSET(A$1,,,SUMPRODUCT(MAX(ROW(E$1:E346)*(E2=E$1:E346))))))</f>
        <v/>
      </c>
      <c r="K347" s="25" t="str">
        <f>IF(OR(E347="",E347="!!!",F347="NEW"),"",INDEX(J$1:J346,SUMPRODUCT(MAX(ROW(E$1:E346)*(E347=E$1:E346)))))</f>
        <v/>
      </c>
      <c r="L347" s="26"/>
    </row>
    <row r="348" spans="1:12" x14ac:dyDescent="0.3">
      <c r="A348" t="s">
        <v>361</v>
      </c>
      <c r="E348" s="21" t="str">
        <f t="shared" si="32"/>
        <v/>
      </c>
      <c r="F348" s="22" t="str">
        <f>IF(OR(E348="",E348="!!!"),"",IF(NOT(ISNA(VLOOKUP(E348,E$1:E347,1,FALSE()))),"OLD",IF(AND(E348&lt;&gt;"",E348&lt;&gt;"!!!"),"NEW","")))</f>
        <v/>
      </c>
      <c r="G348" s="23" t="str">
        <f>IF(OR(E348="",E348="!!!"),"",IF(OR(J348=0,AND(J348=1,K348=1),AND(J348=1,I348="SBJ"),AND(J348=1,I348=0)),"?IN_FOCUS",IF(J348&lt;=2,"?ACTIVATED",IF(J348&lt;&gt;"","?FAMILIAR",IF(F348="NEW",IF(ISNA(VLOOKUP(E348,#REF!,1,FALSE())),"?TYPE_IDENTIFIABLE","?REFERENTIAL"),"_")))))</f>
        <v/>
      </c>
      <c r="H348" s="24" t="str">
        <f t="shared" ca="1" si="33"/>
        <v/>
      </c>
      <c r="I348" s="25" t="str">
        <f>IF(OR(E348="",E348="!!!",F348="NEW"),"",INDEX(B$2:B347,-1+SUMPRODUCT(MAX(ROW(E$2:E347)*(E348=E$2:E347)))))</f>
        <v/>
      </c>
      <c r="J348" s="25" t="str">
        <f ca="1">IF(OR(E348="",E348="!!!",F348="NEW"),"",COUNTBLANK(OFFSET(A$1,,,SUMPRODUCT(MAX(ROW(E$2:E348)*(E348=E$2:E348)))))-COUNTBLANK(OFFSET(A$1,,,SUMPRODUCT(MAX(ROW(E$1:E347)*(E2=E$1:E347))))))</f>
        <v/>
      </c>
      <c r="K348" s="25" t="str">
        <f>IF(OR(E348="",E348="!!!",F348="NEW"),"",INDEX(J$1:J347,SUMPRODUCT(MAX(ROW(E$1:E347)*(E348=E$1:E347)))))</f>
        <v/>
      </c>
      <c r="L348" s="26"/>
    </row>
    <row r="349" spans="1:12" x14ac:dyDescent="0.3">
      <c r="A349" t="s">
        <v>12</v>
      </c>
      <c r="E349" s="21" t="str">
        <f t="shared" si="32"/>
        <v/>
      </c>
      <c r="F349" s="22" t="str">
        <f>IF(OR(E349="",E349="!!!"),"",IF(NOT(ISNA(VLOOKUP(E349,E$1:E348,1,FALSE()))),"OLD",IF(AND(E349&lt;&gt;"",E349&lt;&gt;"!!!"),"NEW","")))</f>
        <v/>
      </c>
      <c r="G349" s="23" t="str">
        <f>IF(OR(E349="",E349="!!!"),"",IF(OR(J349=0,AND(J349=1,K349=1),AND(J349=1,I349="SBJ"),AND(J349=1,I349=0)),"?IN_FOCUS",IF(J349&lt;=2,"?ACTIVATED",IF(J349&lt;&gt;"","?FAMILIAR",IF(F349="NEW",IF(ISNA(VLOOKUP(E349,#REF!,1,FALSE())),"?TYPE_IDENTIFIABLE","?REFERENTIAL"),"_")))))</f>
        <v/>
      </c>
      <c r="H349" s="24" t="str">
        <f t="shared" ca="1" si="33"/>
        <v/>
      </c>
      <c r="I349" s="25" t="str">
        <f>IF(OR(E349="",E349="!!!",F349="NEW"),"",INDEX(B$2:B348,-1+SUMPRODUCT(MAX(ROW(E$2:E348)*(E349=E$2:E348)))))</f>
        <v/>
      </c>
      <c r="J349" s="25" t="str">
        <f ca="1">IF(OR(E349="",E349="!!!",F349="NEW"),"",COUNTBLANK(OFFSET(A$1,,,SUMPRODUCT(MAX(ROW(E$2:E349)*(E349=E$2:E349)))))-COUNTBLANK(OFFSET(A$1,,,SUMPRODUCT(MAX(ROW(E$1:E348)*(E2=E$1:E348))))))</f>
        <v/>
      </c>
      <c r="K349" s="25" t="str">
        <f>IF(OR(E349="",E349="!!!",F349="NEW"),"",INDEX(J$1:J348,SUMPRODUCT(MAX(ROW(E$1:E348)*(E349=E$1:E348)))))</f>
        <v/>
      </c>
      <c r="L349" s="26"/>
    </row>
    <row r="350" spans="1:12" x14ac:dyDescent="0.3">
      <c r="A350" t="s">
        <v>362</v>
      </c>
      <c r="E350" s="21" t="str">
        <f t="shared" si="32"/>
        <v/>
      </c>
      <c r="F350" s="22" t="str">
        <f>IF(OR(E350="",E350="!!!"),"",IF(NOT(ISNA(VLOOKUP(E350,E$1:E349,1,FALSE()))),"OLD",IF(AND(E350&lt;&gt;"",E350&lt;&gt;"!!!"),"NEW","")))</f>
        <v/>
      </c>
      <c r="G350" s="23" t="str">
        <f>IF(OR(E350="",E350="!!!"),"",IF(OR(J350=0,AND(J350=1,K350=1),AND(J350=1,I350="SBJ"),AND(J350=1,I350=0)),"?IN_FOCUS",IF(J350&lt;=2,"?ACTIVATED",IF(J350&lt;&gt;"","?FAMILIAR",IF(F350="NEW",IF(ISNA(VLOOKUP(E350,#REF!,1,FALSE())),"?TYPE_IDENTIFIABLE","?REFERENTIAL"),"_")))))</f>
        <v/>
      </c>
      <c r="H350" s="24" t="str">
        <f t="shared" ca="1" si="33"/>
        <v/>
      </c>
      <c r="I350" s="25" t="str">
        <f>IF(OR(E350="",E350="!!!",F350="NEW"),"",INDEX(B$2:B349,-1+SUMPRODUCT(MAX(ROW(E$2:E349)*(E350=E$2:E349)))))</f>
        <v/>
      </c>
      <c r="J350" s="25" t="str">
        <f ca="1">IF(OR(E350="",E350="!!!",F350="NEW"),"",COUNTBLANK(OFFSET(A$1,,,SUMPRODUCT(MAX(ROW(E$2:E350)*(E350=E$2:E350)))))-COUNTBLANK(OFFSET(A$1,,,SUMPRODUCT(MAX(ROW(E$1:E349)*(E2=E$1:E349))))))</f>
        <v/>
      </c>
      <c r="K350" s="25" t="str">
        <f>IF(OR(E350="",E350="!!!",F350="NEW"),"",INDEX(J$1:J349,SUMPRODUCT(MAX(ROW(E$1:E349)*(E350=E$1:E349)))))</f>
        <v/>
      </c>
      <c r="L350" s="26"/>
    </row>
    <row r="351" spans="1:12" x14ac:dyDescent="0.3">
      <c r="A351" t="s">
        <v>363</v>
      </c>
      <c r="B351" s="20" t="s">
        <v>149</v>
      </c>
      <c r="C351" s="20" t="s">
        <v>184</v>
      </c>
      <c r="E351" s="21" t="str">
        <f t="shared" si="32"/>
        <v/>
      </c>
      <c r="F351" s="22" t="str">
        <f>IF(OR(E351="",E351="!!!"),"",IF(NOT(ISNA(VLOOKUP(E351,E$1:E350,1,FALSE()))),"OLD",IF(AND(E351&lt;&gt;"",E351&lt;&gt;"!!!"),"NEW","")))</f>
        <v/>
      </c>
      <c r="G351" s="23" t="str">
        <f>IF(OR(E351="",E351="!!!"),"",IF(OR(J351=0,AND(J351=1,K351=1),AND(J351=1,I351="SBJ"),AND(J351=1,I351=0)),"?IN_FOCUS",IF(J351&lt;=2,"?ACTIVATED",IF(J351&lt;&gt;"","?FAMILIAR",IF(F351="NEW",IF(ISNA(VLOOKUP(E351,#REF!,1,FALSE())),"?TYPE_IDENTIFIABLE","?REFERENTIAL"),"_")))))</f>
        <v/>
      </c>
      <c r="H351" s="24" t="str">
        <f t="shared" ca="1" si="33"/>
        <v/>
      </c>
      <c r="I351" s="25" t="str">
        <f>IF(OR(E351="",E351="!!!",F351="NEW"),"",INDEX(B$2:B350,-1+SUMPRODUCT(MAX(ROW(E$2:E350)*(E351=E$2:E350)))))</f>
        <v/>
      </c>
      <c r="J351" s="25" t="str">
        <f ca="1">IF(OR(E351="",E351="!!!",F351="NEW"),"",COUNTBLANK(OFFSET(A$1,,,SUMPRODUCT(MAX(ROW(E$2:E351)*(E351=E$2:E351)))))-COUNTBLANK(OFFSET(A$1,,,SUMPRODUCT(MAX(ROW(E$1:E350)*(E2=E$1:E350))))))</f>
        <v/>
      </c>
      <c r="K351" s="25" t="str">
        <f>IF(OR(E351="",E351="!!!",F351="NEW"),"",INDEX(J$1:J350,SUMPRODUCT(MAX(ROW(E$1:E350)*(E351=E$1:E350)))))</f>
        <v/>
      </c>
      <c r="L351" s="26"/>
    </row>
    <row r="352" spans="1:12" x14ac:dyDescent="0.3">
      <c r="A352" t="s">
        <v>364</v>
      </c>
      <c r="E352" s="21" t="str">
        <f t="shared" si="32"/>
        <v/>
      </c>
      <c r="F352" s="22" t="str">
        <f>IF(OR(E352="",E352="!!!"),"",IF(NOT(ISNA(VLOOKUP(E352,E$1:E351,1,FALSE()))),"OLD",IF(AND(E352&lt;&gt;"",E352&lt;&gt;"!!!"),"NEW","")))</f>
        <v/>
      </c>
      <c r="G352" s="23" t="str">
        <f>IF(OR(E352="",E352="!!!"),"",IF(OR(J352=0,AND(J352=1,K352=1),AND(J352=1,I352="SBJ"),AND(J352=1,I352=0)),"?IN_FOCUS",IF(J352&lt;=2,"?ACTIVATED",IF(J352&lt;&gt;"","?FAMILIAR",IF(F352="NEW",IF(ISNA(VLOOKUP(E352,#REF!,1,FALSE())),"?TYPE_IDENTIFIABLE","?REFERENTIAL"),"_")))))</f>
        <v/>
      </c>
      <c r="H352" s="24" t="str">
        <f t="shared" ca="1" si="33"/>
        <v/>
      </c>
      <c r="I352" s="25" t="str">
        <f>IF(OR(E352="",E352="!!!",F352="NEW"),"",INDEX(B$2:B351,-1+SUMPRODUCT(MAX(ROW(E$2:E351)*(E352=E$2:E351)))))</f>
        <v/>
      </c>
      <c r="J352" s="25" t="str">
        <f ca="1">IF(OR(E352="",E352="!!!",F352="NEW"),"",COUNTBLANK(OFFSET(A$1,,,SUMPRODUCT(MAX(ROW(E$2:E352)*(E352=E$2:E352)))))-COUNTBLANK(OFFSET(A$1,,,SUMPRODUCT(MAX(ROW(E$1:E351)*(E2=E$1:E351))))))</f>
        <v/>
      </c>
      <c r="K352" s="25" t="str">
        <f>IF(OR(E352="",E352="!!!",F352="NEW"),"",INDEX(J$1:J351,SUMPRODUCT(MAX(ROW(E$1:E351)*(E352=E$1:E351)))))</f>
        <v/>
      </c>
      <c r="L352" s="26"/>
    </row>
    <row r="353" spans="1:12" x14ac:dyDescent="0.3">
      <c r="A353" t="s">
        <v>202</v>
      </c>
      <c r="E353" s="21" t="str">
        <f t="shared" si="32"/>
        <v/>
      </c>
      <c r="F353" s="22" t="str">
        <f>IF(OR(E353="",E353="!!!"),"",IF(NOT(ISNA(VLOOKUP(E353,E$1:E352,1,FALSE()))),"OLD",IF(AND(E353&lt;&gt;"",E353&lt;&gt;"!!!"),"NEW","")))</f>
        <v/>
      </c>
      <c r="G353" s="23" t="str">
        <f>IF(OR(E353="",E353="!!!"),"",IF(OR(J353=0,AND(J353=1,K353=1),AND(J353=1,I353="SBJ"),AND(J353=1,I353=0)),"?IN_FOCUS",IF(J353&lt;=2,"?ACTIVATED",IF(J353&lt;&gt;"","?FAMILIAR",IF(F353="NEW",IF(ISNA(VLOOKUP(E353,#REF!,1,FALSE())),"?TYPE_IDENTIFIABLE","?REFERENTIAL"),"_")))))</f>
        <v/>
      </c>
      <c r="H353" s="24" t="str">
        <f t="shared" ca="1" si="33"/>
        <v/>
      </c>
      <c r="I353" s="25" t="str">
        <f>IF(OR(E353="",E353="!!!",F353="NEW"),"",INDEX(B$2:B352,-1+SUMPRODUCT(MAX(ROW(E$2:E352)*(E353=E$2:E352)))))</f>
        <v/>
      </c>
      <c r="J353" s="25" t="str">
        <f ca="1">IF(OR(E353="",E353="!!!",F353="NEW"),"",COUNTBLANK(OFFSET(A$1,,,SUMPRODUCT(MAX(ROW(E$2:E353)*(E353=E$2:E353)))))-COUNTBLANK(OFFSET(A$1,,,SUMPRODUCT(MAX(ROW(E$1:E352)*(E2=E$1:E352))))))</f>
        <v/>
      </c>
      <c r="K353" s="25" t="str">
        <f>IF(OR(E353="",E353="!!!",F353="NEW"),"",INDEX(J$1:J352,SUMPRODUCT(MAX(ROW(E$1:E352)*(E353=E$1:E352)))))</f>
        <v/>
      </c>
      <c r="L353" s="26"/>
    </row>
    <row r="354" spans="1:12" x14ac:dyDescent="0.3">
      <c r="A354" t="s">
        <v>365</v>
      </c>
      <c r="E354" s="21" t="str">
        <f t="shared" si="32"/>
        <v/>
      </c>
      <c r="F354" s="22" t="str">
        <f>IF(OR(E354="",E354="!!!"),"",IF(NOT(ISNA(VLOOKUP(E354,E$1:E353,1,FALSE()))),"OLD",IF(AND(E354&lt;&gt;"",E354&lt;&gt;"!!!"),"NEW","")))</f>
        <v/>
      </c>
      <c r="G354" s="23" t="str">
        <f>IF(OR(E354="",E354="!!!"),"",IF(OR(J354=0,AND(J354=1,K354=1),AND(J354=1,I354="SBJ"),AND(J354=1,I354=0)),"?IN_FOCUS",IF(J354&lt;=2,"?ACTIVATED",IF(J354&lt;&gt;"","?FAMILIAR",IF(F354="NEW",IF(ISNA(VLOOKUP(E354,#REF!,1,FALSE())),"?TYPE_IDENTIFIABLE","?REFERENTIAL"),"_")))))</f>
        <v/>
      </c>
      <c r="H354" s="24" t="str">
        <f t="shared" ca="1" si="33"/>
        <v/>
      </c>
      <c r="I354" s="25" t="str">
        <f>IF(OR(E354="",E354="!!!",F354="NEW"),"",INDEX(B$2:B353,-1+SUMPRODUCT(MAX(ROW(E$2:E353)*(E354=E$2:E353)))))</f>
        <v/>
      </c>
      <c r="J354" s="25" t="str">
        <f ca="1">IF(OR(E354="",E354="!!!",F354="NEW"),"",COUNTBLANK(OFFSET(A$1,,,SUMPRODUCT(MAX(ROW(E$2:E354)*(E354=E$2:E354)))))-COUNTBLANK(OFFSET(A$1,,,SUMPRODUCT(MAX(ROW(E$1:E353)*(E2=E$1:E353))))))</f>
        <v/>
      </c>
      <c r="K354" s="25" t="str">
        <f>IF(OR(E354="",E354="!!!",F354="NEW"),"",INDEX(J$1:J353,SUMPRODUCT(MAX(ROW(E$1:E353)*(E354=E$1:E353)))))</f>
        <v/>
      </c>
      <c r="L354" s="26"/>
    </row>
    <row r="355" spans="1:12" x14ac:dyDescent="0.3">
      <c r="A355" t="s">
        <v>362</v>
      </c>
      <c r="E355" s="21" t="str">
        <f t="shared" si="32"/>
        <v/>
      </c>
      <c r="F355" s="22" t="str">
        <f>IF(OR(E355="",E355="!!!"),"",IF(NOT(ISNA(VLOOKUP(E355,E$1:E354,1,FALSE()))),"OLD",IF(AND(E355&lt;&gt;"",E355&lt;&gt;"!!!"),"NEW","")))</f>
        <v/>
      </c>
      <c r="G355" s="23" t="str">
        <f>IF(OR(E355="",E355="!!!"),"",IF(OR(J355=0,AND(J355=1,K355=1),AND(J355=1,I355="SBJ"),AND(J355=1,I355=0)),"?IN_FOCUS",IF(J355&lt;=2,"?ACTIVATED",IF(J355&lt;&gt;"","?FAMILIAR",IF(F355="NEW",IF(ISNA(VLOOKUP(E355,#REF!,1,FALSE())),"?TYPE_IDENTIFIABLE","?REFERENTIAL"),"_")))))</f>
        <v/>
      </c>
      <c r="H355" s="24" t="str">
        <f t="shared" ca="1" si="33"/>
        <v/>
      </c>
      <c r="I355" s="25" t="str">
        <f>IF(OR(E355="",E355="!!!",F355="NEW"),"",INDEX(B$2:B354,-1+SUMPRODUCT(MAX(ROW(E$2:E354)*(E355=E$2:E354)))))</f>
        <v/>
      </c>
      <c r="J355" s="25" t="str">
        <f ca="1">IF(OR(E355="",E355="!!!",F355="NEW"),"",COUNTBLANK(OFFSET(A$1,,,SUMPRODUCT(MAX(ROW(E$2:E355)*(E355=E$2:E355)))))-COUNTBLANK(OFFSET(A$1,,,SUMPRODUCT(MAX(ROW(E$1:E354)*(E2=E$1:E354))))))</f>
        <v/>
      </c>
      <c r="K355" s="25" t="str">
        <f>IF(OR(E355="",E355="!!!",F355="NEW"),"",INDEX(J$1:J354,SUMPRODUCT(MAX(ROW(E$1:E354)*(E355=E$1:E354)))))</f>
        <v/>
      </c>
      <c r="L355" s="26"/>
    </row>
    <row r="356" spans="1:12" x14ac:dyDescent="0.3">
      <c r="A356" t="s">
        <v>330</v>
      </c>
      <c r="E356" s="21" t="str">
        <f t="shared" si="32"/>
        <v/>
      </c>
      <c r="F356" s="22" t="str">
        <f>IF(OR(E356="",E356="!!!"),"",IF(NOT(ISNA(VLOOKUP(E356,E$1:E355,1,FALSE()))),"OLD",IF(AND(E356&lt;&gt;"",E356&lt;&gt;"!!!"),"NEW","")))</f>
        <v/>
      </c>
      <c r="G356" s="23" t="str">
        <f>IF(OR(E356="",E356="!!!"),"",IF(OR(J356=0,AND(J356=1,K356=1),AND(J356=1,I356="SBJ"),AND(J356=1,I356=0)),"?IN_FOCUS",IF(J356&lt;=2,"?ACTIVATED",IF(J356&lt;&gt;"","?FAMILIAR",IF(F356="NEW",IF(ISNA(VLOOKUP(E356,#REF!,1,FALSE())),"?TYPE_IDENTIFIABLE","?REFERENTIAL"),"_")))))</f>
        <v/>
      </c>
      <c r="H356" s="24" t="str">
        <f t="shared" ca="1" si="33"/>
        <v/>
      </c>
      <c r="I356" s="25" t="str">
        <f>IF(OR(E356="",E356="!!!",F356="NEW"),"",INDEX(B$2:B355,-1+SUMPRODUCT(MAX(ROW(E$2:E355)*(E356=E$2:E355)))))</f>
        <v/>
      </c>
      <c r="J356" s="25" t="str">
        <f ca="1">IF(OR(E356="",E356="!!!",F356="NEW"),"",COUNTBLANK(OFFSET(A$1,,,SUMPRODUCT(MAX(ROW(E$2:E356)*(E356=E$2:E356)))))-COUNTBLANK(OFFSET(A$1,,,SUMPRODUCT(MAX(ROW(E$1:E355)*(E2=E$1:E355))))))</f>
        <v/>
      </c>
      <c r="K356" s="25" t="str">
        <f>IF(OR(E356="",E356="!!!",F356="NEW"),"",INDEX(J$1:J355,SUMPRODUCT(MAX(ROW(E$1:E355)*(E356=E$1:E355)))))</f>
        <v/>
      </c>
      <c r="L356" s="26"/>
    </row>
    <row r="357" spans="1:12" x14ac:dyDescent="0.3">
      <c r="A357" t="s">
        <v>366</v>
      </c>
      <c r="B357" s="20" t="s">
        <v>149</v>
      </c>
      <c r="C357" s="20" t="s">
        <v>158</v>
      </c>
      <c r="D357" s="20" t="s">
        <v>146</v>
      </c>
      <c r="E357" s="21" t="s">
        <v>514</v>
      </c>
      <c r="F357" s="22" t="str">
        <f>IF(OR(E357="",E357="!!!"),"",IF(NOT(ISNA(VLOOKUP(E357,E$1:E356,1,FALSE()))),"OLD",IF(AND(E357&lt;&gt;"",E357&lt;&gt;"!!!"),"NEW","")))</f>
        <v>NEW</v>
      </c>
      <c r="G357" s="23" t="s">
        <v>482</v>
      </c>
      <c r="H357" s="24" t="str">
        <f t="shared" ca="1" si="33"/>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8" spans="1:12" x14ac:dyDescent="0.3">
      <c r="A358" t="s">
        <v>167</v>
      </c>
      <c r="E358" s="21" t="str">
        <f t="shared" si="32"/>
        <v/>
      </c>
      <c r="F358" s="22" t="str">
        <f>IF(OR(E358="",E358="!!!"),"",IF(NOT(ISNA(VLOOKUP(E358,E$1:E357,1,FALSE()))),"OLD",IF(AND(E358&lt;&gt;"",E358&lt;&gt;"!!!"),"NEW","")))</f>
        <v/>
      </c>
      <c r="G358" s="23" t="str">
        <f>IF(OR(E358="",E358="!!!"),"",IF(OR(J358=0,AND(J358=1,K358=1),AND(J358=1,I358="SBJ"),AND(J358=1,I358=0)),"?IN_FOCUS",IF(J358&lt;=2,"?ACTIVATED",IF(J358&lt;&gt;"","?FAMILIAR",IF(F358="NEW",IF(ISNA(VLOOKUP(E358,#REF!,1,FALSE())),"?TYPE_IDENTIFIABLE","?REFERENTIAL"),"_")))))</f>
        <v/>
      </c>
      <c r="H358" s="24" t="str">
        <f t="shared" ca="1" si="33"/>
        <v/>
      </c>
      <c r="I358" s="25" t="str">
        <f>IF(OR(E358="",E358="!!!",F358="NEW"),"",INDEX(B$2:B357,-1+SUMPRODUCT(MAX(ROW(E$2:E357)*(E358=E$2:E357)))))</f>
        <v/>
      </c>
      <c r="J358" s="25" t="str">
        <f ca="1">IF(OR(E358="",E358="!!!",F358="NEW"),"",COUNTBLANK(OFFSET(A$1,,,SUMPRODUCT(MAX(ROW(E$2:E358)*(E358=E$2:E358)))))-COUNTBLANK(OFFSET(A$1,,,SUMPRODUCT(MAX(ROW(E$1:E357)*(E2=E$1:E357))))))</f>
        <v/>
      </c>
      <c r="K358" s="25" t="str">
        <f>IF(OR(E358="",E358="!!!",F358="NEW"),"",INDEX(J$1:J357,SUMPRODUCT(MAX(ROW(E$1:E357)*(E358=E$1:E357)))))</f>
        <v/>
      </c>
      <c r="L358" s="26"/>
    </row>
    <row r="360" spans="1:12" x14ac:dyDescent="0.3">
      <c r="A360" t="s">
        <v>367</v>
      </c>
    </row>
    <row r="361" spans="1:12" x14ac:dyDescent="0.3">
      <c r="A361" t="s">
        <v>368</v>
      </c>
      <c r="E361" s="21" t="s">
        <v>540</v>
      </c>
      <c r="F361" s="22" t="str">
        <f>IF(OR(E361="",E361="!!!"),"",IF(NOT(ISNA(VLOOKUP(E361,E$1:E360,1,FALSE()))),"OLD",IF(AND(E361&lt;&gt;"",E361&lt;&gt;"!!!"),"NEW","")))</f>
        <v>NEW</v>
      </c>
      <c r="G361" s="23" t="s">
        <v>483</v>
      </c>
      <c r="H361" s="24" t="str">
        <f t="shared" ref="H361:H370" ca="1" si="34">IF(J361&lt;&gt;1,"",IF(I361="SBJ","CB","?"))</f>
        <v/>
      </c>
      <c r="I361" s="25" t="str">
        <f>IF(OR(E361="",E361="!!!",F361="NEW"),"",INDEX(B$2:B360,-1+SUMPRODUCT(MAX(ROW(E$2:E360)*(E361=E$2:E360)))))</f>
        <v/>
      </c>
      <c r="J361" s="25" t="str">
        <f ca="1">IF(OR(E361="",E361="!!!",F361="NEW"),"",COUNTBLANK(OFFSET(A$1,,,SUMPRODUCT(MAX(ROW(E$2:E361)*(E361=E$2:E361)))))-COUNTBLANK(OFFSET(A$1,,,SUMPRODUCT(MAX(ROW(E$1:E360)*(E2=E$1:E360))))))</f>
        <v/>
      </c>
      <c r="K361" s="25" t="str">
        <f>IF(OR(E361="",E361="!!!",F361="NEW"),"",INDEX(J$1:J360,SUMPRODUCT(MAX(ROW(E$1:E360)*(E361=E$1:E360)))))</f>
        <v/>
      </c>
      <c r="L361" s="26" t="s">
        <v>532</v>
      </c>
    </row>
    <row r="362" spans="1:12" x14ac:dyDescent="0.3">
      <c r="A362" t="s">
        <v>357</v>
      </c>
      <c r="E362" s="21" t="str">
        <f t="shared" ref="E361:E370" si="35">IF(D362="?OLD","!!!","")</f>
        <v/>
      </c>
      <c r="F362" s="22" t="str">
        <f>IF(OR(E362="",E362="!!!"),"",IF(NOT(ISNA(VLOOKUP(E362,E$1:E361,1,FALSE()))),"OLD",IF(AND(E362&lt;&gt;"",E362&lt;&gt;"!!!"),"NEW","")))</f>
        <v/>
      </c>
      <c r="G362" s="23" t="str">
        <f>IF(OR(E362="",E362="!!!"),"",IF(OR(J362=0,AND(J362=1,K362=1),AND(J362=1,I362="SBJ"),AND(J362=1,I362=0)),"?IN_FOCUS",IF(J362&lt;=2,"?ACTIVATED",IF(J362&lt;&gt;"","?FAMILIAR",IF(F362="NEW",IF(ISNA(VLOOKUP(E362,#REF!,1,FALSE())),"?TYPE_IDENTIFIABLE","?REFERENTIAL"),"_")))))</f>
        <v/>
      </c>
      <c r="H362" s="24" t="str">
        <f t="shared" ca="1" si="34"/>
        <v/>
      </c>
      <c r="I362" s="25" t="str">
        <f>IF(OR(E362="",E362="!!!",F362="NEW"),"",INDEX(B$2:B361,-1+SUMPRODUCT(MAX(ROW(E$2:E361)*(E362=E$2:E361)))))</f>
        <v/>
      </c>
      <c r="J362" s="25" t="str">
        <f ca="1">IF(OR(E362="",E362="!!!",F362="NEW"),"",COUNTBLANK(OFFSET(A$1,,,SUMPRODUCT(MAX(ROW(E$2:E362)*(E362=E$2:E362)))))-COUNTBLANK(OFFSET(A$1,,,SUMPRODUCT(MAX(ROW(E$1:E361)*(E2=E$1:E361))))))</f>
        <v/>
      </c>
      <c r="K362" s="25" t="str">
        <f>IF(OR(E362="",E362="!!!",F362="NEW"),"",INDEX(J$1:J361,SUMPRODUCT(MAX(ROW(E$1:E361)*(E362=E$1:E361)))))</f>
        <v/>
      </c>
      <c r="L362" s="26"/>
    </row>
    <row r="363" spans="1:12" x14ac:dyDescent="0.3">
      <c r="A363" t="s">
        <v>369</v>
      </c>
      <c r="E363" s="21" t="str">
        <f t="shared" si="35"/>
        <v/>
      </c>
      <c r="F363" s="22" t="str">
        <f>IF(OR(E363="",E363="!!!"),"",IF(NOT(ISNA(VLOOKUP(E363,E$1:E362,1,FALSE()))),"OLD",IF(AND(E363&lt;&gt;"",E363&lt;&gt;"!!!"),"NEW","")))</f>
        <v/>
      </c>
      <c r="G363" s="23" t="str">
        <f>IF(OR(E363="",E363="!!!"),"",IF(OR(J363=0,AND(J363=1,K363=1),AND(J363=1,I363="SBJ"),AND(J363=1,I363=0)),"?IN_FOCUS",IF(J363&lt;=2,"?ACTIVATED",IF(J363&lt;&gt;"","?FAMILIAR",IF(F363="NEW",IF(ISNA(VLOOKUP(E363,#REF!,1,FALSE())),"?TYPE_IDENTIFIABLE","?REFERENTIAL"),"_")))))</f>
        <v/>
      </c>
      <c r="H363" s="24" t="str">
        <f t="shared" ca="1" si="34"/>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208</v>
      </c>
      <c r="E364" s="21" t="str">
        <f t="shared" si="35"/>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34"/>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370</v>
      </c>
      <c r="B365" s="20" t="s">
        <v>244</v>
      </c>
      <c r="C365" s="20" t="s">
        <v>158</v>
      </c>
      <c r="D365" s="20" t="s">
        <v>146</v>
      </c>
      <c r="E365" s="21" t="s">
        <v>539</v>
      </c>
      <c r="F365" s="22" t="str">
        <f>IF(OR(E365="",E365="!!!"),"",IF(NOT(ISNA(VLOOKUP(E365,E$1:E364,1,FALSE()))),"OLD",IF(AND(E365&lt;&gt;"",E365&lt;&gt;"!!!"),"NEW","")))</f>
        <v>NEW</v>
      </c>
      <c r="G365" s="23" t="s">
        <v>483</v>
      </c>
      <c r="H365" s="24" t="str">
        <f t="shared" ca="1" si="34"/>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row>
    <row r="366" spans="1:12" x14ac:dyDescent="0.3">
      <c r="A366" t="s">
        <v>195</v>
      </c>
      <c r="E366" s="21" t="str">
        <f t="shared" si="35"/>
        <v/>
      </c>
      <c r="F366" s="22" t="str">
        <f>IF(OR(E366="",E366="!!!"),"",IF(NOT(ISNA(VLOOKUP(E366,E$1:E365,1,FALSE()))),"OLD",IF(AND(E366&lt;&gt;"",E366&lt;&gt;"!!!"),"NEW","")))</f>
        <v/>
      </c>
      <c r="G366" s="23" t="str">
        <f>IF(OR(E366="",E366="!!!"),"",IF(OR(J366=0,AND(J366=1,K366=1),AND(J366=1,I366="SBJ"),AND(J366=1,I366=0)),"?IN_FOCUS",IF(J366&lt;=2,"?ACTIVATED",IF(J366&lt;&gt;"","?FAMILIAR",IF(F366="NEW",IF(ISNA(VLOOKUP(E366,#REF!,1,FALSE())),"?TYPE_IDENTIFIABLE","?REFERENTIAL"),"_")))))</f>
        <v/>
      </c>
      <c r="H366" s="24" t="str">
        <f t="shared" ca="1" si="34"/>
        <v/>
      </c>
      <c r="I366" s="25" t="str">
        <f>IF(OR(E366="",E366="!!!",F366="NEW"),"",INDEX(B$2:B365,-1+SUMPRODUCT(MAX(ROW(E$2:E365)*(E366=E$2:E365)))))</f>
        <v/>
      </c>
      <c r="J366" s="25" t="str">
        <f ca="1">IF(OR(E366="",E366="!!!",F366="NEW"),"",COUNTBLANK(OFFSET(A$1,,,SUMPRODUCT(MAX(ROW(E$2:E366)*(E366=E$2:E366)))))-COUNTBLANK(OFFSET(A$1,,,SUMPRODUCT(MAX(ROW(E$1:E365)*(E2=E$1:E365))))))</f>
        <v/>
      </c>
      <c r="K366" s="25" t="str">
        <f>IF(OR(E366="",E366="!!!",F366="NEW"),"",INDEX(J$1:J365,SUMPRODUCT(MAX(ROW(E$1:E365)*(E366=E$1:E365)))))</f>
        <v/>
      </c>
      <c r="L366" s="26"/>
    </row>
    <row r="367" spans="1:12" x14ac:dyDescent="0.3">
      <c r="A367" t="s">
        <v>371</v>
      </c>
      <c r="B367" s="20" t="s">
        <v>144</v>
      </c>
      <c r="C367" s="20" t="s">
        <v>197</v>
      </c>
      <c r="E367" s="21" t="str">
        <f t="shared" si="35"/>
        <v/>
      </c>
      <c r="F367" s="22" t="str">
        <f>IF(OR(E367="",E367="!!!"),"",IF(NOT(ISNA(VLOOKUP(E367,E$1:E366,1,FALSE()))),"OLD",IF(AND(E367&lt;&gt;"",E367&lt;&gt;"!!!"),"NEW","")))</f>
        <v/>
      </c>
      <c r="G367" s="23" t="str">
        <f>IF(OR(E367="",E367="!!!"),"",IF(OR(J367=0,AND(J367=1,K367=1),AND(J367=1,I367="SBJ"),AND(J367=1,I367=0)),"?IN_FOCUS",IF(J367&lt;=2,"?ACTIVATED",IF(J367&lt;&gt;"","?FAMILIAR",IF(F367="NEW",IF(ISNA(VLOOKUP(E367,#REF!,1,FALSE())),"?TYPE_IDENTIFIABLE","?REFERENTIAL"),"_")))))</f>
        <v/>
      </c>
      <c r="H367" s="24" t="str">
        <f t="shared" ca="1" si="34"/>
        <v/>
      </c>
      <c r="I367" s="25" t="str">
        <f>IF(OR(E367="",E367="!!!",F367="NEW"),"",INDEX(B$2:B366,-1+SUMPRODUCT(MAX(ROW(E$2:E366)*(E367=E$2:E366)))))</f>
        <v/>
      </c>
      <c r="J367" s="25" t="str">
        <f ca="1">IF(OR(E367="",E367="!!!",F367="NEW"),"",COUNTBLANK(OFFSET(A$1,,,SUMPRODUCT(MAX(ROW(E$2:E367)*(E367=E$2:E367)))))-COUNTBLANK(OFFSET(A$1,,,SUMPRODUCT(MAX(ROW(E$1:E366)*(E2=E$1:E366))))))</f>
        <v/>
      </c>
      <c r="K367" s="25" t="str">
        <f>IF(OR(E367="",E367="!!!",F367="NEW"),"",INDEX(J$1:J366,SUMPRODUCT(MAX(ROW(E$1:E366)*(E367=E$1:E366)))))</f>
        <v/>
      </c>
      <c r="L367" s="26"/>
    </row>
    <row r="368" spans="1:12" x14ac:dyDescent="0.3">
      <c r="A368" t="s">
        <v>372</v>
      </c>
      <c r="B368" s="20" t="s">
        <v>165</v>
      </c>
      <c r="C368" s="20" t="s">
        <v>150</v>
      </c>
      <c r="E368" s="21" t="str">
        <f t="shared" si="35"/>
        <v/>
      </c>
      <c r="F368" s="22" t="str">
        <f>IF(OR(E368="",E368="!!!"),"",IF(NOT(ISNA(VLOOKUP(E368,E$1:E367,1,FALSE()))),"OLD",IF(AND(E368&lt;&gt;"",E368&lt;&gt;"!!!"),"NEW","")))</f>
        <v/>
      </c>
      <c r="G368" s="23" t="str">
        <f>IF(OR(E368="",E368="!!!"),"",IF(OR(J368=0,AND(J368=1,K368=1),AND(J368=1,I368="SBJ"),AND(J368=1,I368=0)),"?IN_FOCUS",IF(J368&lt;=2,"?ACTIVATED",IF(J368&lt;&gt;"","?FAMILIAR",IF(F368="NEW",IF(ISNA(VLOOKUP(E368,#REF!,1,FALSE())),"?TYPE_IDENTIFIABLE","?REFERENTIAL"),"_")))))</f>
        <v/>
      </c>
      <c r="H368" s="24" t="str">
        <f t="shared" ca="1" si="34"/>
        <v/>
      </c>
      <c r="I368" s="25" t="str">
        <f>IF(OR(E368="",E368="!!!",F368="NEW"),"",INDEX(B$2:B367,-1+SUMPRODUCT(MAX(ROW(E$2:E367)*(E368=E$2:E367)))))</f>
        <v/>
      </c>
      <c r="J368" s="25" t="str">
        <f ca="1">IF(OR(E368="",E368="!!!",F368="NEW"),"",COUNTBLANK(OFFSET(A$1,,,SUMPRODUCT(MAX(ROW(E$2:E368)*(E368=E$2:E368)))))-COUNTBLANK(OFFSET(A$1,,,SUMPRODUCT(MAX(ROW(E$1:E367)*(E2=E$1:E367))))))</f>
        <v/>
      </c>
      <c r="K368" s="25" t="str">
        <f>IF(OR(E368="",E368="!!!",F368="NEW"),"",INDEX(J$1:J367,SUMPRODUCT(MAX(ROW(E$1:E367)*(E368=E$1:E367)))))</f>
        <v/>
      </c>
      <c r="L368" s="26"/>
    </row>
    <row r="369" spans="1:12" x14ac:dyDescent="0.3">
      <c r="A369" t="s">
        <v>362</v>
      </c>
      <c r="E369" s="21" t="str">
        <f t="shared" si="35"/>
        <v/>
      </c>
      <c r="F369" s="22" t="str">
        <f>IF(OR(E369="",E369="!!!"),"",IF(NOT(ISNA(VLOOKUP(E369,E$1:E368,1,FALSE()))),"OLD",IF(AND(E369&lt;&gt;"",E369&lt;&gt;"!!!"),"NEW","")))</f>
        <v/>
      </c>
      <c r="G369" s="23" t="str">
        <f>IF(OR(E369="",E369="!!!"),"",IF(OR(J369=0,AND(J369=1,K369=1),AND(J369=1,I369="SBJ"),AND(J369=1,I369=0)),"?IN_FOCUS",IF(J369&lt;=2,"?ACTIVATED",IF(J369&lt;&gt;"","?FAMILIAR",IF(F369="NEW",IF(ISNA(VLOOKUP(E369,#REF!,1,FALSE())),"?TYPE_IDENTIFIABLE","?REFERENTIAL"),"_")))))</f>
        <v/>
      </c>
      <c r="H369" s="24" t="str">
        <f t="shared" ca="1" si="34"/>
        <v/>
      </c>
      <c r="I369" s="25" t="str">
        <f>IF(OR(E369="",E369="!!!",F369="NEW"),"",INDEX(B$2:B368,-1+SUMPRODUCT(MAX(ROW(E$2:E368)*(E369=E$2:E368)))))</f>
        <v/>
      </c>
      <c r="J369" s="25" t="str">
        <f ca="1">IF(OR(E369="",E369="!!!",F369="NEW"),"",COUNTBLANK(OFFSET(A$1,,,SUMPRODUCT(MAX(ROW(E$2:E369)*(E369=E$2:E369)))))-COUNTBLANK(OFFSET(A$1,,,SUMPRODUCT(MAX(ROW(E$1:E368)*(E2=E$1:E368))))))</f>
        <v/>
      </c>
      <c r="K369" s="25" t="str">
        <f>IF(OR(E369="",E369="!!!",F369="NEW"),"",INDEX(J$1:J368,SUMPRODUCT(MAX(ROW(E$1:E368)*(E369=E$1:E368)))))</f>
        <v/>
      </c>
      <c r="L369" s="26"/>
    </row>
    <row r="370" spans="1:12" x14ac:dyDescent="0.3">
      <c r="A370" t="s">
        <v>314</v>
      </c>
      <c r="E370" s="21" t="str">
        <f t="shared" si="35"/>
        <v/>
      </c>
      <c r="F370" s="22" t="str">
        <f>IF(OR(E370="",E370="!!!"),"",IF(NOT(ISNA(VLOOKUP(E370,E$1:E369,1,FALSE()))),"OLD",IF(AND(E370&lt;&gt;"",E370&lt;&gt;"!!!"),"NEW","")))</f>
        <v/>
      </c>
      <c r="G370" s="23" t="str">
        <f>IF(OR(E370="",E370="!!!"),"",IF(OR(J370=0,AND(J370=1,K370=1),AND(J370=1,I370="SBJ"),AND(J370=1,I370=0)),"?IN_FOCUS",IF(J370&lt;=2,"?ACTIVATED",IF(J370&lt;&gt;"","?FAMILIAR",IF(F370="NEW",IF(ISNA(VLOOKUP(E370,#REF!,1,FALSE())),"?TYPE_IDENTIFIABLE","?REFERENTIAL"),"_")))))</f>
        <v/>
      </c>
      <c r="H370" s="24" t="str">
        <f t="shared" ca="1" si="34"/>
        <v/>
      </c>
      <c r="I370" s="25" t="str">
        <f>IF(OR(E370="",E370="!!!",F370="NEW"),"",INDEX(B$2:B369,-1+SUMPRODUCT(MAX(ROW(E$2:E369)*(E370=E$2:E369)))))</f>
        <v/>
      </c>
      <c r="J370" s="25" t="str">
        <f ca="1">IF(OR(E370="",E370="!!!",F370="NEW"),"",COUNTBLANK(OFFSET(A$1,,,SUMPRODUCT(MAX(ROW(E$2:E370)*(E370=E$2:E370)))))-COUNTBLANK(OFFSET(A$1,,,SUMPRODUCT(MAX(ROW(E$1:E369)*(E2=E$1:E369))))))</f>
        <v/>
      </c>
      <c r="K370" s="25" t="str">
        <f>IF(OR(E370="",E370="!!!",F370="NEW"),"",INDEX(J$1:J369,SUMPRODUCT(MAX(ROW(E$1:E369)*(E370=E$1:E369)))))</f>
        <v/>
      </c>
      <c r="L370" s="26"/>
    </row>
    <row r="372" spans="1:12" x14ac:dyDescent="0.3">
      <c r="A372" t="s">
        <v>373</v>
      </c>
    </row>
    <row r="373" spans="1:12" x14ac:dyDescent="0.3">
      <c r="A373" t="s">
        <v>374</v>
      </c>
      <c r="E373" s="21" t="s">
        <v>540</v>
      </c>
      <c r="F373" s="22" t="str">
        <f>IF(OR(E373="",E373="!!!"),"",IF(NOT(ISNA(VLOOKUP(E373,E$1:E372,1,FALSE()))),"OLD",IF(AND(E373&lt;&gt;"",E373&lt;&gt;"!!!"),"NEW","")))</f>
        <v>OLD</v>
      </c>
      <c r="G373" s="23" t="s">
        <v>527</v>
      </c>
      <c r="H373" s="24" t="s">
        <v>138</v>
      </c>
      <c r="I373" s="25">
        <f>IF(OR(E373="",E373="!!!",F373="NEW"),"",INDEX(B$2:B372,-1+SUMPRODUCT(MAX(ROW(E$2:E372)*(E373=E$2:E372)))))</f>
        <v>0</v>
      </c>
      <c r="J373" s="25">
        <f ca="1">IF(OR(E373="",E373="!!!",F373="NEW"),"",COUNTBLANK(OFFSET(A$1,,,SUMPRODUCT(MAX(ROW(E$2:E373)*(E373=E$2:E373)))))-COUNTBLANK(OFFSET(A$1,,,SUMPRODUCT(MAX(ROW(E$1:E372)*(E2=E$1:E372))))))</f>
        <v>0</v>
      </c>
      <c r="K373" s="25" t="str">
        <f ca="1">IF(OR(E373="",E373="!!!",F373="NEW"),"",INDEX(J$1:J372,SUMPRODUCT(MAX(ROW(E$1:E372)*(E373=E$1:E372)))))</f>
        <v/>
      </c>
      <c r="L373" s="26"/>
    </row>
    <row r="374" spans="1:12" x14ac:dyDescent="0.3">
      <c r="A374" t="s">
        <v>375</v>
      </c>
      <c r="B374" s="20" t="s">
        <v>157</v>
      </c>
      <c r="C374" s="20" t="s">
        <v>319</v>
      </c>
      <c r="D374" s="20" t="s">
        <v>146</v>
      </c>
      <c r="E374" s="21"/>
      <c r="F374" s="22" t="str">
        <f>IF(OR(E374="",E374="!!!"),"",IF(NOT(ISNA(VLOOKUP(E374,E$1:E373,1,FALSE()))),"OLD",IF(AND(E374&lt;&gt;"",E374&lt;&gt;"!!!"),"NEW","")))</f>
        <v/>
      </c>
      <c r="G374" s="23" t="str">
        <f>IF(OR(E374="",E374="!!!"),"",IF(OR(J374=0,AND(J374=1,K374=1),AND(J374=1,I374="SBJ"),AND(J374=1,I374=0)),"?IN_FOCUS",IF(J374&lt;=2,"?ACTIVATED",IF(J374&lt;&gt;"","?FAMILIAR",IF(F374="NEW",IF(ISNA(VLOOKUP(E374,#REF!,1,FALSE())),"?TYPE_IDENTIFIABLE","?REFERENTIAL"),"_")))))</f>
        <v/>
      </c>
      <c r="H374" s="24" t="str">
        <f ca="1">IF(J374&lt;&gt;1,"",IF(I374="SBJ","CB","?"))</f>
        <v/>
      </c>
      <c r="I374" s="25" t="str">
        <f>IF(OR(E374="",E374="!!!",F374="NEW"),"",INDEX(B$2:B373,-1+SUMPRODUCT(MAX(ROW(E$2:E373)*(E374=E$2:E373)))))</f>
        <v/>
      </c>
      <c r="J374" s="25" t="str">
        <f ca="1">IF(OR(E374="",E374="!!!",F374="NEW"),"",COUNTBLANK(OFFSET(A$1,,,SUMPRODUCT(MAX(ROW(E$2:E374)*(E374=E$2:E374)))))-COUNTBLANK(OFFSET(A$1,,,SUMPRODUCT(MAX(ROW(E$1:E373)*(E2=E$1:E373))))))</f>
        <v/>
      </c>
      <c r="K374" s="25" t="str">
        <f>IF(OR(E374="",E374="!!!",F374="NEW"),"",INDEX(J$1:J373,SUMPRODUCT(MAX(ROW(E$1:E373)*(E374=E$1:E373)))))</f>
        <v/>
      </c>
      <c r="L374" s="26" t="s">
        <v>515</v>
      </c>
    </row>
    <row r="375" spans="1:12" x14ac:dyDescent="0.3">
      <c r="A375" t="s">
        <v>376</v>
      </c>
      <c r="E375" s="21" t="str">
        <f>IF(D375="?OLD","!!!","")</f>
        <v/>
      </c>
      <c r="F375" s="22" t="str">
        <f>IF(OR(E375="",E375="!!!"),"",IF(NOT(ISNA(VLOOKUP(E375,E$1:E374,1,FALSE()))),"OLD",IF(AND(E375&lt;&gt;"",E375&lt;&gt;"!!!"),"NEW","")))</f>
        <v/>
      </c>
      <c r="G375" s="23" t="str">
        <f>IF(OR(E375="",E375="!!!"),"",IF(OR(J375=0,AND(J375=1,K375=1),AND(J375=1,I375="SBJ"),AND(J375=1,I375=0)),"?IN_FOCUS",IF(J375&lt;=2,"?ACTIVATED",IF(J375&lt;&gt;"","?FAMILIAR",IF(F375="NEW",IF(ISNA(VLOOKUP(E375,#REF!,1,FALSE())),"?TYPE_IDENTIFIABLE","?REFERENTIAL"),"_")))))</f>
        <v/>
      </c>
      <c r="H375" s="24" t="str">
        <f ca="1">IF(J375&lt;&gt;1,"",IF(I375="SBJ","CB","?"))</f>
        <v/>
      </c>
      <c r="I375" s="25" t="str">
        <f>IF(OR(E375="",E375="!!!",F375="NEW"),"",INDEX(B$2:B374,-1+SUMPRODUCT(MAX(ROW(E$2:E374)*(E375=E$2:E374)))))</f>
        <v/>
      </c>
      <c r="J375" s="25" t="str">
        <f ca="1">IF(OR(E375="",E375="!!!",F375="NEW"),"",COUNTBLANK(OFFSET(A$1,,,SUMPRODUCT(MAX(ROW(E$2:E375)*(E375=E$2:E375)))))-COUNTBLANK(OFFSET(A$1,,,SUMPRODUCT(MAX(ROW(E$1:E374)*(E2=E$1:E374))))))</f>
        <v/>
      </c>
      <c r="K375" s="25" t="str">
        <f>IF(OR(E375="",E375="!!!",F375="NEW"),"",INDEX(J$1:J374,SUMPRODUCT(MAX(ROW(E$1:E374)*(E375=E$1:E374)))))</f>
        <v/>
      </c>
      <c r="L375" s="26"/>
    </row>
    <row r="376" spans="1:12" x14ac:dyDescent="0.3">
      <c r="A376" t="s">
        <v>377</v>
      </c>
      <c r="B376" s="20" t="s">
        <v>149</v>
      </c>
      <c r="C376" s="20" t="s">
        <v>184</v>
      </c>
      <c r="E376" s="21" t="str">
        <f>IF(D376="?OLD","!!!","")</f>
        <v/>
      </c>
      <c r="F376" s="22" t="str">
        <f>IF(OR(E376="",E376="!!!"),"",IF(NOT(ISNA(VLOOKUP(E376,E$1:E375,1,FALSE()))),"OLD",IF(AND(E376&lt;&gt;"",E376&lt;&gt;"!!!"),"NEW","")))</f>
        <v/>
      </c>
      <c r="G376" s="23" t="str">
        <f>IF(OR(E376="",E376="!!!"),"",IF(OR(J376=0,AND(J376=1,K376=1),AND(J376=1,I376="SBJ"),AND(J376=1,I376=0)),"?IN_FOCUS",IF(J376&lt;=2,"?ACTIVATED",IF(J376&lt;&gt;"","?FAMILIAR",IF(F376="NEW",IF(ISNA(VLOOKUP(E376,#REF!,1,FALSE())),"?TYPE_IDENTIFIABLE","?REFERENTIAL"),"_")))))</f>
        <v/>
      </c>
      <c r="H376" s="24" t="str">
        <f ca="1">IF(J376&lt;&gt;1,"",IF(I376="SBJ","CB","?"))</f>
        <v/>
      </c>
      <c r="I376" s="25" t="str">
        <f>IF(OR(E376="",E376="!!!",F376="NEW"),"",INDEX(B$2:B375,-1+SUMPRODUCT(MAX(ROW(E$2:E375)*(E376=E$2:E375)))))</f>
        <v/>
      </c>
      <c r="J376" s="25" t="str">
        <f ca="1">IF(OR(E376="",E376="!!!",F376="NEW"),"",COUNTBLANK(OFFSET(A$1,,,SUMPRODUCT(MAX(ROW(E$2:E376)*(E376=E$2:E376)))))-COUNTBLANK(OFFSET(A$1,,,SUMPRODUCT(MAX(ROW(E$1:E375)*(E2=E$1:E375))))))</f>
        <v/>
      </c>
      <c r="K376" s="25" t="str">
        <f>IF(OR(E376="",E376="!!!",F376="NEW"),"",INDEX(J$1:J375,SUMPRODUCT(MAX(ROW(E$1:E375)*(E376=E$1:E375)))))</f>
        <v/>
      </c>
      <c r="L376" s="26"/>
    </row>
    <row r="377" spans="1:12" x14ac:dyDescent="0.3">
      <c r="A377" t="s">
        <v>167</v>
      </c>
      <c r="E377" s="21" t="str">
        <f>IF(D377="?OLD","!!!","")</f>
        <v/>
      </c>
      <c r="F377" s="22" t="str">
        <f>IF(OR(E377="",E377="!!!"),"",IF(NOT(ISNA(VLOOKUP(E377,E$1:E376,1,FALSE()))),"OLD",IF(AND(E377&lt;&gt;"",E377&lt;&gt;"!!!"),"NEW","")))</f>
        <v/>
      </c>
      <c r="G377" s="23" t="str">
        <f>IF(OR(E377="",E377="!!!"),"",IF(OR(J377=0,AND(J377=1,K377=1),AND(J377=1,I377="SBJ"),AND(J377=1,I377=0)),"?IN_FOCUS",IF(J377&lt;=2,"?ACTIVATED",IF(J377&lt;&gt;"","?FAMILIAR",IF(F377="NEW",IF(ISNA(VLOOKUP(E377,#REF!,1,FALSE())),"?TYPE_IDENTIFIABLE","?REFERENTIAL"),"_")))))</f>
        <v/>
      </c>
      <c r="H377" s="24" t="str">
        <f ca="1">IF(J377&lt;&gt;1,"",IF(I377="SBJ","CB","?"))</f>
        <v/>
      </c>
      <c r="I377" s="25" t="str">
        <f>IF(OR(E377="",E377="!!!",F377="NEW"),"",INDEX(B$2:B376,-1+SUMPRODUCT(MAX(ROW(E$2:E376)*(E377=E$2:E376)))))</f>
        <v/>
      </c>
      <c r="J377" s="25" t="str">
        <f ca="1">IF(OR(E377="",E377="!!!",F377="NEW"),"",COUNTBLANK(OFFSET(A$1,,,SUMPRODUCT(MAX(ROW(E$2:E377)*(E377=E$2:E377)))))-COUNTBLANK(OFFSET(A$1,,,SUMPRODUCT(MAX(ROW(E$1:E376)*(E2=E$1:E376))))))</f>
        <v/>
      </c>
      <c r="K377" s="25" t="str">
        <f>IF(OR(E377="",E377="!!!",F377="NEW"),"",INDEX(J$1:J376,SUMPRODUCT(MAX(ROW(E$1:E376)*(E377=E$1:E376)))))</f>
        <v/>
      </c>
      <c r="L377" s="26"/>
    </row>
    <row r="379" spans="1:12" x14ac:dyDescent="0.3">
      <c r="A379" t="s">
        <v>378</v>
      </c>
    </row>
    <row r="380" spans="1:12" x14ac:dyDescent="0.3">
      <c r="A380" t="s">
        <v>352</v>
      </c>
      <c r="E380" s="21" t="str">
        <f t="shared" ref="E380:E409" si="36">IF(D380="?OLD","!!!","")</f>
        <v/>
      </c>
      <c r="F380" s="22" t="str">
        <f>IF(OR(E380="",E380="!!!"),"",IF(NOT(ISNA(VLOOKUP(E380,E$1:E379,1,FALSE()))),"OLD",IF(AND(E380&lt;&gt;"",E380&lt;&gt;"!!!"),"NEW","")))</f>
        <v/>
      </c>
      <c r="G380" s="23" t="str">
        <f>IF(OR(E380="",E380="!!!"),"",IF(OR(J380=0,AND(J380=1,K380=1),AND(J380=1,I380="SBJ"),AND(J380=1,I380=0)),"?IN_FOCUS",IF(J380&lt;=2,"?ACTIVATED",IF(J380&lt;&gt;"","?FAMILIAR",IF(F380="NEW",IF(ISNA(VLOOKUP(E380,#REF!,1,FALSE())),"?TYPE_IDENTIFIABLE","?REFERENTIAL"),"_")))))</f>
        <v/>
      </c>
      <c r="H380" s="24" t="str">
        <f t="shared" ref="H380:H409" ca="1" si="37">IF(J380&lt;&gt;1,"",IF(I380="SBJ","CB","?"))</f>
        <v/>
      </c>
      <c r="I380" s="25" t="str">
        <f>IF(OR(E380="",E380="!!!",F380="NEW"),"",INDEX(B$2:B379,-1+SUMPRODUCT(MAX(ROW(E$2:E379)*(E380=E$2:E379)))))</f>
        <v/>
      </c>
      <c r="J380" s="25" t="str">
        <f ca="1">IF(OR(E380="",E380="!!!",F380="NEW"),"",COUNTBLANK(OFFSET(A$1,,,SUMPRODUCT(MAX(ROW(E$2:E380)*(E380=E$2:E380)))))-COUNTBLANK(OFFSET(A$1,,,SUMPRODUCT(MAX(ROW(E$1:E379)*(E2=E$1:E379))))))</f>
        <v/>
      </c>
      <c r="K380" s="25" t="str">
        <f>IF(OR(E380="",E380="!!!",F380="NEW"),"",INDEX(J$1:J379,SUMPRODUCT(MAX(ROW(E$1:E379)*(E380=E$1:E379)))))</f>
        <v/>
      </c>
      <c r="L380" s="26"/>
    </row>
    <row r="381" spans="1:12" x14ac:dyDescent="0.3">
      <c r="A381" t="s">
        <v>208</v>
      </c>
      <c r="E381" s="21" t="str">
        <f t="shared" si="36"/>
        <v/>
      </c>
      <c r="F381" s="22" t="str">
        <f>IF(OR(E381="",E381="!!!"),"",IF(NOT(ISNA(VLOOKUP(E381,E$1:E380,1,FALSE()))),"OLD",IF(AND(E381&lt;&gt;"",E381&lt;&gt;"!!!"),"NEW","")))</f>
        <v/>
      </c>
      <c r="G381" s="23" t="str">
        <f>IF(OR(E381="",E381="!!!"),"",IF(OR(J381=0,AND(J381=1,K381=1),AND(J381=1,I381="SBJ"),AND(J381=1,I381=0)),"?IN_FOCUS",IF(J381&lt;=2,"?ACTIVATED",IF(J381&lt;&gt;"","?FAMILIAR",IF(F381="NEW",IF(ISNA(VLOOKUP(E381,#REF!,1,FALSE())),"?TYPE_IDENTIFIABLE","?REFERENTIAL"),"_")))))</f>
        <v/>
      </c>
      <c r="H381" s="24" t="str">
        <f t="shared" ca="1" si="37"/>
        <v/>
      </c>
      <c r="I381" s="25" t="str">
        <f>IF(OR(E381="",E381="!!!",F381="NEW"),"",INDEX(B$2:B380,-1+SUMPRODUCT(MAX(ROW(E$2:E380)*(E381=E$2:E380)))))</f>
        <v/>
      </c>
      <c r="J381" s="25" t="str">
        <f ca="1">IF(OR(E381="",E381="!!!",F381="NEW"),"",COUNTBLANK(OFFSET(A$1,,,SUMPRODUCT(MAX(ROW(E$2:E381)*(E381=E$2:E381)))))-COUNTBLANK(OFFSET(A$1,,,SUMPRODUCT(MAX(ROW(E$1:E380)*(E2=E$1:E380))))))</f>
        <v/>
      </c>
      <c r="K381" s="25" t="str">
        <f>IF(OR(E381="",E381="!!!",F381="NEW"),"",INDEX(J$1:J380,SUMPRODUCT(MAX(ROW(E$1:E380)*(E381=E$1:E380)))))</f>
        <v/>
      </c>
      <c r="L381" s="26"/>
    </row>
    <row r="382" spans="1:12" x14ac:dyDescent="0.3">
      <c r="A382" t="s">
        <v>379</v>
      </c>
      <c r="E382" s="21" t="str">
        <f t="shared" si="36"/>
        <v/>
      </c>
      <c r="F382" s="22" t="str">
        <f>IF(OR(E382="",E382="!!!"),"",IF(NOT(ISNA(VLOOKUP(E382,E$1:E381,1,FALSE()))),"OLD",IF(AND(E382&lt;&gt;"",E382&lt;&gt;"!!!"),"NEW","")))</f>
        <v/>
      </c>
      <c r="G382" s="23" t="str">
        <f>IF(OR(E382="",E382="!!!"),"",IF(OR(J382=0,AND(J382=1,K382=1),AND(J382=1,I382="SBJ"),AND(J382=1,I382=0)),"?IN_FOCUS",IF(J382&lt;=2,"?ACTIVATED",IF(J382&lt;&gt;"","?FAMILIAR",IF(F382="NEW",IF(ISNA(VLOOKUP(E382,#REF!,1,FALSE())),"?TYPE_IDENTIFIABLE","?REFERENTIAL"),"_")))))</f>
        <v/>
      </c>
      <c r="H382" s="24" t="str">
        <f t="shared" ca="1" si="37"/>
        <v/>
      </c>
      <c r="I382" s="25" t="str">
        <f>IF(OR(E382="",E382="!!!",F382="NEW"),"",INDEX(B$2:B381,-1+SUMPRODUCT(MAX(ROW(E$2:E381)*(E382=E$2:E381)))))</f>
        <v/>
      </c>
      <c r="J382" s="25" t="str">
        <f ca="1">IF(OR(E382="",E382="!!!",F382="NEW"),"",COUNTBLANK(OFFSET(A$1,,,SUMPRODUCT(MAX(ROW(E$2:E382)*(E382=E$2:E382)))))-COUNTBLANK(OFFSET(A$1,,,SUMPRODUCT(MAX(ROW(E$1:E381)*(E2=E$1:E381))))))</f>
        <v/>
      </c>
      <c r="K382" s="25" t="str">
        <f>IF(OR(E382="",E382="!!!",F382="NEW"),"",INDEX(J$1:J381,SUMPRODUCT(MAX(ROW(E$1:E381)*(E382=E$1:E381)))))</f>
        <v/>
      </c>
      <c r="L382" s="26"/>
    </row>
    <row r="383" spans="1:12" x14ac:dyDescent="0.3">
      <c r="A383" t="s">
        <v>90</v>
      </c>
      <c r="B383" s="20" t="s">
        <v>149</v>
      </c>
      <c r="C383" s="20" t="s">
        <v>158</v>
      </c>
      <c r="D383" s="20" t="s">
        <v>146</v>
      </c>
      <c r="E383" s="21" t="s">
        <v>541</v>
      </c>
      <c r="F383" s="22" t="str">
        <f>IF(OR(E383="",E383="!!!"),"",IF(NOT(ISNA(VLOOKUP(E383,E$1:E382,1,FALSE()))),"OLD",IF(AND(E383&lt;&gt;"",E383&lt;&gt;"!!!"),"NEW","")))</f>
        <v>NEW</v>
      </c>
      <c r="G383" s="23" t="s">
        <v>483</v>
      </c>
      <c r="H383" s="24" t="str">
        <f t="shared" ca="1" si="37"/>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12</v>
      </c>
      <c r="E384" s="21" t="str">
        <f t="shared" si="36"/>
        <v/>
      </c>
      <c r="F384" s="22" t="str">
        <f>IF(OR(E384="",E384="!!!"),"",IF(NOT(ISNA(VLOOKUP(E384,E$1:E383,1,FALSE()))),"OLD",IF(AND(E384&lt;&gt;"",E384&lt;&gt;"!!!"),"NEW","")))</f>
        <v/>
      </c>
      <c r="G384" s="23" t="str">
        <f>IF(OR(E384="",E384="!!!"),"",IF(OR(J384=0,AND(J384=1,K384=1),AND(J384=1,I384="SBJ"),AND(J384=1,I384=0)),"?IN_FOCUS",IF(J384&lt;=2,"?ACTIVATED",IF(J384&lt;&gt;"","?FAMILIAR",IF(F384="NEW",IF(ISNA(VLOOKUP(E384,#REF!,1,FALSE())),"?TYPE_IDENTIFIABLE","?REFERENTIAL"),"_")))))</f>
        <v/>
      </c>
      <c r="H384" s="24" t="str">
        <f t="shared" ca="1" si="37"/>
        <v/>
      </c>
      <c r="I384" s="25" t="str">
        <f>IF(OR(E384="",E384="!!!",F384="NEW"),"",INDEX(B$2:B383,-1+SUMPRODUCT(MAX(ROW(E$2:E383)*(E384=E$2:E383)))))</f>
        <v/>
      </c>
      <c r="J384" s="25" t="str">
        <f ca="1">IF(OR(E384="",E384="!!!",F384="NEW"),"",COUNTBLANK(OFFSET(A$1,,,SUMPRODUCT(MAX(ROW(E$2:E384)*(E384=E$2:E384)))))-COUNTBLANK(OFFSET(A$1,,,SUMPRODUCT(MAX(ROW(E$1:E383)*(E2=E$1:E383))))))</f>
        <v/>
      </c>
      <c r="K384" s="25" t="str">
        <f>IF(OR(E384="",E384="!!!",F384="NEW"),"",INDEX(J$1:J383,SUMPRODUCT(MAX(ROW(E$1:E383)*(E384=E$1:E383)))))</f>
        <v/>
      </c>
      <c r="L384" s="26"/>
    </row>
    <row r="385" spans="1:12" x14ac:dyDescent="0.3">
      <c r="A385" t="s">
        <v>203</v>
      </c>
      <c r="E385" s="21" t="str">
        <f t="shared" si="36"/>
        <v/>
      </c>
      <c r="F385" s="22" t="str">
        <f>IF(OR(E385="",E385="!!!"),"",IF(NOT(ISNA(VLOOKUP(E385,E$1:E384,1,FALSE()))),"OLD",IF(AND(E385&lt;&gt;"",E385&lt;&gt;"!!!"),"NEW","")))</f>
        <v/>
      </c>
      <c r="G385" s="23" t="str">
        <f>IF(OR(E385="",E385="!!!"),"",IF(OR(J385=0,AND(J385=1,K385=1),AND(J385=1,I385="SBJ"),AND(J385=1,I385=0)),"?IN_FOCUS",IF(J385&lt;=2,"?ACTIVATED",IF(J385&lt;&gt;"","?FAMILIAR",IF(F385="NEW",IF(ISNA(VLOOKUP(E385,#REF!,1,FALSE())),"?TYPE_IDENTIFIABLE","?REFERENTIAL"),"_")))))</f>
        <v/>
      </c>
      <c r="H385" s="24" t="str">
        <f t="shared" ca="1" si="37"/>
        <v/>
      </c>
      <c r="I385" s="25" t="str">
        <f>IF(OR(E385="",E385="!!!",F385="NEW"),"",INDEX(B$2:B384,-1+SUMPRODUCT(MAX(ROW(E$2:E384)*(E385=E$2:E384)))))</f>
        <v/>
      </c>
      <c r="J385" s="25" t="str">
        <f ca="1">IF(OR(E385="",E385="!!!",F385="NEW"),"",COUNTBLANK(OFFSET(A$1,,,SUMPRODUCT(MAX(ROW(E$2:E385)*(E385=E$2:E385)))))-COUNTBLANK(OFFSET(A$1,,,SUMPRODUCT(MAX(ROW(E$1:E384)*(E2=E$1:E384))))))</f>
        <v/>
      </c>
      <c r="K385" s="25" t="str">
        <f>IF(OR(E385="",E385="!!!",F385="NEW"),"",INDEX(J$1:J384,SUMPRODUCT(MAX(ROW(E$1:E384)*(E385=E$1:E384)))))</f>
        <v/>
      </c>
      <c r="L385" s="26"/>
    </row>
    <row r="386" spans="1:12" x14ac:dyDescent="0.3">
      <c r="A386" t="s">
        <v>380</v>
      </c>
      <c r="E386" s="21" t="str">
        <f t="shared" si="36"/>
        <v/>
      </c>
      <c r="F386" s="22" t="str">
        <f>IF(OR(E386="",E386="!!!"),"",IF(NOT(ISNA(VLOOKUP(E386,E$1:E385,1,FALSE()))),"OLD",IF(AND(E386&lt;&gt;"",E386&lt;&gt;"!!!"),"NEW","")))</f>
        <v/>
      </c>
      <c r="G386" s="23" t="str">
        <f>IF(OR(E386="",E386="!!!"),"",IF(OR(J386=0,AND(J386=1,K386=1),AND(J386=1,I386="SBJ"),AND(J386=1,I386=0)),"?IN_FOCUS",IF(J386&lt;=2,"?ACTIVATED",IF(J386&lt;&gt;"","?FAMILIAR",IF(F386="NEW",IF(ISNA(VLOOKUP(E386,#REF!,1,FALSE())),"?TYPE_IDENTIFIABLE","?REFERENTIAL"),"_")))))</f>
        <v/>
      </c>
      <c r="H386" s="24" t="str">
        <f t="shared" ca="1" si="37"/>
        <v/>
      </c>
      <c r="I386" s="25" t="str">
        <f>IF(OR(E386="",E386="!!!",F386="NEW"),"",INDEX(B$2:B385,-1+SUMPRODUCT(MAX(ROW(E$2:E385)*(E386=E$2:E385)))))</f>
        <v/>
      </c>
      <c r="J386" s="25" t="str">
        <f ca="1">IF(OR(E386="",E386="!!!",F386="NEW"),"",COUNTBLANK(OFFSET(A$1,,,SUMPRODUCT(MAX(ROW(E$2:E386)*(E386=E$2:E386)))))-COUNTBLANK(OFFSET(A$1,,,SUMPRODUCT(MAX(ROW(E$1:E385)*(E2=E$1:E385))))))</f>
        <v/>
      </c>
      <c r="K386" s="25" t="str">
        <f>IF(OR(E386="",E386="!!!",F386="NEW"),"",INDEX(J$1:J385,SUMPRODUCT(MAX(ROW(E$1:E385)*(E386=E$1:E385)))))</f>
        <v/>
      </c>
      <c r="L386" s="26"/>
    </row>
    <row r="387" spans="1:12" x14ac:dyDescent="0.3">
      <c r="A387" t="s">
        <v>381</v>
      </c>
      <c r="B387" s="20" t="s">
        <v>163</v>
      </c>
      <c r="C387" s="20" t="s">
        <v>197</v>
      </c>
      <c r="E387" s="21" t="s">
        <v>481</v>
      </c>
      <c r="F387" s="22" t="str">
        <f>IF(OR(E387="",E387="!!!"),"",IF(NOT(ISNA(VLOOKUP(E387,E$1:E386,1,FALSE()))),"OLD",IF(AND(E387&lt;&gt;"",E387&lt;&gt;"!!!"),"NEW","")))</f>
        <v>OLD</v>
      </c>
      <c r="G387" s="23" t="s">
        <v>482</v>
      </c>
      <c r="H387" s="24" t="str">
        <f t="shared" ca="1" si="37"/>
        <v/>
      </c>
      <c r="I387" s="25" t="str">
        <f>IF(OR(E387="",E387="!!!",F387="NEW"),"",INDEX(B$2:B386,-1+SUMPRODUCT(MAX(ROW(E$2:E386)*(E387=E$2:E386)))))</f>
        <v>SBJ_3</v>
      </c>
      <c r="J387" s="25">
        <f ca="1">IF(OR(E387="",E387="!!!",F387="NEW"),"",COUNTBLANK(OFFSET(A$1,,,SUMPRODUCT(MAX(ROW(E$2:E387)*(E387=E$2:E387)))))-COUNTBLANK(OFFSET(A$1,,,SUMPRODUCT(MAX(ROW(E$1:E386)*(E2=E$1:E386))))))</f>
        <v>0</v>
      </c>
      <c r="K387" s="25">
        <f ca="1">IF(OR(E387="",E387="!!!",F387="NEW"),"",INDEX(J$1:J386,SUMPRODUCT(MAX(ROW(E$1:E386)*(E387=E$1:E386)))))</f>
        <v>0</v>
      </c>
      <c r="L387" s="26"/>
    </row>
    <row r="388" spans="1:12" x14ac:dyDescent="0.3">
      <c r="A388" t="s">
        <v>202</v>
      </c>
      <c r="E388" s="21" t="str">
        <f t="shared" si="36"/>
        <v/>
      </c>
      <c r="F388" s="22" t="str">
        <f>IF(OR(E388="",E388="!!!"),"",IF(NOT(ISNA(VLOOKUP(E388,E$1:E387,1,FALSE()))),"OLD",IF(AND(E388&lt;&gt;"",E388&lt;&gt;"!!!"),"NEW","")))</f>
        <v/>
      </c>
      <c r="G388" s="23" t="str">
        <f>IF(OR(E388="",E388="!!!"),"",IF(OR(J388=0,AND(J388=1,K388=1),AND(J388=1,I388="SBJ"),AND(J388=1,I388=0)),"?IN_FOCUS",IF(J388&lt;=2,"?ACTIVATED",IF(J388&lt;&gt;"","?FAMILIAR",IF(F388="NEW",IF(ISNA(VLOOKUP(E388,#REF!,1,FALSE())),"?TYPE_IDENTIFIABLE","?REFERENTIAL"),"_")))))</f>
        <v/>
      </c>
      <c r="H388" s="24" t="str">
        <f t="shared" ca="1" si="37"/>
        <v/>
      </c>
      <c r="I388" s="25" t="str">
        <f>IF(OR(E388="",E388="!!!",F388="NEW"),"",INDEX(B$2:B387,-1+SUMPRODUCT(MAX(ROW(E$2:E387)*(E388=E$2:E387)))))</f>
        <v/>
      </c>
      <c r="J388" s="25" t="str">
        <f ca="1">IF(OR(E388="",E388="!!!",F388="NEW"),"",COUNTBLANK(OFFSET(A$1,,,SUMPRODUCT(MAX(ROW(E$2:E388)*(E388=E$2:E388)))))-COUNTBLANK(OFFSET(A$1,,,SUMPRODUCT(MAX(ROW(E$1:E387)*(E2=E$1:E387))))))</f>
        <v/>
      </c>
      <c r="K388" s="25" t="str">
        <f>IF(OR(E388="",E388="!!!",F388="NEW"),"",INDEX(J$1:J387,SUMPRODUCT(MAX(ROW(E$1:E387)*(E388=E$1:E387)))))</f>
        <v/>
      </c>
      <c r="L388" s="26"/>
    </row>
    <row r="389" spans="1:12" x14ac:dyDescent="0.3">
      <c r="A389" t="s">
        <v>214</v>
      </c>
      <c r="B389" s="20" t="s">
        <v>382</v>
      </c>
      <c r="E389" s="21" t="str">
        <f t="shared" si="36"/>
        <v/>
      </c>
      <c r="F389" s="22" t="str">
        <f>IF(OR(E389="",E389="!!!"),"",IF(NOT(ISNA(VLOOKUP(E389,E$1:E388,1,FALSE()))),"OLD",IF(AND(E389&lt;&gt;"",E389&lt;&gt;"!!!"),"NEW","")))</f>
        <v/>
      </c>
      <c r="G389" s="23" t="str">
        <f>IF(OR(E389="",E389="!!!"),"",IF(OR(J389=0,AND(J389=1,K389=1),AND(J389=1,I389="SBJ"),AND(J389=1,I389=0)),"?IN_FOCUS",IF(J389&lt;=2,"?ACTIVATED",IF(J389&lt;&gt;"","?FAMILIAR",IF(F389="NEW",IF(ISNA(VLOOKUP(E389,#REF!,1,FALSE())),"?TYPE_IDENTIFIABLE","?REFERENTIAL"),"_")))))</f>
        <v/>
      </c>
      <c r="H389" s="24" t="str">
        <f t="shared" ca="1" si="37"/>
        <v/>
      </c>
      <c r="I389" s="25" t="str">
        <f>IF(OR(E389="",E389="!!!",F389="NEW"),"",INDEX(B$2:B388,-1+SUMPRODUCT(MAX(ROW(E$2:E388)*(E389=E$2:E388)))))</f>
        <v/>
      </c>
      <c r="J389" s="25" t="str">
        <f ca="1">IF(OR(E389="",E389="!!!",F389="NEW"),"",COUNTBLANK(OFFSET(A$1,,,SUMPRODUCT(MAX(ROW(E$2:E389)*(E389=E$2:E389)))))-COUNTBLANK(OFFSET(A$1,,,SUMPRODUCT(MAX(ROW(E$1:E388)*(E2=E$1:E388))))))</f>
        <v/>
      </c>
      <c r="K389" s="25" t="str">
        <f>IF(OR(E389="",E389="!!!",F389="NEW"),"",INDEX(J$1:J388,SUMPRODUCT(MAX(ROW(E$1:E388)*(E389=E$1:E388)))))</f>
        <v/>
      </c>
      <c r="L389" s="26"/>
    </row>
    <row r="390" spans="1:12" x14ac:dyDescent="0.3">
      <c r="A390" t="s">
        <v>383</v>
      </c>
      <c r="E390" s="21" t="str">
        <f t="shared" si="36"/>
        <v/>
      </c>
      <c r="F390" s="22" t="str">
        <f>IF(OR(E390="",E390="!!!"),"",IF(NOT(ISNA(VLOOKUP(E390,E$1:E389,1,FALSE()))),"OLD",IF(AND(E390&lt;&gt;"",E390&lt;&gt;"!!!"),"NEW","")))</f>
        <v/>
      </c>
      <c r="G390" s="23" t="str">
        <f>IF(OR(E390="",E390="!!!"),"",IF(OR(J390=0,AND(J390=1,K390=1),AND(J390=1,I390="SBJ"),AND(J390=1,I390=0)),"?IN_FOCUS",IF(J390&lt;=2,"?ACTIVATED",IF(J390&lt;&gt;"","?FAMILIAR",IF(F390="NEW",IF(ISNA(VLOOKUP(E390,#REF!,1,FALSE())),"?TYPE_IDENTIFIABLE","?REFERENTIAL"),"_")))))</f>
        <v/>
      </c>
      <c r="H390" s="24" t="str">
        <f t="shared" ca="1" si="37"/>
        <v/>
      </c>
      <c r="I390" s="25" t="str">
        <f>IF(OR(E390="",E390="!!!",F390="NEW"),"",INDEX(B$2:B389,-1+SUMPRODUCT(MAX(ROW(E$2:E389)*(E390=E$2:E389)))))</f>
        <v/>
      </c>
      <c r="J390" s="25" t="str">
        <f ca="1">IF(OR(E390="",E390="!!!",F390="NEW"),"",COUNTBLANK(OFFSET(A$1,,,SUMPRODUCT(MAX(ROW(E$2:E390)*(E390=E$2:E390)))))-COUNTBLANK(OFFSET(A$1,,,SUMPRODUCT(MAX(ROW(E$1:E389)*(E2=E$1:E389))))))</f>
        <v/>
      </c>
      <c r="K390" s="25" t="str">
        <f>IF(OR(E390="",E390="!!!",F390="NEW"),"",INDEX(J$1:J389,SUMPRODUCT(MAX(ROW(E$1:E389)*(E390=E$1:E389)))))</f>
        <v/>
      </c>
      <c r="L390" s="26"/>
    </row>
    <row r="391" spans="1:12" x14ac:dyDescent="0.3">
      <c r="A391" t="s">
        <v>212</v>
      </c>
      <c r="E391" s="21" t="str">
        <f t="shared" si="36"/>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37"/>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2" spans="1:12" x14ac:dyDescent="0.3">
      <c r="A392" t="s">
        <v>384</v>
      </c>
      <c r="E392" s="21" t="str">
        <f t="shared" si="36"/>
        <v/>
      </c>
      <c r="F392" s="22" t="str">
        <f>IF(OR(E392="",E392="!!!"),"",IF(NOT(ISNA(VLOOKUP(E392,E$1:E391,1,FALSE()))),"OLD",IF(AND(E392&lt;&gt;"",E392&lt;&gt;"!!!"),"NEW","")))</f>
        <v/>
      </c>
      <c r="G392" s="23" t="str">
        <f>IF(OR(E392="",E392="!!!"),"",IF(OR(J392=0,AND(J392=1,K392=1),AND(J392=1,I392="SBJ"),AND(J392=1,I392=0)),"?IN_FOCUS",IF(J392&lt;=2,"?ACTIVATED",IF(J392&lt;&gt;"","?FAMILIAR",IF(F392="NEW",IF(ISNA(VLOOKUP(E392,#REF!,1,FALSE())),"?TYPE_IDENTIFIABLE","?REFERENTIAL"),"_")))))</f>
        <v/>
      </c>
      <c r="H392" s="24" t="str">
        <f t="shared" ca="1" si="37"/>
        <v/>
      </c>
      <c r="I392" s="25" t="str">
        <f>IF(OR(E392="",E392="!!!",F392="NEW"),"",INDEX(B$2:B391,-1+SUMPRODUCT(MAX(ROW(E$2:E391)*(E392=E$2:E391)))))</f>
        <v/>
      </c>
      <c r="J392" s="25" t="str">
        <f ca="1">IF(OR(E392="",E392="!!!",F392="NEW"),"",COUNTBLANK(OFFSET(A$1,,,SUMPRODUCT(MAX(ROW(E$2:E392)*(E392=E$2:E392)))))-COUNTBLANK(OFFSET(A$1,,,SUMPRODUCT(MAX(ROW(E$1:E391)*(E2=E$1:E391))))))</f>
        <v/>
      </c>
      <c r="K392" s="25" t="str">
        <f>IF(OR(E392="",E392="!!!",F392="NEW"),"",INDEX(J$1:J391,SUMPRODUCT(MAX(ROW(E$1:E391)*(E392=E$1:E391)))))</f>
        <v/>
      </c>
      <c r="L392" s="26"/>
    </row>
    <row r="393" spans="1:12" x14ac:dyDescent="0.3">
      <c r="A393" t="s">
        <v>156</v>
      </c>
      <c r="B393" s="20" t="s">
        <v>285</v>
      </c>
      <c r="C393" s="20" t="s">
        <v>150</v>
      </c>
      <c r="E393" s="21" t="str">
        <f t="shared" si="36"/>
        <v/>
      </c>
      <c r="F393" s="22" t="str">
        <f>IF(OR(E393="",E393="!!!"),"",IF(NOT(ISNA(VLOOKUP(E393,E$1:E392,1,FALSE()))),"OLD",IF(AND(E393&lt;&gt;"",E393&lt;&gt;"!!!"),"NEW","")))</f>
        <v/>
      </c>
      <c r="G393" s="23" t="str">
        <f>IF(OR(E393="",E393="!!!"),"",IF(OR(J393=0,AND(J393=1,K393=1),AND(J393=1,I393="SBJ"),AND(J393=1,I393=0)),"?IN_FOCUS",IF(J393&lt;=2,"?ACTIVATED",IF(J393&lt;&gt;"","?FAMILIAR",IF(F393="NEW",IF(ISNA(VLOOKUP(E393,#REF!,1,FALSE())),"?TYPE_IDENTIFIABLE","?REFERENTIAL"),"_")))))</f>
        <v/>
      </c>
      <c r="H393" s="24" t="str">
        <f t="shared" ca="1" si="37"/>
        <v/>
      </c>
      <c r="I393" s="25" t="str">
        <f>IF(OR(E393="",E393="!!!",F393="NEW"),"",INDEX(B$2:B392,-1+SUMPRODUCT(MAX(ROW(E$2:E392)*(E393=E$2:E392)))))</f>
        <v/>
      </c>
      <c r="J393" s="25" t="str">
        <f ca="1">IF(OR(E393="",E393="!!!",F393="NEW"),"",COUNTBLANK(OFFSET(A$1,,,SUMPRODUCT(MAX(ROW(E$2:E393)*(E393=E$2:E393)))))-COUNTBLANK(OFFSET(A$1,,,SUMPRODUCT(MAX(ROW(E$1:E392)*(E2=E$1:E392))))))</f>
        <v/>
      </c>
      <c r="K393" s="25" t="str">
        <f>IF(OR(E393="",E393="!!!",F393="NEW"),"",INDEX(J$1:J392,SUMPRODUCT(MAX(ROW(E$1:E392)*(E393=E$1:E392)))))</f>
        <v/>
      </c>
      <c r="L393" s="26"/>
    </row>
    <row r="394" spans="1:12" x14ac:dyDescent="0.3">
      <c r="A394" t="s">
        <v>385</v>
      </c>
      <c r="E394" s="21" t="str">
        <f t="shared" si="36"/>
        <v/>
      </c>
      <c r="F394" s="22" t="str">
        <f>IF(OR(E394="",E394="!!!"),"",IF(NOT(ISNA(VLOOKUP(E394,E$1:E393,1,FALSE()))),"OLD",IF(AND(E394&lt;&gt;"",E394&lt;&gt;"!!!"),"NEW","")))</f>
        <v/>
      </c>
      <c r="G394" s="23" t="str">
        <f>IF(OR(E394="",E394="!!!"),"",IF(OR(J394=0,AND(J394=1,K394=1),AND(J394=1,I394="SBJ"),AND(J394=1,I394=0)),"?IN_FOCUS",IF(J394&lt;=2,"?ACTIVATED",IF(J394&lt;&gt;"","?FAMILIAR",IF(F394="NEW",IF(ISNA(VLOOKUP(E394,#REF!,1,FALSE())),"?TYPE_IDENTIFIABLE","?REFERENTIAL"),"_")))))</f>
        <v/>
      </c>
      <c r="H394" s="24" t="str">
        <f t="shared" ca="1" si="37"/>
        <v/>
      </c>
      <c r="I394" s="25" t="str">
        <f>IF(OR(E394="",E394="!!!",F394="NEW"),"",INDEX(B$2:B393,-1+SUMPRODUCT(MAX(ROW(E$2:E393)*(E394=E$2:E393)))))</f>
        <v/>
      </c>
      <c r="J394" s="25" t="str">
        <f ca="1">IF(OR(E394="",E394="!!!",F394="NEW"),"",COUNTBLANK(OFFSET(A$1,,,SUMPRODUCT(MAX(ROW(E$2:E394)*(E394=E$2:E394)))))-COUNTBLANK(OFFSET(A$1,,,SUMPRODUCT(MAX(ROW(E$1:E393)*(E2=E$1:E393))))))</f>
        <v/>
      </c>
      <c r="K394" s="25" t="str">
        <f>IF(OR(E394="",E394="!!!",F394="NEW"),"",INDEX(J$1:J393,SUMPRODUCT(MAX(ROW(E$1:E393)*(E394=E$1:E393)))))</f>
        <v/>
      </c>
      <c r="L394" s="26"/>
    </row>
    <row r="395" spans="1:12" x14ac:dyDescent="0.3">
      <c r="A395" t="s">
        <v>182</v>
      </c>
      <c r="E395" s="21" t="str">
        <f t="shared" si="36"/>
        <v/>
      </c>
      <c r="F395" s="22" t="str">
        <f>IF(OR(E395="",E395="!!!"),"",IF(NOT(ISNA(VLOOKUP(E395,E$1:E394,1,FALSE()))),"OLD",IF(AND(E395&lt;&gt;"",E395&lt;&gt;"!!!"),"NEW","")))</f>
        <v/>
      </c>
      <c r="G395" s="23" t="str">
        <f>IF(OR(E395="",E395="!!!"),"",IF(OR(J395=0,AND(J395=1,K395=1),AND(J395=1,I395="SBJ"),AND(J395=1,I395=0)),"?IN_FOCUS",IF(J395&lt;=2,"?ACTIVATED",IF(J395&lt;&gt;"","?FAMILIAR",IF(F395="NEW",IF(ISNA(VLOOKUP(E395,#REF!,1,FALSE())),"?TYPE_IDENTIFIABLE","?REFERENTIAL"),"_")))))</f>
        <v/>
      </c>
      <c r="H395" s="24" t="str">
        <f t="shared" ca="1" si="37"/>
        <v/>
      </c>
      <c r="I395" s="25" t="str">
        <f>IF(OR(E395="",E395="!!!",F395="NEW"),"",INDEX(B$2:B394,-1+SUMPRODUCT(MAX(ROW(E$2:E394)*(E395=E$2:E394)))))</f>
        <v/>
      </c>
      <c r="J395" s="25" t="str">
        <f ca="1">IF(OR(E395="",E395="!!!",F395="NEW"),"",COUNTBLANK(OFFSET(A$1,,,SUMPRODUCT(MAX(ROW(E$2:E395)*(E395=E$2:E395)))))-COUNTBLANK(OFFSET(A$1,,,SUMPRODUCT(MAX(ROW(E$1:E394)*(E2=E$1:E394))))))</f>
        <v/>
      </c>
      <c r="K395" s="25" t="str">
        <f>IF(OR(E395="",E395="!!!",F395="NEW"),"",INDEX(J$1:J394,SUMPRODUCT(MAX(ROW(E$1:E394)*(E395=E$1:E394)))))</f>
        <v/>
      </c>
      <c r="L395" s="26"/>
    </row>
    <row r="396" spans="1:12" x14ac:dyDescent="0.3">
      <c r="A396" t="s">
        <v>202</v>
      </c>
      <c r="E396" s="21" t="str">
        <f t="shared" si="36"/>
        <v/>
      </c>
      <c r="F396" s="22" t="str">
        <f>IF(OR(E396="",E396="!!!"),"",IF(NOT(ISNA(VLOOKUP(E396,E$1:E395,1,FALSE()))),"OLD",IF(AND(E396&lt;&gt;"",E396&lt;&gt;"!!!"),"NEW","")))</f>
        <v/>
      </c>
      <c r="G396" s="23" t="str">
        <f>IF(OR(E396="",E396="!!!"),"",IF(OR(J396=0,AND(J396=1,K396=1),AND(J396=1,I396="SBJ"),AND(J396=1,I396=0)),"?IN_FOCUS",IF(J396&lt;=2,"?ACTIVATED",IF(J396&lt;&gt;"","?FAMILIAR",IF(F396="NEW",IF(ISNA(VLOOKUP(E396,#REF!,1,FALSE())),"?TYPE_IDENTIFIABLE","?REFERENTIAL"),"_")))))</f>
        <v/>
      </c>
      <c r="H396" s="24" t="str">
        <f t="shared" ca="1" si="37"/>
        <v/>
      </c>
      <c r="I396" s="25" t="str">
        <f>IF(OR(E396="",E396="!!!",F396="NEW"),"",INDEX(B$2:B395,-1+SUMPRODUCT(MAX(ROW(E$2:E395)*(E396=E$2:E395)))))</f>
        <v/>
      </c>
      <c r="J396" s="25" t="str">
        <f ca="1">IF(OR(E396="",E396="!!!",F396="NEW"),"",COUNTBLANK(OFFSET(A$1,,,SUMPRODUCT(MAX(ROW(E$2:E396)*(E396=E$2:E396)))))-COUNTBLANK(OFFSET(A$1,,,SUMPRODUCT(MAX(ROW(E$1:E395)*(E2=E$1:E395))))))</f>
        <v/>
      </c>
      <c r="K396" s="25" t="str">
        <f>IF(OR(E396="",E396="!!!",F396="NEW"),"",INDEX(J$1:J395,SUMPRODUCT(MAX(ROW(E$1:E395)*(E396=E$1:E395)))))</f>
        <v/>
      </c>
      <c r="L396" s="26"/>
    </row>
    <row r="397" spans="1:12" x14ac:dyDescent="0.3">
      <c r="A397" t="s">
        <v>262</v>
      </c>
      <c r="E397" s="21" t="str">
        <f t="shared" si="36"/>
        <v/>
      </c>
      <c r="F397" s="22" t="str">
        <f>IF(OR(E397="",E397="!!!"),"",IF(NOT(ISNA(VLOOKUP(E397,E$1:E396,1,FALSE()))),"OLD",IF(AND(E397&lt;&gt;"",E397&lt;&gt;"!!!"),"NEW","")))</f>
        <v/>
      </c>
      <c r="G397" s="23" t="str">
        <f>IF(OR(E397="",E397="!!!"),"",IF(OR(J397=0,AND(J397=1,K397=1),AND(J397=1,I397="SBJ"),AND(J397=1,I397=0)),"?IN_FOCUS",IF(J397&lt;=2,"?ACTIVATED",IF(J397&lt;&gt;"","?FAMILIAR",IF(F397="NEW",IF(ISNA(VLOOKUP(E397,#REF!,1,FALSE())),"?TYPE_IDENTIFIABLE","?REFERENTIAL"),"_")))))</f>
        <v/>
      </c>
      <c r="H397" s="24" t="str">
        <f t="shared" ca="1" si="37"/>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386</v>
      </c>
      <c r="E398" s="21" t="str">
        <f t="shared" si="36"/>
        <v/>
      </c>
      <c r="F398" s="22" t="str">
        <f>IF(OR(E398="",E398="!!!"),"",IF(NOT(ISNA(VLOOKUP(E398,E$1:E397,1,FALSE()))),"OLD",IF(AND(E398&lt;&gt;"",E398&lt;&gt;"!!!"),"NEW","")))</f>
        <v/>
      </c>
      <c r="G398" s="23" t="str">
        <f>IF(OR(E398="",E398="!!!"),"",IF(OR(J398=0,AND(J398=1,K398=1),AND(J398=1,I398="SBJ"),AND(J398=1,I398=0)),"?IN_FOCUS",IF(J398&lt;=2,"?ACTIVATED",IF(J398&lt;&gt;"","?FAMILIAR",IF(F398="NEW",IF(ISNA(VLOOKUP(E398,#REF!,1,FALSE())),"?TYPE_IDENTIFIABLE","?REFERENTIAL"),"_")))))</f>
        <v/>
      </c>
      <c r="H398" s="24" t="str">
        <f t="shared" ca="1" si="37"/>
        <v/>
      </c>
      <c r="I398" s="25" t="str">
        <f>IF(OR(E398="",E398="!!!",F398="NEW"),"",INDEX(B$2:B397,-1+SUMPRODUCT(MAX(ROW(E$2:E397)*(E398=E$2:E397)))))</f>
        <v/>
      </c>
      <c r="J398" s="25" t="str">
        <f ca="1">IF(OR(E398="",E398="!!!",F398="NEW"),"",COUNTBLANK(OFFSET(A$1,,,SUMPRODUCT(MAX(ROW(E$2:E398)*(E398=E$2:E398)))))-COUNTBLANK(OFFSET(A$1,,,SUMPRODUCT(MAX(ROW(E$1:E397)*(E2=E$1:E397))))))</f>
        <v/>
      </c>
      <c r="K398" s="25" t="str">
        <f>IF(OR(E398="",E398="!!!",F398="NEW"),"",INDEX(J$1:J397,SUMPRODUCT(MAX(ROW(E$1:E397)*(E398=E$1:E397)))))</f>
        <v/>
      </c>
      <c r="L398" s="26"/>
    </row>
    <row r="399" spans="1:12" x14ac:dyDescent="0.3">
      <c r="A399" t="s">
        <v>208</v>
      </c>
      <c r="E399" s="21" t="str">
        <f t="shared" si="36"/>
        <v/>
      </c>
      <c r="F399" s="22" t="str">
        <f>IF(OR(E399="",E399="!!!"),"",IF(NOT(ISNA(VLOOKUP(E399,E$1:E398,1,FALSE()))),"OLD",IF(AND(E399&lt;&gt;"",E399&lt;&gt;"!!!"),"NEW","")))</f>
        <v/>
      </c>
      <c r="G399" s="23" t="str">
        <f>IF(OR(E399="",E399="!!!"),"",IF(OR(J399=0,AND(J399=1,K399=1),AND(J399=1,I399="SBJ"),AND(J399=1,I399=0)),"?IN_FOCUS",IF(J399&lt;=2,"?ACTIVATED",IF(J399&lt;&gt;"","?FAMILIAR",IF(F399="NEW",IF(ISNA(VLOOKUP(E399,#REF!,1,FALSE())),"?TYPE_IDENTIFIABLE","?REFERENTIAL"),"_")))))</f>
        <v/>
      </c>
      <c r="H399" s="24" t="str">
        <f t="shared" ca="1" si="37"/>
        <v/>
      </c>
      <c r="I399" s="25" t="str">
        <f>IF(OR(E399="",E399="!!!",F399="NEW"),"",INDEX(B$2:B398,-1+SUMPRODUCT(MAX(ROW(E$2:E398)*(E399=E$2:E398)))))</f>
        <v/>
      </c>
      <c r="J399" s="25" t="str">
        <f ca="1">IF(OR(E399="",E399="!!!",F399="NEW"),"",COUNTBLANK(OFFSET(A$1,,,SUMPRODUCT(MAX(ROW(E$2:E399)*(E399=E$2:E399)))))-COUNTBLANK(OFFSET(A$1,,,SUMPRODUCT(MAX(ROW(E$1:E398)*(E2=E$1:E398))))))</f>
        <v/>
      </c>
      <c r="K399" s="25" t="str">
        <f>IF(OR(E399="",E399="!!!",F399="NEW"),"",INDEX(J$1:J398,SUMPRODUCT(MAX(ROW(E$1:E398)*(E399=E$1:E398)))))</f>
        <v/>
      </c>
      <c r="L399" s="26"/>
    </row>
    <row r="400" spans="1:12" x14ac:dyDescent="0.3">
      <c r="A400" t="s">
        <v>155</v>
      </c>
      <c r="E400" s="21" t="str">
        <f t="shared" si="36"/>
        <v/>
      </c>
      <c r="F400" s="22" t="str">
        <f>IF(OR(E400="",E400="!!!"),"",IF(NOT(ISNA(VLOOKUP(E400,E$1:E399,1,FALSE()))),"OLD",IF(AND(E400&lt;&gt;"",E400&lt;&gt;"!!!"),"NEW","")))</f>
        <v/>
      </c>
      <c r="G400" s="23" t="str">
        <f>IF(OR(E400="",E400="!!!"),"",IF(OR(J400=0,AND(J400=1,K400=1),AND(J400=1,I400="SBJ"),AND(J400=1,I400=0)),"?IN_FOCUS",IF(J400&lt;=2,"?ACTIVATED",IF(J400&lt;&gt;"","?FAMILIAR",IF(F400="NEW",IF(ISNA(VLOOKUP(E400,#REF!,1,FALSE())),"?TYPE_IDENTIFIABLE","?REFERENTIAL"),"_")))))</f>
        <v/>
      </c>
      <c r="H400" s="24" t="str">
        <f t="shared" ca="1" si="37"/>
        <v/>
      </c>
      <c r="I400" s="25" t="str">
        <f>IF(OR(E400="",E400="!!!",F400="NEW"),"",INDEX(B$2:B399,-1+SUMPRODUCT(MAX(ROW(E$2:E399)*(E400=E$2:E399)))))</f>
        <v/>
      </c>
      <c r="J400" s="25" t="str">
        <f ca="1">IF(OR(E400="",E400="!!!",F400="NEW"),"",COUNTBLANK(OFFSET(A$1,,,SUMPRODUCT(MAX(ROW(E$2:E400)*(E400=E$2:E400)))))-COUNTBLANK(OFFSET(A$1,,,SUMPRODUCT(MAX(ROW(E$1:E399)*(E2=E$1:E399))))))</f>
        <v/>
      </c>
      <c r="K400" s="25" t="str">
        <f>IF(OR(E400="",E400="!!!",F400="NEW"),"",INDEX(J$1:J399,SUMPRODUCT(MAX(ROW(E$1:E399)*(E400=E$1:E399)))))</f>
        <v/>
      </c>
      <c r="L400" s="26"/>
    </row>
    <row r="401" spans="1:12" x14ac:dyDescent="0.3">
      <c r="A401" t="s">
        <v>387</v>
      </c>
      <c r="B401" s="20" t="s">
        <v>301</v>
      </c>
      <c r="C401" s="20" t="s">
        <v>158</v>
      </c>
      <c r="D401" s="20" t="s">
        <v>146</v>
      </c>
      <c r="E401" s="21" t="s">
        <v>516</v>
      </c>
      <c r="F401" s="22" t="str">
        <f>IF(OR(E401="",E401="!!!"),"",IF(NOT(ISNA(VLOOKUP(E401,E$1:E400,1,FALSE()))),"OLD",IF(AND(E401&lt;&gt;"",E401&lt;&gt;"!!!"),"NEW","")))</f>
        <v>NEW</v>
      </c>
      <c r="G401" s="23" t="s">
        <v>482</v>
      </c>
      <c r="H401" s="24" t="str">
        <f t="shared" ca="1" si="37"/>
        <v/>
      </c>
      <c r="I401" s="25" t="str">
        <f>IF(OR(E401="",E401="!!!",F401="NEW"),"",INDEX(B$2:B400,-1+SUMPRODUCT(MAX(ROW(E$2:E400)*(E401=E$2:E400)))))</f>
        <v/>
      </c>
      <c r="J401" s="25" t="str">
        <f ca="1">IF(OR(E401="",E401="!!!",F401="NEW"),"",COUNTBLANK(OFFSET(A$1,,,SUMPRODUCT(MAX(ROW(E$2:E401)*(E401=E$2:E401)))))-COUNTBLANK(OFFSET(A$1,,,SUMPRODUCT(MAX(ROW(E$1:E400)*(E2=E$1:E400))))))</f>
        <v/>
      </c>
      <c r="K401" s="25" t="str">
        <f>IF(OR(E401="",E401="!!!",F401="NEW"),"",INDEX(J$1:J400,SUMPRODUCT(MAX(ROW(E$1:E400)*(E401=E$1:E400)))))</f>
        <v/>
      </c>
      <c r="L401" s="26"/>
    </row>
    <row r="402" spans="1:12" x14ac:dyDescent="0.3">
      <c r="A402" t="s">
        <v>388</v>
      </c>
      <c r="E402" s="21" t="str">
        <f t="shared" si="36"/>
        <v/>
      </c>
      <c r="F402" s="22" t="str">
        <f>IF(OR(E402="",E402="!!!"),"",IF(NOT(ISNA(VLOOKUP(E402,E$1:E401,1,FALSE()))),"OLD",IF(AND(E402&lt;&gt;"",E402&lt;&gt;"!!!"),"NEW","")))</f>
        <v/>
      </c>
      <c r="G402" s="23" t="str">
        <f>IF(OR(E402="",E402="!!!"),"",IF(OR(J402=0,AND(J402=1,K402=1),AND(J402=1,I402="SBJ"),AND(J402=1,I402=0)),"?IN_FOCUS",IF(J402&lt;=2,"?ACTIVATED",IF(J402&lt;&gt;"","?FAMILIAR",IF(F402="NEW",IF(ISNA(VLOOKUP(E402,#REF!,1,FALSE())),"?TYPE_IDENTIFIABLE","?REFERENTIAL"),"_")))))</f>
        <v/>
      </c>
      <c r="H402" s="24" t="str">
        <f t="shared" ca="1" si="37"/>
        <v/>
      </c>
      <c r="I402" s="25" t="str">
        <f>IF(OR(E402="",E402="!!!",F402="NEW"),"",INDEX(B$2:B401,-1+SUMPRODUCT(MAX(ROW(E$2:E401)*(E402=E$2:E401)))))</f>
        <v/>
      </c>
      <c r="J402" s="25" t="str">
        <f ca="1">IF(OR(E402="",E402="!!!",F402="NEW"),"",COUNTBLANK(OFFSET(A$1,,,SUMPRODUCT(MAX(ROW(E$2:E402)*(E402=E$2:E402)))))-COUNTBLANK(OFFSET(A$1,,,SUMPRODUCT(MAX(ROW(E$1:E401)*(E2=E$1:E401))))))</f>
        <v/>
      </c>
      <c r="K402" s="25" t="str">
        <f>IF(OR(E402="",E402="!!!",F402="NEW"),"",INDEX(J$1:J401,SUMPRODUCT(MAX(ROW(E$1:E401)*(E402=E$1:E401)))))</f>
        <v/>
      </c>
      <c r="L402" s="26"/>
    </row>
    <row r="403" spans="1:12" x14ac:dyDescent="0.3">
      <c r="A403" t="s">
        <v>389</v>
      </c>
      <c r="E403" s="21" t="str">
        <f t="shared" si="36"/>
        <v/>
      </c>
      <c r="F403" s="22" t="str">
        <f>IF(OR(E403="",E403="!!!"),"",IF(NOT(ISNA(VLOOKUP(E403,E$1:E402,1,FALSE()))),"OLD",IF(AND(E403&lt;&gt;"",E403&lt;&gt;"!!!"),"NEW","")))</f>
        <v/>
      </c>
      <c r="G403" s="23" t="str">
        <f>IF(OR(E403="",E403="!!!"),"",IF(OR(J403=0,AND(J403=1,K403=1),AND(J403=1,I403="SBJ"),AND(J403=1,I403=0)),"?IN_FOCUS",IF(J403&lt;=2,"?ACTIVATED",IF(J403&lt;&gt;"","?FAMILIAR",IF(F403="NEW",IF(ISNA(VLOOKUP(E403,#REF!,1,FALSE())),"?TYPE_IDENTIFIABLE","?REFERENTIAL"),"_")))))</f>
        <v/>
      </c>
      <c r="H403" s="24" t="str">
        <f t="shared" ca="1" si="37"/>
        <v/>
      </c>
      <c r="I403" s="25" t="str">
        <f>IF(OR(E403="",E403="!!!",F403="NEW"),"",INDEX(B$2:B402,-1+SUMPRODUCT(MAX(ROW(E$2:E402)*(E403=E$2:E402)))))</f>
        <v/>
      </c>
      <c r="J403" s="25" t="str">
        <f ca="1">IF(OR(E403="",E403="!!!",F403="NEW"),"",COUNTBLANK(OFFSET(A$1,,,SUMPRODUCT(MAX(ROW(E$2:E403)*(E403=E$2:E403)))))-COUNTBLANK(OFFSET(A$1,,,SUMPRODUCT(MAX(ROW(E$1:E402)*(E2=E$1:E402))))))</f>
        <v/>
      </c>
      <c r="K403" s="25" t="str">
        <f>IF(OR(E403="",E403="!!!",F403="NEW"),"",INDEX(J$1:J402,SUMPRODUCT(MAX(ROW(E$1:E402)*(E403=E$1:E402)))))</f>
        <v/>
      </c>
      <c r="L403" s="26"/>
    </row>
    <row r="404" spans="1:12" x14ac:dyDescent="0.3">
      <c r="A404" t="s">
        <v>12</v>
      </c>
      <c r="E404" s="21" t="str">
        <f t="shared" si="36"/>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37"/>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390</v>
      </c>
      <c r="E405" s="21" t="str">
        <f t="shared" si="36"/>
        <v/>
      </c>
      <c r="F405" s="22" t="str">
        <f>IF(OR(E405="",E405="!!!"),"",IF(NOT(ISNA(VLOOKUP(E405,E$1:E404,1,FALSE()))),"OLD",IF(AND(E405&lt;&gt;"",E405&lt;&gt;"!!!"),"NEW","")))</f>
        <v/>
      </c>
      <c r="G405" s="23" t="str">
        <f>IF(OR(E405="",E405="!!!"),"",IF(OR(J405=0,AND(J405=1,K405=1),AND(J405=1,I405="SBJ"),AND(J405=1,I405=0)),"?IN_FOCUS",IF(J405&lt;=2,"?ACTIVATED",IF(J405&lt;&gt;"","?FAMILIAR",IF(F405="NEW",IF(ISNA(VLOOKUP(E405,#REF!,1,FALSE())),"?TYPE_IDENTIFIABLE","?REFERENTIAL"),"_")))))</f>
        <v/>
      </c>
      <c r="H405" s="24" t="str">
        <f t="shared" ca="1" si="37"/>
        <v/>
      </c>
      <c r="I405" s="25" t="str">
        <f>IF(OR(E405="",E405="!!!",F405="NEW"),"",INDEX(B$2:B404,-1+SUMPRODUCT(MAX(ROW(E$2:E404)*(E405=E$2:E404)))))</f>
        <v/>
      </c>
      <c r="J405" s="25" t="str">
        <f ca="1">IF(OR(E405="",E405="!!!",F405="NEW"),"",COUNTBLANK(OFFSET(A$1,,,SUMPRODUCT(MAX(ROW(E$2:E405)*(E405=E$2:E405)))))-COUNTBLANK(OFFSET(A$1,,,SUMPRODUCT(MAX(ROW(E$1:E404)*(E2=E$1:E404))))))</f>
        <v/>
      </c>
      <c r="K405" s="25" t="str">
        <f>IF(OR(E405="",E405="!!!",F405="NEW"),"",INDEX(J$1:J404,SUMPRODUCT(MAX(ROW(E$1:E404)*(E405=E$1:E404)))))</f>
        <v/>
      </c>
      <c r="L405" s="26"/>
    </row>
    <row r="406" spans="1:12" x14ac:dyDescent="0.3">
      <c r="A406" t="s">
        <v>262</v>
      </c>
      <c r="E406" s="21" t="str">
        <f t="shared" si="36"/>
        <v/>
      </c>
      <c r="F406" s="22" t="str">
        <f>IF(OR(E406="",E406="!!!"),"",IF(NOT(ISNA(VLOOKUP(E406,E$1:E405,1,FALSE()))),"OLD",IF(AND(E406&lt;&gt;"",E406&lt;&gt;"!!!"),"NEW","")))</f>
        <v/>
      </c>
      <c r="G406" s="23" t="str">
        <f>IF(OR(E406="",E406="!!!"),"",IF(OR(J406=0,AND(J406=1,K406=1),AND(J406=1,I406="SBJ"),AND(J406=1,I406=0)),"?IN_FOCUS",IF(J406&lt;=2,"?ACTIVATED",IF(J406&lt;&gt;"","?FAMILIAR",IF(F406="NEW",IF(ISNA(VLOOKUP(E406,#REF!,1,FALSE())),"?TYPE_IDENTIFIABLE","?REFERENTIAL"),"_")))))</f>
        <v/>
      </c>
      <c r="H406" s="24" t="str">
        <f t="shared" ca="1" si="37"/>
        <v/>
      </c>
      <c r="I406" s="25" t="str">
        <f>IF(OR(E406="",E406="!!!",F406="NEW"),"",INDEX(B$2:B405,-1+SUMPRODUCT(MAX(ROW(E$2:E405)*(E406=E$2:E405)))))</f>
        <v/>
      </c>
      <c r="J406" s="25" t="str">
        <f ca="1">IF(OR(E406="",E406="!!!",F406="NEW"),"",COUNTBLANK(OFFSET(A$1,,,SUMPRODUCT(MAX(ROW(E$2:E406)*(E406=E$2:E406)))))-COUNTBLANK(OFFSET(A$1,,,SUMPRODUCT(MAX(ROW(E$1:E405)*(E2=E$1:E405))))))</f>
        <v/>
      </c>
      <c r="K406" s="25" t="str">
        <f>IF(OR(E406="",E406="!!!",F406="NEW"),"",INDEX(J$1:J405,SUMPRODUCT(MAX(ROW(E$1:E405)*(E406=E$1:E405)))))</f>
        <v/>
      </c>
      <c r="L406" s="26"/>
    </row>
    <row r="407" spans="1:12" x14ac:dyDescent="0.3">
      <c r="A407" t="s">
        <v>391</v>
      </c>
      <c r="E407" s="21" t="str">
        <f t="shared" si="36"/>
        <v/>
      </c>
      <c r="F407" s="22" t="str">
        <f>IF(OR(E407="",E407="!!!"),"",IF(NOT(ISNA(VLOOKUP(E407,E$1:E406,1,FALSE()))),"OLD",IF(AND(E407&lt;&gt;"",E407&lt;&gt;"!!!"),"NEW","")))</f>
        <v/>
      </c>
      <c r="G407" s="23" t="str">
        <f>IF(OR(E407="",E407="!!!"),"",IF(OR(J407=0,AND(J407=1,K407=1),AND(J407=1,I407="SBJ"),AND(J407=1,I407=0)),"?IN_FOCUS",IF(J407&lt;=2,"?ACTIVATED",IF(J407&lt;&gt;"","?FAMILIAR",IF(F407="NEW",IF(ISNA(VLOOKUP(E407,#REF!,1,FALSE())),"?TYPE_IDENTIFIABLE","?REFERENTIAL"),"_")))))</f>
        <v/>
      </c>
      <c r="H407" s="24" t="str">
        <f t="shared" ca="1" si="37"/>
        <v/>
      </c>
      <c r="I407" s="25" t="str">
        <f>IF(OR(E407="",E407="!!!",F407="NEW"),"",INDEX(B$2:B406,-1+SUMPRODUCT(MAX(ROW(E$2:E406)*(E407=E$2:E406)))))</f>
        <v/>
      </c>
      <c r="J407" s="25" t="str">
        <f ca="1">IF(OR(E407="",E407="!!!",F407="NEW"),"",COUNTBLANK(OFFSET(A$1,,,SUMPRODUCT(MAX(ROW(E$2:E407)*(E407=E$2:E407)))))-COUNTBLANK(OFFSET(A$1,,,SUMPRODUCT(MAX(ROW(E$1:E406)*(E2=E$1:E406))))))</f>
        <v/>
      </c>
      <c r="K407" s="25" t="str">
        <f>IF(OR(E407="",E407="!!!",F407="NEW"),"",INDEX(J$1:J406,SUMPRODUCT(MAX(ROW(E$1:E406)*(E407=E$1:E406)))))</f>
        <v/>
      </c>
      <c r="L407" s="26"/>
    </row>
    <row r="408" spans="1:12" x14ac:dyDescent="0.3">
      <c r="A408" t="s">
        <v>392</v>
      </c>
      <c r="B408" s="20" t="s">
        <v>165</v>
      </c>
      <c r="C408" s="20" t="s">
        <v>150</v>
      </c>
      <c r="E408" s="21" t="str">
        <f t="shared" si="36"/>
        <v/>
      </c>
      <c r="F408" s="22" t="str">
        <f>IF(OR(E408="",E408="!!!"),"",IF(NOT(ISNA(VLOOKUP(E408,E$1:E407,1,FALSE()))),"OLD",IF(AND(E408&lt;&gt;"",E408&lt;&gt;"!!!"),"NEW","")))</f>
        <v/>
      </c>
      <c r="G408" s="23" t="str">
        <f>IF(OR(E408="",E408="!!!"),"",IF(OR(J408=0,AND(J408=1,K408=1),AND(J408=1,I408="SBJ"),AND(J408=1,I408=0)),"?IN_FOCUS",IF(J408&lt;=2,"?ACTIVATED",IF(J408&lt;&gt;"","?FAMILIAR",IF(F408="NEW",IF(ISNA(VLOOKUP(E408,#REF!,1,FALSE())),"?TYPE_IDENTIFIABLE","?REFERENTIAL"),"_")))))</f>
        <v/>
      </c>
      <c r="H408" s="24" t="str">
        <f t="shared" ca="1" si="37"/>
        <v/>
      </c>
      <c r="I408" s="25" t="str">
        <f>IF(OR(E408="",E408="!!!",F408="NEW"),"",INDEX(B$2:B407,-1+SUMPRODUCT(MAX(ROW(E$2:E407)*(E408=E$2:E407)))))</f>
        <v/>
      </c>
      <c r="J408" s="25" t="str">
        <f ca="1">IF(OR(E408="",E408="!!!",F408="NEW"),"",COUNTBLANK(OFFSET(A$1,,,SUMPRODUCT(MAX(ROW(E$2:E408)*(E408=E$2:E408)))))-COUNTBLANK(OFFSET(A$1,,,SUMPRODUCT(MAX(ROW(E$1:E407)*(E2=E$1:E407))))))</f>
        <v/>
      </c>
      <c r="K408" s="25" t="str">
        <f>IF(OR(E408="",E408="!!!",F408="NEW"),"",INDEX(J$1:J407,SUMPRODUCT(MAX(ROW(E$1:E407)*(E408=E$1:E407)))))</f>
        <v/>
      </c>
      <c r="L408" s="26"/>
    </row>
    <row r="409" spans="1:12" x14ac:dyDescent="0.3">
      <c r="A409" t="s">
        <v>167</v>
      </c>
      <c r="E409" s="21" t="str">
        <f t="shared" si="36"/>
        <v/>
      </c>
      <c r="F409" s="22" t="str">
        <f>IF(OR(E409="",E409="!!!"),"",IF(NOT(ISNA(VLOOKUP(E409,E$1:E408,1,FALSE()))),"OLD",IF(AND(E409&lt;&gt;"",E409&lt;&gt;"!!!"),"NEW","")))</f>
        <v/>
      </c>
      <c r="G409" s="23" t="str">
        <f>IF(OR(E409="",E409="!!!"),"",IF(OR(J409=0,AND(J409=1,K409=1),AND(J409=1,I409="SBJ"),AND(J409=1,I409=0)),"?IN_FOCUS",IF(J409&lt;=2,"?ACTIVATED",IF(J409&lt;&gt;"","?FAMILIAR",IF(F409="NEW",IF(ISNA(VLOOKUP(E409,#REF!,1,FALSE())),"?TYPE_IDENTIFIABLE","?REFERENTIAL"),"_")))))</f>
        <v/>
      </c>
      <c r="H409" s="24" t="str">
        <f t="shared" ca="1" si="37"/>
        <v/>
      </c>
      <c r="I409" s="25" t="str">
        <f>IF(OR(E409="",E409="!!!",F409="NEW"),"",INDEX(B$2:B408,-1+SUMPRODUCT(MAX(ROW(E$2:E408)*(E409=E$2:E408)))))</f>
        <v/>
      </c>
      <c r="J409" s="25" t="str">
        <f ca="1">IF(OR(E409="",E409="!!!",F409="NEW"),"",COUNTBLANK(OFFSET(A$1,,,SUMPRODUCT(MAX(ROW(E$2:E409)*(E409=E$2:E409)))))-COUNTBLANK(OFFSET(A$1,,,SUMPRODUCT(MAX(ROW(E$1:E408)*(E2=E$1:E408))))))</f>
        <v/>
      </c>
      <c r="K409" s="25" t="str">
        <f>IF(OR(E409="",E409="!!!",F409="NEW"),"",INDEX(J$1:J408,SUMPRODUCT(MAX(ROW(E$1:E408)*(E409=E$1:E408)))))</f>
        <v/>
      </c>
      <c r="L409" s="26"/>
    </row>
    <row r="411" spans="1:12" x14ac:dyDescent="0.3">
      <c r="A411" t="s">
        <v>192</v>
      </c>
      <c r="E411" s="21" t="str">
        <f>IF(D411="?OLD","!!!","")</f>
        <v/>
      </c>
      <c r="F411" s="22" t="str">
        <f>IF(OR(E411="",E411="!!!"),"",IF(NOT(ISNA(VLOOKUP(E411,E$1:E410,1,FALSE()))),"OLD",IF(AND(E411&lt;&gt;"",E411&lt;&gt;"!!!"),"NEW","")))</f>
        <v/>
      </c>
      <c r="G411" s="23" t="str">
        <f>IF(OR(E411="",E411="!!!"),"",IF(OR(J411=0,AND(J411=1,K411=1),AND(J411=1,I411="SBJ"),AND(J411=1,I411=0)),"?IN_FOCUS",IF(J411&lt;=2,"?ACTIVATED",IF(J411&lt;&gt;"","?FAMILIAR",IF(F411="NEW",IF(ISNA(VLOOKUP(E411,#REF!,1,FALSE())),"?TYPE_IDENTIFIABLE","?REFERENTIAL"),"_")))))</f>
        <v/>
      </c>
      <c r="H411" s="24" t="str">
        <f ca="1">IF(J411&lt;&gt;1,"",IF(I411="SBJ","CB","?"))</f>
        <v/>
      </c>
      <c r="I411" s="25" t="str">
        <f>IF(OR(E411="",E411="!!!",F411="NEW"),"",INDEX(B$2:B410,-1+SUMPRODUCT(MAX(ROW(E$2:E410)*(E411=E$2:E410)))))</f>
        <v/>
      </c>
      <c r="J411" s="25" t="str">
        <f ca="1">IF(OR(E411="",E411="!!!",F411="NEW"),"",COUNTBLANK(OFFSET(A$1,,,SUMPRODUCT(MAX(ROW(E$2:E411)*(E411=E$2:E411)))))-COUNTBLANK(OFFSET(A$1,,,SUMPRODUCT(MAX(ROW(E$1:E410)*(E2=E$1:E410))))))</f>
        <v/>
      </c>
      <c r="K411" s="25" t="str">
        <f>IF(OR(E411="",E411="!!!",F411="NEW"),"",INDEX(J$1:J410,SUMPRODUCT(MAX(ROW(E$1:E410)*(E411=E$1:E410)))))</f>
        <v/>
      </c>
      <c r="L411" s="26"/>
    </row>
    <row r="412" spans="1:12" x14ac:dyDescent="0.3">
      <c r="A412" t="s">
        <v>393</v>
      </c>
    </row>
    <row r="413" spans="1:12" x14ac:dyDescent="0.3">
      <c r="A413" t="s">
        <v>194</v>
      </c>
      <c r="E413" s="21" t="str">
        <f t="shared" ref="E413:E444" si="38">IF(D413="?OLD","!!!","")</f>
        <v/>
      </c>
      <c r="F413" s="22" t="str">
        <f>IF(OR(E413="",E413="!!!"),"",IF(NOT(ISNA(VLOOKUP(E413,E$1:E412,1,FALSE()))),"OLD",IF(AND(E413&lt;&gt;"",E413&lt;&gt;"!!!"),"NEW","")))</f>
        <v/>
      </c>
      <c r="G413" s="23" t="str">
        <f>IF(OR(E413="",E413="!!!"),"",IF(OR(J413=0,AND(J413=1,K413=1),AND(J413=1,I413="SBJ"),AND(J413=1,I413=0)),"?IN_FOCUS",IF(J413&lt;=2,"?ACTIVATED",IF(J413&lt;&gt;"","?FAMILIAR",IF(F413="NEW",IF(ISNA(VLOOKUP(E413,#REF!,1,FALSE())),"?TYPE_IDENTIFIABLE","?REFERENTIAL"),"_")))))</f>
        <v/>
      </c>
      <c r="H413" s="24" t="str">
        <f t="shared" ref="H413:H444" ca="1" si="39">IF(J413&lt;&gt;1,"",IF(I413="SBJ","CB","?"))</f>
        <v/>
      </c>
      <c r="I413" s="25" t="str">
        <f>IF(OR(E413="",E413="!!!",F413="NEW"),"",INDEX(B$2:B412,-1+SUMPRODUCT(MAX(ROW(E$2:E412)*(E413=E$2:E412)))))</f>
        <v/>
      </c>
      <c r="J413" s="25" t="str">
        <f ca="1">IF(OR(E413="",E413="!!!",F413="NEW"),"",COUNTBLANK(OFFSET(A$1,,,SUMPRODUCT(MAX(ROW(E$2:E413)*(E413=E$2:E413)))))-COUNTBLANK(OFFSET(A$1,,,SUMPRODUCT(MAX(ROW(E$1:E412)*(E2=E$1:E412))))))</f>
        <v/>
      </c>
      <c r="K413" s="25" t="str">
        <f>IF(OR(E413="",E413="!!!",F413="NEW"),"",INDEX(J$1:J412,SUMPRODUCT(MAX(ROW(E$1:E412)*(E413=E$1:E412)))))</f>
        <v/>
      </c>
      <c r="L413" s="26"/>
    </row>
    <row r="414" spans="1:12" x14ac:dyDescent="0.3">
      <c r="A414" t="s">
        <v>162</v>
      </c>
      <c r="E414" s="21" t="s">
        <v>481</v>
      </c>
      <c r="F414" s="22" t="str">
        <f>IF(OR(E414="",E414="!!!"),"",IF(NOT(ISNA(VLOOKUP(E414,E$1:E413,1,FALSE()))),"OLD",IF(AND(E414&lt;&gt;"",E414&lt;&gt;"!!!"),"NEW","")))</f>
        <v>OLD</v>
      </c>
      <c r="G414" s="23" t="s">
        <v>527</v>
      </c>
      <c r="H414" s="24" t="s">
        <v>138</v>
      </c>
      <c r="I414" s="25" t="str">
        <f>IF(OR(E414="",E414="!!!",F414="NEW"),"",INDEX(B$2:B413,-1+SUMPRODUCT(MAX(ROW(E$2:E413)*(E414=E$2:E413)))))</f>
        <v>SBJ_2</v>
      </c>
      <c r="J414" s="25">
        <f ca="1">IF(OR(E414="",E414="!!!",F414="NEW"),"",COUNTBLANK(OFFSET(A$1,,,SUMPRODUCT(MAX(ROW(E$2:E414)*(E414=E$2:E414)))))-COUNTBLANK(OFFSET(A$1,,,SUMPRODUCT(MAX(ROW(E$1:E413)*(E2=E$1:E413))))))</f>
        <v>0</v>
      </c>
      <c r="K414" s="25">
        <f ca="1">IF(OR(E414="",E414="!!!",F414="NEW"),"",INDEX(J$1:J413,SUMPRODUCT(MAX(ROW(E$1:E413)*(E414=E$1:E413)))))</f>
        <v>0</v>
      </c>
      <c r="L414" s="26"/>
    </row>
    <row r="415" spans="1:12" x14ac:dyDescent="0.3">
      <c r="A415" t="s">
        <v>394</v>
      </c>
      <c r="B415" s="20" t="s">
        <v>149</v>
      </c>
      <c r="C415" s="20" t="s">
        <v>164</v>
      </c>
      <c r="E415" s="21" t="s">
        <v>517</v>
      </c>
      <c r="F415" s="22" t="str">
        <f>IF(OR(E415="",E415="!!!"),"",IF(NOT(ISNA(VLOOKUP(E415,E$1:E414,1,FALSE()))),"OLD",IF(AND(E415&lt;&gt;"",E415&lt;&gt;"!!!"),"NEW","")))</f>
        <v>NEW</v>
      </c>
      <c r="G415" s="23" t="s">
        <v>483</v>
      </c>
      <c r="H415" s="24" t="str">
        <f t="shared" ca="1" si="39"/>
        <v/>
      </c>
      <c r="I415" s="25" t="str">
        <f>IF(OR(E415="",E415="!!!",F415="NEW"),"",INDEX(B$2:B414,-1+SUMPRODUCT(MAX(ROW(E$2:E414)*(E415=E$2:E414)))))</f>
        <v/>
      </c>
      <c r="J415" s="25" t="str">
        <f ca="1">IF(OR(E415="",E415="!!!",F415="NEW"),"",COUNTBLANK(OFFSET(A$1,,,SUMPRODUCT(MAX(ROW(E$2:E415)*(E415=E$2:E415)))))-COUNTBLANK(OFFSET(A$1,,,SUMPRODUCT(MAX(ROW(E$1:E414)*(E2=E$1:E414))))))</f>
        <v/>
      </c>
      <c r="K415" s="25" t="str">
        <f>IF(OR(E415="",E415="!!!",F415="NEW"),"",INDEX(J$1:J414,SUMPRODUCT(MAX(ROW(E$1:E414)*(E415=E$1:E414)))))</f>
        <v/>
      </c>
      <c r="L415" s="26"/>
    </row>
    <row r="416" spans="1:12" x14ac:dyDescent="0.3">
      <c r="A416" t="s">
        <v>245</v>
      </c>
      <c r="E416" s="21" t="str">
        <f t="shared" si="38"/>
        <v/>
      </c>
      <c r="F416" s="22" t="str">
        <f>IF(OR(E416="",E416="!!!"),"",IF(NOT(ISNA(VLOOKUP(E416,E$1:E415,1,FALSE()))),"OLD",IF(AND(E416&lt;&gt;"",E416&lt;&gt;"!!!"),"NEW","")))</f>
        <v/>
      </c>
      <c r="G416" s="23" t="str">
        <f>IF(OR(E416="",E416="!!!"),"",IF(OR(J416=0,AND(J416=1,K416=1),AND(J416=1,I416="SBJ"),AND(J416=1,I416=0)),"?IN_FOCUS",IF(J416&lt;=2,"?ACTIVATED",IF(J416&lt;&gt;"","?FAMILIAR",IF(F416="NEW",IF(ISNA(VLOOKUP(E416,#REF!,1,FALSE())),"?TYPE_IDENTIFIABLE","?REFERENTIAL"),"_")))))</f>
        <v/>
      </c>
      <c r="H416" s="24" t="str">
        <f t="shared" ca="1" si="39"/>
        <v/>
      </c>
      <c r="I416" s="25" t="str">
        <f>IF(OR(E416="",E416="!!!",F416="NEW"),"",INDEX(B$2:B415,-1+SUMPRODUCT(MAX(ROW(E$2:E415)*(E416=E$2:E415)))))</f>
        <v/>
      </c>
      <c r="J416" s="25" t="str">
        <f ca="1">IF(OR(E416="",E416="!!!",F416="NEW"),"",COUNTBLANK(OFFSET(A$1,,,SUMPRODUCT(MAX(ROW(E$2:E416)*(E416=E$2:E416)))))-COUNTBLANK(OFFSET(A$1,,,SUMPRODUCT(MAX(ROW(E$1:E415)*(E2=E$1:E415))))))</f>
        <v/>
      </c>
      <c r="K416" s="25" t="str">
        <f>IF(OR(E416="",E416="!!!",F416="NEW"),"",INDEX(J$1:J415,SUMPRODUCT(MAX(ROW(E$1:E415)*(E416=E$1:E415)))))</f>
        <v/>
      </c>
      <c r="L416" s="26"/>
    </row>
    <row r="417" spans="1:12" x14ac:dyDescent="0.3">
      <c r="A417" t="s">
        <v>147</v>
      </c>
      <c r="B417" s="20" t="s">
        <v>144</v>
      </c>
      <c r="C417" s="20" t="s">
        <v>150</v>
      </c>
      <c r="E417" s="21" t="s">
        <v>480</v>
      </c>
      <c r="F417" s="22" t="str">
        <f>IF(OR(E417="",E417="!!!"),"",IF(NOT(ISNA(VLOOKUP(E417,E$1:E416,1,FALSE()))),"OLD",IF(AND(E417&lt;&gt;"",E417&lt;&gt;"!!!"),"NEW","")))</f>
        <v>OLD</v>
      </c>
      <c r="G417" s="23" t="s">
        <v>482</v>
      </c>
      <c r="H417" s="24" t="str">
        <f t="shared" ca="1" si="39"/>
        <v/>
      </c>
      <c r="I417" s="25" t="str">
        <f>IF(OR(E417="",E417="!!!",F417="NEW"),"",INDEX(B$2:B416,-1+SUMPRODUCT(MAX(ROW(E$2:E416)*(E417=E$2:E416)))))</f>
        <v>other_3</v>
      </c>
      <c r="J417" s="25">
        <f ca="1">IF(OR(E417="",E417="!!!",F417="NEW"),"",COUNTBLANK(OFFSET(A$1,,,SUMPRODUCT(MAX(ROW(E$2:E417)*(E417=E$2:E417)))))-COUNTBLANK(OFFSET(A$1,,,SUMPRODUCT(MAX(ROW(E$1:E416)*(E2=E$1:E416))))))</f>
        <v>0</v>
      </c>
      <c r="K417" s="25">
        <f ca="1">IF(OR(E417="",E417="!!!",F417="NEW"),"",INDEX(J$1:J416,SUMPRODUCT(MAX(ROW(E$1:E416)*(E417=E$1:E416)))))</f>
        <v>0</v>
      </c>
      <c r="L417" s="26"/>
    </row>
    <row r="418" spans="1:12" x14ac:dyDescent="0.3">
      <c r="A418" t="s">
        <v>202</v>
      </c>
      <c r="E418" s="21" t="str">
        <f t="shared" si="38"/>
        <v/>
      </c>
      <c r="F418" s="22" t="str">
        <f>IF(OR(E418="",E418="!!!"),"",IF(NOT(ISNA(VLOOKUP(E418,E$1:E417,1,FALSE()))),"OLD",IF(AND(E418&lt;&gt;"",E418&lt;&gt;"!!!"),"NEW","")))</f>
        <v/>
      </c>
      <c r="G418" s="23" t="str">
        <f>IF(OR(E418="",E418="!!!"),"",IF(OR(J418=0,AND(J418=1,K418=1),AND(J418=1,I418="SBJ"),AND(J418=1,I418=0)),"?IN_FOCUS",IF(J418&lt;=2,"?ACTIVATED",IF(J418&lt;&gt;"","?FAMILIAR",IF(F418="NEW",IF(ISNA(VLOOKUP(E418,#REF!,1,FALSE())),"?TYPE_IDENTIFIABLE","?REFERENTIAL"),"_")))))</f>
        <v/>
      </c>
      <c r="H418" s="24" t="str">
        <f t="shared" ca="1" si="39"/>
        <v/>
      </c>
      <c r="I418" s="25" t="str">
        <f>IF(OR(E418="",E418="!!!",F418="NEW"),"",INDEX(B$2:B417,-1+SUMPRODUCT(MAX(ROW(E$2:E417)*(E418=E$2:E417)))))</f>
        <v/>
      </c>
      <c r="J418" s="25" t="str">
        <f ca="1">IF(OR(E418="",E418="!!!",F418="NEW"),"",COUNTBLANK(OFFSET(A$1,,,SUMPRODUCT(MAX(ROW(E$2:E418)*(E418=E$2:E418)))))-COUNTBLANK(OFFSET(A$1,,,SUMPRODUCT(MAX(ROW(E$1:E417)*(E2=E$1:E417))))))</f>
        <v/>
      </c>
      <c r="K418" s="25" t="str">
        <f>IF(OR(E418="",E418="!!!",F418="NEW"),"",INDEX(J$1:J417,SUMPRODUCT(MAX(ROW(E$1:E417)*(E418=E$1:E417)))))</f>
        <v/>
      </c>
      <c r="L418" s="26"/>
    </row>
    <row r="419" spans="1:12" x14ac:dyDescent="0.3">
      <c r="A419" t="s">
        <v>208</v>
      </c>
      <c r="B419" s="20" t="s">
        <v>382</v>
      </c>
      <c r="E419" s="21" t="str">
        <f t="shared" si="38"/>
        <v/>
      </c>
      <c r="F419" s="22" t="str">
        <f>IF(OR(E419="",E419="!!!"),"",IF(NOT(ISNA(VLOOKUP(E419,E$1:E418,1,FALSE()))),"OLD",IF(AND(E419&lt;&gt;"",E419&lt;&gt;"!!!"),"NEW","")))</f>
        <v/>
      </c>
      <c r="G419" s="23" t="str">
        <f>IF(OR(E419="",E419="!!!"),"",IF(OR(J419=0,AND(J419=1,K419=1),AND(J419=1,I419="SBJ"),AND(J419=1,I419=0)),"?IN_FOCUS",IF(J419&lt;=2,"?ACTIVATED",IF(J419&lt;&gt;"","?FAMILIAR",IF(F419="NEW",IF(ISNA(VLOOKUP(E419,#REF!,1,FALSE())),"?TYPE_IDENTIFIABLE","?REFERENTIAL"),"_")))))</f>
        <v/>
      </c>
      <c r="H419" s="24" t="str">
        <f t="shared" ca="1" si="39"/>
        <v/>
      </c>
      <c r="I419" s="25" t="str">
        <f>IF(OR(E419="",E419="!!!",F419="NEW"),"",INDEX(B$2:B418,-1+SUMPRODUCT(MAX(ROW(E$2:E418)*(E419=E$2:E418)))))</f>
        <v/>
      </c>
      <c r="J419" s="25" t="str">
        <f ca="1">IF(OR(E419="",E419="!!!",F419="NEW"),"",COUNTBLANK(OFFSET(A$1,,,SUMPRODUCT(MAX(ROW(E$2:E419)*(E419=E$2:E419)))))-COUNTBLANK(OFFSET(A$1,,,SUMPRODUCT(MAX(ROW(E$1:E418)*(E2=E$1:E418))))))</f>
        <v/>
      </c>
      <c r="K419" s="25" t="str">
        <f>IF(OR(E419="",E419="!!!",F419="NEW"),"",INDEX(J$1:J418,SUMPRODUCT(MAX(ROW(E$1:E418)*(E419=E$1:E418)))))</f>
        <v/>
      </c>
      <c r="L419" s="26"/>
    </row>
    <row r="420" spans="1:12" x14ac:dyDescent="0.3">
      <c r="A420" t="s">
        <v>262</v>
      </c>
      <c r="E420" s="21" t="str">
        <f t="shared" si="38"/>
        <v/>
      </c>
      <c r="F420" s="22" t="str">
        <f>IF(OR(E420="",E420="!!!"),"",IF(NOT(ISNA(VLOOKUP(E420,E$1:E419,1,FALSE()))),"OLD",IF(AND(E420&lt;&gt;"",E420&lt;&gt;"!!!"),"NEW","")))</f>
        <v/>
      </c>
      <c r="G420" s="23" t="str">
        <f>IF(OR(E420="",E420="!!!"),"",IF(OR(J420=0,AND(J420=1,K420=1),AND(J420=1,I420="SBJ"),AND(J420=1,I420=0)),"?IN_FOCUS",IF(J420&lt;=2,"?ACTIVATED",IF(J420&lt;&gt;"","?FAMILIAR",IF(F420="NEW",IF(ISNA(VLOOKUP(E420,#REF!,1,FALSE())),"?TYPE_IDENTIFIABLE","?REFERENTIAL"),"_")))))</f>
        <v/>
      </c>
      <c r="H420" s="24" t="str">
        <f t="shared" ca="1" si="39"/>
        <v/>
      </c>
      <c r="I420" s="25" t="str">
        <f>IF(OR(E420="",E420="!!!",F420="NEW"),"",INDEX(B$2:B419,-1+SUMPRODUCT(MAX(ROW(E$2:E419)*(E420=E$2:E419)))))</f>
        <v/>
      </c>
      <c r="J420" s="25" t="str">
        <f ca="1">IF(OR(E420="",E420="!!!",F420="NEW"),"",COUNTBLANK(OFFSET(A$1,,,SUMPRODUCT(MAX(ROW(E$2:E420)*(E420=E$2:E420)))))-COUNTBLANK(OFFSET(A$1,,,SUMPRODUCT(MAX(ROW(E$1:E419)*(E2=E$1:E419))))))</f>
        <v/>
      </c>
      <c r="K420" s="25" t="str">
        <f>IF(OR(E420="",E420="!!!",F420="NEW"),"",INDEX(J$1:J419,SUMPRODUCT(MAX(ROW(E$1:E419)*(E420=E$1:E419)))))</f>
        <v/>
      </c>
      <c r="L420" s="26"/>
    </row>
    <row r="421" spans="1:12" x14ac:dyDescent="0.3">
      <c r="A421" t="s">
        <v>214</v>
      </c>
      <c r="E421" s="21" t="str">
        <f t="shared" si="38"/>
        <v/>
      </c>
      <c r="F421" s="22" t="str">
        <f>IF(OR(E421="",E421="!!!"),"",IF(NOT(ISNA(VLOOKUP(E421,E$1:E420,1,FALSE()))),"OLD",IF(AND(E421&lt;&gt;"",E421&lt;&gt;"!!!"),"NEW","")))</f>
        <v/>
      </c>
      <c r="G421" s="23" t="str">
        <f>IF(OR(E421="",E421="!!!"),"",IF(OR(J421=0,AND(J421=1,K421=1),AND(J421=1,I421="SBJ"),AND(J421=1,I421=0)),"?IN_FOCUS",IF(J421&lt;=2,"?ACTIVATED",IF(J421&lt;&gt;"","?FAMILIAR",IF(F421="NEW",IF(ISNA(VLOOKUP(E421,#REF!,1,FALSE())),"?TYPE_IDENTIFIABLE","?REFERENTIAL"),"_")))))</f>
        <v/>
      </c>
      <c r="H421" s="24" t="str">
        <f t="shared" ca="1" si="39"/>
        <v/>
      </c>
      <c r="I421" s="25" t="str">
        <f>IF(OR(E421="",E421="!!!",F421="NEW"),"",INDEX(B$2:B420,-1+SUMPRODUCT(MAX(ROW(E$2:E420)*(E421=E$2:E420)))))</f>
        <v/>
      </c>
      <c r="J421" s="25" t="str">
        <f ca="1">IF(OR(E421="",E421="!!!",F421="NEW"),"",COUNTBLANK(OFFSET(A$1,,,SUMPRODUCT(MAX(ROW(E$2:E421)*(E421=E$2:E421)))))-COUNTBLANK(OFFSET(A$1,,,SUMPRODUCT(MAX(ROW(E$1:E420)*(E2=E$1:E420))))))</f>
        <v/>
      </c>
      <c r="K421" s="25" t="str">
        <f>IF(OR(E421="",E421="!!!",F421="NEW"),"",INDEX(J$1:J420,SUMPRODUCT(MAX(ROW(E$1:E420)*(E421=E$1:E420)))))</f>
        <v/>
      </c>
      <c r="L421" s="26"/>
    </row>
    <row r="422" spans="1:12" x14ac:dyDescent="0.3">
      <c r="A422" t="s">
        <v>260</v>
      </c>
      <c r="B422" s="20" t="s">
        <v>285</v>
      </c>
      <c r="C422" s="20" t="s">
        <v>158</v>
      </c>
      <c r="D422" s="20" t="s">
        <v>146</v>
      </c>
      <c r="E422" s="21" t="s">
        <v>496</v>
      </c>
      <c r="F422" s="22" t="str">
        <f>IF(OR(E422="",E422="!!!"),"",IF(NOT(ISNA(VLOOKUP(E422,E$1:E421,1,FALSE()))),"OLD",IF(AND(E422&lt;&gt;"",E422&lt;&gt;"!!!"),"NEW","")))</f>
        <v>OLD</v>
      </c>
      <c r="G422" s="23" t="s">
        <v>482</v>
      </c>
      <c r="H422" s="24" t="str">
        <f t="shared" ca="1" si="39"/>
        <v/>
      </c>
      <c r="I422" s="25" t="str">
        <f>IF(OR(E422="",E422="!!!",F422="NEW"),"",INDEX(B$2:B421,-1+SUMPRODUCT(MAX(ROW(E$2:E421)*(E422=E$2:E421)))))</f>
        <v>other</v>
      </c>
      <c r="J422" s="25">
        <f ca="1">IF(OR(E422="",E422="!!!",F422="NEW"),"",COUNTBLANK(OFFSET(A$1,,,SUMPRODUCT(MAX(ROW(E$2:E422)*(E422=E$2:E422)))))-COUNTBLANK(OFFSET(A$1,,,SUMPRODUCT(MAX(ROW(E$1:E421)*(E2=E$1:E421))))))</f>
        <v>0</v>
      </c>
      <c r="K422" s="25" t="str">
        <f ca="1">IF(OR(E422="",E422="!!!",F422="NEW"),"",INDEX(J$1:J421,SUMPRODUCT(MAX(ROW(E$1:E421)*(E422=E$1:E421)))))</f>
        <v/>
      </c>
      <c r="L422" s="26"/>
    </row>
    <row r="423" spans="1:12" x14ac:dyDescent="0.3">
      <c r="A423" t="s">
        <v>174</v>
      </c>
      <c r="E423" s="21" t="str">
        <f t="shared" si="38"/>
        <v/>
      </c>
      <c r="F423" s="22" t="str">
        <f>IF(OR(E423="",E423="!!!"),"",IF(NOT(ISNA(VLOOKUP(E423,E$1:E422,1,FALSE()))),"OLD",IF(AND(E423&lt;&gt;"",E423&lt;&gt;"!!!"),"NEW","")))</f>
        <v/>
      </c>
      <c r="G423" s="23" t="str">
        <f>IF(OR(E423="",E423="!!!"),"",IF(OR(J423=0,AND(J423=1,K423=1),AND(J423=1,I423="SBJ"),AND(J423=1,I423=0)),"?IN_FOCUS",IF(J423&lt;=2,"?ACTIVATED",IF(J423&lt;&gt;"","?FAMILIAR",IF(F423="NEW",IF(ISNA(VLOOKUP(E423,#REF!,1,FALSE())),"?TYPE_IDENTIFIABLE","?REFERENTIAL"),"_")))))</f>
        <v/>
      </c>
      <c r="H423" s="24" t="str">
        <f t="shared" ca="1" si="39"/>
        <v/>
      </c>
      <c r="I423" s="25" t="str">
        <f>IF(OR(E423="",E423="!!!",F423="NEW"),"",INDEX(B$2:B422,-1+SUMPRODUCT(MAX(ROW(E$2:E422)*(E423=E$2:E422)))))</f>
        <v/>
      </c>
      <c r="J423" s="25" t="str">
        <f ca="1">IF(OR(E423="",E423="!!!",F423="NEW"),"",COUNTBLANK(OFFSET(A$1,,,SUMPRODUCT(MAX(ROW(E$2:E423)*(E423=E$2:E423)))))-COUNTBLANK(OFFSET(A$1,,,SUMPRODUCT(MAX(ROW(E$1:E422)*(E2=E$1:E422))))))</f>
        <v/>
      </c>
      <c r="K423" s="25" t="str">
        <f>IF(OR(E423="",E423="!!!",F423="NEW"),"",INDEX(J$1:J422,SUMPRODUCT(MAX(ROW(E$1:E422)*(E423=E$1:E422)))))</f>
        <v/>
      </c>
      <c r="L423" s="26"/>
    </row>
    <row r="424" spans="1:12" x14ac:dyDescent="0.3">
      <c r="A424" t="s">
        <v>198</v>
      </c>
      <c r="B424" s="20" t="s">
        <v>289</v>
      </c>
      <c r="C424" s="20" t="s">
        <v>145</v>
      </c>
      <c r="D424" s="20" t="s">
        <v>146</v>
      </c>
      <c r="E424" s="21" t="s">
        <v>486</v>
      </c>
      <c r="F424" s="22" t="str">
        <f>IF(OR(E424="",E424="!!!"),"",IF(NOT(ISNA(VLOOKUP(E424,E$1:E423,1,FALSE()))),"OLD",IF(AND(E424&lt;&gt;"",E424&lt;&gt;"!!!"),"NEW","")))</f>
        <v>OLD</v>
      </c>
      <c r="G424" s="23" t="s">
        <v>482</v>
      </c>
      <c r="H424" s="24" t="str">
        <f t="shared" ca="1" si="39"/>
        <v/>
      </c>
      <c r="I424" s="25" t="str">
        <f>IF(OR(E424="",E424="!!!",F424="NEW"),"",INDEX(B$2:B423,-1+SUMPRODUCT(MAX(ROW(E$2:E423)*(E424=E$2:E423)))))</f>
        <v>other_2</v>
      </c>
      <c r="J424" s="25">
        <f ca="1">IF(OR(E424="",E424="!!!",F424="NEW"),"",COUNTBLANK(OFFSET(A$1,,,SUMPRODUCT(MAX(ROW(E$2:E424)*(E424=E$2:E424)))))-COUNTBLANK(OFFSET(A$1,,,SUMPRODUCT(MAX(ROW(E$1:E423)*(E2=E$1:E423))))))</f>
        <v>0</v>
      </c>
      <c r="K424" s="25">
        <f ca="1">IF(OR(E424="",E424="!!!",F424="NEW"),"",INDEX(J$1:J423,SUMPRODUCT(MAX(ROW(E$1:E423)*(E424=E$1:E423)))))</f>
        <v>0</v>
      </c>
      <c r="L424" s="26"/>
    </row>
    <row r="425" spans="1:12" x14ac:dyDescent="0.3">
      <c r="A425" t="s">
        <v>395</v>
      </c>
      <c r="E425" s="21" t="str">
        <f t="shared" si="38"/>
        <v/>
      </c>
      <c r="F425" s="22" t="str">
        <f>IF(OR(E425="",E425="!!!"),"",IF(NOT(ISNA(VLOOKUP(E425,E$1:E424,1,FALSE()))),"OLD",IF(AND(E425&lt;&gt;"",E425&lt;&gt;"!!!"),"NEW","")))</f>
        <v/>
      </c>
      <c r="G425" s="23" t="str">
        <f>IF(OR(E425="",E425="!!!"),"",IF(OR(J425=0,AND(J425=1,K425=1),AND(J425=1,I425="SBJ"),AND(J425=1,I425=0)),"?IN_FOCUS",IF(J425&lt;=2,"?ACTIVATED",IF(J425&lt;&gt;"","?FAMILIAR",IF(F425="NEW",IF(ISNA(VLOOKUP(E425,#REF!,1,FALSE())),"?TYPE_IDENTIFIABLE","?REFERENTIAL"),"_")))))</f>
        <v/>
      </c>
      <c r="H425" s="24" t="str">
        <f t="shared" ca="1" si="39"/>
        <v/>
      </c>
      <c r="I425" s="25" t="str">
        <f>IF(OR(E425="",E425="!!!",F425="NEW"),"",INDEX(B$2:B424,-1+SUMPRODUCT(MAX(ROW(E$2:E424)*(E425=E$2:E424)))))</f>
        <v/>
      </c>
      <c r="J425" s="25" t="str">
        <f ca="1">IF(OR(E425="",E425="!!!",F425="NEW"),"",COUNTBLANK(OFFSET(A$1,,,SUMPRODUCT(MAX(ROW(E$2:E425)*(E425=E$2:E425)))))-COUNTBLANK(OFFSET(A$1,,,SUMPRODUCT(MAX(ROW(E$1:E424)*(E2=E$1:E424))))))</f>
        <v/>
      </c>
      <c r="K425" s="25" t="str">
        <f>IF(OR(E425="",E425="!!!",F425="NEW"),"",INDEX(J$1:J424,SUMPRODUCT(MAX(ROW(E$1:E424)*(E425=E$1:E424)))))</f>
        <v/>
      </c>
      <c r="L425" s="26"/>
    </row>
    <row r="426" spans="1:12" x14ac:dyDescent="0.3">
      <c r="A426" t="s">
        <v>128</v>
      </c>
      <c r="E426" s="21" t="str">
        <f t="shared" si="38"/>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39"/>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202</v>
      </c>
      <c r="E427" s="21" t="str">
        <f t="shared" si="38"/>
        <v/>
      </c>
      <c r="F427" s="22" t="str">
        <f>IF(OR(E427="",E427="!!!"),"",IF(NOT(ISNA(VLOOKUP(E427,E$1:E426,1,FALSE()))),"OLD",IF(AND(E427&lt;&gt;"",E427&lt;&gt;"!!!"),"NEW","")))</f>
        <v/>
      </c>
      <c r="G427" s="23" t="str">
        <f>IF(OR(E427="",E427="!!!"),"",IF(OR(J427=0,AND(J427=1,K427=1),AND(J427=1,I427="SBJ"),AND(J427=1,I427=0)),"?IN_FOCUS",IF(J427&lt;=2,"?ACTIVATED",IF(J427&lt;&gt;"","?FAMILIAR",IF(F427="NEW",IF(ISNA(VLOOKUP(E427,#REF!,1,FALSE())),"?TYPE_IDENTIFIABLE","?REFERENTIAL"),"_")))))</f>
        <v/>
      </c>
      <c r="H427" s="24" t="str">
        <f t="shared" ca="1" si="39"/>
        <v/>
      </c>
      <c r="I427" s="25" t="str">
        <f>IF(OR(E427="",E427="!!!",F427="NEW"),"",INDEX(B$2:B426,-1+SUMPRODUCT(MAX(ROW(E$2:E426)*(E427=E$2:E426)))))</f>
        <v/>
      </c>
      <c r="J427" s="25" t="str">
        <f ca="1">IF(OR(E427="",E427="!!!",F427="NEW"),"",COUNTBLANK(OFFSET(A$1,,,SUMPRODUCT(MAX(ROW(E$2:E427)*(E427=E$2:E427)))))-COUNTBLANK(OFFSET(A$1,,,SUMPRODUCT(MAX(ROW(E$1:E426)*(E2=E$1:E426))))))</f>
        <v/>
      </c>
      <c r="K427" s="25" t="str">
        <f>IF(OR(E427="",E427="!!!",F427="NEW"),"",INDEX(J$1:J426,SUMPRODUCT(MAX(ROW(E$1:E426)*(E427=E$1:E426)))))</f>
        <v/>
      </c>
      <c r="L427" s="26"/>
    </row>
    <row r="428" spans="1:12" x14ac:dyDescent="0.3">
      <c r="A428" t="s">
        <v>272</v>
      </c>
      <c r="E428" s="21" t="str">
        <f t="shared" si="38"/>
        <v/>
      </c>
      <c r="F428" s="22" t="str">
        <f>IF(OR(E428="",E428="!!!"),"",IF(NOT(ISNA(VLOOKUP(E428,E$1:E427,1,FALSE()))),"OLD",IF(AND(E428&lt;&gt;"",E428&lt;&gt;"!!!"),"NEW","")))</f>
        <v/>
      </c>
      <c r="G428" s="23" t="str">
        <f>IF(OR(E428="",E428="!!!"),"",IF(OR(J428=0,AND(J428=1,K428=1),AND(J428=1,I428="SBJ"),AND(J428=1,I428=0)),"?IN_FOCUS",IF(J428&lt;=2,"?ACTIVATED",IF(J428&lt;&gt;"","?FAMILIAR",IF(F428="NEW",IF(ISNA(VLOOKUP(E428,#REF!,1,FALSE())),"?TYPE_IDENTIFIABLE","?REFERENTIAL"),"_")))))</f>
        <v/>
      </c>
      <c r="H428" s="24" t="str">
        <f t="shared" ca="1" si="39"/>
        <v/>
      </c>
      <c r="I428" s="25" t="str">
        <f>IF(OR(E428="",E428="!!!",F428="NEW"),"",INDEX(B$2:B427,-1+SUMPRODUCT(MAX(ROW(E$2:E427)*(E428=E$2:E427)))))</f>
        <v/>
      </c>
      <c r="J428" s="25" t="str">
        <f ca="1">IF(OR(E428="",E428="!!!",F428="NEW"),"",COUNTBLANK(OFFSET(A$1,,,SUMPRODUCT(MAX(ROW(E$2:E428)*(E428=E$2:E428)))))-COUNTBLANK(OFFSET(A$1,,,SUMPRODUCT(MAX(ROW(E$1:E427)*(E2=E$1:E427))))))</f>
        <v/>
      </c>
      <c r="K428" s="25" t="str">
        <f>IF(OR(E428="",E428="!!!",F428="NEW"),"",INDEX(J$1:J427,SUMPRODUCT(MAX(ROW(E$1:E427)*(E428=E$1:E427)))))</f>
        <v/>
      </c>
      <c r="L428" s="26"/>
    </row>
    <row r="429" spans="1:12" x14ac:dyDescent="0.3">
      <c r="A429" t="s">
        <v>152</v>
      </c>
      <c r="B429" s="20" t="s">
        <v>157</v>
      </c>
      <c r="C429" s="20" t="s">
        <v>145</v>
      </c>
      <c r="D429" s="20" t="s">
        <v>146</v>
      </c>
      <c r="E429" s="21" t="s">
        <v>481</v>
      </c>
      <c r="F429" s="22" t="str">
        <f>IF(OR(E429="",E429="!!!"),"",IF(NOT(ISNA(VLOOKUP(E429,E$1:E428,1,FALSE()))),"OLD",IF(AND(E429&lt;&gt;"",E429&lt;&gt;"!!!"),"NEW","")))</f>
        <v>OLD</v>
      </c>
      <c r="G429" s="23" t="s">
        <v>527</v>
      </c>
      <c r="H429" s="24" t="str">
        <f t="shared" ca="1" si="39"/>
        <v/>
      </c>
      <c r="I429" s="25">
        <f>IF(OR(E429="",E429="!!!",F429="NEW"),"",INDEX(B$2:B428,-1+SUMPRODUCT(MAX(ROW(E$2:E428)*(E429=E$2:E428)))))</f>
        <v>0</v>
      </c>
      <c r="J429" s="25">
        <f ca="1">IF(OR(E429="",E429="!!!",F429="NEW"),"",COUNTBLANK(OFFSET(A$1,,,SUMPRODUCT(MAX(ROW(E$2:E429)*(E429=E$2:E429)))))-COUNTBLANK(OFFSET(A$1,,,SUMPRODUCT(MAX(ROW(E$1:E428)*(E2=E$1:E428))))))</f>
        <v>0</v>
      </c>
      <c r="K429" s="25">
        <f ca="1">IF(OR(E429="",E429="!!!",F429="NEW"),"",INDEX(J$1:J428,SUMPRODUCT(MAX(ROW(E$1:E428)*(E429=E$1:E428)))))</f>
        <v>0</v>
      </c>
      <c r="L429" s="26"/>
    </row>
    <row r="430" spans="1:12" x14ac:dyDescent="0.3">
      <c r="A430" t="s">
        <v>207</v>
      </c>
      <c r="E430" s="21" t="str">
        <f t="shared" si="38"/>
        <v/>
      </c>
      <c r="F430" s="22" t="str">
        <f>IF(OR(E430="",E430="!!!"),"",IF(NOT(ISNA(VLOOKUP(E430,E$1:E429,1,FALSE()))),"OLD",IF(AND(E430&lt;&gt;"",E430&lt;&gt;"!!!"),"NEW","")))</f>
        <v/>
      </c>
      <c r="G430" s="23" t="str">
        <f>IF(OR(E430="",E430="!!!"),"",IF(OR(J430=0,AND(J430=1,K430=1),AND(J430=1,I430="SBJ"),AND(J430=1,I430=0)),"?IN_FOCUS",IF(J430&lt;=2,"?ACTIVATED",IF(J430&lt;&gt;"","?FAMILIAR",IF(F430="NEW",IF(ISNA(VLOOKUP(E430,#REF!,1,FALSE())),"?TYPE_IDENTIFIABLE","?REFERENTIAL"),"_")))))</f>
        <v/>
      </c>
      <c r="H430" s="24" t="str">
        <f t="shared" ca="1" si="39"/>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row>
    <row r="431" spans="1:12" x14ac:dyDescent="0.3">
      <c r="A431" t="s">
        <v>200</v>
      </c>
      <c r="E431" s="21" t="str">
        <f t="shared" si="38"/>
        <v/>
      </c>
      <c r="F431" s="22" t="str">
        <f>IF(OR(E431="",E431="!!!"),"",IF(NOT(ISNA(VLOOKUP(E431,E$1:E430,1,FALSE()))),"OLD",IF(AND(E431&lt;&gt;"",E431&lt;&gt;"!!!"),"NEW","")))</f>
        <v/>
      </c>
      <c r="G431" s="23" t="str">
        <f>IF(OR(E431="",E431="!!!"),"",IF(OR(J431=0,AND(J431=1,K431=1),AND(J431=1,I431="SBJ"),AND(J431=1,I431=0)),"?IN_FOCUS",IF(J431&lt;=2,"?ACTIVATED",IF(J431&lt;&gt;"","?FAMILIAR",IF(F431="NEW",IF(ISNA(VLOOKUP(E431,#REF!,1,FALSE())),"?TYPE_IDENTIFIABLE","?REFERENTIAL"),"_")))))</f>
        <v/>
      </c>
      <c r="H431" s="24" t="str">
        <f t="shared" ca="1" si="39"/>
        <v/>
      </c>
      <c r="I431" s="25" t="str">
        <f>IF(OR(E431="",E431="!!!",F431="NEW"),"",INDEX(B$2:B430,-1+SUMPRODUCT(MAX(ROW(E$2:E430)*(E431=E$2:E430)))))</f>
        <v/>
      </c>
      <c r="J431" s="25" t="str">
        <f ca="1">IF(OR(E431="",E431="!!!",F431="NEW"),"",COUNTBLANK(OFFSET(A$1,,,SUMPRODUCT(MAX(ROW(E$2:E431)*(E431=E$2:E431)))))-COUNTBLANK(OFFSET(A$1,,,SUMPRODUCT(MAX(ROW(E$1:E430)*(E2=E$1:E430))))))</f>
        <v/>
      </c>
      <c r="K431" s="25" t="str">
        <f>IF(OR(E431="",E431="!!!",F431="NEW"),"",INDEX(J$1:J430,SUMPRODUCT(MAX(ROW(E$1:E430)*(E431=E$1:E430)))))</f>
        <v/>
      </c>
      <c r="L431" s="26"/>
    </row>
    <row r="432" spans="1:12" x14ac:dyDescent="0.3">
      <c r="A432" t="s">
        <v>231</v>
      </c>
      <c r="E432" s="21" t="str">
        <f t="shared" si="38"/>
        <v/>
      </c>
      <c r="F432" s="22" t="str">
        <f>IF(OR(E432="",E432="!!!"),"",IF(NOT(ISNA(VLOOKUP(E432,E$1:E431,1,FALSE()))),"OLD",IF(AND(E432&lt;&gt;"",E432&lt;&gt;"!!!"),"NEW","")))</f>
        <v/>
      </c>
      <c r="G432" s="23" t="str">
        <f>IF(OR(E432="",E432="!!!"),"",IF(OR(J432=0,AND(J432=1,K432=1),AND(J432=1,I432="SBJ"),AND(J432=1,I432=0)),"?IN_FOCUS",IF(J432&lt;=2,"?ACTIVATED",IF(J432&lt;&gt;"","?FAMILIAR",IF(F432="NEW",IF(ISNA(VLOOKUP(E432,#REF!,1,FALSE())),"?TYPE_IDENTIFIABLE","?REFERENTIAL"),"_")))))</f>
        <v/>
      </c>
      <c r="H432" s="24" t="str">
        <f t="shared" ca="1" si="39"/>
        <v/>
      </c>
      <c r="I432" s="25" t="str">
        <f>IF(OR(E432="",E432="!!!",F432="NEW"),"",INDEX(B$2:B431,-1+SUMPRODUCT(MAX(ROW(E$2:E431)*(E432=E$2:E431)))))</f>
        <v/>
      </c>
      <c r="J432" s="25" t="str">
        <f ca="1">IF(OR(E432="",E432="!!!",F432="NEW"),"",COUNTBLANK(OFFSET(A$1,,,SUMPRODUCT(MAX(ROW(E$2:E432)*(E432=E$2:E432)))))-COUNTBLANK(OFFSET(A$1,,,SUMPRODUCT(MAX(ROW(E$1:E431)*(E2=E$1:E431))))))</f>
        <v/>
      </c>
      <c r="K432" s="25" t="str">
        <f>IF(OR(E432="",E432="!!!",F432="NEW"),"",INDEX(J$1:J431,SUMPRODUCT(MAX(ROW(E$1:E431)*(E432=E$1:E431)))))</f>
        <v/>
      </c>
      <c r="L432" s="26"/>
    </row>
    <row r="433" spans="1:12" x14ac:dyDescent="0.3">
      <c r="A433" t="s">
        <v>396</v>
      </c>
      <c r="B433" s="20" t="s">
        <v>157</v>
      </c>
      <c r="C433" s="20" t="s">
        <v>223</v>
      </c>
      <c r="D433" s="20" t="s">
        <v>146</v>
      </c>
      <c r="E433" s="21"/>
      <c r="F433" s="22" t="str">
        <f>IF(OR(E433="",E433="!!!"),"",IF(NOT(ISNA(VLOOKUP(E433,E$1:E432,1,FALSE()))),"OLD",IF(AND(E433&lt;&gt;"",E433&lt;&gt;"!!!"),"NEW","")))</f>
        <v/>
      </c>
      <c r="G433" s="23" t="str">
        <f>IF(OR(E433="",E433="!!!"),"",IF(OR(J433=0,AND(J433=1,K433=1),AND(J433=1,I433="SBJ"),AND(J433=1,I433=0)),"?IN_FOCUS",IF(J433&lt;=2,"?ACTIVATED",IF(J433&lt;&gt;"","?FAMILIAR",IF(F433="NEW",IF(ISNA(VLOOKUP(E433,#REF!,1,FALSE())),"?TYPE_IDENTIFIABLE","?REFERENTIAL"),"_")))))</f>
        <v/>
      </c>
      <c r="H433" s="24" t="str">
        <f t="shared" ca="1" si="39"/>
        <v/>
      </c>
      <c r="I433" s="25" t="str">
        <f>IF(OR(E433="",E433="!!!",F433="NEW"),"",INDEX(B$2:B432,-1+SUMPRODUCT(MAX(ROW(E$2:E432)*(E433=E$2:E432)))))</f>
        <v/>
      </c>
      <c r="J433" s="25" t="str">
        <f ca="1">IF(OR(E433="",E433="!!!",F433="NEW"),"",COUNTBLANK(OFFSET(A$1,,,SUMPRODUCT(MAX(ROW(E$2:E433)*(E433=E$2:E433)))))-COUNTBLANK(OFFSET(A$1,,,SUMPRODUCT(MAX(ROW(E$1:E432)*(E2=E$1:E432))))))</f>
        <v/>
      </c>
      <c r="K433" s="25" t="str">
        <f>IF(OR(E433="",E433="!!!",F433="NEW"),"",INDEX(J$1:J432,SUMPRODUCT(MAX(ROW(E$1:E432)*(E433=E$1:E432)))))</f>
        <v/>
      </c>
      <c r="L433" s="26" t="s">
        <v>515</v>
      </c>
    </row>
    <row r="434" spans="1:12" x14ac:dyDescent="0.3">
      <c r="A434" t="s">
        <v>202</v>
      </c>
      <c r="E434" s="21" t="str">
        <f t="shared" si="38"/>
        <v/>
      </c>
      <c r="F434" s="22" t="str">
        <f>IF(OR(E434="",E434="!!!"),"",IF(NOT(ISNA(VLOOKUP(E434,E$1:E433,1,FALSE()))),"OLD",IF(AND(E434&lt;&gt;"",E434&lt;&gt;"!!!"),"NEW","")))</f>
        <v/>
      </c>
      <c r="G434" s="23" t="str">
        <f>IF(OR(E434="",E434="!!!"),"",IF(OR(J434=0,AND(J434=1,K434=1),AND(J434=1,I434="SBJ"),AND(J434=1,I434=0)),"?IN_FOCUS",IF(J434&lt;=2,"?ACTIVATED",IF(J434&lt;&gt;"","?FAMILIAR",IF(F434="NEW",IF(ISNA(VLOOKUP(E434,#REF!,1,FALSE())),"?TYPE_IDENTIFIABLE","?REFERENTIAL"),"_")))))</f>
        <v/>
      </c>
      <c r="H434" s="24" t="str">
        <f t="shared" ca="1" si="39"/>
        <v/>
      </c>
      <c r="I434" s="25" t="str">
        <f>IF(OR(E434="",E434="!!!",F434="NEW"),"",INDEX(B$2:B433,-1+SUMPRODUCT(MAX(ROW(E$2:E433)*(E434=E$2:E433)))))</f>
        <v/>
      </c>
      <c r="J434" s="25" t="str">
        <f ca="1">IF(OR(E434="",E434="!!!",F434="NEW"),"",COUNTBLANK(OFFSET(A$1,,,SUMPRODUCT(MAX(ROW(E$2:E434)*(E434=E$2:E434)))))-COUNTBLANK(OFFSET(A$1,,,SUMPRODUCT(MAX(ROW(E$1:E433)*(E2=E$1:E433))))))</f>
        <v/>
      </c>
      <c r="K434" s="25" t="str">
        <f>IF(OR(E434="",E434="!!!",F434="NEW"),"",INDEX(J$1:J433,SUMPRODUCT(MAX(ROW(E$1:E433)*(E434=E$1:E433)))))</f>
        <v/>
      </c>
      <c r="L434" s="26"/>
    </row>
    <row r="435" spans="1:12" x14ac:dyDescent="0.3">
      <c r="A435" t="s">
        <v>203</v>
      </c>
      <c r="E435" s="21" t="str">
        <f t="shared" si="38"/>
        <v/>
      </c>
      <c r="F435" s="22" t="str">
        <f>IF(OR(E435="",E435="!!!"),"",IF(NOT(ISNA(VLOOKUP(E435,E$1:E434,1,FALSE()))),"OLD",IF(AND(E435&lt;&gt;"",E435&lt;&gt;"!!!"),"NEW","")))</f>
        <v/>
      </c>
      <c r="G435" s="23" t="str">
        <f>IF(OR(E435="",E435="!!!"),"",IF(OR(J435=0,AND(J435=1,K435=1),AND(J435=1,I435="SBJ"),AND(J435=1,I435=0)),"?IN_FOCUS",IF(J435&lt;=2,"?ACTIVATED",IF(J435&lt;&gt;"","?FAMILIAR",IF(F435="NEW",IF(ISNA(VLOOKUP(E435,#REF!,1,FALSE())),"?TYPE_IDENTIFIABLE","?REFERENTIAL"),"_")))))</f>
        <v/>
      </c>
      <c r="H435" s="24" t="str">
        <f t="shared" ca="1" si="39"/>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397</v>
      </c>
      <c r="B436" s="20" t="s">
        <v>222</v>
      </c>
      <c r="C436" s="20" t="s">
        <v>201</v>
      </c>
      <c r="D436" s="20" t="s">
        <v>146</v>
      </c>
      <c r="E436" s="21" t="s">
        <v>481</v>
      </c>
      <c r="F436" s="22" t="str">
        <f>IF(OR(E436="",E436="!!!"),"",IF(NOT(ISNA(VLOOKUP(E436,E$1:E435,1,FALSE()))),"OLD",IF(AND(E436&lt;&gt;"",E436&lt;&gt;"!!!"),"NEW","")))</f>
        <v>OLD</v>
      </c>
      <c r="G436" s="23" t="s">
        <v>527</v>
      </c>
      <c r="H436" s="24" t="str">
        <f t="shared" ca="1" si="39"/>
        <v/>
      </c>
      <c r="I436" s="25" t="str">
        <f>IF(OR(E436="",E436="!!!",F436="NEW"),"",INDEX(B$2:B435,-1+SUMPRODUCT(MAX(ROW(E$2:E435)*(E436=E$2:E435)))))</f>
        <v>SBJ</v>
      </c>
      <c r="J436" s="25">
        <f ca="1">IF(OR(E436="",E436="!!!",F436="NEW"),"",COUNTBLANK(OFFSET(A$1,,,SUMPRODUCT(MAX(ROW(E$2:E436)*(E436=E$2:E436)))))-COUNTBLANK(OFFSET(A$1,,,SUMPRODUCT(MAX(ROW(E$1:E435)*(E2=E$1:E435))))))</f>
        <v>0</v>
      </c>
      <c r="K436" s="25">
        <f ca="1">IF(OR(E436="",E436="!!!",F436="NEW"),"",INDEX(J$1:J435,SUMPRODUCT(MAX(ROW(E$1:E435)*(E436=E$1:E435)))))</f>
        <v>0</v>
      </c>
      <c r="L436" s="26"/>
    </row>
    <row r="437" spans="1:12" x14ac:dyDescent="0.3">
      <c r="A437" t="s">
        <v>398</v>
      </c>
      <c r="B437" s="20" t="s">
        <v>287</v>
      </c>
      <c r="C437" s="20" t="s">
        <v>201</v>
      </c>
      <c r="D437" s="20" t="s">
        <v>146</v>
      </c>
      <c r="E437" s="21" t="s">
        <v>480</v>
      </c>
      <c r="F437" s="22" t="str">
        <f>IF(OR(E437="",E437="!!!"),"",IF(NOT(ISNA(VLOOKUP(E437,E$1:E436,1,FALSE()))),"OLD",IF(AND(E437&lt;&gt;"",E437&lt;&gt;"!!!"),"NEW","")))</f>
        <v>OLD</v>
      </c>
      <c r="G437" s="23" t="s">
        <v>527</v>
      </c>
      <c r="H437" s="24" t="str">
        <f t="shared" ca="1" si="39"/>
        <v/>
      </c>
      <c r="I437" s="25" t="str">
        <f>IF(OR(E437="",E437="!!!",F437="NEW"),"",INDEX(B$2:B436,-1+SUMPRODUCT(MAX(ROW(E$2:E436)*(E437=E$2:E436)))))</f>
        <v>other_2</v>
      </c>
      <c r="J437" s="25">
        <f ca="1">IF(OR(E437="",E437="!!!",F437="NEW"),"",COUNTBLANK(OFFSET(A$1,,,SUMPRODUCT(MAX(ROW(E$2:E437)*(E437=E$2:E437)))))-COUNTBLANK(OFFSET(A$1,,,SUMPRODUCT(MAX(ROW(E$1:E436)*(E2=E$1:E436))))))</f>
        <v>0</v>
      </c>
      <c r="K437" s="25">
        <f ca="1">IF(OR(E437="",E437="!!!",F437="NEW"),"",INDEX(J$1:J436,SUMPRODUCT(MAX(ROW(E$1:E436)*(E437=E$1:E436)))))</f>
        <v>0</v>
      </c>
      <c r="L437" s="26"/>
    </row>
    <row r="438" spans="1:12" x14ac:dyDescent="0.3">
      <c r="A438" t="s">
        <v>399</v>
      </c>
      <c r="B438" s="20" t="s">
        <v>285</v>
      </c>
      <c r="C438" s="20" t="s">
        <v>150</v>
      </c>
      <c r="E438" s="21" t="str">
        <f t="shared" si="38"/>
        <v/>
      </c>
      <c r="F438" s="22" t="str">
        <f>IF(OR(E438="",E438="!!!"),"",IF(NOT(ISNA(VLOOKUP(E438,E$1:E437,1,FALSE()))),"OLD",IF(AND(E438&lt;&gt;"",E438&lt;&gt;"!!!"),"NEW","")))</f>
        <v/>
      </c>
      <c r="G438" s="23" t="str">
        <f>IF(OR(E438="",E438="!!!"),"",IF(OR(J438=0,AND(J438=1,K438=1),AND(J438=1,I438="SBJ"),AND(J438=1,I438=0)),"?IN_FOCUS",IF(J438&lt;=2,"?ACTIVATED",IF(J438&lt;&gt;"","?FAMILIAR",IF(F438="NEW",IF(ISNA(VLOOKUP(E438,#REF!,1,FALSE())),"?TYPE_IDENTIFIABLE","?REFERENTIAL"),"_")))))</f>
        <v/>
      </c>
      <c r="H438" s="24" t="str">
        <f t="shared" ca="1" si="39"/>
        <v/>
      </c>
      <c r="I438" s="25" t="str">
        <f>IF(OR(E438="",E438="!!!",F438="NEW"),"",INDEX(B$2:B437,-1+SUMPRODUCT(MAX(ROW(E$2:E437)*(E438=E$2:E437)))))</f>
        <v/>
      </c>
      <c r="J438" s="25" t="str">
        <f ca="1">IF(OR(E438="",E438="!!!",F438="NEW"),"",COUNTBLANK(OFFSET(A$1,,,SUMPRODUCT(MAX(ROW(E$2:E438)*(E438=E$2:E438)))))-COUNTBLANK(OFFSET(A$1,,,SUMPRODUCT(MAX(ROW(E$1:E437)*(E2=E$1:E437))))))</f>
        <v/>
      </c>
      <c r="K438" s="25" t="str">
        <f>IF(OR(E438="",E438="!!!",F438="NEW"),"",INDEX(J$1:J437,SUMPRODUCT(MAX(ROW(E$1:E437)*(E438=E$1:E437)))))</f>
        <v/>
      </c>
      <c r="L438" s="26"/>
    </row>
    <row r="439" spans="1:12" x14ac:dyDescent="0.3">
      <c r="A439" t="s">
        <v>225</v>
      </c>
      <c r="E439" s="21" t="str">
        <f t="shared" si="38"/>
        <v/>
      </c>
      <c r="F439" s="22" t="str">
        <f>IF(OR(E439="",E439="!!!"),"",IF(NOT(ISNA(VLOOKUP(E439,E$1:E438,1,FALSE()))),"OLD",IF(AND(E439&lt;&gt;"",E439&lt;&gt;"!!!"),"NEW","")))</f>
        <v/>
      </c>
      <c r="G439" s="23" t="str">
        <f>IF(OR(E439="",E439="!!!"),"",IF(OR(J439=0,AND(J439=1,K439=1),AND(J439=1,I439="SBJ"),AND(J439=1,I439=0)),"?IN_FOCUS",IF(J439&lt;=2,"?ACTIVATED",IF(J439&lt;&gt;"","?FAMILIAR",IF(F439="NEW",IF(ISNA(VLOOKUP(E439,#REF!,1,FALSE())),"?TYPE_IDENTIFIABLE","?REFERENTIAL"),"_")))))</f>
        <v/>
      </c>
      <c r="H439" s="24" t="str">
        <f t="shared" ca="1" si="39"/>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row>
    <row r="440" spans="1:12" x14ac:dyDescent="0.3">
      <c r="A440" t="s">
        <v>236</v>
      </c>
      <c r="E440" s="21" t="str">
        <f t="shared" si="38"/>
        <v/>
      </c>
      <c r="F440" s="22" t="str">
        <f>IF(OR(E440="",E440="!!!"),"",IF(NOT(ISNA(VLOOKUP(E440,E$1:E439,1,FALSE()))),"OLD",IF(AND(E440&lt;&gt;"",E440&lt;&gt;"!!!"),"NEW","")))</f>
        <v/>
      </c>
      <c r="G440" s="23" t="str">
        <f>IF(OR(E440="",E440="!!!"),"",IF(OR(J440=0,AND(J440=1,K440=1),AND(J440=1,I440="SBJ"),AND(J440=1,I440=0)),"?IN_FOCUS",IF(J440&lt;=2,"?ACTIVATED",IF(J440&lt;&gt;"","?FAMILIAR",IF(F440="NEW",IF(ISNA(VLOOKUP(E440,#REF!,1,FALSE())),"?TYPE_IDENTIFIABLE","?REFERENTIAL"),"_")))))</f>
        <v/>
      </c>
      <c r="H440" s="24" t="str">
        <f t="shared" ca="1" si="39"/>
        <v/>
      </c>
      <c r="I440" s="25" t="str">
        <f>IF(OR(E440="",E440="!!!",F440="NEW"),"",INDEX(B$2:B439,-1+SUMPRODUCT(MAX(ROW(E$2:E439)*(E440=E$2:E439)))))</f>
        <v/>
      </c>
      <c r="J440" s="25" t="str">
        <f ca="1">IF(OR(E440="",E440="!!!",F440="NEW"),"",COUNTBLANK(OFFSET(A$1,,,SUMPRODUCT(MAX(ROW(E$2:E440)*(E440=E$2:E440)))))-COUNTBLANK(OFFSET(A$1,,,SUMPRODUCT(MAX(ROW(E$1:E439)*(E2=E$1:E439))))))</f>
        <v/>
      </c>
      <c r="K440" s="25" t="str">
        <f>IF(OR(E440="",E440="!!!",F440="NEW"),"",INDEX(J$1:J439,SUMPRODUCT(MAX(ROW(E$1:E439)*(E440=E$1:E439)))))</f>
        <v/>
      </c>
      <c r="L440" s="26"/>
    </row>
    <row r="441" spans="1:12" x14ac:dyDescent="0.3">
      <c r="A441" t="s">
        <v>341</v>
      </c>
      <c r="E441" s="21" t="str">
        <f t="shared" si="38"/>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39"/>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400</v>
      </c>
      <c r="B442" s="20" t="s">
        <v>165</v>
      </c>
      <c r="C442" s="20" t="s">
        <v>197</v>
      </c>
      <c r="E442" s="21" t="str">
        <f t="shared" si="38"/>
        <v/>
      </c>
      <c r="F442" s="22" t="str">
        <f>IF(OR(E442="",E442="!!!"),"",IF(NOT(ISNA(VLOOKUP(E442,E$1:E441,1,FALSE()))),"OLD",IF(AND(E442&lt;&gt;"",E442&lt;&gt;"!!!"),"NEW","")))</f>
        <v/>
      </c>
      <c r="G442" s="23" t="str">
        <f>IF(OR(E442="",E442="!!!"),"",IF(OR(J442=0,AND(J442=1,K442=1),AND(J442=1,I442="SBJ"),AND(J442=1,I442=0)),"?IN_FOCUS",IF(J442&lt;=2,"?ACTIVATED",IF(J442&lt;&gt;"","?FAMILIAR",IF(F442="NEW",IF(ISNA(VLOOKUP(E442,#REF!,1,FALSE())),"?TYPE_IDENTIFIABLE","?REFERENTIAL"),"_")))))</f>
        <v/>
      </c>
      <c r="H442" s="24" t="str">
        <f t="shared" ca="1" si="39"/>
        <v/>
      </c>
      <c r="I442" s="25" t="str">
        <f>IF(OR(E442="",E442="!!!",F442="NEW"),"",INDEX(B$2:B441,-1+SUMPRODUCT(MAX(ROW(E$2:E441)*(E442=E$2:E441)))))</f>
        <v/>
      </c>
      <c r="J442" s="25" t="str">
        <f ca="1">IF(OR(E442="",E442="!!!",F442="NEW"),"",COUNTBLANK(OFFSET(A$1,,,SUMPRODUCT(MAX(ROW(E$2:E442)*(E442=E$2:E442)))))-COUNTBLANK(OFFSET(A$1,,,SUMPRODUCT(MAX(ROW(E$1:E441)*(E2=E$1:E441))))))</f>
        <v/>
      </c>
      <c r="K442" s="25" t="str">
        <f>IF(OR(E442="",E442="!!!",F442="NEW"),"",INDEX(J$1:J441,SUMPRODUCT(MAX(ROW(E$1:E441)*(E442=E$1:E441)))))</f>
        <v/>
      </c>
      <c r="L442" s="26"/>
    </row>
    <row r="443" spans="1:12" x14ac:dyDescent="0.3">
      <c r="A443" t="s">
        <v>306</v>
      </c>
      <c r="E443" s="21" t="str">
        <f t="shared" si="38"/>
        <v/>
      </c>
      <c r="F443" s="22" t="str">
        <f>IF(OR(E443="",E443="!!!"),"",IF(NOT(ISNA(VLOOKUP(E443,E$1:E442,1,FALSE()))),"OLD",IF(AND(E443&lt;&gt;"",E443&lt;&gt;"!!!"),"NEW","")))</f>
        <v/>
      </c>
      <c r="G443" s="23" t="str">
        <f>IF(OR(E443="",E443="!!!"),"",IF(OR(J443=0,AND(J443=1,K443=1),AND(J443=1,I443="SBJ"),AND(J443=1,I443=0)),"?IN_FOCUS",IF(J443&lt;=2,"?ACTIVATED",IF(J443&lt;&gt;"","?FAMILIAR",IF(F443="NEW",IF(ISNA(VLOOKUP(E443,#REF!,1,FALSE())),"?TYPE_IDENTIFIABLE","?REFERENTIAL"),"_")))))</f>
        <v/>
      </c>
      <c r="H443" s="24" t="str">
        <f t="shared" ca="1" si="39"/>
        <v/>
      </c>
      <c r="I443" s="25" t="str">
        <f>IF(OR(E443="",E443="!!!",F443="NEW"),"",INDEX(B$2:B442,-1+SUMPRODUCT(MAX(ROW(E$2:E442)*(E443=E$2:E442)))))</f>
        <v/>
      </c>
      <c r="J443" s="25" t="str">
        <f ca="1">IF(OR(E443="",E443="!!!",F443="NEW"),"",COUNTBLANK(OFFSET(A$1,,,SUMPRODUCT(MAX(ROW(E$2:E443)*(E443=E$2:E443)))))-COUNTBLANK(OFFSET(A$1,,,SUMPRODUCT(MAX(ROW(E$1:E442)*(E2=E$1:E442))))))</f>
        <v/>
      </c>
      <c r="K443" s="25" t="str">
        <f>IF(OR(E443="",E443="!!!",F443="NEW"),"",INDEX(J$1:J442,SUMPRODUCT(MAX(ROW(E$1:E442)*(E443=E$1:E442)))))</f>
        <v/>
      </c>
      <c r="L443" s="26"/>
    </row>
    <row r="444" spans="1:12" x14ac:dyDescent="0.3">
      <c r="A444" t="s">
        <v>218</v>
      </c>
      <c r="E444" s="21" t="str">
        <f t="shared" si="38"/>
        <v/>
      </c>
      <c r="F444" s="22" t="str">
        <f>IF(OR(E444="",E444="!!!"),"",IF(NOT(ISNA(VLOOKUP(E444,E$1:E443,1,FALSE()))),"OLD",IF(AND(E444&lt;&gt;"",E444&lt;&gt;"!!!"),"NEW","")))</f>
        <v/>
      </c>
      <c r="G444" s="23" t="str">
        <f>IF(OR(E444="",E444="!!!"),"",IF(OR(J444=0,AND(J444=1,K444=1),AND(J444=1,I444="SBJ"),AND(J444=1,I444=0)),"?IN_FOCUS",IF(J444&lt;=2,"?ACTIVATED",IF(J444&lt;&gt;"","?FAMILIAR",IF(F444="NEW",IF(ISNA(VLOOKUP(E444,#REF!,1,FALSE())),"?TYPE_IDENTIFIABLE","?REFERENTIAL"),"_")))))</f>
        <v/>
      </c>
      <c r="H444" s="24" t="str">
        <f t="shared" ca="1" si="39"/>
        <v/>
      </c>
      <c r="I444" s="25" t="str">
        <f>IF(OR(E444="",E444="!!!",F444="NEW"),"",INDEX(B$2:B443,-1+SUMPRODUCT(MAX(ROW(E$2:E443)*(E444=E$2:E443)))))</f>
        <v/>
      </c>
      <c r="J444" s="25" t="str">
        <f ca="1">IF(OR(E444="",E444="!!!",F444="NEW"),"",COUNTBLANK(OFFSET(A$1,,,SUMPRODUCT(MAX(ROW(E$2:E444)*(E444=E$2:E444)))))-COUNTBLANK(OFFSET(A$1,,,SUMPRODUCT(MAX(ROW(E$1:E443)*(E2=E$1:E443))))))</f>
        <v/>
      </c>
      <c r="K444" s="25" t="str">
        <f>IF(OR(E444="",E444="!!!",F444="NEW"),"",INDEX(J$1:J443,SUMPRODUCT(MAX(ROW(E$1:E443)*(E444=E$1:E443)))))</f>
        <v/>
      </c>
      <c r="L444" s="26"/>
    </row>
    <row r="445" spans="1:12" x14ac:dyDescent="0.3">
      <c r="A445" t="s">
        <v>202</v>
      </c>
      <c r="E445" s="21" t="str">
        <f t="shared" ref="E445:E476" si="40">IF(D445="?OLD","!!!","")</f>
        <v/>
      </c>
      <c r="F445" s="22" t="str">
        <f>IF(OR(E445="",E445="!!!"),"",IF(NOT(ISNA(VLOOKUP(E445,E$1:E444,1,FALSE()))),"OLD",IF(AND(E445&lt;&gt;"",E445&lt;&gt;"!!!"),"NEW","")))</f>
        <v/>
      </c>
      <c r="G445" s="23" t="str">
        <f>IF(OR(E445="",E445="!!!"),"",IF(OR(J445=0,AND(J445=1,K445=1),AND(J445=1,I445="SBJ"),AND(J445=1,I445=0)),"?IN_FOCUS",IF(J445&lt;=2,"?ACTIVATED",IF(J445&lt;&gt;"","?FAMILIAR",IF(F445="NEW",IF(ISNA(VLOOKUP(E445,#REF!,1,FALSE())),"?TYPE_IDENTIFIABLE","?REFERENTIAL"),"_")))))</f>
        <v/>
      </c>
      <c r="H445" s="24" t="str">
        <f t="shared" ref="H445:H476" ca="1" si="41">IF(J445&lt;&gt;1,"",IF(I445="SBJ","CB","?"))</f>
        <v/>
      </c>
      <c r="I445" s="25" t="str">
        <f>IF(OR(E445="",E445="!!!",F445="NEW"),"",INDEX(B$2:B444,-1+SUMPRODUCT(MAX(ROW(E$2:E444)*(E445=E$2:E444)))))</f>
        <v/>
      </c>
      <c r="J445" s="25" t="str">
        <f ca="1">IF(OR(E445="",E445="!!!",F445="NEW"),"",COUNTBLANK(OFFSET(A$1,,,SUMPRODUCT(MAX(ROW(E$2:E445)*(E445=E$2:E445)))))-COUNTBLANK(OFFSET(A$1,,,SUMPRODUCT(MAX(ROW(E$1:E444)*(E2=E$1:E444))))))</f>
        <v/>
      </c>
      <c r="K445" s="25" t="str">
        <f>IF(OR(E445="",E445="!!!",F445="NEW"),"",INDEX(J$1:J444,SUMPRODUCT(MAX(ROW(E$1:E444)*(E445=E$1:E444)))))</f>
        <v/>
      </c>
      <c r="L445" s="26"/>
    </row>
    <row r="446" spans="1:12" x14ac:dyDescent="0.3">
      <c r="A446" t="s">
        <v>401</v>
      </c>
      <c r="B446" s="20" t="s">
        <v>402</v>
      </c>
      <c r="C446" s="20" t="s">
        <v>201</v>
      </c>
      <c r="D446" s="20" t="s">
        <v>146</v>
      </c>
      <c r="E446" s="21" t="s">
        <v>481</v>
      </c>
      <c r="F446" s="22" t="str">
        <f>IF(OR(E446="",E446="!!!"),"",IF(NOT(ISNA(VLOOKUP(E446,E$1:E445,1,FALSE()))),"OLD",IF(AND(E446&lt;&gt;"",E446&lt;&gt;"!!!"),"NEW","")))</f>
        <v>OLD</v>
      </c>
      <c r="G446" s="23" t="s">
        <v>527</v>
      </c>
      <c r="H446" s="24" t="str">
        <f t="shared" ca="1" si="41"/>
        <v/>
      </c>
      <c r="I446" s="25" t="str">
        <f>IF(OR(E446="",E446="!!!",F446="NEW"),"",INDEX(B$2:B445,-1+SUMPRODUCT(MAX(ROW(E$2:E445)*(E446=E$2:E445)))))</f>
        <v>SBJ_3</v>
      </c>
      <c r="J446" s="25">
        <f ca="1">IF(OR(E446="",E446="!!!",F446="NEW"),"",COUNTBLANK(OFFSET(A$1,,,SUMPRODUCT(MAX(ROW(E$2:E446)*(E446=E$2:E446)))))-COUNTBLANK(OFFSET(A$1,,,SUMPRODUCT(MAX(ROW(E$1:E445)*(E2=E$1:E445))))))</f>
        <v>0</v>
      </c>
      <c r="K446" s="25">
        <f ca="1">IF(OR(E446="",E446="!!!",F446="NEW"),"",INDEX(J$1:J445,SUMPRODUCT(MAX(ROW(E$1:E445)*(E446=E$1:E445)))))</f>
        <v>0</v>
      </c>
      <c r="L446" s="26"/>
    </row>
    <row r="447" spans="1:12" x14ac:dyDescent="0.3">
      <c r="A447" t="s">
        <v>403</v>
      </c>
      <c r="B447" s="20" t="s">
        <v>289</v>
      </c>
      <c r="C447" s="20" t="s">
        <v>317</v>
      </c>
      <c r="D447" s="20" t="s">
        <v>146</v>
      </c>
      <c r="E447" s="21"/>
      <c r="F447" s="22" t="str">
        <f>IF(OR(E447="",E447="!!!"),"",IF(NOT(ISNA(VLOOKUP(E447,E$1:E446,1,FALSE()))),"OLD",IF(AND(E447&lt;&gt;"",E447&lt;&gt;"!!!"),"NEW","")))</f>
        <v/>
      </c>
      <c r="G447" s="23" t="str">
        <f>IF(OR(E447="",E447="!!!"),"",IF(OR(J447=0,AND(J447=1,K447=1),AND(J447=1,I447="SBJ"),AND(J447=1,I447=0)),"?IN_FOCUS",IF(J447&lt;=2,"?ACTIVATED",IF(J447&lt;&gt;"","?FAMILIAR",IF(F447="NEW",IF(ISNA(VLOOKUP(E447,#REF!,1,FALSE())),"?TYPE_IDENTIFIABLE","?REFERENTIAL"),"_")))))</f>
        <v/>
      </c>
      <c r="H447" s="24" t="str">
        <f t="shared" ca="1" si="41"/>
        <v/>
      </c>
      <c r="I447" s="25" t="str">
        <f>IF(OR(E447="",E447="!!!",F447="NEW"),"",INDEX(B$2:B446,-1+SUMPRODUCT(MAX(ROW(E$2:E446)*(E447=E$2:E446)))))</f>
        <v/>
      </c>
      <c r="J447" s="25" t="str">
        <f ca="1">IF(OR(E447="",E447="!!!",F447="NEW"),"",COUNTBLANK(OFFSET(A$1,,,SUMPRODUCT(MAX(ROW(E$2:E447)*(E447=E$2:E447)))))-COUNTBLANK(OFFSET(A$1,,,SUMPRODUCT(MAX(ROW(E$1:E446)*(E2=E$1:E446))))))</f>
        <v/>
      </c>
      <c r="K447" s="25" t="str">
        <f>IF(OR(E447="",E447="!!!",F447="NEW"),"",INDEX(J$1:J446,SUMPRODUCT(MAX(ROW(E$1:E446)*(E447=E$1:E446)))))</f>
        <v/>
      </c>
      <c r="L447" s="26" t="s">
        <v>510</v>
      </c>
    </row>
    <row r="448" spans="1:12" x14ac:dyDescent="0.3">
      <c r="A448" t="s">
        <v>404</v>
      </c>
      <c r="E448" s="21" t="str">
        <f t="shared" si="40"/>
        <v/>
      </c>
      <c r="F448" s="22" t="str">
        <f>IF(OR(E448="",E448="!!!"),"",IF(NOT(ISNA(VLOOKUP(E448,E$1:E447,1,FALSE()))),"OLD",IF(AND(E448&lt;&gt;"",E448&lt;&gt;"!!!"),"NEW","")))</f>
        <v/>
      </c>
      <c r="G448" s="23" t="str">
        <f>IF(OR(E448="",E448="!!!"),"",IF(OR(J448=0,AND(J448=1,K448=1),AND(J448=1,I448="SBJ"),AND(J448=1,I448=0)),"?IN_FOCUS",IF(J448&lt;=2,"?ACTIVATED",IF(J448&lt;&gt;"","?FAMILIAR",IF(F448="NEW",IF(ISNA(VLOOKUP(E448,#REF!,1,FALSE())),"?TYPE_IDENTIFIABLE","?REFERENTIAL"),"_")))))</f>
        <v/>
      </c>
      <c r="H448" s="24" t="str">
        <f t="shared" ca="1" si="41"/>
        <v/>
      </c>
      <c r="I448" s="25" t="str">
        <f>IF(OR(E448="",E448="!!!",F448="NEW"),"",INDEX(B$2:B447,-1+SUMPRODUCT(MAX(ROW(E$2:E447)*(E448=E$2:E447)))))</f>
        <v/>
      </c>
      <c r="J448" s="25" t="str">
        <f ca="1">IF(OR(E448="",E448="!!!",F448="NEW"),"",COUNTBLANK(OFFSET(A$1,,,SUMPRODUCT(MAX(ROW(E$2:E448)*(E448=E$2:E448)))))-COUNTBLANK(OFFSET(A$1,,,SUMPRODUCT(MAX(ROW(E$1:E447)*(E2=E$1:E447))))))</f>
        <v/>
      </c>
      <c r="K448" s="25" t="str">
        <f>IF(OR(E448="",E448="!!!",F448="NEW"),"",INDEX(J$1:J447,SUMPRODUCT(MAX(ROW(E$1:E447)*(E448=E$1:E447)))))</f>
        <v/>
      </c>
      <c r="L448" s="26"/>
    </row>
    <row r="449" spans="1:12" x14ac:dyDescent="0.3">
      <c r="A449" t="s">
        <v>405</v>
      </c>
      <c r="E449" s="21" t="str">
        <f t="shared" si="40"/>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41"/>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307</v>
      </c>
      <c r="B450" s="20" t="s">
        <v>402</v>
      </c>
      <c r="C450" s="20" t="s">
        <v>319</v>
      </c>
      <c r="D450" s="20" t="s">
        <v>146</v>
      </c>
      <c r="E450" s="21" t="s">
        <v>529</v>
      </c>
      <c r="F450" s="22" t="str">
        <f>IF(OR(E450="",E450="!!!"),"",IF(NOT(ISNA(VLOOKUP(E450,E$1:E449,1,FALSE()))),"OLD",IF(AND(E450&lt;&gt;"",E450&lt;&gt;"!!!"),"NEW","")))</f>
        <v>OLD</v>
      </c>
      <c r="G450" s="23" t="s">
        <v>482</v>
      </c>
      <c r="H450" s="24" t="str">
        <f t="shared" ca="1" si="41"/>
        <v/>
      </c>
      <c r="I450" s="25" t="str">
        <f>IF(OR(E450="",E450="!!!",F450="NEW"),"",INDEX(B$2:B449,-1+SUMPRODUCT(MAX(ROW(E$2:E449)*(E450=E$2:E449)))))</f>
        <v>other</v>
      </c>
      <c r="J450" s="25">
        <f ca="1">IF(OR(E450="",E450="!!!",F450="NEW"),"",COUNTBLANK(OFFSET(A$1,,,SUMPRODUCT(MAX(ROW(E$2:E450)*(E450=E$2:E450)))))-COUNTBLANK(OFFSET(A$1,,,SUMPRODUCT(MAX(ROW(E$1:E449)*(E2=E$1:E449))))))</f>
        <v>0</v>
      </c>
      <c r="K450" s="25" t="str">
        <f ca="1">IF(OR(E450="",E450="!!!",F450="NEW"),"",INDEX(J$1:J449,SUMPRODUCT(MAX(ROW(E$1:E449)*(E450=E$1:E449)))))</f>
        <v/>
      </c>
      <c r="L450" s="26"/>
    </row>
    <row r="451" spans="1:12" x14ac:dyDescent="0.3">
      <c r="A451" t="s">
        <v>12</v>
      </c>
      <c r="E451" s="21" t="str">
        <f t="shared" si="40"/>
        <v/>
      </c>
      <c r="F451" s="22" t="str">
        <f>IF(OR(E451="",E451="!!!"),"",IF(NOT(ISNA(VLOOKUP(E451,E$1:E450,1,FALSE()))),"OLD",IF(AND(E451&lt;&gt;"",E451&lt;&gt;"!!!"),"NEW","")))</f>
        <v/>
      </c>
      <c r="G451" s="23" t="str">
        <f>IF(OR(E451="",E451="!!!"),"",IF(OR(J451=0,AND(J451=1,K451=1),AND(J451=1,I451="SBJ"),AND(J451=1,I451=0)),"?IN_FOCUS",IF(J451&lt;=2,"?ACTIVATED",IF(J451&lt;&gt;"","?FAMILIAR",IF(F451="NEW",IF(ISNA(VLOOKUP(E451,#REF!,1,FALSE())),"?TYPE_IDENTIFIABLE","?REFERENTIAL"),"_")))))</f>
        <v/>
      </c>
      <c r="H451" s="24" t="str">
        <f t="shared" ca="1" si="41"/>
        <v/>
      </c>
      <c r="I451" s="25" t="str">
        <f>IF(OR(E451="",E451="!!!",F451="NEW"),"",INDEX(B$2:B450,-1+SUMPRODUCT(MAX(ROW(E$2:E450)*(E451=E$2:E450)))))</f>
        <v/>
      </c>
      <c r="J451" s="25" t="str">
        <f ca="1">IF(OR(E451="",E451="!!!",F451="NEW"),"",COUNTBLANK(OFFSET(A$1,,,SUMPRODUCT(MAX(ROW(E$2:E451)*(E451=E$2:E451)))))-COUNTBLANK(OFFSET(A$1,,,SUMPRODUCT(MAX(ROW(E$1:E450)*(E2=E$1:E450))))))</f>
        <v/>
      </c>
      <c r="K451" s="25" t="str">
        <f>IF(OR(E451="",E451="!!!",F451="NEW"),"",INDEX(J$1:J450,SUMPRODUCT(MAX(ROW(E$1:E450)*(E451=E$1:E450)))))</f>
        <v/>
      </c>
      <c r="L451" s="26"/>
    </row>
    <row r="452" spans="1:12" x14ac:dyDescent="0.3">
      <c r="A452" t="s">
        <v>406</v>
      </c>
      <c r="B452" s="20" t="s">
        <v>382</v>
      </c>
      <c r="C452" s="20" t="s">
        <v>184</v>
      </c>
      <c r="E452" s="21" t="str">
        <f t="shared" si="40"/>
        <v/>
      </c>
      <c r="F452" s="22" t="str">
        <f>IF(OR(E452="",E452="!!!"),"",IF(NOT(ISNA(VLOOKUP(E452,E$1:E451,1,FALSE()))),"OLD",IF(AND(E452&lt;&gt;"",E452&lt;&gt;"!!!"),"NEW","")))</f>
        <v/>
      </c>
      <c r="G452" s="23" t="str">
        <f>IF(OR(E452="",E452="!!!"),"",IF(OR(J452=0,AND(J452=1,K452=1),AND(J452=1,I452="SBJ"),AND(J452=1,I452=0)),"?IN_FOCUS",IF(J452&lt;=2,"?ACTIVATED",IF(J452&lt;&gt;"","?FAMILIAR",IF(F452="NEW",IF(ISNA(VLOOKUP(E452,#REF!,1,FALSE())),"?TYPE_IDENTIFIABLE","?REFERENTIAL"),"_")))))</f>
        <v/>
      </c>
      <c r="H452" s="24" t="str">
        <f t="shared" ca="1" si="41"/>
        <v/>
      </c>
      <c r="I452" s="25" t="str">
        <f>IF(OR(E452="",E452="!!!",F452="NEW"),"",INDEX(B$2:B451,-1+SUMPRODUCT(MAX(ROW(E$2:E451)*(E452=E$2:E451)))))</f>
        <v/>
      </c>
      <c r="J452" s="25" t="str">
        <f ca="1">IF(OR(E452="",E452="!!!",F452="NEW"),"",COUNTBLANK(OFFSET(A$1,,,SUMPRODUCT(MAX(ROW(E$2:E452)*(E452=E$2:E452)))))-COUNTBLANK(OFFSET(A$1,,,SUMPRODUCT(MAX(ROW(E$1:E451)*(E2=E$1:E451))))))</f>
        <v/>
      </c>
      <c r="K452" s="25" t="str">
        <f>IF(OR(E452="",E452="!!!",F452="NEW"),"",INDEX(J$1:J451,SUMPRODUCT(MAX(ROW(E$1:E451)*(E452=E$1:E451)))))</f>
        <v/>
      </c>
      <c r="L452" s="26"/>
    </row>
    <row r="453" spans="1:12" x14ac:dyDescent="0.3">
      <c r="A453" t="s">
        <v>407</v>
      </c>
      <c r="E453" s="21" t="str">
        <f t="shared" si="40"/>
        <v/>
      </c>
      <c r="F453" s="22" t="str">
        <f>IF(OR(E453="",E453="!!!"),"",IF(NOT(ISNA(VLOOKUP(E453,E$1:E452,1,FALSE()))),"OLD",IF(AND(E453&lt;&gt;"",E453&lt;&gt;"!!!"),"NEW","")))</f>
        <v/>
      </c>
      <c r="G453" s="23" t="str">
        <f>IF(OR(E453="",E453="!!!"),"",IF(OR(J453=0,AND(J453=1,K453=1),AND(J453=1,I453="SBJ"),AND(J453=1,I453=0)),"?IN_FOCUS",IF(J453&lt;=2,"?ACTIVATED",IF(J453&lt;&gt;"","?FAMILIAR",IF(F453="NEW",IF(ISNA(VLOOKUP(E453,#REF!,1,FALSE())),"?TYPE_IDENTIFIABLE","?REFERENTIAL"),"_")))))</f>
        <v/>
      </c>
      <c r="H453" s="24" t="str">
        <f t="shared" ca="1" si="41"/>
        <v/>
      </c>
      <c r="I453" s="25" t="str">
        <f>IF(OR(E453="",E453="!!!",F453="NEW"),"",INDEX(B$2:B452,-1+SUMPRODUCT(MAX(ROW(E$2:E452)*(E453=E$2:E452)))))</f>
        <v/>
      </c>
      <c r="J453" s="25" t="str">
        <f ca="1">IF(OR(E453="",E453="!!!",F453="NEW"),"",COUNTBLANK(OFFSET(A$1,,,SUMPRODUCT(MAX(ROW(E$2:E453)*(E453=E$2:E453)))))-COUNTBLANK(OFFSET(A$1,,,SUMPRODUCT(MAX(ROW(E$1:E452)*(E2=E$1:E452))))))</f>
        <v/>
      </c>
      <c r="K453" s="25" t="str">
        <f>IF(OR(E453="",E453="!!!",F453="NEW"),"",INDEX(J$1:J452,SUMPRODUCT(MAX(ROW(E$1:E452)*(E453=E$1:E452)))))</f>
        <v/>
      </c>
      <c r="L453" s="26"/>
    </row>
    <row r="454" spans="1:12" x14ac:dyDescent="0.3">
      <c r="A454" t="s">
        <v>408</v>
      </c>
      <c r="E454" s="21" t="str">
        <f t="shared" si="40"/>
        <v/>
      </c>
      <c r="F454" s="22" t="str">
        <f>IF(OR(E454="",E454="!!!"),"",IF(NOT(ISNA(VLOOKUP(E454,E$1:E453,1,FALSE()))),"OLD",IF(AND(E454&lt;&gt;"",E454&lt;&gt;"!!!"),"NEW","")))</f>
        <v/>
      </c>
      <c r="G454" s="23" t="str">
        <f>IF(OR(E454="",E454="!!!"),"",IF(OR(J454=0,AND(J454=1,K454=1),AND(J454=1,I454="SBJ"),AND(J454=1,I454=0)),"?IN_FOCUS",IF(J454&lt;=2,"?ACTIVATED",IF(J454&lt;&gt;"","?FAMILIAR",IF(F454="NEW",IF(ISNA(VLOOKUP(E454,#REF!,1,FALSE())),"?TYPE_IDENTIFIABLE","?REFERENTIAL"),"_")))))</f>
        <v/>
      </c>
      <c r="H454" s="24" t="str">
        <f t="shared" ca="1" si="41"/>
        <v/>
      </c>
      <c r="I454" s="25" t="str">
        <f>IF(OR(E454="",E454="!!!",F454="NEW"),"",INDEX(B$2:B453,-1+SUMPRODUCT(MAX(ROW(E$2:E453)*(E454=E$2:E453)))))</f>
        <v/>
      </c>
      <c r="J454" s="25" t="str">
        <f ca="1">IF(OR(E454="",E454="!!!",F454="NEW"),"",COUNTBLANK(OFFSET(A$1,,,SUMPRODUCT(MAX(ROW(E$2:E454)*(E454=E$2:E454)))))-COUNTBLANK(OFFSET(A$1,,,SUMPRODUCT(MAX(ROW(E$1:E453)*(E2=E$1:E453))))))</f>
        <v/>
      </c>
      <c r="K454" s="25" t="str">
        <f>IF(OR(E454="",E454="!!!",F454="NEW"),"",INDEX(J$1:J453,SUMPRODUCT(MAX(ROW(E$1:E453)*(E454=E$1:E453)))))</f>
        <v/>
      </c>
      <c r="L454" s="26"/>
    </row>
    <row r="455" spans="1:12" x14ac:dyDescent="0.3">
      <c r="A455" t="s">
        <v>49</v>
      </c>
      <c r="E455" s="21" t="str">
        <f t="shared" si="40"/>
        <v/>
      </c>
      <c r="F455" s="22" t="str">
        <f>IF(OR(E455="",E455="!!!"),"",IF(NOT(ISNA(VLOOKUP(E455,E$1:E454,1,FALSE()))),"OLD",IF(AND(E455&lt;&gt;"",E455&lt;&gt;"!!!"),"NEW","")))</f>
        <v/>
      </c>
      <c r="G455" s="23" t="str">
        <f>IF(OR(E455="",E455="!!!"),"",IF(OR(J455=0,AND(J455=1,K455=1),AND(J455=1,I455="SBJ"),AND(J455=1,I455=0)),"?IN_FOCUS",IF(J455&lt;=2,"?ACTIVATED",IF(J455&lt;&gt;"","?FAMILIAR",IF(F455="NEW",IF(ISNA(VLOOKUP(E455,#REF!,1,FALSE())),"?TYPE_IDENTIFIABLE","?REFERENTIAL"),"_")))))</f>
        <v/>
      </c>
      <c r="H455" s="24" t="str">
        <f t="shared" ca="1" si="41"/>
        <v/>
      </c>
      <c r="I455" s="25" t="str">
        <f>IF(OR(E455="",E455="!!!",F455="NEW"),"",INDEX(B$2:B454,-1+SUMPRODUCT(MAX(ROW(E$2:E454)*(E455=E$2:E454)))))</f>
        <v/>
      </c>
      <c r="J455" s="25" t="str">
        <f ca="1">IF(OR(E455="",E455="!!!",F455="NEW"),"",COUNTBLANK(OFFSET(A$1,,,SUMPRODUCT(MAX(ROW(E$2:E455)*(E455=E$2:E455)))))-COUNTBLANK(OFFSET(A$1,,,SUMPRODUCT(MAX(ROW(E$1:E454)*(E2=E$1:E454))))))</f>
        <v/>
      </c>
      <c r="K455" s="25" t="str">
        <f>IF(OR(E455="",E455="!!!",F455="NEW"),"",INDEX(J$1:J454,SUMPRODUCT(MAX(ROW(E$1:E454)*(E455=E$1:E454)))))</f>
        <v/>
      </c>
      <c r="L455" s="26"/>
    </row>
    <row r="456" spans="1:12" x14ac:dyDescent="0.3">
      <c r="A456" t="s">
        <v>12</v>
      </c>
      <c r="E456" s="21" t="str">
        <f t="shared" si="40"/>
        <v/>
      </c>
      <c r="F456" s="22" t="str">
        <f>IF(OR(E456="",E456="!!!"),"",IF(NOT(ISNA(VLOOKUP(E456,E$1:E455,1,FALSE()))),"OLD",IF(AND(E456&lt;&gt;"",E456&lt;&gt;"!!!"),"NEW","")))</f>
        <v/>
      </c>
      <c r="G456" s="23" t="str">
        <f>IF(OR(E456="",E456="!!!"),"",IF(OR(J456=0,AND(J456=1,K456=1),AND(J456=1,I456="SBJ"),AND(J456=1,I456=0)),"?IN_FOCUS",IF(J456&lt;=2,"?ACTIVATED",IF(J456&lt;&gt;"","?FAMILIAR",IF(F456="NEW",IF(ISNA(VLOOKUP(E456,#REF!,1,FALSE())),"?TYPE_IDENTIFIABLE","?REFERENTIAL"),"_")))))</f>
        <v/>
      </c>
      <c r="H456" s="24" t="str">
        <f t="shared" ca="1" si="41"/>
        <v/>
      </c>
      <c r="I456" s="25" t="str">
        <f>IF(OR(E456="",E456="!!!",F456="NEW"),"",INDEX(B$2:B455,-1+SUMPRODUCT(MAX(ROW(E$2:E455)*(E456=E$2:E455)))))</f>
        <v/>
      </c>
      <c r="J456" s="25" t="str">
        <f ca="1">IF(OR(E456="",E456="!!!",F456="NEW"),"",COUNTBLANK(OFFSET(A$1,,,SUMPRODUCT(MAX(ROW(E$2:E456)*(E456=E$2:E456)))))-COUNTBLANK(OFFSET(A$1,,,SUMPRODUCT(MAX(ROW(E$1:E455)*(E2=E$1:E455))))))</f>
        <v/>
      </c>
      <c r="K456" s="25" t="str">
        <f>IF(OR(E456="",E456="!!!",F456="NEW"),"",INDEX(J$1:J455,SUMPRODUCT(MAX(ROW(E$1:E455)*(E456=E$1:E455)))))</f>
        <v/>
      </c>
      <c r="L456" s="26"/>
    </row>
    <row r="457" spans="1:12" x14ac:dyDescent="0.3">
      <c r="A457" t="s">
        <v>409</v>
      </c>
      <c r="E457" s="21" t="str">
        <f t="shared" si="40"/>
        <v/>
      </c>
      <c r="F457" s="22" t="str">
        <f>IF(OR(E457="",E457="!!!"),"",IF(NOT(ISNA(VLOOKUP(E457,E$1:E456,1,FALSE()))),"OLD",IF(AND(E457&lt;&gt;"",E457&lt;&gt;"!!!"),"NEW","")))</f>
        <v/>
      </c>
      <c r="G457" s="23" t="str">
        <f>IF(OR(E457="",E457="!!!"),"",IF(OR(J457=0,AND(J457=1,K457=1),AND(J457=1,I457="SBJ"),AND(J457=1,I457=0)),"?IN_FOCUS",IF(J457&lt;=2,"?ACTIVATED",IF(J457&lt;&gt;"","?FAMILIAR",IF(F457="NEW",IF(ISNA(VLOOKUP(E457,#REF!,1,FALSE())),"?TYPE_IDENTIFIABLE","?REFERENTIAL"),"_")))))</f>
        <v/>
      </c>
      <c r="H457" s="24" t="str">
        <f t="shared" ca="1" si="41"/>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8" spans="1:12" x14ac:dyDescent="0.3">
      <c r="A458" t="s">
        <v>307</v>
      </c>
      <c r="B458" s="20" t="s">
        <v>402</v>
      </c>
      <c r="C458" s="20" t="s">
        <v>150</v>
      </c>
      <c r="E458" s="21" t="str">
        <f t="shared" si="40"/>
        <v/>
      </c>
      <c r="F458" s="22" t="str">
        <f>IF(OR(E458="",E458="!!!"),"",IF(NOT(ISNA(VLOOKUP(E458,E$1:E457,1,FALSE()))),"OLD",IF(AND(E458&lt;&gt;"",E458&lt;&gt;"!!!"),"NEW","")))</f>
        <v/>
      </c>
      <c r="G458" s="23" t="str">
        <f>IF(OR(E458="",E458="!!!"),"",IF(OR(J458=0,AND(J458=1,K458=1),AND(J458=1,I458="SBJ"),AND(J458=1,I458=0)),"?IN_FOCUS",IF(J458&lt;=2,"?ACTIVATED",IF(J458&lt;&gt;"","?FAMILIAR",IF(F458="NEW",IF(ISNA(VLOOKUP(E458,#REF!,1,FALSE())),"?TYPE_IDENTIFIABLE","?REFERENTIAL"),"_")))))</f>
        <v/>
      </c>
      <c r="H458" s="24" t="str">
        <f t="shared" ca="1" si="41"/>
        <v/>
      </c>
      <c r="I458" s="25" t="str">
        <f>IF(OR(E458="",E458="!!!",F458="NEW"),"",INDEX(B$2:B457,-1+SUMPRODUCT(MAX(ROW(E$2:E457)*(E458=E$2:E457)))))</f>
        <v/>
      </c>
      <c r="J458" s="25" t="str">
        <f ca="1">IF(OR(E458="",E458="!!!",F458="NEW"),"",COUNTBLANK(OFFSET(A$1,,,SUMPRODUCT(MAX(ROW(E$2:E458)*(E458=E$2:E458)))))-COUNTBLANK(OFFSET(A$1,,,SUMPRODUCT(MAX(ROW(E$1:E457)*(E2=E$1:E457))))))</f>
        <v/>
      </c>
      <c r="K458" s="25" t="str">
        <f>IF(OR(E458="",E458="!!!",F458="NEW"),"",INDEX(J$1:J457,SUMPRODUCT(MAX(ROW(E$1:E457)*(E458=E$1:E457)))))</f>
        <v/>
      </c>
      <c r="L458" s="26"/>
    </row>
    <row r="459" spans="1:12" x14ac:dyDescent="0.3">
      <c r="A459" t="s">
        <v>410</v>
      </c>
      <c r="E459" s="21" t="str">
        <f t="shared" si="40"/>
        <v/>
      </c>
      <c r="F459" s="22" t="str">
        <f>IF(OR(E459="",E459="!!!"),"",IF(NOT(ISNA(VLOOKUP(E459,E$1:E458,1,FALSE()))),"OLD",IF(AND(E459&lt;&gt;"",E459&lt;&gt;"!!!"),"NEW","")))</f>
        <v/>
      </c>
      <c r="G459" s="23" t="str">
        <f>IF(OR(E459="",E459="!!!"),"",IF(OR(J459=0,AND(J459=1,K459=1),AND(J459=1,I459="SBJ"),AND(J459=1,I459=0)),"?IN_FOCUS",IF(J459&lt;=2,"?ACTIVATED",IF(J459&lt;&gt;"","?FAMILIAR",IF(F459="NEW",IF(ISNA(VLOOKUP(E459,#REF!,1,FALSE())),"?TYPE_IDENTIFIABLE","?REFERENTIAL"),"_")))))</f>
        <v/>
      </c>
      <c r="H459" s="24" t="str">
        <f t="shared" ca="1" si="41"/>
        <v/>
      </c>
      <c r="I459" s="25" t="str">
        <f>IF(OR(E459="",E459="!!!",F459="NEW"),"",INDEX(B$2:B458,-1+SUMPRODUCT(MAX(ROW(E$2:E458)*(E459=E$2:E458)))))</f>
        <v/>
      </c>
      <c r="J459" s="25" t="str">
        <f ca="1">IF(OR(E459="",E459="!!!",F459="NEW"),"",COUNTBLANK(OFFSET(A$1,,,SUMPRODUCT(MAX(ROW(E$2:E459)*(E459=E$2:E459)))))-COUNTBLANK(OFFSET(A$1,,,SUMPRODUCT(MAX(ROW(E$1:E458)*(E2=E$1:E458))))))</f>
        <v/>
      </c>
      <c r="K459" s="25" t="str">
        <f>IF(OR(E459="",E459="!!!",F459="NEW"),"",INDEX(J$1:J458,SUMPRODUCT(MAX(ROW(E$1:E458)*(E459=E$1:E458)))))</f>
        <v/>
      </c>
      <c r="L459" s="26"/>
    </row>
    <row r="460" spans="1:12" x14ac:dyDescent="0.3">
      <c r="A460" t="s">
        <v>171</v>
      </c>
      <c r="B460" s="20" t="s">
        <v>289</v>
      </c>
      <c r="C460" s="20" t="s">
        <v>172</v>
      </c>
      <c r="E460" s="21" t="str">
        <f t="shared" si="40"/>
        <v/>
      </c>
      <c r="F460" s="22" t="str">
        <f>IF(OR(E460="",E460="!!!"),"",IF(NOT(ISNA(VLOOKUP(E460,E$1:E459,1,FALSE()))),"OLD",IF(AND(E460&lt;&gt;"",E460&lt;&gt;"!!!"),"NEW","")))</f>
        <v/>
      </c>
      <c r="G460" s="23" t="str">
        <f>IF(OR(E460="",E460="!!!"),"",IF(OR(J460=0,AND(J460=1,K460=1),AND(J460=1,I460="SBJ"),AND(J460=1,I460=0)),"?IN_FOCUS",IF(J460&lt;=2,"?ACTIVATED",IF(J460&lt;&gt;"","?FAMILIAR",IF(F460="NEW",IF(ISNA(VLOOKUP(E460,#REF!,1,FALSE())),"?TYPE_IDENTIFIABLE","?REFERENTIAL"),"_")))))</f>
        <v/>
      </c>
      <c r="H460" s="24" t="str">
        <f t="shared" ca="1" si="41"/>
        <v/>
      </c>
      <c r="I460" s="25" t="str">
        <f>IF(OR(E460="",E460="!!!",F460="NEW"),"",INDEX(B$2:B459,-1+SUMPRODUCT(MAX(ROW(E$2:E459)*(E460=E$2:E459)))))</f>
        <v/>
      </c>
      <c r="J460" s="25" t="str">
        <f ca="1">IF(OR(E460="",E460="!!!",F460="NEW"),"",COUNTBLANK(OFFSET(A$1,,,SUMPRODUCT(MAX(ROW(E$2:E460)*(E460=E$2:E460)))))-COUNTBLANK(OFFSET(A$1,,,SUMPRODUCT(MAX(ROW(E$1:E459)*(E2=E$1:E459))))))</f>
        <v/>
      </c>
      <c r="K460" s="25" t="str">
        <f>IF(OR(E460="",E460="!!!",F460="NEW"),"",INDEX(J$1:J459,SUMPRODUCT(MAX(ROW(E$1:E459)*(E460=E$1:E459)))))</f>
        <v/>
      </c>
      <c r="L460" s="26"/>
    </row>
    <row r="461" spans="1:12" x14ac:dyDescent="0.3">
      <c r="A461" t="s">
        <v>411</v>
      </c>
      <c r="E461" s="21" t="str">
        <f t="shared" si="40"/>
        <v/>
      </c>
      <c r="F461" s="22" t="str">
        <f>IF(OR(E461="",E461="!!!"),"",IF(NOT(ISNA(VLOOKUP(E461,E$1:E460,1,FALSE()))),"OLD",IF(AND(E461&lt;&gt;"",E461&lt;&gt;"!!!"),"NEW","")))</f>
        <v/>
      </c>
      <c r="G461" s="23" t="str">
        <f>IF(OR(E461="",E461="!!!"),"",IF(OR(J461=0,AND(J461=1,K461=1),AND(J461=1,I461="SBJ"),AND(J461=1,I461=0)),"?IN_FOCUS",IF(J461&lt;=2,"?ACTIVATED",IF(J461&lt;&gt;"","?FAMILIAR",IF(F461="NEW",IF(ISNA(VLOOKUP(E461,#REF!,1,FALSE())),"?TYPE_IDENTIFIABLE","?REFERENTIAL"),"_")))))</f>
        <v/>
      </c>
      <c r="H461" s="24" t="str">
        <f t="shared" ca="1" si="41"/>
        <v/>
      </c>
      <c r="I461" s="25" t="str">
        <f>IF(OR(E461="",E461="!!!",F461="NEW"),"",INDEX(B$2:B460,-1+SUMPRODUCT(MAX(ROW(E$2:E460)*(E461=E$2:E460)))))</f>
        <v/>
      </c>
      <c r="J461" s="25" t="str">
        <f ca="1">IF(OR(E461="",E461="!!!",F461="NEW"),"",COUNTBLANK(OFFSET(A$1,,,SUMPRODUCT(MAX(ROW(E$2:E461)*(E461=E$2:E461)))))-COUNTBLANK(OFFSET(A$1,,,SUMPRODUCT(MAX(ROW(E$1:E460)*(E2=E$1:E460))))))</f>
        <v/>
      </c>
      <c r="K461" s="25" t="str">
        <f>IF(OR(E461="",E461="!!!",F461="NEW"),"",INDEX(J$1:J460,SUMPRODUCT(MAX(ROW(E$1:E460)*(E461=E$1:E460)))))</f>
        <v/>
      </c>
      <c r="L461" s="26"/>
    </row>
    <row r="462" spans="1:12" x14ac:dyDescent="0.3">
      <c r="A462" t="s">
        <v>412</v>
      </c>
      <c r="E462" s="21" t="str">
        <f t="shared" si="40"/>
        <v/>
      </c>
      <c r="F462" s="22" t="str">
        <f>IF(OR(E462="",E462="!!!"),"",IF(NOT(ISNA(VLOOKUP(E462,E$1:E461,1,FALSE()))),"OLD",IF(AND(E462&lt;&gt;"",E462&lt;&gt;"!!!"),"NEW","")))</f>
        <v/>
      </c>
      <c r="G462" s="23" t="str">
        <f>IF(OR(E462="",E462="!!!"),"",IF(OR(J462=0,AND(J462=1,K462=1),AND(J462=1,I462="SBJ"),AND(J462=1,I462=0)),"?IN_FOCUS",IF(J462&lt;=2,"?ACTIVATED",IF(J462&lt;&gt;"","?FAMILIAR",IF(F462="NEW",IF(ISNA(VLOOKUP(E462,#REF!,1,FALSE())),"?TYPE_IDENTIFIABLE","?REFERENTIAL"),"_")))))</f>
        <v/>
      </c>
      <c r="H462" s="24" t="str">
        <f t="shared" ca="1" si="41"/>
        <v/>
      </c>
      <c r="I462" s="25" t="str">
        <f>IF(OR(E462="",E462="!!!",F462="NEW"),"",INDEX(B$2:B461,-1+SUMPRODUCT(MAX(ROW(E$2:E461)*(E462=E$2:E461)))))</f>
        <v/>
      </c>
      <c r="J462" s="25" t="str">
        <f ca="1">IF(OR(E462="",E462="!!!",F462="NEW"),"",COUNTBLANK(OFFSET(A$1,,,SUMPRODUCT(MAX(ROW(E$2:E462)*(E462=E$2:E462)))))-COUNTBLANK(OFFSET(A$1,,,SUMPRODUCT(MAX(ROW(E$1:E461)*(E2=E$1:E461))))))</f>
        <v/>
      </c>
      <c r="K462" s="25" t="str">
        <f>IF(OR(E462="",E462="!!!",F462="NEW"),"",INDEX(J$1:J461,SUMPRODUCT(MAX(ROW(E$1:E461)*(E462=E$1:E461)))))</f>
        <v/>
      </c>
      <c r="L462" s="26"/>
    </row>
    <row r="463" spans="1:12" x14ac:dyDescent="0.3">
      <c r="A463" t="s">
        <v>167</v>
      </c>
      <c r="E463" s="21" t="str">
        <f t="shared" si="40"/>
        <v/>
      </c>
      <c r="F463" s="22" t="str">
        <f>IF(OR(E463="",E463="!!!"),"",IF(NOT(ISNA(VLOOKUP(E463,E$1:E462,1,FALSE()))),"OLD",IF(AND(E463&lt;&gt;"",E463&lt;&gt;"!!!"),"NEW","")))</f>
        <v/>
      </c>
      <c r="G463" s="23" t="str">
        <f>IF(OR(E463="",E463="!!!"),"",IF(OR(J463=0,AND(J463=1,K463=1),AND(J463=1,I463="SBJ"),AND(J463=1,I463=0)),"?IN_FOCUS",IF(J463&lt;=2,"?ACTIVATED",IF(J463&lt;&gt;"","?FAMILIAR",IF(F463="NEW",IF(ISNA(VLOOKUP(E463,#REF!,1,FALSE())),"?TYPE_IDENTIFIABLE","?REFERENTIAL"),"_")))))</f>
        <v/>
      </c>
      <c r="H463" s="24" t="str">
        <f t="shared" ca="1" si="41"/>
        <v/>
      </c>
      <c r="I463" s="25" t="str">
        <f>IF(OR(E463="",E463="!!!",F463="NEW"),"",INDEX(B$2:B462,-1+SUMPRODUCT(MAX(ROW(E$2:E462)*(E463=E$2:E462)))))</f>
        <v/>
      </c>
      <c r="J463" s="25" t="str">
        <f ca="1">IF(OR(E463="",E463="!!!",F463="NEW"),"",COUNTBLANK(OFFSET(A$1,,,SUMPRODUCT(MAX(ROW(E$2:E463)*(E463=E$2:E463)))))-COUNTBLANK(OFFSET(A$1,,,SUMPRODUCT(MAX(ROW(E$1:E462)*(E2=E$1:E462))))))</f>
        <v/>
      </c>
      <c r="K463" s="25" t="str">
        <f>IF(OR(E463="",E463="!!!",F463="NEW"),"",INDEX(J$1:J462,SUMPRODUCT(MAX(ROW(E$1:E462)*(E463=E$1:E462)))))</f>
        <v/>
      </c>
      <c r="L463" s="26"/>
    </row>
    <row r="465" spans="1:12" x14ac:dyDescent="0.3">
      <c r="A465" t="s">
        <v>413</v>
      </c>
    </row>
    <row r="466" spans="1:12" x14ac:dyDescent="0.3">
      <c r="A466" t="s">
        <v>414</v>
      </c>
      <c r="E466" s="21" t="str">
        <f t="shared" ref="E466:E483" si="42">IF(D466="?OLD","!!!","")</f>
        <v/>
      </c>
      <c r="F466" s="22" t="str">
        <f>IF(OR(E466="",E466="!!!"),"",IF(NOT(ISNA(VLOOKUP(E466,E$1:E465,1,FALSE()))),"OLD",IF(AND(E466&lt;&gt;"",E466&lt;&gt;"!!!"),"NEW","")))</f>
        <v/>
      </c>
      <c r="G466" s="23" t="str">
        <f>IF(OR(E466="",E466="!!!"),"",IF(OR(J466=0,AND(J466=1,K466=1),AND(J466=1,I466="SBJ"),AND(J466=1,I466=0)),"?IN_FOCUS",IF(J466&lt;=2,"?ACTIVATED",IF(J466&lt;&gt;"","?FAMILIAR",IF(F466="NEW",IF(ISNA(VLOOKUP(E466,#REF!,1,FALSE())),"?TYPE_IDENTIFIABLE","?REFERENTIAL"),"_")))))</f>
        <v/>
      </c>
      <c r="H466" s="24" t="str">
        <f t="shared" ref="H466:H483" ca="1" si="43">IF(J466&lt;&gt;1,"",IF(I466="SBJ","CB","?"))</f>
        <v/>
      </c>
      <c r="I466" s="25" t="str">
        <f>IF(OR(E466="",E466="!!!",F466="NEW"),"",INDEX(B$2:B465,-1+SUMPRODUCT(MAX(ROW(E$2:E465)*(E466=E$2:E465)))))</f>
        <v/>
      </c>
      <c r="J466" s="25" t="str">
        <f ca="1">IF(OR(E466="",E466="!!!",F466="NEW"),"",COUNTBLANK(OFFSET(A$1,,,SUMPRODUCT(MAX(ROW(E$2:E466)*(E466=E$2:E466)))))-COUNTBLANK(OFFSET(A$1,,,SUMPRODUCT(MAX(ROW(E$1:E465)*(E2=E$1:E465))))))</f>
        <v/>
      </c>
      <c r="K466" s="25" t="str">
        <f>IF(OR(E466="",E466="!!!",F466="NEW"),"",INDEX(J$1:J465,SUMPRODUCT(MAX(ROW(E$1:E465)*(E466=E$1:E465)))))</f>
        <v/>
      </c>
      <c r="L466" s="26"/>
    </row>
    <row r="467" spans="1:12" x14ac:dyDescent="0.3">
      <c r="A467" t="s">
        <v>200</v>
      </c>
      <c r="B467" s="20" t="s">
        <v>163</v>
      </c>
      <c r="C467" s="20" t="s">
        <v>201</v>
      </c>
      <c r="D467" s="20" t="s">
        <v>146</v>
      </c>
      <c r="E467" s="21"/>
      <c r="F467" s="22" t="s">
        <v>501</v>
      </c>
      <c r="G467" s="23" t="str">
        <f>IF(OR(E467="",E467="!!!"),"",IF(OR(J467=0,AND(J467=1,K467=1),AND(J467=1,I467="SBJ"),AND(J467=1,I467=0)),"?IN_FOCUS",IF(J467&lt;=2,"?ACTIVATED",IF(J467&lt;&gt;"","?FAMILIAR",IF(F467="NEW",IF(ISNA(VLOOKUP(E467,#REF!,1,FALSE())),"?TYPE_IDENTIFIABLE","?REFERENTIAL"),"_")))))</f>
        <v/>
      </c>
      <c r="H467" s="24" t="str">
        <f t="shared" ca="1" si="43"/>
        <v/>
      </c>
      <c r="I467" s="25" t="str">
        <f>IF(OR(E467="",E467="!!!",F467="NEW"),"",INDEX(B$2:B466,-1+SUMPRODUCT(MAX(ROW(E$2:E466)*(E467=E$2:E466)))))</f>
        <v/>
      </c>
      <c r="J467" s="25" t="str">
        <f ca="1">IF(OR(E467="",E467="!!!",F467="NEW"),"",COUNTBLANK(OFFSET(A$1,,,SUMPRODUCT(MAX(ROW(E$2:E467)*(E467=E$2:E467)))))-COUNTBLANK(OFFSET(A$1,,,SUMPRODUCT(MAX(ROW(E$1:E466)*(E2=E$1:E466))))))</f>
        <v/>
      </c>
      <c r="K467" s="25" t="str">
        <f>IF(OR(E467="",E467="!!!",F467="NEW"),"",INDEX(J$1:J466,SUMPRODUCT(MAX(ROW(E$1:E466)*(E467=E$1:E466)))))</f>
        <v/>
      </c>
      <c r="L467" s="26"/>
    </row>
    <row r="468" spans="1:12" x14ac:dyDescent="0.3">
      <c r="A468" t="s">
        <v>415</v>
      </c>
      <c r="B468" s="20" t="s">
        <v>301</v>
      </c>
      <c r="E468" s="21" t="str">
        <f t="shared" si="42"/>
        <v/>
      </c>
      <c r="F468" s="22" t="str">
        <f>IF(OR(E468="",E468="!!!"),"",IF(NOT(ISNA(VLOOKUP(E468,E$1:E467,1,FALSE()))),"OLD",IF(AND(E468&lt;&gt;"",E468&lt;&gt;"!!!"),"NEW","")))</f>
        <v/>
      </c>
      <c r="G468" s="23" t="str">
        <f>IF(OR(E468="",E468="!!!"),"",IF(OR(J468=0,AND(J468=1,K468=1),AND(J468=1,I468="SBJ"),AND(J468=1,I468=0)),"?IN_FOCUS",IF(J468&lt;=2,"?ACTIVATED",IF(J468&lt;&gt;"","?FAMILIAR",IF(F468="NEW",IF(ISNA(VLOOKUP(E468,#REF!,1,FALSE())),"?TYPE_IDENTIFIABLE","?REFERENTIAL"),"_")))))</f>
        <v/>
      </c>
      <c r="H468" s="24" t="str">
        <f t="shared" ca="1" si="43"/>
        <v/>
      </c>
      <c r="I468" s="25" t="str">
        <f>IF(OR(E468="",E468="!!!",F468="NEW"),"",INDEX(B$2:B467,-1+SUMPRODUCT(MAX(ROW(E$2:E467)*(E468=E$2:E467)))))</f>
        <v/>
      </c>
      <c r="J468" s="25" t="str">
        <f ca="1">IF(OR(E468="",E468="!!!",F468="NEW"),"",COUNTBLANK(OFFSET(A$1,,,SUMPRODUCT(MAX(ROW(E$2:E468)*(E468=E$2:E468)))))-COUNTBLANK(OFFSET(A$1,,,SUMPRODUCT(MAX(ROW(E$1:E467)*(E2=E$1:E467))))))</f>
        <v/>
      </c>
      <c r="K468" s="25" t="str">
        <f>IF(OR(E468="",E468="!!!",F468="NEW"),"",INDEX(J$1:J467,SUMPRODUCT(MAX(ROW(E$1:E467)*(E468=E$1:E467)))))</f>
        <v/>
      </c>
      <c r="L468" s="26"/>
    </row>
    <row r="469" spans="1:12" x14ac:dyDescent="0.3">
      <c r="A469" t="s">
        <v>416</v>
      </c>
      <c r="E469" s="21" t="str">
        <f t="shared" si="42"/>
        <v/>
      </c>
      <c r="F469" s="22" t="str">
        <f>IF(OR(E469="",E469="!!!"),"",IF(NOT(ISNA(VLOOKUP(E469,E$1:E468,1,FALSE()))),"OLD",IF(AND(E469&lt;&gt;"",E469&lt;&gt;"!!!"),"NEW","")))</f>
        <v/>
      </c>
      <c r="G469" s="23" t="str">
        <f>IF(OR(E469="",E469="!!!"),"",IF(OR(J469=0,AND(J469=1,K469=1),AND(J469=1,I469="SBJ"),AND(J469=1,I469=0)),"?IN_FOCUS",IF(J469&lt;=2,"?ACTIVATED",IF(J469&lt;&gt;"","?FAMILIAR",IF(F469="NEW",IF(ISNA(VLOOKUP(E469,#REF!,1,FALSE())),"?TYPE_IDENTIFIABLE","?REFERENTIAL"),"_")))))</f>
        <v/>
      </c>
      <c r="H469" s="24" t="str">
        <f t="shared" ca="1" si="43"/>
        <v/>
      </c>
      <c r="I469" s="25" t="str">
        <f>IF(OR(E469="",E469="!!!",F469="NEW"),"",INDEX(B$2:B468,-1+SUMPRODUCT(MAX(ROW(E$2:E468)*(E469=E$2:E468)))))</f>
        <v/>
      </c>
      <c r="J469" s="25" t="str">
        <f ca="1">IF(OR(E469="",E469="!!!",F469="NEW"),"",COUNTBLANK(OFFSET(A$1,,,SUMPRODUCT(MAX(ROW(E$2:E469)*(E469=E$2:E469)))))-COUNTBLANK(OFFSET(A$1,,,SUMPRODUCT(MAX(ROW(E$1:E468)*(E2=E$1:E468))))))</f>
        <v/>
      </c>
      <c r="K469" s="25" t="str">
        <f>IF(OR(E469="",E469="!!!",F469="NEW"),"",INDEX(J$1:J468,SUMPRODUCT(MAX(ROW(E$1:E468)*(E469=E$1:E468)))))</f>
        <v/>
      </c>
      <c r="L469" s="26"/>
    </row>
    <row r="470" spans="1:12" x14ac:dyDescent="0.3">
      <c r="A470" t="s">
        <v>202</v>
      </c>
      <c r="E470" s="21" t="str">
        <f t="shared" si="42"/>
        <v/>
      </c>
      <c r="F470" s="22" t="str">
        <f>IF(OR(E470="",E470="!!!"),"",IF(NOT(ISNA(VLOOKUP(E470,E$1:E469,1,FALSE()))),"OLD",IF(AND(E470&lt;&gt;"",E470&lt;&gt;"!!!"),"NEW","")))</f>
        <v/>
      </c>
      <c r="G470" s="23" t="str">
        <f>IF(OR(E470="",E470="!!!"),"",IF(OR(J470=0,AND(J470=1,K470=1),AND(J470=1,I470="SBJ"),AND(J470=1,I470=0)),"?IN_FOCUS",IF(J470&lt;=2,"?ACTIVATED",IF(J470&lt;&gt;"","?FAMILIAR",IF(F470="NEW",IF(ISNA(VLOOKUP(E470,#REF!,1,FALSE())),"?TYPE_IDENTIFIABLE","?REFERENTIAL"),"_")))))</f>
        <v/>
      </c>
      <c r="H470" s="24" t="str">
        <f t="shared" ca="1" si="43"/>
        <v/>
      </c>
      <c r="I470" s="25" t="str">
        <f>IF(OR(E470="",E470="!!!",F470="NEW"),"",INDEX(B$2:B469,-1+SUMPRODUCT(MAX(ROW(E$2:E469)*(E470=E$2:E469)))))</f>
        <v/>
      </c>
      <c r="J470" s="25" t="str">
        <f ca="1">IF(OR(E470="",E470="!!!",F470="NEW"),"",COUNTBLANK(OFFSET(A$1,,,SUMPRODUCT(MAX(ROW(E$2:E470)*(E470=E$2:E470)))))-COUNTBLANK(OFFSET(A$1,,,SUMPRODUCT(MAX(ROW(E$1:E469)*(E2=E$1:E469))))))</f>
        <v/>
      </c>
      <c r="K470" s="25" t="str">
        <f>IF(OR(E470="",E470="!!!",F470="NEW"),"",INDEX(J$1:J469,SUMPRODUCT(MAX(ROW(E$1:E469)*(E470=E$1:E469)))))</f>
        <v/>
      </c>
      <c r="L470" s="26"/>
    </row>
    <row r="471" spans="1:12" x14ac:dyDescent="0.3">
      <c r="A471" t="s">
        <v>417</v>
      </c>
      <c r="E471" s="21" t="str">
        <f t="shared" si="42"/>
        <v/>
      </c>
      <c r="F471" s="22" t="str">
        <f>IF(OR(E471="",E471="!!!"),"",IF(NOT(ISNA(VLOOKUP(E471,E$1:E470,1,FALSE()))),"OLD",IF(AND(E471&lt;&gt;"",E471&lt;&gt;"!!!"),"NEW","")))</f>
        <v/>
      </c>
      <c r="G471" s="23" t="str">
        <f>IF(OR(E471="",E471="!!!"),"",IF(OR(J471=0,AND(J471=1,K471=1),AND(J471=1,I471="SBJ"),AND(J471=1,I471=0)),"?IN_FOCUS",IF(J471&lt;=2,"?ACTIVATED",IF(J471&lt;&gt;"","?FAMILIAR",IF(F471="NEW",IF(ISNA(VLOOKUP(E471,#REF!,1,FALSE())),"?TYPE_IDENTIFIABLE","?REFERENTIAL"),"_")))))</f>
        <v/>
      </c>
      <c r="H471" s="24" t="str">
        <f t="shared" ca="1" si="43"/>
        <v/>
      </c>
      <c r="I471" s="25" t="str">
        <f>IF(OR(E471="",E471="!!!",F471="NEW"),"",INDEX(B$2:B470,-1+SUMPRODUCT(MAX(ROW(E$2:E470)*(E471=E$2:E470)))))</f>
        <v/>
      </c>
      <c r="J471" s="25" t="str">
        <f ca="1">IF(OR(E471="",E471="!!!",F471="NEW"),"",COUNTBLANK(OFFSET(A$1,,,SUMPRODUCT(MAX(ROW(E$2:E471)*(E471=E$2:E471)))))-COUNTBLANK(OFFSET(A$1,,,SUMPRODUCT(MAX(ROW(E$1:E470)*(E2=E$1:E470))))))</f>
        <v/>
      </c>
      <c r="K471" s="25" t="str">
        <f>IF(OR(E471="",E471="!!!",F471="NEW"),"",INDEX(J$1:J470,SUMPRODUCT(MAX(ROW(E$1:E470)*(E471=E$1:E470)))))</f>
        <v/>
      </c>
      <c r="L471" s="26"/>
    </row>
    <row r="472" spans="1:12" x14ac:dyDescent="0.3">
      <c r="A472" t="s">
        <v>397</v>
      </c>
      <c r="B472" s="20" t="s">
        <v>157</v>
      </c>
      <c r="C472" s="20" t="s">
        <v>201</v>
      </c>
      <c r="D472" s="20" t="s">
        <v>146</v>
      </c>
      <c r="E472" s="21" t="s">
        <v>481</v>
      </c>
      <c r="F472" s="22" t="str">
        <f>IF(OR(E472="",E472="!!!"),"",IF(NOT(ISNA(VLOOKUP(E472,E$1:E471,1,FALSE()))),"OLD",IF(AND(E472&lt;&gt;"",E472&lt;&gt;"!!!"),"NEW","")))</f>
        <v>OLD</v>
      </c>
      <c r="G472" s="23" t="s">
        <v>527</v>
      </c>
      <c r="H472" s="24" t="s">
        <v>138</v>
      </c>
      <c r="I472" s="25" t="str">
        <f>IF(OR(E472="",E472="!!!",F472="NEW"),"",INDEX(B$2:B471,-1+SUMPRODUCT(MAX(ROW(E$2:E471)*(E472=E$2:E471)))))</f>
        <v>OBJ_4</v>
      </c>
      <c r="J472" s="25">
        <f ca="1">IF(OR(E472="",E472="!!!",F472="NEW"),"",COUNTBLANK(OFFSET(A$1,,,SUMPRODUCT(MAX(ROW(E$2:E472)*(E472=E$2:E472)))))-COUNTBLANK(OFFSET(A$1,,,SUMPRODUCT(MAX(ROW(E$1:E471)*(E2=E$1:E471))))))</f>
        <v>0</v>
      </c>
      <c r="K472" s="25">
        <f ca="1">IF(OR(E472="",E472="!!!",F472="NEW"),"",INDEX(J$1:J471,SUMPRODUCT(MAX(ROW(E$1:E471)*(E472=E$1:E471)))))</f>
        <v>0</v>
      </c>
      <c r="L472" s="26"/>
    </row>
    <row r="473" spans="1:12" x14ac:dyDescent="0.3">
      <c r="A473" t="s">
        <v>224</v>
      </c>
      <c r="E473" s="21" t="str">
        <f t="shared" si="42"/>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ca="1" si="43"/>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410</v>
      </c>
      <c r="E474" s="21" t="str">
        <f t="shared" si="42"/>
        <v/>
      </c>
      <c r="F474" s="22" t="str">
        <f>IF(OR(E474="",E474="!!!"),"",IF(NOT(ISNA(VLOOKUP(E474,E$1:E473,1,FALSE()))),"OLD",IF(AND(E474&lt;&gt;"",E474&lt;&gt;"!!!"),"NEW","")))</f>
        <v/>
      </c>
      <c r="G474" s="23" t="str">
        <f>IF(OR(E474="",E474="!!!"),"",IF(OR(J474=0,AND(J474=1,K474=1),AND(J474=1,I474="SBJ"),AND(J474=1,I474=0)),"?IN_FOCUS",IF(J474&lt;=2,"?ACTIVATED",IF(J474&lt;&gt;"","?FAMILIAR",IF(F474="NEW",IF(ISNA(VLOOKUP(E474,#REF!,1,FALSE())),"?TYPE_IDENTIFIABLE","?REFERENTIAL"),"_")))))</f>
        <v/>
      </c>
      <c r="H474" s="24" t="str">
        <f t="shared" ca="1" si="43"/>
        <v/>
      </c>
      <c r="I474" s="25" t="str">
        <f>IF(OR(E474="",E474="!!!",F474="NEW"),"",INDEX(B$2:B473,-1+SUMPRODUCT(MAX(ROW(E$2:E473)*(E474=E$2:E473)))))</f>
        <v/>
      </c>
      <c r="J474" s="25" t="str">
        <f ca="1">IF(OR(E474="",E474="!!!",F474="NEW"),"",COUNTBLANK(OFFSET(A$1,,,SUMPRODUCT(MAX(ROW(E$2:E474)*(E474=E$2:E474)))))-COUNTBLANK(OFFSET(A$1,,,SUMPRODUCT(MAX(ROW(E$1:E473)*(E2=E$1:E473))))))</f>
        <v/>
      </c>
      <c r="K474" s="25" t="str">
        <f>IF(OR(E474="",E474="!!!",F474="NEW"),"",INDEX(J$1:J473,SUMPRODUCT(MAX(ROW(E$1:E473)*(E474=E$1:E473)))))</f>
        <v/>
      </c>
      <c r="L474" s="26"/>
    </row>
    <row r="475" spans="1:12" x14ac:dyDescent="0.3">
      <c r="A475" t="s">
        <v>418</v>
      </c>
      <c r="B475" s="20" t="s">
        <v>149</v>
      </c>
      <c r="C475" s="20" t="s">
        <v>172</v>
      </c>
      <c r="E475" s="21" t="str">
        <f t="shared" si="42"/>
        <v/>
      </c>
      <c r="F475" s="22" t="str">
        <f>IF(OR(E475="",E475="!!!"),"",IF(NOT(ISNA(VLOOKUP(E475,E$1:E474,1,FALSE()))),"OLD",IF(AND(E475&lt;&gt;"",E475&lt;&gt;"!!!"),"NEW","")))</f>
        <v/>
      </c>
      <c r="G475" s="23" t="str">
        <f>IF(OR(E475="",E475="!!!"),"",IF(OR(J475=0,AND(J475=1,K475=1),AND(J475=1,I475="SBJ"),AND(J475=1,I475=0)),"?IN_FOCUS",IF(J475&lt;=2,"?ACTIVATED",IF(J475&lt;&gt;"","?FAMILIAR",IF(F475="NEW",IF(ISNA(VLOOKUP(E475,#REF!,1,FALSE())),"?TYPE_IDENTIFIABLE","?REFERENTIAL"),"_")))))</f>
        <v/>
      </c>
      <c r="H475" s="24" t="str">
        <f t="shared" ca="1" si="43"/>
        <v/>
      </c>
      <c r="I475" s="25" t="str">
        <f>IF(OR(E475="",E475="!!!",F475="NEW"),"",INDEX(B$2:B474,-1+SUMPRODUCT(MAX(ROW(E$2:E474)*(E475=E$2:E474)))))</f>
        <v/>
      </c>
      <c r="J475" s="25" t="str">
        <f ca="1">IF(OR(E475="",E475="!!!",F475="NEW"),"",COUNTBLANK(OFFSET(A$1,,,SUMPRODUCT(MAX(ROW(E$2:E475)*(E475=E$2:E475)))))-COUNTBLANK(OFFSET(A$1,,,SUMPRODUCT(MAX(ROW(E$1:E474)*(E2=E$1:E474))))))</f>
        <v/>
      </c>
      <c r="K475" s="25" t="str">
        <f>IF(OR(E475="",E475="!!!",F475="NEW"),"",INDEX(J$1:J474,SUMPRODUCT(MAX(ROW(E$1:E474)*(E475=E$1:E474)))))</f>
        <v/>
      </c>
      <c r="L475" s="26"/>
    </row>
    <row r="476" spans="1:12" x14ac:dyDescent="0.3">
      <c r="A476" t="s">
        <v>189</v>
      </c>
      <c r="E476" s="21" t="str">
        <f t="shared" si="42"/>
        <v/>
      </c>
      <c r="F476" s="22" t="str">
        <f>IF(OR(E476="",E476="!!!"),"",IF(NOT(ISNA(VLOOKUP(E476,E$1:E475,1,FALSE()))),"OLD",IF(AND(E476&lt;&gt;"",E476&lt;&gt;"!!!"),"NEW","")))</f>
        <v/>
      </c>
      <c r="G476" s="23" t="str">
        <f>IF(OR(E476="",E476="!!!"),"",IF(OR(J476=0,AND(J476=1,K476=1),AND(J476=1,I476="SBJ"),AND(J476=1,I476=0)),"?IN_FOCUS",IF(J476&lt;=2,"?ACTIVATED",IF(J476&lt;&gt;"","?FAMILIAR",IF(F476="NEW",IF(ISNA(VLOOKUP(E476,#REF!,1,FALSE())),"?TYPE_IDENTIFIABLE","?REFERENTIAL"),"_")))))</f>
        <v/>
      </c>
      <c r="H476" s="24" t="str">
        <f t="shared" ca="1" si="43"/>
        <v/>
      </c>
      <c r="I476" s="25" t="str">
        <f>IF(OR(E476="",E476="!!!",F476="NEW"),"",INDEX(B$2:B475,-1+SUMPRODUCT(MAX(ROW(E$2:E475)*(E476=E$2:E475)))))</f>
        <v/>
      </c>
      <c r="J476" s="25" t="str">
        <f ca="1">IF(OR(E476="",E476="!!!",F476="NEW"),"",COUNTBLANK(OFFSET(A$1,,,SUMPRODUCT(MAX(ROW(E$2:E476)*(E476=E$2:E476)))))-COUNTBLANK(OFFSET(A$1,,,SUMPRODUCT(MAX(ROW(E$1:E475)*(E2=E$1:E475))))))</f>
        <v/>
      </c>
      <c r="K476" s="25" t="str">
        <f>IF(OR(E476="",E476="!!!",F476="NEW"),"",INDEX(J$1:J475,SUMPRODUCT(MAX(ROW(E$1:E475)*(E476=E$1:E475)))))</f>
        <v/>
      </c>
      <c r="L476" s="26"/>
    </row>
    <row r="477" spans="1:12" x14ac:dyDescent="0.3">
      <c r="A477" t="s">
        <v>419</v>
      </c>
      <c r="E477" s="21" t="str">
        <f t="shared" si="42"/>
        <v/>
      </c>
      <c r="F477" s="22" t="str">
        <f>IF(OR(E477="",E477="!!!"),"",IF(NOT(ISNA(VLOOKUP(E477,E$1:E476,1,FALSE()))),"OLD",IF(AND(E477&lt;&gt;"",E477&lt;&gt;"!!!"),"NEW","")))</f>
        <v/>
      </c>
      <c r="G477" s="23" t="str">
        <f>IF(OR(E477="",E477="!!!"),"",IF(OR(J477=0,AND(J477=1,K477=1),AND(J477=1,I477="SBJ"),AND(J477=1,I477=0)),"?IN_FOCUS",IF(J477&lt;=2,"?ACTIVATED",IF(J477&lt;&gt;"","?FAMILIAR",IF(F477="NEW",IF(ISNA(VLOOKUP(E477,#REF!,1,FALSE())),"?TYPE_IDENTIFIABLE","?REFERENTIAL"),"_")))))</f>
        <v/>
      </c>
      <c r="H477" s="24" t="str">
        <f t="shared" ca="1" si="43"/>
        <v/>
      </c>
      <c r="I477" s="25" t="str">
        <f>IF(OR(E477="",E477="!!!",F477="NEW"),"",INDEX(B$2:B476,-1+SUMPRODUCT(MAX(ROW(E$2:E476)*(E477=E$2:E476)))))</f>
        <v/>
      </c>
      <c r="J477" s="25" t="str">
        <f ca="1">IF(OR(E477="",E477="!!!",F477="NEW"),"",COUNTBLANK(OFFSET(A$1,,,SUMPRODUCT(MAX(ROW(E$2:E477)*(E477=E$2:E477)))))-COUNTBLANK(OFFSET(A$1,,,SUMPRODUCT(MAX(ROW(E$1:E476)*(E2=E$1:E476))))))</f>
        <v/>
      </c>
      <c r="K477" s="25" t="str">
        <f>IF(OR(E477="",E477="!!!",F477="NEW"),"",INDEX(J$1:J476,SUMPRODUCT(MAX(ROW(E$1:E476)*(E477=E$1:E476)))))</f>
        <v/>
      </c>
      <c r="L477" s="26"/>
    </row>
    <row r="478" spans="1:12" x14ac:dyDescent="0.3">
      <c r="A478" t="s">
        <v>420</v>
      </c>
      <c r="B478" s="20" t="s">
        <v>144</v>
      </c>
      <c r="C478" s="20" t="s">
        <v>172</v>
      </c>
      <c r="E478" s="21" t="str">
        <f t="shared" si="42"/>
        <v/>
      </c>
      <c r="F478" s="22" t="str">
        <f>IF(OR(E478="",E478="!!!"),"",IF(NOT(ISNA(VLOOKUP(E478,E$1:E477,1,FALSE()))),"OLD",IF(AND(E478&lt;&gt;"",E478&lt;&gt;"!!!"),"NEW","")))</f>
        <v/>
      </c>
      <c r="G478" s="23" t="str">
        <f>IF(OR(E478="",E478="!!!"),"",IF(OR(J478=0,AND(J478=1,K478=1),AND(J478=1,I478="SBJ"),AND(J478=1,I478=0)),"?IN_FOCUS",IF(J478&lt;=2,"?ACTIVATED",IF(J478&lt;&gt;"","?FAMILIAR",IF(F478="NEW",IF(ISNA(VLOOKUP(E478,#REF!,1,FALSE())),"?TYPE_IDENTIFIABLE","?REFERENTIAL"),"_")))))</f>
        <v/>
      </c>
      <c r="H478" s="24" t="str">
        <f t="shared" ca="1" si="43"/>
        <v/>
      </c>
      <c r="I478" s="25" t="str">
        <f>IF(OR(E478="",E478="!!!",F478="NEW"),"",INDEX(B$2:B477,-1+SUMPRODUCT(MAX(ROW(E$2:E477)*(E478=E$2:E477)))))</f>
        <v/>
      </c>
      <c r="J478" s="25" t="str">
        <f ca="1">IF(OR(E478="",E478="!!!",F478="NEW"),"",COUNTBLANK(OFFSET(A$1,,,SUMPRODUCT(MAX(ROW(E$2:E478)*(E478=E$2:E478)))))-COUNTBLANK(OFFSET(A$1,,,SUMPRODUCT(MAX(ROW(E$1:E477)*(E2=E$1:E477))))))</f>
        <v/>
      </c>
      <c r="K478" s="25" t="str">
        <f>IF(OR(E478="",E478="!!!",F478="NEW"),"",INDEX(J$1:J477,SUMPRODUCT(MAX(ROW(E$1:E477)*(E478=E$1:E477)))))</f>
        <v/>
      </c>
      <c r="L478" s="26"/>
    </row>
    <row r="479" spans="1:12" x14ac:dyDescent="0.3">
      <c r="A479" t="s">
        <v>213</v>
      </c>
      <c r="B479" s="20" t="s">
        <v>149</v>
      </c>
      <c r="C479" s="20" t="s">
        <v>150</v>
      </c>
      <c r="E479" s="21"/>
      <c r="F479" s="22" t="str">
        <f>IF(OR(E479="",E479="!!!"),"",IF(NOT(ISNA(VLOOKUP(E479,E$1:E478,1,FALSE()))),"OLD",IF(AND(E479&lt;&gt;"",E479&lt;&gt;"!!!"),"NEW","")))</f>
        <v/>
      </c>
      <c r="G479" s="23" t="str">
        <f>IF(OR(E479="",E479="!!!"),"",IF(OR(J479=0,AND(J479=1,K479=1),AND(J479=1,I479="SBJ"),AND(J479=1,I479=0)),"?IN_FOCUS",IF(J479&lt;=2,"?ACTIVATED",IF(J479&lt;&gt;"","?FAMILIAR",IF(F479="NEW",IF(ISNA(VLOOKUP(E479,#REF!,1,FALSE())),"?TYPE_IDENTIFIABLE","?REFERENTIAL"),"_")))))</f>
        <v/>
      </c>
      <c r="H479" s="24" t="str">
        <f t="shared" ca="1" si="43"/>
        <v/>
      </c>
      <c r="I479" s="25" t="str">
        <f>IF(OR(E479="",E479="!!!",F479="NEW"),"",INDEX(B$2:B478,-1+SUMPRODUCT(MAX(ROW(E$2:E478)*(E479=E$2:E478)))))</f>
        <v/>
      </c>
      <c r="J479" s="25" t="str">
        <f ca="1">IF(OR(E479="",E479="!!!",F479="NEW"),"",COUNTBLANK(OFFSET(A$1,,,SUMPRODUCT(MAX(ROW(E$2:E479)*(E479=E$2:E479)))))-COUNTBLANK(OFFSET(A$1,,,SUMPRODUCT(MAX(ROW(E$1:E478)*(E2=E$1:E478))))))</f>
        <v/>
      </c>
      <c r="K479" s="25" t="str">
        <f>IF(OR(E479="",E479="!!!",F479="NEW"),"",INDEX(J$1:J478,SUMPRODUCT(MAX(ROW(E$1:E478)*(E479=E$1:E478)))))</f>
        <v/>
      </c>
      <c r="L479" s="26"/>
    </row>
    <row r="480" spans="1:12" x14ac:dyDescent="0.3">
      <c r="A480" t="s">
        <v>214</v>
      </c>
      <c r="E480" s="21" t="str">
        <f t="shared" si="42"/>
        <v/>
      </c>
      <c r="F480" s="22" t="str">
        <f>IF(OR(E480="",E480="!!!"),"",IF(NOT(ISNA(VLOOKUP(E480,E$1:E479,1,FALSE()))),"OLD",IF(AND(E480&lt;&gt;"",E480&lt;&gt;"!!!"),"NEW","")))</f>
        <v/>
      </c>
      <c r="G480" s="23" t="str">
        <f>IF(OR(E480="",E480="!!!"),"",IF(OR(J480=0,AND(J480=1,K480=1),AND(J480=1,I480="SBJ"),AND(J480=1,I480=0)),"?IN_FOCUS",IF(J480&lt;=2,"?ACTIVATED",IF(J480&lt;&gt;"","?FAMILIAR",IF(F480="NEW",IF(ISNA(VLOOKUP(E480,#REF!,1,FALSE())),"?TYPE_IDENTIFIABLE","?REFERENTIAL"),"_")))))</f>
        <v/>
      </c>
      <c r="H480" s="24" t="str">
        <f t="shared" ca="1" si="43"/>
        <v/>
      </c>
      <c r="I480" s="25" t="str">
        <f>IF(OR(E480="",E480="!!!",F480="NEW"),"",INDEX(B$2:B479,-1+SUMPRODUCT(MAX(ROW(E$2:E479)*(E480=E$2:E479)))))</f>
        <v/>
      </c>
      <c r="J480" s="25" t="str">
        <f ca="1">IF(OR(E480="",E480="!!!",F480="NEW"),"",COUNTBLANK(OFFSET(A$1,,,SUMPRODUCT(MAX(ROW(E$2:E480)*(E480=E$2:E480)))))-COUNTBLANK(OFFSET(A$1,,,SUMPRODUCT(MAX(ROW(E$1:E479)*(E2=E$1:E479))))))</f>
        <v/>
      </c>
      <c r="K480" s="25" t="str">
        <f>IF(OR(E480="",E480="!!!",F480="NEW"),"",INDEX(J$1:J479,SUMPRODUCT(MAX(ROW(E$1:E479)*(E480=E$1:E479)))))</f>
        <v/>
      </c>
      <c r="L480" s="26"/>
    </row>
    <row r="481" spans="1:12" x14ac:dyDescent="0.3">
      <c r="A481" t="s">
        <v>215</v>
      </c>
      <c r="E481" s="21" t="str">
        <f t="shared" si="42"/>
        <v/>
      </c>
      <c r="F481" s="22" t="str">
        <f>IF(OR(E481="",E481="!!!"),"",IF(NOT(ISNA(VLOOKUP(E481,E$1:E480,1,FALSE()))),"OLD",IF(AND(E481&lt;&gt;"",E481&lt;&gt;"!!!"),"NEW","")))</f>
        <v/>
      </c>
      <c r="G481" s="23" t="str">
        <f>IF(OR(E481="",E481="!!!"),"",IF(OR(J481=0,AND(J481=1,K481=1),AND(J481=1,I481="SBJ"),AND(J481=1,I481=0)),"?IN_FOCUS",IF(J481&lt;=2,"?ACTIVATED",IF(J481&lt;&gt;"","?FAMILIAR",IF(F481="NEW",IF(ISNA(VLOOKUP(E481,#REF!,1,FALSE())),"?TYPE_IDENTIFIABLE","?REFERENTIAL"),"_")))))</f>
        <v/>
      </c>
      <c r="H481" s="24" t="str">
        <f t="shared" ca="1" si="43"/>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216</v>
      </c>
      <c r="B482" s="20" t="s">
        <v>149</v>
      </c>
      <c r="C482" s="20" t="s">
        <v>158</v>
      </c>
      <c r="D482" s="20" t="s">
        <v>146</v>
      </c>
      <c r="E482" s="21" t="s">
        <v>487</v>
      </c>
      <c r="F482" s="22" t="str">
        <f>IF(OR(E482="",E482="!!!"),"",IF(NOT(ISNA(VLOOKUP(E482,E$1:E481,1,FALSE()))),"OLD",IF(AND(E482&lt;&gt;"",E482&lt;&gt;"!!!"),"NEW","")))</f>
        <v>OLD</v>
      </c>
      <c r="G482" s="23" t="s">
        <v>482</v>
      </c>
      <c r="H482" s="24" t="str">
        <f t="shared" ca="1" si="43"/>
        <v/>
      </c>
      <c r="I482" s="25" t="str">
        <f>IF(OR(E482="",E482="!!!",F482="NEW"),"",INDEX(B$2:B481,-1+SUMPRODUCT(MAX(ROW(E$2:E481)*(E482=E$2:E481)))))</f>
        <v>other_3</v>
      </c>
      <c r="J482" s="25">
        <f ca="1">IF(OR(E482="",E482="!!!",F482="NEW"),"",COUNTBLANK(OFFSET(A$1,,,SUMPRODUCT(MAX(ROW(E$2:E482)*(E482=E$2:E482)))))-COUNTBLANK(OFFSET(A$1,,,SUMPRODUCT(MAX(ROW(E$1:E481)*(E2=E$1:E481))))))</f>
        <v>0</v>
      </c>
      <c r="K482" s="25" t="str">
        <f ca="1">IF(OR(E482="",E482="!!!",F482="NEW"),"",INDEX(J$1:J481,SUMPRODUCT(MAX(ROW(E$1:E481)*(E482=E$1:E481)))))</f>
        <v/>
      </c>
      <c r="L482" s="26"/>
    </row>
    <row r="483" spans="1:12" x14ac:dyDescent="0.3">
      <c r="A483" t="s">
        <v>167</v>
      </c>
      <c r="E483" s="21" t="str">
        <f t="shared" si="42"/>
        <v/>
      </c>
      <c r="F483" s="22" t="str">
        <f>IF(OR(E483="",E483="!!!"),"",IF(NOT(ISNA(VLOOKUP(E483,E$1:E482,1,FALSE()))),"OLD",IF(AND(E483&lt;&gt;"",E483&lt;&gt;"!!!"),"NEW","")))</f>
        <v/>
      </c>
      <c r="G483" s="23" t="str">
        <f>IF(OR(E483="",E483="!!!"),"",IF(OR(J483=0,AND(J483=1,K483=1),AND(J483=1,I483="SBJ"),AND(J483=1,I483=0)),"?IN_FOCUS",IF(J483&lt;=2,"?ACTIVATED",IF(J483&lt;&gt;"","?FAMILIAR",IF(F483="NEW",IF(ISNA(VLOOKUP(E483,#REF!,1,FALSE())),"?TYPE_IDENTIFIABLE","?REFERENTIAL"),"_")))))</f>
        <v/>
      </c>
      <c r="H483" s="24" t="str">
        <f t="shared" ca="1" si="43"/>
        <v/>
      </c>
      <c r="I483" s="25" t="str">
        <f>IF(OR(E483="",E483="!!!",F483="NEW"),"",INDEX(B$2:B482,-1+SUMPRODUCT(MAX(ROW(E$2:E482)*(E483=E$2:E482)))))</f>
        <v/>
      </c>
      <c r="J483" s="25" t="str">
        <f ca="1">IF(OR(E483="",E483="!!!",F483="NEW"),"",COUNTBLANK(OFFSET(A$1,,,SUMPRODUCT(MAX(ROW(E$2:E483)*(E483=E$2:E483)))))-COUNTBLANK(OFFSET(A$1,,,SUMPRODUCT(MAX(ROW(E$1:E482)*(E2=E$1:E482))))))</f>
        <v/>
      </c>
      <c r="K483" s="25" t="str">
        <f>IF(OR(E483="",E483="!!!",F483="NEW"),"",INDEX(J$1:J482,SUMPRODUCT(MAX(ROW(E$1:E482)*(E483=E$1:E482)))))</f>
        <v/>
      </c>
      <c r="L483" s="26"/>
    </row>
    <row r="485" spans="1:12" x14ac:dyDescent="0.3">
      <c r="A485" t="s">
        <v>421</v>
      </c>
    </row>
    <row r="486" spans="1:12" x14ac:dyDescent="0.3">
      <c r="A486" t="s">
        <v>152</v>
      </c>
      <c r="B486" s="20" t="s">
        <v>157</v>
      </c>
      <c r="C486" s="20" t="s">
        <v>145</v>
      </c>
      <c r="D486" s="20" t="s">
        <v>146</v>
      </c>
      <c r="E486" s="21" t="s">
        <v>481</v>
      </c>
      <c r="F486" s="22" t="str">
        <f>IF(OR(E486="",E486="!!!"),"",IF(NOT(ISNA(VLOOKUP(E486,E$1:E485,1,FALSE()))),"OLD",IF(AND(E486&lt;&gt;"",E486&lt;&gt;"!!!"),"NEW","")))</f>
        <v>OLD</v>
      </c>
      <c r="G486" s="23" t="s">
        <v>527</v>
      </c>
      <c r="H486" s="24" t="s">
        <v>138</v>
      </c>
      <c r="I486" s="25" t="str">
        <f>IF(OR(E486="",E486="!!!",F486="NEW"),"",INDEX(B$2:B485,-1+SUMPRODUCT(MAX(ROW(E$2:E485)*(E486=E$2:E485)))))</f>
        <v>SBJ</v>
      </c>
      <c r="J486" s="25">
        <f ca="1">IF(OR(E486="",E486="!!!",F486="NEW"),"",COUNTBLANK(OFFSET(A$1,,,SUMPRODUCT(MAX(ROW(E$2:E486)*(E486=E$2:E486)))))-COUNTBLANK(OFFSET(A$1,,,SUMPRODUCT(MAX(ROW(E$1:E485)*(E2=E$1:E485))))))</f>
        <v>0</v>
      </c>
      <c r="K486" s="25">
        <f ca="1">IF(OR(E486="",E486="!!!",F486="NEW"),"",INDEX(J$1:J485,SUMPRODUCT(MAX(ROW(E$1:E485)*(E486=E$1:E485)))))</f>
        <v>0</v>
      </c>
      <c r="L486" s="26"/>
    </row>
    <row r="487" spans="1:12" x14ac:dyDescent="0.3">
      <c r="A487" t="s">
        <v>422</v>
      </c>
      <c r="E487" s="21" t="str">
        <f t="shared" ref="E486:E495" si="44">IF(D487="?OLD","!!!","")</f>
        <v/>
      </c>
      <c r="F487" s="22" t="str">
        <f>IF(OR(E487="",E487="!!!"),"",IF(NOT(ISNA(VLOOKUP(E487,E$1:E486,1,FALSE()))),"OLD",IF(AND(E487&lt;&gt;"",E487&lt;&gt;"!!!"),"NEW","")))</f>
        <v/>
      </c>
      <c r="G487" s="23" t="str">
        <f>IF(OR(E487="",E487="!!!"),"",IF(OR(J487=0,AND(J487=1,K487=1),AND(J487=1,I487="SBJ"),AND(J487=1,I487=0)),"?IN_FOCUS",IF(J487&lt;=2,"?ACTIVATED",IF(J487&lt;&gt;"","?FAMILIAR",IF(F487="NEW",IF(ISNA(VLOOKUP(E487,#REF!,1,FALSE())),"?TYPE_IDENTIFIABLE","?REFERENTIAL"),"_")))))</f>
        <v/>
      </c>
      <c r="H487" s="24" t="str">
        <f t="shared" ref="H486:H495" ca="1" si="45">IF(J487&lt;&gt;1,"",IF(I487="SBJ","CB","?"))</f>
        <v/>
      </c>
      <c r="I487" s="25" t="str">
        <f>IF(OR(E487="",E487="!!!",F487="NEW"),"",INDEX(B$2:B486,-1+SUMPRODUCT(MAX(ROW(E$2:E486)*(E487=E$2:E486)))))</f>
        <v/>
      </c>
      <c r="J487" s="25" t="str">
        <f ca="1">IF(OR(E487="",E487="!!!",F487="NEW"),"",COUNTBLANK(OFFSET(A$1,,,SUMPRODUCT(MAX(ROW(E$2:E487)*(E487=E$2:E487)))))-COUNTBLANK(OFFSET(A$1,,,SUMPRODUCT(MAX(ROW(E$1:E486)*(E2=E$1:E486))))))</f>
        <v/>
      </c>
      <c r="K487" s="25" t="str">
        <f>IF(OR(E487="",E487="!!!",F487="NEW"),"",INDEX(J$1:J486,SUMPRODUCT(MAX(ROW(E$1:E486)*(E487=E$1:E486)))))</f>
        <v/>
      </c>
      <c r="L487" s="26"/>
    </row>
    <row r="488" spans="1:12" x14ac:dyDescent="0.3">
      <c r="A488" t="s">
        <v>330</v>
      </c>
      <c r="E488" s="21" t="str">
        <f t="shared" si="44"/>
        <v/>
      </c>
      <c r="F488" s="22" t="str">
        <f>IF(OR(E488="",E488="!!!"),"",IF(NOT(ISNA(VLOOKUP(E488,E$1:E487,1,FALSE()))),"OLD",IF(AND(E488&lt;&gt;"",E488&lt;&gt;"!!!"),"NEW","")))</f>
        <v/>
      </c>
      <c r="G488" s="23" t="str">
        <f>IF(OR(E488="",E488="!!!"),"",IF(OR(J488=0,AND(J488=1,K488=1),AND(J488=1,I488="SBJ"),AND(J488=1,I488=0)),"?IN_FOCUS",IF(J488&lt;=2,"?ACTIVATED",IF(J488&lt;&gt;"","?FAMILIAR",IF(F488="NEW",IF(ISNA(VLOOKUP(E488,#REF!,1,FALSE())),"?TYPE_IDENTIFIABLE","?REFERENTIAL"),"_")))))</f>
        <v/>
      </c>
      <c r="H488" s="24" t="str">
        <f t="shared" ca="1" si="45"/>
        <v/>
      </c>
      <c r="I488" s="25" t="str">
        <f>IF(OR(E488="",E488="!!!",F488="NEW"),"",INDEX(B$2:B487,-1+SUMPRODUCT(MAX(ROW(E$2:E487)*(E488=E$2:E487)))))</f>
        <v/>
      </c>
      <c r="J488" s="25" t="str">
        <f ca="1">IF(OR(E488="",E488="!!!",F488="NEW"),"",COUNTBLANK(OFFSET(A$1,,,SUMPRODUCT(MAX(ROW(E$2:E488)*(E488=E$2:E488)))))-COUNTBLANK(OFFSET(A$1,,,SUMPRODUCT(MAX(ROW(E$1:E487)*(E2=E$1:E487))))))</f>
        <v/>
      </c>
      <c r="K488" s="25" t="str">
        <f>IF(OR(E488="",E488="!!!",F488="NEW"),"",INDEX(J$1:J487,SUMPRODUCT(MAX(ROW(E$1:E487)*(E488=E$1:E487)))))</f>
        <v/>
      </c>
      <c r="L488" s="26"/>
    </row>
    <row r="489" spans="1:12" x14ac:dyDescent="0.3">
      <c r="A489" t="s">
        <v>307</v>
      </c>
      <c r="B489" s="20" t="s">
        <v>244</v>
      </c>
      <c r="C489" s="20" t="s">
        <v>158</v>
      </c>
      <c r="D489" s="20" t="s">
        <v>146</v>
      </c>
      <c r="E489" s="21" t="s">
        <v>531</v>
      </c>
      <c r="F489" s="22" t="str">
        <f>IF(OR(E489="",E489="!!!"),"",IF(NOT(ISNA(VLOOKUP(E489,E$1:E488,1,FALSE()))),"OLD",IF(AND(E489&lt;&gt;"",E489&lt;&gt;"!!!"),"NEW","")))</f>
        <v>OLD</v>
      </c>
      <c r="G489" s="23" t="s">
        <v>482</v>
      </c>
      <c r="H489" s="24" t="str">
        <f t="shared" ca="1" si="45"/>
        <v/>
      </c>
      <c r="I489" s="25" t="str">
        <f>IF(OR(E489="",E489="!!!",F489="NEW"),"",INDEX(B$2:B488,-1+SUMPRODUCT(MAX(ROW(E$2:E488)*(E489=E$2:E488)))))</f>
        <v>OBJ_3</v>
      </c>
      <c r="J489" s="25">
        <f ca="1">IF(OR(E489="",E489="!!!",F489="NEW"),"",COUNTBLANK(OFFSET(A$1,,,SUMPRODUCT(MAX(ROW(E$2:E489)*(E489=E$2:E489)))))-COUNTBLANK(OFFSET(A$1,,,SUMPRODUCT(MAX(ROW(E$1:E488)*(E2=E$1:E488))))))</f>
        <v>0</v>
      </c>
      <c r="K489" s="25">
        <f ca="1">IF(OR(E489="",E489="!!!",F489="NEW"),"",INDEX(J$1:J488,SUMPRODUCT(MAX(ROW(E$1:E488)*(E489=E$1:E488)))))</f>
        <v>0</v>
      </c>
      <c r="L489" s="26"/>
    </row>
    <row r="490" spans="1:12" x14ac:dyDescent="0.3">
      <c r="A490" t="s">
        <v>236</v>
      </c>
      <c r="E490" s="21" t="str">
        <f t="shared" si="44"/>
        <v/>
      </c>
      <c r="F490" s="22" t="str">
        <f>IF(OR(E490="",E490="!!!"),"",IF(NOT(ISNA(VLOOKUP(E490,E$1:E489,1,FALSE()))),"OLD",IF(AND(E490&lt;&gt;"",E490&lt;&gt;"!!!"),"NEW","")))</f>
        <v/>
      </c>
      <c r="G490" s="23" t="str">
        <f>IF(OR(E490="",E490="!!!"),"",IF(OR(J490=0,AND(J490=1,K490=1),AND(J490=1,I490="SBJ"),AND(J490=1,I490=0)),"?IN_FOCUS",IF(J490&lt;=2,"?ACTIVATED",IF(J490&lt;&gt;"","?FAMILIAR",IF(F490="NEW",IF(ISNA(VLOOKUP(E490,#REF!,1,FALSE())),"?TYPE_IDENTIFIABLE","?REFERENTIAL"),"_")))))</f>
        <v/>
      </c>
      <c r="H490" s="24" t="str">
        <f t="shared" ca="1" si="45"/>
        <v/>
      </c>
      <c r="I490" s="25" t="str">
        <f>IF(OR(E490="",E490="!!!",F490="NEW"),"",INDEX(B$2:B489,-1+SUMPRODUCT(MAX(ROW(E$2:E489)*(E490=E$2:E489)))))</f>
        <v/>
      </c>
      <c r="J490" s="25" t="str">
        <f ca="1">IF(OR(E490="",E490="!!!",F490="NEW"),"",COUNTBLANK(OFFSET(A$1,,,SUMPRODUCT(MAX(ROW(E$2:E490)*(E490=E$2:E490)))))-COUNTBLANK(OFFSET(A$1,,,SUMPRODUCT(MAX(ROW(E$1:E489)*(E2=E$1:E489))))))</f>
        <v/>
      </c>
      <c r="K490" s="25" t="str">
        <f>IF(OR(E490="",E490="!!!",F490="NEW"),"",INDEX(J$1:J489,SUMPRODUCT(MAX(ROW(E$1:E489)*(E490=E$1:E489)))))</f>
        <v/>
      </c>
      <c r="L490" s="26"/>
    </row>
    <row r="491" spans="1:12" x14ac:dyDescent="0.3">
      <c r="A491" t="s">
        <v>185</v>
      </c>
      <c r="E491" s="21" t="str">
        <f t="shared" si="44"/>
        <v/>
      </c>
      <c r="F491" s="22" t="str">
        <f>IF(OR(E491="",E491="!!!"),"",IF(NOT(ISNA(VLOOKUP(E491,E$1:E490,1,FALSE()))),"OLD",IF(AND(E491&lt;&gt;"",E491&lt;&gt;"!!!"),"NEW","")))</f>
        <v/>
      </c>
      <c r="G491" s="23" t="str">
        <f>IF(OR(E491="",E491="!!!"),"",IF(OR(J491=0,AND(J491=1,K491=1),AND(J491=1,I491="SBJ"),AND(J491=1,I491=0)),"?IN_FOCUS",IF(J491&lt;=2,"?ACTIVATED",IF(J491&lt;&gt;"","?FAMILIAR",IF(F491="NEW",IF(ISNA(VLOOKUP(E491,#REF!,1,FALSE())),"?TYPE_IDENTIFIABLE","?REFERENTIAL"),"_")))))</f>
        <v/>
      </c>
      <c r="H491" s="24" t="str">
        <f t="shared" ca="1" si="45"/>
        <v/>
      </c>
      <c r="I491" s="25" t="str">
        <f>IF(OR(E491="",E491="!!!",F491="NEW"),"",INDEX(B$2:B490,-1+SUMPRODUCT(MAX(ROW(E$2:E490)*(E491=E$2:E490)))))</f>
        <v/>
      </c>
      <c r="J491" s="25" t="str">
        <f ca="1">IF(OR(E491="",E491="!!!",F491="NEW"),"",COUNTBLANK(OFFSET(A$1,,,SUMPRODUCT(MAX(ROW(E$2:E491)*(E491=E$2:E491)))))-COUNTBLANK(OFFSET(A$1,,,SUMPRODUCT(MAX(ROW(E$1:E490)*(E2=E$1:E490))))))</f>
        <v/>
      </c>
      <c r="K491" s="25" t="str">
        <f>IF(OR(E491="",E491="!!!",F491="NEW"),"",INDEX(J$1:J490,SUMPRODUCT(MAX(ROW(E$1:E490)*(E491=E$1:E490)))))</f>
        <v/>
      </c>
      <c r="L491" s="26"/>
    </row>
    <row r="492" spans="1:12" x14ac:dyDescent="0.3">
      <c r="A492" t="s">
        <v>423</v>
      </c>
      <c r="B492" s="20" t="s">
        <v>144</v>
      </c>
      <c r="C492" s="20" t="s">
        <v>145</v>
      </c>
      <c r="D492" s="20" t="s">
        <v>146</v>
      </c>
      <c r="E492" s="21" t="s">
        <v>518</v>
      </c>
      <c r="F492" s="22" t="s">
        <v>504</v>
      </c>
      <c r="G492" s="23"/>
      <c r="H492" s="24" t="str">
        <f t="shared" ca="1" si="45"/>
        <v/>
      </c>
      <c r="I492" s="25" t="e">
        <f>IF(OR(E492="",E492="!!!",F492="NEW"),"",INDEX(B$2:B491,-1+SUMPRODUCT(MAX(ROW(E$2:E491)*(E492=E$2:E491)))))</f>
        <v>#VALUE!</v>
      </c>
      <c r="J492" s="25">
        <f ca="1">IF(OR(E492="",E492="!!!",F492="NEW"),"",COUNTBLANK(OFFSET(A$1,,,SUMPRODUCT(MAX(ROW(E$2:E492)*(E492=E$2:E492)))))-COUNTBLANK(OFFSET(A$1,,,SUMPRODUCT(MAX(ROW(E$1:E491)*(E2=E$1:E491))))))</f>
        <v>0</v>
      </c>
      <c r="K492" s="25" t="e">
        <f>IF(OR(E492="",E492="!!!",F492="NEW"),"",INDEX(J$1:J491,SUMPRODUCT(MAX(ROW(E$1:E491)*(E492=E$1:E491)))))</f>
        <v>#VALUE!</v>
      </c>
      <c r="L492" s="26"/>
    </row>
    <row r="493" spans="1:12" x14ac:dyDescent="0.3">
      <c r="A493" t="s">
        <v>424</v>
      </c>
      <c r="E493" s="21" t="str">
        <f t="shared" si="44"/>
        <v/>
      </c>
      <c r="F493" s="22" t="str">
        <f>IF(OR(E493="",E493="!!!"),"",IF(NOT(ISNA(VLOOKUP(E493,E$1:E492,1,FALSE()))),"OLD",IF(AND(E493&lt;&gt;"",E493&lt;&gt;"!!!"),"NEW","")))</f>
        <v/>
      </c>
      <c r="G493" s="23" t="str">
        <f>IF(OR(E493="",E493="!!!"),"",IF(OR(J493=0,AND(J493=1,K493=1),AND(J493=1,I493="SBJ"),AND(J493=1,I493=0)),"?IN_FOCUS",IF(J493&lt;=2,"?ACTIVATED",IF(J493&lt;&gt;"","?FAMILIAR",IF(F493="NEW",IF(ISNA(VLOOKUP(E493,#REF!,1,FALSE())),"?TYPE_IDENTIFIABLE","?REFERENTIAL"),"_")))))</f>
        <v/>
      </c>
      <c r="H493" s="24" t="str">
        <f t="shared" ca="1" si="45"/>
        <v/>
      </c>
      <c r="I493" s="25" t="str">
        <f>IF(OR(E493="",E493="!!!",F493="NEW"),"",INDEX(B$2:B492,-1+SUMPRODUCT(MAX(ROW(E$2:E492)*(E493=E$2:E492)))))</f>
        <v/>
      </c>
      <c r="J493" s="25" t="str">
        <f ca="1">IF(OR(E493="",E493="!!!",F493="NEW"),"",COUNTBLANK(OFFSET(A$1,,,SUMPRODUCT(MAX(ROW(E$2:E493)*(E493=E$2:E493)))))-COUNTBLANK(OFFSET(A$1,,,SUMPRODUCT(MAX(ROW(E$1:E492)*(E2=E$1:E492))))))</f>
        <v/>
      </c>
      <c r="K493" s="25" t="str">
        <f>IF(OR(E493="",E493="!!!",F493="NEW"),"",INDEX(J$1:J492,SUMPRODUCT(MAX(ROW(E$1:E492)*(E493=E$1:E492)))))</f>
        <v/>
      </c>
      <c r="L493" s="26"/>
    </row>
    <row r="494" spans="1:12" x14ac:dyDescent="0.3">
      <c r="A494" t="s">
        <v>245</v>
      </c>
      <c r="E494" s="21" t="str">
        <f t="shared" si="44"/>
        <v/>
      </c>
      <c r="F494" s="22" t="str">
        <f>IF(OR(E494="",E494="!!!"),"",IF(NOT(ISNA(VLOOKUP(E494,E$1:E493,1,FALSE()))),"OLD",IF(AND(E494&lt;&gt;"",E494&lt;&gt;"!!!"),"NEW","")))</f>
        <v/>
      </c>
      <c r="G494" s="23" t="str">
        <f>IF(OR(E494="",E494="!!!"),"",IF(OR(J494=0,AND(J494=1,K494=1),AND(J494=1,I494="SBJ"),AND(J494=1,I494=0)),"?IN_FOCUS",IF(J494&lt;=2,"?ACTIVATED",IF(J494&lt;&gt;"","?FAMILIAR",IF(F494="NEW",IF(ISNA(VLOOKUP(E494,#REF!,1,FALSE())),"?TYPE_IDENTIFIABLE","?REFERENTIAL"),"_")))))</f>
        <v/>
      </c>
      <c r="H494" s="24" t="str">
        <f t="shared" ca="1" si="45"/>
        <v/>
      </c>
      <c r="I494" s="25" t="str">
        <f>IF(OR(E494="",E494="!!!",F494="NEW"),"",INDEX(B$2:B493,-1+SUMPRODUCT(MAX(ROW(E$2:E493)*(E494=E$2:E493)))))</f>
        <v/>
      </c>
      <c r="J494" s="25" t="str">
        <f ca="1">IF(OR(E494="",E494="!!!",F494="NEW"),"",COUNTBLANK(OFFSET(A$1,,,SUMPRODUCT(MAX(ROW(E$2:E494)*(E494=E$2:E494)))))-COUNTBLANK(OFFSET(A$1,,,SUMPRODUCT(MAX(ROW(E$1:E493)*(E2=E$1:E493))))))</f>
        <v/>
      </c>
      <c r="K494" s="25" t="str">
        <f>IF(OR(E494="",E494="!!!",F494="NEW"),"",INDEX(J$1:J493,SUMPRODUCT(MAX(ROW(E$1:E493)*(E494=E$1:E493)))))</f>
        <v/>
      </c>
      <c r="L494" s="26"/>
    </row>
    <row r="495" spans="1:12" x14ac:dyDescent="0.3">
      <c r="A495" t="s">
        <v>167</v>
      </c>
      <c r="E495" s="21" t="str">
        <f t="shared" si="44"/>
        <v/>
      </c>
      <c r="F495" s="22" t="str">
        <f>IF(OR(E495="",E495="!!!"),"",IF(NOT(ISNA(VLOOKUP(E495,E$1:E494,1,FALSE()))),"OLD",IF(AND(E495&lt;&gt;"",E495&lt;&gt;"!!!"),"NEW","")))</f>
        <v/>
      </c>
      <c r="G495" s="23" t="str">
        <f>IF(OR(E495="",E495="!!!"),"",IF(OR(J495=0,AND(J495=1,K495=1),AND(J495=1,I495="SBJ"),AND(J495=1,I495=0)),"?IN_FOCUS",IF(J495&lt;=2,"?ACTIVATED",IF(J495&lt;&gt;"","?FAMILIAR",IF(F495="NEW",IF(ISNA(VLOOKUP(E495,#REF!,1,FALSE())),"?TYPE_IDENTIFIABLE","?REFERENTIAL"),"_")))))</f>
        <v/>
      </c>
      <c r="H495" s="24" t="str">
        <f t="shared" ca="1" si="45"/>
        <v/>
      </c>
      <c r="I495" s="25" t="str">
        <f>IF(OR(E495="",E495="!!!",F495="NEW"),"",INDEX(B$2:B494,-1+SUMPRODUCT(MAX(ROW(E$2:E494)*(E495=E$2:E494)))))</f>
        <v/>
      </c>
      <c r="J495" s="25" t="str">
        <f ca="1">IF(OR(E495="",E495="!!!",F495="NEW"),"",COUNTBLANK(OFFSET(A$1,,,SUMPRODUCT(MAX(ROW(E$2:E495)*(E495=E$2:E495)))))-COUNTBLANK(OFFSET(A$1,,,SUMPRODUCT(MAX(ROW(E$1:E494)*(E2=E$1:E494))))))</f>
        <v/>
      </c>
      <c r="K495" s="25" t="str">
        <f>IF(OR(E495="",E495="!!!",F495="NEW"),"",INDEX(J$1:J494,SUMPRODUCT(MAX(ROW(E$1:E494)*(E495=E$1:E494)))))</f>
        <v/>
      </c>
      <c r="L495" s="26"/>
    </row>
    <row r="497" spans="1:12" x14ac:dyDescent="0.3">
      <c r="A497" t="s">
        <v>425</v>
      </c>
    </row>
    <row r="498" spans="1:12" x14ac:dyDescent="0.3">
      <c r="A498" t="s">
        <v>426</v>
      </c>
      <c r="E498" s="21" t="str">
        <f t="shared" ref="E498:E505" si="46">IF(D498="?OLD","!!!","")</f>
        <v/>
      </c>
      <c r="F498" s="22" t="str">
        <f>IF(OR(E498="",E498="!!!"),"",IF(NOT(ISNA(VLOOKUP(E498,E$1:E497,1,FALSE()))),"OLD",IF(AND(E498&lt;&gt;"",E498&lt;&gt;"!!!"),"NEW","")))</f>
        <v/>
      </c>
      <c r="G498" s="23" t="str">
        <f>IF(OR(E498="",E498="!!!"),"",IF(OR(J498=0,AND(J498=1,K498=1),AND(J498=1,I498="SBJ"),AND(J498=1,I498=0)),"?IN_FOCUS",IF(J498&lt;=2,"?ACTIVATED",IF(J498&lt;&gt;"","?FAMILIAR",IF(F498="NEW",IF(ISNA(VLOOKUP(E498,#REF!,1,FALSE())),"?TYPE_IDENTIFIABLE","?REFERENTIAL"),"_")))))</f>
        <v/>
      </c>
      <c r="H498" s="24" t="str">
        <f t="shared" ref="H498:H505" ca="1" si="47">IF(J498&lt;&gt;1,"",IF(I498="SBJ","CB","?"))</f>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499" spans="1:12" x14ac:dyDescent="0.3">
      <c r="A499" t="s">
        <v>169</v>
      </c>
      <c r="E499" s="21" t="str">
        <f t="shared" si="46"/>
        <v/>
      </c>
      <c r="F499" s="22" t="str">
        <f>IF(OR(E499="",E499="!!!"),"",IF(NOT(ISNA(VLOOKUP(E499,E$1:E498,1,FALSE()))),"OLD",IF(AND(E499&lt;&gt;"",E499&lt;&gt;"!!!"),"NEW","")))</f>
        <v/>
      </c>
      <c r="G499" s="23" t="str">
        <f>IF(OR(E499="",E499="!!!"),"",IF(OR(J499=0,AND(J499=1,K499=1),AND(J499=1,I499="SBJ"),AND(J499=1,I499=0)),"?IN_FOCUS",IF(J499&lt;=2,"?ACTIVATED",IF(J499&lt;&gt;"","?FAMILIAR",IF(F499="NEW",IF(ISNA(VLOOKUP(E499,#REF!,1,FALSE())),"?TYPE_IDENTIFIABLE","?REFERENTIAL"),"_")))))</f>
        <v/>
      </c>
      <c r="H499" s="24" t="str">
        <f t="shared" ca="1" si="47"/>
        <v/>
      </c>
      <c r="I499" s="25" t="str">
        <f>IF(OR(E499="",E499="!!!",F499="NEW"),"",INDEX(B$2:B498,-1+SUMPRODUCT(MAX(ROW(E$2:E498)*(E499=E$2:E498)))))</f>
        <v/>
      </c>
      <c r="J499" s="25" t="str">
        <f ca="1">IF(OR(E499="",E499="!!!",F499="NEW"),"",COUNTBLANK(OFFSET(A$1,,,SUMPRODUCT(MAX(ROW(E$2:E499)*(E499=E$2:E499)))))-COUNTBLANK(OFFSET(A$1,,,SUMPRODUCT(MAX(ROW(E$1:E498)*(E2=E$1:E498))))))</f>
        <v/>
      </c>
      <c r="K499" s="25" t="str">
        <f>IF(OR(E499="",E499="!!!",F499="NEW"),"",INDEX(J$1:J498,SUMPRODUCT(MAX(ROW(E$1:E498)*(E499=E$1:E498)))))</f>
        <v/>
      </c>
      <c r="L499" s="26"/>
    </row>
    <row r="500" spans="1:12" x14ac:dyDescent="0.3">
      <c r="A500" t="s">
        <v>242</v>
      </c>
      <c r="B500" s="20" t="s">
        <v>157</v>
      </c>
      <c r="C500" s="20" t="s">
        <v>201</v>
      </c>
      <c r="D500" s="20" t="s">
        <v>146</v>
      </c>
      <c r="E500" s="21" t="s">
        <v>481</v>
      </c>
      <c r="F500" s="22" t="str">
        <f>IF(OR(E500="",E500="!!!"),"",IF(NOT(ISNA(VLOOKUP(E500,E$1:E499,1,FALSE()))),"OLD",IF(AND(E500&lt;&gt;"",E500&lt;&gt;"!!!"),"NEW","")))</f>
        <v>OLD</v>
      </c>
      <c r="G500" s="23" t="s">
        <v>527</v>
      </c>
      <c r="H500" s="24" t="s">
        <v>138</v>
      </c>
      <c r="I500" s="25" t="str">
        <f>IF(OR(E500="",E500="!!!",F500="NEW"),"",INDEX(B$2:B499,-1+SUMPRODUCT(MAX(ROW(E$2:E499)*(E500=E$2:E499)))))</f>
        <v>SBJ</v>
      </c>
      <c r="J500" s="25">
        <f ca="1">IF(OR(E500="",E500="!!!",F500="NEW"),"",COUNTBLANK(OFFSET(A$1,,,SUMPRODUCT(MAX(ROW(E$2:E500)*(E500=E$2:E500)))))-COUNTBLANK(OFFSET(A$1,,,SUMPRODUCT(MAX(ROW(E$1:E499)*(E2=E$1:E499))))))</f>
        <v>0</v>
      </c>
      <c r="K500" s="25">
        <f ca="1">IF(OR(E500="",E500="!!!",F500="NEW"),"",INDEX(J$1:J499,SUMPRODUCT(MAX(ROW(E$1:E499)*(E500=E$1:E499)))))</f>
        <v>0</v>
      </c>
      <c r="L500" s="26"/>
    </row>
    <row r="501" spans="1:12" x14ac:dyDescent="0.3">
      <c r="A501" t="s">
        <v>427</v>
      </c>
      <c r="E501" s="21" t="str">
        <f t="shared" si="46"/>
        <v/>
      </c>
      <c r="F501" s="22" t="str">
        <f>IF(OR(E501="",E501="!!!"),"",IF(NOT(ISNA(VLOOKUP(E501,E$1:E500,1,FALSE()))),"OLD",IF(AND(E501&lt;&gt;"",E501&lt;&gt;"!!!"),"NEW","")))</f>
        <v/>
      </c>
      <c r="G501" s="23" t="str">
        <f>IF(OR(E501="",E501="!!!"),"",IF(OR(J501=0,AND(J501=1,K501=1),AND(J501=1,I501="SBJ"),AND(J501=1,I501=0)),"?IN_FOCUS",IF(J501&lt;=2,"?ACTIVATED",IF(J501&lt;&gt;"","?FAMILIAR",IF(F501="NEW",IF(ISNA(VLOOKUP(E501,#REF!,1,FALSE())),"?TYPE_IDENTIFIABLE","?REFERENTIAL"),"_")))))</f>
        <v/>
      </c>
      <c r="H501" s="24" t="str">
        <f t="shared" ca="1" si="47"/>
        <v/>
      </c>
      <c r="I501" s="25" t="str">
        <f>IF(OR(E501="",E501="!!!",F501="NEW"),"",INDEX(B$2:B500,-1+SUMPRODUCT(MAX(ROW(E$2:E500)*(E501=E$2:E500)))))</f>
        <v/>
      </c>
      <c r="J501" s="25" t="str">
        <f ca="1">IF(OR(E501="",E501="!!!",F501="NEW"),"",COUNTBLANK(OFFSET(A$1,,,SUMPRODUCT(MAX(ROW(E$2:E501)*(E501=E$2:E501)))))-COUNTBLANK(OFFSET(A$1,,,SUMPRODUCT(MAX(ROW(E$1:E500)*(E2=E$1:E500))))))</f>
        <v/>
      </c>
      <c r="K501" s="25" t="str">
        <f>IF(OR(E501="",E501="!!!",F501="NEW"),"",INDEX(J$1:J500,SUMPRODUCT(MAX(ROW(E$1:E500)*(E501=E$1:E500)))))</f>
        <v/>
      </c>
      <c r="L501" s="26"/>
    </row>
    <row r="502" spans="1:12" x14ac:dyDescent="0.3">
      <c r="A502" t="s">
        <v>428</v>
      </c>
      <c r="B502" s="20" t="s">
        <v>149</v>
      </c>
      <c r="C502" s="20" t="s">
        <v>150</v>
      </c>
      <c r="E502" s="21" t="str">
        <f t="shared" si="46"/>
        <v/>
      </c>
      <c r="F502" s="22" t="str">
        <f>IF(OR(E502="",E502="!!!"),"",IF(NOT(ISNA(VLOOKUP(E502,E$1:E501,1,FALSE()))),"OLD",IF(AND(E502&lt;&gt;"",E502&lt;&gt;"!!!"),"NEW","")))</f>
        <v/>
      </c>
      <c r="G502" s="23" t="str">
        <f>IF(OR(E502="",E502="!!!"),"",IF(OR(J502=0,AND(J502=1,K502=1),AND(J502=1,I502="SBJ"),AND(J502=1,I502=0)),"?IN_FOCUS",IF(J502&lt;=2,"?ACTIVATED",IF(J502&lt;&gt;"","?FAMILIAR",IF(F502="NEW",IF(ISNA(VLOOKUP(E502,#REF!,1,FALSE())),"?TYPE_IDENTIFIABLE","?REFERENTIAL"),"_")))))</f>
        <v/>
      </c>
      <c r="H502" s="24" t="str">
        <f t="shared" ca="1" si="47"/>
        <v/>
      </c>
      <c r="I502" s="25" t="str">
        <f>IF(OR(E502="",E502="!!!",F502="NEW"),"",INDEX(B$2:B501,-1+SUMPRODUCT(MAX(ROW(E$2:E501)*(E502=E$2:E501)))))</f>
        <v/>
      </c>
      <c r="J502" s="25" t="str">
        <f ca="1">IF(OR(E502="",E502="!!!",F502="NEW"),"",COUNTBLANK(OFFSET(A$1,,,SUMPRODUCT(MAX(ROW(E$2:E502)*(E502=E$2:E502)))))-COUNTBLANK(OFFSET(A$1,,,SUMPRODUCT(MAX(ROW(E$1:E501)*(E2=E$1:E501))))))</f>
        <v/>
      </c>
      <c r="K502" s="25" t="str">
        <f>IF(OR(E502="",E502="!!!",F502="NEW"),"",INDEX(J$1:J501,SUMPRODUCT(MAX(ROW(E$1:E501)*(E502=E$1:E501)))))</f>
        <v/>
      </c>
      <c r="L502" s="26"/>
    </row>
    <row r="503" spans="1:12" x14ac:dyDescent="0.3">
      <c r="A503" t="s">
        <v>189</v>
      </c>
      <c r="E503" s="21" t="str">
        <f t="shared" si="46"/>
        <v/>
      </c>
      <c r="F503" s="22" t="str">
        <f>IF(OR(E503="",E503="!!!"),"",IF(NOT(ISNA(VLOOKUP(E503,E$1:E502,1,FALSE()))),"OLD",IF(AND(E503&lt;&gt;"",E503&lt;&gt;"!!!"),"NEW","")))</f>
        <v/>
      </c>
      <c r="G503" s="23" t="str">
        <f>IF(OR(E503="",E503="!!!"),"",IF(OR(J503=0,AND(J503=1,K503=1),AND(J503=1,I503="SBJ"),AND(J503=1,I503=0)),"?IN_FOCUS",IF(J503&lt;=2,"?ACTIVATED",IF(J503&lt;&gt;"","?FAMILIAR",IF(F503="NEW",IF(ISNA(VLOOKUP(E503,#REF!,1,FALSE())),"?TYPE_IDENTIFIABLE","?REFERENTIAL"),"_")))))</f>
        <v/>
      </c>
      <c r="H503" s="24" t="str">
        <f t="shared" ca="1" si="47"/>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4" spans="1:12" x14ac:dyDescent="0.3">
      <c r="A504" t="s">
        <v>429</v>
      </c>
      <c r="B504" s="20" t="s">
        <v>149</v>
      </c>
      <c r="C504" s="20" t="s">
        <v>150</v>
      </c>
      <c r="E504" s="21" t="str">
        <f t="shared" si="46"/>
        <v/>
      </c>
      <c r="F504" s="22" t="str">
        <f>IF(OR(E504="",E504="!!!"),"",IF(NOT(ISNA(VLOOKUP(E504,E$1:E503,1,FALSE()))),"OLD",IF(AND(E504&lt;&gt;"",E504&lt;&gt;"!!!"),"NEW","")))</f>
        <v/>
      </c>
      <c r="G504" s="23" t="str">
        <f>IF(OR(E504="",E504="!!!"),"",IF(OR(J504=0,AND(J504=1,K504=1),AND(J504=1,I504="SBJ"),AND(J504=1,I504=0)),"?IN_FOCUS",IF(J504&lt;=2,"?ACTIVATED",IF(J504&lt;&gt;"","?FAMILIAR",IF(F504="NEW",IF(ISNA(VLOOKUP(E504,#REF!,1,FALSE())),"?TYPE_IDENTIFIABLE","?REFERENTIAL"),"_")))))</f>
        <v/>
      </c>
      <c r="H504" s="24" t="str">
        <f t="shared" ca="1" si="47"/>
        <v/>
      </c>
      <c r="I504" s="25" t="str">
        <f>IF(OR(E504="",E504="!!!",F504="NEW"),"",INDEX(B$2:B503,-1+SUMPRODUCT(MAX(ROW(E$2:E503)*(E504=E$2:E503)))))</f>
        <v/>
      </c>
      <c r="J504" s="25" t="str">
        <f ca="1">IF(OR(E504="",E504="!!!",F504="NEW"),"",COUNTBLANK(OFFSET(A$1,,,SUMPRODUCT(MAX(ROW(E$2:E504)*(E504=E$2:E504)))))-COUNTBLANK(OFFSET(A$1,,,SUMPRODUCT(MAX(ROW(E$1:E503)*(E2=E$1:E503))))))</f>
        <v/>
      </c>
      <c r="K504" s="25" t="str">
        <f>IF(OR(E504="",E504="!!!",F504="NEW"),"",INDEX(J$1:J503,SUMPRODUCT(MAX(ROW(E$1:E503)*(E504=E$1:E503)))))</f>
        <v/>
      </c>
      <c r="L504" s="26"/>
    </row>
    <row r="505" spans="1:12" x14ac:dyDescent="0.3">
      <c r="A505" t="s">
        <v>167</v>
      </c>
      <c r="E505" s="21" t="str">
        <f t="shared" si="46"/>
        <v/>
      </c>
      <c r="F505" s="22" t="str">
        <f>IF(OR(E505="",E505="!!!"),"",IF(NOT(ISNA(VLOOKUP(E505,E$1:E504,1,FALSE()))),"OLD",IF(AND(E505&lt;&gt;"",E505&lt;&gt;"!!!"),"NEW","")))</f>
        <v/>
      </c>
      <c r="G505" s="23" t="str">
        <f>IF(OR(E505="",E505="!!!"),"",IF(OR(J505=0,AND(J505=1,K505=1),AND(J505=1,I505="SBJ"),AND(J505=1,I505=0)),"?IN_FOCUS",IF(J505&lt;=2,"?ACTIVATED",IF(J505&lt;&gt;"","?FAMILIAR",IF(F505="NEW",IF(ISNA(VLOOKUP(E505,#REF!,1,FALSE())),"?TYPE_IDENTIFIABLE","?REFERENTIAL"),"_")))))</f>
        <v/>
      </c>
      <c r="H505" s="24" t="str">
        <f t="shared" ca="1" si="47"/>
        <v/>
      </c>
      <c r="I505" s="25" t="str">
        <f>IF(OR(E505="",E505="!!!",F505="NEW"),"",INDEX(B$2:B504,-1+SUMPRODUCT(MAX(ROW(E$2:E504)*(E505=E$2:E504)))))</f>
        <v/>
      </c>
      <c r="J505" s="25" t="str">
        <f ca="1">IF(OR(E505="",E505="!!!",F505="NEW"),"",COUNTBLANK(OFFSET(A$1,,,SUMPRODUCT(MAX(ROW(E$2:E505)*(E505=E$2:E505)))))-COUNTBLANK(OFFSET(A$1,,,SUMPRODUCT(MAX(ROW(E$1:E504)*(E2=E$1:E504))))))</f>
        <v/>
      </c>
      <c r="K505" s="25" t="str">
        <f>IF(OR(E505="",E505="!!!",F505="NEW"),"",INDEX(J$1:J504,SUMPRODUCT(MAX(ROW(E$1:E504)*(E505=E$1:E504)))))</f>
        <v/>
      </c>
      <c r="L505" s="26"/>
    </row>
    <row r="507" spans="1:12" x14ac:dyDescent="0.3">
      <c r="A507" t="s">
        <v>430</v>
      </c>
    </row>
    <row r="508" spans="1:12" x14ac:dyDescent="0.3">
      <c r="A508" t="s">
        <v>431</v>
      </c>
      <c r="B508" s="20" t="s">
        <v>157</v>
      </c>
      <c r="C508" s="20" t="s">
        <v>201</v>
      </c>
      <c r="D508" s="20" t="s">
        <v>146</v>
      </c>
      <c r="E508" s="21" t="s">
        <v>481</v>
      </c>
      <c r="F508" s="22" t="str">
        <f>IF(OR(E508="",E508="!!!"),"",IF(NOT(ISNA(VLOOKUP(E508,E$1:E507,1,FALSE()))),"OLD",IF(AND(E508&lt;&gt;"",E508&lt;&gt;"!!!"),"NEW","")))</f>
        <v>OLD</v>
      </c>
      <c r="G508" s="23" t="s">
        <v>527</v>
      </c>
      <c r="H508" s="24" t="s">
        <v>138</v>
      </c>
      <c r="I508" s="25" t="str">
        <f>IF(OR(E508="",E508="!!!",F508="NEW"),"",INDEX(B$2:B507,-1+SUMPRODUCT(MAX(ROW(E$2:E507)*(E508=E$2:E507)))))</f>
        <v>SBJ</v>
      </c>
      <c r="J508" s="25">
        <f ca="1">IF(OR(E508="",E508="!!!",F508="NEW"),"",COUNTBLANK(OFFSET(A$1,,,SUMPRODUCT(MAX(ROW(E$2:E508)*(E508=E$2:E508)))))-COUNTBLANK(OFFSET(A$1,,,SUMPRODUCT(MAX(ROW(E$1:E507)*(E2=E$1:E507))))))</f>
        <v>0</v>
      </c>
      <c r="K508" s="25">
        <f ca="1">IF(OR(E508="",E508="!!!",F508="NEW"),"",INDEX(J$1:J507,SUMPRODUCT(MAX(ROW(E$1:E507)*(E508=E$1:E507)))))</f>
        <v>0</v>
      </c>
      <c r="L508" s="26"/>
    </row>
    <row r="509" spans="1:12" x14ac:dyDescent="0.3">
      <c r="A509" t="s">
        <v>231</v>
      </c>
      <c r="E509" s="21" t="str">
        <f t="shared" ref="E508:E522" si="48">IF(D509="?OLD","!!!","")</f>
        <v/>
      </c>
      <c r="F509" s="22" t="str">
        <f>IF(OR(E509="",E509="!!!"),"",IF(NOT(ISNA(VLOOKUP(E509,E$1:E508,1,FALSE()))),"OLD",IF(AND(E509&lt;&gt;"",E509&lt;&gt;"!!!"),"NEW","")))</f>
        <v/>
      </c>
      <c r="G509" s="23" t="str">
        <f>IF(OR(E509="",E509="!!!"),"",IF(OR(J509=0,AND(J509=1,K509=1),AND(J509=1,I509="SBJ"),AND(J509=1,I509=0)),"?IN_FOCUS",IF(J509&lt;=2,"?ACTIVATED",IF(J509&lt;&gt;"","?FAMILIAR",IF(F509="NEW",IF(ISNA(VLOOKUP(E509,#REF!,1,FALSE())),"?TYPE_IDENTIFIABLE","?REFERENTIAL"),"_")))))</f>
        <v/>
      </c>
      <c r="H509" s="24" t="str">
        <f t="shared" ref="H508:H522" ca="1" si="49">IF(J509&lt;&gt;1,"",IF(I509="SBJ","CB","?"))</f>
        <v/>
      </c>
      <c r="I509" s="25" t="str">
        <f>IF(OR(E509="",E509="!!!",F509="NEW"),"",INDEX(B$2:B508,-1+SUMPRODUCT(MAX(ROW(E$2:E508)*(E509=E$2:E508)))))</f>
        <v/>
      </c>
      <c r="J509" s="25" t="str">
        <f ca="1">IF(OR(E509="",E509="!!!",F509="NEW"),"",COUNTBLANK(OFFSET(A$1,,,SUMPRODUCT(MAX(ROW(E$2:E509)*(E509=E$2:E509)))))-COUNTBLANK(OFFSET(A$1,,,SUMPRODUCT(MAX(ROW(E$1:E508)*(E2=E$1:E508))))))</f>
        <v/>
      </c>
      <c r="K509" s="25" t="str">
        <f>IF(OR(E509="",E509="!!!",F509="NEW"),"",INDEX(J$1:J508,SUMPRODUCT(MAX(ROW(E$1:E508)*(E509=E$1:E508)))))</f>
        <v/>
      </c>
      <c r="L509" s="26"/>
    </row>
    <row r="510" spans="1:12" x14ac:dyDescent="0.3">
      <c r="A510" t="s">
        <v>432</v>
      </c>
      <c r="B510" s="20" t="s">
        <v>149</v>
      </c>
      <c r="C510" s="20" t="s">
        <v>150</v>
      </c>
      <c r="E510" s="21" t="str">
        <f t="shared" si="48"/>
        <v/>
      </c>
      <c r="F510" s="22" t="str">
        <f>IF(OR(E510="",E510="!!!"),"",IF(NOT(ISNA(VLOOKUP(E510,E$1:E509,1,FALSE()))),"OLD",IF(AND(E510&lt;&gt;"",E510&lt;&gt;"!!!"),"NEW","")))</f>
        <v/>
      </c>
      <c r="G510" s="23" t="str">
        <f>IF(OR(E510="",E510="!!!"),"",IF(OR(J510=0,AND(J510=1,K510=1),AND(J510=1,I510="SBJ"),AND(J510=1,I510=0)),"?IN_FOCUS",IF(J510&lt;=2,"?ACTIVATED",IF(J510&lt;&gt;"","?FAMILIAR",IF(F510="NEW",IF(ISNA(VLOOKUP(E510,#REF!,1,FALSE())),"?TYPE_IDENTIFIABLE","?REFERENTIAL"),"_")))))</f>
        <v/>
      </c>
      <c r="H510" s="24" t="str">
        <f t="shared" ca="1" si="49"/>
        <v/>
      </c>
      <c r="I510" s="25" t="str">
        <f>IF(OR(E510="",E510="!!!",F510="NEW"),"",INDEX(B$2:B509,-1+SUMPRODUCT(MAX(ROW(E$2:E509)*(E510=E$2:E509)))))</f>
        <v/>
      </c>
      <c r="J510" s="25" t="str">
        <f ca="1">IF(OR(E510="",E510="!!!",F510="NEW"),"",COUNTBLANK(OFFSET(A$1,,,SUMPRODUCT(MAX(ROW(E$2:E510)*(E510=E$2:E510)))))-COUNTBLANK(OFFSET(A$1,,,SUMPRODUCT(MAX(ROW(E$1:E509)*(E2=E$1:E509))))))</f>
        <v/>
      </c>
      <c r="K510" s="25" t="str">
        <f>IF(OR(E510="",E510="!!!",F510="NEW"),"",INDEX(J$1:J509,SUMPRODUCT(MAX(ROW(E$1:E509)*(E510=E$1:E509)))))</f>
        <v/>
      </c>
      <c r="L510" s="26"/>
    </row>
    <row r="511" spans="1:12" x14ac:dyDescent="0.3">
      <c r="A511" t="s">
        <v>174</v>
      </c>
      <c r="E511" s="21" t="str">
        <f t="shared" si="48"/>
        <v/>
      </c>
      <c r="F511" s="22" t="str">
        <f>IF(OR(E511="",E511="!!!"),"",IF(NOT(ISNA(VLOOKUP(E511,E$1:E510,1,FALSE()))),"OLD",IF(AND(E511&lt;&gt;"",E511&lt;&gt;"!!!"),"NEW","")))</f>
        <v/>
      </c>
      <c r="G511" s="23" t="str">
        <f>IF(OR(E511="",E511="!!!"),"",IF(OR(J511=0,AND(J511=1,K511=1),AND(J511=1,I511="SBJ"),AND(J511=1,I511=0)),"?IN_FOCUS",IF(J511&lt;=2,"?ACTIVATED",IF(J511&lt;&gt;"","?FAMILIAR",IF(F511="NEW",IF(ISNA(VLOOKUP(E511,#REF!,1,FALSE())),"?TYPE_IDENTIFIABLE","?REFERENTIAL"),"_")))))</f>
        <v/>
      </c>
      <c r="H511" s="24" t="str">
        <f t="shared" ca="1" si="49"/>
        <v/>
      </c>
      <c r="I511" s="25" t="str">
        <f>IF(OR(E511="",E511="!!!",F511="NEW"),"",INDEX(B$2:B510,-1+SUMPRODUCT(MAX(ROW(E$2:E510)*(E511=E$2:E510)))))</f>
        <v/>
      </c>
      <c r="J511" s="25" t="str">
        <f ca="1">IF(OR(E511="",E511="!!!",F511="NEW"),"",COUNTBLANK(OFFSET(A$1,,,SUMPRODUCT(MAX(ROW(E$2:E511)*(E511=E$2:E511)))))-COUNTBLANK(OFFSET(A$1,,,SUMPRODUCT(MAX(ROW(E$1:E510)*(E2=E$1:E510))))))</f>
        <v/>
      </c>
      <c r="K511" s="25" t="str">
        <f>IF(OR(E511="",E511="!!!",F511="NEW"),"",INDEX(J$1:J510,SUMPRODUCT(MAX(ROW(E$1:E510)*(E511=E$1:E510)))))</f>
        <v/>
      </c>
      <c r="L511" s="26"/>
    </row>
    <row r="512" spans="1:12" x14ac:dyDescent="0.3">
      <c r="A512" t="s">
        <v>215</v>
      </c>
      <c r="E512" s="21" t="str">
        <f t="shared" si="48"/>
        <v/>
      </c>
      <c r="F512" s="22" t="str">
        <f>IF(OR(E512="",E512="!!!"),"",IF(NOT(ISNA(VLOOKUP(E512,E$1:E511,1,FALSE()))),"OLD",IF(AND(E512&lt;&gt;"",E512&lt;&gt;"!!!"),"NEW","")))</f>
        <v/>
      </c>
      <c r="G512" s="23" t="str">
        <f>IF(OR(E512="",E512="!!!"),"",IF(OR(J512=0,AND(J512=1,K512=1),AND(J512=1,I512="SBJ"),AND(J512=1,I512=0)),"?IN_FOCUS",IF(J512&lt;=2,"?ACTIVATED",IF(J512&lt;&gt;"","?FAMILIAR",IF(F512="NEW",IF(ISNA(VLOOKUP(E512,#REF!,1,FALSE())),"?TYPE_IDENTIFIABLE","?REFERENTIAL"),"_")))))</f>
        <v/>
      </c>
      <c r="H512" s="24" t="str">
        <f t="shared" ca="1" si="49"/>
        <v/>
      </c>
      <c r="I512" s="25" t="str">
        <f>IF(OR(E512="",E512="!!!",F512="NEW"),"",INDEX(B$2:B511,-1+SUMPRODUCT(MAX(ROW(E$2:E511)*(E512=E$2:E511)))))</f>
        <v/>
      </c>
      <c r="J512" s="25" t="str">
        <f ca="1">IF(OR(E512="",E512="!!!",F512="NEW"),"",COUNTBLANK(OFFSET(A$1,,,SUMPRODUCT(MAX(ROW(E$2:E512)*(E512=E$2:E512)))))-COUNTBLANK(OFFSET(A$1,,,SUMPRODUCT(MAX(ROW(E$1:E511)*(E2=E$1:E511))))))</f>
        <v/>
      </c>
      <c r="K512" s="25" t="str">
        <f>IF(OR(E512="",E512="!!!",F512="NEW"),"",INDEX(J$1:J511,SUMPRODUCT(MAX(ROW(E$1:E511)*(E512=E$1:E511)))))</f>
        <v/>
      </c>
      <c r="L512" s="26"/>
    </row>
    <row r="513" spans="1:12" x14ac:dyDescent="0.3">
      <c r="A513" t="s">
        <v>433</v>
      </c>
      <c r="B513" s="20" t="s">
        <v>149</v>
      </c>
      <c r="C513" s="20" t="s">
        <v>158</v>
      </c>
      <c r="D513" s="20" t="s">
        <v>146</v>
      </c>
      <c r="E513" s="21" t="s">
        <v>519</v>
      </c>
      <c r="F513" s="22" t="str">
        <f>IF(OR(E513="",E513="!!!"),"",IF(NOT(ISNA(VLOOKUP(E513,E$1:E512,1,FALSE()))),"OLD",IF(AND(E513&lt;&gt;"",E513&lt;&gt;"!!!"),"NEW","")))</f>
        <v>NEW</v>
      </c>
      <c r="G513" s="23" t="s">
        <v>483</v>
      </c>
      <c r="H513" s="24" t="str">
        <f t="shared" ca="1" si="49"/>
        <v/>
      </c>
      <c r="I513" s="25" t="str">
        <f>IF(OR(E513="",E513="!!!",F513="NEW"),"",INDEX(B$2:B512,-1+SUMPRODUCT(MAX(ROW(E$2:E512)*(E513=E$2:E512)))))</f>
        <v/>
      </c>
      <c r="J513" s="25" t="str">
        <f ca="1">IF(OR(E513="",E513="!!!",F513="NEW"),"",COUNTBLANK(OFFSET(A$1,,,SUMPRODUCT(MAX(ROW(E$2:E513)*(E513=E$2:E513)))))-COUNTBLANK(OFFSET(A$1,,,SUMPRODUCT(MAX(ROW(E$1:E512)*(E2=E$1:E512))))))</f>
        <v/>
      </c>
      <c r="K513" s="25" t="str">
        <f>IF(OR(E513="",E513="!!!",F513="NEW"),"",INDEX(J$1:J512,SUMPRODUCT(MAX(ROW(E$1:E512)*(E513=E$1:E512)))))</f>
        <v/>
      </c>
      <c r="L513" s="26"/>
    </row>
    <row r="514" spans="1:12" x14ac:dyDescent="0.3">
      <c r="A514" t="s">
        <v>189</v>
      </c>
      <c r="E514" s="21" t="str">
        <f t="shared" si="48"/>
        <v/>
      </c>
      <c r="F514" s="22" t="str">
        <f>IF(OR(E514="",E514="!!!"),"",IF(NOT(ISNA(VLOOKUP(E514,E$1:E513,1,FALSE()))),"OLD",IF(AND(E514&lt;&gt;"",E514&lt;&gt;"!!!"),"NEW","")))</f>
        <v/>
      </c>
      <c r="G514" s="23" t="str">
        <f>IF(OR(E514="",E514="!!!"),"",IF(OR(J514=0,AND(J514=1,K514=1),AND(J514=1,I514="SBJ"),AND(J514=1,I514=0)),"?IN_FOCUS",IF(J514&lt;=2,"?ACTIVATED",IF(J514&lt;&gt;"","?FAMILIAR",IF(F514="NEW",IF(ISNA(VLOOKUP(E514,#REF!,1,FALSE())),"?TYPE_IDENTIFIABLE","?REFERENTIAL"),"_")))))</f>
        <v/>
      </c>
      <c r="H514" s="24" t="str">
        <f t="shared" ca="1" si="49"/>
        <v/>
      </c>
      <c r="I514" s="25" t="str">
        <f>IF(OR(E514="",E514="!!!",F514="NEW"),"",INDEX(B$2:B513,-1+SUMPRODUCT(MAX(ROW(E$2:E513)*(E514=E$2:E513)))))</f>
        <v/>
      </c>
      <c r="J514" s="25" t="str">
        <f ca="1">IF(OR(E514="",E514="!!!",F514="NEW"),"",COUNTBLANK(OFFSET(A$1,,,SUMPRODUCT(MAX(ROW(E$2:E514)*(E514=E$2:E514)))))-COUNTBLANK(OFFSET(A$1,,,SUMPRODUCT(MAX(ROW(E$1:E513)*(E2=E$1:E513))))))</f>
        <v/>
      </c>
      <c r="K514" s="25" t="str">
        <f>IF(OR(E514="",E514="!!!",F514="NEW"),"",INDEX(J$1:J513,SUMPRODUCT(MAX(ROW(E$1:E513)*(E514=E$1:E513)))))</f>
        <v/>
      </c>
      <c r="L514" s="26"/>
    </row>
    <row r="515" spans="1:12" x14ac:dyDescent="0.3">
      <c r="A515" t="s">
        <v>329</v>
      </c>
      <c r="E515" s="21" t="str">
        <f t="shared" si="48"/>
        <v/>
      </c>
      <c r="F515" s="22" t="str">
        <f>IF(OR(E515="",E515="!!!"),"",IF(NOT(ISNA(VLOOKUP(E515,E$1:E514,1,FALSE()))),"OLD",IF(AND(E515&lt;&gt;"",E515&lt;&gt;"!!!"),"NEW","")))</f>
        <v/>
      </c>
      <c r="G515" s="23" t="str">
        <f>IF(OR(E515="",E515="!!!"),"",IF(OR(J515=0,AND(J515=1,K515=1),AND(J515=1,I515="SBJ"),AND(J515=1,I515=0)),"?IN_FOCUS",IF(J515&lt;=2,"?ACTIVATED",IF(J515&lt;&gt;"","?FAMILIAR",IF(F515="NEW",IF(ISNA(VLOOKUP(E515,#REF!,1,FALSE())),"?TYPE_IDENTIFIABLE","?REFERENTIAL"),"_")))))</f>
        <v/>
      </c>
      <c r="H515" s="24" t="str">
        <f t="shared" ca="1" si="49"/>
        <v/>
      </c>
      <c r="I515" s="25" t="str">
        <f>IF(OR(E515="",E515="!!!",F515="NEW"),"",INDEX(B$2:B514,-1+SUMPRODUCT(MAX(ROW(E$2:E514)*(E515=E$2:E514)))))</f>
        <v/>
      </c>
      <c r="J515" s="25" t="str">
        <f ca="1">IF(OR(E515="",E515="!!!",F515="NEW"),"",COUNTBLANK(OFFSET(A$1,,,SUMPRODUCT(MAX(ROW(E$2:E515)*(E515=E$2:E515)))))-COUNTBLANK(OFFSET(A$1,,,SUMPRODUCT(MAX(ROW(E$1:E514)*(E2=E$1:E514))))))</f>
        <v/>
      </c>
      <c r="K515" s="25" t="str">
        <f>IF(OR(E515="",E515="!!!",F515="NEW"),"",INDEX(J$1:J514,SUMPRODUCT(MAX(ROW(E$1:E514)*(E515=E$1:E514)))))</f>
        <v/>
      </c>
      <c r="L515" s="26"/>
    </row>
    <row r="516" spans="1:12" x14ac:dyDescent="0.3">
      <c r="A516" t="s">
        <v>147</v>
      </c>
      <c r="E516" s="21" t="s">
        <v>480</v>
      </c>
      <c r="F516" s="22" t="str">
        <f>IF(OR(E516="",E516="!!!"),"",IF(NOT(ISNA(VLOOKUP(E516,E$1:E515,1,FALSE()))),"OLD",IF(AND(E516&lt;&gt;"",E516&lt;&gt;"!!!"),"NEW","")))</f>
        <v>OLD</v>
      </c>
      <c r="G516" s="23" t="s">
        <v>482</v>
      </c>
      <c r="H516" s="24" t="str">
        <f t="shared" ca="1" si="49"/>
        <v/>
      </c>
      <c r="I516" s="25" t="str">
        <f>IF(OR(E516="",E516="!!!",F516="NEW"),"",INDEX(B$2:B515,-1+SUMPRODUCT(MAX(ROW(E$2:E515)*(E516=E$2:E515)))))</f>
        <v>OBJ_3</v>
      </c>
      <c r="J516" s="25">
        <f ca="1">IF(OR(E516="",E516="!!!",F516="NEW"),"",COUNTBLANK(OFFSET(A$1,,,SUMPRODUCT(MAX(ROW(E$2:E516)*(E516=E$2:E516)))))-COUNTBLANK(OFFSET(A$1,,,SUMPRODUCT(MAX(ROW(E$1:E515)*(E2=E$1:E515))))))</f>
        <v>0</v>
      </c>
      <c r="K516" s="25">
        <f ca="1">IF(OR(E516="",E516="!!!",F516="NEW"),"",INDEX(J$1:J515,SUMPRODUCT(MAX(ROW(E$1:E515)*(E516=E$1:E515)))))</f>
        <v>0</v>
      </c>
      <c r="L516" s="26"/>
    </row>
    <row r="517" spans="1:12" x14ac:dyDescent="0.3">
      <c r="A517" t="s">
        <v>434</v>
      </c>
      <c r="E517" s="21" t="str">
        <f t="shared" si="48"/>
        <v/>
      </c>
      <c r="F517" s="22" t="str">
        <f>IF(OR(E517="",E517="!!!"),"",IF(NOT(ISNA(VLOOKUP(E517,E$1:E516,1,FALSE()))),"OLD",IF(AND(E517&lt;&gt;"",E517&lt;&gt;"!!!"),"NEW","")))</f>
        <v/>
      </c>
      <c r="G517" s="23" t="str">
        <f>IF(OR(E517="",E517="!!!"),"",IF(OR(J517=0,AND(J517=1,K517=1),AND(J517=1,I517="SBJ"),AND(J517=1,I517=0)),"?IN_FOCUS",IF(J517&lt;=2,"?ACTIVATED",IF(J517&lt;&gt;"","?FAMILIAR",IF(F517="NEW",IF(ISNA(VLOOKUP(E517,#REF!,1,FALSE())),"?TYPE_IDENTIFIABLE","?REFERENTIAL"),"_")))))</f>
        <v/>
      </c>
      <c r="H517" s="24" t="str">
        <f t="shared" ca="1" si="49"/>
        <v/>
      </c>
      <c r="I517" s="25" t="str">
        <f>IF(OR(E517="",E517="!!!",F517="NEW"),"",INDEX(B$2:B516,-1+SUMPRODUCT(MAX(ROW(E$2:E516)*(E517=E$2:E516)))))</f>
        <v/>
      </c>
      <c r="J517" s="25" t="str">
        <f ca="1">IF(OR(E517="",E517="!!!",F517="NEW"),"",COUNTBLANK(OFFSET(A$1,,,SUMPRODUCT(MAX(ROW(E$2:E517)*(E517=E$2:E517)))))-COUNTBLANK(OFFSET(A$1,,,SUMPRODUCT(MAX(ROW(E$1:E516)*(E2=E$1:E516))))))</f>
        <v/>
      </c>
      <c r="K517" s="25" t="str">
        <f>IF(OR(E517="",E517="!!!",F517="NEW"),"",INDEX(J$1:J516,SUMPRODUCT(MAX(ROW(E$1:E516)*(E517=E$1:E516)))))</f>
        <v/>
      </c>
      <c r="L517" s="26"/>
    </row>
    <row r="518" spans="1:12" x14ac:dyDescent="0.3">
      <c r="A518" t="s">
        <v>432</v>
      </c>
      <c r="B518" s="20" t="s">
        <v>149</v>
      </c>
      <c r="C518" s="20" t="s">
        <v>150</v>
      </c>
      <c r="E518" s="21" t="str">
        <f t="shared" si="48"/>
        <v/>
      </c>
      <c r="F518" s="22" t="str">
        <f>IF(OR(E518="",E518="!!!"),"",IF(NOT(ISNA(VLOOKUP(E518,E$1:E517,1,FALSE()))),"OLD",IF(AND(E518&lt;&gt;"",E518&lt;&gt;"!!!"),"NEW","")))</f>
        <v/>
      </c>
      <c r="G518" s="23" t="str">
        <f>IF(OR(E518="",E518="!!!"),"",IF(OR(J518=0,AND(J518=1,K518=1),AND(J518=1,I518="SBJ"),AND(J518=1,I518=0)),"?IN_FOCUS",IF(J518&lt;=2,"?ACTIVATED",IF(J518&lt;&gt;"","?FAMILIAR",IF(F518="NEW",IF(ISNA(VLOOKUP(E518,#REF!,1,FALSE())),"?TYPE_IDENTIFIABLE","?REFERENTIAL"),"_")))))</f>
        <v/>
      </c>
      <c r="H518" s="24" t="str">
        <f t="shared" ca="1" si="49"/>
        <v/>
      </c>
      <c r="I518" s="25" t="str">
        <f>IF(OR(E518="",E518="!!!",F518="NEW"),"",INDEX(B$2:B517,-1+SUMPRODUCT(MAX(ROW(E$2:E517)*(E518=E$2:E517)))))</f>
        <v/>
      </c>
      <c r="J518" s="25" t="str">
        <f ca="1">IF(OR(E518="",E518="!!!",F518="NEW"),"",COUNTBLANK(OFFSET(A$1,,,SUMPRODUCT(MAX(ROW(E$2:E518)*(E518=E$2:E518)))))-COUNTBLANK(OFFSET(A$1,,,SUMPRODUCT(MAX(ROW(E$1:E517)*(E2=E$1:E517))))))</f>
        <v/>
      </c>
      <c r="K518" s="25" t="str">
        <f>IF(OR(E518="",E518="!!!",F518="NEW"),"",INDEX(J$1:J517,SUMPRODUCT(MAX(ROW(E$1:E517)*(E518=E$1:E517)))))</f>
        <v/>
      </c>
      <c r="L518" s="26"/>
    </row>
    <row r="519" spans="1:12" x14ac:dyDescent="0.3">
      <c r="A519" t="s">
        <v>174</v>
      </c>
      <c r="E519" s="21" t="str">
        <f t="shared" si="48"/>
        <v/>
      </c>
      <c r="F519" s="22" t="str">
        <f>IF(OR(E519="",E519="!!!"),"",IF(NOT(ISNA(VLOOKUP(E519,E$1:E518,1,FALSE()))),"OLD",IF(AND(E519&lt;&gt;"",E519&lt;&gt;"!!!"),"NEW","")))</f>
        <v/>
      </c>
      <c r="G519" s="23" t="str">
        <f>IF(OR(E519="",E519="!!!"),"",IF(OR(J519=0,AND(J519=1,K519=1),AND(J519=1,I519="SBJ"),AND(J519=1,I519=0)),"?IN_FOCUS",IF(J519&lt;=2,"?ACTIVATED",IF(J519&lt;&gt;"","?FAMILIAR",IF(F519="NEW",IF(ISNA(VLOOKUP(E519,#REF!,1,FALSE())),"?TYPE_IDENTIFIABLE","?REFERENTIAL"),"_")))))</f>
        <v/>
      </c>
      <c r="H519" s="24" t="str">
        <f t="shared" ca="1" si="49"/>
        <v/>
      </c>
      <c r="I519" s="25" t="str">
        <f>IF(OR(E519="",E519="!!!",F519="NEW"),"",INDEX(B$2:B518,-1+SUMPRODUCT(MAX(ROW(E$2:E518)*(E519=E$2:E518)))))</f>
        <v/>
      </c>
      <c r="J519" s="25" t="str">
        <f ca="1">IF(OR(E519="",E519="!!!",F519="NEW"),"",COUNTBLANK(OFFSET(A$1,,,SUMPRODUCT(MAX(ROW(E$2:E519)*(E519=E$2:E519)))))-COUNTBLANK(OFFSET(A$1,,,SUMPRODUCT(MAX(ROW(E$1:E518)*(E2=E$1:E518))))))</f>
        <v/>
      </c>
      <c r="K519" s="25" t="str">
        <f>IF(OR(E519="",E519="!!!",F519="NEW"),"",INDEX(J$1:J518,SUMPRODUCT(MAX(ROW(E$1:E518)*(E519=E$1:E518)))))</f>
        <v/>
      </c>
      <c r="L519" s="26"/>
    </row>
    <row r="520" spans="1:12" x14ac:dyDescent="0.3">
      <c r="A520" t="s">
        <v>435</v>
      </c>
      <c r="B520" s="20" t="s">
        <v>144</v>
      </c>
      <c r="C520" s="20" t="s">
        <v>158</v>
      </c>
      <c r="D520" s="20" t="s">
        <v>146</v>
      </c>
      <c r="E520" s="21" t="s">
        <v>508</v>
      </c>
      <c r="F520" s="22" t="s">
        <v>506</v>
      </c>
      <c r="G520" s="23" t="s">
        <v>482</v>
      </c>
      <c r="H520" s="24" t="str">
        <f t="shared" ca="1" si="49"/>
        <v/>
      </c>
      <c r="I520" s="25" t="str">
        <f>IF(OR(E520="",E520="!!!",F520="NEW"),"",INDEX(B$2:B519,-1+SUMPRODUCT(MAX(ROW(E$2:E519)*(E520=E$2:E519)))))</f>
        <v>other_2</v>
      </c>
      <c r="J520" s="25">
        <f ca="1">IF(OR(E520="",E520="!!!",F520="NEW"),"",COUNTBLANK(OFFSET(A$1,,,SUMPRODUCT(MAX(ROW(E$2:E520)*(E520=E$2:E520)))))-COUNTBLANK(OFFSET(A$1,,,SUMPRODUCT(MAX(ROW(E$1:E519)*(E2=E$1:E519))))))</f>
        <v>0</v>
      </c>
      <c r="K520" s="25" t="str">
        <f ca="1">IF(OR(E520="",E520="!!!",F520="NEW"),"",INDEX(J$1:J519,SUMPRODUCT(MAX(ROW(E$1:E519)*(E520=E$1:E519)))))</f>
        <v/>
      </c>
      <c r="L520" s="26"/>
    </row>
    <row r="521" spans="1:12" x14ac:dyDescent="0.3">
      <c r="A521" t="s">
        <v>333</v>
      </c>
      <c r="B521" s="20" t="s">
        <v>165</v>
      </c>
      <c r="C521" s="20" t="s">
        <v>145</v>
      </c>
      <c r="D521" s="20" t="s">
        <v>146</v>
      </c>
      <c r="E521" s="21"/>
      <c r="F521" s="22" t="s">
        <v>484</v>
      </c>
      <c r="G521" s="23" t="str">
        <f>IF(OR(E521="",E521="!!!"),"",IF(OR(J521=0,AND(J521=1,K521=1),AND(J521=1,I521="SBJ"),AND(J521=1,I521=0)),"?IN_FOCUS",IF(J521&lt;=2,"?ACTIVATED",IF(J521&lt;&gt;"","?FAMILIAR",IF(F521="NEW",IF(ISNA(VLOOKUP(E521,#REF!,1,FALSE())),"?TYPE_IDENTIFIABLE","?REFERENTIAL"),"_")))))</f>
        <v/>
      </c>
      <c r="H521" s="24" t="str">
        <f t="shared" ca="1" si="49"/>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row>
    <row r="522" spans="1:12" x14ac:dyDescent="0.3">
      <c r="A522" t="s">
        <v>167</v>
      </c>
      <c r="E522" s="21" t="str">
        <f t="shared" si="48"/>
        <v/>
      </c>
      <c r="F522" s="22" t="str">
        <f>IF(OR(E522="",E522="!!!"),"",IF(NOT(ISNA(VLOOKUP(E522,E$1:E521,1,FALSE()))),"OLD",IF(AND(E522&lt;&gt;"",E522&lt;&gt;"!!!"),"NEW","")))</f>
        <v/>
      </c>
      <c r="G522" s="23" t="str">
        <f>IF(OR(E522="",E522="!!!"),"",IF(OR(J522=0,AND(J522=1,K522=1),AND(J522=1,I522="SBJ"),AND(J522=1,I522=0)),"?IN_FOCUS",IF(J522&lt;=2,"?ACTIVATED",IF(J522&lt;&gt;"","?FAMILIAR",IF(F522="NEW",IF(ISNA(VLOOKUP(E522,#REF!,1,FALSE())),"?TYPE_IDENTIFIABLE","?REFERENTIAL"),"_")))))</f>
        <v/>
      </c>
      <c r="H522" s="24" t="str">
        <f t="shared" ca="1" si="49"/>
        <v/>
      </c>
      <c r="I522" s="25" t="str">
        <f>IF(OR(E522="",E522="!!!",F522="NEW"),"",INDEX(B$2:B521,-1+SUMPRODUCT(MAX(ROW(E$2:E521)*(E522=E$2:E521)))))</f>
        <v/>
      </c>
      <c r="J522" s="25" t="str">
        <f ca="1">IF(OR(E522="",E522="!!!",F522="NEW"),"",COUNTBLANK(OFFSET(A$1,,,SUMPRODUCT(MAX(ROW(E$2:E522)*(E522=E$2:E522)))))-COUNTBLANK(OFFSET(A$1,,,SUMPRODUCT(MAX(ROW(E$1:E521)*(E2=E$1:E521))))))</f>
        <v/>
      </c>
      <c r="K522" s="25" t="str">
        <f>IF(OR(E522="",E522="!!!",F522="NEW"),"",INDEX(J$1:J521,SUMPRODUCT(MAX(ROW(E$1:E521)*(E522=E$1:E521)))))</f>
        <v/>
      </c>
      <c r="L522" s="26"/>
    </row>
    <row r="524" spans="1:12" x14ac:dyDescent="0.3">
      <c r="A524" t="s">
        <v>436</v>
      </c>
    </row>
    <row r="525" spans="1:12" x14ac:dyDescent="0.3">
      <c r="A525" t="s">
        <v>194</v>
      </c>
      <c r="E525" s="21" t="str">
        <f t="shared" ref="E525:E552" si="50">IF(D525="?OLD","!!!","")</f>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ref="H525:H552" ca="1" si="51">IF(J525&lt;&gt;1,"",IF(I525="SBJ","CB","?"))</f>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6" spans="1:12" x14ac:dyDescent="0.3">
      <c r="A526" t="s">
        <v>330</v>
      </c>
      <c r="E526" s="21" t="str">
        <f t="shared" si="50"/>
        <v/>
      </c>
      <c r="F526" s="22" t="str">
        <f>IF(OR(E526="",E526="!!!"),"",IF(NOT(ISNA(VLOOKUP(E526,E$1:E525,1,FALSE()))),"OLD",IF(AND(E526&lt;&gt;"",E526&lt;&gt;"!!!"),"NEW","")))</f>
        <v/>
      </c>
      <c r="G526" s="23" t="str">
        <f>IF(OR(E526="",E526="!!!"),"",IF(OR(J526=0,AND(J526=1,K526=1),AND(J526=1,I526="SBJ"),AND(J526=1,I526=0)),"?IN_FOCUS",IF(J526&lt;=2,"?ACTIVATED",IF(J526&lt;&gt;"","?FAMILIAR",IF(F526="NEW",IF(ISNA(VLOOKUP(E526,#REF!,1,FALSE())),"?TYPE_IDENTIFIABLE","?REFERENTIAL"),"_")))))</f>
        <v/>
      </c>
      <c r="H526" s="24" t="str">
        <f t="shared" ca="1" si="51"/>
        <v/>
      </c>
      <c r="I526" s="25" t="str">
        <f>IF(OR(E526="",E526="!!!",F526="NEW"),"",INDEX(B$2:B525,-1+SUMPRODUCT(MAX(ROW(E$2:E525)*(E526=E$2:E525)))))</f>
        <v/>
      </c>
      <c r="J526" s="25" t="str">
        <f ca="1">IF(OR(E526="",E526="!!!",F526="NEW"),"",COUNTBLANK(OFFSET(A$1,,,SUMPRODUCT(MAX(ROW(E$2:E526)*(E526=E$2:E526)))))-COUNTBLANK(OFFSET(A$1,,,SUMPRODUCT(MAX(ROW(E$1:E525)*(E2=E$1:E525))))))</f>
        <v/>
      </c>
      <c r="K526" s="25" t="str">
        <f>IF(OR(E526="",E526="!!!",F526="NEW"),"",INDEX(J$1:J525,SUMPRODUCT(MAX(ROW(E$1:E525)*(E526=E$1:E525)))))</f>
        <v/>
      </c>
      <c r="L526" s="26"/>
    </row>
    <row r="527" spans="1:12" x14ac:dyDescent="0.3">
      <c r="A527" t="s">
        <v>437</v>
      </c>
      <c r="E527" s="21" t="str">
        <f t="shared" si="50"/>
        <v/>
      </c>
      <c r="F527" s="22" t="str">
        <f>IF(OR(E527="",E527="!!!"),"",IF(NOT(ISNA(VLOOKUP(E527,E$1:E526,1,FALSE()))),"OLD",IF(AND(E527&lt;&gt;"",E527&lt;&gt;"!!!"),"NEW","")))</f>
        <v/>
      </c>
      <c r="G527" s="23" t="str">
        <f>IF(OR(E527="",E527="!!!"),"",IF(OR(J527=0,AND(J527=1,K527=1),AND(J527=1,I527="SBJ"),AND(J527=1,I527=0)),"?IN_FOCUS",IF(J527&lt;=2,"?ACTIVATED",IF(J527&lt;&gt;"","?FAMILIAR",IF(F527="NEW",IF(ISNA(VLOOKUP(E527,#REF!,1,FALSE())),"?TYPE_IDENTIFIABLE","?REFERENTIAL"),"_")))))</f>
        <v/>
      </c>
      <c r="H527" s="24" t="str">
        <f t="shared" ca="1" si="51"/>
        <v/>
      </c>
      <c r="I527" s="25" t="str">
        <f>IF(OR(E527="",E527="!!!",F527="NEW"),"",INDEX(B$2:B526,-1+SUMPRODUCT(MAX(ROW(E$2:E526)*(E527=E$2:E526)))))</f>
        <v/>
      </c>
      <c r="J527" s="25" t="str">
        <f ca="1">IF(OR(E527="",E527="!!!",F527="NEW"),"",COUNTBLANK(OFFSET(A$1,,,SUMPRODUCT(MAX(ROW(E$2:E527)*(E527=E$2:E527)))))-COUNTBLANK(OFFSET(A$1,,,SUMPRODUCT(MAX(ROW(E$1:E526)*(E2=E$1:E526))))))</f>
        <v/>
      </c>
      <c r="K527" s="25" t="str">
        <f>IF(OR(E527="",E527="!!!",F527="NEW"),"",INDEX(J$1:J526,SUMPRODUCT(MAX(ROW(E$1:E526)*(E527=E$1:E526)))))</f>
        <v/>
      </c>
      <c r="L527" s="26"/>
    </row>
    <row r="528" spans="1:12" x14ac:dyDescent="0.3">
      <c r="A528" t="s">
        <v>438</v>
      </c>
      <c r="E528" s="21" t="str">
        <f t="shared" si="50"/>
        <v/>
      </c>
      <c r="F528" s="22" t="str">
        <f>IF(OR(E528="",E528="!!!"),"",IF(NOT(ISNA(VLOOKUP(E528,E$1:E527,1,FALSE()))),"OLD",IF(AND(E528&lt;&gt;"",E528&lt;&gt;"!!!"),"NEW","")))</f>
        <v/>
      </c>
      <c r="G528" s="23" t="str">
        <f>IF(OR(E528="",E528="!!!"),"",IF(OR(J528=0,AND(J528=1,K528=1),AND(J528=1,I528="SBJ"),AND(J528=1,I528=0)),"?IN_FOCUS",IF(J528&lt;=2,"?ACTIVATED",IF(J528&lt;&gt;"","?FAMILIAR",IF(F528="NEW",IF(ISNA(VLOOKUP(E528,#REF!,1,FALSE())),"?TYPE_IDENTIFIABLE","?REFERENTIAL"),"_")))))</f>
        <v/>
      </c>
      <c r="H528" s="24" t="str">
        <f t="shared" ca="1" si="51"/>
        <v/>
      </c>
      <c r="I528" s="25" t="str">
        <f>IF(OR(E528="",E528="!!!",F528="NEW"),"",INDEX(B$2:B527,-1+SUMPRODUCT(MAX(ROW(E$2:E527)*(E528=E$2:E527)))))</f>
        <v/>
      </c>
      <c r="J528" s="25" t="str">
        <f ca="1">IF(OR(E528="",E528="!!!",F528="NEW"),"",COUNTBLANK(OFFSET(A$1,,,SUMPRODUCT(MAX(ROW(E$2:E528)*(E528=E$2:E528)))))-COUNTBLANK(OFFSET(A$1,,,SUMPRODUCT(MAX(ROW(E$1:E527)*(E2=E$1:E527))))))</f>
        <v/>
      </c>
      <c r="K528" s="25" t="str">
        <f>IF(OR(E528="",E528="!!!",F528="NEW"),"",INDEX(J$1:J527,SUMPRODUCT(MAX(ROW(E$1:E527)*(E528=E$1:E527)))))</f>
        <v/>
      </c>
      <c r="L528" s="26"/>
    </row>
    <row r="529" spans="1:12" x14ac:dyDescent="0.3">
      <c r="A529" t="s">
        <v>418</v>
      </c>
      <c r="B529" s="20" t="s">
        <v>144</v>
      </c>
      <c r="C529" s="20" t="s">
        <v>158</v>
      </c>
      <c r="D529" s="20" t="s">
        <v>146</v>
      </c>
      <c r="E529" s="21" t="s">
        <v>520</v>
      </c>
      <c r="F529" s="22" t="str">
        <f>IF(OR(E529="",E529="!!!"),"",IF(NOT(ISNA(VLOOKUP(E529,E$1:E528,1,FALSE()))),"OLD",IF(AND(E529&lt;&gt;"",E529&lt;&gt;"!!!"),"NEW","")))</f>
        <v>NEW</v>
      </c>
      <c r="G529" s="23" t="s">
        <v>482</v>
      </c>
      <c r="H529" s="24" t="str">
        <f t="shared" ca="1" si="51"/>
        <v/>
      </c>
      <c r="I529" s="25" t="str">
        <f>IF(OR(E529="",E529="!!!",F529="NEW"),"",INDEX(B$2:B528,-1+SUMPRODUCT(MAX(ROW(E$2:E528)*(E529=E$2:E528)))))</f>
        <v/>
      </c>
      <c r="J529" s="25" t="str">
        <f ca="1">IF(OR(E529="",E529="!!!",F529="NEW"),"",COUNTBLANK(OFFSET(A$1,,,SUMPRODUCT(MAX(ROW(E$2:E529)*(E529=E$2:E529)))))-COUNTBLANK(OFFSET(A$1,,,SUMPRODUCT(MAX(ROW(E$1:E528)*(E2=E$1:E528))))))</f>
        <v/>
      </c>
      <c r="K529" s="25" t="str">
        <f>IF(OR(E529="",E529="!!!",F529="NEW"),"",INDEX(J$1:J528,SUMPRODUCT(MAX(ROW(E$1:E528)*(E529=E$1:E528)))))</f>
        <v/>
      </c>
      <c r="L529" s="26"/>
    </row>
    <row r="530" spans="1:12" x14ac:dyDescent="0.3">
      <c r="A530" t="s">
        <v>202</v>
      </c>
      <c r="E530" s="21" t="str">
        <f t="shared" si="50"/>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ca="1" si="51"/>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row r="531" spans="1:12" x14ac:dyDescent="0.3">
      <c r="A531" t="s">
        <v>212</v>
      </c>
      <c r="E531" s="21" t="str">
        <f t="shared" si="50"/>
        <v/>
      </c>
      <c r="F531" s="22" t="str">
        <f>IF(OR(E531="",E531="!!!"),"",IF(NOT(ISNA(VLOOKUP(E531,E$1:E530,1,FALSE()))),"OLD",IF(AND(E531&lt;&gt;"",E531&lt;&gt;"!!!"),"NEW","")))</f>
        <v/>
      </c>
      <c r="G531" s="23" t="str">
        <f>IF(OR(E531="",E531="!!!"),"",IF(OR(J531=0,AND(J531=1,K531=1),AND(J531=1,I531="SBJ"),AND(J531=1,I531=0)),"?IN_FOCUS",IF(J531&lt;=2,"?ACTIVATED",IF(J531&lt;&gt;"","?FAMILIAR",IF(F531="NEW",IF(ISNA(VLOOKUP(E531,#REF!,1,FALSE())),"?TYPE_IDENTIFIABLE","?REFERENTIAL"),"_")))))</f>
        <v/>
      </c>
      <c r="H531" s="24" t="str">
        <f t="shared" ca="1" si="51"/>
        <v/>
      </c>
      <c r="I531" s="25" t="str">
        <f>IF(OR(E531="",E531="!!!",F531="NEW"),"",INDEX(B$2:B530,-1+SUMPRODUCT(MAX(ROW(E$2:E530)*(E531=E$2:E530)))))</f>
        <v/>
      </c>
      <c r="J531" s="25" t="str">
        <f ca="1">IF(OR(E531="",E531="!!!",F531="NEW"),"",COUNTBLANK(OFFSET(A$1,,,SUMPRODUCT(MAX(ROW(E$2:E531)*(E531=E$2:E531)))))-COUNTBLANK(OFFSET(A$1,,,SUMPRODUCT(MAX(ROW(E$1:E530)*(E2=E$1:E530))))))</f>
        <v/>
      </c>
      <c r="K531" s="25" t="str">
        <f>IF(OR(E531="",E531="!!!",F531="NEW"),"",INDEX(J$1:J530,SUMPRODUCT(MAX(ROW(E$1:E530)*(E531=E$1:E530)))))</f>
        <v/>
      </c>
      <c r="L531" s="26"/>
    </row>
    <row r="532" spans="1:12" x14ac:dyDescent="0.3">
      <c r="A532" t="s">
        <v>147</v>
      </c>
      <c r="B532" s="20" t="s">
        <v>144</v>
      </c>
      <c r="C532" s="20" t="s">
        <v>150</v>
      </c>
      <c r="E532" s="21" t="s">
        <v>480</v>
      </c>
      <c r="F532" s="22" t="str">
        <f>IF(OR(E532="",E532="!!!"),"",IF(NOT(ISNA(VLOOKUP(E532,E$1:E531,1,FALSE()))),"OLD",IF(AND(E532&lt;&gt;"",E532&lt;&gt;"!!!"),"NEW","")))</f>
        <v>OLD</v>
      </c>
      <c r="G532" s="23" t="s">
        <v>528</v>
      </c>
      <c r="H532" s="24" t="str">
        <f t="shared" ca="1" si="51"/>
        <v/>
      </c>
      <c r="I532" s="25">
        <f>IF(OR(E532="",E532="!!!",F532="NEW"),"",INDEX(B$2:B531,-1+SUMPRODUCT(MAX(ROW(E$2:E531)*(E532=E$2:E531)))))</f>
        <v>0</v>
      </c>
      <c r="J532" s="25">
        <f ca="1">IF(OR(E532="",E532="!!!",F532="NEW"),"",COUNTBLANK(OFFSET(A$1,,,SUMPRODUCT(MAX(ROW(E$2:E532)*(E532=E$2:E532)))))-COUNTBLANK(OFFSET(A$1,,,SUMPRODUCT(MAX(ROW(E$1:E531)*(E2=E$1:E531))))))</f>
        <v>0</v>
      </c>
      <c r="K532" s="25">
        <f ca="1">IF(OR(E532="",E532="!!!",F532="NEW"),"",INDEX(J$1:J531,SUMPRODUCT(MAX(ROW(E$1:E531)*(E532=E$1:E531)))))</f>
        <v>0</v>
      </c>
      <c r="L532" s="26"/>
    </row>
    <row r="533" spans="1:12" x14ac:dyDescent="0.3">
      <c r="A533" t="s">
        <v>213</v>
      </c>
      <c r="B533" s="20" t="s">
        <v>149</v>
      </c>
      <c r="C533" s="20" t="s">
        <v>150</v>
      </c>
      <c r="E533" s="21" t="str">
        <f t="shared" si="50"/>
        <v/>
      </c>
      <c r="F533" s="22" t="str">
        <f>IF(OR(E533="",E533="!!!"),"",IF(NOT(ISNA(VLOOKUP(E533,E$1:E532,1,FALSE()))),"OLD",IF(AND(E533&lt;&gt;"",E533&lt;&gt;"!!!"),"NEW","")))</f>
        <v/>
      </c>
      <c r="G533" s="23" t="str">
        <f>IF(OR(E533="",E533="!!!"),"",IF(OR(J533=0,AND(J533=1,K533=1),AND(J533=1,I533="SBJ"),AND(J533=1,I533=0)),"?IN_FOCUS",IF(J533&lt;=2,"?ACTIVATED",IF(J533&lt;&gt;"","?FAMILIAR",IF(F533="NEW",IF(ISNA(VLOOKUP(E533,#REF!,1,FALSE())),"?TYPE_IDENTIFIABLE","?REFERENTIAL"),"_")))))</f>
        <v/>
      </c>
      <c r="H533" s="24" t="str">
        <f t="shared" ca="1" si="51"/>
        <v/>
      </c>
      <c r="I533" s="25" t="str">
        <f>IF(OR(E533="",E533="!!!",F533="NEW"),"",INDEX(B$2:B532,-1+SUMPRODUCT(MAX(ROW(E$2:E532)*(E533=E$2:E532)))))</f>
        <v/>
      </c>
      <c r="J533" s="25" t="str">
        <f ca="1">IF(OR(E533="",E533="!!!",F533="NEW"),"",COUNTBLANK(OFFSET(A$1,,,SUMPRODUCT(MAX(ROW(E$2:E533)*(E533=E$2:E533)))))-COUNTBLANK(OFFSET(A$1,,,SUMPRODUCT(MAX(ROW(E$1:E532)*(E2=E$1:E532))))))</f>
        <v/>
      </c>
      <c r="K533" s="25" t="str">
        <f>IF(OR(E533="",E533="!!!",F533="NEW"),"",INDEX(J$1:J532,SUMPRODUCT(MAX(ROW(E$1:E532)*(E533=E$1:E532)))))</f>
        <v/>
      </c>
      <c r="L533" s="26"/>
    </row>
    <row r="534" spans="1:12" x14ac:dyDescent="0.3">
      <c r="A534" t="s">
        <v>174</v>
      </c>
      <c r="E534" s="21" t="str">
        <f t="shared" si="50"/>
        <v/>
      </c>
      <c r="F534" s="22" t="str">
        <f>IF(OR(E534="",E534="!!!"),"",IF(NOT(ISNA(VLOOKUP(E534,E$1:E533,1,FALSE()))),"OLD",IF(AND(E534&lt;&gt;"",E534&lt;&gt;"!!!"),"NEW","")))</f>
        <v/>
      </c>
      <c r="G534" s="23" t="str">
        <f>IF(OR(E534="",E534="!!!"),"",IF(OR(J534=0,AND(J534=1,K534=1),AND(J534=1,I534="SBJ"),AND(J534=1,I534=0)),"?IN_FOCUS",IF(J534&lt;=2,"?ACTIVATED",IF(J534&lt;&gt;"","?FAMILIAR",IF(F534="NEW",IF(ISNA(VLOOKUP(E534,#REF!,1,FALSE())),"?TYPE_IDENTIFIABLE","?REFERENTIAL"),"_")))))</f>
        <v/>
      </c>
      <c r="H534" s="24" t="str">
        <f t="shared" ca="1" si="51"/>
        <v/>
      </c>
      <c r="I534" s="25" t="str">
        <f>IF(OR(E534="",E534="!!!",F534="NEW"),"",INDEX(B$2:B533,-1+SUMPRODUCT(MAX(ROW(E$2:E533)*(E534=E$2:E533)))))</f>
        <v/>
      </c>
      <c r="J534" s="25" t="str">
        <f ca="1">IF(OR(E534="",E534="!!!",F534="NEW"),"",COUNTBLANK(OFFSET(A$1,,,SUMPRODUCT(MAX(ROW(E$2:E534)*(E534=E$2:E534)))))-COUNTBLANK(OFFSET(A$1,,,SUMPRODUCT(MAX(ROW(E$1:E533)*(E2=E$1:E533))))))</f>
        <v/>
      </c>
      <c r="K534" s="25" t="str">
        <f>IF(OR(E534="",E534="!!!",F534="NEW"),"",INDEX(J$1:J533,SUMPRODUCT(MAX(ROW(E$1:E533)*(E534=E$1:E533)))))</f>
        <v/>
      </c>
      <c r="L534" s="26"/>
    </row>
    <row r="535" spans="1:12" x14ac:dyDescent="0.3">
      <c r="A535" t="s">
        <v>439</v>
      </c>
      <c r="B535" s="20" t="s">
        <v>144</v>
      </c>
      <c r="C535" s="20" t="s">
        <v>158</v>
      </c>
      <c r="D535" s="20" t="s">
        <v>146</v>
      </c>
      <c r="E535" s="21" t="s">
        <v>521</v>
      </c>
      <c r="F535" s="22" t="str">
        <f>IF(OR(E535="",E535="!!!"),"",IF(NOT(ISNA(VLOOKUP(E535,E$1:E534,1,FALSE()))),"OLD",IF(AND(E535&lt;&gt;"",E535&lt;&gt;"!!!"),"NEW","")))</f>
        <v>NEW</v>
      </c>
      <c r="G535" s="23" t="s">
        <v>483</v>
      </c>
      <c r="H535" s="24" t="str">
        <f t="shared" ca="1" si="51"/>
        <v/>
      </c>
      <c r="I535" s="25" t="str">
        <f>IF(OR(E535="",E535="!!!",F535="NEW"),"",INDEX(B$2:B534,-1+SUMPRODUCT(MAX(ROW(E$2:E534)*(E535=E$2:E534)))))</f>
        <v/>
      </c>
      <c r="J535" s="25" t="str">
        <f ca="1">IF(OR(E535="",E535="!!!",F535="NEW"),"",COUNTBLANK(OFFSET(A$1,,,SUMPRODUCT(MAX(ROW(E$2:E535)*(E535=E$2:E535)))))-COUNTBLANK(OFFSET(A$1,,,SUMPRODUCT(MAX(ROW(E$1:E534)*(E2=E$1:E534))))))</f>
        <v/>
      </c>
      <c r="K535" s="25" t="str">
        <f>IF(OR(E535="",E535="!!!",F535="NEW"),"",INDEX(J$1:J534,SUMPRODUCT(MAX(ROW(E$1:E534)*(E535=E$1:E534)))))</f>
        <v/>
      </c>
      <c r="L535" s="26"/>
    </row>
    <row r="536" spans="1:12" x14ac:dyDescent="0.3">
      <c r="A536" t="s">
        <v>252</v>
      </c>
      <c r="E536" s="21" t="str">
        <f t="shared" si="50"/>
        <v/>
      </c>
      <c r="F536" s="22" t="str">
        <f>IF(OR(E536="",E536="!!!"),"",IF(NOT(ISNA(VLOOKUP(E536,E$1:E535,1,FALSE()))),"OLD",IF(AND(E536&lt;&gt;"",E536&lt;&gt;"!!!"),"NEW","")))</f>
        <v/>
      </c>
      <c r="G536" s="23" t="str">
        <f>IF(OR(E536="",E536="!!!"),"",IF(OR(J536=0,AND(J536=1,K536=1),AND(J536=1,I536="SBJ"),AND(J536=1,I536=0)),"?IN_FOCUS",IF(J536&lt;=2,"?ACTIVATED",IF(J536&lt;&gt;"","?FAMILIAR",IF(F536="NEW",IF(ISNA(VLOOKUP(E536,#REF!,1,FALSE())),"?TYPE_IDENTIFIABLE","?REFERENTIAL"),"_")))))</f>
        <v/>
      </c>
      <c r="H536" s="24" t="str">
        <f t="shared" ca="1" si="51"/>
        <v/>
      </c>
      <c r="I536" s="25" t="str">
        <f>IF(OR(E536="",E536="!!!",F536="NEW"),"",INDEX(B$2:B535,-1+SUMPRODUCT(MAX(ROW(E$2:E535)*(E536=E$2:E535)))))</f>
        <v/>
      </c>
      <c r="J536" s="25" t="str">
        <f ca="1">IF(OR(E536="",E536="!!!",F536="NEW"),"",COUNTBLANK(OFFSET(A$1,,,SUMPRODUCT(MAX(ROW(E$2:E536)*(E536=E$2:E536)))))-COUNTBLANK(OFFSET(A$1,,,SUMPRODUCT(MAX(ROW(E$1:E535)*(E2=E$1:E535))))))</f>
        <v/>
      </c>
      <c r="K536" s="25" t="str">
        <f>IF(OR(E536="",E536="!!!",F536="NEW"),"",INDEX(J$1:J535,SUMPRODUCT(MAX(ROW(E$1:E535)*(E536=E$1:E535)))))</f>
        <v/>
      </c>
      <c r="L536" s="26"/>
    </row>
    <row r="537" spans="1:12" x14ac:dyDescent="0.3">
      <c r="A537" t="s">
        <v>440</v>
      </c>
      <c r="B537" s="20" t="s">
        <v>144</v>
      </c>
      <c r="C537" s="20" t="s">
        <v>145</v>
      </c>
      <c r="D537" s="20" t="s">
        <v>146</v>
      </c>
      <c r="E537" s="21"/>
      <c r="F537" s="22" t="s">
        <v>484</v>
      </c>
      <c r="G537" s="23" t="str">
        <f>IF(OR(E537="",E537="!!!"),"",IF(OR(J537=0,AND(J537=1,K537=1),AND(J537=1,I537="SBJ"),AND(J537=1,I537=0)),"?IN_FOCUS",IF(J537&lt;=2,"?ACTIVATED",IF(J537&lt;&gt;"","?FAMILIAR",IF(F537="NEW",IF(ISNA(VLOOKUP(E537,#REF!,1,FALSE())),"?TYPE_IDENTIFIABLE","?REFERENTIAL"),"_")))))</f>
        <v/>
      </c>
      <c r="H537" s="24" t="str">
        <f t="shared" ca="1" si="51"/>
        <v/>
      </c>
      <c r="I537" s="25" t="str">
        <f>IF(OR(E537="",E537="!!!",F537="NEW"),"",INDEX(B$2:B536,-1+SUMPRODUCT(MAX(ROW(E$2:E536)*(E537=E$2:E536)))))</f>
        <v/>
      </c>
      <c r="J537" s="25" t="str">
        <f ca="1">IF(OR(E537="",E537="!!!",F537="NEW"),"",COUNTBLANK(OFFSET(A$1,,,SUMPRODUCT(MAX(ROW(E$2:E537)*(E537=E$2:E537)))))-COUNTBLANK(OFFSET(A$1,,,SUMPRODUCT(MAX(ROW(E$1:E536)*(E2=E$1:E536))))))</f>
        <v/>
      </c>
      <c r="K537" s="25" t="str">
        <f>IF(OR(E537="",E537="!!!",F537="NEW"),"",INDEX(J$1:J536,SUMPRODUCT(MAX(ROW(E$1:E536)*(E537=E$1:E536)))))</f>
        <v/>
      </c>
      <c r="L537" s="26"/>
    </row>
    <row r="538" spans="1:12" x14ac:dyDescent="0.3">
      <c r="A538" t="s">
        <v>254</v>
      </c>
      <c r="E538" s="21" t="str">
        <f t="shared" si="50"/>
        <v/>
      </c>
      <c r="F538" s="22" t="str">
        <f>IF(OR(E538="",E538="!!!"),"",IF(NOT(ISNA(VLOOKUP(E538,E$1:E537,1,FALSE()))),"OLD",IF(AND(E538&lt;&gt;"",E538&lt;&gt;"!!!"),"NEW","")))</f>
        <v/>
      </c>
      <c r="G538" s="23" t="str">
        <f>IF(OR(E538="",E538="!!!"),"",IF(OR(J538=0,AND(J538=1,K538=1),AND(J538=1,I538="SBJ"),AND(J538=1,I538=0)),"?IN_FOCUS",IF(J538&lt;=2,"?ACTIVATED",IF(J538&lt;&gt;"","?FAMILIAR",IF(F538="NEW",IF(ISNA(VLOOKUP(E538,#REF!,1,FALSE())),"?TYPE_IDENTIFIABLE","?REFERENTIAL"),"_")))))</f>
        <v/>
      </c>
      <c r="H538" s="24" t="str">
        <f t="shared" ca="1" si="51"/>
        <v/>
      </c>
      <c r="I538" s="25" t="str">
        <f>IF(OR(E538="",E538="!!!",F538="NEW"),"",INDEX(B$2:B537,-1+SUMPRODUCT(MAX(ROW(E$2:E537)*(E538=E$2:E537)))))</f>
        <v/>
      </c>
      <c r="J538" s="25" t="str">
        <f ca="1">IF(OR(E538="",E538="!!!",F538="NEW"),"",COUNTBLANK(OFFSET(A$1,,,SUMPRODUCT(MAX(ROW(E$2:E538)*(E538=E$2:E538)))))-COUNTBLANK(OFFSET(A$1,,,SUMPRODUCT(MAX(ROW(E$1:E537)*(E2=E$1:E537))))))</f>
        <v/>
      </c>
      <c r="K538" s="25" t="str">
        <f>IF(OR(E538="",E538="!!!",F538="NEW"),"",INDEX(J$1:J537,SUMPRODUCT(MAX(ROW(E$1:E537)*(E538=E$1:E537)))))</f>
        <v/>
      </c>
      <c r="L538" s="26"/>
    </row>
    <row r="539" spans="1:12" x14ac:dyDescent="0.3">
      <c r="A539" t="s">
        <v>169</v>
      </c>
      <c r="E539" s="21" t="str">
        <f t="shared" si="50"/>
        <v/>
      </c>
      <c r="F539" s="22" t="str">
        <f>IF(OR(E539="",E539="!!!"),"",IF(NOT(ISNA(VLOOKUP(E539,E$1:E538,1,FALSE()))),"OLD",IF(AND(E539&lt;&gt;"",E539&lt;&gt;"!!!"),"NEW","")))</f>
        <v/>
      </c>
      <c r="G539" s="23" t="str">
        <f>IF(OR(E539="",E539="!!!"),"",IF(OR(J539=0,AND(J539=1,K539=1),AND(J539=1,I539="SBJ"),AND(J539=1,I539=0)),"?IN_FOCUS",IF(J539&lt;=2,"?ACTIVATED",IF(J539&lt;&gt;"","?FAMILIAR",IF(F539="NEW",IF(ISNA(VLOOKUP(E539,#REF!,1,FALSE())),"?TYPE_IDENTIFIABLE","?REFERENTIAL"),"_")))))</f>
        <v/>
      </c>
      <c r="H539" s="24" t="str">
        <f t="shared" ca="1" si="51"/>
        <v/>
      </c>
      <c r="I539" s="25" t="str">
        <f>IF(OR(E539="",E539="!!!",F539="NEW"),"",INDEX(B$2:B538,-1+SUMPRODUCT(MAX(ROW(E$2:E538)*(E539=E$2:E538)))))</f>
        <v/>
      </c>
      <c r="J539" s="25" t="str">
        <f ca="1">IF(OR(E539="",E539="!!!",F539="NEW"),"",COUNTBLANK(OFFSET(A$1,,,SUMPRODUCT(MAX(ROW(E$2:E539)*(E539=E$2:E539)))))-COUNTBLANK(OFFSET(A$1,,,SUMPRODUCT(MAX(ROW(E$1:E538)*(E2=E$1:E538))))))</f>
        <v/>
      </c>
      <c r="K539" s="25" t="str">
        <f>IF(OR(E539="",E539="!!!",F539="NEW"),"",INDEX(J$1:J538,SUMPRODUCT(MAX(ROW(E$1:E538)*(E539=E$1:E538)))))</f>
        <v/>
      </c>
      <c r="L539" s="26"/>
    </row>
    <row r="540" spans="1:12" x14ac:dyDescent="0.3">
      <c r="A540" t="s">
        <v>202</v>
      </c>
      <c r="E540" s="21" t="str">
        <f t="shared" si="50"/>
        <v/>
      </c>
      <c r="F540" s="22" t="str">
        <f>IF(OR(E540="",E540="!!!"),"",IF(NOT(ISNA(VLOOKUP(E540,E$1:E539,1,FALSE()))),"OLD",IF(AND(E540&lt;&gt;"",E540&lt;&gt;"!!!"),"NEW","")))</f>
        <v/>
      </c>
      <c r="G540" s="23" t="str">
        <f>IF(OR(E540="",E540="!!!"),"",IF(OR(J540=0,AND(J540=1,K540=1),AND(J540=1,I540="SBJ"),AND(J540=1,I540=0)),"?IN_FOCUS",IF(J540&lt;=2,"?ACTIVATED",IF(J540&lt;&gt;"","?FAMILIAR",IF(F540="NEW",IF(ISNA(VLOOKUP(E540,#REF!,1,FALSE())),"?TYPE_IDENTIFIABLE","?REFERENTIAL"),"_")))))</f>
        <v/>
      </c>
      <c r="H540" s="24" t="str">
        <f t="shared" ca="1" si="51"/>
        <v/>
      </c>
      <c r="I540" s="25" t="str">
        <f>IF(OR(E540="",E540="!!!",F540="NEW"),"",INDEX(B$2:B539,-1+SUMPRODUCT(MAX(ROW(E$2:E539)*(E540=E$2:E539)))))</f>
        <v/>
      </c>
      <c r="J540" s="25" t="str">
        <f ca="1">IF(OR(E540="",E540="!!!",F540="NEW"),"",COUNTBLANK(OFFSET(A$1,,,SUMPRODUCT(MAX(ROW(E$2:E540)*(E540=E$2:E540)))))-COUNTBLANK(OFFSET(A$1,,,SUMPRODUCT(MAX(ROW(E$1:E539)*(E2=E$1:E539))))))</f>
        <v/>
      </c>
      <c r="K540" s="25" t="str">
        <f>IF(OR(E540="",E540="!!!",F540="NEW"),"",INDEX(J$1:J539,SUMPRODUCT(MAX(ROW(E$1:E539)*(E540=E$1:E539)))))</f>
        <v/>
      </c>
      <c r="L540" s="26"/>
    </row>
    <row r="541" spans="1:12" x14ac:dyDescent="0.3">
      <c r="A541" t="s">
        <v>214</v>
      </c>
      <c r="B541" s="20" t="s">
        <v>222</v>
      </c>
      <c r="E541" s="21" t="str">
        <f t="shared" si="50"/>
        <v/>
      </c>
      <c r="F541" s="22" t="str">
        <f>IF(OR(E541="",E541="!!!"),"",IF(NOT(ISNA(VLOOKUP(E541,E$1:E540,1,FALSE()))),"OLD",IF(AND(E541&lt;&gt;"",E541&lt;&gt;"!!!"),"NEW","")))</f>
        <v/>
      </c>
      <c r="G541" s="23" t="str">
        <f>IF(OR(E541="",E541="!!!"),"",IF(OR(J541=0,AND(J541=1,K541=1),AND(J541=1,I541="SBJ"),AND(J541=1,I541=0)),"?IN_FOCUS",IF(J541&lt;=2,"?ACTIVATED",IF(J541&lt;&gt;"","?FAMILIAR",IF(F541="NEW",IF(ISNA(VLOOKUP(E541,#REF!,1,FALSE())),"?TYPE_IDENTIFIABLE","?REFERENTIAL"),"_")))))</f>
        <v/>
      </c>
      <c r="H541" s="24" t="str">
        <f t="shared" ca="1" si="51"/>
        <v/>
      </c>
      <c r="I541" s="25" t="str">
        <f>IF(OR(E541="",E541="!!!",F541="NEW"),"",INDEX(B$2:B540,-1+SUMPRODUCT(MAX(ROW(E$2:E540)*(E541=E$2:E540)))))</f>
        <v/>
      </c>
      <c r="J541" s="25" t="str">
        <f ca="1">IF(OR(E541="",E541="!!!",F541="NEW"),"",COUNTBLANK(OFFSET(A$1,,,SUMPRODUCT(MAX(ROW(E$2:E541)*(E541=E$2:E541)))))-COUNTBLANK(OFFSET(A$1,,,SUMPRODUCT(MAX(ROW(E$1:E540)*(E2=E$1:E540))))))</f>
        <v/>
      </c>
      <c r="K541" s="25" t="str">
        <f>IF(OR(E541="",E541="!!!",F541="NEW"),"",INDEX(J$1:J540,SUMPRODUCT(MAX(ROW(E$1:E540)*(E541=E$1:E540)))))</f>
        <v/>
      </c>
      <c r="L541" s="26"/>
    </row>
    <row r="542" spans="1:12" x14ac:dyDescent="0.3">
      <c r="A542" t="s">
        <v>330</v>
      </c>
      <c r="E542" s="21" t="str">
        <f t="shared" si="50"/>
        <v/>
      </c>
      <c r="F542" s="22" t="str">
        <f>IF(OR(E542="",E542="!!!"),"",IF(NOT(ISNA(VLOOKUP(E542,E$1:E541,1,FALSE()))),"OLD",IF(AND(E542&lt;&gt;"",E542&lt;&gt;"!!!"),"NEW","")))</f>
        <v/>
      </c>
      <c r="G542" s="23" t="str">
        <f>IF(OR(E542="",E542="!!!"),"",IF(OR(J542=0,AND(J542=1,K542=1),AND(J542=1,I542="SBJ"),AND(J542=1,I542=0)),"?IN_FOCUS",IF(J542&lt;=2,"?ACTIVATED",IF(J542&lt;&gt;"","?FAMILIAR",IF(F542="NEW",IF(ISNA(VLOOKUP(E542,#REF!,1,FALSE())),"?TYPE_IDENTIFIABLE","?REFERENTIAL"),"_")))))</f>
        <v/>
      </c>
      <c r="H542" s="24" t="str">
        <f t="shared" ca="1" si="51"/>
        <v/>
      </c>
      <c r="I542" s="25" t="str">
        <f>IF(OR(E542="",E542="!!!",F542="NEW"),"",INDEX(B$2:B541,-1+SUMPRODUCT(MAX(ROW(E$2:E541)*(E542=E$2:E541)))))</f>
        <v/>
      </c>
      <c r="J542" s="25" t="str">
        <f ca="1">IF(OR(E542="",E542="!!!",F542="NEW"),"",COUNTBLANK(OFFSET(A$1,,,SUMPRODUCT(MAX(ROW(E$2:E542)*(E542=E$2:E542)))))-COUNTBLANK(OFFSET(A$1,,,SUMPRODUCT(MAX(ROW(E$1:E541)*(E2=E$1:E541))))))</f>
        <v/>
      </c>
      <c r="K542" s="25" t="str">
        <f>IF(OR(E542="",E542="!!!",F542="NEW"),"",INDEX(J$1:J541,SUMPRODUCT(MAX(ROW(E$1:E541)*(E542=E$1:E541)))))</f>
        <v/>
      </c>
      <c r="L542" s="26"/>
    </row>
    <row r="543" spans="1:12" x14ac:dyDescent="0.3">
      <c r="A543" t="s">
        <v>333</v>
      </c>
      <c r="B543" s="20" t="s">
        <v>287</v>
      </c>
      <c r="C543" s="20" t="s">
        <v>145</v>
      </c>
      <c r="D543" s="20" t="s">
        <v>146</v>
      </c>
      <c r="E543" s="21" t="s">
        <v>508</v>
      </c>
      <c r="F543" s="22" t="str">
        <f>IF(OR(E543="",E543="!!!"),"",IF(NOT(ISNA(VLOOKUP(E543,E$1:E542,1,FALSE()))),"OLD",IF(AND(E543&lt;&gt;"",E543&lt;&gt;"!!!"),"NEW","")))</f>
        <v>OLD</v>
      </c>
      <c r="G543" s="23" t="s">
        <v>528</v>
      </c>
      <c r="H543" s="24" t="str">
        <f t="shared" ca="1" si="51"/>
        <v/>
      </c>
      <c r="I543" s="25" t="str">
        <f>IF(OR(E543="",E543="!!!",F543="NEW"),"",INDEX(B$2:B542,-1+SUMPRODUCT(MAX(ROW(E$2:E542)*(E543=E$2:E542)))))</f>
        <v>other_2</v>
      </c>
      <c r="J543" s="25">
        <f ca="1">IF(OR(E543="",E543="!!!",F543="NEW"),"",COUNTBLANK(OFFSET(A$1,,,SUMPRODUCT(MAX(ROW(E$2:E543)*(E543=E$2:E543)))))-COUNTBLANK(OFFSET(A$1,,,SUMPRODUCT(MAX(ROW(E$1:E542)*(E2=E$1:E542))))))</f>
        <v>0</v>
      </c>
      <c r="K543" s="25">
        <f ca="1">IF(OR(E543="",E543="!!!",F543="NEW"),"",INDEX(J$1:J542,SUMPRODUCT(MAX(ROW(E$1:E542)*(E543=E$1:E542)))))</f>
        <v>0</v>
      </c>
      <c r="L543" s="26"/>
    </row>
    <row r="544" spans="1:12" x14ac:dyDescent="0.3">
      <c r="A544" t="s">
        <v>441</v>
      </c>
      <c r="E544" s="21" t="str">
        <f t="shared" si="50"/>
        <v/>
      </c>
      <c r="F544" s="22" t="str">
        <f>IF(OR(E544="",E544="!!!"),"",IF(NOT(ISNA(VLOOKUP(E544,E$1:E543,1,FALSE()))),"OLD",IF(AND(E544&lt;&gt;"",E544&lt;&gt;"!!!"),"NEW","")))</f>
        <v/>
      </c>
      <c r="G544" s="23" t="str">
        <f>IF(OR(E544="",E544="!!!"),"",IF(OR(J544=0,AND(J544=1,K544=1),AND(J544=1,I544="SBJ"),AND(J544=1,I544=0)),"?IN_FOCUS",IF(J544&lt;=2,"?ACTIVATED",IF(J544&lt;&gt;"","?FAMILIAR",IF(F544="NEW",IF(ISNA(VLOOKUP(E544,#REF!,1,FALSE())),"?TYPE_IDENTIFIABLE","?REFERENTIAL"),"_")))))</f>
        <v/>
      </c>
      <c r="H544" s="24" t="str">
        <f t="shared" ca="1" si="51"/>
        <v/>
      </c>
      <c r="I544" s="25" t="str">
        <f>IF(OR(E544="",E544="!!!",F544="NEW"),"",INDEX(B$2:B543,-1+SUMPRODUCT(MAX(ROW(E$2:E543)*(E544=E$2:E543)))))</f>
        <v/>
      </c>
      <c r="J544" s="25" t="str">
        <f ca="1">IF(OR(E544="",E544="!!!",F544="NEW"),"",COUNTBLANK(OFFSET(A$1,,,SUMPRODUCT(MAX(ROW(E$2:E544)*(E544=E$2:E544)))))-COUNTBLANK(OFFSET(A$1,,,SUMPRODUCT(MAX(ROW(E$1:E543)*(E2=E$1:E543))))))</f>
        <v/>
      </c>
      <c r="K544" s="25" t="str">
        <f>IF(OR(E544="",E544="!!!",F544="NEW"),"",INDEX(J$1:J543,SUMPRODUCT(MAX(ROW(E$1:E543)*(E544=E$1:E543)))))</f>
        <v/>
      </c>
      <c r="L544" s="26"/>
    </row>
    <row r="545" spans="1:12" x14ac:dyDescent="0.3">
      <c r="A545" t="s">
        <v>202</v>
      </c>
      <c r="E545" s="21" t="str">
        <f t="shared" si="50"/>
        <v/>
      </c>
      <c r="F545" s="22" t="str">
        <f>IF(OR(E545="",E545="!!!"),"",IF(NOT(ISNA(VLOOKUP(E545,E$1:E544,1,FALSE()))),"OLD",IF(AND(E545&lt;&gt;"",E545&lt;&gt;"!!!"),"NEW","")))</f>
        <v/>
      </c>
      <c r="G545" s="23" t="str">
        <f>IF(OR(E545="",E545="!!!"),"",IF(OR(J545=0,AND(J545=1,K545=1),AND(J545=1,I545="SBJ"),AND(J545=1,I545=0)),"?IN_FOCUS",IF(J545&lt;=2,"?ACTIVATED",IF(J545&lt;&gt;"","?FAMILIAR",IF(F545="NEW",IF(ISNA(VLOOKUP(E545,#REF!,1,FALSE())),"?TYPE_IDENTIFIABLE","?REFERENTIAL"),"_")))))</f>
        <v/>
      </c>
      <c r="H545" s="24" t="str">
        <f t="shared" ca="1" si="51"/>
        <v/>
      </c>
      <c r="I545" s="25" t="str">
        <f>IF(OR(E545="",E545="!!!",F545="NEW"),"",INDEX(B$2:B544,-1+SUMPRODUCT(MAX(ROW(E$2:E544)*(E545=E$2:E544)))))</f>
        <v/>
      </c>
      <c r="J545" s="25" t="str">
        <f ca="1">IF(OR(E545="",E545="!!!",F545="NEW"),"",COUNTBLANK(OFFSET(A$1,,,SUMPRODUCT(MAX(ROW(E$2:E545)*(E545=E$2:E545)))))-COUNTBLANK(OFFSET(A$1,,,SUMPRODUCT(MAX(ROW(E$1:E544)*(E2=E$1:E544))))))</f>
        <v/>
      </c>
      <c r="K545" s="25" t="str">
        <f>IF(OR(E545="",E545="!!!",F545="NEW"),"",INDEX(J$1:J544,SUMPRODUCT(MAX(ROW(E$1:E544)*(E545=E$1:E544)))))</f>
        <v/>
      </c>
      <c r="L545" s="26"/>
    </row>
    <row r="546" spans="1:12" x14ac:dyDescent="0.3">
      <c r="A546" t="s">
        <v>182</v>
      </c>
      <c r="E546" s="21" t="str">
        <f t="shared" si="50"/>
        <v/>
      </c>
      <c r="F546" s="22" t="str">
        <f>IF(OR(E546="",E546="!!!"),"",IF(NOT(ISNA(VLOOKUP(E546,E$1:E545,1,FALSE()))),"OLD",IF(AND(E546&lt;&gt;"",E546&lt;&gt;"!!!"),"NEW","")))</f>
        <v/>
      </c>
      <c r="G546" s="23" t="str">
        <f>IF(OR(E546="",E546="!!!"),"",IF(OR(J546=0,AND(J546=1,K546=1),AND(J546=1,I546="SBJ"),AND(J546=1,I546=0)),"?IN_FOCUS",IF(J546&lt;=2,"?ACTIVATED",IF(J546&lt;&gt;"","?FAMILIAR",IF(F546="NEW",IF(ISNA(VLOOKUP(E546,#REF!,1,FALSE())),"?TYPE_IDENTIFIABLE","?REFERENTIAL"),"_")))))</f>
        <v/>
      </c>
      <c r="H546" s="24" t="str">
        <f t="shared" ca="1" si="51"/>
        <v/>
      </c>
      <c r="I546" s="25" t="str">
        <f>IF(OR(E546="",E546="!!!",F546="NEW"),"",INDEX(B$2:B545,-1+SUMPRODUCT(MAX(ROW(E$2:E545)*(E546=E$2:E545)))))</f>
        <v/>
      </c>
      <c r="J546" s="25" t="str">
        <f ca="1">IF(OR(E546="",E546="!!!",F546="NEW"),"",COUNTBLANK(OFFSET(A$1,,,SUMPRODUCT(MAX(ROW(E$2:E546)*(E546=E$2:E546)))))-COUNTBLANK(OFFSET(A$1,,,SUMPRODUCT(MAX(ROW(E$1:E545)*(E2=E$1:E545))))))</f>
        <v/>
      </c>
      <c r="K546" s="25" t="str">
        <f>IF(OR(E546="",E546="!!!",F546="NEW"),"",INDEX(J$1:J545,SUMPRODUCT(MAX(ROW(E$1:E545)*(E546=E$1:E545)))))</f>
        <v/>
      </c>
      <c r="L546" s="26"/>
    </row>
    <row r="547" spans="1:12" x14ac:dyDescent="0.3">
      <c r="A547" t="s">
        <v>152</v>
      </c>
      <c r="B547" s="20" t="s">
        <v>157</v>
      </c>
      <c r="C547" s="20" t="s">
        <v>145</v>
      </c>
      <c r="D547" s="20" t="s">
        <v>146</v>
      </c>
      <c r="E547" s="21" t="s">
        <v>481</v>
      </c>
      <c r="F547" s="22" t="str">
        <f>IF(OR(E547="",E547="!!!"),"",IF(NOT(ISNA(VLOOKUP(E547,E$1:E546,1,FALSE()))),"OLD",IF(AND(E547&lt;&gt;"",E547&lt;&gt;"!!!"),"NEW","")))</f>
        <v>OLD</v>
      </c>
      <c r="G547" s="23" t="s">
        <v>527</v>
      </c>
      <c r="H547" s="24" t="s">
        <v>138</v>
      </c>
      <c r="I547" s="25" t="str">
        <f>IF(OR(E547="",E547="!!!",F547="NEW"),"",INDEX(B$2:B546,-1+SUMPRODUCT(MAX(ROW(E$2:E546)*(E547=E$2:E546)))))</f>
        <v>SBJ</v>
      </c>
      <c r="J547" s="25">
        <f ca="1">IF(OR(E547="",E547="!!!",F547="NEW"),"",COUNTBLANK(OFFSET(A$1,,,SUMPRODUCT(MAX(ROW(E$2:E547)*(E547=E$2:E547)))))-COUNTBLANK(OFFSET(A$1,,,SUMPRODUCT(MAX(ROW(E$1:E546)*(E2=E$1:E546))))))</f>
        <v>0</v>
      </c>
      <c r="K547" s="25">
        <f ca="1">IF(OR(E547="",E547="!!!",F547="NEW"),"",INDEX(J$1:J546,SUMPRODUCT(MAX(ROW(E$1:E546)*(E547=E$1:E546)))))</f>
        <v>0</v>
      </c>
      <c r="L547" s="26"/>
    </row>
    <row r="548" spans="1:12" x14ac:dyDescent="0.3">
      <c r="A548" t="s">
        <v>183</v>
      </c>
      <c r="E548" s="21" t="str">
        <f t="shared" si="50"/>
        <v/>
      </c>
      <c r="F548" s="22" t="str">
        <f>IF(OR(E548="",E548="!!!"),"",IF(NOT(ISNA(VLOOKUP(E548,E$1:E547,1,FALSE()))),"OLD",IF(AND(E548&lt;&gt;"",E548&lt;&gt;"!!!"),"NEW","")))</f>
        <v/>
      </c>
      <c r="G548" s="23" t="str">
        <f>IF(OR(E548="",E548="!!!"),"",IF(OR(J548=0,AND(J548=1,K548=1),AND(J548=1,I548="SBJ"),AND(J548=1,I548=0)),"?IN_FOCUS",IF(J548&lt;=2,"?ACTIVATED",IF(J548&lt;&gt;"","?FAMILIAR",IF(F548="NEW",IF(ISNA(VLOOKUP(E548,#REF!,1,FALSE())),"?TYPE_IDENTIFIABLE","?REFERENTIAL"),"_")))))</f>
        <v/>
      </c>
      <c r="H548" s="24" t="str">
        <f t="shared" ca="1" si="51"/>
        <v/>
      </c>
      <c r="I548" s="25" t="str">
        <f>IF(OR(E548="",E548="!!!",F548="NEW"),"",INDEX(B$2:B547,-1+SUMPRODUCT(MAX(ROW(E$2:E547)*(E548=E$2:E547)))))</f>
        <v/>
      </c>
      <c r="J548" s="25" t="str">
        <f ca="1">IF(OR(E548="",E548="!!!",F548="NEW"),"",COUNTBLANK(OFFSET(A$1,,,SUMPRODUCT(MAX(ROW(E$2:E548)*(E548=E$2:E548)))))-COUNTBLANK(OFFSET(A$1,,,SUMPRODUCT(MAX(ROW(E$1:E547)*(E2=E$1:E547))))))</f>
        <v/>
      </c>
      <c r="K548" s="25" t="str">
        <f>IF(OR(E548="",E548="!!!",F548="NEW"),"",INDEX(J$1:J547,SUMPRODUCT(MAX(ROW(E$1:E547)*(E548=E$1:E547)))))</f>
        <v/>
      </c>
      <c r="L548" s="26"/>
    </row>
    <row r="549" spans="1:12" x14ac:dyDescent="0.3">
      <c r="A549" t="s">
        <v>227</v>
      </c>
      <c r="E549" s="21" t="s">
        <v>480</v>
      </c>
      <c r="F549" s="22" t="str">
        <f>IF(OR(E549="",E549="!!!"),"",IF(NOT(ISNA(VLOOKUP(E549,E$1:E548,1,FALSE()))),"OLD",IF(AND(E549&lt;&gt;"",E549&lt;&gt;"!!!"),"NEW","")))</f>
        <v>OLD</v>
      </c>
      <c r="G549" s="23" t="s">
        <v>527</v>
      </c>
      <c r="H549" s="24" t="str">
        <f t="shared" ca="1" si="51"/>
        <v/>
      </c>
      <c r="I549" s="25" t="str">
        <f>IF(OR(E549="",E549="!!!",F549="NEW"),"",INDEX(B$2:B548,-1+SUMPRODUCT(MAX(ROW(E$2:E548)*(E549=E$2:E548)))))</f>
        <v>other_2</v>
      </c>
      <c r="J549" s="25">
        <f ca="1">IF(OR(E549="",E549="!!!",F549="NEW"),"",COUNTBLANK(OFFSET(A$1,,,SUMPRODUCT(MAX(ROW(E$2:E549)*(E549=E$2:E549)))))-COUNTBLANK(OFFSET(A$1,,,SUMPRODUCT(MAX(ROW(E$1:E548)*(E2=E$1:E548))))))</f>
        <v>0</v>
      </c>
      <c r="K549" s="25">
        <f ca="1">IF(OR(E549="",E549="!!!",F549="NEW"),"",INDEX(J$1:J548,SUMPRODUCT(MAX(ROW(E$1:E548)*(E549=E$1:E548)))))</f>
        <v>0</v>
      </c>
      <c r="L549" s="26"/>
    </row>
    <row r="550" spans="1:12" x14ac:dyDescent="0.3">
      <c r="A550" t="s">
        <v>226</v>
      </c>
      <c r="B550" s="20" t="s">
        <v>149</v>
      </c>
      <c r="C550" s="20" t="s">
        <v>164</v>
      </c>
      <c r="E550" s="21" t="s">
        <v>522</v>
      </c>
      <c r="F550" s="22" t="str">
        <f>IF(OR(E550="",E550="!!!"),"",IF(NOT(ISNA(VLOOKUP(E550,E$1:E549,1,FALSE()))),"OLD",IF(AND(E550&lt;&gt;"",E550&lt;&gt;"!!!"),"NEW","")))</f>
        <v>NEW</v>
      </c>
      <c r="G550" s="23" t="s">
        <v>483</v>
      </c>
      <c r="H550" s="24" t="str">
        <f t="shared" ca="1" si="51"/>
        <v/>
      </c>
      <c r="I550" s="25" t="str">
        <f>IF(OR(E550="",E550="!!!",F550="NEW"),"",INDEX(B$2:B549,-1+SUMPRODUCT(MAX(ROW(E$2:E549)*(E550=E$2:E549)))))</f>
        <v/>
      </c>
      <c r="J550" s="25" t="str">
        <f ca="1">IF(OR(E550="",E550="!!!",F550="NEW"),"",COUNTBLANK(OFFSET(A$1,,,SUMPRODUCT(MAX(ROW(E$2:E550)*(E550=E$2:E550)))))-COUNTBLANK(OFFSET(A$1,,,SUMPRODUCT(MAX(ROW(E$1:E549)*(E2=E$1:E549))))))</f>
        <v/>
      </c>
      <c r="K550" s="25" t="str">
        <f>IF(OR(E550="",E550="!!!",F550="NEW"),"",INDEX(J$1:J549,SUMPRODUCT(MAX(ROW(E$1:E549)*(E550=E$1:E549)))))</f>
        <v/>
      </c>
      <c r="L550" s="26"/>
    </row>
    <row r="551" spans="1:12" x14ac:dyDescent="0.3">
      <c r="A551" t="s">
        <v>191</v>
      </c>
      <c r="E551" s="21" t="str">
        <f t="shared" si="50"/>
        <v/>
      </c>
      <c r="F551" s="22" t="str">
        <f>IF(OR(E551="",E551="!!!"),"",IF(NOT(ISNA(VLOOKUP(E551,E$1:E550,1,FALSE()))),"OLD",IF(AND(E551&lt;&gt;"",E551&lt;&gt;"!!!"),"NEW","")))</f>
        <v/>
      </c>
      <c r="G551" s="23" t="str">
        <f>IF(OR(E551="",E551="!!!"),"",IF(OR(J551=0,AND(J551=1,K551=1),AND(J551=1,I551="SBJ"),AND(J551=1,I551=0)),"?IN_FOCUS",IF(J551&lt;=2,"?ACTIVATED",IF(J551&lt;&gt;"","?FAMILIAR",IF(F551="NEW",IF(ISNA(VLOOKUP(E551,#REF!,1,FALSE())),"?TYPE_IDENTIFIABLE","?REFERENTIAL"),"_")))))</f>
        <v/>
      </c>
      <c r="H551" s="24" t="str">
        <f t="shared" ca="1" si="51"/>
        <v/>
      </c>
      <c r="I551" s="25" t="str">
        <f>IF(OR(E551="",E551="!!!",F551="NEW"),"",INDEX(B$2:B550,-1+SUMPRODUCT(MAX(ROW(E$2:E550)*(E551=E$2:E550)))))</f>
        <v/>
      </c>
      <c r="J551" s="25" t="str">
        <f ca="1">IF(OR(E551="",E551="!!!",F551="NEW"),"",COUNTBLANK(OFFSET(A$1,,,SUMPRODUCT(MAX(ROW(E$2:E551)*(E551=E$2:E551)))))-COUNTBLANK(OFFSET(A$1,,,SUMPRODUCT(MAX(ROW(E$1:E550)*(E2=E$1:E550))))))</f>
        <v/>
      </c>
      <c r="K551" s="25" t="str">
        <f>IF(OR(E551="",E551="!!!",F551="NEW"),"",INDEX(J$1:J550,SUMPRODUCT(MAX(ROW(E$1:E550)*(E551=E$1:E550)))))</f>
        <v/>
      </c>
      <c r="L551" s="26"/>
    </row>
    <row r="552" spans="1:12" x14ac:dyDescent="0.3">
      <c r="A552" t="s">
        <v>167</v>
      </c>
      <c r="E552" s="21" t="str">
        <f t="shared" si="50"/>
        <v/>
      </c>
      <c r="F552" s="22" t="str">
        <f>IF(OR(E552="",E552="!!!"),"",IF(NOT(ISNA(VLOOKUP(E552,E$1:E551,1,FALSE()))),"OLD",IF(AND(E552&lt;&gt;"",E552&lt;&gt;"!!!"),"NEW","")))</f>
        <v/>
      </c>
      <c r="G552" s="23" t="str">
        <f>IF(OR(E552="",E552="!!!"),"",IF(OR(J552=0,AND(J552=1,K552=1),AND(J552=1,I552="SBJ"),AND(J552=1,I552=0)),"?IN_FOCUS",IF(J552&lt;=2,"?ACTIVATED",IF(J552&lt;&gt;"","?FAMILIAR",IF(F552="NEW",IF(ISNA(VLOOKUP(E552,#REF!,1,FALSE())),"?TYPE_IDENTIFIABLE","?REFERENTIAL"),"_")))))</f>
        <v/>
      </c>
      <c r="H552" s="24" t="str">
        <f t="shared" ca="1" si="51"/>
        <v/>
      </c>
      <c r="I552" s="25" t="str">
        <f>IF(OR(E552="",E552="!!!",F552="NEW"),"",INDEX(B$2:B551,-1+SUMPRODUCT(MAX(ROW(E$2:E551)*(E552=E$2:E551)))))</f>
        <v/>
      </c>
      <c r="J552" s="25" t="str">
        <f ca="1">IF(OR(E552="",E552="!!!",F552="NEW"),"",COUNTBLANK(OFFSET(A$1,,,SUMPRODUCT(MAX(ROW(E$2:E552)*(E552=E$2:E552)))))-COUNTBLANK(OFFSET(A$1,,,SUMPRODUCT(MAX(ROW(E$1:E551)*(E2=E$1:E551))))))</f>
        <v/>
      </c>
      <c r="K552" s="25" t="str">
        <f>IF(OR(E552="",E552="!!!",F552="NEW"),"",INDEX(J$1:J551,SUMPRODUCT(MAX(ROW(E$1:E551)*(E552=E$1:E551)))))</f>
        <v/>
      </c>
      <c r="L552" s="26"/>
    </row>
    <row r="554" spans="1:12" x14ac:dyDescent="0.3">
      <c r="A554" t="s">
        <v>442</v>
      </c>
    </row>
    <row r="555" spans="1:12" x14ac:dyDescent="0.3">
      <c r="A555" t="s">
        <v>335</v>
      </c>
      <c r="E555" s="21" t="str">
        <f t="shared" ref="E555:E576" si="52">IF(D555="?OLD","!!!","")</f>
        <v/>
      </c>
      <c r="F555" s="22" t="str">
        <f>IF(OR(E555="",E555="!!!"),"",IF(NOT(ISNA(VLOOKUP(E555,E$1:E554,1,FALSE()))),"OLD",IF(AND(E555&lt;&gt;"",E555&lt;&gt;"!!!"),"NEW","")))</f>
        <v/>
      </c>
      <c r="G555" s="23" t="str">
        <f>IF(OR(E555="",E555="!!!"),"",IF(OR(J555=0,AND(J555=1,K555=1),AND(J555=1,I555="SBJ"),AND(J555=1,I555=0)),"?IN_FOCUS",IF(J555&lt;=2,"?ACTIVATED",IF(J555&lt;&gt;"","?FAMILIAR",IF(F555="NEW",IF(ISNA(VLOOKUP(E555,#REF!,1,FALSE())),"?TYPE_IDENTIFIABLE","?REFERENTIAL"),"_")))))</f>
        <v/>
      </c>
      <c r="H555" s="24" t="str">
        <f t="shared" ref="H555:H576" ca="1" si="53">IF(J555&lt;&gt;1,"",IF(I555="SBJ","CB","?"))</f>
        <v/>
      </c>
      <c r="I555" s="25" t="str">
        <f>IF(OR(E555="",E555="!!!",F555="NEW"),"",INDEX(B$2:B554,-1+SUMPRODUCT(MAX(ROW(E$2:E554)*(E555=E$2:E554)))))</f>
        <v/>
      </c>
      <c r="J555" s="25" t="str">
        <f ca="1">IF(OR(E555="",E555="!!!",F555="NEW"),"",COUNTBLANK(OFFSET(A$1,,,SUMPRODUCT(MAX(ROW(E$2:E555)*(E555=E$2:E555)))))-COUNTBLANK(OFFSET(A$1,,,SUMPRODUCT(MAX(ROW(E$1:E554)*(E2=E$1:E554))))))</f>
        <v/>
      </c>
      <c r="K555" s="25" t="str">
        <f>IF(OR(E555="",E555="!!!",F555="NEW"),"",INDEX(J$1:J554,SUMPRODUCT(MAX(ROW(E$1:E554)*(E555=E$1:E554)))))</f>
        <v/>
      </c>
      <c r="L555" s="26"/>
    </row>
    <row r="556" spans="1:12" x14ac:dyDescent="0.3">
      <c r="A556" t="s">
        <v>147</v>
      </c>
      <c r="B556" s="20" t="s">
        <v>149</v>
      </c>
      <c r="C556" s="20" t="s">
        <v>150</v>
      </c>
      <c r="E556" s="21" t="s">
        <v>480</v>
      </c>
      <c r="F556" s="22" t="str">
        <f>IF(OR(E556="",E556="!!!"),"",IF(NOT(ISNA(VLOOKUP(E556,E$1:E555,1,FALSE()))),"OLD",IF(AND(E556&lt;&gt;"",E556&lt;&gt;"!!!"),"NEW","")))</f>
        <v>OLD</v>
      </c>
      <c r="G556" s="23" t="s">
        <v>527</v>
      </c>
      <c r="H556" s="24" t="str">
        <f t="shared" ca="1" si="53"/>
        <v/>
      </c>
      <c r="I556" s="25">
        <f>IF(OR(E556="",E556="!!!",F556="NEW"),"",INDEX(B$2:B555,-1+SUMPRODUCT(MAX(ROW(E$2:E555)*(E556=E$2:E555)))))</f>
        <v>0</v>
      </c>
      <c r="J556" s="25">
        <f ca="1">IF(OR(E556="",E556="!!!",F556="NEW"),"",COUNTBLANK(OFFSET(A$1,,,SUMPRODUCT(MAX(ROW(E$2:E556)*(E556=E$2:E556)))))-COUNTBLANK(OFFSET(A$1,,,SUMPRODUCT(MAX(ROW(E$1:E555)*(E2=E$1:E555))))))</f>
        <v>0</v>
      </c>
      <c r="K556" s="25">
        <f ca="1">IF(OR(E556="",E556="!!!",F556="NEW"),"",INDEX(J$1:J555,SUMPRODUCT(MAX(ROW(E$1:E555)*(E556=E$1:E555)))))</f>
        <v>0</v>
      </c>
      <c r="L556" s="26"/>
    </row>
    <row r="557" spans="1:12" x14ac:dyDescent="0.3">
      <c r="A557" t="s">
        <v>245</v>
      </c>
      <c r="E557" s="21" t="str">
        <f t="shared" si="52"/>
        <v/>
      </c>
      <c r="F557" s="22" t="str">
        <f>IF(OR(E557="",E557="!!!"),"",IF(NOT(ISNA(VLOOKUP(E557,E$1:E556,1,FALSE()))),"OLD",IF(AND(E557&lt;&gt;"",E557&lt;&gt;"!!!"),"NEW","")))</f>
        <v/>
      </c>
      <c r="G557" s="23" t="str">
        <f>IF(OR(E557="",E557="!!!"),"",IF(OR(J557=0,AND(J557=1,K557=1),AND(J557=1,I557="SBJ"),AND(J557=1,I557=0)),"?IN_FOCUS",IF(J557&lt;=2,"?ACTIVATED",IF(J557&lt;&gt;"","?FAMILIAR",IF(F557="NEW",IF(ISNA(VLOOKUP(E557,#REF!,1,FALSE())),"?TYPE_IDENTIFIABLE","?REFERENTIAL"),"_")))))</f>
        <v/>
      </c>
      <c r="H557" s="24" t="str">
        <f t="shared" ca="1" si="53"/>
        <v/>
      </c>
      <c r="I557" s="25" t="str">
        <f>IF(OR(E557="",E557="!!!",F557="NEW"),"",INDEX(B$2:B556,-1+SUMPRODUCT(MAX(ROW(E$2:E556)*(E557=E$2:E556)))))</f>
        <v/>
      </c>
      <c r="J557" s="25" t="str">
        <f ca="1">IF(OR(E557="",E557="!!!",F557="NEW"),"",COUNTBLANK(OFFSET(A$1,,,SUMPRODUCT(MAX(ROW(E$2:E557)*(E557=E$2:E557)))))-COUNTBLANK(OFFSET(A$1,,,SUMPRODUCT(MAX(ROW(E$1:E556)*(E2=E$1:E556))))))</f>
        <v/>
      </c>
      <c r="K557" s="25" t="str">
        <f>IF(OR(E557="",E557="!!!",F557="NEW"),"",INDEX(J$1:J556,SUMPRODUCT(MAX(ROW(E$1:E556)*(E557=E$1:E556)))))</f>
        <v/>
      </c>
      <c r="L557" s="26"/>
    </row>
    <row r="558" spans="1:12" x14ac:dyDescent="0.3">
      <c r="A558" t="s">
        <v>208</v>
      </c>
      <c r="E558" s="21" t="str">
        <f t="shared" si="52"/>
        <v/>
      </c>
      <c r="F558" s="22" t="str">
        <f>IF(OR(E558="",E558="!!!"),"",IF(NOT(ISNA(VLOOKUP(E558,E$1:E557,1,FALSE()))),"OLD",IF(AND(E558&lt;&gt;"",E558&lt;&gt;"!!!"),"NEW","")))</f>
        <v/>
      </c>
      <c r="G558" s="23" t="str">
        <f>IF(OR(E558="",E558="!!!"),"",IF(OR(J558=0,AND(J558=1,K558=1),AND(J558=1,I558="SBJ"),AND(J558=1,I558=0)),"?IN_FOCUS",IF(J558&lt;=2,"?ACTIVATED",IF(J558&lt;&gt;"","?FAMILIAR",IF(F558="NEW",IF(ISNA(VLOOKUP(E558,#REF!,1,FALSE())),"?TYPE_IDENTIFIABLE","?REFERENTIAL"),"_")))))</f>
        <v/>
      </c>
      <c r="H558" s="24" t="str">
        <f t="shared" ca="1" si="53"/>
        <v/>
      </c>
      <c r="I558" s="25" t="str">
        <f>IF(OR(E558="",E558="!!!",F558="NEW"),"",INDEX(B$2:B557,-1+SUMPRODUCT(MAX(ROW(E$2:E557)*(E558=E$2:E557)))))</f>
        <v/>
      </c>
      <c r="J558" s="25" t="str">
        <f ca="1">IF(OR(E558="",E558="!!!",F558="NEW"),"",COUNTBLANK(OFFSET(A$1,,,SUMPRODUCT(MAX(ROW(E$2:E558)*(E558=E$2:E558)))))-COUNTBLANK(OFFSET(A$1,,,SUMPRODUCT(MAX(ROW(E$1:E557)*(E2=E$1:E557))))))</f>
        <v/>
      </c>
      <c r="K558" s="25" t="str">
        <f>IF(OR(E558="",E558="!!!",F558="NEW"),"",INDEX(J$1:J557,SUMPRODUCT(MAX(ROW(E$1:E557)*(E558=E$1:E557)))))</f>
        <v/>
      </c>
      <c r="L558" s="26"/>
    </row>
    <row r="559" spans="1:12" x14ac:dyDescent="0.3">
      <c r="A559" t="s">
        <v>443</v>
      </c>
      <c r="B559" s="20" t="s">
        <v>144</v>
      </c>
      <c r="C559" s="20" t="s">
        <v>158</v>
      </c>
      <c r="D559" s="20" t="s">
        <v>146</v>
      </c>
      <c r="E559" s="21"/>
      <c r="F559" s="22" t="s">
        <v>513</v>
      </c>
      <c r="G559" s="23" t="str">
        <f>IF(OR(E559="",E559="!!!"),"",IF(OR(J559=0,AND(J559=1,K559=1),AND(J559=1,I559="SBJ"),AND(J559=1,I559=0)),"?IN_FOCUS",IF(J559&lt;=2,"?ACTIVATED",IF(J559&lt;&gt;"","?FAMILIAR",IF(F559="NEW",IF(ISNA(VLOOKUP(E559,#REF!,1,FALSE())),"?TYPE_IDENTIFIABLE","?REFERENTIAL"),"_")))))</f>
        <v/>
      </c>
      <c r="H559" s="24" t="str">
        <f t="shared" ca="1" si="53"/>
        <v/>
      </c>
      <c r="I559" s="25" t="str">
        <f>IF(OR(E559="",E559="!!!",F559="NEW"),"",INDEX(B$2:B558,-1+SUMPRODUCT(MAX(ROW(E$2:E558)*(E559=E$2:E558)))))</f>
        <v/>
      </c>
      <c r="J559" s="25" t="str">
        <f ca="1">IF(OR(E559="",E559="!!!",F559="NEW"),"",COUNTBLANK(OFFSET(A$1,,,SUMPRODUCT(MAX(ROW(E$2:E559)*(E559=E$2:E559)))))-COUNTBLANK(OFFSET(A$1,,,SUMPRODUCT(MAX(ROW(E$1:E558)*(E2=E$1:E558))))))</f>
        <v/>
      </c>
      <c r="K559" s="25" t="str">
        <f>IF(OR(E559="",E559="!!!",F559="NEW"),"",INDEX(J$1:J558,SUMPRODUCT(MAX(ROW(E$1:E558)*(E559=E$1:E558)))))</f>
        <v/>
      </c>
      <c r="L559" s="26"/>
    </row>
    <row r="560" spans="1:12" x14ac:dyDescent="0.3">
      <c r="A560" t="s">
        <v>444</v>
      </c>
      <c r="E560" s="21" t="str">
        <f t="shared" si="52"/>
        <v/>
      </c>
      <c r="F560" s="22" t="str">
        <f>IF(OR(E560="",E560="!!!"),"",IF(NOT(ISNA(VLOOKUP(E560,E$1:E559,1,FALSE()))),"OLD",IF(AND(E560&lt;&gt;"",E560&lt;&gt;"!!!"),"NEW","")))</f>
        <v/>
      </c>
      <c r="G560" s="23" t="str">
        <f>IF(OR(E560="",E560="!!!"),"",IF(OR(J560=0,AND(J560=1,K560=1),AND(J560=1,I560="SBJ"),AND(J560=1,I560=0)),"?IN_FOCUS",IF(J560&lt;=2,"?ACTIVATED",IF(J560&lt;&gt;"","?FAMILIAR",IF(F560="NEW",IF(ISNA(VLOOKUP(E560,#REF!,1,FALSE())),"?TYPE_IDENTIFIABLE","?REFERENTIAL"),"_")))))</f>
        <v/>
      </c>
      <c r="H560" s="24" t="str">
        <f t="shared" ca="1" si="53"/>
        <v/>
      </c>
      <c r="I560" s="25" t="str">
        <f>IF(OR(E560="",E560="!!!",F560="NEW"),"",INDEX(B$2:B559,-1+SUMPRODUCT(MAX(ROW(E$2:E559)*(E560=E$2:E559)))))</f>
        <v/>
      </c>
      <c r="J560" s="25" t="str">
        <f ca="1">IF(OR(E560="",E560="!!!",F560="NEW"),"",COUNTBLANK(OFFSET(A$1,,,SUMPRODUCT(MAX(ROW(E$2:E560)*(E560=E$2:E560)))))-COUNTBLANK(OFFSET(A$1,,,SUMPRODUCT(MAX(ROW(E$1:E559)*(E2=E$1:E559))))))</f>
        <v/>
      </c>
      <c r="K560" s="25" t="str">
        <f>IF(OR(E560="",E560="!!!",F560="NEW"),"",INDEX(J$1:J559,SUMPRODUCT(MAX(ROW(E$1:E559)*(E560=E$1:E559)))))</f>
        <v/>
      </c>
      <c r="L560" s="26"/>
    </row>
    <row r="561" spans="1:12" x14ac:dyDescent="0.3">
      <c r="A561" t="s">
        <v>445</v>
      </c>
      <c r="E561" s="21" t="str">
        <f t="shared" si="52"/>
        <v/>
      </c>
      <c r="F561" s="22" t="str">
        <f>IF(OR(E561="",E561="!!!"),"",IF(NOT(ISNA(VLOOKUP(E561,E$1:E560,1,FALSE()))),"OLD",IF(AND(E561&lt;&gt;"",E561&lt;&gt;"!!!"),"NEW","")))</f>
        <v/>
      </c>
      <c r="G561" s="23" t="str">
        <f>IF(OR(E561="",E561="!!!"),"",IF(OR(J561=0,AND(J561=1,K561=1),AND(J561=1,I561="SBJ"),AND(J561=1,I561=0)),"?IN_FOCUS",IF(J561&lt;=2,"?ACTIVATED",IF(J561&lt;&gt;"","?FAMILIAR",IF(F561="NEW",IF(ISNA(VLOOKUP(E561,#REF!,1,FALSE())),"?TYPE_IDENTIFIABLE","?REFERENTIAL"),"_")))))</f>
        <v/>
      </c>
      <c r="H561" s="24" t="str">
        <f t="shared" ca="1" si="53"/>
        <v/>
      </c>
      <c r="I561" s="25" t="str">
        <f>IF(OR(E561="",E561="!!!",F561="NEW"),"",INDEX(B$2:B560,-1+SUMPRODUCT(MAX(ROW(E$2:E560)*(E561=E$2:E560)))))</f>
        <v/>
      </c>
      <c r="J561" s="25" t="str">
        <f ca="1">IF(OR(E561="",E561="!!!",F561="NEW"),"",COUNTBLANK(OFFSET(A$1,,,SUMPRODUCT(MAX(ROW(E$2:E561)*(E561=E$2:E561)))))-COUNTBLANK(OFFSET(A$1,,,SUMPRODUCT(MAX(ROW(E$1:E560)*(E2=E$1:E560))))))</f>
        <v/>
      </c>
      <c r="K561" s="25" t="str">
        <f>IF(OR(E561="",E561="!!!",F561="NEW"),"",INDEX(J$1:J560,SUMPRODUCT(MAX(ROW(E$1:E560)*(E561=E$1:E560)))))</f>
        <v/>
      </c>
      <c r="L561" s="26"/>
    </row>
    <row r="562" spans="1:12" x14ac:dyDescent="0.3">
      <c r="A562" t="s">
        <v>242</v>
      </c>
      <c r="B562" s="20" t="s">
        <v>157</v>
      </c>
      <c r="C562" s="20" t="s">
        <v>201</v>
      </c>
      <c r="D562" s="20" t="s">
        <v>146</v>
      </c>
      <c r="E562" s="21" t="s">
        <v>480</v>
      </c>
      <c r="F562" s="22" t="str">
        <f>IF(OR(E562="",E562="!!!"),"",IF(NOT(ISNA(VLOOKUP(E562,E$1:E561,1,FALSE()))),"OLD",IF(AND(E562&lt;&gt;"",E562&lt;&gt;"!!!"),"NEW","")))</f>
        <v>OLD</v>
      </c>
      <c r="G562" s="23" t="s">
        <v>527</v>
      </c>
      <c r="H562" s="24" t="str">
        <f t="shared" ca="1" si="53"/>
        <v/>
      </c>
      <c r="I562" s="25" t="str">
        <f>IF(OR(E562="",E562="!!!",F562="NEW"),"",INDEX(B$2:B561,-1+SUMPRODUCT(MAX(ROW(E$2:E561)*(E562=E$2:E561)))))</f>
        <v>other</v>
      </c>
      <c r="J562" s="25">
        <f ca="1">IF(OR(E562="",E562="!!!",F562="NEW"),"",COUNTBLANK(OFFSET(A$1,,,SUMPRODUCT(MAX(ROW(E$2:E562)*(E562=E$2:E562)))))-COUNTBLANK(OFFSET(A$1,,,SUMPRODUCT(MAX(ROW(E$1:E561)*(E2=E$1:E561))))))</f>
        <v>0</v>
      </c>
      <c r="K562" s="25">
        <f ca="1">IF(OR(E562="",E562="!!!",F562="NEW"),"",INDEX(J$1:J561,SUMPRODUCT(MAX(ROW(E$1:E561)*(E562=E$1:E561)))))</f>
        <v>0</v>
      </c>
      <c r="L562" s="26"/>
    </row>
    <row r="563" spans="1:12" x14ac:dyDescent="0.3">
      <c r="A563" t="s">
        <v>152</v>
      </c>
      <c r="B563" s="20" t="s">
        <v>157</v>
      </c>
      <c r="C563" s="20" t="s">
        <v>145</v>
      </c>
      <c r="D563" s="20" t="s">
        <v>146</v>
      </c>
      <c r="E563" s="21" t="s">
        <v>481</v>
      </c>
      <c r="F563" s="22" t="str">
        <f>IF(OR(E563="",E563="!!!"),"",IF(NOT(ISNA(VLOOKUP(E563,E$1:E562,1,FALSE()))),"OLD",IF(AND(E563&lt;&gt;"",E563&lt;&gt;"!!!"),"NEW","")))</f>
        <v>OLD</v>
      </c>
      <c r="G563" s="23" t="s">
        <v>527</v>
      </c>
      <c r="H563" s="24" t="s">
        <v>138</v>
      </c>
      <c r="I563" s="25" t="str">
        <f>IF(OR(E563="",E563="!!!",F563="NEW"),"",INDEX(B$2:B562,-1+SUMPRODUCT(MAX(ROW(E$2:E562)*(E563=E$2:E562)))))</f>
        <v>SBJ</v>
      </c>
      <c r="J563" s="25">
        <f ca="1">IF(OR(E563="",E563="!!!",F563="NEW"),"",COUNTBLANK(OFFSET(A$1,,,SUMPRODUCT(MAX(ROW(E$2:E563)*(E563=E$2:E563)))))-COUNTBLANK(OFFSET(A$1,,,SUMPRODUCT(MAX(ROW(E$1:E562)*(E2=E$1:E562))))))</f>
        <v>0</v>
      </c>
      <c r="K563" s="25">
        <f ca="1">IF(OR(E563="",E563="!!!",F563="NEW"),"",INDEX(J$1:J562,SUMPRODUCT(MAX(ROW(E$1:E562)*(E563=E$1:E562)))))</f>
        <v>0</v>
      </c>
      <c r="L563" s="26"/>
    </row>
    <row r="564" spans="1:12" x14ac:dyDescent="0.3">
      <c r="A564" t="s">
        <v>212</v>
      </c>
      <c r="E564" s="21" t="str">
        <f t="shared" si="52"/>
        <v/>
      </c>
      <c r="F564" s="22" t="str">
        <f>IF(OR(E564="",E564="!!!"),"",IF(NOT(ISNA(VLOOKUP(E564,E$1:E563,1,FALSE()))),"OLD",IF(AND(E564&lt;&gt;"",E564&lt;&gt;"!!!"),"NEW","")))</f>
        <v/>
      </c>
      <c r="G564" s="23" t="str">
        <f>IF(OR(E564="",E564="!!!"),"",IF(OR(J564=0,AND(J564=1,K564=1),AND(J564=1,I564="SBJ"),AND(J564=1,I564=0)),"?IN_FOCUS",IF(J564&lt;=2,"?ACTIVATED",IF(J564&lt;&gt;"","?FAMILIAR",IF(F564="NEW",IF(ISNA(VLOOKUP(E564,#REF!,1,FALSE())),"?TYPE_IDENTIFIABLE","?REFERENTIAL"),"_")))))</f>
        <v/>
      </c>
      <c r="H564" s="24" t="str">
        <f t="shared" ca="1" si="53"/>
        <v/>
      </c>
      <c r="I564" s="25" t="str">
        <f>IF(OR(E564="",E564="!!!",F564="NEW"),"",INDEX(B$2:B563,-1+SUMPRODUCT(MAX(ROW(E$2:E563)*(E564=E$2:E563)))))</f>
        <v/>
      </c>
      <c r="J564" s="25" t="str">
        <f ca="1">IF(OR(E564="",E564="!!!",F564="NEW"),"",COUNTBLANK(OFFSET(A$1,,,SUMPRODUCT(MAX(ROW(E$2:E564)*(E564=E$2:E564)))))-COUNTBLANK(OFFSET(A$1,,,SUMPRODUCT(MAX(ROW(E$1:E563)*(E2=E$1:E563))))))</f>
        <v/>
      </c>
      <c r="K564" s="25" t="str">
        <f>IF(OR(E564="",E564="!!!",F564="NEW"),"",INDEX(J$1:J563,SUMPRODUCT(MAX(ROW(E$1:E563)*(E564=E$1:E563)))))</f>
        <v/>
      </c>
      <c r="L564" s="26"/>
    </row>
    <row r="565" spans="1:12" x14ac:dyDescent="0.3">
      <c r="A565" t="s">
        <v>446</v>
      </c>
      <c r="B565" s="20" t="s">
        <v>144</v>
      </c>
      <c r="C565" s="20" t="s">
        <v>223</v>
      </c>
      <c r="D565" s="20" t="s">
        <v>146</v>
      </c>
      <c r="E565" s="21"/>
      <c r="F565" s="22" t="s">
        <v>484</v>
      </c>
      <c r="G565" s="23" t="str">
        <f>IF(OR(E565="",E565="!!!"),"",IF(OR(J565=0,AND(J565=1,K565=1),AND(J565=1,I565="SBJ"),AND(J565=1,I565=0)),"?IN_FOCUS",IF(J565&lt;=2,"?ACTIVATED",IF(J565&lt;&gt;"","?FAMILIAR",IF(F565="NEW",IF(ISNA(VLOOKUP(E565,#REF!,1,FALSE())),"?TYPE_IDENTIFIABLE","?REFERENTIAL"),"_")))))</f>
        <v/>
      </c>
      <c r="H565" s="24" t="str">
        <f t="shared" ca="1" si="53"/>
        <v/>
      </c>
      <c r="I565" s="25" t="str">
        <f>IF(OR(E565="",E565="!!!",F565="NEW"),"",INDEX(B$2:B564,-1+SUMPRODUCT(MAX(ROW(E$2:E564)*(E565=E$2:E564)))))</f>
        <v/>
      </c>
      <c r="J565" s="25" t="str">
        <f ca="1">IF(OR(E565="",E565="!!!",F565="NEW"),"",COUNTBLANK(OFFSET(A$1,,,SUMPRODUCT(MAX(ROW(E$2:E565)*(E565=E$2:E565)))))-COUNTBLANK(OFFSET(A$1,,,SUMPRODUCT(MAX(ROW(E$1:E564)*(E2=E$1:E564))))))</f>
        <v/>
      </c>
      <c r="K565" s="25" t="str">
        <f>IF(OR(E565="",E565="!!!",F565="NEW"),"",INDEX(J$1:J564,SUMPRODUCT(MAX(ROW(E$1:E564)*(E565=E$1:E564)))))</f>
        <v/>
      </c>
      <c r="L565" s="26"/>
    </row>
    <row r="566" spans="1:12" x14ac:dyDescent="0.3">
      <c r="A566" t="s">
        <v>177</v>
      </c>
      <c r="E566" s="21" t="str">
        <f t="shared" si="52"/>
        <v/>
      </c>
      <c r="F566" s="22" t="str">
        <f>IF(OR(E566="",E566="!!!"),"",IF(NOT(ISNA(VLOOKUP(E566,E$1:E565,1,FALSE()))),"OLD",IF(AND(E566&lt;&gt;"",E566&lt;&gt;"!!!"),"NEW","")))</f>
        <v/>
      </c>
      <c r="G566" s="23" t="str">
        <f>IF(OR(E566="",E566="!!!"),"",IF(OR(J566=0,AND(J566=1,K566=1),AND(J566=1,I566="SBJ"),AND(J566=1,I566=0)),"?IN_FOCUS",IF(J566&lt;=2,"?ACTIVATED",IF(J566&lt;&gt;"","?FAMILIAR",IF(F566="NEW",IF(ISNA(VLOOKUP(E566,#REF!,1,FALSE())),"?TYPE_IDENTIFIABLE","?REFERENTIAL"),"_")))))</f>
        <v/>
      </c>
      <c r="H566" s="24" t="str">
        <f t="shared" ca="1" si="53"/>
        <v/>
      </c>
      <c r="I566" s="25" t="str">
        <f>IF(OR(E566="",E566="!!!",F566="NEW"),"",INDEX(B$2:B565,-1+SUMPRODUCT(MAX(ROW(E$2:E565)*(E566=E$2:E565)))))</f>
        <v/>
      </c>
      <c r="J566" s="25" t="str">
        <f ca="1">IF(OR(E566="",E566="!!!",F566="NEW"),"",COUNTBLANK(OFFSET(A$1,,,SUMPRODUCT(MAX(ROW(E$2:E566)*(E566=E$2:E566)))))-COUNTBLANK(OFFSET(A$1,,,SUMPRODUCT(MAX(ROW(E$1:E565)*(E2=E$1:E565))))))</f>
        <v/>
      </c>
      <c r="K566" s="25" t="str">
        <f>IF(OR(E566="",E566="!!!",F566="NEW"),"",INDEX(J$1:J565,SUMPRODUCT(MAX(ROW(E$1:E565)*(E566=E$1:E565)))))</f>
        <v/>
      </c>
      <c r="L566" s="26"/>
    </row>
    <row r="567" spans="1:12" x14ac:dyDescent="0.3">
      <c r="A567" t="s">
        <v>447</v>
      </c>
      <c r="E567" s="21" t="str">
        <f t="shared" si="52"/>
        <v/>
      </c>
      <c r="F567" s="22" t="str">
        <f>IF(OR(E567="",E567="!!!"),"",IF(NOT(ISNA(VLOOKUP(E567,E$1:E566,1,FALSE()))),"OLD",IF(AND(E567&lt;&gt;"",E567&lt;&gt;"!!!"),"NEW","")))</f>
        <v/>
      </c>
      <c r="G567" s="23" t="str">
        <f>IF(OR(E567="",E567="!!!"),"",IF(OR(J567=0,AND(J567=1,K567=1),AND(J567=1,I567="SBJ"),AND(J567=1,I567=0)),"?IN_FOCUS",IF(J567&lt;=2,"?ACTIVATED",IF(J567&lt;&gt;"","?FAMILIAR",IF(F567="NEW",IF(ISNA(VLOOKUP(E567,#REF!,1,FALSE())),"?TYPE_IDENTIFIABLE","?REFERENTIAL"),"_")))))</f>
        <v/>
      </c>
      <c r="H567" s="24" t="str">
        <f t="shared" ca="1" si="53"/>
        <v/>
      </c>
      <c r="I567" s="25" t="str">
        <f>IF(OR(E567="",E567="!!!",F567="NEW"),"",INDEX(B$2:B566,-1+SUMPRODUCT(MAX(ROW(E$2:E566)*(E567=E$2:E566)))))</f>
        <v/>
      </c>
      <c r="J567" s="25" t="str">
        <f ca="1">IF(OR(E567="",E567="!!!",F567="NEW"),"",COUNTBLANK(OFFSET(A$1,,,SUMPRODUCT(MAX(ROW(E$2:E567)*(E567=E$2:E567)))))-COUNTBLANK(OFFSET(A$1,,,SUMPRODUCT(MAX(ROW(E$1:E566)*(E2=E$1:E566))))))</f>
        <v/>
      </c>
      <c r="K567" s="25" t="str">
        <f>IF(OR(E567="",E567="!!!",F567="NEW"),"",INDEX(J$1:J566,SUMPRODUCT(MAX(ROW(E$1:E566)*(E567=E$1:E566)))))</f>
        <v/>
      </c>
      <c r="L567" s="26"/>
    </row>
    <row r="568" spans="1:12" x14ac:dyDescent="0.3">
      <c r="A568" t="s">
        <v>448</v>
      </c>
      <c r="B568" s="20" t="s">
        <v>144</v>
      </c>
      <c r="C568" s="20" t="s">
        <v>172</v>
      </c>
      <c r="E568" s="21" t="str">
        <f t="shared" si="52"/>
        <v/>
      </c>
      <c r="F568" s="22" t="str">
        <f>IF(OR(E568="",E568="!!!"),"",IF(NOT(ISNA(VLOOKUP(E568,E$1:E567,1,FALSE()))),"OLD",IF(AND(E568&lt;&gt;"",E568&lt;&gt;"!!!"),"NEW","")))</f>
        <v/>
      </c>
      <c r="G568" s="23" t="str">
        <f>IF(OR(E568="",E568="!!!"),"",IF(OR(J568=0,AND(J568=1,K568=1),AND(J568=1,I568="SBJ"),AND(J568=1,I568=0)),"?IN_FOCUS",IF(J568&lt;=2,"?ACTIVATED",IF(J568&lt;&gt;"","?FAMILIAR",IF(F568="NEW",IF(ISNA(VLOOKUP(E568,#REF!,1,FALSE())),"?TYPE_IDENTIFIABLE","?REFERENTIAL"),"_")))))</f>
        <v/>
      </c>
      <c r="H568" s="24" t="str">
        <f t="shared" ca="1" si="53"/>
        <v/>
      </c>
      <c r="I568" s="25" t="str">
        <f>IF(OR(E568="",E568="!!!",F568="NEW"),"",INDEX(B$2:B567,-1+SUMPRODUCT(MAX(ROW(E$2:E567)*(E568=E$2:E567)))))</f>
        <v/>
      </c>
      <c r="J568" s="25" t="str">
        <f ca="1">IF(OR(E568="",E568="!!!",F568="NEW"),"",COUNTBLANK(OFFSET(A$1,,,SUMPRODUCT(MAX(ROW(E$2:E568)*(E568=E$2:E568)))))-COUNTBLANK(OFFSET(A$1,,,SUMPRODUCT(MAX(ROW(E$1:E567)*(E2=E$1:E567))))))</f>
        <v/>
      </c>
      <c r="K568" s="25" t="str">
        <f>IF(OR(E568="",E568="!!!",F568="NEW"),"",INDEX(J$1:J567,SUMPRODUCT(MAX(ROW(E$1:E567)*(E568=E$1:E567)))))</f>
        <v/>
      </c>
      <c r="L568" s="26"/>
    </row>
    <row r="569" spans="1:12" x14ac:dyDescent="0.3">
      <c r="A569" t="s">
        <v>202</v>
      </c>
      <c r="E569" s="21" t="str">
        <f t="shared" si="52"/>
        <v/>
      </c>
      <c r="F569" s="22" t="str">
        <f>IF(OR(E569="",E569="!!!"),"",IF(NOT(ISNA(VLOOKUP(E569,E$1:E568,1,FALSE()))),"OLD",IF(AND(E569&lt;&gt;"",E569&lt;&gt;"!!!"),"NEW","")))</f>
        <v/>
      </c>
      <c r="G569" s="23" t="str">
        <f>IF(OR(E569="",E569="!!!"),"",IF(OR(J569=0,AND(J569=1,K569=1),AND(J569=1,I569="SBJ"),AND(J569=1,I569=0)),"?IN_FOCUS",IF(J569&lt;=2,"?ACTIVATED",IF(J569&lt;&gt;"","?FAMILIAR",IF(F569="NEW",IF(ISNA(VLOOKUP(E569,#REF!,1,FALSE())),"?TYPE_IDENTIFIABLE","?REFERENTIAL"),"_")))))</f>
        <v/>
      </c>
      <c r="H569" s="24" t="str">
        <f t="shared" ca="1" si="53"/>
        <v/>
      </c>
      <c r="I569" s="25" t="str">
        <f>IF(OR(E569="",E569="!!!",F569="NEW"),"",INDEX(B$2:B568,-1+SUMPRODUCT(MAX(ROW(E$2:E568)*(E569=E$2:E568)))))</f>
        <v/>
      </c>
      <c r="J569" s="25" t="str">
        <f ca="1">IF(OR(E569="",E569="!!!",F569="NEW"),"",COUNTBLANK(OFFSET(A$1,,,SUMPRODUCT(MAX(ROW(E$2:E569)*(E569=E$2:E569)))))-COUNTBLANK(OFFSET(A$1,,,SUMPRODUCT(MAX(ROW(E$1:E568)*(E2=E$1:E568))))))</f>
        <v/>
      </c>
      <c r="K569" s="25" t="str">
        <f>IF(OR(E569="",E569="!!!",F569="NEW"),"",INDEX(J$1:J568,SUMPRODUCT(MAX(ROW(E$1:E568)*(E569=E$1:E568)))))</f>
        <v/>
      </c>
      <c r="L569" s="26"/>
    </row>
    <row r="570" spans="1:12" x14ac:dyDescent="0.3">
      <c r="A570" t="s">
        <v>449</v>
      </c>
      <c r="B570" s="20" t="s">
        <v>301</v>
      </c>
      <c r="E570" s="21" t="str">
        <f t="shared" si="52"/>
        <v/>
      </c>
      <c r="F570" s="22" t="str">
        <f>IF(OR(E570="",E570="!!!"),"",IF(NOT(ISNA(VLOOKUP(E570,E$1:E569,1,FALSE()))),"OLD",IF(AND(E570&lt;&gt;"",E570&lt;&gt;"!!!"),"NEW","")))</f>
        <v/>
      </c>
      <c r="G570" s="23" t="str">
        <f>IF(OR(E570="",E570="!!!"),"",IF(OR(J570=0,AND(J570=1,K570=1),AND(J570=1,I570="SBJ"),AND(J570=1,I570=0)),"?IN_FOCUS",IF(J570&lt;=2,"?ACTIVATED",IF(J570&lt;&gt;"","?FAMILIAR",IF(F570="NEW",IF(ISNA(VLOOKUP(E570,#REF!,1,FALSE())),"?TYPE_IDENTIFIABLE","?REFERENTIAL"),"_")))))</f>
        <v/>
      </c>
      <c r="H570" s="24" t="str">
        <f t="shared" ca="1" si="53"/>
        <v/>
      </c>
      <c r="I570" s="25" t="str">
        <f>IF(OR(E570="",E570="!!!",F570="NEW"),"",INDEX(B$2:B569,-1+SUMPRODUCT(MAX(ROW(E$2:E569)*(E570=E$2:E569)))))</f>
        <v/>
      </c>
      <c r="J570" s="25" t="str">
        <f ca="1">IF(OR(E570="",E570="!!!",F570="NEW"),"",COUNTBLANK(OFFSET(A$1,,,SUMPRODUCT(MAX(ROW(E$2:E570)*(E570=E$2:E570)))))-COUNTBLANK(OFFSET(A$1,,,SUMPRODUCT(MAX(ROW(E$1:E569)*(E2=E$1:E569))))))</f>
        <v/>
      </c>
      <c r="K570" s="25" t="str">
        <f>IF(OR(E570="",E570="!!!",F570="NEW"),"",INDEX(J$1:J569,SUMPRODUCT(MAX(ROW(E$1:E569)*(E570=E$1:E569)))))</f>
        <v/>
      </c>
      <c r="L570" s="26"/>
    </row>
    <row r="571" spans="1:12" x14ac:dyDescent="0.3">
      <c r="A571" t="s">
        <v>242</v>
      </c>
      <c r="B571" s="20" t="s">
        <v>222</v>
      </c>
      <c r="C571" s="20" t="s">
        <v>201</v>
      </c>
      <c r="D571" s="20" t="s">
        <v>146</v>
      </c>
      <c r="E571" s="21" t="s">
        <v>480</v>
      </c>
      <c r="F571" s="22" t="str">
        <f>IF(OR(E571="",E571="!!!"),"",IF(NOT(ISNA(VLOOKUP(E571,E$1:E570,1,FALSE()))),"OLD",IF(AND(E571&lt;&gt;"",E571&lt;&gt;"!!!"),"NEW","")))</f>
        <v>OLD</v>
      </c>
      <c r="G571" s="23" t="s">
        <v>527</v>
      </c>
      <c r="H571" s="24" t="str">
        <f t="shared" ca="1" si="53"/>
        <v/>
      </c>
      <c r="I571" s="25" t="str">
        <f>IF(OR(E571="",E571="!!!",F571="NEW"),"",INDEX(B$2:B570,-1+SUMPRODUCT(MAX(ROW(E$2:E570)*(E571=E$2:E570)))))</f>
        <v>SBJ</v>
      </c>
      <c r="J571" s="25">
        <f ca="1">IF(OR(E571="",E571="!!!",F571="NEW"),"",COUNTBLANK(OFFSET(A$1,,,SUMPRODUCT(MAX(ROW(E$2:E571)*(E571=E$2:E571)))))-COUNTBLANK(OFFSET(A$1,,,SUMPRODUCT(MAX(ROW(E$1:E570)*(E2=E$1:E570))))))</f>
        <v>0</v>
      </c>
      <c r="K571" s="25">
        <f ca="1">IF(OR(E571="",E571="!!!",F571="NEW"),"",INDEX(J$1:J570,SUMPRODUCT(MAX(ROW(E$1:E570)*(E571=E$1:E570)))))</f>
        <v>0</v>
      </c>
      <c r="L571" s="26"/>
    </row>
    <row r="572" spans="1:12" x14ac:dyDescent="0.3">
      <c r="A572" t="s">
        <v>245</v>
      </c>
      <c r="E572" s="21" t="str">
        <f t="shared" si="52"/>
        <v/>
      </c>
      <c r="F572" s="22" t="str">
        <f>IF(OR(E572="",E572="!!!"),"",IF(NOT(ISNA(VLOOKUP(E572,E$1:E571,1,FALSE()))),"OLD",IF(AND(E572&lt;&gt;"",E572&lt;&gt;"!!!"),"NEW","")))</f>
        <v/>
      </c>
      <c r="G572" s="23" t="str">
        <f>IF(OR(E572="",E572="!!!"),"",IF(OR(J572=0,AND(J572=1,K572=1),AND(J572=1,I572="SBJ"),AND(J572=1,I572=0)),"?IN_FOCUS",IF(J572&lt;=2,"?ACTIVATED",IF(J572&lt;&gt;"","?FAMILIAR",IF(F572="NEW",IF(ISNA(VLOOKUP(E572,#REF!,1,FALSE())),"?TYPE_IDENTIFIABLE","?REFERENTIAL"),"_")))))</f>
        <v/>
      </c>
      <c r="H572" s="24" t="str">
        <f t="shared" ca="1" si="53"/>
        <v/>
      </c>
      <c r="I572" s="25" t="str">
        <f>IF(OR(E572="",E572="!!!",F572="NEW"),"",INDEX(B$2:B571,-1+SUMPRODUCT(MAX(ROW(E$2:E571)*(E572=E$2:E571)))))</f>
        <v/>
      </c>
      <c r="J572" s="25" t="str">
        <f ca="1">IF(OR(E572="",E572="!!!",F572="NEW"),"",COUNTBLANK(OFFSET(A$1,,,SUMPRODUCT(MAX(ROW(E$2:E572)*(E572=E$2:E572)))))-COUNTBLANK(OFFSET(A$1,,,SUMPRODUCT(MAX(ROW(E$1:E571)*(E2=E$1:E571))))))</f>
        <v/>
      </c>
      <c r="K572" s="25" t="str">
        <f>IF(OR(E572="",E572="!!!",F572="NEW"),"",INDEX(J$1:J571,SUMPRODUCT(MAX(ROW(E$1:E571)*(E572=E$1:E571)))))</f>
        <v/>
      </c>
      <c r="L572" s="26"/>
    </row>
    <row r="573" spans="1:12" x14ac:dyDescent="0.3">
      <c r="A573" t="s">
        <v>185</v>
      </c>
      <c r="E573" s="21" t="str">
        <f t="shared" si="52"/>
        <v/>
      </c>
      <c r="F573" s="22" t="str">
        <f>IF(OR(E573="",E573="!!!"),"",IF(NOT(ISNA(VLOOKUP(E573,E$1:E572,1,FALSE()))),"OLD",IF(AND(E573&lt;&gt;"",E573&lt;&gt;"!!!"),"NEW","")))</f>
        <v/>
      </c>
      <c r="G573" s="23" t="str">
        <f>IF(OR(E573="",E573="!!!"),"",IF(OR(J573=0,AND(J573=1,K573=1),AND(J573=1,I573="SBJ"),AND(J573=1,I573=0)),"?IN_FOCUS",IF(J573&lt;=2,"?ACTIVATED",IF(J573&lt;&gt;"","?FAMILIAR",IF(F573="NEW",IF(ISNA(VLOOKUP(E573,#REF!,1,FALSE())),"?TYPE_IDENTIFIABLE","?REFERENTIAL"),"_")))))</f>
        <v/>
      </c>
      <c r="H573" s="24" t="str">
        <f t="shared" ca="1" si="53"/>
        <v/>
      </c>
      <c r="I573" s="25" t="str">
        <f>IF(OR(E573="",E573="!!!",F573="NEW"),"",INDEX(B$2:B572,-1+SUMPRODUCT(MAX(ROW(E$2:E572)*(E573=E$2:E572)))))</f>
        <v/>
      </c>
      <c r="J573" s="25" t="str">
        <f ca="1">IF(OR(E573="",E573="!!!",F573="NEW"),"",COUNTBLANK(OFFSET(A$1,,,SUMPRODUCT(MAX(ROW(E$2:E573)*(E573=E$2:E573)))))-COUNTBLANK(OFFSET(A$1,,,SUMPRODUCT(MAX(ROW(E$1:E572)*(E2=E$1:E572))))))</f>
        <v/>
      </c>
      <c r="K573" s="25" t="str">
        <f>IF(OR(E573="",E573="!!!",F573="NEW"),"",INDEX(J$1:J572,SUMPRODUCT(MAX(ROW(E$1:E572)*(E573=E$1:E572)))))</f>
        <v/>
      </c>
      <c r="L573" s="26"/>
    </row>
    <row r="574" spans="1:12" x14ac:dyDescent="0.3">
      <c r="A574" t="s">
        <v>450</v>
      </c>
      <c r="E574" s="21" t="str">
        <f t="shared" si="52"/>
        <v/>
      </c>
      <c r="F574" s="22" t="str">
        <f>IF(OR(E574="",E574="!!!"),"",IF(NOT(ISNA(VLOOKUP(E574,E$1:E573,1,FALSE()))),"OLD",IF(AND(E574&lt;&gt;"",E574&lt;&gt;"!!!"),"NEW","")))</f>
        <v/>
      </c>
      <c r="G574" s="23" t="str">
        <f>IF(OR(E574="",E574="!!!"),"",IF(OR(J574=0,AND(J574=1,K574=1),AND(J574=1,I574="SBJ"),AND(J574=1,I574=0)),"?IN_FOCUS",IF(J574&lt;=2,"?ACTIVATED",IF(J574&lt;&gt;"","?FAMILIAR",IF(F574="NEW",IF(ISNA(VLOOKUP(E574,#REF!,1,FALSE())),"?TYPE_IDENTIFIABLE","?REFERENTIAL"),"_")))))</f>
        <v/>
      </c>
      <c r="H574" s="24" t="str">
        <f t="shared" ca="1" si="53"/>
        <v/>
      </c>
      <c r="I574" s="25" t="str">
        <f>IF(OR(E574="",E574="!!!",F574="NEW"),"",INDEX(B$2:B573,-1+SUMPRODUCT(MAX(ROW(E$2:E573)*(E574=E$2:E573)))))</f>
        <v/>
      </c>
      <c r="J574" s="25" t="str">
        <f ca="1">IF(OR(E574="",E574="!!!",F574="NEW"),"",COUNTBLANK(OFFSET(A$1,,,SUMPRODUCT(MAX(ROW(E$2:E574)*(E574=E$2:E574)))))-COUNTBLANK(OFFSET(A$1,,,SUMPRODUCT(MAX(ROW(E$1:E573)*(E2=E$1:E573))))))</f>
        <v/>
      </c>
      <c r="K574" s="25" t="str">
        <f>IF(OR(E574="",E574="!!!",F574="NEW"),"",INDEX(J$1:J573,SUMPRODUCT(MAX(ROW(E$1:E573)*(E574=E$1:E573)))))</f>
        <v/>
      </c>
      <c r="L574" s="26"/>
    </row>
    <row r="575" spans="1:12" x14ac:dyDescent="0.3">
      <c r="A575" t="s">
        <v>451</v>
      </c>
      <c r="E575" s="21" t="str">
        <f t="shared" si="52"/>
        <v/>
      </c>
      <c r="F575" s="22" t="str">
        <f>IF(OR(E575="",E575="!!!"),"",IF(NOT(ISNA(VLOOKUP(E575,E$1:E574,1,FALSE()))),"OLD",IF(AND(E575&lt;&gt;"",E575&lt;&gt;"!!!"),"NEW","")))</f>
        <v/>
      </c>
      <c r="G575" s="23" t="str">
        <f>IF(OR(E575="",E575="!!!"),"",IF(OR(J575=0,AND(J575=1,K575=1),AND(J575=1,I575="SBJ"),AND(J575=1,I575=0)),"?IN_FOCUS",IF(J575&lt;=2,"?ACTIVATED",IF(J575&lt;&gt;"","?FAMILIAR",IF(F575="NEW",IF(ISNA(VLOOKUP(E575,#REF!,1,FALSE())),"?TYPE_IDENTIFIABLE","?REFERENTIAL"),"_")))))</f>
        <v/>
      </c>
      <c r="H575" s="24" t="str">
        <f t="shared" ca="1" si="53"/>
        <v/>
      </c>
      <c r="I575" s="25" t="str">
        <f>IF(OR(E575="",E575="!!!",F575="NEW"),"",INDEX(B$2:B574,-1+SUMPRODUCT(MAX(ROW(E$2:E574)*(E575=E$2:E574)))))</f>
        <v/>
      </c>
      <c r="J575" s="25" t="str">
        <f ca="1">IF(OR(E575="",E575="!!!",F575="NEW"),"",COUNTBLANK(OFFSET(A$1,,,SUMPRODUCT(MAX(ROW(E$2:E575)*(E575=E$2:E575)))))-COUNTBLANK(OFFSET(A$1,,,SUMPRODUCT(MAX(ROW(E$1:E574)*(E2=E$1:E574))))))</f>
        <v/>
      </c>
      <c r="K575" s="25" t="str">
        <f>IF(OR(E575="",E575="!!!",F575="NEW"),"",INDEX(J$1:J574,SUMPRODUCT(MAX(ROW(E$1:E574)*(E575=E$1:E574)))))</f>
        <v/>
      </c>
      <c r="L575" s="26"/>
    </row>
    <row r="576" spans="1:12" x14ac:dyDescent="0.3">
      <c r="A576" t="s">
        <v>167</v>
      </c>
      <c r="E576" s="21" t="str">
        <f t="shared" si="52"/>
        <v/>
      </c>
      <c r="F576" s="22" t="str">
        <f>IF(OR(E576="",E576="!!!"),"",IF(NOT(ISNA(VLOOKUP(E576,E$1:E575,1,FALSE()))),"OLD",IF(AND(E576&lt;&gt;"",E576&lt;&gt;"!!!"),"NEW","")))</f>
        <v/>
      </c>
      <c r="G576" s="23" t="str">
        <f>IF(OR(E576="",E576="!!!"),"",IF(OR(J576=0,AND(J576=1,K576=1),AND(J576=1,I576="SBJ"),AND(J576=1,I576=0)),"?IN_FOCUS",IF(J576&lt;=2,"?ACTIVATED",IF(J576&lt;&gt;"","?FAMILIAR",IF(F576="NEW",IF(ISNA(VLOOKUP(E576,#REF!,1,FALSE())),"?TYPE_IDENTIFIABLE","?REFERENTIAL"),"_")))))</f>
        <v/>
      </c>
      <c r="H576" s="24" t="str">
        <f t="shared" ca="1" si="53"/>
        <v/>
      </c>
      <c r="I576" s="25" t="str">
        <f>IF(OR(E576="",E576="!!!",F576="NEW"),"",INDEX(B$2:B575,-1+SUMPRODUCT(MAX(ROW(E$2:E575)*(E576=E$2:E575)))))</f>
        <v/>
      </c>
      <c r="J576" s="25" t="str">
        <f ca="1">IF(OR(E576="",E576="!!!",F576="NEW"),"",COUNTBLANK(OFFSET(A$1,,,SUMPRODUCT(MAX(ROW(E$2:E576)*(E576=E$2:E576)))))-COUNTBLANK(OFFSET(A$1,,,SUMPRODUCT(MAX(ROW(E$1:E575)*(E2=E$1:E575))))))</f>
        <v/>
      </c>
      <c r="K576" s="25" t="str">
        <f>IF(OR(E576="",E576="!!!",F576="NEW"),"",INDEX(J$1:J575,SUMPRODUCT(MAX(ROW(E$1:E575)*(E576=E$1:E575)))))</f>
        <v/>
      </c>
      <c r="L576" s="26"/>
    </row>
    <row r="578" spans="1:12" x14ac:dyDescent="0.3">
      <c r="A578" t="s">
        <v>452</v>
      </c>
    </row>
    <row r="579" spans="1:12" x14ac:dyDescent="0.3">
      <c r="A579" t="s">
        <v>453</v>
      </c>
      <c r="E579" s="21" t="str">
        <f t="shared" ref="E579:E605" si="54">IF(D579="?OLD","!!!","")</f>
        <v/>
      </c>
      <c r="F579" s="22" t="str">
        <f>IF(OR(E579="",E579="!!!"),"",IF(NOT(ISNA(VLOOKUP(E579,E$1:E578,1,FALSE()))),"OLD",IF(AND(E579&lt;&gt;"",E579&lt;&gt;"!!!"),"NEW","")))</f>
        <v/>
      </c>
      <c r="G579" s="23" t="str">
        <f>IF(OR(E579="",E579="!!!"),"",IF(OR(J579=0,AND(J579=1,K579=1),AND(J579=1,I579="SBJ"),AND(J579=1,I579=0)),"?IN_FOCUS",IF(J579&lt;=2,"?ACTIVATED",IF(J579&lt;&gt;"","?FAMILIAR",IF(F579="NEW",IF(ISNA(VLOOKUP(E579,#REF!,1,FALSE())),"?TYPE_IDENTIFIABLE","?REFERENTIAL"),"_")))))</f>
        <v/>
      </c>
      <c r="H579" s="24" t="str">
        <f t="shared" ref="H579:H605" ca="1" si="55">IF(J579&lt;&gt;1,"",IF(I579="SBJ","CB","?"))</f>
        <v/>
      </c>
      <c r="I579" s="25" t="str">
        <f>IF(OR(E579="",E579="!!!",F579="NEW"),"",INDEX(B$2:B578,-1+SUMPRODUCT(MAX(ROW(E$2:E578)*(E579=E$2:E578)))))</f>
        <v/>
      </c>
      <c r="J579" s="25" t="str">
        <f ca="1">IF(OR(E579="",E579="!!!",F579="NEW"),"",COUNTBLANK(OFFSET(A$1,,,SUMPRODUCT(MAX(ROW(E$2:E579)*(E579=E$2:E579)))))-COUNTBLANK(OFFSET(A$1,,,SUMPRODUCT(MAX(ROW(E$1:E578)*(E2=E$1:E578))))))</f>
        <v/>
      </c>
      <c r="K579" s="25" t="str">
        <f>IF(OR(E579="",E579="!!!",F579="NEW"),"",INDEX(J$1:J578,SUMPRODUCT(MAX(ROW(E$1:E578)*(E579=E$1:E578)))))</f>
        <v/>
      </c>
      <c r="L579" s="26"/>
    </row>
    <row r="580" spans="1:12" x14ac:dyDescent="0.3">
      <c r="A580" t="s">
        <v>182</v>
      </c>
      <c r="E580" s="21" t="str">
        <f t="shared" si="54"/>
        <v/>
      </c>
      <c r="F580" s="22" t="str">
        <f>IF(OR(E580="",E580="!!!"),"",IF(NOT(ISNA(VLOOKUP(E580,E$1:E579,1,FALSE()))),"OLD",IF(AND(E580&lt;&gt;"",E580&lt;&gt;"!!!"),"NEW","")))</f>
        <v/>
      </c>
      <c r="G580" s="23" t="str">
        <f>IF(OR(E580="",E580="!!!"),"",IF(OR(J580=0,AND(J580=1,K580=1),AND(J580=1,I580="SBJ"),AND(J580=1,I580=0)),"?IN_FOCUS",IF(J580&lt;=2,"?ACTIVATED",IF(J580&lt;&gt;"","?FAMILIAR",IF(F580="NEW",IF(ISNA(VLOOKUP(E580,#REF!,1,FALSE())),"?TYPE_IDENTIFIABLE","?REFERENTIAL"),"_")))))</f>
        <v/>
      </c>
      <c r="H580" s="24" t="str">
        <f t="shared" ca="1" si="55"/>
        <v/>
      </c>
      <c r="I580" s="25" t="str">
        <f>IF(OR(E580="",E580="!!!",F580="NEW"),"",INDEX(B$2:B579,-1+SUMPRODUCT(MAX(ROW(E$2:E579)*(E580=E$2:E579)))))</f>
        <v/>
      </c>
      <c r="J580" s="25" t="str">
        <f ca="1">IF(OR(E580="",E580="!!!",F580="NEW"),"",COUNTBLANK(OFFSET(A$1,,,SUMPRODUCT(MAX(ROW(E$2:E580)*(E580=E$2:E580)))))-COUNTBLANK(OFFSET(A$1,,,SUMPRODUCT(MAX(ROW(E$1:E579)*(E2=E$1:E579))))))</f>
        <v/>
      </c>
      <c r="K580" s="25" t="str">
        <f>IF(OR(E580="",E580="!!!",F580="NEW"),"",INDEX(J$1:J579,SUMPRODUCT(MAX(ROW(E$1:E579)*(E580=E$1:E579)))))</f>
        <v/>
      </c>
      <c r="L580" s="26"/>
    </row>
    <row r="581" spans="1:12" x14ac:dyDescent="0.3">
      <c r="A581" t="s">
        <v>454</v>
      </c>
      <c r="E581" s="21" t="str">
        <f t="shared" si="54"/>
        <v/>
      </c>
      <c r="F581" s="22" t="str">
        <f>IF(OR(E581="",E581="!!!"),"",IF(NOT(ISNA(VLOOKUP(E581,E$1:E580,1,FALSE()))),"OLD",IF(AND(E581&lt;&gt;"",E581&lt;&gt;"!!!"),"NEW","")))</f>
        <v/>
      </c>
      <c r="G581" s="23" t="str">
        <f>IF(OR(E581="",E581="!!!"),"",IF(OR(J581=0,AND(J581=1,K581=1),AND(J581=1,I581="SBJ"),AND(J581=1,I581=0)),"?IN_FOCUS",IF(J581&lt;=2,"?ACTIVATED",IF(J581&lt;&gt;"","?FAMILIAR",IF(F581="NEW",IF(ISNA(VLOOKUP(E581,#REF!,1,FALSE())),"?TYPE_IDENTIFIABLE","?REFERENTIAL"),"_")))))</f>
        <v/>
      </c>
      <c r="H581" s="24" t="str">
        <f t="shared" ca="1" si="55"/>
        <v/>
      </c>
      <c r="I581" s="25" t="str">
        <f>IF(OR(E581="",E581="!!!",F581="NEW"),"",INDEX(B$2:B580,-1+SUMPRODUCT(MAX(ROW(E$2:E580)*(E581=E$2:E580)))))</f>
        <v/>
      </c>
      <c r="J581" s="25" t="str">
        <f ca="1">IF(OR(E581="",E581="!!!",F581="NEW"),"",COUNTBLANK(OFFSET(A$1,,,SUMPRODUCT(MAX(ROW(E$2:E581)*(E581=E$2:E581)))))-COUNTBLANK(OFFSET(A$1,,,SUMPRODUCT(MAX(ROW(E$1:E580)*(E2=E$1:E580))))))</f>
        <v/>
      </c>
      <c r="K581" s="25" t="str">
        <f>IF(OR(E581="",E581="!!!",F581="NEW"),"",INDEX(J$1:J580,SUMPRODUCT(MAX(ROW(E$1:E580)*(E581=E$1:E580)))))</f>
        <v/>
      </c>
      <c r="L581" s="26"/>
    </row>
    <row r="582" spans="1:12" x14ac:dyDescent="0.3">
      <c r="A582" t="s">
        <v>202</v>
      </c>
      <c r="E582" s="21" t="str">
        <f t="shared" si="54"/>
        <v/>
      </c>
      <c r="F582" s="22" t="str">
        <f>IF(OR(E582="",E582="!!!"),"",IF(NOT(ISNA(VLOOKUP(E582,E$1:E581,1,FALSE()))),"OLD",IF(AND(E582&lt;&gt;"",E582&lt;&gt;"!!!"),"NEW","")))</f>
        <v/>
      </c>
      <c r="G582" s="23" t="str">
        <f>IF(OR(E582="",E582="!!!"),"",IF(OR(J582=0,AND(J582=1,K582=1),AND(J582=1,I582="SBJ"),AND(J582=1,I582=0)),"?IN_FOCUS",IF(J582&lt;=2,"?ACTIVATED",IF(J582&lt;&gt;"","?FAMILIAR",IF(F582="NEW",IF(ISNA(VLOOKUP(E582,#REF!,1,FALSE())),"?TYPE_IDENTIFIABLE","?REFERENTIAL"),"_")))))</f>
        <v/>
      </c>
      <c r="H582" s="24" t="str">
        <f t="shared" ca="1" si="55"/>
        <v/>
      </c>
      <c r="I582" s="25" t="str">
        <f>IF(OR(E582="",E582="!!!",F582="NEW"),"",INDEX(B$2:B581,-1+SUMPRODUCT(MAX(ROW(E$2:E581)*(E582=E$2:E581)))))</f>
        <v/>
      </c>
      <c r="J582" s="25" t="str">
        <f ca="1">IF(OR(E582="",E582="!!!",F582="NEW"),"",COUNTBLANK(OFFSET(A$1,,,SUMPRODUCT(MAX(ROW(E$2:E582)*(E582=E$2:E582)))))-COUNTBLANK(OFFSET(A$1,,,SUMPRODUCT(MAX(ROW(E$1:E581)*(E2=E$1:E581))))))</f>
        <v/>
      </c>
      <c r="K582" s="25" t="str">
        <f>IF(OR(E582="",E582="!!!",F582="NEW"),"",INDEX(J$1:J581,SUMPRODUCT(MAX(ROW(E$1:E581)*(E582=E$1:E581)))))</f>
        <v/>
      </c>
      <c r="L582" s="26"/>
    </row>
    <row r="583" spans="1:12" x14ac:dyDescent="0.3">
      <c r="A583" t="s">
        <v>203</v>
      </c>
      <c r="E583" s="21" t="str">
        <f t="shared" si="54"/>
        <v/>
      </c>
      <c r="F583" s="22" t="str">
        <f>IF(OR(E583="",E583="!!!"),"",IF(NOT(ISNA(VLOOKUP(E583,E$1:E582,1,FALSE()))),"OLD",IF(AND(E583&lt;&gt;"",E583&lt;&gt;"!!!"),"NEW","")))</f>
        <v/>
      </c>
      <c r="G583" s="23" t="str">
        <f>IF(OR(E583="",E583="!!!"),"",IF(OR(J583=0,AND(J583=1,K583=1),AND(J583=1,I583="SBJ"),AND(J583=1,I583=0)),"?IN_FOCUS",IF(J583&lt;=2,"?ACTIVATED",IF(J583&lt;&gt;"","?FAMILIAR",IF(F583="NEW",IF(ISNA(VLOOKUP(E583,#REF!,1,FALSE())),"?TYPE_IDENTIFIABLE","?REFERENTIAL"),"_")))))</f>
        <v/>
      </c>
      <c r="H583" s="24" t="str">
        <f t="shared" ca="1" si="55"/>
        <v/>
      </c>
      <c r="I583" s="25" t="str">
        <f>IF(OR(E583="",E583="!!!",F583="NEW"),"",INDEX(B$2:B582,-1+SUMPRODUCT(MAX(ROW(E$2:E582)*(E583=E$2:E582)))))</f>
        <v/>
      </c>
      <c r="J583" s="25" t="str">
        <f ca="1">IF(OR(E583="",E583="!!!",F583="NEW"),"",COUNTBLANK(OFFSET(A$1,,,SUMPRODUCT(MAX(ROW(E$2:E583)*(E583=E$2:E583)))))-COUNTBLANK(OFFSET(A$1,,,SUMPRODUCT(MAX(ROW(E$1:E582)*(E2=E$1:E582))))))</f>
        <v/>
      </c>
      <c r="K583" s="25" t="str">
        <f>IF(OR(E583="",E583="!!!",F583="NEW"),"",INDEX(J$1:J582,SUMPRODUCT(MAX(ROW(E$1:E582)*(E583=E$1:E582)))))</f>
        <v/>
      </c>
      <c r="L583" s="26"/>
    </row>
    <row r="584" spans="1:12" x14ac:dyDescent="0.3">
      <c r="A584" t="s">
        <v>152</v>
      </c>
      <c r="B584" s="20" t="s">
        <v>163</v>
      </c>
      <c r="C584" s="20" t="s">
        <v>145</v>
      </c>
      <c r="D584" s="20" t="s">
        <v>146</v>
      </c>
      <c r="E584" s="21" t="s">
        <v>481</v>
      </c>
      <c r="F584" s="22" t="str">
        <f>IF(OR(E584="",E584="!!!"),"",IF(NOT(ISNA(VLOOKUP(E584,E$1:E583,1,FALSE()))),"OLD",IF(AND(E584&lt;&gt;"",E584&lt;&gt;"!!!"),"NEW","")))</f>
        <v>OLD</v>
      </c>
      <c r="G584" s="23" t="s">
        <v>527</v>
      </c>
      <c r="H584" s="24" t="str">
        <f t="shared" ca="1" si="55"/>
        <v/>
      </c>
      <c r="I584" s="25" t="str">
        <f>IF(OR(E584="",E584="!!!",F584="NEW"),"",INDEX(B$2:B583,-1+SUMPRODUCT(MAX(ROW(E$2:E583)*(E584=E$2:E583)))))</f>
        <v>SBJ</v>
      </c>
      <c r="J584" s="25">
        <f ca="1">IF(OR(E584="",E584="!!!",F584="NEW"),"",COUNTBLANK(OFFSET(A$1,,,SUMPRODUCT(MAX(ROW(E$2:E584)*(E584=E$2:E584)))))-COUNTBLANK(OFFSET(A$1,,,SUMPRODUCT(MAX(ROW(E$1:E583)*(E2=E$1:E583))))))</f>
        <v>0</v>
      </c>
      <c r="K584" s="25">
        <f ca="1">IF(OR(E584="",E584="!!!",F584="NEW"),"",INDEX(J$1:J583,SUMPRODUCT(MAX(ROW(E$1:E583)*(E584=E$1:E583)))))</f>
        <v>0</v>
      </c>
      <c r="L584" s="26"/>
    </row>
    <row r="585" spans="1:12" x14ac:dyDescent="0.3">
      <c r="A585" t="s">
        <v>455</v>
      </c>
      <c r="E585" s="21" t="str">
        <f t="shared" si="54"/>
        <v/>
      </c>
      <c r="F585" s="22" t="str">
        <f>IF(OR(E585="",E585="!!!"),"",IF(NOT(ISNA(VLOOKUP(E585,E$1:E584,1,FALSE()))),"OLD",IF(AND(E585&lt;&gt;"",E585&lt;&gt;"!!!"),"NEW","")))</f>
        <v/>
      </c>
      <c r="G585" s="23" t="str">
        <f>IF(OR(E585="",E585="!!!"),"",IF(OR(J585=0,AND(J585=1,K585=1),AND(J585=1,I585="SBJ"),AND(J585=1,I585=0)),"?IN_FOCUS",IF(J585&lt;=2,"?ACTIVATED",IF(J585&lt;&gt;"","?FAMILIAR",IF(F585="NEW",IF(ISNA(VLOOKUP(E585,#REF!,1,FALSE())),"?TYPE_IDENTIFIABLE","?REFERENTIAL"),"_")))))</f>
        <v/>
      </c>
      <c r="H585" s="24" t="str">
        <f t="shared" ca="1" si="55"/>
        <v/>
      </c>
      <c r="I585" s="25" t="str">
        <f>IF(OR(E585="",E585="!!!",F585="NEW"),"",INDEX(B$2:B584,-1+SUMPRODUCT(MAX(ROW(E$2:E584)*(E585=E$2:E584)))))</f>
        <v/>
      </c>
      <c r="J585" s="25" t="str">
        <f ca="1">IF(OR(E585="",E585="!!!",F585="NEW"),"",COUNTBLANK(OFFSET(A$1,,,SUMPRODUCT(MAX(ROW(E$2:E585)*(E585=E$2:E585)))))-COUNTBLANK(OFFSET(A$1,,,SUMPRODUCT(MAX(ROW(E$1:E584)*(E2=E$1:E584))))))</f>
        <v/>
      </c>
      <c r="K585" s="25" t="str">
        <f>IF(OR(E585="",E585="!!!",F585="NEW"),"",INDEX(J$1:J584,SUMPRODUCT(MAX(ROW(E$1:E584)*(E585=E$1:E584)))))</f>
        <v/>
      </c>
      <c r="L585" s="26"/>
    </row>
    <row r="586" spans="1:12" x14ac:dyDescent="0.3">
      <c r="A586" t="s">
        <v>327</v>
      </c>
      <c r="B586" s="20" t="s">
        <v>285</v>
      </c>
      <c r="C586" s="20" t="s">
        <v>145</v>
      </c>
      <c r="D586" s="20" t="s">
        <v>146</v>
      </c>
      <c r="E586" s="21" t="s">
        <v>480</v>
      </c>
      <c r="F586" s="22" t="str">
        <f>IF(OR(E586="",E586="!!!"),"",IF(NOT(ISNA(VLOOKUP(E586,E$1:E585,1,FALSE()))),"OLD",IF(AND(E586&lt;&gt;"",E586&lt;&gt;"!!!"),"NEW","")))</f>
        <v>OLD</v>
      </c>
      <c r="G586" s="23" t="s">
        <v>527</v>
      </c>
      <c r="H586" s="24" t="s">
        <v>138</v>
      </c>
      <c r="I586" s="25" t="str">
        <f>IF(OR(E586="",E586="!!!",F586="NEW"),"",INDEX(B$2:B585,-1+SUMPRODUCT(MAX(ROW(E$2:E585)*(E586=E$2:E585)))))</f>
        <v>SBJ_3</v>
      </c>
      <c r="J586" s="25">
        <f ca="1">IF(OR(E586="",E586="!!!",F586="NEW"),"",COUNTBLANK(OFFSET(A$1,,,SUMPRODUCT(MAX(ROW(E$2:E586)*(E586=E$2:E586)))))-COUNTBLANK(OFFSET(A$1,,,SUMPRODUCT(MAX(ROW(E$1:E585)*(E2=E$1:E585))))))</f>
        <v>0</v>
      </c>
      <c r="K586" s="25">
        <f ca="1">IF(OR(E586="",E586="!!!",F586="NEW"),"",INDEX(J$1:J585,SUMPRODUCT(MAX(ROW(E$1:E585)*(E586=E$1:E585)))))</f>
        <v>0</v>
      </c>
      <c r="L586" s="26"/>
    </row>
    <row r="587" spans="1:12" x14ac:dyDescent="0.3">
      <c r="A587" t="s">
        <v>456</v>
      </c>
      <c r="E587" s="21" t="str">
        <f t="shared" si="54"/>
        <v/>
      </c>
      <c r="F587" s="22" t="str">
        <f>IF(OR(E587="",E587="!!!"),"",IF(NOT(ISNA(VLOOKUP(E587,E$1:E586,1,FALSE()))),"OLD",IF(AND(E587&lt;&gt;"",E587&lt;&gt;"!!!"),"NEW","")))</f>
        <v/>
      </c>
      <c r="G587" s="23" t="str">
        <f>IF(OR(E587="",E587="!!!"),"",IF(OR(J587=0,AND(J587=1,K587=1),AND(J587=1,I587="SBJ"),AND(J587=1,I587=0)),"?IN_FOCUS",IF(J587&lt;=2,"?ACTIVATED",IF(J587&lt;&gt;"","?FAMILIAR",IF(F587="NEW",IF(ISNA(VLOOKUP(E587,#REF!,1,FALSE())),"?TYPE_IDENTIFIABLE","?REFERENTIAL"),"_")))))</f>
        <v/>
      </c>
      <c r="H587" s="24" t="str">
        <f t="shared" ca="1" si="55"/>
        <v/>
      </c>
      <c r="I587" s="25" t="str">
        <f>IF(OR(E587="",E587="!!!",F587="NEW"),"",INDEX(B$2:B586,-1+SUMPRODUCT(MAX(ROW(E$2:E586)*(E587=E$2:E586)))))</f>
        <v/>
      </c>
      <c r="J587" s="25" t="str">
        <f ca="1">IF(OR(E587="",E587="!!!",F587="NEW"),"",COUNTBLANK(OFFSET(A$1,,,SUMPRODUCT(MAX(ROW(E$2:E587)*(E587=E$2:E587)))))-COUNTBLANK(OFFSET(A$1,,,SUMPRODUCT(MAX(ROW(E$1:E586)*(E2=E$1:E586))))))</f>
        <v/>
      </c>
      <c r="K587" s="25" t="str">
        <f>IF(OR(E587="",E587="!!!",F587="NEW"),"",INDEX(J$1:J586,SUMPRODUCT(MAX(ROW(E$1:E586)*(E587=E$1:E586)))))</f>
        <v/>
      </c>
      <c r="L587" s="26"/>
    </row>
    <row r="588" spans="1:12" x14ac:dyDescent="0.3">
      <c r="A588" t="s">
        <v>457</v>
      </c>
      <c r="B588" s="20" t="s">
        <v>301</v>
      </c>
      <c r="C588" s="20" t="s">
        <v>150</v>
      </c>
      <c r="E588" s="21" t="s">
        <v>523</v>
      </c>
      <c r="F588" s="22" t="str">
        <f>IF(OR(E588="",E588="!!!"),"",IF(NOT(ISNA(VLOOKUP(E588,E$1:E587,1,FALSE()))),"OLD",IF(AND(E588&lt;&gt;"",E588&lt;&gt;"!!!"),"NEW","")))</f>
        <v>NEW</v>
      </c>
      <c r="G588" s="23" t="s">
        <v>483</v>
      </c>
      <c r="H588" s="24" t="str">
        <f t="shared" ca="1" si="55"/>
        <v/>
      </c>
      <c r="I588" s="25" t="str">
        <f>IF(OR(E588="",E588="!!!",F588="NEW"),"",INDEX(B$2:B587,-1+SUMPRODUCT(MAX(ROW(E$2:E587)*(E588=E$2:E587)))))</f>
        <v/>
      </c>
      <c r="J588" s="25" t="str">
        <f ca="1">IF(OR(E588="",E588="!!!",F588="NEW"),"",COUNTBLANK(OFFSET(A$1,,,SUMPRODUCT(MAX(ROW(E$2:E588)*(E588=E$2:E588)))))-COUNTBLANK(OFFSET(A$1,,,SUMPRODUCT(MAX(ROW(E$1:E587)*(E2=E$1:E587))))))</f>
        <v/>
      </c>
      <c r="K588" s="25" t="str">
        <f>IF(OR(E588="",E588="!!!",F588="NEW"),"",INDEX(J$1:J587,SUMPRODUCT(MAX(ROW(E$1:E587)*(E588=E$1:E587)))))</f>
        <v/>
      </c>
      <c r="L588" s="26"/>
    </row>
    <row r="589" spans="1:12" x14ac:dyDescent="0.3">
      <c r="A589" t="s">
        <v>156</v>
      </c>
      <c r="B589" s="20" t="s">
        <v>144</v>
      </c>
      <c r="C589" s="20" t="s">
        <v>150</v>
      </c>
      <c r="E589" s="21" t="str">
        <f t="shared" si="54"/>
        <v/>
      </c>
      <c r="F589" s="22" t="str">
        <f>IF(OR(E589="",E589="!!!"),"",IF(NOT(ISNA(VLOOKUP(E589,E$1:E588,1,FALSE()))),"OLD",IF(AND(E589&lt;&gt;"",E589&lt;&gt;"!!!"),"NEW","")))</f>
        <v/>
      </c>
      <c r="G589" s="23" t="str">
        <f>IF(OR(E589="",E589="!!!"),"",IF(OR(J589=0,AND(J589=1,K589=1),AND(J589=1,I589="SBJ"),AND(J589=1,I589=0)),"?IN_FOCUS",IF(J589&lt;=2,"?ACTIVATED",IF(J589&lt;&gt;"","?FAMILIAR",IF(F589="NEW",IF(ISNA(VLOOKUP(E589,#REF!,1,FALSE())),"?TYPE_IDENTIFIABLE","?REFERENTIAL"),"_")))))</f>
        <v/>
      </c>
      <c r="H589" s="24" t="str">
        <f t="shared" ca="1" si="55"/>
        <v/>
      </c>
      <c r="I589" s="25" t="str">
        <f>IF(OR(E589="",E589="!!!",F589="NEW"),"",INDEX(B$2:B588,-1+SUMPRODUCT(MAX(ROW(E$2:E588)*(E589=E$2:E588)))))</f>
        <v/>
      </c>
      <c r="J589" s="25" t="str">
        <f ca="1">IF(OR(E589="",E589="!!!",F589="NEW"),"",COUNTBLANK(OFFSET(A$1,,,SUMPRODUCT(MAX(ROW(E$2:E589)*(E589=E$2:E589)))))-COUNTBLANK(OFFSET(A$1,,,SUMPRODUCT(MAX(ROW(E$1:E588)*(E2=E$1:E588))))))</f>
        <v/>
      </c>
      <c r="K589" s="25" t="str">
        <f>IF(OR(E589="",E589="!!!",F589="NEW"),"",INDEX(J$1:J588,SUMPRODUCT(MAX(ROW(E$1:E588)*(E589=E$1:E588)))))</f>
        <v/>
      </c>
      <c r="L589" s="26"/>
    </row>
    <row r="590" spans="1:12" x14ac:dyDescent="0.3">
      <c r="A590" t="s">
        <v>177</v>
      </c>
      <c r="E590" s="21" t="str">
        <f t="shared" si="54"/>
        <v/>
      </c>
      <c r="F590" s="22" t="str">
        <f>IF(OR(E590="",E590="!!!"),"",IF(NOT(ISNA(VLOOKUP(E590,E$1:E589,1,FALSE()))),"OLD",IF(AND(E590&lt;&gt;"",E590&lt;&gt;"!!!"),"NEW","")))</f>
        <v/>
      </c>
      <c r="G590" s="23" t="str">
        <f>IF(OR(E590="",E590="!!!"),"",IF(OR(J590=0,AND(J590=1,K590=1),AND(J590=1,I590="SBJ"),AND(J590=1,I590=0)),"?IN_FOCUS",IF(J590&lt;=2,"?ACTIVATED",IF(J590&lt;&gt;"","?FAMILIAR",IF(F590="NEW",IF(ISNA(VLOOKUP(E590,#REF!,1,FALSE())),"?TYPE_IDENTIFIABLE","?REFERENTIAL"),"_")))))</f>
        <v/>
      </c>
      <c r="H590" s="24" t="str">
        <f t="shared" ca="1" si="55"/>
        <v/>
      </c>
      <c r="I590" s="25" t="str">
        <f>IF(OR(E590="",E590="!!!",F590="NEW"),"",INDEX(B$2:B589,-1+SUMPRODUCT(MAX(ROW(E$2:E589)*(E590=E$2:E589)))))</f>
        <v/>
      </c>
      <c r="J590" s="25" t="str">
        <f ca="1">IF(OR(E590="",E590="!!!",F590="NEW"),"",COUNTBLANK(OFFSET(A$1,,,SUMPRODUCT(MAX(ROW(E$2:E590)*(E590=E$2:E590)))))-COUNTBLANK(OFFSET(A$1,,,SUMPRODUCT(MAX(ROW(E$1:E589)*(E2=E$1:E589))))))</f>
        <v/>
      </c>
      <c r="K590" s="25" t="str">
        <f>IF(OR(E590="",E590="!!!",F590="NEW"),"",INDEX(J$1:J589,SUMPRODUCT(MAX(ROW(E$1:E589)*(E590=E$1:E589)))))</f>
        <v/>
      </c>
      <c r="L590" s="26"/>
    </row>
    <row r="591" spans="1:12" x14ac:dyDescent="0.3">
      <c r="A591" t="s">
        <v>458</v>
      </c>
      <c r="B591" s="20" t="s">
        <v>165</v>
      </c>
      <c r="C591" s="20" t="s">
        <v>145</v>
      </c>
      <c r="D591" s="20" t="s">
        <v>146</v>
      </c>
      <c r="E591" s="21" t="s">
        <v>479</v>
      </c>
      <c r="F591" s="22" t="str">
        <f>IF(OR(E591="",E591="!!!"),"",IF(NOT(ISNA(VLOOKUP(E591,E$1:E590,1,FALSE()))),"OLD",IF(AND(E591&lt;&gt;"",E591&lt;&gt;"!!!"),"NEW","")))</f>
        <v>OLD</v>
      </c>
      <c r="G591" s="23" t="s">
        <v>482</v>
      </c>
      <c r="H591" s="24" t="str">
        <f t="shared" ca="1" si="55"/>
        <v/>
      </c>
      <c r="I591" s="25" t="str">
        <f>IF(OR(E591="",E591="!!!",F591="NEW"),"",INDEX(B$2:B590,-1+SUMPRODUCT(MAX(ROW(E$2:E590)*(E591=E$2:E590)))))</f>
        <v>other_2</v>
      </c>
      <c r="J591" s="25">
        <f ca="1">IF(OR(E591="",E591="!!!",F591="NEW"),"",COUNTBLANK(OFFSET(A$1,,,SUMPRODUCT(MAX(ROW(E$2:E591)*(E591=E$2:E591)))))-COUNTBLANK(OFFSET(A$1,,,SUMPRODUCT(MAX(ROW(E$1:E590)*(E2=E$1:E590))))))</f>
        <v>0</v>
      </c>
      <c r="K591" s="25">
        <f ca="1">IF(OR(E591="",E591="!!!",F591="NEW"),"",INDEX(J$1:J590,SUMPRODUCT(MAX(ROW(E$1:E590)*(E591=E$1:E590)))))</f>
        <v>0</v>
      </c>
      <c r="L591" s="26"/>
    </row>
    <row r="592" spans="1:12" x14ac:dyDescent="0.3">
      <c r="A592" t="s">
        <v>128</v>
      </c>
      <c r="E592" s="21" t="str">
        <f t="shared" si="54"/>
        <v/>
      </c>
      <c r="F592" s="22" t="str">
        <f>IF(OR(E592="",E592="!!!"),"",IF(NOT(ISNA(VLOOKUP(E592,E$1:E591,1,FALSE()))),"OLD",IF(AND(E592&lt;&gt;"",E592&lt;&gt;"!!!"),"NEW","")))</f>
        <v/>
      </c>
      <c r="G592" s="23" t="str">
        <f>IF(OR(E592="",E592="!!!"),"",IF(OR(J592=0,AND(J592=1,K592=1),AND(J592=1,I592="SBJ"),AND(J592=1,I592=0)),"?IN_FOCUS",IF(J592&lt;=2,"?ACTIVATED",IF(J592&lt;&gt;"","?FAMILIAR",IF(F592="NEW",IF(ISNA(VLOOKUP(E592,#REF!,1,FALSE())),"?TYPE_IDENTIFIABLE","?REFERENTIAL"),"_")))))</f>
        <v/>
      </c>
      <c r="H592" s="24" t="str">
        <f t="shared" ca="1" si="55"/>
        <v/>
      </c>
      <c r="I592" s="25" t="str">
        <f>IF(OR(E592="",E592="!!!",F592="NEW"),"",INDEX(B$2:B591,-1+SUMPRODUCT(MAX(ROW(E$2:E591)*(E592=E$2:E591)))))</f>
        <v/>
      </c>
      <c r="J592" s="25" t="str">
        <f ca="1">IF(OR(E592="",E592="!!!",F592="NEW"),"",COUNTBLANK(OFFSET(A$1,,,SUMPRODUCT(MAX(ROW(E$2:E592)*(E592=E$2:E592)))))-COUNTBLANK(OFFSET(A$1,,,SUMPRODUCT(MAX(ROW(E$1:E591)*(E2=E$1:E591))))))</f>
        <v/>
      </c>
      <c r="K592" s="25" t="str">
        <f>IF(OR(E592="",E592="!!!",F592="NEW"),"",INDEX(J$1:J591,SUMPRODUCT(MAX(ROW(E$1:E591)*(E592=E$1:E591)))))</f>
        <v/>
      </c>
      <c r="L592" s="26"/>
    </row>
    <row r="593" spans="1:12" x14ac:dyDescent="0.3">
      <c r="A593" t="s">
        <v>407</v>
      </c>
      <c r="E593" s="21" t="str">
        <f t="shared" si="54"/>
        <v/>
      </c>
      <c r="F593" s="22" t="str">
        <f>IF(OR(E593="",E593="!!!"),"",IF(NOT(ISNA(VLOOKUP(E593,E$1:E592,1,FALSE()))),"OLD",IF(AND(E593&lt;&gt;"",E593&lt;&gt;"!!!"),"NEW","")))</f>
        <v/>
      </c>
      <c r="G593" s="23" t="str">
        <f>IF(OR(E593="",E593="!!!"),"",IF(OR(J593=0,AND(J593=1,K593=1),AND(J593=1,I593="SBJ"),AND(J593=1,I593=0)),"?IN_FOCUS",IF(J593&lt;=2,"?ACTIVATED",IF(J593&lt;&gt;"","?FAMILIAR",IF(F593="NEW",IF(ISNA(VLOOKUP(E593,#REF!,1,FALSE())),"?TYPE_IDENTIFIABLE","?REFERENTIAL"),"_")))))</f>
        <v/>
      </c>
      <c r="H593" s="24" t="str">
        <f t="shared" ca="1" si="55"/>
        <v/>
      </c>
      <c r="I593" s="25" t="str">
        <f>IF(OR(E593="",E593="!!!",F593="NEW"),"",INDEX(B$2:B592,-1+SUMPRODUCT(MAX(ROW(E$2:E592)*(E593=E$2:E592)))))</f>
        <v/>
      </c>
      <c r="J593" s="25" t="str">
        <f ca="1">IF(OR(E593="",E593="!!!",F593="NEW"),"",COUNTBLANK(OFFSET(A$1,,,SUMPRODUCT(MAX(ROW(E$2:E593)*(E593=E$2:E593)))))-COUNTBLANK(OFFSET(A$1,,,SUMPRODUCT(MAX(ROW(E$1:E592)*(E2=E$1:E592))))))</f>
        <v/>
      </c>
      <c r="K593" s="25" t="str">
        <f>IF(OR(E593="",E593="!!!",F593="NEW"),"",INDEX(J$1:J592,SUMPRODUCT(MAX(ROW(E$1:E592)*(E593=E$1:E592)))))</f>
        <v/>
      </c>
      <c r="L593" s="26"/>
    </row>
    <row r="594" spans="1:12" x14ac:dyDescent="0.3">
      <c r="A594" t="s">
        <v>202</v>
      </c>
      <c r="E594" s="21" t="str">
        <f t="shared" si="54"/>
        <v/>
      </c>
      <c r="F594" s="22" t="str">
        <f>IF(OR(E594="",E594="!!!"),"",IF(NOT(ISNA(VLOOKUP(E594,E$1:E593,1,FALSE()))),"OLD",IF(AND(E594&lt;&gt;"",E594&lt;&gt;"!!!"),"NEW","")))</f>
        <v/>
      </c>
      <c r="G594" s="23" t="str">
        <f>IF(OR(E594="",E594="!!!"),"",IF(OR(J594=0,AND(J594=1,K594=1),AND(J594=1,I594="SBJ"),AND(J594=1,I594=0)),"?IN_FOCUS",IF(J594&lt;=2,"?ACTIVATED",IF(J594&lt;&gt;"","?FAMILIAR",IF(F594="NEW",IF(ISNA(VLOOKUP(E594,#REF!,1,FALSE())),"?TYPE_IDENTIFIABLE","?REFERENTIAL"),"_")))))</f>
        <v/>
      </c>
      <c r="H594" s="24" t="str">
        <f t="shared" ca="1" si="55"/>
        <v/>
      </c>
      <c r="I594" s="25" t="str">
        <f>IF(OR(E594="",E594="!!!",F594="NEW"),"",INDEX(B$2:B593,-1+SUMPRODUCT(MAX(ROW(E$2:E593)*(E594=E$2:E593)))))</f>
        <v/>
      </c>
      <c r="J594" s="25" t="str">
        <f ca="1">IF(OR(E594="",E594="!!!",F594="NEW"),"",COUNTBLANK(OFFSET(A$1,,,SUMPRODUCT(MAX(ROW(E$2:E594)*(E594=E$2:E594)))))-COUNTBLANK(OFFSET(A$1,,,SUMPRODUCT(MAX(ROW(E$1:E593)*(E2=E$1:E593))))))</f>
        <v/>
      </c>
      <c r="K594" s="25" t="str">
        <f>IF(OR(E594="",E594="!!!",F594="NEW"),"",INDEX(J$1:J593,SUMPRODUCT(MAX(ROW(E$1:E593)*(E594=E$1:E593)))))</f>
        <v/>
      </c>
      <c r="L594" s="26"/>
    </row>
    <row r="595" spans="1:12" x14ac:dyDescent="0.3">
      <c r="A595" t="s">
        <v>459</v>
      </c>
      <c r="E595" s="21" t="str">
        <f t="shared" si="54"/>
        <v/>
      </c>
      <c r="F595" s="22" t="str">
        <f>IF(OR(E595="",E595="!!!"),"",IF(NOT(ISNA(VLOOKUP(E595,E$1:E594,1,FALSE()))),"OLD",IF(AND(E595&lt;&gt;"",E595&lt;&gt;"!!!"),"NEW","")))</f>
        <v/>
      </c>
      <c r="G595" s="23" t="str">
        <f>IF(OR(E595="",E595="!!!"),"",IF(OR(J595=0,AND(J595=1,K595=1),AND(J595=1,I595="SBJ"),AND(J595=1,I595=0)),"?IN_FOCUS",IF(J595&lt;=2,"?ACTIVATED",IF(J595&lt;&gt;"","?FAMILIAR",IF(F595="NEW",IF(ISNA(VLOOKUP(E595,#REF!,1,FALSE())),"?TYPE_IDENTIFIABLE","?REFERENTIAL"),"_")))))</f>
        <v/>
      </c>
      <c r="H595" s="24" t="str">
        <f t="shared" ca="1" si="55"/>
        <v/>
      </c>
      <c r="I595" s="25" t="str">
        <f>IF(OR(E595="",E595="!!!",F595="NEW"),"",INDEX(B$2:B594,-1+SUMPRODUCT(MAX(ROW(E$2:E594)*(E595=E$2:E594)))))</f>
        <v/>
      </c>
      <c r="J595" s="25" t="str">
        <f ca="1">IF(OR(E595="",E595="!!!",F595="NEW"),"",COUNTBLANK(OFFSET(A$1,,,SUMPRODUCT(MAX(ROW(E$2:E595)*(E595=E$2:E595)))))-COUNTBLANK(OFFSET(A$1,,,SUMPRODUCT(MAX(ROW(E$1:E594)*(E2=E$1:E594))))))</f>
        <v/>
      </c>
      <c r="K595" s="25" t="str">
        <f>IF(OR(E595="",E595="!!!",F595="NEW"),"",INDEX(J$1:J594,SUMPRODUCT(MAX(ROW(E$1:E594)*(E595=E$1:E594)))))</f>
        <v/>
      </c>
      <c r="L595" s="26"/>
    </row>
    <row r="596" spans="1:12" x14ac:dyDescent="0.3">
      <c r="A596" t="s">
        <v>460</v>
      </c>
      <c r="E596" s="21" t="str">
        <f t="shared" si="54"/>
        <v/>
      </c>
      <c r="F596" s="22" t="str">
        <f>IF(OR(E596="",E596="!!!"),"",IF(NOT(ISNA(VLOOKUP(E596,E$1:E595,1,FALSE()))),"OLD",IF(AND(E596&lt;&gt;"",E596&lt;&gt;"!!!"),"NEW","")))</f>
        <v/>
      </c>
      <c r="G596" s="23" t="str">
        <f>IF(OR(E596="",E596="!!!"),"",IF(OR(J596=0,AND(J596=1,K596=1),AND(J596=1,I596="SBJ"),AND(J596=1,I596=0)),"?IN_FOCUS",IF(J596&lt;=2,"?ACTIVATED",IF(J596&lt;&gt;"","?FAMILIAR",IF(F596="NEW",IF(ISNA(VLOOKUP(E596,#REF!,1,FALSE())),"?TYPE_IDENTIFIABLE","?REFERENTIAL"),"_")))))</f>
        <v/>
      </c>
      <c r="H596" s="24" t="str">
        <f t="shared" ca="1" si="55"/>
        <v/>
      </c>
      <c r="I596" s="25" t="str">
        <f>IF(OR(E596="",E596="!!!",F596="NEW"),"",INDEX(B$2:B595,-1+SUMPRODUCT(MAX(ROW(E$2:E595)*(E596=E$2:E595)))))</f>
        <v/>
      </c>
      <c r="J596" s="25" t="str">
        <f ca="1">IF(OR(E596="",E596="!!!",F596="NEW"),"",COUNTBLANK(OFFSET(A$1,,,SUMPRODUCT(MAX(ROW(E$2:E596)*(E596=E$2:E596)))))-COUNTBLANK(OFFSET(A$1,,,SUMPRODUCT(MAX(ROW(E$1:E595)*(E2=E$1:E595))))))</f>
        <v/>
      </c>
      <c r="K596" s="25" t="str">
        <f>IF(OR(E596="",E596="!!!",F596="NEW"),"",INDEX(J$1:J595,SUMPRODUCT(MAX(ROW(E$1:E595)*(E596=E$1:E595)))))</f>
        <v/>
      </c>
      <c r="L596" s="26"/>
    </row>
    <row r="597" spans="1:12" x14ac:dyDescent="0.3">
      <c r="A597" t="s">
        <v>461</v>
      </c>
      <c r="E597" s="21" t="str">
        <f t="shared" si="54"/>
        <v/>
      </c>
      <c r="F597" s="22" t="str">
        <f>IF(OR(E597="",E597="!!!"),"",IF(NOT(ISNA(VLOOKUP(E597,E$1:E596,1,FALSE()))),"OLD",IF(AND(E597&lt;&gt;"",E597&lt;&gt;"!!!"),"NEW","")))</f>
        <v/>
      </c>
      <c r="G597" s="23" t="str">
        <f>IF(OR(E597="",E597="!!!"),"",IF(OR(J597=0,AND(J597=1,K597=1),AND(J597=1,I597="SBJ"),AND(J597=1,I597=0)),"?IN_FOCUS",IF(J597&lt;=2,"?ACTIVATED",IF(J597&lt;&gt;"","?FAMILIAR",IF(F597="NEW",IF(ISNA(VLOOKUP(E597,#REF!,1,FALSE())),"?TYPE_IDENTIFIABLE","?REFERENTIAL"),"_")))))</f>
        <v/>
      </c>
      <c r="H597" s="24" t="str">
        <f t="shared" ca="1" si="55"/>
        <v/>
      </c>
      <c r="I597" s="25" t="str">
        <f>IF(OR(E597="",E597="!!!",F597="NEW"),"",INDEX(B$2:B596,-1+SUMPRODUCT(MAX(ROW(E$2:E596)*(E597=E$2:E596)))))</f>
        <v/>
      </c>
      <c r="J597" s="25" t="str">
        <f ca="1">IF(OR(E597="",E597="!!!",F597="NEW"),"",COUNTBLANK(OFFSET(A$1,,,SUMPRODUCT(MAX(ROW(E$2:E597)*(E597=E$2:E597)))))-COUNTBLANK(OFFSET(A$1,,,SUMPRODUCT(MAX(ROW(E$1:E596)*(E2=E$1:E596))))))</f>
        <v/>
      </c>
      <c r="K597" s="25" t="str">
        <f>IF(OR(E597="",E597="!!!",F597="NEW"),"",INDEX(J$1:J596,SUMPRODUCT(MAX(ROW(E$1:E596)*(E597=E$1:E596)))))</f>
        <v/>
      </c>
      <c r="L597" s="26"/>
    </row>
    <row r="598" spans="1:12" x14ac:dyDescent="0.3">
      <c r="A598" t="s">
        <v>457</v>
      </c>
      <c r="B598" s="20" t="s">
        <v>163</v>
      </c>
      <c r="C598" s="20" t="s">
        <v>197</v>
      </c>
      <c r="E598" s="21" t="s">
        <v>524</v>
      </c>
      <c r="F598" s="22" t="str">
        <f>IF(OR(E598="",E598="!!!"),"",IF(NOT(ISNA(VLOOKUP(E598,E$1:E597,1,FALSE()))),"OLD",IF(AND(E598&lt;&gt;"",E598&lt;&gt;"!!!"),"NEW","")))</f>
        <v>NEW</v>
      </c>
      <c r="G598" s="23" t="s">
        <v>483</v>
      </c>
      <c r="H598" s="24" t="str">
        <f t="shared" ca="1" si="55"/>
        <v/>
      </c>
      <c r="I598" s="25" t="str">
        <f>IF(OR(E598="",E598="!!!",F598="NEW"),"",INDEX(B$2:B597,-1+SUMPRODUCT(MAX(ROW(E$2:E597)*(E598=E$2:E597)))))</f>
        <v/>
      </c>
      <c r="J598" s="25" t="str">
        <f ca="1">IF(OR(E598="",E598="!!!",F598="NEW"),"",COUNTBLANK(OFFSET(A$1,,,SUMPRODUCT(MAX(ROW(E$2:E598)*(E598=E$2:E598)))))-COUNTBLANK(OFFSET(A$1,,,SUMPRODUCT(MAX(ROW(E$1:E597)*(E2=E$1:E597))))))</f>
        <v/>
      </c>
      <c r="K598" s="25" t="str">
        <f>IF(OR(E598="",E598="!!!",F598="NEW"),"",INDEX(J$1:J597,SUMPRODUCT(MAX(ROW(E$1:E597)*(E598=E$1:E597)))))</f>
        <v/>
      </c>
      <c r="L598" s="26"/>
    </row>
    <row r="599" spans="1:12" x14ac:dyDescent="0.3">
      <c r="A599" t="s">
        <v>327</v>
      </c>
      <c r="B599" s="20" t="s">
        <v>301</v>
      </c>
      <c r="C599" s="20" t="s">
        <v>145</v>
      </c>
      <c r="D599" s="20" t="s">
        <v>146</v>
      </c>
      <c r="E599" s="21" t="s">
        <v>480</v>
      </c>
      <c r="F599" s="22" t="str">
        <f>IF(OR(E599="",E599="!!!"),"",IF(NOT(ISNA(VLOOKUP(E599,E$1:E598,1,FALSE()))),"OLD",IF(AND(E599&lt;&gt;"",E599&lt;&gt;"!!!"),"NEW","")))</f>
        <v>OLD</v>
      </c>
      <c r="G599" s="23" t="s">
        <v>527</v>
      </c>
      <c r="H599" s="24" t="str">
        <f t="shared" ca="1" si="55"/>
        <v/>
      </c>
      <c r="I599" s="25" t="str">
        <f>IF(OR(E599="",E599="!!!",F599="NEW"),"",INDEX(B$2:B598,-1+SUMPRODUCT(MAX(ROW(E$2:E598)*(E599=E$2:E598)))))</f>
        <v>other_4</v>
      </c>
      <c r="J599" s="25">
        <f ca="1">IF(OR(E599="",E599="!!!",F599="NEW"),"",COUNTBLANK(OFFSET(A$1,,,SUMPRODUCT(MAX(ROW(E$2:E599)*(E599=E$2:E599)))))-COUNTBLANK(OFFSET(A$1,,,SUMPRODUCT(MAX(ROW(E$1:E598)*(E2=E$1:E598))))))</f>
        <v>0</v>
      </c>
      <c r="K599" s="25">
        <f ca="1">IF(OR(E599="",E599="!!!",F599="NEW"),"",INDEX(J$1:J598,SUMPRODUCT(MAX(ROW(E$1:E598)*(E599=E$1:E598)))))</f>
        <v>0</v>
      </c>
      <c r="L599" s="26"/>
    </row>
    <row r="600" spans="1:12" x14ac:dyDescent="0.3">
      <c r="A600" t="s">
        <v>462</v>
      </c>
      <c r="E600" s="21" t="str">
        <f t="shared" si="54"/>
        <v/>
      </c>
      <c r="F600" s="22" t="str">
        <f>IF(OR(E600="",E600="!!!"),"",IF(NOT(ISNA(VLOOKUP(E600,E$1:E599,1,FALSE()))),"OLD",IF(AND(E600&lt;&gt;"",E600&lt;&gt;"!!!"),"NEW","")))</f>
        <v/>
      </c>
      <c r="G600" s="23" t="str">
        <f>IF(OR(E600="",E600="!!!"),"",IF(OR(J600=0,AND(J600=1,K600=1),AND(J600=1,I600="SBJ"),AND(J600=1,I600=0)),"?IN_FOCUS",IF(J600&lt;=2,"?ACTIVATED",IF(J600&lt;&gt;"","?FAMILIAR",IF(F600="NEW",IF(ISNA(VLOOKUP(E600,#REF!,1,FALSE())),"?TYPE_IDENTIFIABLE","?REFERENTIAL"),"_")))))</f>
        <v/>
      </c>
      <c r="H600" s="24" t="str">
        <f t="shared" ca="1" si="55"/>
        <v/>
      </c>
      <c r="I600" s="25" t="str">
        <f>IF(OR(E600="",E600="!!!",F600="NEW"),"",INDEX(B$2:B599,-1+SUMPRODUCT(MAX(ROW(E$2:E599)*(E600=E$2:E599)))))</f>
        <v/>
      </c>
      <c r="J600" s="25" t="str">
        <f ca="1">IF(OR(E600="",E600="!!!",F600="NEW"),"",COUNTBLANK(OFFSET(A$1,,,SUMPRODUCT(MAX(ROW(E$2:E600)*(E600=E$2:E600)))))-COUNTBLANK(OFFSET(A$1,,,SUMPRODUCT(MAX(ROW(E$1:E599)*(E2=E$1:E599))))))</f>
        <v/>
      </c>
      <c r="K600" s="25" t="str">
        <f>IF(OR(E600="",E600="!!!",F600="NEW"),"",INDEX(J$1:J599,SUMPRODUCT(MAX(ROW(E$1:E599)*(E600=E$1:E599)))))</f>
        <v/>
      </c>
      <c r="L600" s="26"/>
    </row>
    <row r="601" spans="1:12" x14ac:dyDescent="0.3">
      <c r="A601" t="s">
        <v>208</v>
      </c>
      <c r="E601" s="21" t="str">
        <f t="shared" si="54"/>
        <v/>
      </c>
      <c r="F601" s="22" t="str">
        <f>IF(OR(E601="",E601="!!!"),"",IF(NOT(ISNA(VLOOKUP(E601,E$1:E600,1,FALSE()))),"OLD",IF(AND(E601&lt;&gt;"",E601&lt;&gt;"!!!"),"NEW","")))</f>
        <v/>
      </c>
      <c r="G601" s="23" t="str">
        <f>IF(OR(E601="",E601="!!!"),"",IF(OR(J601=0,AND(J601=1,K601=1),AND(J601=1,I601="SBJ"),AND(J601=1,I601=0)),"?IN_FOCUS",IF(J601&lt;=2,"?ACTIVATED",IF(J601&lt;&gt;"","?FAMILIAR",IF(F601="NEW",IF(ISNA(VLOOKUP(E601,#REF!,1,FALSE())),"?TYPE_IDENTIFIABLE","?REFERENTIAL"),"_")))))</f>
        <v/>
      </c>
      <c r="H601" s="24" t="str">
        <f t="shared" ca="1" si="55"/>
        <v/>
      </c>
      <c r="I601" s="25" t="str">
        <f>IF(OR(E601="",E601="!!!",F601="NEW"),"",INDEX(B$2:B600,-1+SUMPRODUCT(MAX(ROW(E$2:E600)*(E601=E$2:E600)))))</f>
        <v/>
      </c>
      <c r="J601" s="25" t="str">
        <f ca="1">IF(OR(E601="",E601="!!!",F601="NEW"),"",COUNTBLANK(OFFSET(A$1,,,SUMPRODUCT(MAX(ROW(E$2:E601)*(E601=E$2:E601)))))-COUNTBLANK(OFFSET(A$1,,,SUMPRODUCT(MAX(ROW(E$1:E600)*(E2=E$1:E600))))))</f>
        <v/>
      </c>
      <c r="K601" s="25" t="str">
        <f>IF(OR(E601="",E601="!!!",F601="NEW"),"",INDEX(J$1:J600,SUMPRODUCT(MAX(ROW(E$1:E600)*(E601=E$1:E600)))))</f>
        <v/>
      </c>
      <c r="L601" s="26"/>
    </row>
    <row r="602" spans="1:12" x14ac:dyDescent="0.3">
      <c r="A602" t="s">
        <v>463</v>
      </c>
      <c r="B602" s="20" t="s">
        <v>165</v>
      </c>
      <c r="C602" s="20" t="s">
        <v>158</v>
      </c>
      <c r="D602" s="20" t="s">
        <v>146</v>
      </c>
      <c r="E602" s="21" t="s">
        <v>525</v>
      </c>
      <c r="F602" s="22" t="str">
        <f>IF(OR(E602="",E602="!!!"),"",IF(NOT(ISNA(VLOOKUP(E602,E$1:E601,1,FALSE()))),"OLD",IF(AND(E602&lt;&gt;"",E602&lt;&gt;"!!!"),"NEW","")))</f>
        <v>NEW</v>
      </c>
      <c r="G602" s="23" t="s">
        <v>482</v>
      </c>
      <c r="H602" s="24" t="str">
        <f t="shared" ca="1" si="55"/>
        <v/>
      </c>
      <c r="I602" s="25" t="str">
        <f>IF(OR(E602="",E602="!!!",F602="NEW"),"",INDEX(B$2:B601,-1+SUMPRODUCT(MAX(ROW(E$2:E601)*(E602=E$2:E601)))))</f>
        <v/>
      </c>
      <c r="J602" s="25" t="str">
        <f ca="1">IF(OR(E602="",E602="!!!",F602="NEW"),"",COUNTBLANK(OFFSET(A$1,,,SUMPRODUCT(MAX(ROW(E$2:E602)*(E602=E$2:E602)))))-COUNTBLANK(OFFSET(A$1,,,SUMPRODUCT(MAX(ROW(E$1:E601)*(E2=E$1:E601))))))</f>
        <v/>
      </c>
      <c r="K602" s="25" t="str">
        <f>IF(OR(E602="",E602="!!!",F602="NEW"),"",INDEX(J$1:J601,SUMPRODUCT(MAX(ROW(E$1:E601)*(E602=E$1:E601)))))</f>
        <v/>
      </c>
      <c r="L602" s="26"/>
    </row>
    <row r="603" spans="1:12" x14ac:dyDescent="0.3">
      <c r="A603" t="s">
        <v>464</v>
      </c>
      <c r="E603" s="21" t="str">
        <f t="shared" si="54"/>
        <v/>
      </c>
      <c r="F603" s="22" t="str">
        <f>IF(OR(E603="",E603="!!!"),"",IF(NOT(ISNA(VLOOKUP(E603,E$1:E602,1,FALSE()))),"OLD",IF(AND(E603&lt;&gt;"",E603&lt;&gt;"!!!"),"NEW","")))</f>
        <v/>
      </c>
      <c r="G603" s="23" t="str">
        <f>IF(OR(E603="",E603="!!!"),"",IF(OR(J603=0,AND(J603=1,K603=1),AND(J603=1,I603="SBJ"),AND(J603=1,I603=0)),"?IN_FOCUS",IF(J603&lt;=2,"?ACTIVATED",IF(J603&lt;&gt;"","?FAMILIAR",IF(F603="NEW",IF(ISNA(VLOOKUP(E603,#REF!,1,FALSE())),"?TYPE_IDENTIFIABLE","?REFERENTIAL"),"_")))))</f>
        <v/>
      </c>
      <c r="H603" s="24" t="str">
        <f t="shared" ca="1" si="55"/>
        <v/>
      </c>
      <c r="I603" s="25" t="str">
        <f>IF(OR(E603="",E603="!!!",F603="NEW"),"",INDEX(B$2:B602,-1+SUMPRODUCT(MAX(ROW(E$2:E602)*(E603=E$2:E602)))))</f>
        <v/>
      </c>
      <c r="J603" s="25" t="str">
        <f ca="1">IF(OR(E603="",E603="!!!",F603="NEW"),"",COUNTBLANK(OFFSET(A$1,,,SUMPRODUCT(MAX(ROW(E$2:E603)*(E603=E$2:E603)))))-COUNTBLANK(OFFSET(A$1,,,SUMPRODUCT(MAX(ROW(E$1:E602)*(E2=E$1:E602))))))</f>
        <v/>
      </c>
      <c r="K603" s="25" t="str">
        <f>IF(OR(E603="",E603="!!!",F603="NEW"),"",INDEX(J$1:J602,SUMPRODUCT(MAX(ROW(E$1:E602)*(E603=E$1:E602)))))</f>
        <v/>
      </c>
      <c r="L603" s="26"/>
    </row>
    <row r="604" spans="1:12" x14ac:dyDescent="0.3">
      <c r="A604" t="s">
        <v>465</v>
      </c>
      <c r="E604" s="21" t="str">
        <f t="shared" si="54"/>
        <v/>
      </c>
      <c r="F604" s="22" t="str">
        <f>IF(OR(E604="",E604="!!!"),"",IF(NOT(ISNA(VLOOKUP(E604,E$1:E603,1,FALSE()))),"OLD",IF(AND(E604&lt;&gt;"",E604&lt;&gt;"!!!"),"NEW","")))</f>
        <v/>
      </c>
      <c r="G604" s="23" t="str">
        <f>IF(OR(E604="",E604="!!!"),"",IF(OR(J604=0,AND(J604=1,K604=1),AND(J604=1,I604="SBJ"),AND(J604=1,I604=0)),"?IN_FOCUS",IF(J604&lt;=2,"?ACTIVATED",IF(J604&lt;&gt;"","?FAMILIAR",IF(F604="NEW",IF(ISNA(VLOOKUP(E604,#REF!,1,FALSE())),"?TYPE_IDENTIFIABLE","?REFERENTIAL"),"_")))))</f>
        <v/>
      </c>
      <c r="H604" s="24" t="str">
        <f t="shared" ca="1" si="55"/>
        <v/>
      </c>
      <c r="I604" s="25" t="str">
        <f>IF(OR(E604="",E604="!!!",F604="NEW"),"",INDEX(B$2:B603,-1+SUMPRODUCT(MAX(ROW(E$2:E603)*(E604=E$2:E603)))))</f>
        <v/>
      </c>
      <c r="J604" s="25" t="str">
        <f ca="1">IF(OR(E604="",E604="!!!",F604="NEW"),"",COUNTBLANK(OFFSET(A$1,,,SUMPRODUCT(MAX(ROW(E$2:E604)*(E604=E$2:E604)))))-COUNTBLANK(OFFSET(A$1,,,SUMPRODUCT(MAX(ROW(E$1:E603)*(E2=E$1:E603))))))</f>
        <v/>
      </c>
      <c r="K604" s="25" t="str">
        <f>IF(OR(E604="",E604="!!!",F604="NEW"),"",INDEX(J$1:J603,SUMPRODUCT(MAX(ROW(E$1:E603)*(E604=E$1:E603)))))</f>
        <v/>
      </c>
      <c r="L604" s="26"/>
    </row>
    <row r="605" spans="1:12" x14ac:dyDescent="0.3">
      <c r="A605" t="s">
        <v>167</v>
      </c>
      <c r="E605" s="21" t="str">
        <f t="shared" si="54"/>
        <v/>
      </c>
      <c r="F605" s="22" t="str">
        <f>IF(OR(E605="",E605="!!!"),"",IF(NOT(ISNA(VLOOKUP(E605,E$1:E604,1,FALSE()))),"OLD",IF(AND(E605&lt;&gt;"",E605&lt;&gt;"!!!"),"NEW","")))</f>
        <v/>
      </c>
      <c r="G605" s="23" t="str">
        <f>IF(OR(E605="",E605="!!!"),"",IF(OR(J605=0,AND(J605=1,K605=1),AND(J605=1,I605="SBJ"),AND(J605=1,I605=0)),"?IN_FOCUS",IF(J605&lt;=2,"?ACTIVATED",IF(J605&lt;&gt;"","?FAMILIAR",IF(F605="NEW",IF(ISNA(VLOOKUP(E605,#REF!,1,FALSE())),"?TYPE_IDENTIFIABLE","?REFERENTIAL"),"_")))))</f>
        <v/>
      </c>
      <c r="H605" s="24" t="str">
        <f t="shared" ca="1" si="55"/>
        <v/>
      </c>
      <c r="I605" s="25" t="str">
        <f>IF(OR(E605="",E605="!!!",F605="NEW"),"",INDEX(B$2:B604,-1+SUMPRODUCT(MAX(ROW(E$2:E604)*(E605=E$2:E604)))))</f>
        <v/>
      </c>
      <c r="J605" s="25" t="str">
        <f ca="1">IF(OR(E605="",E605="!!!",F605="NEW"),"",COUNTBLANK(OFFSET(A$1,,,SUMPRODUCT(MAX(ROW(E$2:E605)*(E605=E$2:E605)))))-COUNTBLANK(OFFSET(A$1,,,SUMPRODUCT(MAX(ROW(E$1:E604)*(E2=E$1:E604))))))</f>
        <v/>
      </c>
      <c r="K605" s="25" t="str">
        <f>IF(OR(E605="",E605="!!!",F605="NEW"),"",INDEX(J$1:J604,SUMPRODUCT(MAX(ROW(E$1:E604)*(E605=E$1:E604)))))</f>
        <v/>
      </c>
      <c r="L605" s="26"/>
    </row>
    <row r="607" spans="1:12" x14ac:dyDescent="0.3">
      <c r="A607" t="s">
        <v>466</v>
      </c>
    </row>
    <row r="608" spans="1:12" x14ac:dyDescent="0.3">
      <c r="A608" t="s">
        <v>352</v>
      </c>
      <c r="E608" s="21" t="str">
        <f t="shared" ref="E608:E623" si="56">IF(D608="?OLD","!!!","")</f>
        <v/>
      </c>
      <c r="F608" s="22" t="str">
        <f>IF(OR(E608="",E608="!!!"),"",IF(NOT(ISNA(VLOOKUP(E608,E$1:E607,1,FALSE()))),"OLD",IF(AND(E608&lt;&gt;"",E608&lt;&gt;"!!!"),"NEW","")))</f>
        <v/>
      </c>
      <c r="G608" s="23" t="str">
        <f>IF(OR(E608="",E608="!!!"),"",IF(OR(J608=0,AND(J608=1,K608=1),AND(J608=1,I608="SBJ"),AND(J608=1,I608=0)),"?IN_FOCUS",IF(J608&lt;=2,"?ACTIVATED",IF(J608&lt;&gt;"","?FAMILIAR",IF(F608="NEW",IF(ISNA(VLOOKUP(E608,#REF!,1,FALSE())),"?TYPE_IDENTIFIABLE","?REFERENTIAL"),"_")))))</f>
        <v/>
      </c>
      <c r="H608" s="24" t="str">
        <f t="shared" ref="H608:H623" ca="1" si="57">IF(J608&lt;&gt;1,"",IF(I608="SBJ","CB","?"))</f>
        <v/>
      </c>
      <c r="I608" s="25" t="str">
        <f>IF(OR(E608="",E608="!!!",F608="NEW"),"",INDEX(B$2:B607,-1+SUMPRODUCT(MAX(ROW(E$2:E607)*(E608=E$2:E607)))))</f>
        <v/>
      </c>
      <c r="J608" s="25" t="str">
        <f ca="1">IF(OR(E608="",E608="!!!",F608="NEW"),"",COUNTBLANK(OFFSET(A$1,,,SUMPRODUCT(MAX(ROW(E$2:E608)*(E608=E$2:E608)))))-COUNTBLANK(OFFSET(A$1,,,SUMPRODUCT(MAX(ROW(E$1:E607)*(E2=E$1:E607))))))</f>
        <v/>
      </c>
      <c r="K608" s="25" t="str">
        <f>IF(OR(E608="",E608="!!!",F608="NEW"),"",INDEX(J$1:J607,SUMPRODUCT(MAX(ROW(E$1:E607)*(E608=E$1:E607)))))</f>
        <v/>
      </c>
      <c r="L608" s="26"/>
    </row>
    <row r="609" spans="1:12" x14ac:dyDescent="0.3">
      <c r="A609" t="s">
        <v>467</v>
      </c>
      <c r="B609" s="20" t="s">
        <v>144</v>
      </c>
      <c r="C609" s="20" t="s">
        <v>317</v>
      </c>
      <c r="D609" s="20" t="s">
        <v>146</v>
      </c>
      <c r="E609" s="21"/>
      <c r="F609" s="22" t="str">
        <f>IF(OR(E609="",E609="!!!"),"",IF(NOT(ISNA(VLOOKUP(E609,E$1:E608,1,FALSE()))),"OLD",IF(AND(E609&lt;&gt;"",E609&lt;&gt;"!!!"),"NEW","")))</f>
        <v/>
      </c>
      <c r="G609" s="23" t="str">
        <f>IF(OR(E609="",E609="!!!"),"",IF(OR(J609=0,AND(J609=1,K609=1),AND(J609=1,I609="SBJ"),AND(J609=1,I609=0)),"?IN_FOCUS",IF(J609&lt;=2,"?ACTIVATED",IF(J609&lt;&gt;"","?FAMILIAR",IF(F609="NEW",IF(ISNA(VLOOKUP(E609,#REF!,1,FALSE())),"?TYPE_IDENTIFIABLE","?REFERENTIAL"),"_")))))</f>
        <v/>
      </c>
      <c r="H609" s="24" t="str">
        <f t="shared" ca="1" si="57"/>
        <v/>
      </c>
      <c r="I609" s="25" t="str">
        <f>IF(OR(E609="",E609="!!!",F609="NEW"),"",INDEX(B$2:B608,-1+SUMPRODUCT(MAX(ROW(E$2:E608)*(E609=E$2:E608)))))</f>
        <v/>
      </c>
      <c r="J609" s="25" t="str">
        <f ca="1">IF(OR(E609="",E609="!!!",F609="NEW"),"",COUNTBLANK(OFFSET(A$1,,,SUMPRODUCT(MAX(ROW(E$2:E609)*(E609=E$2:E609)))))-COUNTBLANK(OFFSET(A$1,,,SUMPRODUCT(MAX(ROW(E$1:E608)*(E2=E$1:E608))))))</f>
        <v/>
      </c>
      <c r="K609" s="25" t="str">
        <f>IF(OR(E609="",E609="!!!",F609="NEW"),"",INDEX(J$1:J608,SUMPRODUCT(MAX(ROW(E$1:E608)*(E609=E$1:E608)))))</f>
        <v/>
      </c>
      <c r="L609" s="26"/>
    </row>
    <row r="610" spans="1:12" x14ac:dyDescent="0.3">
      <c r="A610" t="s">
        <v>307</v>
      </c>
      <c r="B610" s="20" t="s">
        <v>149</v>
      </c>
      <c r="C610" s="20" t="s">
        <v>319</v>
      </c>
      <c r="D610" s="20" t="s">
        <v>146</v>
      </c>
      <c r="E610" s="21" t="s">
        <v>522</v>
      </c>
      <c r="F610" s="22" t="str">
        <f>IF(OR(E610="",E610="!!!"),"",IF(NOT(ISNA(VLOOKUP(E610,E$1:E609,1,FALSE()))),"OLD",IF(AND(E610&lt;&gt;"",E610&lt;&gt;"!!!"),"NEW","")))</f>
        <v>OLD</v>
      </c>
      <c r="G610" s="23" t="s">
        <v>482</v>
      </c>
      <c r="H610" s="24" t="str">
        <f t="shared" ca="1" si="57"/>
        <v/>
      </c>
      <c r="I610" s="25" t="str">
        <f>IF(OR(E610="",E610="!!!",F610="NEW"),"",INDEX(B$2:B609,-1+SUMPRODUCT(MAX(ROW(E$2:E609)*(E610=E$2:E609)))))</f>
        <v>other</v>
      </c>
      <c r="J610" s="25">
        <f ca="1">IF(OR(E610="",E610="!!!",F610="NEW"),"",COUNTBLANK(OFFSET(A$1,,,SUMPRODUCT(MAX(ROW(E$2:E610)*(E610=E$2:E610)))))-COUNTBLANK(OFFSET(A$1,,,SUMPRODUCT(MAX(ROW(E$1:E609)*(E2=E$1:E609))))))</f>
        <v>0</v>
      </c>
      <c r="K610" s="25" t="str">
        <f ca="1">IF(OR(E610="",E610="!!!",F610="NEW"),"",INDEX(J$1:J609,SUMPRODUCT(MAX(ROW(E$1:E609)*(E610=E$1:E609)))))</f>
        <v/>
      </c>
      <c r="L610" s="26"/>
    </row>
    <row r="611" spans="1:12" x14ac:dyDescent="0.3">
      <c r="A611" t="s">
        <v>182</v>
      </c>
      <c r="E611" s="21" t="str">
        <f t="shared" si="56"/>
        <v/>
      </c>
      <c r="F611" s="22" t="str">
        <f>IF(OR(E611="",E611="!!!"),"",IF(NOT(ISNA(VLOOKUP(E611,E$1:E610,1,FALSE()))),"OLD",IF(AND(E611&lt;&gt;"",E611&lt;&gt;"!!!"),"NEW","")))</f>
        <v/>
      </c>
      <c r="G611" s="23" t="str">
        <f>IF(OR(E611="",E611="!!!"),"",IF(OR(J611=0,AND(J611=1,K611=1),AND(J611=1,I611="SBJ"),AND(J611=1,I611=0)),"?IN_FOCUS",IF(J611&lt;=2,"?ACTIVATED",IF(J611&lt;&gt;"","?FAMILIAR",IF(F611="NEW",IF(ISNA(VLOOKUP(E611,#REF!,1,FALSE())),"?TYPE_IDENTIFIABLE","?REFERENTIAL"),"_")))))</f>
        <v/>
      </c>
      <c r="H611" s="24" t="str">
        <f t="shared" ca="1" si="57"/>
        <v/>
      </c>
      <c r="I611" s="25" t="str">
        <f>IF(OR(E611="",E611="!!!",F611="NEW"),"",INDEX(B$2:B610,-1+SUMPRODUCT(MAX(ROW(E$2:E610)*(E611=E$2:E610)))))</f>
        <v/>
      </c>
      <c r="J611" s="25" t="str">
        <f ca="1">IF(OR(E611="",E611="!!!",F611="NEW"),"",COUNTBLANK(OFFSET(A$1,,,SUMPRODUCT(MAX(ROW(E$2:E611)*(E611=E$2:E611)))))-COUNTBLANK(OFFSET(A$1,,,SUMPRODUCT(MAX(ROW(E$1:E610)*(E2=E$1:E610))))))</f>
        <v/>
      </c>
      <c r="K611" s="25" t="str">
        <f>IF(OR(E611="",E611="!!!",F611="NEW"),"",INDEX(J$1:J610,SUMPRODUCT(MAX(ROW(E$1:E610)*(E611=E$1:E610)))))</f>
        <v/>
      </c>
      <c r="L611" s="26"/>
    </row>
    <row r="612" spans="1:12" x14ac:dyDescent="0.3">
      <c r="A612" t="s">
        <v>177</v>
      </c>
      <c r="E612" s="21" t="str">
        <f t="shared" si="56"/>
        <v/>
      </c>
      <c r="F612" s="22" t="str">
        <f>IF(OR(E612="",E612="!!!"),"",IF(NOT(ISNA(VLOOKUP(E612,E$1:E611,1,FALSE()))),"OLD",IF(AND(E612&lt;&gt;"",E612&lt;&gt;"!!!"),"NEW","")))</f>
        <v/>
      </c>
      <c r="G612" s="23" t="str">
        <f>IF(OR(E612="",E612="!!!"),"",IF(OR(J612=0,AND(J612=1,K612=1),AND(J612=1,I612="SBJ"),AND(J612=1,I612=0)),"?IN_FOCUS",IF(J612&lt;=2,"?ACTIVATED",IF(J612&lt;&gt;"","?FAMILIAR",IF(F612="NEW",IF(ISNA(VLOOKUP(E612,#REF!,1,FALSE())),"?TYPE_IDENTIFIABLE","?REFERENTIAL"),"_")))))</f>
        <v/>
      </c>
      <c r="H612" s="24" t="str">
        <f t="shared" ca="1" si="57"/>
        <v/>
      </c>
      <c r="I612" s="25" t="str">
        <f>IF(OR(E612="",E612="!!!",F612="NEW"),"",INDEX(B$2:B611,-1+SUMPRODUCT(MAX(ROW(E$2:E611)*(E612=E$2:E611)))))</f>
        <v/>
      </c>
      <c r="J612" s="25" t="str">
        <f ca="1">IF(OR(E612="",E612="!!!",F612="NEW"),"",COUNTBLANK(OFFSET(A$1,,,SUMPRODUCT(MAX(ROW(E$2:E612)*(E612=E$2:E612)))))-COUNTBLANK(OFFSET(A$1,,,SUMPRODUCT(MAX(ROW(E$1:E611)*(E2=E$1:E611))))))</f>
        <v/>
      </c>
      <c r="K612" s="25" t="str">
        <f>IF(OR(E612="",E612="!!!",F612="NEW"),"",INDEX(J$1:J611,SUMPRODUCT(MAX(ROW(E$1:E611)*(E612=E$1:E611)))))</f>
        <v/>
      </c>
      <c r="L612" s="26"/>
    </row>
    <row r="613" spans="1:12" x14ac:dyDescent="0.3">
      <c r="A613" t="s">
        <v>341</v>
      </c>
      <c r="E613" s="21" t="str">
        <f t="shared" si="56"/>
        <v/>
      </c>
      <c r="F613" s="22" t="str">
        <f>IF(OR(E613="",E613="!!!"),"",IF(NOT(ISNA(VLOOKUP(E613,E$1:E612,1,FALSE()))),"OLD",IF(AND(E613&lt;&gt;"",E613&lt;&gt;"!!!"),"NEW","")))</f>
        <v/>
      </c>
      <c r="G613" s="23" t="str">
        <f>IF(OR(E613="",E613="!!!"),"",IF(OR(J613=0,AND(J613=1,K613=1),AND(J613=1,I613="SBJ"),AND(J613=1,I613=0)),"?IN_FOCUS",IF(J613&lt;=2,"?ACTIVATED",IF(J613&lt;&gt;"","?FAMILIAR",IF(F613="NEW",IF(ISNA(VLOOKUP(E613,#REF!,1,FALSE())),"?TYPE_IDENTIFIABLE","?REFERENTIAL"),"_")))))</f>
        <v/>
      </c>
      <c r="H613" s="24" t="str">
        <f t="shared" ca="1" si="57"/>
        <v/>
      </c>
      <c r="I613" s="25" t="str">
        <f>IF(OR(E613="",E613="!!!",F613="NEW"),"",INDEX(B$2:B612,-1+SUMPRODUCT(MAX(ROW(E$2:E612)*(E613=E$2:E612)))))</f>
        <v/>
      </c>
      <c r="J613" s="25" t="str">
        <f ca="1">IF(OR(E613="",E613="!!!",F613="NEW"),"",COUNTBLANK(OFFSET(A$1,,,SUMPRODUCT(MAX(ROW(E$2:E613)*(E613=E$2:E613)))))-COUNTBLANK(OFFSET(A$1,,,SUMPRODUCT(MAX(ROW(E$1:E612)*(E2=E$1:E612))))))</f>
        <v/>
      </c>
      <c r="K613" s="25" t="str">
        <f>IF(OR(E613="",E613="!!!",F613="NEW"),"",INDEX(J$1:J612,SUMPRODUCT(MAX(ROW(E$1:E612)*(E613=E$1:E612)))))</f>
        <v/>
      </c>
      <c r="L613" s="26"/>
    </row>
    <row r="614" spans="1:12" x14ac:dyDescent="0.3">
      <c r="A614" t="s">
        <v>468</v>
      </c>
      <c r="E614" s="21" t="str">
        <f t="shared" si="56"/>
        <v/>
      </c>
      <c r="F614" s="22" t="str">
        <f>IF(OR(E614="",E614="!!!"),"",IF(NOT(ISNA(VLOOKUP(E614,E$1:E613,1,FALSE()))),"OLD",IF(AND(E614&lt;&gt;"",E614&lt;&gt;"!!!"),"NEW","")))</f>
        <v/>
      </c>
      <c r="G614" s="23" t="str">
        <f>IF(OR(E614="",E614="!!!"),"",IF(OR(J614=0,AND(J614=1,K614=1),AND(J614=1,I614="SBJ"),AND(J614=1,I614=0)),"?IN_FOCUS",IF(J614&lt;=2,"?ACTIVATED",IF(J614&lt;&gt;"","?FAMILIAR",IF(F614="NEW",IF(ISNA(VLOOKUP(E614,#REF!,1,FALSE())),"?TYPE_IDENTIFIABLE","?REFERENTIAL"),"_")))))</f>
        <v/>
      </c>
      <c r="H614" s="24" t="str">
        <f t="shared" ca="1" si="57"/>
        <v/>
      </c>
      <c r="I614" s="25" t="str">
        <f>IF(OR(E614="",E614="!!!",F614="NEW"),"",INDEX(B$2:B613,-1+SUMPRODUCT(MAX(ROW(E$2:E613)*(E614=E$2:E613)))))</f>
        <v/>
      </c>
      <c r="J614" s="25" t="str">
        <f ca="1">IF(OR(E614="",E614="!!!",F614="NEW"),"",COUNTBLANK(OFFSET(A$1,,,SUMPRODUCT(MAX(ROW(E$2:E614)*(E614=E$2:E614)))))-COUNTBLANK(OFFSET(A$1,,,SUMPRODUCT(MAX(ROW(E$1:E613)*(E2=E$1:E613))))))</f>
        <v/>
      </c>
      <c r="K614" s="25" t="str">
        <f>IF(OR(E614="",E614="!!!",F614="NEW"),"",INDEX(J$1:J613,SUMPRODUCT(MAX(ROW(E$1:E613)*(E614=E$1:E613)))))</f>
        <v/>
      </c>
      <c r="L614" s="26"/>
    </row>
    <row r="615" spans="1:12" x14ac:dyDescent="0.3">
      <c r="A615" t="s">
        <v>202</v>
      </c>
      <c r="E615" s="21" t="str">
        <f t="shared" si="56"/>
        <v/>
      </c>
      <c r="F615" s="22" t="str">
        <f>IF(OR(E615="",E615="!!!"),"",IF(NOT(ISNA(VLOOKUP(E615,E$1:E614,1,FALSE()))),"OLD",IF(AND(E615&lt;&gt;"",E615&lt;&gt;"!!!"),"NEW","")))</f>
        <v/>
      </c>
      <c r="G615" s="23" t="str">
        <f>IF(OR(E615="",E615="!!!"),"",IF(OR(J615=0,AND(J615=1,K615=1),AND(J615=1,I615="SBJ"),AND(J615=1,I615=0)),"?IN_FOCUS",IF(J615&lt;=2,"?ACTIVATED",IF(J615&lt;&gt;"","?FAMILIAR",IF(F615="NEW",IF(ISNA(VLOOKUP(E615,#REF!,1,FALSE())),"?TYPE_IDENTIFIABLE","?REFERENTIAL"),"_")))))</f>
        <v/>
      </c>
      <c r="H615" s="24" t="str">
        <f t="shared" ca="1" si="57"/>
        <v/>
      </c>
      <c r="I615" s="25" t="str">
        <f>IF(OR(E615="",E615="!!!",F615="NEW"),"",INDEX(B$2:B614,-1+SUMPRODUCT(MAX(ROW(E$2:E614)*(E615=E$2:E614)))))</f>
        <v/>
      </c>
      <c r="J615" s="25" t="str">
        <f ca="1">IF(OR(E615="",E615="!!!",F615="NEW"),"",COUNTBLANK(OFFSET(A$1,,,SUMPRODUCT(MAX(ROW(E$2:E615)*(E615=E$2:E615)))))-COUNTBLANK(OFFSET(A$1,,,SUMPRODUCT(MAX(ROW(E$1:E614)*(E2=E$1:E614))))))</f>
        <v/>
      </c>
      <c r="K615" s="25" t="str">
        <f>IF(OR(E615="",E615="!!!",F615="NEW"),"",INDEX(J$1:J614,SUMPRODUCT(MAX(ROW(E$1:E614)*(E615=E$1:E614)))))</f>
        <v/>
      </c>
      <c r="L615" s="26"/>
    </row>
    <row r="616" spans="1:12" x14ac:dyDescent="0.3">
      <c r="A616" t="s">
        <v>469</v>
      </c>
      <c r="E616" s="21" t="str">
        <f t="shared" si="56"/>
        <v/>
      </c>
      <c r="F616" s="22" t="str">
        <f>IF(OR(E616="",E616="!!!"),"",IF(NOT(ISNA(VLOOKUP(E616,E$1:E615,1,FALSE()))),"OLD",IF(AND(E616&lt;&gt;"",E616&lt;&gt;"!!!"),"NEW","")))</f>
        <v/>
      </c>
      <c r="G616" s="23" t="str">
        <f>IF(OR(E616="",E616="!!!"),"",IF(OR(J616=0,AND(J616=1,K616=1),AND(J616=1,I616="SBJ"),AND(J616=1,I616=0)),"?IN_FOCUS",IF(J616&lt;=2,"?ACTIVATED",IF(J616&lt;&gt;"","?FAMILIAR",IF(F616="NEW",IF(ISNA(VLOOKUP(E616,#REF!,1,FALSE())),"?TYPE_IDENTIFIABLE","?REFERENTIAL"),"_")))))</f>
        <v/>
      </c>
      <c r="H616" s="24" t="str">
        <f t="shared" ca="1" si="57"/>
        <v/>
      </c>
      <c r="I616" s="25" t="str">
        <f>IF(OR(E616="",E616="!!!",F616="NEW"),"",INDEX(B$2:B615,-1+SUMPRODUCT(MAX(ROW(E$2:E615)*(E616=E$2:E615)))))</f>
        <v/>
      </c>
      <c r="J616" s="25" t="str">
        <f ca="1">IF(OR(E616="",E616="!!!",F616="NEW"),"",COUNTBLANK(OFFSET(A$1,,,SUMPRODUCT(MAX(ROW(E$2:E616)*(E616=E$2:E616)))))-COUNTBLANK(OFFSET(A$1,,,SUMPRODUCT(MAX(ROW(E$1:E615)*(E2=E$1:E615))))))</f>
        <v/>
      </c>
      <c r="K616" s="25" t="str">
        <f>IF(OR(E616="",E616="!!!",F616="NEW"),"",INDEX(J$1:J615,SUMPRODUCT(MAX(ROW(E$1:E615)*(E616=E$1:E615)))))</f>
        <v/>
      </c>
      <c r="L616" s="26"/>
    </row>
    <row r="617" spans="1:12" x14ac:dyDescent="0.3">
      <c r="A617" t="s">
        <v>470</v>
      </c>
      <c r="B617" s="20" t="s">
        <v>149</v>
      </c>
      <c r="C617" s="20" t="s">
        <v>197</v>
      </c>
      <c r="E617" s="21" t="s">
        <v>526</v>
      </c>
      <c r="F617" s="22" t="str">
        <f>IF(OR(E617="",E617="!!!"),"",IF(NOT(ISNA(VLOOKUP(E617,E$1:E616,1,FALSE()))),"OLD",IF(AND(E617&lt;&gt;"",E617&lt;&gt;"!!!"),"NEW","")))</f>
        <v>NEW</v>
      </c>
      <c r="G617" s="23" t="s">
        <v>483</v>
      </c>
      <c r="H617" s="24" t="str">
        <f t="shared" ca="1" si="57"/>
        <v/>
      </c>
      <c r="I617" s="25" t="str">
        <f>IF(OR(E617="",E617="!!!",F617="NEW"),"",INDEX(B$2:B616,-1+SUMPRODUCT(MAX(ROW(E$2:E616)*(E617=E$2:E616)))))</f>
        <v/>
      </c>
      <c r="J617" s="25" t="str">
        <f ca="1">IF(OR(E617="",E617="!!!",F617="NEW"),"",COUNTBLANK(OFFSET(A$1,,,SUMPRODUCT(MAX(ROW(E$2:E617)*(E617=E$2:E617)))))-COUNTBLANK(OFFSET(A$1,,,SUMPRODUCT(MAX(ROW(E$1:E616)*(E2=E$1:E616))))))</f>
        <v/>
      </c>
      <c r="K617" s="25" t="str">
        <f>IF(OR(E617="",E617="!!!",F617="NEW"),"",INDEX(J$1:J616,SUMPRODUCT(MAX(ROW(E$1:E616)*(E617=E$1:E616)))))</f>
        <v/>
      </c>
      <c r="L617" s="26"/>
    </row>
    <row r="618" spans="1:12" x14ac:dyDescent="0.3">
      <c r="A618" t="s">
        <v>327</v>
      </c>
      <c r="B618" s="20" t="s">
        <v>144</v>
      </c>
      <c r="C618" s="20" t="s">
        <v>145</v>
      </c>
      <c r="D618" s="20" t="s">
        <v>146</v>
      </c>
      <c r="E618" s="21" t="s">
        <v>480</v>
      </c>
      <c r="F618" s="22" t="str">
        <f>IF(OR(E618="",E618="!!!"),"",IF(NOT(ISNA(VLOOKUP(E618,E$1:E617,1,FALSE()))),"OLD",IF(AND(E618&lt;&gt;"",E618&lt;&gt;"!!!"),"NEW","")))</f>
        <v>OLD</v>
      </c>
      <c r="G618" s="23" t="s">
        <v>527</v>
      </c>
      <c r="H618" s="24" t="s">
        <v>138</v>
      </c>
      <c r="I618" s="25" t="str">
        <f>IF(OR(E618="",E618="!!!",F618="NEW"),"",INDEX(B$2:B617,-1+SUMPRODUCT(MAX(ROW(E$2:E617)*(E618=E$2:E617)))))</f>
        <v>OBJ_2</v>
      </c>
      <c r="J618" s="25">
        <f ca="1">IF(OR(E618="",E618="!!!",F618="NEW"),"",COUNTBLANK(OFFSET(A$1,,,SUMPRODUCT(MAX(ROW(E$2:E618)*(E618=E$2:E618)))))-COUNTBLANK(OFFSET(A$1,,,SUMPRODUCT(MAX(ROW(E$1:E617)*(E2=E$1:E617))))))</f>
        <v>0</v>
      </c>
      <c r="K618" s="25">
        <f ca="1">IF(OR(E618="",E618="!!!",F618="NEW"),"",INDEX(J$1:J617,SUMPRODUCT(MAX(ROW(E$1:E617)*(E618=E$1:E617)))))</f>
        <v>0</v>
      </c>
      <c r="L618" s="26"/>
    </row>
    <row r="619" spans="1:12" x14ac:dyDescent="0.3">
      <c r="A619" t="s">
        <v>471</v>
      </c>
      <c r="E619" s="21" t="str">
        <f t="shared" si="56"/>
        <v/>
      </c>
      <c r="F619" s="22" t="str">
        <f>IF(OR(E619="",E619="!!!"),"",IF(NOT(ISNA(VLOOKUP(E619,E$1:E618,1,FALSE()))),"OLD",IF(AND(E619&lt;&gt;"",E619&lt;&gt;"!!!"),"NEW","")))</f>
        <v/>
      </c>
      <c r="G619" s="23" t="str">
        <f>IF(OR(E619="",E619="!!!"),"",IF(OR(J619=0,AND(J619=1,K619=1),AND(J619=1,I619="SBJ"),AND(J619=1,I619=0)),"?IN_FOCUS",IF(J619&lt;=2,"?ACTIVATED",IF(J619&lt;&gt;"","?FAMILIAR",IF(F619="NEW",IF(ISNA(VLOOKUP(E619,#REF!,1,FALSE())),"?TYPE_IDENTIFIABLE","?REFERENTIAL"),"_")))))</f>
        <v/>
      </c>
      <c r="H619" s="24" t="str">
        <f t="shared" ca="1" si="57"/>
        <v/>
      </c>
      <c r="I619" s="25" t="str">
        <f>IF(OR(E619="",E619="!!!",F619="NEW"),"",INDEX(B$2:B618,-1+SUMPRODUCT(MAX(ROW(E$2:E618)*(E619=E$2:E618)))))</f>
        <v/>
      </c>
      <c r="J619" s="25" t="str">
        <f ca="1">IF(OR(E619="",E619="!!!",F619="NEW"),"",COUNTBLANK(OFFSET(A$1,,,SUMPRODUCT(MAX(ROW(E$2:E619)*(E619=E$2:E619)))))-COUNTBLANK(OFFSET(A$1,,,SUMPRODUCT(MAX(ROW(E$1:E618)*(E2=E$1:E618))))))</f>
        <v/>
      </c>
      <c r="K619" s="25" t="str">
        <f>IF(OR(E619="",E619="!!!",F619="NEW"),"",INDEX(J$1:J618,SUMPRODUCT(MAX(ROW(E$1:E618)*(E619=E$1:E618)))))</f>
        <v/>
      </c>
      <c r="L619" s="26"/>
    </row>
    <row r="620" spans="1:12" x14ac:dyDescent="0.3">
      <c r="A620" t="s">
        <v>202</v>
      </c>
      <c r="E620" s="21" t="str">
        <f t="shared" si="56"/>
        <v/>
      </c>
      <c r="F620" s="22" t="str">
        <f>IF(OR(E620="",E620="!!!"),"",IF(NOT(ISNA(VLOOKUP(E620,E$1:E619,1,FALSE()))),"OLD",IF(AND(E620&lt;&gt;"",E620&lt;&gt;"!!!"),"NEW","")))</f>
        <v/>
      </c>
      <c r="G620" s="23" t="str">
        <f>IF(OR(E620="",E620="!!!"),"",IF(OR(J620=0,AND(J620=1,K620=1),AND(J620=1,I620="SBJ"),AND(J620=1,I620=0)),"?IN_FOCUS",IF(J620&lt;=2,"?ACTIVATED",IF(J620&lt;&gt;"","?FAMILIAR",IF(F620="NEW",IF(ISNA(VLOOKUP(E620,#REF!,1,FALSE())),"?TYPE_IDENTIFIABLE","?REFERENTIAL"),"_")))))</f>
        <v/>
      </c>
      <c r="H620" s="24" t="str">
        <f t="shared" ca="1" si="57"/>
        <v/>
      </c>
      <c r="I620" s="25" t="str">
        <f>IF(OR(E620="",E620="!!!",F620="NEW"),"",INDEX(B$2:B619,-1+SUMPRODUCT(MAX(ROW(E$2:E619)*(E620=E$2:E619)))))</f>
        <v/>
      </c>
      <c r="J620" s="25" t="str">
        <f ca="1">IF(OR(E620="",E620="!!!",F620="NEW"),"",COUNTBLANK(OFFSET(A$1,,,SUMPRODUCT(MAX(ROW(E$2:E620)*(E620=E$2:E620)))))-COUNTBLANK(OFFSET(A$1,,,SUMPRODUCT(MAX(ROW(E$1:E619)*(E2=E$1:E619))))))</f>
        <v/>
      </c>
      <c r="K620" s="25" t="str">
        <f>IF(OR(E620="",E620="!!!",F620="NEW"),"",INDEX(J$1:J619,SUMPRODUCT(MAX(ROW(E$1:E619)*(E620=E$1:E619)))))</f>
        <v/>
      </c>
      <c r="L620" s="26"/>
    </row>
    <row r="621" spans="1:12" x14ac:dyDescent="0.3">
      <c r="A621" t="s">
        <v>472</v>
      </c>
      <c r="B621" s="20" t="s">
        <v>149</v>
      </c>
      <c r="C621" s="20" t="s">
        <v>145</v>
      </c>
      <c r="D621" s="20" t="s">
        <v>146</v>
      </c>
      <c r="E621" s="21"/>
      <c r="F621" s="22" t="s">
        <v>484</v>
      </c>
      <c r="G621" s="23"/>
      <c r="H621" s="24" t="str">
        <f t="shared" ca="1" si="57"/>
        <v/>
      </c>
      <c r="I621" s="25" t="str">
        <f>IF(OR(E621="",E621="!!!",F621="NEW"),"",INDEX(B$2:B620,-1+SUMPRODUCT(MAX(ROW(E$2:E620)*(E621=E$2:E620)))))</f>
        <v/>
      </c>
      <c r="J621" s="25" t="str">
        <f ca="1">IF(OR(E621="",E621="!!!",F621="NEW"),"",COUNTBLANK(OFFSET(A$1,,,SUMPRODUCT(MAX(ROW(E$2:E621)*(E621=E$2:E621)))))-COUNTBLANK(OFFSET(A$1,,,SUMPRODUCT(MAX(ROW(E$1:E620)*(E2=E$1:E620))))))</f>
        <v/>
      </c>
      <c r="K621" s="25" t="str">
        <f>IF(OR(E621="",E621="!!!",F621="NEW"),"",INDEX(J$1:J620,SUMPRODUCT(MAX(ROW(E$1:E620)*(E621=E$1:E620)))))</f>
        <v/>
      </c>
      <c r="L621" s="26"/>
    </row>
    <row r="622" spans="1:12" x14ac:dyDescent="0.3">
      <c r="A622" t="s">
        <v>473</v>
      </c>
      <c r="E622" s="21" t="str">
        <f t="shared" si="56"/>
        <v/>
      </c>
      <c r="F622" s="22" t="str">
        <f>IF(OR(E622="",E622="!!!"),"",IF(NOT(ISNA(VLOOKUP(E622,E$1:E621,1,FALSE()))),"OLD",IF(AND(E622&lt;&gt;"",E622&lt;&gt;"!!!"),"NEW","")))</f>
        <v/>
      </c>
      <c r="G622" s="23" t="str">
        <f>IF(OR(E622="",E622="!!!"),"",IF(OR(J622=0,AND(J622=1,K622=1),AND(J622=1,I622="SBJ"),AND(J622=1,I622=0)),"?IN_FOCUS",IF(J622&lt;=2,"?ACTIVATED",IF(J622&lt;&gt;"","?FAMILIAR",IF(F622="NEW",IF(ISNA(VLOOKUP(E622,#REF!,1,FALSE())),"?TYPE_IDENTIFIABLE","?REFERENTIAL"),"_")))))</f>
        <v/>
      </c>
      <c r="H622" s="24" t="str">
        <f t="shared" ca="1" si="57"/>
        <v/>
      </c>
      <c r="I622" s="25" t="str">
        <f>IF(OR(E622="",E622="!!!",F622="NEW"),"",INDEX(B$2:B621,-1+SUMPRODUCT(MAX(ROW(E$2:E621)*(E622=E$2:E621)))))</f>
        <v/>
      </c>
      <c r="J622" s="25" t="str">
        <f ca="1">IF(OR(E622="",E622="!!!",F622="NEW"),"",COUNTBLANK(OFFSET(A$1,,,SUMPRODUCT(MAX(ROW(E$2:E622)*(E622=E$2:E622)))))-COUNTBLANK(OFFSET(A$1,,,SUMPRODUCT(MAX(ROW(E$1:E621)*(E2=E$1:E621))))))</f>
        <v/>
      </c>
      <c r="K622" s="25" t="str">
        <f>IF(OR(E622="",E622="!!!",F622="NEW"),"",INDEX(J$1:J621,SUMPRODUCT(MAX(ROW(E$1:E621)*(E622=E$1:E621)))))</f>
        <v/>
      </c>
      <c r="L622" s="26"/>
    </row>
    <row r="623" spans="1:12" x14ac:dyDescent="0.3">
      <c r="A623" t="s">
        <v>167</v>
      </c>
      <c r="E623" s="21" t="str">
        <f t="shared" si="56"/>
        <v/>
      </c>
      <c r="F623" s="22" t="str">
        <f>IF(OR(E623="",E623="!!!"),"",IF(NOT(ISNA(VLOOKUP(E623,E$1:E622,1,FALSE()))),"OLD",IF(AND(E623&lt;&gt;"",E623&lt;&gt;"!!!"),"NEW","")))</f>
        <v/>
      </c>
      <c r="G623" s="23" t="str">
        <f>IF(OR(E623="",E623="!!!"),"",IF(OR(J623=0,AND(J623=1,K623=1),AND(J623=1,I623="SBJ"),AND(J623=1,I623=0)),"?IN_FOCUS",IF(J623&lt;=2,"?ACTIVATED",IF(J623&lt;&gt;"","?FAMILIAR",IF(F623="NEW",IF(ISNA(VLOOKUP(E623,#REF!,1,FALSE())),"?TYPE_IDENTIFIABLE","?REFERENTIAL"),"_")))))</f>
        <v/>
      </c>
      <c r="H623" s="24" t="str">
        <f t="shared" ca="1" si="57"/>
        <v/>
      </c>
      <c r="I623" s="25" t="str">
        <f>IF(OR(E623="",E623="!!!",F623="NEW"),"",INDEX(B$2:B622,-1+SUMPRODUCT(MAX(ROW(E$2:E622)*(E623=E$2:E622)))))</f>
        <v/>
      </c>
      <c r="J623" s="25" t="str">
        <f ca="1">IF(OR(E623="",E623="!!!",F623="NEW"),"",COUNTBLANK(OFFSET(A$1,,,SUMPRODUCT(MAX(ROW(E$2:E623)*(E623=E$2:E623)))))-COUNTBLANK(OFFSET(A$1,,,SUMPRODUCT(MAX(ROW(E$1:E622)*(E2=E$1:E622))))))</f>
        <v/>
      </c>
      <c r="K623" s="25" t="str">
        <f>IF(OR(E623="",E623="!!!",F623="NEW"),"",INDEX(J$1:J622,SUMPRODUCT(MAX(ROW(E$1:E622)*(E623=E$1:E622)))))</f>
        <v/>
      </c>
      <c r="L623" s="26"/>
    </row>
    <row r="625" spans="1:12" x14ac:dyDescent="0.3">
      <c r="A625" t="s">
        <v>474</v>
      </c>
    </row>
    <row r="626" spans="1:12" x14ac:dyDescent="0.3">
      <c r="A626" t="s">
        <v>147</v>
      </c>
      <c r="E626" s="21" t="s">
        <v>480</v>
      </c>
      <c r="F626" s="22" t="str">
        <f>IF(OR(E626="",E626="!!!"),"",IF(NOT(ISNA(VLOOKUP(E626,E$1:E625,1,FALSE()))),"OLD",IF(AND(E626&lt;&gt;"",E626&lt;&gt;"!!!"),"NEW","")))</f>
        <v>OLD</v>
      </c>
      <c r="G626" s="23" t="s">
        <v>527</v>
      </c>
      <c r="H626" s="24" t="s">
        <v>138</v>
      </c>
      <c r="I626" s="25" t="str">
        <f>IF(OR(E626="",E626="!!!",F626="NEW"),"",INDEX(B$2:B625,-1+SUMPRODUCT(MAX(ROW(E$2:E625)*(E626=E$2:E625)))))</f>
        <v>other_2</v>
      </c>
      <c r="J626" s="25">
        <f ca="1">IF(OR(E626="",E626="!!!",F626="NEW"),"",COUNTBLANK(OFFSET(A$1,,,SUMPRODUCT(MAX(ROW(E$2:E626)*(E626=E$2:E626)))))-COUNTBLANK(OFFSET(A$1,,,SUMPRODUCT(MAX(ROW(E$1:E625)*(E2=E$1:E625))))))</f>
        <v>0</v>
      </c>
      <c r="K626" s="25">
        <f ca="1">IF(OR(E626="",E626="!!!",F626="NEW"),"",INDEX(J$1:J625,SUMPRODUCT(MAX(ROW(E$1:E625)*(E626=E$1:E625)))))</f>
        <v>0</v>
      </c>
      <c r="L626" s="26"/>
    </row>
    <row r="627" spans="1:12" x14ac:dyDescent="0.3">
      <c r="A627" t="s">
        <v>182</v>
      </c>
      <c r="E627" s="21" t="str">
        <f t="shared" ref="E626:E640" si="58">IF(D627="?OLD","!!!","")</f>
        <v/>
      </c>
      <c r="F627" s="22" t="str">
        <f>IF(OR(E627="",E627="!!!"),"",IF(NOT(ISNA(VLOOKUP(E627,E$1:E626,1,FALSE()))),"OLD",IF(AND(E627&lt;&gt;"",E627&lt;&gt;"!!!"),"NEW","")))</f>
        <v/>
      </c>
      <c r="G627" s="23" t="str">
        <f>IF(OR(E627="",E627="!!!"),"",IF(OR(J627=0,AND(J627=1,K627=1),AND(J627=1,I627="SBJ"),AND(J627=1,I627=0)),"?IN_FOCUS",IF(J627&lt;=2,"?ACTIVATED",IF(J627&lt;&gt;"","?FAMILIAR",IF(F627="NEW",IF(ISNA(VLOOKUP(E627,#REF!,1,FALSE())),"?TYPE_IDENTIFIABLE","?REFERENTIAL"),"_")))))</f>
        <v/>
      </c>
      <c r="H627" s="24" t="str">
        <f t="shared" ref="H626:H640" ca="1" si="59">IF(J627&lt;&gt;1,"",IF(I627="SBJ","CB","?"))</f>
        <v/>
      </c>
      <c r="I627" s="25" t="str">
        <f>IF(OR(E627="",E627="!!!",F627="NEW"),"",INDEX(B$2:B626,-1+SUMPRODUCT(MAX(ROW(E$2:E626)*(E627=E$2:E626)))))</f>
        <v/>
      </c>
      <c r="J627" s="25" t="str">
        <f ca="1">IF(OR(E627="",E627="!!!",F627="NEW"),"",COUNTBLANK(OFFSET(A$1,,,SUMPRODUCT(MAX(ROW(E$2:E627)*(E627=E$2:E627)))))-COUNTBLANK(OFFSET(A$1,,,SUMPRODUCT(MAX(ROW(E$1:E626)*(E2=E$1:E626))))))</f>
        <v/>
      </c>
      <c r="K627" s="25" t="str">
        <f>IF(OR(E627="",E627="!!!",F627="NEW"),"",INDEX(J$1:J626,SUMPRODUCT(MAX(ROW(E$1:E626)*(E627=E$1:E626)))))</f>
        <v/>
      </c>
      <c r="L627" s="26"/>
    </row>
    <row r="628" spans="1:12" x14ac:dyDescent="0.3">
      <c r="A628" t="s">
        <v>428</v>
      </c>
      <c r="B628" s="20" t="s">
        <v>149</v>
      </c>
      <c r="C628" s="20" t="s">
        <v>150</v>
      </c>
      <c r="E628" s="21" t="str">
        <f t="shared" si="58"/>
        <v/>
      </c>
      <c r="F628" s="22" t="str">
        <f>IF(OR(E628="",E628="!!!"),"",IF(NOT(ISNA(VLOOKUP(E628,E$1:E627,1,FALSE()))),"OLD",IF(AND(E628&lt;&gt;"",E628&lt;&gt;"!!!"),"NEW","")))</f>
        <v/>
      </c>
      <c r="G628" s="23" t="str">
        <f>IF(OR(E628="",E628="!!!"),"",IF(OR(J628=0,AND(J628=1,K628=1),AND(J628=1,I628="SBJ"),AND(J628=1,I628=0)),"?IN_FOCUS",IF(J628&lt;=2,"?ACTIVATED",IF(J628&lt;&gt;"","?FAMILIAR",IF(F628="NEW",IF(ISNA(VLOOKUP(E628,#REF!,1,FALSE())),"?TYPE_IDENTIFIABLE","?REFERENTIAL"),"_")))))</f>
        <v/>
      </c>
      <c r="H628" s="24" t="str">
        <f t="shared" ca="1" si="59"/>
        <v/>
      </c>
      <c r="I628" s="25" t="str">
        <f>IF(OR(E628="",E628="!!!",F628="NEW"),"",INDEX(B$2:B627,-1+SUMPRODUCT(MAX(ROW(E$2:E627)*(E628=E$2:E627)))))</f>
        <v/>
      </c>
      <c r="J628" s="25" t="str">
        <f ca="1">IF(OR(E628="",E628="!!!",F628="NEW"),"",COUNTBLANK(OFFSET(A$1,,,SUMPRODUCT(MAX(ROW(E$2:E628)*(E628=E$2:E628)))))-COUNTBLANK(OFFSET(A$1,,,SUMPRODUCT(MAX(ROW(E$1:E627)*(E2=E$1:E627))))))</f>
        <v/>
      </c>
      <c r="K628" s="25" t="str">
        <f>IF(OR(E628="",E628="!!!",F628="NEW"),"",INDEX(J$1:J627,SUMPRODUCT(MAX(ROW(E$1:E627)*(E628=E$1:E627)))))</f>
        <v/>
      </c>
      <c r="L628" s="26"/>
    </row>
    <row r="629" spans="1:12" x14ac:dyDescent="0.3">
      <c r="A629" t="s">
        <v>202</v>
      </c>
      <c r="E629" s="21" t="str">
        <f t="shared" si="58"/>
        <v/>
      </c>
      <c r="F629" s="22" t="str">
        <f>IF(OR(E629="",E629="!!!"),"",IF(NOT(ISNA(VLOOKUP(E629,E$1:E628,1,FALSE()))),"OLD",IF(AND(E629&lt;&gt;"",E629&lt;&gt;"!!!"),"NEW","")))</f>
        <v/>
      </c>
      <c r="G629" s="23" t="str">
        <f>IF(OR(E629="",E629="!!!"),"",IF(OR(J629=0,AND(J629=1,K629=1),AND(J629=1,I629="SBJ"),AND(J629=1,I629=0)),"?IN_FOCUS",IF(J629&lt;=2,"?ACTIVATED",IF(J629&lt;&gt;"","?FAMILIAR",IF(F629="NEW",IF(ISNA(VLOOKUP(E629,#REF!,1,FALSE())),"?TYPE_IDENTIFIABLE","?REFERENTIAL"),"_")))))</f>
        <v/>
      </c>
      <c r="H629" s="24" t="str">
        <f t="shared" ca="1" si="59"/>
        <v/>
      </c>
      <c r="I629" s="25" t="str">
        <f>IF(OR(E629="",E629="!!!",F629="NEW"),"",INDEX(B$2:B628,-1+SUMPRODUCT(MAX(ROW(E$2:E628)*(E629=E$2:E628)))))</f>
        <v/>
      </c>
      <c r="J629" s="25" t="str">
        <f ca="1">IF(OR(E629="",E629="!!!",F629="NEW"),"",COUNTBLANK(OFFSET(A$1,,,SUMPRODUCT(MAX(ROW(E$2:E629)*(E629=E$2:E629)))))-COUNTBLANK(OFFSET(A$1,,,SUMPRODUCT(MAX(ROW(E$1:E628)*(E2=E$1:E628))))))</f>
        <v/>
      </c>
      <c r="K629" s="25" t="str">
        <f>IF(OR(E629="",E629="!!!",F629="NEW"),"",INDEX(J$1:J628,SUMPRODUCT(MAX(ROW(E$1:E628)*(E629=E$1:E628)))))</f>
        <v/>
      </c>
      <c r="L629" s="26"/>
    </row>
    <row r="630" spans="1:12" x14ac:dyDescent="0.3">
      <c r="A630" t="s">
        <v>475</v>
      </c>
      <c r="E630" s="21" t="str">
        <f t="shared" si="58"/>
        <v/>
      </c>
      <c r="F630" s="22" t="str">
        <f>IF(OR(E630="",E630="!!!"),"",IF(NOT(ISNA(VLOOKUP(E630,E$1:E629,1,FALSE()))),"OLD",IF(AND(E630&lt;&gt;"",E630&lt;&gt;"!!!"),"NEW","")))</f>
        <v/>
      </c>
      <c r="G630" s="23" t="str">
        <f>IF(OR(E630="",E630="!!!"),"",IF(OR(J630=0,AND(J630=1,K630=1),AND(J630=1,I630="SBJ"),AND(J630=1,I630=0)),"?IN_FOCUS",IF(J630&lt;=2,"?ACTIVATED",IF(J630&lt;&gt;"","?FAMILIAR",IF(F630="NEW",IF(ISNA(VLOOKUP(E630,#REF!,1,FALSE())),"?TYPE_IDENTIFIABLE","?REFERENTIAL"),"_")))))</f>
        <v/>
      </c>
      <c r="H630" s="24" t="str">
        <f t="shared" ca="1" si="59"/>
        <v/>
      </c>
      <c r="I630" s="25" t="str">
        <f>IF(OR(E630="",E630="!!!",F630="NEW"),"",INDEX(B$2:B629,-1+SUMPRODUCT(MAX(ROW(E$2:E629)*(E630=E$2:E629)))))</f>
        <v/>
      </c>
      <c r="J630" s="25" t="str">
        <f ca="1">IF(OR(E630="",E630="!!!",F630="NEW"),"",COUNTBLANK(OFFSET(A$1,,,SUMPRODUCT(MAX(ROW(E$2:E630)*(E630=E$2:E630)))))-COUNTBLANK(OFFSET(A$1,,,SUMPRODUCT(MAX(ROW(E$1:E629)*(E2=E$1:E629))))))</f>
        <v/>
      </c>
      <c r="K630" s="25" t="str">
        <f>IF(OR(E630="",E630="!!!",F630="NEW"),"",INDEX(J$1:J629,SUMPRODUCT(MAX(ROW(E$1:E629)*(E630=E$1:E629)))))</f>
        <v/>
      </c>
      <c r="L630" s="26"/>
    </row>
    <row r="631" spans="1:12" x14ac:dyDescent="0.3">
      <c r="A631" t="s">
        <v>242</v>
      </c>
      <c r="B631" s="20" t="s">
        <v>222</v>
      </c>
      <c r="C631" s="20" t="s">
        <v>201</v>
      </c>
      <c r="D631" s="20" t="s">
        <v>146</v>
      </c>
      <c r="E631" s="21" t="s">
        <v>480</v>
      </c>
      <c r="F631" s="22" t="str">
        <f>IF(OR(E631="",E631="!!!"),"",IF(NOT(ISNA(VLOOKUP(E631,E$1:E630,1,FALSE()))),"OLD",IF(AND(E631&lt;&gt;"",E631&lt;&gt;"!!!"),"NEW","")))</f>
        <v>OLD</v>
      </c>
      <c r="G631" s="23" t="s">
        <v>527</v>
      </c>
      <c r="H631" s="24" t="str">
        <f t="shared" ca="1" si="59"/>
        <v/>
      </c>
      <c r="I631" s="25">
        <f>IF(OR(E631="",E631="!!!",F631="NEW"),"",INDEX(B$2:B630,-1+SUMPRODUCT(MAX(ROW(E$2:E630)*(E631=E$2:E630)))))</f>
        <v>0</v>
      </c>
      <c r="J631" s="25">
        <f ca="1">IF(OR(E631="",E631="!!!",F631="NEW"),"",COUNTBLANK(OFFSET(A$1,,,SUMPRODUCT(MAX(ROW(E$2:E631)*(E631=E$2:E631)))))-COUNTBLANK(OFFSET(A$1,,,SUMPRODUCT(MAX(ROW(E$1:E630)*(E2=E$1:E630))))))</f>
        <v>0</v>
      </c>
      <c r="K631" s="25">
        <f ca="1">IF(OR(E631="",E631="!!!",F631="NEW"),"",INDEX(J$1:J630,SUMPRODUCT(MAX(ROW(E$1:E630)*(E631=E$1:E630)))))</f>
        <v>0</v>
      </c>
      <c r="L631" s="26"/>
    </row>
    <row r="632" spans="1:12" x14ac:dyDescent="0.3">
      <c r="A632" t="s">
        <v>476</v>
      </c>
      <c r="E632" s="21" t="str">
        <f t="shared" si="58"/>
        <v/>
      </c>
      <c r="F632" s="22" t="str">
        <f>IF(OR(E632="",E632="!!!"),"",IF(NOT(ISNA(VLOOKUP(E632,E$1:E631,1,FALSE()))),"OLD",IF(AND(E632&lt;&gt;"",E632&lt;&gt;"!!!"),"NEW","")))</f>
        <v/>
      </c>
      <c r="G632" s="23" t="str">
        <f>IF(OR(E632="",E632="!!!"),"",IF(OR(J632=0,AND(J632=1,K632=1),AND(J632=1,I632="SBJ"),AND(J632=1,I632=0)),"?IN_FOCUS",IF(J632&lt;=2,"?ACTIVATED",IF(J632&lt;&gt;"","?FAMILIAR",IF(F632="NEW",IF(ISNA(VLOOKUP(E632,#REF!,1,FALSE())),"?TYPE_IDENTIFIABLE","?REFERENTIAL"),"_")))))</f>
        <v/>
      </c>
      <c r="H632" s="24" t="str">
        <f t="shared" ca="1" si="59"/>
        <v/>
      </c>
      <c r="I632" s="25" t="str">
        <f>IF(OR(E632="",E632="!!!",F632="NEW"),"",INDEX(B$2:B631,-1+SUMPRODUCT(MAX(ROW(E$2:E631)*(E632=E$2:E631)))))</f>
        <v/>
      </c>
      <c r="J632" s="25" t="str">
        <f ca="1">IF(OR(E632="",E632="!!!",F632="NEW"),"",COUNTBLANK(OFFSET(A$1,,,SUMPRODUCT(MAX(ROW(E$2:E632)*(E632=E$2:E632)))))-COUNTBLANK(OFFSET(A$1,,,SUMPRODUCT(MAX(ROW(E$1:E631)*(E2=E$1:E631))))))</f>
        <v/>
      </c>
      <c r="K632" s="25" t="str">
        <f>IF(OR(E632="",E632="!!!",F632="NEW"),"",INDEX(J$1:J631,SUMPRODUCT(MAX(ROW(E$1:E631)*(E632=E$1:E631)))))</f>
        <v/>
      </c>
      <c r="L632" s="26"/>
    </row>
    <row r="633" spans="1:12" x14ac:dyDescent="0.3">
      <c r="A633" t="s">
        <v>171</v>
      </c>
      <c r="B633" s="20" t="s">
        <v>165</v>
      </c>
      <c r="C633" s="20" t="s">
        <v>172</v>
      </c>
      <c r="E633" s="21" t="str">
        <f t="shared" si="58"/>
        <v/>
      </c>
      <c r="F633" s="22" t="str">
        <f>IF(OR(E633="",E633="!!!"),"",IF(NOT(ISNA(VLOOKUP(E633,E$1:E632,1,FALSE()))),"OLD",IF(AND(E633&lt;&gt;"",E633&lt;&gt;"!!!"),"NEW","")))</f>
        <v/>
      </c>
      <c r="G633" s="23" t="str">
        <f>IF(OR(E633="",E633="!!!"),"",IF(OR(J633=0,AND(J633=1,K633=1),AND(J633=1,I633="SBJ"),AND(J633=1,I633=0)),"?IN_FOCUS",IF(J633&lt;=2,"?ACTIVATED",IF(J633&lt;&gt;"","?FAMILIAR",IF(F633="NEW",IF(ISNA(VLOOKUP(E633,#REF!,1,FALSE())),"?TYPE_IDENTIFIABLE","?REFERENTIAL"),"_")))))</f>
        <v/>
      </c>
      <c r="H633" s="24" t="str">
        <f t="shared" ca="1" si="59"/>
        <v/>
      </c>
      <c r="I633" s="25" t="str">
        <f>IF(OR(E633="",E633="!!!",F633="NEW"),"",INDEX(B$2:B632,-1+SUMPRODUCT(MAX(ROW(E$2:E632)*(E633=E$2:E632)))))</f>
        <v/>
      </c>
      <c r="J633" s="25" t="str">
        <f ca="1">IF(OR(E633="",E633="!!!",F633="NEW"),"",COUNTBLANK(OFFSET(A$1,,,SUMPRODUCT(MAX(ROW(E$2:E633)*(E633=E$2:E633)))))-COUNTBLANK(OFFSET(A$1,,,SUMPRODUCT(MAX(ROW(E$1:E632)*(E2=E$1:E632))))))</f>
        <v/>
      </c>
      <c r="K633" s="25" t="str">
        <f>IF(OR(E633="",E633="!!!",F633="NEW"),"",INDEX(J$1:J632,SUMPRODUCT(MAX(ROW(E$1:E632)*(E633=E$1:E632)))))</f>
        <v/>
      </c>
      <c r="L633" s="26"/>
    </row>
    <row r="634" spans="1:12" x14ac:dyDescent="0.3">
      <c r="A634" t="s">
        <v>264</v>
      </c>
      <c r="E634" s="21" t="str">
        <f t="shared" si="58"/>
        <v/>
      </c>
      <c r="F634" s="22" t="str">
        <f>IF(OR(E634="",E634="!!!"),"",IF(NOT(ISNA(VLOOKUP(E634,E$1:E633,1,FALSE()))),"OLD",IF(AND(E634&lt;&gt;"",E634&lt;&gt;"!!!"),"NEW","")))</f>
        <v/>
      </c>
      <c r="G634" s="23" t="str">
        <f>IF(OR(E634="",E634="!!!"),"",IF(OR(J634=0,AND(J634=1,K634=1),AND(J634=1,I634="SBJ"),AND(J634=1,I634=0)),"?IN_FOCUS",IF(J634&lt;=2,"?ACTIVATED",IF(J634&lt;&gt;"","?FAMILIAR",IF(F634="NEW",IF(ISNA(VLOOKUP(E634,#REF!,1,FALSE())),"?TYPE_IDENTIFIABLE","?REFERENTIAL"),"_")))))</f>
        <v/>
      </c>
      <c r="H634" s="24" t="str">
        <f t="shared" ca="1" si="59"/>
        <v/>
      </c>
      <c r="I634" s="25" t="str">
        <f>IF(OR(E634="",E634="!!!",F634="NEW"),"",INDEX(B$2:B633,-1+SUMPRODUCT(MAX(ROW(E$2:E633)*(E634=E$2:E633)))))</f>
        <v/>
      </c>
      <c r="J634" s="25" t="str">
        <f ca="1">IF(OR(E634="",E634="!!!",F634="NEW"),"",COUNTBLANK(OFFSET(A$1,,,SUMPRODUCT(MAX(ROW(E$2:E634)*(E634=E$2:E634)))))-COUNTBLANK(OFFSET(A$1,,,SUMPRODUCT(MAX(ROW(E$1:E633)*(E2=E$1:E633))))))</f>
        <v/>
      </c>
      <c r="K634" s="25" t="str">
        <f>IF(OR(E634="",E634="!!!",F634="NEW"),"",INDEX(J$1:J633,SUMPRODUCT(MAX(ROW(E$1:E633)*(E634=E$1:E633)))))</f>
        <v/>
      </c>
      <c r="L634" s="26"/>
    </row>
    <row r="635" spans="1:12" x14ac:dyDescent="0.3">
      <c r="A635" t="s">
        <v>477</v>
      </c>
      <c r="E635" s="21" t="str">
        <f t="shared" si="58"/>
        <v/>
      </c>
      <c r="F635" s="22" t="str">
        <f>IF(OR(E635="",E635="!!!"),"",IF(NOT(ISNA(VLOOKUP(E635,E$1:E634,1,FALSE()))),"OLD",IF(AND(E635&lt;&gt;"",E635&lt;&gt;"!!!"),"NEW","")))</f>
        <v/>
      </c>
      <c r="G635" s="23" t="str">
        <f>IF(OR(E635="",E635="!!!"),"",IF(OR(J635=0,AND(J635=1,K635=1),AND(J635=1,I635="SBJ"),AND(J635=1,I635=0)),"?IN_FOCUS",IF(J635&lt;=2,"?ACTIVATED",IF(J635&lt;&gt;"","?FAMILIAR",IF(F635="NEW",IF(ISNA(VLOOKUP(E635,#REF!,1,FALSE())),"?TYPE_IDENTIFIABLE","?REFERENTIAL"),"_")))))</f>
        <v/>
      </c>
      <c r="H635" s="24" t="str">
        <f t="shared" ca="1" si="59"/>
        <v/>
      </c>
      <c r="I635" s="25" t="str">
        <f>IF(OR(E635="",E635="!!!",F635="NEW"),"",INDEX(B$2:B634,-1+SUMPRODUCT(MAX(ROW(E$2:E634)*(E635=E$2:E634)))))</f>
        <v/>
      </c>
      <c r="J635" s="25" t="str">
        <f ca="1">IF(OR(E635="",E635="!!!",F635="NEW"),"",COUNTBLANK(OFFSET(A$1,,,SUMPRODUCT(MAX(ROW(E$2:E635)*(E635=E$2:E635)))))-COUNTBLANK(OFFSET(A$1,,,SUMPRODUCT(MAX(ROW(E$1:E634)*(E2=E$1:E634))))))</f>
        <v/>
      </c>
      <c r="K635" s="25" t="str">
        <f>IF(OR(E635="",E635="!!!",F635="NEW"),"",INDEX(J$1:J634,SUMPRODUCT(MAX(ROW(E$1:E634)*(E635=E$1:E634)))))</f>
        <v/>
      </c>
      <c r="L635" s="26"/>
    </row>
    <row r="636" spans="1:12" x14ac:dyDescent="0.3">
      <c r="A636" t="s">
        <v>183</v>
      </c>
      <c r="B636" s="20" t="s">
        <v>285</v>
      </c>
      <c r="C636" s="20" t="s">
        <v>184</v>
      </c>
      <c r="E636" s="21" t="str">
        <f t="shared" si="58"/>
        <v/>
      </c>
      <c r="F636" s="22" t="str">
        <f>IF(OR(E636="",E636="!!!"),"",IF(NOT(ISNA(VLOOKUP(E636,E$1:E635,1,FALSE()))),"OLD",IF(AND(E636&lt;&gt;"",E636&lt;&gt;"!!!"),"NEW","")))</f>
        <v/>
      </c>
      <c r="G636" s="23" t="str">
        <f>IF(OR(E636="",E636="!!!"),"",IF(OR(J636=0,AND(J636=1,K636=1),AND(J636=1,I636="SBJ"),AND(J636=1,I636=0)),"?IN_FOCUS",IF(J636&lt;=2,"?ACTIVATED",IF(J636&lt;&gt;"","?FAMILIAR",IF(F636="NEW",IF(ISNA(VLOOKUP(E636,#REF!,1,FALSE())),"?TYPE_IDENTIFIABLE","?REFERENTIAL"),"_")))))</f>
        <v/>
      </c>
      <c r="H636" s="24" t="str">
        <f t="shared" ca="1" si="59"/>
        <v/>
      </c>
      <c r="I636" s="25" t="str">
        <f>IF(OR(E636="",E636="!!!",F636="NEW"),"",INDEX(B$2:B635,-1+SUMPRODUCT(MAX(ROW(E$2:E635)*(E636=E$2:E635)))))</f>
        <v/>
      </c>
      <c r="J636" s="25" t="str">
        <f ca="1">IF(OR(E636="",E636="!!!",F636="NEW"),"",COUNTBLANK(OFFSET(A$1,,,SUMPRODUCT(MAX(ROW(E$2:E636)*(E636=E$2:E636)))))-COUNTBLANK(OFFSET(A$1,,,SUMPRODUCT(MAX(ROW(E$1:E635)*(E2=E$1:E635))))))</f>
        <v/>
      </c>
      <c r="K636" s="25" t="str">
        <f>IF(OR(E636="",E636="!!!",F636="NEW"),"",INDEX(J$1:J635,SUMPRODUCT(MAX(ROW(E$1:E635)*(E636=E$1:E635)))))</f>
        <v/>
      </c>
      <c r="L636" s="26"/>
    </row>
    <row r="637" spans="1:12" x14ac:dyDescent="0.3">
      <c r="A637" t="s">
        <v>185</v>
      </c>
      <c r="E637" s="21" t="str">
        <f t="shared" si="58"/>
        <v/>
      </c>
      <c r="F637" s="22" t="str">
        <f>IF(OR(E637="",E637="!!!"),"",IF(NOT(ISNA(VLOOKUP(E637,E$1:E636,1,FALSE()))),"OLD",IF(AND(E637&lt;&gt;"",E637&lt;&gt;"!!!"),"NEW","")))</f>
        <v/>
      </c>
      <c r="G637" s="23" t="str">
        <f>IF(OR(E637="",E637="!!!"),"",IF(OR(J637=0,AND(J637=1,K637=1),AND(J637=1,I637="SBJ"),AND(J637=1,I637=0)),"?IN_FOCUS",IF(J637&lt;=2,"?ACTIVATED",IF(J637&lt;&gt;"","?FAMILIAR",IF(F637="NEW",IF(ISNA(VLOOKUP(E637,#REF!,1,FALSE())),"?TYPE_IDENTIFIABLE","?REFERENTIAL"),"_")))))</f>
        <v/>
      </c>
      <c r="H637" s="24" t="str">
        <f t="shared" ca="1" si="59"/>
        <v/>
      </c>
      <c r="I637" s="25" t="str">
        <f>IF(OR(E637="",E637="!!!",F637="NEW"),"",INDEX(B$2:B636,-1+SUMPRODUCT(MAX(ROW(E$2:E636)*(E637=E$2:E636)))))</f>
        <v/>
      </c>
      <c r="J637" s="25" t="str">
        <f ca="1">IF(OR(E637="",E637="!!!",F637="NEW"),"",COUNTBLANK(OFFSET(A$1,,,SUMPRODUCT(MAX(ROW(E$2:E637)*(E637=E$2:E637)))))-COUNTBLANK(OFFSET(A$1,,,SUMPRODUCT(MAX(ROW(E$1:E636)*(E2=E$1:E636))))))</f>
        <v/>
      </c>
      <c r="K637" s="25" t="str">
        <f>IF(OR(E637="",E637="!!!",F637="NEW"),"",INDEX(J$1:J636,SUMPRODUCT(MAX(ROW(E$1:E636)*(E637=E$1:E636)))))</f>
        <v/>
      </c>
      <c r="L637" s="26"/>
    </row>
    <row r="638" spans="1:12" x14ac:dyDescent="0.3">
      <c r="A638" t="s">
        <v>478</v>
      </c>
      <c r="B638" s="20" t="s">
        <v>165</v>
      </c>
      <c r="C638" s="20" t="s">
        <v>158</v>
      </c>
      <c r="D638" s="20" t="s">
        <v>146</v>
      </c>
      <c r="E638" s="21"/>
      <c r="F638" s="22" t="s">
        <v>484</v>
      </c>
      <c r="G638" s="23" t="str">
        <f>IF(OR(E638="",E638="!!!"),"",IF(OR(J638=0,AND(J638=1,K638=1),AND(J638=1,I638="SBJ"),AND(J638=1,I638=0)),"?IN_FOCUS",IF(J638&lt;=2,"?ACTIVATED",IF(J638&lt;&gt;"","?FAMILIAR",IF(F638="NEW",IF(ISNA(VLOOKUP(E638,#REF!,1,FALSE())),"?TYPE_IDENTIFIABLE","?REFERENTIAL"),"_")))))</f>
        <v/>
      </c>
      <c r="H638" s="24" t="str">
        <f t="shared" ca="1" si="59"/>
        <v/>
      </c>
      <c r="I638" s="25" t="str">
        <f>IF(OR(E638="",E638="!!!",F638="NEW"),"",INDEX(B$2:B637,-1+SUMPRODUCT(MAX(ROW(E$2:E637)*(E638=E$2:E637)))))</f>
        <v/>
      </c>
      <c r="J638" s="25" t="str">
        <f ca="1">IF(OR(E638="",E638="!!!",F638="NEW"),"",COUNTBLANK(OFFSET(A$1,,,SUMPRODUCT(MAX(ROW(E$2:E638)*(E638=E$2:E638)))))-COUNTBLANK(OFFSET(A$1,,,SUMPRODUCT(MAX(ROW(E$1:E637)*(E2=E$1:E637))))))</f>
        <v/>
      </c>
      <c r="K638" s="25" t="str">
        <f>IF(OR(E638="",E638="!!!",F638="NEW"),"",INDEX(J$1:J637,SUMPRODUCT(MAX(ROW(E$1:E637)*(E638=E$1:E637)))))</f>
        <v/>
      </c>
      <c r="L638" s="26"/>
    </row>
    <row r="639" spans="1:12" x14ac:dyDescent="0.3">
      <c r="A639" t="s">
        <v>182</v>
      </c>
      <c r="E639" s="21" t="str">
        <f t="shared" si="58"/>
        <v/>
      </c>
      <c r="F639" s="22" t="str">
        <f>IF(OR(E639="",E639="!!!"),"",IF(NOT(ISNA(VLOOKUP(E639,E$1:E638,1,FALSE()))),"OLD",IF(AND(E639&lt;&gt;"",E639&lt;&gt;"!!!"),"NEW","")))</f>
        <v/>
      </c>
      <c r="G639" s="23" t="str">
        <f>IF(OR(E639="",E639="!!!"),"",IF(OR(J639=0,AND(J639=1,K639=1),AND(J639=1,I639="SBJ"),AND(J639=1,I639=0)),"?IN_FOCUS",IF(J639&lt;=2,"?ACTIVATED",IF(J639&lt;&gt;"","?FAMILIAR",IF(F639="NEW",IF(ISNA(VLOOKUP(E639,#REF!,1,FALSE())),"?TYPE_IDENTIFIABLE","?REFERENTIAL"),"_")))))</f>
        <v/>
      </c>
      <c r="H639" s="24" t="str">
        <f t="shared" ca="1" si="59"/>
        <v/>
      </c>
      <c r="I639" s="25" t="str">
        <f>IF(OR(E639="",E639="!!!",F639="NEW"),"",INDEX(B$2:B638,-1+SUMPRODUCT(MAX(ROW(E$2:E638)*(E639=E$2:E638)))))</f>
        <v/>
      </c>
      <c r="J639" s="25" t="str">
        <f ca="1">IF(OR(E639="",E639="!!!",F639="NEW"),"",COUNTBLANK(OFFSET(A$1,,,SUMPRODUCT(MAX(ROW(E$2:E639)*(E639=E$2:E639)))))-COUNTBLANK(OFFSET(A$1,,,SUMPRODUCT(MAX(ROW(E$1:E638)*(E2=E$1:E638))))))</f>
        <v/>
      </c>
      <c r="K639" s="25" t="str">
        <f>IF(OR(E639="",E639="!!!",F639="NEW"),"",INDEX(J$1:J638,SUMPRODUCT(MAX(ROW(E$1:E638)*(E639=E$1:E638)))))</f>
        <v/>
      </c>
      <c r="L639" s="26"/>
    </row>
    <row r="640" spans="1:12" x14ac:dyDescent="0.3">
      <c r="A640" t="s">
        <v>167</v>
      </c>
      <c r="E640" s="21" t="str">
        <f t="shared" si="58"/>
        <v/>
      </c>
      <c r="F640" s="22" t="str">
        <f>IF(OR(E640="",E640="!!!"),"",IF(NOT(ISNA(VLOOKUP(E640,E$1:E639,1,FALSE()))),"OLD",IF(AND(E640&lt;&gt;"",E640&lt;&gt;"!!!"),"NEW","")))</f>
        <v/>
      </c>
      <c r="G640" s="23" t="str">
        <f>IF(OR(E640="",E640="!!!"),"",IF(OR(J640=0,AND(J640=1,K640=1),AND(J640=1,I640="SBJ"),AND(J640=1,I640=0)),"?IN_FOCUS",IF(J640&lt;=2,"?ACTIVATED",IF(J640&lt;&gt;"","?FAMILIAR",IF(F640="NEW",IF(ISNA(VLOOKUP(E640,#REF!,1,FALSE())),"?TYPE_IDENTIFIABLE","?REFERENTIAL"),"_")))))</f>
        <v/>
      </c>
      <c r="H640" s="24" t="str">
        <f t="shared" ca="1" si="59"/>
        <v/>
      </c>
      <c r="I640" s="25" t="str">
        <f>IF(OR(E640="",E640="!!!",F640="NEW"),"",INDEX(B$2:B639,-1+SUMPRODUCT(MAX(ROW(E$2:E639)*(E640=E$2:E639)))))</f>
        <v/>
      </c>
      <c r="J640" s="25" t="str">
        <f ca="1">IF(OR(E640="",E640="!!!",F640="NEW"),"",COUNTBLANK(OFFSET(A$1,,,SUMPRODUCT(MAX(ROW(E$2:E640)*(E640=E$2:E640)))))-COUNTBLANK(OFFSET(A$1,,,SUMPRODUCT(MAX(ROW(E$1:E639)*(E2=E$1:E639))))))</f>
        <v/>
      </c>
      <c r="K640" s="25" t="str">
        <f>IF(OR(E640="",E640="!!!",F640="NEW"),"",INDEX(J$1:J639,SUMPRODUCT(MAX(ROW(E$1:E639)*(E640=E$1:E639)))))</f>
        <v/>
      </c>
      <c r="L640"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2024-12-05T17:52:25Z</dcterms:created>
  <dcterms:modified xsi:type="dcterms:W3CDTF">2025-02-01T17:06:26Z</dcterms:modified>
</cp:coreProperties>
</file>