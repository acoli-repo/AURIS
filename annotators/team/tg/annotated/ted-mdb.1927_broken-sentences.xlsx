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commented\"/>
    </mc:Choice>
  </mc:AlternateContent>
  <xr:revisionPtr revIDLastSave="0" documentId="13_ncr:1_{C96C5BC3-078F-4D66-8FC2-2B6728ADB614}" xr6:coauthVersionLast="47" xr6:coauthVersionMax="47" xr10:uidLastSave="{00000000-0000-0000-0000-000000000000}"/>
  <bookViews>
    <workbookView xWindow="-96" yWindow="0" windowWidth="11712" windowHeight="12336" tabRatio="500" activeTab="1" xr2:uid="{00000000-000D-0000-FFFF-FFFF00000000}"/>
  </bookViews>
  <sheets>
    <sheet name="sentence-level annotation" sheetId="1" r:id="rId1"/>
    <sheet name="word-level annotation" sheetId="2" r:id="rId2"/>
  </sheets>
  <definedNames>
    <definedName name="_xlnm._FilterDatabase" localSheetId="1" hidden="1">'word-level annotation'!$A$1:$L$411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56" i="2" l="1"/>
  <c r="E1855" i="2"/>
  <c r="G1854" i="2"/>
  <c r="F1854" i="2"/>
  <c r="I1854" i="2" s="1"/>
  <c r="E1854" i="2"/>
  <c r="E1853" i="2"/>
  <c r="G1853" i="2" s="1"/>
  <c r="E1852" i="2"/>
  <c r="G1852" i="2" s="1"/>
  <c r="E1851" i="2"/>
  <c r="F1851" i="2" s="1"/>
  <c r="K1851" i="2" s="1"/>
  <c r="K1849" i="2"/>
  <c r="J1849" i="2"/>
  <c r="H1849" i="2" s="1"/>
  <c r="I1849" i="2"/>
  <c r="G1849" i="2"/>
  <c r="G1847" i="2"/>
  <c r="E1847" i="2"/>
  <c r="F1847" i="2" s="1"/>
  <c r="J1847" i="2" s="1"/>
  <c r="H1847" i="2" s="1"/>
  <c r="K1846" i="2"/>
  <c r="J1846" i="2"/>
  <c r="H1846" i="2" s="1"/>
  <c r="I1846" i="2"/>
  <c r="G1846" i="2"/>
  <c r="G1845" i="2"/>
  <c r="F1845" i="2"/>
  <c r="J1845" i="2" s="1"/>
  <c r="H1845" i="2" s="1"/>
  <c r="E1845" i="2"/>
  <c r="E1843" i="2"/>
  <c r="G1843" i="2" s="1"/>
  <c r="G1842" i="2"/>
  <c r="E1842" i="2"/>
  <c r="F1842" i="2" s="1"/>
  <c r="G1840" i="2"/>
  <c r="E1840" i="2"/>
  <c r="G1839" i="2"/>
  <c r="F1839" i="2"/>
  <c r="J1839" i="2" s="1"/>
  <c r="H1839" i="2" s="1"/>
  <c r="E1839" i="2"/>
  <c r="G1838" i="2"/>
  <c r="F1838" i="2"/>
  <c r="J1838" i="2" s="1"/>
  <c r="H1838" i="2" s="1"/>
  <c r="E1838" i="2"/>
  <c r="E1837" i="2"/>
  <c r="G1837" i="2" s="1"/>
  <c r="E1836" i="2"/>
  <c r="G1836" i="2" s="1"/>
  <c r="G1835" i="2"/>
  <c r="E1835" i="2"/>
  <c r="F1835" i="2" s="1"/>
  <c r="G1834" i="2"/>
  <c r="F1834" i="2"/>
  <c r="K1834" i="2" s="1"/>
  <c r="G1833" i="2"/>
  <c r="E1833" i="2"/>
  <c r="G1832" i="2"/>
  <c r="F1832" i="2"/>
  <c r="J1832" i="2" s="1"/>
  <c r="H1832" i="2" s="1"/>
  <c r="E1832" i="2"/>
  <c r="G1831" i="2"/>
  <c r="F1831" i="2"/>
  <c r="J1831" i="2" s="1"/>
  <c r="H1831" i="2" s="1"/>
  <c r="E1831" i="2"/>
  <c r="G1829" i="2"/>
  <c r="E1829" i="2"/>
  <c r="F1829" i="2" s="1"/>
  <c r="G1826" i="2"/>
  <c r="F1826" i="2"/>
  <c r="J1826" i="2" s="1"/>
  <c r="H1826" i="2" s="1"/>
  <c r="E1826" i="2"/>
  <c r="F1824" i="2"/>
  <c r="I1824" i="2" s="1"/>
  <c r="E1824" i="2"/>
  <c r="G1824" i="2" s="1"/>
  <c r="E1822" i="2"/>
  <c r="G1821" i="2"/>
  <c r="E1821" i="2"/>
  <c r="F1821" i="2" s="1"/>
  <c r="G1819" i="2"/>
  <c r="F1819" i="2"/>
  <c r="K1819" i="2" s="1"/>
  <c r="E1819" i="2"/>
  <c r="E1817" i="2"/>
  <c r="G1816" i="2"/>
  <c r="E1816" i="2"/>
  <c r="F1816" i="2" s="1"/>
  <c r="I1816" i="2" s="1"/>
  <c r="G1814" i="2"/>
  <c r="F1814" i="2"/>
  <c r="J1814" i="2" s="1"/>
  <c r="H1814" i="2" s="1"/>
  <c r="E1814" i="2"/>
  <c r="G1813" i="2"/>
  <c r="F1813" i="2"/>
  <c r="K1813" i="2" s="1"/>
  <c r="E1813" i="2"/>
  <c r="F1812" i="2"/>
  <c r="E1812" i="2"/>
  <c r="E1811" i="2"/>
  <c r="E1810" i="2"/>
  <c r="G1809" i="2"/>
  <c r="E1809" i="2"/>
  <c r="F1809" i="2" s="1"/>
  <c r="I1809" i="2" s="1"/>
  <c r="G1807" i="2"/>
  <c r="F1807" i="2"/>
  <c r="J1807" i="2" s="1"/>
  <c r="H1807" i="2" s="1"/>
  <c r="E1807" i="2"/>
  <c r="G1806" i="2"/>
  <c r="F1806" i="2"/>
  <c r="K1806" i="2" s="1"/>
  <c r="E1806" i="2"/>
  <c r="E1804" i="2"/>
  <c r="G1803" i="2"/>
  <c r="E1803" i="2"/>
  <c r="F1803" i="2" s="1"/>
  <c r="I1803" i="2" s="1"/>
  <c r="G1802" i="2"/>
  <c r="F1802" i="2"/>
  <c r="E1802" i="2"/>
  <c r="G1800" i="2"/>
  <c r="F1800" i="2"/>
  <c r="K1800" i="2" s="1"/>
  <c r="E1800" i="2"/>
  <c r="G1798" i="2"/>
  <c r="F1798" i="2"/>
  <c r="E1798" i="2"/>
  <c r="E1797" i="2"/>
  <c r="F1797" i="2" s="1"/>
  <c r="K1797" i="2" s="1"/>
  <c r="E1796" i="2"/>
  <c r="G1794" i="2"/>
  <c r="F1794" i="2"/>
  <c r="E1794" i="2"/>
  <c r="F1793" i="2"/>
  <c r="I1793" i="2" s="1"/>
  <c r="E1793" i="2"/>
  <c r="G1791" i="2"/>
  <c r="F1791" i="2"/>
  <c r="J1791" i="2" s="1"/>
  <c r="H1791" i="2" s="1"/>
  <c r="E1791" i="2"/>
  <c r="G1789" i="2"/>
  <c r="F1789" i="2"/>
  <c r="K1789" i="2" s="1"/>
  <c r="E1789" i="2"/>
  <c r="G1788" i="2"/>
  <c r="F1788" i="2"/>
  <c r="J1788" i="2" s="1"/>
  <c r="H1788" i="2" s="1"/>
  <c r="E1788" i="2"/>
  <c r="E1787" i="2"/>
  <c r="E1786" i="2"/>
  <c r="G1785" i="2"/>
  <c r="F1785" i="2"/>
  <c r="E1785" i="2"/>
  <c r="E1783" i="2"/>
  <c r="F1781" i="2"/>
  <c r="E1781" i="2"/>
  <c r="F1779" i="2"/>
  <c r="I1779" i="2" s="1"/>
  <c r="E1779" i="2"/>
  <c r="G1777" i="2"/>
  <c r="F1777" i="2"/>
  <c r="J1777" i="2" s="1"/>
  <c r="H1777" i="2" s="1"/>
  <c r="E1777" i="2"/>
  <c r="F1776" i="2"/>
  <c r="I1776" i="2" s="1"/>
  <c r="E1776" i="2"/>
  <c r="E1775" i="2"/>
  <c r="G1774" i="2"/>
  <c r="E1774" i="2"/>
  <c r="G1773" i="2"/>
  <c r="F1773" i="2"/>
  <c r="E1773" i="2"/>
  <c r="G1772" i="2"/>
  <c r="F1772" i="2"/>
  <c r="G1771" i="2"/>
  <c r="E1771" i="2"/>
  <c r="G1770" i="2"/>
  <c r="F1770" i="2"/>
  <c r="E1770" i="2"/>
  <c r="F1769" i="2"/>
  <c r="K1769" i="2" s="1"/>
  <c r="E1769" i="2"/>
  <c r="F1768" i="2"/>
  <c r="J1768" i="2" s="1"/>
  <c r="H1768" i="2" s="1"/>
  <c r="E1768" i="2"/>
  <c r="G1767" i="2"/>
  <c r="E1767" i="2"/>
  <c r="F1765" i="2"/>
  <c r="J1765" i="2" s="1"/>
  <c r="H1765" i="2" s="1"/>
  <c r="E1765" i="2"/>
  <c r="E1764" i="2"/>
  <c r="G1763" i="2"/>
  <c r="F1763" i="2"/>
  <c r="K1763" i="2" s="1"/>
  <c r="E1763" i="2"/>
  <c r="G1762" i="2"/>
  <c r="F1762" i="2"/>
  <c r="J1762" i="2" s="1"/>
  <c r="H1762" i="2" s="1"/>
  <c r="E1762" i="2"/>
  <c r="F1761" i="2"/>
  <c r="I1761" i="2" s="1"/>
  <c r="E1761" i="2"/>
  <c r="G1759" i="2"/>
  <c r="F1759" i="2"/>
  <c r="J1759" i="2" s="1"/>
  <c r="H1759" i="2" s="1"/>
  <c r="E1759" i="2"/>
  <c r="E1758" i="2"/>
  <c r="K1757" i="2"/>
  <c r="J1757" i="2"/>
  <c r="H1757" i="2" s="1"/>
  <c r="I1757" i="2"/>
  <c r="G1757" i="2"/>
  <c r="E1756" i="2"/>
  <c r="G1755" i="2"/>
  <c r="E1755" i="2"/>
  <c r="E1753" i="2"/>
  <c r="F1752" i="2"/>
  <c r="K1752" i="2" s="1"/>
  <c r="E1752" i="2"/>
  <c r="E1751" i="2"/>
  <c r="F1751" i="2" s="1"/>
  <c r="I1751" i="2" s="1"/>
  <c r="F1750" i="2"/>
  <c r="J1750" i="2" s="1"/>
  <c r="H1750" i="2" s="1"/>
  <c r="E1750" i="2"/>
  <c r="G1750" i="2" s="1"/>
  <c r="E1749" i="2"/>
  <c r="G1748" i="2"/>
  <c r="F1748" i="2"/>
  <c r="E1748" i="2"/>
  <c r="F1747" i="2"/>
  <c r="J1747" i="2" s="1"/>
  <c r="H1747" i="2" s="1"/>
  <c r="E1747" i="2"/>
  <c r="G1747" i="2" s="1"/>
  <c r="G1745" i="2"/>
  <c r="F1745" i="2"/>
  <c r="J1745" i="2" s="1"/>
  <c r="H1745" i="2" s="1"/>
  <c r="E1745" i="2"/>
  <c r="G1744" i="2"/>
  <c r="E1744" i="2"/>
  <c r="E1743" i="2"/>
  <c r="E1742" i="2"/>
  <c r="F1742" i="2" s="1"/>
  <c r="K1742" i="2" s="1"/>
  <c r="F1739" i="2"/>
  <c r="K1739" i="2" s="1"/>
  <c r="E1739" i="2"/>
  <c r="G1739" i="2" s="1"/>
  <c r="G1738" i="2"/>
  <c r="F1738" i="2"/>
  <c r="J1738" i="2" s="1"/>
  <c r="H1738" i="2" s="1"/>
  <c r="E1738" i="2"/>
  <c r="G1735" i="2"/>
  <c r="E1735" i="2"/>
  <c r="F1735" i="2" s="1"/>
  <c r="E1733" i="2"/>
  <c r="E1732" i="2"/>
  <c r="F1731" i="2"/>
  <c r="J1731" i="2" s="1"/>
  <c r="H1731" i="2" s="1"/>
  <c r="E1731" i="2"/>
  <c r="G1731" i="2" s="1"/>
  <c r="E1730" i="2"/>
  <c r="F1729" i="2"/>
  <c r="K1729" i="2" s="1"/>
  <c r="E1729" i="2"/>
  <c r="G1729" i="2" s="1"/>
  <c r="G1728" i="2"/>
  <c r="E1728" i="2"/>
  <c r="F1728" i="2" s="1"/>
  <c r="E1726" i="2"/>
  <c r="E1725" i="2"/>
  <c r="F1724" i="2"/>
  <c r="J1724" i="2" s="1"/>
  <c r="H1724" i="2" s="1"/>
  <c r="E1724" i="2"/>
  <c r="G1724" i="2" s="1"/>
  <c r="G1722" i="2"/>
  <c r="E1722" i="2"/>
  <c r="F1722" i="2" s="1"/>
  <c r="G1721" i="2"/>
  <c r="F1721" i="2"/>
  <c r="K1721" i="2" s="1"/>
  <c r="E1720" i="2"/>
  <c r="E1719" i="2"/>
  <c r="F1718" i="2"/>
  <c r="E1718" i="2"/>
  <c r="G1718" i="2" s="1"/>
  <c r="E1717" i="2"/>
  <c r="F1716" i="2"/>
  <c r="K1716" i="2" s="1"/>
  <c r="E1716" i="2"/>
  <c r="G1716" i="2" s="1"/>
  <c r="G1715" i="2"/>
  <c r="E1715" i="2"/>
  <c r="F1715" i="2" s="1"/>
  <c r="J1715" i="2" s="1"/>
  <c r="H1715" i="2" s="1"/>
  <c r="G1714" i="2"/>
  <c r="F1714" i="2"/>
  <c r="K1714" i="2" s="1"/>
  <c r="E1714" i="2"/>
  <c r="G1713" i="2"/>
  <c r="F1713" i="2"/>
  <c r="I1713" i="2" s="1"/>
  <c r="E1713" i="2"/>
  <c r="E1712" i="2"/>
  <c r="G1710" i="2"/>
  <c r="F1710" i="2"/>
  <c r="K1710" i="2" s="1"/>
  <c r="G1709" i="2"/>
  <c r="F1709" i="2"/>
  <c r="J1709" i="2" s="1"/>
  <c r="H1709" i="2" s="1"/>
  <c r="E1709" i="2"/>
  <c r="E1708" i="2"/>
  <c r="F1707" i="2"/>
  <c r="K1707" i="2" s="1"/>
  <c r="E1707" i="2"/>
  <c r="E1706" i="2"/>
  <c r="F1705" i="2"/>
  <c r="K1705" i="2" s="1"/>
  <c r="E1705" i="2"/>
  <c r="G1705" i="2" s="1"/>
  <c r="E1704" i="2"/>
  <c r="G1702" i="2"/>
  <c r="F1702" i="2"/>
  <c r="E1702" i="2"/>
  <c r="E1701" i="2"/>
  <c r="G1700" i="2"/>
  <c r="F1700" i="2"/>
  <c r="K1700" i="2" s="1"/>
  <c r="E1700" i="2"/>
  <c r="F1699" i="2"/>
  <c r="E1699" i="2"/>
  <c r="K1698" i="2"/>
  <c r="J1698" i="2"/>
  <c r="H1698" i="2" s="1"/>
  <c r="I1698" i="2"/>
  <c r="G1698" i="2"/>
  <c r="G1697" i="2"/>
  <c r="F1697" i="2"/>
  <c r="J1697" i="2" s="1"/>
  <c r="H1697" i="2" s="1"/>
  <c r="E1697" i="2"/>
  <c r="E1696" i="2"/>
  <c r="G1695" i="2"/>
  <c r="F1695" i="2"/>
  <c r="K1695" i="2" s="1"/>
  <c r="E1695" i="2"/>
  <c r="G1694" i="2"/>
  <c r="F1694" i="2"/>
  <c r="J1694" i="2" s="1"/>
  <c r="H1694" i="2" s="1"/>
  <c r="E1694" i="2"/>
  <c r="E1693" i="2"/>
  <c r="G1691" i="2"/>
  <c r="F1691" i="2"/>
  <c r="E1691" i="2"/>
  <c r="K1690" i="2"/>
  <c r="J1690" i="2"/>
  <c r="H1690" i="2" s="1"/>
  <c r="I1690" i="2"/>
  <c r="G1690" i="2"/>
  <c r="G1689" i="2"/>
  <c r="E1689" i="2"/>
  <c r="E1688" i="2"/>
  <c r="E1687" i="2"/>
  <c r="G1686" i="2"/>
  <c r="F1686" i="2"/>
  <c r="K1686" i="2" s="1"/>
  <c r="E1686" i="2"/>
  <c r="G1685" i="2"/>
  <c r="F1685" i="2"/>
  <c r="K1685" i="2" s="1"/>
  <c r="E1685" i="2"/>
  <c r="G1684" i="2"/>
  <c r="F1684" i="2"/>
  <c r="E1683" i="2"/>
  <c r="G1681" i="2"/>
  <c r="F1681" i="2"/>
  <c r="J1681" i="2" s="1"/>
  <c r="H1681" i="2" s="1"/>
  <c r="G1680" i="2"/>
  <c r="F1680" i="2"/>
  <c r="I1680" i="2" s="1"/>
  <c r="E1680" i="2"/>
  <c r="E1678" i="2"/>
  <c r="G1674" i="2"/>
  <c r="F1674" i="2"/>
  <c r="K1674" i="2" s="1"/>
  <c r="E1674" i="2"/>
  <c r="E1673" i="2"/>
  <c r="G1671" i="2"/>
  <c r="F1671" i="2"/>
  <c r="K1671" i="2" s="1"/>
  <c r="E1671" i="2"/>
  <c r="G1670" i="2"/>
  <c r="F1670" i="2"/>
  <c r="K1670" i="2" s="1"/>
  <c r="E1670" i="2"/>
  <c r="G1669" i="2"/>
  <c r="F1669" i="2"/>
  <c r="I1669" i="2" s="1"/>
  <c r="E1669" i="2"/>
  <c r="G1668" i="2"/>
  <c r="E1668" i="2"/>
  <c r="G1667" i="2"/>
  <c r="F1667" i="2"/>
  <c r="E1667" i="2"/>
  <c r="G1666" i="2"/>
  <c r="F1666" i="2"/>
  <c r="K1666" i="2" s="1"/>
  <c r="E1666" i="2"/>
  <c r="F1665" i="2"/>
  <c r="K1665" i="2" s="1"/>
  <c r="E1665" i="2"/>
  <c r="E1664" i="2"/>
  <c r="G1662" i="2"/>
  <c r="F1662" i="2"/>
  <c r="J1662" i="2" s="1"/>
  <c r="H1662" i="2" s="1"/>
  <c r="E1662" i="2"/>
  <c r="F1661" i="2"/>
  <c r="E1661" i="2"/>
  <c r="G1661" i="2" s="1"/>
  <c r="E1659" i="2"/>
  <c r="G1658" i="2"/>
  <c r="F1658" i="2"/>
  <c r="K1658" i="2" s="1"/>
  <c r="E1658" i="2"/>
  <c r="E1657" i="2"/>
  <c r="F1656" i="2"/>
  <c r="J1656" i="2" s="1"/>
  <c r="H1656" i="2" s="1"/>
  <c r="E1656" i="2"/>
  <c r="G1655" i="2"/>
  <c r="F1655" i="2"/>
  <c r="I1655" i="2" s="1"/>
  <c r="E1655" i="2"/>
  <c r="F1654" i="2"/>
  <c r="E1654" i="2"/>
  <c r="G1654" i="2" s="1"/>
  <c r="E1653" i="2"/>
  <c r="F1652" i="2"/>
  <c r="J1652" i="2" s="1"/>
  <c r="H1652" i="2" s="1"/>
  <c r="E1652" i="2"/>
  <c r="G1652" i="2" s="1"/>
  <c r="G1651" i="2"/>
  <c r="E1651" i="2"/>
  <c r="F1651" i="2" s="1"/>
  <c r="J1651" i="2" s="1"/>
  <c r="H1651" i="2" s="1"/>
  <c r="E1649" i="2"/>
  <c r="F1648" i="2"/>
  <c r="K1648" i="2" s="1"/>
  <c r="E1648" i="2"/>
  <c r="G1647" i="2"/>
  <c r="F1647" i="2"/>
  <c r="J1647" i="2" s="1"/>
  <c r="H1647" i="2" s="1"/>
  <c r="E1647" i="2"/>
  <c r="G1646" i="2"/>
  <c r="F1646" i="2"/>
  <c r="E1646" i="2"/>
  <c r="E1645" i="2"/>
  <c r="K1644" i="2"/>
  <c r="J1644" i="2"/>
  <c r="H1644" i="2" s="1"/>
  <c r="I1644" i="2"/>
  <c r="G1644" i="2"/>
  <c r="E1644" i="2"/>
  <c r="G1643" i="2"/>
  <c r="E1643" i="2"/>
  <c r="F1643" i="2" s="1"/>
  <c r="J1643" i="2" s="1"/>
  <c r="H1643" i="2" s="1"/>
  <c r="G1642" i="2"/>
  <c r="F1642" i="2"/>
  <c r="E1642" i="2"/>
  <c r="F1641" i="2"/>
  <c r="E1641" i="2"/>
  <c r="G1640" i="2"/>
  <c r="F1640" i="2"/>
  <c r="K1640" i="2" s="1"/>
  <c r="E1640" i="2"/>
  <c r="E1638" i="2"/>
  <c r="G1637" i="2"/>
  <c r="F1637" i="2"/>
  <c r="K1637" i="2" s="1"/>
  <c r="E1637" i="2"/>
  <c r="G1636" i="2"/>
  <c r="F1636" i="2"/>
  <c r="I1636" i="2" s="1"/>
  <c r="G1635" i="2"/>
  <c r="F1635" i="2"/>
  <c r="K1635" i="2" s="1"/>
  <c r="E1635" i="2"/>
  <c r="E1633" i="2"/>
  <c r="G1632" i="2"/>
  <c r="E1632" i="2"/>
  <c r="F1632" i="2" s="1"/>
  <c r="J1632" i="2" s="1"/>
  <c r="H1632" i="2" s="1"/>
  <c r="G1631" i="2"/>
  <c r="F1631" i="2"/>
  <c r="K1631" i="2" s="1"/>
  <c r="E1631" i="2"/>
  <c r="G1630" i="2"/>
  <c r="F1630" i="2"/>
  <c r="I1630" i="2" s="1"/>
  <c r="E1630" i="2"/>
  <c r="G1629" i="2"/>
  <c r="E1629" i="2"/>
  <c r="E1628" i="2"/>
  <c r="E1626" i="2"/>
  <c r="G1625" i="2"/>
  <c r="E1625" i="2"/>
  <c r="G1624" i="2"/>
  <c r="F1624" i="2"/>
  <c r="I1624" i="2" s="1"/>
  <c r="G1623" i="2"/>
  <c r="E1623" i="2"/>
  <c r="G1622" i="2"/>
  <c r="F1622" i="2"/>
  <c r="E1621" i="2"/>
  <c r="G1619" i="2"/>
  <c r="F1619" i="2"/>
  <c r="E1619" i="2"/>
  <c r="G1618" i="2"/>
  <c r="F1618" i="2"/>
  <c r="E1618" i="2"/>
  <c r="G1616" i="2"/>
  <c r="F1616" i="2"/>
  <c r="J1616" i="2" s="1"/>
  <c r="H1616" i="2" s="1"/>
  <c r="E1616" i="2"/>
  <c r="G1615" i="2"/>
  <c r="F1615" i="2"/>
  <c r="E1615" i="2"/>
  <c r="G1613" i="2"/>
  <c r="F1613" i="2"/>
  <c r="J1613" i="2" s="1"/>
  <c r="H1613" i="2" s="1"/>
  <c r="E1613" i="2"/>
  <c r="G1612" i="2"/>
  <c r="F1612" i="2"/>
  <c r="E1612" i="2"/>
  <c r="G1611" i="2"/>
  <c r="E1611" i="2"/>
  <c r="E1609" i="2"/>
  <c r="F1608" i="2"/>
  <c r="E1608" i="2"/>
  <c r="G1608" i="2" s="1"/>
  <c r="G1607" i="2"/>
  <c r="E1607" i="2"/>
  <c r="F1607" i="2" s="1"/>
  <c r="J1607" i="2" s="1"/>
  <c r="H1607" i="2" s="1"/>
  <c r="E1605" i="2"/>
  <c r="G1604" i="2"/>
  <c r="F1604" i="2"/>
  <c r="I1604" i="2" s="1"/>
  <c r="E1604" i="2"/>
  <c r="G1603" i="2"/>
  <c r="F1603" i="2"/>
  <c r="J1603" i="2" s="1"/>
  <c r="H1603" i="2" s="1"/>
  <c r="E1603" i="2"/>
  <c r="E1602" i="2"/>
  <c r="G1601" i="2"/>
  <c r="F1601" i="2"/>
  <c r="E1601" i="2"/>
  <c r="F1600" i="2"/>
  <c r="K1600" i="2" s="1"/>
  <c r="E1600" i="2"/>
  <c r="E1599" i="2"/>
  <c r="G1598" i="2"/>
  <c r="F1598" i="2"/>
  <c r="K1598" i="2" s="1"/>
  <c r="E1598" i="2"/>
  <c r="G1597" i="2"/>
  <c r="F1597" i="2"/>
  <c r="K1597" i="2" s="1"/>
  <c r="E1597" i="2"/>
  <c r="G1596" i="2"/>
  <c r="E1596" i="2"/>
  <c r="F1596" i="2" s="1"/>
  <c r="J1596" i="2" s="1"/>
  <c r="H1596" i="2" s="1"/>
  <c r="E1594" i="2"/>
  <c r="F1593" i="2"/>
  <c r="E1593" i="2"/>
  <c r="E1592" i="2"/>
  <c r="G1591" i="2"/>
  <c r="F1591" i="2"/>
  <c r="E1591" i="2"/>
  <c r="G1590" i="2"/>
  <c r="F1590" i="2"/>
  <c r="I1590" i="2" s="1"/>
  <c r="E1590" i="2"/>
  <c r="G1589" i="2"/>
  <c r="E1589" i="2"/>
  <c r="F1589" i="2" s="1"/>
  <c r="G1588" i="2"/>
  <c r="F1588" i="2"/>
  <c r="I1588" i="2" s="1"/>
  <c r="E1588" i="2"/>
  <c r="F1586" i="2"/>
  <c r="E1586" i="2"/>
  <c r="G1585" i="2"/>
  <c r="F1585" i="2"/>
  <c r="K1585" i="2" s="1"/>
  <c r="G1584" i="2"/>
  <c r="F1584" i="2"/>
  <c r="J1584" i="2" s="1"/>
  <c r="H1584" i="2" s="1"/>
  <c r="E1584" i="2"/>
  <c r="G1583" i="2"/>
  <c r="E1583" i="2"/>
  <c r="F1583" i="2" s="1"/>
  <c r="J1583" i="2" s="1"/>
  <c r="H1583" i="2" s="1"/>
  <c r="G1582" i="2"/>
  <c r="F1582" i="2"/>
  <c r="I1582" i="2" s="1"/>
  <c r="E1582" i="2"/>
  <c r="G1581" i="2"/>
  <c r="F1581" i="2"/>
  <c r="E1581" i="2"/>
  <c r="F1580" i="2"/>
  <c r="E1580" i="2"/>
  <c r="F1579" i="2"/>
  <c r="E1579" i="2"/>
  <c r="E1578" i="2"/>
  <c r="G1577" i="2"/>
  <c r="F1577" i="2"/>
  <c r="K1577" i="2" s="1"/>
  <c r="E1577" i="2"/>
  <c r="G1576" i="2"/>
  <c r="F1576" i="2"/>
  <c r="K1576" i="2" s="1"/>
  <c r="E1576" i="2"/>
  <c r="G1575" i="2"/>
  <c r="E1575" i="2"/>
  <c r="F1575" i="2" s="1"/>
  <c r="G1574" i="2"/>
  <c r="F1574" i="2"/>
  <c r="I1574" i="2" s="1"/>
  <c r="E1574" i="2"/>
  <c r="G1573" i="2"/>
  <c r="F1573" i="2"/>
  <c r="E1573" i="2"/>
  <c r="G1572" i="2"/>
  <c r="F1572" i="2"/>
  <c r="E1572" i="2"/>
  <c r="E1571" i="2"/>
  <c r="E1570" i="2"/>
  <c r="G1569" i="2"/>
  <c r="F1569" i="2"/>
  <c r="J1569" i="2" s="1"/>
  <c r="H1569" i="2" s="1"/>
  <c r="E1569" i="2"/>
  <c r="G1568" i="2"/>
  <c r="F1568" i="2"/>
  <c r="E1568" i="2"/>
  <c r="G1567" i="2"/>
  <c r="E1567" i="2"/>
  <c r="G1566" i="2"/>
  <c r="F1566" i="2"/>
  <c r="I1566" i="2" s="1"/>
  <c r="E1566" i="2"/>
  <c r="G1565" i="2"/>
  <c r="E1565" i="2"/>
  <c r="G1564" i="2"/>
  <c r="E1564" i="2"/>
  <c r="G1562" i="2"/>
  <c r="F1562" i="2"/>
  <c r="J1562" i="2" s="1"/>
  <c r="H1562" i="2" s="1"/>
  <c r="E1562" i="2"/>
  <c r="G1561" i="2"/>
  <c r="F1561" i="2"/>
  <c r="K1561" i="2" s="1"/>
  <c r="E1561" i="2"/>
  <c r="E1560" i="2"/>
  <c r="G1559" i="2"/>
  <c r="F1559" i="2"/>
  <c r="I1559" i="2" s="1"/>
  <c r="E1559" i="2"/>
  <c r="G1558" i="2"/>
  <c r="F1558" i="2"/>
  <c r="E1558" i="2"/>
  <c r="G1557" i="2"/>
  <c r="F1557" i="2"/>
  <c r="J1557" i="2" s="1"/>
  <c r="H1557" i="2" s="1"/>
  <c r="E1556" i="2"/>
  <c r="G1555" i="2"/>
  <c r="F1555" i="2"/>
  <c r="K1555" i="2" s="1"/>
  <c r="E1555" i="2"/>
  <c r="G1554" i="2"/>
  <c r="F1554" i="2"/>
  <c r="J1554" i="2" s="1"/>
  <c r="H1554" i="2" s="1"/>
  <c r="G1553" i="2"/>
  <c r="F1553" i="2"/>
  <c r="I1553" i="2" s="1"/>
  <c r="E1553" i="2"/>
  <c r="F1551" i="2"/>
  <c r="I1551" i="2" s="1"/>
  <c r="E1551" i="2"/>
  <c r="E1550" i="2"/>
  <c r="G1549" i="2"/>
  <c r="F1549" i="2"/>
  <c r="K1549" i="2" s="1"/>
  <c r="E1549" i="2"/>
  <c r="G1548" i="2"/>
  <c r="F1548" i="2"/>
  <c r="K1548" i="2" s="1"/>
  <c r="E1548" i="2"/>
  <c r="E1547" i="2"/>
  <c r="G1546" i="2"/>
  <c r="F1546" i="2"/>
  <c r="I1546" i="2" s="1"/>
  <c r="E1546" i="2"/>
  <c r="G1545" i="2"/>
  <c r="F1545" i="2"/>
  <c r="E1545" i="2"/>
  <c r="G1544" i="2"/>
  <c r="F1544" i="2"/>
  <c r="J1544" i="2" s="1"/>
  <c r="H1544" i="2" s="1"/>
  <c r="E1544" i="2"/>
  <c r="F1543" i="2"/>
  <c r="I1543" i="2" s="1"/>
  <c r="E1543" i="2"/>
  <c r="E1542" i="2"/>
  <c r="E1540" i="2"/>
  <c r="G1539" i="2"/>
  <c r="F1539" i="2"/>
  <c r="I1539" i="2" s="1"/>
  <c r="E1539" i="2"/>
  <c r="E1538" i="2"/>
  <c r="E1536" i="2"/>
  <c r="F1536" i="2" s="1"/>
  <c r="I1536" i="2" s="1"/>
  <c r="G1534" i="2"/>
  <c r="E1534" i="2"/>
  <c r="E1533" i="2"/>
  <c r="G1532" i="2"/>
  <c r="F1532" i="2"/>
  <c r="E1532" i="2"/>
  <c r="E1531" i="2"/>
  <c r="E1529" i="2"/>
  <c r="G1528" i="2"/>
  <c r="F1528" i="2"/>
  <c r="E1528" i="2"/>
  <c r="E1527" i="2"/>
  <c r="G1525" i="2"/>
  <c r="F1525" i="2"/>
  <c r="G1523" i="2"/>
  <c r="F1523" i="2"/>
  <c r="J1523" i="2" s="1"/>
  <c r="H1523" i="2" s="1"/>
  <c r="E1523" i="2"/>
  <c r="G1522" i="2"/>
  <c r="F1522" i="2"/>
  <c r="I1522" i="2" s="1"/>
  <c r="E1522" i="2"/>
  <c r="G1521" i="2"/>
  <c r="E1521" i="2"/>
  <c r="E1520" i="2"/>
  <c r="F1519" i="2"/>
  <c r="K1519" i="2" s="1"/>
  <c r="E1519" i="2"/>
  <c r="G1519" i="2" s="1"/>
  <c r="G1518" i="2"/>
  <c r="F1518" i="2"/>
  <c r="K1518" i="2" s="1"/>
  <c r="E1517" i="2"/>
  <c r="G1516" i="2"/>
  <c r="F1516" i="2"/>
  <c r="E1516" i="2"/>
  <c r="G1515" i="2"/>
  <c r="F1515" i="2"/>
  <c r="J1515" i="2" s="1"/>
  <c r="H1515" i="2" s="1"/>
  <c r="G1514" i="2"/>
  <c r="F1514" i="2"/>
  <c r="E1514" i="2"/>
  <c r="G1511" i="2"/>
  <c r="E1511" i="2"/>
  <c r="E1510" i="2"/>
  <c r="G1509" i="2"/>
  <c r="F1509" i="2"/>
  <c r="E1509" i="2"/>
  <c r="E1508" i="2"/>
  <c r="G1506" i="2"/>
  <c r="F1506" i="2"/>
  <c r="I1506" i="2" s="1"/>
  <c r="G1504" i="2"/>
  <c r="F1504" i="2"/>
  <c r="E1504" i="2"/>
  <c r="E1503" i="2"/>
  <c r="E1502" i="2"/>
  <c r="E1500" i="2"/>
  <c r="E1499" i="2"/>
  <c r="G1496" i="2"/>
  <c r="E1496" i="2"/>
  <c r="F1496" i="2" s="1"/>
  <c r="I1496" i="2" s="1"/>
  <c r="G1494" i="2"/>
  <c r="E1494" i="2"/>
  <c r="G1492" i="2"/>
  <c r="F1492" i="2"/>
  <c r="K1492" i="2" s="1"/>
  <c r="G1491" i="2"/>
  <c r="E1491" i="2"/>
  <c r="F1491" i="2" s="1"/>
  <c r="I1491" i="2" s="1"/>
  <c r="G1490" i="2"/>
  <c r="F1490" i="2"/>
  <c r="J1490" i="2" s="1"/>
  <c r="H1490" i="2" s="1"/>
  <c r="E1490" i="2"/>
  <c r="E1489" i="2"/>
  <c r="E1487" i="2"/>
  <c r="E1486" i="2"/>
  <c r="G1485" i="2"/>
  <c r="F1485" i="2"/>
  <c r="E1485" i="2"/>
  <c r="G1484" i="2"/>
  <c r="E1484" i="2"/>
  <c r="F1484" i="2" s="1"/>
  <c r="I1484" i="2" s="1"/>
  <c r="G1483" i="2"/>
  <c r="F1483" i="2"/>
  <c r="I1483" i="2" s="1"/>
  <c r="E1483" i="2"/>
  <c r="E1482" i="2"/>
  <c r="E1481" i="2"/>
  <c r="G1480" i="2"/>
  <c r="F1480" i="2"/>
  <c r="K1480" i="2" s="1"/>
  <c r="E1480" i="2"/>
  <c r="E1479" i="2"/>
  <c r="E1478" i="2"/>
  <c r="G1477" i="2"/>
  <c r="F1477" i="2"/>
  <c r="J1477" i="2" s="1"/>
  <c r="H1477" i="2" s="1"/>
  <c r="E1477" i="2"/>
  <c r="G1476" i="2"/>
  <c r="E1476" i="2"/>
  <c r="F1476" i="2" s="1"/>
  <c r="I1476" i="2" s="1"/>
  <c r="G1475" i="2"/>
  <c r="F1475" i="2"/>
  <c r="J1475" i="2" s="1"/>
  <c r="H1475" i="2" s="1"/>
  <c r="E1475" i="2"/>
  <c r="E1474" i="2"/>
  <c r="E1473" i="2"/>
  <c r="G1472" i="2"/>
  <c r="F1472" i="2"/>
  <c r="K1472" i="2" s="1"/>
  <c r="E1472" i="2"/>
  <c r="E1471" i="2"/>
  <c r="E1470" i="2"/>
  <c r="G1469" i="2"/>
  <c r="F1469" i="2"/>
  <c r="J1469" i="2" s="1"/>
  <c r="H1469" i="2" s="1"/>
  <c r="E1469" i="2"/>
  <c r="E1467" i="2"/>
  <c r="E1465" i="2"/>
  <c r="G1464" i="2"/>
  <c r="F1464" i="2"/>
  <c r="K1464" i="2" s="1"/>
  <c r="G1463" i="2"/>
  <c r="E1463" i="2"/>
  <c r="F1463" i="2" s="1"/>
  <c r="G1462" i="2"/>
  <c r="F1462" i="2"/>
  <c r="J1462" i="2" s="1"/>
  <c r="H1462" i="2" s="1"/>
  <c r="E1462" i="2"/>
  <c r="F1461" i="2"/>
  <c r="I1461" i="2" s="1"/>
  <c r="E1461" i="2"/>
  <c r="G1460" i="2"/>
  <c r="F1460" i="2"/>
  <c r="E1460" i="2"/>
  <c r="E1458" i="2"/>
  <c r="G1456" i="2"/>
  <c r="F1456" i="2"/>
  <c r="J1456" i="2" s="1"/>
  <c r="H1456" i="2" s="1"/>
  <c r="E1456" i="2"/>
  <c r="G1454" i="2"/>
  <c r="E1454" i="2"/>
  <c r="E1453" i="2"/>
  <c r="E1452" i="2"/>
  <c r="G1450" i="2"/>
  <c r="F1450" i="2"/>
  <c r="I1450" i="2" s="1"/>
  <c r="E1450" i="2"/>
  <c r="E1448" i="2"/>
  <c r="G1446" i="2"/>
  <c r="F1446" i="2"/>
  <c r="K1446" i="2" s="1"/>
  <c r="E1446" i="2"/>
  <c r="G1445" i="2"/>
  <c r="E1445" i="2"/>
  <c r="F1445" i="2" s="1"/>
  <c r="K1445" i="2" s="1"/>
  <c r="G1444" i="2"/>
  <c r="F1444" i="2"/>
  <c r="J1444" i="2" s="1"/>
  <c r="H1444" i="2" s="1"/>
  <c r="E1444" i="2"/>
  <c r="E1443" i="2"/>
  <c r="E1441" i="2"/>
  <c r="K1440" i="2"/>
  <c r="J1440" i="2"/>
  <c r="H1440" i="2" s="1"/>
  <c r="I1440" i="2"/>
  <c r="G1440" i="2"/>
  <c r="G1439" i="2"/>
  <c r="E1439" i="2"/>
  <c r="F1438" i="2"/>
  <c r="K1438" i="2" s="1"/>
  <c r="E1438" i="2"/>
  <c r="G1437" i="2"/>
  <c r="E1437" i="2"/>
  <c r="F1437" i="2" s="1"/>
  <c r="I1437" i="2" s="1"/>
  <c r="E1435" i="2"/>
  <c r="E1433" i="2"/>
  <c r="G1432" i="2"/>
  <c r="F1432" i="2"/>
  <c r="J1432" i="2" s="1"/>
  <c r="H1432" i="2" s="1"/>
  <c r="E1432" i="2"/>
  <c r="G1430" i="2"/>
  <c r="F1430" i="2"/>
  <c r="K1430" i="2" s="1"/>
  <c r="E1430" i="2"/>
  <c r="G1429" i="2"/>
  <c r="F1429" i="2"/>
  <c r="K1429" i="2" s="1"/>
  <c r="E1429" i="2"/>
  <c r="G1428" i="2"/>
  <c r="E1428" i="2"/>
  <c r="G1426" i="2"/>
  <c r="E1426" i="2"/>
  <c r="F1426" i="2" s="1"/>
  <c r="I1426" i="2" s="1"/>
  <c r="E1425" i="2"/>
  <c r="G1424" i="2"/>
  <c r="E1424" i="2"/>
  <c r="F1424" i="2" s="1"/>
  <c r="J1424" i="2" s="1"/>
  <c r="H1424" i="2" s="1"/>
  <c r="G1422" i="2"/>
  <c r="E1422" i="2"/>
  <c r="E1421" i="2"/>
  <c r="G1419" i="2"/>
  <c r="F1419" i="2"/>
  <c r="J1419" i="2" s="1"/>
  <c r="H1419" i="2" s="1"/>
  <c r="E1419" i="2"/>
  <c r="E1417" i="2"/>
  <c r="G1415" i="2"/>
  <c r="F1415" i="2"/>
  <c r="K1415" i="2" s="1"/>
  <c r="G1414" i="2"/>
  <c r="F1414" i="2"/>
  <c r="J1414" i="2" s="1"/>
  <c r="H1414" i="2" s="1"/>
  <c r="E1414" i="2"/>
  <c r="E1413" i="2"/>
  <c r="G1412" i="2"/>
  <c r="F1412" i="2"/>
  <c r="I1412" i="2" s="1"/>
  <c r="G1410" i="2"/>
  <c r="F1410" i="2"/>
  <c r="E1410" i="2"/>
  <c r="G1409" i="2"/>
  <c r="F1409" i="2"/>
  <c r="J1409" i="2" s="1"/>
  <c r="H1409" i="2" s="1"/>
  <c r="E1408" i="2"/>
  <c r="G1407" i="2"/>
  <c r="F1407" i="2"/>
  <c r="J1407" i="2" s="1"/>
  <c r="H1407" i="2" s="1"/>
  <c r="E1407" i="2"/>
  <c r="E1406" i="2"/>
  <c r="E1405" i="2"/>
  <c r="G1405" i="2" s="1"/>
  <c r="E1404" i="2"/>
  <c r="F1404" i="2" s="1"/>
  <c r="K1404" i="2" s="1"/>
  <c r="G1403" i="2"/>
  <c r="F1403" i="2"/>
  <c r="K1403" i="2" s="1"/>
  <c r="E1403" i="2"/>
  <c r="G1402" i="2"/>
  <c r="F1402" i="2"/>
  <c r="I1402" i="2" s="1"/>
  <c r="E1402" i="2"/>
  <c r="G1400" i="2"/>
  <c r="F1400" i="2"/>
  <c r="K1400" i="2" s="1"/>
  <c r="E1400" i="2"/>
  <c r="E1399" i="2"/>
  <c r="G1397" i="2"/>
  <c r="F1397" i="2"/>
  <c r="J1397" i="2" s="1"/>
  <c r="H1397" i="2" s="1"/>
  <c r="E1397" i="2"/>
  <c r="G1396" i="2"/>
  <c r="E1396" i="2"/>
  <c r="F1396" i="2" s="1"/>
  <c r="K1396" i="2" s="1"/>
  <c r="F1395" i="2"/>
  <c r="E1395" i="2"/>
  <c r="G1394" i="2"/>
  <c r="F1394" i="2"/>
  <c r="I1394" i="2" s="1"/>
  <c r="E1394" i="2"/>
  <c r="G1392" i="2"/>
  <c r="F1392" i="2"/>
  <c r="K1392" i="2" s="1"/>
  <c r="G1391" i="2"/>
  <c r="F1391" i="2"/>
  <c r="I1391" i="2" s="1"/>
  <c r="E1391" i="2"/>
  <c r="K1390" i="2"/>
  <c r="J1390" i="2"/>
  <c r="H1390" i="2" s="1"/>
  <c r="I1390" i="2"/>
  <c r="G1390" i="2"/>
  <c r="E1389" i="2"/>
  <c r="G1387" i="2"/>
  <c r="E1387" i="2"/>
  <c r="F1387" i="2" s="1"/>
  <c r="J1387" i="2" s="1"/>
  <c r="H1387" i="2" s="1"/>
  <c r="G1386" i="2"/>
  <c r="F1386" i="2"/>
  <c r="I1386" i="2" s="1"/>
  <c r="E1386" i="2"/>
  <c r="E1385" i="2"/>
  <c r="G1384" i="2"/>
  <c r="F1384" i="2"/>
  <c r="K1384" i="2" s="1"/>
  <c r="E1383" i="2"/>
  <c r="K1382" i="2"/>
  <c r="J1382" i="2"/>
  <c r="H1382" i="2" s="1"/>
  <c r="I1382" i="2"/>
  <c r="G1382" i="2"/>
  <c r="G1381" i="2"/>
  <c r="F1381" i="2"/>
  <c r="I1381" i="2" s="1"/>
  <c r="E1381" i="2"/>
  <c r="G1380" i="2"/>
  <c r="F1380" i="2"/>
  <c r="J1380" i="2" s="1"/>
  <c r="H1380" i="2" s="1"/>
  <c r="E1380" i="2"/>
  <c r="E1378" i="2"/>
  <c r="G1377" i="2"/>
  <c r="E1377" i="2"/>
  <c r="F1377" i="2" s="1"/>
  <c r="I1377" i="2" s="1"/>
  <c r="E1376" i="2"/>
  <c r="G1375" i="2"/>
  <c r="E1375" i="2"/>
  <c r="F1375" i="2" s="1"/>
  <c r="G1374" i="2"/>
  <c r="F1374" i="2"/>
  <c r="I1374" i="2" s="1"/>
  <c r="E1374" i="2"/>
  <c r="E1373" i="2"/>
  <c r="G1372" i="2"/>
  <c r="E1372" i="2"/>
  <c r="G1370" i="2"/>
  <c r="E1370" i="2"/>
  <c r="E1368" i="2"/>
  <c r="G1367" i="2"/>
  <c r="F1367" i="2"/>
  <c r="I1367" i="2" s="1"/>
  <c r="E1367" i="2"/>
  <c r="E1366" i="2"/>
  <c r="G1366" i="2" s="1"/>
  <c r="E1364" i="2"/>
  <c r="G1363" i="2"/>
  <c r="E1363" i="2"/>
  <c r="F1362" i="2"/>
  <c r="K1362" i="2" s="1"/>
  <c r="E1362" i="2"/>
  <c r="G1360" i="2"/>
  <c r="E1360" i="2"/>
  <c r="G1359" i="2"/>
  <c r="F1359" i="2"/>
  <c r="K1359" i="2" s="1"/>
  <c r="E1359" i="2"/>
  <c r="G1358" i="2"/>
  <c r="F1358" i="2"/>
  <c r="I1358" i="2" s="1"/>
  <c r="E1358" i="2"/>
  <c r="G1356" i="2"/>
  <c r="E1356" i="2"/>
  <c r="G1355" i="2"/>
  <c r="E1355" i="2"/>
  <c r="F1354" i="2"/>
  <c r="E1354" i="2"/>
  <c r="E1353" i="2"/>
  <c r="F1353" i="2" s="1"/>
  <c r="J1353" i="2" s="1"/>
  <c r="H1353" i="2" s="1"/>
  <c r="G1352" i="2"/>
  <c r="F1352" i="2"/>
  <c r="E1352" i="2"/>
  <c r="E1351" i="2"/>
  <c r="G1350" i="2"/>
  <c r="E1350" i="2"/>
  <c r="F1349" i="2"/>
  <c r="K1349" i="2" s="1"/>
  <c r="E1349" i="2"/>
  <c r="G1348" i="2"/>
  <c r="E1348" i="2"/>
  <c r="E1347" i="2"/>
  <c r="E1346" i="2"/>
  <c r="F1344" i="2"/>
  <c r="E1344" i="2"/>
  <c r="F1343" i="2"/>
  <c r="I1343" i="2" s="1"/>
  <c r="E1343" i="2"/>
  <c r="E1341" i="2"/>
  <c r="G1339" i="2"/>
  <c r="E1339" i="2"/>
  <c r="F1338" i="2"/>
  <c r="K1338" i="2" s="1"/>
  <c r="E1338" i="2"/>
  <c r="E1337" i="2"/>
  <c r="G1336" i="2"/>
  <c r="F1336" i="2"/>
  <c r="K1336" i="2" s="1"/>
  <c r="E1336" i="2"/>
  <c r="E1335" i="2"/>
  <c r="E1333" i="2"/>
  <c r="G1331" i="2"/>
  <c r="E1331" i="2"/>
  <c r="G1330" i="2"/>
  <c r="F1330" i="2"/>
  <c r="E1330" i="2"/>
  <c r="F1329" i="2"/>
  <c r="J1329" i="2" s="1"/>
  <c r="H1329" i="2" s="1"/>
  <c r="E1329" i="2"/>
  <c r="G1329" i="2" s="1"/>
  <c r="E1328" i="2"/>
  <c r="G1327" i="2"/>
  <c r="F1327" i="2"/>
  <c r="E1327" i="2"/>
  <c r="E1326" i="2"/>
  <c r="E1325" i="2"/>
  <c r="G1322" i="2"/>
  <c r="E1322" i="2"/>
  <c r="G1321" i="2"/>
  <c r="F1321" i="2"/>
  <c r="E1321" i="2"/>
  <c r="F1319" i="2"/>
  <c r="E1319" i="2"/>
  <c r="G1317" i="2"/>
  <c r="E1317" i="2"/>
  <c r="F1317" i="2" s="1"/>
  <c r="G1315" i="2"/>
  <c r="E1315" i="2"/>
  <c r="E1314" i="2"/>
  <c r="G1313" i="2"/>
  <c r="F1313" i="2"/>
  <c r="J1313" i="2" s="1"/>
  <c r="H1313" i="2" s="1"/>
  <c r="E1313" i="2"/>
  <c r="G1312" i="2"/>
  <c r="F1312" i="2"/>
  <c r="J1312" i="2" s="1"/>
  <c r="H1312" i="2" s="1"/>
  <c r="E1312" i="2"/>
  <c r="G1310" i="2"/>
  <c r="F1310" i="2"/>
  <c r="K1310" i="2" s="1"/>
  <c r="E1310" i="2"/>
  <c r="G1308" i="2"/>
  <c r="F1308" i="2"/>
  <c r="I1308" i="2" s="1"/>
  <c r="E1308" i="2"/>
  <c r="G1307" i="2"/>
  <c r="E1307" i="2"/>
  <c r="E1306" i="2"/>
  <c r="G1304" i="2"/>
  <c r="F1304" i="2"/>
  <c r="E1304" i="2"/>
  <c r="F1303" i="2"/>
  <c r="J1303" i="2" s="1"/>
  <c r="H1303" i="2" s="1"/>
  <c r="E1303" i="2"/>
  <c r="G1302" i="2"/>
  <c r="F1302" i="2"/>
  <c r="I1302" i="2" s="1"/>
  <c r="E1302" i="2"/>
  <c r="G1301" i="2"/>
  <c r="F1301" i="2"/>
  <c r="E1301" i="2"/>
  <c r="G1297" i="2"/>
  <c r="E1297" i="2"/>
  <c r="G1295" i="2"/>
  <c r="F1295" i="2"/>
  <c r="E1295" i="2"/>
  <c r="E1294" i="2"/>
  <c r="G1293" i="2"/>
  <c r="E1293" i="2"/>
  <c r="F1293" i="2" s="1"/>
  <c r="I1293" i="2" s="1"/>
  <c r="E1291" i="2"/>
  <c r="E1290" i="2"/>
  <c r="G1289" i="2"/>
  <c r="F1289" i="2"/>
  <c r="K1289" i="2" s="1"/>
  <c r="E1289" i="2"/>
  <c r="E1287" i="2"/>
  <c r="F1285" i="2"/>
  <c r="I1285" i="2" s="1"/>
  <c r="E1285" i="2"/>
  <c r="G1284" i="2"/>
  <c r="F1284" i="2"/>
  <c r="E1283" i="2"/>
  <c r="G1282" i="2"/>
  <c r="F1282" i="2"/>
  <c r="E1282" i="2"/>
  <c r="F1281" i="2"/>
  <c r="I1281" i="2" s="1"/>
  <c r="E1281" i="2"/>
  <c r="G1279" i="2"/>
  <c r="F1279" i="2"/>
  <c r="K1279" i="2" s="1"/>
  <c r="E1277" i="2"/>
  <c r="E1276" i="2"/>
  <c r="G1275" i="2"/>
  <c r="E1275" i="2"/>
  <c r="F1275" i="2" s="1"/>
  <c r="G1273" i="2"/>
  <c r="F1273" i="2"/>
  <c r="I1273" i="2" s="1"/>
  <c r="E1273" i="2"/>
  <c r="E1272" i="2"/>
  <c r="G1271" i="2"/>
  <c r="F1271" i="2"/>
  <c r="E1270" i="2"/>
  <c r="G1269" i="2"/>
  <c r="E1269" i="2"/>
  <c r="F1269" i="2" s="1"/>
  <c r="J1269" i="2" s="1"/>
  <c r="H1269" i="2" s="1"/>
  <c r="G1268" i="2"/>
  <c r="F1268" i="2"/>
  <c r="K1268" i="2" s="1"/>
  <c r="E1268" i="2"/>
  <c r="G1267" i="2"/>
  <c r="F1267" i="2"/>
  <c r="J1267" i="2" s="1"/>
  <c r="H1267" i="2" s="1"/>
  <c r="E1267" i="2"/>
  <c r="E1264" i="2"/>
  <c r="G1263" i="2"/>
  <c r="E1263" i="2"/>
  <c r="F1263" i="2" s="1"/>
  <c r="J1263" i="2" s="1"/>
  <c r="H1263" i="2" s="1"/>
  <c r="G1262" i="2"/>
  <c r="F1262" i="2"/>
  <c r="K1262" i="2" s="1"/>
  <c r="E1262" i="2"/>
  <c r="G1261" i="2"/>
  <c r="F1261" i="2"/>
  <c r="J1261" i="2" s="1"/>
  <c r="H1261" i="2" s="1"/>
  <c r="E1261" i="2"/>
  <c r="E1260" i="2"/>
  <c r="E1259" i="2"/>
  <c r="G1258" i="2"/>
  <c r="F1258" i="2"/>
  <c r="K1258" i="2" s="1"/>
  <c r="E1258" i="2"/>
  <c r="E1257" i="2"/>
  <c r="E1256" i="2"/>
  <c r="E1254" i="2"/>
  <c r="E1253" i="2"/>
  <c r="E1251" i="2"/>
  <c r="E1250" i="2"/>
  <c r="G1249" i="2"/>
  <c r="E1249" i="2"/>
  <c r="F1249" i="2" s="1"/>
  <c r="I1249" i="2" s="1"/>
  <c r="G1248" i="2"/>
  <c r="F1248" i="2"/>
  <c r="J1248" i="2" s="1"/>
  <c r="H1248" i="2" s="1"/>
  <c r="E1248" i="2"/>
  <c r="G1246" i="2"/>
  <c r="F1246" i="2"/>
  <c r="E1246" i="2"/>
  <c r="F1245" i="2"/>
  <c r="E1244" i="2"/>
  <c r="G1243" i="2"/>
  <c r="E1243" i="2"/>
  <c r="F1243" i="2" s="1"/>
  <c r="G1242" i="2"/>
  <c r="F1242" i="2"/>
  <c r="J1242" i="2" s="1"/>
  <c r="H1242" i="2" s="1"/>
  <c r="E1242" i="2"/>
  <c r="E1241" i="2"/>
  <c r="J1240" i="2"/>
  <c r="H1240" i="2" s="1"/>
  <c r="I1240" i="2"/>
  <c r="E1239" i="2"/>
  <c r="E1238" i="2"/>
  <c r="G1237" i="2"/>
  <c r="E1237" i="2"/>
  <c r="F1237" i="2" s="1"/>
  <c r="I1237" i="2" s="1"/>
  <c r="G1236" i="2"/>
  <c r="F1236" i="2"/>
  <c r="I1236" i="2" s="1"/>
  <c r="E1236" i="2"/>
  <c r="E1233" i="2"/>
  <c r="E1232" i="2"/>
  <c r="G1231" i="2"/>
  <c r="E1231" i="2"/>
  <c r="F1231" i="2" s="1"/>
  <c r="J1231" i="2" s="1"/>
  <c r="H1231" i="2" s="1"/>
  <c r="J1228" i="2"/>
  <c r="H1228" i="2" s="1"/>
  <c r="I1228" i="2"/>
  <c r="G1227" i="2"/>
  <c r="E1227" i="2"/>
  <c r="F1227" i="2" s="1"/>
  <c r="G1226" i="2"/>
  <c r="F1226" i="2"/>
  <c r="K1226" i="2" s="1"/>
  <c r="E1226" i="2"/>
  <c r="G1225" i="2"/>
  <c r="F1225" i="2"/>
  <c r="J1225" i="2" s="1"/>
  <c r="H1225" i="2" s="1"/>
  <c r="E1225" i="2"/>
  <c r="F1224" i="2"/>
  <c r="E1224" i="2"/>
  <c r="E1223" i="2"/>
  <c r="G1222" i="2"/>
  <c r="F1222" i="2"/>
  <c r="K1222" i="2" s="1"/>
  <c r="E1222" i="2"/>
  <c r="E1221" i="2"/>
  <c r="E1220" i="2"/>
  <c r="G1219" i="2"/>
  <c r="E1219" i="2"/>
  <c r="F1219" i="2" s="1"/>
  <c r="G1218" i="2"/>
  <c r="F1218" i="2"/>
  <c r="E1218" i="2"/>
  <c r="E1216" i="2"/>
  <c r="E1215" i="2"/>
  <c r="F1214" i="2"/>
  <c r="K1214" i="2" s="1"/>
  <c r="E1214" i="2"/>
  <c r="G1214" i="2" s="1"/>
  <c r="E1212" i="2"/>
  <c r="G1211" i="2"/>
  <c r="F1211" i="2"/>
  <c r="J1211" i="2" s="1"/>
  <c r="H1211" i="2" s="1"/>
  <c r="E1211" i="2"/>
  <c r="F1210" i="2"/>
  <c r="K1210" i="2" s="1"/>
  <c r="E1210" i="2"/>
  <c r="G1209" i="2"/>
  <c r="F1209" i="2"/>
  <c r="K1209" i="2" s="1"/>
  <c r="E1209" i="2"/>
  <c r="E1208" i="2"/>
  <c r="G1208" i="2" s="1"/>
  <c r="E1207" i="2"/>
  <c r="E1206" i="2"/>
  <c r="F1206" i="2" s="1"/>
  <c r="G1205" i="2"/>
  <c r="F1205" i="2"/>
  <c r="E1205" i="2"/>
  <c r="G1203" i="2"/>
  <c r="F1203" i="2"/>
  <c r="I1203" i="2" s="1"/>
  <c r="E1203" i="2"/>
  <c r="G1202" i="2"/>
  <c r="F1202" i="2"/>
  <c r="E1202" i="2"/>
  <c r="G1201" i="2"/>
  <c r="E1201" i="2"/>
  <c r="F1201" i="2" s="1"/>
  <c r="K1201" i="2" s="1"/>
  <c r="F1200" i="2"/>
  <c r="J1200" i="2" s="1"/>
  <c r="H1200" i="2" s="1"/>
  <c r="E1200" i="2"/>
  <c r="G1200" i="2" s="1"/>
  <c r="E1199" i="2"/>
  <c r="E1198" i="2"/>
  <c r="F1197" i="2"/>
  <c r="J1197" i="2" s="1"/>
  <c r="H1197" i="2" s="1"/>
  <c r="E1197" i="2"/>
  <c r="G1196" i="2"/>
  <c r="F1196" i="2"/>
  <c r="J1196" i="2" s="1"/>
  <c r="H1196" i="2" s="1"/>
  <c r="E1196" i="2"/>
  <c r="E1195" i="2"/>
  <c r="G1195" i="2" s="1"/>
  <c r="F1193" i="2"/>
  <c r="E1193" i="2"/>
  <c r="G1192" i="2"/>
  <c r="F1192" i="2"/>
  <c r="I1192" i="2" s="1"/>
  <c r="E1192" i="2"/>
  <c r="G1190" i="2"/>
  <c r="F1190" i="2"/>
  <c r="E1190" i="2"/>
  <c r="E1189" i="2"/>
  <c r="E1188" i="2"/>
  <c r="F1188" i="2" s="1"/>
  <c r="G1186" i="2"/>
  <c r="F1186" i="2"/>
  <c r="J1186" i="2" s="1"/>
  <c r="H1186" i="2" s="1"/>
  <c r="E1186" i="2"/>
  <c r="E1185" i="2"/>
  <c r="E1184" i="2"/>
  <c r="F1183" i="2"/>
  <c r="I1183" i="2" s="1"/>
  <c r="E1183" i="2"/>
  <c r="G1183" i="2" s="1"/>
  <c r="G1181" i="2"/>
  <c r="F1181" i="2"/>
  <c r="E1181" i="2"/>
  <c r="G1180" i="2"/>
  <c r="F1180" i="2"/>
  <c r="K1180" i="2" s="1"/>
  <c r="F1178" i="2"/>
  <c r="E1178" i="2"/>
  <c r="F1177" i="2"/>
  <c r="J1177" i="2" s="1"/>
  <c r="H1177" i="2" s="1"/>
  <c r="E1177" i="2"/>
  <c r="G1177" i="2" s="1"/>
  <c r="E1176" i="2"/>
  <c r="F1176" i="2" s="1"/>
  <c r="K1176" i="2" s="1"/>
  <c r="G1175" i="2"/>
  <c r="F1175" i="2"/>
  <c r="J1175" i="2" s="1"/>
  <c r="H1175" i="2" s="1"/>
  <c r="E1175" i="2"/>
  <c r="E1174" i="2"/>
  <c r="G1174" i="2" s="1"/>
  <c r="F1173" i="2"/>
  <c r="I1173" i="2" s="1"/>
  <c r="E1173" i="2"/>
  <c r="G1171" i="2"/>
  <c r="F1171" i="2"/>
  <c r="I1171" i="2" s="1"/>
  <c r="E1171" i="2"/>
  <c r="E1168" i="2"/>
  <c r="E1166" i="2"/>
  <c r="E1165" i="2"/>
  <c r="G1163" i="2"/>
  <c r="F1163" i="2"/>
  <c r="K1163" i="2" s="1"/>
  <c r="G1162" i="2"/>
  <c r="F1162" i="2"/>
  <c r="E1162" i="2"/>
  <c r="F1160" i="2"/>
  <c r="J1160" i="2" s="1"/>
  <c r="H1160" i="2" s="1"/>
  <c r="E1160" i="2"/>
  <c r="G1160" i="2" s="1"/>
  <c r="G1159" i="2"/>
  <c r="F1159" i="2"/>
  <c r="I1159" i="2" s="1"/>
  <c r="G1157" i="2"/>
  <c r="E1157" i="2"/>
  <c r="E1155" i="2"/>
  <c r="G1154" i="2"/>
  <c r="F1154" i="2"/>
  <c r="J1154" i="2" s="1"/>
  <c r="H1154" i="2" s="1"/>
  <c r="E1154" i="2"/>
  <c r="E1152" i="2"/>
  <c r="G1150" i="2"/>
  <c r="F1150" i="2"/>
  <c r="K1150" i="2" s="1"/>
  <c r="E1150" i="2"/>
  <c r="E1148" i="2"/>
  <c r="G1147" i="2"/>
  <c r="F1147" i="2"/>
  <c r="J1147" i="2" s="1"/>
  <c r="H1147" i="2" s="1"/>
  <c r="G1146" i="2"/>
  <c r="F1146" i="2"/>
  <c r="K1146" i="2" s="1"/>
  <c r="E1146" i="2"/>
  <c r="F1145" i="2"/>
  <c r="K1145" i="2" s="1"/>
  <c r="E1145" i="2"/>
  <c r="G1144" i="2"/>
  <c r="F1144" i="2"/>
  <c r="G1143" i="2"/>
  <c r="F1143" i="2"/>
  <c r="K1143" i="2" s="1"/>
  <c r="E1143" i="2"/>
  <c r="G1142" i="2"/>
  <c r="F1142" i="2"/>
  <c r="K1142" i="2" s="1"/>
  <c r="E1142" i="2"/>
  <c r="E1141" i="2"/>
  <c r="G1139" i="2"/>
  <c r="F1139" i="2"/>
  <c r="J1139" i="2" s="1"/>
  <c r="H1139" i="2" s="1"/>
  <c r="E1139" i="2"/>
  <c r="G1137" i="2"/>
  <c r="F1137" i="2"/>
  <c r="K1137" i="2" s="1"/>
  <c r="E1137" i="2"/>
  <c r="G1136" i="2"/>
  <c r="E1136" i="2"/>
  <c r="E1135" i="2"/>
  <c r="G1134" i="2"/>
  <c r="E1134" i="2"/>
  <c r="G1133" i="2"/>
  <c r="F1133" i="2"/>
  <c r="E1133" i="2"/>
  <c r="K1132" i="2"/>
  <c r="J1132" i="2"/>
  <c r="H1132" i="2" s="1"/>
  <c r="I1132" i="2"/>
  <c r="G1132" i="2"/>
  <c r="G1131" i="2"/>
  <c r="E1131" i="2"/>
  <c r="F1130" i="2"/>
  <c r="I1130" i="2" s="1"/>
  <c r="E1130" i="2"/>
  <c r="G1128" i="2"/>
  <c r="F1128" i="2"/>
  <c r="E1128" i="2"/>
  <c r="G1127" i="2"/>
  <c r="F1127" i="2"/>
  <c r="J1127" i="2" s="1"/>
  <c r="H1127" i="2" s="1"/>
  <c r="E1127" i="2"/>
  <c r="G1126" i="2"/>
  <c r="F1126" i="2"/>
  <c r="E1126" i="2"/>
  <c r="G1125" i="2"/>
  <c r="E1125" i="2"/>
  <c r="F1124" i="2"/>
  <c r="E1124" i="2"/>
  <c r="E1122" i="2"/>
  <c r="G1121" i="2"/>
  <c r="F1121" i="2"/>
  <c r="I1121" i="2" s="1"/>
  <c r="E1121" i="2"/>
  <c r="G1120" i="2"/>
  <c r="F1120" i="2"/>
  <c r="E1120" i="2"/>
  <c r="G1118" i="2"/>
  <c r="F1118" i="2"/>
  <c r="K1118" i="2" s="1"/>
  <c r="E1118" i="2"/>
  <c r="E1117" i="2"/>
  <c r="F1116" i="2"/>
  <c r="E1116" i="2"/>
  <c r="G1115" i="2"/>
  <c r="E1115" i="2"/>
  <c r="F1115" i="2" s="1"/>
  <c r="K1115" i="2" s="1"/>
  <c r="E1113" i="2"/>
  <c r="K1112" i="2"/>
  <c r="J1112" i="2"/>
  <c r="H1112" i="2" s="1"/>
  <c r="I1112" i="2"/>
  <c r="G1112" i="2"/>
  <c r="G1111" i="2"/>
  <c r="E1111" i="2"/>
  <c r="F1111" i="2" s="1"/>
  <c r="K1110" i="2"/>
  <c r="J1110" i="2"/>
  <c r="H1110" i="2" s="1"/>
  <c r="I1110" i="2"/>
  <c r="G1110" i="2"/>
  <c r="G1108" i="2"/>
  <c r="F1108" i="2"/>
  <c r="E1108" i="2"/>
  <c r="G1106" i="2"/>
  <c r="F1106" i="2"/>
  <c r="E1106" i="2"/>
  <c r="E1103" i="2"/>
  <c r="G1101" i="2"/>
  <c r="F1101" i="2"/>
  <c r="E1101" i="2"/>
  <c r="G1100" i="2"/>
  <c r="F1100" i="2"/>
  <c r="J1100" i="2" s="1"/>
  <c r="H1100" i="2" s="1"/>
  <c r="E1100" i="2"/>
  <c r="G1099" i="2"/>
  <c r="F1099" i="2"/>
  <c r="J1099" i="2" s="1"/>
  <c r="H1099" i="2" s="1"/>
  <c r="E1099" i="2"/>
  <c r="E1098" i="2"/>
  <c r="G1097" i="2"/>
  <c r="F1097" i="2"/>
  <c r="J1097" i="2" s="1"/>
  <c r="H1097" i="2" s="1"/>
  <c r="E1097" i="2"/>
  <c r="G1096" i="2"/>
  <c r="F1096" i="2"/>
  <c r="J1096" i="2" s="1"/>
  <c r="H1096" i="2" s="1"/>
  <c r="E1096" i="2"/>
  <c r="G1094" i="2"/>
  <c r="F1094" i="2"/>
  <c r="E1094" i="2"/>
  <c r="E1093" i="2"/>
  <c r="F1093" i="2" s="1"/>
  <c r="J1093" i="2" s="1"/>
  <c r="H1093" i="2" s="1"/>
  <c r="G1091" i="2"/>
  <c r="F1091" i="2"/>
  <c r="K1091" i="2" s="1"/>
  <c r="E1091" i="2"/>
  <c r="E1090" i="2"/>
  <c r="F1087" i="2"/>
  <c r="E1087" i="2"/>
  <c r="K1086" i="2"/>
  <c r="J1086" i="2"/>
  <c r="H1086" i="2" s="1"/>
  <c r="I1086" i="2"/>
  <c r="G1086" i="2"/>
  <c r="G1084" i="2"/>
  <c r="F1084" i="2"/>
  <c r="J1084" i="2" s="1"/>
  <c r="H1084" i="2" s="1"/>
  <c r="E1084" i="2"/>
  <c r="E1083" i="2"/>
  <c r="G1083" i="2" s="1"/>
  <c r="G1082" i="2"/>
  <c r="E1082" i="2"/>
  <c r="G1081" i="2"/>
  <c r="E1081" i="2"/>
  <c r="E1080" i="2"/>
  <c r="G1079" i="2"/>
  <c r="F1079" i="2"/>
  <c r="J1079" i="2" s="1"/>
  <c r="H1079" i="2" s="1"/>
  <c r="E1079" i="2"/>
  <c r="E1078" i="2"/>
  <c r="E1077" i="2"/>
  <c r="G1076" i="2"/>
  <c r="F1076" i="2"/>
  <c r="E1076" i="2"/>
  <c r="F1075" i="2"/>
  <c r="E1075" i="2"/>
  <c r="G1073" i="2"/>
  <c r="F1073" i="2"/>
  <c r="E1073" i="2"/>
  <c r="G1071" i="2"/>
  <c r="E1071" i="2"/>
  <c r="G1070" i="2"/>
  <c r="F1070" i="2"/>
  <c r="E1070" i="2"/>
  <c r="E1069" i="2"/>
  <c r="G1067" i="2"/>
  <c r="F1067" i="2"/>
  <c r="K1067" i="2" s="1"/>
  <c r="E1067" i="2"/>
  <c r="E1066" i="2"/>
  <c r="G1064" i="2"/>
  <c r="F1064" i="2"/>
  <c r="E1064" i="2"/>
  <c r="F1061" i="2"/>
  <c r="E1061" i="2"/>
  <c r="G1060" i="2"/>
  <c r="F1060" i="2"/>
  <c r="K1060" i="2" s="1"/>
  <c r="G1059" i="2"/>
  <c r="F1059" i="2"/>
  <c r="E1059" i="2"/>
  <c r="E1058" i="2"/>
  <c r="G1057" i="2"/>
  <c r="F1057" i="2"/>
  <c r="J1057" i="2" s="1"/>
  <c r="H1057" i="2" s="1"/>
  <c r="G1056" i="2"/>
  <c r="F1056" i="2"/>
  <c r="E1056" i="2"/>
  <c r="F1055" i="2"/>
  <c r="E1055" i="2"/>
  <c r="G1054" i="2"/>
  <c r="F1054" i="2"/>
  <c r="J1054" i="2" s="1"/>
  <c r="H1054" i="2" s="1"/>
  <c r="E1054" i="2"/>
  <c r="G1052" i="2"/>
  <c r="F1052" i="2"/>
  <c r="E1052" i="2"/>
  <c r="G1050" i="2"/>
  <c r="F1050" i="2"/>
  <c r="J1050" i="2" s="1"/>
  <c r="H1050" i="2" s="1"/>
  <c r="E1050" i="2"/>
  <c r="G1049" i="2"/>
  <c r="F1049" i="2"/>
  <c r="E1049" i="2"/>
  <c r="E1048" i="2"/>
  <c r="E1047" i="2"/>
  <c r="E1045" i="2"/>
  <c r="G1044" i="2"/>
  <c r="E1044" i="2"/>
  <c r="G1043" i="2"/>
  <c r="F1043" i="2"/>
  <c r="K1043" i="2" s="1"/>
  <c r="E1043" i="2"/>
  <c r="G1042" i="2"/>
  <c r="E1042" i="2"/>
  <c r="G1041" i="2"/>
  <c r="E1041" i="2"/>
  <c r="G1040" i="2"/>
  <c r="F1040" i="2"/>
  <c r="I1040" i="2" s="1"/>
  <c r="E1040" i="2"/>
  <c r="F1039" i="2"/>
  <c r="E1039" i="2"/>
  <c r="G1037" i="2"/>
  <c r="F1037" i="2"/>
  <c r="K1037" i="2" s="1"/>
  <c r="E1037" i="2"/>
  <c r="G1035" i="2"/>
  <c r="E1035" i="2"/>
  <c r="E1034" i="2"/>
  <c r="F1033" i="2"/>
  <c r="I1033" i="2" s="1"/>
  <c r="E1033" i="2"/>
  <c r="G1033" i="2" s="1"/>
  <c r="G1032" i="2"/>
  <c r="E1032" i="2"/>
  <c r="F1031" i="2"/>
  <c r="G1030" i="2"/>
  <c r="E1030" i="2"/>
  <c r="E1029" i="2"/>
  <c r="G1028" i="2"/>
  <c r="F1028" i="2"/>
  <c r="E1028" i="2"/>
  <c r="F1026" i="2"/>
  <c r="K1026" i="2" s="1"/>
  <c r="E1026" i="2"/>
  <c r="G1026" i="2" s="1"/>
  <c r="F1024" i="2"/>
  <c r="E1024" i="2"/>
  <c r="E1023" i="2"/>
  <c r="F1022" i="2"/>
  <c r="K1022" i="2" s="1"/>
  <c r="E1022" i="2"/>
  <c r="F1020" i="2"/>
  <c r="E1020" i="2"/>
  <c r="E1019" i="2"/>
  <c r="F1019" i="2" s="1"/>
  <c r="K1019" i="2" s="1"/>
  <c r="G1018" i="2"/>
  <c r="F1018" i="2"/>
  <c r="E1018" i="2"/>
  <c r="G1017" i="2"/>
  <c r="F1017" i="2"/>
  <c r="J1017" i="2" s="1"/>
  <c r="H1017" i="2" s="1"/>
  <c r="E1016" i="2"/>
  <c r="E1015" i="2"/>
  <c r="F1014" i="2"/>
  <c r="E1014" i="2"/>
  <c r="F1013" i="2"/>
  <c r="E1013" i="2"/>
  <c r="G1013" i="2" s="1"/>
  <c r="E1012" i="2"/>
  <c r="G1011" i="2"/>
  <c r="F1011" i="2"/>
  <c r="I1011" i="2" s="1"/>
  <c r="E1011" i="2"/>
  <c r="E1009" i="2"/>
  <c r="G1008" i="2"/>
  <c r="F1008" i="2"/>
  <c r="E1008" i="2"/>
  <c r="F1007" i="2"/>
  <c r="E1007" i="2"/>
  <c r="G1005" i="2"/>
  <c r="F1005" i="2"/>
  <c r="E1005" i="2"/>
  <c r="G1004" i="2"/>
  <c r="F1004" i="2"/>
  <c r="E1004" i="2"/>
  <c r="F1003" i="2"/>
  <c r="E1003" i="2"/>
  <c r="E1001" i="2"/>
  <c r="F1000" i="2"/>
  <c r="E1000" i="2"/>
  <c r="G1000" i="2" s="1"/>
  <c r="G999" i="2"/>
  <c r="E999" i="2"/>
  <c r="G998" i="2"/>
  <c r="F998" i="2"/>
  <c r="J998" i="2" s="1"/>
  <c r="H998" i="2" s="1"/>
  <c r="E998" i="2"/>
  <c r="G997" i="2"/>
  <c r="E997" i="2"/>
  <c r="E996" i="2"/>
  <c r="E994" i="2"/>
  <c r="F993" i="2"/>
  <c r="J993" i="2" s="1"/>
  <c r="H993" i="2" s="1"/>
  <c r="E993" i="2"/>
  <c r="G993" i="2" s="1"/>
  <c r="G992" i="2"/>
  <c r="E992" i="2"/>
  <c r="F992" i="2" s="1"/>
  <c r="G991" i="2"/>
  <c r="F991" i="2"/>
  <c r="E991" i="2"/>
  <c r="G990" i="2"/>
  <c r="F990" i="2"/>
  <c r="E990" i="2"/>
  <c r="E989" i="2"/>
  <c r="F988" i="2"/>
  <c r="I988" i="2" s="1"/>
  <c r="E988" i="2"/>
  <c r="G987" i="2"/>
  <c r="F987" i="2"/>
  <c r="E987" i="2"/>
  <c r="E985" i="2"/>
  <c r="F985" i="2" s="1"/>
  <c r="K985" i="2" s="1"/>
  <c r="G984" i="2"/>
  <c r="F984" i="2"/>
  <c r="I984" i="2" s="1"/>
  <c r="E984" i="2"/>
  <c r="E983" i="2"/>
  <c r="G982" i="2"/>
  <c r="F982" i="2"/>
  <c r="E982" i="2"/>
  <c r="F981" i="2"/>
  <c r="E981" i="2"/>
  <c r="G979" i="2"/>
  <c r="F979" i="2"/>
  <c r="I979" i="2" s="1"/>
  <c r="E979" i="2"/>
  <c r="F978" i="2"/>
  <c r="K978" i="2" s="1"/>
  <c r="E978" i="2"/>
  <c r="F977" i="2"/>
  <c r="E977" i="2"/>
  <c r="G976" i="2"/>
  <c r="F976" i="2"/>
  <c r="G975" i="2"/>
  <c r="E975" i="2"/>
  <c r="F975" i="2" s="1"/>
  <c r="I975" i="2" s="1"/>
  <c r="K974" i="2"/>
  <c r="J974" i="2"/>
  <c r="H974" i="2" s="1"/>
  <c r="I974" i="2"/>
  <c r="G974" i="2"/>
  <c r="G973" i="2"/>
  <c r="E973" i="2"/>
  <c r="E972" i="2"/>
  <c r="G970" i="2"/>
  <c r="F970" i="2"/>
  <c r="E970" i="2"/>
  <c r="E969" i="2"/>
  <c r="G968" i="2"/>
  <c r="F968" i="2"/>
  <c r="J968" i="2" s="1"/>
  <c r="H968" i="2" s="1"/>
  <c r="E968" i="2"/>
  <c r="G967" i="2"/>
  <c r="E967" i="2"/>
  <c r="G966" i="2"/>
  <c r="F966" i="2"/>
  <c r="E966" i="2"/>
  <c r="E965" i="2"/>
  <c r="F964" i="2"/>
  <c r="K964" i="2" s="1"/>
  <c r="E964" i="2"/>
  <c r="G964" i="2" s="1"/>
  <c r="F962" i="2"/>
  <c r="E962" i="2"/>
  <c r="G960" i="2"/>
  <c r="F960" i="2"/>
  <c r="I960" i="2" s="1"/>
  <c r="F959" i="2"/>
  <c r="E959" i="2"/>
  <c r="E958" i="2"/>
  <c r="G957" i="2"/>
  <c r="F957" i="2"/>
  <c r="I957" i="2" s="1"/>
  <c r="E957" i="2"/>
  <c r="G956" i="2"/>
  <c r="F956" i="2"/>
  <c r="E956" i="2"/>
  <c r="G953" i="2"/>
  <c r="E953" i="2"/>
  <c r="F952" i="2"/>
  <c r="E952" i="2"/>
  <c r="G952" i="2" s="1"/>
  <c r="E951" i="2"/>
  <c r="G950" i="2"/>
  <c r="F950" i="2"/>
  <c r="K950" i="2" s="1"/>
  <c r="E950" i="2"/>
  <c r="E949" i="2"/>
  <c r="G949" i="2" s="1"/>
  <c r="G948" i="2"/>
  <c r="E948" i="2"/>
  <c r="G946" i="2"/>
  <c r="F946" i="2"/>
  <c r="J946" i="2" s="1"/>
  <c r="H946" i="2" s="1"/>
  <c r="E946" i="2"/>
  <c r="G945" i="2"/>
  <c r="E945" i="2"/>
  <c r="G944" i="2"/>
  <c r="F944" i="2"/>
  <c r="E944" i="2"/>
  <c r="G942" i="2"/>
  <c r="E942" i="2"/>
  <c r="F942" i="2" s="1"/>
  <c r="J942" i="2" s="1"/>
  <c r="H942" i="2" s="1"/>
  <c r="G941" i="2"/>
  <c r="F941" i="2"/>
  <c r="J941" i="2" s="1"/>
  <c r="H941" i="2" s="1"/>
  <c r="E941" i="2"/>
  <c r="G940" i="2"/>
  <c r="F940" i="2"/>
  <c r="E940" i="2"/>
  <c r="E939" i="2"/>
  <c r="G937" i="2"/>
  <c r="E937" i="2"/>
  <c r="F937" i="2" s="1"/>
  <c r="J937" i="2" s="1"/>
  <c r="H937" i="2" s="1"/>
  <c r="E936" i="2"/>
  <c r="E935" i="2"/>
  <c r="G934" i="2"/>
  <c r="F934" i="2"/>
  <c r="I934" i="2" s="1"/>
  <c r="E934" i="2"/>
  <c r="G932" i="2"/>
  <c r="F932" i="2"/>
  <c r="E932" i="2"/>
  <c r="F930" i="2"/>
  <c r="J930" i="2" s="1"/>
  <c r="H930" i="2" s="1"/>
  <c r="E930" i="2"/>
  <c r="G930" i="2" s="1"/>
  <c r="E929" i="2"/>
  <c r="F929" i="2" s="1"/>
  <c r="J929" i="2" s="1"/>
  <c r="H929" i="2" s="1"/>
  <c r="G928" i="2"/>
  <c r="F928" i="2"/>
  <c r="E928" i="2"/>
  <c r="E927" i="2"/>
  <c r="F925" i="2"/>
  <c r="K925" i="2" s="1"/>
  <c r="E925" i="2"/>
  <c r="G924" i="2"/>
  <c r="F924" i="2"/>
  <c r="I924" i="2" s="1"/>
  <c r="E924" i="2"/>
  <c r="E923" i="2"/>
  <c r="G922" i="2"/>
  <c r="E922" i="2"/>
  <c r="F922" i="2" s="1"/>
  <c r="K922" i="2" s="1"/>
  <c r="G920" i="2"/>
  <c r="F920" i="2"/>
  <c r="E920" i="2"/>
  <c r="E919" i="2"/>
  <c r="G918" i="2"/>
  <c r="F918" i="2"/>
  <c r="K918" i="2" s="1"/>
  <c r="E918" i="2"/>
  <c r="F917" i="2"/>
  <c r="K917" i="2" s="1"/>
  <c r="E917" i="2"/>
  <c r="G917" i="2" s="1"/>
  <c r="F916" i="2"/>
  <c r="E916" i="2"/>
  <c r="G916" i="2" s="1"/>
  <c r="G915" i="2"/>
  <c r="E915" i="2"/>
  <c r="G914" i="2"/>
  <c r="F914" i="2"/>
  <c r="J914" i="2" s="1"/>
  <c r="H914" i="2" s="1"/>
  <c r="E914" i="2"/>
  <c r="G912" i="2"/>
  <c r="E912" i="2"/>
  <c r="G911" i="2"/>
  <c r="E911" i="2"/>
  <c r="E910" i="2"/>
  <c r="G908" i="2"/>
  <c r="F908" i="2"/>
  <c r="J908" i="2" s="1"/>
  <c r="H908" i="2" s="1"/>
  <c r="E908" i="2"/>
  <c r="G907" i="2"/>
  <c r="F907" i="2"/>
  <c r="E907" i="2"/>
  <c r="E906" i="2"/>
  <c r="G905" i="2"/>
  <c r="F905" i="2"/>
  <c r="K905" i="2" s="1"/>
  <c r="E905" i="2"/>
  <c r="F904" i="2"/>
  <c r="K904" i="2" s="1"/>
  <c r="E904" i="2"/>
  <c r="G903" i="2"/>
  <c r="F903" i="2"/>
  <c r="I903" i="2" s="1"/>
  <c r="E903" i="2"/>
  <c r="F902" i="2"/>
  <c r="E902" i="2"/>
  <c r="F900" i="2"/>
  <c r="J900" i="2" s="1"/>
  <c r="H900" i="2" s="1"/>
  <c r="E900" i="2"/>
  <c r="G900" i="2" s="1"/>
  <c r="G898" i="2"/>
  <c r="F898" i="2"/>
  <c r="I898" i="2" s="1"/>
  <c r="F897" i="2"/>
  <c r="J897" i="2" s="1"/>
  <c r="H897" i="2" s="1"/>
  <c r="E897" i="2"/>
  <c r="G897" i="2" s="1"/>
  <c r="G896" i="2"/>
  <c r="E896" i="2"/>
  <c r="F896" i="2" s="1"/>
  <c r="K896" i="2" s="1"/>
  <c r="G895" i="2"/>
  <c r="F895" i="2"/>
  <c r="E895" i="2"/>
  <c r="E894" i="2"/>
  <c r="G893" i="2"/>
  <c r="F893" i="2"/>
  <c r="J893" i="2" s="1"/>
  <c r="H893" i="2" s="1"/>
  <c r="E893" i="2"/>
  <c r="G891" i="2"/>
  <c r="F891" i="2"/>
  <c r="E891" i="2"/>
  <c r="G889" i="2"/>
  <c r="F889" i="2"/>
  <c r="K889" i="2" s="1"/>
  <c r="E889" i="2"/>
  <c r="F888" i="2"/>
  <c r="J888" i="2" s="1"/>
  <c r="H888" i="2" s="1"/>
  <c r="E888" i="2"/>
  <c r="G888" i="2" s="1"/>
  <c r="G887" i="2"/>
  <c r="F887" i="2"/>
  <c r="E887" i="2"/>
  <c r="G886" i="2"/>
  <c r="F886" i="2"/>
  <c r="G885" i="2"/>
  <c r="F885" i="2"/>
  <c r="K885" i="2" s="1"/>
  <c r="E885" i="2"/>
  <c r="G883" i="2"/>
  <c r="F883" i="2"/>
  <c r="E883" i="2"/>
  <c r="G881" i="2"/>
  <c r="F881" i="2"/>
  <c r="K881" i="2" s="1"/>
  <c r="E881" i="2"/>
  <c r="G880" i="2"/>
  <c r="E880" i="2"/>
  <c r="G879" i="2"/>
  <c r="E879" i="2"/>
  <c r="E878" i="2"/>
  <c r="G877" i="2"/>
  <c r="E877" i="2"/>
  <c r="F877" i="2" s="1"/>
  <c r="J877" i="2" s="1"/>
  <c r="H877" i="2" s="1"/>
  <c r="E875" i="2"/>
  <c r="E874" i="2"/>
  <c r="G873" i="2"/>
  <c r="F873" i="2"/>
  <c r="K873" i="2" s="1"/>
  <c r="E873" i="2"/>
  <c r="F872" i="2"/>
  <c r="J872" i="2" s="1"/>
  <c r="H872" i="2" s="1"/>
  <c r="E872" i="2"/>
  <c r="G872" i="2" s="1"/>
  <c r="G871" i="2"/>
  <c r="E871" i="2"/>
  <c r="F871" i="2" s="1"/>
  <c r="I871" i="2" s="1"/>
  <c r="G870" i="2"/>
  <c r="F870" i="2"/>
  <c r="E870" i="2"/>
  <c r="E869" i="2"/>
  <c r="E868" i="2"/>
  <c r="G867" i="2"/>
  <c r="F867" i="2"/>
  <c r="J867" i="2" s="1"/>
  <c r="H867" i="2" s="1"/>
  <c r="G866" i="2"/>
  <c r="F866" i="2"/>
  <c r="I866" i="2" s="1"/>
  <c r="E866" i="2"/>
  <c r="F865" i="2"/>
  <c r="J865" i="2" s="1"/>
  <c r="H865" i="2" s="1"/>
  <c r="E865" i="2"/>
  <c r="G865" i="2" s="1"/>
  <c r="G864" i="2"/>
  <c r="E864" i="2"/>
  <c r="F864" i="2" s="1"/>
  <c r="I864" i="2" s="1"/>
  <c r="G863" i="2"/>
  <c r="F863" i="2"/>
  <c r="E863" i="2"/>
  <c r="E861" i="2"/>
  <c r="F859" i="2"/>
  <c r="I859" i="2" s="1"/>
  <c r="E859" i="2"/>
  <c r="G859" i="2" s="1"/>
  <c r="G858" i="2"/>
  <c r="E858" i="2"/>
  <c r="F858" i="2" s="1"/>
  <c r="I858" i="2" s="1"/>
  <c r="G857" i="2"/>
  <c r="F857" i="2"/>
  <c r="E857" i="2"/>
  <c r="E854" i="2"/>
  <c r="F853" i="2"/>
  <c r="E853" i="2"/>
  <c r="E852" i="2"/>
  <c r="G851" i="2"/>
  <c r="F851" i="2"/>
  <c r="I851" i="2" s="1"/>
  <c r="E851" i="2"/>
  <c r="G850" i="2"/>
  <c r="F850" i="2"/>
  <c r="I850" i="2" s="1"/>
  <c r="E850" i="2"/>
  <c r="F849" i="2"/>
  <c r="J849" i="2" s="1"/>
  <c r="H849" i="2" s="1"/>
  <c r="E849" i="2"/>
  <c r="G849" i="2" s="1"/>
  <c r="G847" i="2"/>
  <c r="F847" i="2"/>
  <c r="K847" i="2" s="1"/>
  <c r="E847" i="2"/>
  <c r="G845" i="2"/>
  <c r="F845" i="2"/>
  <c r="I845" i="2" s="1"/>
  <c r="E845" i="2"/>
  <c r="G844" i="2"/>
  <c r="F844" i="2"/>
  <c r="I844" i="2" s="1"/>
  <c r="E844" i="2"/>
  <c r="F843" i="2"/>
  <c r="J843" i="2" s="1"/>
  <c r="H843" i="2" s="1"/>
  <c r="E843" i="2"/>
  <c r="G843" i="2" s="1"/>
  <c r="G842" i="2"/>
  <c r="E842" i="2"/>
  <c r="G841" i="2"/>
  <c r="F841" i="2"/>
  <c r="E841" i="2"/>
  <c r="G840" i="2"/>
  <c r="F840" i="2"/>
  <c r="K840" i="2" s="1"/>
  <c r="E840" i="2"/>
  <c r="G838" i="2"/>
  <c r="F838" i="2"/>
  <c r="I838" i="2" s="1"/>
  <c r="E838" i="2"/>
  <c r="G837" i="2"/>
  <c r="F837" i="2"/>
  <c r="K837" i="2" s="1"/>
  <c r="E837" i="2"/>
  <c r="F836" i="2"/>
  <c r="I836" i="2" s="1"/>
  <c r="E836" i="2"/>
  <c r="G836" i="2" s="1"/>
  <c r="E835" i="2"/>
  <c r="E833" i="2"/>
  <c r="E832" i="2"/>
  <c r="G831" i="2"/>
  <c r="F831" i="2"/>
  <c r="I831" i="2" s="1"/>
  <c r="E831" i="2"/>
  <c r="G830" i="2"/>
  <c r="F830" i="2"/>
  <c r="I830" i="2" s="1"/>
  <c r="E830" i="2"/>
  <c r="F829" i="2"/>
  <c r="I829" i="2" s="1"/>
  <c r="E829" i="2"/>
  <c r="G829" i="2" s="1"/>
  <c r="E828" i="2"/>
  <c r="G827" i="2"/>
  <c r="F827" i="2"/>
  <c r="E827" i="2"/>
  <c r="E826" i="2"/>
  <c r="F825" i="2"/>
  <c r="J825" i="2" s="1"/>
  <c r="H825" i="2" s="1"/>
  <c r="E825" i="2"/>
  <c r="G823" i="2"/>
  <c r="F823" i="2"/>
  <c r="K823" i="2" s="1"/>
  <c r="E822" i="2"/>
  <c r="G821" i="2"/>
  <c r="F821" i="2"/>
  <c r="F820" i="2"/>
  <c r="J820" i="2" s="1"/>
  <c r="H820" i="2" s="1"/>
  <c r="E820" i="2"/>
  <c r="E819" i="2"/>
  <c r="G818" i="2"/>
  <c r="F818" i="2"/>
  <c r="J818" i="2" s="1"/>
  <c r="H818" i="2" s="1"/>
  <c r="E818" i="2"/>
  <c r="G817" i="2"/>
  <c r="F817" i="2"/>
  <c r="K817" i="2" s="1"/>
  <c r="E817" i="2"/>
  <c r="F816" i="2"/>
  <c r="E816" i="2"/>
  <c r="G815" i="2"/>
  <c r="F815" i="2"/>
  <c r="K815" i="2" s="1"/>
  <c r="E813" i="2"/>
  <c r="G812" i="2"/>
  <c r="F812" i="2"/>
  <c r="K812" i="2" s="1"/>
  <c r="E812" i="2"/>
  <c r="G811" i="2"/>
  <c r="F811" i="2"/>
  <c r="E811" i="2"/>
  <c r="E810" i="2"/>
  <c r="G809" i="2"/>
  <c r="F809" i="2"/>
  <c r="K809" i="2" s="1"/>
  <c r="E807" i="2"/>
  <c r="G806" i="2"/>
  <c r="F806" i="2"/>
  <c r="K806" i="2" s="1"/>
  <c r="E806" i="2"/>
  <c r="G805" i="2"/>
  <c r="F805" i="2"/>
  <c r="K805" i="2" s="1"/>
  <c r="E805" i="2"/>
  <c r="F804" i="2"/>
  <c r="I804" i="2" s="1"/>
  <c r="E804" i="2"/>
  <c r="G802" i="2"/>
  <c r="F802" i="2"/>
  <c r="J802" i="2" s="1"/>
  <c r="H802" i="2" s="1"/>
  <c r="E802" i="2"/>
  <c r="F801" i="2"/>
  <c r="I801" i="2" s="1"/>
  <c r="E801" i="2"/>
  <c r="E800" i="2"/>
  <c r="G799" i="2"/>
  <c r="F799" i="2"/>
  <c r="K799" i="2" s="1"/>
  <c r="E799" i="2"/>
  <c r="G798" i="2"/>
  <c r="F798" i="2"/>
  <c r="J798" i="2" s="1"/>
  <c r="H798" i="2" s="1"/>
  <c r="E798" i="2"/>
  <c r="F797" i="2"/>
  <c r="E797" i="2"/>
  <c r="E796" i="2"/>
  <c r="G795" i="2"/>
  <c r="F795" i="2"/>
  <c r="I795" i="2" s="1"/>
  <c r="E795" i="2"/>
  <c r="G794" i="2"/>
  <c r="F794" i="2"/>
  <c r="K794" i="2" s="1"/>
  <c r="G793" i="2"/>
  <c r="F793" i="2"/>
  <c r="J793" i="2" s="1"/>
  <c r="H793" i="2" s="1"/>
  <c r="G792" i="2"/>
  <c r="F792" i="2"/>
  <c r="J792" i="2" s="1"/>
  <c r="H792" i="2" s="1"/>
  <c r="E792" i="2"/>
  <c r="G790" i="2"/>
  <c r="F790" i="2"/>
  <c r="I790" i="2" s="1"/>
  <c r="E790" i="2"/>
  <c r="G789" i="2"/>
  <c r="F789" i="2"/>
  <c r="J789" i="2" s="1"/>
  <c r="H789" i="2" s="1"/>
  <c r="E789" i="2"/>
  <c r="G787" i="2"/>
  <c r="F787" i="2"/>
  <c r="K787" i="2" s="1"/>
  <c r="E787" i="2"/>
  <c r="G786" i="2"/>
  <c r="F786" i="2"/>
  <c r="J786" i="2" s="1"/>
  <c r="H786" i="2" s="1"/>
  <c r="E786" i="2"/>
  <c r="F785" i="2"/>
  <c r="E785" i="2"/>
  <c r="G783" i="2"/>
  <c r="F783" i="2"/>
  <c r="I783" i="2" s="1"/>
  <c r="E783" i="2"/>
  <c r="E782" i="2"/>
  <c r="E781" i="2"/>
  <c r="F779" i="2"/>
  <c r="I779" i="2" s="1"/>
  <c r="E779" i="2"/>
  <c r="G778" i="2"/>
  <c r="E778" i="2"/>
  <c r="G777" i="2"/>
  <c r="F777" i="2"/>
  <c r="K777" i="2" s="1"/>
  <c r="E777" i="2"/>
  <c r="E776" i="2"/>
  <c r="G775" i="2"/>
  <c r="F775" i="2"/>
  <c r="K775" i="2" s="1"/>
  <c r="G772" i="2"/>
  <c r="F772" i="2"/>
  <c r="K772" i="2" s="1"/>
  <c r="E772" i="2"/>
  <c r="G771" i="2"/>
  <c r="E771" i="2"/>
  <c r="K770" i="2"/>
  <c r="J770" i="2"/>
  <c r="H770" i="2" s="1"/>
  <c r="I770" i="2"/>
  <c r="G770" i="2"/>
  <c r="E769" i="2"/>
  <c r="G769" i="2" s="1"/>
  <c r="G767" i="2"/>
  <c r="F767" i="2"/>
  <c r="K767" i="2" s="1"/>
  <c r="E766" i="2"/>
  <c r="G765" i="2"/>
  <c r="F765" i="2"/>
  <c r="I765" i="2" s="1"/>
  <c r="E765" i="2"/>
  <c r="E764" i="2"/>
  <c r="G764" i="2" s="1"/>
  <c r="G763" i="2"/>
  <c r="E763" i="2"/>
  <c r="F763" i="2" s="1"/>
  <c r="I763" i="2" s="1"/>
  <c r="G762" i="2"/>
  <c r="F762" i="2"/>
  <c r="K762" i="2" s="1"/>
  <c r="E762" i="2"/>
  <c r="G761" i="2"/>
  <c r="F761" i="2"/>
  <c r="E761" i="2"/>
  <c r="G760" i="2"/>
  <c r="E760" i="2"/>
  <c r="F759" i="2"/>
  <c r="E759" i="2"/>
  <c r="E758" i="2"/>
  <c r="G757" i="2"/>
  <c r="F757" i="2"/>
  <c r="K757" i="2" s="1"/>
  <c r="E757" i="2"/>
  <c r="K756" i="2"/>
  <c r="J756" i="2"/>
  <c r="H756" i="2" s="1"/>
  <c r="I756" i="2"/>
  <c r="E756" i="2"/>
  <c r="G756" i="2" s="1"/>
  <c r="G755" i="2"/>
  <c r="F755" i="2"/>
  <c r="K755" i="2" s="1"/>
  <c r="E755" i="2"/>
  <c r="G754" i="2"/>
  <c r="F754" i="2"/>
  <c r="E754" i="2"/>
  <c r="G753" i="2"/>
  <c r="E753" i="2"/>
  <c r="F752" i="2"/>
  <c r="E752" i="2"/>
  <c r="F750" i="2"/>
  <c r="K750" i="2" s="1"/>
  <c r="E750" i="2"/>
  <c r="G750" i="2" s="1"/>
  <c r="G749" i="2"/>
  <c r="F749" i="2"/>
  <c r="K749" i="2" s="1"/>
  <c r="G748" i="2"/>
  <c r="F748" i="2"/>
  <c r="E748" i="2"/>
  <c r="G747" i="2"/>
  <c r="E747" i="2"/>
  <c r="F746" i="2"/>
  <c r="E746" i="2"/>
  <c r="G743" i="2"/>
  <c r="F743" i="2"/>
  <c r="K743" i="2" s="1"/>
  <c r="E743" i="2"/>
  <c r="G742" i="2"/>
  <c r="F742" i="2"/>
  <c r="E742" i="2"/>
  <c r="G741" i="2"/>
  <c r="E741" i="2"/>
  <c r="F740" i="2"/>
  <c r="E740" i="2"/>
  <c r="E739" i="2"/>
  <c r="G738" i="2"/>
  <c r="F738" i="2"/>
  <c r="K738" i="2" s="1"/>
  <c r="E738" i="2"/>
  <c r="F737" i="2"/>
  <c r="J737" i="2" s="1"/>
  <c r="H737" i="2" s="1"/>
  <c r="E737" i="2"/>
  <c r="G737" i="2" s="1"/>
  <c r="G736" i="2"/>
  <c r="E736" i="2"/>
  <c r="F736" i="2" s="1"/>
  <c r="I736" i="2" s="1"/>
  <c r="E734" i="2"/>
  <c r="G732" i="2"/>
  <c r="F732" i="2"/>
  <c r="K732" i="2" s="1"/>
  <c r="E732" i="2"/>
  <c r="F731" i="2"/>
  <c r="I731" i="2" s="1"/>
  <c r="E731" i="2"/>
  <c r="G731" i="2" s="1"/>
  <c r="G729" i="2"/>
  <c r="F729" i="2"/>
  <c r="E729" i="2"/>
  <c r="E727" i="2"/>
  <c r="G726" i="2"/>
  <c r="F726" i="2"/>
  <c r="K726" i="2" s="1"/>
  <c r="E726" i="2"/>
  <c r="F725" i="2"/>
  <c r="K725" i="2" s="1"/>
  <c r="E725" i="2"/>
  <c r="G725" i="2" s="1"/>
  <c r="G724" i="2"/>
  <c r="E724" i="2"/>
  <c r="F724" i="2" s="1"/>
  <c r="I724" i="2" s="1"/>
  <c r="G723" i="2"/>
  <c r="F723" i="2"/>
  <c r="K723" i="2" s="1"/>
  <c r="E723" i="2"/>
  <c r="G722" i="2"/>
  <c r="F722" i="2"/>
  <c r="E722" i="2"/>
  <c r="G718" i="2"/>
  <c r="F718" i="2"/>
  <c r="K718" i="2" s="1"/>
  <c r="E718" i="2"/>
  <c r="G717" i="2"/>
  <c r="F717" i="2"/>
  <c r="E717" i="2"/>
  <c r="E716" i="2"/>
  <c r="F715" i="2"/>
  <c r="E715" i="2"/>
  <c r="E714" i="2"/>
  <c r="G713" i="2"/>
  <c r="F713" i="2"/>
  <c r="K713" i="2" s="1"/>
  <c r="E713" i="2"/>
  <c r="K712" i="2"/>
  <c r="J712" i="2"/>
  <c r="H712" i="2" s="1"/>
  <c r="I712" i="2"/>
  <c r="E712" i="2"/>
  <c r="G712" i="2" s="1"/>
  <c r="G711" i="2"/>
  <c r="F711" i="2"/>
  <c r="K711" i="2" s="1"/>
  <c r="E711" i="2"/>
  <c r="F709" i="2"/>
  <c r="E709" i="2"/>
  <c r="E708" i="2"/>
  <c r="G706" i="2"/>
  <c r="E706" i="2"/>
  <c r="F706" i="2" s="1"/>
  <c r="I706" i="2" s="1"/>
  <c r="G704" i="2"/>
  <c r="F704" i="2"/>
  <c r="E704" i="2"/>
  <c r="F703" i="2"/>
  <c r="E703" i="2"/>
  <c r="E702" i="2"/>
  <c r="G701" i="2"/>
  <c r="F701" i="2"/>
  <c r="I701" i="2" s="1"/>
  <c r="E701" i="2"/>
  <c r="F700" i="2"/>
  <c r="K700" i="2" s="1"/>
  <c r="E700" i="2"/>
  <c r="G700" i="2" s="1"/>
  <c r="G699" i="2"/>
  <c r="E699" i="2"/>
  <c r="F699" i="2" s="1"/>
  <c r="J699" i="2" s="1"/>
  <c r="H699" i="2" s="1"/>
  <c r="G698" i="2"/>
  <c r="F698" i="2"/>
  <c r="K698" i="2" s="1"/>
  <c r="E698" i="2"/>
  <c r="G697" i="2"/>
  <c r="F697" i="2"/>
  <c r="E697" i="2"/>
  <c r="G696" i="2"/>
  <c r="F696" i="2"/>
  <c r="E696" i="2"/>
  <c r="G694" i="2"/>
  <c r="F694" i="2"/>
  <c r="K694" i="2" s="1"/>
  <c r="E694" i="2"/>
  <c r="F693" i="2"/>
  <c r="K693" i="2" s="1"/>
  <c r="E693" i="2"/>
  <c r="G693" i="2" s="1"/>
  <c r="G692" i="2"/>
  <c r="E692" i="2"/>
  <c r="F692" i="2" s="1"/>
  <c r="G691" i="2"/>
  <c r="F691" i="2"/>
  <c r="K691" i="2" s="1"/>
  <c r="E691" i="2"/>
  <c r="G690" i="2"/>
  <c r="F690" i="2"/>
  <c r="E690" i="2"/>
  <c r="G689" i="2"/>
  <c r="E689" i="2"/>
  <c r="F688" i="2"/>
  <c r="E688" i="2"/>
  <c r="F686" i="2"/>
  <c r="J686" i="2" s="1"/>
  <c r="H686" i="2" s="1"/>
  <c r="E686" i="2"/>
  <c r="G686" i="2" s="1"/>
  <c r="G684" i="2"/>
  <c r="F684" i="2"/>
  <c r="E684" i="2"/>
  <c r="F683" i="2"/>
  <c r="E683" i="2"/>
  <c r="F682" i="2"/>
  <c r="E682" i="2"/>
  <c r="E681" i="2"/>
  <c r="G680" i="2"/>
  <c r="F680" i="2"/>
  <c r="K680" i="2" s="1"/>
  <c r="E680" i="2"/>
  <c r="G678" i="2"/>
  <c r="F678" i="2"/>
  <c r="K678" i="2" s="1"/>
  <c r="E678" i="2"/>
  <c r="G677" i="2"/>
  <c r="F677" i="2"/>
  <c r="E677" i="2"/>
  <c r="G676" i="2"/>
  <c r="E676" i="2"/>
  <c r="E675" i="2"/>
  <c r="E674" i="2"/>
  <c r="G671" i="2"/>
  <c r="E671" i="2"/>
  <c r="F671" i="2" s="1"/>
  <c r="G669" i="2"/>
  <c r="F669" i="2"/>
  <c r="K669" i="2" s="1"/>
  <c r="E669" i="2"/>
  <c r="F668" i="2"/>
  <c r="E668" i="2"/>
  <c r="G668" i="2" s="1"/>
  <c r="G667" i="2"/>
  <c r="E667" i="2"/>
  <c r="F666" i="2"/>
  <c r="K666" i="2" s="1"/>
  <c r="E666" i="2"/>
  <c r="E665" i="2"/>
  <c r="G663" i="2"/>
  <c r="F663" i="2"/>
  <c r="K663" i="2" s="1"/>
  <c r="E663" i="2"/>
  <c r="G662" i="2"/>
  <c r="F662" i="2"/>
  <c r="E662" i="2"/>
  <c r="F661" i="2"/>
  <c r="E661" i="2"/>
  <c r="G661" i="2" s="1"/>
  <c r="F660" i="2"/>
  <c r="E660" i="2"/>
  <c r="K659" i="2"/>
  <c r="J659" i="2"/>
  <c r="H659" i="2" s="1"/>
  <c r="I659" i="2"/>
  <c r="G659" i="2"/>
  <c r="G658" i="2"/>
  <c r="E658" i="2"/>
  <c r="F658" i="2" s="1"/>
  <c r="J658" i="2" s="1"/>
  <c r="H658" i="2" s="1"/>
  <c r="G657" i="2"/>
  <c r="F657" i="2"/>
  <c r="K657" i="2" s="1"/>
  <c r="E657" i="2"/>
  <c r="G656" i="2"/>
  <c r="F656" i="2"/>
  <c r="E656" i="2"/>
  <c r="G655" i="2"/>
  <c r="E655" i="2"/>
  <c r="F654" i="2"/>
  <c r="I654" i="2" s="1"/>
  <c r="E654" i="2"/>
  <c r="E653" i="2"/>
  <c r="G651" i="2"/>
  <c r="F651" i="2"/>
  <c r="I651" i="2" s="1"/>
  <c r="G650" i="2"/>
  <c r="F650" i="2"/>
  <c r="J650" i="2" s="1"/>
  <c r="H650" i="2" s="1"/>
  <c r="E650" i="2"/>
  <c r="E649" i="2"/>
  <c r="E647" i="2"/>
  <c r="G647" i="2" s="1"/>
  <c r="E646" i="2"/>
  <c r="G645" i="2"/>
  <c r="F645" i="2"/>
  <c r="K645" i="2" s="1"/>
  <c r="E645" i="2"/>
  <c r="E643" i="2"/>
  <c r="E642" i="2"/>
  <c r="G640" i="2"/>
  <c r="F640" i="2"/>
  <c r="K640" i="2" s="1"/>
  <c r="E640" i="2"/>
  <c r="G639" i="2"/>
  <c r="E639" i="2"/>
  <c r="G638" i="2"/>
  <c r="E638" i="2"/>
  <c r="E637" i="2"/>
  <c r="G636" i="2"/>
  <c r="E636" i="2"/>
  <c r="G635" i="2"/>
  <c r="F635" i="2"/>
  <c r="K635" i="2" s="1"/>
  <c r="E635" i="2"/>
  <c r="G634" i="2"/>
  <c r="F634" i="2"/>
  <c r="E634" i="2"/>
  <c r="F633" i="2"/>
  <c r="F632" i="2"/>
  <c r="J632" i="2" s="1"/>
  <c r="H632" i="2" s="1"/>
  <c r="E632" i="2"/>
  <c r="G630" i="2"/>
  <c r="F630" i="2"/>
  <c r="K630" i="2" s="1"/>
  <c r="E630" i="2"/>
  <c r="G629" i="2"/>
  <c r="F629" i="2"/>
  <c r="K629" i="2" s="1"/>
  <c r="E629" i="2"/>
  <c r="F628" i="2"/>
  <c r="I628" i="2" s="1"/>
  <c r="E628" i="2"/>
  <c r="G627" i="2"/>
  <c r="E627" i="2"/>
  <c r="E626" i="2"/>
  <c r="E624" i="2"/>
  <c r="F624" i="2" s="1"/>
  <c r="I624" i="2" s="1"/>
  <c r="G623" i="2"/>
  <c r="F623" i="2"/>
  <c r="K623" i="2" s="1"/>
  <c r="E623" i="2"/>
  <c r="G621" i="2"/>
  <c r="F621" i="2"/>
  <c r="E621" i="2"/>
  <c r="F620" i="2"/>
  <c r="J620" i="2" s="1"/>
  <c r="H620" i="2" s="1"/>
  <c r="E620" i="2"/>
  <c r="G619" i="2"/>
  <c r="E619" i="2"/>
  <c r="F619" i="2" s="1"/>
  <c r="E618" i="2"/>
  <c r="G617" i="2"/>
  <c r="E617" i="2"/>
  <c r="F617" i="2" s="1"/>
  <c r="I617" i="2" s="1"/>
  <c r="G616" i="2"/>
  <c r="E616" i="2"/>
  <c r="G614" i="2"/>
  <c r="E614" i="2"/>
  <c r="F614" i="2" s="1"/>
  <c r="G613" i="2"/>
  <c r="F613" i="2"/>
  <c r="E613" i="2"/>
  <c r="E612" i="2"/>
  <c r="G611" i="2"/>
  <c r="F611" i="2"/>
  <c r="I611" i="2" s="1"/>
  <c r="E611" i="2"/>
  <c r="G610" i="2"/>
  <c r="F610" i="2"/>
  <c r="K610" i="2" s="1"/>
  <c r="E610" i="2"/>
  <c r="G609" i="2"/>
  <c r="E609" i="2"/>
  <c r="F608" i="2"/>
  <c r="I608" i="2" s="1"/>
  <c r="E608" i="2"/>
  <c r="G608" i="2" s="1"/>
  <c r="E607" i="2"/>
  <c r="G606" i="2"/>
  <c r="E606" i="2"/>
  <c r="F606" i="2" s="1"/>
  <c r="G605" i="2"/>
  <c r="F605" i="2"/>
  <c r="E605" i="2"/>
  <c r="F602" i="2"/>
  <c r="I602" i="2" s="1"/>
  <c r="E602" i="2"/>
  <c r="G602" i="2" s="1"/>
  <c r="E601" i="2"/>
  <c r="G600" i="2"/>
  <c r="E600" i="2"/>
  <c r="F600" i="2" s="1"/>
  <c r="G599" i="2"/>
  <c r="F599" i="2"/>
  <c r="K599" i="2" s="1"/>
  <c r="E599" i="2"/>
  <c r="E598" i="2"/>
  <c r="G597" i="2"/>
  <c r="E597" i="2"/>
  <c r="F595" i="2"/>
  <c r="I595" i="2" s="1"/>
  <c r="E595" i="2"/>
  <c r="G595" i="2" s="1"/>
  <c r="E594" i="2"/>
  <c r="G593" i="2"/>
  <c r="E593" i="2"/>
  <c r="F593" i="2" s="1"/>
  <c r="G591" i="2"/>
  <c r="E591" i="2"/>
  <c r="F589" i="2"/>
  <c r="I589" i="2" s="1"/>
  <c r="E589" i="2"/>
  <c r="G589" i="2" s="1"/>
  <c r="G588" i="2"/>
  <c r="F588" i="2"/>
  <c r="K588" i="2" s="1"/>
  <c r="G587" i="2"/>
  <c r="F587" i="2"/>
  <c r="E587" i="2"/>
  <c r="G583" i="2"/>
  <c r="F583" i="2"/>
  <c r="E583" i="2"/>
  <c r="E582" i="2"/>
  <c r="G581" i="2"/>
  <c r="E581" i="2"/>
  <c r="G580" i="2"/>
  <c r="F580" i="2"/>
  <c r="I580" i="2" s="1"/>
  <c r="E580" i="2"/>
  <c r="G579" i="2"/>
  <c r="F579" i="2"/>
  <c r="J579" i="2" s="1"/>
  <c r="H579" i="2" s="1"/>
  <c r="E579" i="2"/>
  <c r="G577" i="2"/>
  <c r="F577" i="2"/>
  <c r="I577" i="2" s="1"/>
  <c r="E577" i="2"/>
  <c r="E576" i="2"/>
  <c r="G574" i="2"/>
  <c r="F574" i="2"/>
  <c r="J574" i="2" s="1"/>
  <c r="H574" i="2" s="1"/>
  <c r="E574" i="2"/>
  <c r="G572" i="2"/>
  <c r="F572" i="2"/>
  <c r="I572" i="2" s="1"/>
  <c r="E572" i="2"/>
  <c r="E571" i="2"/>
  <c r="G570" i="2"/>
  <c r="E570" i="2"/>
  <c r="G569" i="2"/>
  <c r="F569" i="2"/>
  <c r="K569" i="2" s="1"/>
  <c r="E569" i="2"/>
  <c r="G568" i="2"/>
  <c r="F568" i="2"/>
  <c r="J568" i="2" s="1"/>
  <c r="H568" i="2" s="1"/>
  <c r="E568" i="2"/>
  <c r="G566" i="2"/>
  <c r="E566" i="2"/>
  <c r="F566" i="2" s="1"/>
  <c r="G565" i="2"/>
  <c r="F565" i="2"/>
  <c r="I565" i="2" s="1"/>
  <c r="E565" i="2"/>
  <c r="E564" i="2"/>
  <c r="G563" i="2"/>
  <c r="E563" i="2"/>
  <c r="E561" i="2"/>
  <c r="G560" i="2"/>
  <c r="E560" i="2"/>
  <c r="F560" i="2" s="1"/>
  <c r="J560" i="2" s="1"/>
  <c r="H560" i="2" s="1"/>
  <c r="G559" i="2"/>
  <c r="F559" i="2"/>
  <c r="I559" i="2" s="1"/>
  <c r="E559" i="2"/>
  <c r="E558" i="2"/>
  <c r="G557" i="2"/>
  <c r="E557" i="2"/>
  <c r="F555" i="2"/>
  <c r="E555" i="2"/>
  <c r="G554" i="2"/>
  <c r="F554" i="2"/>
  <c r="J554" i="2" s="1"/>
  <c r="H554" i="2" s="1"/>
  <c r="G553" i="2"/>
  <c r="F553" i="2"/>
  <c r="I553" i="2" s="1"/>
  <c r="E553" i="2"/>
  <c r="G551" i="2"/>
  <c r="F551" i="2"/>
  <c r="I551" i="2" s="1"/>
  <c r="E551" i="2"/>
  <c r="E549" i="2"/>
  <c r="G547" i="2"/>
  <c r="F547" i="2"/>
  <c r="K547" i="2" s="1"/>
  <c r="G546" i="2"/>
  <c r="F546" i="2"/>
  <c r="I546" i="2" s="1"/>
  <c r="E546" i="2"/>
  <c r="G545" i="2"/>
  <c r="F545" i="2"/>
  <c r="J545" i="2" s="1"/>
  <c r="H545" i="2" s="1"/>
  <c r="E545" i="2"/>
  <c r="F544" i="2"/>
  <c r="E544" i="2"/>
  <c r="E543" i="2"/>
  <c r="E541" i="2"/>
  <c r="G540" i="2"/>
  <c r="E540" i="2"/>
  <c r="G539" i="2"/>
  <c r="F539" i="2"/>
  <c r="I539" i="2" s="1"/>
  <c r="E539" i="2"/>
  <c r="G538" i="2"/>
  <c r="F538" i="2"/>
  <c r="J538" i="2" s="1"/>
  <c r="H538" i="2" s="1"/>
  <c r="E538" i="2"/>
  <c r="E537" i="2"/>
  <c r="E536" i="2"/>
  <c r="G535" i="2"/>
  <c r="E535" i="2"/>
  <c r="F535" i="2" s="1"/>
  <c r="J535" i="2" s="1"/>
  <c r="H535" i="2" s="1"/>
  <c r="G534" i="2"/>
  <c r="F534" i="2"/>
  <c r="I534" i="2" s="1"/>
  <c r="E534" i="2"/>
  <c r="E533" i="2"/>
  <c r="G532" i="2"/>
  <c r="E532" i="2"/>
  <c r="F530" i="2"/>
  <c r="I530" i="2" s="1"/>
  <c r="E530" i="2"/>
  <c r="E529" i="2"/>
  <c r="E527" i="2"/>
  <c r="K526" i="2"/>
  <c r="J526" i="2"/>
  <c r="H526" i="2" s="1"/>
  <c r="I526" i="2"/>
  <c r="G526" i="2"/>
  <c r="E525" i="2"/>
  <c r="E523" i="2"/>
  <c r="G522" i="2"/>
  <c r="E522" i="2"/>
  <c r="G521" i="2"/>
  <c r="F521" i="2"/>
  <c r="K521" i="2" s="1"/>
  <c r="E521" i="2"/>
  <c r="G520" i="2"/>
  <c r="F520" i="2"/>
  <c r="K520" i="2" s="1"/>
  <c r="E520" i="2"/>
  <c r="F519" i="2"/>
  <c r="E519" i="2"/>
  <c r="G519" i="2" s="1"/>
  <c r="G518" i="2"/>
  <c r="F518" i="2"/>
  <c r="K518" i="2" s="1"/>
  <c r="G517" i="2"/>
  <c r="F517" i="2"/>
  <c r="I517" i="2" s="1"/>
  <c r="G516" i="2"/>
  <c r="E516" i="2"/>
  <c r="G515" i="2"/>
  <c r="F515" i="2"/>
  <c r="K515" i="2" s="1"/>
  <c r="E515" i="2"/>
  <c r="E513" i="2"/>
  <c r="G512" i="2"/>
  <c r="F512" i="2"/>
  <c r="K512" i="2" s="1"/>
  <c r="G511" i="2"/>
  <c r="F511" i="2"/>
  <c r="I511" i="2" s="1"/>
  <c r="E511" i="2"/>
  <c r="F510" i="2"/>
  <c r="E510" i="2"/>
  <c r="F509" i="2"/>
  <c r="K509" i="2" s="1"/>
  <c r="E509" i="2"/>
  <c r="G508" i="2"/>
  <c r="F508" i="2"/>
  <c r="J508" i="2" s="1"/>
  <c r="H508" i="2" s="1"/>
  <c r="E508" i="2"/>
  <c r="E507" i="2"/>
  <c r="G505" i="2"/>
  <c r="F505" i="2"/>
  <c r="K505" i="2" s="1"/>
  <c r="E505" i="2"/>
  <c r="F504" i="2"/>
  <c r="E504" i="2"/>
  <c r="F503" i="2"/>
  <c r="I503" i="2" s="1"/>
  <c r="E503" i="2"/>
  <c r="K502" i="2"/>
  <c r="J502" i="2"/>
  <c r="H502" i="2" s="1"/>
  <c r="I502" i="2"/>
  <c r="G502" i="2"/>
  <c r="E501" i="2"/>
  <c r="G498" i="2"/>
  <c r="F498" i="2"/>
  <c r="K498" i="2" s="1"/>
  <c r="E498" i="2"/>
  <c r="G497" i="2"/>
  <c r="F497" i="2"/>
  <c r="J497" i="2" s="1"/>
  <c r="H497" i="2" s="1"/>
  <c r="E497" i="2"/>
  <c r="F496" i="2"/>
  <c r="E496" i="2"/>
  <c r="G496" i="2" s="1"/>
  <c r="E495" i="2"/>
  <c r="G494" i="2"/>
  <c r="E494" i="2"/>
  <c r="F494" i="2" s="1"/>
  <c r="K494" i="2" s="1"/>
  <c r="G493" i="2"/>
  <c r="F493" i="2"/>
  <c r="K493" i="2" s="1"/>
  <c r="E493" i="2"/>
  <c r="F492" i="2"/>
  <c r="E492" i="2"/>
  <c r="F491" i="2"/>
  <c r="I491" i="2" s="1"/>
  <c r="E491" i="2"/>
  <c r="G490" i="2"/>
  <c r="F490" i="2"/>
  <c r="E490" i="2"/>
  <c r="G488" i="2"/>
  <c r="F488" i="2"/>
  <c r="I488" i="2" s="1"/>
  <c r="G487" i="2"/>
  <c r="F487" i="2"/>
  <c r="J487" i="2" s="1"/>
  <c r="H487" i="2" s="1"/>
  <c r="E487" i="2"/>
  <c r="G486" i="2"/>
  <c r="E486" i="2"/>
  <c r="G485" i="2"/>
  <c r="F485" i="2"/>
  <c r="I485" i="2" s="1"/>
  <c r="E485" i="2"/>
  <c r="E483" i="2"/>
  <c r="E482" i="2"/>
  <c r="E480" i="2"/>
  <c r="E479" i="2"/>
  <c r="F477" i="2"/>
  <c r="K477" i="2" s="1"/>
  <c r="E477" i="2"/>
  <c r="G477" i="2" s="1"/>
  <c r="E476" i="2"/>
  <c r="G475" i="2"/>
  <c r="E475" i="2"/>
  <c r="F475" i="2" s="1"/>
  <c r="K475" i="2" s="1"/>
  <c r="G474" i="2"/>
  <c r="F474" i="2"/>
  <c r="K474" i="2" s="1"/>
  <c r="E474" i="2"/>
  <c r="E473" i="2"/>
  <c r="G472" i="2"/>
  <c r="F472" i="2"/>
  <c r="E472" i="2"/>
  <c r="E471" i="2"/>
  <c r="E470" i="2"/>
  <c r="E469" i="2"/>
  <c r="G469" i="2" s="1"/>
  <c r="E468" i="2"/>
  <c r="G467" i="2"/>
  <c r="E467" i="2"/>
  <c r="F467" i="2" s="1"/>
  <c r="K467" i="2" s="1"/>
  <c r="G466" i="2"/>
  <c r="F466" i="2"/>
  <c r="J466" i="2" s="1"/>
  <c r="H466" i="2" s="1"/>
  <c r="E466" i="2"/>
  <c r="E464" i="2"/>
  <c r="E462" i="2"/>
  <c r="G461" i="2"/>
  <c r="E461" i="2"/>
  <c r="F461" i="2" s="1"/>
  <c r="K461" i="2" s="1"/>
  <c r="G460" i="2"/>
  <c r="F460" i="2"/>
  <c r="J460" i="2" s="1"/>
  <c r="H460" i="2" s="1"/>
  <c r="E459" i="2"/>
  <c r="E458" i="2"/>
  <c r="G457" i="2"/>
  <c r="E457" i="2"/>
  <c r="F456" i="2"/>
  <c r="K456" i="2" s="1"/>
  <c r="E456" i="2"/>
  <c r="G456" i="2" s="1"/>
  <c r="G454" i="2"/>
  <c r="F454" i="2"/>
  <c r="K454" i="2" s="1"/>
  <c r="E454" i="2"/>
  <c r="E452" i="2"/>
  <c r="G451" i="2"/>
  <c r="F451" i="2"/>
  <c r="J451" i="2" s="1"/>
  <c r="H451" i="2" s="1"/>
  <c r="E451" i="2"/>
  <c r="G450" i="2"/>
  <c r="E450" i="2"/>
  <c r="F450" i="2" s="1"/>
  <c r="G449" i="2"/>
  <c r="F449" i="2"/>
  <c r="G448" i="2"/>
  <c r="F448" i="2"/>
  <c r="I448" i="2" s="1"/>
  <c r="E448" i="2"/>
  <c r="K447" i="2"/>
  <c r="J447" i="2"/>
  <c r="H447" i="2" s="1"/>
  <c r="I447" i="2"/>
  <c r="G447" i="2"/>
  <c r="G446" i="2"/>
  <c r="E446" i="2"/>
  <c r="E445" i="2"/>
  <c r="G443" i="2"/>
  <c r="F443" i="2"/>
  <c r="J443" i="2" s="1"/>
  <c r="H443" i="2" s="1"/>
  <c r="F442" i="2"/>
  <c r="E442" i="2"/>
  <c r="G440" i="2"/>
  <c r="F440" i="2"/>
  <c r="J440" i="2" s="1"/>
  <c r="H440" i="2" s="1"/>
  <c r="E440" i="2"/>
  <c r="E439" i="2"/>
  <c r="G439" i="2" s="1"/>
  <c r="E438" i="2"/>
  <c r="G437" i="2"/>
  <c r="F437" i="2"/>
  <c r="I437" i="2" s="1"/>
  <c r="E437" i="2"/>
  <c r="E436" i="2"/>
  <c r="G436" i="2" s="1"/>
  <c r="K435" i="2"/>
  <c r="J435" i="2"/>
  <c r="H435" i="2" s="1"/>
  <c r="I435" i="2"/>
  <c r="G435" i="2"/>
  <c r="F434" i="2"/>
  <c r="E434" i="2"/>
  <c r="F433" i="2"/>
  <c r="J433" i="2" s="1"/>
  <c r="H433" i="2" s="1"/>
  <c r="E433" i="2"/>
  <c r="G433" i="2" s="1"/>
  <c r="E432" i="2"/>
  <c r="F432" i="2" s="1"/>
  <c r="J432" i="2" s="1"/>
  <c r="H432" i="2" s="1"/>
  <c r="G431" i="2"/>
  <c r="F431" i="2"/>
  <c r="J431" i="2" s="1"/>
  <c r="H431" i="2" s="1"/>
  <c r="E431" i="2"/>
  <c r="E429" i="2"/>
  <c r="G428" i="2"/>
  <c r="F428" i="2"/>
  <c r="I428" i="2" s="1"/>
  <c r="F427" i="2"/>
  <c r="K427" i="2" s="1"/>
  <c r="E427" i="2"/>
  <c r="G427" i="2" s="1"/>
  <c r="G425" i="2"/>
  <c r="F425" i="2"/>
  <c r="I425" i="2" s="1"/>
  <c r="E425" i="2"/>
  <c r="E424" i="2"/>
  <c r="F422" i="2"/>
  <c r="K422" i="2" s="1"/>
  <c r="E422" i="2"/>
  <c r="G422" i="2" s="1"/>
  <c r="E421" i="2"/>
  <c r="F421" i="2" s="1"/>
  <c r="I421" i="2" s="1"/>
  <c r="K420" i="2"/>
  <c r="J420" i="2"/>
  <c r="H420" i="2" s="1"/>
  <c r="I420" i="2"/>
  <c r="G420" i="2"/>
  <c r="E419" i="2"/>
  <c r="E418" i="2"/>
  <c r="G417" i="2"/>
  <c r="F417" i="2"/>
  <c r="K417" i="2" s="1"/>
  <c r="E417" i="2"/>
  <c r="G415" i="2"/>
  <c r="F415" i="2"/>
  <c r="J415" i="2" s="1"/>
  <c r="H415" i="2" s="1"/>
  <c r="E415" i="2"/>
  <c r="F413" i="2"/>
  <c r="J413" i="2" s="1"/>
  <c r="H413" i="2" s="1"/>
  <c r="E413" i="2"/>
  <c r="E411" i="2"/>
  <c r="G410" i="2"/>
  <c r="F410" i="2"/>
  <c r="I410" i="2" s="1"/>
  <c r="E410" i="2"/>
  <c r="G409" i="2"/>
  <c r="F409" i="2"/>
  <c r="E409" i="2"/>
  <c r="F408" i="2"/>
  <c r="K408" i="2" s="1"/>
  <c r="E408" i="2"/>
  <c r="E407" i="2"/>
  <c r="G407" i="2" s="1"/>
  <c r="G406" i="2"/>
  <c r="E406" i="2"/>
  <c r="F406" i="2" s="1"/>
  <c r="I406" i="2" s="1"/>
  <c r="F404" i="2"/>
  <c r="J404" i="2" s="1"/>
  <c r="H404" i="2" s="1"/>
  <c r="E404" i="2"/>
  <c r="E403" i="2"/>
  <c r="G402" i="2"/>
  <c r="F402" i="2"/>
  <c r="J402" i="2" s="1"/>
  <c r="H402" i="2" s="1"/>
  <c r="E402" i="2"/>
  <c r="G401" i="2"/>
  <c r="F401" i="2"/>
  <c r="E400" i="2"/>
  <c r="G399" i="2"/>
  <c r="F399" i="2"/>
  <c r="I399" i="2" s="1"/>
  <c r="E399" i="2"/>
  <c r="G398" i="2"/>
  <c r="F398" i="2"/>
  <c r="I398" i="2" s="1"/>
  <c r="E398" i="2"/>
  <c r="E397" i="2"/>
  <c r="G396" i="2"/>
  <c r="E396" i="2"/>
  <c r="E395" i="2"/>
  <c r="G394" i="2"/>
  <c r="F394" i="2"/>
  <c r="I394" i="2" s="1"/>
  <c r="E394" i="2"/>
  <c r="E393" i="2"/>
  <c r="E392" i="2"/>
  <c r="K391" i="2"/>
  <c r="J391" i="2"/>
  <c r="I391" i="2"/>
  <c r="G390" i="2"/>
  <c r="F390" i="2"/>
  <c r="I390" i="2" s="1"/>
  <c r="E390" i="2"/>
  <c r="G389" i="2"/>
  <c r="F389" i="2"/>
  <c r="E389" i="2"/>
  <c r="G387" i="2"/>
  <c r="E387" i="2"/>
  <c r="F387" i="2" s="1"/>
  <c r="J387" i="2" s="1"/>
  <c r="H387" i="2" s="1"/>
  <c r="G386" i="2"/>
  <c r="F386" i="2"/>
  <c r="E386" i="2"/>
  <c r="F384" i="2"/>
  <c r="K384" i="2" s="1"/>
  <c r="E384" i="2"/>
  <c r="K383" i="2"/>
  <c r="J383" i="2"/>
  <c r="H383" i="2" s="1"/>
  <c r="I383" i="2"/>
  <c r="E382" i="2"/>
  <c r="G381" i="2"/>
  <c r="F381" i="2"/>
  <c r="E381" i="2"/>
  <c r="G380" i="2"/>
  <c r="E380" i="2"/>
  <c r="E379" i="2"/>
  <c r="G378" i="2"/>
  <c r="F378" i="2"/>
  <c r="K378" i="2" s="1"/>
  <c r="E378" i="2"/>
  <c r="G377" i="2"/>
  <c r="E377" i="2"/>
  <c r="E376" i="2"/>
  <c r="E375" i="2"/>
  <c r="G374" i="2"/>
  <c r="E374" i="2"/>
  <c r="F374" i="2" s="1"/>
  <c r="K374" i="2" s="1"/>
  <c r="G373" i="2"/>
  <c r="F373" i="2"/>
  <c r="J373" i="2" s="1"/>
  <c r="H373" i="2" s="1"/>
  <c r="E373" i="2"/>
  <c r="E372" i="2"/>
  <c r="E371" i="2"/>
  <c r="G371" i="2" s="1"/>
  <c r="E370" i="2"/>
  <c r="G369" i="2"/>
  <c r="F369" i="2"/>
  <c r="K369" i="2" s="1"/>
  <c r="E369" i="2"/>
  <c r="G367" i="2"/>
  <c r="E367" i="2"/>
  <c r="F367" i="2" s="1"/>
  <c r="K367" i="2" s="1"/>
  <c r="G366" i="2"/>
  <c r="F366" i="2"/>
  <c r="K366" i="2" s="1"/>
  <c r="E366" i="2"/>
  <c r="G364" i="2"/>
  <c r="E364" i="2"/>
  <c r="E362" i="2"/>
  <c r="G362" i="2" s="1"/>
  <c r="G360" i="2"/>
  <c r="F360" i="2"/>
  <c r="E360" i="2"/>
  <c r="E359" i="2"/>
  <c r="E357" i="2"/>
  <c r="G357" i="2" s="1"/>
  <c r="G356" i="2"/>
  <c r="F356" i="2"/>
  <c r="I356" i="2" s="1"/>
  <c r="G355" i="2"/>
  <c r="E355" i="2"/>
  <c r="G354" i="2"/>
  <c r="F354" i="2"/>
  <c r="E354" i="2"/>
  <c r="G353" i="2"/>
  <c r="E353" i="2"/>
  <c r="E351" i="2"/>
  <c r="G351" i="2" s="1"/>
  <c r="G350" i="2"/>
  <c r="F350" i="2"/>
  <c r="K350" i="2" s="1"/>
  <c r="E350" i="2"/>
  <c r="G349" i="2"/>
  <c r="F349" i="2"/>
  <c r="E349" i="2"/>
  <c r="G348" i="2"/>
  <c r="E348" i="2"/>
  <c r="F346" i="2"/>
  <c r="J346" i="2" s="1"/>
  <c r="H346" i="2" s="1"/>
  <c r="E346" i="2"/>
  <c r="E345" i="2"/>
  <c r="E344" i="2"/>
  <c r="G344" i="2" s="1"/>
  <c r="G343" i="2"/>
  <c r="F343" i="2"/>
  <c r="K343" i="2" s="1"/>
  <c r="E343" i="2"/>
  <c r="G342" i="2"/>
  <c r="F342" i="2"/>
  <c r="J342" i="2" s="1"/>
  <c r="H342" i="2" s="1"/>
  <c r="E342" i="2"/>
  <c r="G340" i="2"/>
  <c r="F340" i="2"/>
  <c r="J340" i="2" s="1"/>
  <c r="H340" i="2" s="1"/>
  <c r="E339" i="2"/>
  <c r="G337" i="2"/>
  <c r="F337" i="2"/>
  <c r="J337" i="2" s="1"/>
  <c r="H337" i="2" s="1"/>
  <c r="E337" i="2"/>
  <c r="G336" i="2"/>
  <c r="E336" i="2"/>
  <c r="G335" i="2"/>
  <c r="F335" i="2"/>
  <c r="E335" i="2"/>
  <c r="G334" i="2"/>
  <c r="E334" i="2"/>
  <c r="F333" i="2"/>
  <c r="J333" i="2" s="1"/>
  <c r="H333" i="2" s="1"/>
  <c r="E333" i="2"/>
  <c r="E332" i="2"/>
  <c r="G330" i="2"/>
  <c r="F330" i="2"/>
  <c r="E330" i="2"/>
  <c r="G329" i="2"/>
  <c r="E329" i="2"/>
  <c r="G328" i="2"/>
  <c r="F328" i="2"/>
  <c r="E328" i="2"/>
  <c r="G327" i="2"/>
  <c r="E327" i="2"/>
  <c r="F326" i="2"/>
  <c r="J326" i="2" s="1"/>
  <c r="H326" i="2" s="1"/>
  <c r="E326" i="2"/>
  <c r="G325" i="2"/>
  <c r="F325" i="2"/>
  <c r="I325" i="2" s="1"/>
  <c r="G324" i="2"/>
  <c r="F324" i="2"/>
  <c r="I324" i="2" s="1"/>
  <c r="E324" i="2"/>
  <c r="G323" i="2"/>
  <c r="F323" i="2"/>
  <c r="J323" i="2" s="1"/>
  <c r="H323" i="2" s="1"/>
  <c r="E323" i="2"/>
  <c r="E322" i="2"/>
  <c r="E320" i="2"/>
  <c r="E319" i="2"/>
  <c r="G319" i="2" s="1"/>
  <c r="G318" i="2"/>
  <c r="F318" i="2"/>
  <c r="K318" i="2" s="1"/>
  <c r="E318" i="2"/>
  <c r="G317" i="2"/>
  <c r="F317" i="2"/>
  <c r="J317" i="2" s="1"/>
  <c r="H317" i="2" s="1"/>
  <c r="E317" i="2"/>
  <c r="G315" i="2"/>
  <c r="E315" i="2"/>
  <c r="F314" i="2"/>
  <c r="J314" i="2" s="1"/>
  <c r="H314" i="2" s="1"/>
  <c r="E314" i="2"/>
  <c r="E313" i="2"/>
  <c r="G311" i="2"/>
  <c r="F311" i="2"/>
  <c r="J311" i="2" s="1"/>
  <c r="H311" i="2" s="1"/>
  <c r="E311" i="2"/>
  <c r="G310" i="2"/>
  <c r="E310" i="2"/>
  <c r="F309" i="2"/>
  <c r="E309" i="2"/>
  <c r="E308" i="2"/>
  <c r="F307" i="2"/>
  <c r="K307" i="2" s="1"/>
  <c r="E307" i="2"/>
  <c r="E306" i="2"/>
  <c r="E305" i="2"/>
  <c r="G305" i="2" s="1"/>
  <c r="G304" i="2"/>
  <c r="F304" i="2"/>
  <c r="K304" i="2" s="1"/>
  <c r="E304" i="2"/>
  <c r="F302" i="2"/>
  <c r="E302" i="2"/>
  <c r="E301" i="2"/>
  <c r="F300" i="2"/>
  <c r="K300" i="2" s="1"/>
  <c r="E300" i="2"/>
  <c r="K299" i="2"/>
  <c r="J299" i="2"/>
  <c r="H299" i="2" s="1"/>
  <c r="I299" i="2"/>
  <c r="G299" i="2"/>
  <c r="G298" i="2"/>
  <c r="F298" i="2"/>
  <c r="J298" i="2" s="1"/>
  <c r="H298" i="2" s="1"/>
  <c r="E298" i="2"/>
  <c r="E297" i="2"/>
  <c r="F296" i="2"/>
  <c r="E296" i="2"/>
  <c r="K295" i="2"/>
  <c r="J295" i="2"/>
  <c r="H295" i="2" s="1"/>
  <c r="I295" i="2"/>
  <c r="G295" i="2"/>
  <c r="E294" i="2"/>
  <c r="G294" i="2" s="1"/>
  <c r="G292" i="2"/>
  <c r="F292" i="2"/>
  <c r="E292" i="2"/>
  <c r="F291" i="2"/>
  <c r="E291" i="2"/>
  <c r="G289" i="2"/>
  <c r="F289" i="2"/>
  <c r="K289" i="2" s="1"/>
  <c r="E289" i="2"/>
  <c r="E287" i="2"/>
  <c r="F286" i="2"/>
  <c r="E286" i="2"/>
  <c r="G285" i="2"/>
  <c r="E285" i="2"/>
  <c r="F284" i="2"/>
  <c r="K284" i="2" s="1"/>
  <c r="E284" i="2"/>
  <c r="G282" i="2"/>
  <c r="F282" i="2"/>
  <c r="I282" i="2" s="1"/>
  <c r="E282" i="2"/>
  <c r="E280" i="2"/>
  <c r="F279" i="2"/>
  <c r="K279" i="2" s="1"/>
  <c r="E279" i="2"/>
  <c r="E278" i="2"/>
  <c r="G277" i="2"/>
  <c r="F277" i="2"/>
  <c r="K277" i="2" s="1"/>
  <c r="E277" i="2"/>
  <c r="G276" i="2"/>
  <c r="F276" i="2"/>
  <c r="J276" i="2" s="1"/>
  <c r="H276" i="2" s="1"/>
  <c r="E276" i="2"/>
  <c r="G275" i="2"/>
  <c r="F275" i="2"/>
  <c r="J275" i="2" s="1"/>
  <c r="H275" i="2" s="1"/>
  <c r="F274" i="2"/>
  <c r="E274" i="2"/>
  <c r="E273" i="2"/>
  <c r="F272" i="2"/>
  <c r="K272" i="2" s="1"/>
  <c r="E272" i="2"/>
  <c r="G271" i="2"/>
  <c r="F271" i="2"/>
  <c r="K271" i="2" s="1"/>
  <c r="G270" i="2"/>
  <c r="F270" i="2"/>
  <c r="I270" i="2" s="1"/>
  <c r="E270" i="2"/>
  <c r="G269" i="2"/>
  <c r="F269" i="2"/>
  <c r="I269" i="2" s="1"/>
  <c r="E269" i="2"/>
  <c r="G268" i="2"/>
  <c r="F268" i="2"/>
  <c r="G265" i="2"/>
  <c r="F265" i="2"/>
  <c r="K265" i="2" s="1"/>
  <c r="E264" i="2"/>
  <c r="G263" i="2"/>
  <c r="F263" i="2"/>
  <c r="F262" i="2"/>
  <c r="J262" i="2" s="1"/>
  <c r="H262" i="2" s="1"/>
  <c r="E262" i="2"/>
  <c r="E261" i="2"/>
  <c r="G260" i="2"/>
  <c r="F260" i="2"/>
  <c r="K260" i="2" s="1"/>
  <c r="E260" i="2"/>
  <c r="K259" i="2"/>
  <c r="J259" i="2"/>
  <c r="H259" i="2" s="1"/>
  <c r="I259" i="2"/>
  <c r="F258" i="2"/>
  <c r="E258" i="2"/>
  <c r="G258" i="2" s="1"/>
  <c r="K257" i="2"/>
  <c r="J257" i="2"/>
  <c r="H257" i="2" s="1"/>
  <c r="I257" i="2"/>
  <c r="G257" i="2"/>
  <c r="G256" i="2"/>
  <c r="F256" i="2"/>
  <c r="K256" i="2" s="1"/>
  <c r="E256" i="2"/>
  <c r="G255" i="2"/>
  <c r="F255" i="2"/>
  <c r="K255" i="2" s="1"/>
  <c r="E255" i="2"/>
  <c r="K254" i="2"/>
  <c r="J254" i="2"/>
  <c r="H254" i="2" s="1"/>
  <c r="I254" i="2"/>
  <c r="G254" i="2"/>
  <c r="G253" i="2"/>
  <c r="F253" i="2"/>
  <c r="K253" i="2" s="1"/>
  <c r="E253" i="2"/>
  <c r="E252" i="2"/>
  <c r="F252" i="2" s="1"/>
  <c r="E251" i="2"/>
  <c r="G250" i="2"/>
  <c r="F250" i="2"/>
  <c r="K250" i="2" s="1"/>
  <c r="E250" i="2"/>
  <c r="G249" i="2"/>
  <c r="F249" i="2"/>
  <c r="K249" i="2" s="1"/>
  <c r="E249" i="2"/>
  <c r="G247" i="2"/>
  <c r="E247" i="2"/>
  <c r="F246" i="2"/>
  <c r="E246" i="2"/>
  <c r="F245" i="2"/>
  <c r="K245" i="2" s="1"/>
  <c r="E245" i="2"/>
  <c r="G245" i="2" s="1"/>
  <c r="G244" i="2"/>
  <c r="E244" i="2"/>
  <c r="F244" i="2" s="1"/>
  <c r="K244" i="2" s="1"/>
  <c r="G243" i="2"/>
  <c r="F243" i="2"/>
  <c r="J243" i="2" s="1"/>
  <c r="H243" i="2" s="1"/>
  <c r="E243" i="2"/>
  <c r="E241" i="2"/>
  <c r="G241" i="2" s="1"/>
  <c r="E240" i="2"/>
  <c r="G239" i="2"/>
  <c r="F239" i="2"/>
  <c r="J239" i="2" s="1"/>
  <c r="H239" i="2" s="1"/>
  <c r="E239" i="2"/>
  <c r="F238" i="2"/>
  <c r="J238" i="2" s="1"/>
  <c r="H238" i="2" s="1"/>
  <c r="E238" i="2"/>
  <c r="G238" i="2" s="1"/>
  <c r="E237" i="2"/>
  <c r="F237" i="2" s="1"/>
  <c r="G236" i="2"/>
  <c r="F236" i="2"/>
  <c r="J236" i="2" s="1"/>
  <c r="H236" i="2" s="1"/>
  <c r="E236" i="2"/>
  <c r="E235" i="2"/>
  <c r="G234" i="2"/>
  <c r="F234" i="2"/>
  <c r="I234" i="2" s="1"/>
  <c r="E234" i="2"/>
  <c r="G233" i="2"/>
  <c r="F233" i="2"/>
  <c r="I233" i="2" s="1"/>
  <c r="E233" i="2"/>
  <c r="E232" i="2"/>
  <c r="E230" i="2"/>
  <c r="F230" i="2" s="1"/>
  <c r="K230" i="2" s="1"/>
  <c r="G229" i="2"/>
  <c r="F229" i="2"/>
  <c r="K229" i="2" s="1"/>
  <c r="E229" i="2"/>
  <c r="F228" i="2"/>
  <c r="E228" i="2"/>
  <c r="G226" i="2"/>
  <c r="F226" i="2"/>
  <c r="J226" i="2" s="1"/>
  <c r="H226" i="2" s="1"/>
  <c r="E226" i="2"/>
  <c r="G225" i="2"/>
  <c r="F225" i="2"/>
  <c r="J225" i="2" s="1"/>
  <c r="H225" i="2" s="1"/>
  <c r="E225" i="2"/>
  <c r="G224" i="2"/>
  <c r="F224" i="2"/>
  <c r="K224" i="2" s="1"/>
  <c r="F223" i="2"/>
  <c r="J223" i="2" s="1"/>
  <c r="H223" i="2" s="1"/>
  <c r="E223" i="2"/>
  <c r="G223" i="2" s="1"/>
  <c r="E222" i="2"/>
  <c r="G220" i="2"/>
  <c r="F220" i="2"/>
  <c r="I220" i="2" s="1"/>
  <c r="E220" i="2"/>
  <c r="F219" i="2"/>
  <c r="E219" i="2"/>
  <c r="E218" i="2"/>
  <c r="F217" i="2"/>
  <c r="J217" i="2" s="1"/>
  <c r="H217" i="2" s="1"/>
  <c r="E217" i="2"/>
  <c r="G217" i="2" s="1"/>
  <c r="G216" i="2"/>
  <c r="F216" i="2"/>
  <c r="I216" i="2" s="1"/>
  <c r="G215" i="2"/>
  <c r="F215" i="2"/>
  <c r="J215" i="2" s="1"/>
  <c r="H215" i="2" s="1"/>
  <c r="E215" i="2"/>
  <c r="G214" i="2"/>
  <c r="E214" i="2"/>
  <c r="F214" i="2" s="1"/>
  <c r="J214" i="2" s="1"/>
  <c r="H214" i="2" s="1"/>
  <c r="F212" i="2"/>
  <c r="J212" i="2" s="1"/>
  <c r="H212" i="2" s="1"/>
  <c r="E212" i="2"/>
  <c r="G212" i="2" s="1"/>
  <c r="E211" i="2"/>
  <c r="G210" i="2"/>
  <c r="F210" i="2"/>
  <c r="K210" i="2" s="1"/>
  <c r="E210" i="2"/>
  <c r="I209" i="2"/>
  <c r="G209" i="2"/>
  <c r="F209" i="2"/>
  <c r="K209" i="2" s="1"/>
  <c r="E209" i="2"/>
  <c r="G208" i="2"/>
  <c r="E208" i="2"/>
  <c r="F208" i="2" s="1"/>
  <c r="J208" i="2" s="1"/>
  <c r="H208" i="2" s="1"/>
  <c r="G206" i="2"/>
  <c r="F206" i="2"/>
  <c r="J206" i="2" s="1"/>
  <c r="H206" i="2" s="1"/>
  <c r="E206" i="2"/>
  <c r="E205" i="2"/>
  <c r="K204" i="2"/>
  <c r="J204" i="2"/>
  <c r="H204" i="2" s="1"/>
  <c r="I204" i="2"/>
  <c r="G204" i="2"/>
  <c r="G203" i="2"/>
  <c r="F203" i="2"/>
  <c r="K203" i="2" s="1"/>
  <c r="E203" i="2"/>
  <c r="F202" i="2"/>
  <c r="E202" i="2"/>
  <c r="K201" i="2"/>
  <c r="J201" i="2"/>
  <c r="H201" i="2" s="1"/>
  <c r="I201" i="2"/>
  <c r="G201" i="2"/>
  <c r="G200" i="2"/>
  <c r="E200" i="2"/>
  <c r="F200" i="2" s="1"/>
  <c r="K199" i="2"/>
  <c r="F199" i="2"/>
  <c r="I199" i="2" s="1"/>
  <c r="E199" i="2"/>
  <c r="G199" i="2" s="1"/>
  <c r="G198" i="2"/>
  <c r="E198" i="2"/>
  <c r="F198" i="2" s="1"/>
  <c r="J198" i="2" s="1"/>
  <c r="H198" i="2" s="1"/>
  <c r="G196" i="2"/>
  <c r="F196" i="2"/>
  <c r="J196" i="2" s="1"/>
  <c r="H196" i="2" s="1"/>
  <c r="E196" i="2"/>
  <c r="E195" i="2"/>
  <c r="E194" i="2"/>
  <c r="G194" i="2" s="1"/>
  <c r="E193" i="2"/>
  <c r="G193" i="2" s="1"/>
  <c r="G192" i="2"/>
  <c r="E192" i="2"/>
  <c r="F192" i="2" s="1"/>
  <c r="G191" i="2"/>
  <c r="F191" i="2"/>
  <c r="I191" i="2" s="1"/>
  <c r="E191" i="2"/>
  <c r="F190" i="2"/>
  <c r="E190" i="2"/>
  <c r="E188" i="2"/>
  <c r="E187" i="2"/>
  <c r="G187" i="2" s="1"/>
  <c r="G186" i="2"/>
  <c r="F186" i="2"/>
  <c r="J186" i="2" s="1"/>
  <c r="H186" i="2" s="1"/>
  <c r="G185" i="2"/>
  <c r="F185" i="2"/>
  <c r="I185" i="2" s="1"/>
  <c r="E185" i="2"/>
  <c r="G183" i="2"/>
  <c r="F183" i="2"/>
  <c r="J183" i="2" s="1"/>
  <c r="H183" i="2" s="1"/>
  <c r="E183" i="2"/>
  <c r="E182" i="2"/>
  <c r="E181" i="2"/>
  <c r="G181" i="2" s="1"/>
  <c r="E180" i="2"/>
  <c r="G180" i="2" s="1"/>
  <c r="G179" i="2"/>
  <c r="E179" i="2"/>
  <c r="F179" i="2" s="1"/>
  <c r="G178" i="2"/>
  <c r="F178" i="2"/>
  <c r="I178" i="2" s="1"/>
  <c r="E178" i="2"/>
  <c r="G176" i="2"/>
  <c r="F176" i="2"/>
  <c r="J176" i="2" s="1"/>
  <c r="H176" i="2" s="1"/>
  <c r="E176" i="2"/>
  <c r="E175" i="2"/>
  <c r="E174" i="2"/>
  <c r="G174" i="2" s="1"/>
  <c r="G172" i="2"/>
  <c r="F172" i="2"/>
  <c r="I172" i="2" s="1"/>
  <c r="E172" i="2"/>
  <c r="F171" i="2"/>
  <c r="E171" i="2"/>
  <c r="E170" i="2"/>
  <c r="E168" i="2"/>
  <c r="G168" i="2" s="1"/>
  <c r="E167" i="2"/>
  <c r="G167" i="2" s="1"/>
  <c r="K166" i="2"/>
  <c r="J166" i="2"/>
  <c r="H166" i="2" s="1"/>
  <c r="I166" i="2"/>
  <c r="G166" i="2"/>
  <c r="E165" i="2"/>
  <c r="G164" i="2"/>
  <c r="F164" i="2"/>
  <c r="J164" i="2" s="1"/>
  <c r="H164" i="2" s="1"/>
  <c r="E164" i="2"/>
  <c r="E163" i="2"/>
  <c r="G161" i="2"/>
  <c r="F161" i="2"/>
  <c r="I161" i="2" s="1"/>
  <c r="E161" i="2"/>
  <c r="K160" i="2"/>
  <c r="J160" i="2"/>
  <c r="I160" i="2"/>
  <c r="E159" i="2"/>
  <c r="E158" i="2"/>
  <c r="G158" i="2" s="1"/>
  <c r="E157" i="2"/>
  <c r="G157" i="2" s="1"/>
  <c r="G156" i="2"/>
  <c r="E156" i="2"/>
  <c r="F156" i="2" s="1"/>
  <c r="E154" i="2"/>
  <c r="G153" i="2"/>
  <c r="F153" i="2"/>
  <c r="I153" i="2" s="1"/>
  <c r="E153" i="2"/>
  <c r="E151" i="2"/>
  <c r="G151" i="2" s="1"/>
  <c r="G150" i="2"/>
  <c r="E150" i="2"/>
  <c r="F150" i="2" s="1"/>
  <c r="G149" i="2"/>
  <c r="F149" i="2"/>
  <c r="I149" i="2" s="1"/>
  <c r="E149" i="2"/>
  <c r="E148" i="2"/>
  <c r="E147" i="2"/>
  <c r="G146" i="2"/>
  <c r="F146" i="2"/>
  <c r="I146" i="2" s="1"/>
  <c r="E146" i="2"/>
  <c r="E145" i="2"/>
  <c r="E144" i="2"/>
  <c r="G144" i="2" s="1"/>
  <c r="K143" i="2"/>
  <c r="J143" i="2"/>
  <c r="H143" i="2" s="1"/>
  <c r="I143" i="2"/>
  <c r="E142" i="2"/>
  <c r="E141" i="2"/>
  <c r="G140" i="2"/>
  <c r="F140" i="2"/>
  <c r="I140" i="2" s="1"/>
  <c r="E140" i="2"/>
  <c r="E139" i="2"/>
  <c r="G138" i="2"/>
  <c r="F138" i="2"/>
  <c r="K138" i="2" s="1"/>
  <c r="G137" i="2"/>
  <c r="E137" i="2"/>
  <c r="F137" i="2" s="1"/>
  <c r="G136" i="2"/>
  <c r="F136" i="2"/>
  <c r="I136" i="2" s="1"/>
  <c r="E136" i="2"/>
  <c r="E133" i="2"/>
  <c r="G133" i="2" s="1"/>
  <c r="E132" i="2"/>
  <c r="G132" i="2" s="1"/>
  <c r="G131" i="2"/>
  <c r="E131" i="2"/>
  <c r="F131" i="2" s="1"/>
  <c r="G130" i="2"/>
  <c r="F130" i="2"/>
  <c r="I130" i="2" s="1"/>
  <c r="E130" i="2"/>
  <c r="K129" i="2"/>
  <c r="J129" i="2"/>
  <c r="H129" i="2" s="1"/>
  <c r="I129" i="2"/>
  <c r="G129" i="2"/>
  <c r="G127" i="2"/>
  <c r="F127" i="2"/>
  <c r="I127" i="2" s="1"/>
  <c r="E127" i="2"/>
  <c r="E126" i="2"/>
  <c r="E125" i="2"/>
  <c r="G124" i="2"/>
  <c r="F124" i="2"/>
  <c r="J124" i="2" s="1"/>
  <c r="H124" i="2" s="1"/>
  <c r="E124" i="2"/>
  <c r="E123" i="2"/>
  <c r="E122" i="2"/>
  <c r="G122" i="2" s="1"/>
  <c r="E121" i="2"/>
  <c r="G121" i="2" s="1"/>
  <c r="E119" i="2"/>
  <c r="E118" i="2"/>
  <c r="G117" i="2"/>
  <c r="F117" i="2"/>
  <c r="J117" i="2" s="1"/>
  <c r="H117" i="2" s="1"/>
  <c r="E117" i="2"/>
  <c r="E116" i="2"/>
  <c r="E115" i="2"/>
  <c r="G115" i="2" s="1"/>
  <c r="E114" i="2"/>
  <c r="G114" i="2" s="1"/>
  <c r="E112" i="2"/>
  <c r="E111" i="2"/>
  <c r="G110" i="2"/>
  <c r="F110" i="2"/>
  <c r="J110" i="2" s="1"/>
  <c r="H110" i="2" s="1"/>
  <c r="E110" i="2"/>
  <c r="E109" i="2"/>
  <c r="E108" i="2"/>
  <c r="G108" i="2" s="1"/>
  <c r="G107" i="2"/>
  <c r="F107" i="2"/>
  <c r="J107" i="2" s="1"/>
  <c r="H107" i="2" s="1"/>
  <c r="G106" i="2"/>
  <c r="F106" i="2"/>
  <c r="I106" i="2" s="1"/>
  <c r="E106" i="2"/>
  <c r="E105" i="2"/>
  <c r="E104" i="2"/>
  <c r="G103" i="2"/>
  <c r="F103" i="2"/>
  <c r="J103" i="2" s="1"/>
  <c r="H103" i="2" s="1"/>
  <c r="E103" i="2"/>
  <c r="E101" i="2"/>
  <c r="G101" i="2" s="1"/>
  <c r="G100" i="2"/>
  <c r="E100" i="2"/>
  <c r="F100" i="2" s="1"/>
  <c r="G99" i="2"/>
  <c r="F99" i="2"/>
  <c r="I99" i="2" s="1"/>
  <c r="E99" i="2"/>
  <c r="E98" i="2"/>
  <c r="E97" i="2"/>
  <c r="K96" i="2"/>
  <c r="J96" i="2"/>
  <c r="H96" i="2" s="1"/>
  <c r="I96" i="2"/>
  <c r="G96" i="2"/>
  <c r="E95" i="2"/>
  <c r="G95" i="2" s="1"/>
  <c r="G94" i="2"/>
  <c r="E94" i="2"/>
  <c r="F94" i="2" s="1"/>
  <c r="G93" i="2"/>
  <c r="F93" i="2"/>
  <c r="I93" i="2" s="1"/>
  <c r="E93" i="2"/>
  <c r="K92" i="2"/>
  <c r="J92" i="2"/>
  <c r="I92" i="2"/>
  <c r="E91" i="2"/>
  <c r="E90" i="2"/>
  <c r="G90" i="2" s="1"/>
  <c r="E89" i="2"/>
  <c r="G89" i="2" s="1"/>
  <c r="G88" i="2"/>
  <c r="E88" i="2"/>
  <c r="F88" i="2" s="1"/>
  <c r="G87" i="2"/>
  <c r="F87" i="2"/>
  <c r="I87" i="2" s="1"/>
  <c r="E87" i="2"/>
  <c r="G85" i="2"/>
  <c r="F85" i="2"/>
  <c r="J85" i="2" s="1"/>
  <c r="H85" i="2" s="1"/>
  <c r="E85" i="2"/>
  <c r="J84" i="2"/>
  <c r="H84" i="2" s="1"/>
  <c r="G84" i="2"/>
  <c r="F84" i="2"/>
  <c r="I84" i="2" s="1"/>
  <c r="E83" i="2"/>
  <c r="G83" i="2" s="1"/>
  <c r="G82" i="2"/>
  <c r="F82" i="2"/>
  <c r="I82" i="2" s="1"/>
  <c r="E81" i="2"/>
  <c r="E79" i="2"/>
  <c r="E78" i="2"/>
  <c r="G78" i="2" s="1"/>
  <c r="E77" i="2"/>
  <c r="G77" i="2" s="1"/>
  <c r="G76" i="2"/>
  <c r="E76" i="2"/>
  <c r="F76" i="2" s="1"/>
  <c r="G75" i="2"/>
  <c r="F75" i="2"/>
  <c r="I75" i="2" s="1"/>
  <c r="E75" i="2"/>
  <c r="E73" i="2"/>
  <c r="E72" i="2"/>
  <c r="G72" i="2" s="1"/>
  <c r="E71" i="2"/>
  <c r="G71" i="2" s="1"/>
  <c r="G70" i="2"/>
  <c r="E70" i="2"/>
  <c r="F70" i="2" s="1"/>
  <c r="G69" i="2"/>
  <c r="F69" i="2"/>
  <c r="K69" i="2" s="1"/>
  <c r="E69" i="2"/>
  <c r="E68" i="2"/>
  <c r="E67" i="2"/>
  <c r="G66" i="2"/>
  <c r="F66" i="2"/>
  <c r="J66" i="2" s="1"/>
  <c r="H66" i="2" s="1"/>
  <c r="E66" i="2"/>
  <c r="E64" i="2"/>
  <c r="G64" i="2" s="1"/>
  <c r="G63" i="2"/>
  <c r="E63" i="2"/>
  <c r="F63" i="2" s="1"/>
  <c r="E61" i="2"/>
  <c r="I59" i="2"/>
  <c r="G59" i="2"/>
  <c r="F59" i="2"/>
  <c r="K59" i="2" s="1"/>
  <c r="G58" i="2"/>
  <c r="F58" i="2"/>
  <c r="K58" i="2" s="1"/>
  <c r="E58" i="2"/>
  <c r="E57" i="2"/>
  <c r="E56" i="2"/>
  <c r="K55" i="2"/>
  <c r="J55" i="2"/>
  <c r="H55" i="2" s="1"/>
  <c r="I55" i="2"/>
  <c r="G55" i="2"/>
  <c r="E54" i="2"/>
  <c r="G54" i="2" s="1"/>
  <c r="K53" i="2"/>
  <c r="J53" i="2"/>
  <c r="H53" i="2" s="1"/>
  <c r="I53" i="2"/>
  <c r="G53" i="2"/>
  <c r="E52" i="2"/>
  <c r="K51" i="2"/>
  <c r="G51" i="2"/>
  <c r="F51" i="2"/>
  <c r="J51" i="2" s="1"/>
  <c r="H51" i="2" s="1"/>
  <c r="E51" i="2"/>
  <c r="K50" i="2"/>
  <c r="J50" i="2"/>
  <c r="H50" i="2" s="1"/>
  <c r="I50" i="2"/>
  <c r="G50" i="2"/>
  <c r="G49" i="2"/>
  <c r="E49" i="2"/>
  <c r="F49" i="2" s="1"/>
  <c r="G48" i="2"/>
  <c r="F48" i="2"/>
  <c r="I48" i="2" s="1"/>
  <c r="E48" i="2"/>
  <c r="E47" i="2"/>
  <c r="E46" i="2"/>
  <c r="K45" i="2"/>
  <c r="J45" i="2"/>
  <c r="H45" i="2" s="1"/>
  <c r="I45" i="2"/>
  <c r="E44" i="2"/>
  <c r="G44" i="2" s="1"/>
  <c r="G43" i="2"/>
  <c r="E43" i="2"/>
  <c r="F43" i="2" s="1"/>
  <c r="G42" i="2"/>
  <c r="F42" i="2"/>
  <c r="I42" i="2" s="1"/>
  <c r="E42" i="2"/>
  <c r="K40" i="2"/>
  <c r="G40" i="2"/>
  <c r="F40" i="2"/>
  <c r="J40" i="2" s="1"/>
  <c r="H40" i="2" s="1"/>
  <c r="G38" i="2"/>
  <c r="E38" i="2"/>
  <c r="F38" i="2" s="1"/>
  <c r="G37" i="2"/>
  <c r="F37" i="2"/>
  <c r="J37" i="2" s="1"/>
  <c r="H37" i="2" s="1"/>
  <c r="E37" i="2"/>
  <c r="E36" i="2"/>
  <c r="E34" i="2"/>
  <c r="K33" i="2"/>
  <c r="J33" i="2"/>
  <c r="H33" i="2" s="1"/>
  <c r="I33" i="2"/>
  <c r="G33" i="2"/>
  <c r="G32" i="2"/>
  <c r="F32" i="2"/>
  <c r="J32" i="2" s="1"/>
  <c r="H32" i="2" s="1"/>
  <c r="E32" i="2"/>
  <c r="E31" i="2"/>
  <c r="E30" i="2"/>
  <c r="K29" i="2"/>
  <c r="G29" i="2"/>
  <c r="F29" i="2"/>
  <c r="J29" i="2" s="1"/>
  <c r="H29" i="2" s="1"/>
  <c r="E29" i="2"/>
  <c r="E28" i="2"/>
  <c r="E27" i="2"/>
  <c r="G27" i="2" s="1"/>
  <c r="E26" i="2"/>
  <c r="G26" i="2" s="1"/>
  <c r="K25" i="2"/>
  <c r="J25" i="2"/>
  <c r="H25" i="2" s="1"/>
  <c r="I25" i="2"/>
  <c r="G25" i="2"/>
  <c r="E24" i="2"/>
  <c r="K23" i="2"/>
  <c r="G23" i="2"/>
  <c r="F23" i="2"/>
  <c r="J23" i="2" s="1"/>
  <c r="H23" i="2" s="1"/>
  <c r="E23" i="2"/>
  <c r="E22" i="2"/>
  <c r="G20" i="2"/>
  <c r="F20" i="2"/>
  <c r="I20" i="2" s="1"/>
  <c r="E20" i="2"/>
  <c r="E19" i="2"/>
  <c r="E18" i="2"/>
  <c r="K17" i="2"/>
  <c r="E16" i="2"/>
  <c r="G16" i="2" s="1"/>
  <c r="G15" i="2"/>
  <c r="E15" i="2"/>
  <c r="F15" i="2" s="1"/>
  <c r="G14" i="2"/>
  <c r="F14" i="2"/>
  <c r="K14" i="2" s="1"/>
  <c r="E14" i="2"/>
  <c r="E13" i="2"/>
  <c r="F155" i="2" s="1"/>
  <c r="E12" i="2"/>
  <c r="K11" i="2"/>
  <c r="G11" i="2"/>
  <c r="F11" i="2"/>
  <c r="J11" i="2" s="1"/>
  <c r="H11" i="2" s="1"/>
  <c r="E11" i="2"/>
  <c r="F10" i="2"/>
  <c r="I10" i="2" s="1"/>
  <c r="E9" i="2"/>
  <c r="G9" i="2" s="1"/>
  <c r="E7" i="2"/>
  <c r="K6" i="2"/>
  <c r="G6" i="2"/>
  <c r="F6" i="2"/>
  <c r="J6" i="2" s="1"/>
  <c r="H6" i="2" s="1"/>
  <c r="E6" i="2"/>
  <c r="E5" i="2"/>
  <c r="I221" i="2" s="1"/>
  <c r="J4" i="2"/>
  <c r="H4" i="2" s="1"/>
  <c r="I4" i="2"/>
  <c r="F4" i="2"/>
  <c r="K4" i="2" s="1"/>
  <c r="G3" i="2"/>
  <c r="E3" i="2"/>
  <c r="I248" i="2" s="1"/>
  <c r="G11" i="1"/>
  <c r="G10" i="1"/>
  <c r="G9" i="1"/>
  <c r="G8" i="1"/>
  <c r="G7" i="1"/>
  <c r="G6" i="1"/>
  <c r="G5" i="1"/>
  <c r="G4" i="1"/>
  <c r="G3" i="1"/>
  <c r="G2" i="1"/>
  <c r="K1237" i="2" l="1"/>
  <c r="K1127" i="2"/>
  <c r="J829" i="2"/>
  <c r="H829" i="2" s="1"/>
  <c r="I1127" i="2"/>
  <c r="K554" i="2"/>
  <c r="I588" i="2"/>
  <c r="J837" i="2"/>
  <c r="H837" i="2" s="1"/>
  <c r="I307" i="2"/>
  <c r="J1003" i="2"/>
  <c r="H1003" i="2" s="1"/>
  <c r="K1807" i="2"/>
  <c r="J1183" i="2"/>
  <c r="H1183" i="2" s="1"/>
  <c r="J1590" i="2"/>
  <c r="H1590" i="2" s="1"/>
  <c r="K517" i="2"/>
  <c r="I276" i="2"/>
  <c r="I755" i="2"/>
  <c r="I757" i="2"/>
  <c r="K1293" i="2"/>
  <c r="J256" i="2"/>
  <c r="H256" i="2" s="1"/>
  <c r="K276" i="2"/>
  <c r="J757" i="2"/>
  <c r="H757" i="2" s="1"/>
  <c r="K1154" i="2"/>
  <c r="J272" i="2"/>
  <c r="H272" i="2" s="1"/>
  <c r="K226" i="2"/>
  <c r="K451" i="2"/>
  <c r="K754" i="2"/>
  <c r="I896" i="2"/>
  <c r="K428" i="2"/>
  <c r="I1555" i="2"/>
  <c r="I640" i="2"/>
  <c r="J765" i="2"/>
  <c r="H765" i="2" s="1"/>
  <c r="I908" i="2"/>
  <c r="K1242" i="2"/>
  <c r="K1302" i="2"/>
  <c r="J1310" i="2"/>
  <c r="H1310" i="2" s="1"/>
  <c r="I1788" i="2"/>
  <c r="K1839" i="2"/>
  <c r="J488" i="2"/>
  <c r="H488" i="2" s="1"/>
  <c r="I1262" i="2"/>
  <c r="I1310" i="2"/>
  <c r="J1685" i="2"/>
  <c r="H1685" i="2" s="1"/>
  <c r="K324" i="2"/>
  <c r="I417" i="2"/>
  <c r="J421" i="2"/>
  <c r="H421" i="2" s="1"/>
  <c r="J425" i="2"/>
  <c r="H425" i="2" s="1"/>
  <c r="K437" i="2"/>
  <c r="K765" i="2"/>
  <c r="K908" i="2"/>
  <c r="I922" i="2"/>
  <c r="I1225" i="2"/>
  <c r="K830" i="2"/>
  <c r="K421" i="2"/>
  <c r="K425" i="2"/>
  <c r="I256" i="2"/>
  <c r="I547" i="2"/>
  <c r="I669" i="2"/>
  <c r="I680" i="2"/>
  <c r="I837" i="2"/>
  <c r="J234" i="2"/>
  <c r="H234" i="2" s="1"/>
  <c r="I812" i="2"/>
  <c r="J1237" i="2"/>
  <c r="H1237" i="2" s="1"/>
  <c r="I1329" i="2"/>
  <c r="J394" i="2"/>
  <c r="H394" i="2" s="1"/>
  <c r="J398" i="2"/>
  <c r="H398" i="2" s="1"/>
  <c r="K262" i="2"/>
  <c r="K190" i="2"/>
  <c r="K243" i="2"/>
  <c r="K398" i="2"/>
  <c r="J517" i="2"/>
  <c r="H517" i="2" s="1"/>
  <c r="K539" i="2"/>
  <c r="J547" i="2"/>
  <c r="H547" i="2" s="1"/>
  <c r="J799" i="2"/>
  <c r="H799" i="2" s="1"/>
  <c r="K1093" i="2"/>
  <c r="K1159" i="2"/>
  <c r="I1163" i="2"/>
  <c r="J1293" i="2"/>
  <c r="H1293" i="2" s="1"/>
  <c r="I1648" i="2"/>
  <c r="K153" i="2"/>
  <c r="K223" i="2"/>
  <c r="I732" i="2"/>
  <c r="I777" i="2"/>
  <c r="K838" i="2"/>
  <c r="J964" i="2"/>
  <c r="H964" i="2" s="1"/>
  <c r="I1017" i="2"/>
  <c r="J1555" i="2"/>
  <c r="H1555" i="2" s="1"/>
  <c r="I1670" i="2"/>
  <c r="I1789" i="2"/>
  <c r="K282" i="2"/>
  <c r="I474" i="2"/>
  <c r="J580" i="2"/>
  <c r="H580" i="2" s="1"/>
  <c r="J629" i="2"/>
  <c r="H629" i="2" s="1"/>
  <c r="J732" i="2"/>
  <c r="H732" i="2" s="1"/>
  <c r="K748" i="2"/>
  <c r="K818" i="2"/>
  <c r="J850" i="2"/>
  <c r="H850" i="2" s="1"/>
  <c r="K1017" i="2"/>
  <c r="J1403" i="2"/>
  <c r="H1403" i="2" s="1"/>
  <c r="I1515" i="2"/>
  <c r="K1616" i="2"/>
  <c r="J1670" i="2"/>
  <c r="H1670" i="2" s="1"/>
  <c r="J474" i="2"/>
  <c r="H474" i="2" s="1"/>
  <c r="K761" i="2"/>
  <c r="K850" i="2"/>
  <c r="K1358" i="2"/>
  <c r="K1613" i="2"/>
  <c r="K140" i="2"/>
  <c r="J146" i="2"/>
  <c r="H146" i="2" s="1"/>
  <c r="I460" i="2"/>
  <c r="I538" i="2"/>
  <c r="J546" i="2"/>
  <c r="H546" i="2" s="1"/>
  <c r="I700" i="2"/>
  <c r="I793" i="2"/>
  <c r="I942" i="2"/>
  <c r="K1096" i="2"/>
  <c r="J1381" i="2"/>
  <c r="H1381" i="2" s="1"/>
  <c r="J1402" i="2"/>
  <c r="H1402" i="2" s="1"/>
  <c r="J1412" i="2"/>
  <c r="H1412" i="2" s="1"/>
  <c r="I1415" i="2"/>
  <c r="K1484" i="2"/>
  <c r="K1515" i="2"/>
  <c r="I1569" i="2"/>
  <c r="K1604" i="2"/>
  <c r="J1714" i="2"/>
  <c r="H1714" i="2" s="1"/>
  <c r="I1729" i="2"/>
  <c r="K1777" i="2"/>
  <c r="K1803" i="2"/>
  <c r="I1807" i="2"/>
  <c r="K82" i="2"/>
  <c r="I186" i="2"/>
  <c r="I271" i="2"/>
  <c r="I1175" i="2"/>
  <c r="I1226" i="2"/>
  <c r="K1263" i="2"/>
  <c r="I1268" i="2"/>
  <c r="I1279" i="2"/>
  <c r="K1381" i="2"/>
  <c r="I1392" i="2"/>
  <c r="I1409" i="2"/>
  <c r="K1412" i="2"/>
  <c r="J1729" i="2"/>
  <c r="H1729" i="2" s="1"/>
  <c r="I1762" i="2"/>
  <c r="J82" i="2"/>
  <c r="H82" i="2" s="1"/>
  <c r="I239" i="2"/>
  <c r="J406" i="2"/>
  <c r="H406" i="2" s="1"/>
  <c r="I431" i="2"/>
  <c r="I443" i="2"/>
  <c r="K460" i="2"/>
  <c r="K497" i="2"/>
  <c r="I633" i="2"/>
  <c r="J271" i="2"/>
  <c r="H271" i="2" s="1"/>
  <c r="I318" i="2"/>
  <c r="J356" i="2"/>
  <c r="H356" i="2" s="1"/>
  <c r="K406" i="2"/>
  <c r="K415" i="2"/>
  <c r="K443" i="2"/>
  <c r="J494" i="2"/>
  <c r="H494" i="2" s="1"/>
  <c r="K508" i="2"/>
  <c r="J569" i="2"/>
  <c r="H569" i="2" s="1"/>
  <c r="K942" i="2"/>
  <c r="K1197" i="2"/>
  <c r="K1231" i="2"/>
  <c r="J1279" i="2"/>
  <c r="H1279" i="2" s="1"/>
  <c r="K1409" i="2"/>
  <c r="K1652" i="2"/>
  <c r="I1763" i="2"/>
  <c r="J700" i="2"/>
  <c r="H700" i="2" s="1"/>
  <c r="J738" i="2"/>
  <c r="H738" i="2" s="1"/>
  <c r="I809" i="2"/>
  <c r="I210" i="2"/>
  <c r="I260" i="2"/>
  <c r="J318" i="2"/>
  <c r="H318" i="2" s="1"/>
  <c r="I343" i="2"/>
  <c r="K356" i="2"/>
  <c r="I378" i="2"/>
  <c r="J399" i="2"/>
  <c r="H399" i="2" s="1"/>
  <c r="K402" i="2"/>
  <c r="J539" i="2"/>
  <c r="H539" i="2" s="1"/>
  <c r="K546" i="2"/>
  <c r="K559" i="2"/>
  <c r="J669" i="2"/>
  <c r="H669" i="2" s="1"/>
  <c r="I698" i="2"/>
  <c r="J713" i="2"/>
  <c r="H713" i="2" s="1"/>
  <c r="I726" i="2"/>
  <c r="K851" i="2"/>
  <c r="I946" i="2"/>
  <c r="I1037" i="2"/>
  <c r="I1050" i="2"/>
  <c r="K1469" i="2"/>
  <c r="I1715" i="2"/>
  <c r="K1832" i="2"/>
  <c r="J859" i="2"/>
  <c r="H859" i="2" s="1"/>
  <c r="J1026" i="2"/>
  <c r="H1026" i="2" s="1"/>
  <c r="J726" i="2"/>
  <c r="H726" i="2" s="1"/>
  <c r="K1050" i="2"/>
  <c r="J1624" i="2"/>
  <c r="H1624" i="2" s="1"/>
  <c r="I1632" i="2"/>
  <c r="J1636" i="2"/>
  <c r="H1636" i="2" s="1"/>
  <c r="J260" i="2"/>
  <c r="H260" i="2" s="1"/>
  <c r="K399" i="2"/>
  <c r="J324" i="2"/>
  <c r="H324" i="2" s="1"/>
  <c r="K387" i="2"/>
  <c r="K394" i="2"/>
  <c r="J442" i="2"/>
  <c r="H442" i="2" s="1"/>
  <c r="K488" i="2"/>
  <c r="J588" i="2"/>
  <c r="H588" i="2" s="1"/>
  <c r="K697" i="2"/>
  <c r="J706" i="2"/>
  <c r="H706" i="2" s="1"/>
  <c r="K715" i="2"/>
  <c r="J772" i="2"/>
  <c r="H772" i="2" s="1"/>
  <c r="K877" i="2"/>
  <c r="K897" i="2"/>
  <c r="I1147" i="2"/>
  <c r="I1584" i="2"/>
  <c r="K1624" i="2"/>
  <c r="K1632" i="2"/>
  <c r="K1636" i="2"/>
  <c r="I1662" i="2"/>
  <c r="I1685" i="2"/>
  <c r="J1721" i="2"/>
  <c r="H1721" i="2" s="1"/>
  <c r="J1472" i="2"/>
  <c r="H1472" i="2" s="1"/>
  <c r="K1584" i="2"/>
  <c r="K1603" i="2"/>
  <c r="J1739" i="2"/>
  <c r="H1739" i="2" s="1"/>
  <c r="I1750" i="2"/>
  <c r="K1762" i="2"/>
  <c r="K1809" i="2"/>
  <c r="I693" i="2"/>
  <c r="J693" i="2"/>
  <c r="H693" i="2" s="1"/>
  <c r="I786" i="2"/>
  <c r="I789" i="2"/>
  <c r="J801" i="2"/>
  <c r="H801" i="2" s="1"/>
  <c r="I889" i="2"/>
  <c r="I900" i="2"/>
  <c r="K930" i="2"/>
  <c r="J1143" i="2"/>
  <c r="H1143" i="2" s="1"/>
  <c r="J1150" i="2"/>
  <c r="H1150" i="2" s="1"/>
  <c r="I1303" i="2"/>
  <c r="I1349" i="2"/>
  <c r="I1384" i="2"/>
  <c r="I1397" i="2"/>
  <c r="I1424" i="2"/>
  <c r="K1477" i="2"/>
  <c r="J1669" i="2"/>
  <c r="H1669" i="2" s="1"/>
  <c r="I1697" i="2"/>
  <c r="K1750" i="2"/>
  <c r="K1759" i="2"/>
  <c r="I1791" i="2"/>
  <c r="K66" i="2"/>
  <c r="K85" i="2"/>
  <c r="K186" i="2"/>
  <c r="J216" i="2"/>
  <c r="H216" i="2" s="1"/>
  <c r="K103" i="2"/>
  <c r="I107" i="2"/>
  <c r="K117" i="2"/>
  <c r="K216" i="2"/>
  <c r="I249" i="2"/>
  <c r="I265" i="2"/>
  <c r="J350" i="2"/>
  <c r="H350" i="2" s="1"/>
  <c r="I374" i="2"/>
  <c r="I440" i="2"/>
  <c r="I467" i="2"/>
  <c r="J701" i="2"/>
  <c r="H701" i="2" s="1"/>
  <c r="I749" i="2"/>
  <c r="J889" i="2"/>
  <c r="H889" i="2" s="1"/>
  <c r="I897" i="2"/>
  <c r="J957" i="2"/>
  <c r="H957" i="2" s="1"/>
  <c r="I1186" i="2"/>
  <c r="J1201" i="2"/>
  <c r="H1201" i="2" s="1"/>
  <c r="J1209" i="2"/>
  <c r="H1209" i="2" s="1"/>
  <c r="K1269" i="2"/>
  <c r="I1338" i="2"/>
  <c r="J1384" i="2"/>
  <c r="H1384" i="2" s="1"/>
  <c r="K1397" i="2"/>
  <c r="J1496" i="2"/>
  <c r="H1496" i="2" s="1"/>
  <c r="I1705" i="2"/>
  <c r="K1724" i="2"/>
  <c r="J59" i="2"/>
  <c r="K110" i="2"/>
  <c r="K196" i="2"/>
  <c r="I350" i="2"/>
  <c r="G45" i="2"/>
  <c r="G92" i="2"/>
  <c r="K107" i="2"/>
  <c r="K124" i="2"/>
  <c r="K246" i="2"/>
  <c r="J249" i="2"/>
  <c r="H249" i="2" s="1"/>
  <c r="J265" i="2"/>
  <c r="H265" i="2" s="1"/>
  <c r="J374" i="2"/>
  <c r="H374" i="2" s="1"/>
  <c r="J437" i="2"/>
  <c r="H437" i="2" s="1"/>
  <c r="J467" i="2"/>
  <c r="H467" i="2" s="1"/>
  <c r="J551" i="2"/>
  <c r="H551" i="2" s="1"/>
  <c r="K632" i="2"/>
  <c r="I691" i="2"/>
  <c r="K701" i="2"/>
  <c r="I711" i="2"/>
  <c r="I713" i="2"/>
  <c r="J723" i="2"/>
  <c r="H723" i="2" s="1"/>
  <c r="I738" i="2"/>
  <c r="J749" i="2"/>
  <c r="H749" i="2" s="1"/>
  <c r="J830" i="2"/>
  <c r="H830" i="2" s="1"/>
  <c r="I885" i="2"/>
  <c r="I1096" i="2"/>
  <c r="K1121" i="2"/>
  <c r="J1258" i="2"/>
  <c r="H1258" i="2" s="1"/>
  <c r="J1358" i="2"/>
  <c r="H1358" i="2" s="1"/>
  <c r="I1429" i="2"/>
  <c r="I1518" i="2"/>
  <c r="I1554" i="2"/>
  <c r="I1577" i="2"/>
  <c r="I1583" i="2"/>
  <c r="K1586" i="2"/>
  <c r="I1631" i="2"/>
  <c r="K1680" i="2"/>
  <c r="J1705" i="2"/>
  <c r="H1705" i="2" s="1"/>
  <c r="K1715" i="2"/>
  <c r="J1752" i="2"/>
  <c r="H1752" i="2" s="1"/>
  <c r="J1429" i="2"/>
  <c r="H1429" i="2" s="1"/>
  <c r="J1480" i="2"/>
  <c r="H1480" i="2" s="1"/>
  <c r="J1506" i="2"/>
  <c r="H1506" i="2" s="1"/>
  <c r="J1518" i="2"/>
  <c r="H1518" i="2" s="1"/>
  <c r="K1554" i="2"/>
  <c r="I1562" i="2"/>
  <c r="J1577" i="2"/>
  <c r="H1577" i="2" s="1"/>
  <c r="I1597" i="2"/>
  <c r="J1631" i="2"/>
  <c r="H1631" i="2" s="1"/>
  <c r="J1763" i="2"/>
  <c r="H1763" i="2" s="1"/>
  <c r="J1789" i="2"/>
  <c r="H1789" i="2" s="1"/>
  <c r="K84" i="2"/>
  <c r="J210" i="2"/>
  <c r="H210" i="2" s="1"/>
  <c r="I230" i="2"/>
  <c r="I243" i="2"/>
  <c r="J417" i="2"/>
  <c r="H417" i="2" s="1"/>
  <c r="K431" i="2"/>
  <c r="J680" i="2"/>
  <c r="H680" i="2" s="1"/>
  <c r="K793" i="2"/>
  <c r="I865" i="2"/>
  <c r="I872" i="2"/>
  <c r="I888" i="2"/>
  <c r="J1037" i="2"/>
  <c r="H1037" i="2" s="1"/>
  <c r="J1226" i="2"/>
  <c r="H1226" i="2" s="1"/>
  <c r="J1281" i="2"/>
  <c r="H1281" i="2" s="1"/>
  <c r="J1392" i="2"/>
  <c r="H1392" i="2" s="1"/>
  <c r="K1506" i="2"/>
  <c r="K1522" i="2"/>
  <c r="K1562" i="2"/>
  <c r="J1597" i="2"/>
  <c r="H1597" i="2" s="1"/>
  <c r="I1768" i="2"/>
  <c r="K171" i="2"/>
  <c r="I215" i="2"/>
  <c r="K219" i="2"/>
  <c r="J428" i="2"/>
  <c r="H428" i="2" s="1"/>
  <c r="I494" i="2"/>
  <c r="K551" i="2"/>
  <c r="J657" i="2"/>
  <c r="H657" i="2" s="1"/>
  <c r="J663" i="2"/>
  <c r="H663" i="2" s="1"/>
  <c r="J743" i="2"/>
  <c r="H743" i="2" s="1"/>
  <c r="I762" i="2"/>
  <c r="K790" i="2"/>
  <c r="K798" i="2"/>
  <c r="J838" i="2"/>
  <c r="H838" i="2" s="1"/>
  <c r="J851" i="2"/>
  <c r="H851" i="2" s="1"/>
  <c r="K993" i="2"/>
  <c r="K998" i="2"/>
  <c r="I1145" i="2"/>
  <c r="I1154" i="2"/>
  <c r="J1159" i="2"/>
  <c r="H1159" i="2" s="1"/>
  <c r="J1171" i="2"/>
  <c r="H1171" i="2" s="1"/>
  <c r="K1175" i="2"/>
  <c r="I1462" i="2"/>
  <c r="K1569" i="2"/>
  <c r="K1590" i="2"/>
  <c r="I1613" i="2"/>
  <c r="I1652" i="2"/>
  <c r="K1681" i="2"/>
  <c r="J1710" i="2"/>
  <c r="H1710" i="2" s="1"/>
  <c r="K433" i="2"/>
  <c r="I686" i="2"/>
  <c r="K988" i="2"/>
  <c r="I250" i="2"/>
  <c r="I623" i="2"/>
  <c r="I630" i="2"/>
  <c r="K686" i="2"/>
  <c r="J724" i="2"/>
  <c r="H724" i="2" s="1"/>
  <c r="I775" i="2"/>
  <c r="J844" i="2"/>
  <c r="H844" i="2" s="1"/>
  <c r="J866" i="2"/>
  <c r="H866" i="2" s="1"/>
  <c r="J950" i="2"/>
  <c r="H950" i="2" s="1"/>
  <c r="I968" i="2"/>
  <c r="K1097" i="2"/>
  <c r="I1115" i="2"/>
  <c r="J250" i="2"/>
  <c r="H250" i="2" s="1"/>
  <c r="J623" i="2"/>
  <c r="H623" i="2" s="1"/>
  <c r="J775" i="2"/>
  <c r="H775" i="2" s="1"/>
  <c r="K844" i="2"/>
  <c r="K866" i="2"/>
  <c r="J1115" i="2"/>
  <c r="H1115" i="2" s="1"/>
  <c r="I555" i="2"/>
  <c r="K611" i="2"/>
  <c r="J718" i="2"/>
  <c r="H718" i="2" s="1"/>
  <c r="I806" i="2"/>
  <c r="I950" i="2"/>
  <c r="I1271" i="2"/>
  <c r="K1271" i="2"/>
  <c r="J1271" i="2"/>
  <c r="H1271" i="2" s="1"/>
  <c r="J1718" i="2"/>
  <c r="H1718" i="2" s="1"/>
  <c r="K1718" i="2"/>
  <c r="J284" i="2"/>
  <c r="H284" i="2" s="1"/>
  <c r="I737" i="2"/>
  <c r="K956" i="2"/>
  <c r="J956" i="2"/>
  <c r="H956" i="2" s="1"/>
  <c r="J1004" i="2"/>
  <c r="H1004" i="2" s="1"/>
  <c r="I1004" i="2"/>
  <c r="K1128" i="2"/>
  <c r="J1128" i="2"/>
  <c r="H1128" i="2" s="1"/>
  <c r="I1128" i="2"/>
  <c r="I1190" i="2"/>
  <c r="K1190" i="2"/>
  <c r="J1190" i="2"/>
  <c r="H1190" i="2" s="1"/>
  <c r="J1375" i="2"/>
  <c r="H1375" i="2" s="1"/>
  <c r="I1375" i="2"/>
  <c r="J448" i="2"/>
  <c r="H448" i="2" s="1"/>
  <c r="I792" i="2"/>
  <c r="J904" i="2"/>
  <c r="H904" i="2" s="1"/>
  <c r="J925" i="2"/>
  <c r="H925" i="2" s="1"/>
  <c r="K1111" i="2"/>
  <c r="J1111" i="2"/>
  <c r="H1111" i="2" s="1"/>
  <c r="I1111" i="2"/>
  <c r="K1181" i="2"/>
  <c r="J1181" i="2"/>
  <c r="H1181" i="2" s="1"/>
  <c r="J1227" i="2"/>
  <c r="H1227" i="2" s="1"/>
  <c r="K1227" i="2"/>
  <c r="K1514" i="2"/>
  <c r="J1514" i="2"/>
  <c r="H1514" i="2" s="1"/>
  <c r="K1608" i="2"/>
  <c r="J1608" i="2"/>
  <c r="H1608" i="2" s="1"/>
  <c r="I1608" i="2"/>
  <c r="G160" i="2"/>
  <c r="I432" i="2"/>
  <c r="K236" i="2"/>
  <c r="I255" i="2"/>
  <c r="J307" i="2"/>
  <c r="H307" i="2" s="1"/>
  <c r="J343" i="2"/>
  <c r="H343" i="2" s="1"/>
  <c r="I929" i="2"/>
  <c r="J138" i="2"/>
  <c r="H138" i="2" s="1"/>
  <c r="K206" i="2"/>
  <c r="K212" i="2"/>
  <c r="J255" i="2"/>
  <c r="H255" i="2" s="1"/>
  <c r="J270" i="2"/>
  <c r="H270" i="2" s="1"/>
  <c r="J289" i="2"/>
  <c r="H289" i="2" s="1"/>
  <c r="I304" i="2"/>
  <c r="J325" i="2"/>
  <c r="H325" i="2" s="1"/>
  <c r="K333" i="2"/>
  <c r="I366" i="2"/>
  <c r="J408" i="2"/>
  <c r="H408" i="2" s="1"/>
  <c r="K432" i="2"/>
  <c r="K448" i="2"/>
  <c r="K490" i="2"/>
  <c r="I512" i="2"/>
  <c r="K560" i="2"/>
  <c r="J565" i="2"/>
  <c r="H565" i="2" s="1"/>
  <c r="K654" i="2"/>
  <c r="K709" i="2"/>
  <c r="I725" i="2"/>
  <c r="J731" i="2"/>
  <c r="H731" i="2" s="1"/>
  <c r="K737" i="2"/>
  <c r="I750" i="2"/>
  <c r="J762" i="2"/>
  <c r="H762" i="2" s="1"/>
  <c r="J779" i="2"/>
  <c r="H779" i="2" s="1"/>
  <c r="K786" i="2"/>
  <c r="J787" i="2"/>
  <c r="H787" i="2" s="1"/>
  <c r="J809" i="2"/>
  <c r="H809" i="2" s="1"/>
  <c r="I815" i="2"/>
  <c r="I817" i="2"/>
  <c r="I823" i="2"/>
  <c r="J836" i="2"/>
  <c r="H836" i="2" s="1"/>
  <c r="J845" i="2"/>
  <c r="H845" i="2" s="1"/>
  <c r="I849" i="2"/>
  <c r="K867" i="2"/>
  <c r="J873" i="2"/>
  <c r="H873" i="2" s="1"/>
  <c r="I881" i="2"/>
  <c r="J885" i="2"/>
  <c r="H885" i="2" s="1"/>
  <c r="J896" i="2"/>
  <c r="H896" i="2" s="1"/>
  <c r="I914" i="2"/>
  <c r="I917" i="2"/>
  <c r="I956" i="2"/>
  <c r="K1004" i="2"/>
  <c r="K1013" i="2"/>
  <c r="J1013" i="2"/>
  <c r="H1013" i="2" s="1"/>
  <c r="I1013" i="2"/>
  <c r="J1031" i="2"/>
  <c r="K1031" i="2"/>
  <c r="K1057" i="2"/>
  <c r="K1101" i="2"/>
  <c r="J1101" i="2"/>
  <c r="H1101" i="2" s="1"/>
  <c r="K1160" i="2"/>
  <c r="K1248" i="2"/>
  <c r="K1327" i="2"/>
  <c r="I1327" i="2"/>
  <c r="K1794" i="2"/>
  <c r="J1794" i="2"/>
  <c r="H1794" i="2" s="1"/>
  <c r="I1794" i="2"/>
  <c r="I138" i="2"/>
  <c r="K183" i="2"/>
  <c r="K215" i="2"/>
  <c r="I289" i="2"/>
  <c r="K1139" i="2"/>
  <c r="K146" i="2"/>
  <c r="I244" i="2"/>
  <c r="K270" i="2"/>
  <c r="I277" i="2"/>
  <c r="J304" i="2"/>
  <c r="H304" i="2" s="1"/>
  <c r="K325" i="2"/>
  <c r="J366" i="2"/>
  <c r="H366" i="2" s="1"/>
  <c r="J369" i="2"/>
  <c r="H369" i="2" s="1"/>
  <c r="I461" i="2"/>
  <c r="I466" i="2"/>
  <c r="I487" i="2"/>
  <c r="J512" i="2"/>
  <c r="H512" i="2" s="1"/>
  <c r="I518" i="2"/>
  <c r="J520" i="2"/>
  <c r="H520" i="2" s="1"/>
  <c r="K553" i="2"/>
  <c r="K565" i="2"/>
  <c r="K572" i="2"/>
  <c r="K580" i="2"/>
  <c r="I635" i="2"/>
  <c r="I694" i="2"/>
  <c r="I699" i="2"/>
  <c r="I723" i="2"/>
  <c r="J725" i="2"/>
  <c r="H725" i="2" s="1"/>
  <c r="K731" i="2"/>
  <c r="J750" i="2"/>
  <c r="H750" i="2" s="1"/>
  <c r="I798" i="2"/>
  <c r="J806" i="2"/>
  <c r="H806" i="2" s="1"/>
  <c r="J815" i="2"/>
  <c r="H815" i="2" s="1"/>
  <c r="J817" i="2"/>
  <c r="H817" i="2" s="1"/>
  <c r="J823" i="2"/>
  <c r="H823" i="2" s="1"/>
  <c r="J831" i="2"/>
  <c r="H831" i="2" s="1"/>
  <c r="K845" i="2"/>
  <c r="J898" i="2"/>
  <c r="H898" i="2" s="1"/>
  <c r="K914" i="2"/>
  <c r="J917" i="2"/>
  <c r="H917" i="2" s="1"/>
  <c r="I941" i="2"/>
  <c r="J976" i="2"/>
  <c r="H976" i="2" s="1"/>
  <c r="K976" i="2"/>
  <c r="K992" i="2"/>
  <c r="J992" i="2"/>
  <c r="H992" i="2" s="1"/>
  <c r="I992" i="2"/>
  <c r="J1120" i="2"/>
  <c r="H1120" i="2" s="1"/>
  <c r="I1120" i="2"/>
  <c r="K1205" i="2"/>
  <c r="J1205" i="2"/>
  <c r="H1205" i="2" s="1"/>
  <c r="I1205" i="2"/>
  <c r="K1219" i="2"/>
  <c r="J1219" i="2"/>
  <c r="H1219" i="2" s="1"/>
  <c r="I1219" i="2"/>
  <c r="I1321" i="2"/>
  <c r="K1321" i="2"/>
  <c r="K1485" i="2"/>
  <c r="J1485" i="2"/>
  <c r="H1485" i="2" s="1"/>
  <c r="I1485" i="2"/>
  <c r="K1568" i="2"/>
  <c r="J1568" i="2"/>
  <c r="H1568" i="2" s="1"/>
  <c r="I1568" i="2"/>
  <c r="I1748" i="2"/>
  <c r="K1748" i="2"/>
  <c r="I1785" i="2"/>
  <c r="K1785" i="2"/>
  <c r="K987" i="2"/>
  <c r="J987" i="2"/>
  <c r="H987" i="2" s="1"/>
  <c r="K164" i="2"/>
  <c r="K217" i="2"/>
  <c r="J140" i="2"/>
  <c r="H140" i="2" s="1"/>
  <c r="G143" i="2"/>
  <c r="J153" i="2"/>
  <c r="H153" i="2" s="1"/>
  <c r="J244" i="2"/>
  <c r="H244" i="2" s="1"/>
  <c r="J277" i="2"/>
  <c r="H277" i="2" s="1"/>
  <c r="K326" i="2"/>
  <c r="I387" i="2"/>
  <c r="I427" i="2"/>
  <c r="K440" i="2"/>
  <c r="J461" i="2"/>
  <c r="H461" i="2" s="1"/>
  <c r="K466" i="2"/>
  <c r="K487" i="2"/>
  <c r="J511" i="2"/>
  <c r="H511" i="2" s="1"/>
  <c r="J518" i="2"/>
  <c r="H518" i="2" s="1"/>
  <c r="I574" i="2"/>
  <c r="J610" i="2"/>
  <c r="H610" i="2" s="1"/>
  <c r="J628" i="2"/>
  <c r="H628" i="2" s="1"/>
  <c r="J635" i="2"/>
  <c r="H635" i="2" s="1"/>
  <c r="J694" i="2"/>
  <c r="H694" i="2" s="1"/>
  <c r="J698" i="2"/>
  <c r="H698" i="2" s="1"/>
  <c r="J711" i="2"/>
  <c r="H711" i="2" s="1"/>
  <c r="I718" i="2"/>
  <c r="I743" i="2"/>
  <c r="J755" i="2"/>
  <c r="H755" i="2" s="1"/>
  <c r="K789" i="2"/>
  <c r="J790" i="2"/>
  <c r="H790" i="2" s="1"/>
  <c r="J795" i="2"/>
  <c r="H795" i="2" s="1"/>
  <c r="J804" i="2"/>
  <c r="H804" i="2" s="1"/>
  <c r="J812" i="2"/>
  <c r="H812" i="2" s="1"/>
  <c r="I818" i="2"/>
  <c r="K831" i="2"/>
  <c r="K941" i="2"/>
  <c r="J960" i="2"/>
  <c r="H960" i="2" s="1"/>
  <c r="K1005" i="2"/>
  <c r="J1005" i="2"/>
  <c r="H1005" i="2" s="1"/>
  <c r="I1005" i="2"/>
  <c r="K1014" i="2"/>
  <c r="J1014" i="2"/>
  <c r="H1014" i="2" s="1"/>
  <c r="I1022" i="2"/>
  <c r="J1130" i="2"/>
  <c r="H1130" i="2" s="1"/>
  <c r="I1133" i="2"/>
  <c r="K1133" i="2"/>
  <c r="J1133" i="2"/>
  <c r="H1133" i="2" s="1"/>
  <c r="J1214" i="2"/>
  <c r="H1214" i="2" s="1"/>
  <c r="I1214" i="2"/>
  <c r="K1591" i="2"/>
  <c r="J1591" i="2"/>
  <c r="H1591" i="2" s="1"/>
  <c r="I1591" i="2"/>
  <c r="J279" i="2"/>
  <c r="H279" i="2" s="1"/>
  <c r="K340" i="2"/>
  <c r="K802" i="2"/>
  <c r="I867" i="2"/>
  <c r="H92" i="2"/>
  <c r="K176" i="2"/>
  <c r="K202" i="2"/>
  <c r="J209" i="2"/>
  <c r="H209" i="2" s="1"/>
  <c r="K220" i="2"/>
  <c r="K228" i="2"/>
  <c r="K239" i="2"/>
  <c r="K354" i="2"/>
  <c r="J504" i="2"/>
  <c r="H504" i="2" s="1"/>
  <c r="J691" i="2"/>
  <c r="H691" i="2" s="1"/>
  <c r="K722" i="2"/>
  <c r="J736" i="2"/>
  <c r="H736" i="2" s="1"/>
  <c r="K746" i="2"/>
  <c r="I799" i="2"/>
  <c r="J934" i="2"/>
  <c r="H934" i="2" s="1"/>
  <c r="K960" i="2"/>
  <c r="I1018" i="2"/>
  <c r="K1018" i="2"/>
  <c r="I1101" i="2"/>
  <c r="I1116" i="2"/>
  <c r="K1116" i="2"/>
  <c r="J1193" i="2"/>
  <c r="H1193" i="2" s="1"/>
  <c r="J1202" i="2"/>
  <c r="H1202" i="2" s="1"/>
  <c r="K1202" i="2"/>
  <c r="J1525" i="2"/>
  <c r="H1525" i="2" s="1"/>
  <c r="K1525" i="2"/>
  <c r="I1525" i="2"/>
  <c r="H160" i="2"/>
  <c r="K225" i="2"/>
  <c r="K233" i="2"/>
  <c r="I284" i="2"/>
  <c r="I292" i="2"/>
  <c r="K335" i="2"/>
  <c r="I472" i="2"/>
  <c r="I545" i="2"/>
  <c r="I568" i="2"/>
  <c r="K717" i="2"/>
  <c r="K792" i="2"/>
  <c r="J797" i="2"/>
  <c r="H797" i="2" s="1"/>
  <c r="K934" i="2"/>
  <c r="K1056" i="2"/>
  <c r="J1056" i="2"/>
  <c r="H1056" i="2" s="1"/>
  <c r="I1056" i="2"/>
  <c r="I1094" i="2"/>
  <c r="K1094" i="2"/>
  <c r="J1317" i="2"/>
  <c r="H1317" i="2" s="1"/>
  <c r="I1317" i="2"/>
  <c r="K1612" i="2"/>
  <c r="J1612" i="2"/>
  <c r="H1612" i="2" s="1"/>
  <c r="I1612" i="2"/>
  <c r="J1722" i="2"/>
  <c r="H1722" i="2" s="1"/>
  <c r="K1722" i="2"/>
  <c r="I1722" i="2"/>
  <c r="J1060" i="2"/>
  <c r="H1060" i="2" s="1"/>
  <c r="J1118" i="2"/>
  <c r="H1118" i="2" s="1"/>
  <c r="J1121" i="2"/>
  <c r="H1121" i="2" s="1"/>
  <c r="K1147" i="2"/>
  <c r="J1163" i="2"/>
  <c r="H1163" i="2" s="1"/>
  <c r="J1173" i="2"/>
  <c r="H1173" i="2" s="1"/>
  <c r="K1329" i="2"/>
  <c r="J1400" i="2"/>
  <c r="H1400" i="2" s="1"/>
  <c r="I1403" i="2"/>
  <c r="J1415" i="2"/>
  <c r="H1415" i="2" s="1"/>
  <c r="K1444" i="2"/>
  <c r="K1450" i="2"/>
  <c r="K1456" i="2"/>
  <c r="K1475" i="2"/>
  <c r="J1476" i="2"/>
  <c r="H1476" i="2" s="1"/>
  <c r="K1490" i="2"/>
  <c r="J1491" i="2"/>
  <c r="H1491" i="2" s="1"/>
  <c r="K1647" i="2"/>
  <c r="J1680" i="2"/>
  <c r="H1680" i="2" s="1"/>
  <c r="I1710" i="2"/>
  <c r="I1759" i="2"/>
  <c r="K1788" i="2"/>
  <c r="I1814" i="2"/>
  <c r="I1656" i="2"/>
  <c r="I1716" i="2"/>
  <c r="I1742" i="2"/>
  <c r="I1765" i="2"/>
  <c r="K1854" i="2"/>
  <c r="K957" i="2"/>
  <c r="K1100" i="2"/>
  <c r="K1124" i="2"/>
  <c r="I1231" i="2"/>
  <c r="J1262" i="2"/>
  <c r="H1262" i="2" s="1"/>
  <c r="J1268" i="2"/>
  <c r="H1268" i="2" s="1"/>
  <c r="I1336" i="2"/>
  <c r="I1353" i="2"/>
  <c r="J1362" i="2"/>
  <c r="H1362" i="2" s="1"/>
  <c r="K1380" i="2"/>
  <c r="I1430" i="2"/>
  <c r="J1450" i="2"/>
  <c r="H1450" i="2" s="1"/>
  <c r="I1475" i="2"/>
  <c r="I1490" i="2"/>
  <c r="I1492" i="2"/>
  <c r="I1519" i="2"/>
  <c r="J1640" i="2"/>
  <c r="H1640" i="2" s="1"/>
  <c r="I1651" i="2"/>
  <c r="J1674" i="2"/>
  <c r="H1674" i="2" s="1"/>
  <c r="J1700" i="2"/>
  <c r="H1700" i="2" s="1"/>
  <c r="K1713" i="2"/>
  <c r="J1716" i="2"/>
  <c r="H1716" i="2" s="1"/>
  <c r="K1731" i="2"/>
  <c r="I1738" i="2"/>
  <c r="J1742" i="2"/>
  <c r="H1742" i="2" s="1"/>
  <c r="K1791" i="2"/>
  <c r="K1816" i="2"/>
  <c r="I1831" i="2"/>
  <c r="I1838" i="2"/>
  <c r="K1845" i="2"/>
  <c r="K1178" i="2"/>
  <c r="K1196" i="2"/>
  <c r="J1336" i="2"/>
  <c r="H1336" i="2" s="1"/>
  <c r="I1359" i="2"/>
  <c r="J1367" i="2"/>
  <c r="H1367" i="2" s="1"/>
  <c r="I1387" i="2"/>
  <c r="J1430" i="2"/>
  <c r="H1430" i="2" s="1"/>
  <c r="I1444" i="2"/>
  <c r="I1446" i="2"/>
  <c r="I1456" i="2"/>
  <c r="I1464" i="2"/>
  <c r="J1492" i="2"/>
  <c r="H1492" i="2" s="1"/>
  <c r="I1549" i="2"/>
  <c r="I1576" i="2"/>
  <c r="I1585" i="2"/>
  <c r="I1598" i="2"/>
  <c r="I1607" i="2"/>
  <c r="I1635" i="2"/>
  <c r="K1662" i="2"/>
  <c r="I1671" i="2"/>
  <c r="I1686" i="2"/>
  <c r="K1694" i="2"/>
  <c r="K1738" i="2"/>
  <c r="I1093" i="2"/>
  <c r="I1261" i="2"/>
  <c r="I1267" i="2"/>
  <c r="J1359" i="2"/>
  <c r="H1359" i="2" s="1"/>
  <c r="K1367" i="2"/>
  <c r="J1396" i="2"/>
  <c r="H1396" i="2" s="1"/>
  <c r="J1446" i="2"/>
  <c r="H1446" i="2" s="1"/>
  <c r="J1464" i="2"/>
  <c r="H1464" i="2" s="1"/>
  <c r="I1469" i="2"/>
  <c r="I1477" i="2"/>
  <c r="J1549" i="2"/>
  <c r="H1549" i="2" s="1"/>
  <c r="J1576" i="2"/>
  <c r="H1576" i="2" s="1"/>
  <c r="J1585" i="2"/>
  <c r="H1585" i="2" s="1"/>
  <c r="K1593" i="2"/>
  <c r="J1598" i="2"/>
  <c r="H1598" i="2" s="1"/>
  <c r="I1643" i="2"/>
  <c r="J1671" i="2"/>
  <c r="H1671" i="2" s="1"/>
  <c r="I1681" i="2"/>
  <c r="J1686" i="2"/>
  <c r="H1686" i="2" s="1"/>
  <c r="K1814" i="2"/>
  <c r="I1826" i="2"/>
  <c r="K984" i="2"/>
  <c r="J1142" i="2"/>
  <c r="H1142" i="2" s="1"/>
  <c r="J1327" i="2"/>
  <c r="H1327" i="2" s="1"/>
  <c r="K1432" i="2"/>
  <c r="I1514" i="2"/>
  <c r="K1579" i="2"/>
  <c r="K43" i="2"/>
  <c r="J43" i="2"/>
  <c r="H43" i="2" s="1"/>
  <c r="J88" i="2"/>
  <c r="H88" i="2" s="1"/>
  <c r="K88" i="2"/>
  <c r="K70" i="2"/>
  <c r="J70" i="2"/>
  <c r="H70" i="2" s="1"/>
  <c r="J76" i="2"/>
  <c r="H76" i="2" s="1"/>
  <c r="K76" i="2"/>
  <c r="J100" i="2"/>
  <c r="H100" i="2" s="1"/>
  <c r="K100" i="2"/>
  <c r="J150" i="2"/>
  <c r="H150" i="2" s="1"/>
  <c r="K150" i="2"/>
  <c r="J156" i="2"/>
  <c r="H156" i="2" s="1"/>
  <c r="K156" i="2"/>
  <c r="J179" i="2"/>
  <c r="H179" i="2" s="1"/>
  <c r="K179" i="2"/>
  <c r="I155" i="2"/>
  <c r="K155" i="2"/>
  <c r="J155" i="2"/>
  <c r="K36" i="2"/>
  <c r="K61" i="2"/>
  <c r="J94" i="2"/>
  <c r="H94" i="2" s="1"/>
  <c r="K94" i="2"/>
  <c r="J49" i="2"/>
  <c r="H49" i="2" s="1"/>
  <c r="K49" i="2"/>
  <c r="K63" i="2"/>
  <c r="J63" i="2"/>
  <c r="H63" i="2" s="1"/>
  <c r="J137" i="2"/>
  <c r="H137" i="2" s="1"/>
  <c r="K137" i="2"/>
  <c r="J192" i="2"/>
  <c r="H192" i="2" s="1"/>
  <c r="K192" i="2"/>
  <c r="J131" i="2"/>
  <c r="H131" i="2" s="1"/>
  <c r="K131" i="2"/>
  <c r="J38" i="2"/>
  <c r="H38" i="2" s="1"/>
  <c r="K38" i="2"/>
  <c r="K30" i="2"/>
  <c r="J15" i="2"/>
  <c r="H15" i="2" s="1"/>
  <c r="K15" i="2"/>
  <c r="I200" i="2"/>
  <c r="J200" i="2"/>
  <c r="H200" i="2" s="1"/>
  <c r="F13" i="2"/>
  <c r="F19" i="2"/>
  <c r="K19" i="2" s="1"/>
  <c r="F86" i="2"/>
  <c r="I21" i="2"/>
  <c r="J21" i="2"/>
  <c r="F41" i="2"/>
  <c r="F47" i="2"/>
  <c r="J47" i="2" s="1"/>
  <c r="H47" i="2" s="1"/>
  <c r="F57" i="2"/>
  <c r="K57" i="2" s="1"/>
  <c r="F68" i="2"/>
  <c r="K68" i="2" s="1"/>
  <c r="I583" i="2"/>
  <c r="K583" i="2"/>
  <c r="J583" i="2"/>
  <c r="H583" i="2" s="1"/>
  <c r="F615" i="2"/>
  <c r="F7" i="2"/>
  <c r="K7" i="2" s="1"/>
  <c r="I8" i="2"/>
  <c r="F12" i="2"/>
  <c r="K12" i="2" s="1"/>
  <c r="G13" i="2"/>
  <c r="I15" i="2"/>
  <c r="F18" i="2"/>
  <c r="K18" i="2" s="1"/>
  <c r="G19" i="2"/>
  <c r="K21" i="2"/>
  <c r="F24" i="2"/>
  <c r="K24" i="2" s="1"/>
  <c r="F30" i="2"/>
  <c r="G31" i="2"/>
  <c r="F35" i="2"/>
  <c r="G36" i="2"/>
  <c r="I38" i="2"/>
  <c r="I43" i="2"/>
  <c r="F46" i="2"/>
  <c r="K46" i="2" s="1"/>
  <c r="G47" i="2"/>
  <c r="I49" i="2"/>
  <c r="F52" i="2"/>
  <c r="K52" i="2" s="1"/>
  <c r="F56" i="2"/>
  <c r="K56" i="2" s="1"/>
  <c r="G57" i="2"/>
  <c r="F61" i="2"/>
  <c r="I63" i="2"/>
  <c r="F67" i="2"/>
  <c r="K67" i="2" s="1"/>
  <c r="G68" i="2"/>
  <c r="I70" i="2"/>
  <c r="I76" i="2"/>
  <c r="F80" i="2"/>
  <c r="G81" i="2"/>
  <c r="I88" i="2"/>
  <c r="I94" i="2"/>
  <c r="F97" i="2"/>
  <c r="K97" i="2" s="1"/>
  <c r="G98" i="2"/>
  <c r="I100" i="2"/>
  <c r="F104" i="2"/>
  <c r="I104" i="2" s="1"/>
  <c r="G105" i="2"/>
  <c r="F111" i="2"/>
  <c r="K111" i="2" s="1"/>
  <c r="G112" i="2"/>
  <c r="F118" i="2"/>
  <c r="K118" i="2" s="1"/>
  <c r="G119" i="2"/>
  <c r="F125" i="2"/>
  <c r="K125" i="2" s="1"/>
  <c r="G126" i="2"/>
  <c r="I131" i="2"/>
  <c r="I137" i="2"/>
  <c r="F141" i="2"/>
  <c r="K141" i="2" s="1"/>
  <c r="G142" i="2"/>
  <c r="F147" i="2"/>
  <c r="I147" i="2" s="1"/>
  <c r="G148" i="2"/>
  <c r="I150" i="2"/>
  <c r="F154" i="2"/>
  <c r="K154" i="2" s="1"/>
  <c r="I156" i="2"/>
  <c r="K162" i="2"/>
  <c r="F165" i="2"/>
  <c r="K165" i="2" s="1"/>
  <c r="F170" i="2"/>
  <c r="K170" i="2" s="1"/>
  <c r="G171" i="2"/>
  <c r="I179" i="2"/>
  <c r="F189" i="2"/>
  <c r="G190" i="2"/>
  <c r="I192" i="2"/>
  <c r="I198" i="2"/>
  <c r="J199" i="2"/>
  <c r="H199" i="2" s="1"/>
  <c r="K200" i="2"/>
  <c r="G202" i="2"/>
  <c r="I208" i="2"/>
  <c r="I214" i="2"/>
  <c r="F218" i="2"/>
  <c r="K218" i="2" s="1"/>
  <c r="G219" i="2"/>
  <c r="I225" i="2"/>
  <c r="G228" i="2"/>
  <c r="J230" i="2"/>
  <c r="H230" i="2" s="1"/>
  <c r="F232" i="2"/>
  <c r="J232" i="2" s="1"/>
  <c r="H232" i="2" s="1"/>
  <c r="G237" i="2"/>
  <c r="I238" i="2"/>
  <c r="F241" i="2"/>
  <c r="J241" i="2" s="1"/>
  <c r="H241" i="2" s="1"/>
  <c r="G246" i="2"/>
  <c r="J269" i="2"/>
  <c r="H269" i="2" s="1"/>
  <c r="J300" i="2"/>
  <c r="H300" i="2" s="1"/>
  <c r="F310" i="2"/>
  <c r="K310" i="2" s="1"/>
  <c r="F315" i="2"/>
  <c r="J315" i="2" s="1"/>
  <c r="H315" i="2" s="1"/>
  <c r="G322" i="2"/>
  <c r="K328" i="2"/>
  <c r="K330" i="2"/>
  <c r="I330" i="2"/>
  <c r="F358" i="2"/>
  <c r="F364" i="2"/>
  <c r="J364" i="2" s="1"/>
  <c r="H364" i="2" s="1"/>
  <c r="K386" i="2"/>
  <c r="I386" i="2"/>
  <c r="F392" i="2"/>
  <c r="K392" i="2" s="1"/>
  <c r="G392" i="2"/>
  <c r="G397" i="2"/>
  <c r="K413" i="2"/>
  <c r="G480" i="2"/>
  <c r="F480" i="2"/>
  <c r="K480" i="2" s="1"/>
  <c r="G507" i="2"/>
  <c r="F507" i="2"/>
  <c r="K507" i="2" s="1"/>
  <c r="I510" i="2"/>
  <c r="J10" i="2"/>
  <c r="F62" i="2"/>
  <c r="K10" i="2"/>
  <c r="F31" i="2"/>
  <c r="J31" i="2" s="1"/>
  <c r="H31" i="2" s="1"/>
  <c r="K128" i="2"/>
  <c r="F142" i="2"/>
  <c r="I142" i="2" s="1"/>
  <c r="F177" i="2"/>
  <c r="I252" i="2"/>
  <c r="G252" i="2"/>
  <c r="G375" i="2"/>
  <c r="F375" i="2"/>
  <c r="J375" i="2" s="1"/>
  <c r="H375" i="2" s="1"/>
  <c r="G7" i="2"/>
  <c r="G46" i="2"/>
  <c r="I58" i="2"/>
  <c r="I207" i="2"/>
  <c r="I213" i="2"/>
  <c r="G218" i="2"/>
  <c r="F227" i="2"/>
  <c r="I229" i="2"/>
  <c r="G232" i="2"/>
  <c r="I246" i="2"/>
  <c r="J252" i="2"/>
  <c r="H252" i="2" s="1"/>
  <c r="K268" i="2"/>
  <c r="J268" i="2"/>
  <c r="H268" i="2" s="1"/>
  <c r="F273" i="2"/>
  <c r="I273" i="2" s="1"/>
  <c r="G278" i="2"/>
  <c r="F278" i="2"/>
  <c r="J278" i="2" s="1"/>
  <c r="H278" i="2" s="1"/>
  <c r="F280" i="2"/>
  <c r="I280" i="2" s="1"/>
  <c r="K290" i="2"/>
  <c r="F301" i="2"/>
  <c r="I301" i="2" s="1"/>
  <c r="F347" i="2"/>
  <c r="F372" i="2"/>
  <c r="J372" i="2" s="1"/>
  <c r="H372" i="2" s="1"/>
  <c r="F376" i="2"/>
  <c r="I376" i="2" s="1"/>
  <c r="K381" i="2"/>
  <c r="J381" i="2"/>
  <c r="H381" i="2" s="1"/>
  <c r="I381" i="2"/>
  <c r="K401" i="2"/>
  <c r="J401" i="2"/>
  <c r="H401" i="2" s="1"/>
  <c r="G419" i="2"/>
  <c r="F419" i="2"/>
  <c r="K419" i="2" s="1"/>
  <c r="F438" i="2"/>
  <c r="I438" i="2" s="1"/>
  <c r="G438" i="2"/>
  <c r="G501" i="2"/>
  <c r="F501" i="2"/>
  <c r="K501" i="2" s="1"/>
  <c r="J586" i="2"/>
  <c r="G612" i="2"/>
  <c r="F612" i="2"/>
  <c r="J612" i="2" s="1"/>
  <c r="H612" i="2" s="1"/>
  <c r="F36" i="2"/>
  <c r="F81" i="2"/>
  <c r="J81" i="2" s="1"/>
  <c r="H81" i="2" s="1"/>
  <c r="F98" i="2"/>
  <c r="K98" i="2" s="1"/>
  <c r="F105" i="2"/>
  <c r="K105" i="2" s="1"/>
  <c r="F112" i="2"/>
  <c r="K112" i="2" s="1"/>
  <c r="F119" i="2"/>
  <c r="K119" i="2" s="1"/>
  <c r="F126" i="2"/>
  <c r="K126" i="2" s="1"/>
  <c r="F148" i="2"/>
  <c r="I148" i="2" s="1"/>
  <c r="K349" i="2"/>
  <c r="I349" i="2"/>
  <c r="F397" i="2"/>
  <c r="K397" i="2" s="1"/>
  <c r="J8" i="2"/>
  <c r="G12" i="2"/>
  <c r="G24" i="2"/>
  <c r="G30" i="2"/>
  <c r="I37" i="2"/>
  <c r="G67" i="2"/>
  <c r="I197" i="2"/>
  <c r="I203" i="2"/>
  <c r="F5" i="2"/>
  <c r="I13" i="2"/>
  <c r="I19" i="2"/>
  <c r="F28" i="2"/>
  <c r="I28" i="2" s="1"/>
  <c r="F34" i="2"/>
  <c r="I34" i="2" s="1"/>
  <c r="J48" i="2"/>
  <c r="H48" i="2" s="1"/>
  <c r="I74" i="2"/>
  <c r="J75" i="2"/>
  <c r="H75" i="2" s="1"/>
  <c r="F79" i="2"/>
  <c r="I81" i="2"/>
  <c r="J87" i="2"/>
  <c r="H87" i="2" s="1"/>
  <c r="F91" i="2"/>
  <c r="I91" i="2" s="1"/>
  <c r="J93" i="2"/>
  <c r="H93" i="2" s="1"/>
  <c r="J99" i="2"/>
  <c r="H99" i="2" s="1"/>
  <c r="F102" i="2"/>
  <c r="J106" i="2"/>
  <c r="H106" i="2" s="1"/>
  <c r="F109" i="2"/>
  <c r="I112" i="2"/>
  <c r="F116" i="2"/>
  <c r="I116" i="2" s="1"/>
  <c r="F123" i="2"/>
  <c r="I123" i="2" s="1"/>
  <c r="J127" i="2"/>
  <c r="H127" i="2" s="1"/>
  <c r="J130" i="2"/>
  <c r="H130" i="2" s="1"/>
  <c r="J136" i="2"/>
  <c r="H136" i="2" s="1"/>
  <c r="F139" i="2"/>
  <c r="I139" i="2" s="1"/>
  <c r="F145" i="2"/>
  <c r="J149" i="2"/>
  <c r="H149" i="2" s="1"/>
  <c r="F152" i="2"/>
  <c r="F159" i="2"/>
  <c r="J161" i="2"/>
  <c r="H161" i="2" s="1"/>
  <c r="F163" i="2"/>
  <c r="I163" i="2" s="1"/>
  <c r="I171" i="2"/>
  <c r="J172" i="2"/>
  <c r="H172" i="2" s="1"/>
  <c r="F175" i="2"/>
  <c r="J178" i="2"/>
  <c r="H178" i="2" s="1"/>
  <c r="F182" i="2"/>
  <c r="J185" i="2"/>
  <c r="H185" i="2" s="1"/>
  <c r="F188" i="2"/>
  <c r="I190" i="2"/>
  <c r="J191" i="2"/>
  <c r="H191" i="2" s="1"/>
  <c r="F195" i="2"/>
  <c r="I195" i="2" s="1"/>
  <c r="J197" i="2"/>
  <c r="K198" i="2"/>
  <c r="I202" i="2"/>
  <c r="J203" i="2"/>
  <c r="H203" i="2" s="1"/>
  <c r="F205" i="2"/>
  <c r="J207" i="2"/>
  <c r="K213" i="2" s="1"/>
  <c r="K208" i="2"/>
  <c r="F211" i="2"/>
  <c r="I211" i="2" s="1"/>
  <c r="J213" i="2"/>
  <c r="K221" i="2" s="1"/>
  <c r="K214" i="2"/>
  <c r="I219" i="2"/>
  <c r="J220" i="2"/>
  <c r="H220" i="2" s="1"/>
  <c r="F222" i="2"/>
  <c r="I224" i="2"/>
  <c r="I228" i="2"/>
  <c r="J229" i="2"/>
  <c r="H229" i="2" s="1"/>
  <c r="F231" i="2"/>
  <c r="F235" i="2"/>
  <c r="I237" i="2"/>
  <c r="K238" i="2"/>
  <c r="F240" i="2"/>
  <c r="K240" i="2" s="1"/>
  <c r="J246" i="2"/>
  <c r="H246" i="2" s="1"/>
  <c r="K252" i="2"/>
  <c r="G259" i="2"/>
  <c r="I262" i="2"/>
  <c r="G262" i="2"/>
  <c r="F264" i="2"/>
  <c r="J264" i="2" s="1"/>
  <c r="H264" i="2" s="1"/>
  <c r="G273" i="2"/>
  <c r="G280" i="2"/>
  <c r="F287" i="2"/>
  <c r="J287" i="2" s="1"/>
  <c r="H287" i="2" s="1"/>
  <c r="K291" i="2"/>
  <c r="J291" i="2"/>
  <c r="H291" i="2" s="1"/>
  <c r="I291" i="2"/>
  <c r="G291" i="2"/>
  <c r="F297" i="2"/>
  <c r="K297" i="2" s="1"/>
  <c r="G301" i="2"/>
  <c r="F308" i="2"/>
  <c r="K308" i="2" s="1"/>
  <c r="G313" i="2"/>
  <c r="F313" i="2"/>
  <c r="K313" i="2" s="1"/>
  <c r="J349" i="2"/>
  <c r="H349" i="2" s="1"/>
  <c r="F359" i="2"/>
  <c r="K359" i="2" s="1"/>
  <c r="G372" i="2"/>
  <c r="G376" i="2"/>
  <c r="F388" i="2"/>
  <c r="G393" i="2"/>
  <c r="F393" i="2"/>
  <c r="J393" i="2" s="1"/>
  <c r="H393" i="2" s="1"/>
  <c r="G471" i="2"/>
  <c r="F471" i="2"/>
  <c r="J471" i="2" s="1"/>
  <c r="H471" i="2" s="1"/>
  <c r="F567" i="2"/>
  <c r="J14" i="2"/>
  <c r="H14" i="2" s="1"/>
  <c r="J20" i="2"/>
  <c r="H20" i="2" s="1"/>
  <c r="F22" i="2"/>
  <c r="I31" i="2"/>
  <c r="J42" i="2"/>
  <c r="H42" i="2" s="1"/>
  <c r="F65" i="2"/>
  <c r="J13" i="2"/>
  <c r="H13" i="2" s="1"/>
  <c r="K20" i="2"/>
  <c r="F27" i="2"/>
  <c r="I30" i="2"/>
  <c r="K32" i="2"/>
  <c r="J36" i="2"/>
  <c r="H36" i="2" s="1"/>
  <c r="K48" i="2"/>
  <c r="I52" i="2"/>
  <c r="J57" i="2"/>
  <c r="H57" i="2" s="1"/>
  <c r="F72" i="2"/>
  <c r="K72" i="2" s="1"/>
  <c r="G73" i="2"/>
  <c r="J74" i="2"/>
  <c r="K75" i="2"/>
  <c r="F78" i="2"/>
  <c r="K78" i="2" s="1"/>
  <c r="G79" i="2"/>
  <c r="K87" i="2"/>
  <c r="F90" i="2"/>
  <c r="G91" i="2"/>
  <c r="K93" i="2"/>
  <c r="K99" i="2"/>
  <c r="K106" i="2"/>
  <c r="F108" i="2"/>
  <c r="G109" i="2"/>
  <c r="I111" i="2"/>
  <c r="J112" i="2"/>
  <c r="H112" i="2" s="1"/>
  <c r="F115" i="2"/>
  <c r="K115" i="2" s="1"/>
  <c r="G116" i="2"/>
  <c r="I118" i="2"/>
  <c r="F122" i="2"/>
  <c r="G123" i="2"/>
  <c r="I125" i="2"/>
  <c r="K127" i="2"/>
  <c r="K130" i="2"/>
  <c r="F133" i="2"/>
  <c r="K136" i="2"/>
  <c r="G139" i="2"/>
  <c r="F144" i="2"/>
  <c r="K144" i="2" s="1"/>
  <c r="G145" i="2"/>
  <c r="K149" i="2"/>
  <c r="F158" i="2"/>
  <c r="G159" i="2"/>
  <c r="K161" i="2"/>
  <c r="G163" i="2"/>
  <c r="I165" i="2"/>
  <c r="F168" i="2"/>
  <c r="J171" i="2"/>
  <c r="H171" i="2" s="1"/>
  <c r="K172" i="2"/>
  <c r="F174" i="2"/>
  <c r="K174" i="2" s="1"/>
  <c r="G175" i="2"/>
  <c r="K178" i="2"/>
  <c r="F181" i="2"/>
  <c r="K181" i="2" s="1"/>
  <c r="G182" i="2"/>
  <c r="K185" i="2"/>
  <c r="F187" i="2"/>
  <c r="K187" i="2" s="1"/>
  <c r="G188" i="2"/>
  <c r="J190" i="2"/>
  <c r="H190" i="2" s="1"/>
  <c r="K191" i="2"/>
  <c r="F194" i="2"/>
  <c r="K194" i="2" s="1"/>
  <c r="G195" i="2"/>
  <c r="K197" i="2"/>
  <c r="J202" i="2"/>
  <c r="H202" i="2" s="1"/>
  <c r="G205" i="2"/>
  <c r="K207" i="2"/>
  <c r="G211" i="2"/>
  <c r="J219" i="2"/>
  <c r="H219" i="2" s="1"/>
  <c r="G222" i="2"/>
  <c r="J224" i="2"/>
  <c r="H224" i="2" s="1"/>
  <c r="I226" i="2"/>
  <c r="J228" i="2"/>
  <c r="H228" i="2" s="1"/>
  <c r="K234" i="2"/>
  <c r="G235" i="2"/>
  <c r="J237" i="2"/>
  <c r="H237" i="2" s="1"/>
  <c r="G240" i="2"/>
  <c r="I245" i="2"/>
  <c r="G251" i="2"/>
  <c r="F251" i="2"/>
  <c r="J253" i="2"/>
  <c r="H253" i="2" s="1"/>
  <c r="I253" i="2"/>
  <c r="G264" i="2"/>
  <c r="I268" i="2"/>
  <c r="J282" i="2"/>
  <c r="H282" i="2" s="1"/>
  <c r="F285" i="2"/>
  <c r="K285" i="2" s="1"/>
  <c r="G287" i="2"/>
  <c r="G297" i="2"/>
  <c r="G308" i="2"/>
  <c r="G320" i="2"/>
  <c r="F320" i="2"/>
  <c r="J320" i="2" s="1"/>
  <c r="H320" i="2" s="1"/>
  <c r="K323" i="2"/>
  <c r="I323" i="2"/>
  <c r="J330" i="2"/>
  <c r="H330" i="2" s="1"/>
  <c r="F336" i="2"/>
  <c r="I336" i="2" s="1"/>
  <c r="G345" i="2"/>
  <c r="F345" i="2"/>
  <c r="J345" i="2" s="1"/>
  <c r="H345" i="2" s="1"/>
  <c r="F348" i="2"/>
  <c r="I348" i="2" s="1"/>
  <c r="G359" i="2"/>
  <c r="F377" i="2"/>
  <c r="J377" i="2" s="1"/>
  <c r="H377" i="2" s="1"/>
  <c r="G379" i="2"/>
  <c r="F379" i="2"/>
  <c r="I379" i="2" s="1"/>
  <c r="J386" i="2"/>
  <c r="H386" i="2" s="1"/>
  <c r="G395" i="2"/>
  <c r="F395" i="2"/>
  <c r="J395" i="2" s="1"/>
  <c r="H395" i="2" s="1"/>
  <c r="I401" i="2"/>
  <c r="K449" i="2"/>
  <c r="J449" i="2"/>
  <c r="H449" i="2" s="1"/>
  <c r="I449" i="2"/>
  <c r="G483" i="2"/>
  <c r="F483" i="2"/>
  <c r="K483" i="2" s="1"/>
  <c r="J492" i="2"/>
  <c r="H492" i="2" s="1"/>
  <c r="G513" i="2"/>
  <c r="F513" i="2"/>
  <c r="K513" i="2" s="1"/>
  <c r="G541" i="2"/>
  <c r="F541" i="2"/>
  <c r="I541" i="2" s="1"/>
  <c r="J221" i="2"/>
  <c r="F303" i="2"/>
  <c r="F371" i="2"/>
  <c r="K371" i="2" s="1"/>
  <c r="G445" i="2"/>
  <c r="F445" i="2"/>
  <c r="K445" i="2" s="1"/>
  <c r="G537" i="2"/>
  <c r="F537" i="2"/>
  <c r="K537" i="2" s="1"/>
  <c r="I14" i="2"/>
  <c r="G18" i="2"/>
  <c r="G52" i="2"/>
  <c r="G56" i="2"/>
  <c r="I69" i="2"/>
  <c r="G104" i="2"/>
  <c r="G111" i="2"/>
  <c r="G118" i="2"/>
  <c r="G125" i="2"/>
  <c r="G141" i="2"/>
  <c r="G154" i="2"/>
  <c r="F169" i="2"/>
  <c r="I7" i="2"/>
  <c r="I18" i="2"/>
  <c r="G22" i="2"/>
  <c r="G28" i="2"/>
  <c r="G34" i="2"/>
  <c r="K37" i="2"/>
  <c r="K42" i="2"/>
  <c r="I1799" i="2"/>
  <c r="F1792" i="2"/>
  <c r="F1780" i="2"/>
  <c r="F1760" i="2"/>
  <c r="F1848" i="2"/>
  <c r="F1830" i="2"/>
  <c r="F1844" i="2"/>
  <c r="J1820" i="2"/>
  <c r="I1820" i="2"/>
  <c r="F1827" i="2"/>
  <c r="F1795" i="2"/>
  <c r="I1754" i="2"/>
  <c r="F1801" i="2"/>
  <c r="K1799" i="2"/>
  <c r="F1850" i="2"/>
  <c r="F1841" i="2"/>
  <c r="F1828" i="2"/>
  <c r="F1746" i="2"/>
  <c r="I1711" i="2"/>
  <c r="F1676" i="2"/>
  <c r="F1808" i="2"/>
  <c r="F1778" i="2"/>
  <c r="F1723" i="2"/>
  <c r="F1692" i="2"/>
  <c r="F1790" i="2"/>
  <c r="F1740" i="2"/>
  <c r="J1799" i="2"/>
  <c r="F1815" i="2"/>
  <c r="J1754" i="2"/>
  <c r="F1805" i="2"/>
  <c r="F1782" i="2"/>
  <c r="F1741" i="2"/>
  <c r="F1734" i="2"/>
  <c r="F1727" i="2"/>
  <c r="K1711" i="2"/>
  <c r="J1711" i="2"/>
  <c r="F1737" i="2"/>
  <c r="I1703" i="2"/>
  <c r="F1682" i="2"/>
  <c r="J1675" i="2"/>
  <c r="I1675" i="2"/>
  <c r="K1660" i="2"/>
  <c r="F1818" i="2"/>
  <c r="F1736" i="2"/>
  <c r="F1677" i="2"/>
  <c r="F1663" i="2"/>
  <c r="J1660" i="2"/>
  <c r="F1784" i="2"/>
  <c r="I1660" i="2"/>
  <c r="K1754" i="2"/>
  <c r="F1672" i="2"/>
  <c r="F1639" i="2"/>
  <c r="F1627" i="2"/>
  <c r="F1620" i="2"/>
  <c r="F1541" i="2"/>
  <c r="F1530" i="2"/>
  <c r="J1703" i="2"/>
  <c r="I1679" i="2"/>
  <c r="K1535" i="2"/>
  <c r="F1537" i="2"/>
  <c r="J1535" i="2"/>
  <c r="F1526" i="2"/>
  <c r="F1468" i="2"/>
  <c r="K1442" i="2"/>
  <c r="F1617" i="2"/>
  <c r="F1606" i="2"/>
  <c r="F1595" i="2"/>
  <c r="F1563" i="2"/>
  <c r="F1552" i="2"/>
  <c r="I1535" i="2"/>
  <c r="F1457" i="2"/>
  <c r="F1451" i="2"/>
  <c r="J1442" i="2"/>
  <c r="F1610" i="2"/>
  <c r="F1507" i="2"/>
  <c r="F1497" i="2"/>
  <c r="I1442" i="2"/>
  <c r="J1371" i="2"/>
  <c r="F1766" i="2"/>
  <c r="F1634" i="2"/>
  <c r="F1513" i="2"/>
  <c r="J1501" i="2"/>
  <c r="F1488" i="2"/>
  <c r="F1466" i="2"/>
  <c r="J1679" i="2"/>
  <c r="K1703" i="2" s="1"/>
  <c r="F1650" i="2"/>
  <c r="F1614" i="2"/>
  <c r="F1505" i="2"/>
  <c r="I1501" i="2"/>
  <c r="F1495" i="2"/>
  <c r="F1416" i="2"/>
  <c r="K1365" i="2"/>
  <c r="F1455" i="2"/>
  <c r="F1434" i="2"/>
  <c r="F1524" i="2"/>
  <c r="K1501" i="2"/>
  <c r="F1587" i="2"/>
  <c r="F1449" i="2"/>
  <c r="J1436" i="2"/>
  <c r="I1436" i="2"/>
  <c r="F1512" i="2"/>
  <c r="F1498" i="2"/>
  <c r="F1379" i="2"/>
  <c r="F1493" i="2"/>
  <c r="K1436" i="2"/>
  <c r="F1423" i="2"/>
  <c r="I1371" i="2"/>
  <c r="F1427" i="2"/>
  <c r="F1401" i="2"/>
  <c r="F1369" i="2"/>
  <c r="I1320" i="2"/>
  <c r="F1411" i="2"/>
  <c r="J1365" i="2"/>
  <c r="F1459" i="2"/>
  <c r="F1447" i="2"/>
  <c r="F1398" i="2"/>
  <c r="F1361" i="2"/>
  <c r="I1345" i="2"/>
  <c r="F1431" i="2"/>
  <c r="F1357" i="2"/>
  <c r="F1334" i="2"/>
  <c r="F1286" i="2"/>
  <c r="F1280" i="2"/>
  <c r="F1342" i="2"/>
  <c r="J1320" i="2"/>
  <c r="I1365" i="2"/>
  <c r="K1371" i="2"/>
  <c r="F1332" i="2"/>
  <c r="F1323" i="2"/>
  <c r="F1309" i="2"/>
  <c r="F1255" i="2"/>
  <c r="F1213" i="2"/>
  <c r="F1393" i="2"/>
  <c r="F1324" i="2"/>
  <c r="F1311" i="2"/>
  <c r="F1300" i="2"/>
  <c r="J1292" i="2"/>
  <c r="F1235" i="2"/>
  <c r="F1194" i="2"/>
  <c r="F1140" i="2"/>
  <c r="I1292" i="2"/>
  <c r="K1345" i="2"/>
  <c r="F1340" i="2"/>
  <c r="J1299" i="2"/>
  <c r="F1388" i="2"/>
  <c r="J1345" i="2"/>
  <c r="K1320" i="2"/>
  <c r="F1318" i="2"/>
  <c r="F1234" i="2"/>
  <c r="F1316" i="2"/>
  <c r="F1288" i="2"/>
  <c r="F1265" i="2"/>
  <c r="J1217" i="2"/>
  <c r="J1305" i="2"/>
  <c r="F1247" i="2"/>
  <c r="F1229" i="2"/>
  <c r="I1217" i="2"/>
  <c r="F1182" i="2"/>
  <c r="F1170" i="2"/>
  <c r="K1158" i="2"/>
  <c r="F1204" i="2"/>
  <c r="F1167" i="2"/>
  <c r="J1158" i="2"/>
  <c r="F1092" i="2"/>
  <c r="K1292" i="2"/>
  <c r="F1179" i="2"/>
  <c r="I1158" i="2"/>
  <c r="F1252" i="2"/>
  <c r="F1191" i="2"/>
  <c r="F1187" i="2"/>
  <c r="F1161" i="2"/>
  <c r="F1119" i="2"/>
  <c r="F1109" i="2"/>
  <c r="F1105" i="2"/>
  <c r="F1102" i="2"/>
  <c r="F1051" i="2"/>
  <c r="F1038" i="2"/>
  <c r="F1025" i="2"/>
  <c r="I980" i="2"/>
  <c r="I1305" i="2"/>
  <c r="F1230" i="2"/>
  <c r="I1299" i="2"/>
  <c r="F1278" i="2"/>
  <c r="F1266" i="2"/>
  <c r="F1172" i="2"/>
  <c r="F1169" i="2"/>
  <c r="I1114" i="2"/>
  <c r="K1114" i="2"/>
  <c r="F1153" i="2"/>
  <c r="J1114" i="2"/>
  <c r="F1274" i="2"/>
  <c r="F1138" i="2"/>
  <c r="F1021" i="2"/>
  <c r="J980" i="2"/>
  <c r="F1156" i="2"/>
  <c r="F1123" i="2"/>
  <c r="F1104" i="2"/>
  <c r="F1074" i="2"/>
  <c r="J971" i="2"/>
  <c r="F1107" i="2"/>
  <c r="F1089" i="2"/>
  <c r="F1065" i="2"/>
  <c r="F1053" i="2"/>
  <c r="F1068" i="2"/>
  <c r="F1006" i="2"/>
  <c r="F963" i="2"/>
  <c r="F901" i="2"/>
  <c r="F1072" i="2"/>
  <c r="F1010" i="2"/>
  <c r="F1002" i="2"/>
  <c r="F884" i="2"/>
  <c r="F848" i="2"/>
  <c r="F803" i="2"/>
  <c r="F784" i="2"/>
  <c r="F1088" i="2"/>
  <c r="F1085" i="2"/>
  <c r="F892" i="2"/>
  <c r="F876" i="2"/>
  <c r="F1036" i="2"/>
  <c r="F986" i="2"/>
  <c r="F933" i="2"/>
  <c r="F921" i="2"/>
  <c r="F909" i="2"/>
  <c r="F1027" i="2"/>
  <c r="F938" i="2"/>
  <c r="F913" i="2"/>
  <c r="F860" i="2"/>
  <c r="F1046" i="2"/>
  <c r="F961" i="2"/>
  <c r="F943" i="2"/>
  <c r="F926" i="2"/>
  <c r="F890" i="2"/>
  <c r="F824" i="2"/>
  <c r="F1129" i="2"/>
  <c r="F995" i="2"/>
  <c r="K971" i="2"/>
  <c r="K980" i="2"/>
  <c r="F882" i="2"/>
  <c r="F862" i="2"/>
  <c r="F728" i="2"/>
  <c r="F721" i="2"/>
  <c r="I971" i="2"/>
  <c r="F931" i="2"/>
  <c r="F814" i="2"/>
  <c r="F768" i="2"/>
  <c r="F735" i="2"/>
  <c r="F705" i="2"/>
  <c r="F730" i="2"/>
  <c r="F685" i="2"/>
  <c r="F1095" i="2"/>
  <c r="F839" i="2"/>
  <c r="F834" i="2"/>
  <c r="F744" i="2"/>
  <c r="F719" i="2"/>
  <c r="F679" i="2"/>
  <c r="F846" i="2"/>
  <c r="F773" i="2"/>
  <c r="F707" i="2"/>
  <c r="F673" i="2"/>
  <c r="F947" i="2"/>
  <c r="F899" i="2"/>
  <c r="F751" i="2"/>
  <c r="F745" i="2"/>
  <c r="F720" i="2"/>
  <c r="F687" i="2"/>
  <c r="F648" i="2"/>
  <c r="F733" i="2"/>
  <c r="J562" i="2"/>
  <c r="F548" i="2"/>
  <c r="F542" i="2"/>
  <c r="F528" i="2"/>
  <c r="F500" i="2"/>
  <c r="F481" i="2"/>
  <c r="F426" i="2"/>
  <c r="J423" i="2"/>
  <c r="K586" i="2" s="1"/>
  <c r="F361" i="2"/>
  <c r="F791" i="2"/>
  <c r="F584" i="2"/>
  <c r="F573" i="2"/>
  <c r="I562" i="2"/>
  <c r="F506" i="2"/>
  <c r="F455" i="2"/>
  <c r="F780" i="2"/>
  <c r="K664" i="2"/>
  <c r="K652" i="2"/>
  <c r="F644" i="2"/>
  <c r="F774" i="2"/>
  <c r="J664" i="2"/>
  <c r="J652" i="2"/>
  <c r="I586" i="2"/>
  <c r="F788" i="2"/>
  <c r="I664" i="2"/>
  <c r="I652" i="2"/>
  <c r="F625" i="2"/>
  <c r="F603" i="2"/>
  <c r="F596" i="2"/>
  <c r="F590" i="2"/>
  <c r="F531" i="2"/>
  <c r="K524" i="2"/>
  <c r="F710" i="2"/>
  <c r="K578" i="2"/>
  <c r="F575" i="2"/>
  <c r="J524" i="2"/>
  <c r="J641" i="2"/>
  <c r="F604" i="2"/>
  <c r="J578" i="2"/>
  <c r="F552" i="2"/>
  <c r="I524" i="2"/>
  <c r="F478" i="2"/>
  <c r="F465" i="2"/>
  <c r="F416" i="2"/>
  <c r="F405" i="2"/>
  <c r="F385" i="2"/>
  <c r="F368" i="2"/>
  <c r="F341" i="2"/>
  <c r="F316" i="2"/>
  <c r="F695" i="2"/>
  <c r="I578" i="2"/>
  <c r="F499" i="2"/>
  <c r="F463" i="2"/>
  <c r="F430" i="2"/>
  <c r="F585" i="2"/>
  <c r="F514" i="2"/>
  <c r="F484" i="2"/>
  <c r="F293" i="2"/>
  <c r="J290" i="2"/>
  <c r="F288" i="2"/>
  <c r="F550" i="2"/>
  <c r="F365" i="2"/>
  <c r="F338" i="2"/>
  <c r="F331" i="2"/>
  <c r="F312" i="2"/>
  <c r="I290" i="2"/>
  <c r="F631" i="2"/>
  <c r="F622" i="2"/>
  <c r="F592" i="2"/>
  <c r="F444" i="2"/>
  <c r="F266" i="2"/>
  <c r="K248" i="2"/>
  <c r="F441" i="2"/>
  <c r="K423" i="2"/>
  <c r="F489" i="2"/>
  <c r="I423" i="2"/>
  <c r="F363" i="2"/>
  <c r="F321" i="2"/>
  <c r="F267" i="2"/>
  <c r="G4" i="2"/>
  <c r="I6" i="2"/>
  <c r="J7" i="2"/>
  <c r="H7" i="2" s="1"/>
  <c r="F9" i="2"/>
  <c r="I11" i="2"/>
  <c r="J12" i="2"/>
  <c r="H12" i="2" s="1"/>
  <c r="K13" i="2"/>
  <c r="F16" i="2"/>
  <c r="J16" i="2" s="1"/>
  <c r="H16" i="2" s="1"/>
  <c r="I23" i="2"/>
  <c r="F26" i="2"/>
  <c r="I29" i="2"/>
  <c r="K47" i="2"/>
  <c r="I51" i="2"/>
  <c r="J52" i="2"/>
  <c r="H52" i="2" s="1"/>
  <c r="F54" i="2"/>
  <c r="J54" i="2" s="1"/>
  <c r="H54" i="2" s="1"/>
  <c r="I66" i="2"/>
  <c r="K74" i="2"/>
  <c r="F77" i="2"/>
  <c r="F83" i="2"/>
  <c r="J83" i="2" s="1"/>
  <c r="H83" i="2" s="1"/>
  <c r="I85" i="2"/>
  <c r="F89" i="2"/>
  <c r="F95" i="2"/>
  <c r="J95" i="2" s="1"/>
  <c r="H95" i="2" s="1"/>
  <c r="J97" i="2"/>
  <c r="H97" i="2" s="1"/>
  <c r="F101" i="2"/>
  <c r="I103" i="2"/>
  <c r="I110" i="2"/>
  <c r="J111" i="2"/>
  <c r="H111" i="2" s="1"/>
  <c r="F114" i="2"/>
  <c r="J114" i="2" s="1"/>
  <c r="H114" i="2" s="1"/>
  <c r="I117" i="2"/>
  <c r="J118" i="2"/>
  <c r="H118" i="2" s="1"/>
  <c r="F121" i="2"/>
  <c r="I124" i="2"/>
  <c r="J125" i="2"/>
  <c r="H125" i="2" s="1"/>
  <c r="F132" i="2"/>
  <c r="J132" i="2" s="1"/>
  <c r="H132" i="2" s="1"/>
  <c r="J141" i="2"/>
  <c r="H141" i="2" s="1"/>
  <c r="J147" i="2"/>
  <c r="H147" i="2" s="1"/>
  <c r="F151" i="2"/>
  <c r="J154" i="2"/>
  <c r="H154" i="2" s="1"/>
  <c r="F157" i="2"/>
  <c r="I164" i="2"/>
  <c r="J165" i="2"/>
  <c r="H165" i="2" s="1"/>
  <c r="F167" i="2"/>
  <c r="J167" i="2" s="1"/>
  <c r="H167" i="2" s="1"/>
  <c r="J170" i="2"/>
  <c r="H170" i="2" s="1"/>
  <c r="F173" i="2"/>
  <c r="I176" i="2"/>
  <c r="F180" i="2"/>
  <c r="J180" i="2" s="1"/>
  <c r="H180" i="2" s="1"/>
  <c r="I183" i="2"/>
  <c r="F193" i="2"/>
  <c r="I196" i="2"/>
  <c r="I206" i="2"/>
  <c r="I212" i="2"/>
  <c r="I217" i="2"/>
  <c r="J218" i="2"/>
  <c r="H218" i="2" s="1"/>
  <c r="I223" i="2"/>
  <c r="K232" i="2"/>
  <c r="I236" i="2"/>
  <c r="K237" i="2"/>
  <c r="K241" i="2"/>
  <c r="J245" i="2"/>
  <c r="H245" i="2" s="1"/>
  <c r="J248" i="2"/>
  <c r="K269" i="2"/>
  <c r="K274" i="2"/>
  <c r="J274" i="2"/>
  <c r="H274" i="2" s="1"/>
  <c r="I274" i="2"/>
  <c r="G274" i="2"/>
  <c r="K278" i="2"/>
  <c r="F281" i="2"/>
  <c r="I283" i="2"/>
  <c r="I287" i="2"/>
  <c r="K302" i="2"/>
  <c r="G306" i="2"/>
  <c r="F306" i="2"/>
  <c r="J306" i="2" s="1"/>
  <c r="H306" i="2" s="1"/>
  <c r="K311" i="2"/>
  <c r="I311" i="2"/>
  <c r="F329" i="2"/>
  <c r="I329" i="2" s="1"/>
  <c r="F334" i="2"/>
  <c r="K334" i="2" s="1"/>
  <c r="F352" i="2"/>
  <c r="F382" i="2"/>
  <c r="J382" i="2" s="1"/>
  <c r="H382" i="2" s="1"/>
  <c r="G382" i="2"/>
  <c r="K389" i="2"/>
  <c r="K390" i="2"/>
  <c r="K409" i="2"/>
  <c r="K410" i="2"/>
  <c r="K434" i="2"/>
  <c r="F453" i="2"/>
  <c r="J162" i="2"/>
  <c r="F184" i="2"/>
  <c r="K275" i="2"/>
  <c r="I275" i="2"/>
  <c r="F322" i="2"/>
  <c r="I322" i="2" s="1"/>
  <c r="K337" i="2"/>
  <c r="I337" i="2"/>
  <c r="F400" i="2"/>
  <c r="G400" i="2"/>
  <c r="G418" i="2"/>
  <c r="F418" i="2"/>
  <c r="I418" i="2" s="1"/>
  <c r="I32" i="2"/>
  <c r="F60" i="2"/>
  <c r="G61" i="2"/>
  <c r="G97" i="2"/>
  <c r="F134" i="2"/>
  <c r="G147" i="2"/>
  <c r="G165" i="2"/>
  <c r="G170" i="2"/>
  <c r="K8" i="2"/>
  <c r="I36" i="2"/>
  <c r="I47" i="2"/>
  <c r="I57" i="2"/>
  <c r="J58" i="2"/>
  <c r="H58" i="2" s="1"/>
  <c r="J69" i="2"/>
  <c r="H69" i="2" s="1"/>
  <c r="F73" i="2"/>
  <c r="G5" i="2"/>
  <c r="I12" i="2"/>
  <c r="J19" i="2"/>
  <c r="H19" i="2" s="1"/>
  <c r="I24" i="2"/>
  <c r="F39" i="2"/>
  <c r="I46" i="2"/>
  <c r="I61" i="2"/>
  <c r="I17" i="2"/>
  <c r="J18" i="2"/>
  <c r="H18" i="2" s="1"/>
  <c r="J24" i="2"/>
  <c r="H24" i="2" s="1"/>
  <c r="J30" i="2"/>
  <c r="H30" i="2" s="1"/>
  <c r="I40" i="2"/>
  <c r="F44" i="2"/>
  <c r="J46" i="2"/>
  <c r="H46" i="2" s="1"/>
  <c r="J61" i="2"/>
  <c r="H61" i="2" s="1"/>
  <c r="F64" i="2"/>
  <c r="J67" i="2"/>
  <c r="H67" i="2" s="1"/>
  <c r="F71" i="2"/>
  <c r="F3" i="2"/>
  <c r="I3" i="2" s="1"/>
  <c r="I5" i="2"/>
  <c r="J17" i="2"/>
  <c r="F113" i="2"/>
  <c r="F120" i="2"/>
  <c r="I128" i="2"/>
  <c r="G230" i="2"/>
  <c r="J233" i="2"/>
  <c r="H233" i="2" s="1"/>
  <c r="J240" i="2"/>
  <c r="H240" i="2" s="1"/>
  <c r="F247" i="2"/>
  <c r="K247" i="2" s="1"/>
  <c r="I264" i="2"/>
  <c r="I272" i="2"/>
  <c r="I279" i="2"/>
  <c r="J283" i="2"/>
  <c r="K292" i="2"/>
  <c r="J292" i="2"/>
  <c r="H292" i="2" s="1"/>
  <c r="K309" i="2"/>
  <c r="K314" i="2"/>
  <c r="F327" i="2"/>
  <c r="K327" i="2" s="1"/>
  <c r="G339" i="2"/>
  <c r="F339" i="2"/>
  <c r="F355" i="2"/>
  <c r="I355" i="2" s="1"/>
  <c r="K360" i="2"/>
  <c r="G370" i="2"/>
  <c r="F370" i="2"/>
  <c r="K373" i="2"/>
  <c r="I373" i="2"/>
  <c r="F380" i="2"/>
  <c r="K380" i="2" s="1"/>
  <c r="F396" i="2"/>
  <c r="J396" i="2" s="1"/>
  <c r="H396" i="2" s="1"/>
  <c r="I544" i="2"/>
  <c r="G618" i="2"/>
  <c r="F618" i="2"/>
  <c r="J128" i="2"/>
  <c r="I162" i="2"/>
  <c r="K258" i="2"/>
  <c r="J258" i="2"/>
  <c r="H258" i="2" s="1"/>
  <c r="I258" i="2"/>
  <c r="G261" i="2"/>
  <c r="F261" i="2"/>
  <c r="I261" i="2" s="1"/>
  <c r="K263" i="2"/>
  <c r="J263" i="2"/>
  <c r="H263" i="2" s="1"/>
  <c r="I263" i="2"/>
  <c r="K286" i="2"/>
  <c r="J286" i="2"/>
  <c r="H286" i="2" s="1"/>
  <c r="I286" i="2"/>
  <c r="G286" i="2"/>
  <c r="K296" i="2"/>
  <c r="J296" i="2"/>
  <c r="H296" i="2" s="1"/>
  <c r="I296" i="2"/>
  <c r="G296" i="2"/>
  <c r="K298" i="2"/>
  <c r="I298" i="2"/>
  <c r="I300" i="2"/>
  <c r="K317" i="2"/>
  <c r="I317" i="2"/>
  <c r="G332" i="2"/>
  <c r="F332" i="2"/>
  <c r="K342" i="2"/>
  <c r="I342" i="2"/>
  <c r="K346" i="2"/>
  <c r="F353" i="2"/>
  <c r="H391" i="2"/>
  <c r="G391" i="2"/>
  <c r="G429" i="2"/>
  <c r="F429" i="2"/>
  <c r="J429" i="2" s="1"/>
  <c r="H429" i="2" s="1"/>
  <c r="G459" i="2"/>
  <c r="F459" i="2"/>
  <c r="K459" i="2" s="1"/>
  <c r="I641" i="2"/>
  <c r="G302" i="2"/>
  <c r="G309" i="2"/>
  <c r="J384" i="2"/>
  <c r="H384" i="2" s="1"/>
  <c r="K404" i="2"/>
  <c r="J427" i="2"/>
  <c r="H427" i="2" s="1"/>
  <c r="G434" i="2"/>
  <c r="G442" i="2"/>
  <c r="I450" i="2"/>
  <c r="G462" i="2"/>
  <c r="F462" i="2"/>
  <c r="G468" i="2"/>
  <c r="F468" i="2"/>
  <c r="K485" i="2"/>
  <c r="J485" i="2"/>
  <c r="H485" i="2" s="1"/>
  <c r="G492" i="2"/>
  <c r="I493" i="2"/>
  <c r="I496" i="2"/>
  <c r="J498" i="2"/>
  <c r="H498" i="2" s="1"/>
  <c r="I498" i="2"/>
  <c r="G504" i="2"/>
  <c r="I505" i="2"/>
  <c r="G510" i="2"/>
  <c r="J515" i="2"/>
  <c r="H515" i="2" s="1"/>
  <c r="I515" i="2"/>
  <c r="I519" i="2"/>
  <c r="J521" i="2"/>
  <c r="H521" i="2" s="1"/>
  <c r="I521" i="2"/>
  <c r="G530" i="2"/>
  <c r="K530" i="2"/>
  <c r="J530" i="2"/>
  <c r="H530" i="2" s="1"/>
  <c r="J534" i="2"/>
  <c r="H534" i="2" s="1"/>
  <c r="J553" i="2"/>
  <c r="H553" i="2" s="1"/>
  <c r="G558" i="2"/>
  <c r="F558" i="2"/>
  <c r="G598" i="2"/>
  <c r="F598" i="2"/>
  <c r="G601" i="2"/>
  <c r="F601" i="2"/>
  <c r="I601" i="2" s="1"/>
  <c r="K682" i="2"/>
  <c r="J692" i="2"/>
  <c r="H692" i="2" s="1"/>
  <c r="I692" i="2"/>
  <c r="I434" i="2"/>
  <c r="J450" i="2"/>
  <c r="H450" i="2" s="1"/>
  <c r="I454" i="2"/>
  <c r="I475" i="2"/>
  <c r="K491" i="2"/>
  <c r="J491" i="2"/>
  <c r="H491" i="2" s="1"/>
  <c r="J493" i="2"/>
  <c r="H493" i="2" s="1"/>
  <c r="G495" i="2"/>
  <c r="F495" i="2"/>
  <c r="K495" i="2" s="1"/>
  <c r="J496" i="2"/>
  <c r="H496" i="2" s="1"/>
  <c r="K503" i="2"/>
  <c r="J503" i="2"/>
  <c r="H503" i="2" s="1"/>
  <c r="J505" i="2"/>
  <c r="H505" i="2" s="1"/>
  <c r="J509" i="2"/>
  <c r="H509" i="2" s="1"/>
  <c r="I509" i="2"/>
  <c r="J519" i="2"/>
  <c r="H519" i="2" s="1"/>
  <c r="G525" i="2"/>
  <c r="G527" i="2"/>
  <c r="F527" i="2"/>
  <c r="I527" i="2" s="1"/>
  <c r="K534" i="2"/>
  <c r="G549" i="2"/>
  <c r="F549" i="2"/>
  <c r="K549" i="2" s="1"/>
  <c r="J587" i="2"/>
  <c r="H587" i="2" s="1"/>
  <c r="I587" i="2"/>
  <c r="J605" i="2"/>
  <c r="H605" i="2" s="1"/>
  <c r="I605" i="2"/>
  <c r="K619" i="2"/>
  <c r="J619" i="2"/>
  <c r="H619" i="2" s="1"/>
  <c r="I619" i="2"/>
  <c r="G643" i="2"/>
  <c r="F643" i="2"/>
  <c r="J643" i="2" s="1"/>
  <c r="H643" i="2" s="1"/>
  <c r="G766" i="2"/>
  <c r="F766" i="2"/>
  <c r="K766" i="2" s="1"/>
  <c r="G272" i="2"/>
  <c r="G279" i="2"/>
  <c r="G284" i="2"/>
  <c r="G300" i="2"/>
  <c r="I302" i="2"/>
  <c r="G307" i="2"/>
  <c r="I309" i="2"/>
  <c r="G314" i="2"/>
  <c r="G326" i="2"/>
  <c r="I328" i="2"/>
  <c r="G333" i="2"/>
  <c r="I335" i="2"/>
  <c r="G346" i="2"/>
  <c r="I354" i="2"/>
  <c r="I360" i="2"/>
  <c r="G384" i="2"/>
  <c r="J389" i="2"/>
  <c r="H389" i="2" s="1"/>
  <c r="G404" i="2"/>
  <c r="G408" i="2"/>
  <c r="J409" i="2"/>
  <c r="H409" i="2" s="1"/>
  <c r="G413" i="2"/>
  <c r="J434" i="2"/>
  <c r="H434" i="2" s="1"/>
  <c r="F436" i="2"/>
  <c r="I442" i="2"/>
  <c r="K450" i="2"/>
  <c r="F452" i="2"/>
  <c r="J454" i="2"/>
  <c r="H454" i="2" s="1"/>
  <c r="I456" i="2"/>
  <c r="F464" i="2"/>
  <c r="K464" i="2" s="1"/>
  <c r="F473" i="2"/>
  <c r="K473" i="2" s="1"/>
  <c r="J475" i="2"/>
  <c r="H475" i="2" s="1"/>
  <c r="G482" i="2"/>
  <c r="F482" i="2"/>
  <c r="I482" i="2" s="1"/>
  <c r="I492" i="2"/>
  <c r="K496" i="2"/>
  <c r="I504" i="2"/>
  <c r="K519" i="2"/>
  <c r="F525" i="2"/>
  <c r="I525" i="2" s="1"/>
  <c r="G533" i="2"/>
  <c r="F533" i="2"/>
  <c r="K533" i="2" s="1"/>
  <c r="J613" i="2"/>
  <c r="H613" i="2" s="1"/>
  <c r="I613" i="2"/>
  <c r="K634" i="2"/>
  <c r="J634" i="2"/>
  <c r="H634" i="2" s="1"/>
  <c r="I634" i="2"/>
  <c r="F294" i="2"/>
  <c r="J302" i="2"/>
  <c r="H302" i="2" s="1"/>
  <c r="F305" i="2"/>
  <c r="J309" i="2"/>
  <c r="H309" i="2" s="1"/>
  <c r="F319" i="2"/>
  <c r="J328" i="2"/>
  <c r="H328" i="2" s="1"/>
  <c r="J335" i="2"/>
  <c r="H335" i="2" s="1"/>
  <c r="I340" i="2"/>
  <c r="F344" i="2"/>
  <c r="F351" i="2"/>
  <c r="J354" i="2"/>
  <c r="H354" i="2" s="1"/>
  <c r="F357" i="2"/>
  <c r="J360" i="2"/>
  <c r="H360" i="2" s="1"/>
  <c r="F362" i="2"/>
  <c r="I367" i="2"/>
  <c r="I369" i="2"/>
  <c r="J378" i="2"/>
  <c r="H378" i="2" s="1"/>
  <c r="G383" i="2"/>
  <c r="F403" i="2"/>
  <c r="J403" i="2" s="1"/>
  <c r="H403" i="2" s="1"/>
  <c r="F407" i="2"/>
  <c r="I408" i="2"/>
  <c r="F411" i="2"/>
  <c r="K411" i="2" s="1"/>
  <c r="I415" i="2"/>
  <c r="G421" i="2"/>
  <c r="I422" i="2"/>
  <c r="F424" i="2"/>
  <c r="G432" i="2"/>
  <c r="I433" i="2"/>
  <c r="I451" i="2"/>
  <c r="G452" i="2"/>
  <c r="J456" i="2"/>
  <c r="H456" i="2" s="1"/>
  <c r="F458" i="2"/>
  <c r="K458" i="2" s="1"/>
  <c r="G464" i="2"/>
  <c r="F470" i="2"/>
  <c r="I470" i="2" s="1"/>
  <c r="G473" i="2"/>
  <c r="I477" i="2"/>
  <c r="F479" i="2"/>
  <c r="I479" i="2" s="1"/>
  <c r="G491" i="2"/>
  <c r="I497" i="2"/>
  <c r="G503" i="2"/>
  <c r="G509" i="2"/>
  <c r="K511" i="2"/>
  <c r="I520" i="2"/>
  <c r="F523" i="2"/>
  <c r="K523" i="2" s="1"/>
  <c r="G561" i="2"/>
  <c r="F561" i="2"/>
  <c r="J577" i="2"/>
  <c r="H577" i="2" s="1"/>
  <c r="G582" i="2"/>
  <c r="F582" i="2"/>
  <c r="K587" i="2"/>
  <c r="J599" i="2"/>
  <c r="H599" i="2" s="1"/>
  <c r="I599" i="2"/>
  <c r="K605" i="2"/>
  <c r="K620" i="2"/>
  <c r="F734" i="2"/>
  <c r="J734" i="2" s="1"/>
  <c r="H734" i="2" s="1"/>
  <c r="G734" i="2"/>
  <c r="G833" i="2"/>
  <c r="F833" i="2"/>
  <c r="K833" i="2" s="1"/>
  <c r="I314" i="2"/>
  <c r="I326" i="2"/>
  <c r="I333" i="2"/>
  <c r="I346" i="2"/>
  <c r="J367" i="2"/>
  <c r="H367" i="2" s="1"/>
  <c r="I384" i="2"/>
  <c r="J390" i="2"/>
  <c r="H390" i="2" s="1"/>
  <c r="I402" i="2"/>
  <c r="G403" i="2"/>
  <c r="I404" i="2"/>
  <c r="J410" i="2"/>
  <c r="H410" i="2" s="1"/>
  <c r="G411" i="2"/>
  <c r="I413" i="2"/>
  <c r="J422" i="2"/>
  <c r="H422" i="2" s="1"/>
  <c r="G424" i="2"/>
  <c r="G458" i="2"/>
  <c r="G470" i="2"/>
  <c r="K472" i="2"/>
  <c r="J472" i="2"/>
  <c r="H472" i="2" s="1"/>
  <c r="G476" i="2"/>
  <c r="F476" i="2"/>
  <c r="J477" i="2"/>
  <c r="H477" i="2" s="1"/>
  <c r="G479" i="2"/>
  <c r="J490" i="2"/>
  <c r="H490" i="2" s="1"/>
  <c r="I490" i="2"/>
  <c r="I508" i="2"/>
  <c r="G523" i="2"/>
  <c r="K535" i="2"/>
  <c r="G543" i="2"/>
  <c r="F543" i="2"/>
  <c r="G564" i="2"/>
  <c r="F564" i="2"/>
  <c r="I564" i="2" s="1"/>
  <c r="J566" i="2"/>
  <c r="H566" i="2" s="1"/>
  <c r="I566" i="2"/>
  <c r="J572" i="2"/>
  <c r="H572" i="2" s="1"/>
  <c r="K577" i="2"/>
  <c r="K593" i="2"/>
  <c r="J593" i="2"/>
  <c r="H593" i="2" s="1"/>
  <c r="I593" i="2"/>
  <c r="K606" i="2"/>
  <c r="J606" i="2"/>
  <c r="H606" i="2" s="1"/>
  <c r="I606" i="2"/>
  <c r="K613" i="2"/>
  <c r="G626" i="2"/>
  <c r="F626" i="2"/>
  <c r="I626" i="2" s="1"/>
  <c r="J671" i="2"/>
  <c r="H671" i="2" s="1"/>
  <c r="I671" i="2"/>
  <c r="G826" i="2"/>
  <c r="F826" i="2"/>
  <c r="J826" i="2" s="1"/>
  <c r="H826" i="2" s="1"/>
  <c r="G536" i="2"/>
  <c r="F536" i="2"/>
  <c r="G576" i="2"/>
  <c r="F576" i="2"/>
  <c r="K614" i="2"/>
  <c r="J614" i="2"/>
  <c r="H614" i="2" s="1"/>
  <c r="I614" i="2"/>
  <c r="I389" i="2"/>
  <c r="I409" i="2"/>
  <c r="F439" i="2"/>
  <c r="J439" i="2" s="1"/>
  <c r="H439" i="2" s="1"/>
  <c r="K442" i="2"/>
  <c r="F446" i="2"/>
  <c r="F457" i="2"/>
  <c r="K457" i="2" s="1"/>
  <c r="F469" i="2"/>
  <c r="I469" i="2" s="1"/>
  <c r="F486" i="2"/>
  <c r="K486" i="2" s="1"/>
  <c r="K492" i="2"/>
  <c r="K504" i="2"/>
  <c r="K510" i="2"/>
  <c r="J510" i="2"/>
  <c r="H510" i="2" s="1"/>
  <c r="F516" i="2"/>
  <c r="K516" i="2" s="1"/>
  <c r="F522" i="2"/>
  <c r="K522" i="2" s="1"/>
  <c r="G529" i="2"/>
  <c r="F529" i="2"/>
  <c r="K529" i="2" s="1"/>
  <c r="G544" i="2"/>
  <c r="K544" i="2"/>
  <c r="J544" i="2"/>
  <c r="H544" i="2" s="1"/>
  <c r="G555" i="2"/>
  <c r="K555" i="2"/>
  <c r="J555" i="2"/>
  <c r="H555" i="2" s="1"/>
  <c r="J559" i="2"/>
  <c r="H559" i="2" s="1"/>
  <c r="K566" i="2"/>
  <c r="G571" i="2"/>
  <c r="F571" i="2"/>
  <c r="I571" i="2" s="1"/>
  <c r="I579" i="2"/>
  <c r="G594" i="2"/>
  <c r="F594" i="2"/>
  <c r="K594" i="2" s="1"/>
  <c r="K600" i="2"/>
  <c r="J600" i="2"/>
  <c r="H600" i="2" s="1"/>
  <c r="I600" i="2"/>
  <c r="G607" i="2"/>
  <c r="F607" i="2"/>
  <c r="K607" i="2" s="1"/>
  <c r="F646" i="2"/>
  <c r="K646" i="2" s="1"/>
  <c r="G646" i="2"/>
  <c r="G674" i="2"/>
  <c r="F674" i="2"/>
  <c r="K674" i="2" s="1"/>
  <c r="K538" i="2"/>
  <c r="K545" i="2"/>
  <c r="I554" i="2"/>
  <c r="K568" i="2"/>
  <c r="K574" i="2"/>
  <c r="K579" i="2"/>
  <c r="J589" i="2"/>
  <c r="H589" i="2" s="1"/>
  <c r="J595" i="2"/>
  <c r="H595" i="2" s="1"/>
  <c r="J602" i="2"/>
  <c r="H602" i="2" s="1"/>
  <c r="J608" i="2"/>
  <c r="H608" i="2" s="1"/>
  <c r="J624" i="2"/>
  <c r="H624" i="2" s="1"/>
  <c r="G637" i="2"/>
  <c r="J640" i="2"/>
  <c r="H640" i="2" s="1"/>
  <c r="J666" i="2"/>
  <c r="H666" i="2" s="1"/>
  <c r="I666" i="2"/>
  <c r="G666" i="2"/>
  <c r="K677" i="2"/>
  <c r="J677" i="2"/>
  <c r="H677" i="2" s="1"/>
  <c r="I677" i="2"/>
  <c r="I678" i="2"/>
  <c r="K696" i="2"/>
  <c r="J696" i="2"/>
  <c r="H696" i="2" s="1"/>
  <c r="I696" i="2"/>
  <c r="K704" i="2"/>
  <c r="J704" i="2"/>
  <c r="H704" i="2" s="1"/>
  <c r="I704" i="2"/>
  <c r="K742" i="2"/>
  <c r="F753" i="2"/>
  <c r="K753" i="2" s="1"/>
  <c r="F760" i="2"/>
  <c r="I760" i="2" s="1"/>
  <c r="G782" i="2"/>
  <c r="F782" i="2"/>
  <c r="K782" i="2" s="1"/>
  <c r="F835" i="2"/>
  <c r="K835" i="2" s="1"/>
  <c r="G835" i="2"/>
  <c r="G910" i="2"/>
  <c r="F910" i="2"/>
  <c r="K910" i="2" s="1"/>
  <c r="K940" i="2"/>
  <c r="J940" i="2"/>
  <c r="H940" i="2" s="1"/>
  <c r="I940" i="2"/>
  <c r="F532" i="2"/>
  <c r="K532" i="2" s="1"/>
  <c r="I535" i="2"/>
  <c r="F540" i="2"/>
  <c r="F557" i="2"/>
  <c r="K557" i="2" s="1"/>
  <c r="I560" i="2"/>
  <c r="F563" i="2"/>
  <c r="I563" i="2" s="1"/>
  <c r="F570" i="2"/>
  <c r="I570" i="2" s="1"/>
  <c r="F581" i="2"/>
  <c r="K589" i="2"/>
  <c r="F591" i="2"/>
  <c r="K595" i="2"/>
  <c r="F597" i="2"/>
  <c r="I597" i="2" s="1"/>
  <c r="K602" i="2"/>
  <c r="K608" i="2"/>
  <c r="J621" i="2"/>
  <c r="H621" i="2" s="1"/>
  <c r="K624" i="2"/>
  <c r="F637" i="2"/>
  <c r="J645" i="2"/>
  <c r="H645" i="2" s="1"/>
  <c r="K650" i="2"/>
  <c r="I650" i="2"/>
  <c r="J654" i="2"/>
  <c r="H654" i="2" s="1"/>
  <c r="G654" i="2"/>
  <c r="K656" i="2"/>
  <c r="J656" i="2"/>
  <c r="H656" i="2" s="1"/>
  <c r="I656" i="2"/>
  <c r="I657" i="2"/>
  <c r="K662" i="2"/>
  <c r="J662" i="2"/>
  <c r="H662" i="2" s="1"/>
  <c r="I662" i="2"/>
  <c r="I663" i="2"/>
  <c r="K683" i="2"/>
  <c r="J683" i="2"/>
  <c r="H683" i="2" s="1"/>
  <c r="I683" i="2"/>
  <c r="K688" i="2"/>
  <c r="J688" i="2"/>
  <c r="H688" i="2" s="1"/>
  <c r="I688" i="2"/>
  <c r="G688" i="2"/>
  <c r="G714" i="2"/>
  <c r="F714" i="2"/>
  <c r="G776" i="2"/>
  <c r="F776" i="2"/>
  <c r="K776" i="2" s="1"/>
  <c r="K783" i="2"/>
  <c r="G810" i="2"/>
  <c r="F810" i="2"/>
  <c r="K810" i="2" s="1"/>
  <c r="G819" i="2"/>
  <c r="F819" i="2"/>
  <c r="J887" i="2"/>
  <c r="H887" i="2" s="1"/>
  <c r="I887" i="2"/>
  <c r="G919" i="2"/>
  <c r="F919" i="2"/>
  <c r="J919" i="2" s="1"/>
  <c r="H919" i="2" s="1"/>
  <c r="F642" i="2"/>
  <c r="J642" i="2" s="1"/>
  <c r="H642" i="2" s="1"/>
  <c r="G675" i="2"/>
  <c r="G727" i="2"/>
  <c r="F727" i="2"/>
  <c r="J727" i="2" s="1"/>
  <c r="H727" i="2" s="1"/>
  <c r="G739" i="2"/>
  <c r="F739" i="2"/>
  <c r="F609" i="2"/>
  <c r="J609" i="2" s="1"/>
  <c r="H609" i="2" s="1"/>
  <c r="F616" i="2"/>
  <c r="J616" i="2" s="1"/>
  <c r="H616" i="2" s="1"/>
  <c r="I620" i="2"/>
  <c r="K628" i="2"/>
  <c r="I632" i="2"/>
  <c r="F636" i="2"/>
  <c r="F639" i="2"/>
  <c r="K639" i="2" s="1"/>
  <c r="G642" i="2"/>
  <c r="J660" i="2"/>
  <c r="H660" i="2" s="1"/>
  <c r="I660" i="2"/>
  <c r="G660" i="2"/>
  <c r="F675" i="2"/>
  <c r="G681" i="2"/>
  <c r="F681" i="2"/>
  <c r="K681" i="2" s="1"/>
  <c r="G683" i="2"/>
  <c r="F800" i="2"/>
  <c r="G800" i="2"/>
  <c r="K811" i="2"/>
  <c r="J811" i="2"/>
  <c r="H811" i="2" s="1"/>
  <c r="F828" i="2"/>
  <c r="K828" i="2" s="1"/>
  <c r="G828" i="2"/>
  <c r="G868" i="2"/>
  <c r="F868" i="2"/>
  <c r="K868" i="2" s="1"/>
  <c r="G951" i="2"/>
  <c r="F951" i="2"/>
  <c r="J951" i="2" s="1"/>
  <c r="H951" i="2" s="1"/>
  <c r="F667" i="2"/>
  <c r="J667" i="2" s="1"/>
  <c r="H667" i="2" s="1"/>
  <c r="J678" i="2"/>
  <c r="H678" i="2" s="1"/>
  <c r="K684" i="2"/>
  <c r="J684" i="2"/>
  <c r="H684" i="2" s="1"/>
  <c r="I684" i="2"/>
  <c r="F689" i="2"/>
  <c r="K689" i="2" s="1"/>
  <c r="G702" i="2"/>
  <c r="F702" i="2"/>
  <c r="K702" i="2" s="1"/>
  <c r="K740" i="2"/>
  <c r="G758" i="2"/>
  <c r="F758" i="2"/>
  <c r="I758" i="2" s="1"/>
  <c r="K924" i="2"/>
  <c r="J924" i="2"/>
  <c r="H924" i="2" s="1"/>
  <c r="F927" i="2"/>
  <c r="I927" i="2" s="1"/>
  <c r="I569" i="2"/>
  <c r="I610" i="2"/>
  <c r="J611" i="2"/>
  <c r="H611" i="2" s="1"/>
  <c r="J617" i="2"/>
  <c r="H617" i="2" s="1"/>
  <c r="G620" i="2"/>
  <c r="I621" i="2"/>
  <c r="G624" i="2"/>
  <c r="G628" i="2"/>
  <c r="I629" i="2"/>
  <c r="J630" i="2"/>
  <c r="H630" i="2" s="1"/>
  <c r="G632" i="2"/>
  <c r="J633" i="2"/>
  <c r="I645" i="2"/>
  <c r="F647" i="2"/>
  <c r="I647" i="2" s="1"/>
  <c r="G649" i="2"/>
  <c r="K651" i="2"/>
  <c r="J651" i="2"/>
  <c r="H651" i="2" s="1"/>
  <c r="G653" i="2"/>
  <c r="F653" i="2"/>
  <c r="J653" i="2" s="1"/>
  <c r="H653" i="2" s="1"/>
  <c r="I658" i="2"/>
  <c r="K660" i="2"/>
  <c r="G665" i="2"/>
  <c r="F665" i="2"/>
  <c r="G708" i="2"/>
  <c r="F708" i="2"/>
  <c r="K708" i="2" s="1"/>
  <c r="F716" i="2"/>
  <c r="K716" i="2" s="1"/>
  <c r="K729" i="2"/>
  <c r="F747" i="2"/>
  <c r="K747" i="2" s="1"/>
  <c r="J763" i="2"/>
  <c r="H763" i="2" s="1"/>
  <c r="F771" i="2"/>
  <c r="K771" i="2" s="1"/>
  <c r="I811" i="2"/>
  <c r="J816" i="2"/>
  <c r="H816" i="2" s="1"/>
  <c r="G927" i="2"/>
  <c r="I937" i="2"/>
  <c r="K617" i="2"/>
  <c r="K621" i="2"/>
  <c r="F627" i="2"/>
  <c r="J627" i="2" s="1"/>
  <c r="H627" i="2" s="1"/>
  <c r="F638" i="2"/>
  <c r="F649" i="2"/>
  <c r="I649" i="2" s="1"/>
  <c r="F655" i="2"/>
  <c r="J655" i="2" s="1"/>
  <c r="H655" i="2" s="1"/>
  <c r="K661" i="2"/>
  <c r="J661" i="2"/>
  <c r="H661" i="2" s="1"/>
  <c r="I661" i="2"/>
  <c r="K668" i="2"/>
  <c r="J668" i="2"/>
  <c r="H668" i="2" s="1"/>
  <c r="I668" i="2"/>
  <c r="F676" i="2"/>
  <c r="K676" i="2" s="1"/>
  <c r="J682" i="2"/>
  <c r="H682" i="2" s="1"/>
  <c r="I682" i="2"/>
  <c r="G682" i="2"/>
  <c r="K690" i="2"/>
  <c r="K703" i="2"/>
  <c r="J703" i="2"/>
  <c r="H703" i="2" s="1"/>
  <c r="I703" i="2"/>
  <c r="G703" i="2"/>
  <c r="G716" i="2"/>
  <c r="F741" i="2"/>
  <c r="J741" i="2" s="1"/>
  <c r="H741" i="2" s="1"/>
  <c r="K752" i="2"/>
  <c r="K759" i="2"/>
  <c r="J785" i="2"/>
  <c r="H785" i="2" s="1"/>
  <c r="J853" i="2"/>
  <c r="H853" i="2" s="1"/>
  <c r="K870" i="2"/>
  <c r="J870" i="2"/>
  <c r="H870" i="2" s="1"/>
  <c r="I870" i="2"/>
  <c r="G875" i="2"/>
  <c r="F875" i="2"/>
  <c r="I875" i="2" s="1"/>
  <c r="G894" i="2"/>
  <c r="F894" i="2"/>
  <c r="J894" i="2" s="1"/>
  <c r="H894" i="2" s="1"/>
  <c r="K658" i="2"/>
  <c r="K671" i="2"/>
  <c r="I690" i="2"/>
  <c r="K692" i="2"/>
  <c r="I697" i="2"/>
  <c r="K699" i="2"/>
  <c r="K706" i="2"/>
  <c r="G709" i="2"/>
  <c r="G715" i="2"/>
  <c r="I717" i="2"/>
  <c r="I722" i="2"/>
  <c r="K724" i="2"/>
  <c r="I729" i="2"/>
  <c r="K736" i="2"/>
  <c r="G740" i="2"/>
  <c r="I742" i="2"/>
  <c r="G746" i="2"/>
  <c r="I748" i="2"/>
  <c r="G752" i="2"/>
  <c r="I754" i="2"/>
  <c r="G759" i="2"/>
  <c r="I761" i="2"/>
  <c r="K763" i="2"/>
  <c r="G779" i="2"/>
  <c r="K779" i="2"/>
  <c r="J783" i="2"/>
  <c r="H783" i="2" s="1"/>
  <c r="I794" i="2"/>
  <c r="K795" i="2"/>
  <c r="I802" i="2"/>
  <c r="G804" i="2"/>
  <c r="K804" i="2"/>
  <c r="I805" i="2"/>
  <c r="G813" i="2"/>
  <c r="F813" i="2"/>
  <c r="J813" i="2" s="1"/>
  <c r="H813" i="2" s="1"/>
  <c r="I841" i="2"/>
  <c r="K883" i="2"/>
  <c r="J883" i="2"/>
  <c r="H883" i="2" s="1"/>
  <c r="I883" i="2"/>
  <c r="K895" i="2"/>
  <c r="J895" i="2"/>
  <c r="H895" i="2" s="1"/>
  <c r="I895" i="2"/>
  <c r="G906" i="2"/>
  <c r="J920" i="2"/>
  <c r="H920" i="2" s="1"/>
  <c r="I920" i="2"/>
  <c r="F958" i="2"/>
  <c r="K958" i="2" s="1"/>
  <c r="G958" i="2"/>
  <c r="G969" i="2"/>
  <c r="F969" i="2"/>
  <c r="J969" i="2" s="1"/>
  <c r="H969" i="2" s="1"/>
  <c r="G1016" i="2"/>
  <c r="F1016" i="2"/>
  <c r="J1016" i="2" s="1"/>
  <c r="H1016" i="2" s="1"/>
  <c r="J690" i="2"/>
  <c r="H690" i="2" s="1"/>
  <c r="J697" i="2"/>
  <c r="H697" i="2" s="1"/>
  <c r="J717" i="2"/>
  <c r="H717" i="2" s="1"/>
  <c r="J722" i="2"/>
  <c r="H722" i="2" s="1"/>
  <c r="J729" i="2"/>
  <c r="H729" i="2" s="1"/>
  <c r="J742" i="2"/>
  <c r="H742" i="2" s="1"/>
  <c r="J748" i="2"/>
  <c r="H748" i="2" s="1"/>
  <c r="J754" i="2"/>
  <c r="H754" i="2" s="1"/>
  <c r="J761" i="2"/>
  <c r="H761" i="2" s="1"/>
  <c r="I767" i="2"/>
  <c r="J777" i="2"/>
  <c r="H777" i="2" s="1"/>
  <c r="I785" i="2"/>
  <c r="I787" i="2"/>
  <c r="J794" i="2"/>
  <c r="H794" i="2" s="1"/>
  <c r="F796" i="2"/>
  <c r="J796" i="2" s="1"/>
  <c r="H796" i="2" s="1"/>
  <c r="I797" i="2"/>
  <c r="J805" i="2"/>
  <c r="H805" i="2" s="1"/>
  <c r="G807" i="2"/>
  <c r="F807" i="2"/>
  <c r="K807" i="2" s="1"/>
  <c r="I816" i="2"/>
  <c r="F822" i="2"/>
  <c r="I822" i="2" s="1"/>
  <c r="K841" i="2"/>
  <c r="J841" i="2"/>
  <c r="H841" i="2" s="1"/>
  <c r="K863" i="2"/>
  <c r="J863" i="2"/>
  <c r="H863" i="2" s="1"/>
  <c r="I863" i="2"/>
  <c r="G878" i="2"/>
  <c r="F878" i="2"/>
  <c r="I878" i="2" s="1"/>
  <c r="G902" i="2"/>
  <c r="K902" i="2"/>
  <c r="J902" i="2"/>
  <c r="H902" i="2" s="1"/>
  <c r="I902" i="2"/>
  <c r="F906" i="2"/>
  <c r="K906" i="2" s="1"/>
  <c r="F911" i="2"/>
  <c r="K916" i="2"/>
  <c r="J916" i="2"/>
  <c r="H916" i="2" s="1"/>
  <c r="K928" i="2"/>
  <c r="J928" i="2"/>
  <c r="H928" i="2" s="1"/>
  <c r="I928" i="2"/>
  <c r="F935" i="2"/>
  <c r="J935" i="2" s="1"/>
  <c r="H935" i="2" s="1"/>
  <c r="G935" i="2"/>
  <c r="F948" i="2"/>
  <c r="K948" i="2" s="1"/>
  <c r="G959" i="2"/>
  <c r="K959" i="2"/>
  <c r="J959" i="2"/>
  <c r="H959" i="2" s="1"/>
  <c r="I959" i="2"/>
  <c r="K962" i="2"/>
  <c r="J962" i="2"/>
  <c r="H962" i="2" s="1"/>
  <c r="I962" i="2"/>
  <c r="I709" i="2"/>
  <c r="I715" i="2"/>
  <c r="I740" i="2"/>
  <c r="I746" i="2"/>
  <c r="I752" i="2"/>
  <c r="I759" i="2"/>
  <c r="F764" i="2"/>
  <c r="J767" i="2"/>
  <c r="H767" i="2" s="1"/>
  <c r="F769" i="2"/>
  <c r="F781" i="2"/>
  <c r="G796" i="2"/>
  <c r="G822" i="2"/>
  <c r="F854" i="2"/>
  <c r="K854" i="2" s="1"/>
  <c r="F869" i="2"/>
  <c r="I869" i="2" s="1"/>
  <c r="J886" i="2"/>
  <c r="H886" i="2" s="1"/>
  <c r="K886" i="2"/>
  <c r="I886" i="2"/>
  <c r="G923" i="2"/>
  <c r="G936" i="2"/>
  <c r="G939" i="2"/>
  <c r="J709" i="2"/>
  <c r="H709" i="2" s="1"/>
  <c r="J715" i="2"/>
  <c r="H715" i="2" s="1"/>
  <c r="J740" i="2"/>
  <c r="H740" i="2" s="1"/>
  <c r="J746" i="2"/>
  <c r="H746" i="2" s="1"/>
  <c r="J752" i="2"/>
  <c r="H752" i="2" s="1"/>
  <c r="J759" i="2"/>
  <c r="H759" i="2" s="1"/>
  <c r="I772" i="2"/>
  <c r="F778" i="2"/>
  <c r="G781" i="2"/>
  <c r="K820" i="2"/>
  <c r="I820" i="2"/>
  <c r="G820" i="2"/>
  <c r="I827" i="2"/>
  <c r="I843" i="2"/>
  <c r="J847" i="2"/>
  <c r="H847" i="2" s="1"/>
  <c r="I847" i="2"/>
  <c r="G852" i="2"/>
  <c r="F852" i="2"/>
  <c r="J852" i="2" s="1"/>
  <c r="H852" i="2" s="1"/>
  <c r="G854" i="2"/>
  <c r="G869" i="2"/>
  <c r="F879" i="2"/>
  <c r="I879" i="2" s="1"/>
  <c r="K891" i="2"/>
  <c r="J891" i="2"/>
  <c r="H891" i="2" s="1"/>
  <c r="I891" i="2"/>
  <c r="K907" i="2"/>
  <c r="J907" i="2"/>
  <c r="H907" i="2" s="1"/>
  <c r="I907" i="2"/>
  <c r="I916" i="2"/>
  <c r="F923" i="2"/>
  <c r="F936" i="2"/>
  <c r="K936" i="2" s="1"/>
  <c r="F939" i="2"/>
  <c r="K939" i="2" s="1"/>
  <c r="G962" i="2"/>
  <c r="G965" i="2"/>
  <c r="F965" i="2"/>
  <c r="J965" i="2" s="1"/>
  <c r="H965" i="2" s="1"/>
  <c r="K970" i="2"/>
  <c r="J970" i="2"/>
  <c r="H970" i="2" s="1"/>
  <c r="I970" i="2"/>
  <c r="K801" i="2"/>
  <c r="G801" i="2"/>
  <c r="K825" i="2"/>
  <c r="I825" i="2"/>
  <c r="G825" i="2"/>
  <c r="K827" i="2"/>
  <c r="J827" i="2"/>
  <c r="H827" i="2" s="1"/>
  <c r="G832" i="2"/>
  <c r="F832" i="2"/>
  <c r="J832" i="2" s="1"/>
  <c r="H832" i="2" s="1"/>
  <c r="J840" i="2"/>
  <c r="H840" i="2" s="1"/>
  <c r="I840" i="2"/>
  <c r="F842" i="2"/>
  <c r="I842" i="2" s="1"/>
  <c r="G861" i="2"/>
  <c r="F861" i="2"/>
  <c r="K861" i="2" s="1"/>
  <c r="K903" i="2"/>
  <c r="J903" i="2"/>
  <c r="H903" i="2" s="1"/>
  <c r="I944" i="2"/>
  <c r="K944" i="2"/>
  <c r="J944" i="2"/>
  <c r="H944" i="2" s="1"/>
  <c r="I966" i="2"/>
  <c r="K966" i="2"/>
  <c r="J966" i="2"/>
  <c r="H966" i="2" s="1"/>
  <c r="G989" i="2"/>
  <c r="F989" i="2"/>
  <c r="K989" i="2" s="1"/>
  <c r="G1029" i="2"/>
  <c r="F1029" i="2"/>
  <c r="J1029" i="2" s="1"/>
  <c r="H1029" i="2" s="1"/>
  <c r="G1090" i="2"/>
  <c r="F1090" i="2"/>
  <c r="J1090" i="2" s="1"/>
  <c r="H1090" i="2" s="1"/>
  <c r="G785" i="2"/>
  <c r="K785" i="2"/>
  <c r="G797" i="2"/>
  <c r="K797" i="2"/>
  <c r="G816" i="2"/>
  <c r="K816" i="2"/>
  <c r="K821" i="2"/>
  <c r="J821" i="2"/>
  <c r="H821" i="2" s="1"/>
  <c r="I821" i="2"/>
  <c r="K853" i="2"/>
  <c r="I853" i="2"/>
  <c r="G853" i="2"/>
  <c r="K857" i="2"/>
  <c r="J857" i="2"/>
  <c r="H857" i="2" s="1"/>
  <c r="I857" i="2"/>
  <c r="G874" i="2"/>
  <c r="F874" i="2"/>
  <c r="I874" i="2" s="1"/>
  <c r="F915" i="2"/>
  <c r="J915" i="2" s="1"/>
  <c r="H915" i="2" s="1"/>
  <c r="K932" i="2"/>
  <c r="I932" i="2"/>
  <c r="J952" i="2"/>
  <c r="H952" i="2" s="1"/>
  <c r="K952" i="2"/>
  <c r="I952" i="2"/>
  <c r="G972" i="2"/>
  <c r="F972" i="2"/>
  <c r="J972" i="2" s="1"/>
  <c r="H972" i="2" s="1"/>
  <c r="K975" i="2"/>
  <c r="J975" i="2"/>
  <c r="H975" i="2" s="1"/>
  <c r="F1012" i="2"/>
  <c r="G1012" i="2"/>
  <c r="F1069" i="2"/>
  <c r="K1069" i="2" s="1"/>
  <c r="G1069" i="2"/>
  <c r="G1078" i="2"/>
  <c r="F1078" i="2"/>
  <c r="G983" i="2"/>
  <c r="F983" i="2"/>
  <c r="K983" i="2" s="1"/>
  <c r="J984" i="2"/>
  <c r="H984" i="2" s="1"/>
  <c r="G1001" i="2"/>
  <c r="F1001" i="2"/>
  <c r="G1009" i="2"/>
  <c r="F1009" i="2"/>
  <c r="J1009" i="2" s="1"/>
  <c r="H1009" i="2" s="1"/>
  <c r="G1015" i="2"/>
  <c r="F1015" i="2"/>
  <c r="I1015" i="2" s="1"/>
  <c r="J1018" i="2"/>
  <c r="H1018" i="2" s="1"/>
  <c r="J1043" i="2"/>
  <c r="H1043" i="2" s="1"/>
  <c r="I1043" i="2"/>
  <c r="K977" i="2"/>
  <c r="I977" i="2"/>
  <c r="J981" i="2"/>
  <c r="H981" i="2" s="1"/>
  <c r="K981" i="2"/>
  <c r="G981" i="2"/>
  <c r="J991" i="2"/>
  <c r="H991" i="2" s="1"/>
  <c r="I991" i="2"/>
  <c r="F999" i="2"/>
  <c r="K1007" i="2"/>
  <c r="I1007" i="2"/>
  <c r="G1007" i="2"/>
  <c r="K1024" i="2"/>
  <c r="I1024" i="2"/>
  <c r="I1039" i="2"/>
  <c r="J1039" i="2"/>
  <c r="H1039" i="2" s="1"/>
  <c r="G1039" i="2"/>
  <c r="G1048" i="2"/>
  <c r="F1048" i="2"/>
  <c r="I1048" i="2" s="1"/>
  <c r="J1075" i="2"/>
  <c r="H1075" i="2" s="1"/>
  <c r="K1075" i="2"/>
  <c r="I1075" i="2"/>
  <c r="G1075" i="2"/>
  <c r="G1103" i="2"/>
  <c r="F1103" i="2"/>
  <c r="K1103" i="2" s="1"/>
  <c r="K829" i="2"/>
  <c r="K836" i="2"/>
  <c r="K843" i="2"/>
  <c r="K849" i="2"/>
  <c r="J858" i="2"/>
  <c r="H858" i="2" s="1"/>
  <c r="K859" i="2"/>
  <c r="J864" i="2"/>
  <c r="H864" i="2" s="1"/>
  <c r="K865" i="2"/>
  <c r="J871" i="2"/>
  <c r="H871" i="2" s="1"/>
  <c r="K872" i="2"/>
  <c r="K888" i="2"/>
  <c r="K893" i="2"/>
  <c r="K900" i="2"/>
  <c r="J905" i="2"/>
  <c r="H905" i="2" s="1"/>
  <c r="I918" i="2"/>
  <c r="K929" i="2"/>
  <c r="K937" i="2"/>
  <c r="G977" i="2"/>
  <c r="K979" i="2"/>
  <c r="J979" i="2"/>
  <c r="H979" i="2" s="1"/>
  <c r="I981" i="2"/>
  <c r="J1007" i="2"/>
  <c r="H1007" i="2" s="1"/>
  <c r="G1024" i="2"/>
  <c r="K1033" i="2"/>
  <c r="J1033" i="2"/>
  <c r="H1033" i="2" s="1"/>
  <c r="K1039" i="2"/>
  <c r="G1058" i="2"/>
  <c r="K1108" i="2"/>
  <c r="J1108" i="2"/>
  <c r="H1108" i="2" s="1"/>
  <c r="I1108" i="2"/>
  <c r="J1126" i="2"/>
  <c r="H1126" i="2" s="1"/>
  <c r="I1126" i="2"/>
  <c r="K1144" i="2"/>
  <c r="J1144" i="2"/>
  <c r="H1144" i="2" s="1"/>
  <c r="I1144" i="2"/>
  <c r="F1166" i="2"/>
  <c r="K1166" i="2" s="1"/>
  <c r="G1166" i="2"/>
  <c r="K858" i="2"/>
  <c r="K864" i="2"/>
  <c r="K871" i="2"/>
  <c r="I873" i="2"/>
  <c r="J881" i="2"/>
  <c r="H881" i="2" s="1"/>
  <c r="K946" i="2"/>
  <c r="K968" i="2"/>
  <c r="J977" i="2"/>
  <c r="H977" i="2" s="1"/>
  <c r="K990" i="2"/>
  <c r="I990" i="2"/>
  <c r="K991" i="2"/>
  <c r="G996" i="2"/>
  <c r="F996" i="2"/>
  <c r="I1014" i="2"/>
  <c r="J1024" i="2"/>
  <c r="H1024" i="2" s="1"/>
  <c r="F1042" i="2"/>
  <c r="J1042" i="2" s="1"/>
  <c r="H1042" i="2" s="1"/>
  <c r="J1049" i="2"/>
  <c r="H1049" i="2" s="1"/>
  <c r="I1049" i="2"/>
  <c r="F1058" i="2"/>
  <c r="J1058" i="2" s="1"/>
  <c r="H1058" i="2" s="1"/>
  <c r="J1061" i="2"/>
  <c r="H1061" i="2" s="1"/>
  <c r="K1061" i="2"/>
  <c r="I1061" i="2"/>
  <c r="G1061" i="2"/>
  <c r="G1066" i="2"/>
  <c r="F1066" i="2"/>
  <c r="K1066" i="2" s="1"/>
  <c r="K1076" i="2"/>
  <c r="J1076" i="2"/>
  <c r="H1076" i="2" s="1"/>
  <c r="I1076" i="2"/>
  <c r="K1162" i="2"/>
  <c r="I1162" i="2"/>
  <c r="I904" i="2"/>
  <c r="I925" i="2"/>
  <c r="J978" i="2"/>
  <c r="H978" i="2" s="1"/>
  <c r="I978" i="2"/>
  <c r="J982" i="2"/>
  <c r="H982" i="2" s="1"/>
  <c r="I982" i="2"/>
  <c r="K1000" i="2"/>
  <c r="J1000" i="2"/>
  <c r="H1000" i="2" s="1"/>
  <c r="K1003" i="2"/>
  <c r="I1003" i="2"/>
  <c r="K1008" i="2"/>
  <c r="J1008" i="2"/>
  <c r="H1008" i="2" s="1"/>
  <c r="G1020" i="2"/>
  <c r="K1020" i="2"/>
  <c r="I1020" i="2"/>
  <c r="K1070" i="2"/>
  <c r="J1070" i="2"/>
  <c r="H1070" i="2" s="1"/>
  <c r="I1070" i="2"/>
  <c r="F1122" i="2"/>
  <c r="I1122" i="2" s="1"/>
  <c r="G1122" i="2"/>
  <c r="G1034" i="2"/>
  <c r="K1034" i="2"/>
  <c r="G1047" i="2"/>
  <c r="F1047" i="2"/>
  <c r="K1047" i="2" s="1"/>
  <c r="K1059" i="2"/>
  <c r="J1059" i="2"/>
  <c r="H1059" i="2" s="1"/>
  <c r="K1073" i="2"/>
  <c r="J1073" i="2"/>
  <c r="H1073" i="2" s="1"/>
  <c r="G1098" i="2"/>
  <c r="I1106" i="2"/>
  <c r="K1106" i="2"/>
  <c r="J1106" i="2"/>
  <c r="H1106" i="2" s="1"/>
  <c r="G1113" i="2"/>
  <c r="F1113" i="2"/>
  <c r="J1113" i="2" s="1"/>
  <c r="H1113" i="2" s="1"/>
  <c r="F1155" i="2"/>
  <c r="K1155" i="2" s="1"/>
  <c r="G1155" i="2"/>
  <c r="I877" i="2"/>
  <c r="F880" i="2"/>
  <c r="J880" i="2" s="1"/>
  <c r="H880" i="2" s="1"/>
  <c r="K887" i="2"/>
  <c r="I893" i="2"/>
  <c r="K898" i="2"/>
  <c r="G904" i="2"/>
  <c r="I905" i="2"/>
  <c r="F912" i="2"/>
  <c r="I912" i="2" s="1"/>
  <c r="J918" i="2"/>
  <c r="H918" i="2" s="1"/>
  <c r="K920" i="2"/>
  <c r="J922" i="2"/>
  <c r="H922" i="2" s="1"/>
  <c r="G925" i="2"/>
  <c r="G929" i="2"/>
  <c r="I930" i="2"/>
  <c r="J932" i="2"/>
  <c r="H932" i="2" s="1"/>
  <c r="F945" i="2"/>
  <c r="I945" i="2" s="1"/>
  <c r="F949" i="2"/>
  <c r="K949" i="2" s="1"/>
  <c r="F953" i="2"/>
  <c r="I953" i="2" s="1"/>
  <c r="I964" i="2"/>
  <c r="F967" i="2"/>
  <c r="I967" i="2" s="1"/>
  <c r="F973" i="2"/>
  <c r="K973" i="2" s="1"/>
  <c r="I976" i="2"/>
  <c r="G978" i="2"/>
  <c r="J990" i="2"/>
  <c r="H990" i="2" s="1"/>
  <c r="G994" i="2"/>
  <c r="F994" i="2"/>
  <c r="I994" i="2" s="1"/>
  <c r="I1000" i="2"/>
  <c r="G1003" i="2"/>
  <c r="K1011" i="2"/>
  <c r="J1011" i="2"/>
  <c r="H1011" i="2" s="1"/>
  <c r="J1020" i="2"/>
  <c r="H1020" i="2" s="1"/>
  <c r="G1023" i="2"/>
  <c r="F1023" i="2"/>
  <c r="K1023" i="2" s="1"/>
  <c r="K1028" i="2"/>
  <c r="I1028" i="2"/>
  <c r="F1032" i="2"/>
  <c r="J1032" i="2" s="1"/>
  <c r="H1032" i="2" s="1"/>
  <c r="I1052" i="2"/>
  <c r="K1052" i="2"/>
  <c r="J1052" i="2"/>
  <c r="H1052" i="2" s="1"/>
  <c r="G1055" i="2"/>
  <c r="K1055" i="2"/>
  <c r="J1055" i="2"/>
  <c r="H1055" i="2" s="1"/>
  <c r="I1055" i="2"/>
  <c r="K1064" i="2"/>
  <c r="J1064" i="2"/>
  <c r="H1064" i="2" s="1"/>
  <c r="I1064" i="2"/>
  <c r="G1080" i="2"/>
  <c r="F1080" i="2"/>
  <c r="I1080" i="2" s="1"/>
  <c r="F1083" i="2"/>
  <c r="I1083" i="2" s="1"/>
  <c r="F1098" i="2"/>
  <c r="I1098" i="2" s="1"/>
  <c r="G1045" i="2"/>
  <c r="F1117" i="2"/>
  <c r="I1117" i="2" s="1"/>
  <c r="K1120" i="2"/>
  <c r="G1135" i="2"/>
  <c r="F1135" i="2"/>
  <c r="K1135" i="2" s="1"/>
  <c r="J1178" i="2"/>
  <c r="H1178" i="2" s="1"/>
  <c r="I1178" i="2"/>
  <c r="G985" i="2"/>
  <c r="J988" i="2"/>
  <c r="H988" i="2" s="1"/>
  <c r="F997" i="2"/>
  <c r="I997" i="2" s="1"/>
  <c r="G1019" i="2"/>
  <c r="J1022" i="2"/>
  <c r="H1022" i="2" s="1"/>
  <c r="F1030" i="2"/>
  <c r="I1030" i="2" s="1"/>
  <c r="F1035" i="2"/>
  <c r="K1035" i="2" s="1"/>
  <c r="F1041" i="2"/>
  <c r="J1041" i="2" s="1"/>
  <c r="H1041" i="2" s="1"/>
  <c r="F1045" i="2"/>
  <c r="K1045" i="2" s="1"/>
  <c r="F1082" i="2"/>
  <c r="J1082" i="2" s="1"/>
  <c r="H1082" i="2" s="1"/>
  <c r="K1087" i="2"/>
  <c r="J1087" i="2"/>
  <c r="H1087" i="2" s="1"/>
  <c r="G1117" i="2"/>
  <c r="G1141" i="2"/>
  <c r="F1141" i="2"/>
  <c r="K1141" i="2" s="1"/>
  <c r="F1148" i="2"/>
  <c r="J1148" i="2" s="1"/>
  <c r="H1148" i="2" s="1"/>
  <c r="G1152" i="2"/>
  <c r="K1193" i="2"/>
  <c r="I1193" i="2"/>
  <c r="G1216" i="2"/>
  <c r="F1216" i="2"/>
  <c r="I1216" i="2" s="1"/>
  <c r="F1077" i="2"/>
  <c r="I1077" i="2" s="1"/>
  <c r="G1077" i="2"/>
  <c r="I1091" i="2"/>
  <c r="J1091" i="2"/>
  <c r="H1091" i="2" s="1"/>
  <c r="K1099" i="2"/>
  <c r="I1099" i="2"/>
  <c r="F1125" i="2"/>
  <c r="K1125" i="2" s="1"/>
  <c r="K1130" i="2"/>
  <c r="G1130" i="2"/>
  <c r="J1145" i="2"/>
  <c r="H1145" i="2" s="1"/>
  <c r="G1145" i="2"/>
  <c r="I1146" i="2"/>
  <c r="G1148" i="2"/>
  <c r="F1152" i="2"/>
  <c r="I1152" i="2" s="1"/>
  <c r="I985" i="2"/>
  <c r="I987" i="2"/>
  <c r="G988" i="2"/>
  <c r="I998" i="2"/>
  <c r="G1014" i="2"/>
  <c r="I1019" i="2"/>
  <c r="G1022" i="2"/>
  <c r="I1031" i="2"/>
  <c r="J1040" i="2"/>
  <c r="H1040" i="2" s="1"/>
  <c r="K1040" i="2"/>
  <c r="F1044" i="2"/>
  <c r="I1044" i="2" s="1"/>
  <c r="I1054" i="2"/>
  <c r="F1071" i="2"/>
  <c r="I1071" i="2" s="1"/>
  <c r="K1079" i="2"/>
  <c r="I1079" i="2"/>
  <c r="K1084" i="2"/>
  <c r="I1084" i="2"/>
  <c r="G1087" i="2"/>
  <c r="I1100" i="2"/>
  <c r="J1137" i="2"/>
  <c r="H1137" i="2" s="1"/>
  <c r="J1146" i="2"/>
  <c r="H1146" i="2" s="1"/>
  <c r="K1218" i="2"/>
  <c r="J1218" i="2"/>
  <c r="H1218" i="2" s="1"/>
  <c r="I1218" i="2"/>
  <c r="K982" i="2"/>
  <c r="J985" i="2"/>
  <c r="H985" i="2" s="1"/>
  <c r="I993" i="2"/>
  <c r="I1008" i="2"/>
  <c r="J1019" i="2"/>
  <c r="H1019" i="2" s="1"/>
  <c r="I1026" i="2"/>
  <c r="J1028" i="2"/>
  <c r="H1028" i="2" s="1"/>
  <c r="K1049" i="2"/>
  <c r="I1057" i="2"/>
  <c r="I1060" i="2"/>
  <c r="I1067" i="2"/>
  <c r="J1067" i="2"/>
  <c r="H1067" i="2" s="1"/>
  <c r="F1081" i="2"/>
  <c r="J1081" i="2" s="1"/>
  <c r="H1081" i="2" s="1"/>
  <c r="I1087" i="2"/>
  <c r="G1093" i="2"/>
  <c r="J1094" i="2"/>
  <c r="H1094" i="2" s="1"/>
  <c r="G1116" i="2"/>
  <c r="J1116" i="2"/>
  <c r="H1116" i="2" s="1"/>
  <c r="F1134" i="2"/>
  <c r="K1134" i="2" s="1"/>
  <c r="F1136" i="2"/>
  <c r="I1139" i="2"/>
  <c r="G1207" i="2"/>
  <c r="F1207" i="2"/>
  <c r="I1207" i="2" s="1"/>
  <c r="G1287" i="2"/>
  <c r="F1287" i="2"/>
  <c r="I1287" i="2" s="1"/>
  <c r="I1142" i="2"/>
  <c r="I1124" i="2"/>
  <c r="J1124" i="2"/>
  <c r="H1124" i="2" s="1"/>
  <c r="G1124" i="2"/>
  <c r="F1131" i="2"/>
  <c r="I1131" i="2" s="1"/>
  <c r="F1157" i="2"/>
  <c r="I1157" i="2" s="1"/>
  <c r="G1165" i="2"/>
  <c r="F1165" i="2"/>
  <c r="J1165" i="2" s="1"/>
  <c r="H1165" i="2" s="1"/>
  <c r="G1185" i="2"/>
  <c r="F1185" i="2"/>
  <c r="J1185" i="2" s="1"/>
  <c r="H1185" i="2" s="1"/>
  <c r="G1189" i="2"/>
  <c r="F1189" i="2"/>
  <c r="J1189" i="2" s="1"/>
  <c r="H1189" i="2" s="1"/>
  <c r="K1243" i="2"/>
  <c r="J1243" i="2"/>
  <c r="H1243" i="2" s="1"/>
  <c r="I1243" i="2"/>
  <c r="I1137" i="2"/>
  <c r="I1150" i="2"/>
  <c r="I1160" i="2"/>
  <c r="J1162" i="2"/>
  <c r="H1162" i="2" s="1"/>
  <c r="K1171" i="2"/>
  <c r="G1173" i="2"/>
  <c r="G1178" i="2"/>
  <c r="K1183" i="2"/>
  <c r="K1192" i="2"/>
  <c r="G1193" i="2"/>
  <c r="G1197" i="2"/>
  <c r="I1201" i="2"/>
  <c r="J1203" i="2"/>
  <c r="H1203" i="2" s="1"/>
  <c r="K1203" i="2"/>
  <c r="J1210" i="2"/>
  <c r="H1210" i="2" s="1"/>
  <c r="G1210" i="2"/>
  <c r="J1222" i="2"/>
  <c r="H1222" i="2" s="1"/>
  <c r="G1241" i="2"/>
  <c r="F1241" i="2"/>
  <c r="K1241" i="2" s="1"/>
  <c r="J1246" i="2"/>
  <c r="H1246" i="2" s="1"/>
  <c r="I1246" i="2"/>
  <c r="G1259" i="2"/>
  <c r="F1259" i="2"/>
  <c r="K1259" i="2" s="1"/>
  <c r="G1277" i="2"/>
  <c r="F1277" i="2"/>
  <c r="I1277" i="2" s="1"/>
  <c r="G1223" i="2"/>
  <c r="F1223" i="2"/>
  <c r="I1223" i="2" s="1"/>
  <c r="G1239" i="2"/>
  <c r="F1239" i="2"/>
  <c r="G1251" i="2"/>
  <c r="F1251" i="2"/>
  <c r="K1251" i="2" s="1"/>
  <c r="F1254" i="2"/>
  <c r="J1254" i="2" s="1"/>
  <c r="H1254" i="2" s="1"/>
  <c r="F1272" i="2"/>
  <c r="I1272" i="2" s="1"/>
  <c r="J1282" i="2"/>
  <c r="H1282" i="2" s="1"/>
  <c r="I1282" i="2"/>
  <c r="K1285" i="2"/>
  <c r="J1285" i="2"/>
  <c r="H1285" i="2" s="1"/>
  <c r="G1291" i="2"/>
  <c r="F1291" i="2"/>
  <c r="K1291" i="2" s="1"/>
  <c r="F1184" i="2"/>
  <c r="K1184" i="2" s="1"/>
  <c r="G1188" i="2"/>
  <c r="K1249" i="2"/>
  <c r="J1249" i="2"/>
  <c r="H1249" i="2" s="1"/>
  <c r="G1254" i="2"/>
  <c r="G1257" i="2"/>
  <c r="F1257" i="2"/>
  <c r="J1257" i="2" s="1"/>
  <c r="H1257" i="2" s="1"/>
  <c r="G1260" i="2"/>
  <c r="G1270" i="2"/>
  <c r="F1270" i="2"/>
  <c r="G1272" i="2"/>
  <c r="K1275" i="2"/>
  <c r="J1275" i="2"/>
  <c r="H1275" i="2" s="1"/>
  <c r="I1275" i="2"/>
  <c r="G1325" i="2"/>
  <c r="F1325" i="2"/>
  <c r="J1325" i="2" s="1"/>
  <c r="H1325" i="2" s="1"/>
  <c r="I1330" i="2"/>
  <c r="K1330" i="2"/>
  <c r="J1330" i="2"/>
  <c r="H1330" i="2" s="1"/>
  <c r="F1341" i="2"/>
  <c r="J1341" i="2" s="1"/>
  <c r="H1341" i="2" s="1"/>
  <c r="G1341" i="2"/>
  <c r="G1347" i="2"/>
  <c r="F1347" i="2"/>
  <c r="K1347" i="2" s="1"/>
  <c r="K1054" i="2"/>
  <c r="I1059" i="2"/>
  <c r="I1073" i="2"/>
  <c r="I1097" i="2"/>
  <c r="I1143" i="2"/>
  <c r="F1168" i="2"/>
  <c r="G1176" i="2"/>
  <c r="I1177" i="2"/>
  <c r="I1181" i="2"/>
  <c r="G1184" i="2"/>
  <c r="F1195" i="2"/>
  <c r="K1195" i="2" s="1"/>
  <c r="I1196" i="2"/>
  <c r="F1199" i="2"/>
  <c r="I1200" i="2"/>
  <c r="I1202" i="2"/>
  <c r="G1206" i="2"/>
  <c r="I1210" i="2"/>
  <c r="F1212" i="2"/>
  <c r="I1212" i="2" s="1"/>
  <c r="F1215" i="2"/>
  <c r="I1215" i="2" s="1"/>
  <c r="G1221" i="2"/>
  <c r="F1221" i="2"/>
  <c r="I1221" i="2" s="1"/>
  <c r="K1224" i="2"/>
  <c r="J1224" i="2"/>
  <c r="H1224" i="2" s="1"/>
  <c r="G1224" i="2"/>
  <c r="I1224" i="2"/>
  <c r="K1246" i="2"/>
  <c r="F1260" i="2"/>
  <c r="J1260" i="2" s="1"/>
  <c r="H1260" i="2" s="1"/>
  <c r="K1282" i="2"/>
  <c r="G1285" i="2"/>
  <c r="G1168" i="2"/>
  <c r="I1180" i="2"/>
  <c r="I1188" i="2"/>
  <c r="G1199" i="2"/>
  <c r="I1206" i="2"/>
  <c r="G1212" i="2"/>
  <c r="G1215" i="2"/>
  <c r="G1264" i="2"/>
  <c r="F1264" i="2"/>
  <c r="G1283" i="2"/>
  <c r="F1283" i="2"/>
  <c r="I1283" i="2" s="1"/>
  <c r="K1354" i="2"/>
  <c r="J1354" i="2"/>
  <c r="H1354" i="2" s="1"/>
  <c r="I1118" i="2"/>
  <c r="K1126" i="2"/>
  <c r="F1174" i="2"/>
  <c r="I1174" i="2" s="1"/>
  <c r="I1176" i="2"/>
  <c r="K1177" i="2"/>
  <c r="J1180" i="2"/>
  <c r="H1180" i="2" s="1"/>
  <c r="K1186" i="2"/>
  <c r="J1188" i="2"/>
  <c r="H1188" i="2" s="1"/>
  <c r="J1192" i="2"/>
  <c r="H1192" i="2" s="1"/>
  <c r="F1198" i="2"/>
  <c r="K1198" i="2" s="1"/>
  <c r="K1200" i="2"/>
  <c r="J1206" i="2"/>
  <c r="H1206" i="2" s="1"/>
  <c r="F1208" i="2"/>
  <c r="J1208" i="2" s="1"/>
  <c r="H1208" i="2" s="1"/>
  <c r="K1211" i="2"/>
  <c r="I1211" i="2"/>
  <c r="K1236" i="2"/>
  <c r="J1236" i="2"/>
  <c r="H1236" i="2" s="1"/>
  <c r="G1276" i="2"/>
  <c r="F1276" i="2"/>
  <c r="K1276" i="2" s="1"/>
  <c r="I1352" i="2"/>
  <c r="K1352" i="2"/>
  <c r="J1352" i="2"/>
  <c r="H1352" i="2" s="1"/>
  <c r="K1173" i="2"/>
  <c r="J1176" i="2"/>
  <c r="H1176" i="2" s="1"/>
  <c r="K1188" i="2"/>
  <c r="I1197" i="2"/>
  <c r="G1198" i="2"/>
  <c r="K1206" i="2"/>
  <c r="G1233" i="2"/>
  <c r="F1233" i="2"/>
  <c r="I1233" i="2" s="1"/>
  <c r="I1245" i="2"/>
  <c r="K1245" i="2"/>
  <c r="J1245" i="2"/>
  <c r="G1290" i="2"/>
  <c r="F1290" i="2"/>
  <c r="J1290" i="2" s="1"/>
  <c r="H1290" i="2" s="1"/>
  <c r="G1220" i="2"/>
  <c r="F1220" i="2"/>
  <c r="I1220" i="2" s="1"/>
  <c r="G1232" i="2"/>
  <c r="F1232" i="2"/>
  <c r="I1232" i="2" s="1"/>
  <c r="G1238" i="2"/>
  <c r="F1238" i="2"/>
  <c r="G1256" i="2"/>
  <c r="F1256" i="2"/>
  <c r="I1256" i="2" s="1"/>
  <c r="K1284" i="2"/>
  <c r="J1284" i="2"/>
  <c r="H1284" i="2" s="1"/>
  <c r="I1284" i="2"/>
  <c r="J1308" i="2"/>
  <c r="H1308" i="2" s="1"/>
  <c r="K1308" i="2"/>
  <c r="J1344" i="2"/>
  <c r="H1344" i="2" s="1"/>
  <c r="F1355" i="2"/>
  <c r="K1355" i="2" s="1"/>
  <c r="K1225" i="2"/>
  <c r="I1227" i="2"/>
  <c r="I1242" i="2"/>
  <c r="I1248" i="2"/>
  <c r="F1253" i="2"/>
  <c r="K1261" i="2"/>
  <c r="I1263" i="2"/>
  <c r="K1267" i="2"/>
  <c r="I1269" i="2"/>
  <c r="G1281" i="2"/>
  <c r="K1281" i="2"/>
  <c r="I1289" i="2"/>
  <c r="J1295" i="2"/>
  <c r="H1295" i="2" s="1"/>
  <c r="K1295" i="2"/>
  <c r="I1295" i="2"/>
  <c r="I1301" i="2"/>
  <c r="J1304" i="2"/>
  <c r="H1304" i="2" s="1"/>
  <c r="I1304" i="2"/>
  <c r="G1306" i="2"/>
  <c r="F1306" i="2"/>
  <c r="K1312" i="2"/>
  <c r="I1312" i="2"/>
  <c r="G1335" i="2"/>
  <c r="F1335" i="2"/>
  <c r="I1222" i="2"/>
  <c r="G1244" i="2"/>
  <c r="F1244" i="2"/>
  <c r="G1250" i="2"/>
  <c r="F1250" i="2"/>
  <c r="G1253" i="2"/>
  <c r="I1258" i="2"/>
  <c r="K1273" i="2"/>
  <c r="J1273" i="2"/>
  <c r="H1273" i="2" s="1"/>
  <c r="G1314" i="2"/>
  <c r="F1314" i="2"/>
  <c r="I1314" i="2" s="1"/>
  <c r="G1326" i="2"/>
  <c r="F1326" i="2"/>
  <c r="I1326" i="2" s="1"/>
  <c r="F1328" i="2"/>
  <c r="J1328" i="2" s="1"/>
  <c r="H1328" i="2" s="1"/>
  <c r="G1328" i="2"/>
  <c r="F1337" i="2"/>
  <c r="G1337" i="2"/>
  <c r="F1339" i="2"/>
  <c r="K1339" i="2" s="1"/>
  <c r="F1356" i="2"/>
  <c r="J1356" i="2" s="1"/>
  <c r="H1356" i="2" s="1"/>
  <c r="G1351" i="2"/>
  <c r="F1351" i="2"/>
  <c r="K1351" i="2" s="1"/>
  <c r="F1333" i="2"/>
  <c r="J1333" i="2" s="1"/>
  <c r="H1333" i="2" s="1"/>
  <c r="G1294" i="2"/>
  <c r="J1301" i="2"/>
  <c r="H1301" i="2" s="1"/>
  <c r="K1303" i="2"/>
  <c r="G1303" i="2"/>
  <c r="K1304" i="2"/>
  <c r="F1307" i="2"/>
  <c r="K1313" i="2"/>
  <c r="I1319" i="2"/>
  <c r="K1319" i="2"/>
  <c r="J1319" i="2"/>
  <c r="H1319" i="2" s="1"/>
  <c r="G1319" i="2"/>
  <c r="G1333" i="2"/>
  <c r="G1364" i="2"/>
  <c r="F1364" i="2"/>
  <c r="J1364" i="2" s="1"/>
  <c r="H1364" i="2" s="1"/>
  <c r="I1209" i="2"/>
  <c r="F1294" i="2"/>
  <c r="F1297" i="2"/>
  <c r="J1297" i="2" s="1"/>
  <c r="H1297" i="2" s="1"/>
  <c r="K1301" i="2"/>
  <c r="F1315" i="2"/>
  <c r="J1315" i="2" s="1"/>
  <c r="H1315" i="2" s="1"/>
  <c r="K1317" i="2"/>
  <c r="J1321" i="2"/>
  <c r="H1321" i="2" s="1"/>
  <c r="G1344" i="2"/>
  <c r="G1354" i="2"/>
  <c r="I1354" i="2"/>
  <c r="K1391" i="2"/>
  <c r="J1391" i="2"/>
  <c r="H1391" i="2" s="1"/>
  <c r="G1421" i="2"/>
  <c r="F1421" i="2"/>
  <c r="I1421" i="2" s="1"/>
  <c r="J1302" i="2"/>
  <c r="H1302" i="2" s="1"/>
  <c r="G1338" i="2"/>
  <c r="J1338" i="2"/>
  <c r="H1338" i="2" s="1"/>
  <c r="J1343" i="2"/>
  <c r="H1343" i="2" s="1"/>
  <c r="G1343" i="2"/>
  <c r="K1343" i="2"/>
  <c r="J1349" i="2"/>
  <c r="H1349" i="2" s="1"/>
  <c r="G1349" i="2"/>
  <c r="I1362" i="2"/>
  <c r="G1362" i="2"/>
  <c r="G1376" i="2"/>
  <c r="F1376" i="2"/>
  <c r="J1289" i="2"/>
  <c r="H1289" i="2" s="1"/>
  <c r="I1313" i="2"/>
  <c r="F1360" i="2"/>
  <c r="I1360" i="2" s="1"/>
  <c r="K1410" i="2"/>
  <c r="I1410" i="2"/>
  <c r="K1377" i="2"/>
  <c r="J1410" i="2"/>
  <c r="H1410" i="2" s="1"/>
  <c r="F1322" i="2"/>
  <c r="F1331" i="2"/>
  <c r="J1331" i="2" s="1"/>
  <c r="H1331" i="2" s="1"/>
  <c r="K1344" i="2"/>
  <c r="I1344" i="2"/>
  <c r="G1346" i="2"/>
  <c r="F1346" i="2"/>
  <c r="F1350" i="2"/>
  <c r="F1368" i="2"/>
  <c r="J1368" i="2" s="1"/>
  <c r="H1368" i="2" s="1"/>
  <c r="G1417" i="2"/>
  <c r="F1481" i="2"/>
  <c r="G1481" i="2"/>
  <c r="G1486" i="2"/>
  <c r="F1486" i="2"/>
  <c r="I1486" i="2" s="1"/>
  <c r="F1348" i="2"/>
  <c r="J1348" i="2" s="1"/>
  <c r="H1348" i="2" s="1"/>
  <c r="G1353" i="2"/>
  <c r="G1368" i="2"/>
  <c r="F1370" i="2"/>
  <c r="K1370" i="2" s="1"/>
  <c r="K1395" i="2"/>
  <c r="G1395" i="2"/>
  <c r="F1417" i="2"/>
  <c r="J1417" i="2" s="1"/>
  <c r="H1417" i="2" s="1"/>
  <c r="G1482" i="2"/>
  <c r="F1482" i="2"/>
  <c r="G1487" i="2"/>
  <c r="F1487" i="2"/>
  <c r="I1487" i="2" s="1"/>
  <c r="G1413" i="2"/>
  <c r="F1413" i="2"/>
  <c r="K1413" i="2" s="1"/>
  <c r="G1448" i="2"/>
  <c r="F1448" i="2"/>
  <c r="I1448" i="2" s="1"/>
  <c r="G1479" i="2"/>
  <c r="F1479" i="2"/>
  <c r="J1374" i="2"/>
  <c r="H1374" i="2" s="1"/>
  <c r="G1378" i="2"/>
  <c r="F1383" i="2"/>
  <c r="J1383" i="2" s="1"/>
  <c r="H1383" i="2" s="1"/>
  <c r="J1386" i="2"/>
  <c r="H1386" i="2" s="1"/>
  <c r="F1499" i="2"/>
  <c r="I1499" i="2" s="1"/>
  <c r="G1499" i="2"/>
  <c r="G1373" i="2"/>
  <c r="K1374" i="2"/>
  <c r="F1378" i="2"/>
  <c r="I1378" i="2" s="1"/>
  <c r="G1383" i="2"/>
  <c r="G1385" i="2"/>
  <c r="K1386" i="2"/>
  <c r="I1395" i="2"/>
  <c r="F1399" i="2"/>
  <c r="J1399" i="2" s="1"/>
  <c r="H1399" i="2" s="1"/>
  <c r="K1402" i="2"/>
  <c r="G1404" i="2"/>
  <c r="G1406" i="2"/>
  <c r="G1408" i="2"/>
  <c r="K1426" i="2"/>
  <c r="F1435" i="2"/>
  <c r="J1435" i="2" s="1"/>
  <c r="H1435" i="2" s="1"/>
  <c r="J1438" i="2"/>
  <c r="H1438" i="2" s="1"/>
  <c r="I1463" i="2"/>
  <c r="K1463" i="2"/>
  <c r="J1463" i="2"/>
  <c r="H1463" i="2" s="1"/>
  <c r="G1500" i="2"/>
  <c r="F1500" i="2"/>
  <c r="I1500" i="2" s="1"/>
  <c r="K1353" i="2"/>
  <c r="F1363" i="2"/>
  <c r="K1363" i="2" s="1"/>
  <c r="F1366" i="2"/>
  <c r="I1366" i="2" s="1"/>
  <c r="F1373" i="2"/>
  <c r="K1373" i="2" s="1"/>
  <c r="I1380" i="2"/>
  <c r="F1385" i="2"/>
  <c r="K1385" i="2" s="1"/>
  <c r="J1395" i="2"/>
  <c r="H1395" i="2" s="1"/>
  <c r="G1399" i="2"/>
  <c r="I1404" i="2"/>
  <c r="F1406" i="2"/>
  <c r="K1406" i="2" s="1"/>
  <c r="F1408" i="2"/>
  <c r="K1414" i="2"/>
  <c r="I1414" i="2"/>
  <c r="I1432" i="2"/>
  <c r="G1435" i="2"/>
  <c r="F1441" i="2"/>
  <c r="I1441" i="2" s="1"/>
  <c r="G1441" i="2"/>
  <c r="G1467" i="2"/>
  <c r="F1467" i="2"/>
  <c r="J1467" i="2" s="1"/>
  <c r="H1467" i="2" s="1"/>
  <c r="J1483" i="2"/>
  <c r="H1483" i="2" s="1"/>
  <c r="K1619" i="2"/>
  <c r="J1619" i="2"/>
  <c r="H1619" i="2" s="1"/>
  <c r="I1619" i="2"/>
  <c r="G1389" i="2"/>
  <c r="F1389" i="2"/>
  <c r="J1389" i="2" s="1"/>
  <c r="H1389" i="2" s="1"/>
  <c r="J1404" i="2"/>
  <c r="H1404" i="2" s="1"/>
  <c r="G1425" i="2"/>
  <c r="F1425" i="2"/>
  <c r="G1433" i="2"/>
  <c r="F1433" i="2"/>
  <c r="I1433" i="2" s="1"/>
  <c r="G1503" i="2"/>
  <c r="F1503" i="2"/>
  <c r="G1538" i="2"/>
  <c r="F1538" i="2"/>
  <c r="K1538" i="2" s="1"/>
  <c r="G1443" i="2"/>
  <c r="F1443" i="2"/>
  <c r="I1443" i="2" s="1"/>
  <c r="J1445" i="2"/>
  <c r="H1445" i="2" s="1"/>
  <c r="I1445" i="2"/>
  <c r="G1474" i="2"/>
  <c r="F1474" i="2"/>
  <c r="K1474" i="2" s="1"/>
  <c r="J1516" i="2"/>
  <c r="H1516" i="2" s="1"/>
  <c r="I1516" i="2"/>
  <c r="G1531" i="2"/>
  <c r="F1531" i="2"/>
  <c r="K1531" i="2" s="1"/>
  <c r="F1547" i="2"/>
  <c r="I1547" i="2" s="1"/>
  <c r="G1547" i="2"/>
  <c r="J1575" i="2"/>
  <c r="H1575" i="2" s="1"/>
  <c r="I1575" i="2"/>
  <c r="G1609" i="2"/>
  <c r="F1609" i="2"/>
  <c r="K1609" i="2" s="1"/>
  <c r="G1626" i="2"/>
  <c r="F1626" i="2"/>
  <c r="I1626" i="2" s="1"/>
  <c r="J1377" i="2"/>
  <c r="H1377" i="2" s="1"/>
  <c r="J1394" i="2"/>
  <c r="H1394" i="2" s="1"/>
  <c r="I1396" i="2"/>
  <c r="I1407" i="2"/>
  <c r="I1419" i="2"/>
  <c r="J1426" i="2"/>
  <c r="H1426" i="2" s="1"/>
  <c r="F1428" i="2"/>
  <c r="I1428" i="2" s="1"/>
  <c r="J1437" i="2"/>
  <c r="H1437" i="2" s="1"/>
  <c r="G1452" i="2"/>
  <c r="F1452" i="2"/>
  <c r="I1452" i="2" s="1"/>
  <c r="G1465" i="2"/>
  <c r="G1471" i="2"/>
  <c r="F1473" i="2"/>
  <c r="K1476" i="2"/>
  <c r="G1478" i="2"/>
  <c r="F1478" i="2"/>
  <c r="J1478" i="2" s="1"/>
  <c r="H1478" i="2" s="1"/>
  <c r="K1509" i="2"/>
  <c r="J1509" i="2"/>
  <c r="H1509" i="2" s="1"/>
  <c r="J1528" i="2"/>
  <c r="H1528" i="2" s="1"/>
  <c r="I1528" i="2"/>
  <c r="F1560" i="2"/>
  <c r="J1560" i="2" s="1"/>
  <c r="H1560" i="2" s="1"/>
  <c r="G1560" i="2"/>
  <c r="J1589" i="2"/>
  <c r="H1589" i="2" s="1"/>
  <c r="I1589" i="2"/>
  <c r="G1621" i="2"/>
  <c r="F1621" i="2"/>
  <c r="K1621" i="2" s="1"/>
  <c r="G1628" i="2"/>
  <c r="F1628" i="2"/>
  <c r="I1628" i="2" s="1"/>
  <c r="K1437" i="2"/>
  <c r="F1439" i="2"/>
  <c r="I1439" i="2" s="1"/>
  <c r="F1454" i="2"/>
  <c r="K1460" i="2"/>
  <c r="J1460" i="2"/>
  <c r="H1460" i="2" s="1"/>
  <c r="I1460" i="2"/>
  <c r="K1462" i="2"/>
  <c r="F1465" i="2"/>
  <c r="F1471" i="2"/>
  <c r="G1473" i="2"/>
  <c r="K1491" i="2"/>
  <c r="G1517" i="2"/>
  <c r="F1517" i="2"/>
  <c r="K1517" i="2" s="1"/>
  <c r="I1532" i="2"/>
  <c r="K1580" i="2"/>
  <c r="J1580" i="2"/>
  <c r="H1580" i="2" s="1"/>
  <c r="I1580" i="2"/>
  <c r="G1580" i="2"/>
  <c r="K1615" i="2"/>
  <c r="F1659" i="2"/>
  <c r="I1659" i="2" s="1"/>
  <c r="G1659" i="2"/>
  <c r="I1438" i="2"/>
  <c r="G1458" i="2"/>
  <c r="F1458" i="2"/>
  <c r="K1483" i="2"/>
  <c r="J1484" i="2"/>
  <c r="H1484" i="2" s="1"/>
  <c r="F1494" i="2"/>
  <c r="J1504" i="2"/>
  <c r="H1504" i="2" s="1"/>
  <c r="I1504" i="2"/>
  <c r="G1510" i="2"/>
  <c r="F1510" i="2"/>
  <c r="J1510" i="2" s="1"/>
  <c r="H1510" i="2" s="1"/>
  <c r="G1529" i="2"/>
  <c r="F1529" i="2"/>
  <c r="K1532" i="2"/>
  <c r="J1532" i="2"/>
  <c r="H1532" i="2" s="1"/>
  <c r="G1594" i="2"/>
  <c r="J1615" i="2"/>
  <c r="H1615" i="2" s="1"/>
  <c r="I1615" i="2"/>
  <c r="F1594" i="2"/>
  <c r="J1594" i="2" s="1"/>
  <c r="H1594" i="2" s="1"/>
  <c r="G1599" i="2"/>
  <c r="F1599" i="2"/>
  <c r="K1599" i="2" s="1"/>
  <c r="G1438" i="2"/>
  <c r="G1453" i="2"/>
  <c r="G1489" i="2"/>
  <c r="G1502" i="2"/>
  <c r="F1502" i="2"/>
  <c r="K1502" i="2" s="1"/>
  <c r="K1504" i="2"/>
  <c r="G1508" i="2"/>
  <c r="G1520" i="2"/>
  <c r="G1533" i="2"/>
  <c r="F1533" i="2"/>
  <c r="K1533" i="2" s="1"/>
  <c r="G1556" i="2"/>
  <c r="F1556" i="2"/>
  <c r="K1556" i="2" s="1"/>
  <c r="G1571" i="2"/>
  <c r="F1571" i="2"/>
  <c r="G1605" i="2"/>
  <c r="F1605" i="2"/>
  <c r="I1605" i="2" s="1"/>
  <c r="F1372" i="2"/>
  <c r="J1372" i="2" s="1"/>
  <c r="H1372" i="2" s="1"/>
  <c r="K1375" i="2"/>
  <c r="K1387" i="2"/>
  <c r="K1394" i="2"/>
  <c r="I1400" i="2"/>
  <c r="F1405" i="2"/>
  <c r="J1405" i="2" s="1"/>
  <c r="H1405" i="2" s="1"/>
  <c r="K1407" i="2"/>
  <c r="K1419" i="2"/>
  <c r="F1422" i="2"/>
  <c r="J1422" i="2" s="1"/>
  <c r="H1422" i="2" s="1"/>
  <c r="K1424" i="2"/>
  <c r="F1453" i="2"/>
  <c r="I1453" i="2" s="1"/>
  <c r="K1461" i="2"/>
  <c r="J1461" i="2"/>
  <c r="H1461" i="2" s="1"/>
  <c r="G1461" i="2"/>
  <c r="G1470" i="2"/>
  <c r="F1470" i="2"/>
  <c r="K1470" i="2" s="1"/>
  <c r="F1489" i="2"/>
  <c r="I1489" i="2" s="1"/>
  <c r="K1496" i="2"/>
  <c r="F1508" i="2"/>
  <c r="J1508" i="2" s="1"/>
  <c r="H1508" i="2" s="1"/>
  <c r="F1520" i="2"/>
  <c r="K1520" i="2" s="1"/>
  <c r="G1527" i="2"/>
  <c r="F1527" i="2"/>
  <c r="I1527" i="2" s="1"/>
  <c r="F1638" i="2"/>
  <c r="K1638" i="2" s="1"/>
  <c r="G1638" i="2"/>
  <c r="K1655" i="2"/>
  <c r="J1519" i="2"/>
  <c r="H1519" i="2" s="1"/>
  <c r="I1523" i="2"/>
  <c r="G1570" i="2"/>
  <c r="F1570" i="2"/>
  <c r="K1570" i="2" s="1"/>
  <c r="J1637" i="2"/>
  <c r="H1637" i="2" s="1"/>
  <c r="I1637" i="2"/>
  <c r="J1658" i="2"/>
  <c r="H1658" i="2" s="1"/>
  <c r="I1658" i="2"/>
  <c r="G1664" i="2"/>
  <c r="F1664" i="2"/>
  <c r="I1664" i="2" s="1"/>
  <c r="G1699" i="2"/>
  <c r="K1699" i="2"/>
  <c r="J1699" i="2"/>
  <c r="H1699" i="2" s="1"/>
  <c r="I1699" i="2"/>
  <c r="K1702" i="2"/>
  <c r="J1702" i="2"/>
  <c r="H1702" i="2" s="1"/>
  <c r="I1702" i="2"/>
  <c r="I1769" i="2"/>
  <c r="I1509" i="2"/>
  <c r="K1516" i="2"/>
  <c r="F1521" i="2"/>
  <c r="K1521" i="2" s="1"/>
  <c r="K1528" i="2"/>
  <c r="G1536" i="2"/>
  <c r="J1543" i="2"/>
  <c r="H1543" i="2" s="1"/>
  <c r="G1543" i="2"/>
  <c r="J1545" i="2"/>
  <c r="H1545" i="2" s="1"/>
  <c r="I1545" i="2"/>
  <c r="J1551" i="2"/>
  <c r="H1551" i="2" s="1"/>
  <c r="G1551" i="2"/>
  <c r="K1553" i="2"/>
  <c r="J1558" i="2"/>
  <c r="H1558" i="2" s="1"/>
  <c r="I1558" i="2"/>
  <c r="F1564" i="2"/>
  <c r="J1564" i="2" s="1"/>
  <c r="H1564" i="2" s="1"/>
  <c r="K1566" i="2"/>
  <c r="K1573" i="2"/>
  <c r="J1573" i="2"/>
  <c r="H1573" i="2" s="1"/>
  <c r="I1573" i="2"/>
  <c r="K1582" i="2"/>
  <c r="K1601" i="2"/>
  <c r="J1601" i="2"/>
  <c r="H1601" i="2" s="1"/>
  <c r="I1601" i="2"/>
  <c r="F1625" i="2"/>
  <c r="K1625" i="2" s="1"/>
  <c r="K1642" i="2"/>
  <c r="J1642" i="2"/>
  <c r="H1642" i="2" s="1"/>
  <c r="I1642" i="2"/>
  <c r="K1646" i="2"/>
  <c r="J1646" i="2"/>
  <c r="H1646" i="2" s="1"/>
  <c r="I1646" i="2"/>
  <c r="K1523" i="2"/>
  <c r="J1536" i="2"/>
  <c r="H1536" i="2" s="1"/>
  <c r="F1540" i="2"/>
  <c r="K1540" i="2" s="1"/>
  <c r="K1543" i="2"/>
  <c r="I1548" i="2"/>
  <c r="K1551" i="2"/>
  <c r="I1561" i="2"/>
  <c r="G1578" i="2"/>
  <c r="F1578" i="2"/>
  <c r="I1578" i="2" s="1"/>
  <c r="G1592" i="2"/>
  <c r="F1592" i="2"/>
  <c r="K1592" i="2" s="1"/>
  <c r="I1596" i="2"/>
  <c r="J1622" i="2"/>
  <c r="H1622" i="2" s="1"/>
  <c r="K1622" i="2"/>
  <c r="I1622" i="2"/>
  <c r="G1657" i="2"/>
  <c r="F1657" i="2"/>
  <c r="I1472" i="2"/>
  <c r="I1480" i="2"/>
  <c r="K1536" i="2"/>
  <c r="G1540" i="2"/>
  <c r="G1542" i="2"/>
  <c r="F1542" i="2"/>
  <c r="K1544" i="2"/>
  <c r="I1544" i="2"/>
  <c r="K1545" i="2"/>
  <c r="J1548" i="2"/>
  <c r="H1548" i="2" s="1"/>
  <c r="G1550" i="2"/>
  <c r="F1550" i="2"/>
  <c r="I1550" i="2" s="1"/>
  <c r="K1558" i="2"/>
  <c r="J1561" i="2"/>
  <c r="H1561" i="2" s="1"/>
  <c r="F1565" i="2"/>
  <c r="K1565" i="2" s="1"/>
  <c r="K1574" i="2"/>
  <c r="K1581" i="2"/>
  <c r="J1581" i="2"/>
  <c r="H1581" i="2" s="1"/>
  <c r="I1581" i="2"/>
  <c r="K1588" i="2"/>
  <c r="F1602" i="2"/>
  <c r="J1602" i="2" s="1"/>
  <c r="H1602" i="2" s="1"/>
  <c r="F1629" i="2"/>
  <c r="K1629" i="2" s="1"/>
  <c r="G1653" i="2"/>
  <c r="F1653" i="2"/>
  <c r="K1653" i="2" s="1"/>
  <c r="G1673" i="2"/>
  <c r="K1684" i="2"/>
  <c r="J1684" i="2"/>
  <c r="H1684" i="2" s="1"/>
  <c r="I1684" i="2"/>
  <c r="G1688" i="2"/>
  <c r="G1712" i="2"/>
  <c r="F1712" i="2"/>
  <c r="K1712" i="2" s="1"/>
  <c r="F1511" i="2"/>
  <c r="J1511" i="2" s="1"/>
  <c r="H1511" i="2" s="1"/>
  <c r="J1522" i="2"/>
  <c r="H1522" i="2" s="1"/>
  <c r="F1534" i="2"/>
  <c r="K1534" i="2" s="1"/>
  <c r="K1546" i="2"/>
  <c r="K1557" i="2"/>
  <c r="I1557" i="2"/>
  <c r="K1559" i="2"/>
  <c r="F1567" i="2"/>
  <c r="K1572" i="2"/>
  <c r="J1572" i="2"/>
  <c r="H1572" i="2" s="1"/>
  <c r="I1572" i="2"/>
  <c r="J1600" i="2"/>
  <c r="H1600" i="2" s="1"/>
  <c r="I1600" i="2"/>
  <c r="G1600" i="2"/>
  <c r="G1602" i="2"/>
  <c r="K1618" i="2"/>
  <c r="J1618" i="2"/>
  <c r="H1618" i="2" s="1"/>
  <c r="I1618" i="2"/>
  <c r="G1649" i="2"/>
  <c r="F1649" i="2"/>
  <c r="J1666" i="2"/>
  <c r="H1666" i="2" s="1"/>
  <c r="I1666" i="2"/>
  <c r="F1668" i="2"/>
  <c r="J1668" i="2" s="1"/>
  <c r="H1668" i="2" s="1"/>
  <c r="F1673" i="2"/>
  <c r="J1673" i="2" s="1"/>
  <c r="H1673" i="2" s="1"/>
  <c r="F1688" i="2"/>
  <c r="K1688" i="2" s="1"/>
  <c r="G1775" i="2"/>
  <c r="F1775" i="2"/>
  <c r="K1775" i="2" s="1"/>
  <c r="K1539" i="2"/>
  <c r="J1579" i="2"/>
  <c r="H1579" i="2" s="1"/>
  <c r="I1579" i="2"/>
  <c r="G1579" i="2"/>
  <c r="J1586" i="2"/>
  <c r="H1586" i="2" s="1"/>
  <c r="I1586" i="2"/>
  <c r="G1586" i="2"/>
  <c r="J1593" i="2"/>
  <c r="H1593" i="2" s="1"/>
  <c r="I1593" i="2"/>
  <c r="G1593" i="2"/>
  <c r="K1630" i="2"/>
  <c r="G1633" i="2"/>
  <c r="F1633" i="2"/>
  <c r="K1633" i="2" s="1"/>
  <c r="J1641" i="2"/>
  <c r="H1641" i="2" s="1"/>
  <c r="K1641" i="2"/>
  <c r="I1641" i="2"/>
  <c r="G1641" i="2"/>
  <c r="G1645" i="2"/>
  <c r="F1645" i="2"/>
  <c r="K1645" i="2" s="1"/>
  <c r="I1654" i="2"/>
  <c r="K1654" i="2"/>
  <c r="J1654" i="2"/>
  <c r="H1654" i="2" s="1"/>
  <c r="K1661" i="2"/>
  <c r="J1661" i="2"/>
  <c r="H1661" i="2" s="1"/>
  <c r="I1661" i="2"/>
  <c r="F1732" i="2"/>
  <c r="I1732" i="2" s="1"/>
  <c r="G1732" i="2"/>
  <c r="I1772" i="2"/>
  <c r="K1772" i="2"/>
  <c r="J1772" i="2"/>
  <c r="H1772" i="2" s="1"/>
  <c r="F1725" i="2"/>
  <c r="I1725" i="2" s="1"/>
  <c r="J1539" i="2"/>
  <c r="H1539" i="2" s="1"/>
  <c r="J1546" i="2"/>
  <c r="H1546" i="2" s="1"/>
  <c r="J1553" i="2"/>
  <c r="H1553" i="2" s="1"/>
  <c r="J1559" i="2"/>
  <c r="H1559" i="2" s="1"/>
  <c r="J1566" i="2"/>
  <c r="H1566" i="2" s="1"/>
  <c r="J1574" i="2"/>
  <c r="H1574" i="2" s="1"/>
  <c r="K1575" i="2"/>
  <c r="J1582" i="2"/>
  <c r="H1582" i="2" s="1"/>
  <c r="K1583" i="2"/>
  <c r="J1588" i="2"/>
  <c r="H1588" i="2" s="1"/>
  <c r="K1589" i="2"/>
  <c r="K1596" i="2"/>
  <c r="K1607" i="2"/>
  <c r="J1630" i="2"/>
  <c r="H1630" i="2" s="1"/>
  <c r="I1640" i="2"/>
  <c r="K1643" i="2"/>
  <c r="K1651" i="2"/>
  <c r="I1665" i="2"/>
  <c r="G1665" i="2"/>
  <c r="K1667" i="2"/>
  <c r="J1667" i="2"/>
  <c r="H1667" i="2" s="1"/>
  <c r="I1667" i="2"/>
  <c r="G1693" i="2"/>
  <c r="F1693" i="2"/>
  <c r="I1693" i="2" s="1"/>
  <c r="G1704" i="2"/>
  <c r="F1704" i="2"/>
  <c r="J1704" i="2" s="1"/>
  <c r="H1704" i="2" s="1"/>
  <c r="G1720" i="2"/>
  <c r="G1725" i="2"/>
  <c r="J1604" i="2"/>
  <c r="H1604" i="2" s="1"/>
  <c r="I1616" i="2"/>
  <c r="J1648" i="2"/>
  <c r="H1648" i="2" s="1"/>
  <c r="K1656" i="2"/>
  <c r="K1669" i="2"/>
  <c r="G1696" i="2"/>
  <c r="G1717" i="2"/>
  <c r="F1717" i="2"/>
  <c r="F1720" i="2"/>
  <c r="I1720" i="2" s="1"/>
  <c r="J1635" i="2"/>
  <c r="H1635" i="2" s="1"/>
  <c r="J1665" i="2"/>
  <c r="H1665" i="2" s="1"/>
  <c r="G1678" i="2"/>
  <c r="F1696" i="2"/>
  <c r="K1696" i="2" s="1"/>
  <c r="J1735" i="2"/>
  <c r="H1735" i="2" s="1"/>
  <c r="I1735" i="2"/>
  <c r="G1753" i="2"/>
  <c r="I1603" i="2"/>
  <c r="F1611" i="2"/>
  <c r="F1623" i="2"/>
  <c r="K1623" i="2" s="1"/>
  <c r="I1647" i="2"/>
  <c r="G1648" i="2"/>
  <c r="J1655" i="2"/>
  <c r="H1655" i="2" s="1"/>
  <c r="G1656" i="2"/>
  <c r="F1678" i="2"/>
  <c r="K1678" i="2" s="1"/>
  <c r="K1691" i="2"/>
  <c r="J1691" i="2"/>
  <c r="H1691" i="2" s="1"/>
  <c r="I1691" i="2"/>
  <c r="J1728" i="2"/>
  <c r="H1728" i="2" s="1"/>
  <c r="K1728" i="2"/>
  <c r="I1728" i="2"/>
  <c r="G1743" i="2"/>
  <c r="F1743" i="2"/>
  <c r="J1743" i="2" s="1"/>
  <c r="H1743" i="2" s="1"/>
  <c r="F1753" i="2"/>
  <c r="K1753" i="2" s="1"/>
  <c r="G1687" i="2"/>
  <c r="F1687" i="2"/>
  <c r="F1706" i="2"/>
  <c r="I1706" i="2" s="1"/>
  <c r="G1726" i="2"/>
  <c r="G1730" i="2"/>
  <c r="F1730" i="2"/>
  <c r="I1730" i="2" s="1"/>
  <c r="G1733" i="2"/>
  <c r="F1749" i="2"/>
  <c r="I1749" i="2" s="1"/>
  <c r="F1764" i="2"/>
  <c r="J1764" i="2" s="1"/>
  <c r="H1764" i="2" s="1"/>
  <c r="G1764" i="2"/>
  <c r="K1770" i="2"/>
  <c r="J1770" i="2"/>
  <c r="H1770" i="2" s="1"/>
  <c r="K1776" i="2"/>
  <c r="K1779" i="2"/>
  <c r="F1683" i="2"/>
  <c r="K1683" i="2" s="1"/>
  <c r="J1695" i="2"/>
  <c r="H1695" i="2" s="1"/>
  <c r="I1695" i="2"/>
  <c r="F1701" i="2"/>
  <c r="K1701" i="2" s="1"/>
  <c r="G1706" i="2"/>
  <c r="F1708" i="2"/>
  <c r="K1708" i="2" s="1"/>
  <c r="F1726" i="2"/>
  <c r="J1726" i="2" s="1"/>
  <c r="H1726" i="2" s="1"/>
  <c r="F1733" i="2"/>
  <c r="I1733" i="2" s="1"/>
  <c r="F1744" i="2"/>
  <c r="I1744" i="2" s="1"/>
  <c r="G1749" i="2"/>
  <c r="J1751" i="2"/>
  <c r="H1751" i="2" s="1"/>
  <c r="I1773" i="2"/>
  <c r="K1773" i="2"/>
  <c r="J1773" i="2"/>
  <c r="H1773" i="2" s="1"/>
  <c r="G1787" i="2"/>
  <c r="F1787" i="2"/>
  <c r="K1787" i="2" s="1"/>
  <c r="J1797" i="2"/>
  <c r="H1797" i="2" s="1"/>
  <c r="I1797" i="2"/>
  <c r="G1683" i="2"/>
  <c r="G1701" i="2"/>
  <c r="G1708" i="2"/>
  <c r="K1751" i="2"/>
  <c r="I1802" i="2"/>
  <c r="K1802" i="2"/>
  <c r="J1802" i="2"/>
  <c r="H1802" i="2" s="1"/>
  <c r="I1674" i="2"/>
  <c r="F1689" i="2"/>
  <c r="I1689" i="2" s="1"/>
  <c r="K1697" i="2"/>
  <c r="I1700" i="2"/>
  <c r="F1719" i="2"/>
  <c r="J1719" i="2" s="1"/>
  <c r="H1719" i="2" s="1"/>
  <c r="K1747" i="2"/>
  <c r="G1758" i="2"/>
  <c r="F1758" i="2"/>
  <c r="J1758" i="2" s="1"/>
  <c r="H1758" i="2" s="1"/>
  <c r="I1694" i="2"/>
  <c r="J1707" i="2"/>
  <c r="H1707" i="2" s="1"/>
  <c r="I1707" i="2"/>
  <c r="G1707" i="2"/>
  <c r="K1709" i="2"/>
  <c r="I1709" i="2"/>
  <c r="G1719" i="2"/>
  <c r="J1781" i="2"/>
  <c r="H1781" i="2" s="1"/>
  <c r="I1798" i="2"/>
  <c r="K1798" i="2"/>
  <c r="J1798" i="2"/>
  <c r="H1798" i="2" s="1"/>
  <c r="I1718" i="2"/>
  <c r="I1724" i="2"/>
  <c r="I1731" i="2"/>
  <c r="G1742" i="2"/>
  <c r="I1747" i="2"/>
  <c r="J1748" i="2"/>
  <c r="H1748" i="2" s="1"/>
  <c r="G1751" i="2"/>
  <c r="K1765" i="2"/>
  <c r="G1765" i="2"/>
  <c r="J1769" i="2"/>
  <c r="H1769" i="2" s="1"/>
  <c r="F1771" i="2"/>
  <c r="F1774" i="2"/>
  <c r="J1774" i="2" s="1"/>
  <c r="H1774" i="2" s="1"/>
  <c r="I1777" i="2"/>
  <c r="G1797" i="2"/>
  <c r="J1813" i="2"/>
  <c r="H1813" i="2" s="1"/>
  <c r="J1816" i="2"/>
  <c r="H1816" i="2" s="1"/>
  <c r="J1819" i="2"/>
  <c r="H1819" i="2" s="1"/>
  <c r="G1822" i="2"/>
  <c r="F1822" i="2"/>
  <c r="I1822" i="2" s="1"/>
  <c r="K1835" i="2"/>
  <c r="J1835" i="2"/>
  <c r="H1835" i="2" s="1"/>
  <c r="I1745" i="2"/>
  <c r="G1756" i="2"/>
  <c r="G1796" i="2"/>
  <c r="G1811" i="2"/>
  <c r="F1756" i="2"/>
  <c r="J1756" i="2" s="1"/>
  <c r="H1756" i="2" s="1"/>
  <c r="G1761" i="2"/>
  <c r="K1761" i="2"/>
  <c r="F1767" i="2"/>
  <c r="I1770" i="2"/>
  <c r="G1793" i="2"/>
  <c r="K1793" i="2"/>
  <c r="F1796" i="2"/>
  <c r="I1796" i="2" s="1"/>
  <c r="F1811" i="2"/>
  <c r="K1811" i="2" s="1"/>
  <c r="G1817" i="2"/>
  <c r="F1817" i="2"/>
  <c r="K1829" i="2"/>
  <c r="J1829" i="2"/>
  <c r="H1829" i="2" s="1"/>
  <c r="I1714" i="2"/>
  <c r="I1721" i="2"/>
  <c r="I1752" i="2"/>
  <c r="F1755" i="2"/>
  <c r="K1755" i="2" s="1"/>
  <c r="G1776" i="2"/>
  <c r="G1779" i="2"/>
  <c r="G1781" i="2"/>
  <c r="K1781" i="2"/>
  <c r="J1785" i="2"/>
  <c r="H1785" i="2" s="1"/>
  <c r="J1800" i="2"/>
  <c r="H1800" i="2" s="1"/>
  <c r="J1803" i="2"/>
  <c r="H1803" i="2" s="1"/>
  <c r="J1806" i="2"/>
  <c r="H1806" i="2" s="1"/>
  <c r="J1809" i="2"/>
  <c r="H1809" i="2" s="1"/>
  <c r="I1812" i="2"/>
  <c r="K1812" i="2"/>
  <c r="J1713" i="2"/>
  <c r="H1713" i="2" s="1"/>
  <c r="I1739" i="2"/>
  <c r="K1745" i="2"/>
  <c r="G1752" i="2"/>
  <c r="J1761" i="2"/>
  <c r="H1761" i="2" s="1"/>
  <c r="G1769" i="2"/>
  <c r="J1776" i="2"/>
  <c r="H1776" i="2" s="1"/>
  <c r="J1779" i="2"/>
  <c r="H1779" i="2" s="1"/>
  <c r="F1783" i="2"/>
  <c r="F1786" i="2"/>
  <c r="J1793" i="2"/>
  <c r="H1793" i="2" s="1"/>
  <c r="G1804" i="2"/>
  <c r="F1804" i="2"/>
  <c r="I1804" i="2" s="1"/>
  <c r="G1810" i="2"/>
  <c r="F1810" i="2"/>
  <c r="J1810" i="2" s="1"/>
  <c r="H1810" i="2" s="1"/>
  <c r="G1812" i="2"/>
  <c r="K1821" i="2"/>
  <c r="J1821" i="2"/>
  <c r="H1821" i="2" s="1"/>
  <c r="I1821" i="2"/>
  <c r="K1842" i="2"/>
  <c r="J1842" i="2"/>
  <c r="H1842" i="2" s="1"/>
  <c r="K1735" i="2"/>
  <c r="G1768" i="2"/>
  <c r="K1768" i="2"/>
  <c r="I1781" i="2"/>
  <c r="G1783" i="2"/>
  <c r="G1786" i="2"/>
  <c r="J1812" i="2"/>
  <c r="H1812" i="2" s="1"/>
  <c r="G1851" i="2"/>
  <c r="J1854" i="2"/>
  <c r="H1854" i="2" s="1"/>
  <c r="J1824" i="2"/>
  <c r="H1824" i="2" s="1"/>
  <c r="K1826" i="2"/>
  <c r="K1831" i="2"/>
  <c r="K1838" i="2"/>
  <c r="K1824" i="2"/>
  <c r="I1829" i="2"/>
  <c r="F1833" i="2"/>
  <c r="I1833" i="2" s="1"/>
  <c r="I1835" i="2"/>
  <c r="F1840" i="2"/>
  <c r="I1840" i="2" s="1"/>
  <c r="I1842" i="2"/>
  <c r="I1847" i="2"/>
  <c r="I1851" i="2"/>
  <c r="F1856" i="2"/>
  <c r="J1856" i="2" s="1"/>
  <c r="H1856" i="2" s="1"/>
  <c r="I1834" i="2"/>
  <c r="J1851" i="2"/>
  <c r="H1851" i="2" s="1"/>
  <c r="F1855" i="2"/>
  <c r="I1855" i="2" s="1"/>
  <c r="G1856" i="2"/>
  <c r="J1834" i="2"/>
  <c r="H1834" i="2" s="1"/>
  <c r="K1847" i="2"/>
  <c r="G1855" i="2"/>
  <c r="F1837" i="2"/>
  <c r="I1837" i="2" s="1"/>
  <c r="F1853" i="2"/>
  <c r="I1853" i="2" s="1"/>
  <c r="I1800" i="2"/>
  <c r="I1806" i="2"/>
  <c r="I1813" i="2"/>
  <c r="I1819" i="2"/>
  <c r="I1832" i="2"/>
  <c r="F1836" i="2"/>
  <c r="I1839" i="2"/>
  <c r="F1843" i="2"/>
  <c r="I1843" i="2" s="1"/>
  <c r="I1845" i="2"/>
  <c r="F1852" i="2"/>
  <c r="I1852" i="2" s="1"/>
  <c r="H1245" i="2" l="1"/>
  <c r="G1245" i="2"/>
  <c r="H1031" i="2"/>
  <c r="G1031" i="2"/>
  <c r="H633" i="2"/>
  <c r="J549" i="2"/>
  <c r="H549" i="2" s="1"/>
  <c r="I549" i="2"/>
  <c r="I1775" i="2"/>
  <c r="I1341" i="2"/>
  <c r="K1732" i="2"/>
  <c r="K280" i="2"/>
  <c r="J875" i="2"/>
  <c r="H875" i="2" s="1"/>
  <c r="I951" i="2"/>
  <c r="J1370" i="2"/>
  <c r="H1370" i="2" s="1"/>
  <c r="I1370" i="2"/>
  <c r="I1704" i="2"/>
  <c r="K1704" i="2"/>
  <c r="J1732" i="2"/>
  <c r="H1732" i="2" s="1"/>
  <c r="J681" i="2"/>
  <c r="H681" i="2" s="1"/>
  <c r="K1443" i="2"/>
  <c r="I297" i="2"/>
  <c r="J1633" i="2"/>
  <c r="H1633" i="2" s="1"/>
  <c r="K301" i="2"/>
  <c r="I154" i="2"/>
  <c r="I375" i="2"/>
  <c r="J1725" i="2"/>
  <c r="H1725" i="2" s="1"/>
  <c r="K1439" i="2"/>
  <c r="J464" i="2"/>
  <c r="H464" i="2" s="1"/>
  <c r="K1725" i="2"/>
  <c r="J1645" i="2"/>
  <c r="H1645" i="2" s="1"/>
  <c r="J1439" i="2"/>
  <c r="H1439" i="2" s="1"/>
  <c r="K1547" i="2"/>
  <c r="I1195" i="2"/>
  <c r="J1122" i="2"/>
  <c r="H1122" i="2" s="1"/>
  <c r="I232" i="2"/>
  <c r="I278" i="2"/>
  <c r="J1749" i="2"/>
  <c r="H1749" i="2" s="1"/>
  <c r="J1565" i="2"/>
  <c r="H1565" i="2" s="1"/>
  <c r="J1443" i="2"/>
  <c r="H1443" i="2" s="1"/>
  <c r="I419" i="2"/>
  <c r="K372" i="2"/>
  <c r="K1749" i="2"/>
  <c r="K1510" i="2"/>
  <c r="I1328" i="2"/>
  <c r="J419" i="2"/>
  <c r="H419" i="2" s="1"/>
  <c r="K471" i="2"/>
  <c r="I1753" i="2"/>
  <c r="K1117" i="2"/>
  <c r="K1157" i="2"/>
  <c r="I1113" i="2"/>
  <c r="J1066" i="2"/>
  <c r="H1066" i="2" s="1"/>
  <c r="J1103" i="2"/>
  <c r="H1103" i="2" s="1"/>
  <c r="I372" i="2"/>
  <c r="I141" i="2"/>
  <c r="I105" i="2"/>
  <c r="I1467" i="2"/>
  <c r="I1034" i="2"/>
  <c r="K1605" i="2"/>
  <c r="J1853" i="2"/>
  <c r="H1853" i="2" s="1"/>
  <c r="I1645" i="2"/>
  <c r="I1633" i="2"/>
  <c r="I1510" i="2"/>
  <c r="K1467" i="2"/>
  <c r="I1422" i="2"/>
  <c r="K1233" i="2"/>
  <c r="I1257" i="2"/>
  <c r="I1135" i="2"/>
  <c r="I958" i="2"/>
  <c r="I655" i="2"/>
  <c r="I868" i="2"/>
  <c r="J105" i="2"/>
  <c r="H105" i="2" s="1"/>
  <c r="J1135" i="2"/>
  <c r="H1135" i="2" s="1"/>
  <c r="K915" i="2"/>
  <c r="I1599" i="2"/>
  <c r="J1486" i="2"/>
  <c r="H1486" i="2" s="1"/>
  <c r="J1287" i="2"/>
  <c r="H1287" i="2" s="1"/>
  <c r="I935" i="2"/>
  <c r="I439" i="2"/>
  <c r="J56" i="2"/>
  <c r="H56" i="2" s="1"/>
  <c r="J104" i="2"/>
  <c r="H104" i="2" s="1"/>
  <c r="K273" i="2"/>
  <c r="I241" i="2"/>
  <c r="J68" i="2"/>
  <c r="H68" i="2" s="1"/>
  <c r="J1678" i="2"/>
  <c r="H1678" i="2" s="1"/>
  <c r="I1708" i="2"/>
  <c r="I1502" i="2"/>
  <c r="K1489" i="2"/>
  <c r="K1626" i="2"/>
  <c r="J1406" i="2"/>
  <c r="H1406" i="2" s="1"/>
  <c r="K1486" i="2"/>
  <c r="J1366" i="2"/>
  <c r="H1366" i="2" s="1"/>
  <c r="K1257" i="2"/>
  <c r="K1277" i="2"/>
  <c r="K1287" i="2"/>
  <c r="I1141" i="2"/>
  <c r="I965" i="2"/>
  <c r="K935" i="2"/>
  <c r="I458" i="2"/>
  <c r="J469" i="2"/>
  <c r="H469" i="2" s="1"/>
  <c r="I56" i="2"/>
  <c r="I119" i="2"/>
  <c r="J1556" i="2"/>
  <c r="H1556" i="2" s="1"/>
  <c r="I1406" i="2"/>
  <c r="K1221" i="2"/>
  <c r="K965" i="2"/>
  <c r="K741" i="2"/>
  <c r="J716" i="2"/>
  <c r="H716" i="2" s="1"/>
  <c r="J458" i="2"/>
  <c r="H458" i="2" s="1"/>
  <c r="J119" i="2"/>
  <c r="H119" i="2" s="1"/>
  <c r="I68" i="2"/>
  <c r="I1602" i="2"/>
  <c r="J1599" i="2"/>
  <c r="H1599" i="2" s="1"/>
  <c r="J1628" i="2"/>
  <c r="H1628" i="2" s="1"/>
  <c r="I989" i="2"/>
  <c r="I377" i="2"/>
  <c r="J376" i="2"/>
  <c r="H376" i="2" s="1"/>
  <c r="K1840" i="2"/>
  <c r="J1502" i="2"/>
  <c r="H1502" i="2" s="1"/>
  <c r="J1840" i="2"/>
  <c r="H1840" i="2" s="1"/>
  <c r="K1378" i="2"/>
  <c r="J1207" i="2"/>
  <c r="H1207" i="2" s="1"/>
  <c r="I1045" i="2"/>
  <c r="I1290" i="2"/>
  <c r="J1048" i="2"/>
  <c r="H1048" i="2" s="1"/>
  <c r="K355" i="2"/>
  <c r="J247" i="2"/>
  <c r="H247" i="2" s="1"/>
  <c r="J98" i="2"/>
  <c r="H98" i="2" s="1"/>
  <c r="J501" i="2"/>
  <c r="H501" i="2" s="1"/>
  <c r="K376" i="2"/>
  <c r="K1856" i="2"/>
  <c r="J1804" i="2"/>
  <c r="H1804" i="2" s="1"/>
  <c r="K1048" i="2"/>
  <c r="J835" i="2"/>
  <c r="H835" i="2" s="1"/>
  <c r="K601" i="2"/>
  <c r="J126" i="2"/>
  <c r="H126" i="2" s="1"/>
  <c r="K104" i="2"/>
  <c r="J1421" i="2"/>
  <c r="H1421" i="2" s="1"/>
  <c r="J1166" i="2"/>
  <c r="H1166" i="2" s="1"/>
  <c r="I708" i="2"/>
  <c r="I1315" i="2"/>
  <c r="K1216" i="2"/>
  <c r="J708" i="2"/>
  <c r="H708" i="2" s="1"/>
  <c r="K1325" i="2"/>
  <c r="J1216" i="2"/>
  <c r="H1216" i="2" s="1"/>
  <c r="I1787" i="2"/>
  <c r="J1272" i="2"/>
  <c r="H1272" i="2" s="1"/>
  <c r="K1843" i="2"/>
  <c r="J1822" i="2"/>
  <c r="H1822" i="2" s="1"/>
  <c r="K1730" i="2"/>
  <c r="J1787" i="2"/>
  <c r="H1787" i="2" s="1"/>
  <c r="K1693" i="2"/>
  <c r="K1804" i="2"/>
  <c r="I1653" i="2"/>
  <c r="I1478" i="2"/>
  <c r="J1487" i="2"/>
  <c r="H1487" i="2" s="1"/>
  <c r="I1363" i="2"/>
  <c r="K1315" i="2"/>
  <c r="K1290" i="2"/>
  <c r="J1198" i="2"/>
  <c r="H1198" i="2" s="1"/>
  <c r="J1291" i="2"/>
  <c r="H1291" i="2" s="1"/>
  <c r="I1254" i="2"/>
  <c r="I1259" i="2"/>
  <c r="I1165" i="2"/>
  <c r="K1148" i="2"/>
  <c r="J1045" i="2"/>
  <c r="H1045" i="2" s="1"/>
  <c r="K1113" i="2"/>
  <c r="K1122" i="2"/>
  <c r="K874" i="2"/>
  <c r="J989" i="2"/>
  <c r="H989" i="2" s="1"/>
  <c r="J958" i="2"/>
  <c r="H958" i="2" s="1"/>
  <c r="I894" i="2"/>
  <c r="K967" i="2"/>
  <c r="J676" i="2"/>
  <c r="H676" i="2" s="1"/>
  <c r="J868" i="2"/>
  <c r="H868" i="2" s="1"/>
  <c r="I310" i="2"/>
  <c r="I612" i="2"/>
  <c r="K375" i="2"/>
  <c r="K1822" i="2"/>
  <c r="J1696" i="2"/>
  <c r="H1696" i="2" s="1"/>
  <c r="J1720" i="2"/>
  <c r="H1720" i="2" s="1"/>
  <c r="J1653" i="2"/>
  <c r="H1653" i="2" s="1"/>
  <c r="K1478" i="2"/>
  <c r="K1487" i="2"/>
  <c r="I1291" i="2"/>
  <c r="J1223" i="2"/>
  <c r="H1223" i="2" s="1"/>
  <c r="J1259" i="2"/>
  <c r="H1259" i="2" s="1"/>
  <c r="K1165" i="2"/>
  <c r="J874" i="2"/>
  <c r="H874" i="2" s="1"/>
  <c r="K894" i="2"/>
  <c r="J689" i="2"/>
  <c r="H689" i="2" s="1"/>
  <c r="K919" i="2"/>
  <c r="J607" i="2"/>
  <c r="H607" i="2" s="1"/>
  <c r="I495" i="2"/>
  <c r="I616" i="2"/>
  <c r="I313" i="2"/>
  <c r="K612" i="2"/>
  <c r="I674" i="2"/>
  <c r="K1852" i="2"/>
  <c r="I1594" i="2"/>
  <c r="I828" i="2"/>
  <c r="I1755" i="2"/>
  <c r="I1810" i="2"/>
  <c r="K1758" i="2"/>
  <c r="K1564" i="2"/>
  <c r="K1594" i="2"/>
  <c r="J1547" i="2"/>
  <c r="H1547" i="2" s="1"/>
  <c r="J1378" i="2"/>
  <c r="H1378" i="2" s="1"/>
  <c r="K1366" i="2"/>
  <c r="K1421" i="2"/>
  <c r="I1351" i="2"/>
  <c r="J1195" i="2"/>
  <c r="H1195" i="2" s="1"/>
  <c r="J1251" i="2"/>
  <c r="H1251" i="2" s="1"/>
  <c r="I1082" i="2"/>
  <c r="J1155" i="2"/>
  <c r="H1155" i="2" s="1"/>
  <c r="I915" i="2"/>
  <c r="J639" i="2"/>
  <c r="H639" i="2" s="1"/>
  <c r="K951" i="2"/>
  <c r="J828" i="2"/>
  <c r="H828" i="2" s="1"/>
  <c r="J674" i="2"/>
  <c r="H674" i="2" s="1"/>
  <c r="J495" i="2"/>
  <c r="H495" i="2" s="1"/>
  <c r="K469" i="2"/>
  <c r="J601" i="2"/>
  <c r="H601" i="2" s="1"/>
  <c r="J355" i="2"/>
  <c r="H355" i="2" s="1"/>
  <c r="I537" i="2"/>
  <c r="I501" i="2"/>
  <c r="J301" i="2"/>
  <c r="H301" i="2" s="1"/>
  <c r="J1843" i="2"/>
  <c r="H1843" i="2" s="1"/>
  <c r="J1708" i="2"/>
  <c r="H1708" i="2" s="1"/>
  <c r="I1668" i="2"/>
  <c r="J1221" i="2"/>
  <c r="H1221" i="2" s="1"/>
  <c r="J1277" i="2"/>
  <c r="H1277" i="2" s="1"/>
  <c r="J1141" i="2"/>
  <c r="H1141" i="2" s="1"/>
  <c r="I1032" i="2"/>
  <c r="J967" i="2"/>
  <c r="H967" i="2" s="1"/>
  <c r="I1166" i="2"/>
  <c r="I1103" i="2"/>
  <c r="K875" i="2"/>
  <c r="I741" i="2"/>
  <c r="J771" i="2"/>
  <c r="H771" i="2" s="1"/>
  <c r="K570" i="2"/>
  <c r="K315" i="2"/>
  <c r="I315" i="2"/>
  <c r="J953" i="2"/>
  <c r="H953" i="2" s="1"/>
  <c r="I854" i="2"/>
  <c r="I332" i="2"/>
  <c r="J332" i="2"/>
  <c r="H332" i="2" s="1"/>
  <c r="I1717" i="2"/>
  <c r="K1717" i="2"/>
  <c r="J1717" i="2"/>
  <c r="H1717" i="2" s="1"/>
  <c r="J1482" i="2"/>
  <c r="H1482" i="2" s="1"/>
  <c r="K1482" i="2"/>
  <c r="K1239" i="2"/>
  <c r="J1239" i="2"/>
  <c r="H1239" i="2" s="1"/>
  <c r="J675" i="2"/>
  <c r="H675" i="2" s="1"/>
  <c r="I675" i="2"/>
  <c r="K636" i="2"/>
  <c r="I636" i="2"/>
  <c r="K618" i="2"/>
  <c r="J618" i="2"/>
  <c r="H618" i="2" s="1"/>
  <c r="I618" i="2"/>
  <c r="I370" i="2"/>
  <c r="J370" i="2"/>
  <c r="H370" i="2" s="1"/>
  <c r="I1856" i="2"/>
  <c r="J1744" i="2"/>
  <c r="H1744" i="2" s="1"/>
  <c r="K1687" i="2"/>
  <c r="J1687" i="2"/>
  <c r="H1687" i="2" s="1"/>
  <c r="I1687" i="2"/>
  <c r="J1592" i="2"/>
  <c r="H1592" i="2" s="1"/>
  <c r="I1657" i="2"/>
  <c r="K1657" i="2"/>
  <c r="I1571" i="2"/>
  <c r="J1571" i="2"/>
  <c r="H1571" i="2" s="1"/>
  <c r="K1454" i="2"/>
  <c r="J1454" i="2"/>
  <c r="H1454" i="2" s="1"/>
  <c r="I1531" i="2"/>
  <c r="I1503" i="2"/>
  <c r="K1503" i="2"/>
  <c r="J1413" i="2"/>
  <c r="H1413" i="2" s="1"/>
  <c r="I1413" i="2"/>
  <c r="I1253" i="2"/>
  <c r="K1253" i="2"/>
  <c r="J1253" i="2"/>
  <c r="H1253" i="2" s="1"/>
  <c r="J1199" i="2"/>
  <c r="H1199" i="2" s="1"/>
  <c r="K1199" i="2"/>
  <c r="J999" i="2"/>
  <c r="H999" i="2" s="1"/>
  <c r="I999" i="2"/>
  <c r="I653" i="2"/>
  <c r="I667" i="2"/>
  <c r="I776" i="2"/>
  <c r="J776" i="2"/>
  <c r="H776" i="2" s="1"/>
  <c r="I591" i="2"/>
  <c r="J591" i="2"/>
  <c r="H591" i="2" s="1"/>
  <c r="K591" i="2"/>
  <c r="I594" i="2"/>
  <c r="I800" i="2"/>
  <c r="K800" i="2"/>
  <c r="J1473" i="2"/>
  <c r="H1473" i="2" s="1"/>
  <c r="K1473" i="2"/>
  <c r="I1473" i="2"/>
  <c r="J1481" i="2"/>
  <c r="H1481" i="2" s="1"/>
  <c r="K1481" i="2"/>
  <c r="I1481" i="2"/>
  <c r="J1168" i="2"/>
  <c r="H1168" i="2" s="1"/>
  <c r="I1168" i="2"/>
  <c r="I561" i="2"/>
  <c r="K561" i="2"/>
  <c r="J561" i="2"/>
  <c r="H561" i="2" s="1"/>
  <c r="I1767" i="2"/>
  <c r="K1767" i="2"/>
  <c r="K1719" i="2"/>
  <c r="K1810" i="2"/>
  <c r="J1706" i="2"/>
  <c r="H1706" i="2" s="1"/>
  <c r="J1693" i="2"/>
  <c r="H1693" i="2" s="1"/>
  <c r="J1657" i="2"/>
  <c r="H1657" i="2" s="1"/>
  <c r="I1592" i="2"/>
  <c r="I1520" i="2"/>
  <c r="I1435" i="2"/>
  <c r="K1435" i="2"/>
  <c r="K1368" i="2"/>
  <c r="I1368" i="2"/>
  <c r="K1337" i="2"/>
  <c r="I1337" i="2"/>
  <c r="I1199" i="2"/>
  <c r="K1207" i="2"/>
  <c r="J1117" i="2"/>
  <c r="H1117" i="2" s="1"/>
  <c r="I1155" i="2"/>
  <c r="K869" i="2"/>
  <c r="J869" i="2"/>
  <c r="H869" i="2" s="1"/>
  <c r="K822" i="2"/>
  <c r="J822" i="2"/>
  <c r="H822" i="2" s="1"/>
  <c r="K969" i="2"/>
  <c r="I969" i="2"/>
  <c r="I716" i="2"/>
  <c r="K665" i="2"/>
  <c r="J665" i="2"/>
  <c r="H665" i="2" s="1"/>
  <c r="I665" i="2"/>
  <c r="K675" i="2"/>
  <c r="K667" i="2"/>
  <c r="I819" i="2"/>
  <c r="J819" i="2"/>
  <c r="H819" i="2" s="1"/>
  <c r="K819" i="2"/>
  <c r="I607" i="2"/>
  <c r="J594" i="2"/>
  <c r="H594" i="2" s="1"/>
  <c r="I543" i="2"/>
  <c r="K543" i="2"/>
  <c r="J543" i="2"/>
  <c r="H543" i="2" s="1"/>
  <c r="K400" i="2"/>
  <c r="I400" i="2"/>
  <c r="K446" i="2"/>
  <c r="I446" i="2"/>
  <c r="J1836" i="2"/>
  <c r="H1836" i="2" s="1"/>
  <c r="I1836" i="2"/>
  <c r="K1836" i="2"/>
  <c r="J1817" i="2"/>
  <c r="H1817" i="2" s="1"/>
  <c r="K1817" i="2"/>
  <c r="I1719" i="2"/>
  <c r="J1494" i="2"/>
  <c r="H1494" i="2" s="1"/>
  <c r="K1494" i="2"/>
  <c r="I1322" i="2"/>
  <c r="J1322" i="2"/>
  <c r="H1322" i="2" s="1"/>
  <c r="I1376" i="2"/>
  <c r="K1376" i="2"/>
  <c r="K1333" i="2"/>
  <c r="K1307" i="2"/>
  <c r="I1307" i="2"/>
  <c r="J1264" i="2"/>
  <c r="H1264" i="2" s="1"/>
  <c r="I1264" i="2"/>
  <c r="K1264" i="2"/>
  <c r="J1212" i="2"/>
  <c r="H1212" i="2" s="1"/>
  <c r="K1212" i="2"/>
  <c r="I939" i="2"/>
  <c r="K714" i="2"/>
  <c r="J714" i="2"/>
  <c r="H714" i="2" s="1"/>
  <c r="I714" i="2"/>
  <c r="J329" i="2"/>
  <c r="H329" i="2" s="1"/>
  <c r="I1012" i="2"/>
  <c r="J1012" i="2"/>
  <c r="H1012" i="2" s="1"/>
  <c r="K1012" i="2"/>
  <c r="J576" i="2"/>
  <c r="H576" i="2" s="1"/>
  <c r="K576" i="2"/>
  <c r="I576" i="2"/>
  <c r="J353" i="2"/>
  <c r="H353" i="2" s="1"/>
  <c r="I353" i="2"/>
  <c r="K396" i="2"/>
  <c r="I396" i="2"/>
  <c r="J1649" i="2"/>
  <c r="H1649" i="2" s="1"/>
  <c r="K1649" i="2"/>
  <c r="K1659" i="2"/>
  <c r="J1659" i="2"/>
  <c r="H1659" i="2" s="1"/>
  <c r="I1474" i="2"/>
  <c r="J1474" i="2"/>
  <c r="H1474" i="2" s="1"/>
  <c r="J1448" i="2"/>
  <c r="H1448" i="2" s="1"/>
  <c r="K1448" i="2"/>
  <c r="I810" i="2"/>
  <c r="K536" i="2"/>
  <c r="J536" i="2"/>
  <c r="H536" i="2" s="1"/>
  <c r="I734" i="2"/>
  <c r="I1529" i="2"/>
  <c r="K1529" i="2"/>
  <c r="I1743" i="2"/>
  <c r="K1743" i="2"/>
  <c r="I1625" i="2"/>
  <c r="I1508" i="2"/>
  <c r="I1494" i="2"/>
  <c r="I1517" i="2"/>
  <c r="J1517" i="2"/>
  <c r="H1517" i="2" s="1"/>
  <c r="I1383" i="2"/>
  <c r="K1383" i="2"/>
  <c r="J1350" i="2"/>
  <c r="H1350" i="2" s="1"/>
  <c r="I1350" i="2"/>
  <c r="J1376" i="2"/>
  <c r="H1376" i="2" s="1"/>
  <c r="J1270" i="2"/>
  <c r="H1270" i="2" s="1"/>
  <c r="I1270" i="2"/>
  <c r="I1184" i="2"/>
  <c r="K1078" i="2"/>
  <c r="J1078" i="2"/>
  <c r="H1078" i="2" s="1"/>
  <c r="J1852" i="2"/>
  <c r="H1852" i="2" s="1"/>
  <c r="J1796" i="2"/>
  <c r="H1796" i="2" s="1"/>
  <c r="K1796" i="2"/>
  <c r="I1758" i="2"/>
  <c r="K1578" i="2"/>
  <c r="J1578" i="2"/>
  <c r="H1578" i="2" s="1"/>
  <c r="J1534" i="2"/>
  <c r="H1534" i="2" s="1"/>
  <c r="J1625" i="2"/>
  <c r="H1625" i="2" s="1"/>
  <c r="J1533" i="2"/>
  <c r="H1533" i="2" s="1"/>
  <c r="I1533" i="2"/>
  <c r="J1529" i="2"/>
  <c r="H1529" i="2" s="1"/>
  <c r="K1628" i="2"/>
  <c r="K1560" i="2"/>
  <c r="I1560" i="2"/>
  <c r="I1389" i="2"/>
  <c r="K1350" i="2"/>
  <c r="I1356" i="2"/>
  <c r="K1356" i="2"/>
  <c r="J1326" i="2"/>
  <c r="H1326" i="2" s="1"/>
  <c r="K1326" i="2"/>
  <c r="K1223" i="2"/>
  <c r="I1189" i="2"/>
  <c r="K1189" i="2"/>
  <c r="I1041" i="2"/>
  <c r="I1078" i="2"/>
  <c r="I972" i="2"/>
  <c r="K972" i="2"/>
  <c r="I1029" i="2"/>
  <c r="K923" i="2"/>
  <c r="J923" i="2"/>
  <c r="H923" i="2" s="1"/>
  <c r="I923" i="2"/>
  <c r="K758" i="2"/>
  <c r="J758" i="2"/>
  <c r="H758" i="2" s="1"/>
  <c r="I739" i="2"/>
  <c r="J739" i="2"/>
  <c r="H739" i="2" s="1"/>
  <c r="I919" i="2"/>
  <c r="J810" i="2"/>
  <c r="H810" i="2" s="1"/>
  <c r="J910" i="2"/>
  <c r="H910" i="2" s="1"/>
  <c r="I910" i="2"/>
  <c r="K734" i="2"/>
  <c r="J598" i="2"/>
  <c r="H598" i="2" s="1"/>
  <c r="K598" i="2"/>
  <c r="I598" i="2"/>
  <c r="K1441" i="2"/>
  <c r="J1441" i="2"/>
  <c r="H1441" i="2" s="1"/>
  <c r="I1479" i="2"/>
  <c r="J1479" i="2"/>
  <c r="H1479" i="2" s="1"/>
  <c r="K911" i="2"/>
  <c r="J911" i="2"/>
  <c r="H911" i="2" s="1"/>
  <c r="I1346" i="2"/>
  <c r="J1346" i="2"/>
  <c r="H1346" i="2" s="1"/>
  <c r="J1355" i="2"/>
  <c r="H1355" i="2" s="1"/>
  <c r="I1355" i="2"/>
  <c r="I996" i="2"/>
  <c r="J996" i="2"/>
  <c r="H996" i="2" s="1"/>
  <c r="J760" i="2"/>
  <c r="H760" i="2" s="1"/>
  <c r="K760" i="2"/>
  <c r="J280" i="2"/>
  <c r="H280" i="2" s="1"/>
  <c r="J392" i="2"/>
  <c r="H392" i="2" s="1"/>
  <c r="I1673" i="2"/>
  <c r="K1083" i="2"/>
  <c r="K1058" i="2"/>
  <c r="K643" i="2"/>
  <c r="I445" i="2"/>
  <c r="K616" i="2"/>
  <c r="K1673" i="2"/>
  <c r="K1602" i="2"/>
  <c r="I1565" i="2"/>
  <c r="J1626" i="2"/>
  <c r="H1626" i="2" s="1"/>
  <c r="K1328" i="2"/>
  <c r="K1341" i="2"/>
  <c r="I1251" i="2"/>
  <c r="I1198" i="2"/>
  <c r="I1148" i="2"/>
  <c r="K1082" i="2"/>
  <c r="J1083" i="2"/>
  <c r="H1083" i="2" s="1"/>
  <c r="I1066" i="2"/>
  <c r="K479" i="2"/>
  <c r="J525" i="2"/>
  <c r="H525" i="2" s="1"/>
  <c r="I464" i="2"/>
  <c r="J445" i="2"/>
  <c r="H445" i="2" s="1"/>
  <c r="I513" i="2"/>
  <c r="K336" i="2"/>
  <c r="J371" i="2"/>
  <c r="H371" i="2" s="1"/>
  <c r="I308" i="2"/>
  <c r="J273" i="2"/>
  <c r="H273" i="2" s="1"/>
  <c r="I480" i="2"/>
  <c r="J310" i="2"/>
  <c r="H310" i="2" s="1"/>
  <c r="I1678" i="2"/>
  <c r="J945" i="2"/>
  <c r="H945" i="2" s="1"/>
  <c r="I676" i="2"/>
  <c r="K655" i="2"/>
  <c r="I382" i="2"/>
  <c r="I247" i="2"/>
  <c r="J308" i="2"/>
  <c r="H308" i="2" s="1"/>
  <c r="K438" i="2"/>
  <c r="K287" i="2"/>
  <c r="K382" i="2"/>
  <c r="J483" i="2"/>
  <c r="H483" i="2" s="1"/>
  <c r="I285" i="2"/>
  <c r="I393" i="2"/>
  <c r="J1098" i="2"/>
  <c r="H1098" i="2" s="1"/>
  <c r="K781" i="2"/>
  <c r="I781" i="2"/>
  <c r="K1771" i="2"/>
  <c r="I1771" i="2"/>
  <c r="K1668" i="2"/>
  <c r="I1333" i="2"/>
  <c r="I1335" i="2"/>
  <c r="J1335" i="2"/>
  <c r="H1335" i="2" s="1"/>
  <c r="J1047" i="2"/>
  <c r="H1047" i="2" s="1"/>
  <c r="I778" i="2"/>
  <c r="K778" i="2"/>
  <c r="J769" i="2"/>
  <c r="H769" i="2" s="1"/>
  <c r="I769" i="2"/>
  <c r="K769" i="2"/>
  <c r="K1016" i="2"/>
  <c r="J649" i="2"/>
  <c r="H649" i="2" s="1"/>
  <c r="I429" i="2"/>
  <c r="K64" i="2"/>
  <c r="I64" i="2"/>
  <c r="J1771" i="2"/>
  <c r="H1771" i="2" s="1"/>
  <c r="J1542" i="2"/>
  <c r="H1542" i="2" s="1"/>
  <c r="K1542" i="2"/>
  <c r="I1538" i="2"/>
  <c r="K1364" i="2"/>
  <c r="K1314" i="2"/>
  <c r="K1260" i="2"/>
  <c r="K1168" i="2"/>
  <c r="K912" i="2"/>
  <c r="J597" i="2"/>
  <c r="H597" i="2" s="1"/>
  <c r="K647" i="2"/>
  <c r="J540" i="2"/>
  <c r="H540" i="2" s="1"/>
  <c r="I540" i="2"/>
  <c r="K540" i="2"/>
  <c r="H162" i="2"/>
  <c r="G162" i="2"/>
  <c r="K77" i="2"/>
  <c r="I77" i="2"/>
  <c r="K26" i="2"/>
  <c r="I26" i="2"/>
  <c r="J484" i="2"/>
  <c r="I484" i="2"/>
  <c r="K484" i="2"/>
  <c r="J316" i="2"/>
  <c r="I316" i="2"/>
  <c r="K500" i="2"/>
  <c r="J500" i="2"/>
  <c r="I500" i="2"/>
  <c r="I730" i="2"/>
  <c r="K730" i="2"/>
  <c r="J730" i="2"/>
  <c r="J890" i="2"/>
  <c r="K921" i="2" s="1"/>
  <c r="I890" i="2"/>
  <c r="J1085" i="2"/>
  <c r="K1088" i="2" s="1"/>
  <c r="I1085" i="2"/>
  <c r="J1107" i="2"/>
  <c r="I1107" i="2"/>
  <c r="I1138" i="2"/>
  <c r="J1138" i="2"/>
  <c r="K1051" i="2"/>
  <c r="J1051" i="2"/>
  <c r="K1138" i="2" s="1"/>
  <c r="I1051" i="2"/>
  <c r="I1265" i="2"/>
  <c r="J1265" i="2"/>
  <c r="K1274" i="2" s="1"/>
  <c r="I1388" i="2"/>
  <c r="J1388" i="2"/>
  <c r="K1398" i="2" s="1"/>
  <c r="J1194" i="2"/>
  <c r="I1194" i="2"/>
  <c r="K1213" i="2"/>
  <c r="J1213" i="2"/>
  <c r="I1213" i="2"/>
  <c r="I1342" i="2"/>
  <c r="J1342" i="2"/>
  <c r="J1398" i="2"/>
  <c r="I1398" i="2"/>
  <c r="J1427" i="2"/>
  <c r="I1427" i="2"/>
  <c r="K1427" i="2"/>
  <c r="J1466" i="2"/>
  <c r="I1466" i="2"/>
  <c r="J1497" i="2"/>
  <c r="K1505" i="2" s="1"/>
  <c r="I1497" i="2"/>
  <c r="J1563" i="2"/>
  <c r="K1563" i="2"/>
  <c r="I1563" i="2"/>
  <c r="I1537" i="2"/>
  <c r="J1537" i="2"/>
  <c r="I1639" i="2"/>
  <c r="K1639" i="2"/>
  <c r="J1639" i="2"/>
  <c r="J1736" i="2"/>
  <c r="I1736" i="2"/>
  <c r="H1711" i="2"/>
  <c r="G1711" i="2"/>
  <c r="J1815" i="2"/>
  <c r="K1818" i="2" s="1"/>
  <c r="I1815" i="2"/>
  <c r="I1692" i="2"/>
  <c r="K1692" i="2"/>
  <c r="J1692" i="2"/>
  <c r="J1841" i="2"/>
  <c r="I1841" i="2"/>
  <c r="H1820" i="2"/>
  <c r="J169" i="2"/>
  <c r="K788" i="2" s="1"/>
  <c r="I169" i="2"/>
  <c r="I371" i="2"/>
  <c r="J541" i="2"/>
  <c r="H541" i="2" s="1"/>
  <c r="J336" i="2"/>
  <c r="H336" i="2" s="1"/>
  <c r="J285" i="2"/>
  <c r="H285" i="2" s="1"/>
  <c r="I174" i="2"/>
  <c r="J174" i="2"/>
  <c r="H174" i="2" s="1"/>
  <c r="J142" i="2"/>
  <c r="H142" i="2" s="1"/>
  <c r="I97" i="2"/>
  <c r="I65" i="2"/>
  <c r="J65" i="2"/>
  <c r="J388" i="2"/>
  <c r="I388" i="2"/>
  <c r="J222" i="2"/>
  <c r="H222" i="2" s="1"/>
  <c r="K222" i="2"/>
  <c r="J205" i="2"/>
  <c r="H205" i="2" s="1"/>
  <c r="K205" i="2"/>
  <c r="J188" i="2"/>
  <c r="H188" i="2" s="1"/>
  <c r="K188" i="2"/>
  <c r="K109" i="2"/>
  <c r="J109" i="2"/>
  <c r="H109" i="2" s="1"/>
  <c r="J438" i="2"/>
  <c r="H438" i="2" s="1"/>
  <c r="J297" i="2"/>
  <c r="H297" i="2" s="1"/>
  <c r="K264" i="2"/>
  <c r="J62" i="2"/>
  <c r="K65" i="2" s="1"/>
  <c r="K62" i="2"/>
  <c r="I62" i="2"/>
  <c r="I397" i="2"/>
  <c r="J1753" i="2"/>
  <c r="H1753" i="2" s="1"/>
  <c r="K1250" i="2"/>
  <c r="J1250" i="2"/>
  <c r="H1250" i="2" s="1"/>
  <c r="I1250" i="2"/>
  <c r="I1347" i="2"/>
  <c r="I1023" i="2"/>
  <c r="J1015" i="2"/>
  <c r="H1015" i="2" s="1"/>
  <c r="J878" i="2"/>
  <c r="H878" i="2" s="1"/>
  <c r="J582" i="2"/>
  <c r="H582" i="2" s="1"/>
  <c r="I582" i="2"/>
  <c r="J293" i="2"/>
  <c r="K293" i="2"/>
  <c r="I293" i="2"/>
  <c r="K695" i="2"/>
  <c r="J695" i="2"/>
  <c r="I695" i="2"/>
  <c r="J596" i="2"/>
  <c r="I596" i="2"/>
  <c r="K1783" i="2"/>
  <c r="I1783" i="2"/>
  <c r="I1811" i="2"/>
  <c r="I1712" i="2"/>
  <c r="I1399" i="2"/>
  <c r="K1408" i="2"/>
  <c r="I1408" i="2"/>
  <c r="J1500" i="2"/>
  <c r="H1500" i="2" s="1"/>
  <c r="I1339" i="2"/>
  <c r="K1254" i="2"/>
  <c r="K1071" i="2"/>
  <c r="J1071" i="2"/>
  <c r="H1071" i="2" s="1"/>
  <c r="J1023" i="2"/>
  <c r="H1023" i="2" s="1"/>
  <c r="K1015" i="2"/>
  <c r="K832" i="2"/>
  <c r="I832" i="2"/>
  <c r="K879" i="2"/>
  <c r="J1034" i="2"/>
  <c r="H1034" i="2" s="1"/>
  <c r="K878" i="2"/>
  <c r="I1016" i="2"/>
  <c r="K642" i="2"/>
  <c r="K927" i="2"/>
  <c r="I642" i="2"/>
  <c r="K597" i="2"/>
  <c r="J833" i="2"/>
  <c r="H833" i="2" s="1"/>
  <c r="I344" i="2"/>
  <c r="K344" i="2"/>
  <c r="J344" i="2"/>
  <c r="H344" i="2" s="1"/>
  <c r="K294" i="2"/>
  <c r="I294" i="2"/>
  <c r="J294" i="2"/>
  <c r="H294" i="2" s="1"/>
  <c r="J766" i="2"/>
  <c r="H766" i="2" s="1"/>
  <c r="J446" i="2"/>
  <c r="H446" i="2" s="1"/>
  <c r="J558" i="2"/>
  <c r="H558" i="2" s="1"/>
  <c r="I558" i="2"/>
  <c r="K468" i="2"/>
  <c r="J468" i="2"/>
  <c r="H468" i="2" s="1"/>
  <c r="I468" i="2"/>
  <c r="K429" i="2"/>
  <c r="I380" i="2"/>
  <c r="I327" i="2"/>
  <c r="J120" i="2"/>
  <c r="K266" i="2" s="1"/>
  <c r="I120" i="2"/>
  <c r="J441" i="2"/>
  <c r="I441" i="2"/>
  <c r="I312" i="2"/>
  <c r="J312" i="2"/>
  <c r="J603" i="2"/>
  <c r="K1332" i="2" s="1"/>
  <c r="I603" i="2"/>
  <c r="K603" i="2"/>
  <c r="I774" i="2"/>
  <c r="K774" i="2"/>
  <c r="J774" i="2"/>
  <c r="K573" i="2"/>
  <c r="J573" i="2"/>
  <c r="H573" i="2" s="1"/>
  <c r="I573" i="2"/>
  <c r="J720" i="2"/>
  <c r="K744" i="2" s="1"/>
  <c r="I720" i="2"/>
  <c r="I846" i="2"/>
  <c r="J846" i="2"/>
  <c r="K890" i="2" s="1"/>
  <c r="K728" i="2"/>
  <c r="J728" i="2"/>
  <c r="K735" i="2" s="1"/>
  <c r="I728" i="2"/>
  <c r="I1027" i="2"/>
  <c r="J1027" i="2"/>
  <c r="J1072" i="2"/>
  <c r="K1092" i="2" s="1"/>
  <c r="I1072" i="2"/>
  <c r="K1266" i="2"/>
  <c r="J1266" i="2"/>
  <c r="I1266" i="2"/>
  <c r="J1252" i="2"/>
  <c r="K1288" i="2" s="1"/>
  <c r="I1252" i="2"/>
  <c r="K1855" i="2"/>
  <c r="J1783" i="2"/>
  <c r="H1783" i="2" s="1"/>
  <c r="J1811" i="2"/>
  <c r="H1811" i="2" s="1"/>
  <c r="K1706" i="2"/>
  <c r="K1744" i="2"/>
  <c r="K1726" i="2"/>
  <c r="I1701" i="2"/>
  <c r="J1623" i="2"/>
  <c r="H1623" i="2" s="1"/>
  <c r="I1623" i="2"/>
  <c r="I1696" i="2"/>
  <c r="J1775" i="2"/>
  <c r="H1775" i="2" s="1"/>
  <c r="J1712" i="2"/>
  <c r="H1712" i="2" s="1"/>
  <c r="J1550" i="2"/>
  <c r="H1550" i="2" s="1"/>
  <c r="K1550" i="2"/>
  <c r="J1570" i="2"/>
  <c r="H1570" i="2" s="1"/>
  <c r="J1527" i="2"/>
  <c r="H1527" i="2" s="1"/>
  <c r="J1470" i="2"/>
  <c r="H1470" i="2" s="1"/>
  <c r="I1470" i="2"/>
  <c r="K1571" i="2"/>
  <c r="I1556" i="2"/>
  <c r="J1520" i="2"/>
  <c r="H1520" i="2" s="1"/>
  <c r="J1428" i="2"/>
  <c r="H1428" i="2" s="1"/>
  <c r="J1471" i="2"/>
  <c r="H1471" i="2" s="1"/>
  <c r="K1471" i="2"/>
  <c r="I1621" i="2"/>
  <c r="I1471" i="2"/>
  <c r="I1609" i="2"/>
  <c r="K1428" i="2"/>
  <c r="J1538" i="2"/>
  <c r="H1538" i="2" s="1"/>
  <c r="K1433" i="2"/>
  <c r="J1433" i="2"/>
  <c r="H1433" i="2" s="1"/>
  <c r="K1389" i="2"/>
  <c r="K1500" i="2"/>
  <c r="K1479" i="2"/>
  <c r="I1482" i="2"/>
  <c r="I1348" i="2"/>
  <c r="K1346" i="2"/>
  <c r="K1322" i="2"/>
  <c r="J1351" i="2"/>
  <c r="H1351" i="2" s="1"/>
  <c r="K1297" i="2"/>
  <c r="J1339" i="2"/>
  <c r="H1339" i="2" s="1"/>
  <c r="J1314" i="2"/>
  <c r="H1314" i="2" s="1"/>
  <c r="K1244" i="2"/>
  <c r="J1244" i="2"/>
  <c r="H1244" i="2" s="1"/>
  <c r="I1244" i="2"/>
  <c r="K1232" i="2"/>
  <c r="J1232" i="2"/>
  <c r="H1232" i="2" s="1"/>
  <c r="K1283" i="2"/>
  <c r="K1208" i="2"/>
  <c r="I1208" i="2"/>
  <c r="J1184" i="2"/>
  <c r="H1184" i="2" s="1"/>
  <c r="I1325" i="2"/>
  <c r="K1270" i="2"/>
  <c r="I1239" i="2"/>
  <c r="K1272" i="2"/>
  <c r="J1241" i="2"/>
  <c r="H1241" i="2" s="1"/>
  <c r="I1241" i="2"/>
  <c r="I1185" i="2"/>
  <c r="J1157" i="2"/>
  <c r="H1157" i="2" s="1"/>
  <c r="I1125" i="2"/>
  <c r="K1077" i="2"/>
  <c r="J1077" i="2"/>
  <c r="H1077" i="2" s="1"/>
  <c r="K1030" i="2"/>
  <c r="J1030" i="2"/>
  <c r="H1030" i="2" s="1"/>
  <c r="J1080" i="2"/>
  <c r="H1080" i="2" s="1"/>
  <c r="K1032" i="2"/>
  <c r="K1131" i="2"/>
  <c r="I880" i="2"/>
  <c r="K996" i="2"/>
  <c r="K999" i="2"/>
  <c r="I1090" i="2"/>
  <c r="K1029" i="2"/>
  <c r="I861" i="2"/>
  <c r="J939" i="2"/>
  <c r="H939" i="2" s="1"/>
  <c r="J764" i="2"/>
  <c r="H764" i="2" s="1"/>
  <c r="K764" i="2"/>
  <c r="I764" i="2"/>
  <c r="I948" i="2"/>
  <c r="J854" i="2"/>
  <c r="H854" i="2" s="1"/>
  <c r="I906" i="2"/>
  <c r="J800" i="2"/>
  <c r="H800" i="2" s="1"/>
  <c r="I639" i="2"/>
  <c r="I782" i="2"/>
  <c r="I753" i="2"/>
  <c r="K609" i="2"/>
  <c r="J564" i="2"/>
  <c r="H564" i="2" s="1"/>
  <c r="J522" i="2"/>
  <c r="H522" i="2" s="1"/>
  <c r="J626" i="2"/>
  <c r="H626" i="2" s="1"/>
  <c r="K564" i="2"/>
  <c r="J533" i="2"/>
  <c r="H533" i="2" s="1"/>
  <c r="K582" i="2"/>
  <c r="I533" i="2"/>
  <c r="K653" i="2"/>
  <c r="K439" i="2"/>
  <c r="K649" i="2"/>
  <c r="K525" i="2"/>
  <c r="J380" i="2"/>
  <c r="H380" i="2" s="1"/>
  <c r="J327" i="2"/>
  <c r="H327" i="2" s="1"/>
  <c r="J113" i="2"/>
  <c r="K113" i="2"/>
  <c r="I113" i="2"/>
  <c r="J73" i="2"/>
  <c r="H73" i="2" s="1"/>
  <c r="K73" i="2"/>
  <c r="J571" i="2"/>
  <c r="H571" i="2" s="1"/>
  <c r="K329" i="2"/>
  <c r="K193" i="2"/>
  <c r="I193" i="2"/>
  <c r="I331" i="2"/>
  <c r="J331" i="2"/>
  <c r="I514" i="2"/>
  <c r="J514" i="2"/>
  <c r="K1240" i="2" s="1"/>
  <c r="G1240" i="2" s="1"/>
  <c r="J341" i="2"/>
  <c r="I341" i="2"/>
  <c r="K552" i="2"/>
  <c r="J552" i="2"/>
  <c r="I552" i="2"/>
  <c r="K710" i="2"/>
  <c r="J710" i="2"/>
  <c r="K1161" i="2" s="1"/>
  <c r="I710" i="2"/>
  <c r="K625" i="2"/>
  <c r="J625" i="2"/>
  <c r="I625" i="2"/>
  <c r="I644" i="2"/>
  <c r="K644" i="2"/>
  <c r="J644" i="2"/>
  <c r="K584" i="2"/>
  <c r="J584" i="2"/>
  <c r="K592" i="2" s="1"/>
  <c r="I584" i="2"/>
  <c r="J528" i="2"/>
  <c r="I528" i="2"/>
  <c r="K528" i="2"/>
  <c r="J745" i="2"/>
  <c r="I745" i="2"/>
  <c r="J679" i="2"/>
  <c r="I679" i="2"/>
  <c r="K705" i="2"/>
  <c r="J705" i="2"/>
  <c r="I705" i="2"/>
  <c r="K862" i="2"/>
  <c r="J862" i="2"/>
  <c r="I862" i="2"/>
  <c r="K926" i="2"/>
  <c r="J926" i="2"/>
  <c r="K963" i="2" s="1"/>
  <c r="I926" i="2"/>
  <c r="I909" i="2"/>
  <c r="J909" i="2"/>
  <c r="K931" i="2" s="1"/>
  <c r="J1088" i="2"/>
  <c r="K1109" i="2" s="1"/>
  <c r="I1088" i="2"/>
  <c r="J901" i="2"/>
  <c r="I901" i="2"/>
  <c r="H971" i="2"/>
  <c r="G971" i="2"/>
  <c r="I1274" i="2"/>
  <c r="J1274" i="2"/>
  <c r="K1334" i="2" s="1"/>
  <c r="J1278" i="2"/>
  <c r="I1278" i="2"/>
  <c r="K1278" i="2"/>
  <c r="I1102" i="2"/>
  <c r="J1102" i="2"/>
  <c r="K1102" i="2"/>
  <c r="K1170" i="2"/>
  <c r="J1170" i="2"/>
  <c r="I1170" i="2"/>
  <c r="I1288" i="2"/>
  <c r="J1288" i="2"/>
  <c r="K1318" i="2" s="1"/>
  <c r="H1299" i="2"/>
  <c r="K1235" i="2"/>
  <c r="J1235" i="2"/>
  <c r="I1235" i="2"/>
  <c r="J1255" i="2"/>
  <c r="I1255" i="2"/>
  <c r="J1280" i="2"/>
  <c r="I1280" i="2"/>
  <c r="K1280" i="2"/>
  <c r="I1447" i="2"/>
  <c r="K1447" i="2"/>
  <c r="J1447" i="2"/>
  <c r="G1436" i="2"/>
  <c r="H1436" i="2"/>
  <c r="J1416" i="2"/>
  <c r="I1416" i="2"/>
  <c r="J1488" i="2"/>
  <c r="I1488" i="2"/>
  <c r="J1507" i="2"/>
  <c r="I1507" i="2"/>
  <c r="J1595" i="2"/>
  <c r="K1614" i="2" s="1"/>
  <c r="I1595" i="2"/>
  <c r="J1672" i="2"/>
  <c r="I1672" i="2"/>
  <c r="K1672" i="2"/>
  <c r="I1818" i="2"/>
  <c r="J1818" i="2"/>
  <c r="K1828" i="2" s="1"/>
  <c r="H1799" i="2"/>
  <c r="G1799" i="2"/>
  <c r="I1723" i="2"/>
  <c r="K1723" i="2"/>
  <c r="J1723" i="2"/>
  <c r="K1850" i="2"/>
  <c r="J1850" i="2"/>
  <c r="I1850" i="2"/>
  <c r="I1844" i="2"/>
  <c r="K1844" i="2"/>
  <c r="J1844" i="2"/>
  <c r="I522" i="2"/>
  <c r="K251" i="2"/>
  <c r="J251" i="2"/>
  <c r="H251" i="2" s="1"/>
  <c r="I251" i="2"/>
  <c r="I158" i="2"/>
  <c r="J158" i="2"/>
  <c r="H158" i="2" s="1"/>
  <c r="H74" i="2"/>
  <c r="G74" i="2"/>
  <c r="J159" i="2"/>
  <c r="H159" i="2" s="1"/>
  <c r="K159" i="2"/>
  <c r="H10" i="2"/>
  <c r="G10" i="2"/>
  <c r="J486" i="2"/>
  <c r="H486" i="2" s="1"/>
  <c r="K364" i="2"/>
  <c r="J261" i="2"/>
  <c r="H261" i="2" s="1"/>
  <c r="K35" i="2"/>
  <c r="J35" i="2"/>
  <c r="K39" i="2" s="1"/>
  <c r="I35" i="2"/>
  <c r="J418" i="2"/>
  <c r="H418" i="2" s="1"/>
  <c r="I159" i="2"/>
  <c r="K31" i="2"/>
  <c r="K147" i="2"/>
  <c r="K353" i="2"/>
  <c r="K332" i="2"/>
  <c r="K142" i="2"/>
  <c r="J807" i="2"/>
  <c r="H807" i="2" s="1"/>
  <c r="J906" i="2"/>
  <c r="H906" i="2" s="1"/>
  <c r="J638" i="2"/>
  <c r="H638" i="2" s="1"/>
  <c r="I638" i="2"/>
  <c r="I747" i="2"/>
  <c r="I702" i="2"/>
  <c r="K637" i="2"/>
  <c r="I637" i="2"/>
  <c r="J532" i="2"/>
  <c r="H532" i="2" s="1"/>
  <c r="I532" i="2"/>
  <c r="J782" i="2"/>
  <c r="H782" i="2" s="1"/>
  <c r="J753" i="2"/>
  <c r="H753" i="2" s="1"/>
  <c r="I646" i="2"/>
  <c r="K826" i="2"/>
  <c r="K626" i="2"/>
  <c r="I833" i="2"/>
  <c r="I609" i="2"/>
  <c r="J527" i="2"/>
  <c r="H527" i="2" s="1"/>
  <c r="K482" i="2"/>
  <c r="J482" i="2"/>
  <c r="H482" i="2" s="1"/>
  <c r="J436" i="2"/>
  <c r="H436" i="2" s="1"/>
  <c r="I436" i="2"/>
  <c r="K436" i="2"/>
  <c r="K558" i="2"/>
  <c r="K462" i="2"/>
  <c r="J462" i="2"/>
  <c r="H462" i="2" s="1"/>
  <c r="I462" i="2"/>
  <c r="I459" i="2"/>
  <c r="G17" i="2"/>
  <c r="H17" i="2"/>
  <c r="J322" i="2"/>
  <c r="H322" i="2" s="1"/>
  <c r="K453" i="2"/>
  <c r="J453" i="2"/>
  <c r="I453" i="2"/>
  <c r="K157" i="2"/>
  <c r="I157" i="2"/>
  <c r="K121" i="2"/>
  <c r="I121" i="2"/>
  <c r="K101" i="2"/>
  <c r="I101" i="2"/>
  <c r="J267" i="2"/>
  <c r="I267" i="2"/>
  <c r="K267" i="2"/>
  <c r="J266" i="2"/>
  <c r="K331" i="2" s="1"/>
  <c r="I266" i="2"/>
  <c r="I338" i="2"/>
  <c r="J338" i="2"/>
  <c r="I585" i="2"/>
  <c r="J585" i="2"/>
  <c r="I368" i="2"/>
  <c r="J368" i="2"/>
  <c r="H578" i="2"/>
  <c r="G578" i="2"/>
  <c r="I808" i="2"/>
  <c r="J808" i="2"/>
  <c r="J542" i="2"/>
  <c r="I542" i="2"/>
  <c r="K542" i="2"/>
  <c r="J751" i="2"/>
  <c r="I751" i="2"/>
  <c r="K751" i="2"/>
  <c r="J719" i="2"/>
  <c r="K720" i="2" s="1"/>
  <c r="I719" i="2"/>
  <c r="J735" i="2"/>
  <c r="I735" i="2"/>
  <c r="J882" i="2"/>
  <c r="I882" i="2"/>
  <c r="J943" i="2"/>
  <c r="K1228" i="2" s="1"/>
  <c r="G1228" i="2" s="1"/>
  <c r="I943" i="2"/>
  <c r="J921" i="2"/>
  <c r="I921" i="2"/>
  <c r="J784" i="2"/>
  <c r="I784" i="2"/>
  <c r="K784" i="2"/>
  <c r="J963" i="2"/>
  <c r="I963" i="2"/>
  <c r="K1074" i="2"/>
  <c r="J1074" i="2"/>
  <c r="I1074" i="2"/>
  <c r="H1114" i="2"/>
  <c r="G1114" i="2"/>
  <c r="K1105" i="2"/>
  <c r="J1105" i="2"/>
  <c r="I1105" i="2"/>
  <c r="J1179" i="2"/>
  <c r="I1179" i="2"/>
  <c r="J1182" i="2"/>
  <c r="K1229" i="2" s="1"/>
  <c r="I1182" i="2"/>
  <c r="I1316" i="2"/>
  <c r="J1316" i="2"/>
  <c r="J1340" i="2"/>
  <c r="I1340" i="2"/>
  <c r="G1292" i="2"/>
  <c r="H1292" i="2"/>
  <c r="K1309" i="2"/>
  <c r="I1309" i="2"/>
  <c r="J1309" i="2"/>
  <c r="K1468" i="2" s="1"/>
  <c r="I1286" i="2"/>
  <c r="K1286" i="2"/>
  <c r="J1286" i="2"/>
  <c r="K1316" i="2" s="1"/>
  <c r="J1459" i="2"/>
  <c r="I1459" i="2"/>
  <c r="K1459" i="2"/>
  <c r="I1423" i="2"/>
  <c r="K1423" i="2"/>
  <c r="J1423" i="2"/>
  <c r="J1449" i="2"/>
  <c r="K1451" i="2" s="1"/>
  <c r="I1449" i="2"/>
  <c r="J1495" i="2"/>
  <c r="I1495" i="2"/>
  <c r="G1501" i="2"/>
  <c r="H1501" i="2"/>
  <c r="J1610" i="2"/>
  <c r="K1610" i="2"/>
  <c r="I1610" i="2"/>
  <c r="K1606" i="2"/>
  <c r="J1606" i="2"/>
  <c r="I1606" i="2"/>
  <c r="I1727" i="2"/>
  <c r="J1727" i="2"/>
  <c r="K1778" i="2"/>
  <c r="J1778" i="2"/>
  <c r="K1784" i="2" s="1"/>
  <c r="I1778" i="2"/>
  <c r="K1830" i="2"/>
  <c r="J1830" i="2"/>
  <c r="I1830" i="2"/>
  <c r="J348" i="2"/>
  <c r="H348" i="2" s="1"/>
  <c r="I187" i="2"/>
  <c r="J187" i="2"/>
  <c r="H187" i="2" s="1"/>
  <c r="J122" i="2"/>
  <c r="H122" i="2" s="1"/>
  <c r="I122" i="2"/>
  <c r="J108" i="2"/>
  <c r="H108" i="2" s="1"/>
  <c r="I108" i="2"/>
  <c r="I471" i="2"/>
  <c r="J182" i="2"/>
  <c r="H182" i="2" s="1"/>
  <c r="K182" i="2"/>
  <c r="J152" i="2"/>
  <c r="K169" i="2" s="1"/>
  <c r="I152" i="2"/>
  <c r="K152" i="2"/>
  <c r="K79" i="2"/>
  <c r="J79" i="2"/>
  <c r="H79" i="2" s="1"/>
  <c r="J5" i="2"/>
  <c r="H5" i="2" s="1"/>
  <c r="K5" i="2"/>
  <c r="H8" i="2"/>
  <c r="G8" i="2"/>
  <c r="I516" i="2"/>
  <c r="K80" i="2"/>
  <c r="J80" i="2"/>
  <c r="I80" i="2"/>
  <c r="J615" i="2"/>
  <c r="I615" i="2"/>
  <c r="K81" i="2"/>
  <c r="K148" i="2"/>
  <c r="K261" i="2"/>
  <c r="I1567" i="2"/>
  <c r="J1567" i="2"/>
  <c r="H1567" i="2" s="1"/>
  <c r="K1174" i="2"/>
  <c r="J1174" i="2"/>
  <c r="H1174" i="2" s="1"/>
  <c r="I1260" i="2"/>
  <c r="K1001" i="2"/>
  <c r="I1001" i="2"/>
  <c r="J1001" i="2"/>
  <c r="H1001" i="2" s="1"/>
  <c r="J1833" i="2"/>
  <c r="H1833" i="2" s="1"/>
  <c r="K1786" i="2"/>
  <c r="I1786" i="2"/>
  <c r="K1453" i="2"/>
  <c r="J1453" i="2"/>
  <c r="H1453" i="2" s="1"/>
  <c r="J1499" i="2"/>
  <c r="H1499" i="2" s="1"/>
  <c r="K1238" i="2"/>
  <c r="J1238" i="2"/>
  <c r="H1238" i="2" s="1"/>
  <c r="J879" i="2"/>
  <c r="H879" i="2" s="1"/>
  <c r="I911" i="2"/>
  <c r="J927" i="2"/>
  <c r="H927" i="2" s="1"/>
  <c r="K571" i="2"/>
  <c r="K470" i="2"/>
  <c r="J470" i="2"/>
  <c r="H470" i="2" s="1"/>
  <c r="I424" i="2"/>
  <c r="J424" i="2"/>
  <c r="H424" i="2" s="1"/>
  <c r="I766" i="2"/>
  <c r="K527" i="2"/>
  <c r="I486" i="2"/>
  <c r="K563" i="2"/>
  <c r="K184" i="2"/>
  <c r="J184" i="2"/>
  <c r="K679" i="2" s="1"/>
  <c r="I184" i="2"/>
  <c r="J334" i="2"/>
  <c r="H334" i="2" s="1"/>
  <c r="K167" i="2"/>
  <c r="I167" i="2"/>
  <c r="K132" i="2"/>
  <c r="I132" i="2"/>
  <c r="K83" i="2"/>
  <c r="I83" i="2"/>
  <c r="J478" i="2"/>
  <c r="K1006" i="2" s="1"/>
  <c r="I478" i="2"/>
  <c r="K478" i="2"/>
  <c r="I1373" i="2"/>
  <c r="J1373" i="2"/>
  <c r="H1373" i="2" s="1"/>
  <c r="K1399" i="2"/>
  <c r="K1499" i="2"/>
  <c r="K1417" i="2"/>
  <c r="K1335" i="2"/>
  <c r="J912" i="2"/>
  <c r="H912" i="2" s="1"/>
  <c r="K1837" i="2"/>
  <c r="I1756" i="2"/>
  <c r="K1733" i="2"/>
  <c r="J1701" i="2"/>
  <c r="H1701" i="2" s="1"/>
  <c r="J1611" i="2"/>
  <c r="H1611" i="2" s="1"/>
  <c r="I1611" i="2"/>
  <c r="K1720" i="2"/>
  <c r="I1688" i="2"/>
  <c r="I1542" i="2"/>
  <c r="K1664" i="2"/>
  <c r="J1664" i="2"/>
  <c r="H1664" i="2" s="1"/>
  <c r="I1570" i="2"/>
  <c r="I1638" i="2"/>
  <c r="K1422" i="2"/>
  <c r="J1458" i="2"/>
  <c r="H1458" i="2" s="1"/>
  <c r="I1458" i="2"/>
  <c r="J1465" i="2"/>
  <c r="H1465" i="2" s="1"/>
  <c r="K1465" i="2"/>
  <c r="J1621" i="2"/>
  <c r="H1621" i="2" s="1"/>
  <c r="J1609" i="2"/>
  <c r="H1609" i="2" s="1"/>
  <c r="I1534" i="2"/>
  <c r="J1408" i="2"/>
  <c r="H1408" i="2" s="1"/>
  <c r="I1417" i="2"/>
  <c r="J1363" i="2"/>
  <c r="H1363" i="2" s="1"/>
  <c r="K1215" i="2"/>
  <c r="I1276" i="2"/>
  <c r="J1276" i="2"/>
  <c r="H1276" i="2" s="1"/>
  <c r="K1331" i="2"/>
  <c r="K1185" i="2"/>
  <c r="J1136" i="2"/>
  <c r="H1136" i="2" s="1"/>
  <c r="K1136" i="2"/>
  <c r="J1125" i="2"/>
  <c r="H1125" i="2" s="1"/>
  <c r="K1152" i="2"/>
  <c r="K1041" i="2"/>
  <c r="K1080" i="2"/>
  <c r="J994" i="2"/>
  <c r="H994" i="2" s="1"/>
  <c r="K1098" i="2"/>
  <c r="I1042" i="2"/>
  <c r="K1009" i="2"/>
  <c r="I1009" i="2"/>
  <c r="J983" i="2"/>
  <c r="H983" i="2" s="1"/>
  <c r="I983" i="2"/>
  <c r="I1069" i="2"/>
  <c r="K1090" i="2"/>
  <c r="J861" i="2"/>
  <c r="H861" i="2" s="1"/>
  <c r="I852" i="2"/>
  <c r="K852" i="2"/>
  <c r="J948" i="2"/>
  <c r="H948" i="2" s="1"/>
  <c r="J570" i="2"/>
  <c r="H570" i="2" s="1"/>
  <c r="K739" i="2"/>
  <c r="I681" i="2"/>
  <c r="I727" i="2"/>
  <c r="I529" i="2"/>
  <c r="I476" i="2"/>
  <c r="J476" i="2"/>
  <c r="H476" i="2" s="1"/>
  <c r="K418" i="2"/>
  <c r="K16" i="2"/>
  <c r="I16" i="2"/>
  <c r="K1853" i="2"/>
  <c r="J1755" i="2"/>
  <c r="H1755" i="2" s="1"/>
  <c r="I1817" i="2"/>
  <c r="I1764" i="2"/>
  <c r="I1726" i="2"/>
  <c r="K1611" i="2"/>
  <c r="J1688" i="2"/>
  <c r="H1688" i="2" s="1"/>
  <c r="I1540" i="2"/>
  <c r="J1540" i="2"/>
  <c r="H1540" i="2" s="1"/>
  <c r="I1564" i="2"/>
  <c r="J1638" i="2"/>
  <c r="H1638" i="2" s="1"/>
  <c r="I1511" i="2"/>
  <c r="J1605" i="2"/>
  <c r="H1605" i="2" s="1"/>
  <c r="K1508" i="2"/>
  <c r="K1372" i="2"/>
  <c r="J1531" i="2"/>
  <c r="H1531" i="2" s="1"/>
  <c r="I1465" i="2"/>
  <c r="J1503" i="2"/>
  <c r="H1503" i="2" s="1"/>
  <c r="I1372" i="2"/>
  <c r="J1360" i="2"/>
  <c r="H1360" i="2" s="1"/>
  <c r="K1294" i="2"/>
  <c r="J1294" i="2"/>
  <c r="H1294" i="2" s="1"/>
  <c r="J1307" i="2"/>
  <c r="H1307" i="2" s="1"/>
  <c r="I1294" i="2"/>
  <c r="J1337" i="2"/>
  <c r="H1337" i="2" s="1"/>
  <c r="I1238" i="2"/>
  <c r="K1256" i="2"/>
  <c r="J1256" i="2"/>
  <c r="H1256" i="2" s="1"/>
  <c r="K1220" i="2"/>
  <c r="J1220" i="2"/>
  <c r="H1220" i="2" s="1"/>
  <c r="J1283" i="2"/>
  <c r="H1283" i="2" s="1"/>
  <c r="J1347" i="2"/>
  <c r="H1347" i="2" s="1"/>
  <c r="J1215" i="2"/>
  <c r="H1215" i="2" s="1"/>
  <c r="I1136" i="2"/>
  <c r="J1152" i="2"/>
  <c r="H1152" i="2" s="1"/>
  <c r="I1035" i="2"/>
  <c r="K994" i="2"/>
  <c r="I949" i="2"/>
  <c r="J949" i="2"/>
  <c r="H949" i="2" s="1"/>
  <c r="I973" i="2"/>
  <c r="K1042" i="2"/>
  <c r="I1058" i="2"/>
  <c r="J1069" i="2"/>
  <c r="H1069" i="2" s="1"/>
  <c r="J842" i="2"/>
  <c r="H842" i="2" s="1"/>
  <c r="I936" i="2"/>
  <c r="K813" i="2"/>
  <c r="I813" i="2"/>
  <c r="K880" i="2"/>
  <c r="J636" i="2"/>
  <c r="H636" i="2" s="1"/>
  <c r="J747" i="2"/>
  <c r="H747" i="2" s="1"/>
  <c r="K638" i="2"/>
  <c r="J702" i="2"/>
  <c r="H702" i="2" s="1"/>
  <c r="K727" i="2"/>
  <c r="K945" i="2"/>
  <c r="J581" i="2"/>
  <c r="H581" i="2" s="1"/>
  <c r="I581" i="2"/>
  <c r="I835" i="2"/>
  <c r="J647" i="2"/>
  <c r="H647" i="2" s="1"/>
  <c r="J646" i="2"/>
  <c r="H646" i="2" s="1"/>
  <c r="J529" i="2"/>
  <c r="H529" i="2" s="1"/>
  <c r="J516" i="2"/>
  <c r="H516" i="2" s="1"/>
  <c r="I826" i="2"/>
  <c r="I411" i="2"/>
  <c r="J411" i="2"/>
  <c r="H411" i="2" s="1"/>
  <c r="J362" i="2"/>
  <c r="H362" i="2" s="1"/>
  <c r="K362" i="2"/>
  <c r="I362" i="2"/>
  <c r="I643" i="2"/>
  <c r="J459" i="2"/>
  <c r="H459" i="2" s="1"/>
  <c r="K242" i="2"/>
  <c r="J242" i="2"/>
  <c r="I242" i="2"/>
  <c r="K44" i="2"/>
  <c r="I44" i="2"/>
  <c r="J134" i="2"/>
  <c r="I134" i="2"/>
  <c r="K134" i="2"/>
  <c r="K322" i="2"/>
  <c r="H248" i="2"/>
  <c r="G248" i="2"/>
  <c r="K180" i="2"/>
  <c r="I180" i="2"/>
  <c r="K54" i="2"/>
  <c r="I54" i="2"/>
  <c r="K321" i="2"/>
  <c r="J321" i="2"/>
  <c r="K338" i="2" s="1"/>
  <c r="I321" i="2"/>
  <c r="J444" i="2"/>
  <c r="K455" i="2" s="1"/>
  <c r="I444" i="2"/>
  <c r="I365" i="2"/>
  <c r="K365" i="2"/>
  <c r="J365" i="2"/>
  <c r="K416" i="2" s="1"/>
  <c r="J430" i="2"/>
  <c r="K814" i="2" s="1"/>
  <c r="I430" i="2"/>
  <c r="J385" i="2"/>
  <c r="I385" i="2"/>
  <c r="I604" i="2"/>
  <c r="J604" i="2"/>
  <c r="K791" i="2"/>
  <c r="J791" i="2"/>
  <c r="I791" i="2"/>
  <c r="J548" i="2"/>
  <c r="I548" i="2"/>
  <c r="K548" i="2"/>
  <c r="K899" i="2"/>
  <c r="J899" i="2"/>
  <c r="K901" i="2" s="1"/>
  <c r="I899" i="2"/>
  <c r="J744" i="2"/>
  <c r="K768" i="2" s="1"/>
  <c r="I744" i="2"/>
  <c r="J768" i="2"/>
  <c r="K773" i="2" s="1"/>
  <c r="I768" i="2"/>
  <c r="J961" i="2"/>
  <c r="I961" i="2"/>
  <c r="K933" i="2"/>
  <c r="J933" i="2"/>
  <c r="I933" i="2"/>
  <c r="J803" i="2"/>
  <c r="K1323" i="2" s="1"/>
  <c r="I803" i="2"/>
  <c r="J1006" i="2"/>
  <c r="I1006" i="2"/>
  <c r="J1104" i="2"/>
  <c r="K1104" i="2"/>
  <c r="I1104" i="2"/>
  <c r="J1153" i="2"/>
  <c r="K1153" i="2"/>
  <c r="I1153" i="2"/>
  <c r="K1230" i="2"/>
  <c r="J1230" i="2"/>
  <c r="K1247" i="2" s="1"/>
  <c r="I1230" i="2"/>
  <c r="J1109" i="2"/>
  <c r="I1109" i="2"/>
  <c r="J1300" i="2"/>
  <c r="I1300" i="2"/>
  <c r="J1323" i="2"/>
  <c r="K1780" i="2" s="1"/>
  <c r="I1323" i="2"/>
  <c r="J1334" i="2"/>
  <c r="I1334" i="2"/>
  <c r="H1365" i="2"/>
  <c r="G1365" i="2"/>
  <c r="K1587" i="2"/>
  <c r="J1587" i="2"/>
  <c r="K1595" i="2" s="1"/>
  <c r="I1587" i="2"/>
  <c r="K1513" i="2"/>
  <c r="J1513" i="2"/>
  <c r="I1513" i="2"/>
  <c r="H1442" i="2"/>
  <c r="G1442" i="2"/>
  <c r="K1617" i="2"/>
  <c r="J1617" i="2"/>
  <c r="I1617" i="2"/>
  <c r="H1703" i="2"/>
  <c r="G1703" i="2"/>
  <c r="K1734" i="2"/>
  <c r="I1734" i="2"/>
  <c r="J1734" i="2"/>
  <c r="I1740" i="2"/>
  <c r="J1740" i="2"/>
  <c r="K1766" i="2" s="1"/>
  <c r="I1808" i="2"/>
  <c r="J1808" i="2"/>
  <c r="J1801" i="2"/>
  <c r="I1801" i="2"/>
  <c r="J1848" i="2"/>
  <c r="I1848" i="2"/>
  <c r="K303" i="2"/>
  <c r="I303" i="2"/>
  <c r="J303" i="2"/>
  <c r="K541" i="2"/>
  <c r="I483" i="2"/>
  <c r="J379" i="2"/>
  <c r="H379" i="2" s="1"/>
  <c r="K348" i="2"/>
  <c r="I170" i="2"/>
  <c r="I90" i="2"/>
  <c r="J90" i="2"/>
  <c r="H90" i="2" s="1"/>
  <c r="I72" i="2"/>
  <c r="J72" i="2"/>
  <c r="H72" i="2" s="1"/>
  <c r="J22" i="2"/>
  <c r="H22" i="2" s="1"/>
  <c r="K22" i="2"/>
  <c r="I364" i="2"/>
  <c r="J313" i="2"/>
  <c r="H313" i="2" s="1"/>
  <c r="J235" i="2"/>
  <c r="H235" i="2" s="1"/>
  <c r="K235" i="2"/>
  <c r="I126" i="2"/>
  <c r="I102" i="2"/>
  <c r="J102" i="2"/>
  <c r="J397" i="2"/>
  <c r="H397" i="2" s="1"/>
  <c r="I240" i="2"/>
  <c r="J177" i="2"/>
  <c r="K385" i="2" s="1"/>
  <c r="I177" i="2"/>
  <c r="I392" i="2"/>
  <c r="K158" i="2"/>
  <c r="J64" i="2"/>
  <c r="H64" i="2" s="1"/>
  <c r="K41" i="2"/>
  <c r="I41" i="2"/>
  <c r="J41" i="2"/>
  <c r="K102" i="2" s="1"/>
  <c r="I188" i="2"/>
  <c r="J1733" i="2"/>
  <c r="H1733" i="2" s="1"/>
  <c r="J1837" i="2"/>
  <c r="H1837" i="2" s="1"/>
  <c r="K1833" i="2"/>
  <c r="J1767" i="2"/>
  <c r="H1767" i="2" s="1"/>
  <c r="J1689" i="2"/>
  <c r="H1689" i="2" s="1"/>
  <c r="K1689" i="2"/>
  <c r="K1764" i="2"/>
  <c r="K1567" i="2"/>
  <c r="I1629" i="2"/>
  <c r="J1489" i="2"/>
  <c r="H1489" i="2" s="1"/>
  <c r="I1454" i="2"/>
  <c r="K1425" i="2"/>
  <c r="J1425" i="2"/>
  <c r="H1425" i="2" s="1"/>
  <c r="I1425" i="2"/>
  <c r="K1348" i="2"/>
  <c r="K1306" i="2"/>
  <c r="I1306" i="2"/>
  <c r="J1306" i="2"/>
  <c r="H1306" i="2" s="1"/>
  <c r="J1131" i="2"/>
  <c r="H1131" i="2" s="1"/>
  <c r="K1081" i="2"/>
  <c r="I1081" i="2"/>
  <c r="J1044" i="2"/>
  <c r="H1044" i="2" s="1"/>
  <c r="K1044" i="2"/>
  <c r="K997" i="2"/>
  <c r="J997" i="2"/>
  <c r="H997" i="2" s="1"/>
  <c r="J973" i="2"/>
  <c r="H973" i="2" s="1"/>
  <c r="K842" i="2"/>
  <c r="I807" i="2"/>
  <c r="J936" i="2"/>
  <c r="H936" i="2" s="1"/>
  <c r="K627" i="2"/>
  <c r="I627" i="2"/>
  <c r="I771" i="2"/>
  <c r="J563" i="2"/>
  <c r="H563" i="2" s="1"/>
  <c r="I689" i="2"/>
  <c r="I536" i="2"/>
  <c r="I523" i="2"/>
  <c r="J523" i="2"/>
  <c r="H523" i="2" s="1"/>
  <c r="I319" i="2"/>
  <c r="K319" i="2"/>
  <c r="J319" i="2"/>
  <c r="H319" i="2" s="1"/>
  <c r="J479" i="2"/>
  <c r="H479" i="2" s="1"/>
  <c r="K424" i="2"/>
  <c r="J457" i="2"/>
  <c r="H457" i="2" s="1"/>
  <c r="G128" i="2"/>
  <c r="I339" i="2"/>
  <c r="K339" i="2"/>
  <c r="K3" i="2"/>
  <c r="J3" i="2"/>
  <c r="H3" i="2" s="1"/>
  <c r="I39" i="2"/>
  <c r="J39" i="2"/>
  <c r="K86" i="2" s="1"/>
  <c r="K352" i="2"/>
  <c r="I352" i="2"/>
  <c r="J352" i="2"/>
  <c r="J281" i="2"/>
  <c r="K430" i="2" s="1"/>
  <c r="I281" i="2"/>
  <c r="K151" i="2"/>
  <c r="I151" i="2"/>
  <c r="K95" i="2"/>
  <c r="I95" i="2"/>
  <c r="I363" i="2"/>
  <c r="K363" i="2"/>
  <c r="J363" i="2"/>
  <c r="K388" i="2" s="1"/>
  <c r="J592" i="2"/>
  <c r="I592" i="2"/>
  <c r="I550" i="2"/>
  <c r="K550" i="2"/>
  <c r="J550" i="2"/>
  <c r="K590" i="2" s="1"/>
  <c r="I463" i="2"/>
  <c r="K463" i="2"/>
  <c r="J463" i="2"/>
  <c r="K405" i="2"/>
  <c r="J405" i="2"/>
  <c r="I405" i="2"/>
  <c r="H641" i="2"/>
  <c r="J531" i="2"/>
  <c r="I531" i="2"/>
  <c r="J788" i="2"/>
  <c r="K1299" i="2" s="1"/>
  <c r="G1299" i="2" s="1"/>
  <c r="I788" i="2"/>
  <c r="I780" i="2"/>
  <c r="K780" i="2"/>
  <c r="J780" i="2"/>
  <c r="J361" i="2"/>
  <c r="K361" i="2"/>
  <c r="I361" i="2"/>
  <c r="H562" i="2"/>
  <c r="K947" i="2"/>
  <c r="J947" i="2"/>
  <c r="K961" i="2" s="1"/>
  <c r="I947" i="2"/>
  <c r="K834" i="2"/>
  <c r="J834" i="2"/>
  <c r="K1393" i="2" s="1"/>
  <c r="I834" i="2"/>
  <c r="I814" i="2"/>
  <c r="J814" i="2"/>
  <c r="I1046" i="2"/>
  <c r="K1046" i="2"/>
  <c r="J1046" i="2"/>
  <c r="J986" i="2"/>
  <c r="K1002" i="2" s="1"/>
  <c r="I986" i="2"/>
  <c r="K986" i="2"/>
  <c r="K848" i="2"/>
  <c r="J848" i="2"/>
  <c r="K892" i="2" s="1"/>
  <c r="I848" i="2"/>
  <c r="I1068" i="2"/>
  <c r="J1068" i="2"/>
  <c r="K1085" i="2" s="1"/>
  <c r="K1123" i="2"/>
  <c r="J1123" i="2"/>
  <c r="K1129" i="2" s="1"/>
  <c r="I1123" i="2"/>
  <c r="K1119" i="2"/>
  <c r="J1119" i="2"/>
  <c r="I1119" i="2"/>
  <c r="J1092" i="2"/>
  <c r="I1092" i="2"/>
  <c r="J1229" i="2"/>
  <c r="I1229" i="2"/>
  <c r="J1234" i="2"/>
  <c r="I1234" i="2"/>
  <c r="K1305" i="2"/>
  <c r="G1305" i="2" s="1"/>
  <c r="J1332" i="2"/>
  <c r="I1332" i="2"/>
  <c r="K1357" i="2"/>
  <c r="J1357" i="2"/>
  <c r="I1357" i="2"/>
  <c r="J1411" i="2"/>
  <c r="K1782" i="2" s="1"/>
  <c r="I1411" i="2"/>
  <c r="J1493" i="2"/>
  <c r="I1493" i="2"/>
  <c r="K1493" i="2"/>
  <c r="J1505" i="2"/>
  <c r="K1512" i="2" s="1"/>
  <c r="I1505" i="2"/>
  <c r="I1634" i="2"/>
  <c r="K1634" i="2"/>
  <c r="J1634" i="2"/>
  <c r="I1451" i="2"/>
  <c r="J1451" i="2"/>
  <c r="J1530" i="2"/>
  <c r="I1530" i="2"/>
  <c r="J1784" i="2"/>
  <c r="K1792" i="2" s="1"/>
  <c r="I1784" i="2"/>
  <c r="H1675" i="2"/>
  <c r="K1741" i="2"/>
  <c r="I1741" i="2"/>
  <c r="J1741" i="2"/>
  <c r="J1790" i="2"/>
  <c r="K1805" i="2" s="1"/>
  <c r="I1790" i="2"/>
  <c r="K1676" i="2"/>
  <c r="J1676" i="2"/>
  <c r="I1676" i="2"/>
  <c r="J1760" i="2"/>
  <c r="I1760" i="2"/>
  <c r="K379" i="2"/>
  <c r="I168" i="2"/>
  <c r="J168" i="2"/>
  <c r="H168" i="2" s="1"/>
  <c r="J148" i="2"/>
  <c r="H148" i="2" s="1"/>
  <c r="I133" i="2"/>
  <c r="J133" i="2"/>
  <c r="H133" i="2" s="1"/>
  <c r="I27" i="2"/>
  <c r="J27" i="2"/>
  <c r="H27" i="2" s="1"/>
  <c r="K231" i="2"/>
  <c r="J231" i="2"/>
  <c r="I231" i="2"/>
  <c r="G213" i="2"/>
  <c r="H213" i="2"/>
  <c r="G197" i="2"/>
  <c r="H197" i="2"/>
  <c r="J175" i="2"/>
  <c r="H175" i="2" s="1"/>
  <c r="K175" i="2"/>
  <c r="K123" i="2"/>
  <c r="J123" i="2"/>
  <c r="H123" i="2" s="1"/>
  <c r="K347" i="2"/>
  <c r="J347" i="2"/>
  <c r="I347" i="2"/>
  <c r="K358" i="2"/>
  <c r="I358" i="2"/>
  <c r="J358" i="2"/>
  <c r="J193" i="2"/>
  <c r="H193" i="2" s="1"/>
  <c r="J157" i="2"/>
  <c r="H157" i="2" s="1"/>
  <c r="K122" i="2"/>
  <c r="K108" i="2"/>
  <c r="J77" i="2"/>
  <c r="H77" i="2" s="1"/>
  <c r="K27" i="2"/>
  <c r="H21" i="2"/>
  <c r="G21" i="2"/>
  <c r="I175" i="2"/>
  <c r="J400" i="2"/>
  <c r="H400" i="2" s="1"/>
  <c r="I1683" i="2"/>
  <c r="J1629" i="2"/>
  <c r="H1629" i="2" s="1"/>
  <c r="G524" i="2"/>
  <c r="H524" i="2"/>
  <c r="J455" i="2"/>
  <c r="K575" i="2" s="1"/>
  <c r="I455" i="2"/>
  <c r="I1161" i="2"/>
  <c r="J1161" i="2"/>
  <c r="H1158" i="2"/>
  <c r="G1158" i="2"/>
  <c r="J1247" i="2"/>
  <c r="I1247" i="2"/>
  <c r="I1318" i="2"/>
  <c r="J1318" i="2"/>
  <c r="K1324" i="2" s="1"/>
  <c r="J1311" i="2"/>
  <c r="I1311" i="2"/>
  <c r="K1311" i="2"/>
  <c r="I1431" i="2"/>
  <c r="K1431" i="2"/>
  <c r="J1431" i="2"/>
  <c r="J1379" i="2"/>
  <c r="K1388" i="2" s="1"/>
  <c r="I1379" i="2"/>
  <c r="J1524" i="2"/>
  <c r="I1524" i="2"/>
  <c r="K1524" i="2"/>
  <c r="J1614" i="2"/>
  <c r="I1614" i="2"/>
  <c r="I1766" i="2"/>
  <c r="J1766" i="2"/>
  <c r="J1457" i="2"/>
  <c r="I1457" i="2"/>
  <c r="I1468" i="2"/>
  <c r="J1468" i="2"/>
  <c r="K1541" i="2"/>
  <c r="J1541" i="2"/>
  <c r="I1541" i="2"/>
  <c r="G1660" i="2"/>
  <c r="H1660" i="2"/>
  <c r="I1682" i="2"/>
  <c r="K1682" i="2"/>
  <c r="J1682" i="2"/>
  <c r="I1782" i="2"/>
  <c r="J1782" i="2"/>
  <c r="K1790" i="2" s="1"/>
  <c r="J1795" i="2"/>
  <c r="I1795" i="2"/>
  <c r="J1780" i="2"/>
  <c r="K1808" i="2" s="1"/>
  <c r="I1780" i="2"/>
  <c r="H221" i="2"/>
  <c r="G221" i="2"/>
  <c r="J513" i="2"/>
  <c r="H513" i="2" s="1"/>
  <c r="K377" i="2"/>
  <c r="K345" i="2"/>
  <c r="I345" i="2"/>
  <c r="I181" i="2"/>
  <c r="J181" i="2"/>
  <c r="H181" i="2" s="1"/>
  <c r="I67" i="2"/>
  <c r="K393" i="2"/>
  <c r="I359" i="2"/>
  <c r="J211" i="2"/>
  <c r="H211" i="2" s="1"/>
  <c r="K211" i="2"/>
  <c r="J195" i="2"/>
  <c r="H195" i="2" s="1"/>
  <c r="K195" i="2"/>
  <c r="J145" i="2"/>
  <c r="H145" i="2" s="1"/>
  <c r="K145" i="2"/>
  <c r="I98" i="2"/>
  <c r="K476" i="2"/>
  <c r="I507" i="2"/>
  <c r="J480" i="2"/>
  <c r="H480" i="2" s="1"/>
  <c r="J121" i="2"/>
  <c r="H121" i="2" s="1"/>
  <c r="K90" i="2"/>
  <c r="J44" i="2"/>
  <c r="H44" i="2" s="1"/>
  <c r="J26" i="2"/>
  <c r="H26" i="2" s="1"/>
  <c r="I145" i="2"/>
  <c r="I235" i="2"/>
  <c r="I109" i="2"/>
  <c r="H155" i="2"/>
  <c r="G155" i="2"/>
  <c r="I1385" i="2"/>
  <c r="J1385" i="2"/>
  <c r="H1385" i="2" s="1"/>
  <c r="I1134" i="2"/>
  <c r="J1134" i="2"/>
  <c r="H1134" i="2" s="1"/>
  <c r="J407" i="2"/>
  <c r="H407" i="2" s="1"/>
  <c r="I407" i="2"/>
  <c r="K407" i="2"/>
  <c r="I357" i="2"/>
  <c r="K357" i="2"/>
  <c r="J357" i="2"/>
  <c r="H357" i="2" s="1"/>
  <c r="K71" i="2"/>
  <c r="I71" i="2"/>
  <c r="K306" i="2"/>
  <c r="I306" i="2"/>
  <c r="K173" i="2"/>
  <c r="I173" i="2"/>
  <c r="J173" i="2"/>
  <c r="K114" i="2"/>
  <c r="I114" i="2"/>
  <c r="K89" i="2"/>
  <c r="I89" i="2"/>
  <c r="J622" i="2"/>
  <c r="I622" i="2"/>
  <c r="K622" i="2"/>
  <c r="J288" i="2"/>
  <c r="I288" i="2"/>
  <c r="K288" i="2"/>
  <c r="J499" i="2"/>
  <c r="K506" i="2" s="1"/>
  <c r="I499" i="2"/>
  <c r="I416" i="2"/>
  <c r="J416" i="2"/>
  <c r="J556" i="2"/>
  <c r="I556" i="2"/>
  <c r="K556" i="2"/>
  <c r="G423" i="2"/>
  <c r="H423" i="2"/>
  <c r="K733" i="2"/>
  <c r="J733" i="2"/>
  <c r="I733" i="2"/>
  <c r="K673" i="2"/>
  <c r="J673" i="2"/>
  <c r="I673" i="2"/>
  <c r="K839" i="2"/>
  <c r="I839" i="2"/>
  <c r="J839" i="2"/>
  <c r="I931" i="2"/>
  <c r="J931" i="2"/>
  <c r="J995" i="2"/>
  <c r="K995" i="2"/>
  <c r="I995" i="2"/>
  <c r="I860" i="2"/>
  <c r="J860" i="2"/>
  <c r="K882" i="2" s="1"/>
  <c r="K1036" i="2"/>
  <c r="I1036" i="2"/>
  <c r="J1036" i="2"/>
  <c r="K1038" i="2" s="1"/>
  <c r="K884" i="2"/>
  <c r="J884" i="2"/>
  <c r="I884" i="2"/>
  <c r="J1053" i="2"/>
  <c r="K1053" i="2"/>
  <c r="I1053" i="2"/>
  <c r="J1156" i="2"/>
  <c r="I1156" i="2"/>
  <c r="J1855" i="2"/>
  <c r="H1855" i="2" s="1"/>
  <c r="J1786" i="2"/>
  <c r="H1786" i="2" s="1"/>
  <c r="K1756" i="2"/>
  <c r="K1774" i="2"/>
  <c r="I1774" i="2"/>
  <c r="J1730" i="2"/>
  <c r="H1730" i="2" s="1"/>
  <c r="J1683" i="2"/>
  <c r="H1683" i="2" s="1"/>
  <c r="I1649" i="2"/>
  <c r="K1511" i="2"/>
  <c r="J1521" i="2"/>
  <c r="H1521" i="2" s="1"/>
  <c r="I1521" i="2"/>
  <c r="K1527" i="2"/>
  <c r="K1458" i="2"/>
  <c r="J1452" i="2"/>
  <c r="H1452" i="2" s="1"/>
  <c r="K1452" i="2"/>
  <c r="I1331" i="2"/>
  <c r="K1360" i="2"/>
  <c r="I1364" i="2"/>
  <c r="J1233" i="2"/>
  <c r="H1233" i="2" s="1"/>
  <c r="J1035" i="2"/>
  <c r="H1035" i="2" s="1"/>
  <c r="I1297" i="2"/>
  <c r="I1047" i="2"/>
  <c r="K953" i="2"/>
  <c r="J778" i="2"/>
  <c r="H778" i="2" s="1"/>
  <c r="J781" i="2"/>
  <c r="H781" i="2" s="1"/>
  <c r="I796" i="2"/>
  <c r="K796" i="2"/>
  <c r="J637" i="2"/>
  <c r="H637" i="2" s="1"/>
  <c r="I457" i="2"/>
  <c r="I403" i="2"/>
  <c r="K403" i="2"/>
  <c r="I305" i="2"/>
  <c r="K305" i="2"/>
  <c r="J305" i="2"/>
  <c r="H305" i="2" s="1"/>
  <c r="K452" i="2"/>
  <c r="I452" i="2"/>
  <c r="J452" i="2"/>
  <c r="H452" i="2" s="1"/>
  <c r="K370" i="2"/>
  <c r="J339" i="2"/>
  <c r="H339" i="2" s="1"/>
  <c r="H283" i="2"/>
  <c r="J60" i="2"/>
  <c r="I60" i="2"/>
  <c r="K60" i="2"/>
  <c r="I334" i="2"/>
  <c r="K9" i="2"/>
  <c r="I9" i="2"/>
  <c r="I489" i="2"/>
  <c r="J489" i="2"/>
  <c r="K631" i="2"/>
  <c r="J631" i="2"/>
  <c r="I631" i="2"/>
  <c r="H290" i="2"/>
  <c r="G290" i="2"/>
  <c r="J465" i="2"/>
  <c r="I465" i="2"/>
  <c r="J575" i="2"/>
  <c r="I575" i="2"/>
  <c r="J590" i="2"/>
  <c r="I590" i="2"/>
  <c r="H652" i="2"/>
  <c r="G652" i="2"/>
  <c r="J506" i="2"/>
  <c r="K531" i="2" s="1"/>
  <c r="I506" i="2"/>
  <c r="K426" i="2"/>
  <c r="J426" i="2"/>
  <c r="I426" i="2"/>
  <c r="I648" i="2"/>
  <c r="K648" i="2"/>
  <c r="J648" i="2"/>
  <c r="I707" i="2"/>
  <c r="J707" i="2"/>
  <c r="J1095" i="2"/>
  <c r="K1095" i="2"/>
  <c r="I1095" i="2"/>
  <c r="I1129" i="2"/>
  <c r="J1129" i="2"/>
  <c r="K1156" i="2" s="1"/>
  <c r="I913" i="2"/>
  <c r="J913" i="2"/>
  <c r="K876" i="2"/>
  <c r="J876" i="2"/>
  <c r="K1167" i="2" s="1"/>
  <c r="I876" i="2"/>
  <c r="J1002" i="2"/>
  <c r="K1010" i="2" s="1"/>
  <c r="I1002" i="2"/>
  <c r="I1065" i="2"/>
  <c r="K1065" i="2"/>
  <c r="J1065" i="2"/>
  <c r="H980" i="2"/>
  <c r="G980" i="2"/>
  <c r="J1169" i="2"/>
  <c r="K1179" i="2" s="1"/>
  <c r="I1169" i="2"/>
  <c r="J1025" i="2"/>
  <c r="I1025" i="2"/>
  <c r="I1187" i="2"/>
  <c r="J1187" i="2"/>
  <c r="J1167" i="2"/>
  <c r="K1457" i="2" s="1"/>
  <c r="I1167" i="2"/>
  <c r="H1305" i="2"/>
  <c r="J1140" i="2"/>
  <c r="K1140" i="2"/>
  <c r="I1140" i="2"/>
  <c r="J1324" i="2"/>
  <c r="K1369" i="2" s="1"/>
  <c r="I1324" i="2"/>
  <c r="I1369" i="2"/>
  <c r="J1369" i="2"/>
  <c r="J1498" i="2"/>
  <c r="K1507" i="2" s="1"/>
  <c r="I1498" i="2"/>
  <c r="K1498" i="2"/>
  <c r="K1434" i="2"/>
  <c r="J1434" i="2"/>
  <c r="I1434" i="2"/>
  <c r="K1650" i="2"/>
  <c r="J1650" i="2"/>
  <c r="K1663" i="2" s="1"/>
  <c r="I1650" i="2"/>
  <c r="G1371" i="2"/>
  <c r="H1371" i="2"/>
  <c r="I1526" i="2"/>
  <c r="J1526" i="2"/>
  <c r="K1530" i="2" s="1"/>
  <c r="K1526" i="2"/>
  <c r="I1620" i="2"/>
  <c r="K1620" i="2"/>
  <c r="J1620" i="2"/>
  <c r="K1627" i="2" s="1"/>
  <c r="J1663" i="2"/>
  <c r="K1760" i="2" s="1"/>
  <c r="I1663" i="2"/>
  <c r="I1805" i="2"/>
  <c r="J1805" i="2"/>
  <c r="K1815" i="2" s="1"/>
  <c r="K1746" i="2"/>
  <c r="J1746" i="2"/>
  <c r="I1746" i="2"/>
  <c r="K1827" i="2"/>
  <c r="J1827" i="2"/>
  <c r="I1827" i="2"/>
  <c r="J1792" i="2"/>
  <c r="I1792" i="2"/>
  <c r="J537" i="2"/>
  <c r="H537" i="2" s="1"/>
  <c r="K581" i="2"/>
  <c r="K395" i="2"/>
  <c r="K320" i="2"/>
  <c r="I320" i="2"/>
  <c r="I218" i="2"/>
  <c r="I194" i="2"/>
  <c r="J194" i="2"/>
  <c r="H194" i="2" s="1"/>
  <c r="J115" i="2"/>
  <c r="H115" i="2" s="1"/>
  <c r="I115" i="2"/>
  <c r="J567" i="2"/>
  <c r="I567" i="2"/>
  <c r="J359" i="2"/>
  <c r="H359" i="2" s="1"/>
  <c r="K116" i="2"/>
  <c r="J116" i="2"/>
  <c r="H116" i="2" s="1"/>
  <c r="J34" i="2"/>
  <c r="H34" i="2" s="1"/>
  <c r="K34" i="2"/>
  <c r="K227" i="2"/>
  <c r="J227" i="2"/>
  <c r="I227" i="2"/>
  <c r="J507" i="2"/>
  <c r="H507" i="2" s="1"/>
  <c r="J89" i="2"/>
  <c r="H89" i="2" s="1"/>
  <c r="J9" i="2"/>
  <c r="H9" i="2" s="1"/>
  <c r="J86" i="2"/>
  <c r="K596" i="2" s="1"/>
  <c r="I86" i="2"/>
  <c r="I79" i="2"/>
  <c r="I222" i="2"/>
  <c r="K1405" i="2"/>
  <c r="I1405" i="2"/>
  <c r="J557" i="2"/>
  <c r="H557" i="2" s="1"/>
  <c r="I557" i="2"/>
  <c r="I351" i="2"/>
  <c r="K351" i="2"/>
  <c r="J351" i="2"/>
  <c r="H351" i="2" s="1"/>
  <c r="J473" i="2"/>
  <c r="H473" i="2" s="1"/>
  <c r="I473" i="2"/>
  <c r="H664" i="2"/>
  <c r="G664" i="2"/>
  <c r="K481" i="2"/>
  <c r="J481" i="2"/>
  <c r="K489" i="2" s="1"/>
  <c r="I481" i="2"/>
  <c r="J687" i="2"/>
  <c r="I687" i="2"/>
  <c r="J773" i="2"/>
  <c r="I773" i="2"/>
  <c r="K685" i="2"/>
  <c r="J685" i="2"/>
  <c r="K687" i="2" s="1"/>
  <c r="I685" i="2"/>
  <c r="K721" i="2"/>
  <c r="J721" i="2"/>
  <c r="I721" i="2"/>
  <c r="J824" i="2"/>
  <c r="K1172" i="2" s="1"/>
  <c r="K824" i="2"/>
  <c r="I824" i="2"/>
  <c r="J938" i="2"/>
  <c r="I938" i="2"/>
  <c r="K938" i="2"/>
  <c r="J892" i="2"/>
  <c r="I892" i="2"/>
  <c r="J1010" i="2"/>
  <c r="K1027" i="2" s="1"/>
  <c r="I1010" i="2"/>
  <c r="J1089" i="2"/>
  <c r="I1089" i="2"/>
  <c r="K1089" i="2"/>
  <c r="I1021" i="2"/>
  <c r="K1021" i="2"/>
  <c r="J1021" i="2"/>
  <c r="K1025" i="2" s="1"/>
  <c r="J1172" i="2"/>
  <c r="K1300" i="2" s="1"/>
  <c r="I1172" i="2"/>
  <c r="J1038" i="2"/>
  <c r="I1038" i="2"/>
  <c r="J1191" i="2"/>
  <c r="K1204" i="2" s="1"/>
  <c r="I1191" i="2"/>
  <c r="K1191" i="2"/>
  <c r="J1204" i="2"/>
  <c r="I1204" i="2"/>
  <c r="H1217" i="2"/>
  <c r="H1345" i="2"/>
  <c r="G1345" i="2"/>
  <c r="I1164" i="2"/>
  <c r="K1164" i="2"/>
  <c r="J1164" i="2"/>
  <c r="K1187" i="2" s="1"/>
  <c r="I1393" i="2"/>
  <c r="J1393" i="2"/>
  <c r="H1320" i="2"/>
  <c r="G1320" i="2"/>
  <c r="K1361" i="2"/>
  <c r="I1361" i="2"/>
  <c r="J1361" i="2"/>
  <c r="K1401" i="2"/>
  <c r="I1401" i="2"/>
  <c r="J1401" i="2"/>
  <c r="I1512" i="2"/>
  <c r="J1512" i="2"/>
  <c r="K1455" i="2"/>
  <c r="J1455" i="2"/>
  <c r="I1455" i="2"/>
  <c r="H1679" i="2"/>
  <c r="J1552" i="2"/>
  <c r="K1848" i="2" s="1"/>
  <c r="I1552" i="2"/>
  <c r="K1552" i="2"/>
  <c r="H1535" i="2"/>
  <c r="G1535" i="2"/>
  <c r="I1627" i="2"/>
  <c r="J1627" i="2"/>
  <c r="J1677" i="2"/>
  <c r="I1677" i="2"/>
  <c r="K1677" i="2"/>
  <c r="K1737" i="2"/>
  <c r="J1737" i="2"/>
  <c r="I1737" i="2"/>
  <c r="H1754" i="2"/>
  <c r="G1754" i="2"/>
  <c r="K1679" i="2"/>
  <c r="G1679" i="2" s="1"/>
  <c r="J1828" i="2"/>
  <c r="I1828" i="2"/>
  <c r="I395" i="2"/>
  <c r="I144" i="2"/>
  <c r="J144" i="2"/>
  <c r="H144" i="2" s="1"/>
  <c r="I78" i="2"/>
  <c r="J78" i="2"/>
  <c r="H78" i="2" s="1"/>
  <c r="G207" i="2"/>
  <c r="H207" i="2"/>
  <c r="J163" i="2"/>
  <c r="H163" i="2" s="1"/>
  <c r="K163" i="2"/>
  <c r="K139" i="2"/>
  <c r="J139" i="2"/>
  <c r="H139" i="2" s="1"/>
  <c r="J91" i="2"/>
  <c r="H91" i="2" s="1"/>
  <c r="K91" i="2"/>
  <c r="J28" i="2"/>
  <c r="H28" i="2" s="1"/>
  <c r="K28" i="2"/>
  <c r="H586" i="2"/>
  <c r="G586" i="2"/>
  <c r="K189" i="2"/>
  <c r="J189" i="2"/>
  <c r="K1801" i="2" s="1"/>
  <c r="I189" i="2"/>
  <c r="K168" i="2"/>
  <c r="J151" i="2"/>
  <c r="H151" i="2" s="1"/>
  <c r="K133" i="2"/>
  <c r="J101" i="2"/>
  <c r="H101" i="2" s="1"/>
  <c r="J71" i="2"/>
  <c r="H71" i="2" s="1"/>
  <c r="K135" i="2"/>
  <c r="J135" i="2"/>
  <c r="I135" i="2"/>
  <c r="I205" i="2"/>
  <c r="I182" i="2"/>
  <c r="I73" i="2"/>
  <c r="I22" i="2"/>
  <c r="K1255" i="2" l="1"/>
  <c r="G1255" i="2" s="1"/>
  <c r="H631" i="2"/>
  <c r="K633" i="2"/>
  <c r="G633" i="2" s="1"/>
  <c r="K514" i="2"/>
  <c r="G514" i="2" s="1"/>
  <c r="K615" i="2"/>
  <c r="G615" i="2" s="1"/>
  <c r="K585" i="2"/>
  <c r="G585" i="2" s="1"/>
  <c r="H489" i="2"/>
  <c r="G489" i="2"/>
  <c r="K1217" i="2"/>
  <c r="G1217" i="2" s="1"/>
  <c r="G60" i="2"/>
  <c r="H60" i="2"/>
  <c r="H622" i="2"/>
  <c r="G622" i="2"/>
  <c r="H1229" i="2"/>
  <c r="G1229" i="2"/>
  <c r="H102" i="2"/>
  <c r="G102" i="2"/>
  <c r="G1723" i="2"/>
  <c r="H1723" i="2"/>
  <c r="H1252" i="2"/>
  <c r="H1736" i="2"/>
  <c r="H1138" i="2"/>
  <c r="G1138" i="2"/>
  <c r="H1677" i="2"/>
  <c r="G1677" i="2"/>
  <c r="H1552" i="2"/>
  <c r="G1552" i="2"/>
  <c r="H1191" i="2"/>
  <c r="G1191" i="2"/>
  <c r="H824" i="2"/>
  <c r="G824" i="2"/>
  <c r="G773" i="2"/>
  <c r="H773" i="2"/>
  <c r="G1650" i="2"/>
  <c r="H1650" i="2"/>
  <c r="H1369" i="2"/>
  <c r="G1369" i="2"/>
  <c r="H1140" i="2"/>
  <c r="G1140" i="2"/>
  <c r="G876" i="2"/>
  <c r="H876" i="2"/>
  <c r="H465" i="2"/>
  <c r="G884" i="2"/>
  <c r="H884" i="2"/>
  <c r="H499" i="2"/>
  <c r="H1795" i="2"/>
  <c r="K1820" i="2"/>
  <c r="G1820" i="2" s="1"/>
  <c r="G1457" i="2"/>
  <c r="H1457" i="2"/>
  <c r="H1247" i="2"/>
  <c r="G1247" i="2"/>
  <c r="H358" i="2"/>
  <c r="G358" i="2"/>
  <c r="G1790" i="2"/>
  <c r="H1790" i="2"/>
  <c r="H1784" i="2"/>
  <c r="G1784" i="2"/>
  <c r="G1634" i="2"/>
  <c r="H1634" i="2"/>
  <c r="H1493" i="2"/>
  <c r="G1493" i="2"/>
  <c r="H1332" i="2"/>
  <c r="G1332" i="2"/>
  <c r="H1123" i="2"/>
  <c r="G1123" i="2"/>
  <c r="G788" i="2"/>
  <c r="H788" i="2"/>
  <c r="H405" i="2"/>
  <c r="G405" i="2"/>
  <c r="K1740" i="2"/>
  <c r="G1740" i="2" s="1"/>
  <c r="H1323" i="2"/>
  <c r="G1323" i="2"/>
  <c r="H1230" i="2"/>
  <c r="G1230" i="2"/>
  <c r="H444" i="2"/>
  <c r="K1727" i="2"/>
  <c r="G1727" i="2" s="1"/>
  <c r="H1309" i="2"/>
  <c r="G1309" i="2"/>
  <c r="G1316" i="2"/>
  <c r="H1316" i="2"/>
  <c r="H1179" i="2"/>
  <c r="G1179" i="2"/>
  <c r="H751" i="2"/>
  <c r="G751" i="2"/>
  <c r="G35" i="2"/>
  <c r="H35" i="2"/>
  <c r="H1447" i="2"/>
  <c r="G1447" i="2"/>
  <c r="H1255" i="2"/>
  <c r="H441" i="2"/>
  <c r="H1639" i="2"/>
  <c r="G1639" i="2"/>
  <c r="H1563" i="2"/>
  <c r="G1563" i="2"/>
  <c r="H231" i="2"/>
  <c r="G231" i="2"/>
  <c r="H1423" i="2"/>
  <c r="G1423" i="2"/>
  <c r="H267" i="2"/>
  <c r="G267" i="2"/>
  <c r="H453" i="2"/>
  <c r="G453" i="2"/>
  <c r="K441" i="2"/>
  <c r="G441" i="2" s="1"/>
  <c r="G596" i="2"/>
  <c r="H596" i="2"/>
  <c r="H500" i="2"/>
  <c r="G500" i="2"/>
  <c r="G1627" i="2"/>
  <c r="H1627" i="2"/>
  <c r="H1401" i="2"/>
  <c r="G1401" i="2"/>
  <c r="H1393" i="2"/>
  <c r="G1393" i="2"/>
  <c r="H1805" i="2"/>
  <c r="G1805" i="2"/>
  <c r="G1065" i="2"/>
  <c r="H1065" i="2"/>
  <c r="K465" i="2"/>
  <c r="G465" i="2" s="1"/>
  <c r="K499" i="2"/>
  <c r="G499" i="2" s="1"/>
  <c r="G455" i="2"/>
  <c r="H455" i="2"/>
  <c r="H39" i="2"/>
  <c r="G39" i="2"/>
  <c r="G1801" i="2"/>
  <c r="H1801" i="2"/>
  <c r="H1734" i="2"/>
  <c r="G1734" i="2"/>
  <c r="H744" i="2"/>
  <c r="G744" i="2"/>
  <c r="G791" i="2"/>
  <c r="H791" i="2"/>
  <c r="K444" i="2"/>
  <c r="G444" i="2" s="1"/>
  <c r="H1830" i="2"/>
  <c r="G1830" i="2"/>
  <c r="H921" i="2"/>
  <c r="G921" i="2"/>
  <c r="H735" i="2"/>
  <c r="G735" i="2"/>
  <c r="H368" i="2"/>
  <c r="H1844" i="2"/>
  <c r="G1844" i="2"/>
  <c r="G1672" i="2"/>
  <c r="H1672" i="2"/>
  <c r="H1488" i="2"/>
  <c r="H1278" i="2"/>
  <c r="G1278" i="2"/>
  <c r="H901" i="2"/>
  <c r="G901" i="2"/>
  <c r="H926" i="2"/>
  <c r="G926" i="2"/>
  <c r="H528" i="2"/>
  <c r="G528" i="2"/>
  <c r="H625" i="2"/>
  <c r="G625" i="2"/>
  <c r="K641" i="2"/>
  <c r="G641" i="2" s="1"/>
  <c r="G1266" i="2"/>
  <c r="H1266" i="2"/>
  <c r="H720" i="2"/>
  <c r="G720" i="2"/>
  <c r="H695" i="2"/>
  <c r="G695" i="2"/>
  <c r="H388" i="2"/>
  <c r="G388" i="2"/>
  <c r="H1427" i="2"/>
  <c r="G1427" i="2"/>
  <c r="H1213" i="2"/>
  <c r="G1213" i="2"/>
  <c r="H1265" i="2"/>
  <c r="G890" i="2"/>
  <c r="H890" i="2"/>
  <c r="H1828" i="2"/>
  <c r="G1828" i="2"/>
  <c r="G1104" i="2"/>
  <c r="H1104" i="2"/>
  <c r="H933" i="2"/>
  <c r="G933" i="2"/>
  <c r="H385" i="2"/>
  <c r="G385" i="2"/>
  <c r="H1074" i="2"/>
  <c r="G1074" i="2"/>
  <c r="G338" i="2"/>
  <c r="H338" i="2"/>
  <c r="H705" i="2"/>
  <c r="G705" i="2"/>
  <c r="H552" i="2"/>
  <c r="G552" i="2"/>
  <c r="K562" i="2"/>
  <c r="G562" i="2" s="1"/>
  <c r="G892" i="2"/>
  <c r="H892" i="2"/>
  <c r="H721" i="2"/>
  <c r="G721" i="2"/>
  <c r="H1792" i="2"/>
  <c r="G1792" i="2"/>
  <c r="G1025" i="2"/>
  <c r="H1025" i="2"/>
  <c r="H913" i="2"/>
  <c r="G1095" i="2"/>
  <c r="H1095" i="2"/>
  <c r="H426" i="2"/>
  <c r="G426" i="2"/>
  <c r="H1156" i="2"/>
  <c r="G1156" i="2"/>
  <c r="H1036" i="2"/>
  <c r="G1036" i="2"/>
  <c r="H995" i="2"/>
  <c r="G995" i="2"/>
  <c r="H673" i="2"/>
  <c r="G673" i="2"/>
  <c r="G1782" i="2"/>
  <c r="H1782" i="2"/>
  <c r="H1541" i="2"/>
  <c r="G1541" i="2"/>
  <c r="K1675" i="2"/>
  <c r="G1675" i="2" s="1"/>
  <c r="H1766" i="2"/>
  <c r="G1766" i="2"/>
  <c r="H1524" i="2"/>
  <c r="G1524" i="2"/>
  <c r="H1741" i="2"/>
  <c r="G1741" i="2"/>
  <c r="H1411" i="2"/>
  <c r="H1092" i="2"/>
  <c r="G1092" i="2"/>
  <c r="H1068" i="2"/>
  <c r="H986" i="2"/>
  <c r="G986" i="2"/>
  <c r="H834" i="2"/>
  <c r="G834" i="2"/>
  <c r="H463" i="2"/>
  <c r="G463" i="2"/>
  <c r="H592" i="2"/>
  <c r="G592" i="2"/>
  <c r="G303" i="2"/>
  <c r="H303" i="2"/>
  <c r="H1300" i="2"/>
  <c r="G1300" i="2"/>
  <c r="G1006" i="2"/>
  <c r="H1006" i="2"/>
  <c r="H961" i="2"/>
  <c r="G961" i="2"/>
  <c r="G430" i="2"/>
  <c r="H430" i="2"/>
  <c r="G242" i="2"/>
  <c r="H242" i="2"/>
  <c r="G80" i="2"/>
  <c r="H80" i="2"/>
  <c r="H1606" i="2"/>
  <c r="G1606" i="2"/>
  <c r="H1495" i="2"/>
  <c r="H1105" i="2"/>
  <c r="G1105" i="2"/>
  <c r="G963" i="2"/>
  <c r="H963" i="2"/>
  <c r="K1488" i="2"/>
  <c r="G1488" i="2" s="1"/>
  <c r="H1235" i="2"/>
  <c r="G1235" i="2"/>
  <c r="G1170" i="2"/>
  <c r="H1170" i="2"/>
  <c r="H1274" i="2"/>
  <c r="G1274" i="2"/>
  <c r="G679" i="2"/>
  <c r="H679" i="2"/>
  <c r="H341" i="2"/>
  <c r="H113" i="2"/>
  <c r="G113" i="2"/>
  <c r="H728" i="2"/>
  <c r="G728" i="2"/>
  <c r="G603" i="2"/>
  <c r="H603" i="2"/>
  <c r="K120" i="2"/>
  <c r="G120" i="2" s="1"/>
  <c r="H1815" i="2"/>
  <c r="G1815" i="2"/>
  <c r="H1497" i="2"/>
  <c r="K1265" i="2"/>
  <c r="G1265" i="2" s="1"/>
  <c r="K1107" i="2"/>
  <c r="G1107" i="2" s="1"/>
  <c r="H316" i="2"/>
  <c r="G1620" i="2"/>
  <c r="H1620" i="2"/>
  <c r="H814" i="2"/>
  <c r="G814" i="2"/>
  <c r="H548" i="2"/>
  <c r="G548" i="2"/>
  <c r="G331" i="2"/>
  <c r="H331" i="2"/>
  <c r="H135" i="2"/>
  <c r="G135" i="2"/>
  <c r="G189" i="2"/>
  <c r="H189" i="2"/>
  <c r="H1038" i="2"/>
  <c r="G1038" i="2"/>
  <c r="H1526" i="2"/>
  <c r="G1526" i="2"/>
  <c r="G1434" i="2"/>
  <c r="H1434" i="2"/>
  <c r="K913" i="2"/>
  <c r="G913" i="2" s="1"/>
  <c r="H707" i="2"/>
  <c r="G590" i="2"/>
  <c r="H590" i="2"/>
  <c r="H931" i="2"/>
  <c r="G931" i="2"/>
  <c r="H556" i="2"/>
  <c r="G556" i="2"/>
  <c r="G1311" i="2"/>
  <c r="H1311" i="2"/>
  <c r="H1760" i="2"/>
  <c r="G1760" i="2"/>
  <c r="K1411" i="2"/>
  <c r="G1411" i="2" s="1"/>
  <c r="K1234" i="2"/>
  <c r="G1234" i="2" s="1"/>
  <c r="H1046" i="2"/>
  <c r="G1046" i="2"/>
  <c r="H361" i="2"/>
  <c r="G361" i="2"/>
  <c r="H363" i="2"/>
  <c r="G363" i="2"/>
  <c r="H281" i="2"/>
  <c r="K283" i="2"/>
  <c r="G283" i="2" s="1"/>
  <c r="H177" i="2"/>
  <c r="H1808" i="2"/>
  <c r="G1808" i="2"/>
  <c r="H899" i="2"/>
  <c r="G899" i="2"/>
  <c r="H604" i="2"/>
  <c r="G321" i="2"/>
  <c r="K1495" i="2"/>
  <c r="G1495" i="2" s="1"/>
  <c r="H943" i="2"/>
  <c r="H542" i="2"/>
  <c r="G542" i="2"/>
  <c r="K368" i="2"/>
  <c r="G368" i="2" s="1"/>
  <c r="H266" i="2"/>
  <c r="G266" i="2"/>
  <c r="H1595" i="2"/>
  <c r="G1595" i="2"/>
  <c r="K1416" i="2"/>
  <c r="G1416" i="2" s="1"/>
  <c r="G1088" i="2"/>
  <c r="H1088" i="2"/>
  <c r="G584" i="2"/>
  <c r="H584" i="2"/>
  <c r="K341" i="2"/>
  <c r="G341" i="2" s="1"/>
  <c r="H312" i="2"/>
  <c r="H120" i="2"/>
  <c r="G62" i="2"/>
  <c r="H62" i="2"/>
  <c r="H65" i="2"/>
  <c r="G65" i="2"/>
  <c r="H1841" i="2"/>
  <c r="H1537" i="2"/>
  <c r="K1497" i="2"/>
  <c r="G1497" i="2" s="1"/>
  <c r="G730" i="2"/>
  <c r="H730" i="2"/>
  <c r="K316" i="2"/>
  <c r="G316" i="2" s="1"/>
  <c r="G1010" i="2"/>
  <c r="H1010" i="2"/>
  <c r="H1340" i="2"/>
  <c r="G1204" i="2"/>
  <c r="H1204" i="2"/>
  <c r="H1827" i="2"/>
  <c r="G1827" i="2"/>
  <c r="K707" i="2"/>
  <c r="G707" i="2" s="1"/>
  <c r="G416" i="2"/>
  <c r="H416" i="2"/>
  <c r="H288" i="2"/>
  <c r="G288" i="2"/>
  <c r="H173" i="2"/>
  <c r="G173" i="2"/>
  <c r="H1682" i="2"/>
  <c r="G1682" i="2"/>
  <c r="G1468" i="2"/>
  <c r="H1468" i="2"/>
  <c r="H1379" i="2"/>
  <c r="H1318" i="2"/>
  <c r="G1318" i="2"/>
  <c r="G347" i="2"/>
  <c r="H347" i="2"/>
  <c r="G1530" i="2"/>
  <c r="H1530" i="2"/>
  <c r="G1505" i="2"/>
  <c r="H1505" i="2"/>
  <c r="K1068" i="2"/>
  <c r="G1068" i="2" s="1"/>
  <c r="G780" i="2"/>
  <c r="H780" i="2"/>
  <c r="H531" i="2"/>
  <c r="G531" i="2"/>
  <c r="K281" i="2"/>
  <c r="G281" i="2" s="1"/>
  <c r="H41" i="2"/>
  <c r="G41" i="2"/>
  <c r="K177" i="2"/>
  <c r="G177" i="2" s="1"/>
  <c r="G1513" i="2"/>
  <c r="H1513" i="2"/>
  <c r="H1334" i="2"/>
  <c r="G1334" i="2"/>
  <c r="G1153" i="2"/>
  <c r="H1153" i="2"/>
  <c r="H803" i="2"/>
  <c r="G365" i="2"/>
  <c r="H365" i="2"/>
  <c r="H478" i="2"/>
  <c r="G478" i="2"/>
  <c r="G1778" i="2"/>
  <c r="H1778" i="2"/>
  <c r="H1459" i="2"/>
  <c r="G1459" i="2"/>
  <c r="H1182" i="2"/>
  <c r="K943" i="2"/>
  <c r="G943" i="2" s="1"/>
  <c r="K719" i="2"/>
  <c r="G719" i="2" s="1"/>
  <c r="H808" i="2"/>
  <c r="H585" i="2"/>
  <c r="H1818" i="2"/>
  <c r="G1818" i="2"/>
  <c r="H862" i="2"/>
  <c r="G862" i="2"/>
  <c r="K745" i="2"/>
  <c r="G745" i="2" s="1"/>
  <c r="G710" i="2"/>
  <c r="H710" i="2"/>
  <c r="H1072" i="2"/>
  <c r="H846" i="2"/>
  <c r="K312" i="2"/>
  <c r="G312" i="2" s="1"/>
  <c r="K1841" i="2"/>
  <c r="G1841" i="2" s="1"/>
  <c r="K1537" i="2"/>
  <c r="G1537" i="2" s="1"/>
  <c r="G1398" i="2"/>
  <c r="H1398" i="2"/>
  <c r="H1194" i="2"/>
  <c r="H1107" i="2"/>
  <c r="H1746" i="2"/>
  <c r="G1746" i="2"/>
  <c r="H1498" i="2"/>
  <c r="G1498" i="2"/>
  <c r="H1617" i="2"/>
  <c r="G1617" i="2"/>
  <c r="H1587" i="2"/>
  <c r="G1587" i="2"/>
  <c r="H615" i="2"/>
  <c r="H1361" i="2"/>
  <c r="G1361" i="2"/>
  <c r="G1089" i="2"/>
  <c r="H1089" i="2"/>
  <c r="H567" i="2"/>
  <c r="H938" i="2"/>
  <c r="G938" i="2"/>
  <c r="G685" i="2"/>
  <c r="H685" i="2"/>
  <c r="K567" i="2"/>
  <c r="G567" i="2" s="1"/>
  <c r="G1663" i="2"/>
  <c r="H1663" i="2"/>
  <c r="G1324" i="2"/>
  <c r="H1324" i="2"/>
  <c r="G1167" i="2"/>
  <c r="H1167" i="2"/>
  <c r="H1169" i="2"/>
  <c r="G1129" i="2"/>
  <c r="H1129" i="2"/>
  <c r="G506" i="2"/>
  <c r="H506" i="2"/>
  <c r="G575" i="2"/>
  <c r="H575" i="2"/>
  <c r="H860" i="2"/>
  <c r="H733" i="2"/>
  <c r="G733" i="2"/>
  <c r="H1780" i="2"/>
  <c r="G1780" i="2"/>
  <c r="K1379" i="2"/>
  <c r="G1379" i="2" s="1"/>
  <c r="H1161" i="2"/>
  <c r="G1161" i="2"/>
  <c r="H1676" i="2"/>
  <c r="G1676" i="2"/>
  <c r="G1451" i="2"/>
  <c r="H1451" i="2"/>
  <c r="G1357" i="2"/>
  <c r="H1357" i="2"/>
  <c r="H1234" i="2"/>
  <c r="H1119" i="2"/>
  <c r="G1119" i="2"/>
  <c r="H947" i="2"/>
  <c r="G947" i="2"/>
  <c r="H550" i="2"/>
  <c r="G550" i="2"/>
  <c r="H352" i="2"/>
  <c r="G352" i="2"/>
  <c r="K803" i="2"/>
  <c r="G803" i="2" s="1"/>
  <c r="H768" i="2"/>
  <c r="G768" i="2"/>
  <c r="K604" i="2"/>
  <c r="G604" i="2" s="1"/>
  <c r="H184" i="2"/>
  <c r="G184" i="2"/>
  <c r="H152" i="2"/>
  <c r="G152" i="2"/>
  <c r="H1449" i="2"/>
  <c r="G1286" i="2"/>
  <c r="H1286" i="2"/>
  <c r="K1182" i="2"/>
  <c r="G1182" i="2" s="1"/>
  <c r="H719" i="2"/>
  <c r="K808" i="2"/>
  <c r="G808" i="2" s="1"/>
  <c r="H1850" i="2"/>
  <c r="G1850" i="2"/>
  <c r="H1416" i="2"/>
  <c r="G1280" i="2"/>
  <c r="H1280" i="2"/>
  <c r="G1102" i="2"/>
  <c r="H1102" i="2"/>
  <c r="H909" i="2"/>
  <c r="H644" i="2"/>
  <c r="G644" i="2"/>
  <c r="H514" i="2"/>
  <c r="K1252" i="2"/>
  <c r="G1252" i="2" s="1"/>
  <c r="K1072" i="2"/>
  <c r="G1072" i="2" s="1"/>
  <c r="G774" i="2"/>
  <c r="H774" i="2"/>
  <c r="H293" i="2"/>
  <c r="G293" i="2"/>
  <c r="G1692" i="2"/>
  <c r="H1692" i="2"/>
  <c r="K1736" i="2"/>
  <c r="G1736" i="2" s="1"/>
  <c r="H1466" i="2"/>
  <c r="K1342" i="2"/>
  <c r="G1342" i="2" s="1"/>
  <c r="K1194" i="2"/>
  <c r="G1194" i="2" s="1"/>
  <c r="G1051" i="2"/>
  <c r="H1051" i="2"/>
  <c r="H1021" i="2"/>
  <c r="G1021" i="2"/>
  <c r="G1737" i="2"/>
  <c r="H1737" i="2"/>
  <c r="G1455" i="2"/>
  <c r="H1455" i="2"/>
  <c r="H1164" i="2"/>
  <c r="G1164" i="2"/>
  <c r="H687" i="2"/>
  <c r="G687" i="2"/>
  <c r="H227" i="2"/>
  <c r="G227" i="2"/>
  <c r="H1512" i="2"/>
  <c r="G1512" i="2"/>
  <c r="H1172" i="2"/>
  <c r="G1172" i="2"/>
  <c r="H481" i="2"/>
  <c r="G481" i="2"/>
  <c r="H86" i="2"/>
  <c r="G86" i="2"/>
  <c r="H1187" i="2"/>
  <c r="G1187" i="2"/>
  <c r="K1169" i="2"/>
  <c r="G1169" i="2" s="1"/>
  <c r="G1002" i="2"/>
  <c r="H1002" i="2"/>
  <c r="G648" i="2"/>
  <c r="H648" i="2"/>
  <c r="H1053" i="2"/>
  <c r="G1053" i="2"/>
  <c r="K860" i="2"/>
  <c r="G860" i="2" s="1"/>
  <c r="H839" i="2"/>
  <c r="G839" i="2"/>
  <c r="K1795" i="2"/>
  <c r="G1795" i="2" s="1"/>
  <c r="G1614" i="2"/>
  <c r="H1614" i="2"/>
  <c r="G1431" i="2"/>
  <c r="H1431" i="2"/>
  <c r="H848" i="2"/>
  <c r="G848" i="2"/>
  <c r="H1848" i="2"/>
  <c r="G1848" i="2"/>
  <c r="H1740" i="2"/>
  <c r="H1109" i="2"/>
  <c r="G1109" i="2"/>
  <c r="H134" i="2"/>
  <c r="G134" i="2"/>
  <c r="H1727" i="2"/>
  <c r="H1610" i="2"/>
  <c r="G1610" i="2"/>
  <c r="K1449" i="2"/>
  <c r="G1449" i="2" s="1"/>
  <c r="K1340" i="2"/>
  <c r="G1340" i="2" s="1"/>
  <c r="H784" i="2"/>
  <c r="G784" i="2"/>
  <c r="H882" i="2"/>
  <c r="G882" i="2"/>
  <c r="H1507" i="2"/>
  <c r="G1507" i="2"/>
  <c r="G1288" i="2"/>
  <c r="H1288" i="2"/>
  <c r="K909" i="2"/>
  <c r="G909" i="2" s="1"/>
  <c r="H745" i="2"/>
  <c r="H1027" i="2"/>
  <c r="G1027" i="2"/>
  <c r="K846" i="2"/>
  <c r="G846" i="2" s="1"/>
  <c r="H169" i="2"/>
  <c r="G169" i="2"/>
  <c r="K1466" i="2"/>
  <c r="G1466" i="2" s="1"/>
  <c r="H1342" i="2"/>
  <c r="H1388" i="2"/>
  <c r="G1388" i="2"/>
  <c r="G1085" i="2"/>
  <c r="H1085" i="2"/>
  <c r="H484" i="2"/>
  <c r="G484" i="2"/>
</calcChain>
</file>

<file path=xl/sharedStrings.xml><?xml version="1.0" encoding="utf-8"?>
<sst xmlns="http://schemas.openxmlformats.org/spreadsheetml/2006/main" count="3923" uniqueCount="1061">
  <si>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</si>
  <si>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</si>
  <si>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</si>
  <si>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</si>
  <si>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</si>
  <si>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</si>
  <si>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</si>
  <si>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</si>
  <si>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</si>
  <si>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</si>
  <si>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</si>
  <si>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</si>
  <si>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Insbesondere wenn?</t>
  </si>
  <si>
    <t>sein (sein verändern)</t>
  </si>
  <si>
    <t>Die Welt ist im in dem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an dem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Sie wissen schon , die wirklich attraktiven Sachen . Diese Dinge sind natürlich wichtig , aber sie sind nicht genug . Anleger sollten auch auf Leistungsmetriken wie ESG achten : Umwelt , Soziales und Unternehmensführung . &amp;quot; Umwelt &amp;quot; umfasst Energieverbrauch , Wassernutzung , Abfall und Umweltverschmutzung , kurz : die effiziente Nutzung von Ressourcen . &amp;quot; Soziales &amp;quot; beinhaltet Humankapital , Dinge wie Mitarbeiter Engagement und Innovationsfähigkeit sowie Supply Chain Management und Arbeits und Menschenrechte .</t>
  </si>
  <si>
    <t>file://conllu/de/ted-mdb.1927.conllu#s1_0</t>
  </si>
  <si>
    <t>_</t>
  </si>
  <si>
    <t>2</t>
  </si>
  <si>
    <t>239</t>
  </si>
  <si>
    <t>Dadurch?</t>
  </si>
  <si>
    <t>schaffen</t>
  </si>
  <si>
    <t>&amp;quot; Unternehmensführung &amp;quot; bedeutet die Aufsicht über das Unternehmen durch den Vorstand und Investoren . Ich habe zuvor gesagt , es geht um die wirklich heißen Dinge . Aber ESG ist das Maß für Nachhaltigkeit , und nachhaltiges Investieren berücksichtigt ESG Faktoren und finanzielle Faktoren beim bei dem Anlageprozess . Damit können künftige Risiken durch Minimierung von Schäden an Personen und am an dem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 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In dem Jahr 2012 hat State Street 54 Anwendungsprogramme in die Cloud Umgebung migriert und weitere 85 Programme eingestellt . Wir virtualisierten die Arbeitsumgebungen und stellten zahlreiche Automatisierungsprojekte fertig . Diese Initiativen schaffen einen mobileren Arbeitsplatz und reduzieren unseren Immobilien Bedarf . Dadurch werden jährlich 23 Mio .</t>
  </si>
  <si>
    <t>file://conllu/de/ted-mdb.1927.conllu#s2_0</t>
  </si>
  <si>
    <t>135</t>
  </si>
  <si>
    <t>Warum?</t>
  </si>
  <si>
    <t>sein (sein tun)</t>
  </si>
  <si>
    <t>Dollar an Betriebskosten gespart und die Emission von 100 000 Tonnen Kohlenstoff vermieden . Das sind 21 000 Autos weniger auf den Straßen . Genial , oder ? Ein weiteres Beispiel ist Pentair . Pentair ist ein US Mischkonzern . Vor etwa einem Jahrzehnt verkauften sie ihr Kerngeschäft , Heimwerker Geräte , und investierten die Einnahmen ins in das Wassergeschäft . Das ist ein wirklich großer Einsatz . Warum haben sie das getan ? 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 Leistung genauso gut abschneiden wie andere .</t>
  </si>
  <si>
    <t>file://conllu/de/ted-mdb.1927.conllu#s3_0</t>
  </si>
  <si>
    <t>4</t>
  </si>
  <si>
    <t>64</t>
  </si>
  <si>
    <t>sein (sein Indikator)</t>
  </si>
  <si>
    <t>In Blau sehen wir den MSCI World Index , ein Index für Großunternehmen aus entwickelten Märkten auf der ganzen Welt . Und in Gold sehen wir die Teilmenge von Unternehmen mit der besten ESG 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</si>
  <si>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file://conllu/de/ted-mdb.1927.conllu#s4_0</t>
  </si>
  <si>
    <t>5</t>
  </si>
  <si>
    <t>Zugegeben?</t>
  </si>
  <si>
    <t>übertreffen</t>
  </si>
  <si>
    <t>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in dem Gesundheitswesen und im in dem öffentlichen Dienst in Australien , mit einem Vermögen von 22 Mrd .</t>
  </si>
  <si>
    <t>file://conllu/de/ted-mdb.1927.conllu#s5_0</t>
  </si>
  <si>
    <t>6</t>
  </si>
  <si>
    <t>21</t>
  </si>
  <si>
    <t>sehen (sehen glauben)</t>
  </si>
  <si>
    <t>[ Dollar ] . Sie glauben , dass ESG das Potenzial hat , Risiken und Erträge zu beeinflussen . Deshalb sehen sie es als ihre Pflicht an , das beim bei dem Investment mit einzubeziehen . Im In dem besten Interesse der Fondsmitglieder handeln , das ist ihre Kernaufgabe . Man muss sie einfach lieben , die Australier , oder ? CalPERS ist ein weiteres Beispiel . CalPERS ist der Pensionsfonds für Angestellte im in dem öffentlichen Dienst in Kalifornien . Mit einem Vermögen von 244 Mrd .</t>
  </si>
  <si>
    <t>file://conllu/de/ted-mdb.1927.conllu#s6_0</t>
  </si>
  <si>
    <t>7</t>
  </si>
  <si>
    <t>sein (sein liegen)</t>
  </si>
  <si>
    <t>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&amp;quot; Langfristige Wertschöpfung erfordert die effiziente Verwaltung dreier Formen des Kapitals : Finanzielles , personelles und physisches Kapital . Deshalb ist uns ESG wichtig . &amp;quot; Bestandteil meiner Arbeit ist , mit vielen Investoren zu sprechen . Nicht alle sehen das genauso . Oft höre ich : &amp;quot; Wir sind verpflichtet , Gewinne zu maximieren , deshalb machen wir das hier nicht . &amp;quot; Oder : &amp;quot; Wir wollen mit dem Portfolio keine Grundsatzerklärungen abgeben . &amp;quot; Die folgende Aussage geht mir wirklich unter die Haut : &amp;quot; Wenn</t>
  </si>
  <si>
    <t>file://conllu/de/ted-mdb.1927.conllu#s7_0</t>
  </si>
  <si>
    <t>8</t>
  </si>
  <si>
    <t>verändern</t>
  </si>
  <si>
    <t>Sie das verändern wollen , verdienen Sie Geld und spenden Sie die Gewinne an Wohltätigkeitsorganisationen . &amp;quot; Da verdrehe ich die Augen . Lassen Sie mich eins ein für alle Mal klarstellen : Unternehmen und Investoren sind nicht alleine für das Schicksal des Planeten verantwortlich . Sie haben nicht unbegrenzte soziale Verpflichtungen , und umsichtige Investitions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</si>
  <si>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file://conllu/de/ted-mdb.1927.conllu#s8_0</t>
  </si>
  <si>
    <t>9</t>
  </si>
  <si>
    <t>umfassen</t>
  </si>
  <si>
    <t>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an dem härtesten an der Lösung dieser Probleme arbeiten , oder sie zumindest nicht verschärfen ? Was haben wir davon , wenn wir arbeiten , sparen und investieren , nur um im in dem Ruhestand eine Welt vorzufinden , die angespannter und unsicherer ist als jetzt ? Wenn saubere Luft und frisches Wasser fehlen ? Eine berechtigte Frage könnte sein : Und wenn das ganze Nachhaltigkeits Risiko Gerede übertrieben und nicht dringlich ist ? Wenn es nur etwas für tugendhafte Verbraucher oder eine reine Frage des Lebensstils ist ? Präsident John F. Kennedy sagte dazu das einzig Richtige : &amp;quot; Aktionsprogramme bergen Risiken und Kosten , aber sie sind weit geringer als die langfristigen Risiken und Kosten der bequemen Untätigkeit . &amp;quot;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&amp;quot; Was , wenn das alles bloß Schwindel ist und wir schaffen ohne Grund eine bessere Welt ? &amp;quot; ] Gut , er gefällt Ihnen . Ich mag ihn auch . ( Gelächter ) Ich mag ihn , weil er sich über beide Lager des Klimawandels lustig macht . Ich wette , Sie erraten nicht , auf welcher Seite ich stehe . Ich mag es besonders ,</t>
  </si>
  <si>
    <t>file://conllu/de/ted-mdb.1927.conllu#s9_0</t>
  </si>
  <si>
    <t>10</t>
  </si>
  <si>
    <t>sagen (sagen erinnern)</t>
  </si>
  <si>
    <t>weil er mich an Mark Twain erinnert , der sagte : &amp;quot; Plane für die Zukunft , denn dort wirst du den Rest deines Lebens verbringen . &amp;quot; Vielen Dank .</t>
  </si>
  <si>
    <t>file://conllu/de/ted-mdb.1927.conllu#s10_0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</si>
  <si>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</si>
  <si>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</si>
  <si>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</si>
  <si>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</si>
  <si>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</si>
  <si>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</si>
  <si>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</si>
  <si>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</si>
  <si>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</si>
  <si>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</si>
  <si>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</si>
  <si>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Risiko-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-- Sie wissen schon , die wirklich attraktiven Sachen . Diese Dinge sind natürlich wichtig , aber sie sind nicht genug . Anleger sollten auch auf Leistungsmetriken wie ESG achten : Umwelt , Soziales und Unternehmensführung . " Umwelt " umfasst Energieverbrauch , Wassernutzung , Abfall und Umweltverschmutzung , kurz : die effiziente Nutzung von Ressourcen . " Soziales " beinhaltet Humankapital , Dinge wie Mitarbeiter-Engagement und Innovationsfähigkeit sowie Supply-Chain-Management und Arbeits- und Menschenrechte .</t>
  </si>
  <si>
    <t>Die</t>
  </si>
  <si>
    <t>Welt</t>
  </si>
  <si>
    <t>SBJ</t>
  </si>
  <si>
    <t>def-np.the</t>
  </si>
  <si>
    <t>?OLD</t>
  </si>
  <si>
    <t>welt</t>
  </si>
  <si>
    <t>als gesamte gesellschaftliche Entität; zu unterscheiden vom Planeten Erde</t>
  </si>
  <si>
    <t>ist</t>
  </si>
  <si>
    <t>in</t>
  </si>
  <si>
    <t>dem</t>
  </si>
  <si>
    <t>Wandel</t>
  </si>
  <si>
    <t>other_2</t>
  </si>
  <si>
    <t>im_wandel</t>
  </si>
  <si>
    <t>IDIOM</t>
  </si>
  <si>
    <t>AMBIG: auch PRED denkbar</t>
  </si>
  <si>
    <t>.</t>
  </si>
  <si>
    <t>Sie</t>
  </si>
  <si>
    <t>pron.pper</t>
  </si>
  <si>
    <t>verändert</t>
  </si>
  <si>
    <t>sich</t>
  </si>
  <si>
    <t>OBJ</t>
  </si>
  <si>
    <t>wirklich</t>
  </si>
  <si>
    <t>tiefgreifend</t>
  </si>
  <si>
    <t>Und</t>
  </si>
  <si>
    <t>ich</t>
  </si>
  <si>
    <t>SBJ_2</t>
  </si>
  <si>
    <t>sprecher</t>
  </si>
  <si>
    <t>SIT</t>
  </si>
  <si>
    <t>Personaldeixis: erstes Auftreten des Sprechers</t>
  </si>
  <si>
    <t>befürchte</t>
  </si>
  <si>
    <t>,</t>
  </si>
  <si>
    <t>dass</t>
  </si>
  <si>
    <t>Investoren</t>
  </si>
  <si>
    <t>SBJ_3</t>
  </si>
  <si>
    <t>indef-np.bare</t>
  </si>
  <si>
    <t>investoren</t>
  </si>
  <si>
    <t>GEN</t>
  </si>
  <si>
    <t>CHECK: Antezedens? Als generische Referenz: „Investoren im Allgemeinen“</t>
  </si>
  <si>
    <t>einigen</t>
  </si>
  <si>
    <t>OBJ_3</t>
  </si>
  <si>
    <t>pron.pind</t>
  </si>
  <si>
    <t>der</t>
  </si>
  <si>
    <t>größten</t>
  </si>
  <si>
    <t>Veränderungen</t>
  </si>
  <si>
    <t>other_4</t>
  </si>
  <si>
    <t>nicht</t>
  </si>
  <si>
    <t>genügend</t>
  </si>
  <si>
    <t>Aufmerksamkeit</t>
  </si>
  <si>
    <t>indef-np.quant</t>
  </si>
  <si>
    <t>schenken</t>
  </si>
  <si>
    <t>Insbesondere</t>
  </si>
  <si>
    <t>wenn</t>
  </si>
  <si>
    <t>es</t>
  </si>
  <si>
    <t>EXPL</t>
  </si>
  <si>
    <t>um</t>
  </si>
  <si>
    <t>Nachhaltigkeit</t>
  </si>
  <si>
    <t>thema_nachhaltigkeit</t>
  </si>
  <si>
    <t>Antezedens; Unterscheidung von der "Nachhaltigkeit" an sich</t>
  </si>
  <si>
    <t>geht</t>
  </si>
  <si>
    <t>Mit</t>
  </si>
  <si>
    <t>other</t>
  </si>
  <si>
    <t>meine</t>
  </si>
  <si>
    <t>pron.ppos</t>
  </si>
  <si>
    <t>parser error</t>
  </si>
  <si>
    <t>Personaldeixis</t>
  </si>
  <si>
    <t>die</t>
  </si>
  <si>
    <t>heißen</t>
  </si>
  <si>
    <t>Themen</t>
  </si>
  <si>
    <t>PRED</t>
  </si>
  <si>
    <t>wie</t>
  </si>
  <si>
    <t>ökologische</t>
  </si>
  <si>
    <t>und</t>
  </si>
  <si>
    <t>soziale</t>
  </si>
  <si>
    <t>Fragen</t>
  </si>
  <si>
    <t>grundlegende</t>
  </si>
  <si>
    <t>Unternehmensführung</t>
  </si>
  <si>
    <t>other_3</t>
  </si>
  <si>
    <t>Es</t>
  </si>
  <si>
    <t>leichtsinnig</t>
  </si>
  <si>
    <t>diese</t>
  </si>
  <si>
    <t>pron.pds</t>
  </si>
  <si>
    <t>parser error: syntaktischer Kopf "Dinge"</t>
  </si>
  <si>
    <t>Dinge</t>
  </si>
  <si>
    <t>OBJ_2</t>
  </si>
  <si>
    <t>zu</t>
  </si>
  <si>
    <t>ignorieren</t>
  </si>
  <si>
    <t>ignoranz_nachhaltigkeit</t>
  </si>
  <si>
    <t>Antezedens für nachfolgendes "das"</t>
  </si>
  <si>
    <t>denn</t>
  </si>
  <si>
    <t>das</t>
  </si>
  <si>
    <t>kann</t>
  </si>
  <si>
    <t>künftige</t>
  </si>
  <si>
    <t>langfristige</t>
  </si>
  <si>
    <t>Renditen</t>
  </si>
  <si>
    <t>gefährden</t>
  </si>
  <si>
    <t>Vielleicht</t>
  </si>
  <si>
    <t>sind</t>
  </si>
  <si>
    <t>hoerer</t>
  </si>
  <si>
    <t>Personaldeixis: erstes Auftreten der Hörer</t>
  </si>
  <si>
    <t>jetzt</t>
  </si>
  <si>
    <t>überrascht</t>
  </si>
  <si>
    <t>:</t>
  </si>
  <si>
    <t>ausgleichende</t>
  </si>
  <si>
    <t>Macht</t>
  </si>
  <si>
    <t>macht</t>
  </si>
  <si>
    <t>Einfluss</t>
  </si>
  <si>
    <t>parser error: eigentlich indef-np?</t>
  </si>
  <si>
    <t>auf</t>
  </si>
  <si>
    <t>nachhaltigkeit</t>
  </si>
  <si>
    <t>hat</t>
  </si>
  <si>
    <t>liegt</t>
  </si>
  <si>
    <t>bei</t>
  </si>
  <si>
    <t>institutionellen</t>
  </si>
  <si>
    <t>investoren_inst</t>
  </si>
  <si>
    <t>NEW</t>
  </si>
  <si>
    <t>Antezedens; bestimmte Untermenge der Investoren (GEN); siehe log</t>
  </si>
  <si>
    <t>den</t>
  </si>
  <si>
    <t>großen</t>
  </si>
  <si>
    <t>bestimmte Untermenge der Investoren</t>
  </si>
  <si>
    <t>Pensionsfonds</t>
  </si>
  <si>
    <t>Stiftungen</t>
  </si>
  <si>
    <t>Ich</t>
  </si>
  <si>
    <t>glaube</t>
  </si>
  <si>
    <t>nachhaltiges</t>
  </si>
  <si>
    <t>Investieren</t>
  </si>
  <si>
    <t>CHECK: Antezedens?</t>
  </si>
  <si>
    <t>weniger</t>
  </si>
  <si>
    <t>kompliziert</t>
  </si>
  <si>
    <t>als</t>
  </si>
  <si>
    <t>denken</t>
  </si>
  <si>
    <t>besser</t>
  </si>
  <si>
    <t>abschneidet</t>
  </si>
  <si>
    <t>SBJ_5</t>
  </si>
  <si>
    <t>glauben</t>
  </si>
  <si>
    <t>wichtiger</t>
  </si>
  <si>
    <t>wir</t>
  </si>
  <si>
    <t>SBJ_6</t>
  </si>
  <si>
    <t>pron</t>
  </si>
  <si>
    <t>wir&gt;sprecher,hoerer</t>
  </si>
  <si>
    <t>GROUP</t>
  </si>
  <si>
    <t>AMBIG: auch Gesamtheit der Menschen (als REF=GEN ) denkbar; siehe log</t>
  </si>
  <si>
    <t>uns</t>
  </si>
  <si>
    <t>OBJ_6</t>
  </si>
  <si>
    <t>BOUND</t>
  </si>
  <si>
    <t>vorstellen</t>
  </si>
  <si>
    <t>können</t>
  </si>
  <si>
    <t>Halten</t>
  </si>
  <si>
    <t>einige</t>
  </si>
  <si>
    <t>bekannte</t>
  </si>
  <si>
    <t>Tatsachen</t>
  </si>
  <si>
    <t>vor</t>
  </si>
  <si>
    <t>Augen</t>
  </si>
  <si>
    <t>Bevölkerung</t>
  </si>
  <si>
    <t>menschheit</t>
  </si>
  <si>
    <t>Bevölkerung als Gesamtmenge der Menschen</t>
  </si>
  <si>
    <t>wächst</t>
  </si>
  <si>
    <t>altert</t>
  </si>
  <si>
    <t>;</t>
  </si>
  <si>
    <t>gibt</t>
  </si>
  <si>
    <t>Milliarden</t>
  </si>
  <si>
    <t>Menschen</t>
  </si>
  <si>
    <t>konkrete Anzahl der Gesamtmenge</t>
  </si>
  <si>
    <t>Erde</t>
  </si>
  <si>
    <t>erde</t>
  </si>
  <si>
    <t>konkreter Ort; späteres Synonym auch "Planet"</t>
  </si>
  <si>
    <t>an</t>
  </si>
  <si>
    <t>Ende</t>
  </si>
  <si>
    <t>jhd_ende</t>
  </si>
  <si>
    <t>konkreter Zeitpunkt</t>
  </si>
  <si>
    <t>des</t>
  </si>
  <si>
    <t>Jahrhunderts</t>
  </si>
  <si>
    <t>jhd_21</t>
  </si>
  <si>
    <t>21. Jahrhundert</t>
  </si>
  <si>
    <t>werden</t>
  </si>
  <si>
    <t>sein</t>
  </si>
  <si>
    <t>Wir</t>
  </si>
  <si>
    <t>Gesamtheit der Bevölkerung</t>
  </si>
  <si>
    <t>verbrauchen</t>
  </si>
  <si>
    <t>natürlichen</t>
  </si>
  <si>
    <t>Ressourcen</t>
  </si>
  <si>
    <t>nat_ressourcen</t>
  </si>
  <si>
    <t>schneller</t>
  </si>
  <si>
    <t>sie</t>
  </si>
  <si>
    <t>regenerieren</t>
  </si>
  <si>
    <t>Emissionen</t>
  </si>
  <si>
    <t>emissionen</t>
  </si>
  <si>
    <t>SBJ_4</t>
  </si>
  <si>
    <t>für</t>
  </si>
  <si>
    <t>Klimawandel</t>
  </si>
  <si>
    <t>klimawandel</t>
  </si>
  <si>
    <t>hauptverantwortlich</t>
  </si>
  <si>
    <t>nehmen</t>
  </si>
  <si>
    <t>weiter</t>
  </si>
  <si>
    <t>Das</t>
  </si>
  <si>
    <t>themen_umwsoz&gt;nat_ressourcen,emissionen,klimawandel</t>
  </si>
  <si>
    <t>Themen Umwelt und Soziales</t>
  </si>
  <si>
    <t>ganz</t>
  </si>
  <si>
    <t>klar</t>
  </si>
  <si>
    <t>Umweltthemen</t>
  </si>
  <si>
    <t>aber</t>
  </si>
  <si>
    <t>themen_umwsoz</t>
  </si>
  <si>
    <t>OLD</t>
  </si>
  <si>
    <t>noch</t>
  </si>
  <si>
    <t>alles</t>
  </si>
  <si>
    <t xml:space="preserve"> gleiche Bestandteile wie Themen Umwelt + Soziales</t>
  </si>
  <si>
    <t>auch</t>
  </si>
  <si>
    <t>Wirtschaftsthemen</t>
  </si>
  <si>
    <t>deshalb</t>
  </si>
  <si>
    <t>Risiko</t>
  </si>
  <si>
    <t>ne</t>
  </si>
  <si>
    <t>parser error: syntaktischer Kopf bei "Renditebewertung"</t>
  </si>
  <si>
    <t>Renditebewertung</t>
  </si>
  <si>
    <t>rr_bewertung</t>
  </si>
  <si>
    <t>sehr</t>
  </si>
  <si>
    <t>wichtig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</si>
  <si>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</si>
  <si>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</si>
  <si>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</si>
  <si>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</si>
  <si>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</si>
  <si>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</si>
  <si>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</si>
  <si>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</si>
  <si>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OBJ_4</t>
  </si>
  <si>
    <t>kopf_in_sand_bild</t>
  </si>
  <si>
    <t>wohl SIT (verweis auf Folie)</t>
  </si>
  <si>
    <t>hier</t>
  </si>
  <si>
    <t>tun</t>
  </si>
  <si>
    <t>Kopf</t>
  </si>
  <si>
    <t>OBJ_5</t>
  </si>
  <si>
    <t>idiomatischer Ausdruck: Kopf in den Sand stecken</t>
  </si>
  <si>
    <t>Sand</t>
  </si>
  <si>
    <t>other_5</t>
  </si>
  <si>
    <t>-"-</t>
  </si>
  <si>
    <t>stecken</t>
  </si>
  <si>
    <t>kopf_in_sand</t>
  </si>
  <si>
    <t>anteztedens von das (267)</t>
  </si>
  <si>
    <t>darüber</t>
  </si>
  <si>
    <t>nachzudenken</t>
  </si>
  <si>
    <t>Tun</t>
  </si>
  <si>
    <t>möglichst</t>
  </si>
  <si>
    <t>Bitte</t>
  </si>
  <si>
    <t>Hause</t>
  </si>
  <si>
    <t>nachmachen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</si>
  <si>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</si>
  <si>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</si>
  <si>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</si>
  <si>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</si>
  <si>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</si>
  <si>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</si>
  <si>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</si>
  <si>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</si>
  <si>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anlagestrategien_heute</t>
  </si>
  <si>
    <t>von</t>
  </si>
  <si>
    <t>heute</t>
  </si>
  <si>
    <t>Zwecke</t>
  </si>
  <si>
    <t>zwecke_morgen</t>
  </si>
  <si>
    <t>morgen</t>
  </si>
  <si>
    <t>geeignet</t>
  </si>
  <si>
    <t>CHECK: Antezedens? Hier generisch; nicht gesamte Bevölkerung</t>
  </si>
  <si>
    <t>wissen</t>
  </si>
  <si>
    <t>Antezedens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</si>
  <si>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</si>
  <si>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</si>
  <si>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</si>
  <si>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</si>
  <si>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</si>
  <si>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</si>
  <si>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</si>
  <si>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</si>
  <si>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Metriken</t>
  </si>
  <si>
    <t>metriken_wirtschaft</t>
  </si>
  <si>
    <t>Umsatzwachstum</t>
  </si>
  <si>
    <t>Cashflow</t>
  </si>
  <si>
    <t>parser error: nicht syntaktischer Kopf</t>
  </si>
  <si>
    <t>Marktanteil</t>
  </si>
  <si>
    <t>Bewertung</t>
  </si>
  <si>
    <t>schon</t>
  </si>
  <si>
    <t>attraktiven</t>
  </si>
  <si>
    <t>Sachen</t>
  </si>
  <si>
    <t>Diese</t>
  </si>
  <si>
    <t>parser error, nicht syntaktischer Kopf</t>
  </si>
  <si>
    <t>def-np.dem</t>
  </si>
  <si>
    <t>natürlich</t>
  </si>
  <si>
    <t>genug</t>
  </si>
  <si>
    <t>Anleger</t>
  </si>
  <si>
    <t>sollten</t>
  </si>
  <si>
    <t>Leistungsmetriken</t>
  </si>
  <si>
    <t>ESG</t>
  </si>
  <si>
    <t>esg</t>
  </si>
  <si>
    <t>achten</t>
  </si>
  <si>
    <t>Umwelt</t>
  </si>
  <si>
    <t>thema_umwelt</t>
  </si>
  <si>
    <t>CC: nacherwähnt mit “Umwelt”</t>
  </si>
  <si>
    <t>Soziales</t>
  </si>
  <si>
    <t>thema_soziales</t>
  </si>
  <si>
    <t>CC: nacherwähnt mit “Soziales”</t>
  </si>
  <si>
    <t>unternehmen_fuehrung</t>
  </si>
  <si>
    <t>CC: nacherwähnt mit “Unternehmensführung”</t>
  </si>
  <si>
    <t>&amp;quot;</t>
  </si>
  <si>
    <t>TODO: zitat als sonderform anaphorischer bezüge ergänzen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</si>
  <si>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</si>
  <si>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</si>
  <si>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</si>
  <si>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</si>
  <si>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</si>
  <si>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</si>
  <si>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</si>
  <si>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</si>
  <si>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beinhaltet</t>
  </si>
  <si>
    <t>Humankapital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</si>
  <si>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</si>
  <si>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</si>
  <si>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</si>
  <si>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</si>
  <si>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</si>
  <si>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</si>
  <si>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</si>
  <si>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</si>
  <si>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supply_chain_management</t>
  </si>
  <si>
    <t>Arbeits</t>
  </si>
  <si>
    <t>Menschenrechte</t>
  </si>
  <si>
    <t>--</t>
  </si>
  <si>
    <t># text = " Unternehmensführung " bedeutet die Aufsicht über das Unternehmen durch den Vorstand und Investoren . Ich habe zuvor gesagt , es geht um die wirklich heißen Dinge . Aber ESG ist das Maß für Nachhaltigkeit , und nachhaltiges Investieren berücksichtigt ESG-Faktoren und finanzielle Faktoren beim Anlageprozess . Damit können künftige Risiken durch Minimierung von Schäden an Personen und am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Innovations-Wachstum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Jahr 2012 hat State Street 54 Anwendungsprogramme in die Cloud-Umgebung migriert und weitere 85 Programme eingestellt . Wir virtualisierten die Arbeitsumgebungen und stellten zahlreiche Automatisierungsprojekte fertig . Diese Initiativen schaffen einen mobileren Arbeitsplatz und reduzieren unseren Immobilien-Bedarf . Dadurch werden jährlich 23 Mio.</t>
  </si>
  <si>
    <t>bedeutet</t>
  </si>
  <si>
    <t>Aufsicht</t>
  </si>
  <si>
    <t>über</t>
  </si>
  <si>
    <t>unternehmen</t>
  </si>
  <si>
    <t>durch</t>
  </si>
  <si>
    <t>Vorstand</t>
  </si>
  <si>
    <t>vorstand_und_investoren</t>
  </si>
  <si>
    <t>other_6</t>
  </si>
  <si>
    <t>habe</t>
  </si>
  <si>
    <t>zuvor</t>
  </si>
  <si>
    <t>gesagt</t>
  </si>
  <si>
    <t>kein AUTO_REF</t>
  </si>
  <si>
    <t>Maß</t>
  </si>
  <si>
    <t>OBJ_7</t>
  </si>
  <si>
    <t>nachhaltiges_investieren</t>
  </si>
  <si>
    <t>berücksichtigt</t>
  </si>
  <si>
    <t>SBJ_7</t>
  </si>
  <si>
    <t>Faktoren</t>
  </si>
  <si>
    <t>finanzielle</t>
  </si>
  <si>
    <t>other_8</t>
  </si>
  <si>
    <t>Anlageprozess</t>
  </si>
  <si>
    <t>other_7</t>
  </si>
  <si>
    <t>anlageprozess</t>
  </si>
  <si>
    <t>Damit</t>
  </si>
  <si>
    <t>Risiken</t>
  </si>
  <si>
    <t>Minimierung</t>
  </si>
  <si>
    <t>Schäden</t>
  </si>
  <si>
    <t>Personen</t>
  </si>
  <si>
    <t>Planeten</t>
  </si>
  <si>
    <t>Synonym für Ort: Erde</t>
  </si>
  <si>
    <t>begrenzt</t>
  </si>
  <si>
    <t>Kapital</t>
  </si>
  <si>
    <t>kapital</t>
  </si>
  <si>
    <t>Nutzer</t>
  </si>
  <si>
    <t>nutzer</t>
  </si>
  <si>
    <t>bereitgestellt</t>
  </si>
  <si>
    <t>parser error: Relativpronomen</t>
  </si>
  <si>
    <t>produktive</t>
  </si>
  <si>
    <t>nachhaltige</t>
  </si>
  <si>
    <t>Ergebnisse</t>
  </si>
  <si>
    <t>einsetzen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</si>
  <si>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</si>
  <si>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</si>
  <si>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</si>
  <si>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</si>
  <si>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</si>
  <si>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</si>
  <si>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</si>
  <si>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</si>
  <si>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</si>
  <si>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</si>
  <si>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</si>
  <si>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Wirklich</t>
  </si>
  <si>
    <t>cool</t>
  </si>
  <si>
    <t>meisten</t>
  </si>
  <si>
    <t>CEOs</t>
  </si>
  <si>
    <t>ceos</t>
  </si>
  <si>
    <t>begannen</t>
  </si>
  <si>
    <t>nur</t>
  </si>
  <si>
    <t>sondern</t>
  </si>
  <si>
    <t>entscheidend</t>
  </si>
  <si>
    <t>Geschäftserfolg</t>
  </si>
  <si>
    <t>erfolg</t>
  </si>
  <si>
    <t>sehen</t>
  </si>
  <si>
    <t>Ungefähr</t>
  </si>
  <si>
    <t>80</t>
  </si>
  <si>
    <t>%</t>
  </si>
  <si>
    <t>80%_ceos</t>
  </si>
  <si>
    <t>CC: antezedenz von “ihren”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</si>
  <si>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</si>
  <si>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</si>
  <si>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</si>
  <si>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</si>
  <si>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</si>
  <si>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</si>
  <si>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</si>
  <si>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</si>
  <si>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CC: ergänzt</t>
  </si>
  <si>
    <t>Branchen</t>
  </si>
  <si>
    <t>indef-np</t>
  </si>
  <si>
    <t>führt</t>
  </si>
  <si>
    <t>93</t>
  </si>
  <si>
    <t>93%_ceos</t>
  </si>
  <si>
    <t>UNIQUE</t>
  </si>
  <si>
    <t>CC: andere teilmenge der CEOs, CEOs nicht benannt</t>
  </si>
  <si>
    <t>Zukunft</t>
  </si>
  <si>
    <t>zukunft</t>
  </si>
  <si>
    <t>kein spezifischer Zeitpunkt</t>
  </si>
  <si>
    <t>oder</t>
  </si>
  <si>
    <t>ihres</t>
  </si>
  <si>
    <t>Unternehmens</t>
  </si>
  <si>
    <t>Also</t>
  </si>
  <si>
    <t>CC: ok</t>
  </si>
  <si>
    <t>bietet</t>
  </si>
  <si>
    <t>enorme</t>
  </si>
  <si>
    <t>Möglichkeiten</t>
  </si>
  <si>
    <t>Wie</t>
  </si>
  <si>
    <t>nutzen</t>
  </si>
  <si>
    <t>harte</t>
  </si>
  <si>
    <t>Geschäftsergebnisse</t>
  </si>
  <si>
    <t>erzielen</t>
  </si>
  <si>
    <t>Ein</t>
  </si>
  <si>
    <t>Beispiel</t>
  </si>
  <si>
    <t>AMBIG: auch REF=GEN denkbar</t>
  </si>
  <si>
    <t>besonders</t>
  </si>
  <si>
    <t>Herzen</t>
  </si>
  <si>
    <t>In</t>
  </si>
  <si>
    <t>Jahr</t>
  </si>
  <si>
    <t>def-np.quant</t>
  </si>
  <si>
    <t>2012</t>
  </si>
  <si>
    <t>State</t>
  </si>
  <si>
    <t>state_street</t>
  </si>
  <si>
    <t>Street</t>
  </si>
  <si>
    <t>54</t>
  </si>
  <si>
    <t>Anwendungsprogramme</t>
  </si>
  <si>
    <t>Cloud</t>
  </si>
  <si>
    <t>cloud</t>
  </si>
  <si>
    <t>Umgebung</t>
  </si>
  <si>
    <t>migriert</t>
  </si>
  <si>
    <t>weitere</t>
  </si>
  <si>
    <t>85</t>
  </si>
  <si>
    <t>Programme</t>
  </si>
  <si>
    <t>eingestellt</t>
  </si>
  <si>
    <t>Mitarbeiter State Street</t>
  </si>
  <si>
    <t>virtualisierten</t>
  </si>
  <si>
    <t>Arbeitsumgebungen</t>
  </si>
  <si>
    <t>initiative_1</t>
  </si>
  <si>
    <t>stellten</t>
  </si>
  <si>
    <t>zahlreiche</t>
  </si>
  <si>
    <t>Automatisierungsprojekte</t>
  </si>
  <si>
    <t>initiative_2</t>
  </si>
  <si>
    <t>fertig</t>
  </si>
  <si>
    <t>nicht syntaktischer Kopf</t>
  </si>
  <si>
    <t>Initiativen</t>
  </si>
  <si>
    <t>initiativen&gt;initiative_1,initiative_2</t>
  </si>
  <si>
    <t>einen</t>
  </si>
  <si>
    <t>mobileren</t>
  </si>
  <si>
    <t>Arbeitsplatz</t>
  </si>
  <si>
    <t>reduzieren</t>
  </si>
  <si>
    <t>unseren</t>
  </si>
  <si>
    <t>Immobilien</t>
  </si>
  <si>
    <t>Bedarf</t>
  </si>
  <si>
    <t>Dadurch</t>
  </si>
  <si>
    <t>pron.padv</t>
  </si>
  <si>
    <t>initiativen</t>
  </si>
  <si>
    <t>jährlich</t>
  </si>
  <si>
    <t>23</t>
  </si>
  <si>
    <t>Mio</t>
  </si>
  <si>
    <t>parser error: sentence break</t>
  </si>
  <si>
    <t># text = Dollar an Betriebskosten gespart und die Emission von 100 000 Tonnen Kohlenstoff vermieden . Das sind 21 000 Autos weniger auf den Straßen . Genial , oder ? Ein weiteres Beispiel ist Pentair . Pentair ist ein US-Mischkonzern . Vor etwa einem Jahrzehnt verkauften sie ihr Kerngeschäft , Heimwerker-Geräte , und investierten die Einnahmen ins Wassergeschäft . Das ist ein wirklich großer Einsatz . Warum haben sie das getan ?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ESG-Leistung genauso gut abschneiden wie andere .</t>
  </si>
  <si>
    <t>Dollar</t>
  </si>
  <si>
    <t>SBJ_8</t>
  </si>
  <si>
    <t>betriebskosten</t>
  </si>
  <si>
    <t>konkrete Kostenhöhe</t>
  </si>
  <si>
    <t>Betriebskosten</t>
  </si>
  <si>
    <t>gespart</t>
  </si>
  <si>
    <t>Emission</t>
  </si>
  <si>
    <t>SBJ_9</t>
  </si>
  <si>
    <t>100</t>
  </si>
  <si>
    <t>000</t>
  </si>
  <si>
    <t>Tonnen</t>
  </si>
  <si>
    <t>Kohlenstoff</t>
  </si>
  <si>
    <t>other_9</t>
  </si>
  <si>
    <t>vermieden</t>
  </si>
  <si>
    <t>emissionen_einsparung</t>
  </si>
  <si>
    <t>Autos</t>
  </si>
  <si>
    <t>Straßen</t>
  </si>
  <si>
    <t>straßen</t>
  </si>
  <si>
    <t>Genial</t>
  </si>
  <si>
    <t>weiteres</t>
  </si>
  <si>
    <t>Pentair</t>
  </si>
  <si>
    <t>pentair</t>
  </si>
  <si>
    <t>US</t>
  </si>
  <si>
    <t>usa</t>
  </si>
  <si>
    <t>obwohl nicht syntaktischer Kopf ID als spezifischer Ort</t>
  </si>
  <si>
    <t>Mischkonzern</t>
  </si>
  <si>
    <t>Vor</t>
  </si>
  <si>
    <t>etwa</t>
  </si>
  <si>
    <t>Jahrzehnt</t>
  </si>
  <si>
    <t>verkauften</t>
  </si>
  <si>
    <t>ihr</t>
  </si>
  <si>
    <t>Kerngeschäft</t>
  </si>
  <si>
    <t>kerngeschaeft</t>
  </si>
  <si>
    <t>Heimwerker</t>
  </si>
  <si>
    <t>Geräte</t>
  </si>
  <si>
    <t>investierten</t>
  </si>
  <si>
    <t>investition_pentair</t>
  </si>
  <si>
    <t>Einnahmen</t>
  </si>
  <si>
    <t>einnahmen</t>
  </si>
  <si>
    <t>Wassergeschäft</t>
  </si>
  <si>
    <t>wassergeschaeft</t>
  </si>
  <si>
    <t>großer</t>
  </si>
  <si>
    <t>Einsatz</t>
  </si>
  <si>
    <t>Warum</t>
  </si>
  <si>
    <t>pron.pint</t>
  </si>
  <si>
    <t>haben</t>
  </si>
  <si>
    <t>CC: war lücke</t>
  </si>
  <si>
    <t>getan</t>
  </si>
  <si>
    <t>Fans</t>
  </si>
  <si>
    <t>heimwerkfans</t>
  </si>
  <si>
    <t>mögen</t>
  </si>
  <si>
    <t>entschuldigen</t>
  </si>
  <si>
    <t>mehr</t>
  </si>
  <si>
    <t>Wasser</t>
  </si>
  <si>
    <t>Elektrowerkzeugen</t>
  </si>
  <si>
    <t>dieses</t>
  </si>
  <si>
    <t>neue_welt</t>
  </si>
  <si>
    <t>Korrelat</t>
  </si>
  <si>
    <t>nennen</t>
  </si>
  <si>
    <t>neue</t>
  </si>
  <si>
    <t>Neue</t>
  </si>
  <si>
    <t>Visier</t>
  </si>
  <si>
    <t>fokus</t>
  </si>
  <si>
    <t>Vier</t>
  </si>
  <si>
    <t>AMBIG: konkrete Anzahl - auch neue ID "menschen" denkbar</t>
  </si>
  <si>
    <t>aus</t>
  </si>
  <si>
    <t>Mittelschicht</t>
  </si>
  <si>
    <t>mittelschicht</t>
  </si>
  <si>
    <t>Nahrung</t>
  </si>
  <si>
    <t>Strom</t>
  </si>
  <si>
    <t>brauchen</t>
  </si>
  <si>
    <t>Jetzt</t>
  </si>
  <si>
    <t>fragen</t>
  </si>
  <si>
    <t>vielleicht</t>
  </si>
  <si>
    <t>Einzelfälle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</si>
  <si>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</si>
  <si>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</si>
  <si>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</si>
  <si>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</si>
  <si>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</si>
  <si>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</si>
  <si>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</si>
  <si>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</si>
  <si>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überraschende</t>
  </si>
  <si>
    <t>Antwort</t>
  </si>
  <si>
    <t>antwort</t>
  </si>
  <si>
    <t>ja</t>
  </si>
  <si>
    <t>Daten</t>
  </si>
  <si>
    <t>daten</t>
  </si>
  <si>
    <t>zeigen</t>
  </si>
  <si>
    <t>Aktien</t>
  </si>
  <si>
    <t>mit</t>
  </si>
  <si>
    <t>besserer</t>
  </si>
  <si>
    <t>Leistung</t>
  </si>
  <si>
    <t>esg_leistung</t>
  </si>
  <si>
    <t>genauso</t>
  </si>
  <si>
    <t>abschneiden</t>
  </si>
  <si>
    <t>andere</t>
  </si>
  <si>
    <t># text = In Blau sehen wir den MSCI World Index , ein Index für Großunternehmen aus entwickelten Märkten auf der ganzen Welt . Und in Gold sehen wir die Teilmenge von Unternehmen mit der besten ESG-Leistung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</si>
  <si>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Blau</t>
  </si>
  <si>
    <t>sprecher + hörer</t>
  </si>
  <si>
    <t>MSCI</t>
  </si>
  <si>
    <t>msci_index</t>
  </si>
  <si>
    <t>World</t>
  </si>
  <si>
    <t>Index</t>
  </si>
  <si>
    <t>Großunternehmen</t>
  </si>
  <si>
    <t>entwickelten</t>
  </si>
  <si>
    <t>Märkten</t>
  </si>
  <si>
    <t>ganzen</t>
  </si>
  <si>
    <t>Gold</t>
  </si>
  <si>
    <t>Teilmenge</t>
  </si>
  <si>
    <t>teilmenge</t>
  </si>
  <si>
    <t>besten</t>
  </si>
  <si>
    <t>Seit</t>
  </si>
  <si>
    <t>drei</t>
  </si>
  <si>
    <t>Jahren</t>
  </si>
  <si>
    <t>kein</t>
  </si>
  <si>
    <t>Leistungskompromiss</t>
  </si>
  <si>
    <t>leistungskompromiss</t>
  </si>
  <si>
    <t>doch</t>
  </si>
  <si>
    <t>okay</t>
  </si>
  <si>
    <t>AMBIG: auch GEN denkbar</t>
  </si>
  <si>
    <t>wollen</t>
  </si>
  <si>
    <t>will</t>
  </si>
  <si>
    <t>Fällen</t>
  </si>
  <si>
    <t>Indikator</t>
  </si>
  <si>
    <t>überdurchschnittliche</t>
  </si>
  <si>
    <t>Wertentwicklung</t>
  </si>
  <si>
    <t>wertentwicklung</t>
  </si>
  <si>
    <t>wird im Satz danach erneut referenziert</t>
  </si>
  <si>
    <t>leistung</t>
  </si>
  <si>
    <t>500</t>
  </si>
  <si>
    <t>globalen</t>
  </si>
  <si>
    <t>unternehmen_glob</t>
  </si>
  <si>
    <t>konkrete Untermenge der Unternehmen</t>
  </si>
  <si>
    <t>eine</t>
  </si>
  <si>
    <t>unternehmen_esg</t>
  </si>
  <si>
    <t>guter</t>
  </si>
  <si>
    <t>Klimaschutzstrategie</t>
  </si>
  <si>
    <t>Risikomanagement</t>
  </si>
  <si>
    <t># text = 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Gesundheitswesen und im öffentlichen Dienst in Australien , mit einem Vermögen von 22 Mrd.</t>
  </si>
  <si>
    <t>fast</t>
  </si>
  <si>
    <t>acht</t>
  </si>
  <si>
    <t>rund</t>
  </si>
  <si>
    <t>zwei</t>
  </si>
  <si>
    <t>Drittel</t>
  </si>
  <si>
    <t>Zugegeben</t>
  </si>
  <si>
    <t>korrelation&gt;esg,wertentwicklung</t>
  </si>
  <si>
    <t>Korrelation</t>
  </si>
  <si>
    <t>Kausalzusammenhang</t>
  </si>
  <si>
    <t>korrelation</t>
  </si>
  <si>
    <t>deutlich</t>
  </si>
  <si>
    <t>umweltorientierte</t>
  </si>
  <si>
    <t>Führung</t>
  </si>
  <si>
    <t>nachhaltige_fuehrung</t>
  </si>
  <si>
    <t>guten</t>
  </si>
  <si>
    <t>kompatibel</t>
  </si>
  <si>
    <t>Erträge</t>
  </si>
  <si>
    <t>ertraege</t>
  </si>
  <si>
    <t>gleich</t>
  </si>
  <si>
    <t>sollte</t>
  </si>
  <si>
    <t>Standard</t>
  </si>
  <si>
    <t>Engagieren</t>
  </si>
  <si>
    <t>insbesondere</t>
  </si>
  <si>
    <t>institutionelle</t>
  </si>
  <si>
    <t>Nun</t>
  </si>
  <si>
    <t>paar</t>
  </si>
  <si>
    <t>wirkliche</t>
  </si>
  <si>
    <t>Vorreiter</t>
  </si>
  <si>
    <t>Hesta</t>
  </si>
  <si>
    <t>hesta</t>
  </si>
  <si>
    <t>Gesundheitswesen</t>
  </si>
  <si>
    <t>gesundheitswesen</t>
  </si>
  <si>
    <t>öffentlichen</t>
  </si>
  <si>
    <t>Dienst</t>
  </si>
  <si>
    <t>dienst_oeff</t>
  </si>
  <si>
    <t>Australien</t>
  </si>
  <si>
    <t>australien</t>
  </si>
  <si>
    <t>Vermögen</t>
  </si>
  <si>
    <t>22</t>
  </si>
  <si>
    <t>Mrd</t>
  </si>
  <si>
    <t># text = [ Dollar ] . Sie glauben , dass ESG das Potenzial hat , Risiken und Erträge zu beeinflussen . Deshalb sehen sie es als ihre Pflicht an , das beim Investment mit einzubeziehen . Im besten Interesse der Fondsmitglieder handeln , das ist ihre Kernaufgabe . Man muss sie einfach lieben , die Australier , oder ? CalPERS ist ein weiteres Beispiel . CalPERS ist der Pensionsfonds für Angestellte im öffentlichen Dienst in Kalifornien . Mit einem Vermögen von 244 Mrd.</t>
  </si>
  <si>
    <t>[</t>
  </si>
  <si>
    <t>vermoegen_hesta</t>
  </si>
  <si>
    <t>]</t>
  </si>
  <si>
    <t>Potenzial</t>
  </si>
  <si>
    <t>potenzial_esg</t>
  </si>
  <si>
    <t>beeinflussen</t>
  </si>
  <si>
    <t>Deshalb</t>
  </si>
  <si>
    <t>Korrelat für Relativsatz</t>
  </si>
  <si>
    <t>ihre</t>
  </si>
  <si>
    <t>Pflicht</t>
  </si>
  <si>
    <t>pflicht_hesta</t>
  </si>
  <si>
    <t>Investment</t>
  </si>
  <si>
    <t>investition_hesta</t>
  </si>
  <si>
    <t>einzubeziehen</t>
  </si>
  <si>
    <t>Interesse</t>
  </si>
  <si>
    <t>interesse_fond</t>
  </si>
  <si>
    <t>Fondsmitglieder</t>
  </si>
  <si>
    <t>fondsmitglieder</t>
  </si>
  <si>
    <t>handeln</t>
  </si>
  <si>
    <t>handeln_interesse_fond</t>
  </si>
  <si>
    <t>Kernaufgabe</t>
  </si>
  <si>
    <t>Man</t>
  </si>
  <si>
    <t>muss</t>
  </si>
  <si>
    <t>australier</t>
  </si>
  <si>
    <t>CAT</t>
  </si>
  <si>
    <t>einfach</t>
  </si>
  <si>
    <t>lieben</t>
  </si>
  <si>
    <t>Australier</t>
  </si>
  <si>
    <t>CalPERS</t>
  </si>
  <si>
    <t>calpers</t>
  </si>
  <si>
    <t>Angestellte</t>
  </si>
  <si>
    <t>Kalifornien</t>
  </si>
  <si>
    <t>kalifornien</t>
  </si>
  <si>
    <t>244</t>
  </si>
  <si>
    <t># text = 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" Langfristige Wertschöpfung erfordert die effiziente Verwaltung dreier Formen des Kapitals : Finanzielles , personelles und physisches Kapital . Deshalb ist uns ESG wichtig . " Bestandteil meiner Arbeit ist , mit vielen Investoren zu sprechen . Nicht alle sehen das genauso . Oft höre ich : " Wir sind verpflichtet , Gewinne zu maximieren , deshalb machen wir das hier nicht . " Oder : " Wir wollen mit dem Portfolio keine Grundsatzerklärungen abgeben . " Die folgende Aussage geht mir wirklich unter die Haut : " Wenn</t>
  </si>
  <si>
    <t>vermoegen_calpers</t>
  </si>
  <si>
    <t>er</t>
  </si>
  <si>
    <t>zweitgrößte</t>
  </si>
  <si>
    <t>pensionsfond</t>
  </si>
  <si>
    <t>USA</t>
  </si>
  <si>
    <t>sechstgrößte</t>
  </si>
  <si>
    <t>Ihre</t>
  </si>
  <si>
    <t>Investitionen</t>
  </si>
  <si>
    <t>investition_calpers</t>
  </si>
  <si>
    <t>liegen</t>
  </si>
  <si>
    <t>integrieren</t>
  </si>
  <si>
    <t>systematisch</t>
  </si>
  <si>
    <t>gesamten</t>
  </si>
  <si>
    <t>Fonds</t>
  </si>
  <si>
    <t>größere</t>
  </si>
  <si>
    <t>Punkt</t>
  </si>
  <si>
    <t>sagen</t>
  </si>
  <si>
    <t>Langfristige</t>
  </si>
  <si>
    <t>Wertschöpfung</t>
  </si>
  <si>
    <t>erfordert</t>
  </si>
  <si>
    <t>Verwaltung</t>
  </si>
  <si>
    <t>eff_kapitalverwaltung</t>
  </si>
  <si>
    <t>dreier</t>
  </si>
  <si>
    <t>Formen</t>
  </si>
  <si>
    <t>Kapitals</t>
  </si>
  <si>
    <t>Finanzielles</t>
  </si>
  <si>
    <t>personelles</t>
  </si>
  <si>
    <t>physisches</t>
  </si>
  <si>
    <t>def-np.poss</t>
  </si>
  <si>
    <t>esg_relevanz</t>
  </si>
  <si>
    <t>parser error; referiert im nächsten Satz</t>
  </si>
  <si>
    <t>Bestandteil</t>
  </si>
  <si>
    <t>meiner</t>
  </si>
  <si>
    <t>Arbeit</t>
  </si>
  <si>
    <t>arbeit_sprecher</t>
  </si>
  <si>
    <t>vielen</t>
  </si>
  <si>
    <t>sprechen</t>
  </si>
  <si>
    <t>Nicht</t>
  </si>
  <si>
    <t>alle</t>
  </si>
  <si>
    <t>Oft</t>
  </si>
  <si>
    <t>höre</t>
  </si>
  <si>
    <t>verpflichtet</t>
  </si>
  <si>
    <t>Gewinne</t>
  </si>
  <si>
    <t>OBJ_8</t>
  </si>
  <si>
    <t>maximieren</t>
  </si>
  <si>
    <t>machen</t>
  </si>
  <si>
    <t>esg_integration</t>
  </si>
  <si>
    <t>bekannt für Hörer</t>
  </si>
  <si>
    <t>Oder</t>
  </si>
  <si>
    <t>Portfolio</t>
  </si>
  <si>
    <t>portfolio</t>
  </si>
  <si>
    <t>keine</t>
  </si>
  <si>
    <t>Grundsatzerklärungen</t>
  </si>
  <si>
    <t>grundsatzerklaerungen</t>
  </si>
  <si>
    <t>abgeben</t>
  </si>
  <si>
    <t>folgende</t>
  </si>
  <si>
    <t>Aussage</t>
  </si>
  <si>
    <t>aussage_investoren</t>
  </si>
  <si>
    <t>mir</t>
  </si>
  <si>
    <t>unter</t>
  </si>
  <si>
    <t>Haut</t>
  </si>
  <si>
    <t>unter_die_haut</t>
  </si>
  <si>
    <t># text = Sie das verändern wollen , verdienen Sie Geld und spenden Sie die Gewinne an Wohltätigkeitsorganisationen . " Da verdrehe ich die Augen . Lassen Sie mich eins ein für alle Mal klarstellen : Unternehmen und Investoren sind nicht alleine für das Schicksal des Planeten verantwortlich . Sie haben nicht unbegrenzte soziale Verpflichtungen , und umsichtige Investitions-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</si>
  <si>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menschen</t>
  </si>
  <si>
    <t>verdienen</t>
  </si>
  <si>
    <t>Geld</t>
  </si>
  <si>
    <t>spenden</t>
  </si>
  <si>
    <t>gewinne</t>
  </si>
  <si>
    <t>Wohltätigkeitsorganisationen</t>
  </si>
  <si>
    <t>Da</t>
  </si>
  <si>
    <t>verdrehe</t>
  </si>
  <si>
    <t>augen_verdrehen</t>
  </si>
  <si>
    <t>Lassen</t>
  </si>
  <si>
    <t>eins</t>
  </si>
  <si>
    <t>Mal</t>
  </si>
  <si>
    <t>klarstellen</t>
  </si>
  <si>
    <t>alleine</t>
  </si>
  <si>
    <t>Schicksal</t>
  </si>
  <si>
    <t>verantwortlich</t>
  </si>
  <si>
    <t>untinv&gt;unternehmen,investoren</t>
  </si>
  <si>
    <t>unbegrenzte</t>
  </si>
  <si>
    <t>Verpflichtungen</t>
  </si>
  <si>
    <t>umsichtige</t>
  </si>
  <si>
    <t>Investitions</t>
  </si>
  <si>
    <t>Finanzierungstheorien</t>
  </si>
  <si>
    <t>theorien</t>
  </si>
  <si>
    <t>untergeordnet</t>
  </si>
  <si>
    <t>kombi&gt;theorien,nachhaltigkeit</t>
  </si>
  <si>
    <t>spreche</t>
  </si>
  <si>
    <t>Lokaldeixis</t>
  </si>
  <si>
    <t>Kompromisse</t>
  </si>
  <si>
    <t>Schlüsselfaktor</t>
  </si>
  <si>
    <t>Schlüssel</t>
  </si>
  <si>
    <t>Eine</t>
  </si>
  <si>
    <t>ganze</t>
  </si>
  <si>
    <t>Menge</t>
  </si>
  <si>
    <t>viel</t>
  </si>
  <si>
    <t># text = 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härtesten an der Lösung dieser Probleme arbeiten , oder sie zumindest nicht verschärfen ? Was haben wir davon , wenn wir arbeiten , sparen und investieren , nur um im Ruhestand eine Welt vorzufinden , die angespannter und unsicherer ist als jetzt ? Wenn saubere Luft und frisches Wasser fehlen ? Eine berechtigte Frage könnte sein : Und wenn das ganze Nachhaltigkeits-Risiko-Gerede übertrieben und nicht dringlich ist ? Wenn es nur etwas für tugendhafte Verbraucher oder eine reine Frage des Lebensstils ist ? Präsident John F. Kennedy sagte dazu das einzig Richtige : " Aktionsprogramme bergen Risiken und Kosten , aber sie sind weit geringer als die langfristigen Risiken und Kosten der bequemen Untätigkeit . "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" Was , wenn das alles bloß Schwindel ist und wir schaffen ohne Grund eine bessere Welt ? " ] Gut , er gefällt Ihnen . Ich mag ihn auch . ( Gelächter ) Ich mag ihn , weil er sich über beide Lager des Klimawandels lustig macht . Ich wette , Sie erraten nicht , auf welcher Seite ich stehe . Ich mag es besonders ,</t>
  </si>
  <si>
    <t>Der</t>
  </si>
  <si>
    <t>globale</t>
  </si>
  <si>
    <t>Aktienmarkt</t>
  </si>
  <si>
    <t>aktienmarkt</t>
  </si>
  <si>
    <t>55</t>
  </si>
  <si>
    <t>Billionen</t>
  </si>
  <si>
    <t>aktienmarkt_wert</t>
  </si>
  <si>
    <t>Rentenmarkt</t>
  </si>
  <si>
    <t>rentenmarkt</t>
  </si>
  <si>
    <t>78</t>
  </si>
  <si>
    <t>rentenmarkt_wert</t>
  </si>
  <si>
    <t>summe&gt;aktienmarkt_wert,rentenmarkt_wert</t>
  </si>
  <si>
    <t>zusammen</t>
  </si>
  <si>
    <t>133</t>
  </si>
  <si>
    <t>summe</t>
  </si>
  <si>
    <t>achteinhalb</t>
  </si>
  <si>
    <t>BIP</t>
  </si>
  <si>
    <t>bip</t>
  </si>
  <si>
    <t>größte</t>
  </si>
  <si>
    <t>Volkswirtschaft</t>
  </si>
  <si>
    <t>volkswirtschaft</t>
  </si>
  <si>
    <t>gigantisch</t>
  </si>
  <si>
    <t>Feuerkraft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</si>
  <si>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</si>
  <si>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</si>
  <si>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</si>
  <si>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</si>
  <si>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</si>
  <si>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</si>
  <si>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</si>
  <si>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</si>
  <si>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pars pro toto für Gesamtmenge der Menschen</t>
  </si>
  <si>
    <t>investitionen_invinst</t>
  </si>
  <si>
    <t>Was</t>
  </si>
  <si>
    <t>antwort_frage1</t>
  </si>
  <si>
    <t>CAT weil AUTO_REF Interrogativpronomen</t>
  </si>
  <si>
    <t>wäre</t>
  </si>
  <si>
    <t>nutzten</t>
  </si>
  <si>
    <t>ihrem</t>
  </si>
  <si>
    <t>kapital_invinst</t>
  </si>
  <si>
    <t>härtesten</t>
  </si>
  <si>
    <t>Lösung</t>
  </si>
  <si>
    <t>loesung</t>
  </si>
  <si>
    <t>dieser</t>
  </si>
  <si>
    <t>Probleme</t>
  </si>
  <si>
    <t>probleme_zukunft</t>
  </si>
  <si>
    <t>arbeiten</t>
  </si>
  <si>
    <t>zumindest</t>
  </si>
  <si>
    <t>verschärfen</t>
  </si>
  <si>
    <t>antwort_frage2</t>
  </si>
  <si>
    <t>davon</t>
  </si>
  <si>
    <t>sparen</t>
  </si>
  <si>
    <t>Ruhestand</t>
  </si>
  <si>
    <t>ruhestand</t>
  </si>
  <si>
    <t>individueller Zeitpunkt in Zukunft</t>
  </si>
  <si>
    <t>vorzufinden</t>
  </si>
  <si>
    <t>angespannter</t>
  </si>
  <si>
    <t>unsicherer</t>
  </si>
  <si>
    <t>fehlen</t>
  </si>
  <si>
    <t>berechtigte</t>
  </si>
  <si>
    <t>Frage</t>
  </si>
  <si>
    <t>könnte</t>
  </si>
  <si>
    <t>Nachhaltigkeits</t>
  </si>
  <si>
    <t>Gerede</t>
  </si>
  <si>
    <t>risiko_nachhaltigkeit</t>
  </si>
  <si>
    <t>übertrieben</t>
  </si>
  <si>
    <t>dringlich</t>
  </si>
  <si>
    <t>etwas</t>
  </si>
  <si>
    <t>tugendhafte</t>
  </si>
  <si>
    <t>Verbraucher</t>
  </si>
  <si>
    <t>reine</t>
  </si>
  <si>
    <t>Lebensstils</t>
  </si>
  <si>
    <t>lebensstil</t>
  </si>
  <si>
    <t>Präsident</t>
  </si>
  <si>
    <t>John</t>
  </si>
  <si>
    <t>john_kennedy</t>
  </si>
  <si>
    <t>F.</t>
  </si>
  <si>
    <t>Kennedy</t>
  </si>
  <si>
    <t>sagte</t>
  </si>
  <si>
    <t>dazu</t>
  </si>
  <si>
    <t>einzig</t>
  </si>
  <si>
    <t>Richtige</t>
  </si>
  <si>
    <t>antwort_frage3</t>
  </si>
  <si>
    <t>Aktionsprogramme</t>
  </si>
  <si>
    <t>aktionen</t>
  </si>
  <si>
    <t>bergen</t>
  </si>
  <si>
    <t>Kosten</t>
  </si>
  <si>
    <t>weit</t>
  </si>
  <si>
    <t>geringer</t>
  </si>
  <si>
    <t>langfristigen</t>
  </si>
  <si>
    <t>risiken_und_kosten</t>
  </si>
  <si>
    <t>bequemen</t>
  </si>
  <si>
    <t>Untätigkeit</t>
  </si>
  <si>
    <t>nichtstun</t>
  </si>
  <si>
    <t>Sicher</t>
  </si>
  <si>
    <t>Schätzrisiko</t>
  </si>
  <si>
    <t>dies</t>
  </si>
  <si>
    <t>einschaetzung</t>
  </si>
  <si>
    <t>breitem</t>
  </si>
  <si>
    <t>wissenschaftlichen</t>
  </si>
  <si>
    <t>Konsens</t>
  </si>
  <si>
    <t>beruht</t>
  </si>
  <si>
    <t>Chance</t>
  </si>
  <si>
    <t>wahrscheinlichkeit1</t>
  </si>
  <si>
    <t>SBJ_11</t>
  </si>
  <si>
    <t>völlig</t>
  </si>
  <si>
    <t>falsch</t>
  </si>
  <si>
    <t>höher</t>
  </si>
  <si>
    <t>Wahrscheinlichkeit</t>
  </si>
  <si>
    <t>other_12</t>
  </si>
  <si>
    <t>wahrscheinlichkeit2</t>
  </si>
  <si>
    <t>unser</t>
  </si>
  <si>
    <t>other_14</t>
  </si>
  <si>
    <t>Haus</t>
  </si>
  <si>
    <t>OBJ_13</t>
  </si>
  <si>
    <t>haus</t>
  </si>
  <si>
    <t>abbrennt</t>
  </si>
  <si>
    <t>hausbrand</t>
  </si>
  <si>
    <t>Antezedens für solche "Fälle"</t>
  </si>
  <si>
    <t>SBJ_14</t>
  </si>
  <si>
    <t>Autounfall</t>
  </si>
  <si>
    <t>OBJ_14</t>
  </si>
  <si>
    <t>autounfall</t>
  </si>
  <si>
    <t>other_10</t>
  </si>
  <si>
    <t>parser error: Partikel</t>
  </si>
  <si>
    <t>Boston</t>
  </si>
  <si>
    <t>other_11</t>
  </si>
  <si>
    <t>boston</t>
  </si>
  <si>
    <t>leben</t>
  </si>
  <si>
    <t>so</t>
  </si>
  <si>
    <t>schließen</t>
  </si>
  <si>
    <t>Versicherungen</t>
  </si>
  <si>
    <t>ab</t>
  </si>
  <si>
    <t>Fälle</t>
  </si>
  <si>
    <t>faelle&gt;hausbrand,autounfall</t>
  </si>
  <si>
    <t>gerüstet</t>
  </si>
  <si>
    <t>Durch</t>
  </si>
  <si>
    <t>OBJ_9</t>
  </si>
  <si>
    <t>Versicherung</t>
  </si>
  <si>
    <t>verringern</t>
  </si>
  <si>
    <t>Gefahr</t>
  </si>
  <si>
    <t>gefahr</t>
  </si>
  <si>
    <t>unsere</t>
  </si>
  <si>
    <t>Wirtschaft</t>
  </si>
  <si>
    <t>wirtschaft</t>
  </si>
  <si>
    <t>gleichzeitig</t>
  </si>
  <si>
    <t>müssen</t>
  </si>
  <si>
    <t>kurzfristig</t>
  </si>
  <si>
    <t>verzichten</t>
  </si>
  <si>
    <t>Comic</t>
  </si>
  <si>
    <t>comic</t>
  </si>
  <si>
    <t>AUTO_REF Interrogativpronomen</t>
  </si>
  <si>
    <t>bloß</t>
  </si>
  <si>
    <t>Schwindel</t>
  </si>
  <si>
    <t>Menschheit im Gesamten</t>
  </si>
  <si>
    <t>ohne</t>
  </si>
  <si>
    <t>Grund</t>
  </si>
  <si>
    <t>bessere</t>
  </si>
  <si>
    <t>Gut</t>
  </si>
  <si>
    <t>gefällt</t>
  </si>
  <si>
    <t>Ihnen</t>
  </si>
  <si>
    <t>mag</t>
  </si>
  <si>
    <t>ihn</t>
  </si>
  <si>
    <t>weil</t>
  </si>
  <si>
    <t>beide</t>
  </si>
  <si>
    <t>Lager</t>
  </si>
  <si>
    <t>lager1+lager2</t>
  </si>
  <si>
    <t>Klimawandels</t>
  </si>
  <si>
    <t>lustig</t>
  </si>
  <si>
    <t>wette</t>
  </si>
  <si>
    <t>erraten</t>
  </si>
  <si>
    <t>welcher</t>
  </si>
  <si>
    <t>Seite</t>
  </si>
  <si>
    <t>stehe</t>
  </si>
  <si>
    <t># text = weil er mich an Mark Twain erinnert , der sagte : \" Plane für die Zukunft , denn dort wirst du den Rest deines Lebens verbringen . \" Vielen Dank .</t>
  </si>
  <si>
    <t>Mark</t>
  </si>
  <si>
    <t>mark_twain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</si>
  <si>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</si>
  <si>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</si>
  <si>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</si>
  <si>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</si>
  <si>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</si>
  <si>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</si>
  <si>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</si>
  <si>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</si>
  <si>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</si>
  <si>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</si>
  <si>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Vielen</t>
  </si>
  <si>
    <t>Dank</t>
  </si>
  <si>
    <t>themen</t>
  </si>
  <si>
    <t>dieselbe generische Entität der Investoren wie in 21; Antezedens</t>
  </si>
  <si>
    <t>parser error: kein Eigenname</t>
  </si>
  <si>
    <t>Privatsektor = Investoren</t>
  </si>
  <si>
    <t>wurzel</t>
  </si>
  <si>
    <t>4mil_menschen</t>
  </si>
  <si>
    <t>beispiele&gt;initiativen,investition_pentair</t>
  </si>
  <si>
    <t>Untermenge der institutionellen Investoren</t>
  </si>
  <si>
    <t>anzahl2_investoren_inst</t>
  </si>
  <si>
    <t>anzahl1_investoren_inst</t>
  </si>
  <si>
    <t>parser error sentence break</t>
  </si>
  <si>
    <t>parser erorr: nicht vorannotiert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</si>
</sst>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" sqref="E2"/>
    </sheetView>
  </sheetViews>
  <sheetFormatPr baseColWidth="10" defaultColWidth="8.88671875" defaultRowHeight="14.4" x14ac:dyDescent="0.3"/>
  <cols>
    <col min="2" max="3" width="11.5546875" hidden="1" customWidth="1"/>
    <col min="4" max="4" width="10.6640625" customWidth="1"/>
    <col min="5" max="5" width="80.6640625" customWidth="1"/>
    <col min="6" max="6" width="11.5546875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1" si="0">IF(A2=1,"_",IF(C2="_","???",C2))</f>
        <v>Insbesondere wenn?</v>
      </c>
      <c r="H2" s="10" t="s">
        <v>16</v>
      </c>
      <c r="I2" s="11" t="s">
        <v>16</v>
      </c>
      <c r="J2" s="12"/>
    </row>
    <row r="3" spans="1:10" ht="60" customHeight="1" x14ac:dyDescent="0.3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tr">
        <f t="shared" si="0"/>
        <v>Dadurch?</v>
      </c>
      <c r="H3" s="10" t="s">
        <v>16</v>
      </c>
      <c r="I3" s="11" t="s">
        <v>16</v>
      </c>
      <c r="J3" s="12"/>
    </row>
    <row r="4" spans="1:10" ht="60" customHeight="1" x14ac:dyDescent="0.3">
      <c r="A4" s="6" t="s">
        <v>11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tr">
        <f t="shared" si="0"/>
        <v>Warum?</v>
      </c>
      <c r="H4" s="10" t="s">
        <v>16</v>
      </c>
      <c r="I4" s="11" t="s">
        <v>16</v>
      </c>
      <c r="J4" s="12"/>
    </row>
    <row r="5" spans="1:10" ht="60" customHeight="1" x14ac:dyDescent="0.3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 t="str">
        <f t="shared" si="0"/>
        <v>???</v>
      </c>
      <c r="H5" s="10" t="s">
        <v>16</v>
      </c>
      <c r="I5" s="11" t="s">
        <v>16</v>
      </c>
      <c r="J5" s="12"/>
    </row>
    <row r="6" spans="1:10" ht="60" customHeight="1" x14ac:dyDescent="0.3">
      <c r="A6" s="6" t="s">
        <v>33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 t="str">
        <f t="shared" si="0"/>
        <v>Zugegeben?</v>
      </c>
      <c r="H6" s="10" t="s">
        <v>16</v>
      </c>
      <c r="I6" s="11" t="s">
        <v>16</v>
      </c>
      <c r="J6" s="12"/>
    </row>
    <row r="7" spans="1:10" ht="60" customHeight="1" x14ac:dyDescent="0.3">
      <c r="A7" s="6" t="s">
        <v>38</v>
      </c>
      <c r="B7" s="6" t="s">
        <v>39</v>
      </c>
      <c r="C7" s="6" t="s">
        <v>16</v>
      </c>
      <c r="D7" s="7" t="s">
        <v>40</v>
      </c>
      <c r="E7" s="8" t="s">
        <v>41</v>
      </c>
      <c r="F7" s="6" t="s">
        <v>42</v>
      </c>
      <c r="G7" s="9" t="str">
        <f t="shared" si="0"/>
        <v>???</v>
      </c>
      <c r="H7" s="10" t="s">
        <v>16</v>
      </c>
      <c r="I7" s="11" t="s">
        <v>16</v>
      </c>
      <c r="J7" s="12"/>
    </row>
    <row r="8" spans="1:10" ht="60" customHeight="1" x14ac:dyDescent="0.3">
      <c r="A8" s="6" t="s">
        <v>43</v>
      </c>
      <c r="B8" s="6" t="s">
        <v>28</v>
      </c>
      <c r="C8" s="6" t="s">
        <v>24</v>
      </c>
      <c r="D8" s="7" t="s">
        <v>44</v>
      </c>
      <c r="E8" s="8" t="s">
        <v>45</v>
      </c>
      <c r="F8" s="6" t="s">
        <v>46</v>
      </c>
      <c r="G8" s="9" t="str">
        <f t="shared" si="0"/>
        <v>Warum?</v>
      </c>
      <c r="H8" s="10" t="s">
        <v>16</v>
      </c>
      <c r="I8" s="11" t="s">
        <v>16</v>
      </c>
      <c r="J8" s="12"/>
    </row>
    <row r="9" spans="1:10" ht="60" customHeight="1" x14ac:dyDescent="0.3">
      <c r="A9" s="6" t="s">
        <v>47</v>
      </c>
      <c r="B9" s="6" t="s">
        <v>11</v>
      </c>
      <c r="C9" s="6" t="s">
        <v>24</v>
      </c>
      <c r="D9" s="7" t="s">
        <v>48</v>
      </c>
      <c r="E9" s="8" t="s">
        <v>49</v>
      </c>
      <c r="F9" s="6" t="s">
        <v>50</v>
      </c>
      <c r="G9" s="9" t="str">
        <f t="shared" si="0"/>
        <v>Warum?</v>
      </c>
      <c r="H9" s="10" t="s">
        <v>16</v>
      </c>
      <c r="I9" s="11" t="s">
        <v>16</v>
      </c>
      <c r="J9" s="12"/>
    </row>
    <row r="10" spans="1:10" ht="60" customHeight="1" x14ac:dyDescent="0.3">
      <c r="A10" s="6" t="s">
        <v>51</v>
      </c>
      <c r="B10" s="6" t="s">
        <v>28</v>
      </c>
      <c r="C10" s="6" t="s">
        <v>16</v>
      </c>
      <c r="D10" s="7" t="s">
        <v>52</v>
      </c>
      <c r="E10" s="8" t="s">
        <v>53</v>
      </c>
      <c r="F10" s="6" t="s">
        <v>54</v>
      </c>
      <c r="G10" s="9" t="str">
        <f t="shared" si="0"/>
        <v>???</v>
      </c>
      <c r="H10" s="10" t="s">
        <v>16</v>
      </c>
      <c r="I10" s="11" t="s">
        <v>16</v>
      </c>
      <c r="J10" s="12"/>
    </row>
    <row r="11" spans="1:10" ht="60" customHeight="1" x14ac:dyDescent="0.3">
      <c r="A11" s="6" t="s">
        <v>55</v>
      </c>
      <c r="B11" s="6" t="s">
        <v>55</v>
      </c>
      <c r="C11" s="6" t="s">
        <v>16</v>
      </c>
      <c r="D11" s="7" t="s">
        <v>56</v>
      </c>
      <c r="E11" s="8" t="s">
        <v>57</v>
      </c>
      <c r="F11" s="6" t="s">
        <v>58</v>
      </c>
      <c r="G11" s="9" t="str">
        <f t="shared" si="0"/>
        <v>???</v>
      </c>
      <c r="H11" s="10" t="s">
        <v>16</v>
      </c>
      <c r="I11" s="11" t="s">
        <v>16</v>
      </c>
      <c r="J11" s="12"/>
    </row>
  </sheetData>
  <sheetProtection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56"/>
  <sheetViews>
    <sheetView tabSelected="1" zoomScale="82" zoomScaleNormal="82" workbookViewId="0">
      <pane xSplit="1" ySplit="1" topLeftCell="B1242" activePane="bottomRight" state="frozen"/>
      <selection pane="topRight" activeCell="B1" sqref="B1"/>
      <selection pane="bottomLeft" activeCell="A1223" sqref="A1223"/>
      <selection pane="bottomRight" activeCell="F1256" sqref="F1256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5" max="5" width="18.88671875" customWidth="1"/>
    <col min="7" max="7" width="15.44140625" customWidth="1"/>
    <col min="9" max="11" width="11.5546875" hidden="1" customWidth="1"/>
    <col min="12" max="12" width="61.33203125" customWidth="1"/>
  </cols>
  <sheetData>
    <row r="1" spans="1:12" x14ac:dyDescent="0.3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 x14ac:dyDescent="0.3">
      <c r="A2" t="s">
        <v>70</v>
      </c>
    </row>
    <row r="3" spans="1:12" x14ac:dyDescent="0.3">
      <c r="A3" t="s">
        <v>71</v>
      </c>
      <c r="E3" s="20" t="str">
        <f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34" ca="1" si="0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ht="28.8" x14ac:dyDescent="0.3">
      <c r="A4" t="s">
        <v>72</v>
      </c>
      <c r="B4" s="26" t="s">
        <v>73</v>
      </c>
      <c r="C4" s="26" t="s">
        <v>74</v>
      </c>
      <c r="D4" s="26" t="s">
        <v>75</v>
      </c>
      <c r="E4" s="20" t="s">
        <v>76</v>
      </c>
      <c r="F4" s="21" t="str">
        <f>IF(OR(E4="",E4="!!!"),"",IF(NOT(ISNA(VLOOKUP(E4,E$1:E3,1,FALSE()))),"OLD",IF(AND(E4&lt;&gt;"",E4&lt;&gt;"!!!"),"NEW","")))</f>
        <v>NEW</v>
      </c>
      <c r="G4" s="22" t="str">
        <f ca="1">IF(OR(E4="",E4="!!!"),"",IF(OR(J4=0,AND(J4=1,K4=1),AND(J4=1,I4="SBJ"),AND(J4=1,I4=0)),"?IN_FOCUS",IF(J4&lt;=2,"?ACTIVATED",IF(J4&lt;&gt;"","?FAMILIAR",IF(F4="NEW",IF(ISNA(VLOOKUP(E4,#REF!,1,FALSE())),"?TYPE_IDENTIFIABLE","?REFERENTIAL"),"_")))))</f>
        <v>?REFERENTIAL</v>
      </c>
      <c r="H4" s="23" t="str">
        <f t="shared" ca="1" si="0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7" t="s">
        <v>77</v>
      </c>
    </row>
    <row r="5" spans="1:12" x14ac:dyDescent="0.3">
      <c r="A5" t="s">
        <v>78</v>
      </c>
      <c r="E5" s="20" t="str">
        <f>IF(D5="?OLD","!!!","")</f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0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79</v>
      </c>
      <c r="E6" s="20" t="str">
        <f>IF(D6="?OLD","!!!","")</f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0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80</v>
      </c>
      <c r="E7" s="20" t="str">
        <f>IF(D7="?OLD","!!!","")</f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0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81</v>
      </c>
      <c r="B8" s="26" t="s">
        <v>82</v>
      </c>
      <c r="C8" s="26" t="s">
        <v>74</v>
      </c>
      <c r="D8" s="26" t="s">
        <v>75</v>
      </c>
      <c r="E8" s="20" t="s">
        <v>83</v>
      </c>
      <c r="F8" s="21" t="s">
        <v>84</v>
      </c>
      <c r="G8" s="22" t="e">
        <f ca="1">IF(OR(E8="",E8="!!!"),"",IF(OR(J8=0,AND(J8=1,K8=1),AND(J8=1,I8="SBJ"),AND(J8=1,I8=0)),"?IN_FOCUS",IF(J8&lt;=2,"?ACTIVATED",IF(J8&lt;&gt;"","?FAMILIAR",IF(F8="NEW",IF(ISNA(VLOOKUP(E8,#REF!,1,FALSE())),"?TYPE_IDENTIFIABLE","?REFERENTIAL"),"_")))))</f>
        <v>#VALUE!</v>
      </c>
      <c r="H8" s="23" t="str">
        <f t="shared" ca="1" si="0"/>
        <v/>
      </c>
      <c r="I8" s="24" t="e">
        <f>IF(OR(E8="",E8="!!!",F8="NEW"),"",INDEX(B$2:B7,-1+SUMPRODUCT(MAX(ROW(E$2:E7)*(E8=E$2:E7)))))</f>
        <v>#VALUE!</v>
      </c>
      <c r="J8" s="24">
        <f ca="1">IF(OR(E8="",E8="!!!",F8="NEW"),"",COUNTBLANK(OFFSET(A$1,,,SUMPRODUCT(MAX(ROW(E$2:E8)*(E8=E$2:E8)))))-COUNTBLANK(OFFSET(A$1,,,SUMPRODUCT(MAX(ROW(E$1:E7)*(E2=E$1:E7))))))</f>
        <v>0</v>
      </c>
      <c r="K8" s="24" t="e">
        <f>IF(OR(E8="",E8="!!!",F8="NEW"),"",INDEX(J$1:J7,SUMPRODUCT(MAX(ROW(E$1:E7)*(E8=E$1:E7)))))</f>
        <v>#VALUE!</v>
      </c>
      <c r="L8" s="27" t="s">
        <v>85</v>
      </c>
    </row>
    <row r="9" spans="1:12" x14ac:dyDescent="0.3">
      <c r="A9" t="s">
        <v>86</v>
      </c>
      <c r="E9" s="20" t="str">
        <f>IF(D9="?OLD","!!!","")</f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0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87</v>
      </c>
      <c r="B10" s="26" t="s">
        <v>73</v>
      </c>
      <c r="C10" s="26" t="s">
        <v>88</v>
      </c>
      <c r="D10" s="26" t="s">
        <v>75</v>
      </c>
      <c r="E10" s="20" t="s">
        <v>76</v>
      </c>
      <c r="F10" s="21" t="str">
        <f>IF(OR(E10="",E10="!!!"),"",IF(NOT(ISNA(VLOOKUP(E10,E$1:E9,1,FALSE()))),"OLD",IF(AND(E10&lt;&gt;"",E10&lt;&gt;"!!!"),"NEW","")))</f>
        <v>OLD</v>
      </c>
      <c r="G10" s="22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3" t="str">
        <f t="shared" ca="1" si="0"/>
        <v/>
      </c>
      <c r="I10" s="24" t="str">
        <f>IF(OR(E10="",E10="!!!",F10="NEW"),"",INDEX(B$2:B9,-1+SUMPRODUCT(MAX(ROW(E$2:E9)*(E10=E$2:E9)))))</f>
        <v>SBJ</v>
      </c>
      <c r="J10" s="24">
        <f ca="1">IF(OR(E10="",E10="!!!",F10="NEW"),"",COUNTBLANK(OFFSET(A$1,,,SUMPRODUCT(MAX(ROW(E$2:E10)*(E10=E$2:E10)))))-COUNTBLANK(OFFSET(A$1,,,SUMPRODUCT(MAX(ROW(E$1:E9)*(E2=E$1:E9))))))</f>
        <v>0</v>
      </c>
      <c r="K10" s="24" t="str">
        <f ca="1">IF(OR(E10="",E10="!!!",F10="NEW"),"",INDEX(J$1:J9,SUMPRODUCT(MAX(ROW(E$1:E9)*(E10=E$1:E9)))))</f>
        <v/>
      </c>
      <c r="L10" s="25"/>
    </row>
    <row r="11" spans="1:12" x14ac:dyDescent="0.3">
      <c r="A11" t="s">
        <v>89</v>
      </c>
      <c r="E11" s="20" t="str">
        <f t="shared" ref="E11:E16" si="1">IF(D11="?OLD","!!!","")</f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0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90</v>
      </c>
      <c r="B12" s="26" t="s">
        <v>91</v>
      </c>
      <c r="E12" s="20" t="str">
        <f t="shared" si="1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0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92</v>
      </c>
      <c r="E13" s="20" t="str">
        <f t="shared" si="1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0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93</v>
      </c>
      <c r="E14" s="20" t="str">
        <f t="shared" si="1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0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86</v>
      </c>
      <c r="E15" s="20" t="str">
        <f t="shared" si="1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0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94</v>
      </c>
      <c r="E16" s="20" t="str">
        <f t="shared" si="1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0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95</v>
      </c>
      <c r="B17" s="26" t="s">
        <v>96</v>
      </c>
      <c r="C17" s="26" t="s">
        <v>88</v>
      </c>
      <c r="D17" s="26" t="s">
        <v>75</v>
      </c>
      <c r="E17" s="20" t="s">
        <v>97</v>
      </c>
      <c r="F17" s="21" t="s">
        <v>98</v>
      </c>
      <c r="G17" s="22" t="e">
        <f ca="1">IF(OR(E17="",E17="!!!"),"",IF(OR(J17=0,AND(J17=1,K17=1),AND(J17=1,I17="SBJ"),AND(J17=1,I17=0)),"?IN_FOCUS",IF(J17&lt;=2,"?ACTIVATED",IF(J17&lt;&gt;"","?FAMILIAR",IF(F17="NEW",IF(ISNA(VLOOKUP(E17,#REF!,1,FALSE())),"?TYPE_IDENTIFIABLE","?REFERENTIAL"),"_")))))</f>
        <v>#VALUE!</v>
      </c>
      <c r="H17" s="23" t="str">
        <f t="shared" ca="1" si="0"/>
        <v/>
      </c>
      <c r="I17" s="24" t="e">
        <f>IF(OR(E17="",E17="!!!",F17="NEW"),"",INDEX(B$2:B16,-1+SUMPRODUCT(MAX(ROW(E$2:E16)*(E17=E$2:E16)))))</f>
        <v>#VALUE!</v>
      </c>
      <c r="J17" s="24">
        <f ca="1">IF(OR(E17="",E17="!!!",F17="NEW"),"",COUNTBLANK(OFFSET(A$1,,,SUMPRODUCT(MAX(ROW(E$2:E17)*(E17=E$2:E17)))))-COUNTBLANK(OFFSET(A$1,,,SUMPRODUCT(MAX(ROW(E$1:E16)*(E2=E$1:E16))))))</f>
        <v>0</v>
      </c>
      <c r="K17" s="24" t="e">
        <f>IF(OR(E17="",E17="!!!",F17="NEW"),"",INDEX(J$1:J16,SUMPRODUCT(MAX(ROW(E$1:E16)*(E17=E$1:E16)))))</f>
        <v>#VALUE!</v>
      </c>
      <c r="L17" s="27" t="s">
        <v>99</v>
      </c>
    </row>
    <row r="18" spans="1:12" x14ac:dyDescent="0.3">
      <c r="A18" t="s">
        <v>100</v>
      </c>
      <c r="E18" s="20" t="str">
        <f>IF(D18="?OLD","!!!","")</f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0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101</v>
      </c>
      <c r="E19" s="20" t="str">
        <f>IF(D19="?OLD","!!!","")</f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0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102</v>
      </c>
      <c r="E20" s="20" t="str">
        <f>IF(D20="?OLD","!!!","")</f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0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ht="28.8" x14ac:dyDescent="0.3">
      <c r="A21" t="s">
        <v>103</v>
      </c>
      <c r="B21" s="26" t="s">
        <v>104</v>
      </c>
      <c r="C21" s="26" t="s">
        <v>105</v>
      </c>
      <c r="E21" s="20" t="s">
        <v>106</v>
      </c>
      <c r="F21" s="21" t="s">
        <v>107</v>
      </c>
      <c r="G21" s="22" t="e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#VALUE!</v>
      </c>
      <c r="H21" s="23" t="str">
        <f t="shared" ca="1" si="0"/>
        <v/>
      </c>
      <c r="I21" s="24" t="e">
        <f>IF(OR(E21="",E21="!!!",F21="NEW"),"",INDEX(B$2:B20,-1+SUMPRODUCT(MAX(ROW(E$2:E20)*(E21=E$2:E20)))))</f>
        <v>#VALUE!</v>
      </c>
      <c r="J21" s="24">
        <f ca="1">IF(OR(E21="",E21="!!!",F21="NEW"),"",COUNTBLANK(OFFSET(A$1,,,SUMPRODUCT(MAX(ROW(E$2:E21)*(E21=E$2:E21)))))-COUNTBLANK(OFFSET(A$1,,,SUMPRODUCT(MAX(ROW(E$1:E20)*(E2=E$1:E20))))))</f>
        <v>0</v>
      </c>
      <c r="K21" s="24" t="e">
        <f>IF(OR(E21="",E21="!!!",F21="NEW"),"",INDEX(J$1:J20,SUMPRODUCT(MAX(ROW(E$1:E20)*(E21=E$1:E20)))))</f>
        <v>#VALUE!</v>
      </c>
      <c r="L21" s="27" t="s">
        <v>108</v>
      </c>
    </row>
    <row r="22" spans="1:12" x14ac:dyDescent="0.3">
      <c r="A22" t="s">
        <v>109</v>
      </c>
      <c r="B22" s="26" t="s">
        <v>110</v>
      </c>
      <c r="C22" s="26" t="s">
        <v>111</v>
      </c>
      <c r="E22" s="20" t="str">
        <f>IF(D22="?OLD","!!!","")</f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0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112</v>
      </c>
      <c r="E23" s="20" t="str">
        <f>IF(D23="?OLD","!!!","")</f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0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113</v>
      </c>
      <c r="E24" s="20" t="str">
        <f>IF(D24="?OLD","!!!","")</f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0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114</v>
      </c>
      <c r="B25" s="26" t="s">
        <v>115</v>
      </c>
      <c r="C25" s="26" t="s">
        <v>74</v>
      </c>
      <c r="D25" s="26" t="s">
        <v>75</v>
      </c>
      <c r="E25" s="20"/>
      <c r="F25" s="21" t="s">
        <v>107</v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0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116</v>
      </c>
      <c r="E26" s="20" t="str">
        <f t="shared" ref="E26:E32" si="2">IF(D26="?OLD","!!!","")</f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0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117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0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118</v>
      </c>
      <c r="B28" s="26" t="s">
        <v>110</v>
      </c>
      <c r="C28" s="26" t="s">
        <v>119</v>
      </c>
      <c r="E28" s="20" t="str">
        <f t="shared" si="2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0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120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0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86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0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121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0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122</v>
      </c>
      <c r="E32" s="20" t="str">
        <f t="shared" si="2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0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123</v>
      </c>
      <c r="B33" s="26" t="s">
        <v>96</v>
      </c>
      <c r="C33" s="26" t="s">
        <v>88</v>
      </c>
      <c r="D33" s="26" t="s">
        <v>75</v>
      </c>
      <c r="E33" s="20"/>
      <c r="F33" s="21" t="s">
        <v>124</v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0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125</v>
      </c>
      <c r="E34" s="20" t="str">
        <f>IF(D34="?OLD","!!!","")</f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0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126</v>
      </c>
      <c r="B35" s="26" t="s">
        <v>82</v>
      </c>
      <c r="C35" s="26" t="s">
        <v>105</v>
      </c>
      <c r="E35" s="20" t="s">
        <v>127</v>
      </c>
      <c r="F35" s="21" t="str">
        <f>IF(OR(E35="",E35="!!!"),"",IF(NOT(ISNA(VLOOKUP(E35,E$1:E34,1,FALSE()))),"OLD",IF(AND(E35&lt;&gt;"",E35&lt;&gt;"!!!"),"NEW","")))</f>
        <v>NEW</v>
      </c>
      <c r="G35" s="22" t="str">
        <f ca="1">IF(OR(E35="",E35="!!!"),"",IF(OR(J35=0,AND(J35=1,K35=1),AND(J35=1,I35="SBJ"),AND(J35=1,I35=0)),"?IN_FOCUS",IF(J35&lt;=2,"?ACTIVATED",IF(J35&lt;&gt;"","?FAMILIAR",IF(F35="NEW",IF(ISNA(VLOOKUP(E35,#REF!,1,FALSE())),"?TYPE_IDENTIFIABLE","?REFERENTIAL"),"_")))))</f>
        <v>?REFERENTIAL</v>
      </c>
      <c r="H35" s="23" t="str">
        <f t="shared" ref="H35:H66" ca="1" si="3">IF(J35&lt;&gt;1,"",IF(I35="SBJ","CB","?"))</f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7" t="s">
        <v>128</v>
      </c>
    </row>
    <row r="36" spans="1:12" x14ac:dyDescent="0.3">
      <c r="A36" t="s">
        <v>129</v>
      </c>
      <c r="E36" s="20" t="str">
        <f>IF(D36="?OLD","!!!","")</f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86</v>
      </c>
      <c r="E37" s="20" t="str">
        <f>IF(D37="?OLD","!!!","")</f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130</v>
      </c>
      <c r="E38" s="20" t="str">
        <f>IF(D38="?OLD","!!!","")</f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126</v>
      </c>
      <c r="B39" s="26" t="s">
        <v>131</v>
      </c>
      <c r="C39" s="26" t="s">
        <v>105</v>
      </c>
      <c r="E39" s="20" t="s">
        <v>127</v>
      </c>
      <c r="F39" s="21" t="str">
        <f>IF(OR(E39="",E39="!!!"),"",IF(NOT(ISNA(VLOOKUP(E39,E$1:E38,1,FALSE()))),"OLD",IF(AND(E39&lt;&gt;"",E39&lt;&gt;"!!!"),"NEW","")))</f>
        <v>OLD</v>
      </c>
      <c r="G39" s="22" t="str">
        <f ca="1">IF(OR(E39="",E39="!!!"),"",IF(OR(J39=0,AND(J39=1,K39=1),AND(J39=1,I39="SBJ"),AND(J39=1,I39=0)),"?IN_FOCUS",IF(J39&lt;=2,"?ACTIVATED",IF(J39&lt;&gt;"","?FAMILIAR",IF(F39="NEW",IF(ISNA(VLOOKUP(E39,#REF!,1,FALSE())),"?TYPE_IDENTIFIABLE","?REFERENTIAL"),"_")))))</f>
        <v>?IN_FOCUS</v>
      </c>
      <c r="H39" s="23" t="str">
        <f t="shared" ca="1" si="3"/>
        <v/>
      </c>
      <c r="I39" s="24" t="str">
        <f>IF(OR(E39="",E39="!!!",F39="NEW"),"",INDEX(B$2:B38,-1+SUMPRODUCT(MAX(ROW(E$2:E38)*(E39=E$2:E38)))))</f>
        <v>other_2</v>
      </c>
      <c r="J39" s="24">
        <f ca="1">IF(OR(E39="",E39="!!!",F39="NEW"),"",COUNTBLANK(OFFSET(A$1,,,SUMPRODUCT(MAX(ROW(E$2:E39)*(E39=E$2:E39)))))-COUNTBLANK(OFFSET(A$1,,,SUMPRODUCT(MAX(ROW(E$1:E38)*(E2=E$1:E38))))))</f>
        <v>0</v>
      </c>
      <c r="K39" s="24" t="str">
        <f ca="1">IF(OR(E39="",E39="!!!",F39="NEW"),"",INDEX(J$1:J38,SUMPRODUCT(MAX(ROW(E$1:E38)*(E39=E$1:E38)))))</f>
        <v/>
      </c>
      <c r="L39" s="25"/>
    </row>
    <row r="40" spans="1:12" x14ac:dyDescent="0.3">
      <c r="A40" t="s">
        <v>132</v>
      </c>
      <c r="B40" s="26" t="s">
        <v>82</v>
      </c>
      <c r="C40" s="26" t="s">
        <v>133</v>
      </c>
      <c r="D40" s="26" t="s">
        <v>75</v>
      </c>
      <c r="E40" s="20"/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7" t="s">
        <v>134</v>
      </c>
    </row>
    <row r="41" spans="1:12" x14ac:dyDescent="0.3">
      <c r="A41" t="s">
        <v>95</v>
      </c>
      <c r="B41" s="26" t="s">
        <v>73</v>
      </c>
      <c r="C41" s="26" t="s">
        <v>88</v>
      </c>
      <c r="D41" s="26" t="s">
        <v>75</v>
      </c>
      <c r="E41" s="20" t="s">
        <v>97</v>
      </c>
      <c r="F41" s="21" t="str">
        <f>IF(OR(E41="",E41="!!!"),"",IF(NOT(ISNA(VLOOKUP(E41,E$1:E40,1,FALSE()))),"OLD",IF(AND(E41&lt;&gt;"",E41&lt;&gt;"!!!"),"NEW","")))</f>
        <v>OLD</v>
      </c>
      <c r="G41" s="22" t="str">
        <f ca="1">IF(OR(E41="",E41="!!!"),"",IF(OR(J41=0,AND(J41=1,K41=1),AND(J41=1,I41="SBJ"),AND(J41=1,I41=0)),"?IN_FOCUS",IF(J41&lt;=2,"?ACTIVATED",IF(J41&lt;&gt;"","?FAMILIAR",IF(F41="NEW",IF(ISNA(VLOOKUP(E41,#REF!,1,FALSE())),"?TYPE_IDENTIFIABLE","?REFERENTIAL"),"_")))))</f>
        <v>?IN_FOCUS</v>
      </c>
      <c r="H41" s="23" t="str">
        <f t="shared" ca="1" si="3"/>
        <v/>
      </c>
      <c r="I41" s="24" t="str">
        <f>IF(OR(E41="",E41="!!!",F41="NEW"),"",INDEX(B$2:B40,-1+SUMPRODUCT(MAX(ROW(E$2:E40)*(E41=E$2:E40)))))</f>
        <v>SBJ_2</v>
      </c>
      <c r="J41" s="24">
        <f ca="1">IF(OR(E41="",E41="!!!",F41="NEW"),"",COUNTBLANK(OFFSET(A$1,,,SUMPRODUCT(MAX(ROW(E$2:E41)*(E41=E$2:E41)))))-COUNTBLANK(OFFSET(A$1,,,SUMPRODUCT(MAX(ROW(E$1:E40)*(E2=E$1:E40))))))</f>
        <v>0</v>
      </c>
      <c r="K41" s="24">
        <f ca="1">IF(OR(E41="",E41="!!!",F41="NEW"),"",INDEX(J$1:J40,SUMPRODUCT(MAX(ROW(E$1:E40)*(E41=E$1:E40)))))</f>
        <v>0</v>
      </c>
      <c r="L41" s="27" t="s">
        <v>135</v>
      </c>
    </row>
    <row r="42" spans="1:12" x14ac:dyDescent="0.3">
      <c r="A42" t="s">
        <v>136</v>
      </c>
      <c r="E42" s="20" t="str">
        <f>IF(D42="?OLD","!!!","")</f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92</v>
      </c>
      <c r="E43" s="20" t="str">
        <f>IF(D43="?OLD","!!!","")</f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137</v>
      </c>
      <c r="E44" s="20" t="str">
        <f>IF(D44="?OLD","!!!","")</f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138</v>
      </c>
      <c r="B45" s="26" t="s">
        <v>91</v>
      </c>
      <c r="C45" s="26" t="s">
        <v>74</v>
      </c>
      <c r="D45" s="26" t="s">
        <v>75</v>
      </c>
      <c r="E45" s="20" t="s">
        <v>1049</v>
      </c>
      <c r="F45" s="21" t="s">
        <v>185</v>
      </c>
      <c r="G45" s="22" t="str">
        <f ca="1">IF(OR(E45="",E45="!!!"),"",IF(OR(J45=0,AND(J45=1,K45=1),AND(J45=1,I45="SBJ"),AND(J45=1,I45=0)),"?IN_FOCUS",IF(J45&lt;=2,"?ACTIVATED",IF(J45&lt;&gt;"","?FAMILIAR",IF(F45="NEW",IF(ISNA(VLOOKUP(E45,#REF!,1,FALSE())),"?TYPE_IDENTIFIABLE","?REFERENTIAL"),"_")))))</f>
        <v>?REFERENTIAL</v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140</v>
      </c>
      <c r="E46" s="20" t="str">
        <f>IF(D46="?OLD","!!!","")</f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3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141</v>
      </c>
      <c r="E47" s="20" t="str">
        <f>IF(D47="?OLD","!!!","")</f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142</v>
      </c>
      <c r="E48" s="20" t="str">
        <f>IF(D48="?OLD","!!!","")</f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3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143</v>
      </c>
      <c r="E49" s="20" t="str">
        <f>IF(D49="?OLD","!!!","")</f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3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144</v>
      </c>
      <c r="B50" s="26" t="s">
        <v>82</v>
      </c>
      <c r="C50" s="26" t="s">
        <v>105</v>
      </c>
      <c r="E50" s="20"/>
      <c r="F50" s="21"/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3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142</v>
      </c>
      <c r="E51" s="20" t="str">
        <f>IF(D51="?OLD","!!!","")</f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3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145</v>
      </c>
      <c r="E52" s="20" t="str">
        <f>IF(D52="?OLD","!!!","")</f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3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146</v>
      </c>
      <c r="B53" s="26" t="s">
        <v>147</v>
      </c>
      <c r="C53" s="26" t="s">
        <v>105</v>
      </c>
      <c r="E53" s="20"/>
      <c r="F53" s="21"/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3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86</v>
      </c>
      <c r="E54" s="20" t="str">
        <f>IF(D54="?OLD","!!!","")</f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3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148</v>
      </c>
      <c r="B55" s="26" t="s">
        <v>96</v>
      </c>
      <c r="C55" s="26" t="s">
        <v>88</v>
      </c>
      <c r="D55" s="26" t="s">
        <v>75</v>
      </c>
      <c r="E55" s="20"/>
      <c r="F55" s="21" t="s">
        <v>124</v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3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78</v>
      </c>
      <c r="E56" s="20" t="str">
        <f>IF(D56="?OLD","!!!","")</f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3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149</v>
      </c>
      <c r="E57" s="20" t="str">
        <f>IF(D57="?OLD","!!!","")</f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3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101</v>
      </c>
      <c r="E58" s="20" t="str">
        <f>IF(D58="?OLD","!!!","")</f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3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150</v>
      </c>
      <c r="B59" s="26" t="s">
        <v>96</v>
      </c>
      <c r="C59" s="26" t="s">
        <v>151</v>
      </c>
      <c r="D59" s="26" t="s">
        <v>75</v>
      </c>
      <c r="E59" s="20"/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/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7" t="s">
        <v>152</v>
      </c>
    </row>
    <row r="60" spans="1:12" x14ac:dyDescent="0.3">
      <c r="A60" t="s">
        <v>153</v>
      </c>
      <c r="B60" s="26" t="s">
        <v>154</v>
      </c>
      <c r="C60" s="26" t="s">
        <v>105</v>
      </c>
      <c r="E60" s="20" t="s">
        <v>1049</v>
      </c>
      <c r="F60" s="21" t="str">
        <f>IF(OR(E60="",E60="!!!"),"",IF(NOT(ISNA(VLOOKUP(E60,E$1:E59,1,FALSE()))),"OLD",IF(AND(E60&lt;&gt;"",E60&lt;&gt;"!!!"),"NEW","")))</f>
        <v>OLD</v>
      </c>
      <c r="G60" s="22" t="str">
        <f ca="1">IF(OR(E60="",E60="!!!"),"",IF(OR(J60=0,AND(J60=1,K60=1),AND(J60=1,I60="SBJ"),AND(J60=1,I60=0)),"?IN_FOCUS",IF(J60&lt;=2,"?ACTIVATED",IF(J60&lt;&gt;"","?FAMILIAR",IF(F60="NEW",IF(ISNA(VLOOKUP(E60,#REF!,1,FALSE())),"?TYPE_IDENTIFIABLE","?REFERENTIAL"),"_")))))</f>
        <v>?IN_FOCUS</v>
      </c>
      <c r="H60" s="23" t="str">
        <f t="shared" ref="H60:H91" ca="1" si="4">IF(J60&lt;&gt;1,"",IF(I60="SBJ","CB","?"))</f>
        <v/>
      </c>
      <c r="I60" s="24" t="str">
        <f>IF(OR(E60="",E60="!!!",F60="NEW"),"",INDEX(B$2:B59,-1+SUMPRODUCT(MAX(ROW(E$2:E59)*(E60=E$2:E59)))))</f>
        <v>OBJ</v>
      </c>
      <c r="J60" s="24">
        <f ca="1">IF(OR(E60="",E60="!!!",F60="NEW"),"",COUNTBLANK(OFFSET(A$1,,,SUMPRODUCT(MAX(ROW(E$2:E60)*(E60=E$2:E60)))))-COUNTBLANK(OFFSET(A$1,,,SUMPRODUCT(MAX(ROW(E$1:E59)*(E2=E$1:E59))))))</f>
        <v>0</v>
      </c>
      <c r="K60" s="24" t="str">
        <f ca="1">IF(OR(E60="",E60="!!!",F60="NEW"),"",INDEX(J$1:J59,SUMPRODUCT(MAX(ROW(E$1:E59)*(E60=E$1:E59)))))</f>
        <v/>
      </c>
      <c r="L60" s="25"/>
    </row>
    <row r="61" spans="1:12" x14ac:dyDescent="0.3">
      <c r="A61" t="s">
        <v>155</v>
      </c>
      <c r="E61" s="20" t="str">
        <f>IF(D61="?OLD","!!!","")</f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4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156</v>
      </c>
      <c r="E62" s="20" t="s">
        <v>157</v>
      </c>
      <c r="F62" s="21" t="str">
        <f>IF(OR(E62="",E62="!!!"),"",IF(NOT(ISNA(VLOOKUP(E62,E$1:E61,1,FALSE()))),"OLD",IF(AND(E62&lt;&gt;"",E62&lt;&gt;"!!!"),"NEW","")))</f>
        <v>NEW</v>
      </c>
      <c r="G62" s="22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?REFERENTIAL</v>
      </c>
      <c r="H62" s="23" t="str">
        <f t="shared" ca="1" si="4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7" t="s">
        <v>158</v>
      </c>
    </row>
    <row r="63" spans="1:12" x14ac:dyDescent="0.3">
      <c r="A63" t="s">
        <v>101</v>
      </c>
      <c r="E63" s="20" t="str">
        <f>IF(D63="?OLD","!!!","")</f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4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159</v>
      </c>
      <c r="E64" s="20" t="str">
        <f>IF(D64="?OLD","!!!","")</f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4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160</v>
      </c>
      <c r="B65" s="26" t="s">
        <v>96</v>
      </c>
      <c r="C65" s="26" t="s">
        <v>151</v>
      </c>
      <c r="D65" s="26" t="s">
        <v>75</v>
      </c>
      <c r="E65" s="20" t="s">
        <v>157</v>
      </c>
      <c r="F65" s="21" t="str">
        <f>IF(OR(E65="",E65="!!!"),"",IF(NOT(ISNA(VLOOKUP(E65,E$1:E64,1,FALSE()))),"OLD",IF(AND(E65&lt;&gt;"",E65&lt;&gt;"!!!"),"NEW","")))</f>
        <v>OLD</v>
      </c>
      <c r="G65" s="22" t="str">
        <f ca="1">IF(OR(E65="",E65="!!!"),"",IF(OR(J65=0,AND(J65=1,K65=1),AND(J65=1,I65="SBJ"),AND(J65=1,I65=0)),"?IN_FOCUS",IF(J65&lt;=2,"?ACTIVATED",IF(J65&lt;&gt;"","?FAMILIAR",IF(F65="NEW",IF(ISNA(VLOOKUP(E65,#REF!,1,FALSE())),"?TYPE_IDENTIFIABLE","?REFERENTIAL"),"_")))))</f>
        <v>?IN_FOCUS</v>
      </c>
      <c r="H65" s="23" t="str">
        <f t="shared" ca="1" si="4"/>
        <v/>
      </c>
      <c r="I65" s="24">
        <f>IF(OR(E65="",E65="!!!",F65="NEW"),"",INDEX(B$2:B64,-1+SUMPRODUCT(MAX(ROW(E$2:E64)*(E65=E$2:E64)))))</f>
        <v>0</v>
      </c>
      <c r="J65" s="24">
        <f ca="1">IF(OR(E65="",E65="!!!",F65="NEW"),"",COUNTBLANK(OFFSET(A$1,,,SUMPRODUCT(MAX(ROW(E$2:E65)*(E65=E$2:E65)))))-COUNTBLANK(OFFSET(A$1,,,SUMPRODUCT(MAX(ROW(E$1:E64)*(E2=E$1:E64))))))</f>
        <v>0</v>
      </c>
      <c r="K65" s="24" t="str">
        <f ca="1">IF(OR(E65="",E65="!!!",F65="NEW"),"",INDEX(J$1:J64,SUMPRODUCT(MAX(ROW(E$1:E64)*(E65=E$1:E64)))))</f>
        <v/>
      </c>
      <c r="L65" s="25"/>
    </row>
    <row r="66" spans="1:12" x14ac:dyDescent="0.3">
      <c r="A66" t="s">
        <v>161</v>
      </c>
      <c r="E66" s="20" t="str">
        <f t="shared" ref="E66:E73" si="5">IF(D66="?OLD","!!!","")</f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4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162</v>
      </c>
      <c r="E67" s="20" t="str">
        <f t="shared" si="5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4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163</v>
      </c>
      <c r="E68" s="20" t="str">
        <f t="shared" si="5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4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164</v>
      </c>
      <c r="B69" s="26" t="s">
        <v>154</v>
      </c>
      <c r="C69" s="26" t="s">
        <v>105</v>
      </c>
      <c r="E69" s="20" t="str">
        <f t="shared" si="5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4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165</v>
      </c>
      <c r="E70" s="20" t="str">
        <f t="shared" si="5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4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86</v>
      </c>
      <c r="E71" s="20" t="str">
        <f t="shared" si="5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4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166</v>
      </c>
      <c r="B72" s="26" t="s">
        <v>82</v>
      </c>
      <c r="C72" s="26" t="s">
        <v>105</v>
      </c>
      <c r="E72" s="20" t="str">
        <f t="shared" si="5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4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167</v>
      </c>
      <c r="E73" s="20" t="str">
        <f t="shared" si="5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4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87</v>
      </c>
      <c r="B74" s="26" t="s">
        <v>96</v>
      </c>
      <c r="C74" s="26" t="s">
        <v>88</v>
      </c>
      <c r="D74" s="26" t="s">
        <v>75</v>
      </c>
      <c r="E74" s="20" t="s">
        <v>168</v>
      </c>
      <c r="F74" s="21" t="s">
        <v>98</v>
      </c>
      <c r="G74" s="22" t="e">
        <f ca="1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3" t="str">
        <f t="shared" ca="1" si="4"/>
        <v/>
      </c>
      <c r="I74" s="24" t="e">
        <f>IF(OR(E74="",E74="!!!",F74="NEW"),"",INDEX(B$2:B73,-1+SUMPRODUCT(MAX(ROW(E$2:E73)*(E74=E$2:E73)))))</f>
        <v>#VALUE!</v>
      </c>
      <c r="J74" s="24">
        <f ca="1">IF(OR(E74="",E74="!!!",F74="NEW"),"",COUNTBLANK(OFFSET(A$1,,,SUMPRODUCT(MAX(ROW(E$2:E74)*(E74=E$2:E74)))))-COUNTBLANK(OFFSET(A$1,,,SUMPRODUCT(MAX(ROW(E$1:E73)*(E2=E$1:E73))))))</f>
        <v>0</v>
      </c>
      <c r="K74" s="24" t="e">
        <f>IF(OR(E74="",E74="!!!",F74="NEW"),"",INDEX(J$1:J73,SUMPRODUCT(MAX(ROW(E$1:E73)*(E74=E$1:E73)))))</f>
        <v>#VALUE!</v>
      </c>
      <c r="L74" s="27" t="s">
        <v>169</v>
      </c>
    </row>
    <row r="75" spans="1:12" x14ac:dyDescent="0.3">
      <c r="A75" t="s">
        <v>170</v>
      </c>
      <c r="E75" s="20" t="str">
        <f>IF(D75="?OLD","!!!","")</f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4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171</v>
      </c>
      <c r="E76" s="20" t="str">
        <f>IF(D76="?OLD","!!!","")</f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4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172</v>
      </c>
      <c r="E77" s="20" t="str">
        <f>IF(D77="?OLD","!!!","")</f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4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71</v>
      </c>
      <c r="E78" s="20" t="str">
        <f>IF(D78="?OLD","!!!","")</f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4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173</v>
      </c>
      <c r="E79" s="20" t="str">
        <f>IF(D79="?OLD","!!!","")</f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4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174</v>
      </c>
      <c r="B80" s="26" t="s">
        <v>96</v>
      </c>
      <c r="C80" s="26" t="s">
        <v>74</v>
      </c>
      <c r="D80" s="26" t="s">
        <v>75</v>
      </c>
      <c r="E80" s="20" t="s">
        <v>175</v>
      </c>
      <c r="F80" s="21" t="str">
        <f>IF(OR(E80="",E80="!!!"),"",IF(NOT(ISNA(VLOOKUP(E80,E$1:E79,1,FALSE()))),"OLD",IF(AND(E80&lt;&gt;"",E80&lt;&gt;"!!!"),"NEW","")))</f>
        <v>NEW</v>
      </c>
      <c r="G80" s="22" t="str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?REFERENTIAL</v>
      </c>
      <c r="H80" s="23" t="str">
        <f t="shared" ca="1" si="4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101</v>
      </c>
      <c r="E81" s="20" t="str">
        <f>IF(D81="?OLD","!!!","")</f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4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136</v>
      </c>
      <c r="E82" s="20"/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4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92</v>
      </c>
      <c r="E83" s="20" t="str">
        <f>IF(D83="?OLD","!!!","")</f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4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176</v>
      </c>
      <c r="B84" s="26" t="s">
        <v>154</v>
      </c>
      <c r="C84" s="26" t="s">
        <v>74</v>
      </c>
      <c r="D84" s="26" t="s">
        <v>75</v>
      </c>
      <c r="E84" s="20"/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4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7" t="s">
        <v>177</v>
      </c>
    </row>
    <row r="85" spans="1:12" x14ac:dyDescent="0.3">
      <c r="A85" t="s">
        <v>178</v>
      </c>
      <c r="E85" s="20" t="str">
        <f>IF(D85="?OLD","!!!","")</f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4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126</v>
      </c>
      <c r="B86" s="26" t="s">
        <v>82</v>
      </c>
      <c r="C86" s="26" t="s">
        <v>105</v>
      </c>
      <c r="E86" s="20" t="s">
        <v>127</v>
      </c>
      <c r="F86" s="21" t="str">
        <f>IF(OR(E86="",E86="!!!"),"",IF(NOT(ISNA(VLOOKUP(E86,E$1:E85,1,FALSE()))),"OLD",IF(AND(E86&lt;&gt;"",E86&lt;&gt;"!!!"),"NEW","")))</f>
        <v>OLD</v>
      </c>
      <c r="G86" s="22" t="str">
        <f ca="1">IF(OR(E86="",E86="!!!"),"",IF(OR(J86=0,AND(J86=1,K86=1),AND(J86=1,I86="SBJ"),AND(J86=1,I86=0)),"?IN_FOCUS",IF(J86&lt;=2,"?ACTIVATED",IF(J86&lt;&gt;"","?FAMILIAR",IF(F86="NEW",IF(ISNA(VLOOKUP(E86,#REF!,1,FALSE())),"?TYPE_IDENTIFIABLE","?REFERENTIAL"),"_")))))</f>
        <v>?IN_FOCUS</v>
      </c>
      <c r="H86" s="23" t="str">
        <f t="shared" ca="1" si="4"/>
        <v/>
      </c>
      <c r="I86" s="24" t="str">
        <f>IF(OR(E86="",E86="!!!",F86="NEW"),"",INDEX(B$2:B85,-1+SUMPRODUCT(MAX(ROW(E$2:E85)*(E86=E$2:E85)))))</f>
        <v>other</v>
      </c>
      <c r="J86" s="24">
        <f ca="1">IF(OR(E86="",E86="!!!",F86="NEW"),"",COUNTBLANK(OFFSET(A$1,,,SUMPRODUCT(MAX(ROW(E$2:E86)*(E86=E$2:E86)))))-COUNTBLANK(OFFSET(A$1,,,SUMPRODUCT(MAX(ROW(E$1:E85)*(E2=E$1:E85))))))</f>
        <v>0</v>
      </c>
      <c r="K86" s="24">
        <f ca="1">IF(OR(E86="",E86="!!!",F86="NEW"),"",INDEX(J$1:J85,SUMPRODUCT(MAX(ROW(E$1:E85)*(E86=E$1:E85)))))</f>
        <v>0</v>
      </c>
      <c r="L86" s="27" t="s">
        <v>332</v>
      </c>
    </row>
    <row r="87" spans="1:12" x14ac:dyDescent="0.3">
      <c r="A87" t="s">
        <v>180</v>
      </c>
      <c r="E87" s="20" t="str">
        <f>IF(D87="?OLD","!!!","")</f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4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101</v>
      </c>
      <c r="E88" s="20" t="str">
        <f>IF(D88="?OLD","!!!","")</f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4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181</v>
      </c>
      <c r="E89" s="20" t="str">
        <f>IF(D89="?OLD","!!!","")</f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4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182</v>
      </c>
      <c r="E90" s="20" t="str">
        <f>IF(D90="?OLD","!!!","")</f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4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183</v>
      </c>
      <c r="E91" s="20" t="str">
        <f>IF(D91="?OLD","!!!","")</f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4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103</v>
      </c>
      <c r="B92" s="26" t="s">
        <v>82</v>
      </c>
      <c r="C92" s="26" t="s">
        <v>105</v>
      </c>
      <c r="E92" s="20" t="s">
        <v>184</v>
      </c>
      <c r="F92" s="21" t="s">
        <v>185</v>
      </c>
      <c r="G92" s="22" t="str">
        <f ca="1">IF(OR(E92="",E92="!!!"),"",IF(OR(J92=0,AND(J92=1,K92=1),AND(J92=1,I92="SBJ"),AND(J92=1,I92=0)),"?IN_FOCUS",IF(J92&lt;=2,"?ACTIVATED",IF(J92&lt;&gt;"","?FAMILIAR",IF(F92="NEW",IF(ISNA(VLOOKUP(E92,#REF!,1,FALSE())),"?TYPE_IDENTIFIABLE","?REFERENTIAL"),"_")))))</f>
        <v>?REFERENTIAL</v>
      </c>
      <c r="H92" s="23" t="str">
        <f t="shared" ref="H92:H123" ca="1" si="6">IF(J92&lt;&gt;1,"",IF(I92="SBJ","CB","?"))</f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7" t="s">
        <v>186</v>
      </c>
    </row>
    <row r="93" spans="1:12" x14ac:dyDescent="0.3">
      <c r="A93" t="s">
        <v>101</v>
      </c>
      <c r="E93" s="20" t="str">
        <f>IF(D93="?OLD","!!!","")</f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6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187</v>
      </c>
      <c r="E94" s="20" t="str">
        <f>IF(D94="?OLD","!!!","")</f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6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188</v>
      </c>
      <c r="E95" s="20" t="str">
        <f>IF(D95="?OLD","!!!","")</f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6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103</v>
      </c>
      <c r="B96" s="26" t="s">
        <v>96</v>
      </c>
      <c r="C96" s="26" t="s">
        <v>74</v>
      </c>
      <c r="D96" s="26" t="s">
        <v>75</v>
      </c>
      <c r="E96" s="20"/>
      <c r="F96" s="21" t="s">
        <v>139</v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6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7" t="s">
        <v>189</v>
      </c>
    </row>
    <row r="97" spans="1:12" x14ac:dyDescent="0.3">
      <c r="A97" t="s">
        <v>140</v>
      </c>
      <c r="E97" s="20" t="str">
        <f>IF(D97="?OLD","!!!","")</f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6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190</v>
      </c>
      <c r="B98" s="26" t="s">
        <v>147</v>
      </c>
      <c r="C98" s="26" t="s">
        <v>105</v>
      </c>
      <c r="E98" s="20" t="str">
        <f>IF(D98="?OLD","!!!","")</f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6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142</v>
      </c>
      <c r="E99" s="20" t="str">
        <f>IF(D99="?OLD","!!!","")</f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6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191</v>
      </c>
      <c r="B100" s="26" t="s">
        <v>115</v>
      </c>
      <c r="C100" s="26" t="s">
        <v>105</v>
      </c>
      <c r="E100" s="20" t="str">
        <f>IF(D100="?OLD","!!!","")</f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6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86</v>
      </c>
      <c r="E101" s="20" t="str">
        <f>IF(D101="?OLD","!!!","")</f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6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192</v>
      </c>
      <c r="B102" s="26" t="s">
        <v>96</v>
      </c>
      <c r="C102" s="26" t="s">
        <v>88</v>
      </c>
      <c r="D102" s="26" t="s">
        <v>75</v>
      </c>
      <c r="E102" s="20" t="s">
        <v>97</v>
      </c>
      <c r="F102" s="21" t="str">
        <f>IF(OR(E102="",E102="!!!"),"",IF(NOT(ISNA(VLOOKUP(E102,E$1:E101,1,FALSE()))),"OLD",IF(AND(E102&lt;&gt;"",E102&lt;&gt;"!!!"),"NEW","")))</f>
        <v>OLD</v>
      </c>
      <c r="G102" s="22" t="str">
        <f ca="1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?IN_FOCUS</v>
      </c>
      <c r="H102" s="23" t="str">
        <f t="shared" ca="1" si="6"/>
        <v/>
      </c>
      <c r="I102" s="24" t="str">
        <f>IF(OR(E102="",E102="!!!",F102="NEW"),"",INDEX(B$2:B101,-1+SUMPRODUCT(MAX(ROW(E$2:E101)*(E102=E$2:E101)))))</f>
        <v>SBJ</v>
      </c>
      <c r="J102" s="24">
        <f ca="1">IF(OR(E102="",E102="!!!",F102="NEW"),"",COUNTBLANK(OFFSET(A$1,,,SUMPRODUCT(MAX(ROW(E$2:E102)*(E102=E$2:E102)))))-COUNTBLANK(OFFSET(A$1,,,SUMPRODUCT(MAX(ROW(E$1:E101)*(E2=E$1:E101))))))</f>
        <v>0</v>
      </c>
      <c r="K102" s="24">
        <f ca="1">IF(OR(E102="",E102="!!!",F102="NEW"),"",INDEX(J$1:J101,SUMPRODUCT(MAX(ROW(E$1:E101)*(E102=E$1:E101)))))</f>
        <v>0</v>
      </c>
      <c r="L102" s="27" t="s">
        <v>135</v>
      </c>
    </row>
    <row r="103" spans="1:12" x14ac:dyDescent="0.3">
      <c r="A103" t="s">
        <v>193</v>
      </c>
      <c r="E103" s="20" t="str">
        <f>IF(D103="?OLD","!!!","")</f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6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101</v>
      </c>
      <c r="E104" s="20" t="str">
        <f>IF(D104="?OLD","!!!","")</f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6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102</v>
      </c>
      <c r="E105" s="20" t="str">
        <f>IF(D105="?OLD","!!!","")</f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6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194</v>
      </c>
      <c r="E106" s="20" t="str">
        <f>IF(D106="?OLD","!!!","")</f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6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195</v>
      </c>
      <c r="B107" s="26" t="s">
        <v>104</v>
      </c>
      <c r="C107" s="26" t="s">
        <v>105</v>
      </c>
      <c r="E107" s="20"/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6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7" t="s">
        <v>196</v>
      </c>
    </row>
    <row r="108" spans="1:12" x14ac:dyDescent="0.3">
      <c r="A108" t="s">
        <v>197</v>
      </c>
      <c r="E108" s="20" t="str">
        <f>IF(D108="?OLD","!!!","")</f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6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198</v>
      </c>
      <c r="E109" s="20" t="str">
        <f>IF(D109="?OLD","!!!","")</f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6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78</v>
      </c>
      <c r="E110" s="20" t="str">
        <f>IF(D110="?OLD","!!!","")</f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6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101</v>
      </c>
      <c r="E111" s="20" t="str">
        <f>IF(D111="?OLD","!!!","")</f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6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199</v>
      </c>
      <c r="E112" s="20" t="str">
        <f>IF(D112="?OLD","!!!","")</f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6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87</v>
      </c>
      <c r="B113" s="26" t="s">
        <v>104</v>
      </c>
      <c r="C113" s="26" t="s">
        <v>88</v>
      </c>
      <c r="D113" s="26" t="s">
        <v>75</v>
      </c>
      <c r="E113" s="20" t="s">
        <v>168</v>
      </c>
      <c r="F113" s="21" t="str">
        <f>IF(OR(E113="",E113="!!!"),"",IF(NOT(ISNA(VLOOKUP(E113,E$1:E112,1,FALSE()))),"OLD",IF(AND(E113&lt;&gt;"",E113&lt;&gt;"!!!"),"NEW","")))</f>
        <v>OLD</v>
      </c>
      <c r="G113" s="22" t="str">
        <f ca="1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?IN_FOCUS</v>
      </c>
      <c r="H113" s="23" t="str">
        <f t="shared" ca="1" si="6"/>
        <v/>
      </c>
      <c r="I113" s="24" t="str">
        <f>IF(OR(E113="",E113="!!!",F113="NEW"),"",INDEX(B$2:B112,-1+SUMPRODUCT(MAX(ROW(E$2:E112)*(E113=E$2:E112)))))</f>
        <v>SBJ_2</v>
      </c>
      <c r="J113" s="24">
        <f ca="1">IF(OR(E113="",E113="!!!",F113="NEW"),"",COUNTBLANK(OFFSET(A$1,,,SUMPRODUCT(MAX(ROW(E$2:E113)*(E113=E$2:E113)))))-COUNTBLANK(OFFSET(A$1,,,SUMPRODUCT(MAX(ROW(E$1:E112)*(E2=E$1:E112))))))</f>
        <v>0</v>
      </c>
      <c r="K113" s="24">
        <f ca="1">IF(OR(E113="",E113="!!!",F113="NEW"),"",INDEX(J$1:J112,SUMPRODUCT(MAX(ROW(E$1:E112)*(E113=E$1:E112)))))</f>
        <v>0</v>
      </c>
      <c r="L113" s="27" t="s">
        <v>135</v>
      </c>
    </row>
    <row r="114" spans="1:12" x14ac:dyDescent="0.3">
      <c r="A114" t="s">
        <v>200</v>
      </c>
      <c r="E114" s="20" t="str">
        <f t="shared" ref="E114:E119" si="7">IF(D114="?OLD","!!!","")</f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6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101</v>
      </c>
      <c r="E115" s="20" t="str">
        <f t="shared" si="7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6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201</v>
      </c>
      <c r="E116" s="20" t="str">
        <f t="shared" si="7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6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202</v>
      </c>
      <c r="E117" s="20" t="str">
        <f t="shared" si="7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6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101</v>
      </c>
      <c r="E118" s="20" t="str">
        <f t="shared" si="7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6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199</v>
      </c>
      <c r="E119" s="20" t="str">
        <f t="shared" si="7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6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87</v>
      </c>
      <c r="B120" s="26" t="s">
        <v>203</v>
      </c>
      <c r="C120" s="26" t="s">
        <v>88</v>
      </c>
      <c r="D120" s="26" t="s">
        <v>75</v>
      </c>
      <c r="E120" s="20" t="s">
        <v>168</v>
      </c>
      <c r="F120" s="21" t="str">
        <f>IF(OR(E120="",E120="!!!"),"",IF(NOT(ISNA(VLOOKUP(E120,E$1:E119,1,FALSE()))),"OLD",IF(AND(E120&lt;&gt;"",E120&lt;&gt;"!!!"),"NEW","")))</f>
        <v>OLD</v>
      </c>
      <c r="G120" s="22" t="str">
        <f ca="1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?IN_FOCUS</v>
      </c>
      <c r="H120" s="23" t="str">
        <f t="shared" ca="1" si="6"/>
        <v/>
      </c>
      <c r="I120" s="24" t="str">
        <f>IF(OR(E120="",E120="!!!",F120="NEW"),"",INDEX(B$2:B119,-1+SUMPRODUCT(MAX(ROW(E$2:E119)*(E120=E$2:E119)))))</f>
        <v>SBJ_3</v>
      </c>
      <c r="J120" s="24">
        <f ca="1">IF(OR(E120="",E120="!!!",F120="NEW"),"",COUNTBLANK(OFFSET(A$1,,,SUMPRODUCT(MAX(ROW(E$2:E120)*(E120=E$2:E120)))))-COUNTBLANK(OFFSET(A$1,,,SUMPRODUCT(MAX(ROW(E$1:E119)*(E2=E$1:E119))))))</f>
        <v>0</v>
      </c>
      <c r="K120" s="24">
        <f ca="1">IF(OR(E120="",E120="!!!",F120="NEW"),"",INDEX(J$1:J119,SUMPRODUCT(MAX(ROW(E$1:E119)*(E120=E$1:E119)))))</f>
        <v>0</v>
      </c>
      <c r="L120" s="27" t="s">
        <v>135</v>
      </c>
    </row>
    <row r="121" spans="1:12" x14ac:dyDescent="0.3">
      <c r="A121" t="s">
        <v>204</v>
      </c>
      <c r="E121" s="20" t="str">
        <f t="shared" ref="E121:E127" si="8">IF(D121="?OLD","!!!","")</f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6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101</v>
      </c>
      <c r="E122" s="20" t="str">
        <f t="shared" si="8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6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142</v>
      </c>
      <c r="E123" s="20" t="str">
        <f t="shared" si="8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6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205</v>
      </c>
      <c r="E124" s="20" t="str">
        <f t="shared" si="8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ref="H124:H155" ca="1" si="9">IF(J124&lt;&gt;1,"",IF(I124="SBJ","CB","?"))</f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78</v>
      </c>
      <c r="E125" s="20" t="str">
        <f t="shared" si="8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9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101</v>
      </c>
      <c r="E126" s="20" t="str">
        <f t="shared" si="8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9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199</v>
      </c>
      <c r="E127" s="20" t="str">
        <f t="shared" si="8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9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ht="28.8" x14ac:dyDescent="0.3">
      <c r="A128" t="s">
        <v>206</v>
      </c>
      <c r="B128" s="26" t="s">
        <v>207</v>
      </c>
      <c r="C128" s="26" t="s">
        <v>208</v>
      </c>
      <c r="D128" s="26" t="s">
        <v>75</v>
      </c>
      <c r="E128" s="20" t="s">
        <v>209</v>
      </c>
      <c r="F128" s="21" t="s">
        <v>210</v>
      </c>
      <c r="G128" s="22" t="e">
        <f ca="1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23"/>
      <c r="I128" s="24" t="e">
        <f>IF(OR(E128="",E128="!!!",F128="NEW"),"",INDEX(B$2:B127,-1+SUMPRODUCT(MAX(ROW(E$2:E127)*(E128=E$2:E127)))))</f>
        <v>#VALUE!</v>
      </c>
      <c r="J128" s="24">
        <f ca="1">IF(OR(E128="",E128="!!!",F128="NEW"),"",COUNTBLANK(OFFSET(A$1,,,SUMPRODUCT(MAX(ROW(E$2:E128)*(E128=E$2:E128)))))-COUNTBLANK(OFFSET(A$1,,,SUMPRODUCT(MAX(ROW(E$1:E127)*(E2=E$1:E127))))))</f>
        <v>0</v>
      </c>
      <c r="K128" s="24" t="e">
        <f>IF(OR(E128="",E128="!!!",F128="NEW"),"",INDEX(J$1:J127,SUMPRODUCT(MAX(ROW(E$1:E127)*(E128=E$1:E127)))))</f>
        <v>#VALUE!</v>
      </c>
      <c r="L128" s="27" t="s">
        <v>211</v>
      </c>
    </row>
    <row r="129" spans="1:12" x14ac:dyDescent="0.3">
      <c r="A129" t="s">
        <v>212</v>
      </c>
      <c r="B129" s="26" t="s">
        <v>213</v>
      </c>
      <c r="C129" s="26" t="s">
        <v>208</v>
      </c>
      <c r="D129" s="26" t="s">
        <v>75</v>
      </c>
      <c r="E129" s="20"/>
      <c r="F129" s="21" t="s">
        <v>214</v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ref="H129:H160" ca="1" si="10">IF(J129&lt;&gt;1,"",IF(I129="SBJ","CB","?"))</f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215</v>
      </c>
      <c r="E130" s="20" t="str">
        <f>IF(D130="?OLD","!!!","")</f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0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216</v>
      </c>
      <c r="E131" s="20" t="str">
        <f>IF(D131="?OLD","!!!","")</f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0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86</v>
      </c>
      <c r="E132" s="20" t="str">
        <f>IF(D132="?OLD","!!!","")</f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0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217</v>
      </c>
      <c r="B133" s="26" t="s">
        <v>91</v>
      </c>
      <c r="C133" s="26" t="s">
        <v>105</v>
      </c>
      <c r="E133" s="20" t="str">
        <f>IF(D133="?OLD","!!!","")</f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0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206</v>
      </c>
      <c r="B134" s="26" t="s">
        <v>96</v>
      </c>
      <c r="C134" s="26" t="s">
        <v>208</v>
      </c>
      <c r="D134" s="26" t="s">
        <v>75</v>
      </c>
      <c r="E134" s="20" t="s">
        <v>206</v>
      </c>
      <c r="F134" s="21" t="str">
        <f>IF(OR(E134="",E134="!!!"),"",IF(NOT(ISNA(VLOOKUP(E134,E$1:E133,1,FALSE()))),"OLD",IF(AND(E134&lt;&gt;"",E134&lt;&gt;"!!!"),"NEW","")))</f>
        <v>NEW</v>
      </c>
      <c r="G134" s="22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?REFERENTIAL</v>
      </c>
      <c r="H134" s="23" t="str">
        <f t="shared" ca="1" si="10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212</v>
      </c>
      <c r="B135" s="26" t="s">
        <v>154</v>
      </c>
      <c r="C135" s="26" t="s">
        <v>208</v>
      </c>
      <c r="D135" s="26" t="s">
        <v>75</v>
      </c>
      <c r="E135" s="20"/>
      <c r="F135" s="21" t="s">
        <v>214</v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0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218</v>
      </c>
      <c r="B136" s="26" t="s">
        <v>147</v>
      </c>
      <c r="C136" s="26" t="s">
        <v>111</v>
      </c>
      <c r="E136" s="20" t="str">
        <f>IF(D136="?OLD","!!!","")</f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0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219</v>
      </c>
      <c r="E137" s="20" t="str">
        <f>IF(D137="?OLD","!!!","")</f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0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220</v>
      </c>
      <c r="B138" s="26" t="s">
        <v>154</v>
      </c>
      <c r="C138" s="26" t="s">
        <v>119</v>
      </c>
      <c r="E138" s="20"/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0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221</v>
      </c>
      <c r="E139" s="20" t="str">
        <f>IF(D139="?OLD","!!!","")</f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0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222</v>
      </c>
      <c r="B140" s="26" t="s">
        <v>147</v>
      </c>
      <c r="C140" s="26" t="s">
        <v>105</v>
      </c>
      <c r="E140" s="20" t="str">
        <f>IF(D140="?OLD","!!!","")</f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0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172</v>
      </c>
      <c r="E141" s="20" t="str">
        <f>IF(D141="?OLD","!!!","")</f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0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71</v>
      </c>
      <c r="E142" s="20" t="str">
        <f>IF(D142="?OLD","!!!","")</f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0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223</v>
      </c>
      <c r="B143" s="26" t="s">
        <v>104</v>
      </c>
      <c r="C143" s="26" t="s">
        <v>74</v>
      </c>
      <c r="D143" s="26" t="s">
        <v>75</v>
      </c>
      <c r="E143" s="20" t="s">
        <v>224</v>
      </c>
      <c r="F143" s="21" t="s">
        <v>185</v>
      </c>
      <c r="G143" s="22" t="str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?REFERENTIAL</v>
      </c>
      <c r="H143" s="23" t="str">
        <f t="shared" ca="1" si="10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7" t="s">
        <v>225</v>
      </c>
    </row>
    <row r="144" spans="1:12" x14ac:dyDescent="0.3">
      <c r="A144" t="s">
        <v>226</v>
      </c>
      <c r="E144" s="20" t="str">
        <f t="shared" ref="E144:E151" si="11">IF(D144="?OLD","!!!","")</f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0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142</v>
      </c>
      <c r="E145" s="20" t="str">
        <f t="shared" si="11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0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227</v>
      </c>
      <c r="E146" s="20" t="str">
        <f t="shared" si="11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0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228</v>
      </c>
      <c r="E147" s="20" t="str">
        <f t="shared" si="11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0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123</v>
      </c>
      <c r="E148" s="20" t="str">
        <f t="shared" si="11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0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229</v>
      </c>
      <c r="E149" s="20" t="str">
        <f t="shared" si="11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0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43</v>
      </c>
      <c r="E150" s="20" t="str">
        <f t="shared" si="11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0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230</v>
      </c>
      <c r="B151" s="26" t="s">
        <v>147</v>
      </c>
      <c r="C151" s="26" t="s">
        <v>119</v>
      </c>
      <c r="E151" s="20" t="str">
        <f t="shared" si="11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0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231</v>
      </c>
      <c r="B152" s="26" t="s">
        <v>96</v>
      </c>
      <c r="C152" s="26" t="s">
        <v>105</v>
      </c>
      <c r="E152" s="20" t="s">
        <v>224</v>
      </c>
      <c r="F152" s="21" t="str">
        <f>IF(OR(E152="",E152="!!!"),"",IF(NOT(ISNA(VLOOKUP(E152,E$1:E151,1,FALSE()))),"OLD",IF(AND(E152&lt;&gt;"",E152&lt;&gt;"!!!"),"NEW","")))</f>
        <v>OLD</v>
      </c>
      <c r="G152" s="22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3" t="str">
        <f t="shared" ca="1" si="10"/>
        <v/>
      </c>
      <c r="I152" s="24" t="str">
        <f>IF(OR(E152="",E152="!!!",F152="NEW"),"",INDEX(B$2:B151,-1+SUMPRODUCT(MAX(ROW(E$2:E151)*(E152=E$2:E151)))))</f>
        <v>SBJ_3</v>
      </c>
      <c r="J152" s="24">
        <f ca="1">IF(OR(E152="",E152="!!!",F152="NEW"),"",COUNTBLANK(OFFSET(A$1,,,SUMPRODUCT(MAX(ROW(E$2:E152)*(E152=E$2:E152)))))-COUNTBLANK(OFFSET(A$1,,,SUMPRODUCT(MAX(ROW(E$1:E151)*(E2=E$1:E151))))))</f>
        <v>0</v>
      </c>
      <c r="K152" s="24" t="str">
        <f ca="1">IF(OR(E152="",E152="!!!",F152="NEW"),"",INDEX(J$1:J151,SUMPRODUCT(MAX(ROW(E$1:E151)*(E152=E$1:E151)))))</f>
        <v/>
      </c>
      <c r="L152" s="27" t="s">
        <v>232</v>
      </c>
    </row>
    <row r="153" spans="1:12" x14ac:dyDescent="0.3">
      <c r="A153" t="s">
        <v>178</v>
      </c>
      <c r="E153" s="20" t="str">
        <f>IF(D153="?OLD","!!!","")</f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0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112</v>
      </c>
      <c r="E154" s="20" t="str">
        <f>IF(D154="?OLD","!!!","")</f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0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233</v>
      </c>
      <c r="B155" s="26" t="s">
        <v>82</v>
      </c>
      <c r="C155" s="26" t="s">
        <v>74</v>
      </c>
      <c r="D155" s="26" t="s">
        <v>75</v>
      </c>
      <c r="E155" s="20" t="s">
        <v>234</v>
      </c>
      <c r="F155" s="21" t="str">
        <f>IF(OR(E155="",E155="!!!"),"",IF(NOT(ISNA(VLOOKUP(E155,E$1:E154,1,FALSE()))),"OLD",IF(AND(E155&lt;&gt;"",E155&lt;&gt;"!!!"),"NEW","")))</f>
        <v>NEW</v>
      </c>
      <c r="G155" s="22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3" t="str">
        <f t="shared" ca="1" si="10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7" t="s">
        <v>235</v>
      </c>
    </row>
    <row r="156" spans="1:12" x14ac:dyDescent="0.3">
      <c r="A156" t="s">
        <v>101</v>
      </c>
      <c r="E156" s="20" t="str">
        <f>IF(D156="?OLD","!!!","")</f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0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142</v>
      </c>
      <c r="E157" s="20" t="str">
        <f>IF(D157="?OLD","!!!","")</f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0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236</v>
      </c>
      <c r="E158" s="20" t="str">
        <f>IF(D158="?OLD","!!!","")</f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0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80</v>
      </c>
      <c r="E159" s="20" t="str">
        <f>IF(D159="?OLD","!!!","")</f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0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237</v>
      </c>
      <c r="B160" s="26" t="s">
        <v>147</v>
      </c>
      <c r="C160" s="26" t="s">
        <v>74</v>
      </c>
      <c r="D160" s="26" t="s">
        <v>75</v>
      </c>
      <c r="E160" s="20" t="s">
        <v>238</v>
      </c>
      <c r="F160" s="21" t="s">
        <v>185</v>
      </c>
      <c r="G160" s="22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?REFERENTIAL</v>
      </c>
      <c r="H160" s="23" t="str">
        <f t="shared" ca="1" si="10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7" t="s">
        <v>239</v>
      </c>
    </row>
    <row r="161" spans="1:12" x14ac:dyDescent="0.3">
      <c r="A161" t="s">
        <v>240</v>
      </c>
      <c r="E161" s="20" t="str">
        <f>IF(D161="?OLD","!!!","")</f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ref="H161:H192" ca="1" si="12">IF(J161&lt;&gt;1,"",IF(I161="SBJ","CB","?"))</f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241</v>
      </c>
      <c r="B162" s="26" t="s">
        <v>115</v>
      </c>
      <c r="C162" s="26" t="s">
        <v>74</v>
      </c>
      <c r="D162" s="26" t="s">
        <v>75</v>
      </c>
      <c r="E162" s="20" t="s">
        <v>242</v>
      </c>
      <c r="F162" s="21" t="s">
        <v>98</v>
      </c>
      <c r="G162" s="22" t="e">
        <f ca="1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#VALUE!</v>
      </c>
      <c r="H162" s="23" t="str">
        <f t="shared" ca="1" si="12"/>
        <v/>
      </c>
      <c r="I162" s="24" t="e">
        <f>IF(OR(E162="",E162="!!!",F162="NEW"),"",INDEX(B$2:B161,-1+SUMPRODUCT(MAX(ROW(E$2:E161)*(E162=E$2:E161)))))</f>
        <v>#VALUE!</v>
      </c>
      <c r="J162" s="24">
        <f ca="1">IF(OR(E162="",E162="!!!",F162="NEW"),"",COUNTBLANK(OFFSET(A$1,,,SUMPRODUCT(MAX(ROW(E$2:E162)*(E162=E$2:E162)))))-COUNTBLANK(OFFSET(A$1,,,SUMPRODUCT(MAX(ROW(E$1:E161)*(E2=E$1:E161))))))</f>
        <v>0</v>
      </c>
      <c r="K162" s="24" t="e">
        <f>IF(OR(E162="",E162="!!!",F162="NEW"),"",INDEX(J$1:J161,SUMPRODUCT(MAX(ROW(E$1:E161)*(E162=E$1:E161)))))</f>
        <v>#VALUE!</v>
      </c>
      <c r="L162" s="27" t="s">
        <v>243</v>
      </c>
    </row>
    <row r="163" spans="1:12" x14ac:dyDescent="0.3">
      <c r="A163" t="s">
        <v>244</v>
      </c>
      <c r="E163" s="20" t="str">
        <f>IF(D163="?OLD","!!!","")</f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2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123</v>
      </c>
      <c r="E164" s="20" t="str">
        <f>IF(D164="?OLD","!!!","")</f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2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55</v>
      </c>
      <c r="E165" s="20" t="str">
        <f>IF(D165="?OLD","!!!","")</f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2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230</v>
      </c>
      <c r="B166" s="26" t="s">
        <v>115</v>
      </c>
      <c r="C166" s="26" t="s">
        <v>119</v>
      </c>
      <c r="E166" s="20"/>
      <c r="F166" s="21"/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2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245</v>
      </c>
      <c r="E167" s="20" t="str">
        <f>IF(D167="?OLD","!!!","")</f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2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86</v>
      </c>
      <c r="E168" s="20" t="str">
        <f>IF(D168="?OLD","!!!","")</f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2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246</v>
      </c>
      <c r="B169" s="26" t="s">
        <v>104</v>
      </c>
      <c r="C169" s="26" t="s">
        <v>208</v>
      </c>
      <c r="D169" s="26" t="s">
        <v>75</v>
      </c>
      <c r="E169" s="20" t="s">
        <v>224</v>
      </c>
      <c r="F169" s="21" t="str">
        <f>IF(OR(E169="",E169="!!!"),"",IF(NOT(ISNA(VLOOKUP(E169,E$1:E168,1,FALSE()))),"OLD",IF(AND(E169&lt;&gt;"",E169&lt;&gt;"!!!"),"NEW","")))</f>
        <v>OLD</v>
      </c>
      <c r="G169" s="22" t="str">
        <f ca="1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?IN_FOCUS</v>
      </c>
      <c r="H169" s="23" t="str">
        <f t="shared" ca="1" si="12"/>
        <v/>
      </c>
      <c r="I169" s="24" t="str">
        <f>IF(OR(E169="",E169="!!!",F169="NEW"),"",INDEX(B$2:B168,-1+SUMPRODUCT(MAX(ROW(E$2:E168)*(E169=E$2:E168)))))</f>
        <v>SBJ_2</v>
      </c>
      <c r="J169" s="24">
        <f ca="1">IF(OR(E169="",E169="!!!",F169="NEW"),"",COUNTBLANK(OFFSET(A$1,,,SUMPRODUCT(MAX(ROW(E$2:E169)*(E169=E$2:E169)))))-COUNTBLANK(OFFSET(A$1,,,SUMPRODUCT(MAX(ROW(E$1:E168)*(E2=E$1:E168))))))</f>
        <v>0</v>
      </c>
      <c r="K169" s="24">
        <f ca="1">IF(OR(E169="",E169="!!!",F169="NEW"),"",INDEX(J$1:J168,SUMPRODUCT(MAX(ROW(E$1:E168)*(E169=E$1:E168)))))</f>
        <v>0</v>
      </c>
      <c r="L169" s="27" t="s">
        <v>247</v>
      </c>
    </row>
    <row r="170" spans="1:12" x14ac:dyDescent="0.3">
      <c r="A170" t="s">
        <v>248</v>
      </c>
      <c r="E170" s="20" t="str">
        <f>IF(D170="?OLD","!!!","")</f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2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136</v>
      </c>
      <c r="E171" s="20" t="str">
        <f>IF(D171="?OLD","!!!","")</f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2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249</v>
      </c>
      <c r="E172" s="20" t="str">
        <f>IF(D172="?OLD","!!!","")</f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2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250</v>
      </c>
      <c r="B173" s="26" t="s">
        <v>110</v>
      </c>
      <c r="C173" s="26" t="s">
        <v>74</v>
      </c>
      <c r="D173" s="26" t="s">
        <v>75</v>
      </c>
      <c r="E173" s="20" t="s">
        <v>251</v>
      </c>
      <c r="F173" s="21" t="str">
        <f>IF(OR(E173="",E173="!!!"),"",IF(NOT(ISNA(VLOOKUP(E173,E$1:E172,1,FALSE()))),"OLD",IF(AND(E173&lt;&gt;"",E173&lt;&gt;"!!!"),"NEW","")))</f>
        <v>NEW</v>
      </c>
      <c r="G173" s="22" t="str">
        <f ca="1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?REFERENTIAL</v>
      </c>
      <c r="H173" s="23" t="str">
        <f t="shared" ca="1" si="12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252</v>
      </c>
      <c r="E174" s="20" t="str">
        <f>IF(D174="?OLD","!!!","")</f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2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101</v>
      </c>
      <c r="E175" s="20" t="str">
        <f>IF(D175="?OLD","!!!","")</f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2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199</v>
      </c>
      <c r="E176" s="20" t="str">
        <f>IF(D176="?OLD","!!!","")</f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2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253</v>
      </c>
      <c r="B177" s="26" t="s">
        <v>96</v>
      </c>
      <c r="C177" s="26" t="s">
        <v>208</v>
      </c>
      <c r="D177" s="26" t="s">
        <v>75</v>
      </c>
      <c r="E177" s="20" t="s">
        <v>251</v>
      </c>
      <c r="F177" s="21" t="str">
        <f>IF(OR(E177="",E177="!!!"),"",IF(NOT(ISNA(VLOOKUP(E177,E$1:E176,1,FALSE()))),"OLD",IF(AND(E177&lt;&gt;"",E177&lt;&gt;"!!!"),"NEW","")))</f>
        <v>OLD</v>
      </c>
      <c r="G177" s="22" t="str">
        <f ca="1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?IN_FOCUS</v>
      </c>
      <c r="H177" s="23" t="str">
        <f t="shared" ca="1" si="12"/>
        <v/>
      </c>
      <c r="I177" s="24" t="str">
        <f>IF(OR(E177="",E177="!!!",F177="NEW"),"",INDEX(B$2:B176,-1+SUMPRODUCT(MAX(ROW(E$2:E176)*(E177=E$2:E176)))))</f>
        <v>OBJ_3</v>
      </c>
      <c r="J177" s="24">
        <f ca="1">IF(OR(E177="",E177="!!!",F177="NEW"),"",COUNTBLANK(OFFSET(A$1,,,SUMPRODUCT(MAX(ROW(E$2:E177)*(E177=E$2:E177)))))-COUNTBLANK(OFFSET(A$1,,,SUMPRODUCT(MAX(ROW(E$1:E176)*(E2=E$1:E176))))))</f>
        <v>0</v>
      </c>
      <c r="K177" s="24" t="str">
        <f ca="1">IF(OR(E177="",E177="!!!",F177="NEW"),"",INDEX(J$1:J176,SUMPRODUCT(MAX(ROW(E$1:E176)*(E177=E$1:E176)))))</f>
        <v/>
      </c>
      <c r="L177" s="25"/>
    </row>
    <row r="178" spans="1:12" x14ac:dyDescent="0.3">
      <c r="A178" t="s">
        <v>90</v>
      </c>
      <c r="B178" s="26" t="s">
        <v>154</v>
      </c>
      <c r="E178" s="20" t="str">
        <f t="shared" ref="E178:E183" si="13">IF(D178="?OLD","!!!","")</f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2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254</v>
      </c>
      <c r="E179" s="20" t="str">
        <f t="shared" si="13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2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216</v>
      </c>
      <c r="E180" s="20" t="str">
        <f t="shared" si="13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2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86</v>
      </c>
      <c r="E181" s="20" t="str">
        <f t="shared" si="13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2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94</v>
      </c>
      <c r="E182" s="20" t="str">
        <f t="shared" si="13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2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136</v>
      </c>
      <c r="E183" s="20" t="str">
        <f t="shared" si="13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2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255</v>
      </c>
      <c r="B184" s="26" t="s">
        <v>96</v>
      </c>
      <c r="C184" s="26" t="s">
        <v>74</v>
      </c>
      <c r="D184" s="26" t="s">
        <v>75</v>
      </c>
      <c r="E184" s="20" t="s">
        <v>256</v>
      </c>
      <c r="F184" s="21" t="str">
        <f>IF(OR(E184="",E184="!!!"),"",IF(NOT(ISNA(VLOOKUP(E184,E$1:E183,1,FALSE()))),"OLD",IF(AND(E184&lt;&gt;"",E184&lt;&gt;"!!!"),"NEW","")))</f>
        <v>NEW</v>
      </c>
      <c r="G184" s="22" t="str">
        <f ca="1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?REFERENTIAL</v>
      </c>
      <c r="H184" s="23" t="str">
        <f t="shared" ca="1" si="12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101</v>
      </c>
      <c r="E185" s="20" t="str">
        <f>IF(D185="?OLD","!!!","")</f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2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136</v>
      </c>
      <c r="B186" s="26" t="s">
        <v>257</v>
      </c>
      <c r="E186" s="20"/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2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258</v>
      </c>
      <c r="E187" s="20" t="str">
        <f>IF(D187="?OLD","!!!","")</f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2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187</v>
      </c>
      <c r="E188" s="20" t="str">
        <f>IF(D188="?OLD","!!!","")</f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2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259</v>
      </c>
      <c r="B189" s="26" t="s">
        <v>115</v>
      </c>
      <c r="C189" s="26" t="s">
        <v>74</v>
      </c>
      <c r="D189" s="26" t="s">
        <v>75</v>
      </c>
      <c r="E189" s="20" t="s">
        <v>260</v>
      </c>
      <c r="F189" s="21" t="str">
        <f>IF(OR(E189="",E189="!!!"),"",IF(NOT(ISNA(VLOOKUP(E189,E$1:E188,1,FALSE()))),"OLD",IF(AND(E189&lt;&gt;"",E189&lt;&gt;"!!!"),"NEW","")))</f>
        <v>NEW</v>
      </c>
      <c r="G189" s="22" t="str">
        <f ca="1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?REFERENTIAL</v>
      </c>
      <c r="H189" s="23" t="str">
        <f t="shared" ca="1" si="12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261</v>
      </c>
      <c r="E190" s="20" t="str">
        <f t="shared" ref="E190:E196" si="14">IF(D190="?OLD","!!!","")</f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2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167</v>
      </c>
      <c r="E191" s="20" t="str">
        <f t="shared" si="14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2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101</v>
      </c>
      <c r="E192" s="20" t="str">
        <f t="shared" si="14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2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262</v>
      </c>
      <c r="E193" s="20" t="str">
        <f t="shared" si="14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ref="H193:H224" ca="1" si="15">IF(J193&lt;&gt;1,"",IF(I193="SBJ","CB","?"))</f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263</v>
      </c>
      <c r="E194" s="20" t="str">
        <f t="shared" si="14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5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155</v>
      </c>
      <c r="B195" s="26" t="s">
        <v>82</v>
      </c>
      <c r="C195" s="26" t="s">
        <v>111</v>
      </c>
      <c r="E195" s="20" t="str">
        <f t="shared" si="14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5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86</v>
      </c>
      <c r="E196" s="20" t="str">
        <f t="shared" si="14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5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264</v>
      </c>
      <c r="B197" s="26" t="s">
        <v>147</v>
      </c>
      <c r="C197" s="26" t="s">
        <v>151</v>
      </c>
      <c r="D197" s="26" t="s">
        <v>75</v>
      </c>
      <c r="E197" s="20" t="s">
        <v>265</v>
      </c>
      <c r="F197" s="21" t="s">
        <v>210</v>
      </c>
      <c r="G197" s="22" t="e">
        <f ca="1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#VALUE!</v>
      </c>
      <c r="H197" s="23" t="str">
        <f t="shared" ca="1" si="15"/>
        <v/>
      </c>
      <c r="I197" s="24" t="e">
        <f>IF(OR(E197="",E197="!!!",F197="NEW"),"",INDEX(B$2:B196,-1+SUMPRODUCT(MAX(ROW(E$2:E196)*(E197=E$2:E196)))))</f>
        <v>#VALUE!</v>
      </c>
      <c r="J197" s="24">
        <f ca="1">IF(OR(E197="",E197="!!!",F197="NEW"),"",COUNTBLANK(OFFSET(A$1,,,SUMPRODUCT(MAX(ROW(E$2:E197)*(E197=E$2:E197)))))-COUNTBLANK(OFFSET(A$1,,,SUMPRODUCT(MAX(ROW(E$1:E196)*(E2=E$1:E196))))))</f>
        <v>0</v>
      </c>
      <c r="K197" s="24" t="e">
        <f>IF(OR(E197="",E197="!!!",F197="NEW"),"",INDEX(J$1:J196,SUMPRODUCT(MAX(ROW(E$1:E196)*(E197=E$1:E196)))))</f>
        <v>#VALUE!</v>
      </c>
      <c r="L197" s="27" t="s">
        <v>266</v>
      </c>
    </row>
    <row r="198" spans="1:12" x14ac:dyDescent="0.3">
      <c r="A198" t="s">
        <v>167</v>
      </c>
      <c r="E198" s="20" t="str">
        <f>IF(D198="?OLD","!!!","")</f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5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267</v>
      </c>
      <c r="E199" s="20" t="str">
        <f>IF(D199="?OLD","!!!","")</f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5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268</v>
      </c>
      <c r="E200" s="20" t="str">
        <f>IF(D200="?OLD","!!!","")</f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5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269</v>
      </c>
      <c r="B201" s="26" t="s">
        <v>96</v>
      </c>
      <c r="C201" s="26" t="s">
        <v>105</v>
      </c>
      <c r="E201" s="20"/>
      <c r="F201" s="21"/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5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142</v>
      </c>
      <c r="E202" s="20" t="str">
        <f>IF(D202="?OLD","!!!","")</f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5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143</v>
      </c>
      <c r="E203" s="20" t="str">
        <f>IF(D203="?OLD","!!!","")</f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5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138</v>
      </c>
      <c r="B204" s="26" t="s">
        <v>147</v>
      </c>
      <c r="C204" s="26" t="s">
        <v>105</v>
      </c>
      <c r="E204" s="20"/>
      <c r="F204" s="21"/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5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101</v>
      </c>
      <c r="E205" s="20" t="str">
        <f>IF(D205="?OLD","!!!","")</f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5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270</v>
      </c>
      <c r="E206" s="20" t="str">
        <f>IF(D206="?OLD","!!!","")</f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5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160</v>
      </c>
      <c r="B207" s="26" t="s">
        <v>104</v>
      </c>
      <c r="C207" s="26" t="s">
        <v>208</v>
      </c>
      <c r="D207" s="26" t="s">
        <v>75</v>
      </c>
      <c r="E207" s="20" t="s">
        <v>271</v>
      </c>
      <c r="F207" s="21" t="s">
        <v>272</v>
      </c>
      <c r="G207" s="22" t="e">
        <f ca="1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#VALUE!</v>
      </c>
      <c r="H207" s="23" t="str">
        <f t="shared" ca="1" si="15"/>
        <v/>
      </c>
      <c r="I207" s="24" t="e">
        <f>IF(OR(E207="",E207="!!!",F207="NEW"),"",INDEX(B$2:B206,-1+SUMPRODUCT(MAX(ROW(E$2:E206)*(E207=E$2:E206)))))</f>
        <v>#VALUE!</v>
      </c>
      <c r="J207" s="24">
        <f ca="1">IF(OR(E207="",E207="!!!",F207="NEW"),"",COUNTBLANK(OFFSET(A$1,,,SUMPRODUCT(MAX(ROW(E$2:E207)*(E207=E$2:E207)))))-COUNTBLANK(OFFSET(A$1,,,SUMPRODUCT(MAX(ROW(E$1:E206)*(E2=E$1:E206))))))</f>
        <v>0</v>
      </c>
      <c r="K207" s="24" t="e">
        <f>IF(OR(E207="",E207="!!!",F207="NEW"),"",INDEX(J$1:J206,SUMPRODUCT(MAX(ROW(E$1:E206)*(E207=E$1:E206)))))</f>
        <v>#VALUE!</v>
      </c>
      <c r="L207" s="25"/>
    </row>
    <row r="208" spans="1:12" x14ac:dyDescent="0.3">
      <c r="A208" t="s">
        <v>78</v>
      </c>
      <c r="E208" s="20" t="str">
        <f>IF(D208="?OLD","!!!","")</f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5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273</v>
      </c>
      <c r="E209" s="20" t="str">
        <f>IF(D209="?OLD","!!!","")</f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15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116</v>
      </c>
      <c r="E210" s="20" t="str">
        <f>IF(D210="?OLD","!!!","")</f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15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274</v>
      </c>
      <c r="B211" s="26" t="s">
        <v>131</v>
      </c>
      <c r="C211" s="26" t="s">
        <v>111</v>
      </c>
      <c r="E211" s="20" t="str">
        <f>IF(D211="?OLD","!!!","")</f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5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86</v>
      </c>
      <c r="E212" s="20" t="str">
        <f>IF(D212="?OLD","!!!","")</f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5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148</v>
      </c>
      <c r="E213" s="20" t="s">
        <v>271</v>
      </c>
      <c r="F213" s="21" t="s">
        <v>272</v>
      </c>
      <c r="G213" s="22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?IN_FOCUS</v>
      </c>
      <c r="H213" s="23" t="str">
        <f t="shared" ca="1" si="15"/>
        <v/>
      </c>
      <c r="I213" s="24" t="str">
        <f>IF(OR(E213="",E213="!!!",F213="NEW"),"",INDEX(B$2:B212,-1+SUMPRODUCT(MAX(ROW(E$2:E212)*(E213=E$2:E212)))))</f>
        <v>SBJ_3</v>
      </c>
      <c r="J213" s="24">
        <f ca="1">IF(OR(E213="",E213="!!!",F213="NEW"),"",COUNTBLANK(OFFSET(A$1,,,SUMPRODUCT(MAX(ROW(E$2:E213)*(E213=E$2:E213)))))-COUNTBLANK(OFFSET(A$1,,,SUMPRODUCT(MAX(ROW(E$1:E212)*(E2=E$1:E212))))))</f>
        <v>0</v>
      </c>
      <c r="K213" s="24">
        <f ca="1">IF(OR(E213="",E213="!!!",F213="NEW"),"",INDEX(J$1:J212,SUMPRODUCT(MAX(ROW(E$1:E212)*(E213=E$1:E212)))))</f>
        <v>0</v>
      </c>
      <c r="L213" s="27" t="s">
        <v>275</v>
      </c>
    </row>
    <row r="214" spans="1:12" x14ac:dyDescent="0.3">
      <c r="A214" t="s">
        <v>167</v>
      </c>
      <c r="E214" s="20" t="str">
        <f>IF(D214="?OLD","!!!","")</f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15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276</v>
      </c>
      <c r="E215" s="20" t="str">
        <f>IF(D215="?OLD","!!!","")</f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5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277</v>
      </c>
      <c r="B216" s="26" t="s">
        <v>73</v>
      </c>
      <c r="C216" s="26" t="s">
        <v>105</v>
      </c>
      <c r="E216" s="20"/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5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86</v>
      </c>
      <c r="E217" s="20" t="str">
        <f>IF(D217="?OLD","!!!","")</f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5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94</v>
      </c>
      <c r="E218" s="20" t="str">
        <f>IF(D218="?OLD","!!!","")</f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5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278</v>
      </c>
      <c r="E219" s="20" t="str">
        <f>IF(D219="?OLD","!!!","")</f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5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167</v>
      </c>
      <c r="E220" s="20" t="str">
        <f>IF(D220="?OLD","!!!","")</f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5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253</v>
      </c>
      <c r="B221" s="26" t="s">
        <v>96</v>
      </c>
      <c r="C221" s="26" t="s">
        <v>208</v>
      </c>
      <c r="D221" s="26" t="s">
        <v>75</v>
      </c>
      <c r="E221" s="20" t="s">
        <v>271</v>
      </c>
      <c r="F221" s="21" t="s">
        <v>272</v>
      </c>
      <c r="G221" s="22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3" t="str">
        <f t="shared" ca="1" si="15"/>
        <v/>
      </c>
      <c r="I221" s="24">
        <f>IF(OR(E221="",E221="!!!",F221="NEW"),"",INDEX(B$2:B220,-1+SUMPRODUCT(MAX(ROW(E$2:E220)*(E221=E$2:E220)))))</f>
        <v>0</v>
      </c>
      <c r="J221" s="24">
        <f ca="1">IF(OR(E221="",E221="!!!",F221="NEW"),"",COUNTBLANK(OFFSET(A$1,,,SUMPRODUCT(MAX(ROW(E$2:E221)*(E221=E$2:E221)))))-COUNTBLANK(OFFSET(A$1,,,SUMPRODUCT(MAX(ROW(E$1:E220)*(E2=E$1:E220))))))</f>
        <v>0</v>
      </c>
      <c r="K221" s="24">
        <f ca="1">IF(OR(E221="",E221="!!!",F221="NEW"),"",INDEX(J$1:J220,SUMPRODUCT(MAX(ROW(E$1:E220)*(E221=E$1:E220)))))</f>
        <v>0</v>
      </c>
      <c r="L221" s="27" t="s">
        <v>266</v>
      </c>
    </row>
    <row r="222" spans="1:12" x14ac:dyDescent="0.3">
      <c r="A222" t="s">
        <v>258</v>
      </c>
      <c r="E222" s="20" t="str">
        <f>IF(D222="?OLD","!!!","")</f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5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136</v>
      </c>
      <c r="E223" s="20" t="str">
        <f>IF(D223="?OLD","!!!","")</f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5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279</v>
      </c>
      <c r="B224" s="26" t="s">
        <v>82</v>
      </c>
      <c r="C224" s="26" t="s">
        <v>280</v>
      </c>
      <c r="D224" s="26" t="s">
        <v>75</v>
      </c>
      <c r="E224" s="20"/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5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7" t="s">
        <v>281</v>
      </c>
    </row>
    <row r="225" spans="1:12" x14ac:dyDescent="0.3">
      <c r="A225" t="s">
        <v>16</v>
      </c>
      <c r="E225" s="20" t="str">
        <f>IF(D225="?OLD","!!!","")</f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ref="H225:H256" ca="1" si="16">IF(J225&lt;&gt;1,"",IF(I225="SBJ","CB","?"))</f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142</v>
      </c>
      <c r="E226" s="20" t="str">
        <f>IF(D226="?OLD","!!!","")</f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6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282</v>
      </c>
      <c r="B227" s="26" t="s">
        <v>147</v>
      </c>
      <c r="C227" s="26" t="s">
        <v>105</v>
      </c>
      <c r="E227" s="20" t="s">
        <v>283</v>
      </c>
      <c r="F227" s="21" t="str">
        <f>IF(OR(E227="",E227="!!!"),"",IF(NOT(ISNA(VLOOKUP(E227,E$1:E226,1,FALSE()))),"OLD",IF(AND(E227&lt;&gt;"",E227&lt;&gt;"!!!"),"NEW","")))</f>
        <v>NEW</v>
      </c>
      <c r="G227" s="22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?REFERENTIAL</v>
      </c>
      <c r="H227" s="23" t="str">
        <f t="shared" ca="1" si="16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284</v>
      </c>
      <c r="E228" s="20" t="str">
        <f>IF(D228="?OLD","!!!","")</f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6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285</v>
      </c>
      <c r="E229" s="20" t="str">
        <f>IF(D229="?OLD","!!!","")</f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6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86</v>
      </c>
      <c r="E230" s="20" t="str">
        <f>IF(D230="?OLD","!!!","")</f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6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87</v>
      </c>
      <c r="B231" s="26" t="s">
        <v>96</v>
      </c>
      <c r="C231" s="26" t="s">
        <v>88</v>
      </c>
      <c r="D231" s="26" t="s">
        <v>75</v>
      </c>
      <c r="E231" s="20" t="s">
        <v>271</v>
      </c>
      <c r="F231" s="21" t="str">
        <f>IF(OR(E231="",E231="!!!"),"",IF(NOT(ISNA(VLOOKUP(E231,E$1:E230,1,FALSE()))),"OLD",IF(AND(E231&lt;&gt;"",E231&lt;&gt;"!!!"),"NEW","")))</f>
        <v>OLD</v>
      </c>
      <c r="G231" s="22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3" t="str">
        <f t="shared" ca="1" si="16"/>
        <v/>
      </c>
      <c r="I231" s="24" t="str">
        <f>IF(OR(E231="",E231="!!!",F231="NEW"),"",INDEX(B$2:B230,-1+SUMPRODUCT(MAX(ROW(E$2:E230)*(E231=E$2:E230)))))</f>
        <v>SBJ_2</v>
      </c>
      <c r="J231" s="24">
        <f ca="1">IF(OR(E231="",E231="!!!",F231="NEW"),"",COUNTBLANK(OFFSET(A$1,,,SUMPRODUCT(MAX(ROW(E$2:E231)*(E231=E$2:E231)))))-COUNTBLANK(OFFSET(A$1,,,SUMPRODUCT(MAX(ROW(E$1:E230)*(E2=E$1:E230))))))</f>
        <v>0</v>
      </c>
      <c r="K231" s="24">
        <f ca="1">IF(OR(E231="",E231="!!!",F231="NEW"),"",INDEX(J$1:J230,SUMPRODUCT(MAX(ROW(E$1:E230)*(E231=E$1:E230)))))</f>
        <v>0</v>
      </c>
      <c r="L231" s="25"/>
    </row>
    <row r="232" spans="1:12" x14ac:dyDescent="0.3">
      <c r="A232" t="s">
        <v>167</v>
      </c>
      <c r="E232" s="20" t="str">
        <f t="shared" ref="E232:E241" si="17">IF(D232="?OLD","!!!","")</f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16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284</v>
      </c>
      <c r="E233" s="20" t="str">
        <f t="shared" si="17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16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286</v>
      </c>
      <c r="E234" s="20" t="str">
        <f t="shared" si="17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6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142</v>
      </c>
      <c r="E235" s="20" t="str">
        <f t="shared" si="17"/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16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287</v>
      </c>
      <c r="E236" s="20" t="str">
        <f t="shared" si="17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6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288</v>
      </c>
      <c r="E237" s="20" t="str">
        <f t="shared" si="17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16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289</v>
      </c>
      <c r="E238" s="20" t="str">
        <f t="shared" si="17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16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101</v>
      </c>
      <c r="E239" s="20" t="str">
        <f t="shared" si="17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6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290</v>
      </c>
      <c r="E240" s="20" t="str">
        <f t="shared" si="17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6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136</v>
      </c>
      <c r="E241" s="20" t="str">
        <f t="shared" si="17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16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291</v>
      </c>
      <c r="B242" s="26" t="s">
        <v>257</v>
      </c>
      <c r="C242" s="26" t="s">
        <v>74</v>
      </c>
      <c r="D242" s="26" t="s">
        <v>75</v>
      </c>
      <c r="E242" s="20"/>
      <c r="F242" s="21" t="s">
        <v>107</v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16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292</v>
      </c>
      <c r="E243" s="20" t="str">
        <f>IF(D243="?OLD","!!!","")</f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16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245</v>
      </c>
      <c r="E244" s="20" t="str">
        <f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16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161</v>
      </c>
      <c r="E245" s="20" t="str">
        <f>IF(D245="?OLD","!!!","")</f>
        <v/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16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101</v>
      </c>
      <c r="E246" s="20" t="str">
        <f>IF(D246="?OLD","!!!","")</f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16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293</v>
      </c>
      <c r="E247" s="20" t="str">
        <f>IF(D247="?OLD","!!!","")</f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16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160</v>
      </c>
      <c r="B248" s="26" t="s">
        <v>294</v>
      </c>
      <c r="C248" s="26" t="s">
        <v>151</v>
      </c>
      <c r="D248" s="26" t="s">
        <v>75</v>
      </c>
      <c r="E248" s="20" t="s">
        <v>295</v>
      </c>
      <c r="F248" s="21" t="s">
        <v>98</v>
      </c>
      <c r="G248" s="22" t="e">
        <f ca="1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#VALUE!</v>
      </c>
      <c r="H248" s="23" t="str">
        <f t="shared" ca="1" si="16"/>
        <v/>
      </c>
      <c r="I248" s="24" t="e">
        <f>IF(OR(E248="",E248="!!!",F248="NEW"),"",INDEX(B$2:B247,-1+SUMPRODUCT(MAX(ROW(E$2:E247)*(E248=E$2:E247)))))</f>
        <v>#VALUE!</v>
      </c>
      <c r="J248" s="24">
        <f ca="1">IF(OR(E248="",E248="!!!",F248="NEW"),"",COUNTBLANK(OFFSET(A$1,,,SUMPRODUCT(MAX(ROW(E$2:E248)*(E248=E$2:E248)))))-COUNTBLANK(OFFSET(A$1,,,SUMPRODUCT(MAX(ROW(E$1:E247)*(E2=E$1:E247))))))</f>
        <v>0</v>
      </c>
      <c r="K248" s="24" t="e">
        <f>IF(OR(E248="",E248="!!!",F248="NEW"),"",INDEX(J$1:J247,SUMPRODUCT(MAX(ROW(E$1:E247)*(E248=E$1:E247)))))</f>
        <v>#VALUE!</v>
      </c>
      <c r="L248" s="27" t="s">
        <v>296</v>
      </c>
    </row>
    <row r="249" spans="1:12" x14ac:dyDescent="0.3">
      <c r="A249" t="s">
        <v>297</v>
      </c>
      <c r="E249" s="20" t="str">
        <f>IF(D249="?OLD","!!!","")</f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16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155</v>
      </c>
      <c r="E250" s="20" t="str">
        <f>IF(D250="?OLD","!!!","")</f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16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298</v>
      </c>
      <c r="E251" s="20" t="str">
        <f>IF(D251="?OLD","!!!","")</f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16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172</v>
      </c>
      <c r="E252" s="20" t="str">
        <f>IF(D252="?OLD","!!!","")</f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16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187</v>
      </c>
      <c r="E253" s="20" t="str">
        <f>IF(D253="?OLD","!!!","")</f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16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299</v>
      </c>
      <c r="B254" s="26" t="s">
        <v>300</v>
      </c>
      <c r="C254" s="26" t="s">
        <v>74</v>
      </c>
      <c r="D254" s="26" t="s">
        <v>75</v>
      </c>
      <c r="E254" s="20"/>
      <c r="F254" s="21" t="s">
        <v>84</v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16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7" t="s">
        <v>301</v>
      </c>
    </row>
    <row r="255" spans="1:12" x14ac:dyDescent="0.3">
      <c r="A255" t="s">
        <v>79</v>
      </c>
      <c r="E255" s="20" t="str">
        <f>IF(D255="?OLD","!!!","")</f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16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187</v>
      </c>
      <c r="E256" s="20" t="str">
        <f>IF(D256="?OLD","!!!","")</f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16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302</v>
      </c>
      <c r="B257" s="26" t="s">
        <v>303</v>
      </c>
      <c r="C257" s="26" t="s">
        <v>74</v>
      </c>
      <c r="D257" s="26" t="s">
        <v>75</v>
      </c>
      <c r="E257" s="20"/>
      <c r="F257" s="21" t="s">
        <v>84</v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ref="H257:H288" ca="1" si="18">IF(J257&lt;&gt;1,"",IF(I257="SBJ","CB","?"))</f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7" t="s">
        <v>304</v>
      </c>
    </row>
    <row r="258" spans="1:12" x14ac:dyDescent="0.3">
      <c r="A258" t="s">
        <v>155</v>
      </c>
      <c r="E258" s="20" t="str">
        <f>IF(D258="?OLD","!!!","")</f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18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305</v>
      </c>
      <c r="E259" s="20" t="s">
        <v>306</v>
      </c>
      <c r="F259" s="21" t="s">
        <v>185</v>
      </c>
      <c r="G259" s="22" t="str">
        <f ca="1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?REFERENTIAL</v>
      </c>
      <c r="H259" s="23" t="str">
        <f t="shared" ca="1" si="18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7" t="s">
        <v>307</v>
      </c>
    </row>
    <row r="260" spans="1:12" x14ac:dyDescent="0.3">
      <c r="A260" t="s">
        <v>142</v>
      </c>
      <c r="E260" s="20" t="str">
        <f>IF(D260="?OLD","!!!","")</f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18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116</v>
      </c>
      <c r="E261" s="20" t="str">
        <f>IF(D261="?OLD","!!!","")</f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18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308</v>
      </c>
      <c r="E262" s="20" t="str">
        <f>IF(D262="?OLD","!!!","")</f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18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309</v>
      </c>
      <c r="E263" s="20"/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18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86</v>
      </c>
      <c r="E264" s="20" t="str">
        <f>IF(D264="?OLD","!!!","")</f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18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310</v>
      </c>
      <c r="B265" s="26" t="s">
        <v>96</v>
      </c>
      <c r="C265" s="26" t="s">
        <v>280</v>
      </c>
      <c r="D265" s="26" t="s">
        <v>75</v>
      </c>
      <c r="E265" s="20"/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18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7" t="s">
        <v>134</v>
      </c>
    </row>
    <row r="266" spans="1:12" x14ac:dyDescent="0.3">
      <c r="A266" t="s">
        <v>87</v>
      </c>
      <c r="B266" s="26" t="s">
        <v>96</v>
      </c>
      <c r="C266" s="26" t="s">
        <v>88</v>
      </c>
      <c r="D266" s="26" t="s">
        <v>75</v>
      </c>
      <c r="E266" s="20" t="s">
        <v>168</v>
      </c>
      <c r="F266" s="21" t="str">
        <f>IF(OR(E266="",E266="!!!"),"",IF(NOT(ISNA(VLOOKUP(E266,E$1:E265,1,FALSE()))),"OLD",IF(AND(E266&lt;&gt;"",E266&lt;&gt;"!!!"),"NEW","")))</f>
        <v>OLD</v>
      </c>
      <c r="G266" s="22" t="str">
        <f ca="1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?IN_FOCUS</v>
      </c>
      <c r="H266" s="23" t="str">
        <f t="shared" ca="1" si="18"/>
        <v/>
      </c>
      <c r="I266" s="24" t="str">
        <f>IF(OR(E266="",E266="!!!",F266="NEW"),"",INDEX(B$2:B265,-1+SUMPRODUCT(MAX(ROW(E$2:E265)*(E266=E$2:E265)))))</f>
        <v>SBJ_5</v>
      </c>
      <c r="J266" s="24">
        <f ca="1">IF(OR(E266="",E266="!!!",F266="NEW"),"",COUNTBLANK(OFFSET(A$1,,,SUMPRODUCT(MAX(ROW(E$2:E266)*(E266=E$2:E266)))))-COUNTBLANK(OFFSET(A$1,,,SUMPRODUCT(MAX(ROW(E$1:E265)*(E2=E$1:E265))))))</f>
        <v>0</v>
      </c>
      <c r="K266" s="24">
        <f ca="1">IF(OR(E266="",E266="!!!",F266="NEW"),"",INDEX(J$1:J265,SUMPRODUCT(MAX(ROW(E$1:E265)*(E266=E$1:E265)))))</f>
        <v>0</v>
      </c>
      <c r="L266" s="25"/>
    </row>
    <row r="267" spans="1:12" x14ac:dyDescent="0.3">
      <c r="A267" t="s">
        <v>160</v>
      </c>
      <c r="E267" s="20" t="s">
        <v>306</v>
      </c>
      <c r="F267" s="21" t="str">
        <f>IF(OR(E267="",E267="!!!"),"",IF(NOT(ISNA(VLOOKUP(E267,E$1:E266,1,FALSE()))),"OLD",IF(AND(E267&lt;&gt;"",E267&lt;&gt;"!!!"),"NEW","")))</f>
        <v>OLD</v>
      </c>
      <c r="G267" s="22" t="str">
        <f ca="1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?IN_FOCUS</v>
      </c>
      <c r="H267" s="23" t="str">
        <f t="shared" ca="1" si="18"/>
        <v/>
      </c>
      <c r="I267" s="24">
        <f>IF(OR(E267="",E267="!!!",F267="NEW"),"",INDEX(B$2:B266,-1+SUMPRODUCT(MAX(ROW(E$2:E266)*(E267=E$2:E266)))))</f>
        <v>0</v>
      </c>
      <c r="J267" s="24">
        <f ca="1">IF(OR(E267="",E267="!!!",F267="NEW"),"",COUNTBLANK(OFFSET(A$1,,,SUMPRODUCT(MAX(ROW(E$2:E267)*(E267=E$2:E267)))))-COUNTBLANK(OFFSET(A$1,,,SUMPRODUCT(MAX(ROW(E$1:E266)*(E2=E$1:E266))))))</f>
        <v>0</v>
      </c>
      <c r="K267" s="24" t="str">
        <f ca="1">IF(OR(E267="",E267="!!!",F267="NEW"),"",INDEX(J$1:J266,SUMPRODUCT(MAX(ROW(E$1:E266)*(E267=E$1:E266)))))</f>
        <v/>
      </c>
      <c r="L267" s="25"/>
    </row>
    <row r="268" spans="1:12" x14ac:dyDescent="0.3">
      <c r="A268" t="s">
        <v>311</v>
      </c>
      <c r="B268" s="26" t="s">
        <v>154</v>
      </c>
      <c r="C268" s="26" t="s">
        <v>74</v>
      </c>
      <c r="D268" s="26" t="s">
        <v>75</v>
      </c>
      <c r="E268" s="20"/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18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7" t="s">
        <v>134</v>
      </c>
    </row>
    <row r="269" spans="1:12" x14ac:dyDescent="0.3">
      <c r="A269" t="s">
        <v>116</v>
      </c>
      <c r="E269" s="20" t="str">
        <f>IF(D269="?OLD","!!!","")</f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18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86</v>
      </c>
      <c r="E270" s="20" t="str">
        <f>IF(D270="?OLD","!!!","")</f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18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312</v>
      </c>
      <c r="B271" s="26" t="s">
        <v>96</v>
      </c>
      <c r="C271" s="26" t="s">
        <v>280</v>
      </c>
      <c r="D271" s="26" t="s">
        <v>75</v>
      </c>
      <c r="E271" s="20"/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18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7" t="s">
        <v>134</v>
      </c>
    </row>
    <row r="272" spans="1:12" x14ac:dyDescent="0.3">
      <c r="A272" t="s">
        <v>155</v>
      </c>
      <c r="B272" s="26" t="s">
        <v>147</v>
      </c>
      <c r="C272" s="26" t="s">
        <v>111</v>
      </c>
      <c r="E272" s="20" t="str">
        <f>IF(D272="?OLD","!!!","")</f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18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313</v>
      </c>
      <c r="B273" s="26" t="s">
        <v>82</v>
      </c>
      <c r="C273" s="26" t="s">
        <v>105</v>
      </c>
      <c r="E273" s="20" t="str">
        <f>IF(D273="?OLD","!!!","")</f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18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116</v>
      </c>
      <c r="E274" s="20" t="str">
        <f>IF(D274="?OLD","!!!","")</f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18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314</v>
      </c>
      <c r="E275" s="20"/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18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86</v>
      </c>
      <c r="E276" s="20" t="str">
        <f>IF(D276="?OLD","!!!","")</f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18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315</v>
      </c>
      <c r="E277" s="20" t="str">
        <f>IF(D277="?OLD","!!!","")</f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18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316</v>
      </c>
      <c r="B278" s="26" t="s">
        <v>82</v>
      </c>
      <c r="C278" s="26" t="s">
        <v>105</v>
      </c>
      <c r="E278" s="20" t="str">
        <f>IF(D278="?OLD","!!!","")</f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18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317</v>
      </c>
      <c r="E279" s="20" t="str">
        <f>IF(D279="?OLD","!!!","")</f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18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318</v>
      </c>
      <c r="E280" s="20" t="str">
        <f>IF(D280="?OLD","!!!","")</f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18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95</v>
      </c>
      <c r="B281" s="26" t="s">
        <v>96</v>
      </c>
      <c r="C281" s="26" t="s">
        <v>88</v>
      </c>
      <c r="D281" s="26" t="s">
        <v>75</v>
      </c>
      <c r="E281" s="20" t="s">
        <v>97</v>
      </c>
      <c r="F281" s="21" t="str">
        <f>IF(OR(E281="",E281="!!!"),"",IF(NOT(ISNA(VLOOKUP(E281,E$1:E280,1,FALSE()))),"OLD",IF(AND(E281&lt;&gt;"",E281&lt;&gt;"!!!"),"NEW","")))</f>
        <v>OLD</v>
      </c>
      <c r="G281" s="22" t="str">
        <f ca="1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?IN_FOCUS</v>
      </c>
      <c r="H281" s="23" t="str">
        <f t="shared" ca="1" si="18"/>
        <v/>
      </c>
      <c r="I281" s="24" t="str">
        <f>IF(OR(E281="",E281="!!!",F281="NEW"),"",INDEX(B$2:B280,-1+SUMPRODUCT(MAX(ROW(E$2:E280)*(E281=E$2:E280)))))</f>
        <v>SBJ_2</v>
      </c>
      <c r="J281" s="24">
        <f ca="1">IF(OR(E281="",E281="!!!",F281="NEW"),"",COUNTBLANK(OFFSET(A$1,,,SUMPRODUCT(MAX(ROW(E$2:E281)*(E281=E$2:E281)))))-COUNTBLANK(OFFSET(A$1,,,SUMPRODUCT(MAX(ROW(E$1:E280)*(E2=E$1:E280))))))</f>
        <v>0</v>
      </c>
      <c r="K281" s="24">
        <f ca="1">IF(OR(E281="",E281="!!!",F281="NEW"),"",INDEX(J$1:J280,SUMPRODUCT(MAX(ROW(E$1:E280)*(E281=E$1:E280)))))</f>
        <v>0</v>
      </c>
      <c r="L281" s="25"/>
    </row>
    <row r="282" spans="1:12" x14ac:dyDescent="0.3">
      <c r="A282" t="s">
        <v>319</v>
      </c>
      <c r="E282" s="20" t="str">
        <f>IF(D282="?OLD","!!!","")</f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18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320</v>
      </c>
      <c r="B283" s="26" t="s">
        <v>154</v>
      </c>
      <c r="E283" s="20"/>
      <c r="F283" s="21" t="s">
        <v>214</v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18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92</v>
      </c>
      <c r="E284" s="20" t="str">
        <f>IF(D284="?OLD","!!!","")</f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18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101</v>
      </c>
      <c r="E285" s="20" t="str">
        <f>IF(D285="?OLD","!!!","")</f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18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321</v>
      </c>
      <c r="E286" s="20" t="str">
        <f>IF(D286="?OLD","!!!","")</f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18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136</v>
      </c>
      <c r="E287" s="20" t="str">
        <f>IF(D287="?OLD","!!!","")</f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18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322</v>
      </c>
      <c r="B288" s="26" t="s">
        <v>104</v>
      </c>
      <c r="C288" s="26" t="s">
        <v>74</v>
      </c>
      <c r="D288" s="26" t="s">
        <v>75</v>
      </c>
      <c r="E288" s="20" t="s">
        <v>323</v>
      </c>
      <c r="F288" s="21" t="str">
        <f>IF(OR(E288="",E288="!!!"),"",IF(NOT(ISNA(VLOOKUP(E288,E$1:E287,1,FALSE()))),"OLD",IF(AND(E288&lt;&gt;"",E288&lt;&gt;"!!!"),"NEW","")))</f>
        <v>NEW</v>
      </c>
      <c r="G288" s="22" t="str">
        <f ca="1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?REFERENTIAL</v>
      </c>
      <c r="H288" s="23" t="str">
        <f t="shared" ca="1" si="18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324</v>
      </c>
      <c r="E289" s="20" t="str">
        <f>IF(D289="?OLD","!!!","")</f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ref="H289:H320" ca="1" si="19">IF(J289&lt;&gt;1,"",IF(I289="SBJ","CB","?"))</f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325</v>
      </c>
      <c r="E290" s="20"/>
      <c r="F290" s="21"/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19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7"/>
    </row>
    <row r="291" spans="1:12" x14ac:dyDescent="0.3">
      <c r="A291" t="s">
        <v>258</v>
      </c>
      <c r="E291" s="20" t="str">
        <f>IF(D291="?OLD","!!!","")</f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19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136</v>
      </c>
      <c r="E292" s="20" t="str">
        <f>IF(D292="?OLD","!!!","")</f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19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326</v>
      </c>
      <c r="B293" s="26" t="s">
        <v>147</v>
      </c>
      <c r="C293" s="26" t="s">
        <v>74</v>
      </c>
      <c r="D293" s="26" t="s">
        <v>75</v>
      </c>
      <c r="E293" s="20" t="s">
        <v>327</v>
      </c>
      <c r="F293" s="21" t="str">
        <f>IF(OR(E293="",E293="!!!"),"",IF(NOT(ISNA(VLOOKUP(E293,E$1:E292,1,FALSE()))),"OLD",IF(AND(E293&lt;&gt;"",E293&lt;&gt;"!!!"),"NEW","")))</f>
        <v>NEW</v>
      </c>
      <c r="G293" s="22" t="str">
        <f ca="1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?REFERENTIAL</v>
      </c>
      <c r="H293" s="23" t="str">
        <f t="shared" ca="1" si="19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324</v>
      </c>
      <c r="E294" s="20" t="str">
        <f>IF(D294="?OLD","!!!","")</f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19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328</v>
      </c>
      <c r="E295" s="20"/>
      <c r="F295" s="21"/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19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329</v>
      </c>
      <c r="E296" s="20" t="str">
        <f>IF(D296="?OLD","!!!","")</f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19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167</v>
      </c>
      <c r="E297" s="20" t="str">
        <f>IF(D297="?OLD","!!!","")</f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19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86</v>
      </c>
      <c r="E298" s="20" t="str">
        <f>IF(D298="?OLD","!!!","")</f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19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246</v>
      </c>
      <c r="B299" s="26" t="s">
        <v>73</v>
      </c>
      <c r="C299" s="26" t="s">
        <v>208</v>
      </c>
      <c r="D299" s="26" t="s">
        <v>75</v>
      </c>
      <c r="E299" s="20"/>
      <c r="F299" s="21" t="s">
        <v>107</v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19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7" t="s">
        <v>330</v>
      </c>
    </row>
    <row r="300" spans="1:12" x14ac:dyDescent="0.3">
      <c r="A300" t="s">
        <v>331</v>
      </c>
      <c r="E300" s="20" t="str">
        <f>IF(D300="?OLD","!!!","")</f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19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101</v>
      </c>
      <c r="E301" s="20" t="str">
        <f>IF(D301="?OLD","!!!","")</f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19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122</v>
      </c>
      <c r="E302" s="20" t="str">
        <f>IF(D302="?OLD","!!!","")</f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19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103</v>
      </c>
      <c r="B303" s="26" t="s">
        <v>104</v>
      </c>
      <c r="C303" s="26" t="s">
        <v>105</v>
      </c>
      <c r="E303" s="20" t="s">
        <v>106</v>
      </c>
      <c r="F303" s="21" t="str">
        <f>IF(OR(E303="",E303="!!!"),"",IF(NOT(ISNA(VLOOKUP(E303,E$1:E302,1,FALSE()))),"OLD",IF(AND(E303&lt;&gt;"",E303&lt;&gt;"!!!"),"NEW","")))</f>
        <v>OLD</v>
      </c>
      <c r="G303" s="22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3" t="str">
        <f t="shared" ca="1" si="19"/>
        <v/>
      </c>
      <c r="I303" s="24" t="str">
        <f>IF(OR(E303="",E303="!!!",F303="NEW"),"",INDEX(B$2:B302,-1+SUMPRODUCT(MAX(ROW(E$2:E302)*(E303=E$2:E302)))))</f>
        <v>SBJ_3</v>
      </c>
      <c r="J303" s="24">
        <f ca="1">IF(OR(E303="",E303="!!!",F303="NEW"),"",COUNTBLANK(OFFSET(A$1,,,SUMPRODUCT(MAX(ROW(E$2:E303)*(E303=E$2:E303)))))-COUNTBLANK(OFFSET(A$1,,,SUMPRODUCT(MAX(ROW(E$1:E302)*(E2=E$1:E302))))))</f>
        <v>0</v>
      </c>
      <c r="K303" s="24">
        <f ca="1">IF(OR(E303="",E303="!!!",F303="NEW"),"",INDEX(J$1:J302,SUMPRODUCT(MAX(ROW(E$1:E302)*(E303=E$1:E302)))))</f>
        <v>0</v>
      </c>
      <c r="L303" s="27" t="s">
        <v>1050</v>
      </c>
    </row>
    <row r="304" spans="1:12" x14ac:dyDescent="0.3">
      <c r="A304" t="s">
        <v>90</v>
      </c>
      <c r="B304" s="26" t="s">
        <v>110</v>
      </c>
      <c r="E304" s="20" t="str">
        <f t="shared" ref="E304:E311" si="20">IF(D304="?OLD","!!!","")</f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19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333</v>
      </c>
      <c r="E305" s="20" t="str">
        <f t="shared" si="2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19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334</v>
      </c>
      <c r="B306" s="26" t="s">
        <v>110</v>
      </c>
      <c r="C306" s="26" t="s">
        <v>335</v>
      </c>
      <c r="E306" s="20" t="str">
        <f t="shared" si="2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19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336</v>
      </c>
      <c r="E307" s="20" t="str">
        <f t="shared" si="20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19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142</v>
      </c>
      <c r="E308" s="20" t="str">
        <f t="shared" si="2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19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337</v>
      </c>
      <c r="E309" s="20" t="str">
        <f t="shared" si="20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19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101</v>
      </c>
      <c r="E310" s="20" t="str">
        <f t="shared" si="20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19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321</v>
      </c>
      <c r="E311" s="20" t="str">
        <f t="shared" si="20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19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253</v>
      </c>
      <c r="B312" s="26" t="s">
        <v>203</v>
      </c>
      <c r="C312" s="26" t="s">
        <v>208</v>
      </c>
      <c r="D312" s="26" t="s">
        <v>75</v>
      </c>
      <c r="E312" s="20" t="s">
        <v>106</v>
      </c>
      <c r="F312" s="21" t="str">
        <f>IF(OR(E312="",E312="!!!"),"",IF(NOT(ISNA(VLOOKUP(E312,E$1:E311,1,FALSE()))),"OLD",IF(AND(E312&lt;&gt;"",E312&lt;&gt;"!!!"),"NEW","")))</f>
        <v>OLD</v>
      </c>
      <c r="G312" s="22" t="str">
        <f ca="1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?IN_FOCUS</v>
      </c>
      <c r="H312" s="23" t="str">
        <f t="shared" ca="1" si="19"/>
        <v/>
      </c>
      <c r="I312" s="24" t="str">
        <f>IF(OR(E312="",E312="!!!",F312="NEW"),"",INDEX(B$2:B311,-1+SUMPRODUCT(MAX(ROW(E$2:E311)*(E312=E$2:E311)))))</f>
        <v>SBJ_3</v>
      </c>
      <c r="J312" s="24">
        <f ca="1">IF(OR(E312="",E312="!!!",F312="NEW"),"",COUNTBLANK(OFFSET(A$1,,,SUMPRODUCT(MAX(ROW(E$2:E312)*(E312=E$2:E312)))))-COUNTBLANK(OFFSET(A$1,,,SUMPRODUCT(MAX(ROW(E$1:E311)*(E2=E$1:E311))))))</f>
        <v>0</v>
      </c>
      <c r="K312" s="24">
        <f ca="1">IF(OR(E312="",E312="!!!",F312="NEW"),"",INDEX(J$1:J311,SUMPRODUCT(MAX(ROW(E$1:E311)*(E312=E$1:E311)))))</f>
        <v>0</v>
      </c>
      <c r="L312" s="25"/>
    </row>
    <row r="313" spans="1:12" x14ac:dyDescent="0.3">
      <c r="A313" t="s">
        <v>338</v>
      </c>
      <c r="E313" s="20" t="str">
        <f>IF(D313="?OLD","!!!","")</f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19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101</v>
      </c>
      <c r="E314" s="20" t="str">
        <f>IF(D314="?OLD","!!!","")</f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19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339</v>
      </c>
      <c r="E315" s="20" t="str">
        <f>IF(D315="?OLD","!!!","")</f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19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253</v>
      </c>
      <c r="B316" s="26" t="s">
        <v>96</v>
      </c>
      <c r="C316" s="26" t="s">
        <v>208</v>
      </c>
      <c r="D316" s="26" t="s">
        <v>75</v>
      </c>
      <c r="E316" s="20" t="s">
        <v>106</v>
      </c>
      <c r="F316" s="21" t="str">
        <f>IF(OR(E316="",E316="!!!"),"",IF(NOT(ISNA(VLOOKUP(E316,E$1:E315,1,FALSE()))),"OLD",IF(AND(E316&lt;&gt;"",E316&lt;&gt;"!!!"),"NEW","")))</f>
        <v>OLD</v>
      </c>
      <c r="G316" s="22" t="str">
        <f ca="1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?IN_FOCUS</v>
      </c>
      <c r="H316" s="23" t="str">
        <f t="shared" ca="1" si="19"/>
        <v/>
      </c>
      <c r="I316" s="24" t="str">
        <f>IF(OR(E316="",E316="!!!",F316="NEW"),"",INDEX(B$2:B315,-1+SUMPRODUCT(MAX(ROW(E$2:E315)*(E316=E$2:E315)))))</f>
        <v>SBJ_5</v>
      </c>
      <c r="J316" s="24">
        <f ca="1">IF(OR(E316="",E316="!!!",F316="NEW"),"",COUNTBLANK(OFFSET(A$1,,,SUMPRODUCT(MAX(ROW(E$2:E316)*(E316=E$2:E316)))))-COUNTBLANK(OFFSET(A$1,,,SUMPRODUCT(MAX(ROW(E$1:E315)*(E2=E$1:E315))))))</f>
        <v>0</v>
      </c>
      <c r="K316" s="24">
        <f ca="1">IF(OR(E316="",E316="!!!",F316="NEW"),"",INDEX(J$1:J315,SUMPRODUCT(MAX(ROW(E$1:E315)*(E316=E$1:E315)))))</f>
        <v>0</v>
      </c>
      <c r="L316" s="25"/>
    </row>
    <row r="317" spans="1:12" x14ac:dyDescent="0.3">
      <c r="A317" t="s">
        <v>90</v>
      </c>
      <c r="B317" s="26" t="s">
        <v>154</v>
      </c>
      <c r="E317" s="20" t="str">
        <f>IF(D317="?OLD","!!!","")</f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19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340</v>
      </c>
      <c r="B318" s="26" t="s">
        <v>154</v>
      </c>
      <c r="C318" s="26" t="s">
        <v>105</v>
      </c>
      <c r="E318" s="20" t="str">
        <f>IF(D318="?OLD","!!!","")</f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19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236</v>
      </c>
      <c r="E319" s="20" t="str">
        <f>IF(D319="?OLD","!!!","")</f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19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86</v>
      </c>
      <c r="E320" s="20" t="str">
        <f>IF(D320="?OLD","!!!","")</f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19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341</v>
      </c>
      <c r="E321" s="20" t="s">
        <v>342</v>
      </c>
      <c r="F321" s="21" t="str">
        <f>IF(OR(E321="",E321="!!!"),"",IF(NOT(ISNA(VLOOKUP(E321,E$1:E320,1,FALSE()))),"OLD",IF(AND(E321&lt;&gt;"",E321&lt;&gt;"!!!"),"NEW","")))</f>
        <v>NEW</v>
      </c>
      <c r="G321" s="22" t="str">
        <f ca="1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?REFERENTIAL</v>
      </c>
      <c r="H321" s="23"/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7" t="s">
        <v>332</v>
      </c>
    </row>
    <row r="322" spans="1:12" x14ac:dyDescent="0.3">
      <c r="A322" t="s">
        <v>140</v>
      </c>
      <c r="E322" s="20" t="str">
        <f>IF(D322="?OLD","!!!","")</f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ref="H322:H353" ca="1" si="21">IF(J322&lt;&gt;1,"",IF(I322="SBJ","CB","?"))</f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343</v>
      </c>
      <c r="B323" s="26" t="s">
        <v>115</v>
      </c>
      <c r="C323" s="26" t="s">
        <v>105</v>
      </c>
      <c r="E323" s="20" t="str">
        <f>IF(D323="?OLD","!!!","")</f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21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101</v>
      </c>
      <c r="E324" s="20" t="str">
        <f>IF(D324="?OLD","!!!","")</f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21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344</v>
      </c>
      <c r="B325" s="26" t="s">
        <v>303</v>
      </c>
      <c r="C325" s="26" t="s">
        <v>280</v>
      </c>
      <c r="D325" s="26" t="s">
        <v>75</v>
      </c>
      <c r="E325" s="20"/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21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7" t="s">
        <v>1051</v>
      </c>
    </row>
    <row r="326" spans="1:12" x14ac:dyDescent="0.3">
      <c r="A326" t="s">
        <v>101</v>
      </c>
      <c r="E326" s="20" t="str">
        <f>IF(D326="?OLD","!!!","")</f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1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346</v>
      </c>
      <c r="B327" s="26" t="s">
        <v>303</v>
      </c>
      <c r="C327" s="26" t="s">
        <v>105</v>
      </c>
      <c r="E327" s="20" t="str">
        <f>IF(D327="?OLD","!!!","")</f>
        <v/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1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101</v>
      </c>
      <c r="E328" s="20" t="str">
        <f>IF(D328="?OLD","!!!","")</f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1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347</v>
      </c>
      <c r="B329" s="26" t="s">
        <v>303</v>
      </c>
      <c r="C329" s="26" t="s">
        <v>105</v>
      </c>
      <c r="E329" s="20" t="str">
        <f>IF(D329="?OLD","!!!","")</f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1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16</v>
      </c>
      <c r="E330" s="20" t="str">
        <f>IF(D330="?OLD","!!!","")</f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21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87</v>
      </c>
      <c r="B331" s="26" t="s">
        <v>96</v>
      </c>
      <c r="C331" s="26" t="s">
        <v>88</v>
      </c>
      <c r="D331" s="26" t="s">
        <v>75</v>
      </c>
      <c r="E331" s="20" t="s">
        <v>168</v>
      </c>
      <c r="F331" s="21" t="str">
        <f>IF(OR(E331="",E331="!!!"),"",IF(NOT(ISNA(VLOOKUP(E331,E$1:E330,1,FALSE()))),"OLD",IF(AND(E331&lt;&gt;"",E331&lt;&gt;"!!!"),"NEW","")))</f>
        <v>OLD</v>
      </c>
      <c r="G331" s="22" t="str">
        <f ca="1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?IN_FOCUS</v>
      </c>
      <c r="H331" s="23" t="str">
        <f t="shared" ca="1" si="21"/>
        <v/>
      </c>
      <c r="I331" s="24" t="str">
        <f>IF(OR(E331="",E331="!!!",F331="NEW"),"",INDEX(B$2:B330,-1+SUMPRODUCT(MAX(ROW(E$2:E330)*(E331=E$2:E330)))))</f>
        <v>SBJ_2</v>
      </c>
      <c r="J331" s="24">
        <f ca="1">IF(OR(E331="",E331="!!!",F331="NEW"),"",COUNTBLANK(OFFSET(A$1,,,SUMPRODUCT(MAX(ROW(E$2:E331)*(E331=E$2:E331)))))-COUNTBLANK(OFFSET(A$1,,,SUMPRODUCT(MAX(ROW(E$1:E330)*(E2=E$1:E330))))))</f>
        <v>0</v>
      </c>
      <c r="K331" s="24">
        <f ca="1">IF(OR(E331="",E331="!!!",F331="NEW"),"",INDEX(J$1:J330,SUMPRODUCT(MAX(ROW(E$1:E330)*(E331=E$1:E330)))))</f>
        <v>0</v>
      </c>
      <c r="L331" s="25"/>
    </row>
    <row r="332" spans="1:12" x14ac:dyDescent="0.3">
      <c r="A332" t="s">
        <v>331</v>
      </c>
      <c r="E332" s="20" t="str">
        <f t="shared" ref="E332:E337" si="22">IF(D332="?OLD","!!!","")</f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1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348</v>
      </c>
      <c r="E333" s="20" t="str">
        <f t="shared" si="22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1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101</v>
      </c>
      <c r="E334" s="20" t="str">
        <f t="shared" si="22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1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136</v>
      </c>
      <c r="B335" s="26" t="s">
        <v>96</v>
      </c>
      <c r="E335" s="20" t="str">
        <f t="shared" si="22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1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92</v>
      </c>
      <c r="E336" s="20" t="str">
        <f t="shared" si="22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1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349</v>
      </c>
      <c r="E337" s="20" t="str">
        <f t="shared" si="22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21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350</v>
      </c>
      <c r="B338" s="26" t="s">
        <v>82</v>
      </c>
      <c r="C338" s="26" t="s">
        <v>105</v>
      </c>
      <c r="E338" s="20" t="s">
        <v>342</v>
      </c>
      <c r="F338" s="21" t="str">
        <f>IF(OR(E338="",E338="!!!"),"",IF(NOT(ISNA(VLOOKUP(E338,E$1:E337,1,FALSE()))),"OLD",IF(AND(E338&lt;&gt;"",E338&lt;&gt;"!!!"),"NEW","")))</f>
        <v>OLD</v>
      </c>
      <c r="G338" s="22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3" t="str">
        <f t="shared" ca="1" si="21"/>
        <v/>
      </c>
      <c r="I338" s="24">
        <f>IF(OR(E338="",E338="!!!",F338="NEW"),"",INDEX(B$2:B337,-1+SUMPRODUCT(MAX(ROW(E$2:E337)*(E338=E$2:E337)))))</f>
        <v>0</v>
      </c>
      <c r="J338" s="24">
        <f ca="1">IF(OR(E338="",E338="!!!",F338="NEW"),"",COUNTBLANK(OFFSET(A$1,,,SUMPRODUCT(MAX(ROW(E$2:E338)*(E338=E$2:E338)))))-COUNTBLANK(OFFSET(A$1,,,SUMPRODUCT(MAX(ROW(E$1:E337)*(E2=E$1:E337))))))</f>
        <v>0</v>
      </c>
      <c r="K338" s="24" t="str">
        <f ca="1">IF(OR(E338="",E338="!!!",F338="NEW"),"",INDEX(J$1:J337,SUMPRODUCT(MAX(ROW(E$1:E337)*(E338=E$1:E337)))))</f>
        <v/>
      </c>
      <c r="L338" s="25"/>
    </row>
    <row r="339" spans="1:12" x14ac:dyDescent="0.3">
      <c r="A339" t="s">
        <v>86</v>
      </c>
      <c r="E339" s="20" t="str">
        <f>IF(D339="?OLD","!!!","")</f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1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351</v>
      </c>
      <c r="B340" s="26" t="s">
        <v>147</v>
      </c>
      <c r="C340" s="26" t="s">
        <v>151</v>
      </c>
      <c r="D340" s="26" t="s">
        <v>75</v>
      </c>
      <c r="E340" s="20"/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1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7" t="s">
        <v>352</v>
      </c>
    </row>
    <row r="341" spans="1:12" x14ac:dyDescent="0.3">
      <c r="A341" t="s">
        <v>153</v>
      </c>
      <c r="B341" s="26" t="s">
        <v>96</v>
      </c>
      <c r="C341" s="26" t="s">
        <v>353</v>
      </c>
      <c r="D341" s="26" t="s">
        <v>75</v>
      </c>
      <c r="E341" s="20" t="s">
        <v>342</v>
      </c>
      <c r="F341" s="21" t="str">
        <f>IF(OR(E341="",E341="!!!"),"",IF(NOT(ISNA(VLOOKUP(E341,E$1:E340,1,FALSE()))),"OLD",IF(AND(E341&lt;&gt;"",E341&lt;&gt;"!!!"),"NEW","")))</f>
        <v>OLD</v>
      </c>
      <c r="G341" s="22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3" t="str">
        <f t="shared" ca="1" si="21"/>
        <v/>
      </c>
      <c r="I341" s="24" t="str">
        <f>IF(OR(E341="",E341="!!!",F341="NEW"),"",INDEX(B$2:B340,-1+SUMPRODUCT(MAX(ROW(E$2:E340)*(E341=E$2:E340)))))</f>
        <v>other_2</v>
      </c>
      <c r="J341" s="24">
        <f ca="1">IF(OR(E341="",E341="!!!",F341="NEW"),"",COUNTBLANK(OFFSET(A$1,,,SUMPRODUCT(MAX(ROW(E$2:E341)*(E341=E$2:E341)))))-COUNTBLANK(OFFSET(A$1,,,SUMPRODUCT(MAX(ROW(E$1:E340)*(E2=E$1:E340))))))</f>
        <v>0</v>
      </c>
      <c r="K341" s="24">
        <f ca="1">IF(OR(E341="",E341="!!!",F341="NEW"),"",INDEX(J$1:J340,SUMPRODUCT(MAX(ROW(E$1:E340)*(E341=E$1:E340)))))</f>
        <v>0</v>
      </c>
      <c r="L341" s="25"/>
    </row>
    <row r="342" spans="1:12" x14ac:dyDescent="0.3">
      <c r="A342" t="s">
        <v>167</v>
      </c>
      <c r="E342" s="20" t="str">
        <f>IF(D342="?OLD","!!!","")</f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1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354</v>
      </c>
      <c r="E343" s="20" t="str">
        <f>IF(D343="?OLD","!!!","")</f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21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285</v>
      </c>
      <c r="E344" s="20" t="str">
        <f>IF(D344="?OLD","!!!","")</f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1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101</v>
      </c>
      <c r="E345" s="20" t="str">
        <f>IF(D345="?OLD","!!!","")</f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1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270</v>
      </c>
      <c r="E346" s="20" t="str">
        <f>IF(D346="?OLD","!!!","")</f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1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253</v>
      </c>
      <c r="B347" s="26" t="s">
        <v>104</v>
      </c>
      <c r="C347" s="26" t="s">
        <v>208</v>
      </c>
      <c r="D347" s="26" t="s">
        <v>75</v>
      </c>
      <c r="E347" s="20" t="s">
        <v>342</v>
      </c>
      <c r="F347" s="21" t="str">
        <f>IF(OR(E347="",E347="!!!"),"",IF(NOT(ISNA(VLOOKUP(E347,E$1:E346,1,FALSE()))),"OLD",IF(AND(E347&lt;&gt;"",E347&lt;&gt;"!!!"),"NEW","")))</f>
        <v>OLD</v>
      </c>
      <c r="G347" s="22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23" t="str">
        <f t="shared" ca="1" si="21"/>
        <v/>
      </c>
      <c r="I347" s="24" t="str">
        <f>IF(OR(E347="",E347="!!!",F347="NEW"),"",INDEX(B$2:B346,-1+SUMPRODUCT(MAX(ROW(E$2:E346)*(E347=E$2:E346)))))</f>
        <v>SBJ_2</v>
      </c>
      <c r="J347" s="24">
        <f ca="1">IF(OR(E347="",E347="!!!",F347="NEW"),"",COUNTBLANK(OFFSET(A$1,,,SUMPRODUCT(MAX(ROW(E$2:E347)*(E347=E$2:E347)))))-COUNTBLANK(OFFSET(A$1,,,SUMPRODUCT(MAX(ROW(E$1:E346)*(E2=E$1:E346))))))</f>
        <v>0</v>
      </c>
      <c r="K347" s="24">
        <f ca="1">IF(OR(E347="",E347="!!!",F347="NEW"),"",INDEX(J$1:J346,SUMPRODUCT(MAX(ROW(E$1:E346)*(E347=E$1:E346)))))</f>
        <v>0</v>
      </c>
      <c r="L347" s="25"/>
    </row>
    <row r="348" spans="1:12" x14ac:dyDescent="0.3">
      <c r="A348" t="s">
        <v>167</v>
      </c>
      <c r="E348" s="20" t="str">
        <f>IF(D348="?OLD","!!!","")</f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1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116</v>
      </c>
      <c r="E349" s="20" t="str">
        <f>IF(D349="?OLD","!!!","")</f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1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355</v>
      </c>
      <c r="E350" s="20" t="str">
        <f>IF(D350="?OLD","!!!","")</f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1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86</v>
      </c>
      <c r="E351" s="20" t="str">
        <f>IF(D351="?OLD","!!!","")</f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1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356</v>
      </c>
      <c r="B352" s="26" t="s">
        <v>96</v>
      </c>
      <c r="C352" s="26" t="s">
        <v>105</v>
      </c>
      <c r="E352" s="20" t="s">
        <v>106</v>
      </c>
      <c r="F352" s="21" t="str">
        <f>IF(OR(E352="",E352="!!!"),"",IF(NOT(ISNA(VLOOKUP(E352,E$1:E351,1,FALSE()))),"OLD",IF(AND(E352&lt;&gt;"",E352&lt;&gt;"!!!"),"NEW","")))</f>
        <v>OLD</v>
      </c>
      <c r="G352" s="22" t="str">
        <f ca="1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?IN_FOCUS</v>
      </c>
      <c r="H352" s="23" t="str">
        <f t="shared" ca="1" si="21"/>
        <v/>
      </c>
      <c r="I352" s="24" t="str">
        <f>IF(OR(E352="",E352="!!!",F352="NEW"),"",INDEX(B$2:B351,-1+SUMPRODUCT(MAX(ROW(E$2:E351)*(E352=E$2:E351)))))</f>
        <v>SBJ_2</v>
      </c>
      <c r="J352" s="24">
        <f ca="1">IF(OR(E352="",E352="!!!",F352="NEW"),"",COUNTBLANK(OFFSET(A$1,,,SUMPRODUCT(MAX(ROW(E$2:E352)*(E352=E$2:E352)))))-COUNTBLANK(OFFSET(A$1,,,SUMPRODUCT(MAX(ROW(E$1:E351)*(E2=E$1:E351))))))</f>
        <v>0</v>
      </c>
      <c r="K352" s="24">
        <f ca="1">IF(OR(E352="",E352="!!!",F352="NEW"),"",INDEX(J$1:J351,SUMPRODUCT(MAX(ROW(E$1:E351)*(E352=E$1:E351)))))</f>
        <v>0</v>
      </c>
      <c r="L352" s="25"/>
    </row>
    <row r="353" spans="1:12" x14ac:dyDescent="0.3">
      <c r="A353" t="s">
        <v>357</v>
      </c>
      <c r="E353" s="20" t="str">
        <f>IF(D353="?OLD","!!!","")</f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1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276</v>
      </c>
      <c r="E354" s="20" t="str">
        <f>IF(D354="?OLD","!!!","")</f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ref="H354:H385" ca="1" si="23">IF(J354&lt;&gt;1,"",IF(I354="SBJ","CB","?"))</f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178</v>
      </c>
      <c r="E355" s="20" t="str">
        <f>IF(D355="?OLD","!!!","")</f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3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358</v>
      </c>
      <c r="B356" s="26" t="s">
        <v>115</v>
      </c>
      <c r="C356" s="26" t="s">
        <v>105</v>
      </c>
      <c r="E356" s="20"/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23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140</v>
      </c>
      <c r="E357" s="20" t="str">
        <f>IF(D357="?OLD","!!!","")</f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3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359</v>
      </c>
      <c r="B358" s="26" t="s">
        <v>303</v>
      </c>
      <c r="C358" s="26" t="s">
        <v>280</v>
      </c>
      <c r="D358" s="26" t="s">
        <v>75</v>
      </c>
      <c r="E358" s="20" t="s">
        <v>360</v>
      </c>
      <c r="F358" s="21" t="str">
        <f>IF(OR(E358="",E358="!!!"),"",IF(NOT(ISNA(VLOOKUP(E358,E$1:E357,1,FALSE()))),"OLD",IF(AND(E358&lt;&gt;"",E358&lt;&gt;"!!!"),"NEW","")))</f>
        <v>NEW</v>
      </c>
      <c r="G358" s="22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?REFERENTIAL</v>
      </c>
      <c r="H358" s="23" t="str">
        <f t="shared" ca="1" si="23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361</v>
      </c>
      <c r="E359" s="20" t="str">
        <f>IF(D359="?OLD","!!!","")</f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23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172</v>
      </c>
      <c r="E360" s="20" t="str">
        <f>IF(D360="?OLD","!!!","")</f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23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362</v>
      </c>
      <c r="B361" s="26" t="s">
        <v>154</v>
      </c>
      <c r="C361" s="26" t="s">
        <v>105</v>
      </c>
      <c r="E361" s="20" t="s">
        <v>363</v>
      </c>
      <c r="F361" s="21" t="str">
        <f>IF(OR(E361="",E361="!!!"),"",IF(NOT(ISNA(VLOOKUP(E361,E$1:E360,1,FALSE()))),"OLD",IF(AND(E361&lt;&gt;"",E361&lt;&gt;"!!!"),"NEW","")))</f>
        <v>NEW</v>
      </c>
      <c r="G361" s="22" t="str">
        <f ca="1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?REFERENTIAL</v>
      </c>
      <c r="H361" s="23" t="str">
        <f t="shared" ca="1" si="23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7" t="s">
        <v>364</v>
      </c>
    </row>
    <row r="362" spans="1:12" x14ac:dyDescent="0.3">
      <c r="A362" t="s">
        <v>101</v>
      </c>
      <c r="E362" s="20" t="str">
        <f>IF(D362="?OLD","!!!","")</f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3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365</v>
      </c>
      <c r="B363" s="26" t="s">
        <v>147</v>
      </c>
      <c r="C363" s="26" t="s">
        <v>105</v>
      </c>
      <c r="E363" s="20" t="s">
        <v>366</v>
      </c>
      <c r="F363" s="21" t="str">
        <f>IF(OR(E363="",E363="!!!"),"",IF(NOT(ISNA(VLOOKUP(E363,E$1:E362,1,FALSE()))),"OLD",IF(AND(E363&lt;&gt;"",E363&lt;&gt;"!!!"),"NEW","")))</f>
        <v>NEW</v>
      </c>
      <c r="G363" s="22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?REFERENTIAL</v>
      </c>
      <c r="H363" s="23" t="str">
        <f t="shared" ca="1" si="23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7" t="s">
        <v>367</v>
      </c>
    </row>
    <row r="364" spans="1:12" x14ac:dyDescent="0.3">
      <c r="A364" t="s">
        <v>142</v>
      </c>
      <c r="E364" s="20" t="str">
        <f>IF(D364="?OLD","!!!","")</f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23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146</v>
      </c>
      <c r="B365" s="26" t="s">
        <v>147</v>
      </c>
      <c r="C365" s="26" t="s">
        <v>105</v>
      </c>
      <c r="E365" s="20" t="s">
        <v>368</v>
      </c>
      <c r="F365" s="21" t="str">
        <f>IF(OR(E365="",E365="!!!"),"",IF(NOT(ISNA(VLOOKUP(E365,E$1:E364,1,FALSE()))),"OLD",IF(AND(E365&lt;&gt;"",E365&lt;&gt;"!!!"),"NEW","")))</f>
        <v>NEW</v>
      </c>
      <c r="G365" s="22" t="str">
        <f ca="1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?REFERENTIAL</v>
      </c>
      <c r="H365" s="23" t="str">
        <f t="shared" ca="1" si="23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7" t="s">
        <v>369</v>
      </c>
    </row>
    <row r="366" spans="1:12" x14ac:dyDescent="0.3">
      <c r="A366" t="s">
        <v>86</v>
      </c>
      <c r="E366" s="20" t="str">
        <f>IF(D366="?OLD","!!!","")</f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23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370</v>
      </c>
      <c r="E367" s="20" t="str">
        <f>IF(D367="?OLD","!!!","")</f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3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362</v>
      </c>
      <c r="B368" s="26" t="s">
        <v>147</v>
      </c>
      <c r="C368" s="26" t="s">
        <v>105</v>
      </c>
      <c r="E368" s="20" t="s">
        <v>363</v>
      </c>
      <c r="F368" s="21" t="str">
        <f>IF(OR(E368="",E368="!!!"),"",IF(NOT(ISNA(VLOOKUP(E368,E$1:E367,1,FALSE()))),"OLD",IF(AND(E368&lt;&gt;"",E368&lt;&gt;"!!!"),"NEW","")))</f>
        <v>OLD</v>
      </c>
      <c r="G368" s="22" t="str">
        <f ca="1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?IN_FOCUS</v>
      </c>
      <c r="H368" s="23" t="str">
        <f t="shared" ca="1" si="23"/>
        <v/>
      </c>
      <c r="I368" s="24" t="str">
        <f>IF(OR(E368="",E368="!!!",F368="NEW"),"",INDEX(B$2:B367,-1+SUMPRODUCT(MAX(ROW(E$2:E367)*(E368=E$2:E367)))))</f>
        <v>OBJ_2</v>
      </c>
      <c r="J368" s="24">
        <f ca="1">IF(OR(E368="",E368="!!!",F368="NEW"),"",COUNTBLANK(OFFSET(A$1,,,SUMPRODUCT(MAX(ROW(E$2:E368)*(E368=E$2:E368)))))-COUNTBLANK(OFFSET(A$1,,,SUMPRODUCT(MAX(ROW(E$1:E367)*(E2=E$1:E367))))))</f>
        <v>0</v>
      </c>
      <c r="K368" s="24" t="str">
        <f ca="1">IF(OR(E368="",E368="!!!",F368="NEW"),"",INDEX(J$1:J367,SUMPRODUCT(MAX(ROW(E$1:E367)*(E368=E$1:E367)))))</f>
        <v/>
      </c>
      <c r="L368" s="27" t="s">
        <v>371</v>
      </c>
    </row>
    <row r="369" spans="1:12" x14ac:dyDescent="0.3">
      <c r="A369" t="s">
        <v>370</v>
      </c>
      <c r="E369" s="20" t="str">
        <f t="shared" ref="E369:E382" si="24">IF(D369="?OLD","!!!","")</f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3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372</v>
      </c>
      <c r="E370" s="20" t="str">
        <f t="shared" si="24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3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373</v>
      </c>
      <c r="B371" s="26" t="s">
        <v>96</v>
      </c>
      <c r="C371" s="26" t="s">
        <v>105</v>
      </c>
      <c r="E371" s="20" t="str">
        <f t="shared" si="24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3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101</v>
      </c>
      <c r="E372" s="20" t="str">
        <f t="shared" si="24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3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374</v>
      </c>
      <c r="B373" s="26" t="s">
        <v>147</v>
      </c>
      <c r="C373" s="26" t="s">
        <v>105</v>
      </c>
      <c r="E373" s="20" t="str">
        <f t="shared" si="24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3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101</v>
      </c>
      <c r="E374" s="20" t="str">
        <f t="shared" si="24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3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375</v>
      </c>
      <c r="B375" s="26" t="s">
        <v>147</v>
      </c>
      <c r="C375" s="26" t="s">
        <v>105</v>
      </c>
      <c r="E375" s="20" t="str">
        <f t="shared" si="24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3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142</v>
      </c>
      <c r="E376" s="20" t="str">
        <f t="shared" si="24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3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376</v>
      </c>
      <c r="B377" s="26" t="s">
        <v>147</v>
      </c>
      <c r="C377" s="26" t="s">
        <v>105</v>
      </c>
      <c r="E377" s="20" t="str">
        <f t="shared" si="24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3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101</v>
      </c>
      <c r="E378" s="20" t="str">
        <f t="shared" si="24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3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377</v>
      </c>
      <c r="E379" s="20" t="str">
        <f t="shared" si="24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3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172</v>
      </c>
      <c r="E380" s="20" t="str">
        <f t="shared" si="24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3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136</v>
      </c>
      <c r="E381" s="20" t="str">
        <f t="shared" si="24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3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378</v>
      </c>
      <c r="E382" s="20" t="str">
        <f t="shared" si="24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3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379</v>
      </c>
      <c r="B383" s="26" t="s">
        <v>147</v>
      </c>
      <c r="C383" s="26" t="s">
        <v>74</v>
      </c>
      <c r="D383" s="26" t="s">
        <v>75</v>
      </c>
      <c r="E383" s="20"/>
      <c r="F383" s="21" t="s">
        <v>139</v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23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7"/>
    </row>
    <row r="384" spans="1:12" x14ac:dyDescent="0.3">
      <c r="A384" t="s">
        <v>324</v>
      </c>
      <c r="E384" s="20" t="str">
        <f>IF(D384="?OLD","!!!","")</f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23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250</v>
      </c>
      <c r="B385" s="26" t="s">
        <v>115</v>
      </c>
      <c r="C385" s="26" t="s">
        <v>280</v>
      </c>
      <c r="D385" s="26" t="s">
        <v>75</v>
      </c>
      <c r="E385" s="20" t="s">
        <v>251</v>
      </c>
      <c r="F385" s="21" t="str">
        <f>IF(OR(E385="",E385="!!!"),"",IF(NOT(ISNA(VLOOKUP(E385,E$1:E384,1,FALSE()))),"OLD",IF(AND(E385&lt;&gt;"",E385&lt;&gt;"!!!"),"NEW","")))</f>
        <v>OLD</v>
      </c>
      <c r="G385" s="22" t="str">
        <f ca="1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?IN_FOCUS</v>
      </c>
      <c r="H385" s="23" t="str">
        <f t="shared" ca="1" si="23"/>
        <v/>
      </c>
      <c r="I385" s="24" t="str">
        <f>IF(OR(E385="",E385="!!!",F385="NEW"),"",INDEX(B$2:B384,-1+SUMPRODUCT(MAX(ROW(E$2:E384)*(E385=E$2:E384)))))</f>
        <v>SBJ_2</v>
      </c>
      <c r="J385" s="24">
        <f ca="1">IF(OR(E385="",E385="!!!",F385="NEW"),"",COUNTBLANK(OFFSET(A$1,,,SUMPRODUCT(MAX(ROW(E$2:E385)*(E385=E$2:E385)))))-COUNTBLANK(OFFSET(A$1,,,SUMPRODUCT(MAX(ROW(E$1:E384)*(E2=E$1:E384))))))</f>
        <v>0</v>
      </c>
      <c r="K385" s="24">
        <f ca="1">IF(OR(E385="",E385="!!!",F385="NEW"),"",INDEX(J$1:J384,SUMPRODUCT(MAX(ROW(E$1:E384)*(E385=E$1:E384)))))</f>
        <v>0</v>
      </c>
      <c r="L385" s="25"/>
    </row>
    <row r="386" spans="1:12" x14ac:dyDescent="0.3">
      <c r="A386" t="s">
        <v>86</v>
      </c>
      <c r="E386" s="20" t="str">
        <f>IF(D386="?OLD","!!!","")</f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ref="H386:H417" ca="1" si="25">IF(J386&lt;&gt;1,"",IF(I386="SBJ","CB","?"))</f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370</v>
      </c>
      <c r="E387" s="20" t="str">
        <f>IF(D387="?OLD","!!!","")</f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25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365</v>
      </c>
      <c r="B388" s="26" t="s">
        <v>147</v>
      </c>
      <c r="C388" s="26" t="s">
        <v>280</v>
      </c>
      <c r="D388" s="26" t="s">
        <v>75</v>
      </c>
      <c r="E388" s="20" t="s">
        <v>366</v>
      </c>
      <c r="F388" s="21" t="str">
        <f>IF(OR(E388="",E388="!!!"),"",IF(NOT(ISNA(VLOOKUP(E388,E$1:E387,1,FALSE()))),"OLD",IF(AND(E388&lt;&gt;"",E388&lt;&gt;"!!!"),"NEW","")))</f>
        <v>OLD</v>
      </c>
      <c r="G388" s="22" t="str">
        <f ca="1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?IN_FOCUS</v>
      </c>
      <c r="H388" s="23" t="str">
        <f t="shared" ca="1" si="25"/>
        <v/>
      </c>
      <c r="I388" s="24" t="str">
        <f>IF(OR(E388="",E388="!!!",F388="NEW"),"",INDEX(B$2:B387,-1+SUMPRODUCT(MAX(ROW(E$2:E387)*(E388=E$2:E387)))))</f>
        <v>other_3</v>
      </c>
      <c r="J388" s="24">
        <f ca="1">IF(OR(E388="",E388="!!!",F388="NEW"),"",COUNTBLANK(OFFSET(A$1,,,SUMPRODUCT(MAX(ROW(E$2:E388)*(E388=E$2:E388)))))-COUNTBLANK(OFFSET(A$1,,,SUMPRODUCT(MAX(ROW(E$1:E387)*(E2=E$1:E387))))))</f>
        <v>0</v>
      </c>
      <c r="K388" s="24" t="str">
        <f ca="1">IF(OR(E388="",E388="!!!",F388="NEW"),"",INDEX(J$1:J387,SUMPRODUCT(MAX(ROW(E$1:E387)*(E388=E$1:E387)))))</f>
        <v/>
      </c>
      <c r="L388" s="25"/>
    </row>
    <row r="389" spans="1:12" x14ac:dyDescent="0.3">
      <c r="A389" t="s">
        <v>370</v>
      </c>
      <c r="E389" s="20" t="str">
        <f>IF(D389="?OLD","!!!","")</f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25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380</v>
      </c>
      <c r="E390" s="20" t="str">
        <f>IF(D390="?OLD","!!!","")</f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25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381</v>
      </c>
      <c r="B391" s="26" t="s">
        <v>154</v>
      </c>
      <c r="C391" s="26" t="s">
        <v>280</v>
      </c>
      <c r="D391" s="26" t="s">
        <v>75</v>
      </c>
      <c r="E391" s="20" t="s">
        <v>382</v>
      </c>
      <c r="F391" s="21" t="s">
        <v>185</v>
      </c>
      <c r="G391" s="22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23" t="str">
        <f t="shared" ca="1" si="25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101</v>
      </c>
      <c r="E392" s="20" t="str">
        <f t="shared" ref="E392:E400" si="26">IF(D392="?OLD","!!!","")</f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25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153</v>
      </c>
      <c r="B393" s="26" t="s">
        <v>147</v>
      </c>
      <c r="C393" s="26" t="s">
        <v>105</v>
      </c>
      <c r="E393" s="20" t="str">
        <f t="shared" si="26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25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140</v>
      </c>
      <c r="E394" s="20" t="str">
        <f t="shared" si="26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25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383</v>
      </c>
      <c r="E395" s="20" t="str">
        <f t="shared" si="26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25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16</v>
      </c>
      <c r="E396" s="20" t="str">
        <f t="shared" si="26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25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384</v>
      </c>
      <c r="B397" s="26" t="s">
        <v>115</v>
      </c>
      <c r="C397" s="26" t="s">
        <v>105</v>
      </c>
      <c r="E397" s="20" t="str">
        <f t="shared" si="26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25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142</v>
      </c>
      <c r="E398" s="20" t="str">
        <f t="shared" si="26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25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385</v>
      </c>
      <c r="B399" s="26" t="s">
        <v>303</v>
      </c>
      <c r="C399" s="26" t="s">
        <v>105</v>
      </c>
      <c r="E399" s="20" t="str">
        <f t="shared" si="26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25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386</v>
      </c>
      <c r="E400" s="20" t="str">
        <f t="shared" si="26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25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387</v>
      </c>
      <c r="B401" s="26" t="s">
        <v>147</v>
      </c>
      <c r="C401" s="26" t="s">
        <v>280</v>
      </c>
      <c r="D401" s="26" t="s">
        <v>75</v>
      </c>
      <c r="E401" s="20"/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25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7" t="s">
        <v>352</v>
      </c>
    </row>
    <row r="402" spans="1:12" x14ac:dyDescent="0.3">
      <c r="A402" t="s">
        <v>16</v>
      </c>
      <c r="E402" s="20" t="str">
        <f>IF(D402="?OLD","!!!","")</f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25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388</v>
      </c>
      <c r="E403" s="20" t="str">
        <f>IF(D403="?OLD","!!!","")</f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25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16</v>
      </c>
      <c r="E404" s="20" t="str">
        <f>IF(D404="?OLD","!!!","")</f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25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389</v>
      </c>
      <c r="E405" s="20" t="s">
        <v>390</v>
      </c>
      <c r="F405" s="21" t="str">
        <f>IF(OR(E405="",E405="!!!"),"",IF(NOT(ISNA(VLOOKUP(E405,E$1:E404,1,FALSE()))),"OLD",IF(AND(E405&lt;&gt;"",E405&lt;&gt;"!!!"),"NEW","")))</f>
        <v>NEW</v>
      </c>
      <c r="G405" s="22" t="str">
        <f ca="1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?REFERENTIAL</v>
      </c>
      <c r="H405" s="23" t="str">
        <f t="shared" ca="1" si="25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142</v>
      </c>
      <c r="E406" s="20" t="str">
        <f t="shared" ref="E406:E411" si="27">IF(D406="?OLD","!!!","")</f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25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391</v>
      </c>
      <c r="B407" s="26" t="s">
        <v>115</v>
      </c>
      <c r="C407" s="26" t="s">
        <v>105</v>
      </c>
      <c r="E407" s="20" t="str">
        <f t="shared" si="27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25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16</v>
      </c>
      <c r="E408" s="20" t="str">
        <f t="shared" si="27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25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142</v>
      </c>
      <c r="E409" s="20" t="str">
        <f t="shared" si="27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25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392</v>
      </c>
      <c r="B410" s="26" t="s">
        <v>303</v>
      </c>
      <c r="C410" s="26" t="s">
        <v>105</v>
      </c>
      <c r="E410" s="20" t="str">
        <f t="shared" si="27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25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86</v>
      </c>
      <c r="E411" s="20" t="str">
        <f t="shared" si="27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25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3" spans="1:12" x14ac:dyDescent="0.3">
      <c r="A413" t="s">
        <v>393</v>
      </c>
      <c r="E413" s="20" t="str">
        <f>IF(D413="?OLD","!!!","")</f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ca="1">IF(J413&lt;&gt;1,"",IF(I413="SBJ","CB","?"))</f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394</v>
      </c>
    </row>
    <row r="415" spans="1:12" x14ac:dyDescent="0.3">
      <c r="A415" t="s">
        <v>370</v>
      </c>
      <c r="E415" s="20" t="str">
        <f>IF(D415="?OLD","!!!","")</f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ref="H415:H478" ca="1" si="28">IF(J415&lt;&gt;1,"",IF(I415="SBJ","CB","?"))</f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146</v>
      </c>
      <c r="B416" s="26" t="s">
        <v>257</v>
      </c>
      <c r="C416" s="26" t="s">
        <v>105</v>
      </c>
      <c r="E416" s="20" t="s">
        <v>368</v>
      </c>
      <c r="F416" s="21" t="str">
        <f>IF(OR(E416="",E416="!!!"),"",IF(NOT(ISNA(VLOOKUP(E416,E$1:E415,1,FALSE()))),"OLD",IF(AND(E416&lt;&gt;"",E416&lt;&gt;"!!!"),"NEW","")))</f>
        <v>OLD</v>
      </c>
      <c r="G416" s="22" t="str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?IN_FOCUS</v>
      </c>
      <c r="H416" s="23" t="str">
        <f t="shared" ca="1" si="28"/>
        <v/>
      </c>
      <c r="I416" s="24" t="str">
        <f>IF(OR(E416="",E416="!!!",F416="NEW"),"",INDEX(B$2:B415,-1+SUMPRODUCT(MAX(ROW(E$2:E415)*(E416=E$2:E415)))))</f>
        <v>other_3</v>
      </c>
      <c r="J416" s="24">
        <f ca="1">IF(OR(E416="",E416="!!!",F416="NEW"),"",COUNTBLANK(OFFSET(A$1,,,SUMPRODUCT(MAX(ROW(E$2:E416)*(E416=E$2:E416)))))-COUNTBLANK(OFFSET(A$1,,,SUMPRODUCT(MAX(ROW(E$1:E415)*(E2=E$1:E415))))))</f>
        <v>0</v>
      </c>
      <c r="K416" s="24" t="str">
        <f ca="1">IF(OR(E416="",E416="!!!",F416="NEW"),"",INDEX(J$1:J415,SUMPRODUCT(MAX(ROW(E$1:E415)*(E416=E$1:E415)))))</f>
        <v/>
      </c>
      <c r="L416" s="25"/>
    </row>
    <row r="417" spans="1:12" x14ac:dyDescent="0.3">
      <c r="A417" t="s">
        <v>370</v>
      </c>
      <c r="E417" s="20" t="str">
        <f>IF(D417="?OLD","!!!","")</f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28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395</v>
      </c>
      <c r="E418" s="20" t="str">
        <f>IF(D418="?OLD","!!!","")</f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28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136</v>
      </c>
      <c r="E419" s="20" t="str">
        <f>IF(D419="?OLD","!!!","")</f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28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396</v>
      </c>
      <c r="B420" s="26" t="s">
        <v>294</v>
      </c>
      <c r="C420" s="26" t="s">
        <v>74</v>
      </c>
      <c r="D420" s="26" t="s">
        <v>75</v>
      </c>
      <c r="E420" s="20"/>
      <c r="F420" s="21" t="s">
        <v>139</v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28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397</v>
      </c>
      <c r="E421" s="20" t="str">
        <f>IF(D421="?OLD","!!!","")</f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28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160</v>
      </c>
      <c r="E422" s="20" t="str">
        <f>IF(D422="?OLD","!!!","")</f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28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334</v>
      </c>
      <c r="B423" s="26" t="s">
        <v>303</v>
      </c>
      <c r="C423" s="26" t="s">
        <v>74</v>
      </c>
      <c r="D423" s="26" t="s">
        <v>75</v>
      </c>
      <c r="E423" s="20" t="s">
        <v>398</v>
      </c>
      <c r="F423" s="21" t="s">
        <v>107</v>
      </c>
      <c r="G423" s="22" t="e">
        <f ca="1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#VALUE!</v>
      </c>
      <c r="H423" s="23" t="str">
        <f t="shared" ca="1" si="28"/>
        <v/>
      </c>
      <c r="I423" s="24" t="e">
        <f>IF(OR(E423="",E423="!!!",F423="NEW"),"",INDEX(B$2:B422,-1+SUMPRODUCT(MAX(ROW(E$2:E422)*(E423=E$2:E422)))))</f>
        <v>#VALUE!</v>
      </c>
      <c r="J423" s="24">
        <f ca="1">IF(OR(E423="",E423="!!!",F423="NEW"),"",COUNTBLANK(OFFSET(A$1,,,SUMPRODUCT(MAX(ROW(E$2:E423)*(E423=E$2:E423)))))-COUNTBLANK(OFFSET(A$1,,,SUMPRODUCT(MAX(ROW(E$1:E422)*(E2=E$1:E422))))))</f>
        <v>0</v>
      </c>
      <c r="K423" s="24" t="e">
        <f>IF(OR(E423="",E423="!!!",F423="NEW"),"",INDEX(J$1:J422,SUMPRODUCT(MAX(ROW(E$1:E422)*(E423=E$1:E422)))))</f>
        <v>#VALUE!</v>
      </c>
      <c r="L423" s="27" t="s">
        <v>196</v>
      </c>
    </row>
    <row r="424" spans="1:12" x14ac:dyDescent="0.3">
      <c r="A424" t="s">
        <v>399</v>
      </c>
      <c r="E424" s="20" t="str">
        <f>IF(D424="?OLD","!!!","")</f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28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187</v>
      </c>
      <c r="E425" s="20" t="str">
        <f>IF(D425="?OLD","!!!","")</f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28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400</v>
      </c>
      <c r="B426" s="26" t="s">
        <v>303</v>
      </c>
      <c r="C426" s="26" t="s">
        <v>74</v>
      </c>
      <c r="D426" s="26" t="s">
        <v>75</v>
      </c>
      <c r="E426" s="20" t="s">
        <v>401</v>
      </c>
      <c r="F426" s="21" t="str">
        <f>IF(OR(E426="",E426="!!!"),"",IF(NOT(ISNA(VLOOKUP(E426,E$1:E425,1,FALSE()))),"OLD",IF(AND(E426&lt;&gt;"",E426&lt;&gt;"!!!"),"NEW","")))</f>
        <v>NEW</v>
      </c>
      <c r="G426" s="22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?REFERENTIAL</v>
      </c>
      <c r="H426" s="23" t="str">
        <f t="shared" ca="1" si="28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142</v>
      </c>
      <c r="E427" s="20" t="str">
        <f>IF(D427="?OLD","!!!","")</f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28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103</v>
      </c>
      <c r="B428" s="26" t="s">
        <v>402</v>
      </c>
      <c r="C428" s="26" t="s">
        <v>105</v>
      </c>
      <c r="E428" s="20"/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28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86</v>
      </c>
      <c r="E429" s="20" t="str">
        <f>IF(D429="?OLD","!!!","")</f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28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192</v>
      </c>
      <c r="B430" s="26" t="s">
        <v>203</v>
      </c>
      <c r="C430" s="26" t="s">
        <v>88</v>
      </c>
      <c r="D430" s="26" t="s">
        <v>75</v>
      </c>
      <c r="E430" s="20" t="s">
        <v>97</v>
      </c>
      <c r="F430" s="21" t="str">
        <f>IF(OR(E430="",E430="!!!"),"",IF(NOT(ISNA(VLOOKUP(E430,E$1:E429,1,FALSE()))),"OLD",IF(AND(E430&lt;&gt;"",E430&lt;&gt;"!!!"),"NEW","")))</f>
        <v>OLD</v>
      </c>
      <c r="G430" s="22" t="str">
        <f ca="1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?IN_FOCUS</v>
      </c>
      <c r="H430" s="23" t="str">
        <f t="shared" ca="1" si="28"/>
        <v/>
      </c>
      <c r="I430" s="24" t="str">
        <f>IF(OR(E430="",E430="!!!",F430="NEW"),"",INDEX(B$2:B429,-1+SUMPRODUCT(MAX(ROW(E$2:E429)*(E430=E$2:E429)))))</f>
        <v>SBJ_2</v>
      </c>
      <c r="J430" s="24">
        <f ca="1">IF(OR(E430="",E430="!!!",F430="NEW"),"",COUNTBLANK(OFFSET(A$1,,,SUMPRODUCT(MAX(ROW(E$2:E430)*(E430=E$2:E430)))))-COUNTBLANK(OFFSET(A$1,,,SUMPRODUCT(MAX(ROW(E$1:E429)*(E2=E$1:E429))))))</f>
        <v>0</v>
      </c>
      <c r="K430" s="24">
        <f ca="1">IF(OR(E430="",E430="!!!",F430="NEW"),"",INDEX(J$1:J429,SUMPRODUCT(MAX(ROW(E$1:E429)*(E430=E$1:E429)))))</f>
        <v>0</v>
      </c>
      <c r="L430" s="25"/>
    </row>
    <row r="431" spans="1:12" x14ac:dyDescent="0.3">
      <c r="A431" t="s">
        <v>403</v>
      </c>
      <c r="E431" s="20" t="str">
        <f>IF(D431="?OLD","!!!","")</f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28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404</v>
      </c>
      <c r="E432" s="20" t="str">
        <f>IF(D432="?OLD","!!!","")</f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28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405</v>
      </c>
      <c r="E433" s="20" t="str">
        <f>IF(D433="?OLD","!!!","")</f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28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101</v>
      </c>
      <c r="E434" s="20" t="str">
        <f>IF(D434="?OLD","!!!","")</f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28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123</v>
      </c>
      <c r="B435" s="26" t="s">
        <v>207</v>
      </c>
      <c r="C435" s="26" t="s">
        <v>88</v>
      </c>
      <c r="D435" s="26" t="s">
        <v>75</v>
      </c>
      <c r="E435" s="20"/>
      <c r="F435" s="21" t="s">
        <v>124</v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28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129</v>
      </c>
      <c r="E436" s="20" t="str">
        <f>IF(D436="?OLD","!!!","")</f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28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125</v>
      </c>
      <c r="E437" s="20" t="str">
        <f>IF(D437="?OLD","!!!","")</f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28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136</v>
      </c>
      <c r="E438" s="20" t="str">
        <f>IF(D438="?OLD","!!!","")</f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28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92</v>
      </c>
      <c r="E439" s="20" t="str">
        <f>IF(D439="?OLD","!!!","")</f>
        <v/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28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137</v>
      </c>
      <c r="E440" s="20" t="str">
        <f>IF(D440="?OLD","!!!","")</f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28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153</v>
      </c>
      <c r="B441" s="26" t="s">
        <v>402</v>
      </c>
      <c r="C441" s="26" t="s">
        <v>74</v>
      </c>
      <c r="D441" s="26" t="s">
        <v>75</v>
      </c>
      <c r="E441" s="20" t="s">
        <v>271</v>
      </c>
      <c r="F441" s="21" t="str">
        <f>IF(OR(E441="",E441="!!!"),"",IF(NOT(ISNA(VLOOKUP(E441,E$1:E440,1,FALSE()))),"OLD",IF(AND(E441&lt;&gt;"",E441&lt;&gt;"!!!"),"NEW","")))</f>
        <v>OLD</v>
      </c>
      <c r="G441" s="22" t="str">
        <f ca="1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?IN_FOCUS</v>
      </c>
      <c r="H441" s="23" t="str">
        <f t="shared" ca="1" si="28"/>
        <v/>
      </c>
      <c r="I441" s="24" t="str">
        <f>IF(OR(E441="",E441="!!!",F441="NEW"),"",INDEX(B$2:B440,-1+SUMPRODUCT(MAX(ROW(E$2:E440)*(E441=E$2:E440)))))</f>
        <v>SBJ_2</v>
      </c>
      <c r="J441" s="24">
        <f ca="1">IF(OR(E441="",E441="!!!",F441="NEW"),"",COUNTBLANK(OFFSET(A$1,,,SUMPRODUCT(MAX(ROW(E$2:E441)*(E441=E$2:E441)))))-COUNTBLANK(OFFSET(A$1,,,SUMPRODUCT(MAX(ROW(E$1:E440)*(E2=E$1:E440))))))</f>
        <v>0</v>
      </c>
      <c r="K441" s="24">
        <f ca="1">IF(OR(E441="",E441="!!!",F441="NEW"),"",INDEX(J$1:J440,SUMPRODUCT(MAX(ROW(E$1:E440)*(E441=E$1:E440)))))</f>
        <v>0</v>
      </c>
      <c r="L441" s="25"/>
    </row>
    <row r="442" spans="1:12" x14ac:dyDescent="0.3">
      <c r="A442" t="s">
        <v>86</v>
      </c>
      <c r="E442" s="20" t="str">
        <f>IF(D442="?OLD","!!!","")</f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28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318</v>
      </c>
      <c r="B443" s="26" t="s">
        <v>203</v>
      </c>
      <c r="C443" s="26" t="s">
        <v>280</v>
      </c>
      <c r="D443" s="26" t="s">
        <v>75</v>
      </c>
      <c r="E443" s="20"/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28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7" t="s">
        <v>134</v>
      </c>
    </row>
    <row r="444" spans="1:12" x14ac:dyDescent="0.3">
      <c r="A444" t="s">
        <v>359</v>
      </c>
      <c r="E444" s="20" t="s">
        <v>360</v>
      </c>
      <c r="F444" s="21" t="str">
        <f>IF(OR(E444="",E444="!!!"),"",IF(NOT(ISNA(VLOOKUP(E444,E$1:E443,1,FALSE()))),"OLD",IF(AND(E444&lt;&gt;"",E444&lt;&gt;"!!!"),"NEW","")))</f>
        <v>OLD</v>
      </c>
      <c r="G444" s="22" t="str">
        <f ca="1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?IN_FOCUS</v>
      </c>
      <c r="H444" s="23" t="str">
        <f t="shared" ca="1" si="28"/>
        <v/>
      </c>
      <c r="I444" s="24" t="str">
        <f>IF(OR(E444="",E444="!!!",F444="NEW"),"",INDEX(B$2:B443,-1+SUMPRODUCT(MAX(ROW(E$2:E443)*(E444=E$2:E443)))))</f>
        <v>other_5</v>
      </c>
      <c r="J444" s="24">
        <f ca="1">IF(OR(E444="",E444="!!!",F444="NEW"),"",COUNTBLANK(OFFSET(A$1,,,SUMPRODUCT(MAX(ROW(E$2:E444)*(E444=E$2:E444)))))-COUNTBLANK(OFFSET(A$1,,,SUMPRODUCT(MAX(ROW(E$1:E443)*(E2=E$1:E443))))))</f>
        <v>0</v>
      </c>
      <c r="K444" s="24" t="str">
        <f ca="1">IF(OR(E444="",E444="!!!",F444="NEW"),"",INDEX(J$1:J443,SUMPRODUCT(MAX(ROW(E$1:E443)*(E444=E$1:E443)))))</f>
        <v/>
      </c>
      <c r="L444" s="27" t="s">
        <v>406</v>
      </c>
    </row>
    <row r="445" spans="1:12" x14ac:dyDescent="0.3">
      <c r="A445" t="s">
        <v>78</v>
      </c>
      <c r="E445" s="20" t="str">
        <f>IF(D445="?OLD","!!!","")</f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28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160</v>
      </c>
      <c r="E446" s="20" t="str">
        <f>IF(D446="?OLD","!!!","")</f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28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407</v>
      </c>
      <c r="B447" s="26" t="s">
        <v>294</v>
      </c>
      <c r="C447" s="26" t="s">
        <v>74</v>
      </c>
      <c r="D447" s="26" t="s">
        <v>75</v>
      </c>
      <c r="E447" s="20"/>
      <c r="F447" s="21" t="s">
        <v>139</v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28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258</v>
      </c>
      <c r="E448" s="20" t="str">
        <f>IF(D448="?OLD","!!!","")</f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28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126</v>
      </c>
      <c r="B449" s="26" t="s">
        <v>303</v>
      </c>
      <c r="C449" s="26" t="s">
        <v>105</v>
      </c>
      <c r="E449" s="20"/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28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101</v>
      </c>
      <c r="E450" s="20" t="str">
        <f>IF(D450="?OLD","!!!","")</f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28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142</v>
      </c>
      <c r="E451" s="20" t="str">
        <f>IF(D451="?OLD","!!!","")</f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28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194</v>
      </c>
      <c r="E452" s="20" t="str">
        <f>IF(D452="?OLD","!!!","")</f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28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195</v>
      </c>
      <c r="B453" s="26" t="s">
        <v>408</v>
      </c>
      <c r="C453" s="26" t="s">
        <v>105</v>
      </c>
      <c r="E453" s="20" t="s">
        <v>409</v>
      </c>
      <c r="F453" s="21" t="str">
        <f>IF(OR(E453="",E453="!!!"),"",IF(NOT(ISNA(VLOOKUP(E453,E$1:E452,1,FALSE()))),"OLD",IF(AND(E453&lt;&gt;"",E453&lt;&gt;"!!!"),"NEW","")))</f>
        <v>NEW</v>
      </c>
      <c r="G453" s="22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?REFERENTIAL</v>
      </c>
      <c r="H453" s="23" t="str">
        <f t="shared" ca="1" si="28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7" t="s">
        <v>332</v>
      </c>
    </row>
    <row r="454" spans="1:12" x14ac:dyDescent="0.3">
      <c r="A454" t="s">
        <v>410</v>
      </c>
      <c r="E454" s="20" t="str">
        <f>IF(D454="?OLD","!!!","")</f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28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359</v>
      </c>
      <c r="B455" s="26" t="s">
        <v>411</v>
      </c>
      <c r="C455" s="26" t="s">
        <v>280</v>
      </c>
      <c r="D455" s="26" t="s">
        <v>75</v>
      </c>
      <c r="E455" s="20" t="s">
        <v>360</v>
      </c>
      <c r="F455" s="21" t="str">
        <f>IF(OR(E455="",E455="!!!"),"",IF(NOT(ISNA(VLOOKUP(E455,E$1:E454,1,FALSE()))),"OLD",IF(AND(E455&lt;&gt;"",E455&lt;&gt;"!!!"),"NEW","")))</f>
        <v>OLD</v>
      </c>
      <c r="G455" s="22" t="str">
        <f ca="1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?IN_FOCUS</v>
      </c>
      <c r="H455" s="23" t="str">
        <f t="shared" ca="1" si="28"/>
        <v/>
      </c>
      <c r="I455" s="24">
        <f>IF(OR(E455="",E455="!!!",F455="NEW"),"",INDEX(B$2:B454,-1+SUMPRODUCT(MAX(ROW(E$2:E454)*(E455=E$2:E454)))))</f>
        <v>0</v>
      </c>
      <c r="J455" s="24">
        <f ca="1">IF(OR(E455="",E455="!!!",F455="NEW"),"",COUNTBLANK(OFFSET(A$1,,,SUMPRODUCT(MAX(ROW(E$2:E455)*(E455=E$2:E455)))))-COUNTBLANK(OFFSET(A$1,,,SUMPRODUCT(MAX(ROW(E$1:E454)*(E2=E$1:E454))))))</f>
        <v>0</v>
      </c>
      <c r="K455" s="24">
        <f ca="1">IF(OR(E455="",E455="!!!",F455="NEW"),"",INDEX(J$1:J454,SUMPRODUCT(MAX(ROW(E$1:E454)*(E455=E$1:E454)))))</f>
        <v>0</v>
      </c>
      <c r="L455" s="25"/>
    </row>
    <row r="456" spans="1:12" x14ac:dyDescent="0.3">
      <c r="A456" t="s">
        <v>16</v>
      </c>
      <c r="E456" s="20" t="str">
        <f>IF(D456="?OLD","!!!","")</f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28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412</v>
      </c>
      <c r="E457" s="20" t="str">
        <f>IF(D457="?OLD","!!!","")</f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28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142</v>
      </c>
      <c r="E458" s="20" t="str">
        <f>IF(D458="?OLD","!!!","")</f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28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413</v>
      </c>
      <c r="E459" s="20" t="str">
        <f>IF(D459="?OLD","!!!","")</f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28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412</v>
      </c>
      <c r="B460" s="26" t="s">
        <v>414</v>
      </c>
      <c r="C460" s="26" t="s">
        <v>105</v>
      </c>
      <c r="E460" s="20"/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28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182</v>
      </c>
      <c r="E461" s="20" t="str">
        <f>IF(D461="?OLD","!!!","")</f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28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80</v>
      </c>
      <c r="E462" s="20" t="str">
        <f>IF(D462="?OLD","!!!","")</f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28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415</v>
      </c>
      <c r="B463" s="26" t="s">
        <v>416</v>
      </c>
      <c r="C463" s="26" t="s">
        <v>74</v>
      </c>
      <c r="D463" s="26" t="s">
        <v>75</v>
      </c>
      <c r="E463" s="20" t="s">
        <v>417</v>
      </c>
      <c r="F463" s="21" t="str">
        <f>IF(OR(E463="",E463="!!!"),"",IF(NOT(ISNA(VLOOKUP(E463,E$1:E462,1,FALSE()))),"OLD",IF(AND(E463&lt;&gt;"",E463&lt;&gt;"!!!"),"NEW","")))</f>
        <v>NEW</v>
      </c>
      <c r="G463" s="22" t="str">
        <f ca="1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?REFERENTIAL</v>
      </c>
      <c r="H463" s="23" t="str">
        <f t="shared" ca="1" si="28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86</v>
      </c>
      <c r="E464" s="20" t="str">
        <f>IF(D464="?OLD","!!!","")</f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28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418</v>
      </c>
      <c r="E465" s="20" t="s">
        <v>409</v>
      </c>
      <c r="F465" s="21" t="str">
        <f>IF(OR(E465="",E465="!!!"),"",IF(NOT(ISNA(VLOOKUP(E465,E$1:E464,1,FALSE()))),"OLD",IF(AND(E465&lt;&gt;"",E465&lt;&gt;"!!!"),"NEW","")))</f>
        <v>OLD</v>
      </c>
      <c r="G465" s="22" t="str">
        <f ca="1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23" t="str">
        <f t="shared" ca="1" si="28"/>
        <v/>
      </c>
      <c r="I465" s="24" t="str">
        <f>IF(OR(E465="",E465="!!!",F465="NEW"),"",INDEX(B$2:B464,-1+SUMPRODUCT(MAX(ROW(E$2:E464)*(E465=E$2:E464)))))</f>
        <v>OBJ_7</v>
      </c>
      <c r="J465" s="24">
        <f ca="1">IF(OR(E465="",E465="!!!",F465="NEW"),"",COUNTBLANK(OFFSET(A$1,,,SUMPRODUCT(MAX(ROW(E$2:E465)*(E465=E$2:E465)))))-COUNTBLANK(OFFSET(A$1,,,SUMPRODUCT(MAX(ROW(E$1:E464)*(E2=E$1:E464))))))</f>
        <v>0</v>
      </c>
      <c r="K465" s="24" t="str">
        <f ca="1">IF(OR(E465="",E465="!!!",F465="NEW"),"",INDEX(J$1:J464,SUMPRODUCT(MAX(ROW(E$1:E464)*(E465=E$1:E464)))))</f>
        <v/>
      </c>
      <c r="L465" s="25"/>
    </row>
    <row r="466" spans="1:12" x14ac:dyDescent="0.3">
      <c r="A466" t="s">
        <v>216</v>
      </c>
      <c r="E466" s="20" t="str">
        <f t="shared" ref="E466:E477" si="29">IF(D466="?OLD","!!!","")</f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28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162</v>
      </c>
      <c r="E467" s="20" t="str">
        <f t="shared" si="29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28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419</v>
      </c>
      <c r="B468" s="26" t="s">
        <v>203</v>
      </c>
      <c r="C468" s="26" t="s">
        <v>105</v>
      </c>
      <c r="E468" s="20" t="str">
        <f t="shared" si="29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28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399</v>
      </c>
      <c r="E469" s="20" t="str">
        <f t="shared" si="29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28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420</v>
      </c>
      <c r="B470" s="26" t="s">
        <v>303</v>
      </c>
      <c r="C470" s="26" t="s">
        <v>105</v>
      </c>
      <c r="E470" s="20" t="str">
        <f t="shared" si="29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28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324</v>
      </c>
      <c r="E471" s="20" t="str">
        <f t="shared" si="29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28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421</v>
      </c>
      <c r="B472" s="26" t="s">
        <v>402</v>
      </c>
      <c r="C472" s="26" t="s">
        <v>105</v>
      </c>
      <c r="E472" s="20" t="str">
        <f t="shared" si="29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28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236</v>
      </c>
      <c r="E473" s="20" t="str">
        <f t="shared" si="29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28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422</v>
      </c>
      <c r="B474" s="26" t="s">
        <v>402</v>
      </c>
      <c r="C474" s="26" t="s">
        <v>105</v>
      </c>
      <c r="E474" s="20" t="str">
        <f t="shared" si="29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28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142</v>
      </c>
      <c r="E475" s="20" t="str">
        <f t="shared" si="29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28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236</v>
      </c>
      <c r="E476" s="20" t="str">
        <f t="shared" si="29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28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80</v>
      </c>
      <c r="E477" s="20" t="str">
        <f t="shared" si="29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28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423</v>
      </c>
      <c r="B478" s="26" t="s">
        <v>416</v>
      </c>
      <c r="C478" s="26" t="s">
        <v>74</v>
      </c>
      <c r="D478" s="26" t="s">
        <v>75</v>
      </c>
      <c r="E478" s="20" t="s">
        <v>234</v>
      </c>
      <c r="F478" s="21" t="str">
        <f>IF(OR(E478="",E478="!!!"),"",IF(NOT(ISNA(VLOOKUP(E478,E$1:E477,1,FALSE()))),"OLD",IF(AND(E478&lt;&gt;"",E478&lt;&gt;"!!!"),"NEW","")))</f>
        <v>OLD</v>
      </c>
      <c r="G478" s="22" t="str">
        <f ca="1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?IN_FOCUS</v>
      </c>
      <c r="H478" s="23" t="str">
        <f t="shared" ca="1" si="28"/>
        <v/>
      </c>
      <c r="I478" s="24" t="str">
        <f>IF(OR(E478="",E478="!!!",F478="NEW"),"",INDEX(B$2:B477,-1+SUMPRODUCT(MAX(ROW(E$2:E477)*(E478=E$2:E477)))))</f>
        <v>other_2</v>
      </c>
      <c r="J478" s="24">
        <f ca="1">IF(OR(E478="",E478="!!!",F478="NEW"),"",COUNTBLANK(OFFSET(A$1,,,SUMPRODUCT(MAX(ROW(E$2:E478)*(E478=E$2:E478)))))-COUNTBLANK(OFFSET(A$1,,,SUMPRODUCT(MAX(ROW(E$1:E477)*(E2=E$1:E477))))))</f>
        <v>0</v>
      </c>
      <c r="K478" s="24" t="str">
        <f ca="1">IF(OR(E478="",E478="!!!",F478="NEW"),"",INDEX(J$1:J477,SUMPRODUCT(MAX(ROW(E$1:E477)*(E478=E$1:E477)))))</f>
        <v/>
      </c>
      <c r="L478" s="27" t="s">
        <v>424</v>
      </c>
    </row>
    <row r="479" spans="1:12" x14ac:dyDescent="0.3">
      <c r="A479" t="s">
        <v>425</v>
      </c>
      <c r="E479" s="20" t="str">
        <f>IF(D479="?OLD","!!!","")</f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ref="H479:H542" ca="1" si="30">IF(J479&lt;&gt;1,"",IF(I479="SBJ","CB","?"))</f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142</v>
      </c>
      <c r="E480" s="20" t="str">
        <f>IF(D480="?OLD","!!!","")</f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0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426</v>
      </c>
      <c r="B481" s="26" t="s">
        <v>402</v>
      </c>
      <c r="C481" s="26" t="s">
        <v>105</v>
      </c>
      <c r="E481" s="20" t="s">
        <v>427</v>
      </c>
      <c r="F481" s="21" t="str">
        <f>IF(OR(E481="",E481="!!!"),"",IF(NOT(ISNA(VLOOKUP(E481,E$1:E480,1,FALSE()))),"OLD",IF(AND(E481&lt;&gt;"",E481&lt;&gt;"!!!"),"NEW","")))</f>
        <v>NEW</v>
      </c>
      <c r="G481" s="22" t="str">
        <f ca="1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?REFERENTIAL</v>
      </c>
      <c r="H481" s="23" t="str">
        <f t="shared" ca="1" si="30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7" t="s">
        <v>332</v>
      </c>
    </row>
    <row r="482" spans="1:12" x14ac:dyDescent="0.3">
      <c r="A482" t="s">
        <v>258</v>
      </c>
      <c r="E482" s="20" t="str">
        <f>IF(D482="?OLD","!!!","")</f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30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136</v>
      </c>
      <c r="E483" s="20" t="str">
        <f>IF(D483="?OLD","!!!","")</f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30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428</v>
      </c>
      <c r="B484" s="26" t="s">
        <v>303</v>
      </c>
      <c r="C484" s="26" t="s">
        <v>74</v>
      </c>
      <c r="D484" s="26" t="s">
        <v>75</v>
      </c>
      <c r="E484" s="20" t="s">
        <v>429</v>
      </c>
      <c r="F484" s="21" t="str">
        <f>IF(OR(E484="",E484="!!!"),"",IF(NOT(ISNA(VLOOKUP(E484,E$1:E483,1,FALSE()))),"OLD",IF(AND(E484&lt;&gt;"",E484&lt;&gt;"!!!"),"NEW","")))</f>
        <v>NEW</v>
      </c>
      <c r="G484" s="22" t="str">
        <f ca="1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?REFERENTIAL</v>
      </c>
      <c r="H484" s="23" t="str">
        <f t="shared" ca="1" si="30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430</v>
      </c>
      <c r="E485" s="20" t="str">
        <f>IF(D485="?OLD","!!!","")</f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30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244</v>
      </c>
      <c r="E486" s="20" t="str">
        <f>IF(D486="?OLD","!!!","")</f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0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101</v>
      </c>
      <c r="E487" s="20" t="str">
        <f>IF(D487="?OLD","!!!","")</f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0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136</v>
      </c>
      <c r="B488" s="26" t="s">
        <v>207</v>
      </c>
      <c r="C488" s="26" t="s">
        <v>208</v>
      </c>
      <c r="D488" s="26" t="s">
        <v>75</v>
      </c>
      <c r="E488" s="20"/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30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7" t="s">
        <v>431</v>
      </c>
    </row>
    <row r="489" spans="1:12" x14ac:dyDescent="0.3">
      <c r="A489" t="s">
        <v>123</v>
      </c>
      <c r="B489" s="26" t="s">
        <v>213</v>
      </c>
      <c r="C489" s="26" t="s">
        <v>88</v>
      </c>
      <c r="D489" s="26" t="s">
        <v>75</v>
      </c>
      <c r="E489" s="20" t="s">
        <v>427</v>
      </c>
      <c r="F489" s="21" t="str">
        <f>IF(OR(E489="",E489="!!!"),"",IF(NOT(ISNA(VLOOKUP(E489,E$1:E488,1,FALSE()))),"OLD",IF(AND(E489&lt;&gt;"",E489&lt;&gt;"!!!"),"NEW","")))</f>
        <v>OLD</v>
      </c>
      <c r="G489" s="22" t="str">
        <f ca="1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3" t="str">
        <f t="shared" ca="1" si="30"/>
        <v/>
      </c>
      <c r="I489" s="24" t="str">
        <f>IF(OR(E489="",E489="!!!",F489="NEW"),"",INDEX(B$2:B488,-1+SUMPRODUCT(MAX(ROW(E$2:E488)*(E489=E$2:E488)))))</f>
        <v>other_6</v>
      </c>
      <c r="J489" s="24">
        <f ca="1">IF(OR(E489="",E489="!!!",F489="NEW"),"",COUNTBLANK(OFFSET(A$1,,,SUMPRODUCT(MAX(ROW(E$2:E489)*(E489=E$2:E489)))))-COUNTBLANK(OFFSET(A$1,,,SUMPRODUCT(MAX(ROW(E$1:E488)*(E2=E$1:E488))))))</f>
        <v>0</v>
      </c>
      <c r="K489" s="24" t="str">
        <f ca="1">IF(OR(E489="",E489="!!!",F489="NEW"),"",INDEX(J$1:J488,SUMPRODUCT(MAX(ROW(E$1:E488)*(E489=E$1:E488)))))</f>
        <v/>
      </c>
      <c r="L489" s="25"/>
    </row>
    <row r="490" spans="1:12" x14ac:dyDescent="0.3">
      <c r="A490" t="s">
        <v>258</v>
      </c>
      <c r="E490" s="20" t="str">
        <f t="shared" ref="E490:E498" si="31">IF(D490="?OLD","!!!","")</f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30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432</v>
      </c>
      <c r="E491" s="20" t="str">
        <f t="shared" si="31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30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142</v>
      </c>
      <c r="E492" s="20" t="str">
        <f t="shared" si="31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30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433</v>
      </c>
      <c r="E493" s="20" t="str">
        <f t="shared" si="31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30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434</v>
      </c>
      <c r="B494" s="26" t="s">
        <v>402</v>
      </c>
      <c r="C494" s="26" t="s">
        <v>105</v>
      </c>
      <c r="E494" s="20" t="str">
        <f t="shared" si="31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30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435</v>
      </c>
      <c r="E495" s="20" t="str">
        <f t="shared" si="31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30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86</v>
      </c>
      <c r="E496" s="20" t="str">
        <f t="shared" si="31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30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436</v>
      </c>
      <c r="E497" s="20" t="str">
        <f t="shared" si="31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30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437</v>
      </c>
      <c r="E498" s="20" t="str">
        <f t="shared" si="31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30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7"/>
    </row>
    <row r="499" spans="1:12" x14ac:dyDescent="0.3">
      <c r="A499" t="s">
        <v>126</v>
      </c>
      <c r="B499" s="26" t="s">
        <v>207</v>
      </c>
      <c r="C499" s="26" t="s">
        <v>105</v>
      </c>
      <c r="E499" s="20" t="s">
        <v>127</v>
      </c>
      <c r="F499" s="21" t="str">
        <f>IF(OR(E499="",E499="!!!"),"",IF(NOT(ISNA(VLOOKUP(E499,E$1:E498,1,FALSE()))),"OLD",IF(AND(E499&lt;&gt;"",E499&lt;&gt;"!!!"),"NEW","")))</f>
        <v>OLD</v>
      </c>
      <c r="G499" s="22" t="str">
        <f ca="1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?IN_FOCUS</v>
      </c>
      <c r="H499" s="23" t="str">
        <f t="shared" ca="1" si="30"/>
        <v/>
      </c>
      <c r="I499" s="24" t="str">
        <f>IF(OR(E499="",E499="!!!",F499="NEW"),"",INDEX(B$2:B498,-1+SUMPRODUCT(MAX(ROW(E$2:E498)*(E499=E$2:E498)))))</f>
        <v>other_2</v>
      </c>
      <c r="J499" s="24">
        <f ca="1">IF(OR(E499="",E499="!!!",F499="NEW"),"",COUNTBLANK(OFFSET(A$1,,,SUMPRODUCT(MAX(ROW(E$2:E499)*(E499=E$2:E499)))))-COUNTBLANK(OFFSET(A$1,,,SUMPRODUCT(MAX(ROW(E$1:E498)*(E2=E$1:E498))))))</f>
        <v>0</v>
      </c>
      <c r="K499" s="24">
        <f ca="1">IF(OR(E499="",E499="!!!",F499="NEW"),"",INDEX(J$1:J498,SUMPRODUCT(MAX(ROW(E$1:E498)*(E499=E$1:E498)))))</f>
        <v>0</v>
      </c>
      <c r="L499" s="25" t="s">
        <v>332</v>
      </c>
    </row>
    <row r="500" spans="1:12" x14ac:dyDescent="0.3">
      <c r="A500" t="s">
        <v>325</v>
      </c>
      <c r="E500" s="20"/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30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333</v>
      </c>
      <c r="E501" s="20" t="str">
        <f>IF(D501="?OLD","!!!","")</f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30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438</v>
      </c>
      <c r="B502" s="26" t="s">
        <v>203</v>
      </c>
      <c r="C502" s="26" t="s">
        <v>335</v>
      </c>
      <c r="E502" s="20"/>
      <c r="F502" s="21"/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30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78</v>
      </c>
      <c r="E503" s="20" t="str">
        <f>IF(D503="?OLD","!!!","")</f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30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101</v>
      </c>
      <c r="E504" s="20" t="str">
        <f>IF(D504="?OLD","!!!","")</f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30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142</v>
      </c>
      <c r="E505" s="20" t="str">
        <f>IF(D505="?OLD","!!!","")</f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30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123</v>
      </c>
      <c r="E506" s="20" t="s">
        <v>127</v>
      </c>
      <c r="F506" s="21" t="str">
        <f>IF(OR(E506="",E506="!!!"),"",IF(NOT(ISNA(VLOOKUP(E506,E$1:E505,1,FALSE()))),"OLD",IF(AND(E506&lt;&gt;"",E506&lt;&gt;"!!!"),"NEW","")))</f>
        <v>OLD</v>
      </c>
      <c r="G506" s="22" t="str">
        <f ca="1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?IN_FOCUS</v>
      </c>
      <c r="H506" s="23" t="str">
        <f t="shared" ca="1" si="30"/>
        <v/>
      </c>
      <c r="I506" s="24" t="str">
        <f>IF(OR(E506="",E506="!!!",F506="NEW"),"",INDEX(B$2:B505,-1+SUMPRODUCT(MAX(ROW(E$2:E505)*(E506=E$2:E505)))))</f>
        <v>SBJ_6</v>
      </c>
      <c r="J506" s="24">
        <f ca="1">IF(OR(E506="",E506="!!!",F506="NEW"),"",COUNTBLANK(OFFSET(A$1,,,SUMPRODUCT(MAX(ROW(E$2:E506)*(E506=E$2:E506)))))-COUNTBLANK(OFFSET(A$1,,,SUMPRODUCT(MAX(ROW(E$1:E505)*(E2=E$1:E505))))))</f>
        <v>0</v>
      </c>
      <c r="K506" s="24">
        <f ca="1">IF(OR(E506="",E506="!!!",F506="NEW"),"",INDEX(J$1:J505,SUMPRODUCT(MAX(ROW(E$1:E505)*(E506=E$1:E505)))))</f>
        <v>0</v>
      </c>
      <c r="L506" s="25"/>
    </row>
    <row r="507" spans="1:12" x14ac:dyDescent="0.3">
      <c r="A507" t="s">
        <v>439</v>
      </c>
      <c r="E507" s="20" t="str">
        <f>IF(D507="?OLD","!!!","")</f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30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440</v>
      </c>
      <c r="E508" s="20" t="str">
        <f>IF(D508="?OLD","!!!","")</f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30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441</v>
      </c>
      <c r="E509" s="20" t="str">
        <f>IF(D509="?OLD","!!!","")</f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30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442</v>
      </c>
      <c r="E510" s="20" t="str">
        <f>IF(D510="?OLD","!!!","")</f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30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101</v>
      </c>
      <c r="E511" s="20" t="str">
        <f>IF(D511="?OLD","!!!","")</f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30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443</v>
      </c>
      <c r="E512" s="20"/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30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112</v>
      </c>
      <c r="E513" s="20" t="str">
        <f>IF(D513="?OLD","!!!","")</f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30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444</v>
      </c>
      <c r="B514" s="26" t="s">
        <v>104</v>
      </c>
      <c r="C514" s="26" t="s">
        <v>74</v>
      </c>
      <c r="D514" s="26" t="s">
        <v>75</v>
      </c>
      <c r="E514" s="20" t="s">
        <v>106</v>
      </c>
      <c r="F514" s="21" t="str">
        <f>IF(OR(E514="",E514="!!!"),"",IF(NOT(ISNA(VLOOKUP(E514,E$1:E513,1,FALSE()))),"OLD",IF(AND(E514&lt;&gt;"",E514&lt;&gt;"!!!"),"NEW","")))</f>
        <v>OLD</v>
      </c>
      <c r="G514" s="22" t="str">
        <f ca="1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?IN_FOCUS</v>
      </c>
      <c r="H514" s="23" t="str">
        <f t="shared" ca="1" si="30"/>
        <v/>
      </c>
      <c r="I514" s="24" t="str">
        <f>IF(OR(E514="",E514="!!!",F514="NEW"),"",INDEX(B$2:B513,-1+SUMPRODUCT(MAX(ROW(E$2:E513)*(E514=E$2:E513)))))</f>
        <v>SBJ_2</v>
      </c>
      <c r="J514" s="24">
        <f ca="1">IF(OR(E514="",E514="!!!",F514="NEW"),"",COUNTBLANK(OFFSET(A$1,,,SUMPRODUCT(MAX(ROW(E$2:E514)*(E514=E$2:E514)))))-COUNTBLANK(OFFSET(A$1,,,SUMPRODUCT(MAX(ROW(E$1:E513)*(E2=E$1:E513))))))</f>
        <v>0</v>
      </c>
      <c r="K514" s="24">
        <f ca="1">IF(OR(E514="",E514="!!!",F514="NEW"),"",INDEX(J$1:J513,SUMPRODUCT(MAX(ROW(E$1:E513)*(E514=E$1:E513)))))</f>
        <v>0</v>
      </c>
      <c r="L514" s="25" t="s">
        <v>1052</v>
      </c>
    </row>
    <row r="515" spans="1:12" x14ac:dyDescent="0.3">
      <c r="A515" t="s">
        <v>445</v>
      </c>
      <c r="E515" s="20" t="str">
        <f>IF(D515="?OLD","!!!","")</f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30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446</v>
      </c>
      <c r="E516" s="20" t="str">
        <f>IF(D516="?OLD","!!!","")</f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30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7" spans="1:12" x14ac:dyDescent="0.3">
      <c r="A517" t="s">
        <v>447</v>
      </c>
      <c r="B517" s="26" t="s">
        <v>257</v>
      </c>
      <c r="C517" s="26" t="s">
        <v>280</v>
      </c>
      <c r="D517" s="26" t="s">
        <v>75</v>
      </c>
      <c r="E517" s="20"/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ca="1" si="30"/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7" t="s">
        <v>134</v>
      </c>
    </row>
    <row r="518" spans="1:12" x14ac:dyDescent="0.3">
      <c r="A518" t="s">
        <v>448</v>
      </c>
      <c r="B518" s="26" t="s">
        <v>110</v>
      </c>
      <c r="C518" s="26" t="s">
        <v>280</v>
      </c>
      <c r="D518" s="26" t="s">
        <v>75</v>
      </c>
      <c r="E518" s="20"/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30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7" t="s">
        <v>134</v>
      </c>
    </row>
    <row r="519" spans="1:12" x14ac:dyDescent="0.3">
      <c r="A519" t="s">
        <v>78</v>
      </c>
      <c r="E519" s="20" t="str">
        <f>IF(D519="?OLD","!!!","")</f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30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101</v>
      </c>
      <c r="E520" s="20" t="str">
        <f>IF(D520="?OLD","!!!","")</f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30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102</v>
      </c>
      <c r="E521" s="20" t="str">
        <f>IF(D521="?OLD","!!!","")</f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30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136</v>
      </c>
      <c r="E522" s="20" t="str">
        <f>IF(D522="?OLD","!!!","")</f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30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449</v>
      </c>
      <c r="E523" s="20" t="str">
        <f>IF(D523="?OLD","!!!","")</f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30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450</v>
      </c>
      <c r="B524" s="26" t="s">
        <v>257</v>
      </c>
      <c r="C524" s="26" t="s">
        <v>74</v>
      </c>
      <c r="D524" s="26" t="s">
        <v>75</v>
      </c>
      <c r="E524" s="20" t="s">
        <v>451</v>
      </c>
      <c r="F524" s="21" t="s">
        <v>107</v>
      </c>
      <c r="G524" s="22" t="e">
        <f ca="1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#VALUE!</v>
      </c>
      <c r="H524" s="23" t="str">
        <f t="shared" ca="1" si="30"/>
        <v/>
      </c>
      <c r="I524" s="24" t="e">
        <f>IF(OR(E524="",E524="!!!",F524="NEW"),"",INDEX(B$2:B523,-1+SUMPRODUCT(MAX(ROW(E$2:E523)*(E524=E$2:E523)))))</f>
        <v>#VALUE!</v>
      </c>
      <c r="J524" s="24">
        <f ca="1">IF(OR(E524="",E524="!!!",F524="NEW"),"",COUNTBLANK(OFFSET(A$1,,,SUMPRODUCT(MAX(ROW(E$2:E524)*(E524=E$2:E524)))))-COUNTBLANK(OFFSET(A$1,,,SUMPRODUCT(MAX(ROW(E$1:E523)*(E2=E$1:E523))))))</f>
        <v>0</v>
      </c>
      <c r="K524" s="24" t="e">
        <f>IF(OR(E524="",E524="!!!",F524="NEW"),"",INDEX(J$1:J523,SUMPRODUCT(MAX(ROW(E$1:E523)*(E524=E$1:E523)))))</f>
        <v>#VALUE!</v>
      </c>
      <c r="L524" s="25"/>
    </row>
    <row r="525" spans="1:12" x14ac:dyDescent="0.3">
      <c r="A525" t="s">
        <v>445</v>
      </c>
      <c r="E525" s="20" t="str">
        <f>IF(D525="?OLD","!!!","")</f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30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361</v>
      </c>
      <c r="E526" s="20"/>
      <c r="F526" s="21"/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30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86</v>
      </c>
      <c r="E527" s="20" t="str">
        <f>IF(D527="?OLD","!!!","")</f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30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87</v>
      </c>
      <c r="B528" s="26" t="s">
        <v>96</v>
      </c>
      <c r="C528" s="26" t="s">
        <v>88</v>
      </c>
      <c r="D528" s="26" t="s">
        <v>75</v>
      </c>
      <c r="E528" s="20" t="s">
        <v>451</v>
      </c>
      <c r="F528" s="21" t="str">
        <f>IF(OR(E528="",E528="!!!"),"",IF(NOT(ISNA(VLOOKUP(E528,E$1:E527,1,FALSE()))),"OLD",IF(AND(E528&lt;&gt;"",E528&lt;&gt;"!!!"),"NEW","")))</f>
        <v>OLD</v>
      </c>
      <c r="G528" s="22" t="str">
        <f ca="1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?IN_FOCUS</v>
      </c>
      <c r="H528" s="23" t="str">
        <f t="shared" ca="1" si="30"/>
        <v/>
      </c>
      <c r="I528" s="24" t="str">
        <f>IF(OR(E528="",E528="!!!",F528="NEW"),"",INDEX(B$2:B527,-1+SUMPRODUCT(MAX(ROW(E$2:E527)*(E528=E$2:E527)))))</f>
        <v>SBJ_4</v>
      </c>
      <c r="J528" s="24">
        <f ca="1">IF(OR(E528="",E528="!!!",F528="NEW"),"",COUNTBLANK(OFFSET(A$1,,,SUMPRODUCT(MAX(ROW(E$2:E528)*(E528=E$2:E528)))))-COUNTBLANK(OFFSET(A$1,,,SUMPRODUCT(MAX(ROW(E$1:E527)*(E2=E$1:E527))))))</f>
        <v>0</v>
      </c>
      <c r="K528" s="24">
        <f ca="1">IF(OR(E528="",E528="!!!",F528="NEW"),"",INDEX(J$1:J527,SUMPRODUCT(MAX(ROW(E$1:E527)*(E528=E$1:E527)))))</f>
        <v>0</v>
      </c>
      <c r="L528" s="25"/>
    </row>
    <row r="529" spans="1:12" x14ac:dyDescent="0.3">
      <c r="A529" t="s">
        <v>452</v>
      </c>
      <c r="E529" s="20" t="str">
        <f>IF(D529="?OLD","!!!","")</f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30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101</v>
      </c>
      <c r="E530" s="20" t="str">
        <f>IF(D530="?OLD","!!!","")</f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30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126</v>
      </c>
      <c r="B531" s="26" t="s">
        <v>257</v>
      </c>
      <c r="C531" s="26" t="s">
        <v>105</v>
      </c>
      <c r="E531" s="20" t="s">
        <v>127</v>
      </c>
      <c r="F531" s="21" t="str">
        <f>IF(OR(E531="",E531="!!!"),"",IF(NOT(ISNA(VLOOKUP(E531,E$1:E530,1,FALSE()))),"OLD",IF(AND(E531&lt;&gt;"",E531&lt;&gt;"!!!"),"NEW","")))</f>
        <v>OLD</v>
      </c>
      <c r="G531" s="22" t="str">
        <f ca="1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?IN_FOCUS</v>
      </c>
      <c r="H531" s="23" t="str">
        <f t="shared" ca="1" si="30"/>
        <v/>
      </c>
      <c r="I531" s="24">
        <f>IF(OR(E531="",E531="!!!",F531="NEW"),"",INDEX(B$2:B530,-1+SUMPRODUCT(MAX(ROW(E$2:E530)*(E531=E$2:E530)))))</f>
        <v>0</v>
      </c>
      <c r="J531" s="24">
        <f ca="1">IF(OR(E531="",E531="!!!",F531="NEW"),"",COUNTBLANK(OFFSET(A$1,,,SUMPRODUCT(MAX(ROW(E$2:E531)*(E531=E$2:E531)))))-COUNTBLANK(OFFSET(A$1,,,SUMPRODUCT(MAX(ROW(E$1:E530)*(E2=E$1:E530))))))</f>
        <v>0</v>
      </c>
      <c r="K531" s="24">
        <f ca="1">IF(OR(E531="",E531="!!!",F531="NEW"),"",INDEX(J$1:J530,SUMPRODUCT(MAX(ROW(E$1:E530)*(E531=E$1:E530)))))</f>
        <v>0</v>
      </c>
      <c r="L531" s="25"/>
    </row>
    <row r="532" spans="1:12" x14ac:dyDescent="0.3">
      <c r="A532" t="s">
        <v>116</v>
      </c>
      <c r="E532" s="20" t="str">
        <f t="shared" ref="E532:E541" si="32">IF(D532="?OLD","!!!","")</f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30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453</v>
      </c>
      <c r="E533" s="20" t="str">
        <f t="shared" si="32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30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199</v>
      </c>
      <c r="E534" s="20" t="str">
        <f t="shared" si="32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30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285</v>
      </c>
      <c r="E535" s="20" t="str">
        <f t="shared" si="32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30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101</v>
      </c>
      <c r="E536" s="20" t="str">
        <f t="shared" si="32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30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454</v>
      </c>
      <c r="E537" s="20" t="str">
        <f t="shared" si="32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30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199</v>
      </c>
      <c r="E538" s="20" t="str">
        <f t="shared" si="32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30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455</v>
      </c>
      <c r="E539" s="20" t="str">
        <f t="shared" si="32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30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258</v>
      </c>
      <c r="E540" s="20" t="str">
        <f t="shared" si="32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30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187</v>
      </c>
      <c r="E541" s="20" t="str">
        <f t="shared" si="32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30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456</v>
      </c>
      <c r="B542" s="26" t="s">
        <v>147</v>
      </c>
      <c r="C542" s="26" t="s">
        <v>74</v>
      </c>
      <c r="D542" s="26" t="s">
        <v>75</v>
      </c>
      <c r="E542" s="20" t="s">
        <v>457</v>
      </c>
      <c r="F542" s="21" t="str">
        <f>IF(OR(E542="",E542="!!!"),"",IF(NOT(ISNA(VLOOKUP(E542,E$1:E541,1,FALSE()))),"OLD",IF(AND(E542&lt;&gt;"",E542&lt;&gt;"!!!"),"NEW","")))</f>
        <v>NEW</v>
      </c>
      <c r="G542" s="22" t="str">
        <f ca="1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?REFERENTIAL</v>
      </c>
      <c r="H542" s="23" t="str">
        <f t="shared" ca="1" si="30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155</v>
      </c>
      <c r="E543" s="20" t="str">
        <f>IF(D543="?OLD","!!!","")</f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ref="H543:H606" ca="1" si="33">IF(J543&lt;&gt;1,"",IF(I543="SBJ","CB","?"))</f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458</v>
      </c>
      <c r="E544" s="20" t="str">
        <f>IF(D544="?OLD","!!!","")</f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33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86</v>
      </c>
      <c r="E545" s="20" t="str">
        <f>IF(D545="?OLD","!!!","")</f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33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459</v>
      </c>
      <c r="B546" s="26" t="s">
        <v>104</v>
      </c>
      <c r="C546" s="26" t="s">
        <v>105</v>
      </c>
      <c r="E546" s="20" t="str">
        <f>IF(D546="?OLD","!!!","")</f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33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460</v>
      </c>
      <c r="E547" s="20"/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33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461</v>
      </c>
      <c r="B548" s="26" t="s">
        <v>115</v>
      </c>
      <c r="C548" s="26" t="s">
        <v>119</v>
      </c>
      <c r="E548" s="20" t="s">
        <v>462</v>
      </c>
      <c r="F548" s="21" t="str">
        <f>IF(OR(E548="",E548="!!!"),"",IF(NOT(ISNA(VLOOKUP(E548,E$1:E547,1,FALSE()))),"OLD",IF(AND(E548&lt;&gt;"",E548&lt;&gt;"!!!"),"NEW","")))</f>
        <v>NEW</v>
      </c>
      <c r="G548" s="22" t="str">
        <f ca="1"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?REFERENTIAL</v>
      </c>
      <c r="H548" s="23" t="str">
        <f t="shared" ca="1" si="33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7" t="s">
        <v>463</v>
      </c>
    </row>
    <row r="549" spans="1:12" x14ac:dyDescent="0.3">
      <c r="A549" t="s">
        <v>112</v>
      </c>
      <c r="E549" s="20" t="str">
        <f>IF(D549="?OLD","!!!","")</f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33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450</v>
      </c>
      <c r="B550" s="26" t="s">
        <v>303</v>
      </c>
      <c r="C550" s="26" t="s">
        <v>74</v>
      </c>
      <c r="D550" s="26" t="s">
        <v>75</v>
      </c>
      <c r="E550" s="20" t="s">
        <v>451</v>
      </c>
      <c r="F550" s="21" t="str">
        <f>IF(OR(E550="",E550="!!!"),"",IF(NOT(ISNA(VLOOKUP(E550,E$1:E549,1,FALSE()))),"OLD",IF(AND(E550&lt;&gt;"",E550&lt;&gt;"!!!"),"NEW","")))</f>
        <v>OLD</v>
      </c>
      <c r="G550" s="22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3" t="str">
        <f t="shared" ca="1" si="33"/>
        <v/>
      </c>
      <c r="I550" s="24" t="str">
        <f>IF(OR(E550="",E550="!!!",F550="NEW"),"",INDEX(B$2:B549,-1+SUMPRODUCT(MAX(ROW(E$2:E549)*(E550=E$2:E549)))))</f>
        <v>SBJ_2</v>
      </c>
      <c r="J550" s="24">
        <f ca="1">IF(OR(E550="",E550="!!!",F550="NEW"),"",COUNTBLANK(OFFSET(A$1,,,SUMPRODUCT(MAX(ROW(E$2:E550)*(E550=E$2:E550)))))-COUNTBLANK(OFFSET(A$1,,,SUMPRODUCT(MAX(ROW(E$1:E549)*(E2=E$1:E549))))))</f>
        <v>0</v>
      </c>
      <c r="K550" s="24">
        <f ca="1">IF(OR(E550="",E550="!!!",F550="NEW"),"",INDEX(J$1:J549,SUMPRODUCT(MAX(ROW(E$1:E549)*(E550=E$1:E549)))))</f>
        <v>0</v>
      </c>
      <c r="L550" s="25"/>
    </row>
    <row r="551" spans="1:12" x14ac:dyDescent="0.3">
      <c r="A551" t="s">
        <v>464</v>
      </c>
      <c r="E551" s="20" t="str">
        <f>IF(D551="?OLD","!!!","")</f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33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458</v>
      </c>
      <c r="B552" s="26" t="s">
        <v>82</v>
      </c>
      <c r="C552" s="26" t="s">
        <v>105</v>
      </c>
      <c r="E552" s="20"/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33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7"/>
    </row>
    <row r="553" spans="1:12" x14ac:dyDescent="0.3">
      <c r="A553" t="s">
        <v>79</v>
      </c>
      <c r="E553" s="20" t="str">
        <f>IF(D553="?OLD","!!!","")</f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33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126</v>
      </c>
      <c r="B554" s="26" t="s">
        <v>115</v>
      </c>
      <c r="C554" s="26" t="s">
        <v>105</v>
      </c>
      <c r="E554" s="20"/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33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136</v>
      </c>
      <c r="E555" s="20" t="str">
        <f>IF(D555="?OLD","!!!","")</f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33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465</v>
      </c>
      <c r="B556" s="26" t="s">
        <v>110</v>
      </c>
      <c r="C556" s="26" t="s">
        <v>74</v>
      </c>
      <c r="D556" s="26" t="s">
        <v>75</v>
      </c>
      <c r="E556" s="20" t="s">
        <v>1053</v>
      </c>
      <c r="F556" s="21" t="s">
        <v>84</v>
      </c>
      <c r="G556" s="22" t="e">
        <f ca="1"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#VALUE!</v>
      </c>
      <c r="H556" s="23" t="str">
        <f t="shared" ca="1" si="33"/>
        <v/>
      </c>
      <c r="I556" s="24" t="e">
        <f>IF(OR(E556="",E556="!!!",F556="NEW"),"",INDEX(B$2:B555,-1+SUMPRODUCT(MAX(ROW(E$2:E555)*(E556=E$2:E555)))))</f>
        <v>#VALUE!</v>
      </c>
      <c r="J556" s="24">
        <f ca="1">IF(OR(E556="",E556="!!!",F556="NEW"),"",COUNTBLANK(OFFSET(A$1,,,SUMPRODUCT(MAX(ROW(E$2:E556)*(E556=E$2:E556)))))-COUNTBLANK(OFFSET(A$1,,,SUMPRODUCT(MAX(ROW(E$1:E555)*(E2=E$1:E555))))))</f>
        <v>0</v>
      </c>
      <c r="K556" s="24" t="e">
        <f>IF(OR(E556="",E556="!!!",F556="NEW"),"",INDEX(J$1:J555,SUMPRODUCT(MAX(ROW(E$1:E555)*(E556=E$1:E555)))))</f>
        <v>#VALUE!</v>
      </c>
      <c r="L556" s="25"/>
    </row>
    <row r="557" spans="1:12" x14ac:dyDescent="0.3">
      <c r="A557" t="s">
        <v>258</v>
      </c>
      <c r="E557" s="20" t="str">
        <f>IF(D557="?OLD","!!!","")</f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33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466</v>
      </c>
      <c r="E558" s="20" t="str">
        <f>IF(D558="?OLD","!!!","")</f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33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16</v>
      </c>
      <c r="E559" s="20" t="str">
        <f>IF(D559="?OLD","!!!","")</f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33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467</v>
      </c>
      <c r="B560" s="26" t="s">
        <v>115</v>
      </c>
      <c r="C560" s="26" t="s">
        <v>105</v>
      </c>
      <c r="E560" s="20" t="str">
        <f>IF(D560="?OLD","!!!","")</f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33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101</v>
      </c>
      <c r="E561" s="20" t="str">
        <f>IF(D561="?OLD","!!!","")</f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33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468</v>
      </c>
      <c r="B562" s="26" t="s">
        <v>257</v>
      </c>
      <c r="C562" s="26" t="s">
        <v>208</v>
      </c>
      <c r="D562" s="26" t="s">
        <v>75</v>
      </c>
      <c r="E562" s="20"/>
      <c r="F562" s="21"/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33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7" t="s">
        <v>431</v>
      </c>
    </row>
    <row r="563" spans="1:12" x14ac:dyDescent="0.3">
      <c r="A563" t="s">
        <v>155</v>
      </c>
      <c r="B563" s="26" t="s">
        <v>303</v>
      </c>
      <c r="C563" s="26" t="s">
        <v>111</v>
      </c>
      <c r="E563" s="20" t="str">
        <f>IF(D563="?OLD","!!!","")</f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33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469</v>
      </c>
      <c r="E564" s="20" t="str">
        <f>IF(D564="?OLD","!!!","")</f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33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470</v>
      </c>
      <c r="B565" s="26" t="s">
        <v>115</v>
      </c>
      <c r="C565" s="26" t="s">
        <v>335</v>
      </c>
      <c r="E565" s="20" t="str">
        <f>IF(D565="?OLD","!!!","")</f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33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79</v>
      </c>
      <c r="E566" s="20" t="str">
        <f>IF(D566="?OLD","!!!","")</f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33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471</v>
      </c>
      <c r="E567" s="20" t="s">
        <v>462</v>
      </c>
      <c r="F567" s="21" t="str">
        <f>IF(OR(E567="",E567="!!!"),"",IF(NOT(ISNA(VLOOKUP(E567,E$1:E566,1,FALSE()))),"OLD",IF(AND(E567&lt;&gt;"",E567&lt;&gt;"!!!"),"NEW","")))</f>
        <v>OLD</v>
      </c>
      <c r="G567" s="22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3" t="str">
        <f t="shared" ca="1" si="33"/>
        <v/>
      </c>
      <c r="I567" s="24" t="str">
        <f>IF(OR(E567="",E567="!!!",F567="NEW"),"",INDEX(B$2:B566,-1+SUMPRODUCT(MAX(ROW(E$2:E566)*(E567=E$2:E566)))))</f>
        <v>other_4</v>
      </c>
      <c r="J567" s="24">
        <f ca="1">IF(OR(E567="",E567="!!!",F567="NEW"),"",COUNTBLANK(OFFSET(A$1,,,SUMPRODUCT(MAX(ROW(E$2:E567)*(E567=E$2:E567)))))-COUNTBLANK(OFFSET(A$1,,,SUMPRODUCT(MAX(ROW(E$1:E566)*(E2=E$1:E566))))))</f>
        <v>0</v>
      </c>
      <c r="K567" s="24" t="str">
        <f ca="1">IF(OR(E567="",E567="!!!",F567="NEW"),"",INDEX(J$1:J566,SUMPRODUCT(MAX(ROW(E$1:E566)*(E567=E$1:E566)))))</f>
        <v/>
      </c>
      <c r="L567" s="27" t="s">
        <v>472</v>
      </c>
    </row>
    <row r="568" spans="1:12" x14ac:dyDescent="0.3">
      <c r="A568" t="s">
        <v>473</v>
      </c>
      <c r="B568" s="26" t="s">
        <v>115</v>
      </c>
      <c r="C568" s="26" t="s">
        <v>474</v>
      </c>
      <c r="E568" s="20" t="str">
        <f>IF(D568="?OLD","!!!","")</f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33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475</v>
      </c>
      <c r="E569" s="20" t="str">
        <f>IF(D569="?OLD","!!!","")</f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33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86</v>
      </c>
      <c r="E570" s="20" t="str">
        <f>IF(D570="?OLD","!!!","")</f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33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318</v>
      </c>
      <c r="E571" s="20" t="str">
        <f>IF(D571="?OLD","!!!","")</f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33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476</v>
      </c>
      <c r="E572" s="20" t="str">
        <f>IF(D572="?OLD","!!!","")</f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33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461</v>
      </c>
      <c r="B573" s="26" t="s">
        <v>257</v>
      </c>
      <c r="C573" s="26" t="s">
        <v>119</v>
      </c>
      <c r="E573" s="20" t="s">
        <v>477</v>
      </c>
      <c r="F573" s="21" t="str">
        <f>IF(OR(E573="",E573="!!!"),"",IF(NOT(ISNA(VLOOKUP(E573,E$1:E572,1,FALSE()))),"OLD",IF(AND(E573&lt;&gt;"",E573&lt;&gt;"!!!"),"NEW","")))</f>
        <v>NEW</v>
      </c>
      <c r="G573" s="22" t="s">
        <v>478</v>
      </c>
      <c r="H573" s="23" t="str">
        <f t="shared" ca="1" si="33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7" t="s">
        <v>479</v>
      </c>
    </row>
    <row r="574" spans="1:12" x14ac:dyDescent="0.3">
      <c r="A574" t="s">
        <v>458</v>
      </c>
      <c r="E574" s="20" t="str">
        <f>IF(D574="?OLD","!!!","")</f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33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359</v>
      </c>
      <c r="B575" s="26" t="s">
        <v>411</v>
      </c>
      <c r="C575" s="26" t="s">
        <v>280</v>
      </c>
      <c r="D575" s="26" t="s">
        <v>75</v>
      </c>
      <c r="E575" s="20" t="s">
        <v>360</v>
      </c>
      <c r="F575" s="21" t="str">
        <f>IF(OR(E575="",E575="!!!"),"",IF(NOT(ISNA(VLOOKUP(E575,E$1:E574,1,FALSE()))),"OLD",IF(AND(E575&lt;&gt;"",E575&lt;&gt;"!!!"),"NEW","")))</f>
        <v>OLD</v>
      </c>
      <c r="G575" s="22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?IN_FOCUS</v>
      </c>
      <c r="H575" s="23" t="str">
        <f t="shared" ca="1" si="33"/>
        <v/>
      </c>
      <c r="I575" s="24" t="str">
        <f>IF(OR(E575="",E575="!!!",F575="NEW"),"",INDEX(B$2:B574,-1+SUMPRODUCT(MAX(ROW(E$2:E574)*(E575=E$2:E574)))))</f>
        <v>SBJ_7</v>
      </c>
      <c r="J575" s="24">
        <f ca="1">IF(OR(E575="",E575="!!!",F575="NEW"),"",COUNTBLANK(OFFSET(A$1,,,SUMPRODUCT(MAX(ROW(E$2:E575)*(E575=E$2:E575)))))-COUNTBLANK(OFFSET(A$1,,,SUMPRODUCT(MAX(ROW(E$1:E574)*(E2=E$1:E574))))))</f>
        <v>0</v>
      </c>
      <c r="K575" s="24">
        <f ca="1">IF(OR(E575="",E575="!!!",F575="NEW"),"",INDEX(J$1:J574,SUMPRODUCT(MAX(ROW(E$1:E574)*(E575=E$1:E574)))))</f>
        <v>0</v>
      </c>
      <c r="L575" s="25"/>
    </row>
    <row r="576" spans="1:12" x14ac:dyDescent="0.3">
      <c r="A576" t="s">
        <v>199</v>
      </c>
      <c r="E576" s="20" t="str">
        <f>IF(D576="?OLD","!!!","")</f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33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136</v>
      </c>
      <c r="E577" s="20" t="str">
        <f>IF(D577="?OLD","!!!","")</f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33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480</v>
      </c>
      <c r="B578" s="26" t="s">
        <v>303</v>
      </c>
      <c r="C578" s="26" t="s">
        <v>74</v>
      </c>
      <c r="D578" s="26" t="s">
        <v>75</v>
      </c>
      <c r="E578" s="20" t="s">
        <v>481</v>
      </c>
      <c r="F578" s="21" t="s">
        <v>107</v>
      </c>
      <c r="G578" s="22" t="e">
        <f ca="1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#VALUE!</v>
      </c>
      <c r="H578" s="23" t="str">
        <f t="shared" ca="1" si="33"/>
        <v/>
      </c>
      <c r="I578" s="24" t="e">
        <f>IF(OR(E578="",E578="!!!",F578="NEW"),"",INDEX(B$2:B577,-1+SUMPRODUCT(MAX(ROW(E$2:E577)*(E578=E$2:E577)))))</f>
        <v>#VALUE!</v>
      </c>
      <c r="J578" s="24">
        <f ca="1">IF(OR(E578="",E578="!!!",F578="NEW"),"",COUNTBLANK(OFFSET(A$1,,,SUMPRODUCT(MAX(ROW(E$2:E578)*(E578=E$2:E578)))))-COUNTBLANK(OFFSET(A$1,,,SUMPRODUCT(MAX(ROW(E$1:E577)*(E2=E$1:E577))))))</f>
        <v>0</v>
      </c>
      <c r="K578" s="24" t="e">
        <f>IF(OR(E578="",E578="!!!",F578="NEW"),"",INDEX(J$1:J577,SUMPRODUCT(MAX(ROW(E$1:E577)*(E578=E$1:E577)))))</f>
        <v>#VALUE!</v>
      </c>
      <c r="L578" s="27" t="s">
        <v>482</v>
      </c>
    </row>
    <row r="579" spans="1:12" x14ac:dyDescent="0.3">
      <c r="A579" t="s">
        <v>483</v>
      </c>
      <c r="E579" s="20" t="str">
        <f>IF(D579="?OLD","!!!","")</f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33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199</v>
      </c>
      <c r="E580" s="20" t="str">
        <f>IF(D580="?OLD","!!!","")</f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33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285</v>
      </c>
      <c r="E581" s="20" t="str">
        <f>IF(D581="?OLD","!!!","")</f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33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258</v>
      </c>
      <c r="E582" s="20" t="str">
        <f>IF(D582="?OLD","!!!","")</f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33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136</v>
      </c>
      <c r="E583" s="20" t="str">
        <f>IF(D583="?OLD","!!!","")</f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33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480</v>
      </c>
      <c r="B584" s="26" t="s">
        <v>303</v>
      </c>
      <c r="C584" s="26" t="s">
        <v>74</v>
      </c>
      <c r="D584" s="26" t="s">
        <v>75</v>
      </c>
      <c r="E584" s="20" t="s">
        <v>481</v>
      </c>
      <c r="F584" s="21" t="str">
        <f>IF(OR(E584="",E584="!!!"),"",IF(NOT(ISNA(VLOOKUP(E584,E$1:E583,1,FALSE()))),"OLD",IF(AND(E584&lt;&gt;"",E584&lt;&gt;"!!!"),"NEW","")))</f>
        <v>OLD</v>
      </c>
      <c r="G584" s="22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3" t="str">
        <f t="shared" ca="1" si="33"/>
        <v/>
      </c>
      <c r="I584" s="24" t="str">
        <f>IF(OR(E584="",E584="!!!",F584="NEW"),"",INDEX(B$2:B583,-1+SUMPRODUCT(MAX(ROW(E$2:E583)*(E584=E$2:E583)))))</f>
        <v>other_5</v>
      </c>
      <c r="J584" s="24">
        <f ca="1">IF(OR(E584="",E584="!!!",F584="NEW"),"",COUNTBLANK(OFFSET(A$1,,,SUMPRODUCT(MAX(ROW(E$2:E584)*(E584=E$2:E584)))))-COUNTBLANK(OFFSET(A$1,,,SUMPRODUCT(MAX(ROW(E$1:E583)*(E2=E$1:E583))))))</f>
        <v>0</v>
      </c>
      <c r="K584" s="24">
        <f ca="1">IF(OR(E584="",E584="!!!",F584="NEW"),"",INDEX(J$1:J583,SUMPRODUCT(MAX(ROW(E$1:E583)*(E584=E$1:E583)))))</f>
        <v>0</v>
      </c>
      <c r="L584" s="25"/>
    </row>
    <row r="585" spans="1:12" x14ac:dyDescent="0.3">
      <c r="A585" t="s">
        <v>484</v>
      </c>
      <c r="E585" s="20" t="s">
        <v>477</v>
      </c>
      <c r="F585" s="21" t="str">
        <f>IF(OR(E585="",E585="!!!"),"",IF(NOT(ISNA(VLOOKUP(E585,E$1:E584,1,FALSE()))),"OLD",IF(AND(E585&lt;&gt;"",E585&lt;&gt;"!!!"),"NEW","")))</f>
        <v>OLD</v>
      </c>
      <c r="G585" s="22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23" t="str">
        <f t="shared" ca="1" si="33"/>
        <v/>
      </c>
      <c r="I585" s="24" t="str">
        <f>IF(OR(E585="",E585="!!!",F585="NEW"),"",INDEX(B$2:B584,-1+SUMPRODUCT(MAX(ROW(E$2:E584)*(E585=E$2:E584)))))</f>
        <v>SBJ_4</v>
      </c>
      <c r="J585" s="24">
        <f ca="1">IF(OR(E585="",E585="!!!",F585="NEW"),"",COUNTBLANK(OFFSET(A$1,,,SUMPRODUCT(MAX(ROW(E$2:E585)*(E585=E$2:E585)))))-COUNTBLANK(OFFSET(A$1,,,SUMPRODUCT(MAX(ROW(E$1:E584)*(E2=E$1:E584))))))</f>
        <v>0</v>
      </c>
      <c r="K585" s="24" t="str">
        <f ca="1">IF(OR(E585="",E585="!!!",F585="NEW"),"",INDEX(J$1:J584,SUMPRODUCT(MAX(ROW(E$1:E584)*(E585=E$1:E584)))))</f>
        <v/>
      </c>
      <c r="L585" s="25"/>
    </row>
    <row r="586" spans="1:12" x14ac:dyDescent="0.3">
      <c r="A586" t="s">
        <v>485</v>
      </c>
      <c r="B586" s="26" t="s">
        <v>402</v>
      </c>
      <c r="C586" s="26" t="s">
        <v>474</v>
      </c>
      <c r="E586" s="20" t="s">
        <v>398</v>
      </c>
      <c r="F586" s="21" t="s">
        <v>272</v>
      </c>
      <c r="G586" s="22" t="str">
        <f ca="1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?IN_FOCUS</v>
      </c>
      <c r="H586" s="23" t="str">
        <f t="shared" ca="1" si="33"/>
        <v/>
      </c>
      <c r="I586" s="24" t="str">
        <f>IF(OR(E586="",E586="!!!",F586="NEW"),"",INDEX(B$2:B585,-1+SUMPRODUCT(MAX(ROW(E$2:E585)*(E586=E$2:E585)))))</f>
        <v>other_5</v>
      </c>
      <c r="J586" s="24">
        <f ca="1">IF(OR(E586="",E586="!!!",F586="NEW"),"",COUNTBLANK(OFFSET(A$1,,,SUMPRODUCT(MAX(ROW(E$2:E586)*(E586=E$2:E586)))))-COUNTBLANK(OFFSET(A$1,,,SUMPRODUCT(MAX(ROW(E$1:E585)*(E2=E$1:E585))))))</f>
        <v>0</v>
      </c>
      <c r="K586" s="24">
        <f ca="1">IF(OR(E586="",E586="!!!",F586="NEW"),"",INDEX(J$1:J585,SUMPRODUCT(MAX(ROW(E$1:E585)*(E586=E$1:E585)))))</f>
        <v>0</v>
      </c>
      <c r="L586" s="27" t="s">
        <v>332</v>
      </c>
    </row>
    <row r="587" spans="1:12" x14ac:dyDescent="0.3">
      <c r="A587" t="s">
        <v>86</v>
      </c>
      <c r="E587" s="20" t="str">
        <f>IF(D587="?OLD","!!!","")</f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33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486</v>
      </c>
      <c r="B588" s="26" t="s">
        <v>73</v>
      </c>
      <c r="C588" s="26" t="s">
        <v>280</v>
      </c>
      <c r="D588" s="26" t="s">
        <v>75</v>
      </c>
      <c r="E588" s="20"/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33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7" t="s">
        <v>134</v>
      </c>
    </row>
    <row r="589" spans="1:12" x14ac:dyDescent="0.3">
      <c r="A589" t="s">
        <v>136</v>
      </c>
      <c r="E589" s="20" t="str">
        <f>IF(D589="?OLD","!!!","")</f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33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450</v>
      </c>
      <c r="B590" s="26" t="s">
        <v>96</v>
      </c>
      <c r="C590" s="26" t="s">
        <v>74</v>
      </c>
      <c r="D590" s="26" t="s">
        <v>75</v>
      </c>
      <c r="E590" s="20" t="s">
        <v>451</v>
      </c>
      <c r="F590" s="21" t="str">
        <f>IF(OR(E590="",E590="!!!"),"",IF(NOT(ISNA(VLOOKUP(E590,E$1:E589,1,FALSE()))),"OLD",IF(AND(E590&lt;&gt;"",E590&lt;&gt;"!!!"),"NEW","")))</f>
        <v>OLD</v>
      </c>
      <c r="G590" s="22" t="str">
        <f ca="1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?IN_FOCUS</v>
      </c>
      <c r="H590" s="23" t="str">
        <f t="shared" ca="1" si="33"/>
        <v/>
      </c>
      <c r="I590" s="24" t="str">
        <f>IF(OR(E590="",E590="!!!",F590="NEW"),"",INDEX(B$2:B589,-1+SUMPRODUCT(MAX(ROW(E$2:E589)*(E590=E$2:E589)))))</f>
        <v>other_5</v>
      </c>
      <c r="J590" s="24">
        <f ca="1">IF(OR(E590="",E590="!!!",F590="NEW"),"",COUNTBLANK(OFFSET(A$1,,,SUMPRODUCT(MAX(ROW(E$2:E590)*(E590=E$2:E590)))))-COUNTBLANK(OFFSET(A$1,,,SUMPRODUCT(MAX(ROW(E$1:E589)*(E2=E$1:E589))))))</f>
        <v>0</v>
      </c>
      <c r="K590" s="24">
        <f ca="1">IF(OR(E590="",E590="!!!",F590="NEW"),"",INDEX(J$1:J589,SUMPRODUCT(MAX(ROW(E$1:E589)*(E590=E$1:E589)))))</f>
        <v>0</v>
      </c>
      <c r="L590" s="25"/>
    </row>
    <row r="591" spans="1:12" x14ac:dyDescent="0.3">
      <c r="A591" t="s">
        <v>458</v>
      </c>
      <c r="E591" s="20" t="str">
        <f>IF(D591="?OLD","!!!","")</f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33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160</v>
      </c>
      <c r="E592" s="20" t="s">
        <v>481</v>
      </c>
      <c r="F592" s="21" t="str">
        <f>IF(OR(E592="",E592="!!!"),"",IF(NOT(ISNA(VLOOKUP(E592,E$1:E591,1,FALSE()))),"OLD",IF(AND(E592&lt;&gt;"",E592&lt;&gt;"!!!"),"NEW","")))</f>
        <v>OLD</v>
      </c>
      <c r="G592" s="22" t="str">
        <f ca="1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?IN_FOCUS</v>
      </c>
      <c r="H592" s="23" t="str">
        <f t="shared" ca="1" si="33"/>
        <v/>
      </c>
      <c r="I592" s="24" t="str">
        <f>IF(OR(E592="",E592="!!!",F592="NEW"),"",INDEX(B$2:B591,-1+SUMPRODUCT(MAX(ROW(E$2:E591)*(E592=E$2:E591)))))</f>
        <v>other_5</v>
      </c>
      <c r="J592" s="24">
        <f ca="1">IF(OR(E592="",E592="!!!",F592="NEW"),"",COUNTBLANK(OFFSET(A$1,,,SUMPRODUCT(MAX(ROW(E$2:E592)*(E592=E$2:E592)))))-COUNTBLANK(OFFSET(A$1,,,SUMPRODUCT(MAX(ROW(E$1:E591)*(E2=E$1:E591))))))</f>
        <v>0</v>
      </c>
      <c r="K592" s="24">
        <f ca="1">IF(OR(E592="",E592="!!!",F592="NEW"),"",INDEX(J$1:J591,SUMPRODUCT(MAX(ROW(E$1:E591)*(E592=E$1:E591)))))</f>
        <v>0</v>
      </c>
      <c r="L592" s="27" t="s">
        <v>487</v>
      </c>
    </row>
    <row r="593" spans="1:12" x14ac:dyDescent="0.3">
      <c r="A593" t="s">
        <v>267</v>
      </c>
      <c r="E593" s="20" t="str">
        <f>IF(D593="?OLD","!!!","")</f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33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268</v>
      </c>
      <c r="E594" s="20" t="str">
        <f>IF(D594="?OLD","!!!","")</f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33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86</v>
      </c>
      <c r="E595" s="20" t="str">
        <f>IF(D595="?OLD","!!!","")</f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33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126</v>
      </c>
      <c r="B596" s="26" t="s">
        <v>104</v>
      </c>
      <c r="C596" s="26" t="s">
        <v>353</v>
      </c>
      <c r="D596" s="26" t="s">
        <v>75</v>
      </c>
      <c r="E596" s="20" t="s">
        <v>179</v>
      </c>
      <c r="F596" s="21" t="str">
        <f>IF(OR(E596="",E596="!!!"),"",IF(NOT(ISNA(VLOOKUP(E596,E$1:E595,1,FALSE()))),"OLD",IF(AND(E596&lt;&gt;"",E596&lt;&gt;"!!!"),"NEW","")))</f>
        <v>NEW</v>
      </c>
      <c r="G596" s="22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?REFERENTIAL</v>
      </c>
      <c r="H596" s="23" t="str">
        <f t="shared" ca="1" si="33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488</v>
      </c>
      <c r="E597" s="20" t="str">
        <f t="shared" ref="E597:E602" si="34">IF(D597="?OLD","!!!","")</f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33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489</v>
      </c>
      <c r="E598" s="20" t="str">
        <f t="shared" si="34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33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490</v>
      </c>
      <c r="B599" s="26" t="s">
        <v>110</v>
      </c>
      <c r="C599" s="26" t="s">
        <v>105</v>
      </c>
      <c r="E599" s="20" t="str">
        <f t="shared" si="34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33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86</v>
      </c>
      <c r="E600" s="20" t="str">
        <f t="shared" si="34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33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491</v>
      </c>
      <c r="E601" s="20" t="str">
        <f t="shared" si="34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33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492</v>
      </c>
      <c r="E602" s="20" t="str">
        <f t="shared" si="34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33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334</v>
      </c>
      <c r="B603" s="26" t="s">
        <v>104</v>
      </c>
      <c r="C603" s="26" t="s">
        <v>105</v>
      </c>
      <c r="E603" s="20" t="s">
        <v>398</v>
      </c>
      <c r="F603" s="21" t="str">
        <f>IF(OR(E603="",E603="!!!"),"",IF(NOT(ISNA(VLOOKUP(E603,E$1:E602,1,FALSE()))),"OLD",IF(AND(E603&lt;&gt;"",E603&lt;&gt;"!!!"),"NEW","")))</f>
        <v>OLD</v>
      </c>
      <c r="G603" s="22" t="str">
        <f ca="1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?IN_FOCUS</v>
      </c>
      <c r="H603" s="23" t="str">
        <f t="shared" ca="1" si="33"/>
        <v/>
      </c>
      <c r="I603" s="24" t="str">
        <f>IF(OR(E603="",E603="!!!",F603="NEW"),"",INDEX(B$2:B602,-1+SUMPRODUCT(MAX(ROW(E$2:E602)*(E603=E$2:E602)))))</f>
        <v>other_6</v>
      </c>
      <c r="J603" s="24">
        <f ca="1">IF(OR(E603="",E603="!!!",F603="NEW"),"",COUNTBLANK(OFFSET(A$1,,,SUMPRODUCT(MAX(ROW(E$2:E603)*(E603=E$2:E603)))))-COUNTBLANK(OFFSET(A$1,,,SUMPRODUCT(MAX(ROW(E$1:E602)*(E2=E$1:E602))))))</f>
        <v>0</v>
      </c>
      <c r="K603" s="24">
        <f ca="1">IF(OR(E603="",E603="!!!",F603="NEW"),"",INDEX(J$1:J602,SUMPRODUCT(MAX(ROW(E$1:E602)*(E603=E$1:E602)))))</f>
        <v>0</v>
      </c>
      <c r="L603" s="25"/>
    </row>
    <row r="604" spans="1:12" x14ac:dyDescent="0.3">
      <c r="A604" t="s">
        <v>359</v>
      </c>
      <c r="B604" s="26" t="s">
        <v>115</v>
      </c>
      <c r="C604" s="26" t="s">
        <v>280</v>
      </c>
      <c r="D604" s="26" t="s">
        <v>75</v>
      </c>
      <c r="E604" s="20" t="s">
        <v>360</v>
      </c>
      <c r="F604" s="21" t="str">
        <f>IF(OR(E604="",E604="!!!"),"",IF(NOT(ISNA(VLOOKUP(E604,E$1:E603,1,FALSE()))),"OLD",IF(AND(E604&lt;&gt;"",E604&lt;&gt;"!!!"),"NEW","")))</f>
        <v>OLD</v>
      </c>
      <c r="G604" s="22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?IN_FOCUS</v>
      </c>
      <c r="H604" s="23" t="str">
        <f t="shared" ca="1" si="33"/>
        <v/>
      </c>
      <c r="I604" s="24" t="str">
        <f>IF(OR(E604="",E604="!!!",F604="NEW"),"",INDEX(B$2:B603,-1+SUMPRODUCT(MAX(ROW(E$2:E603)*(E604=E$2:E603)))))</f>
        <v>SBJ_7</v>
      </c>
      <c r="J604" s="24">
        <f ca="1">IF(OR(E604="",E604="!!!",F604="NEW"),"",COUNTBLANK(OFFSET(A$1,,,SUMPRODUCT(MAX(ROW(E$2:E604)*(E604=E$2:E604)))))-COUNTBLANK(OFFSET(A$1,,,SUMPRODUCT(MAX(ROW(E$1:E603)*(E2=E$1:E603))))))</f>
        <v>0</v>
      </c>
      <c r="K604" s="24">
        <f ca="1">IF(OR(E604="",E604="!!!",F604="NEW"),"",INDEX(J$1:J603,SUMPRODUCT(MAX(ROW(E$1:E603)*(E604=E$1:E603)))))</f>
        <v>0</v>
      </c>
      <c r="L604" s="25"/>
    </row>
    <row r="605" spans="1:12" x14ac:dyDescent="0.3">
      <c r="A605" t="s">
        <v>101</v>
      </c>
      <c r="E605" s="20" t="str">
        <f t="shared" ref="E605:E614" si="35">IF(D605="?OLD","!!!","")</f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33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125</v>
      </c>
      <c r="E606" s="20" t="str">
        <f t="shared" si="35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33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493</v>
      </c>
      <c r="E607" s="20" t="str">
        <f t="shared" si="35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ref="H607:H670" ca="1" si="36">IF(J607&lt;&gt;1,"",IF(I607="SBJ","CB","?"))</f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494</v>
      </c>
      <c r="B608" s="26" t="s">
        <v>300</v>
      </c>
      <c r="C608" s="26" t="s">
        <v>105</v>
      </c>
      <c r="E608" s="20" t="str">
        <f t="shared" si="35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36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155</v>
      </c>
      <c r="E609" s="20" t="str">
        <f t="shared" si="35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36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495</v>
      </c>
      <c r="E610" s="20" t="str">
        <f t="shared" si="35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36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446</v>
      </c>
      <c r="E611" s="20" t="str">
        <f t="shared" si="35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36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496</v>
      </c>
      <c r="E612" s="20" t="str">
        <f t="shared" si="35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36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497</v>
      </c>
      <c r="B613" s="26" t="s">
        <v>104</v>
      </c>
      <c r="C613" s="26" t="s">
        <v>335</v>
      </c>
      <c r="E613" s="20" t="str">
        <f t="shared" si="35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36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129</v>
      </c>
      <c r="E614" s="20" t="str">
        <f t="shared" si="35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36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212</v>
      </c>
      <c r="B615" s="26" t="s">
        <v>110</v>
      </c>
      <c r="C615" s="26" t="s">
        <v>208</v>
      </c>
      <c r="D615" s="26" t="s">
        <v>75</v>
      </c>
      <c r="E615" s="20" t="s">
        <v>206</v>
      </c>
      <c r="F615" s="21" t="str">
        <f>IF(OR(E615="",E615="!!!"),"",IF(NOT(ISNA(VLOOKUP(E615,E$1:E614,1,FALSE()))),"OLD",IF(AND(E615&lt;&gt;"",E615&lt;&gt;"!!!"),"NEW","")))</f>
        <v>OLD</v>
      </c>
      <c r="G615" s="22" t="str">
        <f ca="1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?IN_FOCUS</v>
      </c>
      <c r="H615" s="23" t="str">
        <f t="shared" ca="1" si="36"/>
        <v/>
      </c>
      <c r="I615" s="24" t="str">
        <f>IF(OR(E615="",E615="!!!",F615="NEW"),"",INDEX(B$2:B614,-1+SUMPRODUCT(MAX(ROW(E$2:E614)*(E615=E$2:E614)))))</f>
        <v>SBJ_2</v>
      </c>
      <c r="J615" s="24">
        <f ca="1">IF(OR(E615="",E615="!!!",F615="NEW"),"",COUNTBLANK(OFFSET(A$1,,,SUMPRODUCT(MAX(ROW(E$2:E615)*(E615=E$2:E615)))))-COUNTBLANK(OFFSET(A$1,,,SUMPRODUCT(MAX(ROW(E$1:E614)*(E2=E$1:E614))))))</f>
        <v>0</v>
      </c>
      <c r="K615" s="24" t="str">
        <f ca="1">IF(OR(E615="",E615="!!!",F615="NEW"),"",INDEX(J$1:J614,SUMPRODUCT(MAX(ROW(E$1:E614)*(E615=E$1:E614)))))</f>
        <v/>
      </c>
      <c r="L615" s="27" t="s">
        <v>498</v>
      </c>
    </row>
    <row r="616" spans="1:12" x14ac:dyDescent="0.3">
      <c r="A616" t="s">
        <v>499</v>
      </c>
      <c r="E616" s="20" t="str">
        <f t="shared" ref="E616:E621" si="37">IF(D616="?OLD","!!!","")</f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36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155</v>
      </c>
      <c r="B617" s="26" t="s">
        <v>115</v>
      </c>
      <c r="C617" s="26" t="s">
        <v>111</v>
      </c>
      <c r="E617" s="20" t="str">
        <f t="shared" si="37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36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500</v>
      </c>
      <c r="B618" s="26" t="s">
        <v>147</v>
      </c>
      <c r="C618" s="26" t="s">
        <v>105</v>
      </c>
      <c r="E618" s="20" t="str">
        <f t="shared" si="37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36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86</v>
      </c>
      <c r="E619" s="20" t="str">
        <f t="shared" si="37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36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501</v>
      </c>
      <c r="E620" s="20" t="str">
        <f t="shared" si="37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36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80</v>
      </c>
      <c r="E621" s="20" t="str">
        <f t="shared" si="37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36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502</v>
      </c>
      <c r="B622" s="26" t="s">
        <v>82</v>
      </c>
      <c r="C622" s="26" t="s">
        <v>503</v>
      </c>
      <c r="D622" s="26" t="s">
        <v>75</v>
      </c>
      <c r="E622" s="20">
        <v>2012</v>
      </c>
      <c r="F622" s="21" t="str">
        <f>IF(OR(E622="",E622="!!!"),"",IF(NOT(ISNA(VLOOKUP(E622,E$1:E621,1,FALSE()))),"OLD",IF(AND(E622&lt;&gt;"",E622&lt;&gt;"!!!"),"NEW","")))</f>
        <v>NEW</v>
      </c>
      <c r="G622" s="22" t="str">
        <f ca="1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?REFERENTIAL</v>
      </c>
      <c r="H622" s="23" t="str">
        <f t="shared" ca="1" si="36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7" t="s">
        <v>239</v>
      </c>
    </row>
    <row r="623" spans="1:12" x14ac:dyDescent="0.3">
      <c r="A623" t="s">
        <v>504</v>
      </c>
      <c r="E623" s="20" t="str">
        <f>IF(D623="?OLD","!!!","")</f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36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180</v>
      </c>
      <c r="E624" s="20" t="str">
        <f>IF(D624="?OLD","!!!","")</f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36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505</v>
      </c>
      <c r="B625" s="26" t="s">
        <v>96</v>
      </c>
      <c r="C625" s="26" t="s">
        <v>280</v>
      </c>
      <c r="D625" s="26" t="s">
        <v>75</v>
      </c>
      <c r="E625" s="20" t="s">
        <v>506</v>
      </c>
      <c r="F625" s="21" t="str">
        <f>IF(OR(E625="",E625="!!!"),"",IF(NOT(ISNA(VLOOKUP(E625,E$1:E624,1,FALSE()))),"OLD",IF(AND(E625&lt;&gt;"",E625&lt;&gt;"!!!"),"NEW","")))</f>
        <v>NEW</v>
      </c>
      <c r="G625" s="22" t="str">
        <f ca="1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?REFERENTIAL</v>
      </c>
      <c r="H625" s="23" t="str">
        <f t="shared" ca="1" si="36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507</v>
      </c>
      <c r="E626" s="20" t="str">
        <f>IF(D626="?OLD","!!!","")</f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36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508</v>
      </c>
      <c r="E627" s="20" t="str">
        <f>IF(D627="?OLD","!!!","")</f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36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509</v>
      </c>
      <c r="B628" s="26" t="s">
        <v>110</v>
      </c>
      <c r="C628" s="26" t="s">
        <v>119</v>
      </c>
      <c r="E628" s="20" t="str">
        <f>IF(D628="?OLD","!!!","")</f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36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79</v>
      </c>
      <c r="E629" s="20" t="str">
        <f>IF(D629="?OLD","!!!","")</f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36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136</v>
      </c>
      <c r="E630" s="20" t="str">
        <f>IF(D630="?OLD","!!!","")</f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36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510</v>
      </c>
      <c r="B631" s="26" t="s">
        <v>147</v>
      </c>
      <c r="C631" s="26" t="s">
        <v>280</v>
      </c>
      <c r="D631" s="26" t="s">
        <v>75</v>
      </c>
      <c r="E631" s="20"/>
      <c r="F631" s="21" t="str">
        <f>IF(OR(E631="",E631="!!!"),"",IF(NOT(ISNA(VLOOKUP(E631,E$1:E630,1,FALSE()))),"OLD",IF(AND(E631&lt;&gt;"",E631&lt;&gt;"!!!"),"NEW","")))</f>
        <v/>
      </c>
      <c r="G631" s="22"/>
      <c r="H631" s="23" t="str">
        <f t="shared" ca="1" si="36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 t="s">
        <v>345</v>
      </c>
    </row>
    <row r="632" spans="1:12" x14ac:dyDescent="0.3">
      <c r="A632" t="s">
        <v>16</v>
      </c>
      <c r="E632" s="20" t="str">
        <f>IF(D632="?OLD","!!!","")</f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36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512</v>
      </c>
      <c r="E633" s="20" t="s">
        <v>511</v>
      </c>
      <c r="F633" s="21" t="str">
        <f>IF(OR(E633="",E633="!!!"),"",IF(NOT(ISNA(VLOOKUP(E633,E$1:E632,1,FALSE()))),"OLD",IF(AND(E633&lt;&gt;"",E633&lt;&gt;"!!!"),"NEW","")))</f>
        <v>NEW</v>
      </c>
      <c r="G633" s="22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?REFERENTIAL</v>
      </c>
      <c r="H633" s="23" t="str">
        <f t="shared" ca="1" si="36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513</v>
      </c>
      <c r="E634" s="20" t="str">
        <f t="shared" ref="E634:E640" si="38">IF(D634="?OLD","!!!","")</f>
        <v/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36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142</v>
      </c>
      <c r="E635" s="20" t="str">
        <f t="shared" si="38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36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514</v>
      </c>
      <c r="E636" s="20" t="str">
        <f t="shared" si="38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36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515</v>
      </c>
      <c r="E637" s="20" t="str">
        <f t="shared" si="38"/>
        <v/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36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516</v>
      </c>
      <c r="B638" s="26" t="s">
        <v>300</v>
      </c>
      <c r="C638" s="26" t="s">
        <v>119</v>
      </c>
      <c r="E638" s="20" t="str">
        <f t="shared" si="38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36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517</v>
      </c>
      <c r="E639" s="20" t="str">
        <f t="shared" si="38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36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86</v>
      </c>
      <c r="E640" s="20" t="str">
        <f t="shared" si="38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36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246</v>
      </c>
      <c r="B641" s="26" t="s">
        <v>147</v>
      </c>
      <c r="C641" s="26" t="s">
        <v>208</v>
      </c>
      <c r="D641" s="26" t="s">
        <v>75</v>
      </c>
      <c r="E641" s="20" t="s">
        <v>506</v>
      </c>
      <c r="F641" s="21" t="s">
        <v>272</v>
      </c>
      <c r="G641" s="22" t="str">
        <f ca="1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?IN_FOCUS</v>
      </c>
      <c r="H641" s="23" t="str">
        <f t="shared" ca="1" si="36"/>
        <v/>
      </c>
      <c r="I641" s="24" t="str">
        <f>IF(OR(E641="",E641="!!!",F641="NEW"),"",INDEX(B$2:B640,-1+SUMPRODUCT(MAX(ROW(E$2:E640)*(E641=E$2:E640)))))</f>
        <v>SBJ_2</v>
      </c>
      <c r="J641" s="24">
        <f ca="1">IF(OR(E641="",E641="!!!",F641="NEW"),"",COUNTBLANK(OFFSET(A$1,,,SUMPRODUCT(MAX(ROW(E$2:E641)*(E641=E$2:E641)))))-COUNTBLANK(OFFSET(A$1,,,SUMPRODUCT(MAX(ROW(E$1:E640)*(E2=E$1:E640))))))</f>
        <v>0</v>
      </c>
      <c r="K641" s="24" t="str">
        <f ca="1">IF(OR(E641="",E641="!!!",F641="NEW"),"",INDEX(J$1:J640,SUMPRODUCT(MAX(ROW(E$1:E640)*(E641=E$1:E640)))))</f>
        <v/>
      </c>
      <c r="L641" s="27" t="s">
        <v>518</v>
      </c>
    </row>
    <row r="642" spans="1:12" x14ac:dyDescent="0.3">
      <c r="A642" t="s">
        <v>519</v>
      </c>
      <c r="E642" s="20" t="str">
        <f>IF(D642="?OLD","!!!","")</f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36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136</v>
      </c>
      <c r="E643" s="20" t="str">
        <f>IF(D643="?OLD","!!!","")</f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36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520</v>
      </c>
      <c r="B644" s="26" t="s">
        <v>104</v>
      </c>
      <c r="C644" s="26" t="s">
        <v>74</v>
      </c>
      <c r="D644" s="26" t="s">
        <v>75</v>
      </c>
      <c r="E644" s="20" t="s">
        <v>521</v>
      </c>
      <c r="F644" s="21" t="str">
        <f>IF(OR(E644="",E644="!!!"),"",IF(NOT(ISNA(VLOOKUP(E644,E$1:E643,1,FALSE()))),"OLD",IF(AND(E644&lt;&gt;"",E644&lt;&gt;"!!!"),"NEW","")))</f>
        <v>NEW</v>
      </c>
      <c r="G644" s="22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?REFERENTIAL</v>
      </c>
      <c r="H644" s="23" t="str">
        <f t="shared" ca="1" si="36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142</v>
      </c>
      <c r="E645" s="20" t="str">
        <f>IF(D645="?OLD","!!!","")</f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36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522</v>
      </c>
      <c r="E646" s="20" t="str">
        <f>IF(D646="?OLD","!!!","")</f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36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523</v>
      </c>
      <c r="E647" s="20" t="str">
        <f>IF(D647="?OLD","!!!","")</f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36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524</v>
      </c>
      <c r="B648" s="26" t="s">
        <v>294</v>
      </c>
      <c r="C648" s="26" t="s">
        <v>119</v>
      </c>
      <c r="E648" s="20" t="s">
        <v>525</v>
      </c>
      <c r="F648" s="21" t="str">
        <f>IF(OR(E648="",E648="!!!"),"",IF(NOT(ISNA(VLOOKUP(E648,E$1:E647,1,FALSE()))),"OLD",IF(AND(E648&lt;&gt;"",E648&lt;&gt;"!!!"),"NEW","")))</f>
        <v>NEW</v>
      </c>
      <c r="G648" s="22" t="str">
        <f ca="1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?REFERENTIAL</v>
      </c>
      <c r="H648" s="23" t="str">
        <f t="shared" ca="1" si="36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526</v>
      </c>
      <c r="E649" s="20" t="str">
        <f>IF(D649="?OLD","!!!","")</f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36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86</v>
      </c>
      <c r="E650" s="20" t="str">
        <f>IF(D650="?OLD","!!!","")</f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36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351</v>
      </c>
      <c r="B651" s="26" t="s">
        <v>82</v>
      </c>
      <c r="C651" s="26" t="s">
        <v>151</v>
      </c>
      <c r="D651" s="26" t="s">
        <v>75</v>
      </c>
      <c r="E651" s="20"/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36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7" t="s">
        <v>527</v>
      </c>
    </row>
    <row r="652" spans="1:12" x14ac:dyDescent="0.3">
      <c r="A652" t="s">
        <v>528</v>
      </c>
      <c r="B652" s="26" t="s">
        <v>73</v>
      </c>
      <c r="C652" s="26" t="s">
        <v>353</v>
      </c>
      <c r="D652" s="26" t="s">
        <v>75</v>
      </c>
      <c r="E652" s="20" t="s">
        <v>529</v>
      </c>
      <c r="F652" s="21" t="s">
        <v>210</v>
      </c>
      <c r="G652" s="22" t="e">
        <f ca="1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#VALUE!</v>
      </c>
      <c r="H652" s="23" t="str">
        <f t="shared" ca="1" si="36"/>
        <v/>
      </c>
      <c r="I652" s="24" t="e">
        <f>IF(OR(E652="",E652="!!!",F652="NEW"),"",INDEX(B$2:B651,-1+SUMPRODUCT(MAX(ROW(E$2:E651)*(E652=E$2:E651)))))</f>
        <v>#VALUE!</v>
      </c>
      <c r="J652" s="24">
        <f ca="1">IF(OR(E652="",E652="!!!",F652="NEW"),"",COUNTBLANK(OFFSET(A$1,,,SUMPRODUCT(MAX(ROW(E$2:E652)*(E652=E$2:E652)))))-COUNTBLANK(OFFSET(A$1,,,SUMPRODUCT(MAX(ROW(E$1:E651)*(E2=E$1:E651))))))</f>
        <v>0</v>
      </c>
      <c r="K652" s="24" t="e">
        <f>IF(OR(E652="",E652="!!!",F652="NEW"),"",INDEX(J$1:J651,SUMPRODUCT(MAX(ROW(E$1:E651)*(E652=E$1:E651)))))</f>
        <v>#VALUE!</v>
      </c>
      <c r="L652" s="25"/>
    </row>
    <row r="653" spans="1:12" x14ac:dyDescent="0.3">
      <c r="A653" t="s">
        <v>20</v>
      </c>
      <c r="E653" s="20" t="str">
        <f t="shared" ref="E653:E658" si="39">IF(D653="?OLD","!!!","")</f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36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530</v>
      </c>
      <c r="E654" s="20" t="str">
        <f t="shared" si="39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36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531</v>
      </c>
      <c r="E655" s="20" t="str">
        <f t="shared" si="39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36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532</v>
      </c>
      <c r="B656" s="26" t="s">
        <v>91</v>
      </c>
      <c r="C656" s="26" t="s">
        <v>335</v>
      </c>
      <c r="E656" s="20" t="str">
        <f t="shared" si="39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36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142</v>
      </c>
      <c r="E657" s="20" t="str">
        <f t="shared" si="39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36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533</v>
      </c>
      <c r="E658" s="20" t="str">
        <f t="shared" si="39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36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534</v>
      </c>
      <c r="B659" s="26" t="s">
        <v>115</v>
      </c>
      <c r="C659" s="26" t="s">
        <v>133</v>
      </c>
      <c r="D659" s="26" t="s">
        <v>75</v>
      </c>
      <c r="E659" s="20"/>
      <c r="F659" s="21" t="s">
        <v>107</v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36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535</v>
      </c>
      <c r="E660" s="20" t="str">
        <f>IF(D660="?OLD","!!!","")</f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36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16</v>
      </c>
      <c r="E661" s="20" t="str">
        <f>IF(D661="?OLD","!!!","")</f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36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536</v>
      </c>
      <c r="B662" s="26" t="s">
        <v>82</v>
      </c>
      <c r="C662" s="26" t="s">
        <v>105</v>
      </c>
      <c r="E662" s="20" t="str">
        <f>IF(D662="?OLD","!!!","")</f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36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86</v>
      </c>
      <c r="E663" s="20" t="str">
        <f>IF(D663="?OLD","!!!","")</f>
        <v/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36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537</v>
      </c>
      <c r="B664" s="26" t="s">
        <v>96</v>
      </c>
      <c r="C664" s="26" t="s">
        <v>538</v>
      </c>
      <c r="D664" s="26" t="s">
        <v>75</v>
      </c>
      <c r="E664" s="20" t="s">
        <v>539</v>
      </c>
      <c r="F664" s="21" t="s">
        <v>272</v>
      </c>
      <c r="G664" s="22" t="e">
        <f ca="1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#VALUE!</v>
      </c>
      <c r="H664" s="23" t="str">
        <f t="shared" ca="1" si="36"/>
        <v/>
      </c>
      <c r="I664" s="24" t="e">
        <f>IF(OR(E664="",E664="!!!",F664="NEW"),"",INDEX(B$2:B663,-1+SUMPRODUCT(MAX(ROW(E$2:E663)*(E664=E$2:E663)))))</f>
        <v>#VALUE!</v>
      </c>
      <c r="J664" s="24">
        <f ca="1">IF(OR(E664="",E664="!!!",F664="NEW"),"",COUNTBLANK(OFFSET(A$1,,,SUMPRODUCT(MAX(ROW(E$2:E664)*(E664=E$2:E664)))))-COUNTBLANK(OFFSET(A$1,,,SUMPRODUCT(MAX(ROW(E$1:E663)*(E2=E$1:E663))))))</f>
        <v>0</v>
      </c>
      <c r="K664" s="24" t="e">
        <f>IF(OR(E664="",E664="!!!",F664="NEW"),"",INDEX(J$1:J663,SUMPRODUCT(MAX(ROW(E$1:E663)*(E664=E$1:E663)))))</f>
        <v>#VALUE!</v>
      </c>
      <c r="L664" s="25"/>
    </row>
    <row r="665" spans="1:12" x14ac:dyDescent="0.3">
      <c r="A665" t="s">
        <v>244</v>
      </c>
      <c r="E665" s="20" t="str">
        <f>IF(D665="?OLD","!!!","")</f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36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540</v>
      </c>
      <c r="E666" s="20" t="str">
        <f>IF(D666="?OLD","!!!","")</f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36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541</v>
      </c>
      <c r="E667" s="20" t="str">
        <f>IF(D667="?OLD","!!!","")</f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36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542</v>
      </c>
      <c r="B668" s="26" t="s">
        <v>82</v>
      </c>
      <c r="C668" s="26" t="s">
        <v>119</v>
      </c>
      <c r="E668" s="20" t="str">
        <f>IF(D668="?OLD","!!!","")</f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36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86</v>
      </c>
      <c r="E669" s="20" t="str">
        <f>IF(D669="?OLD","!!!","")</f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36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7" t="s">
        <v>543</v>
      </c>
    </row>
    <row r="671" spans="1:12" x14ac:dyDescent="0.3">
      <c r="A671" t="s">
        <v>393</v>
      </c>
      <c r="E671" s="20" t="str">
        <f>IF(D671="?OLD","!!!","")</f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ca="1">IF(J671&lt;&gt;1,"",IF(I671="SBJ","CB","?"))</f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544</v>
      </c>
    </row>
    <row r="673" spans="1:12" x14ac:dyDescent="0.3">
      <c r="A673" t="s">
        <v>545</v>
      </c>
      <c r="B673" s="26" t="s">
        <v>546</v>
      </c>
      <c r="C673" s="26" t="s">
        <v>280</v>
      </c>
      <c r="D673" s="26" t="s">
        <v>75</v>
      </c>
      <c r="E673" s="20" t="s">
        <v>547</v>
      </c>
      <c r="F673" s="21" t="str">
        <f>IF(OR(E673="",E673="!!!"),"",IF(NOT(ISNA(VLOOKUP(E673,E$1:E672,1,FALSE()))),"OLD",IF(AND(E673&lt;&gt;"",E673&lt;&gt;"!!!"),"NEW","")))</f>
        <v>NEW</v>
      </c>
      <c r="G673" s="22" t="str">
        <f ca="1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?REFERENTIAL</v>
      </c>
      <c r="H673" s="23" t="str">
        <f t="shared" ref="H673:H704" ca="1" si="40">IF(J673&lt;&gt;1,"",IF(I673="SBJ","CB","?"))</f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7" t="s">
        <v>548</v>
      </c>
    </row>
    <row r="674" spans="1:12" x14ac:dyDescent="0.3">
      <c r="A674" t="s">
        <v>236</v>
      </c>
      <c r="E674" s="20" t="str">
        <f>IF(D674="?OLD","!!!","")</f>
        <v/>
      </c>
      <c r="F674" s="21" t="str">
        <f>IF(OR(E674="",E674="!!!"),"",IF(NOT(ISNA(VLOOKUP(E674,E$1:E673,1,FALSE()))),"OLD",IF(AND(E674&lt;&gt;"",E674&lt;&gt;"!!!"),"NEW","")))</f>
        <v/>
      </c>
      <c r="G674" s="22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t="shared" ca="1" si="40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549</v>
      </c>
      <c r="B675" s="26" t="s">
        <v>414</v>
      </c>
      <c r="C675" s="26" t="s">
        <v>105</v>
      </c>
      <c r="E675" s="20" t="str">
        <f>IF(D675="?OLD","!!!","")</f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40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550</v>
      </c>
      <c r="E676" s="20" t="str">
        <f>IF(D676="?OLD","!!!","")</f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40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142</v>
      </c>
      <c r="E677" s="20" t="str">
        <f>IF(D677="?OLD","!!!","")</f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40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136</v>
      </c>
      <c r="E678" s="20" t="str">
        <f>IF(D678="?OLD","!!!","")</f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40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551</v>
      </c>
      <c r="B679" s="26" t="s">
        <v>552</v>
      </c>
      <c r="C679" s="26" t="s">
        <v>74</v>
      </c>
      <c r="D679" s="26" t="s">
        <v>75</v>
      </c>
      <c r="E679" s="20" t="s">
        <v>256</v>
      </c>
      <c r="F679" s="21" t="str">
        <f>IF(OR(E679="",E679="!!!"),"",IF(NOT(ISNA(VLOOKUP(E679,E$1:E678,1,FALSE()))),"OLD",IF(AND(E679&lt;&gt;"",E679&lt;&gt;"!!!"),"NEW","")))</f>
        <v>OLD</v>
      </c>
      <c r="G679" s="22" t="str">
        <f ca="1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?IN_FOCUS</v>
      </c>
      <c r="H679" s="23" t="str">
        <f t="shared" ca="1" si="40"/>
        <v/>
      </c>
      <c r="I679" s="24" t="str">
        <f>IF(OR(E679="",E679="!!!",F679="NEW"),"",INDEX(B$2:B678,-1+SUMPRODUCT(MAX(ROW(E$2:E678)*(E679=E$2:E678)))))</f>
        <v>SBJ_2</v>
      </c>
      <c r="J679" s="24">
        <f ca="1">IF(OR(E679="",E679="!!!",F679="NEW"),"",COUNTBLANK(OFFSET(A$1,,,SUMPRODUCT(MAX(ROW(E$2:E679)*(E679=E$2:E679)))))-COUNTBLANK(OFFSET(A$1,,,SUMPRODUCT(MAX(ROW(E$1:E678)*(E2=E$1:E678))))))</f>
        <v>0</v>
      </c>
      <c r="K679" s="24" t="str">
        <f ca="1">IF(OR(E679="",E679="!!!",F679="NEW"),"",INDEX(J$1:J678,SUMPRODUCT(MAX(ROW(E$1:E678)*(E679=E$1:E678)))))</f>
        <v/>
      </c>
      <c r="L679" s="25"/>
    </row>
    <row r="680" spans="1:12" x14ac:dyDescent="0.3">
      <c r="A680" t="s">
        <v>324</v>
      </c>
      <c r="E680" s="20" t="str">
        <f>IF(D680="?OLD","!!!","")</f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40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553</v>
      </c>
      <c r="E681" s="20" t="str">
        <f>IF(D681="?OLD","!!!","")</f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40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554</v>
      </c>
      <c r="E682" s="20" t="str">
        <f>IF(D682="?OLD","!!!","")</f>
        <v/>
      </c>
      <c r="F682" s="21" t="str">
        <f>IF(OR(E682="",E682="!!!"),"",IF(NOT(ISNA(VLOOKUP(E682,E$1:E681,1,FALSE()))),"OLD",IF(AND(E682&lt;&gt;"",E682&lt;&gt;"!!!"),"NEW","")))</f>
        <v/>
      </c>
      <c r="G682" s="22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t="shared" ca="1" si="40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555</v>
      </c>
      <c r="E683" s="20" t="str">
        <f>IF(D683="?OLD","!!!","")</f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40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556</v>
      </c>
      <c r="B684" s="26" t="s">
        <v>557</v>
      </c>
      <c r="C684" s="26" t="s">
        <v>105</v>
      </c>
      <c r="E684" s="20" t="str">
        <f>IF(D684="?OLD","!!!","")</f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40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558</v>
      </c>
      <c r="E685" s="20" t="s">
        <v>559</v>
      </c>
      <c r="F685" s="21" t="str">
        <f>IF(OR(E685="",E685="!!!"),"",IF(NOT(ISNA(VLOOKUP(E685,E$1:E684,1,FALSE()))),"OLD",IF(AND(E685&lt;&gt;"",E685&lt;&gt;"!!!"),"NEW","")))</f>
        <v>NEW</v>
      </c>
      <c r="G685" s="22" t="str">
        <f ca="1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?REFERENTIAL</v>
      </c>
      <c r="H685" s="23" t="str">
        <f t="shared" ca="1" si="40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7" t="s">
        <v>158</v>
      </c>
    </row>
    <row r="686" spans="1:12" x14ac:dyDescent="0.3">
      <c r="A686" t="s">
        <v>86</v>
      </c>
      <c r="E686" s="20" t="str">
        <f>IF(D686="?OLD","!!!","")</f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40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264</v>
      </c>
      <c r="B687" s="26" t="s">
        <v>557</v>
      </c>
      <c r="C687" s="26" t="s">
        <v>208</v>
      </c>
      <c r="D687" s="26" t="s">
        <v>75</v>
      </c>
      <c r="E687" s="20" t="s">
        <v>559</v>
      </c>
      <c r="F687" s="21" t="str">
        <f>IF(OR(E687="",E687="!!!"),"",IF(NOT(ISNA(VLOOKUP(E687,E$1:E686,1,FALSE()))),"OLD",IF(AND(E687&lt;&gt;"",E687&lt;&gt;"!!!"),"NEW","")))</f>
        <v>OLD</v>
      </c>
      <c r="G687" s="22" t="str">
        <f ca="1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23" t="str">
        <f t="shared" ca="1" si="40"/>
        <v/>
      </c>
      <c r="I687" s="24">
        <f>IF(OR(E687="",E687="!!!",F687="NEW"),"",INDEX(B$2:B686,-1+SUMPRODUCT(MAX(ROW(E$2:E686)*(E687=E$2:E686)))))</f>
        <v>0</v>
      </c>
      <c r="J687" s="24">
        <f ca="1">IF(OR(E687="",E687="!!!",F687="NEW"),"",COUNTBLANK(OFFSET(A$1,,,SUMPRODUCT(MAX(ROW(E$2:E687)*(E687=E$2:E687)))))-COUNTBLANK(OFFSET(A$1,,,SUMPRODUCT(MAX(ROW(E$1:E686)*(E2=E$1:E686))))))</f>
        <v>0</v>
      </c>
      <c r="K687" s="24" t="str">
        <f ca="1">IF(OR(E687="",E687="!!!",F687="NEW"),"",INDEX(J$1:J686,SUMPRODUCT(MAX(ROW(E$1:E686)*(E687=E$1:E686)))))</f>
        <v/>
      </c>
      <c r="L687" s="25"/>
    </row>
    <row r="688" spans="1:12" x14ac:dyDescent="0.3">
      <c r="A688" t="s">
        <v>167</v>
      </c>
      <c r="E688" s="20" t="str">
        <f t="shared" ref="E688:E694" si="41">IF(D688="?OLD","!!!","")</f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40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39</v>
      </c>
      <c r="E689" s="20" t="str">
        <f t="shared" si="41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40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554</v>
      </c>
      <c r="E690" s="20" t="str">
        <f t="shared" si="41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40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560</v>
      </c>
      <c r="B691" s="26" t="s">
        <v>411</v>
      </c>
      <c r="C691" s="26" t="s">
        <v>119</v>
      </c>
      <c r="E691" s="20" t="str">
        <f t="shared" si="41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40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197</v>
      </c>
      <c r="E692" s="20" t="str">
        <f t="shared" si="41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40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178</v>
      </c>
      <c r="E693" s="20" t="str">
        <f t="shared" si="41"/>
        <v/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40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187</v>
      </c>
      <c r="E694" s="20" t="str">
        <f t="shared" si="41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40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561</v>
      </c>
      <c r="B695" s="26" t="s">
        <v>416</v>
      </c>
      <c r="C695" s="26" t="s">
        <v>74</v>
      </c>
      <c r="D695" s="26" t="s">
        <v>75</v>
      </c>
      <c r="E695" s="20" t="s">
        <v>562</v>
      </c>
      <c r="F695" s="21" t="str">
        <f>IF(OR(E695="",E695="!!!"),"",IF(NOT(ISNA(VLOOKUP(E695,E$1:E694,1,FALSE()))),"OLD",IF(AND(E695&lt;&gt;"",E695&lt;&gt;"!!!"),"NEW","")))</f>
        <v>NEW</v>
      </c>
      <c r="G695" s="22" t="str">
        <f ca="1"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?REFERENTIAL</v>
      </c>
      <c r="H695" s="23" t="str">
        <f t="shared" ca="1" si="40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86</v>
      </c>
      <c r="E696" s="20" t="str">
        <f t="shared" ref="E696:E704" si="42">IF(D696="?OLD","!!!","")</f>
        <v/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40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563</v>
      </c>
      <c r="B697" s="26" t="s">
        <v>207</v>
      </c>
      <c r="C697" s="26" t="s">
        <v>105</v>
      </c>
      <c r="E697" s="20" t="str">
        <f t="shared" si="42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40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101</v>
      </c>
      <c r="E698" s="20" t="str">
        <f t="shared" si="42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40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483</v>
      </c>
      <c r="E699" s="20" t="str">
        <f t="shared" si="42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40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446</v>
      </c>
      <c r="E700" s="20" t="str">
        <f t="shared" si="42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40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496</v>
      </c>
      <c r="E701" s="20" t="str">
        <f t="shared" si="42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40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564</v>
      </c>
      <c r="E702" s="20" t="str">
        <f t="shared" si="42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40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497</v>
      </c>
      <c r="B703" s="26" t="s">
        <v>416</v>
      </c>
      <c r="C703" s="26" t="s">
        <v>335</v>
      </c>
      <c r="E703" s="20" t="str">
        <f t="shared" si="42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40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78</v>
      </c>
      <c r="E704" s="20" t="str">
        <f t="shared" si="42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40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565</v>
      </c>
      <c r="B705" s="26" t="s">
        <v>203</v>
      </c>
      <c r="C705" s="26" t="s">
        <v>280</v>
      </c>
      <c r="D705" s="26" t="s">
        <v>75</v>
      </c>
      <c r="E705" s="20" t="s">
        <v>566</v>
      </c>
      <c r="F705" s="21" t="str">
        <f>IF(OR(E705="",E705="!!!"),"",IF(NOT(ISNA(VLOOKUP(E705,E$1:E704,1,FALSE()))),"OLD",IF(AND(E705&lt;&gt;"",E705&lt;&gt;"!!!"),"NEW","")))</f>
        <v>NEW</v>
      </c>
      <c r="G705" s="22" t="str">
        <f ca="1"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?REFERENTIAL</v>
      </c>
      <c r="H705" s="23" t="str">
        <f t="shared" ref="H705:H736" ca="1" si="43">IF(J705&lt;&gt;1,"",IF(I705="SBJ","CB","?"))</f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86</v>
      </c>
      <c r="E706" s="20" t="str">
        <f>IF(D706="?OLD","!!!","")</f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43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565</v>
      </c>
      <c r="E707" s="20" t="s">
        <v>566</v>
      </c>
      <c r="F707" s="21" t="str">
        <f>IF(OR(E707="",E707="!!!"),"",IF(NOT(ISNA(VLOOKUP(E707,E$1:E706,1,FALSE()))),"OLD",IF(AND(E707&lt;&gt;"",E707&lt;&gt;"!!!"),"NEW","")))</f>
        <v>OLD</v>
      </c>
      <c r="G707" s="22" t="str">
        <f ca="1"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?IN_FOCUS</v>
      </c>
      <c r="H707" s="23" t="str">
        <f t="shared" ca="1" si="43"/>
        <v/>
      </c>
      <c r="I707" s="24" t="str">
        <f>IF(OR(E707="",E707="!!!",F707="NEW"),"",INDEX(B$2:B706,-1+SUMPRODUCT(MAX(ROW(E$2:E706)*(E707=E$2:E706)))))</f>
        <v>SBJ_5</v>
      </c>
      <c r="J707" s="24">
        <f ca="1">IF(OR(E707="",E707="!!!",F707="NEW"),"",COUNTBLANK(OFFSET(A$1,,,SUMPRODUCT(MAX(ROW(E$2:E707)*(E707=E$2:E707)))))-COUNTBLANK(OFFSET(A$1,,,SUMPRODUCT(MAX(ROW(E$1:E706)*(E2=E$1:E706))))))</f>
        <v>0</v>
      </c>
      <c r="K707" s="24" t="str">
        <f ca="1">IF(OR(E707="",E707="!!!",F707="NEW"),"",INDEX(J$1:J706,SUMPRODUCT(MAX(ROW(E$1:E706)*(E707=E$1:E706)))))</f>
        <v/>
      </c>
      <c r="L707" s="25"/>
    </row>
    <row r="708" spans="1:12" x14ac:dyDescent="0.3">
      <c r="A708" t="s">
        <v>78</v>
      </c>
      <c r="E708" s="20" t="str">
        <f>IF(D708="?OLD","!!!","")</f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43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333</v>
      </c>
      <c r="E709" s="20" t="str">
        <f>IF(D709="?OLD","!!!","")</f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43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567</v>
      </c>
      <c r="B710" s="26" t="s">
        <v>115</v>
      </c>
      <c r="C710" s="26" t="s">
        <v>280</v>
      </c>
      <c r="D710" s="26" t="s">
        <v>75</v>
      </c>
      <c r="E710" s="20" t="s">
        <v>568</v>
      </c>
      <c r="F710" s="21" t="str">
        <f>IF(OR(E710="",E710="!!!"),"",IF(NOT(ISNA(VLOOKUP(E710,E$1:E709,1,FALSE()))),"OLD",IF(AND(E710&lt;&gt;"",E710&lt;&gt;"!!!"),"NEW","")))</f>
        <v>NEW</v>
      </c>
      <c r="G710" s="22" t="str">
        <f ca="1"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?REFERENTIAL</v>
      </c>
      <c r="H710" s="23" t="str">
        <f t="shared" ca="1" si="43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7" t="s">
        <v>569</v>
      </c>
    </row>
    <row r="711" spans="1:12" x14ac:dyDescent="0.3">
      <c r="A711" t="s">
        <v>16</v>
      </c>
      <c r="E711" s="20" t="str">
        <f t="shared" ref="E711:E718" si="44">IF(D711="?OLD","!!!","")</f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43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570</v>
      </c>
      <c r="E712" s="20" t="str">
        <f t="shared" si="44"/>
        <v/>
      </c>
      <c r="F712" s="21" t="s">
        <v>139</v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43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86</v>
      </c>
      <c r="E713" s="20" t="str">
        <f t="shared" si="44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43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571</v>
      </c>
      <c r="E714" s="20" t="str">
        <f t="shared" si="44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43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572</v>
      </c>
      <c r="E715" s="20" t="str">
        <f t="shared" si="44"/>
        <v/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43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469</v>
      </c>
      <c r="E716" s="20" t="str">
        <f t="shared" si="44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43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573</v>
      </c>
      <c r="B717" s="26" t="s">
        <v>402</v>
      </c>
      <c r="C717" s="26" t="s">
        <v>335</v>
      </c>
      <c r="E717" s="20" t="str">
        <f t="shared" si="44"/>
        <v/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43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574</v>
      </c>
      <c r="E718" s="20" t="str">
        <f t="shared" si="44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43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253</v>
      </c>
      <c r="B719" s="26" t="s">
        <v>207</v>
      </c>
      <c r="C719" s="26" t="s">
        <v>208</v>
      </c>
      <c r="D719" s="26" t="s">
        <v>75</v>
      </c>
      <c r="E719" s="20" t="s">
        <v>566</v>
      </c>
      <c r="F719" s="21" t="str">
        <f>IF(OR(E719="",E719="!!!"),"",IF(NOT(ISNA(VLOOKUP(E719,E$1:E718,1,FALSE()))),"OLD",IF(AND(E719&lt;&gt;"",E719&lt;&gt;"!!!"),"NEW","")))</f>
        <v>OLD</v>
      </c>
      <c r="G719" s="22" t="str">
        <f ca="1"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?IN_FOCUS</v>
      </c>
      <c r="H719" s="23" t="str">
        <f t="shared" ca="1" si="43"/>
        <v/>
      </c>
      <c r="I719" s="24">
        <f>IF(OR(E719="",E719="!!!",F719="NEW"),"",INDEX(B$2:B718,-1+SUMPRODUCT(MAX(ROW(E$2:E718)*(E719=E$2:E718)))))</f>
        <v>0</v>
      </c>
      <c r="J719" s="24">
        <f ca="1">IF(OR(E719="",E719="!!!",F719="NEW"),"",COUNTBLANK(OFFSET(A$1,,,SUMPRODUCT(MAX(ROW(E$2:E719)*(E719=E$2:E719)))))-COUNTBLANK(OFFSET(A$1,,,SUMPRODUCT(MAX(ROW(E$1:E718)*(E2=E$1:E718))))))</f>
        <v>0</v>
      </c>
      <c r="K719" s="24">
        <f ca="1">IF(OR(E719="",E719="!!!",F719="NEW"),"",INDEX(J$1:J718,SUMPRODUCT(MAX(ROW(E$1:E718)*(E719=E$1:E718)))))</f>
        <v>0</v>
      </c>
      <c r="L719" s="25"/>
    </row>
    <row r="720" spans="1:12" x14ac:dyDescent="0.3">
      <c r="A720" t="s">
        <v>575</v>
      </c>
      <c r="E720" s="20" t="s">
        <v>566</v>
      </c>
      <c r="F720" s="21" t="str">
        <f>IF(OR(E720="",E720="!!!"),"",IF(NOT(ISNA(VLOOKUP(E720,E$1:E719,1,FALSE()))),"OLD",IF(AND(E720&lt;&gt;"",E720&lt;&gt;"!!!"),"NEW","")))</f>
        <v>OLD</v>
      </c>
      <c r="G720" s="22" t="str">
        <f ca="1"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?IN_FOCUS</v>
      </c>
      <c r="H720" s="23" t="str">
        <f t="shared" ca="1" si="43"/>
        <v/>
      </c>
      <c r="I720" s="24" t="str">
        <f>IF(OR(E720="",E720="!!!",F720="NEW"),"",INDEX(B$2:B719,-1+SUMPRODUCT(MAX(ROW(E$2:E719)*(E720=E$2:E719)))))</f>
        <v>SBJ_6</v>
      </c>
      <c r="J720" s="24">
        <f ca="1">IF(OR(E720="",E720="!!!",F720="NEW"),"",COUNTBLANK(OFFSET(A$1,,,SUMPRODUCT(MAX(ROW(E$2:E720)*(E720=E$2:E720)))))-COUNTBLANK(OFFSET(A$1,,,SUMPRODUCT(MAX(ROW(E$1:E719)*(E2=E$1:E719))))))</f>
        <v>0</v>
      </c>
      <c r="K720" s="24">
        <f ca="1">IF(OR(E720="",E720="!!!",F720="NEW"),"",INDEX(J$1:J719,SUMPRODUCT(MAX(ROW(E$1:E719)*(E720=E$1:E719)))))</f>
        <v>0</v>
      </c>
      <c r="L720" s="25"/>
    </row>
    <row r="721" spans="1:12" x14ac:dyDescent="0.3">
      <c r="A721" t="s">
        <v>576</v>
      </c>
      <c r="B721" s="26" t="s">
        <v>213</v>
      </c>
      <c r="C721" s="26" t="s">
        <v>474</v>
      </c>
      <c r="E721" s="20" t="s">
        <v>577</v>
      </c>
      <c r="F721" s="21" t="str">
        <f>IF(OR(E721="",E721="!!!"),"",IF(NOT(ISNA(VLOOKUP(E721,E$1:E720,1,FALSE()))),"OLD",IF(AND(E721&lt;&gt;"",E721&lt;&gt;"!!!"),"NEW","")))</f>
        <v>NEW</v>
      </c>
      <c r="G721" s="22" t="str">
        <f ca="1"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?REFERENTIAL</v>
      </c>
      <c r="H721" s="23" t="str">
        <f t="shared" ca="1" si="43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101</v>
      </c>
      <c r="E722" s="20" t="str">
        <f t="shared" ref="E722:E727" si="45">IF(D722="?OLD","!!!","")</f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43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578</v>
      </c>
      <c r="E723" s="20" t="str">
        <f t="shared" si="45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43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16</v>
      </c>
      <c r="E724" s="20" t="str">
        <f t="shared" si="45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43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579</v>
      </c>
      <c r="B725" s="26" t="s">
        <v>416</v>
      </c>
      <c r="C725" s="26" t="s">
        <v>105</v>
      </c>
      <c r="E725" s="20" t="str">
        <f t="shared" si="45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43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101</v>
      </c>
      <c r="E726" s="20" t="str">
        <f t="shared" si="45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43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142</v>
      </c>
      <c r="E727" s="20" t="str">
        <f t="shared" si="45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43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580</v>
      </c>
      <c r="E728" s="20" t="s">
        <v>581</v>
      </c>
      <c r="F728" s="21" t="str">
        <f>IF(OR(E728="",E728="!!!"),"",IF(NOT(ISNA(VLOOKUP(E728,E$1:E727,1,FALSE()))),"OLD",IF(AND(E728&lt;&gt;"",E728&lt;&gt;"!!!"),"NEW","")))</f>
        <v>NEW</v>
      </c>
      <c r="G728" s="22" t="str">
        <f ca="1"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?REFERENTIAL</v>
      </c>
      <c r="H728" s="23" t="str">
        <f t="shared" ca="1" si="43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7" t="s">
        <v>158</v>
      </c>
    </row>
    <row r="729" spans="1:12" x14ac:dyDescent="0.3">
      <c r="A729" t="s">
        <v>136</v>
      </c>
      <c r="E729" s="20" t="str">
        <f>IF(D729="?OLD","!!!","")</f>
        <v/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43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582</v>
      </c>
      <c r="B730" s="26" t="s">
        <v>408</v>
      </c>
      <c r="C730" s="26" t="s">
        <v>74</v>
      </c>
      <c r="D730" s="26" t="s">
        <v>75</v>
      </c>
      <c r="E730" s="20" t="s">
        <v>583</v>
      </c>
      <c r="F730" s="21" t="str">
        <f>IF(OR(E730="",E730="!!!"),"",IF(NOT(ISNA(VLOOKUP(E730,E$1:E729,1,FALSE()))),"OLD",IF(AND(E730&lt;&gt;"",E730&lt;&gt;"!!!"),"NEW","")))</f>
        <v>NEW</v>
      </c>
      <c r="G730" s="22" t="str">
        <f ca="1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?REFERENTIAL</v>
      </c>
      <c r="H730" s="23" t="str">
        <f t="shared" ca="1" si="43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79</v>
      </c>
      <c r="E731" s="20" t="str">
        <f>IF(D731="?OLD","!!!","")</f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43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160</v>
      </c>
      <c r="E732" s="20" t="str">
        <f>IF(D732="?OLD","!!!","")</f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43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584</v>
      </c>
      <c r="B733" s="26" t="s">
        <v>414</v>
      </c>
      <c r="C733" s="26" t="s">
        <v>74</v>
      </c>
      <c r="D733" s="26" t="s">
        <v>75</v>
      </c>
      <c r="E733" s="20" t="s">
        <v>585</v>
      </c>
      <c r="F733" s="21" t="str">
        <f>IF(OR(E733="",E733="!!!"),"",IF(NOT(ISNA(VLOOKUP(E733,E$1:E732,1,FALSE()))),"OLD",IF(AND(E733&lt;&gt;"",E733&lt;&gt;"!!!"),"NEW","")))</f>
        <v>NEW</v>
      </c>
      <c r="G733" s="22" t="str">
        <f ca="1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?REFERENTIAL</v>
      </c>
      <c r="H733" s="23" t="str">
        <f t="shared" ca="1" si="43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86</v>
      </c>
      <c r="E734" s="20" t="str">
        <f>IF(D734="?OLD","!!!","")</f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43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264</v>
      </c>
      <c r="B735" s="26" t="s">
        <v>104</v>
      </c>
      <c r="C735" s="26" t="s">
        <v>151</v>
      </c>
      <c r="D735" s="26" t="s">
        <v>75</v>
      </c>
      <c r="E735" s="20" t="s">
        <v>581</v>
      </c>
      <c r="F735" s="21" t="str">
        <f>IF(OR(E735="",E735="!!!"),"",IF(NOT(ISNA(VLOOKUP(E735,E$1:E734,1,FALSE()))),"OLD",IF(AND(E735&lt;&gt;"",E735&lt;&gt;"!!!"),"NEW","")))</f>
        <v>OLD</v>
      </c>
      <c r="G735" s="22" t="str">
        <f ca="1"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?IN_FOCUS</v>
      </c>
      <c r="H735" s="23" t="str">
        <f t="shared" ca="1" si="43"/>
        <v/>
      </c>
      <c r="I735" s="24">
        <f>IF(OR(E735="",E735="!!!",F735="NEW"),"",INDEX(B$2:B734,-1+SUMPRODUCT(MAX(ROW(E$2:E734)*(E735=E$2:E734)))))</f>
        <v>0</v>
      </c>
      <c r="J735" s="24">
        <f ca="1">IF(OR(E735="",E735="!!!",F735="NEW"),"",COUNTBLANK(OFFSET(A$1,,,SUMPRODUCT(MAX(ROW(E$2:E735)*(E735=E$2:E735)))))-COUNTBLANK(OFFSET(A$1,,,SUMPRODUCT(MAX(ROW(E$1:E734)*(E2=E$1:E734))))))</f>
        <v>0</v>
      </c>
      <c r="K735" s="24" t="str">
        <f ca="1">IF(OR(E735="",E735="!!!",F735="NEW"),"",INDEX(J$1:J734,SUMPRODUCT(MAX(ROW(E$1:E734)*(E735=E$1:E734)))))</f>
        <v/>
      </c>
      <c r="L735" s="25"/>
    </row>
    <row r="736" spans="1:12" x14ac:dyDescent="0.3">
      <c r="A736" t="s">
        <v>78</v>
      </c>
      <c r="E736" s="20" t="str">
        <f t="shared" ref="E736:E743" si="46">IF(D736="?OLD","!!!","")</f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43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333</v>
      </c>
      <c r="E737" s="20" t="str">
        <f t="shared" si="46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ref="H737:H768" ca="1" si="47">IF(J737&lt;&gt;1,"",IF(I737="SBJ","CB","?"))</f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92</v>
      </c>
      <c r="E738" s="20" t="str">
        <f t="shared" si="46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47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586</v>
      </c>
      <c r="E739" s="20" t="str">
        <f t="shared" si="46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47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587</v>
      </c>
      <c r="E740" s="20" t="str">
        <f t="shared" si="46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47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86</v>
      </c>
      <c r="E741" s="20" t="str">
        <f t="shared" si="46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47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588</v>
      </c>
      <c r="B742" s="26" t="s">
        <v>91</v>
      </c>
      <c r="C742" s="26" t="s">
        <v>589</v>
      </c>
      <c r="E742" s="20" t="str">
        <f t="shared" si="46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47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590</v>
      </c>
      <c r="E743" s="20" t="str">
        <f t="shared" si="46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47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253</v>
      </c>
      <c r="B744" s="26" t="s">
        <v>73</v>
      </c>
      <c r="C744" s="26" t="s">
        <v>208</v>
      </c>
      <c r="D744" s="26" t="s">
        <v>75</v>
      </c>
      <c r="E744" s="20" t="s">
        <v>566</v>
      </c>
      <c r="F744" s="21" t="str">
        <f>IF(OR(E744="",E744="!!!"),"",IF(NOT(ISNA(VLOOKUP(E744,E$1:E743,1,FALSE()))),"OLD",IF(AND(E744&lt;&gt;"",E744&lt;&gt;"!!!"),"NEW","")))</f>
        <v>OLD</v>
      </c>
      <c r="G744" s="22" t="str">
        <f ca="1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23" t="str">
        <f t="shared" ca="1" si="47"/>
        <v/>
      </c>
      <c r="I744" s="24">
        <f>IF(OR(E744="",E744="!!!",F744="NEW"),"",INDEX(B$2:B743,-1+SUMPRODUCT(MAX(ROW(E$2:E743)*(E744=E$2:E743)))))</f>
        <v>0</v>
      </c>
      <c r="J744" s="24">
        <f ca="1">IF(OR(E744="",E744="!!!",F744="NEW"),"",COUNTBLANK(OFFSET(A$1,,,SUMPRODUCT(MAX(ROW(E$2:E744)*(E744=E$2:E744)))))-COUNTBLANK(OFFSET(A$1,,,SUMPRODUCT(MAX(ROW(E$1:E743)*(E2=E$1:E743))))))</f>
        <v>0</v>
      </c>
      <c r="K744" s="24">
        <f ca="1">IF(OR(E744="",E744="!!!",F744="NEW"),"",INDEX(J$1:J743,SUMPRODUCT(MAX(ROW(E$1:E743)*(E744=E$1:E743)))))</f>
        <v>0</v>
      </c>
      <c r="L744" s="25"/>
    </row>
    <row r="745" spans="1:12" x14ac:dyDescent="0.3">
      <c r="A745" t="s">
        <v>160</v>
      </c>
      <c r="E745" s="20" t="s">
        <v>581</v>
      </c>
      <c r="F745" s="21" t="str">
        <f>IF(OR(E745="",E745="!!!"),"",IF(NOT(ISNA(VLOOKUP(E745,E$1:E744,1,FALSE()))),"OLD",IF(AND(E745&lt;&gt;"",E745&lt;&gt;"!!!"),"NEW","")))</f>
        <v>OLD</v>
      </c>
      <c r="G745" s="22" t="str">
        <f ca="1"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?IN_FOCUS</v>
      </c>
      <c r="H745" s="23" t="str">
        <f t="shared" ca="1" si="47"/>
        <v/>
      </c>
      <c r="I745" s="24" t="str">
        <f>IF(OR(E745="",E745="!!!",F745="NEW"),"",INDEX(B$2:B744,-1+SUMPRODUCT(MAX(ROW(E$2:E744)*(E745=E$2:E744)))))</f>
        <v>SBJ_3</v>
      </c>
      <c r="J745" s="24">
        <f ca="1">IF(OR(E745="",E745="!!!",F745="NEW"),"",COUNTBLANK(OFFSET(A$1,,,SUMPRODUCT(MAX(ROW(E$2:E745)*(E745=E$2:E745)))))-COUNTBLANK(OFFSET(A$1,,,SUMPRODUCT(MAX(ROW(E$1:E744)*(E2=E$1:E744))))))</f>
        <v>0</v>
      </c>
      <c r="K745" s="24">
        <f ca="1">IF(OR(E745="",E745="!!!",F745="NEW"),"",INDEX(J$1:J744,SUMPRODUCT(MAX(ROW(E$1:E744)*(E745=E$1:E744)))))</f>
        <v>0</v>
      </c>
      <c r="L745" s="27" t="s">
        <v>591</v>
      </c>
    </row>
    <row r="746" spans="1:12" x14ac:dyDescent="0.3">
      <c r="A746" t="s">
        <v>592</v>
      </c>
      <c r="E746" s="20" t="str">
        <f>IF(D746="?OLD","!!!","")</f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ca="1" si="47"/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446</v>
      </c>
      <c r="E747" s="20" t="str">
        <f>IF(D747="?OLD","!!!","")</f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47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71</v>
      </c>
      <c r="E748" s="20" t="str">
        <f>IF(D748="?OLD","!!!","")</f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47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578</v>
      </c>
      <c r="B749" s="26" t="s">
        <v>96</v>
      </c>
      <c r="C749" s="26" t="s">
        <v>280</v>
      </c>
      <c r="D749" s="26" t="s">
        <v>75</v>
      </c>
      <c r="E749" s="20"/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47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7" t="s">
        <v>527</v>
      </c>
    </row>
    <row r="750" spans="1:12" x14ac:dyDescent="0.3">
      <c r="A750" t="s">
        <v>16</v>
      </c>
      <c r="E750" s="20" t="str">
        <f>IF(D750="?OLD","!!!","")</f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47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593</v>
      </c>
      <c r="E751" s="20" t="s">
        <v>594</v>
      </c>
      <c r="F751" s="21" t="str">
        <f>IF(OR(E751="",E751="!!!"),"",IF(NOT(ISNA(VLOOKUP(E751,E$1:E750,1,FALSE()))),"OLD",IF(AND(E751&lt;&gt;"",E751&lt;&gt;"!!!"),"NEW","")))</f>
        <v>NEW</v>
      </c>
      <c r="G751" s="22" t="str">
        <f ca="1"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?REFERENTIAL</v>
      </c>
      <c r="H751" s="23" t="str">
        <f t="shared" ca="1" si="47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595</v>
      </c>
      <c r="E752" s="20" t="str">
        <f t="shared" ref="E752:E766" si="48">IF(D752="?OLD","!!!","")</f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47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596</v>
      </c>
      <c r="E753" s="20" t="str">
        <f t="shared" si="48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47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101</v>
      </c>
      <c r="E754" s="20" t="str">
        <f t="shared" si="48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47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270</v>
      </c>
      <c r="E755" s="20" t="str">
        <f t="shared" si="48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47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123</v>
      </c>
      <c r="E756" s="20" t="str">
        <f t="shared" si="48"/>
        <v/>
      </c>
      <c r="F756" s="21" t="s">
        <v>124</v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47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229</v>
      </c>
      <c r="E757" s="20" t="str">
        <f t="shared" si="48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47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597</v>
      </c>
      <c r="E758" s="20" t="str">
        <f t="shared" si="48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47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467</v>
      </c>
      <c r="B759" s="26" t="s">
        <v>257</v>
      </c>
      <c r="C759" s="26" t="s">
        <v>105</v>
      </c>
      <c r="E759" s="20" t="str">
        <f t="shared" si="48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47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182</v>
      </c>
      <c r="E760" s="20" t="str">
        <f t="shared" si="48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47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598</v>
      </c>
      <c r="B761" s="26" t="s">
        <v>303</v>
      </c>
      <c r="C761" s="26" t="s">
        <v>105</v>
      </c>
      <c r="E761" s="20" t="str">
        <f t="shared" si="48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47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199</v>
      </c>
      <c r="E762" s="20" t="str">
        <f t="shared" si="48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47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182</v>
      </c>
      <c r="E763" s="20" t="str">
        <f t="shared" si="48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47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599</v>
      </c>
      <c r="B764" s="26" t="s">
        <v>402</v>
      </c>
      <c r="C764" s="26" t="s">
        <v>105</v>
      </c>
      <c r="E764" s="20" t="str">
        <f t="shared" si="48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47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101</v>
      </c>
      <c r="E765" s="20" t="str">
        <f t="shared" si="48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47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142</v>
      </c>
      <c r="E766" s="20" t="str">
        <f t="shared" si="48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47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600</v>
      </c>
      <c r="B767" s="26" t="s">
        <v>402</v>
      </c>
      <c r="C767" s="26" t="s">
        <v>151</v>
      </c>
      <c r="D767" s="26" t="s">
        <v>75</v>
      </c>
      <c r="E767" s="20"/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47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7" t="s">
        <v>527</v>
      </c>
    </row>
    <row r="768" spans="1:12" x14ac:dyDescent="0.3">
      <c r="A768" t="s">
        <v>334</v>
      </c>
      <c r="B768" s="26" t="s">
        <v>303</v>
      </c>
      <c r="C768" s="26" t="s">
        <v>353</v>
      </c>
      <c r="D768" s="26" t="s">
        <v>75</v>
      </c>
      <c r="E768" s="20" t="s">
        <v>566</v>
      </c>
      <c r="F768" s="21" t="str">
        <f>IF(OR(E768="",E768="!!!"),"",IF(NOT(ISNA(VLOOKUP(E768,E$1:E767,1,FALSE()))),"OLD",IF(AND(E768&lt;&gt;"",E768&lt;&gt;"!!!"),"NEW","")))</f>
        <v>OLD</v>
      </c>
      <c r="G768" s="22" t="str">
        <f ca="1"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?IN_FOCUS</v>
      </c>
      <c r="H768" s="23" t="str">
        <f t="shared" ca="1" si="47"/>
        <v/>
      </c>
      <c r="I768" s="24" t="str">
        <f>IF(OR(E768="",E768="!!!",F768="NEW"),"",INDEX(B$2:B767,-1+SUMPRODUCT(MAX(ROW(E$2:E767)*(E768=E$2:E767)))))</f>
        <v>SBJ</v>
      </c>
      <c r="J768" s="24">
        <f ca="1">IF(OR(E768="",E768="!!!",F768="NEW"),"",COUNTBLANK(OFFSET(A$1,,,SUMPRODUCT(MAX(ROW(E$2:E768)*(E768=E$2:E768)))))-COUNTBLANK(OFFSET(A$1,,,SUMPRODUCT(MAX(ROW(E$1:E767)*(E2=E$1:E767))))))</f>
        <v>0</v>
      </c>
      <c r="K768" s="24">
        <f ca="1">IF(OR(E768="",E768="!!!",F768="NEW"),"",INDEX(J$1:J767,SUMPRODUCT(MAX(ROW(E$1:E767)*(E768=E$1:E767)))))</f>
        <v>0</v>
      </c>
      <c r="L768" s="25"/>
    </row>
    <row r="769" spans="1:12" x14ac:dyDescent="0.3">
      <c r="A769" t="s">
        <v>180</v>
      </c>
      <c r="E769" s="20" t="str">
        <f>IF(D769="?OLD","!!!","")</f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ref="H769:H800" ca="1" si="49">IF(J769&lt;&gt;1,"",IF(I769="SBJ","CB","?"))</f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136</v>
      </c>
      <c r="E770" s="20"/>
      <c r="F770" s="21"/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49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101</v>
      </c>
      <c r="E771" s="20" t="str">
        <f>IF(D771="?OLD","!!!","")</f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49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140</v>
      </c>
      <c r="E772" s="20" t="str">
        <f>IF(D772="?OLD","!!!","")</f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49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253</v>
      </c>
      <c r="B773" s="26" t="s">
        <v>257</v>
      </c>
      <c r="C773" s="26" t="s">
        <v>208</v>
      </c>
      <c r="D773" s="26" t="s">
        <v>75</v>
      </c>
      <c r="E773" s="20" t="s">
        <v>566</v>
      </c>
      <c r="F773" s="21" t="str">
        <f>IF(OR(E773="",E773="!!!"),"",IF(NOT(ISNA(VLOOKUP(E773,E$1:E772,1,FALSE()))),"OLD",IF(AND(E773&lt;&gt;"",E773&lt;&gt;"!!!"),"NEW","")))</f>
        <v>OLD</v>
      </c>
      <c r="G773" s="22" t="str">
        <f ca="1"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?IN_FOCUS</v>
      </c>
      <c r="H773" s="23" t="str">
        <f t="shared" ca="1" si="49"/>
        <v/>
      </c>
      <c r="I773" s="24" t="str">
        <f>IF(OR(E773="",E773="!!!",F773="NEW"),"",INDEX(B$2:B772,-1+SUMPRODUCT(MAX(ROW(E$2:E772)*(E773=E$2:E772)))))</f>
        <v>other_5</v>
      </c>
      <c r="J773" s="24">
        <f ca="1">IF(OR(E773="",E773="!!!",F773="NEW"),"",COUNTBLANK(OFFSET(A$1,,,SUMPRODUCT(MAX(ROW(E$2:E773)*(E773=E$2:E773)))))-COUNTBLANK(OFFSET(A$1,,,SUMPRODUCT(MAX(ROW(E$1:E772)*(E2=E$1:E772))))))</f>
        <v>0</v>
      </c>
      <c r="K773" s="24">
        <f ca="1">IF(OR(E773="",E773="!!!",F773="NEW"),"",INDEX(J$1:J772,SUMPRODUCT(MAX(ROW(E$1:E772)*(E773=E$1:E772)))))</f>
        <v>0</v>
      </c>
      <c r="L773" s="25"/>
    </row>
    <row r="774" spans="1:12" x14ac:dyDescent="0.3">
      <c r="A774" t="s">
        <v>123</v>
      </c>
      <c r="B774" s="26" t="s">
        <v>257</v>
      </c>
      <c r="C774" s="26" t="s">
        <v>88</v>
      </c>
      <c r="D774" s="26" t="s">
        <v>75</v>
      </c>
      <c r="E774" s="20" t="s">
        <v>601</v>
      </c>
      <c r="F774" s="21" t="str">
        <f>IF(OR(E774="",E774="!!!"),"",IF(NOT(ISNA(VLOOKUP(E774,E$1:E773,1,FALSE()))),"OLD",IF(AND(E774&lt;&gt;"",E774&lt;&gt;"!!!"),"NEW","")))</f>
        <v>NEW</v>
      </c>
      <c r="G774" s="22" t="str">
        <f ca="1"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?REFERENTIAL</v>
      </c>
      <c r="H774" s="23" t="str">
        <f t="shared" ca="1" si="49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7" t="s">
        <v>602</v>
      </c>
    </row>
    <row r="775" spans="1:12" x14ac:dyDescent="0.3">
      <c r="A775" t="s">
        <v>603</v>
      </c>
      <c r="B775" s="26" t="s">
        <v>110</v>
      </c>
      <c r="C775" s="26" t="s">
        <v>74</v>
      </c>
      <c r="D775" s="26" t="s">
        <v>75</v>
      </c>
      <c r="E775" s="20"/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49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7" t="s">
        <v>134</v>
      </c>
    </row>
    <row r="776" spans="1:12" x14ac:dyDescent="0.3">
      <c r="A776" t="s">
        <v>101</v>
      </c>
      <c r="E776" s="20" t="str">
        <f>IF(D776="?OLD","!!!","")</f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49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370</v>
      </c>
      <c r="E777" s="20" t="str">
        <f>IF(D777="?OLD","!!!","")</f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49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604</v>
      </c>
      <c r="E778" s="20" t="str">
        <f>IF(D778="?OLD","!!!","")</f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49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605</v>
      </c>
      <c r="E779" s="20" t="str">
        <f>IF(D779="?OLD","!!!","")</f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49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72</v>
      </c>
      <c r="B780" s="26" t="s">
        <v>303</v>
      </c>
      <c r="C780" s="26" t="s">
        <v>280</v>
      </c>
      <c r="D780" s="26" t="s">
        <v>75</v>
      </c>
      <c r="E780" s="20" t="s">
        <v>601</v>
      </c>
      <c r="F780" s="21" t="str">
        <f>IF(OR(E780="",E780="!!!"),"",IF(NOT(ISNA(VLOOKUP(E780,E$1:E779,1,FALSE()))),"OLD",IF(AND(E780&lt;&gt;"",E780&lt;&gt;"!!!"),"NEW","")))</f>
        <v>OLD</v>
      </c>
      <c r="G780" s="22" t="str">
        <f ca="1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3" t="str">
        <f t="shared" ca="1" si="49"/>
        <v/>
      </c>
      <c r="I780" s="24" t="str">
        <f>IF(OR(E780="",E780="!!!",F780="NEW"),"",INDEX(B$2:B779,-1+SUMPRODUCT(MAX(ROW(E$2:E779)*(E780=E$2:E779)))))</f>
        <v>SBJ_4</v>
      </c>
      <c r="J780" s="24">
        <f ca="1">IF(OR(E780="",E780="!!!",F780="NEW"),"",COUNTBLANK(OFFSET(A$1,,,SUMPRODUCT(MAX(ROW(E$2:E780)*(E780=E$2:E780)))))-COUNTBLANK(OFFSET(A$1,,,SUMPRODUCT(MAX(ROW(E$1:E779)*(E2=E$1:E779))))))</f>
        <v>0</v>
      </c>
      <c r="K780" s="24" t="str">
        <f ca="1">IF(OR(E780="",E780="!!!",F780="NEW"),"",INDEX(J$1:J779,SUMPRODUCT(MAX(ROW(E$1:E779)*(E780=E$1:E779)))))</f>
        <v/>
      </c>
      <c r="L780" s="25"/>
    </row>
    <row r="781" spans="1:12" x14ac:dyDescent="0.3">
      <c r="A781" t="s">
        <v>370</v>
      </c>
      <c r="E781" s="20" t="str">
        <f>IF(D781="?OLD","!!!","")</f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49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79</v>
      </c>
      <c r="E782" s="20" t="str">
        <f>IF(D782="?OLD","!!!","")</f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49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80</v>
      </c>
      <c r="E783" s="20" t="str">
        <f>IF(D783="?OLD","!!!","")</f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49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606</v>
      </c>
      <c r="B784" s="26" t="s">
        <v>303</v>
      </c>
      <c r="C784" s="26" t="s">
        <v>74</v>
      </c>
      <c r="D784" s="26" t="s">
        <v>75</v>
      </c>
      <c r="E784" s="20" t="s">
        <v>607</v>
      </c>
      <c r="F784" s="21" t="str">
        <f>IF(OR(E784="",E784="!!!"),"",IF(NOT(ISNA(VLOOKUP(E784,E$1:E783,1,FALSE()))),"OLD",IF(AND(E784&lt;&gt;"",E784&lt;&gt;"!!!"),"NEW","")))</f>
        <v>NEW</v>
      </c>
      <c r="G784" s="22" t="str">
        <f ca="1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?REFERENTIAL</v>
      </c>
      <c r="H784" s="23" t="str">
        <f t="shared" ca="1" si="49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172</v>
      </c>
      <c r="E785" s="20" t="str">
        <f>IF(D785="?OLD","!!!","")</f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49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608</v>
      </c>
      <c r="E786" s="20" t="str">
        <f>IF(D786="?OLD","!!!","")</f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49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230</v>
      </c>
      <c r="B787" s="26" t="s">
        <v>402</v>
      </c>
      <c r="C787" s="26" t="s">
        <v>119</v>
      </c>
      <c r="E787" s="20" t="str">
        <f>IF(D787="?OLD","!!!","")</f>
        <v/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49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231</v>
      </c>
      <c r="B788" s="26" t="s">
        <v>203</v>
      </c>
      <c r="C788" s="26" t="s">
        <v>105</v>
      </c>
      <c r="E788" s="20" t="s">
        <v>1054</v>
      </c>
      <c r="F788" s="21" t="str">
        <f>IF(OR(E788="",E788="!!!"),"",IF(NOT(ISNA(VLOOKUP(E788,E$1:E787,1,FALSE()))),"OLD",IF(AND(E788&lt;&gt;"",E788&lt;&gt;"!!!"),"NEW","")))</f>
        <v>NEW</v>
      </c>
      <c r="G788" s="22" t="str">
        <f ca="1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?REFERENTIAL</v>
      </c>
      <c r="H788" s="23" t="str">
        <f t="shared" ca="1" si="49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7" t="s">
        <v>609</v>
      </c>
    </row>
    <row r="789" spans="1:12" x14ac:dyDescent="0.3">
      <c r="A789" t="s">
        <v>610</v>
      </c>
      <c r="E789" s="20" t="str">
        <f>IF(D789="?OLD","!!!","")</f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49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112</v>
      </c>
      <c r="E790" s="20" t="str">
        <f>IF(D790="?OLD","!!!","")</f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49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611</v>
      </c>
      <c r="B791" s="26" t="s">
        <v>402</v>
      </c>
      <c r="C791" s="26" t="s">
        <v>74</v>
      </c>
      <c r="D791" s="26" t="s">
        <v>75</v>
      </c>
      <c r="E791" s="20" t="s">
        <v>612</v>
      </c>
      <c r="F791" s="21" t="str">
        <f>IF(OR(E791="",E791="!!!"),"",IF(NOT(ISNA(VLOOKUP(E791,E$1:E790,1,FALSE()))),"OLD",IF(AND(E791&lt;&gt;"",E791&lt;&gt;"!!!"),"NEW","")))</f>
        <v>NEW</v>
      </c>
      <c r="G791" s="22" t="str">
        <f ca="1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?REFERENTIAL</v>
      </c>
      <c r="H791" s="23" t="str">
        <f t="shared" ca="1" si="49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2" spans="1:12" x14ac:dyDescent="0.3">
      <c r="A792" t="s">
        <v>101</v>
      </c>
      <c r="E792" s="20" t="str">
        <f>IF(D792="?OLD","!!!","")</f>
        <v/>
      </c>
      <c r="F792" s="21" t="str">
        <f>IF(OR(E792="",E792="!!!"),"",IF(NOT(ISNA(VLOOKUP(E792,E$1:E791,1,FALSE()))),"OLD",IF(AND(E792&lt;&gt;"",E792&lt;&gt;"!!!"),"NEW","")))</f>
        <v/>
      </c>
      <c r="G792" s="22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t="shared" ca="1" si="49"/>
        <v/>
      </c>
      <c r="I792" s="24" t="str">
        <f>IF(OR(E792="",E792="!!!",F792="NEW"),"",INDEX(B$2:B791,-1+SUMPRODUCT(MAX(ROW(E$2:E791)*(E792=E$2:E791)))))</f>
        <v/>
      </c>
      <c r="J792" s="24" t="str">
        <f ca="1">IF(OR(E792="",E792="!!!",F792="NEW"),"",COUNTBLANK(OFFSET(A$1,,,SUMPRODUCT(MAX(ROW(E$2:E792)*(E792=E$2:E792)))))-COUNTBLANK(OFFSET(A$1,,,SUMPRODUCT(MAX(ROW(E$1:E791)*(E2=E$1:E791))))))</f>
        <v/>
      </c>
      <c r="K792" s="24" t="str">
        <f>IF(OR(E792="",E792="!!!",F792="NEW"),"",INDEX(J$1:J791,SUMPRODUCT(MAX(ROW(E$1:E791)*(E792=E$1:E791)))))</f>
        <v/>
      </c>
      <c r="L792" s="25"/>
    </row>
    <row r="793" spans="1:12" x14ac:dyDescent="0.3">
      <c r="A793" t="s">
        <v>136</v>
      </c>
      <c r="E793" s="20"/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ca="1" si="49"/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613</v>
      </c>
      <c r="B794" s="26" t="s">
        <v>416</v>
      </c>
      <c r="C794" s="26" t="s">
        <v>74</v>
      </c>
      <c r="D794" s="26" t="s">
        <v>75</v>
      </c>
      <c r="E794" s="20"/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49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 t="s">
        <v>134</v>
      </c>
    </row>
    <row r="795" spans="1:12" x14ac:dyDescent="0.3">
      <c r="A795" t="s">
        <v>101</v>
      </c>
      <c r="E795" s="20" t="str">
        <f t="shared" ref="E795:E802" si="50">IF(D795="?OLD","!!!","")</f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49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614</v>
      </c>
      <c r="B796" s="26" t="s">
        <v>416</v>
      </c>
      <c r="C796" s="26" t="s">
        <v>105</v>
      </c>
      <c r="E796" s="20" t="str">
        <f t="shared" si="50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49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142</v>
      </c>
      <c r="E797" s="20" t="str">
        <f t="shared" si="50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49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598</v>
      </c>
      <c r="B798" s="26" t="s">
        <v>416</v>
      </c>
      <c r="C798" s="26" t="s">
        <v>105</v>
      </c>
      <c r="E798" s="20" t="str">
        <f t="shared" si="50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49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615</v>
      </c>
      <c r="E799" s="20" t="str">
        <f t="shared" si="50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49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86</v>
      </c>
      <c r="E800" s="20" t="str">
        <f t="shared" si="50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49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616</v>
      </c>
      <c r="E801" s="20" t="str">
        <f t="shared" si="50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ref="H801:H832" ca="1" si="51">IF(J801&lt;&gt;1,"",IF(I801="SBJ","CB","?"))</f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617</v>
      </c>
      <c r="E802" s="20" t="str">
        <f t="shared" si="50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51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87</v>
      </c>
      <c r="B803" s="26" t="s">
        <v>104</v>
      </c>
      <c r="C803" s="26" t="s">
        <v>88</v>
      </c>
      <c r="D803" s="26" t="s">
        <v>75</v>
      </c>
      <c r="E803" s="20" t="s">
        <v>168</v>
      </c>
      <c r="F803" s="21" t="str">
        <f>IF(OR(E803="",E803="!!!"),"",IF(NOT(ISNA(VLOOKUP(E803,E$1:E802,1,FALSE()))),"OLD",IF(AND(E803&lt;&gt;"",E803&lt;&gt;"!!!"),"NEW","")))</f>
        <v>OLD</v>
      </c>
      <c r="G803" s="22" t="str">
        <f ca="1"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?IN_FOCUS</v>
      </c>
      <c r="H803" s="23" t="str">
        <f t="shared" ca="1" si="51"/>
        <v/>
      </c>
      <c r="I803" s="24" t="str">
        <f>IF(OR(E803="",E803="!!!",F803="NEW"),"",INDEX(B$2:B802,-1+SUMPRODUCT(MAX(ROW(E$2:E802)*(E803=E$2:E802)))))</f>
        <v>SBJ_2</v>
      </c>
      <c r="J803" s="24">
        <f ca="1">IF(OR(E803="",E803="!!!",F803="NEW"),"",COUNTBLANK(OFFSET(A$1,,,SUMPRODUCT(MAX(ROW(E$2:E803)*(E803=E$2:E803)))))-COUNTBLANK(OFFSET(A$1,,,SUMPRODUCT(MAX(ROW(E$1:E802)*(E2=E$1:E802))))))</f>
        <v>0</v>
      </c>
      <c r="K803" s="24">
        <f ca="1">IF(OR(E803="",E803="!!!",F803="NEW"),"",INDEX(J$1:J802,SUMPRODUCT(MAX(ROW(E$1:E802)*(E803=E$1:E802)))))</f>
        <v>0</v>
      </c>
      <c r="L803" s="25"/>
    </row>
    <row r="804" spans="1:12" x14ac:dyDescent="0.3">
      <c r="A804" t="s">
        <v>90</v>
      </c>
      <c r="B804" s="26" t="s">
        <v>110</v>
      </c>
      <c r="E804" s="20" t="str">
        <f>IF(D804="?OLD","!!!","")</f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51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618</v>
      </c>
      <c r="E805" s="20" t="str">
        <f>IF(D805="?OLD","!!!","")</f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51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101</v>
      </c>
      <c r="E806" s="20" t="str">
        <f>IF(D806="?OLD","!!!","")</f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51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167</v>
      </c>
      <c r="E807" s="20" t="str">
        <f>IF(D807="?OLD","!!!","")</f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51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160</v>
      </c>
      <c r="E808" s="20" t="s">
        <v>1055</v>
      </c>
      <c r="F808" s="21" t="s">
        <v>210</v>
      </c>
      <c r="G808" s="22" t="e">
        <f ca="1"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#VALUE!</v>
      </c>
      <c r="H808" s="23" t="str">
        <f t="shared" ca="1" si="51"/>
        <v/>
      </c>
      <c r="I808" s="24" t="e">
        <f>IF(OR(E808="",E808="!!!",F808="NEW"),"",INDEX(B$2:B807,-1+SUMPRODUCT(MAX(ROW(E$2:E807)*(E808=E$2:E807)))))</f>
        <v>#VALUE!</v>
      </c>
      <c r="J808" s="24">
        <f ca="1">IF(OR(E808="",E808="!!!",F808="NEW"),"",COUNTBLANK(OFFSET(A$1,,,SUMPRODUCT(MAX(ROW(E$2:E808)*(E808=E$2:E808)))))-COUNTBLANK(OFFSET(A$1,,,SUMPRODUCT(MAX(ROW(E$1:E807)*(E2=E$1:E807))))))</f>
        <v>0</v>
      </c>
      <c r="K808" s="24" t="e">
        <f>IF(OR(E808="",E808="!!!",F808="NEW"),"",INDEX(J$1:J807,SUMPRODUCT(MAX(ROW(E$1:E807)*(E808=E$1:E807)))))</f>
        <v>#VALUE!</v>
      </c>
      <c r="L808" s="25" t="s">
        <v>134</v>
      </c>
    </row>
    <row r="809" spans="1:12" x14ac:dyDescent="0.3">
      <c r="A809" t="s">
        <v>159</v>
      </c>
      <c r="B809" s="26" t="s">
        <v>96</v>
      </c>
      <c r="C809" s="26" t="s">
        <v>353</v>
      </c>
      <c r="D809" s="26" t="s">
        <v>75</v>
      </c>
      <c r="E809" s="20"/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51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7" t="s">
        <v>134</v>
      </c>
    </row>
    <row r="810" spans="1:12" x14ac:dyDescent="0.3">
      <c r="A810" t="s">
        <v>116</v>
      </c>
      <c r="E810" s="20" t="str">
        <f>IF(D810="?OLD","!!!","")</f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51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453</v>
      </c>
      <c r="E811" s="20" t="str">
        <f>IF(D811="?OLD","!!!","")</f>
        <v/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51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619</v>
      </c>
      <c r="B812" s="26" t="s">
        <v>73</v>
      </c>
      <c r="C812" s="26" t="s">
        <v>105</v>
      </c>
      <c r="E812" s="20" t="str">
        <f>IF(D812="?OLD","!!!","")</f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51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446</v>
      </c>
      <c r="E813" s="20" t="str">
        <f>IF(D813="?OLD","!!!","")</f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51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192</v>
      </c>
      <c r="B814" s="26" t="s">
        <v>104</v>
      </c>
      <c r="C814" s="26" t="s">
        <v>88</v>
      </c>
      <c r="D814" s="26" t="s">
        <v>75</v>
      </c>
      <c r="E814" s="20" t="s">
        <v>97</v>
      </c>
      <c r="F814" s="21" t="str">
        <f>IF(OR(E814="",E814="!!!"),"",IF(NOT(ISNA(VLOOKUP(E814,E$1:E813,1,FALSE()))),"OLD",IF(AND(E814&lt;&gt;"",E814&lt;&gt;"!!!"),"NEW","")))</f>
        <v>OLD</v>
      </c>
      <c r="G814" s="22" t="str">
        <f ca="1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?IN_FOCUS</v>
      </c>
      <c r="H814" s="23" t="str">
        <f t="shared" ca="1" si="51"/>
        <v/>
      </c>
      <c r="I814" s="24" t="str">
        <f>IF(OR(E814="",E814="!!!",F814="NEW"),"",INDEX(B$2:B813,-1+SUMPRODUCT(MAX(ROW(E$2:E813)*(E814=E$2:E813)))))</f>
        <v>SBJ_5</v>
      </c>
      <c r="J814" s="24">
        <f ca="1">IF(OR(E814="",E814="!!!",F814="NEW"),"",COUNTBLANK(OFFSET(A$1,,,SUMPRODUCT(MAX(ROW(E$2:E814)*(E814=E$2:E814)))))-COUNTBLANK(OFFSET(A$1,,,SUMPRODUCT(MAX(ROW(E$1:E813)*(E2=E$1:E813))))))</f>
        <v>0</v>
      </c>
      <c r="K814" s="24">
        <f ca="1">IF(OR(E814="",E814="!!!",F814="NEW"),"",INDEX(J$1:J813,SUMPRODUCT(MAX(ROW(E$1:E813)*(E814=E$1:E813)))))</f>
        <v>0</v>
      </c>
      <c r="L814" s="25"/>
    </row>
    <row r="815" spans="1:12" x14ac:dyDescent="0.3">
      <c r="A815" t="s">
        <v>132</v>
      </c>
      <c r="B815" s="26" t="s">
        <v>115</v>
      </c>
      <c r="C815" s="26" t="s">
        <v>208</v>
      </c>
      <c r="D815" s="26" t="s">
        <v>75</v>
      </c>
      <c r="E815" s="20"/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51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7" t="s">
        <v>134</v>
      </c>
    </row>
    <row r="816" spans="1:12" x14ac:dyDescent="0.3">
      <c r="A816" t="s">
        <v>101</v>
      </c>
      <c r="E816" s="20" t="str">
        <f>IF(D816="?OLD","!!!","")</f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51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620</v>
      </c>
      <c r="E817" s="20" t="str">
        <f>IF(D817="?OLD","!!!","")</f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51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621</v>
      </c>
      <c r="E818" s="20" t="str">
        <f>IF(D818="?OLD","!!!","")</f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51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101</v>
      </c>
      <c r="E819" s="20" t="str">
        <f>IF(D819="?OLD","!!!","")</f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51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622</v>
      </c>
      <c r="E820" s="20" t="str">
        <f>IF(D820="?OLD","!!!","")</f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51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334</v>
      </c>
      <c r="B821" s="26" t="s">
        <v>257</v>
      </c>
      <c r="C821" s="26" t="s">
        <v>105</v>
      </c>
      <c r="E821" s="20"/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51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101</v>
      </c>
      <c r="E822" s="20" t="str">
        <f>IF(D822="?OLD","!!!","")</f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51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136</v>
      </c>
      <c r="E823" s="20"/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51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126</v>
      </c>
      <c r="B824" s="26" t="s">
        <v>300</v>
      </c>
      <c r="C824" s="26" t="s">
        <v>74</v>
      </c>
      <c r="D824" s="26" t="s">
        <v>75</v>
      </c>
      <c r="E824" s="20" t="s">
        <v>179</v>
      </c>
      <c r="F824" s="21" t="str">
        <f>IF(OR(E824="",E824="!!!"),"",IF(NOT(ISNA(VLOOKUP(E824,E$1:E823,1,FALSE()))),"OLD",IF(AND(E824&lt;&gt;"",E824&lt;&gt;"!!!"),"NEW","")))</f>
        <v>OLD</v>
      </c>
      <c r="G824" s="22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3" t="str">
        <f t="shared" ca="1" si="51"/>
        <v/>
      </c>
      <c r="I824" s="24" t="str">
        <f>IF(OR(E824="",E824="!!!",F824="NEW"),"",INDEX(B$2:B823,-1+SUMPRODUCT(MAX(ROW(E$2:E823)*(E824=E$2:E823)))))</f>
        <v>SBJ_3</v>
      </c>
      <c r="J824" s="24">
        <f ca="1">IF(OR(E824="",E824="!!!",F824="NEW"),"",COUNTBLANK(OFFSET(A$1,,,SUMPRODUCT(MAX(ROW(E$2:E824)*(E824=E$2:E824)))))-COUNTBLANK(OFFSET(A$1,,,SUMPRODUCT(MAX(ROW(E$1:E823)*(E2=E$1:E823))))))</f>
        <v>0</v>
      </c>
      <c r="K824" s="24" t="str">
        <f ca="1">IF(OR(E824="",E824="!!!",F824="NEW"),"",INDEX(J$1:J823,SUMPRODUCT(MAX(ROW(E$1:E823)*(E824=E$1:E823)))))</f>
        <v/>
      </c>
      <c r="L824" s="25"/>
    </row>
    <row r="825" spans="1:12" x14ac:dyDescent="0.3">
      <c r="A825" t="s">
        <v>623</v>
      </c>
      <c r="E825" s="20" t="str">
        <f t="shared" ref="E825:E833" si="52">IF(D825="?OLD","!!!","")</f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51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101</v>
      </c>
      <c r="E826" s="20" t="str">
        <f t="shared" si="52"/>
        <v/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51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624</v>
      </c>
      <c r="E827" s="20" t="str">
        <f t="shared" si="52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51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625</v>
      </c>
      <c r="E828" s="20" t="str">
        <f t="shared" si="52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51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626</v>
      </c>
      <c r="E829" s="20" t="str">
        <f t="shared" si="52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51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627</v>
      </c>
      <c r="E830" s="20" t="str">
        <f t="shared" si="52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51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446</v>
      </c>
      <c r="E831" s="20" t="str">
        <f t="shared" si="52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51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71</v>
      </c>
      <c r="E832" s="20" t="str">
        <f t="shared" si="52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51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628</v>
      </c>
      <c r="E833" s="20" t="str">
        <f t="shared" si="52"/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ref="H833:H864" ca="1" si="53">IF(J833&lt;&gt;1,"",IF(I833="SBJ","CB","?"))</f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629</v>
      </c>
      <c r="B834" s="26" t="s">
        <v>257</v>
      </c>
      <c r="C834" s="26" t="s">
        <v>74</v>
      </c>
      <c r="D834" s="26" t="s">
        <v>75</v>
      </c>
      <c r="E834" s="20" t="s">
        <v>630</v>
      </c>
      <c r="F834" s="21" t="str">
        <f>IF(OR(E834="",E834="!!!"),"",IF(NOT(ISNA(VLOOKUP(E834,E$1:E833,1,FALSE()))),"OLD",IF(AND(E834&lt;&gt;"",E834&lt;&gt;"!!!"),"NEW","")))</f>
        <v>NEW</v>
      </c>
      <c r="G834" s="22" t="str">
        <f ca="1"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?REFERENTIAL</v>
      </c>
      <c r="H834" s="23" t="str">
        <f t="shared" ca="1" si="53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78</v>
      </c>
      <c r="E835" s="20" t="str">
        <f>IF(D835="?OLD","!!!","")</f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53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631</v>
      </c>
      <c r="E836" s="20" t="str">
        <f>IF(D836="?OLD","!!!","")</f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53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86</v>
      </c>
      <c r="E837" s="20" t="str">
        <f>IF(D837="?OLD","!!!","")</f>
        <v/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53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71</v>
      </c>
      <c r="E838" s="20" t="str">
        <f>IF(D838="?OLD","!!!","")</f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53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632</v>
      </c>
      <c r="B839" s="26" t="s">
        <v>257</v>
      </c>
      <c r="C839" s="26" t="s">
        <v>105</v>
      </c>
      <c r="E839" s="20" t="s">
        <v>633</v>
      </c>
      <c r="F839" s="21" t="str">
        <f>IF(OR(E839="",E839="!!!"),"",IF(NOT(ISNA(VLOOKUP(E839,E$1:E838,1,FALSE()))),"OLD",IF(AND(E839&lt;&gt;"",E839&lt;&gt;"!!!"),"NEW","")))</f>
        <v>NEW</v>
      </c>
      <c r="G839" s="22" t="str">
        <f ca="1"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?REFERENTIAL</v>
      </c>
      <c r="H839" s="23" t="str">
        <f t="shared" ca="1" si="53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634</v>
      </c>
      <c r="E840" s="20" t="str">
        <f t="shared" ref="E840:E845" si="54">IF(D840="?OLD","!!!","")</f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53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1" spans="1:12" x14ac:dyDescent="0.3">
      <c r="A841" t="s">
        <v>101</v>
      </c>
      <c r="E841" s="20" t="str">
        <f t="shared" si="54"/>
        <v/>
      </c>
      <c r="F841" s="21" t="str">
        <f>IF(OR(E841="",E841="!!!"),"",IF(NOT(ISNA(VLOOKUP(E841,E$1:E840,1,FALSE()))),"OLD",IF(AND(E841&lt;&gt;"",E841&lt;&gt;"!!!"),"NEW","")))</f>
        <v/>
      </c>
      <c r="G841" s="22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t="shared" ca="1" si="53"/>
        <v/>
      </c>
      <c r="I841" s="24" t="str">
        <f>IF(OR(E841="",E841="!!!",F841="NEW"),"",INDEX(B$2:B840,-1+SUMPRODUCT(MAX(ROW(E$2:E840)*(E841=E$2:E840)))))</f>
        <v/>
      </c>
      <c r="J841" s="24" t="str">
        <f ca="1">IF(OR(E841="",E841="!!!",F841="NEW"),"",COUNTBLANK(OFFSET(A$1,,,SUMPRODUCT(MAX(ROW(E$2:E841)*(E841=E$2:E841)))))-COUNTBLANK(OFFSET(A$1,,,SUMPRODUCT(MAX(ROW(E$1:E840)*(E2=E$1:E840))))))</f>
        <v/>
      </c>
      <c r="K841" s="24" t="str">
        <f>IF(OR(E841="",E841="!!!",F841="NEW"),"",INDEX(J$1:J840,SUMPRODUCT(MAX(ROW(E$1:E840)*(E841=E$1:E840)))))</f>
        <v/>
      </c>
      <c r="L841" s="25"/>
    </row>
    <row r="842" spans="1:12" x14ac:dyDescent="0.3">
      <c r="A842" t="s">
        <v>102</v>
      </c>
      <c r="E842" s="20" t="str">
        <f t="shared" si="54"/>
        <v/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t="shared" ca="1" si="53"/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635</v>
      </c>
      <c r="B843" s="26" t="s">
        <v>207</v>
      </c>
      <c r="C843" s="26" t="s">
        <v>105</v>
      </c>
      <c r="E843" s="20" t="str">
        <f t="shared" si="54"/>
        <v/>
      </c>
      <c r="F843" s="21" t="str">
        <f>IF(OR(E843="",E843="!!!"),"",IF(NOT(ISNA(VLOOKUP(E843,E$1:E842,1,FALSE()))),"OLD",IF(AND(E843&lt;&gt;"",E843&lt;&gt;"!!!"),"NEW","")))</f>
        <v/>
      </c>
      <c r="G843" s="22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t="shared" ca="1" si="53"/>
        <v/>
      </c>
      <c r="I843" s="24" t="str">
        <f>IF(OR(E843="",E843="!!!",F843="NEW"),"",INDEX(B$2:B842,-1+SUMPRODUCT(MAX(ROW(E$2:E842)*(E843=E$2:E842)))))</f>
        <v/>
      </c>
      <c r="J843" s="24" t="str">
        <f ca="1">IF(OR(E843="",E843="!!!",F843="NEW"),"",COUNTBLANK(OFFSET(A$1,,,SUMPRODUCT(MAX(ROW(E$2:E843)*(E843=E$2:E843)))))-COUNTBLANK(OFFSET(A$1,,,SUMPRODUCT(MAX(ROW(E$1:E842)*(E2=E$1:E842))))))</f>
        <v/>
      </c>
      <c r="K843" s="24" t="str">
        <f>IF(OR(E843="",E843="!!!",F843="NEW"),"",INDEX(J$1:J842,SUMPRODUCT(MAX(ROW(E$1:E842)*(E843=E$1:E842)))))</f>
        <v/>
      </c>
      <c r="L843" s="25"/>
    </row>
    <row r="844" spans="1:12" x14ac:dyDescent="0.3">
      <c r="A844" t="s">
        <v>636</v>
      </c>
      <c r="E844" s="20" t="str">
        <f t="shared" si="54"/>
        <v/>
      </c>
      <c r="F844" s="21" t="str">
        <f>IF(OR(E844="",E844="!!!"),"",IF(NOT(ISNA(VLOOKUP(E844,E$1:E843,1,FALSE()))),"OLD",IF(AND(E844&lt;&gt;"",E844&lt;&gt;"!!!"),"NEW","")))</f>
        <v/>
      </c>
      <c r="G844" s="22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3" t="str">
        <f t="shared" ca="1" si="53"/>
        <v/>
      </c>
      <c r="I844" s="24" t="str">
        <f>IF(OR(E844="",E844="!!!",F844="NEW"),"",INDEX(B$2:B843,-1+SUMPRODUCT(MAX(ROW(E$2:E843)*(E844=E$2:E843)))))</f>
        <v/>
      </c>
      <c r="J844" s="24" t="str">
        <f ca="1">IF(OR(E844="",E844="!!!",F844="NEW"),"",COUNTBLANK(OFFSET(A$1,,,SUMPRODUCT(MAX(ROW(E$2:E844)*(E844=E$2:E844)))))-COUNTBLANK(OFFSET(A$1,,,SUMPRODUCT(MAX(ROW(E$1:E843)*(E2=E$1:E843))))))</f>
        <v/>
      </c>
      <c r="K844" s="24" t="str">
        <f>IF(OR(E844="",E844="!!!",F844="NEW"),"",INDEX(J$1:J843,SUMPRODUCT(MAX(ROW(E$1:E843)*(E844=E$1:E843)))))</f>
        <v/>
      </c>
      <c r="L844" s="25"/>
    </row>
    <row r="845" spans="1:12" x14ac:dyDescent="0.3">
      <c r="A845" t="s">
        <v>637</v>
      </c>
      <c r="E845" s="20" t="str">
        <f t="shared" si="54"/>
        <v/>
      </c>
      <c r="F845" s="21" t="str">
        <f>IF(OR(E845="",E845="!!!"),"",IF(NOT(ISNA(VLOOKUP(E845,E$1:E844,1,FALSE()))),"OLD",IF(AND(E845&lt;&gt;"",E845&lt;&gt;"!!!"),"NEW","")))</f>
        <v/>
      </c>
      <c r="G845" s="22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3" t="str">
        <f t="shared" ca="1" si="53"/>
        <v/>
      </c>
      <c r="I845" s="24" t="str">
        <f>IF(OR(E845="",E845="!!!",F845="NEW"),"",INDEX(B$2:B844,-1+SUMPRODUCT(MAX(ROW(E$2:E844)*(E845=E$2:E844)))))</f>
        <v/>
      </c>
      <c r="J845" s="24" t="str">
        <f ca="1">IF(OR(E845="",E845="!!!",F845="NEW"),"",COUNTBLANK(OFFSET(A$1,,,SUMPRODUCT(MAX(ROW(E$2:E845)*(E845=E$2:E845)))))-COUNTBLANK(OFFSET(A$1,,,SUMPRODUCT(MAX(ROW(E$1:E844)*(E2=E$1:E844))))))</f>
        <v/>
      </c>
      <c r="K845" s="24" t="str">
        <f>IF(OR(E845="",E845="!!!",F845="NEW"),"",INDEX(J$1:J844,SUMPRODUCT(MAX(ROW(E$1:E844)*(E845=E$1:E844)))))</f>
        <v/>
      </c>
      <c r="L845" s="25"/>
    </row>
    <row r="846" spans="1:12" x14ac:dyDescent="0.3">
      <c r="A846" t="s">
        <v>359</v>
      </c>
      <c r="B846" s="26" t="s">
        <v>402</v>
      </c>
      <c r="C846" s="26" t="s">
        <v>280</v>
      </c>
      <c r="D846" s="26" t="s">
        <v>75</v>
      </c>
      <c r="E846" s="20" t="s">
        <v>360</v>
      </c>
      <c r="F846" s="21" t="str">
        <f>IF(OR(E846="",E846="!!!"),"",IF(NOT(ISNA(VLOOKUP(E846,E$1:E845,1,FALSE()))),"OLD",IF(AND(E846&lt;&gt;"",E846&lt;&gt;"!!!"),"NEW","")))</f>
        <v>OLD</v>
      </c>
      <c r="G846" s="22" t="str">
        <f ca="1"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?IN_FOCUS</v>
      </c>
      <c r="H846" s="23" t="str">
        <f t="shared" ca="1" si="53"/>
        <v/>
      </c>
      <c r="I846" s="24" t="str">
        <f>IF(OR(E846="",E846="!!!",F846="NEW"),"",INDEX(B$2:B845,-1+SUMPRODUCT(MAX(ROW(E$2:E845)*(E846=E$2:E845)))))</f>
        <v>other_4</v>
      </c>
      <c r="J846" s="24">
        <f ca="1">IF(OR(E846="",E846="!!!",F846="NEW"),"",COUNTBLANK(OFFSET(A$1,,,SUMPRODUCT(MAX(ROW(E$2:E846)*(E846=E$2:E846)))))-COUNTBLANK(OFFSET(A$1,,,SUMPRODUCT(MAX(ROW(E$1:E845)*(E2=E$1:E845))))))</f>
        <v>0</v>
      </c>
      <c r="K846" s="24">
        <f ca="1">IF(OR(E846="",E846="!!!",F846="NEW"),"",INDEX(J$1:J845,SUMPRODUCT(MAX(ROW(E$1:E845)*(E846=E$1:E845)))))</f>
        <v>0</v>
      </c>
      <c r="L846" s="27" t="s">
        <v>527</v>
      </c>
    </row>
    <row r="847" spans="1:12" x14ac:dyDescent="0.3">
      <c r="A847" t="s">
        <v>16</v>
      </c>
      <c r="E847" s="20" t="str">
        <f>IF(D847="?OLD","!!!","")</f>
        <v/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53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638</v>
      </c>
      <c r="E848" s="20" t="s">
        <v>639</v>
      </c>
      <c r="F848" s="21" t="str">
        <f>IF(OR(E848="",E848="!!!"),"",IF(NOT(ISNA(VLOOKUP(E848,E$1:E847,1,FALSE()))),"OLD",IF(AND(E848&lt;&gt;"",E848&lt;&gt;"!!!"),"NEW","")))</f>
        <v>NEW</v>
      </c>
      <c r="G848" s="22" t="str">
        <f ca="1"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?REFERENTIAL</v>
      </c>
      <c r="H848" s="23" t="str">
        <f t="shared" ca="1" si="53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640</v>
      </c>
      <c r="E849" s="20" t="str">
        <f t="shared" ref="E849:E854" si="55">IF(D849="?OLD","!!!","")</f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53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626</v>
      </c>
      <c r="E850" s="20" t="str">
        <f t="shared" si="55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53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641</v>
      </c>
      <c r="B851" s="26" t="s">
        <v>203</v>
      </c>
      <c r="C851" s="26" t="s">
        <v>105</v>
      </c>
      <c r="E851" s="20" t="str">
        <f t="shared" si="55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53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140</v>
      </c>
      <c r="E852" s="20" t="str">
        <f t="shared" si="55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53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642</v>
      </c>
      <c r="E853" s="20" t="str">
        <f t="shared" si="55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53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86</v>
      </c>
      <c r="E854" s="20" t="str">
        <f t="shared" si="55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53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6" spans="1:12" x14ac:dyDescent="0.3">
      <c r="A856" t="s">
        <v>643</v>
      </c>
    </row>
    <row r="857" spans="1:12" x14ac:dyDescent="0.3">
      <c r="A857" t="s">
        <v>501</v>
      </c>
      <c r="E857" s="20" t="str">
        <f>IF(D857="?OLD","!!!","")</f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ref="H857:H888" ca="1" si="56">IF(J857&lt;&gt;1,"",IF(I857="SBJ","CB","?"))</f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644</v>
      </c>
      <c r="B858" s="26" t="s">
        <v>303</v>
      </c>
      <c r="C858" s="26" t="s">
        <v>105</v>
      </c>
      <c r="E858" s="20" t="str">
        <f>IF(D858="?OLD","!!!","")</f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56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458</v>
      </c>
      <c r="E859" s="20" t="str">
        <f>IF(D859="?OLD","!!!","")</f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56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206</v>
      </c>
      <c r="B860" s="26" t="s">
        <v>203</v>
      </c>
      <c r="C860" s="26" t="s">
        <v>208</v>
      </c>
      <c r="D860" s="26" t="s">
        <v>75</v>
      </c>
      <c r="E860" s="20" t="s">
        <v>206</v>
      </c>
      <c r="F860" s="21" t="str">
        <f>IF(OR(E860="",E860="!!!"),"",IF(NOT(ISNA(VLOOKUP(E860,E$1:E859,1,FALSE()))),"OLD",IF(AND(E860&lt;&gt;"",E860&lt;&gt;"!!!"),"NEW","")))</f>
        <v>OLD</v>
      </c>
      <c r="G860" s="22" t="str">
        <f ca="1"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?IN_FOCUS</v>
      </c>
      <c r="H860" s="23" t="str">
        <f t="shared" ca="1" si="56"/>
        <v/>
      </c>
      <c r="I860" s="24" t="str">
        <f>IF(OR(E860="",E860="!!!",F860="NEW"),"",INDEX(B$2:B859,-1+SUMPRODUCT(MAX(ROW(E$2:E859)*(E860=E$2:E859)))))</f>
        <v>OBJ_3</v>
      </c>
      <c r="J860" s="24">
        <f ca="1">IF(OR(E860="",E860="!!!",F860="NEW"),"",COUNTBLANK(OFFSET(A$1,,,SUMPRODUCT(MAX(ROW(E$2:E860)*(E860=E$2:E860)))))-COUNTBLANK(OFFSET(A$1,,,SUMPRODUCT(MAX(ROW(E$1:E859)*(E2=E$1:E859))))))</f>
        <v>0</v>
      </c>
      <c r="K860" s="24">
        <f ca="1">IF(OR(E860="",E860="!!!",F860="NEW"),"",INDEX(J$1:J859,SUMPRODUCT(MAX(ROW(E$1:E859)*(E860=E$1:E859)))))</f>
        <v>0</v>
      </c>
      <c r="L860" s="27" t="s">
        <v>645</v>
      </c>
    </row>
    <row r="861" spans="1:12" x14ac:dyDescent="0.3">
      <c r="A861" t="s">
        <v>187</v>
      </c>
      <c r="E861" s="20" t="str">
        <f>IF(D861="?OLD","!!!","")</f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56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646</v>
      </c>
      <c r="B862" s="26" t="s">
        <v>300</v>
      </c>
      <c r="C862" s="26" t="s">
        <v>280</v>
      </c>
      <c r="D862" s="26" t="s">
        <v>75</v>
      </c>
      <c r="E862" s="20" t="s">
        <v>647</v>
      </c>
      <c r="F862" s="21" t="str">
        <f>IF(OR(E862="",E862="!!!"),"",IF(NOT(ISNA(VLOOKUP(E862,E$1:E861,1,FALSE()))),"OLD",IF(AND(E862&lt;&gt;"",E862&lt;&gt;"!!!"),"NEW","")))</f>
        <v>NEW</v>
      </c>
      <c r="G862" s="22" t="str">
        <f ca="1"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?REFERENTIAL</v>
      </c>
      <c r="H862" s="23" t="str">
        <f t="shared" ca="1" si="56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648</v>
      </c>
      <c r="E863" s="20" t="str">
        <f>IF(D863="?OLD","!!!","")</f>
        <v/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56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649</v>
      </c>
      <c r="E864" s="20" t="str">
        <f>IF(D864="?OLD","!!!","")</f>
        <v/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56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101</v>
      </c>
      <c r="E865" s="20" t="str">
        <f>IF(D865="?OLD","!!!","")</f>
        <v/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56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333</v>
      </c>
      <c r="E866" s="20" t="str">
        <f>IF(D866="?OLD","!!!","")</f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56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649</v>
      </c>
      <c r="B867" s="26" t="s">
        <v>402</v>
      </c>
      <c r="C867" s="26" t="s">
        <v>335</v>
      </c>
      <c r="E867" s="20"/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56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8" spans="1:12" x14ac:dyDescent="0.3">
      <c r="A868" t="s">
        <v>258</v>
      </c>
      <c r="E868" s="20" t="str">
        <f t="shared" ref="E868:E875" si="57">IF(D868="?OLD","!!!","")</f>
        <v/>
      </c>
      <c r="F868" s="21" t="str">
        <f>IF(OR(E868="",E868="!!!"),"",IF(NOT(ISNA(VLOOKUP(E868,E$1:E867,1,FALSE()))),"OLD",IF(AND(E868&lt;&gt;"",E868&lt;&gt;"!!!"),"NEW","")))</f>
        <v/>
      </c>
      <c r="G868" s="22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3" t="str">
        <f t="shared" ca="1" si="56"/>
        <v/>
      </c>
      <c r="I868" s="24" t="str">
        <f>IF(OR(E868="",E868="!!!",F868="NEW"),"",INDEX(B$2:B867,-1+SUMPRODUCT(MAX(ROW(E$2:E867)*(E868=E$2:E867)))))</f>
        <v/>
      </c>
      <c r="J868" s="24" t="str">
        <f ca="1">IF(OR(E868="",E868="!!!",F868="NEW"),"",COUNTBLANK(OFFSET(A$1,,,SUMPRODUCT(MAX(ROW(E$2:E868)*(E868=E$2:E868)))))-COUNTBLANK(OFFSET(A$1,,,SUMPRODUCT(MAX(ROW(E$1:E867)*(E2=E$1:E867))))))</f>
        <v/>
      </c>
      <c r="K868" s="24" t="str">
        <f>IF(OR(E868="",E868="!!!",F868="NEW"),"",INDEX(J$1:J867,SUMPRODUCT(MAX(ROW(E$1:E867)*(E868=E$1:E867)))))</f>
        <v/>
      </c>
      <c r="L868" s="25"/>
    </row>
    <row r="869" spans="1:12" x14ac:dyDescent="0.3">
      <c r="A869" t="s">
        <v>650</v>
      </c>
      <c r="B869" s="26" t="s">
        <v>416</v>
      </c>
      <c r="C869" s="26" t="s">
        <v>105</v>
      </c>
      <c r="E869" s="20" t="str">
        <f t="shared" si="57"/>
        <v/>
      </c>
      <c r="F869" s="21" t="str">
        <f>IF(OR(E869="",E869="!!!"),"",IF(NOT(ISNA(VLOOKUP(E869,E$1:E868,1,FALSE()))),"OLD",IF(AND(E869&lt;&gt;"",E869&lt;&gt;"!!!"),"NEW","")))</f>
        <v/>
      </c>
      <c r="G869" s="22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3" t="str">
        <f t="shared" ca="1" si="56"/>
        <v/>
      </c>
      <c r="I869" s="24" t="str">
        <f>IF(OR(E869="",E869="!!!",F869="NEW"),"",INDEX(B$2:B868,-1+SUMPRODUCT(MAX(ROW(E$2:E868)*(E869=E$2:E868)))))</f>
        <v/>
      </c>
      <c r="J869" s="24" t="str">
        <f ca="1">IF(OR(E869="",E869="!!!",F869="NEW"),"",COUNTBLANK(OFFSET(A$1,,,SUMPRODUCT(MAX(ROW(E$2:E869)*(E869=E$2:E869)))))-COUNTBLANK(OFFSET(A$1,,,SUMPRODUCT(MAX(ROW(E$1:E868)*(E2=E$1:E868))))))</f>
        <v/>
      </c>
      <c r="K869" s="24" t="str">
        <f>IF(OR(E869="",E869="!!!",F869="NEW"),"",INDEX(J$1:J868,SUMPRODUCT(MAX(ROW(E$1:E868)*(E869=E$1:E868)))))</f>
        <v/>
      </c>
      <c r="L869" s="25"/>
    </row>
    <row r="870" spans="1:12" x14ac:dyDescent="0.3">
      <c r="A870" t="s">
        <v>610</v>
      </c>
      <c r="E870" s="20" t="str">
        <f t="shared" si="57"/>
        <v/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ca="1" si="56"/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651</v>
      </c>
      <c r="E871" s="20" t="str">
        <f t="shared" si="57"/>
        <v/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56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652</v>
      </c>
      <c r="B872" s="26" t="s">
        <v>414</v>
      </c>
      <c r="C872" s="26" t="s">
        <v>105</v>
      </c>
      <c r="E872" s="20" t="str">
        <f t="shared" si="57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56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178</v>
      </c>
      <c r="E873" s="20" t="str">
        <f t="shared" si="57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56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112</v>
      </c>
      <c r="E874" s="20" t="str">
        <f t="shared" si="57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56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653</v>
      </c>
      <c r="E875" s="20" t="str">
        <f t="shared" si="57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56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72</v>
      </c>
      <c r="B876" s="26" t="s">
        <v>557</v>
      </c>
      <c r="C876" s="26" t="s">
        <v>74</v>
      </c>
      <c r="D876" s="26" t="s">
        <v>75</v>
      </c>
      <c r="E876" s="20" t="s">
        <v>76</v>
      </c>
      <c r="F876" s="21" t="str">
        <f>IF(OR(E876="",E876="!!!"),"",IF(NOT(ISNA(VLOOKUP(E876,E$1:E875,1,FALSE()))),"OLD",IF(AND(E876&lt;&gt;"",E876&lt;&gt;"!!!"),"NEW","")))</f>
        <v>OLD</v>
      </c>
      <c r="G876" s="22" t="str">
        <f ca="1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3" t="str">
        <f t="shared" ca="1" si="56"/>
        <v/>
      </c>
      <c r="I876" s="24" t="str">
        <f>IF(OR(E876="",E876="!!!",F876="NEW"),"",INDEX(B$2:B875,-1+SUMPRODUCT(MAX(ROW(E$2:E875)*(E876=E$2:E875)))))</f>
        <v>SBJ</v>
      </c>
      <c r="J876" s="24">
        <f ca="1">IF(OR(E876="",E876="!!!",F876="NEW"),"",COUNTBLANK(OFFSET(A$1,,,SUMPRODUCT(MAX(ROW(E$2:E876)*(E876=E$2:E876)))))-COUNTBLANK(OFFSET(A$1,,,SUMPRODUCT(MAX(ROW(E$1:E875)*(E2=E$1:E875))))))</f>
        <v>0</v>
      </c>
      <c r="K876" s="24">
        <f ca="1">IF(OR(E876="",E876="!!!",F876="NEW"),"",INDEX(J$1:J875,SUMPRODUCT(MAX(ROW(E$1:E875)*(E876=E$1:E875)))))</f>
        <v>0</v>
      </c>
      <c r="L876" s="25"/>
    </row>
    <row r="877" spans="1:12" x14ac:dyDescent="0.3">
      <c r="A877" t="s">
        <v>86</v>
      </c>
      <c r="E877" s="20" t="str">
        <f>IF(D877="?OLD","!!!","")</f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56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94</v>
      </c>
      <c r="E878" s="20" t="str">
        <f>IF(D878="?OLD","!!!","")</f>
        <v/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56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79</v>
      </c>
      <c r="E879" s="20" t="str">
        <f>IF(D879="?OLD","!!!","")</f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56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654</v>
      </c>
      <c r="B880" s="26" t="s">
        <v>402</v>
      </c>
      <c r="C880" s="26" t="s">
        <v>105</v>
      </c>
      <c r="E880" s="20" t="str">
        <f>IF(D880="?OLD","!!!","")</f>
        <v/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56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1" spans="1:12" x14ac:dyDescent="0.3">
      <c r="A881" t="s">
        <v>458</v>
      </c>
      <c r="E881" s="20" t="str">
        <f>IF(D881="?OLD","!!!","")</f>
        <v/>
      </c>
      <c r="F881" s="21" t="str">
        <f>IF(OR(E881="",E881="!!!"),"",IF(NOT(ISNA(VLOOKUP(E881,E$1:E880,1,FALSE()))),"OLD",IF(AND(E881&lt;&gt;"",E881&lt;&gt;"!!!"),"NEW","")))</f>
        <v/>
      </c>
      <c r="G881" s="22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t="shared" ca="1" si="56"/>
        <v/>
      </c>
      <c r="I881" s="24" t="str">
        <f>IF(OR(E881="",E881="!!!",F881="NEW"),"",INDEX(B$2:B880,-1+SUMPRODUCT(MAX(ROW(E$2:E880)*(E881=E$2:E880)))))</f>
        <v/>
      </c>
      <c r="J881" s="24" t="str">
        <f ca="1">IF(OR(E881="",E881="!!!",F881="NEW"),"",COUNTBLANK(OFFSET(A$1,,,SUMPRODUCT(MAX(ROW(E$2:E881)*(E881=E$2:E881)))))-COUNTBLANK(OFFSET(A$1,,,SUMPRODUCT(MAX(ROW(E$1:E880)*(E2=E$1:E880))))))</f>
        <v/>
      </c>
      <c r="K881" s="24" t="str">
        <f>IF(OR(E881="",E881="!!!",F881="NEW"),"",INDEX(J$1:J880,SUMPRODUCT(MAX(ROW(E$1:E880)*(E881=E$1:E880)))))</f>
        <v/>
      </c>
      <c r="L881" s="25"/>
    </row>
    <row r="882" spans="1:12" x14ac:dyDescent="0.3">
      <c r="A882" t="s">
        <v>206</v>
      </c>
      <c r="B882" s="26" t="s">
        <v>207</v>
      </c>
      <c r="C882" s="26" t="s">
        <v>208</v>
      </c>
      <c r="D882" s="26" t="s">
        <v>75</v>
      </c>
      <c r="E882" s="20" t="s">
        <v>206</v>
      </c>
      <c r="F882" s="21" t="str">
        <f>IF(OR(E882="",E882="!!!"),"",IF(NOT(ISNA(VLOOKUP(E882,E$1:E881,1,FALSE()))),"OLD",IF(AND(E882&lt;&gt;"",E882&lt;&gt;"!!!"),"NEW","")))</f>
        <v>OLD</v>
      </c>
      <c r="G882" s="22" t="str">
        <f ca="1"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?IN_FOCUS</v>
      </c>
      <c r="H882" s="23" t="str">
        <f t="shared" ca="1" si="56"/>
        <v/>
      </c>
      <c r="I882" s="24" t="str">
        <f>IF(OR(E882="",E882="!!!",F882="NEW"),"",INDEX(B$2:B881,-1+SUMPRODUCT(MAX(ROW(E$2:E881)*(E882=E$2:E881)))))</f>
        <v>SBJ_5</v>
      </c>
      <c r="J882" s="24">
        <f ca="1">IF(OR(E882="",E882="!!!",F882="NEW"),"",COUNTBLANK(OFFSET(A$1,,,SUMPRODUCT(MAX(ROW(E$2:E882)*(E882=E$2:E882)))))-COUNTBLANK(OFFSET(A$1,,,SUMPRODUCT(MAX(ROW(E$1:E881)*(E2=E$1:E881))))))</f>
        <v>0</v>
      </c>
      <c r="K882" s="24">
        <f ca="1">IF(OR(E882="",E882="!!!",F882="NEW"),"",INDEX(J$1:J881,SUMPRODUCT(MAX(ROW(E$1:E881)*(E882=E$1:E881)))))</f>
        <v>0</v>
      </c>
      <c r="L882" s="25"/>
    </row>
    <row r="883" spans="1:12" x14ac:dyDescent="0.3">
      <c r="A883" t="s">
        <v>136</v>
      </c>
      <c r="E883" s="20" t="str">
        <f>IF(D883="?OLD","!!!","")</f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ca="1" si="56"/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655</v>
      </c>
      <c r="B884" s="26" t="s">
        <v>213</v>
      </c>
      <c r="C884" s="26" t="s">
        <v>74</v>
      </c>
      <c r="D884" s="26" t="s">
        <v>75</v>
      </c>
      <c r="E884" s="20" t="s">
        <v>656</v>
      </c>
      <c r="F884" s="21" t="str">
        <f>IF(OR(E884="",E884="!!!"),"",IF(NOT(ISNA(VLOOKUP(E884,E$1:E883,1,FALSE()))),"OLD",IF(AND(E884&lt;&gt;"",E884&lt;&gt;"!!!"),"NEW","")))</f>
        <v>NEW</v>
      </c>
      <c r="G884" s="22" t="str">
        <f ca="1"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?REFERENTIAL</v>
      </c>
      <c r="H884" s="23" t="str">
        <f t="shared" ca="1" si="56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324</v>
      </c>
      <c r="E885" s="20" t="str">
        <f>IF(D885="?OLD","!!!","")</f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56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334</v>
      </c>
      <c r="B886" s="26" t="s">
        <v>416</v>
      </c>
      <c r="C886" s="26" t="s">
        <v>105</v>
      </c>
      <c r="E886" s="20"/>
      <c r="F886" s="21" t="str">
        <f>IF(OR(E886="",E886="!!!"),"",IF(NOT(ISNA(VLOOKUP(E886,E$1:E885,1,FALSE()))),"OLD",IF(AND(E886&lt;&gt;"",E886&lt;&gt;"!!!"),"NEW","")))</f>
        <v/>
      </c>
      <c r="G886" s="22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t="shared" ca="1" si="56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636</v>
      </c>
      <c r="E887" s="20" t="str">
        <f>IF(D887="?OLD","!!!","")</f>
        <v/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56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112</v>
      </c>
      <c r="E888" s="20" t="str">
        <f>IF(D888="?OLD","!!!","")</f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56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89" spans="1:12" x14ac:dyDescent="0.3">
      <c r="A889" t="s">
        <v>657</v>
      </c>
      <c r="E889" s="20" t="str">
        <f>IF(D889="?OLD","!!!","")</f>
        <v/>
      </c>
      <c r="F889" s="21" t="str">
        <f>IF(OR(E889="",E889="!!!"),"",IF(NOT(ISNA(VLOOKUP(E889,E$1:E888,1,FALSE()))),"OLD",IF(AND(E889&lt;&gt;"",E889&lt;&gt;"!!!"),"NEW","")))</f>
        <v/>
      </c>
      <c r="G889" s="22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t="shared" ref="H889:H920" ca="1" si="58">IF(J889&lt;&gt;1,"",IF(I889="SBJ","CB","?"))</f>
        <v/>
      </c>
      <c r="I889" s="24" t="str">
        <f>IF(OR(E889="",E889="!!!",F889="NEW"),"",INDEX(B$2:B888,-1+SUMPRODUCT(MAX(ROW(E$2:E888)*(E889=E$2:E888)))))</f>
        <v/>
      </c>
      <c r="J889" s="24" t="str">
        <f ca="1">IF(OR(E889="",E889="!!!",F889="NEW"),"",COUNTBLANK(OFFSET(A$1,,,SUMPRODUCT(MAX(ROW(E$2:E889)*(E889=E$2:E889)))))-COUNTBLANK(OFFSET(A$1,,,SUMPRODUCT(MAX(ROW(E$1:E888)*(E2=E$1:E888))))))</f>
        <v/>
      </c>
      <c r="K889" s="24" t="str">
        <f>IF(OR(E889="",E889="!!!",F889="NEW"),"",INDEX(J$1:J888,SUMPRODUCT(MAX(ROW(E$1:E888)*(E889=E$1:E888)))))</f>
        <v/>
      </c>
      <c r="L889" s="25"/>
    </row>
    <row r="890" spans="1:12" x14ac:dyDescent="0.3">
      <c r="A890" t="s">
        <v>359</v>
      </c>
      <c r="B890" s="26" t="s">
        <v>416</v>
      </c>
      <c r="C890" s="26" t="s">
        <v>280</v>
      </c>
      <c r="D890" s="26" t="s">
        <v>75</v>
      </c>
      <c r="E890" s="20" t="s">
        <v>360</v>
      </c>
      <c r="F890" s="21" t="str">
        <f>IF(OR(E890="",E890="!!!"),"",IF(NOT(ISNA(VLOOKUP(E890,E$1:E889,1,FALSE()))),"OLD",IF(AND(E890&lt;&gt;"",E890&lt;&gt;"!!!"),"NEW","")))</f>
        <v>OLD</v>
      </c>
      <c r="G890" s="22" t="str">
        <f ca="1"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?IN_FOCUS</v>
      </c>
      <c r="H890" s="23" t="str">
        <f t="shared" ca="1" si="58"/>
        <v/>
      </c>
      <c r="I890" s="24" t="str">
        <f>IF(OR(E890="",E890="!!!",F890="NEW"),"",INDEX(B$2:B889,-1+SUMPRODUCT(MAX(ROW(E$2:E889)*(E890=E$2:E889)))))</f>
        <v>other_6</v>
      </c>
      <c r="J890" s="24">
        <f ca="1">IF(OR(E890="",E890="!!!",F890="NEW"),"",COUNTBLANK(OFFSET(A$1,,,SUMPRODUCT(MAX(ROW(E$2:E890)*(E890=E$2:E890)))))-COUNTBLANK(OFFSET(A$1,,,SUMPRODUCT(MAX(ROW(E$1:E889)*(E2=E$1:E889))))))</f>
        <v>0</v>
      </c>
      <c r="K890" s="24">
        <f ca="1">IF(OR(E890="",E890="!!!",F890="NEW"),"",INDEX(J$1:J889,SUMPRODUCT(MAX(ROW(E$1:E889)*(E890=E$1:E889)))))</f>
        <v>0</v>
      </c>
      <c r="L890" s="27" t="s">
        <v>527</v>
      </c>
    </row>
    <row r="891" spans="1:12" x14ac:dyDescent="0.3">
      <c r="A891" t="s">
        <v>16</v>
      </c>
      <c r="E891" s="20" t="str">
        <f>IF(D891="?OLD","!!!","")</f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ca="1" si="58"/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638</v>
      </c>
      <c r="E892" s="20" t="s">
        <v>639</v>
      </c>
      <c r="F892" s="21" t="str">
        <f>IF(OR(E892="",E892="!!!"),"",IF(NOT(ISNA(VLOOKUP(E892,E$1:E891,1,FALSE()))),"OLD",IF(AND(E892&lt;&gt;"",E892&lt;&gt;"!!!"),"NEW","")))</f>
        <v>OLD</v>
      </c>
      <c r="G892" s="22" t="str">
        <f ca="1"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?IN_FOCUS</v>
      </c>
      <c r="H892" s="23" t="str">
        <f t="shared" ca="1" si="58"/>
        <v/>
      </c>
      <c r="I892" s="24">
        <f>IF(OR(E892="",E892="!!!",F892="NEW"),"",INDEX(B$2:B891,-1+SUMPRODUCT(MAX(ROW(E$2:E891)*(E892=E$2:E891)))))</f>
        <v>0</v>
      </c>
      <c r="J892" s="24">
        <f ca="1">IF(OR(E892="",E892="!!!",F892="NEW"),"",COUNTBLANK(OFFSET(A$1,,,SUMPRODUCT(MAX(ROW(E$2:E892)*(E892=E$2:E892)))))-COUNTBLANK(OFFSET(A$1,,,SUMPRODUCT(MAX(ROW(E$1:E891)*(E2=E$1:E891))))))</f>
        <v>0</v>
      </c>
      <c r="K892" s="24" t="str">
        <f ca="1">IF(OR(E892="",E892="!!!",F892="NEW"),"",INDEX(J$1:J891,SUMPRODUCT(MAX(ROW(E$1:E891)*(E892=E$1:E891)))))</f>
        <v/>
      </c>
      <c r="L892" s="25"/>
    </row>
    <row r="893" spans="1:12" x14ac:dyDescent="0.3">
      <c r="A893" t="s">
        <v>86</v>
      </c>
      <c r="E893" s="20" t="str">
        <f>IF(D893="?OLD","!!!","")</f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58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658</v>
      </c>
      <c r="B894" s="26" t="s">
        <v>402</v>
      </c>
      <c r="C894" s="26" t="s">
        <v>105</v>
      </c>
      <c r="E894" s="20" t="str">
        <f>IF(D894="?OLD","!!!","")</f>
        <v/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58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397</v>
      </c>
      <c r="E895" s="20" t="str">
        <f>IF(D895="?OLD","!!!","")</f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58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659</v>
      </c>
      <c r="E896" s="20" t="str">
        <f>IF(D896="?OLD","!!!","")</f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58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7" spans="1:12" x14ac:dyDescent="0.3">
      <c r="A897" t="s">
        <v>660</v>
      </c>
      <c r="B897" s="26" t="s">
        <v>416</v>
      </c>
      <c r="C897" s="26" t="s">
        <v>119</v>
      </c>
      <c r="E897" s="20" t="str">
        <f>IF(D897="?OLD","!!!","")</f>
        <v/>
      </c>
      <c r="F897" s="21" t="str">
        <f>IF(OR(E897="",E897="!!!"),"",IF(NOT(ISNA(VLOOKUP(E897,E$1:E896,1,FALSE()))),"OLD",IF(AND(E897&lt;&gt;"",E897&lt;&gt;"!!!"),"NEW","")))</f>
        <v/>
      </c>
      <c r="G897" s="22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3" t="str">
        <f t="shared" ca="1" si="58"/>
        <v/>
      </c>
      <c r="I897" s="24" t="str">
        <f>IF(OR(E897="",E897="!!!",F897="NEW"),"",INDEX(B$2:B896,-1+SUMPRODUCT(MAX(ROW(E$2:E896)*(E897=E$2:E896)))))</f>
        <v/>
      </c>
      <c r="J897" s="24" t="str">
        <f ca="1">IF(OR(E897="",E897="!!!",F897="NEW"),"",COUNTBLANK(OFFSET(A$1,,,SUMPRODUCT(MAX(ROW(E$2:E897)*(E897=E$2:E897)))))-COUNTBLANK(OFFSET(A$1,,,SUMPRODUCT(MAX(ROW(E$1:E896)*(E2=E$1:E896))))))</f>
        <v/>
      </c>
      <c r="K897" s="24" t="str">
        <f>IF(OR(E897="",E897="!!!",F897="NEW"),"",INDEX(J$1:J896,SUMPRODUCT(MAX(ROW(E$1:E896)*(E897=E$1:E896)))))</f>
        <v/>
      </c>
      <c r="L897" s="25"/>
    </row>
    <row r="898" spans="1:12" x14ac:dyDescent="0.3">
      <c r="A898" t="s">
        <v>661</v>
      </c>
      <c r="B898" s="26" t="s">
        <v>402</v>
      </c>
      <c r="C898" s="26" t="s">
        <v>208</v>
      </c>
      <c r="D898" s="26" t="s">
        <v>75</v>
      </c>
      <c r="E898" s="20"/>
      <c r="F898" s="21" t="str">
        <f>IF(OR(E898="",E898="!!!"),"",IF(NOT(ISNA(VLOOKUP(E898,E$1:E897,1,FALSE()))),"OLD",IF(AND(E898&lt;&gt;"",E898&lt;&gt;"!!!"),"NEW","")))</f>
        <v/>
      </c>
      <c r="G898" s="22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t="shared" ca="1" si="58"/>
        <v/>
      </c>
      <c r="I898" s="24" t="str">
        <f>IF(OR(E898="",E898="!!!",F898="NEW"),"",INDEX(B$2:B897,-1+SUMPRODUCT(MAX(ROW(E$2:E897)*(E898=E$2:E897)))))</f>
        <v/>
      </c>
      <c r="J898" s="24" t="str">
        <f ca="1">IF(OR(E898="",E898="!!!",F898="NEW"),"",COUNTBLANK(OFFSET(A$1,,,SUMPRODUCT(MAX(ROW(E$2:E898)*(E898=E$2:E898)))))-COUNTBLANK(OFFSET(A$1,,,SUMPRODUCT(MAX(ROW(E$1:E897)*(E2=E$1:E897))))))</f>
        <v/>
      </c>
      <c r="K898" s="24" t="str">
        <f>IF(OR(E898="",E898="!!!",F898="NEW"),"",INDEX(J$1:J897,SUMPRODUCT(MAX(ROW(E$1:E897)*(E898=E$1:E897)))))</f>
        <v/>
      </c>
      <c r="L898" s="27" t="s">
        <v>134</v>
      </c>
    </row>
    <row r="899" spans="1:12" x14ac:dyDescent="0.3">
      <c r="A899" t="s">
        <v>662</v>
      </c>
      <c r="B899" s="26" t="s">
        <v>300</v>
      </c>
      <c r="C899" s="26" t="s">
        <v>119</v>
      </c>
      <c r="E899" s="20" t="s">
        <v>663</v>
      </c>
      <c r="F899" s="21" t="str">
        <f>IF(OR(E899="",E899="!!!"),"",IF(NOT(ISNA(VLOOKUP(E899,E$1:E898,1,FALSE()))),"OLD",IF(AND(E899&lt;&gt;"",E899&lt;&gt;"!!!"),"NEW","")))</f>
        <v>NEW</v>
      </c>
      <c r="G899" s="22" t="str">
        <f ca="1"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?REFERENTIAL</v>
      </c>
      <c r="H899" s="23" t="str">
        <f t="shared" ca="1" si="58"/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7" t="s">
        <v>158</v>
      </c>
    </row>
    <row r="900" spans="1:12" x14ac:dyDescent="0.3">
      <c r="A900" t="s">
        <v>86</v>
      </c>
      <c r="E900" s="20" t="str">
        <f>IF(D900="?OLD","!!!","")</f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58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264</v>
      </c>
      <c r="B901" s="26" t="s">
        <v>402</v>
      </c>
      <c r="C901" s="26" t="s">
        <v>151</v>
      </c>
      <c r="D901" s="26" t="s">
        <v>75</v>
      </c>
      <c r="E901" s="20" t="s">
        <v>663</v>
      </c>
      <c r="F901" s="21" t="str">
        <f>IF(OR(E901="",E901="!!!"),"",IF(NOT(ISNA(VLOOKUP(E901,E$1:E900,1,FALSE()))),"OLD",IF(AND(E901&lt;&gt;"",E901&lt;&gt;"!!!"),"NEW","")))</f>
        <v>OLD</v>
      </c>
      <c r="G901" s="22" t="str">
        <f ca="1"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?IN_FOCUS</v>
      </c>
      <c r="H901" s="23" t="str">
        <f t="shared" ca="1" si="58"/>
        <v/>
      </c>
      <c r="I901" s="24" t="str">
        <f>IF(OR(E901="",E901="!!!",F901="NEW"),"",INDEX(B$2:B900,-1+SUMPRODUCT(MAX(ROW(E$2:E900)*(E901=E$2:E900)))))</f>
        <v>OBJ_5</v>
      </c>
      <c r="J901" s="24">
        <f ca="1">IF(OR(E901="",E901="!!!",F901="NEW"),"",COUNTBLANK(OFFSET(A$1,,,SUMPRODUCT(MAX(ROW(E$2:E901)*(E901=E$2:E901)))))-COUNTBLANK(OFFSET(A$1,,,SUMPRODUCT(MAX(ROW(E$1:E900)*(E2=E$1:E900))))))</f>
        <v>0</v>
      </c>
      <c r="K901" s="24" t="str">
        <f ca="1">IF(OR(E901="",E901="!!!",F901="NEW"),"",INDEX(J$1:J900,SUMPRODUCT(MAX(ROW(E$1:E900)*(E901=E$1:E900)))))</f>
        <v/>
      </c>
      <c r="L901" s="25"/>
    </row>
    <row r="902" spans="1:12" x14ac:dyDescent="0.3">
      <c r="A902" t="s">
        <v>78</v>
      </c>
      <c r="E902" s="20" t="str">
        <f t="shared" ref="E902:E908" si="59">IF(D902="?OLD","!!!","")</f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58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664</v>
      </c>
      <c r="E903" s="20" t="str">
        <f t="shared" si="59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58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665</v>
      </c>
      <c r="E904" s="20" t="str">
        <f t="shared" si="59"/>
        <v/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58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101</v>
      </c>
      <c r="E905" s="20" t="str">
        <f t="shared" si="59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58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483</v>
      </c>
      <c r="E906" s="20" t="str">
        <f t="shared" si="59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58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446</v>
      </c>
      <c r="E907" s="20" t="str">
        <f t="shared" si="59"/>
        <v/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58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318</v>
      </c>
      <c r="B908" s="26" t="s">
        <v>115</v>
      </c>
      <c r="C908" s="26" t="s">
        <v>105</v>
      </c>
      <c r="E908" s="20" t="str">
        <f t="shared" si="59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58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206</v>
      </c>
      <c r="B909" s="26" t="s">
        <v>257</v>
      </c>
      <c r="C909" s="26" t="s">
        <v>208</v>
      </c>
      <c r="D909" s="26" t="s">
        <v>75</v>
      </c>
      <c r="E909" s="20" t="s">
        <v>206</v>
      </c>
      <c r="F909" s="21" t="str">
        <f>IF(OR(E909="",E909="!!!"),"",IF(NOT(ISNA(VLOOKUP(E909,E$1:E908,1,FALSE()))),"OLD",IF(AND(E909&lt;&gt;"",E909&lt;&gt;"!!!"),"NEW","")))</f>
        <v>OLD</v>
      </c>
      <c r="G909" s="22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?IN_FOCUS</v>
      </c>
      <c r="H909" s="23" t="str">
        <f t="shared" ca="1" si="58"/>
        <v/>
      </c>
      <c r="I909" s="24" t="str">
        <f>IF(OR(E909="",E909="!!!",F909="NEW"),"",INDEX(B$2:B908,-1+SUMPRODUCT(MAX(ROW(E$2:E908)*(E909=E$2:E908)))))</f>
        <v>SBJ_6</v>
      </c>
      <c r="J909" s="24">
        <f ca="1">IF(OR(E909="",E909="!!!",F909="NEW"),"",COUNTBLANK(OFFSET(A$1,,,SUMPRODUCT(MAX(ROW(E$2:E909)*(E909=E$2:E909)))))-COUNTBLANK(OFFSET(A$1,,,SUMPRODUCT(MAX(ROW(E$1:E908)*(E2=E$1:E908))))))</f>
        <v>0</v>
      </c>
      <c r="K909" s="24">
        <f ca="1">IF(OR(E909="",E909="!!!",F909="NEW"),"",INDEX(J$1:J908,SUMPRODUCT(MAX(ROW(E$1:E908)*(E909=E$1:E908)))))</f>
        <v>0</v>
      </c>
      <c r="L909" s="27" t="s">
        <v>666</v>
      </c>
    </row>
    <row r="910" spans="1:12" x14ac:dyDescent="0.3">
      <c r="A910" t="s">
        <v>667</v>
      </c>
      <c r="E910" s="20" t="str">
        <f>IF(D910="?OLD","!!!","")</f>
        <v/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58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597</v>
      </c>
      <c r="E911" s="20" t="str">
        <f>IF(D911="?OLD","!!!","")</f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58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2" spans="1:12" x14ac:dyDescent="0.3">
      <c r="A912" t="s">
        <v>86</v>
      </c>
      <c r="E912" s="20" t="str">
        <f>IF(D912="?OLD","!!!","")</f>
        <v/>
      </c>
      <c r="F912" s="21" t="str">
        <f>IF(OR(E912="",E912="!!!"),"",IF(NOT(ISNA(VLOOKUP(E912,E$1:E911,1,FALSE()))),"OLD",IF(AND(E912&lt;&gt;"",E912&lt;&gt;"!!!"),"NEW","")))</f>
        <v/>
      </c>
      <c r="G912" s="22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3" t="str">
        <f t="shared" ca="1" si="58"/>
        <v/>
      </c>
      <c r="I912" s="24" t="str">
        <f>IF(OR(E912="",E912="!!!",F912="NEW"),"",INDEX(B$2:B911,-1+SUMPRODUCT(MAX(ROW(E$2:E911)*(E912=E$2:E911)))))</f>
        <v/>
      </c>
      <c r="J912" s="24" t="str">
        <f ca="1">IF(OR(E912="",E912="!!!",F912="NEW"),"",COUNTBLANK(OFFSET(A$1,,,SUMPRODUCT(MAX(ROW(E$2:E912)*(E912=E$2:E912)))))-COUNTBLANK(OFFSET(A$1,,,SUMPRODUCT(MAX(ROW(E$1:E911)*(E2=E$1:E911))))))</f>
        <v/>
      </c>
      <c r="K912" s="24" t="str">
        <f>IF(OR(E912="",E912="!!!",F912="NEW"),"",INDEX(J$1:J911,SUMPRODUCT(MAX(ROW(E$1:E911)*(E912=E$1:E911)))))</f>
        <v/>
      </c>
      <c r="L912" s="25"/>
    </row>
    <row r="913" spans="1:12" x14ac:dyDescent="0.3">
      <c r="A913" t="s">
        <v>192</v>
      </c>
      <c r="B913" s="26" t="s">
        <v>96</v>
      </c>
      <c r="C913" s="26" t="s">
        <v>88</v>
      </c>
      <c r="D913" s="26" t="s">
        <v>75</v>
      </c>
      <c r="E913" s="20" t="s">
        <v>97</v>
      </c>
      <c r="F913" s="21" t="str">
        <f>IF(OR(E913="",E913="!!!"),"",IF(NOT(ISNA(VLOOKUP(E913,E$1:E912,1,FALSE()))),"OLD",IF(AND(E913&lt;&gt;"",E913&lt;&gt;"!!!"),"NEW","")))</f>
        <v>OLD</v>
      </c>
      <c r="G913" s="22" t="str">
        <f ca="1"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?IN_FOCUS</v>
      </c>
      <c r="H913" s="23" t="str">
        <f t="shared" ca="1" si="58"/>
        <v/>
      </c>
      <c r="I913" s="24" t="str">
        <f>IF(OR(E913="",E913="!!!",F913="NEW"),"",INDEX(B$2:B912,-1+SUMPRODUCT(MAX(ROW(E$2:E912)*(E913=E$2:E912)))))</f>
        <v>SBJ_3</v>
      </c>
      <c r="J913" s="24">
        <f ca="1">IF(OR(E913="",E913="!!!",F913="NEW"),"",COUNTBLANK(OFFSET(A$1,,,SUMPRODUCT(MAX(ROW(E$2:E913)*(E913=E$2:E913)))))-COUNTBLANK(OFFSET(A$1,,,SUMPRODUCT(MAX(ROW(E$1:E912)*(E2=E$1:E912))))))</f>
        <v>0</v>
      </c>
      <c r="K913" s="24">
        <f ca="1">IF(OR(E913="",E913="!!!",F913="NEW"),"",INDEX(J$1:J912,SUMPRODUCT(MAX(ROW(E$1:E912)*(E913=E$1:E912)))))</f>
        <v>0</v>
      </c>
      <c r="L913" s="25"/>
    </row>
    <row r="914" spans="1:12" x14ac:dyDescent="0.3">
      <c r="A914" t="s">
        <v>668</v>
      </c>
      <c r="B914" s="26" t="s">
        <v>73</v>
      </c>
      <c r="E914" s="20" t="str">
        <f t="shared" ref="E914:E920" si="60">IF(D914="?OLD","!!!","")</f>
        <v/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ca="1" si="58"/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5" spans="1:12" x14ac:dyDescent="0.3">
      <c r="A915" t="s">
        <v>597</v>
      </c>
      <c r="E915" s="20" t="str">
        <f t="shared" si="60"/>
        <v/>
      </c>
      <c r="F915" s="21" t="str">
        <f>IF(OR(E915="",E915="!!!"),"",IF(NOT(ISNA(VLOOKUP(E915,E$1:E914,1,FALSE()))),"OLD",IF(AND(E915&lt;&gt;"",E915&lt;&gt;"!!!"),"NEW","")))</f>
        <v/>
      </c>
      <c r="G915" s="22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3" t="str">
        <f t="shared" ca="1" si="58"/>
        <v/>
      </c>
      <c r="I915" s="24" t="str">
        <f>IF(OR(E915="",E915="!!!",F915="NEW"),"",INDEX(B$2:B914,-1+SUMPRODUCT(MAX(ROW(E$2:E914)*(E915=E$2:E914)))))</f>
        <v/>
      </c>
      <c r="J915" s="24" t="str">
        <f ca="1">IF(OR(E915="",E915="!!!",F915="NEW"),"",COUNTBLANK(OFFSET(A$1,,,SUMPRODUCT(MAX(ROW(E$2:E915)*(E915=E$2:E915)))))-COUNTBLANK(OFFSET(A$1,,,SUMPRODUCT(MAX(ROW(E$1:E914)*(E2=E$1:E914))))))</f>
        <v/>
      </c>
      <c r="K915" s="24" t="str">
        <f>IF(OR(E915="",E915="!!!",F915="NEW"),"",INDEX(J$1:J914,SUMPRODUCT(MAX(ROW(E$1:E914)*(E915=E$1:E914)))))</f>
        <v/>
      </c>
      <c r="L915" s="25"/>
    </row>
    <row r="916" spans="1:12" x14ac:dyDescent="0.3">
      <c r="A916" t="s">
        <v>86</v>
      </c>
      <c r="E916" s="20" t="str">
        <f t="shared" si="60"/>
        <v/>
      </c>
      <c r="F916" s="21" t="str">
        <f>IF(OR(E916="",E916="!!!"),"",IF(NOT(ISNA(VLOOKUP(E916,E$1:E915,1,FALSE()))),"OLD",IF(AND(E916&lt;&gt;"",E916&lt;&gt;"!!!"),"NEW","")))</f>
        <v/>
      </c>
      <c r="G916" s="22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3" t="str">
        <f t="shared" ca="1" si="58"/>
        <v/>
      </c>
      <c r="I916" s="24" t="str">
        <f>IF(OR(E916="",E916="!!!",F916="NEW"),"",INDEX(B$2:B915,-1+SUMPRODUCT(MAX(ROW(E$2:E915)*(E916=E$2:E915)))))</f>
        <v/>
      </c>
      <c r="J916" s="24" t="str">
        <f ca="1">IF(OR(E916="",E916="!!!",F916="NEW"),"",COUNTBLANK(OFFSET(A$1,,,SUMPRODUCT(MAX(ROW(E$2:E916)*(E916=E$2:E916)))))-COUNTBLANK(OFFSET(A$1,,,SUMPRODUCT(MAX(ROW(E$1:E915)*(E2=E$1:E915))))))</f>
        <v/>
      </c>
      <c r="K916" s="24" t="str">
        <f>IF(OR(E916="",E916="!!!",F916="NEW"),"",INDEX(J$1:J915,SUMPRODUCT(MAX(ROW(E$1:E915)*(E916=E$1:E915)))))</f>
        <v/>
      </c>
      <c r="L916" s="25"/>
    </row>
    <row r="917" spans="1:12" x14ac:dyDescent="0.3">
      <c r="A917" t="s">
        <v>501</v>
      </c>
      <c r="E917" s="20" t="str">
        <f t="shared" si="60"/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ca="1" si="58"/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109</v>
      </c>
      <c r="B918" s="26" t="s">
        <v>147</v>
      </c>
      <c r="C918" s="26" t="s">
        <v>111</v>
      </c>
      <c r="E918" s="20" t="str">
        <f t="shared" si="60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58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669</v>
      </c>
      <c r="B919" s="26" t="s">
        <v>82</v>
      </c>
      <c r="C919" s="26" t="s">
        <v>119</v>
      </c>
      <c r="E919" s="20" t="str">
        <f t="shared" si="60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58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78</v>
      </c>
      <c r="E920" s="20" t="str">
        <f t="shared" si="60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58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359</v>
      </c>
      <c r="B921" s="26" t="s">
        <v>73</v>
      </c>
      <c r="C921" s="26" t="s">
        <v>280</v>
      </c>
      <c r="D921" s="26" t="s">
        <v>75</v>
      </c>
      <c r="E921" s="20" t="s">
        <v>360</v>
      </c>
      <c r="F921" s="21" t="str">
        <f>IF(OR(E921="",E921="!!!"),"",IF(NOT(ISNA(VLOOKUP(E921,E$1:E920,1,FALSE()))),"OLD",IF(AND(E921&lt;&gt;"",E921&lt;&gt;"!!!"),"NEW","")))</f>
        <v>OLD</v>
      </c>
      <c r="G921" s="22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3" t="str">
        <f t="shared" ref="H921:H952" ca="1" si="61">IF(J921&lt;&gt;1,"",IF(I921="SBJ","CB","?"))</f>
        <v/>
      </c>
      <c r="I921" s="24" t="str">
        <f>IF(OR(E921="",E921="!!!",F921="NEW"),"",INDEX(B$2:B920,-1+SUMPRODUCT(MAX(ROW(E$2:E920)*(E921=E$2:E920)))))</f>
        <v>other_7</v>
      </c>
      <c r="J921" s="24">
        <f ca="1">IF(OR(E921="",E921="!!!",F921="NEW"),"",COUNTBLANK(OFFSET(A$1,,,SUMPRODUCT(MAX(ROW(E$2:E921)*(E921=E$2:E921)))))-COUNTBLANK(OFFSET(A$1,,,SUMPRODUCT(MAX(ROW(E$1:E920)*(E2=E$1:E920))))))</f>
        <v>0</v>
      </c>
      <c r="K921" s="24">
        <f ca="1">IF(OR(E921="",E921="!!!",F921="NEW"),"",INDEX(J$1:J920,SUMPRODUCT(MAX(ROW(E$1:E920)*(E921=E$1:E920)))))</f>
        <v>0</v>
      </c>
      <c r="L921" s="25"/>
    </row>
    <row r="922" spans="1:12" x14ac:dyDescent="0.3">
      <c r="A922" t="s">
        <v>333</v>
      </c>
      <c r="E922" s="20" t="str">
        <f>IF(D922="?OLD","!!!","")</f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61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670</v>
      </c>
      <c r="B923" s="26" t="s">
        <v>131</v>
      </c>
      <c r="C923" s="26" t="s">
        <v>335</v>
      </c>
      <c r="E923" s="20" t="str">
        <f>IF(D923="?OLD","!!!","")</f>
        <v/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61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258</v>
      </c>
      <c r="E924" s="20" t="str">
        <f>IF(D924="?OLD","!!!","")</f>
        <v/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61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671</v>
      </c>
      <c r="E925" s="20" t="str">
        <f>IF(D925="?OLD","!!!","")</f>
        <v/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61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672</v>
      </c>
      <c r="B926" s="26" t="s">
        <v>131</v>
      </c>
      <c r="C926" s="26" t="s">
        <v>105</v>
      </c>
      <c r="E926" s="20" t="s">
        <v>673</v>
      </c>
      <c r="F926" s="21" t="str">
        <f>IF(OR(E926="",E926="!!!"),"",IF(NOT(ISNA(VLOOKUP(E926,E$1:E925,1,FALSE()))),"OLD",IF(AND(E926&lt;&gt;"",E926&lt;&gt;"!!!"),"NEW","")))</f>
        <v>NEW</v>
      </c>
      <c r="G926" s="22" t="str">
        <f ca="1"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?REFERENTIAL</v>
      </c>
      <c r="H926" s="23" t="str">
        <f t="shared" ca="1" si="61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7" t="s">
        <v>674</v>
      </c>
    </row>
    <row r="927" spans="1:12" x14ac:dyDescent="0.3">
      <c r="A927" t="s">
        <v>86</v>
      </c>
      <c r="E927" s="20" t="str">
        <f>IF(D927="?OLD","!!!","")</f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61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501</v>
      </c>
      <c r="E928" s="20" t="str">
        <f>IF(D928="?OLD","!!!","")</f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61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644</v>
      </c>
      <c r="B929" s="26" t="s">
        <v>82</v>
      </c>
      <c r="C929" s="26" t="s">
        <v>105</v>
      </c>
      <c r="E929" s="20" t="str">
        <f>IF(D929="?OLD","!!!","")</f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61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458</v>
      </c>
      <c r="E930" s="20" t="str">
        <f>IF(D930="?OLD","!!!","")</f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61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206</v>
      </c>
      <c r="B931" s="26" t="s">
        <v>96</v>
      </c>
      <c r="C931" s="26" t="s">
        <v>208</v>
      </c>
      <c r="D931" s="26" t="s">
        <v>75</v>
      </c>
      <c r="E931" s="20" t="s">
        <v>206</v>
      </c>
      <c r="F931" s="21" t="str">
        <f>IF(OR(E931="",E931="!!!"),"",IF(NOT(ISNA(VLOOKUP(E931,E$1:E930,1,FALSE()))),"OLD",IF(AND(E931&lt;&gt;"",E931&lt;&gt;"!!!"),"NEW","")))</f>
        <v>OLD</v>
      </c>
      <c r="G931" s="22" t="str">
        <f ca="1"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?IN_FOCUS</v>
      </c>
      <c r="H931" s="23" t="str">
        <f t="shared" ca="1" si="61"/>
        <v/>
      </c>
      <c r="I931" s="24" t="str">
        <f>IF(OR(E931="",E931="!!!",F931="NEW"),"",INDEX(B$2:B930,-1+SUMPRODUCT(MAX(ROW(E$2:E930)*(E931=E$2:E930)))))</f>
        <v>SBJ_4</v>
      </c>
      <c r="J931" s="24">
        <f ca="1">IF(OR(E931="",E931="!!!",F931="NEW"),"",COUNTBLANK(OFFSET(A$1,,,SUMPRODUCT(MAX(ROW(E$2:E931)*(E931=E$2:E931)))))-COUNTBLANK(OFFSET(A$1,,,SUMPRODUCT(MAX(ROW(E$1:E930)*(E2=E$1:E930))))))</f>
        <v>0</v>
      </c>
      <c r="K931" s="24">
        <f ca="1">IF(OR(E931="",E931="!!!",F931="NEW"),"",INDEX(J$1:J930,SUMPRODUCT(MAX(ROW(E$1:E930)*(E931=E$1:E930)))))</f>
        <v>0</v>
      </c>
      <c r="L931" s="25"/>
    </row>
    <row r="932" spans="1:12" x14ac:dyDescent="0.3">
      <c r="A932" t="s">
        <v>136</v>
      </c>
      <c r="E932" s="20" t="str">
        <f>IF(D932="?OLD","!!!","")</f>
        <v/>
      </c>
      <c r="F932" s="21" t="str">
        <f>IF(OR(E932="",E932="!!!"),"",IF(NOT(ISNA(VLOOKUP(E932,E$1:E931,1,FALSE()))),"OLD",IF(AND(E932&lt;&gt;"",E932&lt;&gt;"!!!"),"NEW","")))</f>
        <v/>
      </c>
      <c r="G932" s="22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3" t="str">
        <f t="shared" ca="1" si="61"/>
        <v/>
      </c>
      <c r="I932" s="24" t="str">
        <f>IF(OR(E932="",E932="!!!",F932="NEW"),"",INDEX(B$2:B931,-1+SUMPRODUCT(MAX(ROW(E$2:E931)*(E932=E$2:E931)))))</f>
        <v/>
      </c>
      <c r="J932" s="24" t="str">
        <f ca="1">IF(OR(E932="",E932="!!!",F932="NEW"),"",COUNTBLANK(OFFSET(A$1,,,SUMPRODUCT(MAX(ROW(E$2:E932)*(E932=E$2:E932)))))-COUNTBLANK(OFFSET(A$1,,,SUMPRODUCT(MAX(ROW(E$1:E931)*(E2=E$1:E931))))))</f>
        <v/>
      </c>
      <c r="K932" s="24" t="str">
        <f>IF(OR(E932="",E932="!!!",F932="NEW"),"",INDEX(J$1:J931,SUMPRODUCT(MAX(ROW(E$1:E931)*(E932=E$1:E931)))))</f>
        <v/>
      </c>
      <c r="L932" s="25"/>
    </row>
    <row r="933" spans="1:12" x14ac:dyDescent="0.3">
      <c r="A933" t="s">
        <v>638</v>
      </c>
      <c r="B933" s="26" t="s">
        <v>154</v>
      </c>
      <c r="C933" s="26" t="s">
        <v>74</v>
      </c>
      <c r="D933" s="26" t="s">
        <v>75</v>
      </c>
      <c r="E933" s="20" t="s">
        <v>675</v>
      </c>
      <c r="F933" s="21" t="str">
        <f>IF(OR(E933="",E933="!!!"),"",IF(NOT(ISNA(VLOOKUP(E933,E$1:E932,1,FALSE()))),"OLD",IF(AND(E933&lt;&gt;"",E933&lt;&gt;"!!!"),"NEW","")))</f>
        <v>NEW</v>
      </c>
      <c r="G933" s="22" t="str">
        <f ca="1"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?REFERENTIAL</v>
      </c>
      <c r="H933" s="23" t="str">
        <f t="shared" ca="1" si="61"/>
        <v/>
      </c>
      <c r="I933" s="24" t="str">
        <f>IF(OR(E933="",E933="!!!",F933="NEW"),"",INDEX(B$2:B932,-1+SUMPRODUCT(MAX(ROW(E$2:E932)*(E933=E$2:E932)))))</f>
        <v/>
      </c>
      <c r="J933" s="24" t="str">
        <f ca="1">IF(OR(E933="",E933="!!!",F933="NEW"),"",COUNTBLANK(OFFSET(A$1,,,SUMPRODUCT(MAX(ROW(E$2:E933)*(E933=E$2:E933)))))-COUNTBLANK(OFFSET(A$1,,,SUMPRODUCT(MAX(ROW(E$1:E932)*(E2=E$1:E932))))))</f>
        <v/>
      </c>
      <c r="K933" s="24" t="str">
        <f>IF(OR(E933="",E933="!!!",F933="NEW"),"",INDEX(J$1:J932,SUMPRODUCT(MAX(ROW(E$1:E932)*(E933=E$1:E932)))))</f>
        <v/>
      </c>
      <c r="L933" s="25"/>
    </row>
    <row r="934" spans="1:12" x14ac:dyDescent="0.3">
      <c r="A934" t="s">
        <v>112</v>
      </c>
      <c r="E934" s="20" t="str">
        <f>IF(D934="?OLD","!!!","")</f>
        <v/>
      </c>
      <c r="F934" s="21" t="str">
        <f>IF(OR(E934="",E934="!!!"),"",IF(NOT(ISNA(VLOOKUP(E934,E$1:E933,1,FALSE()))),"OLD",IF(AND(E934&lt;&gt;"",E934&lt;&gt;"!!!"),"NEW","")))</f>
        <v/>
      </c>
      <c r="G934" s="22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3" t="str">
        <f t="shared" ca="1" si="61"/>
        <v/>
      </c>
      <c r="I934" s="24" t="str">
        <f>IF(OR(E934="",E934="!!!",F934="NEW"),"",INDEX(B$2:B933,-1+SUMPRODUCT(MAX(ROW(E$2:E933)*(E934=E$2:E933)))))</f>
        <v/>
      </c>
      <c r="J934" s="24" t="str">
        <f ca="1">IF(OR(E934="",E934="!!!",F934="NEW"),"",COUNTBLANK(OFFSET(A$1,,,SUMPRODUCT(MAX(ROW(E$2:E934)*(E934=E$2:E934)))))-COUNTBLANK(OFFSET(A$1,,,SUMPRODUCT(MAX(ROW(E$1:E933)*(E2=E$1:E933))))))</f>
        <v/>
      </c>
      <c r="K934" s="24" t="str">
        <f>IF(OR(E934="",E934="!!!",F934="NEW"),"",INDEX(J$1:J933,SUMPRODUCT(MAX(ROW(E$1:E933)*(E934=E$1:E933)))))</f>
        <v/>
      </c>
      <c r="L934" s="25"/>
    </row>
    <row r="935" spans="1:12" x14ac:dyDescent="0.3">
      <c r="A935" t="s">
        <v>676</v>
      </c>
      <c r="E935" s="20" t="str">
        <f>IF(D935="?OLD","!!!","")</f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ca="1" si="61"/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113</v>
      </c>
      <c r="E936" s="20" t="str">
        <f>IF(D936="?OLD","!!!","")</f>
        <v/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61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677</v>
      </c>
      <c r="E937" s="20" t="str">
        <f>IF(D937="?OLD","!!!","")</f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61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334</v>
      </c>
      <c r="B938" s="26" t="s">
        <v>147</v>
      </c>
      <c r="C938" s="26" t="s">
        <v>503</v>
      </c>
      <c r="D938" s="26" t="s">
        <v>75</v>
      </c>
      <c r="E938" s="20" t="s">
        <v>678</v>
      </c>
      <c r="F938" s="21" t="str">
        <f>IF(OR(E938="",E938="!!!"),"",IF(NOT(ISNA(VLOOKUP(E938,E$1:E937,1,FALSE()))),"OLD",IF(AND(E938&lt;&gt;"",E938&lt;&gt;"!!!"),"NEW","")))</f>
        <v>NEW</v>
      </c>
      <c r="G938" s="22" t="str">
        <f ca="1"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?REFERENTIAL</v>
      </c>
      <c r="H938" s="23" t="str">
        <f t="shared" ca="1" si="61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7" t="s">
        <v>679</v>
      </c>
    </row>
    <row r="939" spans="1:12" x14ac:dyDescent="0.3">
      <c r="A939" t="s">
        <v>142</v>
      </c>
      <c r="E939" s="20" t="str">
        <f>IF(D939="?OLD","!!!","")</f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61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0" spans="1:12" x14ac:dyDescent="0.3">
      <c r="A940" t="s">
        <v>79</v>
      </c>
      <c r="E940" s="20" t="str">
        <f>IF(D940="?OLD","!!!","")</f>
        <v/>
      </c>
      <c r="F940" s="21" t="str">
        <f>IF(OR(E940="",E940="!!!"),"",IF(NOT(ISNA(VLOOKUP(E940,E$1:E939,1,FALSE()))),"OLD",IF(AND(E940&lt;&gt;"",E940&lt;&gt;"!!!"),"NEW","")))</f>
        <v/>
      </c>
      <c r="G940" s="22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3" t="str">
        <f t="shared" ca="1" si="61"/>
        <v/>
      </c>
      <c r="I940" s="24" t="str">
        <f>IF(OR(E940="",E940="!!!",F940="NEW"),"",INDEX(B$2:B939,-1+SUMPRODUCT(MAX(ROW(E$2:E939)*(E940=E$2:E939)))))</f>
        <v/>
      </c>
      <c r="J940" s="24" t="str">
        <f ca="1">IF(OR(E940="",E940="!!!",F940="NEW"),"",COUNTBLANK(OFFSET(A$1,,,SUMPRODUCT(MAX(ROW(E$2:E940)*(E940=E$2:E940)))))-COUNTBLANK(OFFSET(A$1,,,SUMPRODUCT(MAX(ROW(E$1:E939)*(E2=E$1:E939))))))</f>
        <v/>
      </c>
      <c r="K940" s="24" t="str">
        <f>IF(OR(E940="",E940="!!!",F940="NEW"),"",INDEX(J$1:J939,SUMPRODUCT(MAX(ROW(E$1:E939)*(E940=E$1:E939)))))</f>
        <v/>
      </c>
      <c r="L940" s="25"/>
    </row>
    <row r="941" spans="1:12" x14ac:dyDescent="0.3">
      <c r="A941" t="s">
        <v>654</v>
      </c>
      <c r="B941" s="26" t="s">
        <v>147</v>
      </c>
      <c r="C941" s="26" t="s">
        <v>105</v>
      </c>
      <c r="E941" s="20" t="str">
        <f>IF(D941="?OLD","!!!","")</f>
        <v/>
      </c>
      <c r="F941" s="21" t="str">
        <f>IF(OR(E941="",E941="!!!"),"",IF(NOT(ISNA(VLOOKUP(E941,E$1:E940,1,FALSE()))),"OLD",IF(AND(E941&lt;&gt;"",E941&lt;&gt;"!!!"),"NEW","")))</f>
        <v/>
      </c>
      <c r="G941" s="22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3" t="str">
        <f t="shared" ca="1" si="61"/>
        <v/>
      </c>
      <c r="I941" s="24" t="str">
        <f>IF(OR(E941="",E941="!!!",F941="NEW"),"",INDEX(B$2:B940,-1+SUMPRODUCT(MAX(ROW(E$2:E940)*(E941=E$2:E940)))))</f>
        <v/>
      </c>
      <c r="J941" s="24" t="str">
        <f ca="1">IF(OR(E941="",E941="!!!",F941="NEW"),"",COUNTBLANK(OFFSET(A$1,,,SUMPRODUCT(MAX(ROW(E$2:E941)*(E941=E$2:E941)))))-COUNTBLANK(OFFSET(A$1,,,SUMPRODUCT(MAX(ROW(E$1:E940)*(E2=E$1:E940))))))</f>
        <v/>
      </c>
      <c r="K941" s="24" t="str">
        <f>IF(OR(E941="",E941="!!!",F941="NEW"),"",INDEX(J$1:J940,SUMPRODUCT(MAX(ROW(E$1:E940)*(E941=E$1:E940)))))</f>
        <v/>
      </c>
      <c r="L941" s="25"/>
    </row>
    <row r="942" spans="1:12" x14ac:dyDescent="0.3">
      <c r="A942" t="s">
        <v>458</v>
      </c>
      <c r="E942" s="20" t="str">
        <f>IF(D942="?OLD","!!!","")</f>
        <v/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ca="1" si="61"/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206</v>
      </c>
      <c r="B943" s="26" t="s">
        <v>104</v>
      </c>
      <c r="C943" s="26" t="s">
        <v>208</v>
      </c>
      <c r="D943" s="26" t="s">
        <v>75</v>
      </c>
      <c r="E943" s="20" t="s">
        <v>206</v>
      </c>
      <c r="F943" s="21" t="str">
        <f>IF(OR(E943="",E943="!!!"),"",IF(NOT(ISNA(VLOOKUP(E943,E$1:E942,1,FALSE()))),"OLD",IF(AND(E943&lt;&gt;"",E943&lt;&gt;"!!!"),"NEW","")))</f>
        <v>OLD</v>
      </c>
      <c r="G943" s="22" t="str">
        <f ca="1"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?IN_FOCUS</v>
      </c>
      <c r="H943" s="23" t="str">
        <f t="shared" ca="1" si="61"/>
        <v/>
      </c>
      <c r="I943" s="24" t="str">
        <f>IF(OR(E943="",E943="!!!",F943="NEW"),"",INDEX(B$2:B942,-1+SUMPRODUCT(MAX(ROW(E$2:E942)*(E943=E$2:E942)))))</f>
        <v>SBJ_2</v>
      </c>
      <c r="J943" s="24">
        <f ca="1">IF(OR(E943="",E943="!!!",F943="NEW"),"",COUNTBLANK(OFFSET(A$1,,,SUMPRODUCT(MAX(ROW(E$2:E943)*(E943=E$2:E943)))))-COUNTBLANK(OFFSET(A$1,,,SUMPRODUCT(MAX(ROW(E$1:E942)*(E2=E$1:E942))))))</f>
        <v>0</v>
      </c>
      <c r="K943" s="24">
        <f ca="1">IF(OR(E943="",E943="!!!",F943="NEW"),"",INDEX(J$1:J942,SUMPRODUCT(MAX(ROW(E$1:E942)*(E943=E$1:E942)))))</f>
        <v>0</v>
      </c>
      <c r="L943" s="25"/>
    </row>
    <row r="944" spans="1:12" x14ac:dyDescent="0.3">
      <c r="A944" t="s">
        <v>680</v>
      </c>
      <c r="E944" s="20" t="str">
        <f>IF(D944="?OLD","!!!","")</f>
        <v/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61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655</v>
      </c>
      <c r="B945" s="26" t="s">
        <v>110</v>
      </c>
      <c r="C945" s="26" t="s">
        <v>335</v>
      </c>
      <c r="E945" s="20" t="str">
        <f>IF(D945="?OLD","!!!","")</f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61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324</v>
      </c>
      <c r="E946" s="20" t="str">
        <f>IF(D946="?OLD","!!!","")</f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61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334</v>
      </c>
      <c r="B947" s="26" t="s">
        <v>115</v>
      </c>
      <c r="C947" s="26" t="s">
        <v>105</v>
      </c>
      <c r="E947" s="20" t="s">
        <v>681</v>
      </c>
      <c r="F947" s="21" t="str">
        <f>IF(OR(E947="",E947="!!!"),"",IF(NOT(ISNA(VLOOKUP(E947,E$1:E946,1,FALSE()))),"OLD",IF(AND(E947&lt;&gt;"",E947&lt;&gt;"!!!"),"NEW","")))</f>
        <v>NEW</v>
      </c>
      <c r="G947" s="22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?REFERENTIAL</v>
      </c>
      <c r="H947" s="23" t="str">
        <f t="shared" ca="1" si="61"/>
        <v/>
      </c>
      <c r="I947" s="24" t="str">
        <f>IF(OR(E947="",E947="!!!",F947="NEW"),"",INDEX(B$2:B946,-1+SUMPRODUCT(MAX(ROW(E$2:E946)*(E947=E$2:E946)))))</f>
        <v/>
      </c>
      <c r="J947" s="24" t="str">
        <f ca="1">IF(OR(E947="",E947="!!!",F947="NEW"),"",COUNTBLANK(OFFSET(A$1,,,SUMPRODUCT(MAX(ROW(E$2:E947)*(E947=E$2:E947)))))-COUNTBLANK(OFFSET(A$1,,,SUMPRODUCT(MAX(ROW(E$1:E946)*(E2=E$1:E946))))))</f>
        <v/>
      </c>
      <c r="K947" s="24" t="str">
        <f>IF(OR(E947="",E947="!!!",F947="NEW"),"",INDEX(J$1:J946,SUMPRODUCT(MAX(ROW(E$1:E946)*(E947=E$1:E946)))))</f>
        <v/>
      </c>
      <c r="L947" s="25"/>
    </row>
    <row r="948" spans="1:12" x14ac:dyDescent="0.3">
      <c r="A948" t="s">
        <v>636</v>
      </c>
      <c r="E948" s="20" t="str">
        <f t="shared" ref="E948:E953" si="62">IF(D948="?OLD","!!!","")</f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61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682</v>
      </c>
      <c r="E949" s="20" t="str">
        <f t="shared" si="62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61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683</v>
      </c>
      <c r="B950" s="26" t="s">
        <v>115</v>
      </c>
      <c r="C950" s="26" t="s">
        <v>105</v>
      </c>
      <c r="E950" s="20" t="str">
        <f t="shared" si="62"/>
        <v/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61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142</v>
      </c>
      <c r="E951" s="20" t="str">
        <f t="shared" si="62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61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684</v>
      </c>
      <c r="B952" s="26" t="s">
        <v>303</v>
      </c>
      <c r="C952" s="26" t="s">
        <v>105</v>
      </c>
      <c r="E952" s="20" t="str">
        <f t="shared" si="62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61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3" spans="1:12" x14ac:dyDescent="0.3">
      <c r="A953" t="s">
        <v>86</v>
      </c>
      <c r="E953" s="20" t="str">
        <f t="shared" si="62"/>
        <v/>
      </c>
      <c r="F953" s="21" t="str">
        <f>IF(OR(E953="",E953="!!!"),"",IF(NOT(ISNA(VLOOKUP(E953,E$1:E952,1,FALSE()))),"OLD",IF(AND(E953&lt;&gt;"",E953&lt;&gt;"!!!"),"NEW","")))</f>
        <v/>
      </c>
      <c r="G953" s="22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3" t="str">
        <f t="shared" ref="H953:H984" ca="1" si="63">IF(J953&lt;&gt;1,"",IF(I953="SBJ","CB","?"))</f>
        <v/>
      </c>
      <c r="I953" s="24" t="str">
        <f>IF(OR(E953="",E953="!!!",F953="NEW"),"",INDEX(B$2:B952,-1+SUMPRODUCT(MAX(ROW(E$2:E952)*(E953=E$2:E952)))))</f>
        <v/>
      </c>
      <c r="J953" s="24" t="str">
        <f ca="1">IF(OR(E953="",E953="!!!",F953="NEW"),"",COUNTBLANK(OFFSET(A$1,,,SUMPRODUCT(MAX(ROW(E$2:E953)*(E953=E$2:E953)))))-COUNTBLANK(OFFSET(A$1,,,SUMPRODUCT(MAX(ROW(E$1:E952)*(E2=E$1:E952))))))</f>
        <v/>
      </c>
      <c r="K953" s="24" t="str">
        <f>IF(OR(E953="",E953="!!!",F953="NEW"),"",INDEX(J$1:J952,SUMPRODUCT(MAX(ROW(E$1:E952)*(E953=E$1:E952)))))</f>
        <v/>
      </c>
      <c r="L953" s="25"/>
    </row>
    <row r="955" spans="1:12" x14ac:dyDescent="0.3">
      <c r="A955" t="s">
        <v>685</v>
      </c>
    </row>
    <row r="956" spans="1:12" x14ac:dyDescent="0.3">
      <c r="A956" t="s">
        <v>658</v>
      </c>
      <c r="E956" s="20" t="str">
        <f>IF(D956="?OLD","!!!","")</f>
        <v/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ref="H956:H987" ca="1" si="64">IF(J956&lt;&gt;1,"",IF(I956="SBJ","CB","?"))</f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686</v>
      </c>
      <c r="E957" s="20" t="str">
        <f>IF(D957="?OLD","!!!","")</f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64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687</v>
      </c>
      <c r="E958" s="20" t="str">
        <f>IF(D958="?OLD","!!!","")</f>
        <v/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64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59" spans="1:12" x14ac:dyDescent="0.3">
      <c r="A959" t="s">
        <v>660</v>
      </c>
      <c r="B959" s="26" t="s">
        <v>131</v>
      </c>
      <c r="C959" s="26" t="s">
        <v>119</v>
      </c>
      <c r="E959" s="20" t="str">
        <f>IF(D959="?OLD","!!!","")</f>
        <v/>
      </c>
      <c r="F959" s="21" t="str">
        <f>IF(OR(E959="",E959="!!!"),"",IF(NOT(ISNA(VLOOKUP(E959,E$1:E958,1,FALSE()))),"OLD",IF(AND(E959&lt;&gt;"",E959&lt;&gt;"!!!"),"NEW","")))</f>
        <v/>
      </c>
      <c r="G959" s="22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3" t="str">
        <f t="shared" ca="1" si="64"/>
        <v/>
      </c>
      <c r="I959" s="24" t="str">
        <f>IF(OR(E959="",E959="!!!",F959="NEW"),"",INDEX(B$2:B958,-1+SUMPRODUCT(MAX(ROW(E$2:E958)*(E959=E$2:E958)))))</f>
        <v/>
      </c>
      <c r="J959" s="24" t="str">
        <f ca="1">IF(OR(E959="",E959="!!!",F959="NEW"),"",COUNTBLANK(OFFSET(A$1,,,SUMPRODUCT(MAX(ROW(E$2:E959)*(E959=E$2:E959)))))-COUNTBLANK(OFFSET(A$1,,,SUMPRODUCT(MAX(ROW(E$1:E958)*(E2=E$1:E958))))))</f>
        <v/>
      </c>
      <c r="K959" s="24" t="str">
        <f>IF(OR(E959="",E959="!!!",F959="NEW"),"",INDEX(J$1:J958,SUMPRODUCT(MAX(ROW(E$1:E958)*(E959=E$1:E958)))))</f>
        <v/>
      </c>
      <c r="L959" s="25"/>
    </row>
    <row r="960" spans="1:12" x14ac:dyDescent="0.3">
      <c r="A960" t="s">
        <v>35</v>
      </c>
      <c r="E960" s="20"/>
      <c r="F960" s="21" t="str">
        <f>IF(OR(E960="",E960="!!!"),"",IF(NOT(ISNA(VLOOKUP(E960,E$1:E959,1,FALSE()))),"OLD",IF(AND(E960&lt;&gt;"",E960&lt;&gt;"!!!"),"NEW","")))</f>
        <v/>
      </c>
      <c r="G960" s="22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3" t="str">
        <f t="shared" ca="1" si="64"/>
        <v/>
      </c>
      <c r="I960" s="24" t="str">
        <f>IF(OR(E960="",E960="!!!",F960="NEW"),"",INDEX(B$2:B959,-1+SUMPRODUCT(MAX(ROW(E$2:E959)*(E960=E$2:E959)))))</f>
        <v/>
      </c>
      <c r="J960" s="24" t="str">
        <f ca="1">IF(OR(E960="",E960="!!!",F960="NEW"),"",COUNTBLANK(OFFSET(A$1,,,SUMPRODUCT(MAX(ROW(E$2:E960)*(E960=E$2:E960)))))-COUNTBLANK(OFFSET(A$1,,,SUMPRODUCT(MAX(ROW(E$1:E959)*(E2=E$1:E959))))))</f>
        <v/>
      </c>
      <c r="K960" s="24" t="str">
        <f>IF(OR(E960="",E960="!!!",F960="NEW"),"",INDEX(J$1:J959,SUMPRODUCT(MAX(ROW(E$1:E959)*(E960=E$1:E959)))))</f>
        <v/>
      </c>
      <c r="L960" s="25"/>
    </row>
    <row r="961" spans="1:12" x14ac:dyDescent="0.3">
      <c r="A961" t="s">
        <v>253</v>
      </c>
      <c r="B961" s="26" t="s">
        <v>73</v>
      </c>
      <c r="C961" s="26" t="s">
        <v>208</v>
      </c>
      <c r="D961" s="26" t="s">
        <v>75</v>
      </c>
      <c r="E961" s="20" t="s">
        <v>681</v>
      </c>
      <c r="F961" s="21" t="str">
        <f>IF(OR(E961="",E961="!!!"),"",IF(NOT(ISNA(VLOOKUP(E961,E$1:E960,1,FALSE()))),"OLD",IF(AND(E961&lt;&gt;"",E961&lt;&gt;"!!!"),"NEW","")))</f>
        <v>OLD</v>
      </c>
      <c r="G961" s="22" t="str">
        <f ca="1"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?IN_FOCUS</v>
      </c>
      <c r="H961" s="23" t="str">
        <f t="shared" ca="1" si="64"/>
        <v/>
      </c>
      <c r="I961" s="24" t="str">
        <f>IF(OR(E961="",E961="!!!",F961="NEW"),"",INDEX(B$2:B960,-1+SUMPRODUCT(MAX(ROW(E$2:E960)*(E961=E$2:E960)))))</f>
        <v>other_4</v>
      </c>
      <c r="J961" s="24">
        <f ca="1">IF(OR(E961="",E961="!!!",F961="NEW"),"",COUNTBLANK(OFFSET(A$1,,,SUMPRODUCT(MAX(ROW(E$2:E961)*(E961=E$2:E961)))))-COUNTBLANK(OFFSET(A$1,,,SUMPRODUCT(MAX(ROW(E$1:E960)*(E2=E$1:E960))))))</f>
        <v>0</v>
      </c>
      <c r="K961" s="24" t="str">
        <f ca="1">IF(OR(E961="",E961="!!!",F961="NEW"),"",INDEX(J$1:J960,SUMPRODUCT(MAX(ROW(E$1:E960)*(E961=E$1:E960)))))</f>
        <v/>
      </c>
      <c r="L961" s="25"/>
    </row>
    <row r="962" spans="1:12" x14ac:dyDescent="0.3">
      <c r="A962" t="s">
        <v>136</v>
      </c>
      <c r="E962" s="20" t="str">
        <f>IF(D962="?OLD","!!!","")</f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64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672</v>
      </c>
      <c r="B963" s="26" t="s">
        <v>91</v>
      </c>
      <c r="C963" s="26" t="s">
        <v>74</v>
      </c>
      <c r="D963" s="26" t="s">
        <v>75</v>
      </c>
      <c r="E963" s="20" t="s">
        <v>673</v>
      </c>
      <c r="F963" s="21" t="str">
        <f>IF(OR(E963="",E963="!!!"),"",IF(NOT(ISNA(VLOOKUP(E963,E$1:E962,1,FALSE()))),"OLD",IF(AND(E963&lt;&gt;"",E963&lt;&gt;"!!!"),"NEW","")))</f>
        <v>OLD</v>
      </c>
      <c r="G963" s="22" t="str">
        <f ca="1"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?IN_FOCUS</v>
      </c>
      <c r="H963" s="23" t="str">
        <f t="shared" ca="1" si="64"/>
        <v/>
      </c>
      <c r="I963" s="24" t="str">
        <f>IF(OR(E963="",E963="!!!",F963="NEW"),"",INDEX(B$2:B962,-1+SUMPRODUCT(MAX(ROW(E$2:E962)*(E963=E$2:E962)))))</f>
        <v>other</v>
      </c>
      <c r="J963" s="24">
        <f ca="1">IF(OR(E963="",E963="!!!",F963="NEW"),"",COUNTBLANK(OFFSET(A$1,,,SUMPRODUCT(MAX(ROW(E$2:E963)*(E963=E$2:E963)))))-COUNTBLANK(OFFSET(A$1,,,SUMPRODUCT(MAX(ROW(E$1:E962)*(E2=E$1:E962))))))</f>
        <v>0</v>
      </c>
      <c r="K963" s="24" t="str">
        <f ca="1">IF(OR(E963="",E963="!!!",F963="NEW"),"",INDEX(J$1:J962,SUMPRODUCT(MAX(ROW(E$1:E962)*(E963=E$1:E962)))))</f>
        <v/>
      </c>
      <c r="L963" s="25"/>
    </row>
    <row r="964" spans="1:12" x14ac:dyDescent="0.3">
      <c r="A964" t="s">
        <v>125</v>
      </c>
      <c r="E964" s="20" t="str">
        <f t="shared" ref="E964:E970" si="65">IF(D964="?OLD","!!!","")</f>
        <v/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64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688</v>
      </c>
      <c r="E965" s="20" t="str">
        <f t="shared" si="65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64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689</v>
      </c>
      <c r="E966" s="20" t="str">
        <f t="shared" si="65"/>
        <v/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64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690</v>
      </c>
      <c r="B967" s="26" t="s">
        <v>131</v>
      </c>
      <c r="C967" s="26" t="s">
        <v>119</v>
      </c>
      <c r="E967" s="20" t="str">
        <f t="shared" si="65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64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86</v>
      </c>
      <c r="E968" s="20" t="str">
        <f t="shared" si="65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64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691</v>
      </c>
      <c r="B969" s="26" t="s">
        <v>131</v>
      </c>
      <c r="C969" s="26" t="s">
        <v>105</v>
      </c>
      <c r="E969" s="20" t="str">
        <f t="shared" si="65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64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101</v>
      </c>
      <c r="E970" s="20" t="str">
        <f t="shared" si="65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64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160</v>
      </c>
      <c r="B971" s="26" t="s">
        <v>96</v>
      </c>
      <c r="C971" s="26" t="s">
        <v>151</v>
      </c>
      <c r="D971" s="26" t="s">
        <v>75</v>
      </c>
      <c r="E971" s="20" t="s">
        <v>692</v>
      </c>
      <c r="F971" s="21" t="s">
        <v>210</v>
      </c>
      <c r="G971" s="22" t="e">
        <f ca="1"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#VALUE!</v>
      </c>
      <c r="H971" s="23" t="str">
        <f t="shared" ca="1" si="64"/>
        <v/>
      </c>
      <c r="I971" s="24" t="e">
        <f>IF(OR(E971="",E971="!!!",F971="NEW"),"",INDEX(B$2:B970,-1+SUMPRODUCT(MAX(ROW(E$2:E970)*(E971=E$2:E970)))))</f>
        <v>#VALUE!</v>
      </c>
      <c r="J971" s="24">
        <f ca="1">IF(OR(E971="",E971="!!!",F971="NEW"),"",COUNTBLANK(OFFSET(A$1,,,SUMPRODUCT(MAX(ROW(E$2:E971)*(E971=E$2:E971)))))-COUNTBLANK(OFFSET(A$1,,,SUMPRODUCT(MAX(ROW(E$1:E970)*(E2=E$1:E970))))))</f>
        <v>0</v>
      </c>
      <c r="K971" s="24" t="e">
        <f>IF(OR(E971="",E971="!!!",F971="NEW"),"",INDEX(J$1:J970,SUMPRODUCT(MAX(ROW(E$1:E970)*(E971=E$1:E970)))))</f>
        <v>#VALUE!</v>
      </c>
      <c r="L971" s="25"/>
    </row>
    <row r="972" spans="1:12" x14ac:dyDescent="0.3">
      <c r="A972" t="s">
        <v>78</v>
      </c>
      <c r="E972" s="20" t="str">
        <f>IF(D972="?OLD","!!!","")</f>
        <v/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64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680</v>
      </c>
      <c r="E973" s="20" t="str">
        <f>IF(D973="?OLD","!!!","")</f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64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693</v>
      </c>
      <c r="B974" s="26" t="s">
        <v>131</v>
      </c>
      <c r="C974" s="26" t="s">
        <v>335</v>
      </c>
      <c r="E974" s="20"/>
      <c r="F974" s="21"/>
      <c r="G974" s="22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t="shared" ca="1" si="64"/>
        <v/>
      </c>
      <c r="I974" s="24" t="str">
        <f>IF(OR(E974="",E974="!!!",F974="NEW"),"",INDEX(B$2:B973,-1+SUMPRODUCT(MAX(ROW(E$2:E973)*(E974=E$2:E973)))))</f>
        <v/>
      </c>
      <c r="J974" s="24" t="str">
        <f ca="1">IF(OR(E974="",E974="!!!",F974="NEW"),"",COUNTBLANK(OFFSET(A$1,,,SUMPRODUCT(MAX(ROW(E$2:E974)*(E974=E$2:E974)))))-COUNTBLANK(OFFSET(A$1,,,SUMPRODUCT(MAX(ROW(E$1:E973)*(E2=E$1:E973))))))</f>
        <v/>
      </c>
      <c r="K974" s="24" t="str">
        <f>IF(OR(E974="",E974="!!!",F974="NEW"),"",INDEX(J$1:J973,SUMPRODUCT(MAX(ROW(E$1:E973)*(E974=E$1:E973)))))</f>
        <v/>
      </c>
      <c r="L974" s="25"/>
    </row>
    <row r="975" spans="1:12" x14ac:dyDescent="0.3">
      <c r="A975" t="s">
        <v>101</v>
      </c>
      <c r="E975" s="20" t="str">
        <f>IF(D975="?OLD","!!!","")</f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64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661</v>
      </c>
      <c r="B976" s="26" t="s">
        <v>147</v>
      </c>
      <c r="C976" s="26" t="s">
        <v>208</v>
      </c>
      <c r="D976" s="26" t="s">
        <v>75</v>
      </c>
      <c r="E976" s="20"/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64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7" t="s">
        <v>134</v>
      </c>
    </row>
    <row r="977" spans="1:12" x14ac:dyDescent="0.3">
      <c r="A977" t="s">
        <v>694</v>
      </c>
      <c r="B977" s="26" t="s">
        <v>82</v>
      </c>
      <c r="C977" s="26" t="s">
        <v>119</v>
      </c>
      <c r="E977" s="20" t="str">
        <f>IF(D977="?OLD","!!!","")</f>
        <v/>
      </c>
      <c r="F977" s="21" t="str">
        <f>IF(OR(E977="",E977="!!!"),"",IF(NOT(ISNA(VLOOKUP(E977,E$1:E976,1,FALSE()))),"OLD",IF(AND(E977&lt;&gt;"",E977&lt;&gt;"!!!"),"NEW","")))</f>
        <v/>
      </c>
      <c r="G977" s="22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3" t="str">
        <f t="shared" ca="1" si="64"/>
        <v/>
      </c>
      <c r="I977" s="24" t="str">
        <f>IF(OR(E977="",E977="!!!",F977="NEW"),"",INDEX(B$2:B976,-1+SUMPRODUCT(MAX(ROW(E$2:E976)*(E977=E$2:E976)))))</f>
        <v/>
      </c>
      <c r="J977" s="24" t="str">
        <f ca="1">IF(OR(E977="",E977="!!!",F977="NEW"),"",COUNTBLANK(OFFSET(A$1,,,SUMPRODUCT(MAX(ROW(E$2:E977)*(E977=E$2:E977)))))-COUNTBLANK(OFFSET(A$1,,,SUMPRODUCT(MAX(ROW(E$1:E976)*(E2=E$1:E976))))))</f>
        <v/>
      </c>
      <c r="K977" s="24" t="str">
        <f>IF(OR(E977="",E977="!!!",F977="NEW"),"",INDEX(J$1:J976,SUMPRODUCT(MAX(ROW(E$1:E976)*(E977=E$1:E976)))))</f>
        <v/>
      </c>
      <c r="L977" s="25"/>
    </row>
    <row r="978" spans="1:12" x14ac:dyDescent="0.3">
      <c r="A978" t="s">
        <v>86</v>
      </c>
      <c r="E978" s="20" t="str">
        <f>IF(D978="?OLD","!!!","")</f>
        <v/>
      </c>
      <c r="F978" s="21" t="str">
        <f>IF(OR(E978="",E978="!!!"),"",IF(NOT(ISNA(VLOOKUP(E978,E$1:E977,1,FALSE()))),"OLD",IF(AND(E978&lt;&gt;"",E978&lt;&gt;"!!!"),"NEW","")))</f>
        <v/>
      </c>
      <c r="G978" s="22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3" t="str">
        <f t="shared" ca="1" si="64"/>
        <v/>
      </c>
      <c r="I978" s="24" t="str">
        <f>IF(OR(E978="",E978="!!!",F978="NEW"),"",INDEX(B$2:B977,-1+SUMPRODUCT(MAX(ROW(E$2:E977)*(E978=E$2:E977)))))</f>
        <v/>
      </c>
      <c r="J978" s="24" t="str">
        <f ca="1">IF(OR(E978="",E978="!!!",F978="NEW"),"",COUNTBLANK(OFFSET(A$1,,,SUMPRODUCT(MAX(ROW(E$2:E978)*(E978=E$2:E978)))))-COUNTBLANK(OFFSET(A$1,,,SUMPRODUCT(MAX(ROW(E$1:E977)*(E2=E$1:E977))))))</f>
        <v/>
      </c>
      <c r="K978" s="24" t="str">
        <f>IF(OR(E978="",E978="!!!",F978="NEW"),"",INDEX(J$1:J977,SUMPRODUCT(MAX(ROW(E$1:E977)*(E978=E$1:E977)))))</f>
        <v/>
      </c>
      <c r="L978" s="25"/>
    </row>
    <row r="979" spans="1:12" x14ac:dyDescent="0.3">
      <c r="A979" t="s">
        <v>318</v>
      </c>
      <c r="E979" s="20" t="str">
        <f>IF(D979="?OLD","!!!","")</f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ca="1" si="64"/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123</v>
      </c>
      <c r="B980" s="26" t="s">
        <v>96</v>
      </c>
      <c r="C980" s="26" t="s">
        <v>88</v>
      </c>
      <c r="D980" s="26" t="s">
        <v>75</v>
      </c>
      <c r="E980" s="20" t="s">
        <v>695</v>
      </c>
      <c r="F980" s="21" t="s">
        <v>272</v>
      </c>
      <c r="G980" s="22" t="e">
        <f ca="1"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#VALUE!</v>
      </c>
      <c r="H980" s="23" t="str">
        <f t="shared" ca="1" si="64"/>
        <v/>
      </c>
      <c r="I980" s="24" t="e">
        <f>IF(OR(E980="",E980="!!!",F980="NEW"),"",INDEX(B$2:B979,-1+SUMPRODUCT(MAX(ROW(E$2:E979)*(E980=E$2:E979)))))</f>
        <v>#VALUE!</v>
      </c>
      <c r="J980" s="24">
        <f ca="1">IF(OR(E980="",E980="!!!",F980="NEW"),"",COUNTBLANK(OFFSET(A$1,,,SUMPRODUCT(MAX(ROW(E$2:E980)*(E980=E$2:E980)))))-COUNTBLANK(OFFSET(A$1,,,SUMPRODUCT(MAX(ROW(E$1:E979)*(E2=E$1:E979))))))</f>
        <v>0</v>
      </c>
      <c r="K980" s="24" t="e">
        <f>IF(OR(E980="",E980="!!!",F980="NEW"),"",INDEX(J$1:J979,SUMPRODUCT(MAX(ROW(E$1:E979)*(E980=E$1:E979)))))</f>
        <v>#VALUE!</v>
      </c>
      <c r="L980" s="25"/>
    </row>
    <row r="981" spans="1:12" x14ac:dyDescent="0.3">
      <c r="A981" t="s">
        <v>175</v>
      </c>
      <c r="E981" s="20" t="str">
        <f>IF(D981="?OLD","!!!","")</f>
        <v/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64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2" spans="1:12" x14ac:dyDescent="0.3">
      <c r="A982" t="s">
        <v>696</v>
      </c>
      <c r="E982" s="20" t="str">
        <f>IF(D982="?OLD","!!!","")</f>
        <v/>
      </c>
      <c r="F982" s="21" t="str">
        <f>IF(OR(E982="",E982="!!!"),"",IF(NOT(ISNA(VLOOKUP(E982,E$1:E981,1,FALSE()))),"OLD",IF(AND(E982&lt;&gt;"",E982&lt;&gt;"!!!"),"NEW","")))</f>
        <v/>
      </c>
      <c r="G982" s="22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3" t="str">
        <f t="shared" ca="1" si="64"/>
        <v/>
      </c>
      <c r="I982" s="24" t="str">
        <f>IF(OR(E982="",E982="!!!",F982="NEW"),"",INDEX(B$2:B981,-1+SUMPRODUCT(MAX(ROW(E$2:E981)*(E982=E$2:E981)))))</f>
        <v/>
      </c>
      <c r="J982" s="24" t="str">
        <f ca="1">IF(OR(E982="",E982="!!!",F982="NEW"),"",COUNTBLANK(OFFSET(A$1,,,SUMPRODUCT(MAX(ROW(E$2:E982)*(E982=E$2:E982)))))-COUNTBLANK(OFFSET(A$1,,,SUMPRODUCT(MAX(ROW(E$1:E981)*(E2=E$1:E981))))))</f>
        <v/>
      </c>
      <c r="K982" s="24" t="str">
        <f>IF(OR(E982="",E982="!!!",F982="NEW"),"",INDEX(J$1:J981,SUMPRODUCT(MAX(ROW(E$1:E981)*(E982=E$1:E981)))))</f>
        <v/>
      </c>
      <c r="L982" s="25"/>
    </row>
    <row r="983" spans="1:12" x14ac:dyDescent="0.3">
      <c r="A983" t="s">
        <v>101</v>
      </c>
      <c r="E983" s="20" t="str">
        <f>IF(D983="?OLD","!!!","")</f>
        <v/>
      </c>
      <c r="F983" s="21" t="str">
        <f>IF(OR(E983="",E983="!!!"),"",IF(NOT(ISNA(VLOOKUP(E983,E$1:E982,1,FALSE()))),"OLD",IF(AND(E983&lt;&gt;"",E983&lt;&gt;"!!!"),"NEW","")))</f>
        <v/>
      </c>
      <c r="G983" s="22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3" t="str">
        <f t="shared" ca="1" si="64"/>
        <v/>
      </c>
      <c r="I983" s="24" t="str">
        <f>IF(OR(E983="",E983="!!!",F983="NEW"),"",INDEX(B$2:B982,-1+SUMPRODUCT(MAX(ROW(E$2:E982)*(E983=E$2:E982)))))</f>
        <v/>
      </c>
      <c r="J983" s="24" t="str">
        <f ca="1">IF(OR(E983="",E983="!!!",F983="NEW"),"",COUNTBLANK(OFFSET(A$1,,,SUMPRODUCT(MAX(ROW(E$2:E983)*(E983=E$2:E983)))))-COUNTBLANK(OFFSET(A$1,,,SUMPRODUCT(MAX(ROW(E$1:E982)*(E2=E$1:E982))))))</f>
        <v/>
      </c>
      <c r="K983" s="24" t="str">
        <f>IF(OR(E983="",E983="!!!",F983="NEW"),"",INDEX(J$1:J982,SUMPRODUCT(MAX(ROW(E$1:E982)*(E983=E$1:E982)))))</f>
        <v/>
      </c>
      <c r="L983" s="25"/>
    </row>
    <row r="984" spans="1:12" x14ac:dyDescent="0.3">
      <c r="A984" t="s">
        <v>102</v>
      </c>
      <c r="E984" s="20" t="str">
        <f>IF(D984="?OLD","!!!","")</f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ca="1" si="64"/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697</v>
      </c>
      <c r="E985" s="20" t="str">
        <f>IF(D985="?OLD","!!!","")</f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64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6" spans="1:12" x14ac:dyDescent="0.3">
      <c r="A986" t="s">
        <v>698</v>
      </c>
      <c r="B986" s="26" t="s">
        <v>104</v>
      </c>
      <c r="C986" s="26" t="s">
        <v>105</v>
      </c>
      <c r="E986" s="20" t="s">
        <v>699</v>
      </c>
      <c r="F986" s="21" t="str">
        <f>IF(OR(E986="",E986="!!!"),"",IF(NOT(ISNA(VLOOKUP(E986,E$1:E985,1,FALSE()))),"OLD",IF(AND(E986&lt;&gt;"",E986&lt;&gt;"!!!"),"NEW","")))</f>
        <v>NEW</v>
      </c>
      <c r="G986" s="22" t="str">
        <f ca="1"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?REFERENTIAL</v>
      </c>
      <c r="H986" s="23" t="str">
        <f t="shared" ca="1" si="64"/>
        <v/>
      </c>
      <c r="I986" s="24" t="str">
        <f>IF(OR(E986="",E986="!!!",F986="NEW"),"",INDEX(B$2:B985,-1+SUMPRODUCT(MAX(ROW(E$2:E985)*(E986=E$2:E985)))))</f>
        <v/>
      </c>
      <c r="J986" s="24" t="str">
        <f ca="1">IF(OR(E986="",E986="!!!",F986="NEW"),"",COUNTBLANK(OFFSET(A$1,,,SUMPRODUCT(MAX(ROW(E$2:E986)*(E986=E$2:E986)))))-COUNTBLANK(OFFSET(A$1,,,SUMPRODUCT(MAX(ROW(E$1:E985)*(E2=E$1:E985))))))</f>
        <v/>
      </c>
      <c r="K986" s="24" t="str">
        <f>IF(OR(E986="",E986="!!!",F986="NEW"),"",INDEX(J$1:J985,SUMPRODUCT(MAX(ROW(E$1:E985)*(E986=E$1:E985)))))</f>
        <v/>
      </c>
      <c r="L986" s="27" t="s">
        <v>332</v>
      </c>
    </row>
    <row r="987" spans="1:12" x14ac:dyDescent="0.3">
      <c r="A987" t="s">
        <v>636</v>
      </c>
      <c r="E987" s="20" t="str">
        <f t="shared" ref="E987:E994" si="66">IF(D987="?OLD","!!!","")</f>
        <v/>
      </c>
      <c r="F987" s="21" t="str">
        <f>IF(OR(E987="",E987="!!!"),"",IF(NOT(ISNA(VLOOKUP(E987,E$1:E986,1,FALSE()))),"OLD",IF(AND(E987&lt;&gt;"",E987&lt;&gt;"!!!"),"NEW","")))</f>
        <v/>
      </c>
      <c r="G987" s="22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3" t="str">
        <f t="shared" ca="1" si="64"/>
        <v/>
      </c>
      <c r="I987" s="24" t="str">
        <f>IF(OR(E987="",E987="!!!",F987="NEW"),"",INDEX(B$2:B986,-1+SUMPRODUCT(MAX(ROW(E$2:E986)*(E987=E$2:E986)))))</f>
        <v/>
      </c>
      <c r="J987" s="24" t="str">
        <f ca="1">IF(OR(E987="",E987="!!!",F987="NEW"),"",COUNTBLANK(OFFSET(A$1,,,SUMPRODUCT(MAX(ROW(E$2:E987)*(E987=E$2:E987)))))-COUNTBLANK(OFFSET(A$1,,,SUMPRODUCT(MAX(ROW(E$1:E986)*(E2=E$1:E986))))))</f>
        <v/>
      </c>
      <c r="K987" s="24" t="str">
        <f>IF(OR(E987="",E987="!!!",F987="NEW"),"",INDEX(J$1:J986,SUMPRODUCT(MAX(ROW(E$1:E986)*(E987=E$1:E986)))))</f>
        <v/>
      </c>
      <c r="L987" s="25"/>
    </row>
    <row r="988" spans="1:12" x14ac:dyDescent="0.3">
      <c r="A988" t="s">
        <v>700</v>
      </c>
      <c r="E988" s="20" t="str">
        <f t="shared" si="66"/>
        <v/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ref="H988:H1019" ca="1" si="67">IF(J988&lt;&gt;1,"",IF(I988="SBJ","CB","?"))</f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164</v>
      </c>
      <c r="B989" s="26" t="s">
        <v>115</v>
      </c>
      <c r="C989" s="26" t="s">
        <v>105</v>
      </c>
      <c r="E989" s="20" t="str">
        <f t="shared" si="66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67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701</v>
      </c>
      <c r="E990" s="20" t="str">
        <f t="shared" si="66"/>
        <v/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67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78</v>
      </c>
      <c r="E991" s="20" t="str">
        <f t="shared" si="66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67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86</v>
      </c>
      <c r="E992" s="20" t="str">
        <f t="shared" si="66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67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436</v>
      </c>
      <c r="E993" s="20" t="str">
        <f t="shared" si="66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67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136</v>
      </c>
      <c r="E994" s="20" t="str">
        <f t="shared" si="66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67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702</v>
      </c>
      <c r="B995" s="26" t="s">
        <v>257</v>
      </c>
      <c r="C995" s="26" t="s">
        <v>74</v>
      </c>
      <c r="D995" s="26" t="s">
        <v>75</v>
      </c>
      <c r="E995" s="20" t="s">
        <v>703</v>
      </c>
      <c r="F995" s="21" t="str">
        <f>IF(OR(E995="",E995="!!!"),"",IF(NOT(ISNA(VLOOKUP(E995,E$1:E994,1,FALSE()))),"OLD",IF(AND(E995&lt;&gt;"",E995&lt;&gt;"!!!"),"NEW","")))</f>
        <v>NEW</v>
      </c>
      <c r="G995" s="22" t="str">
        <f ca="1"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?REFERENTIAL</v>
      </c>
      <c r="H995" s="23" t="str">
        <f t="shared" ca="1" si="67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704</v>
      </c>
      <c r="E996" s="20" t="str">
        <f t="shared" ref="E996:E1001" si="68">IF(D996="?OLD","!!!","")</f>
        <v/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67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483</v>
      </c>
      <c r="E997" s="20" t="str">
        <f t="shared" si="68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67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201</v>
      </c>
      <c r="E998" s="20" t="str">
        <f t="shared" si="68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67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167</v>
      </c>
      <c r="E999" s="20" t="str">
        <f t="shared" si="68"/>
        <v/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67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0" spans="1:12" x14ac:dyDescent="0.3">
      <c r="A1000" t="s">
        <v>101</v>
      </c>
      <c r="E1000" s="20" t="str">
        <f t="shared" si="68"/>
        <v/>
      </c>
      <c r="F1000" s="21" t="str">
        <f>IF(OR(E1000="",E1000="!!!"),"",IF(NOT(ISNA(VLOOKUP(E1000,E$1:E999,1,FALSE()))),"OLD",IF(AND(E1000&lt;&gt;"",E1000&lt;&gt;"!!!"),"NEW","")))</f>
        <v/>
      </c>
      <c r="G1000" s="22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3" t="str">
        <f t="shared" ca="1" si="67"/>
        <v/>
      </c>
      <c r="I1000" s="24" t="str">
        <f>IF(OR(E1000="",E1000="!!!",F1000="NEW"),"",INDEX(B$2:B999,-1+SUMPRODUCT(MAX(ROW(E$2:E999)*(E1000=E$2:E999)))))</f>
        <v/>
      </c>
      <c r="J1000" s="24" t="str">
        <f ca="1">IF(OR(E1000="",E1000="!!!",F1000="NEW"),"",COUNTBLANK(OFFSET(A$1,,,SUMPRODUCT(MAX(ROW(E$2:E1000)*(E1000=E$2:E1000)))))-COUNTBLANK(OFFSET(A$1,,,SUMPRODUCT(MAX(ROW(E$1:E999)*(E2=E$1:E999))))))</f>
        <v/>
      </c>
      <c r="K1000" s="24" t="str">
        <f>IF(OR(E1000="",E1000="!!!",F1000="NEW"),"",INDEX(J$1:J999,SUMPRODUCT(MAX(ROW(E$1:E999)*(E1000=E$1:E999)))))</f>
        <v/>
      </c>
      <c r="L1000" s="25"/>
    </row>
    <row r="1001" spans="1:12" x14ac:dyDescent="0.3">
      <c r="A1001" t="s">
        <v>142</v>
      </c>
      <c r="E1001" s="20" t="str">
        <f t="shared" si="68"/>
        <v/>
      </c>
      <c r="F1001" s="21" t="str">
        <f>IF(OR(E1001="",E1001="!!!"),"",IF(NOT(ISNA(VLOOKUP(E1001,E$1:E1000,1,FALSE()))),"OLD",IF(AND(E1001&lt;&gt;"",E1001&lt;&gt;"!!!"),"NEW","")))</f>
        <v/>
      </c>
      <c r="G1001" s="22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3" t="str">
        <f t="shared" ca="1" si="67"/>
        <v/>
      </c>
      <c r="I1001" s="24" t="str">
        <f>IF(OR(E1001="",E1001="!!!",F1001="NEW"),"",INDEX(B$2:B1000,-1+SUMPRODUCT(MAX(ROW(E$2:E1000)*(E1001=E$2:E1000)))))</f>
        <v/>
      </c>
      <c r="J1001" s="24" t="str">
        <f ca="1">IF(OR(E1001="",E1001="!!!",F1001="NEW"),"",COUNTBLANK(OFFSET(A$1,,,SUMPRODUCT(MAX(ROW(E$2:E1001)*(E1001=E$2:E1001)))))-COUNTBLANK(OFFSET(A$1,,,SUMPRODUCT(MAX(ROW(E$1:E1000)*(E2=E$1:E1000))))))</f>
        <v/>
      </c>
      <c r="K1001" s="24" t="str">
        <f>IF(OR(E1001="",E1001="!!!",F1001="NEW"),"",INDEX(J$1:J1000,SUMPRODUCT(MAX(ROW(E$1:E1000)*(E1001=E$1:E1000)))))</f>
        <v/>
      </c>
      <c r="L1001" s="25"/>
    </row>
    <row r="1002" spans="1:12" x14ac:dyDescent="0.3">
      <c r="A1002" t="s">
        <v>123</v>
      </c>
      <c r="B1002" s="26" t="s">
        <v>203</v>
      </c>
      <c r="C1002" s="26" t="s">
        <v>88</v>
      </c>
      <c r="D1002" s="26" t="s">
        <v>75</v>
      </c>
      <c r="E1002" s="20" t="s">
        <v>699</v>
      </c>
      <c r="F1002" s="21" t="str">
        <f>IF(OR(E1002="",E1002="!!!"),"",IF(NOT(ISNA(VLOOKUP(E1002,E$1:E1001,1,FALSE()))),"OLD",IF(AND(E1002&lt;&gt;"",E1002&lt;&gt;"!!!"),"NEW","")))</f>
        <v>OLD</v>
      </c>
      <c r="G1002" s="22" t="str">
        <f ca="1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23" t="str">
        <f t="shared" ca="1" si="67"/>
        <v/>
      </c>
      <c r="I1002" s="24" t="str">
        <f>IF(OR(E1002="",E1002="!!!",F1002="NEW"),"",INDEX(B$2:B1001,-1+SUMPRODUCT(MAX(ROW(E$2:E1001)*(E1002=E$2:E1001)))))</f>
        <v>SBJ_3</v>
      </c>
      <c r="J1002" s="24">
        <f ca="1">IF(OR(E1002="",E1002="!!!",F1002="NEW"),"",COUNTBLANK(OFFSET(A$1,,,SUMPRODUCT(MAX(ROW(E$2:E1002)*(E1002=E$2:E1002)))))-COUNTBLANK(OFFSET(A$1,,,SUMPRODUCT(MAX(ROW(E$1:E1001)*(E2=E$1:E1001))))))</f>
        <v>0</v>
      </c>
      <c r="K1002" s="24" t="str">
        <f ca="1">IF(OR(E1002="",E1002="!!!",F1002="NEW"),"",INDEX(J$1:J1001,SUMPRODUCT(MAX(ROW(E$1:E1001)*(E1002=E$1:E1001)))))</f>
        <v/>
      </c>
      <c r="L1002" s="25"/>
    </row>
    <row r="1003" spans="1:12" x14ac:dyDescent="0.3">
      <c r="A1003" t="s">
        <v>626</v>
      </c>
      <c r="E1003" s="20" t="str">
        <f>IF(D1003="?OLD","!!!","")</f>
        <v/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67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258</v>
      </c>
      <c r="E1004" s="20" t="str">
        <f>IF(D1004="?OLD","!!!","")</f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67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187</v>
      </c>
      <c r="E1005" s="20" t="str">
        <f>IF(D1005="?OLD","!!!","")</f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67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423</v>
      </c>
      <c r="B1006" s="26" t="s">
        <v>303</v>
      </c>
      <c r="C1006" s="26" t="s">
        <v>74</v>
      </c>
      <c r="D1006" s="26" t="s">
        <v>75</v>
      </c>
      <c r="E1006" s="20" t="s">
        <v>234</v>
      </c>
      <c r="F1006" s="21" t="str">
        <f>IF(OR(E1006="",E1006="!!!"),"",IF(NOT(ISNA(VLOOKUP(E1006,E$1:E1005,1,FALSE()))),"OLD",IF(AND(E1006&lt;&gt;"",E1006&lt;&gt;"!!!"),"NEW","")))</f>
        <v>OLD</v>
      </c>
      <c r="G1006" s="22" t="str">
        <f ca="1"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?IN_FOCUS</v>
      </c>
      <c r="H1006" s="23" t="str">
        <f t="shared" ca="1" si="67"/>
        <v/>
      </c>
      <c r="I1006" s="24" t="str">
        <f>IF(OR(E1006="",E1006="!!!",F1006="NEW"),"",INDEX(B$2:B1005,-1+SUMPRODUCT(MAX(ROW(E$2:E1005)*(E1006=E$2:E1005)))))</f>
        <v>other_7</v>
      </c>
      <c r="J1006" s="24">
        <f ca="1">IF(OR(E1006="",E1006="!!!",F1006="NEW"),"",COUNTBLANK(OFFSET(A$1,,,SUMPRODUCT(MAX(ROW(E$2:E1006)*(E1006=E$2:E1006)))))-COUNTBLANK(OFFSET(A$1,,,SUMPRODUCT(MAX(ROW(E$1:E1005)*(E2=E$1:E1005))))))</f>
        <v>0</v>
      </c>
      <c r="K1006" s="24">
        <f ca="1">IF(OR(E1006="",E1006="!!!",F1006="NEW"),"",INDEX(J$1:J1005,SUMPRODUCT(MAX(ROW(E$1:E1005)*(E1006=E$1:E1005)))))</f>
        <v>0</v>
      </c>
      <c r="L1006" s="25"/>
    </row>
    <row r="1007" spans="1:12" x14ac:dyDescent="0.3">
      <c r="A1007" t="s">
        <v>78</v>
      </c>
      <c r="E1007" s="20" t="str">
        <f>IF(D1007="?OLD","!!!","")</f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67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8" spans="1:12" x14ac:dyDescent="0.3">
      <c r="A1008" t="s">
        <v>101</v>
      </c>
      <c r="E1008" s="20" t="str">
        <f>IF(D1008="?OLD","!!!","")</f>
        <v/>
      </c>
      <c r="F1008" s="21" t="str">
        <f>IF(OR(E1008="",E1008="!!!"),"",IF(NOT(ISNA(VLOOKUP(E1008,E$1:E1007,1,FALSE()))),"OLD",IF(AND(E1008&lt;&gt;"",E1008&lt;&gt;"!!!"),"NEW","")))</f>
        <v/>
      </c>
      <c r="G1008" s="22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3" t="str">
        <f t="shared" ca="1" si="67"/>
        <v/>
      </c>
      <c r="I1008" s="24" t="str">
        <f>IF(OR(E1008="",E1008="!!!",F1008="NEW"),"",INDEX(B$2:B1007,-1+SUMPRODUCT(MAX(ROW(E$2:E1007)*(E1008=E$2:E1007)))))</f>
        <v/>
      </c>
      <c r="J1008" s="24" t="str">
        <f ca="1">IF(OR(E1008="",E1008="!!!",F1008="NEW"),"",COUNTBLANK(OFFSET(A$1,,,SUMPRODUCT(MAX(ROW(E$2:E1008)*(E1008=E$2:E1008)))))-COUNTBLANK(OFFSET(A$1,,,SUMPRODUCT(MAX(ROW(E$1:E1007)*(E2=E$1:E1007))))))</f>
        <v/>
      </c>
      <c r="K1008" s="24" t="str">
        <f>IF(OR(E1008="",E1008="!!!",F1008="NEW"),"",INDEX(J$1:J1007,SUMPRODUCT(MAX(ROW(E$1:E1007)*(E1008=E$1:E1007)))))</f>
        <v/>
      </c>
      <c r="L1008" s="25"/>
    </row>
    <row r="1009" spans="1:12" x14ac:dyDescent="0.3">
      <c r="A1009" t="s">
        <v>705</v>
      </c>
      <c r="E1009" s="20" t="str">
        <f>IF(D1009="?OLD","!!!","")</f>
        <v/>
      </c>
      <c r="F1009" s="21" t="str">
        <f>IF(OR(E1009="",E1009="!!!"),"",IF(NOT(ISNA(VLOOKUP(E1009,E$1:E1008,1,FALSE()))),"OLD",IF(AND(E1009&lt;&gt;"",E1009&lt;&gt;"!!!"),"NEW","")))</f>
        <v/>
      </c>
      <c r="G1009" s="22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3" t="str">
        <f t="shared" ca="1" si="67"/>
        <v/>
      </c>
      <c r="I1009" s="24" t="str">
        <f>IF(OR(E1009="",E1009="!!!",F1009="NEW"),"",INDEX(B$2:B1008,-1+SUMPRODUCT(MAX(ROW(E$2:E1008)*(E1009=E$2:E1008)))))</f>
        <v/>
      </c>
      <c r="J1009" s="24" t="str">
        <f ca="1">IF(OR(E1009="",E1009="!!!",F1009="NEW"),"",COUNTBLANK(OFFSET(A$1,,,SUMPRODUCT(MAX(ROW(E$2:E1009)*(E1009=E$2:E1009)))))-COUNTBLANK(OFFSET(A$1,,,SUMPRODUCT(MAX(ROW(E$1:E1008)*(E2=E$1:E1008))))))</f>
        <v/>
      </c>
      <c r="K1009" s="24" t="str">
        <f>IF(OR(E1009="",E1009="!!!",F1009="NEW"),"",INDEX(J$1:J1008,SUMPRODUCT(MAX(ROW(E$1:E1008)*(E1009=E$1:E1008)))))</f>
        <v/>
      </c>
      <c r="L1009" s="25"/>
    </row>
    <row r="1010" spans="1:12" x14ac:dyDescent="0.3">
      <c r="A1010" t="s">
        <v>123</v>
      </c>
      <c r="B1010" s="26" t="s">
        <v>96</v>
      </c>
      <c r="C1010" s="26" t="s">
        <v>88</v>
      </c>
      <c r="D1010" s="26" t="s">
        <v>75</v>
      </c>
      <c r="E1010" s="20" t="s">
        <v>699</v>
      </c>
      <c r="F1010" s="21" t="str">
        <f>IF(OR(E1010="",E1010="!!!"),"",IF(NOT(ISNA(VLOOKUP(E1010,E$1:E1009,1,FALSE()))),"OLD",IF(AND(E1010&lt;&gt;"",E1010&lt;&gt;"!!!"),"NEW","")))</f>
        <v>OLD</v>
      </c>
      <c r="G1010" s="22" t="str">
        <f ca="1"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?IN_FOCUS</v>
      </c>
      <c r="H1010" s="23" t="str">
        <f t="shared" ca="1" si="67"/>
        <v/>
      </c>
      <c r="I1010" s="24" t="str">
        <f>IF(OR(E1010="",E1010="!!!",F1010="NEW"),"",INDEX(B$2:B1009,-1+SUMPRODUCT(MAX(ROW(E$2:E1009)*(E1010=E$2:E1009)))))</f>
        <v>SBJ_5</v>
      </c>
      <c r="J1010" s="24">
        <f ca="1">IF(OR(E1010="",E1010="!!!",F1010="NEW"),"",COUNTBLANK(OFFSET(A$1,,,SUMPRODUCT(MAX(ROW(E$2:E1010)*(E1010=E$2:E1010)))))-COUNTBLANK(OFFSET(A$1,,,SUMPRODUCT(MAX(ROW(E$1:E1009)*(E2=E$1:E1009))))))</f>
        <v>0</v>
      </c>
      <c r="K1010" s="24">
        <f ca="1">IF(OR(E1010="",E1010="!!!",F1010="NEW"),"",INDEX(J$1:J1009,SUMPRODUCT(MAX(ROW(E$1:E1009)*(E1010=E$1:E1009)))))</f>
        <v>0</v>
      </c>
      <c r="L1010" s="25"/>
    </row>
    <row r="1011" spans="1:12" x14ac:dyDescent="0.3">
      <c r="A1011" t="s">
        <v>116</v>
      </c>
      <c r="E1011" s="20" t="str">
        <f t="shared" ref="E1011:E1016" si="69">IF(D1011="?OLD","!!!","")</f>
        <v/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ca="1" si="67"/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706</v>
      </c>
      <c r="B1012" s="26" t="s">
        <v>131</v>
      </c>
      <c r="C1012" s="26" t="s">
        <v>474</v>
      </c>
      <c r="E1012" s="20" t="str">
        <f t="shared" si="69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67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245</v>
      </c>
      <c r="E1013" s="20" t="str">
        <f t="shared" si="69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67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446</v>
      </c>
      <c r="E1014" s="20" t="str">
        <f t="shared" si="69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67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707</v>
      </c>
      <c r="B1015" s="26" t="s">
        <v>131</v>
      </c>
      <c r="C1015" s="26" t="s">
        <v>105</v>
      </c>
      <c r="E1015" s="20" t="str">
        <f t="shared" si="69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67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90</v>
      </c>
      <c r="B1016" s="26" t="s">
        <v>154</v>
      </c>
      <c r="E1016" s="20" t="str">
        <f t="shared" si="69"/>
        <v/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67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103</v>
      </c>
      <c r="B1017" s="26" t="s">
        <v>147</v>
      </c>
      <c r="C1017" s="26" t="s">
        <v>105</v>
      </c>
      <c r="E1017" s="20"/>
      <c r="F1017" s="21" t="str">
        <f>IF(OR(E1017="",E1017="!!!"),"",IF(NOT(ISNA(VLOOKUP(E1017,E$1:E1016,1,FALSE()))),"OLD",IF(AND(E1017&lt;&gt;"",E1017&lt;&gt;"!!!"),"NEW","")))</f>
        <v/>
      </c>
      <c r="G1017" s="22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t="shared" ca="1" si="67"/>
        <v/>
      </c>
      <c r="I1017" s="24" t="str">
        <f>IF(OR(E1017="",E1017="!!!",F1017="NEW"),"",INDEX(B$2:B1016,-1+SUMPRODUCT(MAX(ROW(E$2:E1016)*(E1017=E$2:E1016)))))</f>
        <v/>
      </c>
      <c r="J1017" s="24" t="str">
        <f ca="1">IF(OR(E1017="",E1017="!!!",F1017="NEW"),"",COUNTBLANK(OFFSET(A$1,,,SUMPRODUCT(MAX(ROW(E$2:E1017)*(E1017=E$2:E1017)))))-COUNTBLANK(OFFSET(A$1,,,SUMPRODUCT(MAX(ROW(E$1:E1016)*(E2=E$1:E1016))))))</f>
        <v/>
      </c>
      <c r="K1017" s="24" t="str">
        <f>IF(OR(E1017="",E1017="!!!",F1017="NEW"),"",INDEX(J$1:J1016,SUMPRODUCT(MAX(ROW(E$1:E1016)*(E1017=E$1:E1016)))))</f>
        <v/>
      </c>
      <c r="L1017" s="25"/>
    </row>
    <row r="1018" spans="1:12" x14ac:dyDescent="0.3">
      <c r="A1018" t="s">
        <v>101</v>
      </c>
      <c r="E1018" s="20" t="str">
        <f>IF(D1018="?OLD","!!!","")</f>
        <v/>
      </c>
      <c r="F1018" s="21" t="str">
        <f>IF(OR(E1018="",E1018="!!!"),"",IF(NOT(ISNA(VLOOKUP(E1018,E$1:E1017,1,FALSE()))),"OLD",IF(AND(E1018&lt;&gt;"",E1018&lt;&gt;"!!!"),"NEW","")))</f>
        <v/>
      </c>
      <c r="G1018" s="22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3" t="str">
        <f t="shared" ca="1" si="67"/>
        <v/>
      </c>
      <c r="I1018" s="24" t="str">
        <f>IF(OR(E1018="",E1018="!!!",F1018="NEW"),"",INDEX(B$2:B1017,-1+SUMPRODUCT(MAX(ROW(E$2:E1017)*(E1018=E$2:E1017)))))</f>
        <v/>
      </c>
      <c r="J1018" s="24" t="str">
        <f ca="1">IF(OR(E1018="",E1018="!!!",F1018="NEW"),"",COUNTBLANK(OFFSET(A$1,,,SUMPRODUCT(MAX(ROW(E$2:E1018)*(E1018=E$2:E1018)))))-COUNTBLANK(OFFSET(A$1,,,SUMPRODUCT(MAX(ROW(E$1:E1017)*(E2=E$1:E1017))))))</f>
        <v/>
      </c>
      <c r="K1018" s="24" t="str">
        <f>IF(OR(E1018="",E1018="!!!",F1018="NEW"),"",INDEX(J$1:J1017,SUMPRODUCT(MAX(ROW(E$1:E1017)*(E1018=E$1:E1017)))))</f>
        <v/>
      </c>
      <c r="L1018" s="25"/>
    </row>
    <row r="1019" spans="1:12" x14ac:dyDescent="0.3">
      <c r="A1019" t="s">
        <v>708</v>
      </c>
      <c r="E1019" s="20" t="str">
        <f>IF(D1019="?OLD","!!!","")</f>
        <v/>
      </c>
      <c r="F1019" s="21" t="str">
        <f>IF(OR(E1019="",E1019="!!!"),"",IF(NOT(ISNA(VLOOKUP(E1019,E$1:E1018,1,FALSE()))),"OLD",IF(AND(E1019&lt;&gt;"",E1019&lt;&gt;"!!!"),"NEW","")))</f>
        <v/>
      </c>
      <c r="G1019" s="22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3" t="str">
        <f t="shared" ca="1" si="67"/>
        <v/>
      </c>
      <c r="I1019" s="24" t="str">
        <f>IF(OR(E1019="",E1019="!!!",F1019="NEW"),"",INDEX(B$2:B1018,-1+SUMPRODUCT(MAX(ROW(E$2:E1018)*(E1019=E$2:E1018)))))</f>
        <v/>
      </c>
      <c r="J1019" s="24" t="str">
        <f ca="1">IF(OR(E1019="",E1019="!!!",F1019="NEW"),"",COUNTBLANK(OFFSET(A$1,,,SUMPRODUCT(MAX(ROW(E$2:E1019)*(E1019=E$2:E1019)))))-COUNTBLANK(OFFSET(A$1,,,SUMPRODUCT(MAX(ROW(E$1:E1018)*(E2=E$1:E1018))))))</f>
        <v/>
      </c>
      <c r="K1019" s="24" t="str">
        <f>IF(OR(E1019="",E1019="!!!",F1019="NEW"),"",INDEX(J$1:J1018,SUMPRODUCT(MAX(ROW(E$1:E1018)*(E1019=E$1:E1018)))))</f>
        <v/>
      </c>
      <c r="L1019" s="25"/>
    </row>
    <row r="1020" spans="1:12" x14ac:dyDescent="0.3">
      <c r="A1020" t="s">
        <v>709</v>
      </c>
      <c r="E1020" s="20" t="str">
        <f>IF(D1020="?OLD","!!!","")</f>
        <v/>
      </c>
      <c r="F1020" s="21" t="str">
        <f>IF(OR(E1020="",E1020="!!!"),"",IF(NOT(ISNA(VLOOKUP(E1020,E$1:E1019,1,FALSE()))),"OLD",IF(AND(E1020&lt;&gt;"",E1020&lt;&gt;"!!!"),"NEW","")))</f>
        <v/>
      </c>
      <c r="G1020" s="22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3" t="str">
        <f t="shared" ref="H1020:H1051" ca="1" si="70">IF(J1020&lt;&gt;1,"",IF(I1020="SBJ","CB","?"))</f>
        <v/>
      </c>
      <c r="I1020" s="24" t="str">
        <f>IF(OR(E1020="",E1020="!!!",F1020="NEW"),"",INDEX(B$2:B1019,-1+SUMPRODUCT(MAX(ROW(E$2:E1019)*(E1020=E$2:E1019)))))</f>
        <v/>
      </c>
      <c r="J1020" s="24" t="str">
        <f ca="1">IF(OR(E1020="",E1020="!!!",F1020="NEW"),"",COUNTBLANK(OFFSET(A$1,,,SUMPRODUCT(MAX(ROW(E$2:E1020)*(E1020=E$2:E1020)))))-COUNTBLANK(OFFSET(A$1,,,SUMPRODUCT(MAX(ROW(E$1:E1019)*(E2=E$1:E1019))))))</f>
        <v/>
      </c>
      <c r="K1020" s="24" t="str">
        <f>IF(OR(E1020="",E1020="!!!",F1020="NEW"),"",INDEX(J$1:J1019,SUMPRODUCT(MAX(ROW(E$1:E1019)*(E1020=E$1:E1019)))))</f>
        <v/>
      </c>
      <c r="L1020" s="25"/>
    </row>
    <row r="1021" spans="1:12" x14ac:dyDescent="0.3">
      <c r="A1021" t="s">
        <v>103</v>
      </c>
      <c r="B1021" s="26" t="s">
        <v>115</v>
      </c>
      <c r="C1021" s="26" t="s">
        <v>105</v>
      </c>
      <c r="E1021" s="20" t="s">
        <v>184</v>
      </c>
      <c r="F1021" s="21" t="str">
        <f>IF(OR(E1021="",E1021="!!!"),"",IF(NOT(ISNA(VLOOKUP(E1021,E$1:E1020,1,FALSE()))),"OLD",IF(AND(E1021&lt;&gt;"",E1021&lt;&gt;"!!!"),"NEW","")))</f>
        <v>OLD</v>
      </c>
      <c r="G1021" s="22" t="str">
        <f ca="1"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?IN_FOCUS</v>
      </c>
      <c r="H1021" s="23" t="str">
        <f t="shared" ca="1" si="70"/>
        <v/>
      </c>
      <c r="I1021" s="24" t="str">
        <f>IF(OR(E1021="",E1021="!!!",F1021="NEW"),"",INDEX(B$2:B1020,-1+SUMPRODUCT(MAX(ROW(E$2:E1020)*(E1021=E$2:E1020)))))</f>
        <v>other_2</v>
      </c>
      <c r="J1021" s="24">
        <f ca="1">IF(OR(E1021="",E1021="!!!",F1021="NEW"),"",COUNTBLANK(OFFSET(A$1,,,SUMPRODUCT(MAX(ROW(E$2:E1021)*(E1021=E$2:E1021)))))-COUNTBLANK(OFFSET(A$1,,,SUMPRODUCT(MAX(ROW(E$1:E1020)*(E2=E$1:E1020))))))</f>
        <v>0</v>
      </c>
      <c r="K1021" s="24" t="str">
        <f ca="1">IF(OR(E1021="",E1021="!!!",F1021="NEW"),"",INDEX(J$1:J1020,SUMPRODUCT(MAX(ROW(E$1:E1020)*(E1021=E$1:E1020)))))</f>
        <v/>
      </c>
      <c r="L1021" s="27" t="s">
        <v>332</v>
      </c>
    </row>
    <row r="1022" spans="1:12" x14ac:dyDescent="0.3">
      <c r="A1022" t="s">
        <v>446</v>
      </c>
      <c r="E1022" s="20" t="str">
        <f>IF(D1022="?OLD","!!!","")</f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t="shared" ca="1" si="70"/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710</v>
      </c>
      <c r="B1023" s="26" t="s">
        <v>82</v>
      </c>
      <c r="C1023" s="26" t="s">
        <v>105</v>
      </c>
      <c r="E1023" s="20" t="str">
        <f>IF(D1023="?OLD","!!!","")</f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t="shared" ca="1" si="70"/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101</v>
      </c>
      <c r="E1024" s="20" t="str">
        <f>IF(D1024="?OLD","!!!","")</f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t="shared" ca="1" si="70"/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5" spans="1:12" x14ac:dyDescent="0.3">
      <c r="A1025" t="s">
        <v>218</v>
      </c>
      <c r="B1025" s="26" t="s">
        <v>104</v>
      </c>
      <c r="C1025" s="26" t="s">
        <v>111</v>
      </c>
      <c r="E1025" s="20" t="s">
        <v>1058</v>
      </c>
      <c r="F1025" s="21" t="str">
        <f>IF(OR(E1025="",E1025="!!!"),"",IF(NOT(ISNA(VLOOKUP(E1025,E$1:E1024,1,FALSE()))),"OLD",IF(AND(E1025&lt;&gt;"",E1025&lt;&gt;"!!!"),"NEW","")))</f>
        <v>NEW</v>
      </c>
      <c r="G1025" s="22" t="str">
        <f ca="1"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?REFERENTIAL</v>
      </c>
      <c r="H1025" s="23" t="str">
        <f t="shared" ca="1" si="70"/>
        <v/>
      </c>
      <c r="I1025" s="24" t="str">
        <f>IF(OR(E1025="",E1025="!!!",F1025="NEW"),"",INDEX(B$2:B1024,-1+SUMPRODUCT(MAX(ROW(E$2:E1024)*(E1025=E$2:E1024)))))</f>
        <v/>
      </c>
      <c r="J1025" s="24" t="str">
        <f ca="1">IF(OR(E1025="",E1025="!!!",F1025="NEW"),"",COUNTBLANK(OFFSET(A$1,,,SUMPRODUCT(MAX(ROW(E$2:E1025)*(E1025=E$2:E1025)))))-COUNTBLANK(OFFSET(A$1,,,SUMPRODUCT(MAX(ROW(E$1:E1024)*(E2=E$1:E1024))))))</f>
        <v/>
      </c>
      <c r="K1025" s="24" t="str">
        <f>IF(OR(E1025="",E1025="!!!",F1025="NEW"),"",INDEX(J$1:J1024,SUMPRODUCT(MAX(ROW(E$1:E1024)*(E1025=E$1:E1024)))))</f>
        <v/>
      </c>
      <c r="L1025" s="25" t="s">
        <v>1056</v>
      </c>
    </row>
    <row r="1026" spans="1:12" x14ac:dyDescent="0.3">
      <c r="A1026" t="s">
        <v>298</v>
      </c>
      <c r="E1026" s="20" t="str">
        <f>IF(D1026="?OLD","!!!","")</f>
        <v/>
      </c>
      <c r="F1026" s="21" t="str">
        <f>IF(OR(E1026="",E1026="!!!"),"",IF(NOT(ISNA(VLOOKUP(E1026,E$1:E1025,1,FALSE()))),"OLD",IF(AND(E1026&lt;&gt;"",E1026&lt;&gt;"!!!"),"NEW","")))</f>
        <v/>
      </c>
      <c r="G1026" s="22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3" t="str">
        <f t="shared" ca="1" si="70"/>
        <v/>
      </c>
      <c r="I1026" s="24" t="str">
        <f>IF(OR(E1026="",E1026="!!!",F1026="NEW"),"",INDEX(B$2:B1025,-1+SUMPRODUCT(MAX(ROW(E$2:E1025)*(E1026=E$2:E1025)))))</f>
        <v/>
      </c>
      <c r="J1026" s="24" t="str">
        <f ca="1">IF(OR(E1026="",E1026="!!!",F1026="NEW"),"",COUNTBLANK(OFFSET(A$1,,,SUMPRODUCT(MAX(ROW(E$2:E1026)*(E1026=E$2:E1026)))))-COUNTBLANK(OFFSET(A$1,,,SUMPRODUCT(MAX(ROW(E$1:E1025)*(E2=E$1:E1025))))))</f>
        <v/>
      </c>
      <c r="K1026" s="24" t="str">
        <f>IF(OR(E1026="",E1026="!!!",F1026="NEW"),"",INDEX(J$1:J1025,SUMPRODUCT(MAX(ROW(E$1:E1025)*(E1026=E$1:E1025)))))</f>
        <v/>
      </c>
      <c r="L1026" s="25"/>
    </row>
    <row r="1027" spans="1:12" x14ac:dyDescent="0.3">
      <c r="A1027" t="s">
        <v>123</v>
      </c>
      <c r="B1027" s="26" t="s">
        <v>110</v>
      </c>
      <c r="C1027" s="26" t="s">
        <v>88</v>
      </c>
      <c r="D1027" s="26" t="s">
        <v>75</v>
      </c>
      <c r="E1027" s="20" t="s">
        <v>699</v>
      </c>
      <c r="F1027" s="21" t="str">
        <f>IF(OR(E1027="",E1027="!!!"),"",IF(NOT(ISNA(VLOOKUP(E1027,E$1:E1026,1,FALSE()))),"OLD",IF(AND(E1027&lt;&gt;"",E1027&lt;&gt;"!!!"),"NEW","")))</f>
        <v>OLD</v>
      </c>
      <c r="G1027" s="22" t="str">
        <f ca="1"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?IN_FOCUS</v>
      </c>
      <c r="H1027" s="23" t="str">
        <f t="shared" ca="1" si="70"/>
        <v/>
      </c>
      <c r="I1027" s="24" t="str">
        <f>IF(OR(E1027="",E1027="!!!",F1027="NEW"),"",INDEX(B$2:B1026,-1+SUMPRODUCT(MAX(ROW(E$2:E1026)*(E1027=E$2:E1026)))))</f>
        <v>SBJ_2</v>
      </c>
      <c r="J1027" s="24">
        <f ca="1">IF(OR(E1027="",E1027="!!!",F1027="NEW"),"",COUNTBLANK(OFFSET(A$1,,,SUMPRODUCT(MAX(ROW(E$2:E1027)*(E1027=E$2:E1027)))))-COUNTBLANK(OFFSET(A$1,,,SUMPRODUCT(MAX(ROW(E$1:E1026)*(E2=E$1:E1026))))))</f>
        <v>0</v>
      </c>
      <c r="K1027" s="24">
        <f ca="1">IF(OR(E1027="",E1027="!!!",F1027="NEW"),"",INDEX(J$1:J1026,SUMPRODUCT(MAX(ROW(E$1:E1026)*(E1027=E$1:E1026)))))</f>
        <v>0</v>
      </c>
      <c r="L1027" s="25"/>
    </row>
    <row r="1028" spans="1:12" x14ac:dyDescent="0.3">
      <c r="A1028" t="s">
        <v>101</v>
      </c>
      <c r="E1028" s="20" t="str">
        <f t="shared" ref="E1028:E1035" si="71">IF(D1028="?OLD","!!!","")</f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t="shared" ca="1" si="70"/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142</v>
      </c>
      <c r="E1029" s="20" t="str">
        <f t="shared" si="71"/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t="shared" ca="1" si="70"/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0" spans="1:12" x14ac:dyDescent="0.3">
      <c r="A1030" t="s">
        <v>333</v>
      </c>
      <c r="E1030" s="20" t="str">
        <f t="shared" si="71"/>
        <v/>
      </c>
      <c r="F1030" s="21" t="str">
        <f>IF(OR(E1030="",E1030="!!!"),"",IF(NOT(ISNA(VLOOKUP(E1030,E$1:E1029,1,FALSE()))),"OLD",IF(AND(E1030&lt;&gt;"",E1030&lt;&gt;"!!!"),"NEW","")))</f>
        <v/>
      </c>
      <c r="G1030" s="22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3" t="str">
        <f t="shared" ca="1" si="70"/>
        <v/>
      </c>
      <c r="I1030" s="24" t="str">
        <f>IF(OR(E1030="",E1030="!!!",F1030="NEW"),"",INDEX(B$2:B1029,-1+SUMPRODUCT(MAX(ROW(E$2:E1029)*(E1030=E$2:E1029)))))</f>
        <v/>
      </c>
      <c r="J1030" s="24" t="str">
        <f ca="1">IF(OR(E1030="",E1030="!!!",F1030="NEW"),"",COUNTBLANK(OFFSET(A$1,,,SUMPRODUCT(MAX(ROW(E$2:E1030)*(E1030=E$2:E1030)))))-COUNTBLANK(OFFSET(A$1,,,SUMPRODUCT(MAX(ROW(E$1:E1029)*(E2=E$1:E1029))))))</f>
        <v/>
      </c>
      <c r="K1030" s="24" t="str">
        <f>IF(OR(E1030="",E1030="!!!",F1030="NEW"),"",INDEX(J$1:J1029,SUMPRODUCT(MAX(ROW(E$1:E1029)*(E1030=E$1:E1029)))))</f>
        <v/>
      </c>
      <c r="L1030" s="25"/>
    </row>
    <row r="1031" spans="1:12" x14ac:dyDescent="0.3">
      <c r="A1031" t="s">
        <v>711</v>
      </c>
      <c r="B1031" s="26" t="s">
        <v>257</v>
      </c>
      <c r="C1031" s="26" t="s">
        <v>111</v>
      </c>
      <c r="E1031" s="20" t="s">
        <v>1057</v>
      </c>
      <c r="F1031" s="21" t="str">
        <f>IF(OR(E1031="",E1031="!!!"),"",IF(NOT(ISNA(VLOOKUP(E1031,E$1:E1030,1,FALSE()))),"OLD",IF(AND(E1031&lt;&gt;"",E1031&lt;&gt;"!!!"),"NEW","")))</f>
        <v>NEW</v>
      </c>
      <c r="G1031" s="22" t="str">
        <f ca="1"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?REFERENTIAL</v>
      </c>
      <c r="H1031" s="23" t="str">
        <f t="shared" ca="1" si="70"/>
        <v/>
      </c>
      <c r="I1031" s="24" t="str">
        <f>IF(OR(E1031="",E1031="!!!",F1031="NEW"),"",INDEX(B$2:B1030,-1+SUMPRODUCT(MAX(ROW(E$2:E1030)*(E1031=E$2:E1030)))))</f>
        <v/>
      </c>
      <c r="J1031" s="24" t="str">
        <f ca="1">IF(OR(E1031="",E1031="!!!",F1031="NEW"),"",COUNTBLANK(OFFSET(A$1,,,SUMPRODUCT(MAX(ROW(E$2:E1031)*(E1031=E$2:E1031)))))-COUNTBLANK(OFFSET(A$1,,,SUMPRODUCT(MAX(ROW(E$1:E1030)*(E2=E$1:E1030))))))</f>
        <v/>
      </c>
      <c r="K1031" s="24" t="str">
        <f>IF(OR(E1031="",E1031="!!!",F1031="NEW"),"",INDEX(J$1:J1030,SUMPRODUCT(MAX(ROW(E$1:E1030)*(E1031=E$1:E1030)))))</f>
        <v/>
      </c>
      <c r="L1031" s="25" t="s">
        <v>1056</v>
      </c>
    </row>
    <row r="1032" spans="1:12" x14ac:dyDescent="0.3">
      <c r="A1032" t="s">
        <v>167</v>
      </c>
      <c r="E1032" s="20" t="str">
        <f t="shared" si="71"/>
        <v/>
      </c>
      <c r="F1032" s="21" t="str">
        <f>IF(OR(E1032="",E1032="!!!"),"",IF(NOT(ISNA(VLOOKUP(E1032,E$1:E1031,1,FALSE()))),"OLD",IF(AND(E1032&lt;&gt;"",E1032&lt;&gt;"!!!"),"NEW","")))</f>
        <v/>
      </c>
      <c r="G1032" s="22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3" t="str">
        <f t="shared" ca="1" si="70"/>
        <v/>
      </c>
      <c r="I1032" s="24" t="str">
        <f>IF(OR(E1032="",E1032="!!!",F1032="NEW"),"",INDEX(B$2:B1031,-1+SUMPRODUCT(MAX(ROW(E$2:E1031)*(E1032=E$2:E1031)))))</f>
        <v/>
      </c>
      <c r="J1032" s="24" t="str">
        <f ca="1">IF(OR(E1032="",E1032="!!!",F1032="NEW"),"",COUNTBLANK(OFFSET(A$1,,,SUMPRODUCT(MAX(ROW(E$2:E1032)*(E1032=E$2:E1032)))))-COUNTBLANK(OFFSET(A$1,,,SUMPRODUCT(MAX(ROW(E$1:E1031)*(E2=E$1:E1031))))))</f>
        <v/>
      </c>
      <c r="K1032" s="24" t="str">
        <f>IF(OR(E1032="",E1032="!!!",F1032="NEW"),"",INDEX(J$1:J1031,SUMPRODUCT(MAX(ROW(E$1:E1031)*(E1032=E$1:E1031)))))</f>
        <v/>
      </c>
      <c r="L1032" s="25"/>
    </row>
    <row r="1033" spans="1:12" x14ac:dyDescent="0.3">
      <c r="A1033" t="s">
        <v>712</v>
      </c>
      <c r="E1033" s="20" t="str">
        <f t="shared" si="71"/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ca="1" si="70"/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713</v>
      </c>
      <c r="B1034" s="26" t="s">
        <v>147</v>
      </c>
      <c r="C1034" s="26" t="s">
        <v>119</v>
      </c>
      <c r="E1034" s="20" t="str">
        <f t="shared" si="71"/>
        <v/>
      </c>
      <c r="F1034" s="21" t="s">
        <v>139</v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70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86</v>
      </c>
      <c r="E1035" s="20" t="str">
        <f t="shared" si="71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70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714</v>
      </c>
      <c r="B1036" s="26" t="s">
        <v>96</v>
      </c>
      <c r="C1036" s="26" t="s">
        <v>280</v>
      </c>
      <c r="D1036" s="26" t="s">
        <v>75</v>
      </c>
      <c r="E1036" s="20" t="s">
        <v>715</v>
      </c>
      <c r="F1036" s="21" t="str">
        <f>IF(OR(E1036="",E1036="!!!"),"",IF(NOT(ISNA(VLOOKUP(E1036,E$1:E1035,1,FALSE()))),"OLD",IF(AND(E1036&lt;&gt;"",E1036&lt;&gt;"!!!"),"NEW","")))</f>
        <v>NEW</v>
      </c>
      <c r="G1036" s="22" t="str">
        <f ca="1"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?REFERENTIAL</v>
      </c>
      <c r="H1036" s="23" t="str">
        <f t="shared" ca="1" si="70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86</v>
      </c>
      <c r="E1037" s="20" t="str">
        <f>IF(D1037="?OLD","!!!","")</f>
        <v/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70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714</v>
      </c>
      <c r="B1038" s="26" t="s">
        <v>96</v>
      </c>
      <c r="C1038" s="26" t="s">
        <v>280</v>
      </c>
      <c r="D1038" s="26" t="s">
        <v>75</v>
      </c>
      <c r="E1038" s="20" t="s">
        <v>715</v>
      </c>
      <c r="F1038" s="21" t="str">
        <f>IF(OR(E1038="",E1038="!!!"),"",IF(NOT(ISNA(VLOOKUP(E1038,E$1:E1037,1,FALSE()))),"OLD",IF(AND(E1038&lt;&gt;"",E1038&lt;&gt;"!!!"),"NEW","")))</f>
        <v>OLD</v>
      </c>
      <c r="G1038" s="22" t="str">
        <f ca="1"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?IN_FOCUS</v>
      </c>
      <c r="H1038" s="23" t="str">
        <f t="shared" ca="1" si="70"/>
        <v/>
      </c>
      <c r="I1038" s="24" t="str">
        <f>IF(OR(E1038="",E1038="!!!",F1038="NEW"),"",INDEX(B$2:B1037,-1+SUMPRODUCT(MAX(ROW(E$2:E1037)*(E1038=E$2:E1037)))))</f>
        <v>SBJ_2</v>
      </c>
      <c r="J1038" s="24">
        <f ca="1">IF(OR(E1038="",E1038="!!!",F1038="NEW"),"",COUNTBLANK(OFFSET(A$1,,,SUMPRODUCT(MAX(ROW(E$2:E1038)*(E1038=E$2:E1038)))))-COUNTBLANK(OFFSET(A$1,,,SUMPRODUCT(MAX(ROW(E$1:E1037)*(E2=E$1:E1037))))))</f>
        <v>0</v>
      </c>
      <c r="K1038" s="24" t="str">
        <f ca="1">IF(OR(E1038="",E1038="!!!",F1038="NEW"),"",INDEX(J$1:J1037,SUMPRODUCT(MAX(ROW(E$1:E1037)*(E1038=E$1:E1037)))))</f>
        <v/>
      </c>
      <c r="L1038" s="25"/>
    </row>
    <row r="1039" spans="1:12" x14ac:dyDescent="0.3">
      <c r="A1039" t="s">
        <v>78</v>
      </c>
      <c r="E1039" s="20" t="str">
        <f t="shared" ref="E1039:E1045" si="72">IF(D1039="?OLD","!!!","")</f>
        <v/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70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333</v>
      </c>
      <c r="E1040" s="20" t="str">
        <f t="shared" si="72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70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190</v>
      </c>
      <c r="B1041" s="26" t="s">
        <v>131</v>
      </c>
      <c r="C1041" s="26" t="s">
        <v>335</v>
      </c>
      <c r="E1041" s="20" t="str">
        <f t="shared" si="72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70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258</v>
      </c>
      <c r="E1042" s="20" t="str">
        <f t="shared" si="72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70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383</v>
      </c>
      <c r="B1043" s="26" t="s">
        <v>82</v>
      </c>
      <c r="C1043" s="26" t="s">
        <v>105</v>
      </c>
      <c r="E1043" s="20" t="str">
        <f t="shared" si="72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70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4" spans="1:12" x14ac:dyDescent="0.3">
      <c r="A1044" t="s">
        <v>79</v>
      </c>
      <c r="E1044" s="20" t="str">
        <f t="shared" si="72"/>
        <v/>
      </c>
      <c r="F1044" s="21" t="str">
        <f>IF(OR(E1044="",E1044="!!!"),"",IF(NOT(ISNA(VLOOKUP(E1044,E$1:E1043,1,FALSE()))),"OLD",IF(AND(E1044&lt;&gt;"",E1044&lt;&gt;"!!!"),"NEW","")))</f>
        <v/>
      </c>
      <c r="G1044" s="22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3" t="str">
        <f t="shared" ca="1" si="70"/>
        <v/>
      </c>
      <c r="I1044" s="24" t="str">
        <f>IF(OR(E1044="",E1044="!!!",F1044="NEW"),"",INDEX(B$2:B1043,-1+SUMPRODUCT(MAX(ROW(E$2:E1043)*(E1044=E$2:E1043)))))</f>
        <v/>
      </c>
      <c r="J1044" s="24" t="str">
        <f ca="1">IF(OR(E1044="",E1044="!!!",F1044="NEW"),"",COUNTBLANK(OFFSET(A$1,,,SUMPRODUCT(MAX(ROW(E$2:E1044)*(E1044=E$2:E1044)))))-COUNTBLANK(OFFSET(A$1,,,SUMPRODUCT(MAX(ROW(E$1:E1043)*(E2=E$1:E1043))))))</f>
        <v/>
      </c>
      <c r="K1044" s="24" t="str">
        <f>IF(OR(E1044="",E1044="!!!",F1044="NEW"),"",INDEX(J$1:J1043,SUMPRODUCT(MAX(ROW(E$1:E1043)*(E1044=E$1:E1043)))))</f>
        <v/>
      </c>
      <c r="L1044" s="25"/>
    </row>
    <row r="1045" spans="1:12" x14ac:dyDescent="0.3">
      <c r="A1045" t="s">
        <v>80</v>
      </c>
      <c r="E1045" s="20" t="str">
        <f t="shared" si="72"/>
        <v/>
      </c>
      <c r="F1045" s="21" t="str">
        <f>IF(OR(E1045="",E1045="!!!"),"",IF(NOT(ISNA(VLOOKUP(E1045,E$1:E1044,1,FALSE()))),"OLD",IF(AND(E1045&lt;&gt;"",E1045&lt;&gt;"!!!"),"NEW","")))</f>
        <v/>
      </c>
      <c r="G1045" s="22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3" t="str">
        <f t="shared" ca="1" si="70"/>
        <v/>
      </c>
      <c r="I1045" s="24" t="str">
        <f>IF(OR(E1045="",E1045="!!!",F1045="NEW"),"",INDEX(B$2:B1044,-1+SUMPRODUCT(MAX(ROW(E$2:E1044)*(E1045=E$2:E1044)))))</f>
        <v/>
      </c>
      <c r="J1045" s="24" t="str">
        <f ca="1">IF(OR(E1045="",E1045="!!!",F1045="NEW"),"",COUNTBLANK(OFFSET(A$1,,,SUMPRODUCT(MAX(ROW(E$2:E1045)*(E1045=E$2:E1045)))))-COUNTBLANK(OFFSET(A$1,,,SUMPRODUCT(MAX(ROW(E$1:E1044)*(E2=E$1:E1044))))))</f>
        <v/>
      </c>
      <c r="K1045" s="24" t="str">
        <f>IF(OR(E1045="",E1045="!!!",F1045="NEW"),"",INDEX(J$1:J1044,SUMPRODUCT(MAX(ROW(E$1:E1044)*(E1045=E$1:E1044)))))</f>
        <v/>
      </c>
      <c r="L1045" s="25"/>
    </row>
    <row r="1046" spans="1:12" x14ac:dyDescent="0.3">
      <c r="A1046" t="s">
        <v>716</v>
      </c>
      <c r="B1046" s="26" t="s">
        <v>147</v>
      </c>
      <c r="C1046" s="26" t="s">
        <v>74</v>
      </c>
      <c r="D1046" s="26" t="s">
        <v>75</v>
      </c>
      <c r="E1046" s="20" t="s">
        <v>717</v>
      </c>
      <c r="F1046" s="21" t="str">
        <f>IF(OR(E1046="",E1046="!!!"),"",IF(NOT(ISNA(VLOOKUP(E1046,E$1:E1045,1,FALSE()))),"OLD",IF(AND(E1046&lt;&gt;"",E1046&lt;&gt;"!!!"),"NEW","")))</f>
        <v>NEW</v>
      </c>
      <c r="G1046" s="22" t="str">
        <f ca="1"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?REFERENTIAL</v>
      </c>
      <c r="H1046" s="23" t="str">
        <f t="shared" ca="1" si="70"/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142</v>
      </c>
      <c r="E1047" s="20" t="str">
        <f>IF(D1047="?OLD","!!!","")</f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70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79</v>
      </c>
      <c r="E1048" s="20" t="str">
        <f>IF(D1048="?OLD","!!!","")</f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70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80</v>
      </c>
      <c r="E1049" s="20" t="str">
        <f>IF(D1049="?OLD","!!!","")</f>
        <v/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70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718</v>
      </c>
      <c r="E1050" s="20" t="str">
        <f>IF(D1050="?OLD","!!!","")</f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70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719</v>
      </c>
      <c r="B1051" s="26" t="s">
        <v>131</v>
      </c>
      <c r="C1051" s="26" t="s">
        <v>74</v>
      </c>
      <c r="D1051" s="26" t="s">
        <v>75</v>
      </c>
      <c r="E1051" s="20" t="s">
        <v>720</v>
      </c>
      <c r="F1051" s="21" t="str">
        <f>IF(OR(E1051="",E1051="!!!"),"",IF(NOT(ISNA(VLOOKUP(E1051,E$1:E1050,1,FALSE()))),"OLD",IF(AND(E1051&lt;&gt;"",E1051&lt;&gt;"!!!"),"NEW","")))</f>
        <v>NEW</v>
      </c>
      <c r="G1051" s="22" t="str">
        <f ca="1"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?REFERENTIAL</v>
      </c>
      <c r="H1051" s="23" t="str">
        <f t="shared" ca="1" si="70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79</v>
      </c>
      <c r="E1052" s="20" t="str">
        <f>IF(D1052="?OLD","!!!","")</f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ref="H1052:H1083" ca="1" si="73">IF(J1052&lt;&gt;1,"",IF(I1052="SBJ","CB","?"))</f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721</v>
      </c>
      <c r="B1053" s="26" t="s">
        <v>82</v>
      </c>
      <c r="C1053" s="26" t="s">
        <v>280</v>
      </c>
      <c r="D1053" s="26" t="s">
        <v>75</v>
      </c>
      <c r="E1053" s="20" t="s">
        <v>722</v>
      </c>
      <c r="F1053" s="21" t="str">
        <f>IF(OR(E1053="",E1053="!!!"),"",IF(NOT(ISNA(VLOOKUP(E1053,E$1:E1052,1,FALSE()))),"OLD",IF(AND(E1053&lt;&gt;"",E1053&lt;&gt;"!!!"),"NEW","")))</f>
        <v>NEW</v>
      </c>
      <c r="G1053" s="22" t="str">
        <f ca="1"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?REFERENTIAL</v>
      </c>
      <c r="H1053" s="23" t="str">
        <f t="shared" ca="1" si="73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/>
    </row>
    <row r="1054" spans="1:12" x14ac:dyDescent="0.3">
      <c r="A1054" t="s">
        <v>101</v>
      </c>
      <c r="E1054" s="20" t="str">
        <f>IF(D1054="?OLD","!!!","")</f>
        <v/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73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636</v>
      </c>
      <c r="E1055" s="20" t="str">
        <f>IF(D1055="?OLD","!!!","")</f>
        <v/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73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469</v>
      </c>
      <c r="E1056" s="20" t="str">
        <f>IF(D1056="?OLD","!!!","")</f>
        <v/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73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723</v>
      </c>
      <c r="B1057" s="26" t="s">
        <v>82</v>
      </c>
      <c r="C1057" s="26" t="s">
        <v>335</v>
      </c>
      <c r="E1057" s="20"/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73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8" spans="1:12" x14ac:dyDescent="0.3">
      <c r="A1058" t="s">
        <v>324</v>
      </c>
      <c r="E1058" s="20" t="str">
        <f>IF(D1058="?OLD","!!!","")</f>
        <v/>
      </c>
      <c r="F1058" s="21" t="str">
        <f>IF(OR(E1058="",E1058="!!!"),"",IF(NOT(ISNA(VLOOKUP(E1058,E$1:E1057,1,FALSE()))),"OLD",IF(AND(E1058&lt;&gt;"",E1058&lt;&gt;"!!!"),"NEW","")))</f>
        <v/>
      </c>
      <c r="G1058" s="22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3" t="str">
        <f t="shared" ca="1" si="73"/>
        <v/>
      </c>
      <c r="I1058" s="24" t="str">
        <f>IF(OR(E1058="",E1058="!!!",F1058="NEW"),"",INDEX(B$2:B1057,-1+SUMPRODUCT(MAX(ROW(E$2:E1057)*(E1058=E$2:E1057)))))</f>
        <v/>
      </c>
      <c r="J1058" s="24" t="str">
        <f ca="1">IF(OR(E1058="",E1058="!!!",F1058="NEW"),"",COUNTBLANK(OFFSET(A$1,,,SUMPRODUCT(MAX(ROW(E$2:E1058)*(E1058=E$2:E1058)))))-COUNTBLANK(OFFSET(A$1,,,SUMPRODUCT(MAX(ROW(E$1:E1057)*(E2=E$1:E1057))))))</f>
        <v/>
      </c>
      <c r="K1058" s="24" t="str">
        <f>IF(OR(E1058="",E1058="!!!",F1058="NEW"),"",INDEX(J$1:J1057,SUMPRODUCT(MAX(ROW(E$1:E1057)*(E1058=E$1:E1057)))))</f>
        <v/>
      </c>
      <c r="L1058" s="25"/>
    </row>
    <row r="1059" spans="1:12" x14ac:dyDescent="0.3">
      <c r="A1059" t="s">
        <v>724</v>
      </c>
      <c r="E1059" s="20" t="str">
        <f>IF(D1059="?OLD","!!!","")</f>
        <v/>
      </c>
      <c r="F1059" s="21" t="str">
        <f>IF(OR(E1059="",E1059="!!!"),"",IF(NOT(ISNA(VLOOKUP(E1059,E$1:E1058,1,FALSE()))),"OLD",IF(AND(E1059&lt;&gt;"",E1059&lt;&gt;"!!!"),"NEW","")))</f>
        <v/>
      </c>
      <c r="G1059" s="22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3" t="str">
        <f t="shared" ca="1" si="73"/>
        <v/>
      </c>
      <c r="I1059" s="24" t="str">
        <f>IF(OR(E1059="",E1059="!!!",F1059="NEW"),"",INDEX(B$2:B1058,-1+SUMPRODUCT(MAX(ROW(E$2:E1058)*(E1059=E$2:E1058)))))</f>
        <v/>
      </c>
      <c r="J1059" s="24" t="str">
        <f ca="1">IF(OR(E1059="",E1059="!!!",F1059="NEW"),"",COUNTBLANK(OFFSET(A$1,,,SUMPRODUCT(MAX(ROW(E$2:E1059)*(E1059=E$2:E1059)))))-COUNTBLANK(OFFSET(A$1,,,SUMPRODUCT(MAX(ROW(E$1:E1058)*(E2=E$1:E1058))))))</f>
        <v/>
      </c>
      <c r="K1059" s="24" t="str">
        <f>IF(OR(E1059="",E1059="!!!",F1059="NEW"),"",INDEX(J$1:J1058,SUMPRODUCT(MAX(ROW(E$1:E1058)*(E1059=E$1:E1058)))))</f>
        <v/>
      </c>
      <c r="L1059" s="25"/>
    </row>
    <row r="1060" spans="1:12" x14ac:dyDescent="0.3">
      <c r="A1060" t="s">
        <v>725</v>
      </c>
      <c r="B1060" s="26" t="s">
        <v>147</v>
      </c>
      <c r="C1060" s="26" t="s">
        <v>88</v>
      </c>
      <c r="D1060" s="26" t="s">
        <v>75</v>
      </c>
      <c r="E1060" s="20"/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ca="1" si="73"/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7" t="s">
        <v>527</v>
      </c>
    </row>
    <row r="1061" spans="1:12" x14ac:dyDescent="0.3">
      <c r="A1061" t="s">
        <v>86</v>
      </c>
      <c r="E1061" s="20" t="str">
        <f>IF(D1061="?OLD","!!!","")</f>
        <v/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73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 t="s">
        <v>1059</v>
      </c>
    </row>
    <row r="1063" spans="1:12" x14ac:dyDescent="0.3">
      <c r="A1063" t="s">
        <v>726</v>
      </c>
    </row>
    <row r="1064" spans="1:12" x14ac:dyDescent="0.3">
      <c r="A1064" t="s">
        <v>727</v>
      </c>
      <c r="E1064" s="20" t="str">
        <f>IF(D1064="?OLD","!!!","")</f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ref="H1064:H1095" ca="1" si="74">IF(J1064&lt;&gt;1,"",IF(I1064="SBJ","CB","?"))</f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545</v>
      </c>
      <c r="B1065" s="26" t="s">
        <v>96</v>
      </c>
      <c r="C1065" s="26" t="s">
        <v>280</v>
      </c>
      <c r="D1065" s="26" t="s">
        <v>75</v>
      </c>
      <c r="E1065" s="20" t="s">
        <v>728</v>
      </c>
      <c r="F1065" s="21" t="str">
        <f>IF(OR(E1065="",E1065="!!!"),"",IF(NOT(ISNA(VLOOKUP(E1065,E$1:E1064,1,FALSE()))),"OLD",IF(AND(E1065&lt;&gt;"",E1065&lt;&gt;"!!!"),"NEW","")))</f>
        <v>NEW</v>
      </c>
      <c r="G1065" s="22" t="str">
        <f ca="1"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?REFERENTIAL</v>
      </c>
      <c r="H1065" s="23" t="str">
        <f t="shared" ca="1" si="74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729</v>
      </c>
      <c r="E1066" s="20" t="str">
        <f>IF(D1066="?OLD","!!!","")</f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74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86</v>
      </c>
      <c r="E1067" s="20" t="str">
        <f>IF(D1067="?OLD","!!!","")</f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74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87</v>
      </c>
      <c r="B1068" s="26" t="s">
        <v>73</v>
      </c>
      <c r="C1068" s="26" t="s">
        <v>88</v>
      </c>
      <c r="D1068" s="26" t="s">
        <v>75</v>
      </c>
      <c r="E1068" s="20" t="s">
        <v>715</v>
      </c>
      <c r="F1068" s="21" t="str">
        <f>IF(OR(E1068="",E1068="!!!"),"",IF(NOT(ISNA(VLOOKUP(E1068,E$1:E1067,1,FALSE()))),"OLD",IF(AND(E1068&lt;&gt;"",E1068&lt;&gt;"!!!"),"NEW","")))</f>
        <v>OLD</v>
      </c>
      <c r="G1068" s="22" t="str">
        <f ca="1"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?IN_FOCUS</v>
      </c>
      <c r="H1068" s="23" t="str">
        <f t="shared" ca="1" si="74"/>
        <v/>
      </c>
      <c r="I1068" s="24" t="str">
        <f>IF(OR(E1068="",E1068="!!!",F1068="NEW"),"",INDEX(B$2:B1067,-1+SUMPRODUCT(MAX(ROW(E$2:E1067)*(E1068=E$2:E1067)))))</f>
        <v>SBJ_2</v>
      </c>
      <c r="J1068" s="24">
        <f ca="1">IF(OR(E1068="",E1068="!!!",F1068="NEW"),"",COUNTBLANK(OFFSET(A$1,,,SUMPRODUCT(MAX(ROW(E$2:E1068)*(E1068=E$2:E1068)))))-COUNTBLANK(OFFSET(A$1,,,SUMPRODUCT(MAX(ROW(E$1:E1067)*(E2=E$1:E1067))))))</f>
        <v>0</v>
      </c>
      <c r="K1068" s="24">
        <f ca="1">IF(OR(E1068="",E1068="!!!",F1068="NEW"),"",INDEX(J$1:J1067,SUMPRODUCT(MAX(ROW(E$1:E1067)*(E1068=E$1:E1067)))))</f>
        <v>0</v>
      </c>
      <c r="L1068" s="25"/>
    </row>
    <row r="1069" spans="1:12" x14ac:dyDescent="0.3">
      <c r="A1069" t="s">
        <v>204</v>
      </c>
      <c r="E1069" s="20" t="str">
        <f>IF(D1069="?OLD","!!!","")</f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74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101</v>
      </c>
      <c r="E1070" s="20" t="str">
        <f>IF(D1070="?OLD","!!!","")</f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74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102</v>
      </c>
      <c r="E1071" s="20" t="str">
        <f>IF(D1071="?OLD","!!!","")</f>
        <v/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74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2" spans="1:12" x14ac:dyDescent="0.3">
      <c r="A1072" t="s">
        <v>359</v>
      </c>
      <c r="B1072" s="26" t="s">
        <v>96</v>
      </c>
      <c r="C1072" s="26" t="s">
        <v>280</v>
      </c>
      <c r="D1072" s="26" t="s">
        <v>75</v>
      </c>
      <c r="E1072" s="20" t="s">
        <v>360</v>
      </c>
      <c r="F1072" s="21" t="str">
        <f>IF(OR(E1072="",E1072="!!!"),"",IF(NOT(ISNA(VLOOKUP(E1072,E$1:E1071,1,FALSE()))),"OLD",IF(AND(E1072&lt;&gt;"",E1072&lt;&gt;"!!!"),"NEW","")))</f>
        <v>OLD</v>
      </c>
      <c r="G1072" s="22" t="str">
        <f ca="1"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?IN_FOCUS</v>
      </c>
      <c r="H1072" s="23" t="str">
        <f t="shared" ca="1" si="74"/>
        <v/>
      </c>
      <c r="I1072" s="24" t="str">
        <f>IF(OR(E1072="",E1072="!!!",F1072="NEW"),"",INDEX(B$2:B1071,-1+SUMPRODUCT(MAX(ROW(E$2:E1071)*(E1072=E$2:E1071)))))</f>
        <v>SBJ</v>
      </c>
      <c r="J1072" s="24">
        <f ca="1">IF(OR(E1072="",E1072="!!!",F1072="NEW"),"",COUNTBLANK(OFFSET(A$1,,,SUMPRODUCT(MAX(ROW(E$2:E1072)*(E1072=E$2:E1072)))))-COUNTBLANK(OFFSET(A$1,,,SUMPRODUCT(MAX(ROW(E$1:E1071)*(E2=E$1:E1071))))))</f>
        <v>0</v>
      </c>
      <c r="K1072" s="24">
        <f ca="1">IF(OR(E1072="",E1072="!!!",F1072="NEW"),"",INDEX(J$1:J1071,SUMPRODUCT(MAX(ROW(E$1:E1071)*(E1072=E$1:E1071)))))</f>
        <v>0</v>
      </c>
      <c r="L1072" s="25"/>
    </row>
    <row r="1073" spans="1:12" x14ac:dyDescent="0.3">
      <c r="A1073" t="s">
        <v>160</v>
      </c>
      <c r="E1073" s="20" t="str">
        <f>IF(D1073="?OLD","!!!","")</f>
        <v/>
      </c>
      <c r="F1073" s="21" t="str">
        <f>IF(OR(E1073="",E1073="!!!"),"",IF(NOT(ISNA(VLOOKUP(E1073,E$1:E1072,1,FALSE()))),"OLD",IF(AND(E1073&lt;&gt;"",E1073&lt;&gt;"!!!"),"NEW","")))</f>
        <v/>
      </c>
      <c r="G1073" s="22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3" t="str">
        <f t="shared" ca="1" si="74"/>
        <v/>
      </c>
      <c r="I1073" s="24" t="str">
        <f>IF(OR(E1073="",E1073="!!!",F1073="NEW"),"",INDEX(B$2:B1072,-1+SUMPRODUCT(MAX(ROW(E$2:E1072)*(E1073=E$2:E1072)))))</f>
        <v/>
      </c>
      <c r="J1073" s="24" t="str">
        <f ca="1">IF(OR(E1073="",E1073="!!!",F1073="NEW"),"",COUNTBLANK(OFFSET(A$1,,,SUMPRODUCT(MAX(ROW(E$2:E1073)*(E1073=E$2:E1073)))))-COUNTBLANK(OFFSET(A$1,,,SUMPRODUCT(MAX(ROW(E$1:E1072)*(E2=E$1:E1072))))))</f>
        <v/>
      </c>
      <c r="K1073" s="24" t="str">
        <f>IF(OR(E1073="",E1073="!!!",F1073="NEW"),"",INDEX(J$1:J1072,SUMPRODUCT(MAX(ROW(E$1:E1072)*(E1073=E$1:E1072)))))</f>
        <v/>
      </c>
      <c r="L1073" s="25"/>
    </row>
    <row r="1074" spans="1:12" x14ac:dyDescent="0.3">
      <c r="A1074" t="s">
        <v>730</v>
      </c>
      <c r="B1074" s="26" t="s">
        <v>154</v>
      </c>
      <c r="C1074" s="26" t="s">
        <v>74</v>
      </c>
      <c r="D1074" s="26" t="s">
        <v>75</v>
      </c>
      <c r="E1074" s="20" t="s">
        <v>731</v>
      </c>
      <c r="F1074" s="21" t="str">
        <f>IF(OR(E1074="",E1074="!!!"),"",IF(NOT(ISNA(VLOOKUP(E1074,E$1:E1073,1,FALSE()))),"OLD",IF(AND(E1074&lt;&gt;"",E1074&lt;&gt;"!!!"),"NEW","")))</f>
        <v>NEW</v>
      </c>
      <c r="G1074" s="22" t="str">
        <f ca="1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?REFERENTIAL</v>
      </c>
      <c r="H1074" s="23" t="str">
        <f t="shared" ca="1" si="74"/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180</v>
      </c>
      <c r="E1075" s="20" t="str">
        <f t="shared" ref="E1075:E1084" si="75">IF(D1075="?OLD","!!!","")</f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74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101</v>
      </c>
      <c r="E1076" s="20" t="str">
        <f t="shared" si="75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74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419</v>
      </c>
      <c r="B1077" s="26" t="s">
        <v>110</v>
      </c>
      <c r="C1077" s="26" t="s">
        <v>105</v>
      </c>
      <c r="E1077" s="20" t="str">
        <f t="shared" si="75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74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142</v>
      </c>
      <c r="E1078" s="20" t="str">
        <f t="shared" si="75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74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702</v>
      </c>
      <c r="B1079" s="26" t="s">
        <v>115</v>
      </c>
      <c r="C1079" s="26" t="s">
        <v>105</v>
      </c>
      <c r="E1079" s="20" t="str">
        <f t="shared" si="75"/>
        <v/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74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155</v>
      </c>
      <c r="E1080" s="20" t="str">
        <f t="shared" si="75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74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732</v>
      </c>
      <c r="E1081" s="20" t="str">
        <f t="shared" si="75"/>
        <v/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74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86</v>
      </c>
      <c r="E1082" s="20" t="str">
        <f t="shared" si="75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74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733</v>
      </c>
      <c r="E1083" s="20" t="str">
        <f t="shared" si="75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74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458</v>
      </c>
      <c r="E1084" s="20" t="str">
        <f t="shared" si="75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74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5" spans="1:12" x14ac:dyDescent="0.3">
      <c r="A1085" t="s">
        <v>253</v>
      </c>
      <c r="B1085" s="26" t="s">
        <v>96</v>
      </c>
      <c r="C1085" s="26" t="s">
        <v>208</v>
      </c>
      <c r="D1085" s="26" t="s">
        <v>75</v>
      </c>
      <c r="E1085" s="20" t="s">
        <v>715</v>
      </c>
      <c r="F1085" s="21" t="str">
        <f>IF(OR(E1085="",E1085="!!!"),"",IF(NOT(ISNA(VLOOKUP(E1085,E$1:E1084,1,FALSE()))),"OLD",IF(AND(E1085&lt;&gt;"",E1085&lt;&gt;"!!!"),"NEW","")))</f>
        <v>OLD</v>
      </c>
      <c r="G1085" s="22" t="str">
        <f ca="1"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?IN_FOCUS</v>
      </c>
      <c r="H1085" s="23" t="str">
        <f t="shared" ca="1" si="74"/>
        <v/>
      </c>
      <c r="I1085" s="24" t="str">
        <f>IF(OR(E1085="",E1085="!!!",F1085="NEW"),"",INDEX(B$2:B1084,-1+SUMPRODUCT(MAX(ROW(E$2:E1084)*(E1085=E$2:E1084)))))</f>
        <v>SBJ</v>
      </c>
      <c r="J1085" s="24">
        <f ca="1">IF(OR(E1085="",E1085="!!!",F1085="NEW"),"",COUNTBLANK(OFFSET(A$1,,,SUMPRODUCT(MAX(ROW(E$2:E1085)*(E1085=E$2:E1085)))))-COUNTBLANK(OFFSET(A$1,,,SUMPRODUCT(MAX(ROW(E$1:E1084)*(E2=E$1:E1084))))))</f>
        <v>0</v>
      </c>
      <c r="K1085" s="24">
        <f ca="1">IF(OR(E1085="",E1085="!!!",F1085="NEW"),"",INDEX(J$1:J1084,SUMPRODUCT(MAX(ROW(E$1:E1084)*(E1085=E$1:E1084)))))</f>
        <v>0</v>
      </c>
      <c r="L1085" s="25"/>
    </row>
    <row r="1086" spans="1:12" x14ac:dyDescent="0.3">
      <c r="A1086" t="s">
        <v>123</v>
      </c>
      <c r="B1086" s="26" t="s">
        <v>96</v>
      </c>
      <c r="C1086" s="26" t="s">
        <v>88</v>
      </c>
      <c r="D1086" s="26" t="s">
        <v>75</v>
      </c>
      <c r="E1086" s="20"/>
      <c r="F1086" s="21" t="s">
        <v>124</v>
      </c>
      <c r="G1086" s="22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3" t="str">
        <f t="shared" ca="1" si="74"/>
        <v/>
      </c>
      <c r="I1086" s="24" t="str">
        <f>IF(OR(E1086="",E1086="!!!",F1086="NEW"),"",INDEX(B$2:B1085,-1+SUMPRODUCT(MAX(ROW(E$2:E1085)*(E1086=E$2:E1085)))))</f>
        <v/>
      </c>
      <c r="J1086" s="24" t="str">
        <f ca="1">IF(OR(E1086="",E1086="!!!",F1086="NEW"),"",COUNTBLANK(OFFSET(A$1,,,SUMPRODUCT(MAX(ROW(E$2:E1086)*(E1086=E$2:E1086)))))-COUNTBLANK(OFFSET(A$1,,,SUMPRODUCT(MAX(ROW(E$1:E1085)*(E2=E$1:E1085))))))</f>
        <v/>
      </c>
      <c r="K1086" s="24" t="str">
        <f>IF(OR(E1086="",E1086="!!!",F1086="NEW"),"",INDEX(J$1:J1085,SUMPRODUCT(MAX(ROW(E$1:E1085)*(E1086=E$1:E1085)))))</f>
        <v/>
      </c>
      <c r="L1086" s="27" t="s">
        <v>734</v>
      </c>
    </row>
    <row r="1087" spans="1:12" x14ac:dyDescent="0.3">
      <c r="A1087" t="s">
        <v>199</v>
      </c>
      <c r="E1087" s="20" t="str">
        <f>IF(D1087="?OLD","!!!","")</f>
        <v/>
      </c>
      <c r="F1087" s="21" t="str">
        <f>IF(OR(E1087="",E1087="!!!"),"",IF(NOT(ISNA(VLOOKUP(E1087,E$1:E1086,1,FALSE()))),"OLD",IF(AND(E1087&lt;&gt;"",E1087&lt;&gt;"!!!"),"NEW","")))</f>
        <v/>
      </c>
      <c r="G1087" s="22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3" t="str">
        <f t="shared" ca="1" si="74"/>
        <v/>
      </c>
      <c r="I1087" s="24" t="str">
        <f>IF(OR(E1087="",E1087="!!!",F1087="NEW"),"",INDEX(B$2:B1086,-1+SUMPRODUCT(MAX(ROW(E$2:E1086)*(E1087=E$2:E1086)))))</f>
        <v/>
      </c>
      <c r="J1087" s="24" t="str">
        <f ca="1">IF(OR(E1087="",E1087="!!!",F1087="NEW"),"",COUNTBLANK(OFFSET(A$1,,,SUMPRODUCT(MAX(ROW(E$2:E1087)*(E1087=E$2:E1087)))))-COUNTBLANK(OFFSET(A$1,,,SUMPRODUCT(MAX(ROW(E$1:E1086)*(E2=E$1:E1086))))))</f>
        <v/>
      </c>
      <c r="K1087" s="24" t="str">
        <f>IF(OR(E1087="",E1087="!!!",F1087="NEW"),"",INDEX(J$1:J1086,SUMPRODUCT(MAX(ROW(E$1:E1086)*(E1087=E$1:E1086)))))</f>
        <v/>
      </c>
      <c r="L1087" s="25"/>
    </row>
    <row r="1088" spans="1:12" x14ac:dyDescent="0.3">
      <c r="A1088" t="s">
        <v>735</v>
      </c>
      <c r="E1088" s="20" t="s">
        <v>715</v>
      </c>
      <c r="F1088" s="21" t="str">
        <f>IF(OR(E1088="",E1088="!!!"),"",IF(NOT(ISNA(VLOOKUP(E1088,E$1:E1087,1,FALSE()))),"OLD",IF(AND(E1088&lt;&gt;"",E1088&lt;&gt;"!!!"),"NEW","")))</f>
        <v>OLD</v>
      </c>
      <c r="G1088" s="22" t="str">
        <f ca="1"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?IN_FOCUS</v>
      </c>
      <c r="H1088" s="23" t="str">
        <f t="shared" ca="1" si="74"/>
        <v/>
      </c>
      <c r="I1088" s="24" t="str">
        <f>IF(OR(E1088="",E1088="!!!",F1088="NEW"),"",INDEX(B$2:B1087,-1+SUMPRODUCT(MAX(ROW(E$2:E1087)*(E1088=E$2:E1087)))))</f>
        <v>SBJ_2</v>
      </c>
      <c r="J1088" s="24">
        <f ca="1">IF(OR(E1088="",E1088="!!!",F1088="NEW"),"",COUNTBLANK(OFFSET(A$1,,,SUMPRODUCT(MAX(ROW(E$2:E1088)*(E1088=E$2:E1088)))))-COUNTBLANK(OFFSET(A$1,,,SUMPRODUCT(MAX(ROW(E$1:E1087)*(E2=E$1:E1087))))))</f>
        <v>0</v>
      </c>
      <c r="K1088" s="24">
        <f ca="1">IF(OR(E1088="",E1088="!!!",F1088="NEW"),"",INDEX(J$1:J1087,SUMPRODUCT(MAX(ROW(E$1:E1087)*(E1088=E$1:E1087)))))</f>
        <v>0</v>
      </c>
      <c r="L1088" s="25"/>
    </row>
    <row r="1089" spans="1:12" x14ac:dyDescent="0.3">
      <c r="A1089" t="s">
        <v>736</v>
      </c>
      <c r="B1089" s="26" t="s">
        <v>82</v>
      </c>
      <c r="C1089" s="26" t="s">
        <v>474</v>
      </c>
      <c r="E1089" s="20" t="s">
        <v>737</v>
      </c>
      <c r="F1089" s="21" t="str">
        <f>IF(OR(E1089="",E1089="!!!"),"",IF(NOT(ISNA(VLOOKUP(E1089,E$1:E1088,1,FALSE()))),"OLD",IF(AND(E1089&lt;&gt;"",E1089&lt;&gt;"!!!"),"NEW","")))</f>
        <v>NEW</v>
      </c>
      <c r="G1089" s="22" t="str">
        <f ca="1"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?REFERENTIAL</v>
      </c>
      <c r="H1089" s="23" t="str">
        <f t="shared" ca="1" si="74"/>
        <v/>
      </c>
      <c r="I1089" s="24" t="str">
        <f>IF(OR(E1089="",E1089="!!!",F1089="NEW"),"",INDEX(B$2:B1088,-1+SUMPRODUCT(MAX(ROW(E$2:E1088)*(E1089=E$2:E1088)))))</f>
        <v/>
      </c>
      <c r="J1089" s="24" t="str">
        <f ca="1">IF(OR(E1089="",E1089="!!!",F1089="NEW"),"",COUNTBLANK(OFFSET(A$1,,,SUMPRODUCT(MAX(ROW(E$2:E1089)*(E1089=E$2:E1089)))))-COUNTBLANK(OFFSET(A$1,,,SUMPRODUCT(MAX(ROW(E$1:E1088)*(E2=E$1:E1088))))))</f>
        <v/>
      </c>
      <c r="K1089" s="24" t="str">
        <f>IF(OR(E1089="",E1089="!!!",F1089="NEW"),"",INDEX(J$1:J1088,SUMPRODUCT(MAX(ROW(E$1:E1088)*(E1089=E$1:E1088)))))</f>
        <v/>
      </c>
      <c r="L1089" s="25"/>
    </row>
    <row r="1090" spans="1:12" x14ac:dyDescent="0.3">
      <c r="A1090" t="s">
        <v>236</v>
      </c>
      <c r="E1090" s="20" t="str">
        <f>IF(D1090="?OLD","!!!","")</f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74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101</v>
      </c>
      <c r="E1091" s="20" t="str">
        <f>IF(D1091="?OLD","!!!","")</f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74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160</v>
      </c>
      <c r="B1092" s="26" t="s">
        <v>104</v>
      </c>
      <c r="E1092" s="20" t="s">
        <v>360</v>
      </c>
      <c r="F1092" s="21" t="str">
        <f>IF(OR(E1092="",E1092="!!!"),"",IF(NOT(ISNA(VLOOKUP(E1092,E$1:E1091,1,FALSE()))),"OLD",IF(AND(E1092&lt;&gt;"",E1092&lt;&gt;"!!!"),"NEW","")))</f>
        <v>OLD</v>
      </c>
      <c r="G1092" s="22" t="str">
        <f ca="1"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?IN_FOCUS</v>
      </c>
      <c r="H1092" s="23" t="str">
        <f t="shared" ca="1" si="74"/>
        <v/>
      </c>
      <c r="I1092" s="24" t="str">
        <f>IF(OR(E1092="",E1092="!!!",F1092="NEW"),"",INDEX(B$2:B1091,-1+SUMPRODUCT(MAX(ROW(E$2:E1091)*(E1092=E$2:E1091)))))</f>
        <v>SBJ_2</v>
      </c>
      <c r="J1092" s="24">
        <f ca="1">IF(OR(E1092="",E1092="!!!",F1092="NEW"),"",COUNTBLANK(OFFSET(A$1,,,SUMPRODUCT(MAX(ROW(E$2:E1092)*(E1092=E$2:E1092)))))-COUNTBLANK(OFFSET(A$1,,,SUMPRODUCT(MAX(ROW(E$1:E1091)*(E2=E$1:E1091))))))</f>
        <v>0</v>
      </c>
      <c r="K1092" s="24">
        <f ca="1">IF(OR(E1092="",E1092="!!!",F1092="NEW"),"",INDEX(J$1:J1091,SUMPRODUCT(MAX(ROW(E$1:E1091)*(E1092=E$1:E1091)))))</f>
        <v>0</v>
      </c>
      <c r="L1092" s="25"/>
    </row>
    <row r="1093" spans="1:12" x14ac:dyDescent="0.3">
      <c r="A1093" t="s">
        <v>182</v>
      </c>
      <c r="E1093" s="20" t="str">
        <f>IF(D1093="?OLD","!!!","")</f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74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80</v>
      </c>
      <c r="E1094" s="20" t="str">
        <f>IF(D1094="?OLD","!!!","")</f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74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5" spans="1:12" x14ac:dyDescent="0.3">
      <c r="A1095" t="s">
        <v>738</v>
      </c>
      <c r="B1095" s="26" t="s">
        <v>147</v>
      </c>
      <c r="C1095" s="26" t="s">
        <v>74</v>
      </c>
      <c r="D1095" s="26" t="s">
        <v>75</v>
      </c>
      <c r="E1095" s="20" t="s">
        <v>739</v>
      </c>
      <c r="F1095" s="21" t="str">
        <f>IF(OR(E1095="",E1095="!!!"),"",IF(NOT(ISNA(VLOOKUP(E1095,E$1:E1094,1,FALSE()))),"OLD",IF(AND(E1095&lt;&gt;"",E1095&lt;&gt;"!!!"),"NEW","")))</f>
        <v>NEW</v>
      </c>
      <c r="G1095" s="22" t="str">
        <f ca="1"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?REFERENTIAL</v>
      </c>
      <c r="H1095" s="23" t="str">
        <f t="shared" ca="1" si="74"/>
        <v/>
      </c>
      <c r="I1095" s="24" t="str">
        <f>IF(OR(E1095="",E1095="!!!",F1095="NEW"),"",INDEX(B$2:B1094,-1+SUMPRODUCT(MAX(ROW(E$2:E1094)*(E1095=E$2:E1094)))))</f>
        <v/>
      </c>
      <c r="J1095" s="24" t="str">
        <f ca="1">IF(OR(E1095="",E1095="!!!",F1095="NEW"),"",COUNTBLANK(OFFSET(A$1,,,SUMPRODUCT(MAX(ROW(E$2:E1095)*(E1095=E$2:E1095)))))-COUNTBLANK(OFFSET(A$1,,,SUMPRODUCT(MAX(ROW(E$1:E1094)*(E2=E$1:E1094))))))</f>
        <v/>
      </c>
      <c r="K1095" s="24" t="str">
        <f>IF(OR(E1095="",E1095="!!!",F1095="NEW"),"",INDEX(J$1:J1094,SUMPRODUCT(MAX(ROW(E$1:E1094)*(E1095=E$1:E1094)))))</f>
        <v/>
      </c>
      <c r="L1095" s="25"/>
    </row>
    <row r="1096" spans="1:12" x14ac:dyDescent="0.3">
      <c r="A1096" t="s">
        <v>636</v>
      </c>
      <c r="E1096" s="20" t="str">
        <f t="shared" ref="E1096:E1101" si="76">IF(D1096="?OLD","!!!","")</f>
        <v/>
      </c>
      <c r="F1096" s="21" t="str">
        <f>IF(OR(E1096="",E1096="!!!"),"",IF(NOT(ISNA(VLOOKUP(E1096,E$1:E1095,1,FALSE()))),"OLD",IF(AND(E1096&lt;&gt;"",E1096&lt;&gt;"!!!"),"NEW","")))</f>
        <v/>
      </c>
      <c r="G1096" s="22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3" t="str">
        <f t="shared" ref="H1096:H1127" ca="1" si="77">IF(J1096&lt;&gt;1,"",IF(I1096="SBJ","CB","?"))</f>
        <v/>
      </c>
      <c r="I1096" s="24" t="str">
        <f>IF(OR(E1096="",E1096="!!!",F1096="NEW"),"",INDEX(B$2:B1095,-1+SUMPRODUCT(MAX(ROW(E$2:E1095)*(E1096=E$2:E1095)))))</f>
        <v/>
      </c>
      <c r="J1096" s="24" t="str">
        <f ca="1">IF(OR(E1096="",E1096="!!!",F1096="NEW"),"",COUNTBLANK(OFFSET(A$1,,,SUMPRODUCT(MAX(ROW(E$2:E1096)*(E1096=E$2:E1096)))))-COUNTBLANK(OFFSET(A$1,,,SUMPRODUCT(MAX(ROW(E$1:E1095)*(E2=E$1:E1095))))))</f>
        <v/>
      </c>
      <c r="K1096" s="24" t="str">
        <f>IF(OR(E1096="",E1096="!!!",F1096="NEW"),"",INDEX(J$1:J1095,SUMPRODUCT(MAX(ROW(E$1:E1095)*(E1096=E$1:E1095)))))</f>
        <v/>
      </c>
      <c r="L1096" s="25"/>
    </row>
    <row r="1097" spans="1:12" x14ac:dyDescent="0.3">
      <c r="A1097" t="s">
        <v>740</v>
      </c>
      <c r="E1097" s="20" t="str">
        <f t="shared" si="76"/>
        <v/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ca="1" si="77"/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86</v>
      </c>
      <c r="E1098" s="20" t="str">
        <f t="shared" si="76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77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099" spans="1:12" x14ac:dyDescent="0.3">
      <c r="A1099" t="s">
        <v>501</v>
      </c>
      <c r="E1099" s="20" t="str">
        <f t="shared" si="76"/>
        <v/>
      </c>
      <c r="F1099" s="21" t="str">
        <f>IF(OR(E1099="",E1099="!!!"),"",IF(NOT(ISNA(VLOOKUP(E1099,E$1:E1098,1,FALSE()))),"OLD",IF(AND(E1099&lt;&gt;"",E1099&lt;&gt;"!!!"),"NEW","")))</f>
        <v/>
      </c>
      <c r="G1099" s="22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3" t="str">
        <f t="shared" ca="1" si="77"/>
        <v/>
      </c>
      <c r="I1099" s="24" t="str">
        <f>IF(OR(E1099="",E1099="!!!",F1099="NEW"),"",INDEX(B$2:B1098,-1+SUMPRODUCT(MAX(ROW(E$2:E1098)*(E1099=E$2:E1098)))))</f>
        <v/>
      </c>
      <c r="J1099" s="24" t="str">
        <f ca="1">IF(OR(E1099="",E1099="!!!",F1099="NEW"),"",COUNTBLANK(OFFSET(A$1,,,SUMPRODUCT(MAX(ROW(E$2:E1099)*(E1099=E$2:E1099)))))-COUNTBLANK(OFFSET(A$1,,,SUMPRODUCT(MAX(ROW(E$1:E1098)*(E2=E$1:E1098))))))</f>
        <v/>
      </c>
      <c r="K1099" s="24" t="str">
        <f>IF(OR(E1099="",E1099="!!!",F1099="NEW"),"",INDEX(J$1:J1098,SUMPRODUCT(MAX(ROW(E$1:E1098)*(E1099=E$1:E1098)))))</f>
        <v/>
      </c>
      <c r="L1099" s="25"/>
    </row>
    <row r="1100" spans="1:12" x14ac:dyDescent="0.3">
      <c r="A1100" t="s">
        <v>80</v>
      </c>
      <c r="E1100" s="20" t="str">
        <f t="shared" si="76"/>
        <v/>
      </c>
      <c r="F1100" s="21" t="str">
        <f>IF(OR(E1100="",E1100="!!!"),"",IF(NOT(ISNA(VLOOKUP(E1100,E$1:E1099,1,FALSE()))),"OLD",IF(AND(E1100&lt;&gt;"",E1100&lt;&gt;"!!!"),"NEW","")))</f>
        <v/>
      </c>
      <c r="G1100" s="22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3" t="str">
        <f t="shared" ca="1" si="77"/>
        <v/>
      </c>
      <c r="I1100" s="24" t="str">
        <f>IF(OR(E1100="",E1100="!!!",F1100="NEW"),"",INDEX(B$2:B1099,-1+SUMPRODUCT(MAX(ROW(E$2:E1099)*(E1100=E$2:E1099)))))</f>
        <v/>
      </c>
      <c r="J1100" s="24" t="str">
        <f ca="1">IF(OR(E1100="",E1100="!!!",F1100="NEW"),"",COUNTBLANK(OFFSET(A$1,,,SUMPRODUCT(MAX(ROW(E$2:E1100)*(E1100=E$2:E1100)))))-COUNTBLANK(OFFSET(A$1,,,SUMPRODUCT(MAX(ROW(E$1:E1099)*(E2=E$1:E1099))))))</f>
        <v/>
      </c>
      <c r="K1100" s="24" t="str">
        <f>IF(OR(E1100="",E1100="!!!",F1100="NEW"),"",INDEX(J$1:J1099,SUMPRODUCT(MAX(ROW(E$1:E1099)*(E1100=E$1:E1099)))))</f>
        <v/>
      </c>
      <c r="L1100" s="25"/>
    </row>
    <row r="1101" spans="1:12" x14ac:dyDescent="0.3">
      <c r="A1101" t="s">
        <v>657</v>
      </c>
      <c r="E1101" s="20" t="str">
        <f t="shared" si="76"/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ca="1" si="77"/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741</v>
      </c>
      <c r="B1102" s="26" t="s">
        <v>82</v>
      </c>
      <c r="C1102" s="26" t="s">
        <v>74</v>
      </c>
      <c r="D1102" s="26" t="s">
        <v>75</v>
      </c>
      <c r="E1102" s="20" t="s">
        <v>742</v>
      </c>
      <c r="F1102" s="21" t="str">
        <f>IF(OR(E1102="",E1102="!!!"),"",IF(NOT(ISNA(VLOOKUP(E1102,E$1:E1101,1,FALSE()))),"OLD",IF(AND(E1102&lt;&gt;"",E1102&lt;&gt;"!!!"),"NEW","")))</f>
        <v>NEW</v>
      </c>
      <c r="G1102" s="22" t="str">
        <f ca="1"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?REFERENTIAL</v>
      </c>
      <c r="H1102" s="23" t="str">
        <f t="shared" ca="1" si="77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112</v>
      </c>
      <c r="E1103" s="20" t="str">
        <f>IF(D1103="?OLD","!!!","")</f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77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4" spans="1:12" x14ac:dyDescent="0.3">
      <c r="A1104" t="s">
        <v>743</v>
      </c>
      <c r="B1104" s="26" t="s">
        <v>147</v>
      </c>
      <c r="C1104" s="26" t="s">
        <v>74</v>
      </c>
      <c r="D1104" s="26" t="s">
        <v>75</v>
      </c>
      <c r="E1104" s="20" t="s">
        <v>744</v>
      </c>
      <c r="F1104" s="21" t="str">
        <f>IF(OR(E1104="",E1104="!!!"),"",IF(NOT(ISNA(VLOOKUP(E1104,E$1:E1103,1,FALSE()))),"OLD",IF(AND(E1104&lt;&gt;"",E1104&lt;&gt;"!!!"),"NEW","")))</f>
        <v>NEW</v>
      </c>
      <c r="G1104" s="22" t="str">
        <f ca="1"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?REFERENTIAL</v>
      </c>
      <c r="H1104" s="23" t="str">
        <f t="shared" ca="1" si="77"/>
        <v/>
      </c>
      <c r="I1104" s="24" t="str">
        <f>IF(OR(E1104="",E1104="!!!",F1104="NEW"),"",INDEX(B$2:B1103,-1+SUMPRODUCT(MAX(ROW(E$2:E1103)*(E1104=E$2:E1103)))))</f>
        <v/>
      </c>
      <c r="J1104" s="24" t="str">
        <f ca="1">IF(OR(E1104="",E1104="!!!",F1104="NEW"),"",COUNTBLANK(OFFSET(A$1,,,SUMPRODUCT(MAX(ROW(E$2:E1104)*(E1104=E$2:E1104)))))-COUNTBLANK(OFFSET(A$1,,,SUMPRODUCT(MAX(ROW(E$1:E1103)*(E2=E$1:E1103))))))</f>
        <v/>
      </c>
      <c r="K1104" s="24" t="str">
        <f>IF(OR(E1104="",E1104="!!!",F1104="NEW"),"",INDEX(J$1:J1103,SUMPRODUCT(MAX(ROW(E$1:E1103)*(E1104=E$1:E1103)))))</f>
        <v/>
      </c>
      <c r="L1104" s="27" t="s">
        <v>527</v>
      </c>
    </row>
    <row r="1105" spans="1:12" x14ac:dyDescent="0.3">
      <c r="A1105" t="s">
        <v>745</v>
      </c>
      <c r="E1105" s="20" t="s">
        <v>746</v>
      </c>
      <c r="F1105" s="21" t="str">
        <f>IF(OR(E1105="",E1105="!!!"),"",IF(NOT(ISNA(VLOOKUP(E1105,E$1:E1104,1,FALSE()))),"OLD",IF(AND(E1105&lt;&gt;"",E1105&lt;&gt;"!!!"),"NEW","")))</f>
        <v>NEW</v>
      </c>
      <c r="G1105" s="22" t="str">
        <f ca="1"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?REFERENTIAL</v>
      </c>
      <c r="H1105" s="23" t="str">
        <f t="shared" ca="1" si="77"/>
        <v/>
      </c>
      <c r="I1105" s="24" t="str">
        <f>IF(OR(E1105="",E1105="!!!",F1105="NEW"),"",INDEX(B$2:B1104,-1+SUMPRODUCT(MAX(ROW(E$2:E1104)*(E1105=E$2:E1104)))))</f>
        <v/>
      </c>
      <c r="J1105" s="24" t="str">
        <f ca="1">IF(OR(E1105="",E1105="!!!",F1105="NEW"),"",COUNTBLANK(OFFSET(A$1,,,SUMPRODUCT(MAX(ROW(E$2:E1105)*(E1105=E$2:E1105)))))-COUNTBLANK(OFFSET(A$1,,,SUMPRODUCT(MAX(ROW(E$1:E1104)*(E2=E$1:E1104))))))</f>
        <v/>
      </c>
      <c r="K1105" s="24" t="str">
        <f>IF(OR(E1105="",E1105="!!!",F1105="NEW"),"",INDEX(J$1:J1104,SUMPRODUCT(MAX(ROW(E$1:E1104)*(E1105=E$1:E1104)))))</f>
        <v/>
      </c>
      <c r="L1105" s="27" t="s">
        <v>158</v>
      </c>
    </row>
    <row r="1106" spans="1:12" x14ac:dyDescent="0.3">
      <c r="A1106" t="s">
        <v>101</v>
      </c>
      <c r="E1106" s="20" t="str">
        <f>IF(D1106="?OLD","!!!","")</f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ca="1" si="77"/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160</v>
      </c>
      <c r="B1107" s="26" t="s">
        <v>96</v>
      </c>
      <c r="C1107" s="26" t="s">
        <v>151</v>
      </c>
      <c r="D1107" s="26" t="s">
        <v>75</v>
      </c>
      <c r="E1107" s="20" t="s">
        <v>746</v>
      </c>
      <c r="F1107" s="21" t="str">
        <f>IF(OR(E1107="",E1107="!!!"),"",IF(NOT(ISNA(VLOOKUP(E1107,E$1:E1106,1,FALSE()))),"OLD",IF(AND(E1107&lt;&gt;"",E1107&lt;&gt;"!!!"),"NEW","")))</f>
        <v>OLD</v>
      </c>
      <c r="G1107" s="22" t="str">
        <f ca="1"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?IN_FOCUS</v>
      </c>
      <c r="H1107" s="23" t="str">
        <f t="shared" ca="1" si="77"/>
        <v/>
      </c>
      <c r="I1107" s="24">
        <f>IF(OR(E1107="",E1107="!!!",F1107="NEW"),"",INDEX(B$2:B1106,-1+SUMPRODUCT(MAX(ROW(E$2:E1106)*(E1107=E$2:E1106)))))</f>
        <v>0</v>
      </c>
      <c r="J1107" s="24">
        <f ca="1">IF(OR(E1107="",E1107="!!!",F1107="NEW"),"",COUNTBLANK(OFFSET(A$1,,,SUMPRODUCT(MAX(ROW(E$2:E1107)*(E1107=E$2:E1107)))))-COUNTBLANK(OFFSET(A$1,,,SUMPRODUCT(MAX(ROW(E$1:E1106)*(E2=E$1:E1106))))))</f>
        <v>0</v>
      </c>
      <c r="K1107" s="24" t="str">
        <f ca="1">IF(OR(E1107="",E1107="!!!",F1107="NEW"),"",INDEX(J$1:J1106,SUMPRODUCT(MAX(ROW(E$1:E1106)*(E1107=E$1:E1106)))))</f>
        <v/>
      </c>
      <c r="L1107" s="25"/>
    </row>
    <row r="1108" spans="1:12" x14ac:dyDescent="0.3">
      <c r="A1108" t="s">
        <v>78</v>
      </c>
      <c r="E1108" s="20" t="str">
        <f>IF(D1108="?OLD","!!!","")</f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77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735</v>
      </c>
      <c r="E1109" s="20" t="s">
        <v>715</v>
      </c>
      <c r="F1109" s="21" t="str">
        <f>IF(OR(E1109="",E1109="!!!"),"",IF(NOT(ISNA(VLOOKUP(E1109,E$1:E1108,1,FALSE()))),"OLD",IF(AND(E1109&lt;&gt;"",E1109&lt;&gt;"!!!"),"NEW","")))</f>
        <v>OLD</v>
      </c>
      <c r="G1109" s="22" t="str">
        <f ca="1"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?IN_FOCUS</v>
      </c>
      <c r="H1109" s="23" t="str">
        <f t="shared" ca="1" si="77"/>
        <v/>
      </c>
      <c r="I1109" s="24">
        <f>IF(OR(E1109="",E1109="!!!",F1109="NEW"),"",INDEX(B$2:B1108,-1+SUMPRODUCT(MAX(ROW(E$2:E1108)*(E1109=E$2:E1108)))))</f>
        <v>0</v>
      </c>
      <c r="J1109" s="24">
        <f ca="1">IF(OR(E1109="",E1109="!!!",F1109="NEW"),"",COUNTBLANK(OFFSET(A$1,,,SUMPRODUCT(MAX(ROW(E$2:E1109)*(E1109=E$2:E1109)))))-COUNTBLANK(OFFSET(A$1,,,SUMPRODUCT(MAX(ROW(E$1:E1108)*(E2=E$1:E1108))))))</f>
        <v>0</v>
      </c>
      <c r="K1109" s="24">
        <f ca="1">IF(OR(E1109="",E1109="!!!",F1109="NEW"),"",INDEX(J$1:J1108,SUMPRODUCT(MAX(ROW(E$1:E1108)*(E1109=E$1:E1108)))))</f>
        <v>0</v>
      </c>
      <c r="L1109" s="25"/>
    </row>
    <row r="1110" spans="1:12" x14ac:dyDescent="0.3">
      <c r="A1110" t="s">
        <v>747</v>
      </c>
      <c r="B1110" s="26" t="s">
        <v>131</v>
      </c>
      <c r="C1110" s="26" t="s">
        <v>474</v>
      </c>
      <c r="E1110" s="20"/>
      <c r="F1110" s="21" t="s">
        <v>139</v>
      </c>
      <c r="G1110" s="22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t="shared" ca="1" si="77"/>
        <v/>
      </c>
      <c r="I1110" s="24" t="str">
        <f>IF(OR(E1110="",E1110="!!!",F1110="NEW"),"",INDEX(B$2:B1109,-1+SUMPRODUCT(MAX(ROW(E$2:E1109)*(E1110=E$2:E1109)))))</f>
        <v/>
      </c>
      <c r="J1110" s="24" t="str">
        <f ca="1">IF(OR(E1110="",E1110="!!!",F1110="NEW"),"",COUNTBLANK(OFFSET(A$1,,,SUMPRODUCT(MAX(ROW(E$2:E1110)*(E1110=E$2:E1110)))))-COUNTBLANK(OFFSET(A$1,,,SUMPRODUCT(MAX(ROW(E$1:E1109)*(E2=E$1:E1109))))))</f>
        <v/>
      </c>
      <c r="K1110" s="24" t="str">
        <f>IF(OR(E1110="",E1110="!!!",F1110="NEW"),"",INDEX(J$1:J1109,SUMPRODUCT(MAX(ROW(E$1:E1109)*(E1110=E$1:E1109)))))</f>
        <v/>
      </c>
      <c r="L1110" s="25" t="s">
        <v>1060</v>
      </c>
    </row>
    <row r="1111" spans="1:12" x14ac:dyDescent="0.3">
      <c r="A1111" t="s">
        <v>86</v>
      </c>
      <c r="E1111" s="20" t="str">
        <f>IF(D1111="?OLD","!!!","")</f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77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748</v>
      </c>
      <c r="B1112" s="26" t="s">
        <v>104</v>
      </c>
      <c r="C1112" s="26" t="s">
        <v>111</v>
      </c>
      <c r="E1112" s="20"/>
      <c r="F1112" s="21" t="s">
        <v>107</v>
      </c>
      <c r="G1112" s="22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t="shared" ca="1" si="77"/>
        <v/>
      </c>
      <c r="I1112" s="24" t="str">
        <f>IF(OR(E1112="",E1112="!!!",F1112="NEW"),"",INDEX(B$2:B1111,-1+SUMPRODUCT(MAX(ROW(E$2:E1111)*(E1112=E$2:E1111)))))</f>
        <v/>
      </c>
      <c r="J1112" s="24" t="str">
        <f ca="1">IF(OR(E1112="",E1112="!!!",F1112="NEW"),"",COUNTBLANK(OFFSET(A$1,,,SUMPRODUCT(MAX(ROW(E$2:E1112)*(E1112=E$2:E1112)))))-COUNTBLANK(OFFSET(A$1,,,SUMPRODUCT(MAX(ROW(E$1:E1111)*(E2=E$1:E1111))))))</f>
        <v/>
      </c>
      <c r="K1112" s="24" t="str">
        <f>IF(OR(E1112="",E1112="!!!",F1112="NEW"),"",INDEX(J$1:J1111,SUMPRODUCT(MAX(ROW(E$1:E1111)*(E1112=E$1:E1111)))))</f>
        <v/>
      </c>
      <c r="L1112" s="25"/>
    </row>
    <row r="1113" spans="1:12" x14ac:dyDescent="0.3">
      <c r="A1113" t="s">
        <v>749</v>
      </c>
      <c r="E1113" s="20" t="str">
        <f>IF(D1113="?OLD","!!!","")</f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77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4" spans="1:12" x14ac:dyDescent="0.3">
      <c r="A1114" t="s">
        <v>253</v>
      </c>
      <c r="B1114" s="26" t="s">
        <v>104</v>
      </c>
      <c r="C1114" s="26" t="s">
        <v>208</v>
      </c>
      <c r="D1114" s="26" t="s">
        <v>75</v>
      </c>
      <c r="E1114" s="20" t="s">
        <v>750</v>
      </c>
      <c r="F1114" s="21" t="s">
        <v>751</v>
      </c>
      <c r="G1114" s="22" t="e">
        <f ca="1"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#VALUE!</v>
      </c>
      <c r="H1114" s="23" t="str">
        <f t="shared" ca="1" si="77"/>
        <v/>
      </c>
      <c r="I1114" s="24" t="e">
        <f>IF(OR(E1114="",E1114="!!!",F1114="NEW"),"",INDEX(B$2:B1113,-1+SUMPRODUCT(MAX(ROW(E$2:E1113)*(E1114=E$2:E1113)))))</f>
        <v>#VALUE!</v>
      </c>
      <c r="J1114" s="24">
        <f ca="1">IF(OR(E1114="",E1114="!!!",F1114="NEW"),"",COUNTBLANK(OFFSET(A$1,,,SUMPRODUCT(MAX(ROW(E$2:E1114)*(E1114=E$2:E1114)))))-COUNTBLANK(OFFSET(A$1,,,SUMPRODUCT(MAX(ROW(E$1:E1113)*(E2=E$1:E1113))))))</f>
        <v>0</v>
      </c>
      <c r="K1114" s="24" t="e">
        <f>IF(OR(E1114="",E1114="!!!",F1114="NEW"),"",INDEX(J$1:J1113,SUMPRODUCT(MAX(ROW(E$1:E1113)*(E1114=E$1:E1113)))))</f>
        <v>#VALUE!</v>
      </c>
      <c r="L1114" s="25"/>
    </row>
    <row r="1115" spans="1:12" x14ac:dyDescent="0.3">
      <c r="A1115" t="s">
        <v>752</v>
      </c>
      <c r="E1115" s="20" t="str">
        <f>IF(D1115="?OLD","!!!","")</f>
        <v/>
      </c>
      <c r="F1115" s="21" t="str">
        <f>IF(OR(E1115="",E1115="!!!"),"",IF(NOT(ISNA(VLOOKUP(E1115,E$1:E1114,1,FALSE()))),"OLD",IF(AND(E1115&lt;&gt;"",E1115&lt;&gt;"!!!"),"NEW","")))</f>
        <v/>
      </c>
      <c r="G1115" s="22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3" t="str">
        <f t="shared" ca="1" si="77"/>
        <v/>
      </c>
      <c r="I1115" s="24" t="str">
        <f>IF(OR(E1115="",E1115="!!!",F1115="NEW"),"",INDEX(B$2:B1114,-1+SUMPRODUCT(MAX(ROW(E$2:E1114)*(E1115=E$2:E1114)))))</f>
        <v/>
      </c>
      <c r="J1115" s="24" t="str">
        <f ca="1">IF(OR(E1115="",E1115="!!!",F1115="NEW"),"",COUNTBLANK(OFFSET(A$1,,,SUMPRODUCT(MAX(ROW(E$2:E1115)*(E1115=E$2:E1115)))))-COUNTBLANK(OFFSET(A$1,,,SUMPRODUCT(MAX(ROW(E$1:E1114)*(E2=E$1:E1114))))))</f>
        <v/>
      </c>
      <c r="K1115" s="24" t="str">
        <f>IF(OR(E1115="",E1115="!!!",F1115="NEW"),"",INDEX(J$1:J1114,SUMPRODUCT(MAX(ROW(E$1:E1114)*(E1115=E$1:E1114)))))</f>
        <v/>
      </c>
      <c r="L1115" s="25"/>
    </row>
    <row r="1116" spans="1:12" x14ac:dyDescent="0.3">
      <c r="A1116" t="s">
        <v>753</v>
      </c>
      <c r="E1116" s="20" t="str">
        <f>IF(D1116="?OLD","!!!","")</f>
        <v/>
      </c>
      <c r="F1116" s="21" t="str">
        <f>IF(OR(E1116="",E1116="!!!"),"",IF(NOT(ISNA(VLOOKUP(E1116,E$1:E1115,1,FALSE()))),"OLD",IF(AND(E1116&lt;&gt;"",E1116&lt;&gt;"!!!"),"NEW","")))</f>
        <v/>
      </c>
      <c r="G1116" s="22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3" t="str">
        <f t="shared" ca="1" si="77"/>
        <v/>
      </c>
      <c r="I1116" s="24" t="str">
        <f>IF(OR(E1116="",E1116="!!!",F1116="NEW"),"",INDEX(B$2:B1115,-1+SUMPRODUCT(MAX(ROW(E$2:E1115)*(E1116=E$2:E1115)))))</f>
        <v/>
      </c>
      <c r="J1116" s="24" t="str">
        <f ca="1">IF(OR(E1116="",E1116="!!!",F1116="NEW"),"",COUNTBLANK(OFFSET(A$1,,,SUMPRODUCT(MAX(ROW(E$2:E1116)*(E1116=E$2:E1116)))))-COUNTBLANK(OFFSET(A$1,,,SUMPRODUCT(MAX(ROW(E$1:E1115)*(E2=E$1:E1115))))))</f>
        <v/>
      </c>
      <c r="K1116" s="24" t="str">
        <f>IF(OR(E1116="",E1116="!!!",F1116="NEW"),"",INDEX(J$1:J1115,SUMPRODUCT(MAX(ROW(E$1:E1115)*(E1116=E$1:E1115)))))</f>
        <v/>
      </c>
      <c r="L1116" s="25"/>
    </row>
    <row r="1117" spans="1:12" x14ac:dyDescent="0.3">
      <c r="A1117" t="s">
        <v>101</v>
      </c>
      <c r="E1117" s="20" t="str">
        <f>IF(D1117="?OLD","!!!","")</f>
        <v/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ca="1" si="77"/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136</v>
      </c>
      <c r="E1118" s="20" t="str">
        <f>IF(D1118="?OLD","!!!","")</f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77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754</v>
      </c>
      <c r="B1119" s="26" t="s">
        <v>131</v>
      </c>
      <c r="C1119" s="26" t="s">
        <v>74</v>
      </c>
      <c r="D1119" s="26" t="s">
        <v>75</v>
      </c>
      <c r="E1119" s="20" t="s">
        <v>750</v>
      </c>
      <c r="F1119" s="21" t="str">
        <f>IF(OR(E1119="",E1119="!!!"),"",IF(NOT(ISNA(VLOOKUP(E1119,E$1:E1118,1,FALSE()))),"OLD",IF(AND(E1119&lt;&gt;"",E1119&lt;&gt;"!!!"),"NEW","")))</f>
        <v>OLD</v>
      </c>
      <c r="G1119" s="22" t="str">
        <f ca="1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?IN_FOCUS</v>
      </c>
      <c r="H1119" s="23" t="str">
        <f t="shared" ca="1" si="77"/>
        <v/>
      </c>
      <c r="I1119" s="24" t="str">
        <f>IF(OR(E1119="",E1119="!!!",F1119="NEW"),"",INDEX(B$2:B1118,-1+SUMPRODUCT(MAX(ROW(E$2:E1118)*(E1119=E$2:E1118)))))</f>
        <v>SBJ_3</v>
      </c>
      <c r="J1119" s="24">
        <f ca="1">IF(OR(E1119="",E1119="!!!",F1119="NEW"),"",COUNTBLANK(OFFSET(A$1,,,SUMPRODUCT(MAX(ROW(E$2:E1119)*(E1119=E$2:E1119)))))-COUNTBLANK(OFFSET(A$1,,,SUMPRODUCT(MAX(ROW(E$1:E1118)*(E2=E$1:E1118))))))</f>
        <v>0</v>
      </c>
      <c r="K1119" s="24">
        <f ca="1">IF(OR(E1119="",E1119="!!!",F1119="NEW"),"",INDEX(J$1:J1118,SUMPRODUCT(MAX(ROW(E$1:E1118)*(E1119=E$1:E1118)))))</f>
        <v>0</v>
      </c>
      <c r="L1119" s="25"/>
    </row>
    <row r="1120" spans="1:12" x14ac:dyDescent="0.3">
      <c r="A1120" t="s">
        <v>101</v>
      </c>
      <c r="E1120" s="20" t="str">
        <f>IF(D1120="?OLD","!!!","")</f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77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483</v>
      </c>
      <c r="E1121" s="20" t="str">
        <f>IF(D1121="?OLD","!!!","")</f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77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2" spans="1:12" x14ac:dyDescent="0.3">
      <c r="A1122" t="s">
        <v>446</v>
      </c>
      <c r="E1122" s="20" t="str">
        <f>IF(D1122="?OLD","!!!","")</f>
        <v/>
      </c>
      <c r="F1122" s="21" t="str">
        <f>IF(OR(E1122="",E1122="!!!"),"",IF(NOT(ISNA(VLOOKUP(E1122,E$1:E1121,1,FALSE()))),"OLD",IF(AND(E1122&lt;&gt;"",E1122&lt;&gt;"!!!"),"NEW","")))</f>
        <v/>
      </c>
      <c r="G1122" s="22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3" t="str">
        <f t="shared" ca="1" si="77"/>
        <v/>
      </c>
      <c r="I1122" s="24" t="str">
        <f>IF(OR(E1122="",E1122="!!!",F1122="NEW"),"",INDEX(B$2:B1121,-1+SUMPRODUCT(MAX(ROW(E$2:E1121)*(E1122=E$2:E1121)))))</f>
        <v/>
      </c>
      <c r="J1122" s="24" t="str">
        <f ca="1">IF(OR(E1122="",E1122="!!!",F1122="NEW"),"",COUNTBLANK(OFFSET(A$1,,,SUMPRODUCT(MAX(ROW(E$2:E1122)*(E1122=E$2:E1122)))))-COUNTBLANK(OFFSET(A$1,,,SUMPRODUCT(MAX(ROW(E$1:E1121)*(E2=E$1:E1121))))))</f>
        <v/>
      </c>
      <c r="K1122" s="24" t="str">
        <f>IF(OR(E1122="",E1122="!!!",F1122="NEW"),"",INDEX(J$1:J1121,SUMPRODUCT(MAX(ROW(E$1:E1121)*(E1122=E$1:E1121)))))</f>
        <v/>
      </c>
      <c r="L1122" s="25"/>
    </row>
    <row r="1123" spans="1:12" x14ac:dyDescent="0.3">
      <c r="A1123" t="s">
        <v>755</v>
      </c>
      <c r="B1123" s="26" t="s">
        <v>96</v>
      </c>
      <c r="C1123" s="26" t="s">
        <v>280</v>
      </c>
      <c r="D1123" s="26" t="s">
        <v>75</v>
      </c>
      <c r="E1123" s="20" t="s">
        <v>756</v>
      </c>
      <c r="F1123" s="21" t="str">
        <f>IF(OR(E1123="",E1123="!!!"),"",IF(NOT(ISNA(VLOOKUP(E1123,E$1:E1122,1,FALSE()))),"OLD",IF(AND(E1123&lt;&gt;"",E1123&lt;&gt;"!!!"),"NEW","")))</f>
        <v>NEW</v>
      </c>
      <c r="G1123" s="22" t="str">
        <f ca="1"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?REFERENTIAL</v>
      </c>
      <c r="H1123" s="23" t="str">
        <f t="shared" ca="1" si="77"/>
        <v/>
      </c>
      <c r="I1123" s="24" t="str">
        <f>IF(OR(E1123="",E1123="!!!",F1123="NEW"),"",INDEX(B$2:B1122,-1+SUMPRODUCT(MAX(ROW(E$2:E1122)*(E1123=E$2:E1122)))))</f>
        <v/>
      </c>
      <c r="J1123" s="24" t="str">
        <f ca="1">IF(OR(E1123="",E1123="!!!",F1123="NEW"),"",COUNTBLANK(OFFSET(A$1,,,SUMPRODUCT(MAX(ROW(E$2:E1123)*(E1123=E$2:E1123)))))-COUNTBLANK(OFFSET(A$1,,,SUMPRODUCT(MAX(ROW(E$1:E1122)*(E2=E$1:E1122))))))</f>
        <v/>
      </c>
      <c r="K1123" s="24" t="str">
        <f>IF(OR(E1123="",E1123="!!!",F1123="NEW"),"",INDEX(J$1:J1122,SUMPRODUCT(MAX(ROW(E$1:E1122)*(E1123=E$1:E1122)))))</f>
        <v/>
      </c>
      <c r="L1123" s="25"/>
    </row>
    <row r="1124" spans="1:12" x14ac:dyDescent="0.3">
      <c r="A1124" t="s">
        <v>78</v>
      </c>
      <c r="E1124" s="20" t="str">
        <f>IF(D1124="?OLD","!!!","")</f>
        <v/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ca="1" si="77"/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333</v>
      </c>
      <c r="E1125" s="20" t="str">
        <f>IF(D1125="?OLD","!!!","")</f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77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564</v>
      </c>
      <c r="E1126" s="20" t="str">
        <f>IF(D1126="?OLD","!!!","")</f>
        <v/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77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497</v>
      </c>
      <c r="B1127" s="26" t="s">
        <v>131</v>
      </c>
      <c r="C1127" s="26" t="s">
        <v>335</v>
      </c>
      <c r="E1127" s="20" t="str">
        <f>IF(D1127="?OLD","!!!","")</f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77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86</v>
      </c>
      <c r="E1128" s="20" t="str">
        <f>IF(D1128="?OLD","!!!","")</f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ref="H1128:H1159" ca="1" si="78">IF(J1128&lt;&gt;1,"",IF(I1128="SBJ","CB","?"))</f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755</v>
      </c>
      <c r="B1129" s="26" t="s">
        <v>96</v>
      </c>
      <c r="C1129" s="26" t="s">
        <v>280</v>
      </c>
      <c r="D1129" s="26" t="s">
        <v>75</v>
      </c>
      <c r="E1129" s="20" t="s">
        <v>756</v>
      </c>
      <c r="F1129" s="21" t="str">
        <f>IF(OR(E1129="",E1129="!!!"),"",IF(NOT(ISNA(VLOOKUP(E1129,E$1:E1128,1,FALSE()))),"OLD",IF(AND(E1129&lt;&gt;"",E1129&lt;&gt;"!!!"),"NEW","")))</f>
        <v>OLD</v>
      </c>
      <c r="G1129" s="22" t="str">
        <f ca="1"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?IN_FOCUS</v>
      </c>
      <c r="H1129" s="23" t="str">
        <f t="shared" ca="1" si="78"/>
        <v/>
      </c>
      <c r="I1129" s="24" t="str">
        <f>IF(OR(E1129="",E1129="!!!",F1129="NEW"),"",INDEX(B$2:B1128,-1+SUMPRODUCT(MAX(ROW(E$2:E1128)*(E1129=E$2:E1128)))))</f>
        <v>SBJ_2</v>
      </c>
      <c r="J1129" s="24">
        <f ca="1">IF(OR(E1129="",E1129="!!!",F1129="NEW"),"",COUNTBLANK(OFFSET(A$1,,,SUMPRODUCT(MAX(ROW(E$2:E1129)*(E1129=E$2:E1129)))))-COUNTBLANK(OFFSET(A$1,,,SUMPRODUCT(MAX(ROW(E$1:E1128)*(E2=E$1:E1128))))))</f>
        <v>0</v>
      </c>
      <c r="K1129" s="24" t="str">
        <f ca="1">IF(OR(E1129="",E1129="!!!",F1129="NEW"),"",INDEX(J$1:J1128,SUMPRODUCT(MAX(ROW(E$1:E1128)*(E1129=E$1:E1128)))))</f>
        <v/>
      </c>
      <c r="L1129" s="25"/>
    </row>
    <row r="1130" spans="1:12" x14ac:dyDescent="0.3">
      <c r="A1130" t="s">
        <v>78</v>
      </c>
      <c r="E1130" s="20" t="str">
        <f>IF(D1130="?OLD","!!!","")</f>
        <v/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78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112</v>
      </c>
      <c r="E1131" s="20" t="str">
        <f>IF(D1131="?OLD","!!!","")</f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78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190</v>
      </c>
      <c r="B1132" s="26" t="s">
        <v>131</v>
      </c>
      <c r="C1132" s="26" t="s">
        <v>74</v>
      </c>
      <c r="D1132" s="26" t="s">
        <v>75</v>
      </c>
      <c r="E1132" s="20"/>
      <c r="F1132" s="21" t="s">
        <v>139</v>
      </c>
      <c r="G1132" s="22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t="shared" ca="1" si="78"/>
        <v/>
      </c>
      <c r="I1132" s="24" t="str">
        <f>IF(OR(E1132="",E1132="!!!",F1132="NEW"),"",INDEX(B$2:B1131,-1+SUMPRODUCT(MAX(ROW(E$2:E1131)*(E1132=E$2:E1131)))))</f>
        <v/>
      </c>
      <c r="J1132" s="24" t="str">
        <f ca="1">IF(OR(E1132="",E1132="!!!",F1132="NEW"),"",COUNTBLANK(OFFSET(A$1,,,SUMPRODUCT(MAX(ROW(E$2:E1132)*(E1132=E$2:E1132)))))-COUNTBLANK(OFFSET(A$1,,,SUMPRODUCT(MAX(ROW(E$1:E1131)*(E2=E$1:E1131))))))</f>
        <v/>
      </c>
      <c r="K1132" s="24" t="str">
        <f>IF(OR(E1132="",E1132="!!!",F1132="NEW"),"",INDEX(J$1:J1131,SUMPRODUCT(MAX(ROW(E$1:E1131)*(E1132=E$1:E1131)))))</f>
        <v/>
      </c>
      <c r="L1132" s="25"/>
    </row>
    <row r="1133" spans="1:12" x14ac:dyDescent="0.3">
      <c r="A1133" t="s">
        <v>258</v>
      </c>
      <c r="E1133" s="20" t="str">
        <f>IF(D1133="?OLD","!!!","")</f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78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757</v>
      </c>
      <c r="B1134" s="26" t="s">
        <v>82</v>
      </c>
      <c r="C1134" s="26" t="s">
        <v>105</v>
      </c>
      <c r="E1134" s="20" t="str">
        <f>IF(D1134="?OLD","!!!","")</f>
        <v/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78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79</v>
      </c>
      <c r="E1135" s="20" t="str">
        <f>IF(D1135="?OLD","!!!","")</f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78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80</v>
      </c>
      <c r="E1136" s="20" t="str">
        <f>IF(D1136="?OLD","!!!","")</f>
        <v/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78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718</v>
      </c>
      <c r="E1137" s="20" t="str">
        <f>IF(D1137="?OLD","!!!","")</f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78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719</v>
      </c>
      <c r="B1138" s="26" t="s">
        <v>147</v>
      </c>
      <c r="C1138" s="26" t="s">
        <v>74</v>
      </c>
      <c r="D1138" s="26" t="s">
        <v>75</v>
      </c>
      <c r="E1138" s="20" t="s">
        <v>720</v>
      </c>
      <c r="F1138" s="21" t="str">
        <f>IF(OR(E1138="",E1138="!!!"),"",IF(NOT(ISNA(VLOOKUP(E1138,E$1:E1137,1,FALSE()))),"OLD",IF(AND(E1138&lt;&gt;"",E1138&lt;&gt;"!!!"),"NEW","")))</f>
        <v>OLD</v>
      </c>
      <c r="G1138" s="22" t="str">
        <f ca="1"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?IN_FOCUS</v>
      </c>
      <c r="H1138" s="23" t="str">
        <f t="shared" ca="1" si="78"/>
        <v/>
      </c>
      <c r="I1138" s="24" t="str">
        <f>IF(OR(E1138="",E1138="!!!",F1138="NEW"),"",INDEX(B$2:B1137,-1+SUMPRODUCT(MAX(ROW(E$2:E1137)*(E1138=E$2:E1137)))))</f>
        <v>other</v>
      </c>
      <c r="J1138" s="24">
        <f ca="1">IF(OR(E1138="",E1138="!!!",F1138="NEW"),"",COUNTBLANK(OFFSET(A$1,,,SUMPRODUCT(MAX(ROW(E$2:E1138)*(E1138=E$2:E1138)))))-COUNTBLANK(OFFSET(A$1,,,SUMPRODUCT(MAX(ROW(E$1:E1137)*(E2=E$1:E1137))))))</f>
        <v>0</v>
      </c>
      <c r="K1138" s="24" t="str">
        <f ca="1">IF(OR(E1138="",E1138="!!!",F1138="NEW"),"",INDEX(J$1:J1137,SUMPRODUCT(MAX(ROW(E$1:E1137)*(E1138=E$1:E1137)))))</f>
        <v/>
      </c>
      <c r="L1138" s="25"/>
    </row>
    <row r="1139" spans="1:12" x14ac:dyDescent="0.3">
      <c r="A1139" t="s">
        <v>79</v>
      </c>
      <c r="E1139" s="20" t="str">
        <f>IF(D1139="?OLD","!!!","")</f>
        <v/>
      </c>
      <c r="F1139" s="21" t="str">
        <f>IF(OR(E1139="",E1139="!!!"),"",IF(NOT(ISNA(VLOOKUP(E1139,E$1:E1138,1,FALSE()))),"OLD",IF(AND(E1139&lt;&gt;"",E1139&lt;&gt;"!!!"),"NEW","")))</f>
        <v/>
      </c>
      <c r="G1139" s="22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3" t="str">
        <f t="shared" ca="1" si="78"/>
        <v/>
      </c>
      <c r="I1139" s="24" t="str">
        <f>IF(OR(E1139="",E1139="!!!",F1139="NEW"),"",INDEX(B$2:B1138,-1+SUMPRODUCT(MAX(ROW(E$2:E1138)*(E1139=E$2:E1138)))))</f>
        <v/>
      </c>
      <c r="J1139" s="24" t="str">
        <f ca="1">IF(OR(E1139="",E1139="!!!",F1139="NEW"),"",COUNTBLANK(OFFSET(A$1,,,SUMPRODUCT(MAX(ROW(E$2:E1139)*(E1139=E$2:E1139)))))-COUNTBLANK(OFFSET(A$1,,,SUMPRODUCT(MAX(ROW(E$1:E1138)*(E2=E$1:E1138))))))</f>
        <v/>
      </c>
      <c r="K1139" s="24" t="str">
        <f>IF(OR(E1139="",E1139="!!!",F1139="NEW"),"",INDEX(J$1:J1138,SUMPRODUCT(MAX(ROW(E$1:E1138)*(E1139=E$1:E1138)))))</f>
        <v/>
      </c>
      <c r="L1139" s="25"/>
    </row>
    <row r="1140" spans="1:12" x14ac:dyDescent="0.3">
      <c r="A1140" t="s">
        <v>758</v>
      </c>
      <c r="B1140" s="26" t="s">
        <v>115</v>
      </c>
      <c r="C1140" s="26" t="s">
        <v>280</v>
      </c>
      <c r="D1140" s="26" t="s">
        <v>75</v>
      </c>
      <c r="E1140" s="20" t="s">
        <v>759</v>
      </c>
      <c r="F1140" s="21" t="str">
        <f>IF(OR(E1140="",E1140="!!!"),"",IF(NOT(ISNA(VLOOKUP(E1140,E$1:E1139,1,FALSE()))),"OLD",IF(AND(E1140&lt;&gt;"",E1140&lt;&gt;"!!!"),"NEW","")))</f>
        <v>NEW</v>
      </c>
      <c r="G1140" s="22" t="str">
        <f ca="1"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?REFERENTIAL</v>
      </c>
      <c r="H1140" s="23" t="str">
        <f t="shared" ca="1" si="78"/>
        <v/>
      </c>
      <c r="I1140" s="24" t="str">
        <f>IF(OR(E1140="",E1140="!!!",F1140="NEW"),"",INDEX(B$2:B1139,-1+SUMPRODUCT(MAX(ROW(E$2:E1139)*(E1140=E$2:E1139)))))</f>
        <v/>
      </c>
      <c r="J1140" s="24" t="str">
        <f ca="1">IF(OR(E1140="",E1140="!!!",F1140="NEW"),"",COUNTBLANK(OFFSET(A$1,,,SUMPRODUCT(MAX(ROW(E$2:E1140)*(E1140=E$2:E1140)))))-COUNTBLANK(OFFSET(A$1,,,SUMPRODUCT(MAX(ROW(E$1:E1139)*(E2=E$1:E1139))))))</f>
        <v/>
      </c>
      <c r="K1140" s="24" t="str">
        <f>IF(OR(E1140="",E1140="!!!",F1140="NEW"),"",INDEX(J$1:J1139,SUMPRODUCT(MAX(ROW(E$1:E1139)*(E1140=E$1:E1139)))))</f>
        <v/>
      </c>
      <c r="L1140" s="27"/>
    </row>
    <row r="1141" spans="1:12" x14ac:dyDescent="0.3">
      <c r="A1141" t="s">
        <v>86</v>
      </c>
      <c r="E1141" s="20" t="str">
        <f>IF(D1141="?OLD","!!!","")</f>
        <v/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ca="1" si="78"/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130</v>
      </c>
      <c r="E1142" s="20" t="str">
        <f>IF(D1142="?OLD","!!!","")</f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78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469</v>
      </c>
      <c r="E1143" s="20" t="str">
        <f>IF(D1143="?OLD","!!!","")</f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78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723</v>
      </c>
      <c r="B1144" s="26" t="s">
        <v>82</v>
      </c>
      <c r="C1144" s="26" t="s">
        <v>335</v>
      </c>
      <c r="E1144" s="20"/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78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324</v>
      </c>
      <c r="E1145" s="20" t="str">
        <f>IF(D1145="?OLD","!!!","")</f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78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760</v>
      </c>
      <c r="E1146" s="20" t="str">
        <f>IF(D1146="?OLD","!!!","")</f>
        <v/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78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725</v>
      </c>
      <c r="B1147" s="26" t="s">
        <v>147</v>
      </c>
      <c r="C1147" s="26" t="s">
        <v>88</v>
      </c>
      <c r="D1147" s="26" t="s">
        <v>75</v>
      </c>
      <c r="E1147" s="20"/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78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7" t="s">
        <v>527</v>
      </c>
    </row>
    <row r="1148" spans="1:12" x14ac:dyDescent="0.3">
      <c r="A1148" t="s">
        <v>86</v>
      </c>
      <c r="E1148" s="20" t="str">
        <f>IF(D1148="?OLD","!!!","")</f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78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 t="s">
        <v>1059</v>
      </c>
    </row>
    <row r="1150" spans="1:12" x14ac:dyDescent="0.3">
      <c r="A1150" t="s">
        <v>393</v>
      </c>
      <c r="E1150" s="20" t="str">
        <f>IF(D1150="?OLD","!!!","")</f>
        <v/>
      </c>
      <c r="F1150" s="21" t="str">
        <f>IF(OR(E1150="",E1150="!!!"),"",IF(NOT(ISNA(VLOOKUP(E1150,E$1:E1149,1,FALSE()))),"OLD",IF(AND(E1150&lt;&gt;"",E1150&lt;&gt;"!!!"),"NEW","")))</f>
        <v/>
      </c>
      <c r="G1150" s="22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3" t="str">
        <f ca="1">IF(J1150&lt;&gt;1,"",IF(I1150="SBJ","CB","?"))</f>
        <v/>
      </c>
      <c r="I1150" s="24" t="str">
        <f>IF(OR(E1150="",E1150="!!!",F1150="NEW"),"",INDEX(B$2:B1149,-1+SUMPRODUCT(MAX(ROW(E$2:E1149)*(E1150=E$2:E1149)))))</f>
        <v/>
      </c>
      <c r="J1150" s="24" t="str">
        <f ca="1">IF(OR(E1150="",E1150="!!!",F1150="NEW"),"",COUNTBLANK(OFFSET(A$1,,,SUMPRODUCT(MAX(ROW(E$2:E1150)*(E1150=E$2:E1150)))))-COUNTBLANK(OFFSET(A$1,,,SUMPRODUCT(MAX(ROW(E$1:E1149)*(E2=E$1:E1149))))))</f>
        <v/>
      </c>
      <c r="K1150" s="24" t="str">
        <f>IF(OR(E1150="",E1150="!!!",F1150="NEW"),"",INDEX(J$1:J1149,SUMPRODUCT(MAX(ROW(E$1:E1149)*(E1150=E$1:E1149)))))</f>
        <v/>
      </c>
      <c r="L1150" s="25"/>
    </row>
    <row r="1151" spans="1:12" x14ac:dyDescent="0.3">
      <c r="A1151" t="s">
        <v>761</v>
      </c>
    </row>
    <row r="1152" spans="1:12" x14ac:dyDescent="0.3">
      <c r="A1152" t="s">
        <v>727</v>
      </c>
      <c r="E1152" s="20" t="str">
        <f>IF(D1152="?OLD","!!!","")</f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ref="H1152:H1183" ca="1" si="79">IF(J1152&lt;&gt;1,"",IF(I1152="SBJ","CB","?"))</f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545</v>
      </c>
      <c r="B1153" s="26" t="s">
        <v>73</v>
      </c>
      <c r="C1153" s="26" t="s">
        <v>280</v>
      </c>
      <c r="D1153" s="26" t="s">
        <v>75</v>
      </c>
      <c r="E1153" s="20" t="s">
        <v>762</v>
      </c>
      <c r="F1153" s="21" t="str">
        <f>IF(OR(E1153="",E1153="!!!"),"",IF(NOT(ISNA(VLOOKUP(E1153,E$1:E1152,1,FALSE()))),"OLD",IF(AND(E1153&lt;&gt;"",E1153&lt;&gt;"!!!"),"NEW","")))</f>
        <v>NEW</v>
      </c>
      <c r="G1153" s="22" t="str">
        <f ca="1"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?REFERENTIAL</v>
      </c>
      <c r="H1153" s="23" t="str">
        <f t="shared" ca="1" si="79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729</v>
      </c>
      <c r="E1154" s="20" t="str">
        <f>IF(D1154="?OLD","!!!","")</f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79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78</v>
      </c>
      <c r="E1155" s="20" t="str">
        <f>IF(D1155="?OLD","!!!","")</f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79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763</v>
      </c>
      <c r="B1156" s="26" t="s">
        <v>73</v>
      </c>
      <c r="C1156" s="26" t="s">
        <v>88</v>
      </c>
      <c r="D1156" s="26" t="s">
        <v>75</v>
      </c>
      <c r="E1156" s="20" t="s">
        <v>756</v>
      </c>
      <c r="F1156" s="21" t="str">
        <f>IF(OR(E1156="",E1156="!!!"),"",IF(NOT(ISNA(VLOOKUP(E1156,E$1:E1155,1,FALSE()))),"OLD",IF(AND(E1156&lt;&gt;"",E1156&lt;&gt;"!!!"),"NEW","")))</f>
        <v>OLD</v>
      </c>
      <c r="G1156" s="22" t="str">
        <f ca="1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?IN_FOCUS</v>
      </c>
      <c r="H1156" s="23" t="str">
        <f t="shared" ca="1" si="79"/>
        <v/>
      </c>
      <c r="I1156" s="24" t="str">
        <f>IF(OR(E1156="",E1156="!!!",F1156="NEW"),"",INDEX(B$2:B1155,-1+SUMPRODUCT(MAX(ROW(E$2:E1155)*(E1156=E$2:E1155)))))</f>
        <v>SBJ_2</v>
      </c>
      <c r="J1156" s="24">
        <f ca="1">IF(OR(E1156="",E1156="!!!",F1156="NEW"),"",COUNTBLANK(OFFSET(A$1,,,SUMPRODUCT(MAX(ROW(E$2:E1156)*(E1156=E$2:E1156)))))-COUNTBLANK(OFFSET(A$1,,,SUMPRODUCT(MAX(ROW(E$1:E1155)*(E2=E$1:E1155))))))</f>
        <v>0</v>
      </c>
      <c r="K1156" s="24">
        <f ca="1">IF(OR(E1156="",E1156="!!!",F1156="NEW"),"",INDEX(J$1:J1155,SUMPRODUCT(MAX(ROW(E$1:E1155)*(E1156=E$1:E1155)))))</f>
        <v>0</v>
      </c>
      <c r="L1156" s="25"/>
    </row>
    <row r="1157" spans="1:12" x14ac:dyDescent="0.3">
      <c r="A1157" t="s">
        <v>112</v>
      </c>
      <c r="E1157" s="20" t="str">
        <f>IF(D1157="?OLD","!!!","")</f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79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8" spans="1:12" x14ac:dyDescent="0.3">
      <c r="A1158" t="s">
        <v>764</v>
      </c>
      <c r="E1158" s="20"/>
      <c r="F1158" s="21" t="s">
        <v>139</v>
      </c>
      <c r="G1158" s="22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3" t="str">
        <f t="shared" ca="1" si="79"/>
        <v/>
      </c>
      <c r="I1158" s="24" t="str">
        <f>IF(OR(E1158="",E1158="!!!",F1158="NEW"),"",INDEX(B$2:B1157,-1+SUMPRODUCT(MAX(ROW(E$2:E1157)*(E1158=E$2:E1157)))))</f>
        <v/>
      </c>
      <c r="J1158" s="24" t="str">
        <f ca="1">IF(OR(E1158="",E1158="!!!",F1158="NEW"),"",COUNTBLANK(OFFSET(A$1,,,SUMPRODUCT(MAX(ROW(E$2:E1158)*(E1158=E$2:E1158)))))-COUNTBLANK(OFFSET(A$1,,,SUMPRODUCT(MAX(ROW(E$1:E1157)*(E2=E$1:E1157))))))</f>
        <v/>
      </c>
      <c r="K1158" s="24" t="str">
        <f>IF(OR(E1158="",E1158="!!!",F1158="NEW"),"",INDEX(J$1:J1157,SUMPRODUCT(MAX(ROW(E$1:E1157)*(E1158=E$1:E1157)))))</f>
        <v/>
      </c>
      <c r="L1158" s="25"/>
    </row>
    <row r="1159" spans="1:12" x14ac:dyDescent="0.3">
      <c r="A1159" t="s">
        <v>79</v>
      </c>
      <c r="E1159" s="20"/>
      <c r="F1159" s="21" t="str">
        <f>IF(OR(E1159="",E1159="!!!"),"",IF(NOT(ISNA(VLOOKUP(E1159,E$1:E1158,1,FALSE()))),"OLD",IF(AND(E1159&lt;&gt;"",E1159&lt;&gt;"!!!"),"NEW","")))</f>
        <v/>
      </c>
      <c r="G1159" s="22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3" t="str">
        <f t="shared" ca="1" si="79"/>
        <v/>
      </c>
      <c r="I1159" s="24" t="str">
        <f>IF(OR(E1159="",E1159="!!!",F1159="NEW"),"",INDEX(B$2:B1158,-1+SUMPRODUCT(MAX(ROW(E$2:E1158)*(E1159=E$2:E1158)))))</f>
        <v/>
      </c>
      <c r="J1159" s="24" t="str">
        <f ca="1">IF(OR(E1159="",E1159="!!!",F1159="NEW"),"",COUNTBLANK(OFFSET(A$1,,,SUMPRODUCT(MAX(ROW(E$2:E1159)*(E1159=E$2:E1159)))))-COUNTBLANK(OFFSET(A$1,,,SUMPRODUCT(MAX(ROW(E$1:E1158)*(E2=E$1:E1158))))))</f>
        <v/>
      </c>
      <c r="K1159" s="24" t="str">
        <f>IF(OR(E1159="",E1159="!!!",F1159="NEW"),"",INDEX(J$1:J1158,SUMPRODUCT(MAX(ROW(E$1:E1158)*(E1159=E$1:E1158)))))</f>
        <v/>
      </c>
      <c r="L1159" s="25"/>
    </row>
    <row r="1160" spans="1:12" x14ac:dyDescent="0.3">
      <c r="A1160" t="s">
        <v>187</v>
      </c>
      <c r="E1160" s="20" t="str">
        <f>IF(D1160="?OLD","!!!","")</f>
        <v/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ca="1" si="79"/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766</v>
      </c>
      <c r="B1161" s="26" t="s">
        <v>115</v>
      </c>
      <c r="C1161" s="26" t="s">
        <v>280</v>
      </c>
      <c r="D1161" s="26" t="s">
        <v>75</v>
      </c>
      <c r="E1161" s="20" t="s">
        <v>568</v>
      </c>
      <c r="F1161" s="21" t="str">
        <f>IF(OR(E1161="",E1161="!!!"),"",IF(NOT(ISNA(VLOOKUP(E1161,E$1:E1160,1,FALSE()))),"OLD",IF(AND(E1161&lt;&gt;"",E1161&lt;&gt;"!!!"),"NEW","")))</f>
        <v>OLD</v>
      </c>
      <c r="G1161" s="22" t="str">
        <f ca="1"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?IN_FOCUS</v>
      </c>
      <c r="H1161" s="23" t="str">
        <f t="shared" ca="1" si="79"/>
        <v/>
      </c>
      <c r="I1161" s="24" t="str">
        <f>IF(OR(E1161="",E1161="!!!",F1161="NEW"),"",INDEX(B$2:B1160,-1+SUMPRODUCT(MAX(ROW(E$2:E1160)*(E1161=E$2:E1160)))))</f>
        <v>other_4</v>
      </c>
      <c r="J1161" s="24">
        <f ca="1">IF(OR(E1161="",E1161="!!!",F1161="NEW"),"",COUNTBLANK(OFFSET(A$1,,,SUMPRODUCT(MAX(ROW(E$2:E1161)*(E1161=E$2:E1161)))))-COUNTBLANK(OFFSET(A$1,,,SUMPRODUCT(MAX(ROW(E$1:E1160)*(E2=E$1:E1160))))))</f>
        <v>0</v>
      </c>
      <c r="K1161" s="24" t="str">
        <f ca="1">IF(OR(E1161="",E1161="!!!",F1161="NEW"),"",INDEX(J$1:J1160,SUMPRODUCT(MAX(ROW(E$1:E1160)*(E1161=E$1:E1160)))))</f>
        <v/>
      </c>
      <c r="L1161" s="25"/>
    </row>
    <row r="1162" spans="1:12" x14ac:dyDescent="0.3">
      <c r="A1162" t="s">
        <v>142</v>
      </c>
      <c r="E1162" s="20" t="str">
        <f>IF(D1162="?OLD","!!!","")</f>
        <v/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79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112</v>
      </c>
      <c r="B1163" s="26" t="s">
        <v>257</v>
      </c>
      <c r="C1163" s="26" t="s">
        <v>208</v>
      </c>
      <c r="D1163" s="26" t="s">
        <v>75</v>
      </c>
      <c r="E1163" s="20"/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79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7" t="s">
        <v>527</v>
      </c>
    </row>
    <row r="1164" spans="1:12" x14ac:dyDescent="0.3">
      <c r="A1164" t="s">
        <v>767</v>
      </c>
      <c r="E1164" s="20"/>
      <c r="F1164" s="21" t="s">
        <v>139</v>
      </c>
      <c r="G1164" s="22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3" t="str">
        <f t="shared" ca="1" si="79"/>
        <v/>
      </c>
      <c r="I1164" s="24" t="str">
        <f>IF(OR(E1164="",E1164="!!!",F1164="NEW"),"",INDEX(B$2:B1163,-1+SUMPRODUCT(MAX(ROW(E$2:E1163)*(E1164=E$2:E1163)))))</f>
        <v/>
      </c>
      <c r="J1164" s="24" t="str">
        <f ca="1">IF(OR(E1164="",E1164="!!!",F1164="NEW"),"",COUNTBLANK(OFFSET(A$1,,,SUMPRODUCT(MAX(ROW(E$2:E1164)*(E1164=E$2:E1164)))))-COUNTBLANK(OFFSET(A$1,,,SUMPRODUCT(MAX(ROW(E$1:E1163)*(E2=E$1:E1163))))))</f>
        <v/>
      </c>
      <c r="K1164" s="24" t="str">
        <f>IF(OR(E1164="",E1164="!!!",F1164="NEW"),"",INDEX(J$1:J1163,SUMPRODUCT(MAX(ROW(E$1:E1163)*(E1164=E$1:E1163)))))</f>
        <v/>
      </c>
      <c r="L1164" s="25"/>
    </row>
    <row r="1165" spans="1:12" x14ac:dyDescent="0.3">
      <c r="A1165" t="s">
        <v>79</v>
      </c>
      <c r="E1165" s="20" t="str">
        <f>IF(D1165="?OLD","!!!","")</f>
        <v/>
      </c>
      <c r="F1165" s="21" t="str">
        <f>IF(OR(E1165="",E1165="!!!"),"",IF(NOT(ISNA(VLOOKUP(E1165,E$1:E1164,1,FALSE()))),"OLD",IF(AND(E1165&lt;&gt;"",E1165&lt;&gt;"!!!"),"NEW","")))</f>
        <v/>
      </c>
      <c r="G1165" s="22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3" t="str">
        <f t="shared" ca="1" si="79"/>
        <v/>
      </c>
      <c r="I1165" s="24" t="str">
        <f>IF(OR(E1165="",E1165="!!!",F1165="NEW"),"",INDEX(B$2:B1164,-1+SUMPRODUCT(MAX(ROW(E$2:E1164)*(E1165=E$2:E1164)))))</f>
        <v/>
      </c>
      <c r="J1165" s="24" t="str">
        <f ca="1">IF(OR(E1165="",E1165="!!!",F1165="NEW"),"",COUNTBLANK(OFFSET(A$1,,,SUMPRODUCT(MAX(ROW(E$2:E1165)*(E1165=E$2:E1165)))))-COUNTBLANK(OFFSET(A$1,,,SUMPRODUCT(MAX(ROW(E$1:E1164)*(E2=E$1:E1164))))))</f>
        <v/>
      </c>
      <c r="K1165" s="24" t="str">
        <f>IF(OR(E1165="",E1165="!!!",F1165="NEW"),"",INDEX(J$1:J1164,SUMPRODUCT(MAX(ROW(E$1:E1164)*(E1165=E$1:E1164)))))</f>
        <v/>
      </c>
      <c r="L1165" s="25"/>
    </row>
    <row r="1166" spans="1:12" x14ac:dyDescent="0.3">
      <c r="A1166" t="s">
        <v>112</v>
      </c>
      <c r="E1166" s="20" t="str">
        <f>IF(D1166="?OLD","!!!","")</f>
        <v/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t="shared" ca="1" si="79"/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72</v>
      </c>
      <c r="B1167" s="26" t="s">
        <v>115</v>
      </c>
      <c r="C1167" s="26" t="s">
        <v>74</v>
      </c>
      <c r="D1167" s="26" t="s">
        <v>75</v>
      </c>
      <c r="E1167" s="20" t="s">
        <v>76</v>
      </c>
      <c r="F1167" s="21" t="str">
        <f>IF(OR(E1167="",E1167="!!!"),"",IF(NOT(ISNA(VLOOKUP(E1167,E$1:E1166,1,FALSE()))),"OLD",IF(AND(E1167&lt;&gt;"",E1167&lt;&gt;"!!!"),"NEW","")))</f>
        <v>OLD</v>
      </c>
      <c r="G1167" s="22" t="str">
        <f ca="1"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?IN_FOCUS</v>
      </c>
      <c r="H1167" s="23" t="str">
        <f t="shared" ca="1" si="79"/>
        <v/>
      </c>
      <c r="I1167" s="24" t="str">
        <f>IF(OR(E1167="",E1167="!!!",F1167="NEW"),"",INDEX(B$2:B1166,-1+SUMPRODUCT(MAX(ROW(E$2:E1166)*(E1167=E$2:E1166)))))</f>
        <v>other_9</v>
      </c>
      <c r="J1167" s="24">
        <f ca="1">IF(OR(E1167="",E1167="!!!",F1167="NEW"),"",COUNTBLANK(OFFSET(A$1,,,SUMPRODUCT(MAX(ROW(E$2:E1167)*(E1167=E$2:E1167)))))-COUNTBLANK(OFFSET(A$1,,,SUMPRODUCT(MAX(ROW(E$1:E1166)*(E2=E$1:E1166))))))</f>
        <v>0</v>
      </c>
      <c r="K1167" s="24">
        <f ca="1">IF(OR(E1167="",E1167="!!!",F1167="NEW"),"",INDEX(J$1:J1166,SUMPRODUCT(MAX(ROW(E$1:E1166)*(E1167=E$1:E1166)))))</f>
        <v>0</v>
      </c>
      <c r="L1167" s="25"/>
    </row>
    <row r="1168" spans="1:12" x14ac:dyDescent="0.3">
      <c r="A1168" t="s">
        <v>86</v>
      </c>
      <c r="E1168" s="20" t="str">
        <f>IF(D1168="?OLD","!!!","")</f>
        <v/>
      </c>
      <c r="F1168" s="21" t="str">
        <f>IF(OR(E1168="",E1168="!!!"),"",IF(NOT(ISNA(VLOOKUP(E1168,E$1:E1167,1,FALSE()))),"OLD",IF(AND(E1168&lt;&gt;"",E1168&lt;&gt;"!!!"),"NEW","")))</f>
        <v/>
      </c>
      <c r="G1168" s="22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3" t="str">
        <f t="shared" ca="1" si="79"/>
        <v/>
      </c>
      <c r="I1168" s="24" t="str">
        <f>IF(OR(E1168="",E1168="!!!",F1168="NEW"),"",INDEX(B$2:B1167,-1+SUMPRODUCT(MAX(ROW(E$2:E1167)*(E1168=E$2:E1167)))))</f>
        <v/>
      </c>
      <c r="J1168" s="24" t="str">
        <f ca="1">IF(OR(E1168="",E1168="!!!",F1168="NEW"),"",COUNTBLANK(OFFSET(A$1,,,SUMPRODUCT(MAX(ROW(E$2:E1168)*(E1168=E$2:E1168)))))-COUNTBLANK(OFFSET(A$1,,,SUMPRODUCT(MAX(ROW(E$1:E1167)*(E2=E$1:E1167))))))</f>
        <v/>
      </c>
      <c r="K1168" s="24" t="str">
        <f>IF(OR(E1168="",E1168="!!!",F1168="NEW"),"",INDEX(J$1:J1167,SUMPRODUCT(MAX(ROW(E$1:E1167)*(E1168=E$1:E1167)))))</f>
        <v/>
      </c>
      <c r="L1168" s="25"/>
    </row>
    <row r="1169" spans="1:12" x14ac:dyDescent="0.3">
      <c r="A1169" t="s">
        <v>768</v>
      </c>
      <c r="B1169" s="26" t="s">
        <v>82</v>
      </c>
      <c r="C1169" s="26" t="s">
        <v>133</v>
      </c>
      <c r="D1169" s="26" t="s">
        <v>75</v>
      </c>
      <c r="E1169" s="20" t="s">
        <v>756</v>
      </c>
      <c r="F1169" s="21" t="str">
        <f>IF(OR(E1169="",E1169="!!!"),"",IF(NOT(ISNA(VLOOKUP(E1169,E$1:E1168,1,FALSE()))),"OLD",IF(AND(E1169&lt;&gt;"",E1169&lt;&gt;"!!!"),"NEW","")))</f>
        <v>OLD</v>
      </c>
      <c r="G1169" s="22" t="str">
        <f ca="1"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?IN_FOCUS</v>
      </c>
      <c r="H1169" s="23" t="str">
        <f t="shared" ca="1" si="79"/>
        <v/>
      </c>
      <c r="I1169" s="24" t="str">
        <f>IF(OR(E1169="",E1169="!!!",F1169="NEW"),"",INDEX(B$2:B1168,-1+SUMPRODUCT(MAX(ROW(E$2:E1168)*(E1169=E$2:E1168)))))</f>
        <v>SBJ</v>
      </c>
      <c r="J1169" s="24">
        <f ca="1">IF(OR(E1169="",E1169="!!!",F1169="NEW"),"",COUNTBLANK(OFFSET(A$1,,,SUMPRODUCT(MAX(ROW(E$2:E1169)*(E1169=E$2:E1169)))))-COUNTBLANK(OFFSET(A$1,,,SUMPRODUCT(MAX(ROW(E$1:E1168)*(E2=E$1:E1168))))))</f>
        <v>0</v>
      </c>
      <c r="K1169" s="24">
        <f ca="1">IF(OR(E1169="",E1169="!!!",F1169="NEW"),"",INDEX(J$1:J1168,SUMPRODUCT(MAX(ROW(E$1:E1168)*(E1169=E$1:E1168)))))</f>
        <v>0</v>
      </c>
      <c r="L1169" s="25"/>
    </row>
    <row r="1170" spans="1:12" x14ac:dyDescent="0.3">
      <c r="A1170" t="s">
        <v>769</v>
      </c>
      <c r="B1170" s="26" t="s">
        <v>73</v>
      </c>
      <c r="C1170" s="26" t="s">
        <v>74</v>
      </c>
      <c r="D1170" s="26" t="s">
        <v>75</v>
      </c>
      <c r="E1170" s="20" t="s">
        <v>770</v>
      </c>
      <c r="F1170" s="21" t="str">
        <f>IF(OR(E1170="",E1170="!!!"),"",IF(NOT(ISNA(VLOOKUP(E1170,E$1:E1169,1,FALSE()))),"OLD",IF(AND(E1170&lt;&gt;"",E1170&lt;&gt;"!!!"),"NEW","")))</f>
        <v>NEW</v>
      </c>
      <c r="G1170" s="22" t="str">
        <f ca="1"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?REFERENTIAL</v>
      </c>
      <c r="H1170" s="23" t="str">
        <f t="shared" ca="1" si="79"/>
        <v/>
      </c>
      <c r="I1170" s="24" t="str">
        <f>IF(OR(E1170="",E1170="!!!",F1170="NEW"),"",INDEX(B$2:B1169,-1+SUMPRODUCT(MAX(ROW(E$2:E1169)*(E1170=E$2:E1169)))))</f>
        <v/>
      </c>
      <c r="J1170" s="24" t="str">
        <f ca="1">IF(OR(E1170="",E1170="!!!",F1170="NEW"),"",COUNTBLANK(OFFSET(A$1,,,SUMPRODUCT(MAX(ROW(E$2:E1170)*(E1170=E$2:E1170)))))-COUNTBLANK(OFFSET(A$1,,,SUMPRODUCT(MAX(ROW(E$1:E1169)*(E2=E$1:E1169))))))</f>
        <v/>
      </c>
      <c r="K1170" s="24" t="str">
        <f>IF(OR(E1170="",E1170="!!!",F1170="NEW"),"",INDEX(J$1:J1169,SUMPRODUCT(MAX(ROW(E$1:E1169)*(E1170=E$1:E1169)))))</f>
        <v/>
      </c>
      <c r="L1170" s="25"/>
    </row>
    <row r="1171" spans="1:12" x14ac:dyDescent="0.3">
      <c r="A1171" t="s">
        <v>79</v>
      </c>
      <c r="E1171" s="20" t="str">
        <f>IF(D1171="?OLD","!!!","")</f>
        <v/>
      </c>
      <c r="F1171" s="21" t="str">
        <f>IF(OR(E1171="",E1171="!!!"),"",IF(NOT(ISNA(VLOOKUP(E1171,E$1:E1170,1,FALSE()))),"OLD",IF(AND(E1171&lt;&gt;"",E1171&lt;&gt;"!!!"),"NEW","")))</f>
        <v/>
      </c>
      <c r="G1171" s="22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23" t="str">
        <f t="shared" ca="1" si="79"/>
        <v/>
      </c>
      <c r="I1171" s="24" t="str">
        <f>IF(OR(E1171="",E1171="!!!",F1171="NEW"),"",INDEX(B$2:B1170,-1+SUMPRODUCT(MAX(ROW(E$2:E1170)*(E1171=E$2:E1170)))))</f>
        <v/>
      </c>
      <c r="J1171" s="24" t="str">
        <f ca="1">IF(OR(E1171="",E1171="!!!",F1171="NEW"),"",COUNTBLANK(OFFSET(A$1,,,SUMPRODUCT(MAX(ROW(E$2:E1171)*(E1171=E$2:E1171)))))-COUNTBLANK(OFFSET(A$1,,,SUMPRODUCT(MAX(ROW(E$1:E1170)*(E2=E$1:E1170))))))</f>
        <v/>
      </c>
      <c r="K1171" s="24" t="str">
        <f>IF(OR(E1171="",E1171="!!!",F1171="NEW"),"",INDEX(J$1:J1170,SUMPRODUCT(MAX(ROW(E$1:E1170)*(E1171=E$1:E1170)))))</f>
        <v/>
      </c>
      <c r="L1171" s="25"/>
    </row>
    <row r="1172" spans="1:12" x14ac:dyDescent="0.3">
      <c r="A1172" t="s">
        <v>126</v>
      </c>
      <c r="B1172" s="26" t="s">
        <v>82</v>
      </c>
      <c r="C1172" s="26" t="s">
        <v>105</v>
      </c>
      <c r="E1172" s="20" t="s">
        <v>179</v>
      </c>
      <c r="F1172" s="21" t="str">
        <f>IF(OR(E1172="",E1172="!!!"),"",IF(NOT(ISNA(VLOOKUP(E1172,E$1:E1171,1,FALSE()))),"OLD",IF(AND(E1172&lt;&gt;"",E1172&lt;&gt;"!!!"),"NEW","")))</f>
        <v>OLD</v>
      </c>
      <c r="G1172" s="22" t="str">
        <f ca="1"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?IN_FOCUS</v>
      </c>
      <c r="H1172" s="23" t="str">
        <f t="shared" ca="1" si="79"/>
        <v/>
      </c>
      <c r="I1172" s="24" t="str">
        <f>IF(OR(E1172="",E1172="!!!",F1172="NEW"),"",INDEX(B$2:B1171,-1+SUMPRODUCT(MAX(ROW(E$2:E1171)*(E1172=E$2:E1171)))))</f>
        <v>OBJ_5</v>
      </c>
      <c r="J1172" s="24">
        <f ca="1">IF(OR(E1172="",E1172="!!!",F1172="NEW"),"",COUNTBLANK(OFFSET(A$1,,,SUMPRODUCT(MAX(ROW(E$2:E1172)*(E1172=E$2:E1172)))))-COUNTBLANK(OFFSET(A$1,,,SUMPRODUCT(MAX(ROW(E$1:E1171)*(E2=E$1:E1171))))))</f>
        <v>0</v>
      </c>
      <c r="K1172" s="24">
        <f ca="1">IF(OR(E1172="",E1172="!!!",F1172="NEW"),"",INDEX(J$1:J1171,SUMPRODUCT(MAX(ROW(E$1:E1171)*(E1172=E$1:E1171)))))</f>
        <v>0</v>
      </c>
      <c r="L1172" s="25"/>
    </row>
    <row r="1173" spans="1:12" x14ac:dyDescent="0.3">
      <c r="A1173" t="s">
        <v>771</v>
      </c>
      <c r="E1173" s="20" t="str">
        <f t="shared" ref="E1173:E1178" si="80">IF(D1173="?OLD","!!!","")</f>
        <v/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79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182</v>
      </c>
      <c r="E1174" s="20" t="str">
        <f t="shared" si="80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79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686</v>
      </c>
      <c r="E1175" s="20" t="str">
        <f t="shared" si="80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79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553</v>
      </c>
      <c r="E1176" s="20" t="str">
        <f t="shared" si="80"/>
        <v/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79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461</v>
      </c>
      <c r="E1177" s="20" t="str">
        <f t="shared" si="80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79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8" spans="1:12" x14ac:dyDescent="0.3">
      <c r="A1178" t="s">
        <v>86</v>
      </c>
      <c r="E1178" s="20" t="str">
        <f t="shared" si="80"/>
        <v/>
      </c>
      <c r="F1178" s="21" t="str">
        <f>IF(OR(E1178="",E1178="!!!"),"",IF(NOT(ISNA(VLOOKUP(E1178,E$1:E1177,1,FALSE()))),"OLD",IF(AND(E1178&lt;&gt;"",E1178&lt;&gt;"!!!"),"NEW","")))</f>
        <v/>
      </c>
      <c r="G1178" s="22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3" t="str">
        <f t="shared" ca="1" si="79"/>
        <v/>
      </c>
      <c r="I1178" s="24" t="str">
        <f>IF(OR(E1178="",E1178="!!!",F1178="NEW"),"",INDEX(B$2:B1177,-1+SUMPRODUCT(MAX(ROW(E$2:E1177)*(E1178=E$2:E1177)))))</f>
        <v/>
      </c>
      <c r="J1178" s="24" t="str">
        <f ca="1">IF(OR(E1178="",E1178="!!!",F1178="NEW"),"",COUNTBLANK(OFFSET(A$1,,,SUMPRODUCT(MAX(ROW(E$2:E1178)*(E1178=E$2:E1178)))))-COUNTBLANK(OFFSET(A$1,,,SUMPRODUCT(MAX(ROW(E$1:E1177)*(E2=E$1:E1177))))))</f>
        <v/>
      </c>
      <c r="K1178" s="24" t="str">
        <f>IF(OR(E1178="",E1178="!!!",F1178="NEW"),"",INDEX(J$1:J1177,SUMPRODUCT(MAX(ROW(E$1:E1177)*(E1178=E$1:E1177)))))</f>
        <v/>
      </c>
      <c r="L1178" s="25"/>
    </row>
    <row r="1179" spans="1:12" x14ac:dyDescent="0.3">
      <c r="A1179" t="s">
        <v>87</v>
      </c>
      <c r="B1179" s="26" t="s">
        <v>131</v>
      </c>
      <c r="C1179" s="26" t="s">
        <v>88</v>
      </c>
      <c r="D1179" s="26" t="s">
        <v>75</v>
      </c>
      <c r="E1179" s="20" t="s">
        <v>756</v>
      </c>
      <c r="F1179" s="21" t="str">
        <f>IF(OR(E1179="",E1179="!!!"),"",IF(NOT(ISNA(VLOOKUP(E1179,E$1:E1178,1,FALSE()))),"OLD",IF(AND(E1179&lt;&gt;"",E1179&lt;&gt;"!!!"),"NEW","")))</f>
        <v>OLD</v>
      </c>
      <c r="G1179" s="22" t="str">
        <f ca="1"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?IN_FOCUS</v>
      </c>
      <c r="H1179" s="23" t="str">
        <f t="shared" ca="1" si="79"/>
        <v/>
      </c>
      <c r="I1179" s="24" t="str">
        <f>IF(OR(E1179="",E1179="!!!",F1179="NEW"),"",INDEX(B$2:B1178,-1+SUMPRODUCT(MAX(ROW(E$2:E1178)*(E1179=E$2:E1178)))))</f>
        <v>other_2</v>
      </c>
      <c r="J1179" s="24">
        <f ca="1">IF(OR(E1179="",E1179="!!!",F1179="NEW"),"",COUNTBLANK(OFFSET(A$1,,,SUMPRODUCT(MAX(ROW(E$2:E1179)*(E1179=E$2:E1179)))))-COUNTBLANK(OFFSET(A$1,,,SUMPRODUCT(MAX(ROW(E$1:E1178)*(E2=E$1:E1178))))))</f>
        <v>0</v>
      </c>
      <c r="K1179" s="24">
        <f ca="1">IF(OR(E1179="",E1179="!!!",F1179="NEW"),"",INDEX(J$1:J1178,SUMPRODUCT(MAX(ROW(E$1:E1178)*(E1179=E$1:E1178)))))</f>
        <v>0</v>
      </c>
      <c r="L1179" s="25"/>
    </row>
    <row r="1180" spans="1:12" x14ac:dyDescent="0.3">
      <c r="A1180" t="s">
        <v>772</v>
      </c>
      <c r="E1180" s="20"/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ca="1" si="79"/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136</v>
      </c>
      <c r="E1181" s="20" t="str">
        <f>IF(D1181="?OLD","!!!","")</f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79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359</v>
      </c>
      <c r="B1182" s="26" t="s">
        <v>96</v>
      </c>
      <c r="C1182" s="26" t="s">
        <v>280</v>
      </c>
      <c r="D1182" s="26" t="s">
        <v>75</v>
      </c>
      <c r="E1182" s="20" t="s">
        <v>360</v>
      </c>
      <c r="F1182" s="21" t="str">
        <f>IF(OR(E1182="",E1182="!!!"),"",IF(NOT(ISNA(VLOOKUP(E1182,E$1:E1181,1,FALSE()))),"OLD",IF(AND(E1182&lt;&gt;"",E1182&lt;&gt;"!!!"),"NEW","")))</f>
        <v>OLD</v>
      </c>
      <c r="G1182" s="22" t="str">
        <f ca="1"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?IN_FOCUS</v>
      </c>
      <c r="H1182" s="23" t="str">
        <f t="shared" ca="1" si="79"/>
        <v/>
      </c>
      <c r="I1182" s="24" t="str">
        <f>IF(OR(E1182="",E1182="!!!",F1182="NEW"),"",INDEX(B$2:B1181,-1+SUMPRODUCT(MAX(ROW(E$2:E1181)*(E1182=E$2:E1181)))))</f>
        <v>SBJ_3</v>
      </c>
      <c r="J1182" s="24">
        <f ca="1">IF(OR(E1182="",E1182="!!!",F1182="NEW"),"",COUNTBLANK(OFFSET(A$1,,,SUMPRODUCT(MAX(ROW(E$2:E1182)*(E1182=E$2:E1182)))))-COUNTBLANK(OFFSET(A$1,,,SUMPRODUCT(MAX(ROW(E$1:E1181)*(E2=E$1:E1181))))))</f>
        <v>0</v>
      </c>
      <c r="K1182" s="24">
        <f ca="1">IF(OR(E1182="",E1182="!!!",F1182="NEW"),"",INDEX(J$1:J1181,SUMPRODUCT(MAX(ROW(E$1:E1181)*(E1182=E$1:E1181)))))</f>
        <v>0</v>
      </c>
      <c r="L1182" s="25"/>
    </row>
    <row r="1183" spans="1:12" x14ac:dyDescent="0.3">
      <c r="A1183" t="s">
        <v>773</v>
      </c>
      <c r="E1183" s="20" t="str">
        <f>IF(D1183="?OLD","!!!","")</f>
        <v/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79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79</v>
      </c>
      <c r="E1184" s="20" t="str">
        <f>IF(D1184="?OLD","!!!","")</f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ref="H1184:H1215" ca="1" si="81">IF(J1184&lt;&gt;1,"",IF(I1184="SBJ","CB","?"))</f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187</v>
      </c>
      <c r="E1185" s="20" t="str">
        <f>IF(D1185="?OLD","!!!","")</f>
        <v/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81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774</v>
      </c>
      <c r="E1186" s="20" t="str">
        <f>IF(D1186="?OLD","!!!","")</f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81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7" spans="1:12" x14ac:dyDescent="0.3">
      <c r="A1187" t="s">
        <v>775</v>
      </c>
      <c r="B1187" s="26" t="s">
        <v>82</v>
      </c>
      <c r="C1187" s="26" t="s">
        <v>74</v>
      </c>
      <c r="D1187" s="26" t="s">
        <v>75</v>
      </c>
      <c r="E1187" s="20" t="s">
        <v>765</v>
      </c>
      <c r="F1187" s="21" t="str">
        <f>IF(OR(E1187="",E1187="!!!"),"",IF(NOT(ISNA(VLOOKUP(E1187,E$1:E1186,1,FALSE()))),"OLD",IF(AND(E1187&lt;&gt;"",E1187&lt;&gt;"!!!"),"NEW","")))</f>
        <v>NEW</v>
      </c>
      <c r="G1187" s="22" t="str">
        <f ca="1"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?REFERENTIAL</v>
      </c>
      <c r="H1187" s="23" t="str">
        <f t="shared" ca="1" si="81"/>
        <v/>
      </c>
      <c r="I1187" s="24" t="str">
        <f>IF(OR(E1187="",E1187="!!!",F1187="NEW"),"",INDEX(B$2:B1186,-1+SUMPRODUCT(MAX(ROW(E$2:E1186)*(E1187=E$2:E1186)))))</f>
        <v/>
      </c>
      <c r="J1187" s="24" t="str">
        <f ca="1">IF(OR(E1187="",E1187="!!!",F1187="NEW"),"",COUNTBLANK(OFFSET(A$1,,,SUMPRODUCT(MAX(ROW(E$2:E1187)*(E1187=E$2:E1187)))))-COUNTBLANK(OFFSET(A$1,,,SUMPRODUCT(MAX(ROW(E$1:E1186)*(E2=E$1:E1186))))))</f>
        <v/>
      </c>
      <c r="K1187" s="24" t="str">
        <f>IF(OR(E1187="",E1187="!!!",F1187="NEW"),"",INDEX(J$1:J1186,SUMPRODUCT(MAX(ROW(E$1:E1186)*(E1187=E$1:E1186)))))</f>
        <v/>
      </c>
      <c r="L1187" s="25"/>
    </row>
    <row r="1188" spans="1:12" x14ac:dyDescent="0.3">
      <c r="A1188" t="s">
        <v>86</v>
      </c>
      <c r="E1188" s="20" t="str">
        <f>IF(D1188="?OLD","!!!","")</f>
        <v/>
      </c>
      <c r="F1188" s="21" t="str">
        <f>IF(OR(E1188="",E1188="!!!"),"",IF(NOT(ISNA(VLOOKUP(E1188,E$1:E1187,1,FALSE()))),"OLD",IF(AND(E1188&lt;&gt;"",E1188&lt;&gt;"!!!"),"NEW","")))</f>
        <v/>
      </c>
      <c r="G1188" s="22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3" t="str">
        <f t="shared" ca="1" si="81"/>
        <v/>
      </c>
      <c r="I1188" s="24" t="str">
        <f>IF(OR(E1188="",E1188="!!!",F1188="NEW"),"",INDEX(B$2:B1187,-1+SUMPRODUCT(MAX(ROW(E$2:E1187)*(E1188=E$2:E1187)))))</f>
        <v/>
      </c>
      <c r="J1188" s="24" t="str">
        <f ca="1">IF(OR(E1188="",E1188="!!!",F1188="NEW"),"",COUNTBLANK(OFFSET(A$1,,,SUMPRODUCT(MAX(ROW(E$2:E1188)*(E1188=E$2:E1188)))))-COUNTBLANK(OFFSET(A$1,,,SUMPRODUCT(MAX(ROW(E$1:E1187)*(E2=E$1:E1187))))))</f>
        <v/>
      </c>
      <c r="K1188" s="24" t="str">
        <f>IF(OR(E1188="",E1188="!!!",F1188="NEW"),"",INDEX(J$1:J1187,SUMPRODUCT(MAX(ROW(E$1:E1187)*(E1188=E$1:E1187)))))</f>
        <v/>
      </c>
      <c r="L1188" s="25"/>
    </row>
    <row r="1189" spans="1:12" x14ac:dyDescent="0.3">
      <c r="A1189" t="s">
        <v>588</v>
      </c>
      <c r="B1189" s="26" t="s">
        <v>154</v>
      </c>
      <c r="C1189" s="26" t="s">
        <v>589</v>
      </c>
      <c r="E1189" s="20" t="str">
        <f>IF(D1189="?OLD","!!!","")</f>
        <v/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ca="1" si="81"/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446</v>
      </c>
      <c r="E1190" s="20" t="str">
        <f>IF(D1190="?OLD","!!!","")</f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81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87</v>
      </c>
      <c r="B1191" s="26" t="s">
        <v>96</v>
      </c>
      <c r="C1191" s="26" t="s">
        <v>88</v>
      </c>
      <c r="D1191" s="26" t="s">
        <v>75</v>
      </c>
      <c r="E1191" s="20" t="s">
        <v>756</v>
      </c>
      <c r="F1191" s="21" t="str">
        <f>IF(OR(E1191="",E1191="!!!"),"",IF(NOT(ISNA(VLOOKUP(E1191,E$1:E1190,1,FALSE()))),"OLD",IF(AND(E1191&lt;&gt;"",E1191&lt;&gt;"!!!"),"NEW","")))</f>
        <v>OLD</v>
      </c>
      <c r="G1191" s="22" t="str">
        <f ca="1"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?IN_FOCUS</v>
      </c>
      <c r="H1191" s="23" t="str">
        <f t="shared" ca="1" si="81"/>
        <v/>
      </c>
      <c r="I1191" s="24" t="str">
        <f>IF(OR(E1191="",E1191="!!!",F1191="NEW"),"",INDEX(B$2:B1190,-1+SUMPRODUCT(MAX(ROW(E$2:E1190)*(E1191=E$2:E1190)))))</f>
        <v>other</v>
      </c>
      <c r="J1191" s="24">
        <f ca="1">IF(OR(E1191="",E1191="!!!",F1191="NEW"),"",COUNTBLANK(OFFSET(A$1,,,SUMPRODUCT(MAX(ROW(E$2:E1191)*(E1191=E$2:E1191)))))-COUNTBLANK(OFFSET(A$1,,,SUMPRODUCT(MAX(ROW(E$1:E1190)*(E2=E$1:E1190))))))</f>
        <v>0</v>
      </c>
      <c r="K1191" s="24">
        <f ca="1">IF(OR(E1191="",E1191="!!!",F1191="NEW"),"",INDEX(J$1:J1190,SUMPRODUCT(MAX(ROW(E$1:E1190)*(E1191=E$1:E1190)))))</f>
        <v>0</v>
      </c>
      <c r="L1191" s="25"/>
    </row>
    <row r="1192" spans="1:12" x14ac:dyDescent="0.3">
      <c r="A1192" t="s">
        <v>204</v>
      </c>
      <c r="E1192" s="20" t="str">
        <f>IF(D1192="?OLD","!!!","")</f>
        <v/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81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101</v>
      </c>
      <c r="E1193" s="20" t="str">
        <f>IF(D1193="?OLD","!!!","")</f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81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4" spans="1:12" x14ac:dyDescent="0.3">
      <c r="A1194" t="s">
        <v>123</v>
      </c>
      <c r="B1194" s="26" t="s">
        <v>96</v>
      </c>
      <c r="C1194" s="26" t="s">
        <v>88</v>
      </c>
      <c r="D1194" s="26" t="s">
        <v>75</v>
      </c>
      <c r="E1194" s="20" t="s">
        <v>770</v>
      </c>
      <c r="F1194" s="21" t="str">
        <f>IF(OR(E1194="",E1194="!!!"),"",IF(NOT(ISNA(VLOOKUP(E1194,E$1:E1193,1,FALSE()))),"OLD",IF(AND(E1194&lt;&gt;"",E1194&lt;&gt;"!!!"),"NEW","")))</f>
        <v>OLD</v>
      </c>
      <c r="G1194" s="22" t="str">
        <f ca="1"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?IN_FOCUS</v>
      </c>
      <c r="H1194" s="23" t="str">
        <f t="shared" ca="1" si="81"/>
        <v/>
      </c>
      <c r="I1194" s="24" t="str">
        <f>IF(OR(E1194="",E1194="!!!",F1194="NEW"),"",INDEX(B$2:B1193,-1+SUMPRODUCT(MAX(ROW(E$2:E1193)*(E1194=E$2:E1193)))))</f>
        <v>SBJ</v>
      </c>
      <c r="J1194" s="24">
        <f ca="1">IF(OR(E1194="",E1194="!!!",F1194="NEW"),"",COUNTBLANK(OFFSET(A$1,,,SUMPRODUCT(MAX(ROW(E$2:E1194)*(E1194=E$2:E1194)))))-COUNTBLANK(OFFSET(A$1,,,SUMPRODUCT(MAX(ROW(E$1:E1193)*(E2=E$1:E1193))))))</f>
        <v>0</v>
      </c>
      <c r="K1194" s="24" t="str">
        <f ca="1">IF(OR(E1194="",E1194="!!!",F1194="NEW"),"",INDEX(J$1:J1193,SUMPRODUCT(MAX(ROW(E$1:E1193)*(E1194=E$1:E1193)))))</f>
        <v/>
      </c>
      <c r="L1194" s="25"/>
    </row>
    <row r="1195" spans="1:12" x14ac:dyDescent="0.3">
      <c r="A1195" t="s">
        <v>78</v>
      </c>
      <c r="E1195" s="20" t="str">
        <f t="shared" ref="E1195:E1203" si="82">IF(D1195="?OLD","!!!","")</f>
        <v/>
      </c>
      <c r="F1195" s="21" t="str">
        <f>IF(OR(E1195="",E1195="!!!"),"",IF(NOT(ISNA(VLOOKUP(E1195,E$1:E1194,1,FALSE()))),"OLD",IF(AND(E1195&lt;&gt;"",E1195&lt;&gt;"!!!"),"NEW","")))</f>
        <v/>
      </c>
      <c r="G1195" s="22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3" t="str">
        <f t="shared" ca="1" si="81"/>
        <v/>
      </c>
      <c r="I1195" s="24" t="str">
        <f>IF(OR(E1195="",E1195="!!!",F1195="NEW"),"",INDEX(B$2:B1194,-1+SUMPRODUCT(MAX(ROW(E$2:E1194)*(E1195=E$2:E1194)))))</f>
        <v/>
      </c>
      <c r="J1195" s="24" t="str">
        <f ca="1">IF(OR(E1195="",E1195="!!!",F1195="NEW"),"",COUNTBLANK(OFFSET(A$1,,,SUMPRODUCT(MAX(ROW(E$2:E1195)*(E1195=E$2:E1195)))))-COUNTBLANK(OFFSET(A$1,,,SUMPRODUCT(MAX(ROW(E$1:E1194)*(E2=E$1:E1194))))))</f>
        <v/>
      </c>
      <c r="K1195" s="24" t="str">
        <f>IF(OR(E1195="",E1195="!!!",F1195="NEW"),"",INDEX(J$1:J1194,SUMPRODUCT(MAX(ROW(E$1:E1194)*(E1195=E$1:E1194)))))</f>
        <v/>
      </c>
      <c r="L1195" s="25"/>
    </row>
    <row r="1196" spans="1:12" x14ac:dyDescent="0.3">
      <c r="A1196" t="s">
        <v>285</v>
      </c>
      <c r="E1196" s="20" t="str">
        <f t="shared" si="82"/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t="shared" ca="1" si="81"/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258</v>
      </c>
      <c r="E1197" s="20" t="str">
        <f t="shared" si="82"/>
        <v/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t="shared" ca="1" si="81"/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8" spans="1:12" x14ac:dyDescent="0.3">
      <c r="A1198" t="s">
        <v>776</v>
      </c>
      <c r="E1198" s="20" t="str">
        <f t="shared" si="82"/>
        <v/>
      </c>
      <c r="F1198" s="21" t="str">
        <f>IF(OR(E1198="",E1198="!!!"),"",IF(NOT(ISNA(VLOOKUP(E1198,E$1:E1197,1,FALSE()))),"OLD",IF(AND(E1198&lt;&gt;"",E1198&lt;&gt;"!!!"),"NEW","")))</f>
        <v/>
      </c>
      <c r="G1198" s="22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3" t="str">
        <f t="shared" ca="1" si="81"/>
        <v/>
      </c>
      <c r="I1198" s="24" t="str">
        <f>IF(OR(E1198="",E1198="!!!",F1198="NEW"),"",INDEX(B$2:B1197,-1+SUMPRODUCT(MAX(ROW(E$2:E1197)*(E1198=E$2:E1197)))))</f>
        <v/>
      </c>
      <c r="J1198" s="24" t="str">
        <f ca="1">IF(OR(E1198="",E1198="!!!",F1198="NEW"),"",COUNTBLANK(OFFSET(A$1,,,SUMPRODUCT(MAX(ROW(E$2:E1198)*(E1198=E$2:E1198)))))-COUNTBLANK(OFFSET(A$1,,,SUMPRODUCT(MAX(ROW(E$1:E1197)*(E2=E$1:E1197))))))</f>
        <v/>
      </c>
      <c r="K1198" s="24" t="str">
        <f>IF(OR(E1198="",E1198="!!!",F1198="NEW"),"",INDEX(J$1:J1197,SUMPRODUCT(MAX(ROW(E$1:E1197)*(E1198=E$1:E1197)))))</f>
        <v/>
      </c>
      <c r="L1198" s="25"/>
    </row>
    <row r="1199" spans="1:12" x14ac:dyDescent="0.3">
      <c r="A1199" t="s">
        <v>163</v>
      </c>
      <c r="E1199" s="20" t="str">
        <f t="shared" si="82"/>
        <v/>
      </c>
      <c r="F1199" s="21" t="str">
        <f>IF(OR(E1199="",E1199="!!!"),"",IF(NOT(ISNA(VLOOKUP(E1199,E$1:E1198,1,FALSE()))),"OLD",IF(AND(E1199&lt;&gt;"",E1199&lt;&gt;"!!!"),"NEW","")))</f>
        <v/>
      </c>
      <c r="G1199" s="22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3" t="str">
        <f t="shared" ca="1" si="81"/>
        <v/>
      </c>
      <c r="I1199" s="24" t="str">
        <f>IF(OR(E1199="",E1199="!!!",F1199="NEW"),"",INDEX(B$2:B1198,-1+SUMPRODUCT(MAX(ROW(E$2:E1198)*(E1199=E$2:E1198)))))</f>
        <v/>
      </c>
      <c r="J1199" s="24" t="str">
        <f ca="1">IF(OR(E1199="",E1199="!!!",F1199="NEW"),"",COUNTBLANK(OFFSET(A$1,,,SUMPRODUCT(MAX(ROW(E$2:E1199)*(E1199=E$2:E1199)))))-COUNTBLANK(OFFSET(A$1,,,SUMPRODUCT(MAX(ROW(E$1:E1198)*(E2=E$1:E1198))))))</f>
        <v/>
      </c>
      <c r="K1199" s="24" t="str">
        <f>IF(OR(E1199="",E1199="!!!",F1199="NEW"),"",INDEX(J$1:J1198,SUMPRODUCT(MAX(ROW(E$1:E1198)*(E1199=E$1:E1198)))))</f>
        <v/>
      </c>
      <c r="L1199" s="25"/>
    </row>
    <row r="1200" spans="1:12" x14ac:dyDescent="0.3">
      <c r="A1200" t="s">
        <v>164</v>
      </c>
      <c r="B1200" s="26" t="s">
        <v>82</v>
      </c>
      <c r="C1200" s="26" t="s">
        <v>105</v>
      </c>
      <c r="E1200" s="20" t="str">
        <f t="shared" si="82"/>
        <v/>
      </c>
      <c r="F1200" s="21" t="str">
        <f>IF(OR(E1200="",E1200="!!!"),"",IF(NOT(ISNA(VLOOKUP(E1200,E$1:E1199,1,FALSE()))),"OLD",IF(AND(E1200&lt;&gt;"",E1200&lt;&gt;"!!!"),"NEW","")))</f>
        <v/>
      </c>
      <c r="G1200" s="22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3" t="str">
        <f t="shared" ca="1" si="81"/>
        <v/>
      </c>
      <c r="I1200" s="24" t="str">
        <f>IF(OR(E1200="",E1200="!!!",F1200="NEW"),"",INDEX(B$2:B1199,-1+SUMPRODUCT(MAX(ROW(E$2:E1199)*(E1200=E$2:E1199)))))</f>
        <v/>
      </c>
      <c r="J1200" s="24" t="str">
        <f ca="1">IF(OR(E1200="",E1200="!!!",F1200="NEW"),"",COUNTBLANK(OFFSET(A$1,,,SUMPRODUCT(MAX(ROW(E$2:E1200)*(E1200=E$2:E1200)))))-COUNTBLANK(OFFSET(A$1,,,SUMPRODUCT(MAX(ROW(E$1:E1199)*(E2=E$1:E1199))))))</f>
        <v/>
      </c>
      <c r="K1200" s="24" t="str">
        <f>IF(OR(E1200="",E1200="!!!",F1200="NEW"),"",INDEX(J$1:J1199,SUMPRODUCT(MAX(ROW(E$1:E1199)*(E1200=E$1:E1199)))))</f>
        <v/>
      </c>
      <c r="L1200" s="25"/>
    </row>
    <row r="1201" spans="1:12" x14ac:dyDescent="0.3">
      <c r="A1201" t="s">
        <v>101</v>
      </c>
      <c r="E1201" s="20" t="str">
        <f t="shared" si="82"/>
        <v/>
      </c>
      <c r="F1201" s="21" t="str">
        <f>IF(OR(E1201="",E1201="!!!"),"",IF(NOT(ISNA(VLOOKUP(E1201,E$1:E1200,1,FALSE()))),"OLD",IF(AND(E1201&lt;&gt;"",E1201&lt;&gt;"!!!"),"NEW","")))</f>
        <v/>
      </c>
      <c r="G1201" s="22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3" t="str">
        <f t="shared" ca="1" si="81"/>
        <v/>
      </c>
      <c r="I1201" s="24" t="str">
        <f>IF(OR(E1201="",E1201="!!!",F1201="NEW"),"",INDEX(B$2:B1200,-1+SUMPRODUCT(MAX(ROW(E$2:E1200)*(E1201=E$2:E1200)))))</f>
        <v/>
      </c>
      <c r="J1201" s="24" t="str">
        <f ca="1">IF(OR(E1201="",E1201="!!!",F1201="NEW"),"",COUNTBLANK(OFFSET(A$1,,,SUMPRODUCT(MAX(ROW(E$2:E1201)*(E1201=E$2:E1201)))))-COUNTBLANK(OFFSET(A$1,,,SUMPRODUCT(MAX(ROW(E$1:E1200)*(E2=E$1:E1200))))))</f>
        <v/>
      </c>
      <c r="K1201" s="24" t="str">
        <f>IF(OR(E1201="",E1201="!!!",F1201="NEW"),"",INDEX(J$1:J1200,SUMPRODUCT(MAX(ROW(E$1:E1200)*(E1201=E$1:E1200)))))</f>
        <v/>
      </c>
      <c r="L1201" s="25"/>
    </row>
    <row r="1202" spans="1:12" x14ac:dyDescent="0.3">
      <c r="A1202" t="s">
        <v>777</v>
      </c>
      <c r="B1202" s="26" t="s">
        <v>147</v>
      </c>
      <c r="C1202" s="26" t="s">
        <v>105</v>
      </c>
      <c r="E1202" s="20" t="str">
        <f t="shared" si="82"/>
        <v/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ca="1" si="81"/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86</v>
      </c>
      <c r="E1203" s="20" t="str">
        <f t="shared" si="82"/>
        <v/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81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87</v>
      </c>
      <c r="B1204" s="26" t="s">
        <v>73</v>
      </c>
      <c r="C1204" s="26" t="s">
        <v>88</v>
      </c>
      <c r="D1204" s="26" t="s">
        <v>75</v>
      </c>
      <c r="E1204" s="20" t="s">
        <v>756</v>
      </c>
      <c r="F1204" s="21" t="str">
        <f>IF(OR(E1204="",E1204="!!!"),"",IF(NOT(ISNA(VLOOKUP(E1204,E$1:E1203,1,FALSE()))),"OLD",IF(AND(E1204&lt;&gt;"",E1204&lt;&gt;"!!!"),"NEW","")))</f>
        <v>OLD</v>
      </c>
      <c r="G1204" s="22" t="str">
        <f ca="1"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?IN_FOCUS</v>
      </c>
      <c r="H1204" s="23" t="str">
        <f t="shared" ca="1" si="81"/>
        <v/>
      </c>
      <c r="I1204" s="24" t="str">
        <f>IF(OR(E1204="",E1204="!!!",F1204="NEW"),"",INDEX(B$2:B1203,-1+SUMPRODUCT(MAX(ROW(E$2:E1203)*(E1204=E$2:E1203)))))</f>
        <v>SBJ_2</v>
      </c>
      <c r="J1204" s="24">
        <f ca="1">IF(OR(E1204="",E1204="!!!",F1204="NEW"),"",COUNTBLANK(OFFSET(A$1,,,SUMPRODUCT(MAX(ROW(E$2:E1204)*(E1204=E$2:E1204)))))-COUNTBLANK(OFFSET(A$1,,,SUMPRODUCT(MAX(ROW(E$1:E1203)*(E2=E$1:E1203))))))</f>
        <v>0</v>
      </c>
      <c r="K1204" s="24">
        <f ca="1">IF(OR(E1204="",E1204="!!!",F1204="NEW"),"",INDEX(J$1:J1203,SUMPRODUCT(MAX(ROW(E$1:E1203)*(E1204=E$1:E1203)))))</f>
        <v>0</v>
      </c>
      <c r="L1204" s="25"/>
    </row>
    <row r="1205" spans="1:12" x14ac:dyDescent="0.3">
      <c r="A1205" t="s">
        <v>778</v>
      </c>
      <c r="E1205" s="20" t="str">
        <f t="shared" ref="E1205:E1212" si="83">IF(D1205="?OLD","!!!","")</f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81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172</v>
      </c>
      <c r="E1206" s="20" t="str">
        <f t="shared" si="83"/>
        <v/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81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370</v>
      </c>
      <c r="E1207" s="20" t="str">
        <f t="shared" si="83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81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779</v>
      </c>
      <c r="E1208" s="20" t="str">
        <f t="shared" si="83"/>
        <v/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81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780</v>
      </c>
      <c r="B1209" s="26" t="s">
        <v>257</v>
      </c>
      <c r="C1209" s="26" t="s">
        <v>105</v>
      </c>
      <c r="E1209" s="20" t="str">
        <f t="shared" si="83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81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781</v>
      </c>
      <c r="E1210" s="20" t="str">
        <f t="shared" si="83"/>
        <v/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81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136</v>
      </c>
      <c r="E1211" s="20" t="str">
        <f t="shared" si="83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81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378</v>
      </c>
      <c r="E1212" s="20" t="str">
        <f t="shared" si="83"/>
        <v/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81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782</v>
      </c>
      <c r="B1213" s="26" t="s">
        <v>294</v>
      </c>
      <c r="C1213" s="26" t="s">
        <v>74</v>
      </c>
      <c r="D1213" s="26" t="s">
        <v>75</v>
      </c>
      <c r="E1213" s="20" t="s">
        <v>783</v>
      </c>
      <c r="F1213" s="21" t="str">
        <f>IF(OR(E1213="",E1213="!!!"),"",IF(NOT(ISNA(VLOOKUP(E1213,E$1:E1212,1,FALSE()))),"OLD",IF(AND(E1213&lt;&gt;"",E1213&lt;&gt;"!!!"),"NEW","")))</f>
        <v>NEW</v>
      </c>
      <c r="G1213" s="22" t="str">
        <f ca="1"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?REFERENTIAL</v>
      </c>
      <c r="H1213" s="23" t="str">
        <f t="shared" ca="1" si="81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784</v>
      </c>
      <c r="E1214" s="20" t="str">
        <f>IF(D1214="?OLD","!!!","")</f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81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5" spans="1:12" x14ac:dyDescent="0.3">
      <c r="A1215" t="s">
        <v>785</v>
      </c>
      <c r="B1215" s="26" t="s">
        <v>294</v>
      </c>
      <c r="C1215" s="26" t="s">
        <v>119</v>
      </c>
      <c r="E1215" s="20" t="str">
        <f>IF(D1215="?OLD","!!!","")</f>
        <v/>
      </c>
      <c r="F1215" s="21" t="str">
        <f>IF(OR(E1215="",E1215="!!!"),"",IF(NOT(ISNA(VLOOKUP(E1215,E$1:E1214,1,FALSE()))),"OLD",IF(AND(E1215&lt;&gt;"",E1215&lt;&gt;"!!!"),"NEW","")))</f>
        <v/>
      </c>
      <c r="G1215" s="22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3" t="str">
        <f t="shared" ca="1" si="81"/>
        <v/>
      </c>
      <c r="I1215" s="24" t="str">
        <f>IF(OR(E1215="",E1215="!!!",F1215="NEW"),"",INDEX(B$2:B1214,-1+SUMPRODUCT(MAX(ROW(E$2:E1214)*(E1215=E$2:E1214)))))</f>
        <v/>
      </c>
      <c r="J1215" s="24" t="str">
        <f ca="1">IF(OR(E1215="",E1215="!!!",F1215="NEW"),"",COUNTBLANK(OFFSET(A$1,,,SUMPRODUCT(MAX(ROW(E$2:E1215)*(E1215=E$2:E1215)))))-COUNTBLANK(OFFSET(A$1,,,SUMPRODUCT(MAX(ROW(E$1:E1214)*(E2=E$1:E1214))))))</f>
        <v/>
      </c>
      <c r="K1215" s="24" t="str">
        <f>IF(OR(E1215="",E1215="!!!",F1215="NEW"),"",INDEX(J$1:J1214,SUMPRODUCT(MAX(ROW(E$1:E1214)*(E1215=E$1:E1214)))))</f>
        <v/>
      </c>
      <c r="L1215" s="25"/>
    </row>
    <row r="1216" spans="1:12" x14ac:dyDescent="0.3">
      <c r="A1216" t="s">
        <v>240</v>
      </c>
      <c r="E1216" s="20" t="str">
        <f>IF(D1216="?OLD","!!!","")</f>
        <v/>
      </c>
      <c r="F1216" s="21" t="str">
        <f>IF(OR(E1216="",E1216="!!!"),"",IF(NOT(ISNA(VLOOKUP(E1216,E$1:E1215,1,FALSE()))),"OLD",IF(AND(E1216&lt;&gt;"",E1216&lt;&gt;"!!!"),"NEW","")))</f>
        <v/>
      </c>
      <c r="G1216" s="22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3" t="str">
        <f t="shared" ref="H1216:H1247" ca="1" si="84">IF(J1216&lt;&gt;1,"",IF(I1216="SBJ","CB","?"))</f>
        <v/>
      </c>
      <c r="I1216" s="24" t="str">
        <f>IF(OR(E1216="",E1216="!!!",F1216="NEW"),"",INDEX(B$2:B1215,-1+SUMPRODUCT(MAX(ROW(E$2:E1215)*(E1216=E$2:E1215)))))</f>
        <v/>
      </c>
      <c r="J1216" s="24" t="str">
        <f ca="1">IF(OR(E1216="",E1216="!!!",F1216="NEW"),"",COUNTBLANK(OFFSET(A$1,,,SUMPRODUCT(MAX(ROW(E$2:E1216)*(E1216=E$2:E1216)))))-COUNTBLANK(OFFSET(A$1,,,SUMPRODUCT(MAX(ROW(E$1:E1215)*(E2=E$1:E1215))))))</f>
        <v/>
      </c>
      <c r="K1216" s="24" t="str">
        <f>IF(OR(E1216="",E1216="!!!",F1216="NEW"),"",INDEX(J$1:J1215,SUMPRODUCT(MAX(ROW(E$1:E1215)*(E1216=E$1:E1215)))))</f>
        <v/>
      </c>
      <c r="L1216" s="25"/>
    </row>
    <row r="1217" spans="1:12" x14ac:dyDescent="0.3">
      <c r="A1217" t="s">
        <v>786</v>
      </c>
      <c r="B1217" s="26" t="s">
        <v>303</v>
      </c>
      <c r="C1217" s="26" t="s">
        <v>74</v>
      </c>
      <c r="D1217" s="26" t="s">
        <v>75</v>
      </c>
      <c r="E1217" s="20" t="s">
        <v>427</v>
      </c>
      <c r="F1217" s="21" t="s">
        <v>272</v>
      </c>
      <c r="G1217" s="22" t="str">
        <f ca="1"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?IN_FOCUS</v>
      </c>
      <c r="H1217" s="23" t="str">
        <f t="shared" ca="1" si="84"/>
        <v/>
      </c>
      <c r="I1217" s="24" t="str">
        <f>IF(OR(E1217="",E1217="!!!",F1217="NEW"),"",INDEX(B$2:B1216,-1+SUMPRODUCT(MAX(ROW(E$2:E1216)*(E1217=E$2:E1216)))))</f>
        <v>OBJ_6</v>
      </c>
      <c r="J1217" s="24">
        <f ca="1">IF(OR(E1217="",E1217="!!!",F1217="NEW"),"",COUNTBLANK(OFFSET(A$1,,,SUMPRODUCT(MAX(ROW(E$2:E1217)*(E1217=E$2:E1217)))))-COUNTBLANK(OFFSET(A$1,,,SUMPRODUCT(MAX(ROW(E$1:E1216)*(E2=E$1:E1216))))))</f>
        <v>0</v>
      </c>
      <c r="K1217" s="24">
        <f ca="1">IF(OR(E1217="",E1217="!!!",F1217="NEW"),"",INDEX(J$1:J1216,SUMPRODUCT(MAX(ROW(E$1:E1216)*(E1217=E$1:E1216)))))</f>
        <v>0</v>
      </c>
      <c r="L1217" s="25"/>
    </row>
    <row r="1218" spans="1:12" x14ac:dyDescent="0.3">
      <c r="A1218" t="s">
        <v>172</v>
      </c>
      <c r="E1218" s="20" t="str">
        <f t="shared" ref="E1218:E1227" si="85">IF(D1218="?OLD","!!!","")</f>
        <v/>
      </c>
      <c r="F1218" s="21" t="str">
        <f>IF(OR(E1218="",E1218="!!!"),"",IF(NOT(ISNA(VLOOKUP(E1218,E$1:E1217,1,FALSE()))),"OLD",IF(AND(E1218&lt;&gt;"",E1218&lt;&gt;"!!!"),"NEW","")))</f>
        <v/>
      </c>
      <c r="G1218" s="22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3" t="str">
        <f t="shared" ca="1" si="84"/>
        <v/>
      </c>
      <c r="I1218" s="24" t="str">
        <f>IF(OR(E1218="",E1218="!!!",F1218="NEW"),"",INDEX(B$2:B1217,-1+SUMPRODUCT(MAX(ROW(E$2:E1217)*(E1218=E$2:E1217)))))</f>
        <v/>
      </c>
      <c r="J1218" s="24" t="str">
        <f ca="1">IF(OR(E1218="",E1218="!!!",F1218="NEW"),"",COUNTBLANK(OFFSET(A$1,,,SUMPRODUCT(MAX(ROW(E$2:E1218)*(E1218=E$2:E1218)))))-COUNTBLANK(OFFSET(A$1,,,SUMPRODUCT(MAX(ROW(E$1:E1217)*(E2=E$1:E1217))))))</f>
        <v/>
      </c>
      <c r="K1218" s="24" t="str">
        <f>IF(OR(E1218="",E1218="!!!",F1218="NEW"),"",INDEX(J$1:J1217,SUMPRODUCT(MAX(ROW(E$1:E1217)*(E1218=E$1:E1217)))))</f>
        <v/>
      </c>
      <c r="L1218" s="25"/>
    </row>
    <row r="1219" spans="1:12" x14ac:dyDescent="0.3">
      <c r="A1219" t="s">
        <v>787</v>
      </c>
      <c r="B1219" s="26" t="s">
        <v>303</v>
      </c>
      <c r="C1219" s="26" t="s">
        <v>111</v>
      </c>
      <c r="E1219" s="20" t="str">
        <f t="shared" si="85"/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ca="1" si="84"/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101</v>
      </c>
      <c r="E1220" s="20" t="str">
        <f t="shared" si="85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84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788</v>
      </c>
      <c r="B1221" s="26" t="s">
        <v>402</v>
      </c>
      <c r="C1221" s="26" t="s">
        <v>111</v>
      </c>
      <c r="E1221" s="20" t="str">
        <f t="shared" si="85"/>
        <v/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84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142</v>
      </c>
      <c r="E1222" s="20" t="str">
        <f t="shared" si="85"/>
        <v/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84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789</v>
      </c>
      <c r="E1223" s="20" t="str">
        <f t="shared" si="85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84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426</v>
      </c>
      <c r="B1224" s="26" t="s">
        <v>402</v>
      </c>
      <c r="C1224" s="26" t="s">
        <v>105</v>
      </c>
      <c r="E1224" s="20" t="str">
        <f t="shared" si="85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84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86</v>
      </c>
      <c r="E1225" s="20" t="str">
        <f t="shared" si="85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84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733</v>
      </c>
      <c r="E1226" s="20" t="str">
        <f t="shared" si="85"/>
        <v/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84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78</v>
      </c>
      <c r="E1227" s="20" t="str">
        <f t="shared" si="85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84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8" spans="1:12" x14ac:dyDescent="0.3">
      <c r="A1228" t="s">
        <v>212</v>
      </c>
      <c r="B1228" s="26" t="s">
        <v>300</v>
      </c>
      <c r="C1228" s="26" t="s">
        <v>208</v>
      </c>
      <c r="D1228" s="26" t="s">
        <v>75</v>
      </c>
      <c r="E1228" s="20" t="s">
        <v>206</v>
      </c>
      <c r="F1228" s="21" t="s">
        <v>272</v>
      </c>
      <c r="G1228" s="22" t="str">
        <f ca="1"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?IN_FOCUS</v>
      </c>
      <c r="H1228" s="23" t="str">
        <f t="shared" ca="1" si="84"/>
        <v/>
      </c>
      <c r="I1228" s="24" t="str">
        <f>IF(OR(E1228="",E1228="!!!",F1228="NEW"),"",INDEX(B$2:B1227,-1+SUMPRODUCT(MAX(ROW(E$2:E1227)*(E1228=E$2:E1227)))))</f>
        <v>SBJ_3</v>
      </c>
      <c r="J1228" s="24">
        <f ca="1">IF(OR(E1228="",E1228="!!!",F1228="NEW"),"",COUNTBLANK(OFFSET(A$1,,,SUMPRODUCT(MAX(ROW(E$2:E1228)*(E1228=E$2:E1228)))))-COUNTBLANK(OFFSET(A$1,,,SUMPRODUCT(MAX(ROW(E$1:E1227)*(E2=E$1:E1227))))))</f>
        <v>0</v>
      </c>
      <c r="K1228" s="24">
        <f ca="1">IF(OR(E1228="",E1228="!!!",F1228="NEW"),"",INDEX(J$1:J1227,SUMPRODUCT(MAX(ROW(E$1:E1227)*(E1228=E$1:E1227)))))</f>
        <v>0</v>
      </c>
      <c r="L1228" s="25"/>
    </row>
    <row r="1229" spans="1:12" x14ac:dyDescent="0.3">
      <c r="A1229" t="s">
        <v>359</v>
      </c>
      <c r="B1229" s="26" t="s">
        <v>303</v>
      </c>
      <c r="C1229" s="26" t="s">
        <v>280</v>
      </c>
      <c r="D1229" s="26" t="s">
        <v>75</v>
      </c>
      <c r="E1229" s="20" t="s">
        <v>360</v>
      </c>
      <c r="F1229" s="21" t="str">
        <f>IF(OR(E1229="",E1229="!!!"),"",IF(NOT(ISNA(VLOOKUP(E1229,E$1:E1228,1,FALSE()))),"OLD",IF(AND(E1229&lt;&gt;"",E1229&lt;&gt;"!!!"),"NEW","")))</f>
        <v>OLD</v>
      </c>
      <c r="G1229" s="22" t="str">
        <f ca="1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?IN_FOCUS</v>
      </c>
      <c r="H1229" s="23" t="str">
        <f t="shared" ca="1" si="84"/>
        <v/>
      </c>
      <c r="I1229" s="24" t="str">
        <f>IF(OR(E1229="",E1229="!!!",F1229="NEW"),"",INDEX(B$2:B1228,-1+SUMPRODUCT(MAX(ROW(E$2:E1228)*(E1229=E$2:E1228)))))</f>
        <v>SBJ_2</v>
      </c>
      <c r="J1229" s="24">
        <f ca="1">IF(OR(E1229="",E1229="!!!",F1229="NEW"),"",COUNTBLANK(OFFSET(A$1,,,SUMPRODUCT(MAX(ROW(E$2:E1229)*(E1229=E$2:E1229)))))-COUNTBLANK(OFFSET(A$1,,,SUMPRODUCT(MAX(ROW(E$1:E1228)*(E2=E$1:E1228))))))</f>
        <v>0</v>
      </c>
      <c r="K1229" s="24">
        <f ca="1">IF(OR(E1229="",E1229="!!!",F1229="NEW"),"",INDEX(J$1:J1228,SUMPRODUCT(MAX(ROW(E$1:E1228)*(E1229=E$1:E1228)))))</f>
        <v>0</v>
      </c>
      <c r="L1229" s="25"/>
    </row>
    <row r="1230" spans="1:12" x14ac:dyDescent="0.3">
      <c r="A1230" t="s">
        <v>285</v>
      </c>
      <c r="B1230" s="26" t="s">
        <v>115</v>
      </c>
      <c r="C1230" s="26" t="s">
        <v>790</v>
      </c>
      <c r="D1230" s="26" t="s">
        <v>75</v>
      </c>
      <c r="E1230" s="20" t="s">
        <v>791</v>
      </c>
      <c r="F1230" s="21" t="str">
        <f>IF(OR(E1230="",E1230="!!!"),"",IF(NOT(ISNA(VLOOKUP(E1230,E$1:E1229,1,FALSE()))),"OLD",IF(AND(E1230&lt;&gt;"",E1230&lt;&gt;"!!!"),"NEW","")))</f>
        <v>NEW</v>
      </c>
      <c r="G1230" s="22" t="str">
        <f ca="1"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?REFERENTIAL</v>
      </c>
      <c r="H1230" s="23" t="str">
        <f t="shared" ca="1" si="84"/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7" t="s">
        <v>792</v>
      </c>
    </row>
    <row r="1231" spans="1:12" x14ac:dyDescent="0.3">
      <c r="A1231" t="s">
        <v>86</v>
      </c>
      <c r="E1231" s="20" t="str">
        <f>IF(D1231="?OLD","!!!","")</f>
        <v/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84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370</v>
      </c>
      <c r="E1232" s="20" t="str">
        <f>IF(D1232="?OLD","!!!","")</f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84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793</v>
      </c>
      <c r="B1233" s="26" t="s">
        <v>257</v>
      </c>
      <c r="C1233" s="26" t="s">
        <v>105</v>
      </c>
      <c r="E1233" s="20" t="str">
        <f>IF(D1233="?OLD","!!!","")</f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84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794</v>
      </c>
      <c r="E1234" s="20" t="s">
        <v>97</v>
      </c>
      <c r="F1234" s="21" t="str">
        <f>IF(OR(E1234="",E1234="!!!"),"",IF(NOT(ISNA(VLOOKUP(E1234,E$1:E1233,1,FALSE()))),"OLD",IF(AND(E1234&lt;&gt;"",E1234&lt;&gt;"!!!"),"NEW","")))</f>
        <v>OLD</v>
      </c>
      <c r="G1234" s="22" t="str">
        <f ca="1"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?IN_FOCUS</v>
      </c>
      <c r="H1234" s="23" t="str">
        <f t="shared" ca="1" si="84"/>
        <v/>
      </c>
      <c r="I1234" s="24" t="str">
        <f>IF(OR(E1234="",E1234="!!!",F1234="NEW"),"",INDEX(B$2:B1233,-1+SUMPRODUCT(MAX(ROW(E$2:E1233)*(E1234=E$2:E1233)))))</f>
        <v>SBJ_2</v>
      </c>
      <c r="J1234" s="24">
        <f ca="1">IF(OR(E1234="",E1234="!!!",F1234="NEW"),"",COUNTBLANK(OFFSET(A$1,,,SUMPRODUCT(MAX(ROW(E$2:E1234)*(E1234=E$2:E1234)))))-COUNTBLANK(OFFSET(A$1,,,SUMPRODUCT(MAX(ROW(E$1:E1233)*(E2=E$1:E1233))))))</f>
        <v>0</v>
      </c>
      <c r="K1234" s="24">
        <f ca="1">IF(OR(E1234="",E1234="!!!",F1234="NEW"),"",INDEX(J$1:J1233,SUMPRODUCT(MAX(ROW(E$1:E1233)*(E1234=E$1:E1233)))))</f>
        <v>0</v>
      </c>
      <c r="L1234" s="25"/>
    </row>
    <row r="1235" spans="1:12" x14ac:dyDescent="0.3">
      <c r="A1235" t="s">
        <v>795</v>
      </c>
      <c r="B1235" s="26" t="s">
        <v>303</v>
      </c>
      <c r="C1235" s="26" t="s">
        <v>474</v>
      </c>
      <c r="E1235" s="20" t="s">
        <v>796</v>
      </c>
      <c r="F1235" s="21" t="str">
        <f>IF(OR(E1235="",E1235="!!!"),"",IF(NOT(ISNA(VLOOKUP(E1235,E$1:E1234,1,FALSE()))),"OLD",IF(AND(E1235&lt;&gt;"",E1235&lt;&gt;"!!!"),"NEW","")))</f>
        <v>NEW</v>
      </c>
      <c r="G1235" s="22" t="str">
        <f ca="1"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?REFERENTIAL</v>
      </c>
      <c r="H1235" s="23" t="str">
        <f t="shared" ca="1" si="84"/>
        <v/>
      </c>
      <c r="I1235" s="24" t="str">
        <f>IF(OR(E1235="",E1235="!!!",F1235="NEW"),"",INDEX(B$2:B1234,-1+SUMPRODUCT(MAX(ROW(E$2:E1234)*(E1235=E$2:E1234)))))</f>
        <v/>
      </c>
      <c r="J1235" s="24" t="str">
        <f ca="1">IF(OR(E1235="",E1235="!!!",F1235="NEW"),"",COUNTBLANK(OFFSET(A$1,,,SUMPRODUCT(MAX(ROW(E$2:E1235)*(E1235=E$2:E1235)))))-COUNTBLANK(OFFSET(A$1,,,SUMPRODUCT(MAX(ROW(E$1:E1234)*(E2=E$1:E1234))))))</f>
        <v/>
      </c>
      <c r="K1235" s="24" t="str">
        <f>IF(OR(E1235="",E1235="!!!",F1235="NEW"),"",INDEX(J$1:J1234,SUMPRODUCT(MAX(ROW(E$1:E1234)*(E1235=E$1:E1234)))))</f>
        <v/>
      </c>
      <c r="L1235" s="25"/>
    </row>
    <row r="1236" spans="1:12" x14ac:dyDescent="0.3">
      <c r="A1236" t="s">
        <v>78</v>
      </c>
      <c r="E1236" s="20" t="str">
        <f>IF(D1236="?OLD","!!!","")</f>
        <v/>
      </c>
      <c r="F1236" s="21" t="str">
        <f>IF(OR(E1236="",E1236="!!!"),"",IF(NOT(ISNA(VLOOKUP(E1236,E$1:E1235,1,FALSE()))),"OLD",IF(AND(E1236&lt;&gt;"",E1236&lt;&gt;"!!!"),"NEW","")))</f>
        <v/>
      </c>
      <c r="G1236" s="22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3" t="str">
        <f t="shared" ca="1" si="84"/>
        <v/>
      </c>
      <c r="I1236" s="24" t="str">
        <f>IF(OR(E1236="",E1236="!!!",F1236="NEW"),"",INDEX(B$2:B1235,-1+SUMPRODUCT(MAX(ROW(E$2:E1235)*(E1236=E$2:E1235)))))</f>
        <v/>
      </c>
      <c r="J1236" s="24" t="str">
        <f ca="1">IF(OR(E1236="",E1236="!!!",F1236="NEW"),"",COUNTBLANK(OFFSET(A$1,,,SUMPRODUCT(MAX(ROW(E$2:E1236)*(E1236=E$2:E1236)))))-COUNTBLANK(OFFSET(A$1,,,SUMPRODUCT(MAX(ROW(E$1:E1235)*(E2=E$1:E1235))))))</f>
        <v/>
      </c>
      <c r="K1236" s="24" t="str">
        <f>IF(OR(E1236="",E1236="!!!",F1236="NEW"),"",INDEX(J$1:J1235,SUMPRODUCT(MAX(ROW(E$1:E1235)*(E1236=E$1:E1235)))))</f>
        <v/>
      </c>
      <c r="L1236" s="25"/>
    </row>
    <row r="1237" spans="1:12" x14ac:dyDescent="0.3">
      <c r="A1237" t="s">
        <v>101</v>
      </c>
      <c r="E1237" s="20" t="str">
        <f>IF(D1237="?OLD","!!!","")</f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ca="1" si="84"/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636</v>
      </c>
      <c r="E1238" s="20" t="str">
        <f>IF(D1238="?OLD","!!!","")</f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84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797</v>
      </c>
      <c r="E1239" s="20" t="str">
        <f>IF(D1239="?OLD","!!!","")</f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84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103</v>
      </c>
      <c r="B1240" s="26" t="s">
        <v>303</v>
      </c>
      <c r="C1240" s="26" t="s">
        <v>119</v>
      </c>
      <c r="E1240" s="20" t="s">
        <v>106</v>
      </c>
      <c r="F1240" s="21" t="s">
        <v>272</v>
      </c>
      <c r="G1240" s="22" t="str">
        <f ca="1"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?IN_FOCUS</v>
      </c>
      <c r="H1240" s="23" t="str">
        <f t="shared" ca="1" si="84"/>
        <v/>
      </c>
      <c r="I1240" s="24" t="str">
        <f>IF(OR(E1240="",E1240="!!!",F1240="NEW"),"",INDEX(B$2:B1239,-1+SUMPRODUCT(MAX(ROW(E$2:E1239)*(E1240=E$2:E1239)))))</f>
        <v>SBJ_3</v>
      </c>
      <c r="J1240" s="24">
        <f ca="1">IF(OR(E1240="",E1240="!!!",F1240="NEW"),"",COUNTBLANK(OFFSET(A$1,,,SUMPRODUCT(MAX(ROW(E$2:E1240)*(E1240=E$2:E1240)))))-COUNTBLANK(OFFSET(A$1,,,SUMPRODUCT(MAX(ROW(E$1:E1239)*(E2=E$1:E1239))))))</f>
        <v>0</v>
      </c>
      <c r="K1240" s="24">
        <f ca="1">IF(OR(E1240="",E1240="!!!",F1240="NEW"),"",INDEX(J$1:J1239,SUMPRODUCT(MAX(ROW(E$1:E1239)*(E1240=E$1:E1239)))))</f>
        <v>0</v>
      </c>
      <c r="L1240" s="25"/>
    </row>
    <row r="1241" spans="1:12" x14ac:dyDescent="0.3">
      <c r="A1241" t="s">
        <v>155</v>
      </c>
      <c r="E1241" s="20" t="str">
        <f>IF(D1241="?OLD","!!!","")</f>
        <v/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84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798</v>
      </c>
      <c r="E1242" s="20" t="str">
        <f>IF(D1242="?OLD","!!!","")</f>
        <v/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84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86</v>
      </c>
      <c r="E1243" s="20" t="str">
        <f>IF(D1243="?OLD","!!!","")</f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84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799</v>
      </c>
      <c r="E1244" s="20" t="str">
        <f>IF(D1244="?OLD","!!!","")</f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84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5" spans="1:12" x14ac:dyDescent="0.3">
      <c r="A1245" t="s">
        <v>800</v>
      </c>
      <c r="B1245" s="26" t="s">
        <v>203</v>
      </c>
      <c r="C1245" s="26" t="s">
        <v>111</v>
      </c>
      <c r="E1245" s="20" t="s">
        <v>106</v>
      </c>
      <c r="F1245" s="21" t="str">
        <f>IF(OR(E1245="",E1245="!!!"),"",IF(NOT(ISNA(VLOOKUP(E1245,E$1:E1244,1,FALSE()))),"OLD",IF(AND(E1245&lt;&gt;"",E1245&lt;&gt;"!!!"),"NEW","")))</f>
        <v>OLD</v>
      </c>
      <c r="G1245" s="22" t="str">
        <f ca="1"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?IN_FOCUS</v>
      </c>
      <c r="H1245" s="23" t="str">
        <f t="shared" ca="1" si="84"/>
        <v/>
      </c>
      <c r="I1245" s="24" t="str">
        <f>IF(OR(E1245="",E1245="!!!",F1245="NEW"),"",INDEX(B$2:B1244,-1+SUMPRODUCT(MAX(ROW(E$2:E1244)*(E1245=E$2:E1244)))))</f>
        <v>other_5</v>
      </c>
      <c r="J1245" s="24">
        <f ca="1">IF(OR(E1245="",E1245="!!!",F1245="NEW"),"",COUNTBLANK(OFFSET(A$1,,,SUMPRODUCT(MAX(ROW(E$2:E1245)*(E1245=E$2:E1245)))))-COUNTBLANK(OFFSET(A$1,,,SUMPRODUCT(MAX(ROW(E$1:E1244)*(E2=E$1:E1244))))))</f>
        <v>0</v>
      </c>
      <c r="K1245" s="24">
        <f ca="1">IF(OR(E1245="",E1245="!!!",F1245="NEW"),"",INDEX(J$1:J1244,SUMPRODUCT(MAX(ROW(E$1:E1244)*(E1245=E$1:E1244)))))</f>
        <v>0</v>
      </c>
      <c r="L1245" s="25"/>
    </row>
    <row r="1246" spans="1:12" x14ac:dyDescent="0.3">
      <c r="A1246" t="s">
        <v>458</v>
      </c>
      <c r="E1246" s="20" t="str">
        <f>IF(D1246="?OLD","!!!","")</f>
        <v/>
      </c>
      <c r="F1246" s="21" t="str">
        <f>IF(OR(E1246="",E1246="!!!"),"",IF(NOT(ISNA(VLOOKUP(E1246,E$1:E1245,1,FALSE()))),"OLD",IF(AND(E1246&lt;&gt;"",E1246&lt;&gt;"!!!"),"NEW","")))</f>
        <v/>
      </c>
      <c r="G1246" s="22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3" t="str">
        <f t="shared" ca="1" si="84"/>
        <v/>
      </c>
      <c r="I1246" s="24" t="str">
        <f>IF(OR(E1246="",E1246="!!!",F1246="NEW"),"",INDEX(B$2:B1245,-1+SUMPRODUCT(MAX(ROW(E$2:E1245)*(E1246=E$2:E1245)))))</f>
        <v/>
      </c>
      <c r="J1246" s="24" t="str">
        <f ca="1">IF(OR(E1246="",E1246="!!!",F1246="NEW"),"",COUNTBLANK(OFFSET(A$1,,,SUMPRODUCT(MAX(ROW(E$2:E1246)*(E1246=E$2:E1246)))))-COUNTBLANK(OFFSET(A$1,,,SUMPRODUCT(MAX(ROW(E$1:E1245)*(E2=E$1:E1245))))))</f>
        <v/>
      </c>
      <c r="K1246" s="24" t="str">
        <f>IF(OR(E1246="",E1246="!!!",F1246="NEW"),"",INDEX(J$1:J1245,SUMPRODUCT(MAX(ROW(E$1:E1245)*(E1246=E$1:E1245)))))</f>
        <v/>
      </c>
      <c r="L1246" s="25"/>
    </row>
    <row r="1247" spans="1:12" x14ac:dyDescent="0.3">
      <c r="A1247" t="s">
        <v>160</v>
      </c>
      <c r="E1247" s="20" t="s">
        <v>791</v>
      </c>
      <c r="F1247" s="21" t="str">
        <f>IF(OR(E1247="",E1247="!!!"),"",IF(NOT(ISNA(VLOOKUP(E1247,E$1:E1246,1,FALSE()))),"OLD",IF(AND(E1247&lt;&gt;"",E1247&lt;&gt;"!!!"),"NEW","")))</f>
        <v>OLD</v>
      </c>
      <c r="G1247" s="22" t="str">
        <f ca="1"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?IN_FOCUS</v>
      </c>
      <c r="H1247" s="23" t="str">
        <f t="shared" ca="1" si="84"/>
        <v/>
      </c>
      <c r="I1247" s="24" t="str">
        <f>IF(OR(E1247="",E1247="!!!",F1247="NEW"),"",INDEX(B$2:B1246,-1+SUMPRODUCT(MAX(ROW(E$2:E1246)*(E1247=E$2:E1246)))))</f>
        <v>other_4</v>
      </c>
      <c r="J1247" s="24">
        <f ca="1">IF(OR(E1247="",E1247="!!!",F1247="NEW"),"",COUNTBLANK(OFFSET(A$1,,,SUMPRODUCT(MAX(ROW(E$2:E1247)*(E1247=E$2:E1247)))))-COUNTBLANK(OFFSET(A$1,,,SUMPRODUCT(MAX(ROW(E$1:E1246)*(E2=E$1:E1246))))))</f>
        <v>0</v>
      </c>
      <c r="K1247" s="24" t="str">
        <f ca="1">IF(OR(E1247="",E1247="!!!",F1247="NEW"),"",INDEX(J$1:J1246,SUMPRODUCT(MAX(ROW(E$1:E1246)*(E1247=E$1:E1246)))))</f>
        <v/>
      </c>
      <c r="L1247" s="25"/>
    </row>
    <row r="1248" spans="1:12" x14ac:dyDescent="0.3">
      <c r="A1248" t="s">
        <v>640</v>
      </c>
      <c r="E1248" s="20" t="str">
        <f>IF(D1248="?OLD","!!!","")</f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ref="H1248:H1279" ca="1" si="86">IF(J1248&lt;&gt;1,"",IF(I1248="SBJ","CB","?"))</f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86</v>
      </c>
      <c r="E1249" s="20" t="str">
        <f>IF(D1249="?OLD","!!!","")</f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86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0" spans="1:12" x14ac:dyDescent="0.3">
      <c r="A1250" t="s">
        <v>801</v>
      </c>
      <c r="E1250" s="20" t="str">
        <f>IF(D1250="?OLD","!!!","")</f>
        <v/>
      </c>
      <c r="F1250" s="21" t="str">
        <f>IF(OR(E1250="",E1250="!!!"),"",IF(NOT(ISNA(VLOOKUP(E1250,E$1:E1249,1,FALSE()))),"OLD",IF(AND(E1250&lt;&gt;"",E1250&lt;&gt;"!!!"),"NEW","")))</f>
        <v/>
      </c>
      <c r="G1250" s="22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3" t="str">
        <f t="shared" ca="1" si="86"/>
        <v/>
      </c>
      <c r="I1250" s="24" t="str">
        <f>IF(OR(E1250="",E1250="!!!",F1250="NEW"),"",INDEX(B$2:B1249,-1+SUMPRODUCT(MAX(ROW(E$2:E1249)*(E1250=E$2:E1249)))))</f>
        <v/>
      </c>
      <c r="J1250" s="24" t="str">
        <f ca="1">IF(OR(E1250="",E1250="!!!",F1250="NEW"),"",COUNTBLANK(OFFSET(A$1,,,SUMPRODUCT(MAX(ROW(E$2:E1250)*(E1250=E$2:E1250)))))-COUNTBLANK(OFFSET(A$1,,,SUMPRODUCT(MAX(ROW(E$1:E1249)*(E2=E$1:E1249))))))</f>
        <v/>
      </c>
      <c r="K1250" s="24" t="str">
        <f>IF(OR(E1250="",E1250="!!!",F1250="NEW"),"",INDEX(J$1:J1249,SUMPRODUCT(MAX(ROW(E$1:E1249)*(E1250=E$1:E1249)))))</f>
        <v/>
      </c>
      <c r="L1250" s="25"/>
    </row>
    <row r="1251" spans="1:12" x14ac:dyDescent="0.3">
      <c r="A1251" t="s">
        <v>802</v>
      </c>
      <c r="E1251" s="20" t="str">
        <f>IF(D1251="?OLD","!!!","")</f>
        <v/>
      </c>
      <c r="F1251" s="21" t="str">
        <f>IF(OR(E1251="",E1251="!!!"),"",IF(NOT(ISNA(VLOOKUP(E1251,E$1:E1250,1,FALSE()))),"OLD",IF(AND(E1251&lt;&gt;"",E1251&lt;&gt;"!!!"),"NEW","")))</f>
        <v/>
      </c>
      <c r="G1251" s="22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3" t="str">
        <f t="shared" ca="1" si="86"/>
        <v/>
      </c>
      <c r="I1251" s="24" t="str">
        <f>IF(OR(E1251="",E1251="!!!",F1251="NEW"),"",INDEX(B$2:B1250,-1+SUMPRODUCT(MAX(ROW(E$2:E1250)*(E1251=E$2:E1250)))))</f>
        <v/>
      </c>
      <c r="J1251" s="24" t="str">
        <f ca="1">IF(OR(E1251="",E1251="!!!",F1251="NEW"),"",COUNTBLANK(OFFSET(A$1,,,SUMPRODUCT(MAX(ROW(E$2:E1251)*(E1251=E$2:E1251)))))-COUNTBLANK(OFFSET(A$1,,,SUMPRODUCT(MAX(ROW(E$1:E1250)*(E2=E$1:E1250))))))</f>
        <v/>
      </c>
      <c r="K1251" s="24" t="str">
        <f>IF(OR(E1251="",E1251="!!!",F1251="NEW"),"",INDEX(J$1:J1250,SUMPRODUCT(MAX(ROW(E$1:E1250)*(E1251=E$1:E1250)))))</f>
        <v/>
      </c>
      <c r="L1251" s="25"/>
    </row>
    <row r="1252" spans="1:12" x14ac:dyDescent="0.3">
      <c r="A1252" t="s">
        <v>95</v>
      </c>
      <c r="B1252" s="26" t="s">
        <v>411</v>
      </c>
      <c r="C1252" s="26" t="s">
        <v>88</v>
      </c>
      <c r="D1252" s="26" t="s">
        <v>75</v>
      </c>
      <c r="E1252" s="20" t="s">
        <v>97</v>
      </c>
      <c r="F1252" s="21" t="str">
        <f>IF(OR(E1252="",E1252="!!!"),"",IF(NOT(ISNA(VLOOKUP(E1252,E$1:E1251,1,FALSE()))),"OLD",IF(AND(E1252&lt;&gt;"",E1252&lt;&gt;"!!!"),"NEW","")))</f>
        <v>OLD</v>
      </c>
      <c r="G1252" s="22" t="str">
        <f ca="1"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?IN_FOCUS</v>
      </c>
      <c r="H1252" s="23" t="str">
        <f t="shared" ca="1" si="86"/>
        <v/>
      </c>
      <c r="I1252" s="24">
        <f>IF(OR(E1252="",E1252="!!!",F1252="NEW"),"",INDEX(B$2:B1251,-1+SUMPRODUCT(MAX(ROW(E$2:E1251)*(E1252=E$2:E1251)))))</f>
        <v>0</v>
      </c>
      <c r="J1252" s="24">
        <f ca="1">IF(OR(E1252="",E1252="!!!",F1252="NEW"),"",COUNTBLANK(OFFSET(A$1,,,SUMPRODUCT(MAX(ROW(E$2:E1252)*(E1252=E$2:E1252)))))-COUNTBLANK(OFFSET(A$1,,,SUMPRODUCT(MAX(ROW(E$1:E1251)*(E2=E$1:E1251))))))</f>
        <v>0</v>
      </c>
      <c r="K1252" s="24">
        <f ca="1">IF(OR(E1252="",E1252="!!!",F1252="NEW"),"",INDEX(J$1:J1251,SUMPRODUCT(MAX(ROW(E$1:E1251)*(E1252=E$1:E1251)))))</f>
        <v>0</v>
      </c>
      <c r="L1252" s="25"/>
    </row>
    <row r="1253" spans="1:12" x14ac:dyDescent="0.3">
      <c r="A1253" t="s">
        <v>172</v>
      </c>
      <c r="E1253" s="20" t="str">
        <f>IF(D1253="?OLD","!!!","")</f>
        <v/>
      </c>
      <c r="F1253" s="21" t="str">
        <f>IF(OR(E1253="",E1253="!!!"),"",IF(NOT(ISNA(VLOOKUP(E1253,E$1:E1252,1,FALSE()))),"OLD",IF(AND(E1253&lt;&gt;"",E1253&lt;&gt;"!!!"),"NEW","")))</f>
        <v/>
      </c>
      <c r="G1253" s="22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3" t="str">
        <f t="shared" ca="1" si="86"/>
        <v/>
      </c>
      <c r="I1253" s="24" t="str">
        <f>IF(OR(E1253="",E1253="!!!",F1253="NEW"),"",INDEX(B$2:B1252,-1+SUMPRODUCT(MAX(ROW(E$2:E1252)*(E1253=E$2:E1252)))))</f>
        <v/>
      </c>
      <c r="J1253" s="24" t="str">
        <f ca="1">IF(OR(E1253="",E1253="!!!",F1253="NEW"),"",COUNTBLANK(OFFSET(A$1,,,SUMPRODUCT(MAX(ROW(E$2:E1253)*(E1253=E$2:E1253)))))-COUNTBLANK(OFFSET(A$1,,,SUMPRODUCT(MAX(ROW(E$1:E1252)*(E2=E$1:E1252))))))</f>
        <v/>
      </c>
      <c r="K1253" s="24" t="str">
        <f>IF(OR(E1253="",E1253="!!!",F1253="NEW"),"",INDEX(J$1:J1252,SUMPRODUCT(MAX(ROW(E$1:E1252)*(E1253=E$1:E1252)))))</f>
        <v/>
      </c>
      <c r="L1253" s="25"/>
    </row>
    <row r="1254" spans="1:12" x14ac:dyDescent="0.3">
      <c r="A1254" t="s">
        <v>370</v>
      </c>
      <c r="E1254" s="20" t="str">
        <f>IF(D1254="?OLD","!!!","")</f>
        <v/>
      </c>
      <c r="F1254" s="21" t="str">
        <f>IF(OR(E1254="",E1254="!!!"),"",IF(NOT(ISNA(VLOOKUP(E1254,E$1:E1253,1,FALSE()))),"OLD",IF(AND(E1254&lt;&gt;"",E1254&lt;&gt;"!!!"),"NEW","")))</f>
        <v/>
      </c>
      <c r="G1254" s="22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3" t="str">
        <f t="shared" ca="1" si="86"/>
        <v/>
      </c>
      <c r="I1254" s="24" t="str">
        <f>IF(OR(E1254="",E1254="!!!",F1254="NEW"),"",INDEX(B$2:B1253,-1+SUMPRODUCT(MAX(ROW(E$2:E1253)*(E1254=E$2:E1253)))))</f>
        <v/>
      </c>
      <c r="J1254" s="24" t="str">
        <f ca="1">IF(OR(E1254="",E1254="!!!",F1254="NEW"),"",COUNTBLANK(OFFSET(A$1,,,SUMPRODUCT(MAX(ROW(E$2:E1254)*(E1254=E$2:E1254)))))-COUNTBLANK(OFFSET(A$1,,,SUMPRODUCT(MAX(ROW(E$1:E1253)*(E2=E$1:E1253))))))</f>
        <v/>
      </c>
      <c r="K1254" s="24" t="str">
        <f>IF(OR(E1254="",E1254="!!!",F1254="NEW"),"",INDEX(J$1:J1253,SUMPRODUCT(MAX(ROW(E$1:E1253)*(E1254=E$1:E1253)))))</f>
        <v/>
      </c>
      <c r="L1254" s="25"/>
    </row>
    <row r="1255" spans="1:12" x14ac:dyDescent="0.3">
      <c r="A1255" t="s">
        <v>246</v>
      </c>
      <c r="B1255" s="26" t="s">
        <v>411</v>
      </c>
      <c r="C1255" s="26" t="s">
        <v>208</v>
      </c>
      <c r="D1255" s="26" t="s">
        <v>75</v>
      </c>
      <c r="E1255" s="20" t="s">
        <v>106</v>
      </c>
      <c r="F1255" s="21" t="str">
        <f>IF(OR(E1255="",E1255="!!!"),"",IF(NOT(ISNA(VLOOKUP(E1255,E$1:E1254,1,FALSE()))),"OLD",IF(AND(E1255&lt;&gt;"",E1255&lt;&gt;"!!!"),"NEW","")))</f>
        <v>OLD</v>
      </c>
      <c r="G1255" s="22" t="str">
        <f ca="1"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?IN_FOCUS</v>
      </c>
      <c r="H1255" s="23" t="str">
        <f t="shared" ca="1" si="86"/>
        <v/>
      </c>
      <c r="I1255" s="24" t="str">
        <f>IF(OR(E1255="",E1255="!!!",F1255="NEW"),"",INDEX(B$2:B1254,-1+SUMPRODUCT(MAX(ROW(E$2:E1254)*(E1255=E$2:E1254)))))</f>
        <v>SBJ_5</v>
      </c>
      <c r="J1255" s="24">
        <f ca="1">IF(OR(E1255="",E1255="!!!",F1255="NEW"),"",COUNTBLANK(OFFSET(A$1,,,SUMPRODUCT(MAX(ROW(E$2:E1255)*(E1255=E$2:E1255)))))-COUNTBLANK(OFFSET(A$1,,,SUMPRODUCT(MAX(ROW(E$1:E1254)*(E2=E$1:E1254))))))</f>
        <v>0</v>
      </c>
      <c r="K1255" s="24">
        <f ca="1">IF(OR(E1255="",E1255="!!!",F1255="NEW"),"",INDEX(J$1:J1254,SUMPRODUCT(MAX(ROW(E$1:E1254)*(E1255=E$1:E1254)))))</f>
        <v>0</v>
      </c>
      <c r="L1255" s="25"/>
    </row>
    <row r="1256" spans="1:12" x14ac:dyDescent="0.3">
      <c r="A1256" t="s">
        <v>167</v>
      </c>
      <c r="E1256" s="20" t="str">
        <f t="shared" ref="E1256:E1264" si="87">IF(D1256="?OLD","!!!","")</f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86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803</v>
      </c>
      <c r="E1257" s="20" t="str">
        <f t="shared" si="87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86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101</v>
      </c>
      <c r="E1258" s="20" t="str">
        <f t="shared" si="87"/>
        <v/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86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804</v>
      </c>
      <c r="B1259" s="26" t="s">
        <v>805</v>
      </c>
      <c r="C1259" s="26" t="s">
        <v>105</v>
      </c>
      <c r="E1259" s="20" t="str">
        <f t="shared" si="87"/>
        <v/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86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155</v>
      </c>
      <c r="E1260" s="20" t="str">
        <f t="shared" si="87"/>
        <v/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86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806</v>
      </c>
      <c r="E1261" s="20" t="str">
        <f t="shared" si="87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86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101</v>
      </c>
      <c r="E1262" s="20" t="str">
        <f t="shared" si="87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86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3" spans="1:12" x14ac:dyDescent="0.3">
      <c r="A1263" t="s">
        <v>278</v>
      </c>
      <c r="E1263" s="20" t="str">
        <f t="shared" si="87"/>
        <v/>
      </c>
      <c r="F1263" s="21" t="str">
        <f>IF(OR(E1263="",E1263="!!!"),"",IF(NOT(ISNA(VLOOKUP(E1263,E$1:E1262,1,FALSE()))),"OLD",IF(AND(E1263&lt;&gt;"",E1263&lt;&gt;"!!!"),"NEW","")))</f>
        <v/>
      </c>
      <c r="G1263" s="22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3" t="str">
        <f t="shared" ca="1" si="86"/>
        <v/>
      </c>
      <c r="I1263" s="24" t="str">
        <f>IF(OR(E1263="",E1263="!!!",F1263="NEW"),"",INDEX(B$2:B1262,-1+SUMPRODUCT(MAX(ROW(E$2:E1262)*(E1263=E$2:E1262)))))</f>
        <v/>
      </c>
      <c r="J1263" s="24" t="str">
        <f ca="1">IF(OR(E1263="",E1263="!!!",F1263="NEW"),"",COUNTBLANK(OFFSET(A$1,,,SUMPRODUCT(MAX(ROW(E$2:E1263)*(E1263=E$2:E1263)))))-COUNTBLANK(OFFSET(A$1,,,SUMPRODUCT(MAX(ROW(E$1:E1262)*(E2=E$1:E1262))))))</f>
        <v/>
      </c>
      <c r="K1263" s="24" t="str">
        <f>IF(OR(E1263="",E1263="!!!",F1263="NEW"),"",INDEX(J$1:J1262,SUMPRODUCT(MAX(ROW(E$1:E1262)*(E1263=E$1:E1262)))))</f>
        <v/>
      </c>
      <c r="L1263" s="25"/>
    </row>
    <row r="1264" spans="1:12" x14ac:dyDescent="0.3">
      <c r="A1264" t="s">
        <v>807</v>
      </c>
      <c r="E1264" s="20" t="str">
        <f t="shared" si="87"/>
        <v/>
      </c>
      <c r="F1264" s="21" t="str">
        <f>IF(OR(E1264="",E1264="!!!"),"",IF(NOT(ISNA(VLOOKUP(E1264,E$1:E1263,1,FALSE()))),"OLD",IF(AND(E1264&lt;&gt;"",E1264&lt;&gt;"!!!"),"NEW","")))</f>
        <v/>
      </c>
      <c r="G1264" s="22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3" t="str">
        <f t="shared" ca="1" si="86"/>
        <v/>
      </c>
      <c r="I1264" s="24" t="str">
        <f>IF(OR(E1264="",E1264="!!!",F1264="NEW"),"",INDEX(B$2:B1263,-1+SUMPRODUCT(MAX(ROW(E$2:E1263)*(E1264=E$2:E1263)))))</f>
        <v/>
      </c>
      <c r="J1264" s="24" t="str">
        <f ca="1">IF(OR(E1264="",E1264="!!!",F1264="NEW"),"",COUNTBLANK(OFFSET(A$1,,,SUMPRODUCT(MAX(ROW(E$2:E1264)*(E1264=E$2:E1264)))))-COUNTBLANK(OFFSET(A$1,,,SUMPRODUCT(MAX(ROW(E$1:E1263)*(E2=E$1:E1263))))))</f>
        <v/>
      </c>
      <c r="K1264" s="24" t="str">
        <f>IF(OR(E1264="",E1264="!!!",F1264="NEW"),"",INDEX(J$1:J1263,SUMPRODUCT(MAX(ROW(E$1:E1263)*(E1264=E$1:E1263)))))</f>
        <v/>
      </c>
      <c r="L1264" s="25"/>
    </row>
    <row r="1265" spans="1:12" x14ac:dyDescent="0.3">
      <c r="A1265" t="s">
        <v>206</v>
      </c>
      <c r="B1265" s="26" t="s">
        <v>411</v>
      </c>
      <c r="C1265" s="26" t="s">
        <v>208</v>
      </c>
      <c r="D1265" s="26" t="s">
        <v>75</v>
      </c>
      <c r="E1265" s="20" t="s">
        <v>106</v>
      </c>
      <c r="F1265" s="21" t="str">
        <f>IF(OR(E1265="",E1265="!!!"),"",IF(NOT(ISNA(VLOOKUP(E1265,E$1:E1264,1,FALSE()))),"OLD",IF(AND(E1265&lt;&gt;"",E1265&lt;&gt;"!!!"),"NEW","")))</f>
        <v>OLD</v>
      </c>
      <c r="G1265" s="22" t="str">
        <f ca="1"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?IN_FOCUS</v>
      </c>
      <c r="H1265" s="23" t="str">
        <f t="shared" ca="1" si="86"/>
        <v/>
      </c>
      <c r="I1265" s="24" t="str">
        <f>IF(OR(E1265="",E1265="!!!",F1265="NEW"),"",INDEX(B$2:B1264,-1+SUMPRODUCT(MAX(ROW(E$2:E1264)*(E1265=E$2:E1264)))))</f>
        <v>SBJ_7</v>
      </c>
      <c r="J1265" s="24">
        <f ca="1">IF(OR(E1265="",E1265="!!!",F1265="NEW"),"",COUNTBLANK(OFFSET(A$1,,,SUMPRODUCT(MAX(ROW(E$2:E1265)*(E1265=E$2:E1265)))))-COUNTBLANK(OFFSET(A$1,,,SUMPRODUCT(MAX(ROW(E$1:E1264)*(E2=E$1:E1264))))))</f>
        <v>0</v>
      </c>
      <c r="K1265" s="24">
        <f ca="1">IF(OR(E1265="",E1265="!!!",F1265="NEW"),"",INDEX(J$1:J1264,SUMPRODUCT(MAX(ROW(E$1:E1264)*(E1265=E$1:E1264)))))</f>
        <v>0</v>
      </c>
      <c r="L1265" s="25"/>
    </row>
    <row r="1266" spans="1:12" x14ac:dyDescent="0.3">
      <c r="A1266" t="s">
        <v>160</v>
      </c>
      <c r="B1266" s="26" t="s">
        <v>207</v>
      </c>
      <c r="C1266" s="26" t="s">
        <v>208</v>
      </c>
      <c r="D1266" s="26" t="s">
        <v>75</v>
      </c>
      <c r="E1266" s="20" t="s">
        <v>808</v>
      </c>
      <c r="F1266" s="21" t="str">
        <f>IF(OR(E1266="",E1266="!!!"),"",IF(NOT(ISNA(VLOOKUP(E1266,E$1:E1265,1,FALSE()))),"OLD",IF(AND(E1266&lt;&gt;"",E1266&lt;&gt;"!!!"),"NEW","")))</f>
        <v>NEW</v>
      </c>
      <c r="G1266" s="22" t="str">
        <f ca="1"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?REFERENTIAL</v>
      </c>
      <c r="H1266" s="23" t="str">
        <f t="shared" ca="1" si="86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7" t="s">
        <v>809</v>
      </c>
    </row>
    <row r="1267" spans="1:12" x14ac:dyDescent="0.3">
      <c r="A1267" t="s">
        <v>297</v>
      </c>
      <c r="E1267" s="20" t="str">
        <f>IF(D1267="?OLD","!!!","")</f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86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8" spans="1:12" x14ac:dyDescent="0.3">
      <c r="A1268" t="s">
        <v>116</v>
      </c>
      <c r="E1268" s="20" t="str">
        <f>IF(D1268="?OLD","!!!","")</f>
        <v/>
      </c>
      <c r="F1268" s="21" t="str">
        <f>IF(OR(E1268="",E1268="!!!"),"",IF(NOT(ISNA(VLOOKUP(E1268,E$1:E1267,1,FALSE()))),"OLD",IF(AND(E1268&lt;&gt;"",E1268&lt;&gt;"!!!"),"NEW","")))</f>
        <v/>
      </c>
      <c r="G1268" s="22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3" t="str">
        <f t="shared" ca="1" si="86"/>
        <v/>
      </c>
      <c r="I1268" s="24" t="str">
        <f>IF(OR(E1268="",E1268="!!!",F1268="NEW"),"",INDEX(B$2:B1267,-1+SUMPRODUCT(MAX(ROW(E$2:E1267)*(E1268=E$2:E1267)))))</f>
        <v/>
      </c>
      <c r="J1268" s="24" t="str">
        <f ca="1">IF(OR(E1268="",E1268="!!!",F1268="NEW"),"",COUNTBLANK(OFFSET(A$1,,,SUMPRODUCT(MAX(ROW(E$2:E1268)*(E1268=E$2:E1268)))))-COUNTBLANK(OFFSET(A$1,,,SUMPRODUCT(MAX(ROW(E$1:E1267)*(E2=E$1:E1267))))))</f>
        <v/>
      </c>
      <c r="K1268" s="24" t="str">
        <f>IF(OR(E1268="",E1268="!!!",F1268="NEW"),"",INDEX(J$1:J1267,SUMPRODUCT(MAX(ROW(E$1:E1267)*(E1268=E$1:E1267)))))</f>
        <v/>
      </c>
      <c r="L1268" s="25"/>
    </row>
    <row r="1269" spans="1:12" x14ac:dyDescent="0.3">
      <c r="A1269" t="s">
        <v>86</v>
      </c>
      <c r="E1269" s="20" t="str">
        <f>IF(D1269="?OLD","!!!","")</f>
        <v/>
      </c>
      <c r="F1269" s="21" t="str">
        <f>IF(OR(E1269="",E1269="!!!"),"",IF(NOT(ISNA(VLOOKUP(E1269,E$1:E1268,1,FALSE()))),"OLD",IF(AND(E1269&lt;&gt;"",E1269&lt;&gt;"!!!"),"NEW","")))</f>
        <v/>
      </c>
      <c r="G1269" s="22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3" t="str">
        <f t="shared" ca="1" si="86"/>
        <v/>
      </c>
      <c r="I1269" s="24" t="str">
        <f>IF(OR(E1269="",E1269="!!!",F1269="NEW"),"",INDEX(B$2:B1268,-1+SUMPRODUCT(MAX(ROW(E$2:E1268)*(E1269=E$2:E1268)))))</f>
        <v/>
      </c>
      <c r="J1269" s="24" t="str">
        <f ca="1">IF(OR(E1269="",E1269="!!!",F1269="NEW"),"",COUNTBLANK(OFFSET(A$1,,,SUMPRODUCT(MAX(ROW(E$2:E1269)*(E1269=E$2:E1269)))))-COUNTBLANK(OFFSET(A$1,,,SUMPRODUCT(MAX(ROW(E$1:E1268)*(E2=E$1:E1268))))))</f>
        <v/>
      </c>
      <c r="K1269" s="24" t="str">
        <f>IF(OR(E1269="",E1269="!!!",F1269="NEW"),"",INDEX(J$1:J1268,SUMPRODUCT(MAX(ROW(E$1:E1268)*(E1269=E$1:E1268)))))</f>
        <v/>
      </c>
      <c r="L1269" s="25"/>
    </row>
    <row r="1270" spans="1:12" x14ac:dyDescent="0.3">
      <c r="A1270" t="s">
        <v>370</v>
      </c>
      <c r="E1270" s="20" t="str">
        <f>IF(D1270="?OLD","!!!","")</f>
        <v/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ca="1" si="86"/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1" spans="1:12" x14ac:dyDescent="0.3">
      <c r="A1271" t="s">
        <v>810</v>
      </c>
      <c r="B1271" s="26" t="s">
        <v>416</v>
      </c>
      <c r="C1271" s="26" t="s">
        <v>280</v>
      </c>
      <c r="D1271" s="26" t="s">
        <v>75</v>
      </c>
      <c r="E1271" s="20"/>
      <c r="F1271" s="21" t="str">
        <f>IF(OR(E1271="",E1271="!!!"),"",IF(NOT(ISNA(VLOOKUP(E1271,E$1:E1270,1,FALSE()))),"OLD",IF(AND(E1271&lt;&gt;"",E1271&lt;&gt;"!!!"),"NEW","")))</f>
        <v/>
      </c>
      <c r="G1271" s="22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3" t="str">
        <f t="shared" ca="1" si="86"/>
        <v/>
      </c>
      <c r="I1271" s="24" t="str">
        <f>IF(OR(E1271="",E1271="!!!",F1271="NEW"),"",INDEX(B$2:B1270,-1+SUMPRODUCT(MAX(ROW(E$2:E1270)*(E1271=E$2:E1270)))))</f>
        <v/>
      </c>
      <c r="J1271" s="24" t="str">
        <f ca="1">IF(OR(E1271="",E1271="!!!",F1271="NEW"),"",COUNTBLANK(OFFSET(A$1,,,SUMPRODUCT(MAX(ROW(E$2:E1271)*(E1271=E$2:E1271)))))-COUNTBLANK(OFFSET(A$1,,,SUMPRODUCT(MAX(ROW(E$1:E1270)*(E2=E$1:E1270))))))</f>
        <v/>
      </c>
      <c r="K1271" s="24" t="str">
        <f>IF(OR(E1271="",E1271="!!!",F1271="NEW"),"",INDEX(J$1:J1270,SUMPRODUCT(MAX(ROW(E$1:E1270)*(E1271=E$1:E1270)))))</f>
        <v/>
      </c>
      <c r="L1271" s="27" t="s">
        <v>134</v>
      </c>
    </row>
    <row r="1272" spans="1:12" x14ac:dyDescent="0.3">
      <c r="A1272" t="s">
        <v>172</v>
      </c>
      <c r="E1272" s="20" t="str">
        <f>IF(D1272="?OLD","!!!","")</f>
        <v/>
      </c>
      <c r="F1272" s="21" t="str">
        <f>IF(OR(E1272="",E1272="!!!"),"",IF(NOT(ISNA(VLOOKUP(E1272,E$1:E1271,1,FALSE()))),"OLD",IF(AND(E1272&lt;&gt;"",E1272&lt;&gt;"!!!"),"NEW","")))</f>
        <v/>
      </c>
      <c r="G1272" s="22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3" t="str">
        <f t="shared" ca="1" si="86"/>
        <v/>
      </c>
      <c r="I1272" s="24" t="str">
        <f>IF(OR(E1272="",E1272="!!!",F1272="NEW"),"",INDEX(B$2:B1271,-1+SUMPRODUCT(MAX(ROW(E$2:E1271)*(E1272=E$2:E1271)))))</f>
        <v/>
      </c>
      <c r="J1272" s="24" t="str">
        <f ca="1">IF(OR(E1272="",E1272="!!!",F1272="NEW"),"",COUNTBLANK(OFFSET(A$1,,,SUMPRODUCT(MAX(ROW(E$2:E1272)*(E1272=E$2:E1272)))))-COUNTBLANK(OFFSET(A$1,,,SUMPRODUCT(MAX(ROW(E$1:E1271)*(E2=E$1:E1271))))))</f>
        <v/>
      </c>
      <c r="K1272" s="24" t="str">
        <f>IF(OR(E1272="",E1272="!!!",F1272="NEW"),"",INDEX(J$1:J1271,SUMPRODUCT(MAX(ROW(E$1:E1271)*(E1272=E$1:E1271)))))</f>
        <v/>
      </c>
      <c r="L1272" s="25"/>
    </row>
    <row r="1273" spans="1:12" x14ac:dyDescent="0.3">
      <c r="A1273" t="s">
        <v>370</v>
      </c>
      <c r="E1273" s="20" t="str">
        <f>IF(D1273="?OLD","!!!","")</f>
        <v/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ca="1" si="86"/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246</v>
      </c>
      <c r="E1274" s="20" t="s">
        <v>106</v>
      </c>
      <c r="F1274" s="21" t="str">
        <f>IF(OR(E1274="",E1274="!!!"),"",IF(NOT(ISNA(VLOOKUP(E1274,E$1:E1273,1,FALSE()))),"OLD",IF(AND(E1274&lt;&gt;"",E1274&lt;&gt;"!!!"),"NEW","")))</f>
        <v>OLD</v>
      </c>
      <c r="G1274" s="22" t="str">
        <f ca="1"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?IN_FOCUS</v>
      </c>
      <c r="H1274" s="23" t="str">
        <f t="shared" ca="1" si="86"/>
        <v/>
      </c>
      <c r="I1274" s="24" t="str">
        <f>IF(OR(E1274="",E1274="!!!",F1274="NEW"),"",INDEX(B$2:B1273,-1+SUMPRODUCT(MAX(ROW(E$2:E1273)*(E1274=E$2:E1273)))))</f>
        <v>SBJ_7</v>
      </c>
      <c r="J1274" s="24">
        <f ca="1">IF(OR(E1274="",E1274="!!!",F1274="NEW"),"",COUNTBLANK(OFFSET(A$1,,,SUMPRODUCT(MAX(ROW(E$2:E1274)*(E1274=E$2:E1274)))))-COUNTBLANK(OFFSET(A$1,,,SUMPRODUCT(MAX(ROW(E$1:E1273)*(E2=E$1:E1273))))))</f>
        <v>0</v>
      </c>
      <c r="K1274" s="24">
        <f ca="1">IF(OR(E1274="",E1274="!!!",F1274="NEW"),"",INDEX(J$1:J1273,SUMPRODUCT(MAX(ROW(E$1:E1273)*(E1274=E$1:E1273)))))</f>
        <v>0</v>
      </c>
      <c r="L1274" s="25"/>
    </row>
    <row r="1275" spans="1:12" x14ac:dyDescent="0.3">
      <c r="A1275" t="s">
        <v>667</v>
      </c>
      <c r="E1275" s="20" t="str">
        <f>IF(D1275="?OLD","!!!","")</f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86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636</v>
      </c>
      <c r="E1276" s="20" t="str">
        <f>IF(D1276="?OLD","!!!","")</f>
        <v/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86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7" spans="1:12" x14ac:dyDescent="0.3">
      <c r="A1277" t="s">
        <v>80</v>
      </c>
      <c r="E1277" s="20" t="str">
        <f>IF(D1277="?OLD","!!!","")</f>
        <v/>
      </c>
      <c r="F1277" s="21" t="str">
        <f>IF(OR(E1277="",E1277="!!!"),"",IF(NOT(ISNA(VLOOKUP(E1277,E$1:E1276,1,FALSE()))),"OLD",IF(AND(E1277&lt;&gt;"",E1277&lt;&gt;"!!!"),"NEW","")))</f>
        <v/>
      </c>
      <c r="G1277" s="22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3" t="str">
        <f t="shared" ca="1" si="86"/>
        <v/>
      </c>
      <c r="I1277" s="24" t="str">
        <f>IF(OR(E1277="",E1277="!!!",F1277="NEW"),"",INDEX(B$2:B1276,-1+SUMPRODUCT(MAX(ROW(E$2:E1276)*(E1277=E$2:E1276)))))</f>
        <v/>
      </c>
      <c r="J1277" s="24" t="str">
        <f ca="1">IF(OR(E1277="",E1277="!!!",F1277="NEW"),"",COUNTBLANK(OFFSET(A$1,,,SUMPRODUCT(MAX(ROW(E$2:E1277)*(E1277=E$2:E1277)))))-COUNTBLANK(OFFSET(A$1,,,SUMPRODUCT(MAX(ROW(E$1:E1276)*(E2=E$1:E1276))))))</f>
        <v/>
      </c>
      <c r="K1277" s="24" t="str">
        <f>IF(OR(E1277="",E1277="!!!",F1277="NEW"),"",INDEX(J$1:J1276,SUMPRODUCT(MAX(ROW(E$1:E1276)*(E1277=E$1:E1276)))))</f>
        <v/>
      </c>
      <c r="L1277" s="25"/>
    </row>
    <row r="1278" spans="1:12" x14ac:dyDescent="0.3">
      <c r="A1278" t="s">
        <v>811</v>
      </c>
      <c r="B1278" s="26" t="s">
        <v>402</v>
      </c>
      <c r="C1278" s="26" t="s">
        <v>74</v>
      </c>
      <c r="D1278" s="26" t="s">
        <v>75</v>
      </c>
      <c r="E1278" s="20" t="s">
        <v>812</v>
      </c>
      <c r="F1278" s="21" t="str">
        <f>IF(OR(E1278="",E1278="!!!"),"",IF(NOT(ISNA(VLOOKUP(E1278,E$1:E1277,1,FALSE()))),"OLD",IF(AND(E1278&lt;&gt;"",E1278&lt;&gt;"!!!"),"NEW","")))</f>
        <v>NEW</v>
      </c>
      <c r="G1278" s="22" t="str">
        <f ca="1"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?REFERENTIAL</v>
      </c>
      <c r="H1278" s="23" t="str">
        <f t="shared" ca="1" si="86"/>
        <v/>
      </c>
      <c r="I1278" s="24" t="str">
        <f>IF(OR(E1278="",E1278="!!!",F1278="NEW"),"",INDEX(B$2:B1277,-1+SUMPRODUCT(MAX(ROW(E$2:E1277)*(E1278=E$2:E1277)))))</f>
        <v/>
      </c>
      <c r="J1278" s="24" t="str">
        <f ca="1">IF(OR(E1278="",E1278="!!!",F1278="NEW"),"",COUNTBLANK(OFFSET(A$1,,,SUMPRODUCT(MAX(ROW(E$2:E1278)*(E1278=E$2:E1278)))))-COUNTBLANK(OFFSET(A$1,,,SUMPRODUCT(MAX(ROW(E$1:E1277)*(E2=E$1:E1277))))))</f>
        <v/>
      </c>
      <c r="K1278" s="24" t="str">
        <f>IF(OR(E1278="",E1278="!!!",F1278="NEW"),"",INDEX(J$1:J1277,SUMPRODUCT(MAX(ROW(E$1:E1277)*(E1278=E$1:E1277)))))</f>
        <v/>
      </c>
      <c r="L1278" s="25"/>
    </row>
    <row r="1279" spans="1:12" x14ac:dyDescent="0.3">
      <c r="A1279" t="s">
        <v>813</v>
      </c>
      <c r="B1279" s="26" t="s">
        <v>416</v>
      </c>
      <c r="C1279" s="26" t="s">
        <v>208</v>
      </c>
      <c r="D1279" s="26" t="s">
        <v>75</v>
      </c>
      <c r="E1279" s="20"/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ca="1" si="86"/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7" t="s">
        <v>134</v>
      </c>
    </row>
    <row r="1280" spans="1:12" x14ac:dyDescent="0.3">
      <c r="A1280" t="s">
        <v>814</v>
      </c>
      <c r="B1280" s="26" t="s">
        <v>213</v>
      </c>
      <c r="C1280" s="26" t="s">
        <v>119</v>
      </c>
      <c r="E1280" s="20" t="s">
        <v>815</v>
      </c>
      <c r="F1280" s="21" t="str">
        <f>IF(OR(E1280="",E1280="!!!"),"",IF(NOT(ISNA(VLOOKUP(E1280,E$1:E1279,1,FALSE()))),"OLD",IF(AND(E1280&lt;&gt;"",E1280&lt;&gt;"!!!"),"NEW","")))</f>
        <v>NEW</v>
      </c>
      <c r="G1280" s="22" t="str">
        <f ca="1"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?REFERENTIAL</v>
      </c>
      <c r="H1280" s="23" t="str">
        <f t="shared" ref="H1280:H1311" ca="1" si="88">IF(J1280&lt;&gt;1,"",IF(I1280="SBJ","CB","?"))</f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816</v>
      </c>
      <c r="E1281" s="20" t="str">
        <f>IF(D1281="?OLD","!!!","")</f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88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86</v>
      </c>
      <c r="E1282" s="20" t="str">
        <f>IF(D1282="?OLD","!!!","")</f>
        <v/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88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370</v>
      </c>
      <c r="E1283" s="20" t="str">
        <f>IF(D1283="?OLD","!!!","")</f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88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71</v>
      </c>
      <c r="B1284" s="26" t="s">
        <v>115</v>
      </c>
      <c r="C1284" s="26" t="s">
        <v>208</v>
      </c>
      <c r="D1284" s="26" t="s">
        <v>75</v>
      </c>
      <c r="E1284" s="20"/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88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7" t="s">
        <v>134</v>
      </c>
    </row>
    <row r="1285" spans="1:12" x14ac:dyDescent="0.3">
      <c r="A1285" t="s">
        <v>817</v>
      </c>
      <c r="E1285" s="20" t="str">
        <f>IF(D1285="?OLD","!!!","")</f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88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6" spans="1:12" x14ac:dyDescent="0.3">
      <c r="A1286" t="s">
        <v>818</v>
      </c>
      <c r="B1286" s="26" t="s">
        <v>104</v>
      </c>
      <c r="C1286" s="26" t="s">
        <v>74</v>
      </c>
      <c r="D1286" s="26" t="s">
        <v>75</v>
      </c>
      <c r="E1286" s="20" t="s">
        <v>819</v>
      </c>
      <c r="F1286" s="21" t="str">
        <f>IF(OR(E1286="",E1286="!!!"),"",IF(NOT(ISNA(VLOOKUP(E1286,E$1:E1285,1,FALSE()))),"OLD",IF(AND(E1286&lt;&gt;"",E1286&lt;&gt;"!!!"),"NEW","")))</f>
        <v>NEW</v>
      </c>
      <c r="G1286" s="22" t="str">
        <f ca="1"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?REFERENTIAL</v>
      </c>
      <c r="H1286" s="23" t="str">
        <f t="shared" ca="1" si="88"/>
        <v/>
      </c>
      <c r="I1286" s="24" t="str">
        <f>IF(OR(E1286="",E1286="!!!",F1286="NEW"),"",INDEX(B$2:B1285,-1+SUMPRODUCT(MAX(ROW(E$2:E1285)*(E1286=E$2:E1285)))))</f>
        <v/>
      </c>
      <c r="J1286" s="24" t="str">
        <f ca="1">IF(OR(E1286="",E1286="!!!",F1286="NEW"),"",COUNTBLANK(OFFSET(A$1,,,SUMPRODUCT(MAX(ROW(E$2:E1286)*(E1286=E$2:E1286)))))-COUNTBLANK(OFFSET(A$1,,,SUMPRODUCT(MAX(ROW(E$1:E1285)*(E2=E$1:E1285))))))</f>
        <v/>
      </c>
      <c r="K1286" s="24" t="str">
        <f>IF(OR(E1286="",E1286="!!!",F1286="NEW"),"",INDEX(J$1:J1285,SUMPRODUCT(MAX(ROW(E$1:E1285)*(E1286=E$1:E1285)))))</f>
        <v/>
      </c>
      <c r="L1286" s="25"/>
    </row>
    <row r="1287" spans="1:12" x14ac:dyDescent="0.3">
      <c r="A1287" t="s">
        <v>129</v>
      </c>
      <c r="E1287" s="20" t="str">
        <f>IF(D1287="?OLD","!!!","")</f>
        <v/>
      </c>
      <c r="F1287" s="21" t="str">
        <f>IF(OR(E1287="",E1287="!!!"),"",IF(NOT(ISNA(VLOOKUP(E1287,E$1:E1286,1,FALSE()))),"OLD",IF(AND(E1287&lt;&gt;"",E1287&lt;&gt;"!!!"),"NEW","")))</f>
        <v/>
      </c>
      <c r="G1287" s="22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3" t="str">
        <f t="shared" ca="1" si="88"/>
        <v/>
      </c>
      <c r="I1287" s="24" t="str">
        <f>IF(OR(E1287="",E1287="!!!",F1287="NEW"),"",INDEX(B$2:B1286,-1+SUMPRODUCT(MAX(ROW(E$2:E1286)*(E1287=E$2:E1286)))))</f>
        <v/>
      </c>
      <c r="J1287" s="24" t="str">
        <f ca="1">IF(OR(E1287="",E1287="!!!",F1287="NEW"),"",COUNTBLANK(OFFSET(A$1,,,SUMPRODUCT(MAX(ROW(E$2:E1287)*(E1287=E$2:E1287)))))-COUNTBLANK(OFFSET(A$1,,,SUMPRODUCT(MAX(ROW(E$1:E1286)*(E2=E$1:E1286))))))</f>
        <v/>
      </c>
      <c r="K1287" s="24" t="str">
        <f>IF(OR(E1287="",E1287="!!!",F1287="NEW"),"",INDEX(J$1:J1286,SUMPRODUCT(MAX(ROW(E$1:E1286)*(E1287=E$1:E1286)))))</f>
        <v/>
      </c>
      <c r="L1287" s="25"/>
    </row>
    <row r="1288" spans="1:12" x14ac:dyDescent="0.3">
      <c r="A1288" t="s">
        <v>820</v>
      </c>
      <c r="B1288" s="26" t="s">
        <v>110</v>
      </c>
      <c r="C1288" s="26" t="s">
        <v>88</v>
      </c>
      <c r="D1288" s="26" t="s">
        <v>75</v>
      </c>
      <c r="E1288" s="20" t="s">
        <v>97</v>
      </c>
      <c r="F1288" s="21" t="str">
        <f>IF(OR(E1288="",E1288="!!!"),"",IF(NOT(ISNA(VLOOKUP(E1288,E$1:E1287,1,FALSE()))),"OLD",IF(AND(E1288&lt;&gt;"",E1288&lt;&gt;"!!!"),"NEW","")))</f>
        <v>OLD</v>
      </c>
      <c r="G1288" s="22" t="str">
        <f ca="1"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?IN_FOCUS</v>
      </c>
      <c r="H1288" s="23" t="str">
        <f t="shared" ca="1" si="88"/>
        <v/>
      </c>
      <c r="I1288" s="24" t="str">
        <f>IF(OR(E1288="",E1288="!!!",F1288="NEW"),"",INDEX(B$2:B1287,-1+SUMPRODUCT(MAX(ROW(E$2:E1287)*(E1288=E$2:E1287)))))</f>
        <v>SBJ_7</v>
      </c>
      <c r="J1288" s="24">
        <f ca="1">IF(OR(E1288="",E1288="!!!",F1288="NEW"),"",COUNTBLANK(OFFSET(A$1,,,SUMPRODUCT(MAX(ROW(E$2:E1288)*(E1288=E$2:E1288)))))-COUNTBLANK(OFFSET(A$1,,,SUMPRODUCT(MAX(ROW(E$1:E1287)*(E2=E$1:E1287))))))</f>
        <v>0</v>
      </c>
      <c r="K1288" s="24">
        <f ca="1">IF(OR(E1288="",E1288="!!!",F1288="NEW"),"",INDEX(J$1:J1287,SUMPRODUCT(MAX(ROW(E$1:E1287)*(E1288=E$1:E1287)))))</f>
        <v>0</v>
      </c>
      <c r="L1288" s="25"/>
    </row>
    <row r="1289" spans="1:12" x14ac:dyDescent="0.3">
      <c r="A1289" t="s">
        <v>92</v>
      </c>
      <c r="E1289" s="20" t="str">
        <f>IF(D1289="?OLD","!!!","")</f>
        <v/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88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821</v>
      </c>
      <c r="E1290" s="20" t="str">
        <f>IF(D1290="?OLD","!!!","")</f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88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136</v>
      </c>
      <c r="E1291" s="20" t="str">
        <f>IF(D1291="?OLD","!!!","")</f>
        <v/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88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822</v>
      </c>
      <c r="B1292" s="26" t="s">
        <v>147</v>
      </c>
      <c r="C1292" s="26" t="s">
        <v>74</v>
      </c>
      <c r="D1292" s="26" t="s">
        <v>75</v>
      </c>
      <c r="E1292" s="20" t="s">
        <v>823</v>
      </c>
      <c r="F1292" s="21" t="s">
        <v>84</v>
      </c>
      <c r="G1292" s="22" t="e">
        <f ca="1"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#VALUE!</v>
      </c>
      <c r="H1292" s="23" t="str">
        <f t="shared" ca="1" si="88"/>
        <v/>
      </c>
      <c r="I1292" s="24" t="e">
        <f>IF(OR(E1292="",E1292="!!!",F1292="NEW"),"",INDEX(B$2:B1291,-1+SUMPRODUCT(MAX(ROW(E$2:E1291)*(E1292=E$2:E1291)))))</f>
        <v>#VALUE!</v>
      </c>
      <c r="J1292" s="24">
        <f ca="1">IF(OR(E1292="",E1292="!!!",F1292="NEW"),"",COUNTBLANK(OFFSET(A$1,,,SUMPRODUCT(MAX(ROW(E$2:E1292)*(E1292=E$2:E1292)))))-COUNTBLANK(OFFSET(A$1,,,SUMPRODUCT(MAX(ROW(E$1:E1291)*(E2=E$1:E1291))))))</f>
        <v>0</v>
      </c>
      <c r="K1292" s="24" t="e">
        <f>IF(OR(E1292="",E1292="!!!",F1292="NEW"),"",INDEX(J$1:J1291,SUMPRODUCT(MAX(ROW(E$1:E1291)*(E1292=E$1:E1291)))))</f>
        <v>#VALUE!</v>
      </c>
      <c r="L1292" s="25"/>
    </row>
    <row r="1293" spans="1:12" x14ac:dyDescent="0.3">
      <c r="A1293" t="s">
        <v>172</v>
      </c>
      <c r="E1293" s="20" t="str">
        <f>IF(D1293="?OLD","!!!","")</f>
        <v/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88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370</v>
      </c>
      <c r="E1294" s="20" t="str">
        <f>IF(D1294="?OLD","!!!","")</f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88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5" spans="1:12" x14ac:dyDescent="0.3">
      <c r="A1295" t="s">
        <v>436</v>
      </c>
      <c r="E1295" s="20" t="str">
        <f>IF(D1295="?OLD","!!!","")</f>
        <v/>
      </c>
      <c r="F1295" s="21" t="str">
        <f>IF(OR(E1295="",E1295="!!!"),"",IF(NOT(ISNA(VLOOKUP(E1295,E$1:E1294,1,FALSE()))),"OLD",IF(AND(E1295&lt;&gt;"",E1295&lt;&gt;"!!!"),"NEW","")))</f>
        <v/>
      </c>
      <c r="G1295" s="22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3" t="str">
        <f t="shared" ca="1" si="88"/>
        <v/>
      </c>
      <c r="I1295" s="24" t="str">
        <f>IF(OR(E1295="",E1295="!!!",F1295="NEW"),"",INDEX(B$2:B1294,-1+SUMPRODUCT(MAX(ROW(E$2:E1294)*(E1295=E$2:E1294)))))</f>
        <v/>
      </c>
      <c r="J1295" s="24" t="str">
        <f ca="1">IF(OR(E1295="",E1295="!!!",F1295="NEW"),"",COUNTBLANK(OFFSET(A$1,,,SUMPRODUCT(MAX(ROW(E$2:E1295)*(E1295=E$2:E1295)))))-COUNTBLANK(OFFSET(A$1,,,SUMPRODUCT(MAX(ROW(E$1:E1294)*(E2=E$1:E1294))))))</f>
        <v/>
      </c>
      <c r="K1295" s="24" t="str">
        <f>IF(OR(E1295="",E1295="!!!",F1295="NEW"),"",INDEX(J$1:J1294,SUMPRODUCT(MAX(ROW(E$1:E1294)*(E1295=E$1:E1294)))))</f>
        <v/>
      </c>
      <c r="L1295" s="25"/>
    </row>
    <row r="1297" spans="1:12" x14ac:dyDescent="0.3">
      <c r="A1297" t="s">
        <v>393</v>
      </c>
      <c r="E1297" s="20" t="str">
        <f>IF(D1297="?OLD","!!!","")</f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ca="1">IF(J1297&lt;&gt;1,"",IF(I1297="SBJ","CB","?"))</f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824</v>
      </c>
    </row>
    <row r="1299" spans="1:12" x14ac:dyDescent="0.3">
      <c r="A1299" t="s">
        <v>87</v>
      </c>
      <c r="B1299" s="26" t="s">
        <v>73</v>
      </c>
      <c r="C1299" s="26" t="s">
        <v>88</v>
      </c>
      <c r="D1299" s="26" t="s">
        <v>75</v>
      </c>
      <c r="E1299" s="20" t="s">
        <v>825</v>
      </c>
      <c r="F1299" s="21" t="s">
        <v>272</v>
      </c>
      <c r="G1299" s="22" t="e">
        <f ca="1"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#VALUE!</v>
      </c>
      <c r="H1299" s="23" t="str">
        <f t="shared" ref="H1299:H1330" ca="1" si="89">IF(J1299&lt;&gt;1,"",IF(I1299="SBJ","CB","?"))</f>
        <v/>
      </c>
      <c r="I1299" s="24" t="e">
        <f>IF(OR(E1299="",E1299="!!!",F1299="NEW"),"",INDEX(B$2:B1298,-1+SUMPRODUCT(MAX(ROW(E$2:E1298)*(E1299=E$2:E1298)))))</f>
        <v>#VALUE!</v>
      </c>
      <c r="J1299" s="24">
        <f ca="1">IF(OR(E1299="",E1299="!!!",F1299="NEW"),"",COUNTBLANK(OFFSET(A$1,,,SUMPRODUCT(MAX(ROW(E$2:E1299)*(E1299=E$2:E1299)))))-COUNTBLANK(OFFSET(A$1,,,SUMPRODUCT(MAX(ROW(E$1:E1298)*(E2=E$1:E1298))))))</f>
        <v>0</v>
      </c>
      <c r="K1299" s="24" t="e">
        <f>IF(OR(E1299="",E1299="!!!",F1299="NEW"),"",INDEX(J$1:J1298,SUMPRODUCT(MAX(ROW(E$1:E1298)*(E1299=E$1:E1298)))))</f>
        <v>#VALUE!</v>
      </c>
      <c r="L1299" s="25"/>
    </row>
    <row r="1300" spans="1:12" x14ac:dyDescent="0.3">
      <c r="A1300" t="s">
        <v>160</v>
      </c>
      <c r="B1300" s="26" t="s">
        <v>91</v>
      </c>
      <c r="C1300" s="26" t="s">
        <v>151</v>
      </c>
      <c r="D1300" s="26" t="s">
        <v>75</v>
      </c>
      <c r="E1300" s="20" t="s">
        <v>179</v>
      </c>
      <c r="F1300" s="21" t="str">
        <f>IF(OR(E1300="",E1300="!!!"),"",IF(NOT(ISNA(VLOOKUP(E1300,E$1:E1299,1,FALSE()))),"OLD",IF(AND(E1300&lt;&gt;"",E1300&lt;&gt;"!!!"),"NEW","")))</f>
        <v>OLD</v>
      </c>
      <c r="G1300" s="22" t="str">
        <f ca="1"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?IN_FOCUS</v>
      </c>
      <c r="H1300" s="23" t="str">
        <f t="shared" ca="1" si="89"/>
        <v/>
      </c>
      <c r="I1300" s="24" t="str">
        <f>IF(OR(E1300="",E1300="!!!",F1300="NEW"),"",INDEX(B$2:B1299,-1+SUMPRODUCT(MAX(ROW(E$2:E1299)*(E1300=E$2:E1299)))))</f>
        <v>other_2</v>
      </c>
      <c r="J1300" s="24">
        <f ca="1">IF(OR(E1300="",E1300="!!!",F1300="NEW"),"",COUNTBLANK(OFFSET(A$1,,,SUMPRODUCT(MAX(ROW(E$2:E1300)*(E1300=E$2:E1300)))))-COUNTBLANK(OFFSET(A$1,,,SUMPRODUCT(MAX(ROW(E$1:E1299)*(E2=E$1:E1299))))))</f>
        <v>0</v>
      </c>
      <c r="K1300" s="24">
        <f ca="1">IF(OR(E1300="",E1300="!!!",F1300="NEW"),"",INDEX(J$1:J1299,SUMPRODUCT(MAX(ROW(E$1:E1299)*(E1300=E$1:E1299)))))</f>
        <v>0</v>
      </c>
      <c r="L1300" s="25"/>
    </row>
    <row r="1301" spans="1:12" x14ac:dyDescent="0.3">
      <c r="A1301" t="s">
        <v>48</v>
      </c>
      <c r="E1301" s="20" t="str">
        <f>IF(D1301="?OLD","!!!","")</f>
        <v/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89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667</v>
      </c>
      <c r="E1302" s="20" t="str">
        <f>IF(D1302="?OLD","!!!","")</f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89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101</v>
      </c>
      <c r="E1303" s="20" t="str">
        <f>IF(D1303="?OLD","!!!","")</f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89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826</v>
      </c>
      <c r="E1304" s="20" t="str">
        <f>IF(D1304="?OLD","!!!","")</f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89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87</v>
      </c>
      <c r="B1305" s="26" t="s">
        <v>96</v>
      </c>
      <c r="C1305" s="26" t="s">
        <v>88</v>
      </c>
      <c r="D1305" s="26" t="s">
        <v>75</v>
      </c>
      <c r="E1305" s="20" t="s">
        <v>825</v>
      </c>
      <c r="F1305" s="21" t="s">
        <v>272</v>
      </c>
      <c r="G1305" s="22" t="str">
        <f ca="1"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?IN_FOCUS</v>
      </c>
      <c r="H1305" s="23" t="str">
        <f t="shared" ca="1" si="89"/>
        <v/>
      </c>
      <c r="I1305" s="24" t="str">
        <f>IF(OR(E1305="",E1305="!!!",F1305="NEW"),"",INDEX(B$2:B1304,-1+SUMPRODUCT(MAX(ROW(E$2:E1304)*(E1305=E$2:E1304)))))</f>
        <v>SBJ</v>
      </c>
      <c r="J1305" s="24">
        <f ca="1">IF(OR(E1305="",E1305="!!!",F1305="NEW"),"",COUNTBLANK(OFFSET(A$1,,,SUMPRODUCT(MAX(ROW(E$2:E1305)*(E1305=E$2:E1305)))))-COUNTBLANK(OFFSET(A$1,,,SUMPRODUCT(MAX(ROW(E$1:E1304)*(E2=E$1:E1304))))))</f>
        <v>0</v>
      </c>
      <c r="K1305" s="24">
        <f ca="1">IF(OR(E1305="",E1305="!!!",F1305="NEW"),"",INDEX(J$1:J1304,SUMPRODUCT(MAX(ROW(E$1:E1304)*(E1305=E$1:E1304)))))</f>
        <v>0</v>
      </c>
      <c r="L1305" s="25"/>
    </row>
    <row r="1306" spans="1:12" x14ac:dyDescent="0.3">
      <c r="A1306" t="s">
        <v>827</v>
      </c>
      <c r="B1306" s="26" t="s">
        <v>154</v>
      </c>
      <c r="C1306" s="26" t="s">
        <v>105</v>
      </c>
      <c r="E1306" s="20" t="str">
        <f>IF(D1306="?OLD","!!!","")</f>
        <v/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89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142</v>
      </c>
      <c r="E1307" s="20" t="str">
        <f>IF(D1307="?OLD","!!!","")</f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89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8" spans="1:12" x14ac:dyDescent="0.3">
      <c r="A1308" t="s">
        <v>828</v>
      </c>
      <c r="E1308" s="20" t="str">
        <f>IF(D1308="?OLD","!!!","")</f>
        <v/>
      </c>
      <c r="F1308" s="21" t="str">
        <f>IF(OR(E1308="",E1308="!!!"),"",IF(NOT(ISNA(VLOOKUP(E1308,E$1:E1307,1,FALSE()))),"OLD",IF(AND(E1308&lt;&gt;"",E1308&lt;&gt;"!!!"),"NEW","")))</f>
        <v/>
      </c>
      <c r="G1308" s="22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3" t="str">
        <f t="shared" ca="1" si="89"/>
        <v/>
      </c>
      <c r="I1308" s="24" t="str">
        <f>IF(OR(E1308="",E1308="!!!",F1308="NEW"),"",INDEX(B$2:B1307,-1+SUMPRODUCT(MAX(ROW(E$2:E1307)*(E1308=E$2:E1307)))))</f>
        <v/>
      </c>
      <c r="J1308" s="24" t="str">
        <f ca="1">IF(OR(E1308="",E1308="!!!",F1308="NEW"),"",COUNTBLANK(OFFSET(A$1,,,SUMPRODUCT(MAX(ROW(E$2:E1308)*(E1308=E$2:E1308)))))-COUNTBLANK(OFFSET(A$1,,,SUMPRODUCT(MAX(ROW(E$1:E1307)*(E2=E$1:E1307))))))</f>
        <v/>
      </c>
      <c r="K1308" s="24" t="str">
        <f>IF(OR(E1308="",E1308="!!!",F1308="NEW"),"",INDEX(J$1:J1307,SUMPRODUCT(MAX(ROW(E$1:E1307)*(E1308=E$1:E1307)))))</f>
        <v/>
      </c>
      <c r="L1308" s="25"/>
    </row>
    <row r="1309" spans="1:12" x14ac:dyDescent="0.3">
      <c r="A1309" t="s">
        <v>87</v>
      </c>
      <c r="B1309" s="26" t="s">
        <v>110</v>
      </c>
      <c r="C1309" s="26" t="s">
        <v>88</v>
      </c>
      <c r="D1309" s="26" t="s">
        <v>75</v>
      </c>
      <c r="E1309" s="20" t="s">
        <v>825</v>
      </c>
      <c r="F1309" s="21" t="str">
        <f>IF(OR(E1309="",E1309="!!!"),"",IF(NOT(ISNA(VLOOKUP(E1309,E$1:E1308,1,FALSE()))),"OLD",IF(AND(E1309&lt;&gt;"",E1309&lt;&gt;"!!!"),"NEW","")))</f>
        <v>OLD</v>
      </c>
      <c r="G1309" s="22" t="str">
        <f ca="1"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?IN_FOCUS</v>
      </c>
      <c r="H1309" s="23" t="str">
        <f t="shared" ca="1" si="89"/>
        <v/>
      </c>
      <c r="I1309" s="24" t="str">
        <f>IF(OR(E1309="",E1309="!!!",F1309="NEW"),"",INDEX(B$2:B1308,-1+SUMPRODUCT(MAX(ROW(E$2:E1308)*(E1309=E$2:E1308)))))</f>
        <v>SBJ_2</v>
      </c>
      <c r="J1309" s="24">
        <f ca="1">IF(OR(E1309="",E1309="!!!",F1309="NEW"),"",COUNTBLANK(OFFSET(A$1,,,SUMPRODUCT(MAX(ROW(E$2:E1309)*(E1309=E$2:E1309)))))-COUNTBLANK(OFFSET(A$1,,,SUMPRODUCT(MAX(ROW(E$1:E1308)*(E2=E$1:E1308))))))</f>
        <v>0</v>
      </c>
      <c r="K1309" s="24">
        <f ca="1">IF(OR(E1309="",E1309="!!!",F1309="NEW"),"",INDEX(J$1:J1308,SUMPRODUCT(MAX(ROW(E$1:E1308)*(E1309=E$1:E1308)))))</f>
        <v>0</v>
      </c>
      <c r="L1309" s="25"/>
    </row>
    <row r="1310" spans="1:12" x14ac:dyDescent="0.3">
      <c r="A1310" t="s">
        <v>136</v>
      </c>
      <c r="E1310" s="20" t="str">
        <f>IF(D1310="?OLD","!!!","")</f>
        <v/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ca="1" si="89"/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804</v>
      </c>
      <c r="B1311" s="26" t="s">
        <v>110</v>
      </c>
      <c r="C1311" s="26" t="s">
        <v>74</v>
      </c>
      <c r="D1311" s="26" t="s">
        <v>75</v>
      </c>
      <c r="E1311" s="20" t="s">
        <v>829</v>
      </c>
      <c r="F1311" s="21" t="str">
        <f>IF(OR(E1311="",E1311="!!!"),"",IF(NOT(ISNA(VLOOKUP(E1311,E$1:E1310,1,FALSE()))),"OLD",IF(AND(E1311&lt;&gt;"",E1311&lt;&gt;"!!!"),"NEW","")))</f>
        <v>NEW</v>
      </c>
      <c r="G1311" s="22" t="str">
        <f ca="1"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?REFERENTIAL</v>
      </c>
      <c r="H1311" s="23" t="str">
        <f t="shared" ca="1" si="89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236</v>
      </c>
      <c r="E1312" s="20" t="str">
        <f>IF(D1312="?OLD","!!!","")</f>
        <v/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89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830</v>
      </c>
      <c r="B1313" s="26" t="s">
        <v>115</v>
      </c>
      <c r="C1313" s="26" t="s">
        <v>105</v>
      </c>
      <c r="E1313" s="20" t="str">
        <f>IF(D1313="?OLD","!!!","")</f>
        <v/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89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4" spans="1:12" x14ac:dyDescent="0.3">
      <c r="A1314" t="s">
        <v>86</v>
      </c>
      <c r="E1314" s="20" t="str">
        <f>IF(D1314="?OLD","!!!","")</f>
        <v/>
      </c>
      <c r="F1314" s="21" t="str">
        <f>IF(OR(E1314="",E1314="!!!"),"",IF(NOT(ISNA(VLOOKUP(E1314,E$1:E1313,1,FALSE()))),"OLD",IF(AND(E1314&lt;&gt;"",E1314&lt;&gt;"!!!"),"NEW","")))</f>
        <v/>
      </c>
      <c r="G1314" s="22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3" t="str">
        <f t="shared" ca="1" si="89"/>
        <v/>
      </c>
      <c r="I1314" s="24" t="str">
        <f>IF(OR(E1314="",E1314="!!!",F1314="NEW"),"",INDEX(B$2:B1313,-1+SUMPRODUCT(MAX(ROW(E$2:E1313)*(E1314=E$2:E1313)))))</f>
        <v/>
      </c>
      <c r="J1314" s="24" t="str">
        <f ca="1">IF(OR(E1314="",E1314="!!!",F1314="NEW"),"",COUNTBLANK(OFFSET(A$1,,,SUMPRODUCT(MAX(ROW(E$2:E1314)*(E1314=E$2:E1314)))))-COUNTBLANK(OFFSET(A$1,,,SUMPRODUCT(MAX(ROW(E$1:E1313)*(E2=E$1:E1313))))))</f>
        <v/>
      </c>
      <c r="K1314" s="24" t="str">
        <f>IF(OR(E1314="",E1314="!!!",F1314="NEW"),"",INDEX(J$1:J1313,SUMPRODUCT(MAX(ROW(E$1:E1313)*(E1314=E$1:E1313)))))</f>
        <v/>
      </c>
      <c r="L1314" s="25"/>
    </row>
    <row r="1315" spans="1:12" x14ac:dyDescent="0.3">
      <c r="A1315" t="s">
        <v>370</v>
      </c>
      <c r="E1315" s="20" t="str">
        <f>IF(D1315="?OLD","!!!","")</f>
        <v/>
      </c>
      <c r="F1315" s="21" t="str">
        <f>IF(OR(E1315="",E1315="!!!"),"",IF(NOT(ISNA(VLOOKUP(E1315,E$1:E1314,1,FALSE()))),"OLD",IF(AND(E1315&lt;&gt;"",E1315&lt;&gt;"!!!"),"NEW","")))</f>
        <v/>
      </c>
      <c r="G1315" s="22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3" t="str">
        <f t="shared" ca="1" si="89"/>
        <v/>
      </c>
      <c r="I1315" s="24" t="str">
        <f>IF(OR(E1315="",E1315="!!!",F1315="NEW"),"",INDEX(B$2:B1314,-1+SUMPRODUCT(MAX(ROW(E$2:E1314)*(E1315=E$2:E1314)))))</f>
        <v/>
      </c>
      <c r="J1315" s="24" t="str">
        <f ca="1">IF(OR(E1315="",E1315="!!!",F1315="NEW"),"",COUNTBLANK(OFFSET(A$1,,,SUMPRODUCT(MAX(ROW(E$2:E1315)*(E1315=E$2:E1315)))))-COUNTBLANK(OFFSET(A$1,,,SUMPRODUCT(MAX(ROW(E$1:E1314)*(E2=E$1:E1314))))))</f>
        <v/>
      </c>
      <c r="K1315" s="24" t="str">
        <f>IF(OR(E1315="",E1315="!!!",F1315="NEW"),"",INDEX(J$1:J1314,SUMPRODUCT(MAX(ROW(E$1:E1314)*(E1315=E$1:E1314)))))</f>
        <v/>
      </c>
      <c r="L1315" s="25"/>
    </row>
    <row r="1316" spans="1:12" x14ac:dyDescent="0.3">
      <c r="A1316" t="s">
        <v>831</v>
      </c>
      <c r="E1316" s="20" t="s">
        <v>819</v>
      </c>
      <c r="F1316" s="21" t="str">
        <f>IF(OR(E1316="",E1316="!!!"),"",IF(NOT(ISNA(VLOOKUP(E1316,E$1:E1315,1,FALSE()))),"OLD",IF(AND(E1316&lt;&gt;"",E1316&lt;&gt;"!!!"),"NEW","")))</f>
        <v>OLD</v>
      </c>
      <c r="G1316" s="22" t="str">
        <f ca="1"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?IN_FOCUS</v>
      </c>
      <c r="H1316" s="23" t="str">
        <f t="shared" ca="1" si="89"/>
        <v/>
      </c>
      <c r="I1316" s="24" t="str">
        <f>IF(OR(E1316="",E1316="!!!",F1316="NEW"),"",INDEX(B$2:B1315,-1+SUMPRODUCT(MAX(ROW(E$2:E1315)*(E1316=E$2:E1315)))))</f>
        <v>SBJ_3</v>
      </c>
      <c r="J1316" s="24">
        <f ca="1">IF(OR(E1316="",E1316="!!!",F1316="NEW"),"",COUNTBLANK(OFFSET(A$1,,,SUMPRODUCT(MAX(ROW(E$2:E1316)*(E1316=E$2:E1316)))))-COUNTBLANK(OFFSET(A$1,,,SUMPRODUCT(MAX(ROW(E$1:E1315)*(E2=E$1:E1315))))))</f>
        <v>0</v>
      </c>
      <c r="K1316" s="24" t="str">
        <f ca="1">IF(OR(E1316="",E1316="!!!",F1316="NEW"),"",INDEX(J$1:J1315,SUMPRODUCT(MAX(ROW(E$1:E1315)*(E1316=E$1:E1315)))))</f>
        <v/>
      </c>
      <c r="L1316" s="25"/>
    </row>
    <row r="1317" spans="1:12" x14ac:dyDescent="0.3">
      <c r="A1317" t="s">
        <v>832</v>
      </c>
      <c r="E1317" s="20" t="str">
        <f>IF(D1317="?OLD","!!!","")</f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89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95</v>
      </c>
      <c r="B1318" s="26" t="s">
        <v>411</v>
      </c>
      <c r="C1318" s="26" t="s">
        <v>88</v>
      </c>
      <c r="D1318" s="26" t="s">
        <v>75</v>
      </c>
      <c r="E1318" s="20" t="s">
        <v>97</v>
      </c>
      <c r="F1318" s="21" t="str">
        <f>IF(OR(E1318="",E1318="!!!"),"",IF(NOT(ISNA(VLOOKUP(E1318,E$1:E1317,1,FALSE()))),"OLD",IF(AND(E1318&lt;&gt;"",E1318&lt;&gt;"!!!"),"NEW","")))</f>
        <v>OLD</v>
      </c>
      <c r="G1318" s="22" t="str">
        <f ca="1"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?IN_FOCUS</v>
      </c>
      <c r="H1318" s="23" t="str">
        <f t="shared" ca="1" si="89"/>
        <v/>
      </c>
      <c r="I1318" s="24" t="str">
        <f>IF(OR(E1318="",E1318="!!!",F1318="NEW"),"",INDEX(B$2:B1317,-1+SUMPRODUCT(MAX(ROW(E$2:E1317)*(E1318=E$2:E1317)))))</f>
        <v>OBJ_3</v>
      </c>
      <c r="J1318" s="24">
        <f ca="1">IF(OR(E1318="",E1318="!!!",F1318="NEW"),"",COUNTBLANK(OFFSET(A$1,,,SUMPRODUCT(MAX(ROW(E$2:E1318)*(E1318=E$2:E1318)))))-COUNTBLANK(OFFSET(A$1,,,SUMPRODUCT(MAX(ROW(E$1:E1317)*(E2=E$1:E1317))))))</f>
        <v>0</v>
      </c>
      <c r="K1318" s="24">
        <f ca="1">IF(OR(E1318="",E1318="!!!",F1318="NEW"),"",INDEX(J$1:J1317,SUMPRODUCT(MAX(ROW(E$1:E1317)*(E1318=E$1:E1317)))))</f>
        <v>0</v>
      </c>
      <c r="L1318" s="25"/>
    </row>
    <row r="1319" spans="1:12" x14ac:dyDescent="0.3">
      <c r="A1319" t="s">
        <v>136</v>
      </c>
      <c r="E1319" s="20" t="str">
        <f>IF(D1319="?OLD","!!!","")</f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89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222</v>
      </c>
      <c r="B1320" s="26" t="s">
        <v>414</v>
      </c>
      <c r="C1320" s="26" t="s">
        <v>74</v>
      </c>
      <c r="D1320" s="26" t="s">
        <v>75</v>
      </c>
      <c r="E1320" s="20" t="s">
        <v>833</v>
      </c>
      <c r="F1320" s="21" t="s">
        <v>84</v>
      </c>
      <c r="G1320" s="22" t="e">
        <f ca="1"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#VALUE!</v>
      </c>
      <c r="H1320" s="23" t="str">
        <f t="shared" ca="1" si="89"/>
        <v/>
      </c>
      <c r="I1320" s="24" t="e">
        <f>IF(OR(E1320="",E1320="!!!",F1320="NEW"),"",INDEX(B$2:B1319,-1+SUMPRODUCT(MAX(ROW(E$2:E1319)*(E1320=E$2:E1319)))))</f>
        <v>#VALUE!</v>
      </c>
      <c r="J1320" s="24">
        <f ca="1">IF(OR(E1320="",E1320="!!!",F1320="NEW"),"",COUNTBLANK(OFFSET(A$1,,,SUMPRODUCT(MAX(ROW(E$2:E1320)*(E1320=E$2:E1320)))))-COUNTBLANK(OFFSET(A$1,,,SUMPRODUCT(MAX(ROW(E$1:E1319)*(E2=E$1:E1319))))))</f>
        <v>0</v>
      </c>
      <c r="K1320" s="24" t="e">
        <f>IF(OR(E1320="",E1320="!!!",F1320="NEW"),"",INDEX(J$1:J1319,SUMPRODUCT(MAX(ROW(E$1:E1319)*(E1320=E$1:E1319)))))</f>
        <v>#VALUE!</v>
      </c>
      <c r="L1320" s="25"/>
    </row>
    <row r="1321" spans="1:12" x14ac:dyDescent="0.3">
      <c r="A1321" t="s">
        <v>86</v>
      </c>
      <c r="E1321" s="20" t="str">
        <f>IF(D1321="?OLD","!!!","")</f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89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834</v>
      </c>
      <c r="B1322" s="26" t="s">
        <v>408</v>
      </c>
      <c r="C1322" s="26" t="s">
        <v>105</v>
      </c>
      <c r="E1322" s="20" t="str">
        <f>IF(D1322="?OLD","!!!","")</f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89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87</v>
      </c>
      <c r="B1323" s="26" t="s">
        <v>546</v>
      </c>
      <c r="C1323" s="26" t="s">
        <v>88</v>
      </c>
      <c r="D1323" s="26" t="s">
        <v>75</v>
      </c>
      <c r="E1323" s="20" t="s">
        <v>168</v>
      </c>
      <c r="F1323" s="21" t="str">
        <f>IF(OR(E1323="",E1323="!!!"),"",IF(NOT(ISNA(VLOOKUP(E1323,E$1:E1322,1,FALSE()))),"OLD",IF(AND(E1323&lt;&gt;"",E1323&lt;&gt;"!!!"),"NEW","")))</f>
        <v>OLD</v>
      </c>
      <c r="G1323" s="22" t="str">
        <f ca="1"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?IN_FOCUS</v>
      </c>
      <c r="H1323" s="23" t="str">
        <f t="shared" ca="1" si="89"/>
        <v/>
      </c>
      <c r="I1323" s="24" t="str">
        <f>IF(OR(E1323="",E1323="!!!",F1323="NEW"),"",INDEX(B$2:B1322,-1+SUMPRODUCT(MAX(ROW(E$2:E1322)*(E1323=E$2:E1322)))))</f>
        <v>SBJ_3</v>
      </c>
      <c r="J1323" s="24">
        <f ca="1">IF(OR(E1323="",E1323="!!!",F1323="NEW"),"",COUNTBLANK(OFFSET(A$1,,,SUMPRODUCT(MAX(ROW(E$2:E1323)*(E1323=E$2:E1323)))))-COUNTBLANK(OFFSET(A$1,,,SUMPRODUCT(MAX(ROW(E$1:E1322)*(E2=E$1:E1322))))))</f>
        <v>0</v>
      </c>
      <c r="K1323" s="24">
        <f ca="1">IF(OR(E1323="",E1323="!!!",F1323="NEW"),"",INDEX(J$1:J1322,SUMPRODUCT(MAX(ROW(E$1:E1322)*(E1323=E$1:E1322)))))</f>
        <v>0</v>
      </c>
      <c r="L1323" s="25"/>
    </row>
    <row r="1324" spans="1:12" x14ac:dyDescent="0.3">
      <c r="A1324" t="s">
        <v>320</v>
      </c>
      <c r="B1324" s="26" t="s">
        <v>805</v>
      </c>
      <c r="E1324" s="20" t="s">
        <v>97</v>
      </c>
      <c r="F1324" s="21" t="str">
        <f>IF(OR(E1324="",E1324="!!!"),"",IF(NOT(ISNA(VLOOKUP(E1324,E$1:E1323,1,FALSE()))),"OLD",IF(AND(E1324&lt;&gt;"",E1324&lt;&gt;"!!!"),"NEW","")))</f>
        <v>OLD</v>
      </c>
      <c r="G1324" s="22" t="str">
        <f ca="1"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?IN_FOCUS</v>
      </c>
      <c r="H1324" s="23" t="str">
        <f t="shared" ca="1" si="89"/>
        <v/>
      </c>
      <c r="I1324" s="24" t="str">
        <f>IF(OR(E1324="",E1324="!!!",F1324="NEW"),"",INDEX(B$2:B1323,-1+SUMPRODUCT(MAX(ROW(E$2:E1323)*(E1324=E$2:E1323)))))</f>
        <v>SBJ_7</v>
      </c>
      <c r="J1324" s="24">
        <f ca="1">IF(OR(E1324="",E1324="!!!",F1324="NEW"),"",COUNTBLANK(OFFSET(A$1,,,SUMPRODUCT(MAX(ROW(E$2:E1324)*(E1324=E$2:E1324)))))-COUNTBLANK(OFFSET(A$1,,,SUMPRODUCT(MAX(ROW(E$1:E1323)*(E2=E$1:E1323))))))</f>
        <v>0</v>
      </c>
      <c r="K1324" s="24">
        <f ca="1">IF(OR(E1324="",E1324="!!!",F1324="NEW"),"",INDEX(J$1:J1323,SUMPRODUCT(MAX(ROW(E$1:E1323)*(E1324=E$1:E1323)))))</f>
        <v>0</v>
      </c>
      <c r="L1324" s="25"/>
    </row>
    <row r="1325" spans="1:12" x14ac:dyDescent="0.3">
      <c r="A1325" t="s">
        <v>835</v>
      </c>
      <c r="B1325" s="26" t="s">
        <v>207</v>
      </c>
      <c r="E1325" s="20" t="str">
        <f t="shared" ref="E1325:E1331" si="90">IF(D1325="?OLD","!!!","")</f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89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6" spans="1:12" x14ac:dyDescent="0.3">
      <c r="A1326" t="s">
        <v>333</v>
      </c>
      <c r="E1326" s="20" t="str">
        <f t="shared" si="90"/>
        <v/>
      </c>
      <c r="F1326" s="21" t="str">
        <f>IF(OR(E1326="",E1326="!!!"),"",IF(NOT(ISNA(VLOOKUP(E1326,E$1:E1325,1,FALSE()))),"OLD",IF(AND(E1326&lt;&gt;"",E1326&lt;&gt;"!!!"),"NEW","")))</f>
        <v/>
      </c>
      <c r="G1326" s="22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3" t="str">
        <f t="shared" ca="1" si="89"/>
        <v/>
      </c>
      <c r="I1326" s="24" t="str">
        <f>IF(OR(E1326="",E1326="!!!",F1326="NEW"),"",INDEX(B$2:B1325,-1+SUMPRODUCT(MAX(ROW(E$2:E1325)*(E1326=E$2:E1325)))))</f>
        <v/>
      </c>
      <c r="J1326" s="24" t="str">
        <f ca="1">IF(OR(E1326="",E1326="!!!",F1326="NEW"),"",COUNTBLANK(OFFSET(A$1,,,SUMPRODUCT(MAX(ROW(E$2:E1326)*(E1326=E$2:E1326)))))-COUNTBLANK(OFFSET(A$1,,,SUMPRODUCT(MAX(ROW(E$1:E1325)*(E2=E$1:E1325))))))</f>
        <v/>
      </c>
      <c r="K1326" s="24" t="str">
        <f>IF(OR(E1326="",E1326="!!!",F1326="NEW"),"",INDEX(J$1:J1325,SUMPRODUCT(MAX(ROW(E$1:E1325)*(E1326=E$1:E1325)))))</f>
        <v/>
      </c>
      <c r="L1326" s="25"/>
    </row>
    <row r="1327" spans="1:12" x14ac:dyDescent="0.3">
      <c r="A1327" t="s">
        <v>258</v>
      </c>
      <c r="E1327" s="20" t="str">
        <f t="shared" si="90"/>
        <v/>
      </c>
      <c r="F1327" s="21" t="str">
        <f>IF(OR(E1327="",E1327="!!!"),"",IF(NOT(ISNA(VLOOKUP(E1327,E$1:E1326,1,FALSE()))),"OLD",IF(AND(E1327&lt;&gt;"",E1327&lt;&gt;"!!!"),"NEW","")))</f>
        <v/>
      </c>
      <c r="G1327" s="22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3" t="str">
        <f t="shared" ca="1" si="89"/>
        <v/>
      </c>
      <c r="I1327" s="24" t="str">
        <f>IF(OR(E1327="",E1327="!!!",F1327="NEW"),"",INDEX(B$2:B1326,-1+SUMPRODUCT(MAX(ROW(E$2:E1326)*(E1327=E$2:E1326)))))</f>
        <v/>
      </c>
      <c r="J1327" s="24" t="str">
        <f ca="1">IF(OR(E1327="",E1327="!!!",F1327="NEW"),"",COUNTBLANK(OFFSET(A$1,,,SUMPRODUCT(MAX(ROW(E$2:E1327)*(E1327=E$2:E1327)))))-COUNTBLANK(OFFSET(A$1,,,SUMPRODUCT(MAX(ROW(E$1:E1326)*(E2=E$1:E1326))))))</f>
        <v/>
      </c>
      <c r="K1327" s="24" t="str">
        <f>IF(OR(E1327="",E1327="!!!",F1327="NEW"),"",INDEX(J$1:J1326,SUMPRODUCT(MAX(ROW(E$1:E1326)*(E1327=E$1:E1326)))))</f>
        <v/>
      </c>
      <c r="L1327" s="25"/>
    </row>
    <row r="1328" spans="1:12" x14ac:dyDescent="0.3">
      <c r="A1328" t="s">
        <v>800</v>
      </c>
      <c r="B1328" s="26" t="s">
        <v>416</v>
      </c>
      <c r="C1328" s="26" t="s">
        <v>111</v>
      </c>
      <c r="E1328" s="20" t="str">
        <f t="shared" si="90"/>
        <v/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ca="1" si="89"/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836</v>
      </c>
      <c r="B1329" s="26" t="s">
        <v>402</v>
      </c>
      <c r="C1329" s="26" t="s">
        <v>119</v>
      </c>
      <c r="E1329" s="20" t="str">
        <f t="shared" si="90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89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837</v>
      </c>
      <c r="E1330" s="20" t="str">
        <f t="shared" si="90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89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172</v>
      </c>
      <c r="E1331" s="20" t="str">
        <f t="shared" si="90"/>
        <v/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ref="H1331:H1362" ca="1" si="91">IF(J1331&lt;&gt;1,"",IF(I1331="SBJ","CB","?"))</f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334</v>
      </c>
      <c r="B1332" s="26" t="s">
        <v>207</v>
      </c>
      <c r="C1332" s="26" t="s">
        <v>105</v>
      </c>
      <c r="E1332" s="20" t="s">
        <v>398</v>
      </c>
      <c r="F1332" s="21" t="str">
        <f>IF(OR(E1332="",E1332="!!!"),"",IF(NOT(ISNA(VLOOKUP(E1332,E$1:E1331,1,FALSE()))),"OLD",IF(AND(E1332&lt;&gt;"",E1332&lt;&gt;"!!!"),"NEW","")))</f>
        <v>OLD</v>
      </c>
      <c r="G1332" s="22" t="str">
        <f ca="1"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?IN_FOCUS</v>
      </c>
      <c r="H1332" s="23" t="str">
        <f t="shared" ca="1" si="91"/>
        <v/>
      </c>
      <c r="I1332" s="24" t="str">
        <f>IF(OR(E1332="",E1332="!!!",F1332="NEW"),"",INDEX(B$2:B1331,-1+SUMPRODUCT(MAX(ROW(E$2:E1331)*(E1332=E$2:E1331)))))</f>
        <v>SBJ_3</v>
      </c>
      <c r="J1332" s="24">
        <f ca="1">IF(OR(E1332="",E1332="!!!",F1332="NEW"),"",COUNTBLANK(OFFSET(A$1,,,SUMPRODUCT(MAX(ROW(E$2:E1332)*(E1332=E$2:E1332)))))-COUNTBLANK(OFFSET(A$1,,,SUMPRODUCT(MAX(ROW(E$1:E1331)*(E2=E$1:E1331))))))</f>
        <v>0</v>
      </c>
      <c r="K1332" s="24">
        <f ca="1">IF(OR(E1332="",E1332="!!!",F1332="NEW"),"",INDEX(J$1:J1331,SUMPRODUCT(MAX(ROW(E$1:E1331)*(E1332=E$1:E1331)))))</f>
        <v>0</v>
      </c>
      <c r="L1332" s="27" t="s">
        <v>332</v>
      </c>
    </row>
    <row r="1333" spans="1:12" x14ac:dyDescent="0.3">
      <c r="A1333" t="s">
        <v>142</v>
      </c>
      <c r="E1333" s="20" t="str">
        <f>IF(D1333="?OLD","!!!","")</f>
        <v/>
      </c>
      <c r="F1333" s="21" t="str">
        <f>IF(OR(E1333="",E1333="!!!"),"",IF(NOT(ISNA(VLOOKUP(E1333,E$1:E1332,1,FALSE()))),"OLD",IF(AND(E1333&lt;&gt;"",E1333&lt;&gt;"!!!"),"NEW","")))</f>
        <v/>
      </c>
      <c r="G1333" s="22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3" t="str">
        <f t="shared" ca="1" si="91"/>
        <v/>
      </c>
      <c r="I1333" s="24" t="str">
        <f>IF(OR(E1333="",E1333="!!!",F1333="NEW"),"",INDEX(B$2:B1332,-1+SUMPRODUCT(MAX(ROW(E$2:E1332)*(E1333=E$2:E1332)))))</f>
        <v/>
      </c>
      <c r="J1333" s="24" t="str">
        <f ca="1">IF(OR(E1333="",E1333="!!!",F1333="NEW"),"",COUNTBLANK(OFFSET(A$1,,,SUMPRODUCT(MAX(ROW(E$2:E1333)*(E1333=E$2:E1333)))))-COUNTBLANK(OFFSET(A$1,,,SUMPRODUCT(MAX(ROW(E$1:E1332)*(E2=E$1:E1332))))))</f>
        <v/>
      </c>
      <c r="K1333" s="24" t="str">
        <f>IF(OR(E1333="",E1333="!!!",F1333="NEW"),"",INDEX(J$1:J1332,SUMPRODUCT(MAX(ROW(E$1:E1332)*(E1333=E$1:E1332)))))</f>
        <v/>
      </c>
      <c r="L1333" s="25"/>
    </row>
    <row r="1334" spans="1:12" x14ac:dyDescent="0.3">
      <c r="A1334" t="s">
        <v>103</v>
      </c>
      <c r="B1334" s="26" t="s">
        <v>416</v>
      </c>
      <c r="C1334" s="26" t="s">
        <v>105</v>
      </c>
      <c r="E1334" s="20" t="s">
        <v>106</v>
      </c>
      <c r="F1334" s="21" t="str">
        <f>IF(OR(E1334="",E1334="!!!"),"",IF(NOT(ISNA(VLOOKUP(E1334,E$1:E1333,1,FALSE()))),"OLD",IF(AND(E1334&lt;&gt;"",E1334&lt;&gt;"!!!"),"NEW","")))</f>
        <v>OLD</v>
      </c>
      <c r="G1334" s="22" t="str">
        <f ca="1"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?IN_FOCUS</v>
      </c>
      <c r="H1334" s="23" t="str">
        <f t="shared" ca="1" si="91"/>
        <v/>
      </c>
      <c r="I1334" s="24">
        <f>IF(OR(E1334="",E1334="!!!",F1334="NEW"),"",INDEX(B$2:B1333,-1+SUMPRODUCT(MAX(ROW(E$2:E1333)*(E1334=E$2:E1333)))))</f>
        <v>0</v>
      </c>
      <c r="J1334" s="24">
        <f ca="1">IF(OR(E1334="",E1334="!!!",F1334="NEW"),"",COUNTBLANK(OFFSET(A$1,,,SUMPRODUCT(MAX(ROW(E$2:E1334)*(E1334=E$2:E1334)))))-COUNTBLANK(OFFSET(A$1,,,SUMPRODUCT(MAX(ROW(E$1:E1333)*(E2=E$1:E1333))))))</f>
        <v>0</v>
      </c>
      <c r="K1334" s="24">
        <f ca="1">IF(OR(E1334="",E1334="!!!",F1334="NEW"),"",INDEX(J$1:J1333,SUMPRODUCT(MAX(ROW(E$1:E1333)*(E1334=E$1:E1333)))))</f>
        <v>0</v>
      </c>
      <c r="L1334" s="27" t="s">
        <v>332</v>
      </c>
    </row>
    <row r="1335" spans="1:12" x14ac:dyDescent="0.3">
      <c r="A1335" t="s">
        <v>167</v>
      </c>
      <c r="E1335" s="20" t="str">
        <f>IF(D1335="?OLD","!!!","")</f>
        <v/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ca="1" si="91"/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116</v>
      </c>
      <c r="E1336" s="20" t="str">
        <f>IF(D1336="?OLD","!!!","")</f>
        <v/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91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838</v>
      </c>
      <c r="E1337" s="20" t="str">
        <f>IF(D1337="?OLD","!!!","")</f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91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8" spans="1:12" x14ac:dyDescent="0.3">
      <c r="A1338" t="s">
        <v>258</v>
      </c>
      <c r="E1338" s="20" t="str">
        <f>IF(D1338="?OLD","!!!","")</f>
        <v/>
      </c>
      <c r="F1338" s="21" t="str">
        <f>IF(OR(E1338="",E1338="!!!"),"",IF(NOT(ISNA(VLOOKUP(E1338,E$1:E1337,1,FALSE()))),"OLD",IF(AND(E1338&lt;&gt;"",E1338&lt;&gt;"!!!"),"NEW","")))</f>
        <v/>
      </c>
      <c r="G1338" s="22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3" t="str">
        <f t="shared" ca="1" si="91"/>
        <v/>
      </c>
      <c r="I1338" s="24" t="str">
        <f>IF(OR(E1338="",E1338="!!!",F1338="NEW"),"",INDEX(B$2:B1337,-1+SUMPRODUCT(MAX(ROW(E$2:E1337)*(E1338=E$2:E1337)))))</f>
        <v/>
      </c>
      <c r="J1338" s="24" t="str">
        <f ca="1">IF(OR(E1338="",E1338="!!!",F1338="NEW"),"",COUNTBLANK(OFFSET(A$1,,,SUMPRODUCT(MAX(ROW(E$2:E1338)*(E1338=E$2:E1338)))))-COUNTBLANK(OFFSET(A$1,,,SUMPRODUCT(MAX(ROW(E$1:E1337)*(E2=E$1:E1337))))))</f>
        <v/>
      </c>
      <c r="K1338" s="24" t="str">
        <f>IF(OR(E1338="",E1338="!!!",F1338="NEW"),"",INDEX(J$1:J1337,SUMPRODUCT(MAX(ROW(E$1:E1337)*(E1338=E$1:E1337)))))</f>
        <v/>
      </c>
      <c r="L1338" s="25"/>
    </row>
    <row r="1339" spans="1:12" x14ac:dyDescent="0.3">
      <c r="A1339" t="s">
        <v>160</v>
      </c>
      <c r="E1339" s="20" t="str">
        <f>IF(D1339="?OLD","!!!","")</f>
        <v/>
      </c>
      <c r="F1339" s="21" t="str">
        <f>IF(OR(E1339="",E1339="!!!"),"",IF(NOT(ISNA(VLOOKUP(E1339,E$1:E1338,1,FALSE()))),"OLD",IF(AND(E1339&lt;&gt;"",E1339&lt;&gt;"!!!"),"NEW","")))</f>
        <v/>
      </c>
      <c r="G1339" s="22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3" t="str">
        <f t="shared" ca="1" si="91"/>
        <v/>
      </c>
      <c r="I1339" s="24" t="str">
        <f>IF(OR(E1339="",E1339="!!!",F1339="NEW"),"",INDEX(B$2:B1338,-1+SUMPRODUCT(MAX(ROW(E$2:E1338)*(E1339=E$2:E1338)))))</f>
        <v/>
      </c>
      <c r="J1339" s="24" t="str">
        <f ca="1">IF(OR(E1339="",E1339="!!!",F1339="NEW"),"",COUNTBLANK(OFFSET(A$1,,,SUMPRODUCT(MAX(ROW(E$2:E1339)*(E1339=E$2:E1339)))))-COUNTBLANK(OFFSET(A$1,,,SUMPRODUCT(MAX(ROW(E$1:E1338)*(E2=E$1:E1338))))))</f>
        <v/>
      </c>
      <c r="K1339" s="24" t="str">
        <f>IF(OR(E1339="",E1339="!!!",F1339="NEW"),"",INDEX(J$1:J1338,SUMPRODUCT(MAX(ROW(E$1:E1338)*(E1339=E$1:E1338)))))</f>
        <v/>
      </c>
      <c r="L1339" s="25"/>
    </row>
    <row r="1340" spans="1:12" x14ac:dyDescent="0.3">
      <c r="A1340" t="s">
        <v>839</v>
      </c>
      <c r="B1340" s="26" t="s">
        <v>115</v>
      </c>
      <c r="C1340" s="26" t="s">
        <v>74</v>
      </c>
      <c r="D1340" s="26" t="s">
        <v>75</v>
      </c>
      <c r="E1340" s="20" t="s">
        <v>481</v>
      </c>
      <c r="F1340" s="21" t="str">
        <f>IF(OR(E1340="",E1340="!!!"),"",IF(NOT(ISNA(VLOOKUP(E1340,E$1:E1339,1,FALSE()))),"OLD",IF(AND(E1340&lt;&gt;"",E1340&lt;&gt;"!!!"),"NEW","")))</f>
        <v>OLD</v>
      </c>
      <c r="G1340" s="22" t="str">
        <f ca="1"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?IN_FOCUS</v>
      </c>
      <c r="H1340" s="23" t="str">
        <f t="shared" ca="1" si="91"/>
        <v/>
      </c>
      <c r="I1340" s="24">
        <f>IF(OR(E1340="",E1340="!!!",F1340="NEW"),"",INDEX(B$2:B1339,-1+SUMPRODUCT(MAX(ROW(E$2:E1339)*(E1340=E$2:E1339)))))</f>
        <v>0</v>
      </c>
      <c r="J1340" s="24">
        <f ca="1">IF(OR(E1340="",E1340="!!!",F1340="NEW"),"",COUNTBLANK(OFFSET(A$1,,,SUMPRODUCT(MAX(ROW(E$2:E1340)*(E1340=E$2:E1340)))))-COUNTBLANK(OFFSET(A$1,,,SUMPRODUCT(MAX(ROW(E$1:E1339)*(E2=E$1:E1339))))))</f>
        <v>0</v>
      </c>
      <c r="K1340" s="24">
        <f ca="1">IF(OR(E1340="",E1340="!!!",F1340="NEW"),"",INDEX(J$1:J1339,SUMPRODUCT(MAX(ROW(E$1:E1339)*(E1340=E$1:E1339)))))</f>
        <v>0</v>
      </c>
      <c r="L1340" s="25"/>
    </row>
    <row r="1341" spans="1:12" x14ac:dyDescent="0.3">
      <c r="A1341" t="s">
        <v>240</v>
      </c>
      <c r="E1341" s="20" t="str">
        <f>IF(D1341="?OLD","!!!","")</f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t="shared" ca="1" si="91"/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2" spans="1:12" x14ac:dyDescent="0.3">
      <c r="A1342" t="s">
        <v>423</v>
      </c>
      <c r="B1342" s="26" t="s">
        <v>115</v>
      </c>
      <c r="C1342" s="26" t="s">
        <v>74</v>
      </c>
      <c r="D1342" s="26" t="s">
        <v>75</v>
      </c>
      <c r="E1342" s="20" t="s">
        <v>234</v>
      </c>
      <c r="F1342" s="21" t="str">
        <f>IF(OR(E1342="",E1342="!!!"),"",IF(NOT(ISNA(VLOOKUP(E1342,E$1:E1341,1,FALSE()))),"OLD",IF(AND(E1342&lt;&gt;"",E1342&lt;&gt;"!!!"),"NEW","")))</f>
        <v>OLD</v>
      </c>
      <c r="G1342" s="22" t="str">
        <f ca="1"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?IN_FOCUS</v>
      </c>
      <c r="H1342" s="23" t="str">
        <f t="shared" ca="1" si="91"/>
        <v/>
      </c>
      <c r="I1342" s="24" t="str">
        <f>IF(OR(E1342="",E1342="!!!",F1342="NEW"),"",INDEX(B$2:B1341,-1+SUMPRODUCT(MAX(ROW(E$2:E1341)*(E1342=E$2:E1341)))))</f>
        <v>other_5</v>
      </c>
      <c r="J1342" s="24">
        <f ca="1">IF(OR(E1342="",E1342="!!!",F1342="NEW"),"",COUNTBLANK(OFFSET(A$1,,,SUMPRODUCT(MAX(ROW(E$2:E1342)*(E1342=E$2:E1342)))))-COUNTBLANK(OFFSET(A$1,,,SUMPRODUCT(MAX(ROW(E$1:E1341)*(E2=E$1:E1341))))))</f>
        <v>0</v>
      </c>
      <c r="K1342" s="24">
        <f ca="1">IF(OR(E1342="",E1342="!!!",F1342="NEW"),"",INDEX(J$1:J1341,SUMPRODUCT(MAX(ROW(E$1:E1341)*(E1342=E$1:E1341)))))</f>
        <v>0</v>
      </c>
      <c r="L1342" s="25"/>
    </row>
    <row r="1343" spans="1:12" x14ac:dyDescent="0.3">
      <c r="A1343" t="s">
        <v>840</v>
      </c>
      <c r="E1343" s="20" t="str">
        <f>IF(D1343="?OLD","!!!","")</f>
        <v/>
      </c>
      <c r="F1343" s="21" t="str">
        <f>IF(OR(E1343="",E1343="!!!"),"",IF(NOT(ISNA(VLOOKUP(E1343,E$1:E1342,1,FALSE()))),"OLD",IF(AND(E1343&lt;&gt;"",E1343&lt;&gt;"!!!"),"NEW","")))</f>
        <v/>
      </c>
      <c r="G1343" s="22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3" t="str">
        <f t="shared" ca="1" si="91"/>
        <v/>
      </c>
      <c r="I1343" s="24" t="str">
        <f>IF(OR(E1343="",E1343="!!!",F1343="NEW"),"",INDEX(B$2:B1342,-1+SUMPRODUCT(MAX(ROW(E$2:E1342)*(E1343=E$2:E1342)))))</f>
        <v/>
      </c>
      <c r="J1343" s="24" t="str">
        <f ca="1">IF(OR(E1343="",E1343="!!!",F1343="NEW"),"",COUNTBLANK(OFFSET(A$1,,,SUMPRODUCT(MAX(ROW(E$2:E1343)*(E1343=E$2:E1343)))))-COUNTBLANK(OFFSET(A$1,,,SUMPRODUCT(MAX(ROW(E$1:E1342)*(E2=E$1:E1342))))))</f>
        <v/>
      </c>
      <c r="K1343" s="24" t="str">
        <f>IF(OR(E1343="",E1343="!!!",F1343="NEW"),"",INDEX(J$1:J1342,SUMPRODUCT(MAX(ROW(E$1:E1342)*(E1343=E$1:E1342)))))</f>
        <v/>
      </c>
      <c r="L1343" s="25"/>
    </row>
    <row r="1344" spans="1:12" x14ac:dyDescent="0.3">
      <c r="A1344" t="s">
        <v>86</v>
      </c>
      <c r="E1344" s="20" t="str">
        <f>IF(D1344="?OLD","!!!","")</f>
        <v/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ca="1" si="91"/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87</v>
      </c>
      <c r="B1345" s="26" t="s">
        <v>96</v>
      </c>
      <c r="C1345" s="26" t="s">
        <v>88</v>
      </c>
      <c r="D1345" s="26" t="s">
        <v>75</v>
      </c>
      <c r="E1345" s="20" t="s">
        <v>841</v>
      </c>
      <c r="F1345" s="21" t="s">
        <v>210</v>
      </c>
      <c r="G1345" s="22" t="e">
        <f ca="1"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#VALUE!</v>
      </c>
      <c r="H1345" s="23" t="str">
        <f t="shared" ca="1" si="91"/>
        <v/>
      </c>
      <c r="I1345" s="24" t="e">
        <f>IF(OR(E1345="",E1345="!!!",F1345="NEW"),"",INDEX(B$2:B1344,-1+SUMPRODUCT(MAX(ROW(E$2:E1344)*(E1345=E$2:E1344)))))</f>
        <v>#VALUE!</v>
      </c>
      <c r="J1345" s="24">
        <f ca="1">IF(OR(E1345="",E1345="!!!",F1345="NEW"),"",COUNTBLANK(OFFSET(A$1,,,SUMPRODUCT(MAX(ROW(E$2:E1345)*(E1345=E$2:E1345)))))-COUNTBLANK(OFFSET(A$1,,,SUMPRODUCT(MAX(ROW(E$1:E1344)*(E2=E$1:E1344))))))</f>
        <v>0</v>
      </c>
      <c r="K1345" s="24" t="e">
        <f>IF(OR(E1345="",E1345="!!!",F1345="NEW"),"",INDEX(J$1:J1344,SUMPRODUCT(MAX(ROW(E$1:E1344)*(E1345=E$1:E1344)))))</f>
        <v>#VALUE!</v>
      </c>
      <c r="L1345" s="25"/>
    </row>
    <row r="1346" spans="1:12" x14ac:dyDescent="0.3">
      <c r="A1346" t="s">
        <v>590</v>
      </c>
      <c r="E1346" s="20" t="str">
        <f t="shared" ref="E1346:E1356" si="92">IF(D1346="?OLD","!!!","")</f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91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116</v>
      </c>
      <c r="E1347" s="20" t="str">
        <f t="shared" si="92"/>
        <v/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91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842</v>
      </c>
      <c r="E1348" s="20" t="str">
        <f t="shared" si="92"/>
        <v/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91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143</v>
      </c>
      <c r="E1349" s="20" t="str">
        <f t="shared" si="92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91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843</v>
      </c>
      <c r="B1350" s="26" t="s">
        <v>96</v>
      </c>
      <c r="C1350" s="26" t="s">
        <v>105</v>
      </c>
      <c r="E1350" s="20" t="str">
        <f t="shared" si="92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91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101</v>
      </c>
      <c r="E1351" s="20" t="str">
        <f t="shared" si="92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91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142</v>
      </c>
      <c r="E1352" s="20" t="str">
        <f t="shared" si="92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91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844</v>
      </c>
      <c r="E1353" s="20" t="str">
        <f t="shared" si="92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91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845</v>
      </c>
      <c r="B1354" s="26" t="s">
        <v>147</v>
      </c>
      <c r="C1354" s="26" t="s">
        <v>105</v>
      </c>
      <c r="E1354" s="20" t="str">
        <f t="shared" si="92"/>
        <v/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91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16</v>
      </c>
      <c r="E1355" s="20" t="str">
        <f t="shared" si="92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91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142</v>
      </c>
      <c r="E1356" s="20" t="str">
        <f t="shared" si="92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91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7" spans="1:12" x14ac:dyDescent="0.3">
      <c r="A1357" t="s">
        <v>846</v>
      </c>
      <c r="B1357" s="26" t="s">
        <v>115</v>
      </c>
      <c r="C1357" s="26" t="s">
        <v>105</v>
      </c>
      <c r="E1357" s="20" t="s">
        <v>847</v>
      </c>
      <c r="F1357" s="21" t="str">
        <f>IF(OR(E1357="",E1357="!!!"),"",IF(NOT(ISNA(VLOOKUP(E1357,E$1:E1356,1,FALSE()))),"OLD",IF(AND(E1357&lt;&gt;"",E1357&lt;&gt;"!!!"),"NEW","")))</f>
        <v>NEW</v>
      </c>
      <c r="G1357" s="22" t="str">
        <f ca="1"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?REFERENTIAL</v>
      </c>
      <c r="H1357" s="23" t="str">
        <f t="shared" ca="1" si="91"/>
        <v/>
      </c>
      <c r="I1357" s="24" t="str">
        <f>IF(OR(E1357="",E1357="!!!",F1357="NEW"),"",INDEX(B$2:B1356,-1+SUMPRODUCT(MAX(ROW(E$2:E1356)*(E1357=E$2:E1356)))))</f>
        <v/>
      </c>
      <c r="J1357" s="24" t="str">
        <f ca="1">IF(OR(E1357="",E1357="!!!",F1357="NEW"),"",COUNTBLANK(OFFSET(A$1,,,SUMPRODUCT(MAX(ROW(E$2:E1357)*(E1357=E$2:E1357)))))-COUNTBLANK(OFFSET(A$1,,,SUMPRODUCT(MAX(ROW(E$1:E1356)*(E2=E$1:E1356))))))</f>
        <v/>
      </c>
      <c r="K1357" s="24" t="str">
        <f>IF(OR(E1357="",E1357="!!!",F1357="NEW"),"",INDEX(J$1:J1356,SUMPRODUCT(MAX(ROW(E$1:E1356)*(E1357=E$1:E1356)))))</f>
        <v/>
      </c>
      <c r="L1357" s="27" t="s">
        <v>332</v>
      </c>
    </row>
    <row r="1358" spans="1:12" x14ac:dyDescent="0.3">
      <c r="A1358" t="s">
        <v>167</v>
      </c>
      <c r="E1358" s="20" t="str">
        <f>IF(D1358="?OLD","!!!","")</f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t="shared" ca="1" si="91"/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116</v>
      </c>
      <c r="E1359" s="20" t="str">
        <f>IF(D1359="?OLD","!!!","")</f>
        <v/>
      </c>
      <c r="F1359" s="21" t="str">
        <f>IF(OR(E1359="",E1359="!!!"),"",IF(NOT(ISNA(VLOOKUP(E1359,E$1:E1358,1,FALSE()))),"OLD",IF(AND(E1359&lt;&gt;"",E1359&lt;&gt;"!!!"),"NEW","")))</f>
        <v/>
      </c>
      <c r="G1359" s="22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3" t="str">
        <f t="shared" ca="1" si="91"/>
        <v/>
      </c>
      <c r="I1359" s="24" t="str">
        <f>IF(OR(E1359="",E1359="!!!",F1359="NEW"),"",INDEX(B$2:B1358,-1+SUMPRODUCT(MAX(ROW(E$2:E1358)*(E1359=E$2:E1358)))))</f>
        <v/>
      </c>
      <c r="J1359" s="24" t="str">
        <f ca="1">IF(OR(E1359="",E1359="!!!",F1359="NEW"),"",COUNTBLANK(OFFSET(A$1,,,SUMPRODUCT(MAX(ROW(E$2:E1359)*(E1359=E$2:E1359)))))-COUNTBLANK(OFFSET(A$1,,,SUMPRODUCT(MAX(ROW(E$1:E1358)*(E2=E$1:E1358))))))</f>
        <v/>
      </c>
      <c r="K1359" s="24" t="str">
        <f>IF(OR(E1359="",E1359="!!!",F1359="NEW"),"",INDEX(J$1:J1358,SUMPRODUCT(MAX(ROW(E$1:E1358)*(E1359=E$1:E1358)))))</f>
        <v/>
      </c>
      <c r="L1359" s="25"/>
    </row>
    <row r="1360" spans="1:12" x14ac:dyDescent="0.3">
      <c r="A1360" t="s">
        <v>112</v>
      </c>
      <c r="E1360" s="20" t="str">
        <f>IF(D1360="?OLD","!!!","")</f>
        <v/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ca="1" si="91"/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126</v>
      </c>
      <c r="B1361" s="26" t="s">
        <v>82</v>
      </c>
      <c r="C1361" s="26" t="s">
        <v>74</v>
      </c>
      <c r="D1361" s="26" t="s">
        <v>75</v>
      </c>
      <c r="E1361" s="20" t="s">
        <v>179</v>
      </c>
      <c r="F1361" s="21" t="str">
        <f>IF(OR(E1361="",E1361="!!!"),"",IF(NOT(ISNA(VLOOKUP(E1361,E$1:E1360,1,FALSE()))),"OLD",IF(AND(E1361&lt;&gt;"",E1361&lt;&gt;"!!!"),"NEW","")))</f>
        <v>OLD</v>
      </c>
      <c r="G1361" s="22" t="str">
        <f ca="1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?IN_FOCUS</v>
      </c>
      <c r="H1361" s="23" t="str">
        <f t="shared" ca="1" si="91"/>
        <v/>
      </c>
      <c r="I1361" s="24" t="str">
        <f>IF(OR(E1361="",E1361="!!!",F1361="NEW"),"",INDEX(B$2:B1360,-1+SUMPRODUCT(MAX(ROW(E$2:E1360)*(E1361=E$2:E1360)))))</f>
        <v>OBJ</v>
      </c>
      <c r="J1361" s="24">
        <f ca="1">IF(OR(E1361="",E1361="!!!",F1361="NEW"),"",COUNTBLANK(OFFSET(A$1,,,SUMPRODUCT(MAX(ROW(E$2:E1361)*(E1361=E$2:E1361)))))-COUNTBLANK(OFFSET(A$1,,,SUMPRODUCT(MAX(ROW(E$1:E1360)*(E2=E$1:E1360))))))</f>
        <v>0</v>
      </c>
      <c r="K1361" s="24">
        <f ca="1">IF(OR(E1361="",E1361="!!!",F1361="NEW"),"",INDEX(J$1:J1360,SUMPRODUCT(MAX(ROW(E$1:E1360)*(E1361=E$1:E1360)))))</f>
        <v>0</v>
      </c>
      <c r="L1361" s="25"/>
    </row>
    <row r="1362" spans="1:12" x14ac:dyDescent="0.3">
      <c r="A1362" t="s">
        <v>848</v>
      </c>
      <c r="E1362" s="20" t="str">
        <f>IF(D1362="?OLD","!!!","")</f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91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86</v>
      </c>
      <c r="E1363" s="20" t="str">
        <f>IF(D1363="?OLD","!!!","")</f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ref="H1363:H1394" ca="1" si="93">IF(J1363&lt;&gt;1,"",IF(I1363="SBJ","CB","?"))</f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318</v>
      </c>
      <c r="E1364" s="20" t="str">
        <f>IF(D1364="?OLD","!!!","")</f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93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253</v>
      </c>
      <c r="B1365" s="26" t="s">
        <v>96</v>
      </c>
      <c r="C1365" s="26" t="s">
        <v>208</v>
      </c>
      <c r="D1365" s="26" t="s">
        <v>75</v>
      </c>
      <c r="E1365" s="20" t="s">
        <v>849</v>
      </c>
      <c r="F1365" s="21" t="s">
        <v>210</v>
      </c>
      <c r="G1365" s="22" t="e">
        <f ca="1"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#VALUE!</v>
      </c>
      <c r="H1365" s="23" t="str">
        <f t="shared" ca="1" si="93"/>
        <v/>
      </c>
      <c r="I1365" s="24" t="e">
        <f>IF(OR(E1365="",E1365="!!!",F1365="NEW"),"",INDEX(B$2:B1364,-1+SUMPRODUCT(MAX(ROW(E$2:E1364)*(E1365=E$2:E1364)))))</f>
        <v>#VALUE!</v>
      </c>
      <c r="J1365" s="24">
        <f ca="1">IF(OR(E1365="",E1365="!!!",F1365="NEW"),"",COUNTBLANK(OFFSET(A$1,,,SUMPRODUCT(MAX(ROW(E$2:E1365)*(E1365=E$2:E1365)))))-COUNTBLANK(OFFSET(A$1,,,SUMPRODUCT(MAX(ROW(E$1:E1364)*(E2=E$1:E1364))))))</f>
        <v>0</v>
      </c>
      <c r="K1365" s="24" t="e">
        <f>IF(OR(E1365="",E1365="!!!",F1365="NEW"),"",INDEX(J$1:J1364,SUMPRODUCT(MAX(ROW(E$1:E1364)*(E1365=E$1:E1364)))))</f>
        <v>#VALUE!</v>
      </c>
      <c r="L1365" s="25"/>
    </row>
    <row r="1366" spans="1:12" x14ac:dyDescent="0.3">
      <c r="A1366" t="s">
        <v>167</v>
      </c>
      <c r="E1366" s="20" t="str">
        <f>IF(D1366="?OLD","!!!","")</f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93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701</v>
      </c>
      <c r="E1367" s="20" t="str">
        <f>IF(D1367="?OLD","!!!","")</f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93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86</v>
      </c>
      <c r="E1368" s="20" t="str">
        <f>IF(D1368="?OLD","!!!","")</f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93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192</v>
      </c>
      <c r="B1369" s="26" t="s">
        <v>96</v>
      </c>
      <c r="C1369" s="26" t="s">
        <v>88</v>
      </c>
      <c r="D1369" s="26" t="s">
        <v>75</v>
      </c>
      <c r="E1369" s="20" t="s">
        <v>97</v>
      </c>
      <c r="F1369" s="21" t="str">
        <f>IF(OR(E1369="",E1369="!!!"),"",IF(NOT(ISNA(VLOOKUP(E1369,E$1:E1368,1,FALSE()))),"OLD",IF(AND(E1369&lt;&gt;"",E1369&lt;&gt;"!!!"),"NEW","")))</f>
        <v>OLD</v>
      </c>
      <c r="G1369" s="22" t="str">
        <f ca="1"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?IN_FOCUS</v>
      </c>
      <c r="H1369" s="23" t="str">
        <f t="shared" ca="1" si="93"/>
        <v/>
      </c>
      <c r="I1369" s="24" t="str">
        <f>IF(OR(E1369="",E1369="!!!",F1369="NEW"),"",INDEX(B$2:B1368,-1+SUMPRODUCT(MAX(ROW(E$2:E1368)*(E1369=E$2:E1368)))))</f>
        <v>OBJ_8</v>
      </c>
      <c r="J1369" s="24">
        <f ca="1">IF(OR(E1369="",E1369="!!!",F1369="NEW"),"",COUNTBLANK(OFFSET(A$1,,,SUMPRODUCT(MAX(ROW(E$2:E1369)*(E1369=E$2:E1369)))))-COUNTBLANK(OFFSET(A$1,,,SUMPRODUCT(MAX(ROW(E$1:E1368)*(E2=E$1:E1368))))))</f>
        <v>0</v>
      </c>
      <c r="K1369" s="24">
        <f ca="1">IF(OR(E1369="",E1369="!!!",F1369="NEW"),"",INDEX(J$1:J1368,SUMPRODUCT(MAX(ROW(E$1:E1368)*(E1369=E$1:E1368)))))</f>
        <v>0</v>
      </c>
      <c r="L1369" s="25"/>
    </row>
    <row r="1370" spans="1:12" x14ac:dyDescent="0.3">
      <c r="A1370" t="s">
        <v>850</v>
      </c>
      <c r="E1370" s="20" t="str">
        <f>IF(D1370="?OLD","!!!","")</f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93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297</v>
      </c>
      <c r="E1371" s="20" t="s">
        <v>297</v>
      </c>
      <c r="F1371" s="21" t="s">
        <v>98</v>
      </c>
      <c r="G1371" s="22" t="e">
        <f ca="1"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#VALUE!</v>
      </c>
      <c r="H1371" s="23" t="str">
        <f t="shared" ca="1" si="93"/>
        <v/>
      </c>
      <c r="I1371" s="24" t="e">
        <f>IF(OR(E1371="",E1371="!!!",F1371="NEW"),"",INDEX(B$2:B1370,-1+SUMPRODUCT(MAX(ROW(E$2:E1370)*(E1371=E$2:E1370)))))</f>
        <v>#VALUE!</v>
      </c>
      <c r="J1371" s="24">
        <f ca="1">IF(OR(E1371="",E1371="!!!",F1371="NEW"),"",COUNTBLANK(OFFSET(A$1,,,SUMPRODUCT(MAX(ROW(E$2:E1371)*(E1371=E$2:E1371)))))-COUNTBLANK(OFFSET(A$1,,,SUMPRODUCT(MAX(ROW(E$1:E1370)*(E2=E$1:E1370))))))</f>
        <v>0</v>
      </c>
      <c r="K1371" s="24" t="e">
        <f>IF(OR(E1371="",E1371="!!!",F1371="NEW"),"",INDEX(J$1:J1370,SUMPRODUCT(MAX(ROW(E$1:E1370)*(E1371=E$1:E1370)))))</f>
        <v>#VALUE!</v>
      </c>
      <c r="L1371" s="27" t="s">
        <v>851</v>
      </c>
    </row>
    <row r="1372" spans="1:12" x14ac:dyDescent="0.3">
      <c r="A1372" t="s">
        <v>437</v>
      </c>
      <c r="E1372" s="20" t="str">
        <f t="shared" ref="E1372:E1378" si="94">IF(D1372="?OLD","!!!","")</f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93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116</v>
      </c>
      <c r="E1373" s="20" t="str">
        <f t="shared" si="94"/>
        <v/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93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397</v>
      </c>
      <c r="E1374" s="20" t="str">
        <f t="shared" si="94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93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852</v>
      </c>
      <c r="B1375" s="26" t="s">
        <v>82</v>
      </c>
      <c r="C1375" s="26" t="s">
        <v>105</v>
      </c>
      <c r="E1375" s="20" t="str">
        <f t="shared" si="94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93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86</v>
      </c>
      <c r="E1376" s="20" t="str">
        <f t="shared" si="94"/>
        <v/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93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318</v>
      </c>
      <c r="E1377" s="20" t="str">
        <f t="shared" si="94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93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8" spans="1:12" x14ac:dyDescent="0.3">
      <c r="A1378" t="s">
        <v>709</v>
      </c>
      <c r="E1378" s="20" t="str">
        <f t="shared" si="94"/>
        <v/>
      </c>
      <c r="F1378" s="21" t="str">
        <f>IF(OR(E1378="",E1378="!!!"),"",IF(NOT(ISNA(VLOOKUP(E1378,E$1:E1377,1,FALSE()))),"OLD",IF(AND(E1378&lt;&gt;"",E1378&lt;&gt;"!!!"),"NEW","")))</f>
        <v/>
      </c>
      <c r="G1378" s="22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3" t="str">
        <f t="shared" ca="1" si="93"/>
        <v/>
      </c>
      <c r="I1378" s="24" t="str">
        <f>IF(OR(E1378="",E1378="!!!",F1378="NEW"),"",INDEX(B$2:B1377,-1+SUMPRODUCT(MAX(ROW(E$2:E1377)*(E1378=E$2:E1377)))))</f>
        <v/>
      </c>
      <c r="J1378" s="24" t="str">
        <f ca="1">IF(OR(E1378="",E1378="!!!",F1378="NEW"),"",COUNTBLANK(OFFSET(A$1,,,SUMPRODUCT(MAX(ROW(E$2:E1378)*(E1378=E$2:E1378)))))-COUNTBLANK(OFFSET(A$1,,,SUMPRODUCT(MAX(ROW(E$1:E1377)*(E2=E$1:E1377))))))</f>
        <v/>
      </c>
      <c r="K1378" s="24" t="str">
        <f>IF(OR(E1378="",E1378="!!!",F1378="NEW"),"",INDEX(J$1:J1377,SUMPRODUCT(MAX(ROW(E$1:E1377)*(E1378=E$1:E1377)))))</f>
        <v/>
      </c>
      <c r="L1378" s="25"/>
    </row>
    <row r="1379" spans="1:12" x14ac:dyDescent="0.3">
      <c r="A1379" t="s">
        <v>103</v>
      </c>
      <c r="B1379" s="26" t="s">
        <v>96</v>
      </c>
      <c r="C1379" s="26" t="s">
        <v>105</v>
      </c>
      <c r="E1379" s="20" t="s">
        <v>184</v>
      </c>
      <c r="F1379" s="21" t="str">
        <f>IF(OR(E1379="",E1379="!!!"),"",IF(NOT(ISNA(VLOOKUP(E1379,E$1:E1378,1,FALSE()))),"OLD",IF(AND(E1379&lt;&gt;"",E1379&lt;&gt;"!!!"),"NEW","")))</f>
        <v>OLD</v>
      </c>
      <c r="G1379" s="22" t="str">
        <f ca="1"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?IN_FOCUS</v>
      </c>
      <c r="H1379" s="23" t="str">
        <f t="shared" ca="1" si="93"/>
        <v/>
      </c>
      <c r="I1379" s="24" t="str">
        <f>IF(OR(E1379="",E1379="!!!",F1379="NEW"),"",INDEX(B$2:B1378,-1+SUMPRODUCT(MAX(ROW(E$2:E1378)*(E1379=E$2:E1378)))))</f>
        <v>other_4</v>
      </c>
      <c r="J1379" s="24">
        <f ca="1">IF(OR(E1379="",E1379="!!!",F1379="NEW"),"",COUNTBLANK(OFFSET(A$1,,,SUMPRODUCT(MAX(ROW(E$2:E1379)*(E1379=E$2:E1379)))))-COUNTBLANK(OFFSET(A$1,,,SUMPRODUCT(MAX(ROW(E$1:E1378)*(E2=E$1:E1378))))))</f>
        <v>0</v>
      </c>
      <c r="K1379" s="24">
        <f ca="1">IF(OR(E1379="",E1379="!!!",F1379="NEW"),"",INDEX(J$1:J1378,SUMPRODUCT(MAX(ROW(E$1:E1378)*(E1379=E$1:E1378)))))</f>
        <v>0</v>
      </c>
      <c r="L1379" s="25"/>
    </row>
    <row r="1380" spans="1:12" x14ac:dyDescent="0.3">
      <c r="A1380" t="s">
        <v>167</v>
      </c>
      <c r="E1380" s="20" t="str">
        <f>IF(D1380="?OLD","!!!","")</f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ca="1" si="93"/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112</v>
      </c>
      <c r="E1381" s="20" t="str">
        <f>IF(D1381="?OLD","!!!","")</f>
        <v/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93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2" spans="1:12" x14ac:dyDescent="0.3">
      <c r="A1382" t="s">
        <v>853</v>
      </c>
      <c r="B1382" s="26" t="s">
        <v>131</v>
      </c>
      <c r="C1382" s="26" t="s">
        <v>74</v>
      </c>
      <c r="D1382" s="26" t="s">
        <v>75</v>
      </c>
      <c r="E1382" s="20"/>
      <c r="F1382" s="21" t="s">
        <v>139</v>
      </c>
      <c r="G1382" s="22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3" t="str">
        <f t="shared" ca="1" si="93"/>
        <v/>
      </c>
      <c r="I1382" s="24" t="str">
        <f>IF(OR(E1382="",E1382="!!!",F1382="NEW"),"",INDEX(B$2:B1381,-1+SUMPRODUCT(MAX(ROW(E$2:E1381)*(E1382=E$2:E1381)))))</f>
        <v/>
      </c>
      <c r="J1382" s="24" t="str">
        <f ca="1">IF(OR(E1382="",E1382="!!!",F1382="NEW"),"",COUNTBLANK(OFFSET(A$1,,,SUMPRODUCT(MAX(ROW(E$2:E1382)*(E1382=E$2:E1382)))))-COUNTBLANK(OFFSET(A$1,,,SUMPRODUCT(MAX(ROW(E$1:E1381)*(E2=E$1:E1381))))))</f>
        <v/>
      </c>
      <c r="K1382" s="24" t="str">
        <f>IF(OR(E1382="",E1382="!!!",F1382="NEW"),"",INDEX(J$1:J1381,SUMPRODUCT(MAX(ROW(E$1:E1381)*(E1382=E$1:E1381)))))</f>
        <v/>
      </c>
      <c r="L1382" s="25"/>
    </row>
    <row r="1383" spans="1:12" x14ac:dyDescent="0.3">
      <c r="A1383" t="s">
        <v>258</v>
      </c>
      <c r="E1383" s="20" t="str">
        <f>IF(D1383="?OLD","!!!","")</f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t="shared" ca="1" si="93"/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126</v>
      </c>
      <c r="B1384" s="26" t="s">
        <v>82</v>
      </c>
      <c r="C1384" s="26" t="s">
        <v>105</v>
      </c>
      <c r="E1384" s="20"/>
      <c r="F1384" s="21" t="str">
        <f>IF(OR(E1384="",E1384="!!!"),"",IF(NOT(ISNA(VLOOKUP(E1384,E$1:E1383,1,FALSE()))),"OLD",IF(AND(E1384&lt;&gt;"",E1384&lt;&gt;"!!!"),"NEW","")))</f>
        <v/>
      </c>
      <c r="G1384" s="22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3" t="str">
        <f t="shared" ca="1" si="93"/>
        <v/>
      </c>
      <c r="I1384" s="24" t="str">
        <f>IF(OR(E1384="",E1384="!!!",F1384="NEW"),"",INDEX(B$2:B1383,-1+SUMPRODUCT(MAX(ROW(E$2:E1383)*(E1384=E$2:E1383)))))</f>
        <v/>
      </c>
      <c r="J1384" s="24" t="str">
        <f ca="1">IF(OR(E1384="",E1384="!!!",F1384="NEW"),"",COUNTBLANK(OFFSET(A$1,,,SUMPRODUCT(MAX(ROW(E$2:E1384)*(E1384=E$2:E1384)))))-COUNTBLANK(OFFSET(A$1,,,SUMPRODUCT(MAX(ROW(E$1:E1383)*(E2=E$1:E1383))))))</f>
        <v/>
      </c>
      <c r="K1384" s="24" t="str">
        <f>IF(OR(E1384="",E1384="!!!",F1384="NEW"),"",INDEX(J$1:J1383,SUMPRODUCT(MAX(ROW(E$1:E1383)*(E1384=E$1:E1383)))))</f>
        <v/>
      </c>
      <c r="L1384" s="25"/>
    </row>
    <row r="1385" spans="1:12" x14ac:dyDescent="0.3">
      <c r="A1385" t="s">
        <v>86</v>
      </c>
      <c r="E1385" s="20" t="str">
        <f>IF(D1385="?OLD","!!!","")</f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ca="1" si="93"/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588</v>
      </c>
      <c r="B1386" s="26" t="s">
        <v>96</v>
      </c>
      <c r="C1386" s="26" t="s">
        <v>589</v>
      </c>
      <c r="E1386" s="20" t="str">
        <f>IF(D1386="?OLD","!!!","")</f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93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167</v>
      </c>
      <c r="E1387" s="20" t="str">
        <f>IF(D1387="?OLD","!!!","")</f>
        <v/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93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253</v>
      </c>
      <c r="B1388" s="26" t="s">
        <v>96</v>
      </c>
      <c r="C1388" s="26" t="s">
        <v>208</v>
      </c>
      <c r="D1388" s="26" t="s">
        <v>75</v>
      </c>
      <c r="E1388" s="20" t="s">
        <v>184</v>
      </c>
      <c r="F1388" s="21" t="str">
        <f>IF(OR(E1388="",E1388="!!!"),"",IF(NOT(ISNA(VLOOKUP(E1388,E$1:E1387,1,FALSE()))),"OLD",IF(AND(E1388&lt;&gt;"",E1388&lt;&gt;"!!!"),"NEW","")))</f>
        <v>OLD</v>
      </c>
      <c r="G1388" s="22" t="str">
        <f ca="1"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?IN_FOCUS</v>
      </c>
      <c r="H1388" s="23" t="str">
        <f t="shared" ca="1" si="93"/>
        <v/>
      </c>
      <c r="I1388" s="24" t="str">
        <f>IF(OR(E1388="",E1388="!!!",F1388="NEW"),"",INDEX(B$2:B1387,-1+SUMPRODUCT(MAX(ROW(E$2:E1387)*(E1388=E$2:E1387)))))</f>
        <v>SBJ_2</v>
      </c>
      <c r="J1388" s="24">
        <f ca="1">IF(OR(E1388="",E1388="!!!",F1388="NEW"),"",COUNTBLANK(OFFSET(A$1,,,SUMPRODUCT(MAX(ROW(E$2:E1388)*(E1388=E$2:E1388)))))-COUNTBLANK(OFFSET(A$1,,,SUMPRODUCT(MAX(ROW(E$1:E1387)*(E2=E$1:E1387))))))</f>
        <v>0</v>
      </c>
      <c r="K1388" s="24">
        <f ca="1">IF(OR(E1388="",E1388="!!!",F1388="NEW"),"",INDEX(J$1:J1387,SUMPRODUCT(MAX(ROW(E$1:E1387)*(E1388=E$1:E1387)))))</f>
        <v>0</v>
      </c>
      <c r="L1388" s="25"/>
    </row>
    <row r="1389" spans="1:12" x14ac:dyDescent="0.3">
      <c r="A1389" t="s">
        <v>112</v>
      </c>
      <c r="E1389" s="20" t="str">
        <f>IF(D1389="?OLD","!!!","")</f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93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854</v>
      </c>
      <c r="B1390" s="26" t="s">
        <v>131</v>
      </c>
      <c r="C1390" s="26" t="s">
        <v>74</v>
      </c>
      <c r="D1390" s="26" t="s">
        <v>75</v>
      </c>
      <c r="E1390" s="20"/>
      <c r="F1390" s="21" t="s">
        <v>139</v>
      </c>
      <c r="G1390" s="22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t="shared" ca="1" si="93"/>
        <v/>
      </c>
      <c r="I1390" s="24" t="str">
        <f>IF(OR(E1390="",E1390="!!!",F1390="NEW"),"",INDEX(B$2:B1389,-1+SUMPRODUCT(MAX(ROW(E$2:E1389)*(E1390=E$2:E1389)))))</f>
        <v/>
      </c>
      <c r="J1390" s="24" t="str">
        <f ca="1">IF(OR(E1390="",E1390="!!!",F1390="NEW"),"",COUNTBLANK(OFFSET(A$1,,,SUMPRODUCT(MAX(ROW(E$2:E1390)*(E1390=E$2:E1390)))))-COUNTBLANK(OFFSET(A$1,,,SUMPRODUCT(MAX(ROW(E$1:E1389)*(E2=E$1:E1389))))))</f>
        <v/>
      </c>
      <c r="K1390" s="24" t="str">
        <f>IF(OR(E1390="",E1390="!!!",F1390="NEW"),"",INDEX(J$1:J1389,SUMPRODUCT(MAX(ROW(E$1:E1389)*(E1390=E$1:E1389)))))</f>
        <v/>
      </c>
      <c r="L1390" s="25"/>
    </row>
    <row r="1391" spans="1:12" x14ac:dyDescent="0.3">
      <c r="A1391" t="s">
        <v>446</v>
      </c>
      <c r="E1391" s="20" t="str">
        <f>IF(D1391="?OLD","!!!","")</f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93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2" spans="1:12" x14ac:dyDescent="0.3">
      <c r="A1392" t="s">
        <v>71</v>
      </c>
      <c r="B1392" s="26" t="s">
        <v>147</v>
      </c>
      <c r="C1392" s="26" t="s">
        <v>208</v>
      </c>
      <c r="D1392" s="26" t="s">
        <v>75</v>
      </c>
      <c r="E1392" s="20"/>
      <c r="F1392" s="21" t="str">
        <f>IF(OR(E1392="",E1392="!!!"),"",IF(NOT(ISNA(VLOOKUP(E1392,E$1:E1391,1,FALSE()))),"OLD",IF(AND(E1392&lt;&gt;"",E1392&lt;&gt;"!!!"),"NEW","")))</f>
        <v/>
      </c>
      <c r="G1392" s="22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3" t="str">
        <f t="shared" ca="1" si="93"/>
        <v/>
      </c>
      <c r="I1392" s="24" t="str">
        <f>IF(OR(E1392="",E1392="!!!",F1392="NEW"),"",INDEX(B$2:B1391,-1+SUMPRODUCT(MAX(ROW(E$2:E1391)*(E1392=E$2:E1391)))))</f>
        <v/>
      </c>
      <c r="J1392" s="24" t="str">
        <f ca="1">IF(OR(E1392="",E1392="!!!",F1392="NEW"),"",COUNTBLANK(OFFSET(A$1,,,SUMPRODUCT(MAX(ROW(E$2:E1392)*(E1392=E$2:E1392)))))-COUNTBLANK(OFFSET(A$1,,,SUMPRODUCT(MAX(ROW(E$1:E1391)*(E2=E$1:E1391))))))</f>
        <v/>
      </c>
      <c r="K1392" s="24" t="str">
        <f>IF(OR(E1392="",E1392="!!!",F1392="NEW"),"",INDEX(J$1:J1391,SUMPRODUCT(MAX(ROW(E$1:E1391)*(E1392=E$1:E1391)))))</f>
        <v/>
      </c>
      <c r="L1392" s="27" t="s">
        <v>134</v>
      </c>
    </row>
    <row r="1393" spans="1:12" x14ac:dyDescent="0.3">
      <c r="A1393" t="s">
        <v>629</v>
      </c>
      <c r="B1393" s="26" t="s">
        <v>96</v>
      </c>
      <c r="C1393" s="26" t="s">
        <v>280</v>
      </c>
      <c r="D1393" s="26" t="s">
        <v>75</v>
      </c>
      <c r="E1393" s="20" t="s">
        <v>630</v>
      </c>
      <c r="F1393" s="21" t="str">
        <f>IF(OR(E1393="",E1393="!!!"),"",IF(NOT(ISNA(VLOOKUP(E1393,E$1:E1392,1,FALSE()))),"OLD",IF(AND(E1393&lt;&gt;"",E1393&lt;&gt;"!!!"),"NEW","")))</f>
        <v>OLD</v>
      </c>
      <c r="G1393" s="22" t="str">
        <f ca="1"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?IN_FOCUS</v>
      </c>
      <c r="H1393" s="23" t="str">
        <f t="shared" ca="1" si="93"/>
        <v/>
      </c>
      <c r="I1393" s="24" t="str">
        <f>IF(OR(E1393="",E1393="!!!",F1393="NEW"),"",INDEX(B$2:B1392,-1+SUMPRODUCT(MAX(ROW(E$2:E1392)*(E1393=E$2:E1392)))))</f>
        <v>SBJ_4</v>
      </c>
      <c r="J1393" s="24">
        <f ca="1">IF(OR(E1393="",E1393="!!!",F1393="NEW"),"",COUNTBLANK(OFFSET(A$1,,,SUMPRODUCT(MAX(ROW(E$2:E1393)*(E1393=E$2:E1393)))))-COUNTBLANK(OFFSET(A$1,,,SUMPRODUCT(MAX(ROW(E$1:E1392)*(E2=E$1:E1392))))))</f>
        <v>0</v>
      </c>
      <c r="K1393" s="24" t="str">
        <f ca="1">IF(OR(E1393="",E1393="!!!",F1393="NEW"),"",INDEX(J$1:J1392,SUMPRODUCT(MAX(ROW(E$1:E1392)*(E1393=E$1:E1392)))))</f>
        <v/>
      </c>
      <c r="L1393" s="25"/>
    </row>
    <row r="1394" spans="1:12" x14ac:dyDescent="0.3">
      <c r="A1394" t="s">
        <v>78</v>
      </c>
      <c r="E1394" s="20" t="str">
        <f>IF(D1394="?OLD","!!!","")</f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ca="1" si="93"/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267</v>
      </c>
      <c r="E1395" s="20" t="str">
        <f>IF(D1395="?OLD","!!!","")</f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ref="H1395:H1426" ca="1" si="95">IF(J1395&lt;&gt;1,"",IF(I1395="SBJ","CB","?"))</f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752</v>
      </c>
      <c r="E1396" s="20" t="str">
        <f>IF(D1396="?OLD","!!!","")</f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95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172</v>
      </c>
      <c r="E1397" s="20" t="str">
        <f>IF(D1397="?OLD","!!!","")</f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95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87</v>
      </c>
      <c r="B1398" s="26" t="s">
        <v>96</v>
      </c>
      <c r="C1398" s="26" t="s">
        <v>88</v>
      </c>
      <c r="D1398" s="26" t="s">
        <v>75</v>
      </c>
      <c r="E1398" s="20" t="s">
        <v>184</v>
      </c>
      <c r="F1398" s="21" t="str">
        <f>IF(OR(E1398="",E1398="!!!"),"",IF(NOT(ISNA(VLOOKUP(E1398,E$1:E1397,1,FALSE()))),"OLD",IF(AND(E1398&lt;&gt;"",E1398&lt;&gt;"!!!"),"NEW","")))</f>
        <v>OLD</v>
      </c>
      <c r="G1398" s="22" t="str">
        <f ca="1"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?IN_FOCUS</v>
      </c>
      <c r="H1398" s="23" t="str">
        <f t="shared" ca="1" si="95"/>
        <v/>
      </c>
      <c r="I1398" s="24" t="str">
        <f>IF(OR(E1398="",E1398="!!!",F1398="NEW"),"",INDEX(B$2:B1397,-1+SUMPRODUCT(MAX(ROW(E$2:E1397)*(E1398=E$2:E1397)))))</f>
        <v>SBJ_2</v>
      </c>
      <c r="J1398" s="24">
        <f ca="1">IF(OR(E1398="",E1398="!!!",F1398="NEW"),"",COUNTBLANK(OFFSET(A$1,,,SUMPRODUCT(MAX(ROW(E$2:E1398)*(E1398=E$2:E1398)))))-COUNTBLANK(OFFSET(A$1,,,SUMPRODUCT(MAX(ROW(E$1:E1397)*(E2=E$1:E1397))))))</f>
        <v>0</v>
      </c>
      <c r="K1398" s="24">
        <f ca="1">IF(OR(E1398="",E1398="!!!",F1398="NEW"),"",INDEX(J$1:J1397,SUMPRODUCT(MAX(ROW(E$1:E1397)*(E1398=E$1:E1397)))))</f>
        <v>0</v>
      </c>
      <c r="L1398" s="25"/>
    </row>
    <row r="1399" spans="1:12" x14ac:dyDescent="0.3">
      <c r="A1399" t="s">
        <v>590</v>
      </c>
      <c r="E1399" s="20" t="str">
        <f>IF(D1399="?OLD","!!!","")</f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95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160</v>
      </c>
      <c r="E1400" s="20" t="str">
        <f>IF(D1400="?OLD","!!!","")</f>
        <v/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95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827</v>
      </c>
      <c r="B1401" s="26" t="s">
        <v>154</v>
      </c>
      <c r="C1401" s="26" t="s">
        <v>74</v>
      </c>
      <c r="D1401" s="26" t="s">
        <v>75</v>
      </c>
      <c r="E1401" s="20" t="s">
        <v>427</v>
      </c>
      <c r="F1401" s="21" t="str">
        <f>IF(OR(E1401="",E1401="!!!"),"",IF(NOT(ISNA(VLOOKUP(E1401,E$1:E1400,1,FALSE()))),"OLD",IF(AND(E1401&lt;&gt;"",E1401&lt;&gt;"!!!"),"NEW","")))</f>
        <v>OLD</v>
      </c>
      <c r="G1401" s="22" t="str">
        <f ca="1"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?IN_FOCUS</v>
      </c>
      <c r="H1401" s="23" t="str">
        <f t="shared" ca="1" si="95"/>
        <v/>
      </c>
      <c r="I1401" s="24" t="str">
        <f>IF(OR(E1401="",E1401="!!!",F1401="NEW"),"",INDEX(B$2:B1400,-1+SUMPRODUCT(MAX(ROW(E$2:E1400)*(E1401=E$2:E1400)))))</f>
        <v>other_5</v>
      </c>
      <c r="J1401" s="24">
        <f ca="1">IF(OR(E1401="",E1401="!!!",F1401="NEW"),"",COUNTBLANK(OFFSET(A$1,,,SUMPRODUCT(MAX(ROW(E$2:E1401)*(E1401=E$2:E1401)))))-COUNTBLANK(OFFSET(A$1,,,SUMPRODUCT(MAX(ROW(E$1:E1400)*(E2=E$1:E1400))))))</f>
        <v>0</v>
      </c>
      <c r="K1401" s="24">
        <f ca="1">IF(OR(E1401="",E1401="!!!",F1401="NEW"),"",INDEX(J$1:J1400,SUMPRODUCT(MAX(ROW(E$1:E1400)*(E1401=E$1:E1400)))))</f>
        <v>0</v>
      </c>
      <c r="L1401" s="25"/>
    </row>
    <row r="1402" spans="1:12" x14ac:dyDescent="0.3">
      <c r="A1402" t="s">
        <v>86</v>
      </c>
      <c r="E1402" s="20" t="str">
        <f t="shared" ref="E1402:E1408" si="96">IF(D1402="?OLD","!!!","")</f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95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315</v>
      </c>
      <c r="E1403" s="20" t="str">
        <f t="shared" si="96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95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316</v>
      </c>
      <c r="B1404" s="26" t="s">
        <v>131</v>
      </c>
      <c r="C1404" s="26" t="s">
        <v>105</v>
      </c>
      <c r="E1404" s="20" t="str">
        <f t="shared" si="96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95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5" spans="1:12" x14ac:dyDescent="0.3">
      <c r="A1405" t="s">
        <v>317</v>
      </c>
      <c r="E1405" s="20" t="str">
        <f t="shared" si="96"/>
        <v/>
      </c>
      <c r="F1405" s="21" t="str">
        <f>IF(OR(E1405="",E1405="!!!"),"",IF(NOT(ISNA(VLOOKUP(E1405,E$1:E1404,1,FALSE()))),"OLD",IF(AND(E1405&lt;&gt;"",E1405&lt;&gt;"!!!"),"NEW","")))</f>
        <v/>
      </c>
      <c r="G1405" s="22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/>
      </c>
      <c r="H1405" s="23" t="str">
        <f t="shared" ca="1" si="95"/>
        <v/>
      </c>
      <c r="I1405" s="24" t="str">
        <f>IF(OR(E1405="",E1405="!!!",F1405="NEW"),"",INDEX(B$2:B1404,-1+SUMPRODUCT(MAX(ROW(E$2:E1404)*(E1405=E$2:E1404)))))</f>
        <v/>
      </c>
      <c r="J1405" s="24" t="str">
        <f ca="1">IF(OR(E1405="",E1405="!!!",F1405="NEW"),"",COUNTBLANK(OFFSET(A$1,,,SUMPRODUCT(MAX(ROW(E$2:E1405)*(E1405=E$2:E1405)))))-COUNTBLANK(OFFSET(A$1,,,SUMPRODUCT(MAX(ROW(E$1:E1404)*(E2=E$1:E1404))))))</f>
        <v/>
      </c>
      <c r="K1405" s="24" t="str">
        <f>IF(OR(E1405="",E1405="!!!",F1405="NEW"),"",INDEX(J$1:J1404,SUMPRODUCT(MAX(ROW(E$1:E1404)*(E1405=E$1:E1404)))))</f>
        <v/>
      </c>
      <c r="L1405" s="25"/>
    </row>
    <row r="1406" spans="1:12" x14ac:dyDescent="0.3">
      <c r="A1406" t="s">
        <v>855</v>
      </c>
      <c r="E1406" s="20" t="str">
        <f t="shared" si="96"/>
        <v/>
      </c>
      <c r="F1406" s="21" t="str">
        <f>IF(OR(E1406="",E1406="!!!"),"",IF(NOT(ISNA(VLOOKUP(E1406,E$1:E1405,1,FALSE()))),"OLD",IF(AND(E1406&lt;&gt;"",E1406&lt;&gt;"!!!"),"NEW","")))</f>
        <v/>
      </c>
      <c r="G1406" s="22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/>
      </c>
      <c r="H1406" s="23" t="str">
        <f t="shared" ca="1" si="95"/>
        <v/>
      </c>
      <c r="I1406" s="24" t="str">
        <f>IF(OR(E1406="",E1406="!!!",F1406="NEW"),"",INDEX(B$2:B1405,-1+SUMPRODUCT(MAX(ROW(E$2:E1405)*(E1406=E$2:E1405)))))</f>
        <v/>
      </c>
      <c r="J1406" s="24" t="str">
        <f ca="1">IF(OR(E1406="",E1406="!!!",F1406="NEW"),"",COUNTBLANK(OFFSET(A$1,,,SUMPRODUCT(MAX(ROW(E$2:E1406)*(E1406=E$2:E1406)))))-COUNTBLANK(OFFSET(A$1,,,SUMPRODUCT(MAX(ROW(E$1:E1405)*(E2=E$1:E1405))))))</f>
        <v/>
      </c>
      <c r="K1406" s="24" t="str">
        <f>IF(OR(E1406="",E1406="!!!",F1406="NEW"),"",INDEX(J$1:J1405,SUMPRODUCT(MAX(ROW(E$1:E1405)*(E1406=E$1:E1405)))))</f>
        <v/>
      </c>
      <c r="L1406" s="25"/>
    </row>
    <row r="1407" spans="1:12" x14ac:dyDescent="0.3">
      <c r="A1407" t="s">
        <v>856</v>
      </c>
      <c r="E1407" s="20" t="str">
        <f t="shared" si="96"/>
        <v/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ca="1" si="95"/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857</v>
      </c>
      <c r="E1408" s="20" t="str">
        <f t="shared" si="96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95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827</v>
      </c>
      <c r="B1409" s="26" t="s">
        <v>131</v>
      </c>
      <c r="C1409" s="26" t="s">
        <v>105</v>
      </c>
      <c r="E1409" s="20"/>
      <c r="F1409" s="21" t="str">
        <f>IF(OR(E1409="",E1409="!!!"),"",IF(NOT(ISNA(VLOOKUP(E1409,E$1:E1408,1,FALSE()))),"OLD",IF(AND(E1409&lt;&gt;"",E1409&lt;&gt;"!!!"),"NEW","")))</f>
        <v/>
      </c>
      <c r="G1409" s="22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t="shared" ca="1" si="95"/>
        <v/>
      </c>
      <c r="I1409" s="24" t="str">
        <f>IF(OR(E1409="",E1409="!!!",F1409="NEW"),"",INDEX(B$2:B1408,-1+SUMPRODUCT(MAX(ROW(E$2:E1408)*(E1409=E$2:E1408)))))</f>
        <v/>
      </c>
      <c r="J1409" s="24" t="str">
        <f ca="1">IF(OR(E1409="",E1409="!!!",F1409="NEW"),"",COUNTBLANK(OFFSET(A$1,,,SUMPRODUCT(MAX(ROW(E$2:E1409)*(E1409=E$2:E1409)))))-COUNTBLANK(OFFSET(A$1,,,SUMPRODUCT(MAX(ROW(E$1:E1408)*(E2=E$1:E1408))))))</f>
        <v/>
      </c>
      <c r="K1409" s="24" t="str">
        <f>IF(OR(E1409="",E1409="!!!",F1409="NEW"),"",INDEX(J$1:J1408,SUMPRODUCT(MAX(ROW(E$1:E1408)*(E1409=E$1:E1408)))))</f>
        <v/>
      </c>
      <c r="L1409" s="25"/>
    </row>
    <row r="1410" spans="1:12" x14ac:dyDescent="0.3">
      <c r="A1410" t="s">
        <v>86</v>
      </c>
      <c r="E1410" s="20" t="str">
        <f>IF(D1410="?OLD","!!!","")</f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95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192</v>
      </c>
      <c r="B1411" s="26" t="s">
        <v>73</v>
      </c>
      <c r="C1411" s="26" t="s">
        <v>208</v>
      </c>
      <c r="D1411" s="26" t="s">
        <v>75</v>
      </c>
      <c r="E1411" s="20" t="s">
        <v>97</v>
      </c>
      <c r="F1411" s="21" t="str">
        <f>IF(OR(E1411="",E1411="!!!"),"",IF(NOT(ISNA(VLOOKUP(E1411,E$1:E1410,1,FALSE()))),"OLD",IF(AND(E1411&lt;&gt;"",E1411&lt;&gt;"!!!"),"NEW","")))</f>
        <v>OLD</v>
      </c>
      <c r="G1411" s="22" t="str">
        <f ca="1"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?IN_FOCUS</v>
      </c>
      <c r="H1411" s="23" t="str">
        <f t="shared" ca="1" si="95"/>
        <v/>
      </c>
      <c r="I1411" s="24" t="str">
        <f>IF(OR(E1411="",E1411="!!!",F1411="NEW"),"",INDEX(B$2:B1410,-1+SUMPRODUCT(MAX(ROW(E$2:E1410)*(E1411=E$2:E1410)))))</f>
        <v>SBJ_2</v>
      </c>
      <c r="J1411" s="24">
        <f ca="1">IF(OR(E1411="",E1411="!!!",F1411="NEW"),"",COUNTBLANK(OFFSET(A$1,,,SUMPRODUCT(MAX(ROW(E$2:E1411)*(E1411=E$2:E1411)))))-COUNTBLANK(OFFSET(A$1,,,SUMPRODUCT(MAX(ROW(E$1:E1410)*(E2=E$1:E1410))))))</f>
        <v>0</v>
      </c>
      <c r="K1411" s="24">
        <f ca="1">IF(OR(E1411="",E1411="!!!",F1411="NEW"),"",INDEX(J$1:J1410,SUMPRODUCT(MAX(ROW(E$1:E1410)*(E1411=E$1:E1410)))))</f>
        <v>0</v>
      </c>
      <c r="L1411" s="25"/>
    </row>
    <row r="1412" spans="1:12" x14ac:dyDescent="0.3">
      <c r="A1412" t="s">
        <v>132</v>
      </c>
      <c r="B1412" s="26" t="s">
        <v>147</v>
      </c>
      <c r="C1412" s="26" t="s">
        <v>133</v>
      </c>
      <c r="D1412" s="26" t="s">
        <v>75</v>
      </c>
      <c r="E1412" s="20"/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95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7" t="s">
        <v>134</v>
      </c>
    </row>
    <row r="1413" spans="1:12" x14ac:dyDescent="0.3">
      <c r="A1413" t="s">
        <v>101</v>
      </c>
      <c r="E1413" s="20" t="str">
        <f>IF(D1413="?OLD","!!!","")</f>
        <v/>
      </c>
      <c r="F1413" s="21" t="str">
        <f>IF(OR(E1413="",E1413="!!!"),"",IF(NOT(ISNA(VLOOKUP(E1413,E$1:E1412,1,FALSE()))),"OLD",IF(AND(E1413&lt;&gt;"",E1413&lt;&gt;"!!!"),"NEW","")))</f>
        <v/>
      </c>
      <c r="G1413" s="22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3" t="str">
        <f t="shared" ca="1" si="95"/>
        <v/>
      </c>
      <c r="I1413" s="24" t="str">
        <f>IF(OR(E1413="",E1413="!!!",F1413="NEW"),"",INDEX(B$2:B1412,-1+SUMPRODUCT(MAX(ROW(E$2:E1412)*(E1413=E$2:E1412)))))</f>
        <v/>
      </c>
      <c r="J1413" s="24" t="str">
        <f ca="1">IF(OR(E1413="",E1413="!!!",F1413="NEW"),"",COUNTBLANK(OFFSET(A$1,,,SUMPRODUCT(MAX(ROW(E$2:E1413)*(E1413=E$2:E1413)))))-COUNTBLANK(OFFSET(A$1,,,SUMPRODUCT(MAX(ROW(E$1:E1412)*(E2=E$1:E1412))))))</f>
        <v/>
      </c>
      <c r="K1413" s="24" t="str">
        <f>IF(OR(E1413="",E1413="!!!",F1413="NEW"),"",INDEX(J$1:J1412,SUMPRODUCT(MAX(ROW(E$1:E1412)*(E1413=E$1:E1412)))))</f>
        <v/>
      </c>
      <c r="L1413" s="25"/>
    </row>
    <row r="1414" spans="1:12" x14ac:dyDescent="0.3">
      <c r="A1414" t="s">
        <v>92</v>
      </c>
      <c r="E1414" s="20" t="str">
        <f>IF(D1414="?OLD","!!!","")</f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t="shared" ca="1" si="95"/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858</v>
      </c>
      <c r="B1415" s="26" t="s">
        <v>115</v>
      </c>
      <c r="C1415" s="26" t="s">
        <v>208</v>
      </c>
      <c r="D1415" s="26" t="s">
        <v>75</v>
      </c>
      <c r="E1415" s="20"/>
      <c r="F1415" s="21" t="str">
        <f>IF(OR(E1415="",E1415="!!!"),"",IF(NOT(ISNA(VLOOKUP(E1415,E$1:E1414,1,FALSE()))),"OLD",IF(AND(E1415&lt;&gt;"",E1415&lt;&gt;"!!!"),"NEW","")))</f>
        <v/>
      </c>
      <c r="G1415" s="22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3" t="str">
        <f t="shared" ca="1" si="95"/>
        <v/>
      </c>
      <c r="I1415" s="24" t="str">
        <f>IF(OR(E1415="",E1415="!!!",F1415="NEW"),"",INDEX(B$2:B1414,-1+SUMPRODUCT(MAX(ROW(E$2:E1414)*(E1415=E$2:E1414)))))</f>
        <v/>
      </c>
      <c r="J1415" s="24" t="str">
        <f ca="1">IF(OR(E1415="",E1415="!!!",F1415="NEW"),"",COUNTBLANK(OFFSET(A$1,,,SUMPRODUCT(MAX(ROW(E$2:E1415)*(E1415=E$2:E1415)))))-COUNTBLANK(OFFSET(A$1,,,SUMPRODUCT(MAX(ROW(E$1:E1414)*(E2=E$1:E1414))))))</f>
        <v/>
      </c>
      <c r="K1415" s="24" t="str">
        <f>IF(OR(E1415="",E1415="!!!",F1415="NEW"),"",INDEX(J$1:J1414,SUMPRODUCT(MAX(ROW(E$1:E1414)*(E1415=E$1:E1414)))))</f>
        <v/>
      </c>
      <c r="L1415" s="27" t="s">
        <v>134</v>
      </c>
    </row>
    <row r="1416" spans="1:12" x14ac:dyDescent="0.3">
      <c r="A1416" t="s">
        <v>827</v>
      </c>
      <c r="B1416" s="26" t="s">
        <v>154</v>
      </c>
      <c r="C1416" s="26" t="s">
        <v>105</v>
      </c>
      <c r="E1416" s="20" t="s">
        <v>427</v>
      </c>
      <c r="F1416" s="21" t="str">
        <f>IF(OR(E1416="",E1416="!!!"),"",IF(NOT(ISNA(VLOOKUP(E1416,E$1:E1415,1,FALSE()))),"OLD",IF(AND(E1416&lt;&gt;"",E1416&lt;&gt;"!!!"),"NEW","")))</f>
        <v>OLD</v>
      </c>
      <c r="G1416" s="22" t="str">
        <f ca="1"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?IN_FOCUS</v>
      </c>
      <c r="H1416" s="23" t="str">
        <f t="shared" ca="1" si="95"/>
        <v/>
      </c>
      <c r="I1416" s="24" t="str">
        <f>IF(OR(E1416="",E1416="!!!",F1416="NEW"),"",INDEX(B$2:B1415,-1+SUMPRODUCT(MAX(ROW(E$2:E1415)*(E1416=E$2:E1415)))))</f>
        <v>OBJ_2</v>
      </c>
      <c r="J1416" s="24">
        <f ca="1">IF(OR(E1416="",E1416="!!!",F1416="NEW"),"",COUNTBLANK(OFFSET(A$1,,,SUMPRODUCT(MAX(ROW(E$2:E1416)*(E1416=E$2:E1416)))))-COUNTBLANK(OFFSET(A$1,,,SUMPRODUCT(MAX(ROW(E$1:E1415)*(E2=E$1:E1415))))))</f>
        <v>0</v>
      </c>
      <c r="K1416" s="24">
        <f ca="1">IF(OR(E1416="",E1416="!!!",F1416="NEW"),"",INDEX(J$1:J1415,SUMPRODUCT(MAX(ROW(E$1:E1415)*(E1416=E$1:E1415)))))</f>
        <v>0</v>
      </c>
      <c r="L1416" s="25"/>
    </row>
    <row r="1417" spans="1:12" x14ac:dyDescent="0.3">
      <c r="A1417" t="s">
        <v>86</v>
      </c>
      <c r="E1417" s="20" t="str">
        <f>IF(D1417="?OLD","!!!","")</f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95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9" spans="1:12" x14ac:dyDescent="0.3">
      <c r="A1419" t="s">
        <v>393</v>
      </c>
      <c r="E1419" s="20" t="str">
        <f>IF(D1419="?OLD","!!!","")</f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ca="1">IF(J1419&lt;&gt;1,"",IF(I1419="SBJ","CB","?"))</f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859</v>
      </c>
    </row>
    <row r="1421" spans="1:12" x14ac:dyDescent="0.3">
      <c r="A1421" t="s">
        <v>860</v>
      </c>
      <c r="E1421" s="20" t="str">
        <f>IF(D1421="?OLD","!!!","")</f>
        <v/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ref="H1421:H1484" ca="1" si="97">IF(J1421&lt;&gt;1,"",IF(I1421="SBJ","CB","?"))</f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861</v>
      </c>
      <c r="E1422" s="20" t="str">
        <f>IF(D1422="?OLD","!!!","")</f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97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862</v>
      </c>
      <c r="B1423" s="26" t="s">
        <v>73</v>
      </c>
      <c r="C1423" s="26" t="s">
        <v>74</v>
      </c>
      <c r="D1423" s="26" t="s">
        <v>75</v>
      </c>
      <c r="E1423" s="20" t="s">
        <v>863</v>
      </c>
      <c r="F1423" s="21" t="str">
        <f>IF(OR(E1423="",E1423="!!!"),"",IF(NOT(ISNA(VLOOKUP(E1423,E$1:E1422,1,FALSE()))),"OLD",IF(AND(E1423&lt;&gt;"",E1423&lt;&gt;"!!!"),"NEW","")))</f>
        <v>NEW</v>
      </c>
      <c r="G1423" s="22" t="str">
        <f ca="1"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?REFERENTIAL</v>
      </c>
      <c r="H1423" s="23" t="str">
        <f t="shared" ca="1" si="97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372</v>
      </c>
      <c r="E1424" s="20" t="str">
        <f>IF(D1424="?OLD","!!!","")</f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97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864</v>
      </c>
      <c r="E1425" s="20" t="str">
        <f>IF(D1425="?OLD","!!!","")</f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97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865</v>
      </c>
      <c r="B1426" s="26" t="s">
        <v>91</v>
      </c>
      <c r="C1426" s="26" t="s">
        <v>119</v>
      </c>
      <c r="E1426" s="20" t="str">
        <f>IF(D1426="?OLD","!!!","")</f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97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545</v>
      </c>
      <c r="B1427" s="26" t="s">
        <v>82</v>
      </c>
      <c r="C1427" s="26" t="s">
        <v>280</v>
      </c>
      <c r="D1427" s="26" t="s">
        <v>75</v>
      </c>
      <c r="E1427" s="20" t="s">
        <v>866</v>
      </c>
      <c r="F1427" s="21" t="str">
        <f>IF(OR(E1427="",E1427="!!!"),"",IF(NOT(ISNA(VLOOKUP(E1427,E$1:E1426,1,FALSE()))),"OLD",IF(AND(E1427&lt;&gt;"",E1427&lt;&gt;"!!!"),"NEW","")))</f>
        <v>NEW</v>
      </c>
      <c r="G1427" s="22" t="str">
        <f ca="1"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?REFERENTIAL</v>
      </c>
      <c r="H1427" s="23" t="str">
        <f t="shared" ca="1" si="97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86</v>
      </c>
      <c r="E1428" s="20" t="str">
        <f>IF(D1428="?OLD","!!!","")</f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97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860</v>
      </c>
      <c r="E1429" s="20" t="str">
        <f>IF(D1429="?OLD","!!!","")</f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97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861</v>
      </c>
      <c r="E1430" s="20" t="str">
        <f>IF(D1430="?OLD","!!!","")</f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97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867</v>
      </c>
      <c r="B1431" s="26" t="s">
        <v>96</v>
      </c>
      <c r="C1431" s="26" t="s">
        <v>74</v>
      </c>
      <c r="D1431" s="26" t="s">
        <v>75</v>
      </c>
      <c r="E1431" s="20" t="s">
        <v>868</v>
      </c>
      <c r="F1431" s="21" t="str">
        <f>IF(OR(E1431="",E1431="!!!"),"",IF(NOT(ISNA(VLOOKUP(E1431,E$1:E1430,1,FALSE()))),"OLD",IF(AND(E1431&lt;&gt;"",E1431&lt;&gt;"!!!"),"NEW","")))</f>
        <v>NEW</v>
      </c>
      <c r="G1431" s="22" t="str">
        <f ca="1"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?REFERENTIAL</v>
      </c>
      <c r="H1431" s="23" t="str">
        <f t="shared" ca="1" si="97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869</v>
      </c>
      <c r="E1432" s="20" t="str">
        <f>IF(D1432="?OLD","!!!","")</f>
        <v/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97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865</v>
      </c>
      <c r="B1433" s="26" t="s">
        <v>110</v>
      </c>
      <c r="C1433" s="26" t="s">
        <v>119</v>
      </c>
      <c r="E1433" s="20" t="str">
        <f>IF(D1433="?OLD","!!!","")</f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97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545</v>
      </c>
      <c r="B1434" s="26" t="s">
        <v>115</v>
      </c>
      <c r="C1434" s="26" t="s">
        <v>280</v>
      </c>
      <c r="D1434" s="26" t="s">
        <v>75</v>
      </c>
      <c r="E1434" s="20" t="s">
        <v>870</v>
      </c>
      <c r="F1434" s="21" t="str">
        <f>IF(OR(E1434="",E1434="!!!"),"",IF(NOT(ISNA(VLOOKUP(E1434,E$1:E1433,1,FALSE()))),"OLD",IF(AND(E1434&lt;&gt;"",E1434&lt;&gt;"!!!"),"NEW","")))</f>
        <v>NEW</v>
      </c>
      <c r="G1434" s="22" t="str">
        <f ca="1"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?REFERENTIAL</v>
      </c>
      <c r="H1434" s="23" t="str">
        <f t="shared" ca="1" si="97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86</v>
      </c>
      <c r="E1435" s="20" t="str">
        <f>IF(D1435="?OLD","!!!","")</f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97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6" spans="1:12" x14ac:dyDescent="0.3">
      <c r="A1436" t="s">
        <v>264</v>
      </c>
      <c r="B1436" s="26" t="s">
        <v>147</v>
      </c>
      <c r="C1436" s="26" t="s">
        <v>151</v>
      </c>
      <c r="D1436" s="26" t="s">
        <v>75</v>
      </c>
      <c r="E1436" s="20" t="s">
        <v>871</v>
      </c>
      <c r="F1436" s="21" t="s">
        <v>210</v>
      </c>
      <c r="G1436" s="22" t="e">
        <f ca="1"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#VALUE!</v>
      </c>
      <c r="H1436" s="23" t="str">
        <f t="shared" ca="1" si="97"/>
        <v/>
      </c>
      <c r="I1436" s="24" t="e">
        <f>IF(OR(E1436="",E1436="!!!",F1436="NEW"),"",INDEX(B$2:B1435,-1+SUMPRODUCT(MAX(ROW(E$2:E1435)*(E1436=E$2:E1435)))))</f>
        <v>#VALUE!</v>
      </c>
      <c r="J1436" s="24">
        <f ca="1">IF(OR(E1436="",E1436="!!!",F1436="NEW"),"",COUNTBLANK(OFFSET(A$1,,,SUMPRODUCT(MAX(ROW(E$2:E1436)*(E1436=E$2:E1436)))))-COUNTBLANK(OFFSET(A$1,,,SUMPRODUCT(MAX(ROW(E$1:E1435)*(E2=E$1:E1435))))))</f>
        <v>0</v>
      </c>
      <c r="K1436" s="24" t="e">
        <f>IF(OR(E1436="",E1436="!!!",F1436="NEW"),"",INDEX(J$1:J1435,SUMPRODUCT(MAX(ROW(E$1:E1435)*(E1436=E$1:E1435)))))</f>
        <v>#VALUE!</v>
      </c>
      <c r="L1436" s="25"/>
    </row>
    <row r="1437" spans="1:12" x14ac:dyDescent="0.3">
      <c r="A1437" t="s">
        <v>167</v>
      </c>
      <c r="E1437" s="20" t="str">
        <f>IF(D1437="?OLD","!!!","")</f>
        <v/>
      </c>
      <c r="F1437" s="21" t="str">
        <f>IF(OR(E1437="",E1437="!!!"),"",IF(NOT(ISNA(VLOOKUP(E1437,E$1:E1436,1,FALSE()))),"OLD",IF(AND(E1437&lt;&gt;"",E1437&lt;&gt;"!!!"),"NEW","")))</f>
        <v/>
      </c>
      <c r="G1437" s="22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/>
      </c>
      <c r="H1437" s="23" t="str">
        <f t="shared" ca="1" si="97"/>
        <v/>
      </c>
      <c r="I1437" s="24" t="str">
        <f>IF(OR(E1437="",E1437="!!!",F1437="NEW"),"",INDEX(B$2:B1436,-1+SUMPRODUCT(MAX(ROW(E$2:E1436)*(E1437=E$2:E1436)))))</f>
        <v/>
      </c>
      <c r="J1437" s="24" t="str">
        <f ca="1">IF(OR(E1437="",E1437="!!!",F1437="NEW"),"",COUNTBLANK(OFFSET(A$1,,,SUMPRODUCT(MAX(ROW(E$2:E1437)*(E1437=E$2:E1437)))))-COUNTBLANK(OFFSET(A$1,,,SUMPRODUCT(MAX(ROW(E$1:E1436)*(E2=E$1:E1436))))))</f>
        <v/>
      </c>
      <c r="K1437" s="24" t="str">
        <f>IF(OR(E1437="",E1437="!!!",F1437="NEW"),"",INDEX(J$1:J1436,SUMPRODUCT(MAX(ROW(E$1:E1436)*(E1437=E$1:E1436)))))</f>
        <v/>
      </c>
      <c r="L1437" s="25"/>
    </row>
    <row r="1438" spans="1:12" x14ac:dyDescent="0.3">
      <c r="A1438" t="s">
        <v>872</v>
      </c>
      <c r="E1438" s="20" t="str">
        <f>IF(D1438="?OLD","!!!","")</f>
        <v/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t="shared" ca="1" si="97"/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873</v>
      </c>
      <c r="E1439" s="20" t="str">
        <f>IF(D1439="?OLD","!!!","")</f>
        <v/>
      </c>
      <c r="F1439" s="21" t="str">
        <f>IF(OR(E1439="",E1439="!!!"),"",IF(NOT(ISNA(VLOOKUP(E1439,E$1:E1438,1,FALSE()))),"OLD",IF(AND(E1439&lt;&gt;"",E1439&lt;&gt;"!!!"),"NEW","")))</f>
        <v/>
      </c>
      <c r="G1439" s="22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3" t="str">
        <f t="shared" ca="1" si="97"/>
        <v/>
      </c>
      <c r="I1439" s="24" t="str">
        <f>IF(OR(E1439="",E1439="!!!",F1439="NEW"),"",INDEX(B$2:B1438,-1+SUMPRODUCT(MAX(ROW(E$2:E1438)*(E1439=E$2:E1438)))))</f>
        <v/>
      </c>
      <c r="J1439" s="24" t="str">
        <f ca="1">IF(OR(E1439="",E1439="!!!",F1439="NEW"),"",COUNTBLANK(OFFSET(A$1,,,SUMPRODUCT(MAX(ROW(E$2:E1439)*(E1439=E$2:E1439)))))-COUNTBLANK(OFFSET(A$1,,,SUMPRODUCT(MAX(ROW(E$1:E1438)*(E2=E$1:E1438))))))</f>
        <v/>
      </c>
      <c r="K1439" s="24" t="str">
        <f>IF(OR(E1439="",E1439="!!!",F1439="NEW"),"",INDEX(J$1:J1438,SUMPRODUCT(MAX(ROW(E$1:E1438)*(E1439=E$1:E1438)))))</f>
        <v/>
      </c>
      <c r="L1439" s="25"/>
    </row>
    <row r="1440" spans="1:12" x14ac:dyDescent="0.3">
      <c r="A1440" t="s">
        <v>865</v>
      </c>
      <c r="B1440" s="26" t="s">
        <v>131</v>
      </c>
      <c r="C1440" s="26" t="s">
        <v>119</v>
      </c>
      <c r="E1440" s="20"/>
      <c r="F1440" s="21"/>
      <c r="G1440" s="22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t="shared" ca="1" si="97"/>
        <v/>
      </c>
      <c r="I1440" s="24" t="str">
        <f>IF(OR(E1440="",E1440="!!!",F1440="NEW"),"",INDEX(B$2:B1439,-1+SUMPRODUCT(MAX(ROW(E$2:E1439)*(E1440=E$2:E1439)))))</f>
        <v/>
      </c>
      <c r="J1440" s="24" t="str">
        <f ca="1">IF(OR(E1440="",E1440="!!!",F1440="NEW"),"",COUNTBLANK(OFFSET(A$1,,,SUMPRODUCT(MAX(ROW(E$2:E1440)*(E1440=E$2:E1440)))))-COUNTBLANK(OFFSET(A$1,,,SUMPRODUCT(MAX(ROW(E$1:E1439)*(E2=E$1:E1439))))))</f>
        <v/>
      </c>
      <c r="K1440" s="24" t="str">
        <f>IF(OR(E1440="",E1440="!!!",F1440="NEW"),"",INDEX(J$1:J1439,SUMPRODUCT(MAX(ROW(E$1:E1439)*(E1440=E$1:E1439)))))</f>
        <v/>
      </c>
      <c r="L1440" s="25"/>
    </row>
    <row r="1441" spans="1:12" x14ac:dyDescent="0.3">
      <c r="A1441" t="s">
        <v>86</v>
      </c>
      <c r="E1441" s="20" t="str">
        <f>IF(D1441="?OLD","!!!","")</f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97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264</v>
      </c>
      <c r="B1442" s="26" t="s">
        <v>96</v>
      </c>
      <c r="C1442" s="26" t="s">
        <v>151</v>
      </c>
      <c r="D1442" s="26" t="s">
        <v>75</v>
      </c>
      <c r="E1442" s="20" t="s">
        <v>874</v>
      </c>
      <c r="F1442" s="21" t="s">
        <v>272</v>
      </c>
      <c r="G1442" s="22" t="e">
        <f ca="1"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#VALUE!</v>
      </c>
      <c r="H1442" s="23" t="str">
        <f t="shared" ca="1" si="97"/>
        <v/>
      </c>
      <c r="I1442" s="24" t="e">
        <f>IF(OR(E1442="",E1442="!!!",F1442="NEW"),"",INDEX(B$2:B1441,-1+SUMPRODUCT(MAX(ROW(E$2:E1441)*(E1442=E$2:E1441)))))</f>
        <v>#VALUE!</v>
      </c>
      <c r="J1442" s="24">
        <f ca="1">IF(OR(E1442="",E1442="!!!",F1442="NEW"),"",COUNTBLANK(OFFSET(A$1,,,SUMPRODUCT(MAX(ROW(E$2:E1442)*(E1442=E$2:E1442)))))-COUNTBLANK(OFFSET(A$1,,,SUMPRODUCT(MAX(ROW(E$1:E1441)*(E2=E$1:E1441))))))</f>
        <v>0</v>
      </c>
      <c r="K1442" s="24" t="e">
        <f>IF(OR(E1442="",E1442="!!!",F1442="NEW"),"",INDEX(J$1:J1441,SUMPRODUCT(MAX(ROW(E$1:E1441)*(E1442=E$1:E1441)))))</f>
        <v>#VALUE!</v>
      </c>
      <c r="L1442" s="25"/>
    </row>
    <row r="1443" spans="1:12" x14ac:dyDescent="0.3">
      <c r="A1443" t="s">
        <v>78</v>
      </c>
      <c r="E1443" s="20" t="str">
        <f>IF(D1443="?OLD","!!!","")</f>
        <v/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97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875</v>
      </c>
      <c r="E1444" s="20" t="str">
        <f>IF(D1444="?OLD","!!!","")</f>
        <v/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97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836</v>
      </c>
      <c r="B1445" s="26" t="s">
        <v>82</v>
      </c>
      <c r="C1445" s="26" t="s">
        <v>105</v>
      </c>
      <c r="E1445" s="20" t="str">
        <f>IF(D1445="?OLD","!!!","")</f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97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160</v>
      </c>
      <c r="E1446" s="20" t="str">
        <f>IF(D1446="?OLD","!!!","")</f>
        <v/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97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876</v>
      </c>
      <c r="B1447" s="26" t="s">
        <v>131</v>
      </c>
      <c r="C1447" s="26" t="s">
        <v>280</v>
      </c>
      <c r="D1447" s="26" t="s">
        <v>75</v>
      </c>
      <c r="E1447" s="20" t="s">
        <v>877</v>
      </c>
      <c r="F1447" s="21" t="str">
        <f>IF(OR(E1447="",E1447="!!!"),"",IF(NOT(ISNA(VLOOKUP(E1447,E$1:E1446,1,FALSE()))),"OLD",IF(AND(E1447&lt;&gt;"",E1447&lt;&gt;"!!!"),"NEW","")))</f>
        <v>NEW</v>
      </c>
      <c r="G1447" s="22" t="str">
        <f ca="1"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?REFERENTIAL</v>
      </c>
      <c r="H1447" s="23" t="str">
        <f t="shared" ca="1" si="97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112</v>
      </c>
      <c r="E1448" s="20" t="str">
        <f>IF(D1448="?OLD","!!!","")</f>
        <v/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97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766</v>
      </c>
      <c r="B1449" s="26" t="s">
        <v>82</v>
      </c>
      <c r="C1449" s="26" t="s">
        <v>280</v>
      </c>
      <c r="D1449" s="26" t="s">
        <v>75</v>
      </c>
      <c r="E1449" s="20" t="s">
        <v>568</v>
      </c>
      <c r="F1449" s="21" t="str">
        <f>IF(OR(E1449="",E1449="!!!"),"",IF(NOT(ISNA(VLOOKUP(E1449,E$1:E1448,1,FALSE()))),"OLD",IF(AND(E1449&lt;&gt;"",E1449&lt;&gt;"!!!"),"NEW","")))</f>
        <v>OLD</v>
      </c>
      <c r="G1449" s="22" t="str">
        <f ca="1"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?IN_FOCUS</v>
      </c>
      <c r="H1449" s="23" t="str">
        <f t="shared" ca="1" si="97"/>
        <v/>
      </c>
      <c r="I1449" s="24" t="str">
        <f>IF(OR(E1449="",E1449="!!!",F1449="NEW"),"",INDEX(B$2:B1448,-1+SUMPRODUCT(MAX(ROW(E$2:E1448)*(E1449=E$2:E1448)))))</f>
        <v>other_4</v>
      </c>
      <c r="J1449" s="24">
        <f ca="1">IF(OR(E1449="",E1449="!!!",F1449="NEW"),"",COUNTBLANK(OFFSET(A$1,,,SUMPRODUCT(MAX(ROW(E$2:E1449)*(E1449=E$2:E1449)))))-COUNTBLANK(OFFSET(A$1,,,SUMPRODUCT(MAX(ROW(E$1:E1448)*(E2=E$1:E1448))))))</f>
        <v>0</v>
      </c>
      <c r="K1449" s="24">
        <f ca="1">IF(OR(E1449="",E1449="!!!",F1449="NEW"),"",INDEX(J$1:J1448,SUMPRODUCT(MAX(ROW(E$1:E1448)*(E1449=E$1:E1448)))))</f>
        <v>0</v>
      </c>
      <c r="L1449" s="25"/>
    </row>
    <row r="1450" spans="1:12" x14ac:dyDescent="0.3">
      <c r="A1450" t="s">
        <v>86</v>
      </c>
      <c r="E1450" s="20" t="str">
        <f>IF(D1450="?OLD","!!!","")</f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97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264</v>
      </c>
      <c r="B1451" s="26" t="s">
        <v>131</v>
      </c>
      <c r="C1451" s="26" t="s">
        <v>151</v>
      </c>
      <c r="D1451" s="26" t="s">
        <v>75</v>
      </c>
      <c r="E1451" s="20" t="s">
        <v>568</v>
      </c>
      <c r="F1451" s="21" t="str">
        <f>IF(OR(E1451="",E1451="!!!"),"",IF(NOT(ISNA(VLOOKUP(E1451,E$1:E1450,1,FALSE()))),"OLD",IF(AND(E1451&lt;&gt;"",E1451&lt;&gt;"!!!"),"NEW","")))</f>
        <v>OLD</v>
      </c>
      <c r="G1451" s="22" t="str">
        <f ca="1"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?IN_FOCUS</v>
      </c>
      <c r="H1451" s="23" t="str">
        <f t="shared" ca="1" si="97"/>
        <v/>
      </c>
      <c r="I1451" s="24" t="str">
        <f>IF(OR(E1451="",E1451="!!!",F1451="NEW"),"",INDEX(B$2:B1450,-1+SUMPRODUCT(MAX(ROW(E$2:E1450)*(E1451=E$2:E1450)))))</f>
        <v>other_2</v>
      </c>
      <c r="J1451" s="24">
        <f ca="1">IF(OR(E1451="",E1451="!!!",F1451="NEW"),"",COUNTBLANK(OFFSET(A$1,,,SUMPRODUCT(MAX(ROW(E$2:E1451)*(E1451=E$2:E1451)))))-COUNTBLANK(OFFSET(A$1,,,SUMPRODUCT(MAX(ROW(E$1:E1450)*(E2=E$1:E1450))))))</f>
        <v>0</v>
      </c>
      <c r="K1451" s="24">
        <f ca="1">IF(OR(E1451="",E1451="!!!",F1451="NEW"),"",INDEX(J$1:J1450,SUMPRODUCT(MAX(ROW(E$1:E1450)*(E1451=E$1:E1450)))))</f>
        <v>0</v>
      </c>
      <c r="L1451" s="25"/>
    </row>
    <row r="1452" spans="1:12" x14ac:dyDescent="0.3">
      <c r="A1452" t="s">
        <v>78</v>
      </c>
      <c r="E1452" s="20" t="str">
        <f>IF(D1452="?OLD","!!!","")</f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97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3" spans="1:12" x14ac:dyDescent="0.3">
      <c r="A1453" t="s">
        <v>136</v>
      </c>
      <c r="E1453" s="20" t="str">
        <f>IF(D1453="?OLD","!!!","")</f>
        <v/>
      </c>
      <c r="F1453" s="21" t="str">
        <f>IF(OR(E1453="",E1453="!!!"),"",IF(NOT(ISNA(VLOOKUP(E1453,E$1:E1452,1,FALSE()))),"OLD",IF(AND(E1453&lt;&gt;"",E1453&lt;&gt;"!!!"),"NEW","")))</f>
        <v/>
      </c>
      <c r="G1453" s="22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3" t="str">
        <f t="shared" ca="1" si="97"/>
        <v/>
      </c>
      <c r="I1453" s="24" t="str">
        <f>IF(OR(E1453="",E1453="!!!",F1453="NEW"),"",INDEX(B$2:B1452,-1+SUMPRODUCT(MAX(ROW(E$2:E1452)*(E1453=E$2:E1452)))))</f>
        <v/>
      </c>
      <c r="J1453" s="24" t="str">
        <f ca="1">IF(OR(E1453="",E1453="!!!",F1453="NEW"),"",COUNTBLANK(OFFSET(A$1,,,SUMPRODUCT(MAX(ROW(E$2:E1453)*(E1453=E$2:E1453)))))-COUNTBLANK(OFFSET(A$1,,,SUMPRODUCT(MAX(ROW(E$1:E1452)*(E2=E$1:E1452))))))</f>
        <v/>
      </c>
      <c r="K1453" s="24" t="str">
        <f>IF(OR(E1453="",E1453="!!!",F1453="NEW"),"",INDEX(J$1:J1452,SUMPRODUCT(MAX(ROW(E$1:E1452)*(E1453=E$1:E1452)))))</f>
        <v/>
      </c>
      <c r="L1453" s="25"/>
    </row>
    <row r="1454" spans="1:12" x14ac:dyDescent="0.3">
      <c r="A1454" t="s">
        <v>878</v>
      </c>
      <c r="E1454" s="20" t="str">
        <f>IF(D1454="?OLD","!!!","")</f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t="shared" ca="1" si="97"/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879</v>
      </c>
      <c r="B1455" s="26" t="s">
        <v>73</v>
      </c>
      <c r="C1455" s="26" t="s">
        <v>74</v>
      </c>
      <c r="D1455" s="26" t="s">
        <v>75</v>
      </c>
      <c r="E1455" s="20" t="s">
        <v>880</v>
      </c>
      <c r="F1455" s="21" t="str">
        <f>IF(OR(E1455="",E1455="!!!"),"",IF(NOT(ISNA(VLOOKUP(E1455,E$1:E1454,1,FALSE()))),"OLD",IF(AND(E1455&lt;&gt;"",E1455&lt;&gt;"!!!"),"NEW","")))</f>
        <v>NEW</v>
      </c>
      <c r="G1455" s="22" t="str">
        <f ca="1"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?REFERENTIAL</v>
      </c>
      <c r="H1455" s="23" t="str">
        <f t="shared" ca="1" si="97"/>
        <v/>
      </c>
      <c r="I1455" s="24" t="str">
        <f>IF(OR(E1455="",E1455="!!!",F1455="NEW"),"",INDEX(B$2:B1454,-1+SUMPRODUCT(MAX(ROW(E$2:E1454)*(E1455=E$2:E1454)))))</f>
        <v/>
      </c>
      <c r="J1455" s="24" t="str">
        <f ca="1">IF(OR(E1455="",E1455="!!!",F1455="NEW"),"",COUNTBLANK(OFFSET(A$1,,,SUMPRODUCT(MAX(ROW(E$2:E1455)*(E1455=E$2:E1455)))))-COUNTBLANK(OFFSET(A$1,,,SUMPRODUCT(MAX(ROW(E$1:E1454)*(E2=E$1:E1454))))))</f>
        <v/>
      </c>
      <c r="K1455" s="24" t="str">
        <f>IF(OR(E1455="",E1455="!!!",F1455="NEW"),"",INDEX(J$1:J1454,SUMPRODUCT(MAX(ROW(E$1:E1454)*(E1455=E$1:E1454)))))</f>
        <v/>
      </c>
      <c r="L1455" s="25"/>
    </row>
    <row r="1456" spans="1:12" x14ac:dyDescent="0.3">
      <c r="A1456" t="s">
        <v>112</v>
      </c>
      <c r="E1456" s="20" t="str">
        <f>IF(D1456="?OLD","!!!","")</f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ca="1" si="97"/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72</v>
      </c>
      <c r="B1457" s="26" t="s">
        <v>82</v>
      </c>
      <c r="C1457" s="26" t="s">
        <v>74</v>
      </c>
      <c r="D1457" s="26" t="s">
        <v>75</v>
      </c>
      <c r="E1457" s="20" t="s">
        <v>76</v>
      </c>
      <c r="F1457" s="21" t="str">
        <f>IF(OR(E1457="",E1457="!!!"),"",IF(NOT(ISNA(VLOOKUP(E1457,E$1:E1456,1,FALSE()))),"OLD",IF(AND(E1457&lt;&gt;"",E1457&lt;&gt;"!!!"),"NEW","")))</f>
        <v>OLD</v>
      </c>
      <c r="G1457" s="22" t="str">
        <f ca="1"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?IN_FOCUS</v>
      </c>
      <c r="H1457" s="23" t="str">
        <f t="shared" ca="1" si="97"/>
        <v/>
      </c>
      <c r="I1457" s="24" t="str">
        <f>IF(OR(E1457="",E1457="!!!",F1457="NEW"),"",INDEX(B$2:B1456,-1+SUMPRODUCT(MAX(ROW(E$2:E1456)*(E1457=E$2:E1456)))))</f>
        <v>other_4</v>
      </c>
      <c r="J1457" s="24">
        <f ca="1">IF(OR(E1457="",E1457="!!!",F1457="NEW"),"",COUNTBLANK(OFFSET(A$1,,,SUMPRODUCT(MAX(ROW(E$2:E1457)*(E1457=E$2:E1457)))))-COUNTBLANK(OFFSET(A$1,,,SUMPRODUCT(MAX(ROW(E$1:E1456)*(E2=E$1:E1456))))))</f>
        <v>0</v>
      </c>
      <c r="K1457" s="24">
        <f ca="1">IF(OR(E1457="",E1457="!!!",F1457="NEW"),"",INDEX(J$1:J1456,SUMPRODUCT(MAX(ROW(E$1:E1456)*(E1457=E$1:E1456)))))</f>
        <v>0</v>
      </c>
      <c r="L1457" s="25"/>
    </row>
    <row r="1458" spans="1:12" x14ac:dyDescent="0.3">
      <c r="A1458" t="s">
        <v>86</v>
      </c>
      <c r="E1458" s="20" t="str">
        <f>IF(D1458="?OLD","!!!","")</f>
        <v/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97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264</v>
      </c>
      <c r="B1459" s="26" t="s">
        <v>96</v>
      </c>
      <c r="C1459" s="26" t="s">
        <v>151</v>
      </c>
      <c r="D1459" s="26" t="s">
        <v>75</v>
      </c>
      <c r="E1459" s="20" t="s">
        <v>874</v>
      </c>
      <c r="F1459" s="21" t="str">
        <f>IF(OR(E1459="",E1459="!!!"),"",IF(NOT(ISNA(VLOOKUP(E1459,E$1:E1458,1,FALSE()))),"OLD",IF(AND(E1459&lt;&gt;"",E1459&lt;&gt;"!!!"),"NEW","")))</f>
        <v>OLD</v>
      </c>
      <c r="G1459" s="22" t="str">
        <f ca="1"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?IN_FOCUS</v>
      </c>
      <c r="H1459" s="23" t="str">
        <f t="shared" ca="1" si="97"/>
        <v/>
      </c>
      <c r="I1459" s="24" t="str">
        <f>IF(OR(E1459="",E1459="!!!",F1459="NEW"),"",INDEX(B$2:B1458,-1+SUMPRODUCT(MAX(ROW(E$2:E1458)*(E1459=E$2:E1458)))))</f>
        <v>SBJ_2</v>
      </c>
      <c r="J1459" s="24">
        <f ca="1">IF(OR(E1459="",E1459="!!!",F1459="NEW"),"",COUNTBLANK(OFFSET(A$1,,,SUMPRODUCT(MAX(ROW(E$2:E1459)*(E1459=E$2:E1459)))))-COUNTBLANK(OFFSET(A$1,,,SUMPRODUCT(MAX(ROW(E$1:E1458)*(E2=E$1:E1458))))))</f>
        <v>0</v>
      </c>
      <c r="K1459" s="24">
        <f ca="1">IF(OR(E1459="",E1459="!!!",F1459="NEW"),"",INDEX(J$1:J1458,SUMPRODUCT(MAX(ROW(E$1:E1458)*(E1459=E$1:E1458)))))</f>
        <v>0</v>
      </c>
      <c r="L1459" s="25"/>
    </row>
    <row r="1460" spans="1:12" x14ac:dyDescent="0.3">
      <c r="A1460" t="s">
        <v>78</v>
      </c>
      <c r="E1460" s="20" t="str">
        <f>IF(D1460="?OLD","!!!","")</f>
        <v/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97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348</v>
      </c>
      <c r="E1461" s="20" t="str">
        <f>IF(D1461="?OLD","!!!","")</f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97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881</v>
      </c>
      <c r="E1462" s="20" t="str">
        <f>IF(D1462="?OLD","!!!","")</f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97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858</v>
      </c>
      <c r="E1463" s="20" t="str">
        <f>IF(D1463="?OLD","!!!","")</f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97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882</v>
      </c>
      <c r="B1464" s="26" t="s">
        <v>91</v>
      </c>
      <c r="C1464" s="26" t="s">
        <v>119</v>
      </c>
      <c r="E1464" s="20"/>
      <c r="F1464" s="21" t="str">
        <f>IF(OR(E1464="",E1464="!!!"),"",IF(NOT(ISNA(VLOOKUP(E1464,E$1:E1463,1,FALSE()))),"OLD",IF(AND(E1464&lt;&gt;"",E1464&lt;&gt;"!!!"),"NEW","")))</f>
        <v/>
      </c>
      <c r="G1464" s="22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t="shared" ca="1" si="97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/>
    </row>
    <row r="1465" spans="1:12" x14ac:dyDescent="0.3">
      <c r="A1465" t="s">
        <v>86</v>
      </c>
      <c r="E1465" s="20" t="str">
        <f>IF(D1465="?OLD","!!!","")</f>
        <v/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97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418</v>
      </c>
      <c r="E1466" s="20" t="s">
        <v>874</v>
      </c>
      <c r="F1466" s="21" t="str">
        <f>IF(OR(E1466="",E1466="!!!"),"",IF(NOT(ISNA(VLOOKUP(E1466,E$1:E1465,1,FALSE()))),"OLD",IF(AND(E1466&lt;&gt;"",E1466&lt;&gt;"!!!"),"NEW","")))</f>
        <v>OLD</v>
      </c>
      <c r="G1466" s="22" t="str">
        <f ca="1"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?IN_FOCUS</v>
      </c>
      <c r="H1466" s="23" t="str">
        <f t="shared" ca="1" si="97"/>
        <v/>
      </c>
      <c r="I1466" s="24" t="str">
        <f>IF(OR(E1466="",E1466="!!!",F1466="NEW"),"",INDEX(B$2:B1465,-1+SUMPRODUCT(MAX(ROW(E$2:E1465)*(E1466=E$2:E1465)))))</f>
        <v>SBJ_2</v>
      </c>
      <c r="J1466" s="24">
        <f ca="1">IF(OR(E1466="",E1466="!!!",F1466="NEW"),"",COUNTBLANK(OFFSET(A$1,,,SUMPRODUCT(MAX(ROW(E$2:E1466)*(E1466=E$2:E1466)))))-COUNTBLANK(OFFSET(A$1,,,SUMPRODUCT(MAX(ROW(E$1:E1465)*(E2=E$1:E1465))))))</f>
        <v>0</v>
      </c>
      <c r="K1466" s="24">
        <f ca="1">IF(OR(E1466="",E1466="!!!",F1466="NEW"),"",INDEX(J$1:J1465,SUMPRODUCT(MAX(ROW(E$1:E1465)*(E1466=E$1:E1465)))))</f>
        <v>0</v>
      </c>
      <c r="L1466" s="25"/>
    </row>
    <row r="1467" spans="1:12" x14ac:dyDescent="0.3">
      <c r="A1467" t="s">
        <v>216</v>
      </c>
      <c r="E1467" s="20" t="str">
        <f>IF(D1467="?OLD","!!!","")</f>
        <v/>
      </c>
      <c r="F1467" s="21" t="str">
        <f>IF(OR(E1467="",E1467="!!!"),"",IF(NOT(ISNA(VLOOKUP(E1467,E$1:E1466,1,FALSE()))),"OLD",IF(AND(E1467&lt;&gt;"",E1467&lt;&gt;"!!!"),"NEW","")))</f>
        <v/>
      </c>
      <c r="G1467" s="22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3" t="str">
        <f t="shared" ca="1" si="97"/>
        <v/>
      </c>
      <c r="I1467" s="24" t="str">
        <f>IF(OR(E1467="",E1467="!!!",F1467="NEW"),"",INDEX(B$2:B1466,-1+SUMPRODUCT(MAX(ROW(E$2:E1466)*(E1467=E$2:E1466)))))</f>
        <v/>
      </c>
      <c r="J1467" s="24" t="str">
        <f ca="1">IF(OR(E1467="",E1467="!!!",F1467="NEW"),"",COUNTBLANK(OFFSET(A$1,,,SUMPRODUCT(MAX(ROW(E$2:E1467)*(E1467=E$2:E1467)))))-COUNTBLANK(OFFSET(A$1,,,SUMPRODUCT(MAX(ROW(E$1:E1466)*(E2=E$1:E1466))))))</f>
        <v/>
      </c>
      <c r="K1467" s="24" t="str">
        <f>IF(OR(E1467="",E1467="!!!",F1467="NEW"),"",INDEX(J$1:J1466,SUMPRODUCT(MAX(ROW(E$1:E1466)*(E1467=E$1:E1466)))))</f>
        <v/>
      </c>
      <c r="L1467" s="25"/>
    </row>
    <row r="1468" spans="1:12" x14ac:dyDescent="0.3">
      <c r="A1468" t="s">
        <v>206</v>
      </c>
      <c r="B1468" s="26" t="s">
        <v>96</v>
      </c>
      <c r="C1468" s="26" t="s">
        <v>208</v>
      </c>
      <c r="D1468" s="26" t="s">
        <v>75</v>
      </c>
      <c r="E1468" s="20" t="s">
        <v>825</v>
      </c>
      <c r="F1468" s="21" t="str">
        <f>IF(OR(E1468="",E1468="!!!"),"",IF(NOT(ISNA(VLOOKUP(E1468,E$1:E1467,1,FALSE()))),"OLD",IF(AND(E1468&lt;&gt;"",E1468&lt;&gt;"!!!"),"NEW","")))</f>
        <v>OLD</v>
      </c>
      <c r="G1468" s="22" t="str">
        <f ca="1"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?IN_FOCUS</v>
      </c>
      <c r="H1468" s="23" t="str">
        <f t="shared" ca="1" si="97"/>
        <v/>
      </c>
      <c r="I1468" s="24" t="str">
        <f>IF(OR(E1468="",E1468="!!!",F1468="NEW"),"",INDEX(B$2:B1467,-1+SUMPRODUCT(MAX(ROW(E$2:E1467)*(E1468=E$2:E1467)))))</f>
        <v>OBJ_3</v>
      </c>
      <c r="J1468" s="24">
        <f ca="1">IF(OR(E1468="",E1468="!!!",F1468="NEW"),"",COUNTBLANK(OFFSET(A$1,,,SUMPRODUCT(MAX(ROW(E$2:E1468)*(E1468=E$2:E1468)))))-COUNTBLANK(OFFSET(A$1,,,SUMPRODUCT(MAX(ROW(E$1:E1467)*(E2=E$1:E1467))))))</f>
        <v>0</v>
      </c>
      <c r="K1468" s="24">
        <f ca="1">IF(OR(E1468="",E1468="!!!",F1468="NEW"),"",INDEX(J$1:J1467,SUMPRODUCT(MAX(ROW(E$1:E1467)*(E1468=E$1:E1467)))))</f>
        <v>0</v>
      </c>
      <c r="L1468" s="25"/>
    </row>
    <row r="1469" spans="1:12" x14ac:dyDescent="0.3">
      <c r="A1469" t="s">
        <v>267</v>
      </c>
      <c r="E1469" s="20" t="str">
        <f t="shared" ref="E1469:E1487" si="98">IF(D1469="?OLD","!!!","")</f>
        <v/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t="shared" ca="1" si="97"/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883</v>
      </c>
      <c r="E1470" s="20" t="str">
        <f t="shared" si="98"/>
        <v/>
      </c>
      <c r="F1470" s="21" t="str">
        <f>IF(OR(E1470="",E1470="!!!"),"",IF(NOT(ISNA(VLOOKUP(E1470,E$1:E1469,1,FALSE()))),"OLD",IF(AND(E1470&lt;&gt;"",E1470&lt;&gt;"!!!"),"NEW","")))</f>
        <v/>
      </c>
      <c r="G1470" s="22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3" t="str">
        <f t="shared" ca="1" si="97"/>
        <v/>
      </c>
      <c r="I1470" s="24" t="str">
        <f>IF(OR(E1470="",E1470="!!!",F1470="NEW"),"",INDEX(B$2:B1469,-1+SUMPRODUCT(MAX(ROW(E$2:E1469)*(E1470=E$2:E1469)))))</f>
        <v/>
      </c>
      <c r="J1470" s="24" t="str">
        <f ca="1">IF(OR(E1470="",E1470="!!!",F1470="NEW"),"",COUNTBLANK(OFFSET(A$1,,,SUMPRODUCT(MAX(ROW(E$2:E1470)*(E1470=E$2:E1470)))))-COUNTBLANK(OFFSET(A$1,,,SUMPRODUCT(MAX(ROW(E$1:E1469)*(E2=E$1:E1469))))))</f>
        <v/>
      </c>
      <c r="K1470" s="24" t="str">
        <f>IF(OR(E1470="",E1470="!!!",F1470="NEW"),"",INDEX(J$1:J1469,SUMPRODUCT(MAX(ROW(E$1:E1469)*(E1470=E$1:E1469)))))</f>
        <v/>
      </c>
      <c r="L1470" s="25"/>
    </row>
    <row r="1471" spans="1:12" x14ac:dyDescent="0.3">
      <c r="A1471" t="s">
        <v>236</v>
      </c>
      <c r="E1471" s="20" t="str">
        <f t="shared" si="98"/>
        <v/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t="shared" ca="1" si="97"/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218</v>
      </c>
      <c r="B1472" s="26" t="s">
        <v>147</v>
      </c>
      <c r="C1472" s="26" t="s">
        <v>111</v>
      </c>
      <c r="E1472" s="20" t="str">
        <f t="shared" si="98"/>
        <v/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t="shared" ca="1" si="97"/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884</v>
      </c>
      <c r="E1473" s="20" t="str">
        <f t="shared" si="98"/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t="shared" ca="1" si="97"/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4" spans="1:12" x14ac:dyDescent="0.3">
      <c r="A1474" t="s">
        <v>885</v>
      </c>
      <c r="B1474" s="26" t="s">
        <v>82</v>
      </c>
      <c r="C1474" s="26" t="s">
        <v>119</v>
      </c>
      <c r="E1474" s="20" t="str">
        <f t="shared" si="98"/>
        <v/>
      </c>
      <c r="F1474" s="21" t="str">
        <f>IF(OR(E1474="",E1474="!!!"),"",IF(NOT(ISNA(VLOOKUP(E1474,E$1:E1473,1,FALSE()))),"OLD",IF(AND(E1474&lt;&gt;"",E1474&lt;&gt;"!!!"),"NEW","")))</f>
        <v/>
      </c>
      <c r="G1474" s="22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3" t="str">
        <f t="shared" ca="1" si="97"/>
        <v/>
      </c>
      <c r="I1474" s="24" t="str">
        <f>IF(OR(E1474="",E1474="!!!",F1474="NEW"),"",INDEX(B$2:B1473,-1+SUMPRODUCT(MAX(ROW(E$2:E1473)*(E1474=E$2:E1473)))))</f>
        <v/>
      </c>
      <c r="J1474" s="24" t="str">
        <f ca="1">IF(OR(E1474="",E1474="!!!",F1474="NEW"),"",COUNTBLANK(OFFSET(A$1,,,SUMPRODUCT(MAX(ROW(E$2:E1474)*(E1474=E$2:E1474)))))-COUNTBLANK(OFFSET(A$1,,,SUMPRODUCT(MAX(ROW(E$1:E1473)*(E2=E$1:E1473))))))</f>
        <v/>
      </c>
      <c r="K1474" s="24" t="str">
        <f>IF(OR(E1474="",E1474="!!!",F1474="NEW"),"",INDEX(J$1:J1473,SUMPRODUCT(MAX(ROW(E$1:E1473)*(E1474=E$1:E1473)))))</f>
        <v/>
      </c>
      <c r="L1474" s="25"/>
    </row>
    <row r="1475" spans="1:12" x14ac:dyDescent="0.3">
      <c r="A1475" t="s">
        <v>886</v>
      </c>
      <c r="E1475" s="20" t="str">
        <f t="shared" si="98"/>
        <v/>
      </c>
      <c r="F1475" s="21" t="str">
        <f>IF(OR(E1475="",E1475="!!!"),"",IF(NOT(ISNA(VLOOKUP(E1475,E$1:E1474,1,FALSE()))),"OLD",IF(AND(E1475&lt;&gt;"",E1475&lt;&gt;"!!!"),"NEW","")))</f>
        <v/>
      </c>
      <c r="G1475" s="22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3" t="str">
        <f t="shared" ca="1" si="97"/>
        <v/>
      </c>
      <c r="I1475" s="24" t="str">
        <f>IF(OR(E1475="",E1475="!!!",F1475="NEW"),"",INDEX(B$2:B1474,-1+SUMPRODUCT(MAX(ROW(E$2:E1474)*(E1475=E$2:E1474)))))</f>
        <v/>
      </c>
      <c r="J1475" s="24" t="str">
        <f ca="1">IF(OR(E1475="",E1475="!!!",F1475="NEW"),"",COUNTBLANK(OFFSET(A$1,,,SUMPRODUCT(MAX(ROW(E$2:E1475)*(E1475=E$2:E1475)))))-COUNTBLANK(OFFSET(A$1,,,SUMPRODUCT(MAX(ROW(E$1:E1474)*(E2=E$1:E1474))))))</f>
        <v/>
      </c>
      <c r="K1475" s="24" t="str">
        <f>IF(OR(E1475="",E1475="!!!",F1475="NEW"),"",INDEX(J$1:J1474,SUMPRODUCT(MAX(ROW(E$1:E1474)*(E1475=E$1:E1474)))))</f>
        <v/>
      </c>
      <c r="L1475" s="25"/>
    </row>
    <row r="1476" spans="1:12" x14ac:dyDescent="0.3">
      <c r="A1476" t="s">
        <v>101</v>
      </c>
      <c r="E1476" s="20" t="str">
        <f t="shared" si="98"/>
        <v/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ca="1" si="97"/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140</v>
      </c>
      <c r="E1477" s="20" t="str">
        <f t="shared" si="98"/>
        <v/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97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887</v>
      </c>
      <c r="E1478" s="20" t="str">
        <f t="shared" si="98"/>
        <v/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97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598</v>
      </c>
      <c r="B1479" s="26" t="s">
        <v>82</v>
      </c>
      <c r="C1479" s="26" t="s">
        <v>105</v>
      </c>
      <c r="E1479" s="20" t="str">
        <f t="shared" si="98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97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101</v>
      </c>
      <c r="E1480" s="20" t="str">
        <f t="shared" si="98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97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888</v>
      </c>
      <c r="E1481" s="20" t="str">
        <f t="shared" si="98"/>
        <v/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97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889</v>
      </c>
      <c r="B1482" s="26" t="s">
        <v>147</v>
      </c>
      <c r="C1482" s="26" t="s">
        <v>105</v>
      </c>
      <c r="E1482" s="20" t="str">
        <f t="shared" si="98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97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101</v>
      </c>
      <c r="E1483" s="20" t="str">
        <f t="shared" si="98"/>
        <v/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97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613</v>
      </c>
      <c r="B1484" s="26" t="s">
        <v>147</v>
      </c>
      <c r="C1484" s="26" t="s">
        <v>105</v>
      </c>
      <c r="E1484" s="20" t="str">
        <f t="shared" si="98"/>
        <v/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97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258</v>
      </c>
      <c r="E1485" s="20" t="str">
        <f t="shared" si="98"/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ref="H1485:H1548" ca="1" si="99">IF(J1485&lt;&gt;1,"",IF(I1485="SBJ","CB","?"))</f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55</v>
      </c>
      <c r="E1486" s="20" t="str">
        <f t="shared" si="98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99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230</v>
      </c>
      <c r="B1487" s="26" t="s">
        <v>303</v>
      </c>
      <c r="C1487" s="26" t="s">
        <v>119</v>
      </c>
      <c r="E1487" s="20" t="str">
        <f t="shared" si="98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99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8" spans="1:12" x14ac:dyDescent="0.3">
      <c r="A1488" t="s">
        <v>890</v>
      </c>
      <c r="B1488" s="26" t="s">
        <v>115</v>
      </c>
      <c r="C1488" s="26" t="s">
        <v>280</v>
      </c>
      <c r="D1488" s="26" t="s">
        <v>75</v>
      </c>
      <c r="E1488" s="20" t="s">
        <v>224</v>
      </c>
      <c r="F1488" s="21" t="str">
        <f>IF(OR(E1488="",E1488="!!!"),"",IF(NOT(ISNA(VLOOKUP(E1488,E$1:E1487,1,FALSE()))),"OLD",IF(AND(E1488&lt;&gt;"",E1488&lt;&gt;"!!!"),"NEW","")))</f>
        <v>OLD</v>
      </c>
      <c r="G1488" s="22" t="str">
        <f ca="1"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?IN_FOCUS</v>
      </c>
      <c r="H1488" s="23" t="str">
        <f t="shared" ca="1" si="99"/>
        <v/>
      </c>
      <c r="I1488" s="24" t="str">
        <f>IF(OR(E1488="",E1488="!!!",F1488="NEW"),"",INDEX(B$2:B1487,-1+SUMPRODUCT(MAX(ROW(E$2:E1487)*(E1488=E$2:E1487)))))</f>
        <v>SBJ_3</v>
      </c>
      <c r="J1488" s="24">
        <f ca="1">IF(OR(E1488="",E1488="!!!",F1488="NEW"),"",COUNTBLANK(OFFSET(A$1,,,SUMPRODUCT(MAX(ROW(E$2:E1488)*(E1488=E$2:E1488)))))-COUNTBLANK(OFFSET(A$1,,,SUMPRODUCT(MAX(ROW(E$1:E1487)*(E2=E$1:E1487))))))</f>
        <v>0</v>
      </c>
      <c r="K1488" s="24">
        <f ca="1">IF(OR(E1488="",E1488="!!!",F1488="NEW"),"",INDEX(J$1:J1487,SUMPRODUCT(MAX(ROW(E$1:E1487)*(E1488=E$1:E1487)))))</f>
        <v>0</v>
      </c>
      <c r="L1488" s="27" t="s">
        <v>891</v>
      </c>
    </row>
    <row r="1489" spans="1:12" x14ac:dyDescent="0.3">
      <c r="A1489" t="s">
        <v>86</v>
      </c>
      <c r="E1489" s="20" t="str">
        <f>IF(D1489="?OLD","!!!","")</f>
        <v/>
      </c>
      <c r="F1489" s="21" t="str">
        <f>IF(OR(E1489="",E1489="!!!"),"",IF(NOT(ISNA(VLOOKUP(E1489,E$1:E1488,1,FALSE()))),"OLD",IF(AND(E1489&lt;&gt;"",E1489&lt;&gt;"!!!"),"NEW","")))</f>
        <v/>
      </c>
      <c r="G1489" s="22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3" t="str">
        <f t="shared" ca="1" si="99"/>
        <v/>
      </c>
      <c r="I1489" s="24" t="str">
        <f>IF(OR(E1489="",E1489="!!!",F1489="NEW"),"",INDEX(B$2:B1488,-1+SUMPRODUCT(MAX(ROW(E$2:E1488)*(E1489=E$2:E1488)))))</f>
        <v/>
      </c>
      <c r="J1489" s="24" t="str">
        <f ca="1">IF(OR(E1489="",E1489="!!!",F1489="NEW"),"",COUNTBLANK(OFFSET(A$1,,,SUMPRODUCT(MAX(ROW(E$2:E1489)*(E1489=E$2:E1489)))))-COUNTBLANK(OFFSET(A$1,,,SUMPRODUCT(MAX(ROW(E$1:E1488)*(E2=E$1:E1488))))))</f>
        <v/>
      </c>
      <c r="K1489" s="24" t="str">
        <f>IF(OR(E1489="",E1489="!!!",F1489="NEW"),"",INDEX(J$1:J1488,SUMPRODUCT(MAX(ROW(E$1:E1488)*(E1489=E$1:E1488)))))</f>
        <v/>
      </c>
      <c r="L1489" s="25"/>
    </row>
    <row r="1490" spans="1:12" x14ac:dyDescent="0.3">
      <c r="A1490" t="s">
        <v>436</v>
      </c>
      <c r="E1490" s="20" t="str">
        <f>IF(D1490="?OLD","!!!","")</f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ca="1" si="99"/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453</v>
      </c>
      <c r="E1491" s="20" t="str">
        <f>IF(D1491="?OLD","!!!","")</f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99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709</v>
      </c>
      <c r="E1492" s="20"/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99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356</v>
      </c>
      <c r="B1493" s="26" t="s">
        <v>104</v>
      </c>
      <c r="C1493" s="26" t="s">
        <v>105</v>
      </c>
      <c r="E1493" s="20" t="s">
        <v>184</v>
      </c>
      <c r="F1493" s="21" t="str">
        <f>IF(OR(E1493="",E1493="!!!"),"",IF(NOT(ISNA(VLOOKUP(E1493,E$1:E1492,1,FALSE()))),"OLD",IF(AND(E1493&lt;&gt;"",E1493&lt;&gt;"!!!"),"NEW","")))</f>
        <v>OLD</v>
      </c>
      <c r="G1493" s="22" t="str">
        <f ca="1"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?IN_FOCUS</v>
      </c>
      <c r="H1493" s="23" t="str">
        <f t="shared" ca="1" si="99"/>
        <v/>
      </c>
      <c r="I1493" s="24" t="str">
        <f>IF(OR(E1493="",E1493="!!!",F1493="NEW"),"",INDEX(B$2:B1492,-1+SUMPRODUCT(MAX(ROW(E$2:E1492)*(E1493=E$2:E1492)))))</f>
        <v>SBJ_2</v>
      </c>
      <c r="J1493" s="24">
        <f ca="1">IF(OR(E1493="",E1493="!!!",F1493="NEW"),"",COUNTBLANK(OFFSET(A$1,,,SUMPRODUCT(MAX(ROW(E$2:E1493)*(E1493=E$2:E1493)))))-COUNTBLANK(OFFSET(A$1,,,SUMPRODUCT(MAX(ROW(E$1:E1492)*(E2=E$1:E1492))))))</f>
        <v>0</v>
      </c>
      <c r="K1493" s="24">
        <f ca="1">IF(OR(E1493="",E1493="!!!",F1493="NEW"),"",INDEX(J$1:J1492,SUMPRODUCT(MAX(ROW(E$1:E1492)*(E1493=E$1:E1492)))))</f>
        <v>0</v>
      </c>
      <c r="L1493" s="27" t="s">
        <v>332</v>
      </c>
    </row>
    <row r="1494" spans="1:12" x14ac:dyDescent="0.3">
      <c r="A1494" t="s">
        <v>136</v>
      </c>
      <c r="E1494" s="20" t="str">
        <f>IF(D1494="?OLD","!!!","")</f>
        <v/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99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359</v>
      </c>
      <c r="B1495" s="26" t="s">
        <v>110</v>
      </c>
      <c r="C1495" s="26" t="s">
        <v>280</v>
      </c>
      <c r="D1495" s="26" t="s">
        <v>75</v>
      </c>
      <c r="E1495" s="20" t="s">
        <v>360</v>
      </c>
      <c r="F1495" s="21" t="str">
        <f>IF(OR(E1495="",E1495="!!!"),"",IF(NOT(ISNA(VLOOKUP(E1495,E$1:E1494,1,FALSE()))),"OLD",IF(AND(E1495&lt;&gt;"",E1495&lt;&gt;"!!!"),"NEW","")))</f>
        <v>OLD</v>
      </c>
      <c r="G1495" s="22" t="str">
        <f ca="1"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?IN_FOCUS</v>
      </c>
      <c r="H1495" s="23" t="str">
        <f t="shared" ca="1" si="99"/>
        <v/>
      </c>
      <c r="I1495" s="24" t="str">
        <f>IF(OR(E1495="",E1495="!!!",F1495="NEW"),"",INDEX(B$2:B1494,-1+SUMPRODUCT(MAX(ROW(E$2:E1494)*(E1495=E$2:E1494)))))</f>
        <v>other_5</v>
      </c>
      <c r="J1495" s="24">
        <f ca="1">IF(OR(E1495="",E1495="!!!",F1495="NEW"),"",COUNTBLANK(OFFSET(A$1,,,SUMPRODUCT(MAX(ROW(E$2:E1495)*(E1495=E$2:E1495)))))-COUNTBLANK(OFFSET(A$1,,,SUMPRODUCT(MAX(ROW(E$1:E1494)*(E2=E$1:E1494))))))</f>
        <v>0</v>
      </c>
      <c r="K1495" s="24">
        <f ca="1">IF(OR(E1495="",E1495="!!!",F1495="NEW"),"",INDEX(J$1:J1494,SUMPRODUCT(MAX(ROW(E$1:E1494)*(E1495=E$1:E1494)))))</f>
        <v>0</v>
      </c>
      <c r="L1495" s="25"/>
    </row>
    <row r="1496" spans="1:12" x14ac:dyDescent="0.3">
      <c r="A1496" t="s">
        <v>79</v>
      </c>
      <c r="E1496" s="20" t="str">
        <f>IF(D1496="?OLD","!!!","")</f>
        <v/>
      </c>
      <c r="F1496" s="21" t="str">
        <f>IF(OR(E1496="",E1496="!!!"),"",IF(NOT(ISNA(VLOOKUP(E1496,E$1:E1495,1,FALSE()))),"OLD",IF(AND(E1496&lt;&gt;"",E1496&lt;&gt;"!!!"),"NEW","")))</f>
        <v/>
      </c>
      <c r="G1496" s="22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3" t="str">
        <f t="shared" ca="1" si="99"/>
        <v/>
      </c>
      <c r="I1496" s="24" t="str">
        <f>IF(OR(E1496="",E1496="!!!",F1496="NEW"),"",INDEX(B$2:B1495,-1+SUMPRODUCT(MAX(ROW(E$2:E1495)*(E1496=E$2:E1495)))))</f>
        <v/>
      </c>
      <c r="J1496" s="24" t="str">
        <f ca="1">IF(OR(E1496="",E1496="!!!",F1496="NEW"),"",COUNTBLANK(OFFSET(A$1,,,SUMPRODUCT(MAX(ROW(E$2:E1496)*(E1496=E$2:E1496)))))-COUNTBLANK(OFFSET(A$1,,,SUMPRODUCT(MAX(ROW(E$1:E1495)*(E2=E$1:E1495))))))</f>
        <v/>
      </c>
      <c r="K1496" s="24" t="str">
        <f>IF(OR(E1496="",E1496="!!!",F1496="NEW"),"",INDEX(J$1:J1495,SUMPRODUCT(MAX(ROW(E$1:E1495)*(E1496=E$1:E1495)))))</f>
        <v/>
      </c>
      <c r="L1496" s="25"/>
    </row>
    <row r="1497" spans="1:12" x14ac:dyDescent="0.3">
      <c r="A1497" t="s">
        <v>735</v>
      </c>
      <c r="E1497" s="20" t="s">
        <v>184</v>
      </c>
      <c r="F1497" s="21" t="str">
        <f>IF(OR(E1497="",E1497="!!!"),"",IF(NOT(ISNA(VLOOKUP(E1497,E$1:E1496,1,FALSE()))),"OLD",IF(AND(E1497&lt;&gt;"",E1497&lt;&gt;"!!!"),"NEW","")))</f>
        <v>OLD</v>
      </c>
      <c r="G1497" s="22" t="str">
        <f ca="1"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?IN_FOCUS</v>
      </c>
      <c r="H1497" s="23" t="str">
        <f t="shared" ca="1" si="99"/>
        <v/>
      </c>
      <c r="I1497" s="24" t="str">
        <f>IF(OR(E1497="",E1497="!!!",F1497="NEW"),"",INDEX(B$2:B1496,-1+SUMPRODUCT(MAX(ROW(E$2:E1496)*(E1497=E$2:E1496)))))</f>
        <v>SBJ_3</v>
      </c>
      <c r="J1497" s="24">
        <f ca="1">IF(OR(E1497="",E1497="!!!",F1497="NEW"),"",COUNTBLANK(OFFSET(A$1,,,SUMPRODUCT(MAX(ROW(E$2:E1497)*(E1497=E$2:E1497)))))-COUNTBLANK(OFFSET(A$1,,,SUMPRODUCT(MAX(ROW(E$1:E1496)*(E2=E$1:E1496))))))</f>
        <v>0</v>
      </c>
      <c r="K1497" s="24">
        <f ca="1">IF(OR(E1497="",E1497="!!!",F1497="NEW"),"",INDEX(J$1:J1496,SUMPRODUCT(MAX(ROW(E$1:E1496)*(E1497=E$1:E1496)))))</f>
        <v>0</v>
      </c>
      <c r="L1497" s="25"/>
    </row>
    <row r="1498" spans="1:12" x14ac:dyDescent="0.3">
      <c r="A1498" t="s">
        <v>769</v>
      </c>
      <c r="B1498" s="26" t="s">
        <v>147</v>
      </c>
      <c r="C1498" s="26" t="s">
        <v>474</v>
      </c>
      <c r="E1498" s="20" t="s">
        <v>892</v>
      </c>
      <c r="F1498" s="21" t="str">
        <f>IF(OR(E1498="",E1498="!!!"),"",IF(NOT(ISNA(VLOOKUP(E1498,E$1:E1497,1,FALSE()))),"OLD",IF(AND(E1498&lt;&gt;"",E1498&lt;&gt;"!!!"),"NEW","")))</f>
        <v>NEW</v>
      </c>
      <c r="G1498" s="22" t="str">
        <f ca="1"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?REFERENTIAL</v>
      </c>
      <c r="H1498" s="23" t="str">
        <f t="shared" ca="1" si="99"/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772</v>
      </c>
      <c r="E1499" s="20" t="str">
        <f>IF(D1499="?OLD","!!!","")</f>
        <v/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99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86</v>
      </c>
      <c r="E1500" s="20" t="str">
        <f>IF(D1500="?OLD","!!!","")</f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99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893</v>
      </c>
      <c r="B1501" s="26" t="s">
        <v>147</v>
      </c>
      <c r="C1501" s="26" t="s">
        <v>208</v>
      </c>
      <c r="D1501" s="26" t="s">
        <v>75</v>
      </c>
      <c r="E1501" s="20" t="s">
        <v>894</v>
      </c>
      <c r="F1501" s="21" t="s">
        <v>751</v>
      </c>
      <c r="G1501" s="22" t="e">
        <f ca="1"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#VALUE!</v>
      </c>
      <c r="H1501" s="23" t="str">
        <f t="shared" ca="1" si="99"/>
        <v/>
      </c>
      <c r="I1501" s="24" t="e">
        <f>IF(OR(E1501="",E1501="!!!",F1501="NEW"),"",INDEX(B$2:B1500,-1+SUMPRODUCT(MAX(ROW(E$2:E1500)*(E1501=E$2:E1500)))))</f>
        <v>#VALUE!</v>
      </c>
      <c r="J1501" s="24">
        <f ca="1">IF(OR(E1501="",E1501="!!!",F1501="NEW"),"",COUNTBLANK(OFFSET(A$1,,,SUMPRODUCT(MAX(ROW(E$2:E1501)*(E1501=E$2:E1501)))))-COUNTBLANK(OFFSET(A$1,,,SUMPRODUCT(MAX(ROW(E$1:E1500)*(E2=E$1:E1500))))))</f>
        <v>0</v>
      </c>
      <c r="K1501" s="24" t="e">
        <f>IF(OR(E1501="",E1501="!!!",F1501="NEW"),"",INDEX(J$1:J1500,SUMPRODUCT(MAX(ROW(E$1:E1500)*(E1501=E$1:E1500)))))</f>
        <v>#VALUE!</v>
      </c>
      <c r="L1501" s="27" t="s">
        <v>895</v>
      </c>
    </row>
    <row r="1502" spans="1:12" x14ac:dyDescent="0.3">
      <c r="A1502" t="s">
        <v>896</v>
      </c>
      <c r="E1502" s="20" t="str">
        <f>IF(D1502="?OLD","!!!","")</f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99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101</v>
      </c>
      <c r="E1503" s="20" t="str">
        <f>IF(D1503="?OLD","!!!","")</f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99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122</v>
      </c>
      <c r="E1504" s="20" t="str">
        <f>IF(D1504="?OLD","!!!","")</f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99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5" spans="1:12" x14ac:dyDescent="0.3">
      <c r="A1505" t="s">
        <v>253</v>
      </c>
      <c r="B1505" s="26" t="s">
        <v>203</v>
      </c>
      <c r="C1505" s="26" t="s">
        <v>208</v>
      </c>
      <c r="D1505" s="26" t="s">
        <v>75</v>
      </c>
      <c r="E1505" s="20" t="s">
        <v>184</v>
      </c>
      <c r="F1505" s="21" t="str">
        <f>IF(OR(E1505="",E1505="!!!"),"",IF(NOT(ISNA(VLOOKUP(E1505,E$1:E1504,1,FALSE()))),"OLD",IF(AND(E1505&lt;&gt;"",E1505&lt;&gt;"!!!"),"NEW","")))</f>
        <v>OLD</v>
      </c>
      <c r="G1505" s="22" t="str">
        <f ca="1"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?IN_FOCUS</v>
      </c>
      <c r="H1505" s="23" t="str">
        <f t="shared" ca="1" si="99"/>
        <v/>
      </c>
      <c r="I1505" s="24">
        <f>IF(OR(E1505="",E1505="!!!",F1505="NEW"),"",INDEX(B$2:B1504,-1+SUMPRODUCT(MAX(ROW(E$2:E1504)*(E1505=E$2:E1504)))))</f>
        <v>0</v>
      </c>
      <c r="J1505" s="24">
        <f ca="1">IF(OR(E1505="",E1505="!!!",F1505="NEW"),"",COUNTBLANK(OFFSET(A$1,,,SUMPRODUCT(MAX(ROW(E$2:E1505)*(E1505=E$2:E1505)))))-COUNTBLANK(OFFSET(A$1,,,SUMPRODUCT(MAX(ROW(E$1:E1504)*(E2=E$1:E1504))))))</f>
        <v>0</v>
      </c>
      <c r="K1505" s="24">
        <f ca="1">IF(OR(E1505="",E1505="!!!",F1505="NEW"),"",INDEX(J$1:J1504,SUMPRODUCT(MAX(ROW(E$1:E1504)*(E1505=E$1:E1504)))))</f>
        <v>0</v>
      </c>
      <c r="L1505" s="25"/>
    </row>
    <row r="1506" spans="1:12" x14ac:dyDescent="0.3">
      <c r="A1506" t="s">
        <v>150</v>
      </c>
      <c r="B1506" s="26" t="s">
        <v>402</v>
      </c>
      <c r="C1506" s="26" t="s">
        <v>151</v>
      </c>
      <c r="D1506" s="26" t="s">
        <v>75</v>
      </c>
      <c r="E1506" s="20"/>
      <c r="F1506" s="21" t="str">
        <f>IF(OR(E1506="",E1506="!!!"),"",IF(NOT(ISNA(VLOOKUP(E1506,E$1:E1505,1,FALSE()))),"OLD",IF(AND(E1506&lt;&gt;"",E1506&lt;&gt;"!!!"),"NEW","")))</f>
        <v/>
      </c>
      <c r="G1506" s="22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3" t="str">
        <f t="shared" ca="1" si="99"/>
        <v/>
      </c>
      <c r="I1506" s="24" t="str">
        <f>IF(OR(E1506="",E1506="!!!",F1506="NEW"),"",INDEX(B$2:B1505,-1+SUMPRODUCT(MAX(ROW(E$2:E1505)*(E1506=E$2:E1505)))))</f>
        <v/>
      </c>
      <c r="J1506" s="24" t="str">
        <f ca="1">IF(OR(E1506="",E1506="!!!",F1506="NEW"),"",COUNTBLANK(OFFSET(A$1,,,SUMPRODUCT(MAX(ROW(E$2:E1506)*(E1506=E$2:E1506)))))-COUNTBLANK(OFFSET(A$1,,,SUMPRODUCT(MAX(ROW(E$1:E1505)*(E2=E$1:E1505))))))</f>
        <v/>
      </c>
      <c r="K1506" s="24" t="str">
        <f>IF(OR(E1506="",E1506="!!!",F1506="NEW"),"",INDEX(J$1:J1505,SUMPRODUCT(MAX(ROW(E$1:E1505)*(E1506=E$1:E1505)))))</f>
        <v/>
      </c>
      <c r="L1506" s="27" t="s">
        <v>345</v>
      </c>
    </row>
    <row r="1507" spans="1:12" x14ac:dyDescent="0.3">
      <c r="A1507" t="s">
        <v>882</v>
      </c>
      <c r="B1507" s="26" t="s">
        <v>300</v>
      </c>
      <c r="C1507" s="26" t="s">
        <v>353</v>
      </c>
      <c r="D1507" s="26" t="s">
        <v>75</v>
      </c>
      <c r="E1507" s="20" t="s">
        <v>892</v>
      </c>
      <c r="F1507" s="21" t="str">
        <f>IF(OR(E1507="",E1507="!!!"),"",IF(NOT(ISNA(VLOOKUP(E1507,E$1:E1506,1,FALSE()))),"OLD",IF(AND(E1507&lt;&gt;"",E1507&lt;&gt;"!!!"),"NEW","")))</f>
        <v>OLD</v>
      </c>
      <c r="G1507" s="22" t="str">
        <f ca="1"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?IN_FOCUS</v>
      </c>
      <c r="H1507" s="23" t="str">
        <f t="shared" ca="1" si="99"/>
        <v/>
      </c>
      <c r="I1507" s="24" t="str">
        <f>IF(OR(E1507="",E1507="!!!",F1507="NEW"),"",INDEX(B$2:B1506,-1+SUMPRODUCT(MAX(ROW(E$2:E1506)*(E1507=E$2:E1506)))))</f>
        <v>other_3</v>
      </c>
      <c r="J1507" s="24">
        <f ca="1">IF(OR(E1507="",E1507="!!!",F1507="NEW"),"",COUNTBLANK(OFFSET(A$1,,,SUMPRODUCT(MAX(ROW(E$2:E1507)*(E1507=E$2:E1507)))))-COUNTBLANK(OFFSET(A$1,,,SUMPRODUCT(MAX(ROW(E$1:E1506)*(E2=E$1:E1506))))))</f>
        <v>0</v>
      </c>
      <c r="K1507" s="24" t="str">
        <f ca="1">IF(OR(E1507="",E1507="!!!",F1507="NEW"),"",INDEX(J$1:J1506,SUMPRODUCT(MAX(ROW(E$1:E1506)*(E1507=E$1:E1506)))))</f>
        <v/>
      </c>
      <c r="L1507" s="25"/>
    </row>
    <row r="1508" spans="1:12" x14ac:dyDescent="0.3">
      <c r="A1508" t="s">
        <v>897</v>
      </c>
      <c r="E1508" s="20" t="str">
        <f>IF(D1508="?OLD","!!!","")</f>
        <v/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99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142</v>
      </c>
      <c r="E1509" s="20" t="str">
        <f>IF(D1509="?OLD","!!!","")</f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99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597</v>
      </c>
      <c r="E1510" s="20" t="str">
        <f>IF(D1510="?OLD","!!!","")</f>
        <v/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99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324</v>
      </c>
      <c r="E1511" s="20" t="str">
        <f>IF(D1511="?OLD","!!!","")</f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99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898</v>
      </c>
      <c r="E1512" s="20" t="s">
        <v>184</v>
      </c>
      <c r="F1512" s="21" t="str">
        <f>IF(OR(E1512="",E1512="!!!"),"",IF(NOT(ISNA(VLOOKUP(E1512,E$1:E1511,1,FALSE()))),"OLD",IF(AND(E1512&lt;&gt;"",E1512&lt;&gt;"!!!"),"NEW","")))</f>
        <v>OLD</v>
      </c>
      <c r="G1512" s="22" t="str">
        <f ca="1"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?IN_FOCUS</v>
      </c>
      <c r="H1512" s="23" t="str">
        <f t="shared" ca="1" si="99"/>
        <v/>
      </c>
      <c r="I1512" s="24" t="str">
        <f>IF(OR(E1512="",E1512="!!!",F1512="NEW"),"",INDEX(B$2:B1511,-1+SUMPRODUCT(MAX(ROW(E$2:E1511)*(E1512=E$2:E1511)))))</f>
        <v>SBJ_5</v>
      </c>
      <c r="J1512" s="24">
        <f ca="1">IF(OR(E1512="",E1512="!!!",F1512="NEW"),"",COUNTBLANK(OFFSET(A$1,,,SUMPRODUCT(MAX(ROW(E$2:E1512)*(E1512=E$2:E1512)))))-COUNTBLANK(OFFSET(A$1,,,SUMPRODUCT(MAX(ROW(E$1:E1511)*(E2=E$1:E1511))))))</f>
        <v>0</v>
      </c>
      <c r="K1512" s="24">
        <f ca="1">IF(OR(E1512="",E1512="!!!",F1512="NEW"),"",INDEX(J$1:J1511,SUMPRODUCT(MAX(ROW(E$1:E1511)*(E1512=E$1:E1511)))))</f>
        <v>0</v>
      </c>
      <c r="L1512" s="25"/>
    </row>
    <row r="1513" spans="1:12" x14ac:dyDescent="0.3">
      <c r="A1513" t="s">
        <v>426</v>
      </c>
      <c r="B1513" s="26" t="s">
        <v>402</v>
      </c>
      <c r="C1513" s="26" t="s">
        <v>474</v>
      </c>
      <c r="E1513" s="20" t="s">
        <v>899</v>
      </c>
      <c r="F1513" s="21" t="str">
        <f>IF(OR(E1513="",E1513="!!!"),"",IF(NOT(ISNA(VLOOKUP(E1513,E$1:E1512,1,FALSE()))),"OLD",IF(AND(E1513&lt;&gt;"",E1513&lt;&gt;"!!!"),"NEW","")))</f>
        <v>NEW</v>
      </c>
      <c r="G1513" s="22" t="str">
        <f ca="1"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?REFERENTIAL</v>
      </c>
      <c r="H1513" s="23" t="str">
        <f t="shared" ca="1" si="99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79</v>
      </c>
      <c r="E1514" s="20" t="str">
        <f>IF(D1514="?OLD","!!!","")</f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99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5" spans="1:12" x14ac:dyDescent="0.3">
      <c r="A1515" t="s">
        <v>334</v>
      </c>
      <c r="B1515" s="26" t="s">
        <v>416</v>
      </c>
      <c r="C1515" s="26" t="s">
        <v>105</v>
      </c>
      <c r="E1515" s="20"/>
      <c r="F1515" s="21" t="str">
        <f>IF(OR(E1515="",E1515="!!!"),"",IF(NOT(ISNA(VLOOKUP(E1515,E$1:E1514,1,FALSE()))),"OLD",IF(AND(E1515&lt;&gt;"",E1515&lt;&gt;"!!!"),"NEW","")))</f>
        <v/>
      </c>
      <c r="G1515" s="22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3" t="str">
        <f t="shared" ca="1" si="99"/>
        <v/>
      </c>
      <c r="I1515" s="24" t="str">
        <f>IF(OR(E1515="",E1515="!!!",F1515="NEW"),"",INDEX(B$2:B1514,-1+SUMPRODUCT(MAX(ROW(E$2:E1514)*(E1515=E$2:E1514)))))</f>
        <v/>
      </c>
      <c r="J1515" s="24" t="str">
        <f ca="1">IF(OR(E1515="",E1515="!!!",F1515="NEW"),"",COUNTBLANK(OFFSET(A$1,,,SUMPRODUCT(MAX(ROW(E$2:E1515)*(E1515=E$2:E1515)))))-COUNTBLANK(OFFSET(A$1,,,SUMPRODUCT(MAX(ROW(E$1:E1514)*(E2=E$1:E1514))))))</f>
        <v/>
      </c>
      <c r="K1515" s="24" t="str">
        <f>IF(OR(E1515="",E1515="!!!",F1515="NEW"),"",INDEX(J$1:J1514,SUMPRODUCT(MAX(ROW(E$1:E1514)*(E1515=E$1:E1514)))))</f>
        <v/>
      </c>
      <c r="L1515" s="25"/>
    </row>
    <row r="1516" spans="1:12" x14ac:dyDescent="0.3">
      <c r="A1516" t="s">
        <v>580</v>
      </c>
      <c r="E1516" s="20" t="str">
        <f>IF(D1516="?OLD","!!!","")</f>
        <v/>
      </c>
      <c r="F1516" s="21" t="str">
        <f>IF(OR(E1516="",E1516="!!!"),"",IF(NOT(ISNA(VLOOKUP(E1516,E$1:E1515,1,FALSE()))),"OLD",IF(AND(E1516&lt;&gt;"",E1516&lt;&gt;"!!!"),"NEW","")))</f>
        <v/>
      </c>
      <c r="G1516" s="22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3" t="str">
        <f t="shared" ca="1" si="99"/>
        <v/>
      </c>
      <c r="I1516" s="24" t="str">
        <f>IF(OR(E1516="",E1516="!!!",F1516="NEW"),"",INDEX(B$2:B1515,-1+SUMPRODUCT(MAX(ROW(E$2:E1515)*(E1516=E$2:E1515)))))</f>
        <v/>
      </c>
      <c r="J1516" s="24" t="str">
        <f ca="1">IF(OR(E1516="",E1516="!!!",F1516="NEW"),"",COUNTBLANK(OFFSET(A$1,,,SUMPRODUCT(MAX(ROW(E$2:E1516)*(E1516=E$2:E1516)))))-COUNTBLANK(OFFSET(A$1,,,SUMPRODUCT(MAX(ROW(E$1:E1515)*(E2=E$1:E1515))))))</f>
        <v/>
      </c>
      <c r="K1516" s="24" t="str">
        <f>IF(OR(E1516="",E1516="!!!",F1516="NEW"),"",INDEX(J$1:J1515,SUMPRODUCT(MAX(ROW(E$1:E1515)*(E1516=E$1:E1515)))))</f>
        <v/>
      </c>
      <c r="L1516" s="25"/>
    </row>
    <row r="1517" spans="1:12" x14ac:dyDescent="0.3">
      <c r="A1517" t="s">
        <v>101</v>
      </c>
      <c r="E1517" s="20" t="str">
        <f>IF(D1517="?OLD","!!!","")</f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ca="1" si="99"/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136</v>
      </c>
      <c r="B1518" s="26" t="s">
        <v>257</v>
      </c>
      <c r="E1518" s="20"/>
      <c r="F1518" s="21" t="str">
        <f>IF(OR(E1518="",E1518="!!!"),"",IF(NOT(ISNA(VLOOKUP(E1518,E$1:E1517,1,FALSE()))),"OLD",IF(AND(E1518&lt;&gt;"",E1518&lt;&gt;"!!!"),"NEW","")))</f>
        <v/>
      </c>
      <c r="G1518" s="22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t="shared" ca="1" si="99"/>
        <v/>
      </c>
      <c r="I1518" s="24" t="str">
        <f>IF(OR(E1518="",E1518="!!!",F1518="NEW"),"",INDEX(B$2:B1517,-1+SUMPRODUCT(MAX(ROW(E$2:E1517)*(E1518=E$2:E1517)))))</f>
        <v/>
      </c>
      <c r="J1518" s="24" t="str">
        <f ca="1">IF(OR(E1518="",E1518="!!!",F1518="NEW"),"",COUNTBLANK(OFFSET(A$1,,,SUMPRODUCT(MAX(ROW(E$2:E1518)*(E1518=E$2:E1518)))))-COUNTBLANK(OFFSET(A$1,,,SUMPRODUCT(MAX(ROW(E$1:E1517)*(E2=E$1:E1517))))))</f>
        <v/>
      </c>
      <c r="K1518" s="24" t="str">
        <f>IF(OR(E1518="",E1518="!!!",F1518="NEW"),"",INDEX(J$1:J1517,SUMPRODUCT(MAX(ROW(E$1:E1517)*(E1518=E$1:E1517)))))</f>
        <v/>
      </c>
      <c r="L1518" s="25"/>
    </row>
    <row r="1519" spans="1:12" x14ac:dyDescent="0.3">
      <c r="A1519" t="s">
        <v>236</v>
      </c>
      <c r="E1519" s="20" t="str">
        <f>IF(D1519="?OLD","!!!","")</f>
        <v/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99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80</v>
      </c>
      <c r="E1520" s="20" t="str">
        <f>IF(D1520="?OLD","!!!","")</f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99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1" spans="1:12" x14ac:dyDescent="0.3">
      <c r="A1521" t="s">
        <v>900</v>
      </c>
      <c r="E1521" s="20" t="str">
        <f>IF(D1521="?OLD","!!!","")</f>
        <v/>
      </c>
      <c r="F1521" s="21" t="str">
        <f>IF(OR(E1521="",E1521="!!!"),"",IF(NOT(ISNA(VLOOKUP(E1521,E$1:E1520,1,FALSE()))),"OLD",IF(AND(E1521&lt;&gt;"",E1521&lt;&gt;"!!!"),"NEW","")))</f>
        <v/>
      </c>
      <c r="G1521" s="22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3" t="str">
        <f t="shared" ca="1" si="99"/>
        <v/>
      </c>
      <c r="I1521" s="24" t="str">
        <f>IF(OR(E1521="",E1521="!!!",F1521="NEW"),"",INDEX(B$2:B1520,-1+SUMPRODUCT(MAX(ROW(E$2:E1520)*(E1521=E$2:E1520)))))</f>
        <v/>
      </c>
      <c r="J1521" s="24" t="str">
        <f ca="1">IF(OR(E1521="",E1521="!!!",F1521="NEW"),"",COUNTBLANK(OFFSET(A$1,,,SUMPRODUCT(MAX(ROW(E$2:E1521)*(E1521=E$2:E1521)))))-COUNTBLANK(OFFSET(A$1,,,SUMPRODUCT(MAX(ROW(E$1:E1520)*(E2=E$1:E1520))))))</f>
        <v/>
      </c>
      <c r="K1521" s="24" t="str">
        <f>IF(OR(E1521="",E1521="!!!",F1521="NEW"),"",INDEX(J$1:J1520,SUMPRODUCT(MAX(ROW(E$1:E1520)*(E1521=E$1:E1520)))))</f>
        <v/>
      </c>
      <c r="L1521" s="25"/>
    </row>
    <row r="1522" spans="1:12" x14ac:dyDescent="0.3">
      <c r="A1522" t="s">
        <v>236</v>
      </c>
      <c r="E1522" s="20" t="str">
        <f>IF(D1522="?OLD","!!!","")</f>
        <v/>
      </c>
      <c r="F1522" s="21" t="str">
        <f>IF(OR(E1522="",E1522="!!!"),"",IF(NOT(ISNA(VLOOKUP(E1522,E$1:E1521,1,FALSE()))),"OLD",IF(AND(E1522&lt;&gt;"",E1522&lt;&gt;"!!!"),"NEW","")))</f>
        <v/>
      </c>
      <c r="G1522" s="22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3" t="str">
        <f t="shared" ca="1" si="99"/>
        <v/>
      </c>
      <c r="I1522" s="24" t="str">
        <f>IF(OR(E1522="",E1522="!!!",F1522="NEW"),"",INDEX(B$2:B1521,-1+SUMPRODUCT(MAX(ROW(E$2:E1521)*(E1522=E$2:E1521)))))</f>
        <v/>
      </c>
      <c r="J1522" s="24" t="str">
        <f ca="1">IF(OR(E1522="",E1522="!!!",F1522="NEW"),"",COUNTBLANK(OFFSET(A$1,,,SUMPRODUCT(MAX(ROW(E$2:E1522)*(E1522=E$2:E1522)))))-COUNTBLANK(OFFSET(A$1,,,SUMPRODUCT(MAX(ROW(E$1:E1521)*(E2=E$1:E1521))))))</f>
        <v/>
      </c>
      <c r="K1522" s="24" t="str">
        <f>IF(OR(E1522="",E1522="!!!",F1522="NEW"),"",INDEX(J$1:J1521,SUMPRODUCT(MAX(ROW(E$1:E1521)*(E1522=E$1:E1521)))))</f>
        <v/>
      </c>
      <c r="L1522" s="25"/>
    </row>
    <row r="1523" spans="1:12" x14ac:dyDescent="0.3">
      <c r="A1523" t="s">
        <v>112</v>
      </c>
      <c r="E1523" s="20" t="str">
        <f>IF(D1523="?OLD","!!!","")</f>
        <v/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ca="1" si="99"/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901</v>
      </c>
      <c r="B1524" s="26" t="s">
        <v>115</v>
      </c>
      <c r="C1524" s="26" t="s">
        <v>790</v>
      </c>
      <c r="D1524" s="26" t="s">
        <v>75</v>
      </c>
      <c r="E1524" s="20" t="s">
        <v>902</v>
      </c>
      <c r="F1524" s="21" t="str">
        <f>IF(OR(E1524="",E1524="!!!"),"",IF(NOT(ISNA(VLOOKUP(E1524,E$1:E1523,1,FALSE()))),"OLD",IF(AND(E1524&lt;&gt;"",E1524&lt;&gt;"!!!"),"NEW","")))</f>
        <v>NEW</v>
      </c>
      <c r="G1524" s="22" t="str">
        <f ca="1"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?REFERENTIAL</v>
      </c>
      <c r="H1524" s="23" t="str">
        <f t="shared" ca="1" si="99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903</v>
      </c>
      <c r="B1525" s="26" t="s">
        <v>402</v>
      </c>
      <c r="C1525" s="26" t="s">
        <v>151</v>
      </c>
      <c r="D1525" s="26" t="s">
        <v>75</v>
      </c>
      <c r="E1525" s="20"/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99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7" t="s">
        <v>345</v>
      </c>
    </row>
    <row r="1526" spans="1:12" x14ac:dyDescent="0.3">
      <c r="A1526" t="s">
        <v>904</v>
      </c>
      <c r="B1526" s="26" t="s">
        <v>303</v>
      </c>
      <c r="C1526" s="26" t="s">
        <v>353</v>
      </c>
      <c r="D1526" s="26" t="s">
        <v>75</v>
      </c>
      <c r="E1526" s="20" t="s">
        <v>905</v>
      </c>
      <c r="F1526" s="21" t="str">
        <f>IF(OR(E1526="",E1526="!!!"),"",IF(NOT(ISNA(VLOOKUP(E1526,E$1:E1525,1,FALSE()))),"OLD",IF(AND(E1526&lt;&gt;"",E1526&lt;&gt;"!!!"),"NEW","")))</f>
        <v>NEW</v>
      </c>
      <c r="G1526" s="22" t="str">
        <f ca="1"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?REFERENTIAL</v>
      </c>
      <c r="H1526" s="23" t="str">
        <f t="shared" ca="1" si="99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906</v>
      </c>
      <c r="E1527" s="20" t="str">
        <f>IF(D1527="?OLD","!!!","")</f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99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101</v>
      </c>
      <c r="E1528" s="20" t="str">
        <f>IF(D1528="?OLD","!!!","")</f>
        <v/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99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483</v>
      </c>
      <c r="E1529" s="20" t="str">
        <f>IF(D1529="?OLD","!!!","")</f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99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253</v>
      </c>
      <c r="B1530" s="26" t="s">
        <v>203</v>
      </c>
      <c r="C1530" s="26" t="s">
        <v>208</v>
      </c>
      <c r="D1530" s="26" t="s">
        <v>75</v>
      </c>
      <c r="E1530" s="20" t="s">
        <v>905</v>
      </c>
      <c r="F1530" s="21" t="str">
        <f>IF(OR(E1530="",E1530="!!!"),"",IF(NOT(ISNA(VLOOKUP(E1530,E$1:E1529,1,FALSE()))),"OLD",IF(AND(E1530&lt;&gt;"",E1530&lt;&gt;"!!!"),"NEW","")))</f>
        <v>OLD</v>
      </c>
      <c r="G1530" s="22" t="str">
        <f ca="1"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?IN_FOCUS</v>
      </c>
      <c r="H1530" s="23" t="str">
        <f t="shared" ca="1" si="99"/>
        <v/>
      </c>
      <c r="I1530" s="24" t="str">
        <f>IF(OR(E1530="",E1530="!!!",F1530="NEW"),"",INDEX(B$2:B1529,-1+SUMPRODUCT(MAX(ROW(E$2:E1529)*(E1530=E$2:E1529)))))</f>
        <v>other_5</v>
      </c>
      <c r="J1530" s="24">
        <f ca="1">IF(OR(E1530="",E1530="!!!",F1530="NEW"),"",COUNTBLANK(OFFSET(A$1,,,SUMPRODUCT(MAX(ROW(E$2:E1530)*(E1530=E$2:E1530)))))-COUNTBLANK(OFFSET(A$1,,,SUMPRODUCT(MAX(ROW(E$1:E1529)*(E2=E$1:E1529))))))</f>
        <v>0</v>
      </c>
      <c r="K1530" s="24" t="str">
        <f ca="1">IF(OR(E1530="",E1530="!!!",F1530="NEW"),"",INDEX(J$1:J1529,SUMPRODUCT(MAX(ROW(E$1:E1529)*(E1530=E$1:E1529)))))</f>
        <v/>
      </c>
      <c r="L1530" s="25"/>
    </row>
    <row r="1531" spans="1:12" x14ac:dyDescent="0.3">
      <c r="A1531" t="s">
        <v>907</v>
      </c>
      <c r="E1531" s="20" t="str">
        <f>IF(D1531="?OLD","!!!","")</f>
        <v/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99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116</v>
      </c>
      <c r="E1532" s="20" t="str">
        <f>IF(D1532="?OLD","!!!","")</f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99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908</v>
      </c>
      <c r="E1533" s="20" t="str">
        <f>IF(D1533="?OLD","!!!","")</f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99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4" spans="1:12" x14ac:dyDescent="0.3">
      <c r="A1534" t="s">
        <v>446</v>
      </c>
      <c r="E1534" s="20" t="str">
        <f>IF(D1534="?OLD","!!!","")</f>
        <v/>
      </c>
      <c r="F1534" s="21" t="str">
        <f>IF(OR(E1534="",E1534="!!!"),"",IF(NOT(ISNA(VLOOKUP(E1534,E$1:E1533,1,FALSE()))),"OLD",IF(AND(E1534&lt;&gt;"",E1534&lt;&gt;"!!!"),"NEW","")))</f>
        <v/>
      </c>
      <c r="G1534" s="22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3" t="str">
        <f t="shared" ca="1" si="99"/>
        <v/>
      </c>
      <c r="I1534" s="24" t="str">
        <f>IF(OR(E1534="",E1534="!!!",F1534="NEW"),"",INDEX(B$2:B1533,-1+SUMPRODUCT(MAX(ROW(E$2:E1533)*(E1534=E$2:E1533)))))</f>
        <v/>
      </c>
      <c r="J1534" s="24" t="str">
        <f ca="1">IF(OR(E1534="",E1534="!!!",F1534="NEW"),"",COUNTBLANK(OFFSET(A$1,,,SUMPRODUCT(MAX(ROW(E$2:E1534)*(E1534=E$2:E1534)))))-COUNTBLANK(OFFSET(A$1,,,SUMPRODUCT(MAX(ROW(E$1:E1533)*(E2=E$1:E1533))))))</f>
        <v/>
      </c>
      <c r="K1534" s="24" t="str">
        <f>IF(OR(E1534="",E1534="!!!",F1534="NEW"),"",INDEX(J$1:J1533,SUMPRODUCT(MAX(ROW(E$1:E1533)*(E1534=E$1:E1533)))))</f>
        <v/>
      </c>
      <c r="L1534" s="25"/>
    </row>
    <row r="1535" spans="1:12" x14ac:dyDescent="0.3">
      <c r="A1535" t="s">
        <v>893</v>
      </c>
      <c r="B1535" s="26" t="s">
        <v>110</v>
      </c>
      <c r="C1535" s="26" t="s">
        <v>208</v>
      </c>
      <c r="D1535" s="26" t="s">
        <v>75</v>
      </c>
      <c r="E1535" s="20" t="s">
        <v>909</v>
      </c>
      <c r="F1535" s="21" t="s">
        <v>751</v>
      </c>
      <c r="G1535" s="22" t="e">
        <f ca="1"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#VALUE!</v>
      </c>
      <c r="H1535" s="23" t="str">
        <f t="shared" ca="1" si="99"/>
        <v/>
      </c>
      <c r="I1535" s="24" t="e">
        <f>IF(OR(E1535="",E1535="!!!",F1535="NEW"),"",INDEX(B$2:B1534,-1+SUMPRODUCT(MAX(ROW(E$2:E1534)*(E1535=E$2:E1534)))))</f>
        <v>#VALUE!</v>
      </c>
      <c r="J1535" s="24">
        <f ca="1">IF(OR(E1535="",E1535="!!!",F1535="NEW"),"",COUNTBLANK(OFFSET(A$1,,,SUMPRODUCT(MAX(ROW(E$2:E1535)*(E1535=E$2:E1535)))))-COUNTBLANK(OFFSET(A$1,,,SUMPRODUCT(MAX(ROW(E$1:E1534)*(E2=E$1:E1534))))))</f>
        <v>0</v>
      </c>
      <c r="K1535" s="24" t="e">
        <f>IF(OR(E1535="",E1535="!!!",F1535="NEW"),"",INDEX(J$1:J1534,SUMPRODUCT(MAX(ROW(E$1:E1534)*(E1535=E$1:E1534)))))</f>
        <v>#VALUE!</v>
      </c>
      <c r="L1535" s="27" t="s">
        <v>895</v>
      </c>
    </row>
    <row r="1536" spans="1:12" x14ac:dyDescent="0.3">
      <c r="A1536" t="s">
        <v>590</v>
      </c>
      <c r="E1536" s="20" t="str">
        <f>IF(D1536="?OLD","!!!","")</f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ca="1" si="99"/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206</v>
      </c>
      <c r="B1537" s="26" t="s">
        <v>104</v>
      </c>
      <c r="C1537" s="26" t="s">
        <v>208</v>
      </c>
      <c r="D1537" s="26" t="s">
        <v>75</v>
      </c>
      <c r="E1537" s="20" t="s">
        <v>825</v>
      </c>
      <c r="F1537" s="21" t="str">
        <f>IF(OR(E1537="",E1537="!!!"),"",IF(NOT(ISNA(VLOOKUP(E1537,E$1:E1536,1,FALSE()))),"OLD",IF(AND(E1537&lt;&gt;"",E1537&lt;&gt;"!!!"),"NEW","")))</f>
        <v>OLD</v>
      </c>
      <c r="G1537" s="22" t="str">
        <f ca="1"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?IN_FOCUS</v>
      </c>
      <c r="H1537" s="23" t="str">
        <f t="shared" ca="1" si="99"/>
        <v/>
      </c>
      <c r="I1537" s="24" t="str">
        <f>IF(OR(E1537="",E1537="!!!",F1537="NEW"),"",INDEX(B$2:B1536,-1+SUMPRODUCT(MAX(ROW(E$2:E1536)*(E1537=E$2:E1536)))))</f>
        <v>SBJ_2</v>
      </c>
      <c r="J1537" s="24">
        <f ca="1">IF(OR(E1537="",E1537="!!!",F1537="NEW"),"",COUNTBLANK(OFFSET(A$1,,,SUMPRODUCT(MAX(ROW(E$2:E1537)*(E1537=E$2:E1537)))))-COUNTBLANK(OFFSET(A$1,,,SUMPRODUCT(MAX(ROW(E$1:E1536)*(E2=E$1:E1536))))))</f>
        <v>0</v>
      </c>
      <c r="K1537" s="24">
        <f ca="1">IF(OR(E1537="",E1537="!!!",F1537="NEW"),"",INDEX(J$1:J1536,SUMPRODUCT(MAX(ROW(E$1:E1536)*(E1537=E$1:E1536)))))</f>
        <v>0</v>
      </c>
      <c r="L1537" s="25"/>
    </row>
    <row r="1538" spans="1:12" x14ac:dyDescent="0.3">
      <c r="A1538" t="s">
        <v>910</v>
      </c>
      <c r="E1538" s="20" t="str">
        <f>IF(D1538="?OLD","!!!","")</f>
        <v/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99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101</v>
      </c>
      <c r="E1539" s="20" t="str">
        <f>IF(D1539="?OLD","!!!","")</f>
        <v/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99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122</v>
      </c>
      <c r="E1540" s="20" t="str">
        <f>IF(D1540="?OLD","!!!","")</f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99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206</v>
      </c>
      <c r="B1541" s="26" t="s">
        <v>203</v>
      </c>
      <c r="C1541" s="26" t="s">
        <v>208</v>
      </c>
      <c r="D1541" s="26" t="s">
        <v>75</v>
      </c>
      <c r="E1541" s="20" t="s">
        <v>825</v>
      </c>
      <c r="F1541" s="21" t="str">
        <f>IF(OR(E1541="",E1541="!!!"),"",IF(NOT(ISNA(VLOOKUP(E1541,E$1:E1540,1,FALSE()))),"OLD",IF(AND(E1541&lt;&gt;"",E1541&lt;&gt;"!!!"),"NEW","")))</f>
        <v>OLD</v>
      </c>
      <c r="G1541" s="22" t="str">
        <f ca="1"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?IN_FOCUS</v>
      </c>
      <c r="H1541" s="23" t="str">
        <f t="shared" ca="1" si="99"/>
        <v/>
      </c>
      <c r="I1541" s="24" t="str">
        <f>IF(OR(E1541="",E1541="!!!",F1541="NEW"),"",INDEX(B$2:B1540,-1+SUMPRODUCT(MAX(ROW(E$2:E1540)*(E1541=E$2:E1540)))))</f>
        <v>SBJ_3</v>
      </c>
      <c r="J1541" s="24">
        <f ca="1">IF(OR(E1541="",E1541="!!!",F1541="NEW"),"",COUNTBLANK(OFFSET(A$1,,,SUMPRODUCT(MAX(ROW(E$2:E1541)*(E1541=E$2:E1541)))))-COUNTBLANK(OFFSET(A$1,,,SUMPRODUCT(MAX(ROW(E$1:E1540)*(E2=E$1:E1540))))))</f>
        <v>0</v>
      </c>
      <c r="K1541" s="24">
        <f ca="1">IF(OR(E1541="",E1541="!!!",F1541="NEW"),"",INDEX(J$1:J1540,SUMPRODUCT(MAX(ROW(E$1:E1540)*(E1541=E$1:E1540)))))</f>
        <v>0</v>
      </c>
      <c r="L1541" s="25"/>
    </row>
    <row r="1542" spans="1:12" x14ac:dyDescent="0.3">
      <c r="A1542" t="s">
        <v>906</v>
      </c>
      <c r="E1542" s="20" t="str">
        <f t="shared" ref="E1542:E1551" si="100">IF(D1542="?OLD","!!!","")</f>
        <v/>
      </c>
      <c r="F1542" s="21" t="str">
        <f>IF(OR(E1542="",E1542="!!!"),"",IF(NOT(ISNA(VLOOKUP(E1542,E$1:E1541,1,FALSE()))),"OLD",IF(AND(E1542&lt;&gt;"",E1542&lt;&gt;"!!!"),"NEW","")))</f>
        <v/>
      </c>
      <c r="G1542" s="22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3" t="str">
        <f t="shared" ca="1" si="99"/>
        <v/>
      </c>
      <c r="I1542" s="24" t="str">
        <f>IF(OR(E1542="",E1542="!!!",F1542="NEW"),"",INDEX(B$2:B1541,-1+SUMPRODUCT(MAX(ROW(E$2:E1541)*(E1542=E$2:E1541)))))</f>
        <v/>
      </c>
      <c r="J1542" s="24" t="str">
        <f ca="1">IF(OR(E1542="",E1542="!!!",F1542="NEW"),"",COUNTBLANK(OFFSET(A$1,,,SUMPRODUCT(MAX(ROW(E$2:E1542)*(E1542=E$2:E1542)))))-COUNTBLANK(OFFSET(A$1,,,SUMPRODUCT(MAX(ROW(E$1:E1541)*(E2=E$1:E1541))))))</f>
        <v/>
      </c>
      <c r="K1542" s="24" t="str">
        <f>IF(OR(E1542="",E1542="!!!",F1542="NEW"),"",INDEX(J$1:J1541,SUMPRODUCT(MAX(ROW(E$1:E1541)*(E1542=E$1:E1541)))))</f>
        <v/>
      </c>
      <c r="L1542" s="25"/>
    </row>
    <row r="1543" spans="1:12" x14ac:dyDescent="0.3">
      <c r="A1543" t="s">
        <v>101</v>
      </c>
      <c r="E1543" s="20" t="str">
        <f t="shared" si="100"/>
        <v/>
      </c>
      <c r="F1543" s="21" t="str">
        <f>IF(OR(E1543="",E1543="!!!"),"",IF(NOT(ISNA(VLOOKUP(E1543,E$1:E1542,1,FALSE()))),"OLD",IF(AND(E1543&lt;&gt;"",E1543&lt;&gt;"!!!"),"NEW","")))</f>
        <v/>
      </c>
      <c r="G1543" s="22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3" t="str">
        <f t="shared" ca="1" si="99"/>
        <v/>
      </c>
      <c r="I1543" s="24" t="str">
        <f>IF(OR(E1543="",E1543="!!!",F1543="NEW"),"",INDEX(B$2:B1542,-1+SUMPRODUCT(MAX(ROW(E$2:E1542)*(E1543=E$2:E1542)))))</f>
        <v/>
      </c>
      <c r="J1543" s="24" t="str">
        <f ca="1">IF(OR(E1543="",E1543="!!!",F1543="NEW"),"",COUNTBLANK(OFFSET(A$1,,,SUMPRODUCT(MAX(ROW(E$2:E1543)*(E1543=E$2:E1543)))))-COUNTBLANK(OFFSET(A$1,,,SUMPRODUCT(MAX(ROW(E$1:E1542)*(E2=E$1:E1542))))))</f>
        <v/>
      </c>
      <c r="K1543" s="24" t="str">
        <f>IF(OR(E1543="",E1543="!!!",F1543="NEW"),"",INDEX(J$1:J1542,SUMPRODUCT(MAX(ROW(E$1:E1542)*(E1543=E$1:E1542)))))</f>
        <v/>
      </c>
      <c r="L1543" s="25"/>
    </row>
    <row r="1544" spans="1:12" x14ac:dyDescent="0.3">
      <c r="A1544" t="s">
        <v>911</v>
      </c>
      <c r="E1544" s="20" t="str">
        <f t="shared" si="100"/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t="shared" ca="1" si="99"/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142</v>
      </c>
      <c r="E1545" s="20" t="str">
        <f t="shared" si="100"/>
        <v/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t="shared" ca="1" si="99"/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6" spans="1:12" x14ac:dyDescent="0.3">
      <c r="A1546" t="s">
        <v>338</v>
      </c>
      <c r="E1546" s="20" t="str">
        <f t="shared" si="100"/>
        <v/>
      </c>
      <c r="F1546" s="21" t="str">
        <f>IF(OR(E1546="",E1546="!!!"),"",IF(NOT(ISNA(VLOOKUP(E1546,E$1:E1545,1,FALSE()))),"OLD",IF(AND(E1546&lt;&gt;"",E1546&lt;&gt;"!!!"),"NEW","")))</f>
        <v/>
      </c>
      <c r="G1546" s="22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3" t="str">
        <f t="shared" ca="1" si="99"/>
        <v/>
      </c>
      <c r="I1546" s="24" t="str">
        <f>IF(OR(E1546="",E1546="!!!",F1546="NEW"),"",INDEX(B$2:B1545,-1+SUMPRODUCT(MAX(ROW(E$2:E1545)*(E1546=E$2:E1545)))))</f>
        <v/>
      </c>
      <c r="J1546" s="24" t="str">
        <f ca="1">IF(OR(E1546="",E1546="!!!",F1546="NEW"),"",COUNTBLANK(OFFSET(A$1,,,SUMPRODUCT(MAX(ROW(E$2:E1546)*(E1546=E$2:E1546)))))-COUNTBLANK(OFFSET(A$1,,,SUMPRODUCT(MAX(ROW(E$1:E1545)*(E2=E$1:E1545))))))</f>
        <v/>
      </c>
      <c r="K1546" s="24" t="str">
        <f>IF(OR(E1546="",E1546="!!!",F1546="NEW"),"",INDEX(J$1:J1545,SUMPRODUCT(MAX(ROW(E$1:E1545)*(E1546=E$1:E1545)))))</f>
        <v/>
      </c>
      <c r="L1546" s="25"/>
    </row>
    <row r="1547" spans="1:12" x14ac:dyDescent="0.3">
      <c r="A1547" t="s">
        <v>101</v>
      </c>
      <c r="E1547" s="20" t="str">
        <f t="shared" si="100"/>
        <v/>
      </c>
      <c r="F1547" s="21" t="str">
        <f>IF(OR(E1547="",E1547="!!!"),"",IF(NOT(ISNA(VLOOKUP(E1547,E$1:E1546,1,FALSE()))),"OLD",IF(AND(E1547&lt;&gt;"",E1547&lt;&gt;"!!!"),"NEW","")))</f>
        <v/>
      </c>
      <c r="G1547" s="22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3" t="str">
        <f t="shared" ca="1" si="99"/>
        <v/>
      </c>
      <c r="I1547" s="24" t="str">
        <f>IF(OR(E1547="",E1547="!!!",F1547="NEW"),"",INDEX(B$2:B1546,-1+SUMPRODUCT(MAX(ROW(E$2:E1546)*(E1547=E$2:E1546)))))</f>
        <v/>
      </c>
      <c r="J1547" s="24" t="str">
        <f ca="1">IF(OR(E1547="",E1547="!!!",F1547="NEW"),"",COUNTBLANK(OFFSET(A$1,,,SUMPRODUCT(MAX(ROW(E$2:E1547)*(E1547=E$2:E1547)))))-COUNTBLANK(OFFSET(A$1,,,SUMPRODUCT(MAX(ROW(E$1:E1546)*(E2=E$1:E1546))))))</f>
        <v/>
      </c>
      <c r="K1547" s="24" t="str">
        <f>IF(OR(E1547="",E1547="!!!",F1547="NEW"),"",INDEX(J$1:J1546,SUMPRODUCT(MAX(ROW(E$1:E1546)*(E1547=E$1:E1546)))))</f>
        <v/>
      </c>
      <c r="L1547" s="25"/>
    </row>
    <row r="1548" spans="1:12" x14ac:dyDescent="0.3">
      <c r="A1548" t="s">
        <v>453</v>
      </c>
      <c r="E1548" s="20" t="str">
        <f t="shared" si="100"/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t="shared" ca="1" si="99"/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49" spans="1:12" x14ac:dyDescent="0.3">
      <c r="A1549" t="s">
        <v>125</v>
      </c>
      <c r="E1549" s="20" t="str">
        <f t="shared" si="100"/>
        <v/>
      </c>
      <c r="F1549" s="21" t="str">
        <f>IF(OR(E1549="",E1549="!!!"),"",IF(NOT(ISNA(VLOOKUP(E1549,E$1:E1548,1,FALSE()))),"OLD",IF(AND(E1549&lt;&gt;"",E1549&lt;&gt;"!!!"),"NEW","")))</f>
        <v/>
      </c>
      <c r="G1549" s="22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3" t="str">
        <f t="shared" ref="H1549:H1612" ca="1" si="101">IF(J1549&lt;&gt;1,"",IF(I1549="SBJ","CB","?"))</f>
        <v/>
      </c>
      <c r="I1549" s="24" t="str">
        <f>IF(OR(E1549="",E1549="!!!",F1549="NEW"),"",INDEX(B$2:B1548,-1+SUMPRODUCT(MAX(ROW(E$2:E1548)*(E1549=E$2:E1548)))))</f>
        <v/>
      </c>
      <c r="J1549" s="24" t="str">
        <f ca="1">IF(OR(E1549="",E1549="!!!",F1549="NEW"),"",COUNTBLANK(OFFSET(A$1,,,SUMPRODUCT(MAX(ROW(E$2:E1549)*(E1549=E$2:E1549)))))-COUNTBLANK(OFFSET(A$1,,,SUMPRODUCT(MAX(ROW(E$1:E1548)*(E2=E$1:E1548))))))</f>
        <v/>
      </c>
      <c r="K1549" s="24" t="str">
        <f>IF(OR(E1549="",E1549="!!!",F1549="NEW"),"",INDEX(J$1:J1548,SUMPRODUCT(MAX(ROW(E$1:E1548)*(E1549=E$1:E1548)))))</f>
        <v/>
      </c>
      <c r="L1549" s="25"/>
    </row>
    <row r="1550" spans="1:12" x14ac:dyDescent="0.3">
      <c r="A1550" t="s">
        <v>79</v>
      </c>
      <c r="E1550" s="20" t="str">
        <f t="shared" si="100"/>
        <v/>
      </c>
      <c r="F1550" s="21" t="str">
        <f>IF(OR(E1550="",E1550="!!!"),"",IF(NOT(ISNA(VLOOKUP(E1550,E$1:E1549,1,FALSE()))),"OLD",IF(AND(E1550&lt;&gt;"",E1550&lt;&gt;"!!!"),"NEW","")))</f>
        <v/>
      </c>
      <c r="G1550" s="22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3" t="str">
        <f t="shared" ca="1" si="101"/>
        <v/>
      </c>
      <c r="I1550" s="24" t="str">
        <f>IF(OR(E1550="",E1550="!!!",F1550="NEW"),"",INDEX(B$2:B1549,-1+SUMPRODUCT(MAX(ROW(E$2:E1549)*(E1550=E$2:E1549)))))</f>
        <v/>
      </c>
      <c r="J1550" s="24" t="str">
        <f ca="1">IF(OR(E1550="",E1550="!!!",F1550="NEW"),"",COUNTBLANK(OFFSET(A$1,,,SUMPRODUCT(MAX(ROW(E$2:E1550)*(E1550=E$2:E1550)))))-COUNTBLANK(OFFSET(A$1,,,SUMPRODUCT(MAX(ROW(E$1:E1549)*(E2=E$1:E1549))))))</f>
        <v/>
      </c>
      <c r="K1550" s="24" t="str">
        <f>IF(OR(E1550="",E1550="!!!",F1550="NEW"),"",INDEX(J$1:J1549,SUMPRODUCT(MAX(ROW(E$1:E1549)*(E1550=E$1:E1549)))))</f>
        <v/>
      </c>
      <c r="L1550" s="25"/>
    </row>
    <row r="1551" spans="1:12" x14ac:dyDescent="0.3">
      <c r="A1551" t="s">
        <v>80</v>
      </c>
      <c r="E1551" s="20" t="str">
        <f t="shared" si="100"/>
        <v/>
      </c>
      <c r="F1551" s="21" t="str">
        <f>IF(OR(E1551="",E1551="!!!"),"",IF(NOT(ISNA(VLOOKUP(E1551,E$1:E1550,1,FALSE()))),"OLD",IF(AND(E1551&lt;&gt;"",E1551&lt;&gt;"!!!"),"NEW","")))</f>
        <v/>
      </c>
      <c r="G1551" s="22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t="shared" ca="1" si="101"/>
        <v/>
      </c>
      <c r="I1551" s="24" t="str">
        <f>IF(OR(E1551="",E1551="!!!",F1551="NEW"),"",INDEX(B$2:B1550,-1+SUMPRODUCT(MAX(ROW(E$2:E1550)*(E1551=E$2:E1550)))))</f>
        <v/>
      </c>
      <c r="J1551" s="24" t="str">
        <f ca="1">IF(OR(E1551="",E1551="!!!",F1551="NEW"),"",COUNTBLANK(OFFSET(A$1,,,SUMPRODUCT(MAX(ROW(E$2:E1551)*(E1551=E$2:E1551)))))-COUNTBLANK(OFFSET(A$1,,,SUMPRODUCT(MAX(ROW(E$1:E1550)*(E2=E$1:E1550))))))</f>
        <v/>
      </c>
      <c r="K1551" s="24" t="str">
        <f>IF(OR(E1551="",E1551="!!!",F1551="NEW"),"",INDEX(J$1:J1550,SUMPRODUCT(MAX(ROW(E$1:E1550)*(E1551=E$1:E1550)))))</f>
        <v/>
      </c>
      <c r="L1551" s="25"/>
    </row>
    <row r="1552" spans="1:12" x14ac:dyDescent="0.3">
      <c r="A1552" t="s">
        <v>912</v>
      </c>
      <c r="B1552" s="26" t="s">
        <v>303</v>
      </c>
      <c r="C1552" s="26" t="s">
        <v>74</v>
      </c>
      <c r="D1552" s="26" t="s">
        <v>75</v>
      </c>
      <c r="E1552" s="20" t="s">
        <v>913</v>
      </c>
      <c r="F1552" s="21" t="str">
        <f>IF(OR(E1552="",E1552="!!!"),"",IF(NOT(ISNA(VLOOKUP(E1552,E$1:E1551,1,FALSE()))),"OLD",IF(AND(E1552&lt;&gt;"",E1552&lt;&gt;"!!!"),"NEW","")))</f>
        <v>NEW</v>
      </c>
      <c r="G1552" s="22" t="str">
        <f ca="1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?REFERENTIAL</v>
      </c>
      <c r="H1552" s="23" t="str">
        <f t="shared" ca="1" si="101"/>
        <v/>
      </c>
      <c r="I1552" s="24" t="str">
        <f>IF(OR(E1552="",E1552="!!!",F1552="NEW"),"",INDEX(B$2:B1551,-1+SUMPRODUCT(MAX(ROW(E$2:E1551)*(E1552=E$2:E1551)))))</f>
        <v/>
      </c>
      <c r="J1552" s="24" t="str">
        <f ca="1">IF(OR(E1552="",E1552="!!!",F1552="NEW"),"",COUNTBLANK(OFFSET(A$1,,,SUMPRODUCT(MAX(ROW(E$2:E1552)*(E1552=E$2:E1552)))))-COUNTBLANK(OFFSET(A$1,,,SUMPRODUCT(MAX(ROW(E$1:E1551)*(E2=E$1:E1551))))))</f>
        <v/>
      </c>
      <c r="K1552" s="24" t="str">
        <f>IF(OR(E1552="",E1552="!!!",F1552="NEW"),"",INDEX(J$1:J1551,SUMPRODUCT(MAX(ROW(E$1:E1551)*(E1552=E$1:E1551)))))</f>
        <v/>
      </c>
      <c r="L1552" s="27" t="s">
        <v>914</v>
      </c>
    </row>
    <row r="1553" spans="1:12" x14ac:dyDescent="0.3">
      <c r="A1553" t="s">
        <v>680</v>
      </c>
      <c r="E1553" s="20" t="str">
        <f>IF(D1553="?OLD","!!!","")</f>
        <v/>
      </c>
      <c r="F1553" s="21" t="str">
        <f>IF(OR(E1553="",E1553="!!!"),"",IF(NOT(ISNA(VLOOKUP(E1553,E$1:E1552,1,FALSE()))),"OLD",IF(AND(E1553&lt;&gt;"",E1553&lt;&gt;"!!!"),"NEW","")))</f>
        <v/>
      </c>
      <c r="G1553" s="22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t="shared" ca="1" si="101"/>
        <v/>
      </c>
      <c r="I1553" s="24" t="str">
        <f>IF(OR(E1553="",E1553="!!!",F1553="NEW"),"",INDEX(B$2:B1552,-1+SUMPRODUCT(MAX(ROW(E$2:E1552)*(E1553=E$2:E1552)))))</f>
        <v/>
      </c>
      <c r="J1553" s="24" t="str">
        <f ca="1">IF(OR(E1553="",E1553="!!!",F1553="NEW"),"",COUNTBLANK(OFFSET(A$1,,,SUMPRODUCT(MAX(ROW(E$2:E1553)*(E1553=E$2:E1553)))))-COUNTBLANK(OFFSET(A$1,,,SUMPRODUCT(MAX(ROW(E$1:E1552)*(E2=E$1:E1552))))))</f>
        <v/>
      </c>
      <c r="K1553" s="24" t="str">
        <f>IF(OR(E1553="",E1553="!!!",F1553="NEW"),"",INDEX(J$1:J1552,SUMPRODUCT(MAX(ROW(E$1:E1552)*(E1553=E$1:E1552)))))</f>
        <v/>
      </c>
      <c r="L1553" s="25"/>
    </row>
    <row r="1554" spans="1:12" x14ac:dyDescent="0.3">
      <c r="A1554" t="s">
        <v>72</v>
      </c>
      <c r="B1554" s="26" t="s">
        <v>203</v>
      </c>
      <c r="C1554" s="26" t="s">
        <v>335</v>
      </c>
      <c r="E1554" s="20"/>
      <c r="F1554" s="21" t="str">
        <f>IF(OR(E1554="",E1554="!!!"),"",IF(NOT(ISNA(VLOOKUP(E1554,E$1:E1553,1,FALSE()))),"OLD",IF(AND(E1554&lt;&gt;"",E1554&lt;&gt;"!!!"),"NEW","")))</f>
        <v/>
      </c>
      <c r="G1554" s="22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3" t="str">
        <f t="shared" ca="1" si="101"/>
        <v/>
      </c>
      <c r="I1554" s="24" t="str">
        <f>IF(OR(E1554="",E1554="!!!",F1554="NEW"),"",INDEX(B$2:B1553,-1+SUMPRODUCT(MAX(ROW(E$2:E1553)*(E1554=E$2:E1553)))))</f>
        <v/>
      </c>
      <c r="J1554" s="24" t="str">
        <f ca="1">IF(OR(E1554="",E1554="!!!",F1554="NEW"),"",COUNTBLANK(OFFSET(A$1,,,SUMPRODUCT(MAX(ROW(E$2:E1554)*(E1554=E$2:E1554)))))-COUNTBLANK(OFFSET(A$1,,,SUMPRODUCT(MAX(ROW(E$1:E1553)*(E2=E$1:E1553))))))</f>
        <v/>
      </c>
      <c r="K1554" s="24" t="str">
        <f>IF(OR(E1554="",E1554="!!!",F1554="NEW"),"",INDEX(J$1:J1553,SUMPRODUCT(MAX(ROW(E$1:E1553)*(E1554=E$1:E1553)))))</f>
        <v/>
      </c>
      <c r="L1554" s="25"/>
    </row>
    <row r="1555" spans="1:12" x14ac:dyDescent="0.3">
      <c r="A1555" t="s">
        <v>915</v>
      </c>
      <c r="E1555" s="20" t="str">
        <f>IF(D1555="?OLD","!!!","")</f>
        <v/>
      </c>
      <c r="F1555" s="21" t="str">
        <f>IF(OR(E1555="",E1555="!!!"),"",IF(NOT(ISNA(VLOOKUP(E1555,E$1:E1554,1,FALSE()))),"OLD",IF(AND(E1555&lt;&gt;"",E1555&lt;&gt;"!!!"),"NEW","")))</f>
        <v/>
      </c>
      <c r="G1555" s="22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t="shared" ca="1" si="101"/>
        <v/>
      </c>
      <c r="I1555" s="24" t="str">
        <f>IF(OR(E1555="",E1555="!!!",F1555="NEW"),"",INDEX(B$2:B1554,-1+SUMPRODUCT(MAX(ROW(E$2:E1554)*(E1555=E$2:E1554)))))</f>
        <v/>
      </c>
      <c r="J1555" s="24" t="str">
        <f ca="1">IF(OR(E1555="",E1555="!!!",F1555="NEW"),"",COUNTBLANK(OFFSET(A$1,,,SUMPRODUCT(MAX(ROW(E$2:E1555)*(E1555=E$2:E1555)))))-COUNTBLANK(OFFSET(A$1,,,SUMPRODUCT(MAX(ROW(E$1:E1554)*(E2=E$1:E1554))))))</f>
        <v/>
      </c>
      <c r="K1555" s="24" t="str">
        <f>IF(OR(E1555="",E1555="!!!",F1555="NEW"),"",INDEX(J$1:J1554,SUMPRODUCT(MAX(ROW(E$1:E1554)*(E1555=E$1:E1554)))))</f>
        <v/>
      </c>
      <c r="L1555" s="25"/>
    </row>
    <row r="1556" spans="1:12" x14ac:dyDescent="0.3">
      <c r="A1556" t="s">
        <v>101</v>
      </c>
      <c r="E1556" s="20" t="str">
        <f>IF(D1556="?OLD","!!!","")</f>
        <v/>
      </c>
      <c r="F1556" s="21" t="str">
        <f>IF(OR(E1556="",E1556="!!!"),"",IF(NOT(ISNA(VLOOKUP(E1556,E$1:E1555,1,FALSE()))),"OLD",IF(AND(E1556&lt;&gt;"",E1556&lt;&gt;"!!!"),"NEW","")))</f>
        <v/>
      </c>
      <c r="G1556" s="22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t="shared" ca="1" si="101"/>
        <v/>
      </c>
      <c r="I1556" s="24" t="str">
        <f>IF(OR(E1556="",E1556="!!!",F1556="NEW"),"",INDEX(B$2:B1555,-1+SUMPRODUCT(MAX(ROW(E$2:E1555)*(E1556=E$2:E1555)))))</f>
        <v/>
      </c>
      <c r="J1556" s="24" t="str">
        <f ca="1">IF(OR(E1556="",E1556="!!!",F1556="NEW"),"",COUNTBLANK(OFFSET(A$1,,,SUMPRODUCT(MAX(ROW(E$2:E1556)*(E1556=E$2:E1556)))))-COUNTBLANK(OFFSET(A$1,,,SUMPRODUCT(MAX(ROW(E$1:E1555)*(E2=E$1:E1555))))))</f>
        <v/>
      </c>
      <c r="K1556" s="24" t="str">
        <f>IF(OR(E1556="",E1556="!!!",F1556="NEW"),"",INDEX(J$1:J1555,SUMPRODUCT(MAX(ROW(E$1:E1555)*(E1556=E$1:E1555)))))</f>
        <v/>
      </c>
      <c r="L1556" s="25"/>
    </row>
    <row r="1557" spans="1:12" x14ac:dyDescent="0.3">
      <c r="A1557" t="s">
        <v>136</v>
      </c>
      <c r="E1557" s="20"/>
      <c r="F1557" s="21" t="str">
        <f>IF(OR(E1557="",E1557="!!!"),"",IF(NOT(ISNA(VLOOKUP(E1557,E$1:E1556,1,FALSE()))),"OLD",IF(AND(E1557&lt;&gt;"",E1557&lt;&gt;"!!!"),"NEW","")))</f>
        <v/>
      </c>
      <c r="G1557" s="22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3" t="str">
        <f t="shared" ca="1" si="101"/>
        <v/>
      </c>
      <c r="I1557" s="24" t="str">
        <f>IF(OR(E1557="",E1557="!!!",F1557="NEW"),"",INDEX(B$2:B1556,-1+SUMPRODUCT(MAX(ROW(E$2:E1556)*(E1557=E$2:E1556)))))</f>
        <v/>
      </c>
      <c r="J1557" s="24" t="str">
        <f ca="1">IF(OR(E1557="",E1557="!!!",F1557="NEW"),"",COUNTBLANK(OFFSET(A$1,,,SUMPRODUCT(MAX(ROW(E$2:E1557)*(E1557=E$2:E1557)))))-COUNTBLANK(OFFSET(A$1,,,SUMPRODUCT(MAX(ROW(E$1:E1556)*(E2=E$1:E1556))))))</f>
        <v/>
      </c>
      <c r="K1557" s="24" t="str">
        <f>IF(OR(E1557="",E1557="!!!",F1557="NEW"),"",INDEX(J$1:J1556,SUMPRODUCT(MAX(ROW(E$1:E1556)*(E1557=E$1:E1556)))))</f>
        <v/>
      </c>
      <c r="L1557" s="25"/>
    </row>
    <row r="1558" spans="1:12" x14ac:dyDescent="0.3">
      <c r="A1558" t="s">
        <v>916</v>
      </c>
      <c r="E1558" s="20" t="str">
        <f>IF(D1558="?OLD","!!!","")</f>
        <v/>
      </c>
      <c r="F1558" s="21" t="str">
        <f>IF(OR(E1558="",E1558="!!!"),"",IF(NOT(ISNA(VLOOKUP(E1558,E$1:E1557,1,FALSE()))),"OLD",IF(AND(E1558&lt;&gt;"",E1558&lt;&gt;"!!!"),"NEW","")))</f>
        <v/>
      </c>
      <c r="G1558" s="22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t="shared" ca="1" si="101"/>
        <v/>
      </c>
      <c r="I1558" s="24" t="str">
        <f>IF(OR(E1558="",E1558="!!!",F1558="NEW"),"",INDEX(B$2:B1557,-1+SUMPRODUCT(MAX(ROW(E$2:E1557)*(E1558=E$2:E1557)))))</f>
        <v/>
      </c>
      <c r="J1558" s="24" t="str">
        <f ca="1">IF(OR(E1558="",E1558="!!!",F1558="NEW"),"",COUNTBLANK(OFFSET(A$1,,,SUMPRODUCT(MAX(ROW(E$2:E1558)*(E1558=E$2:E1558)))))-COUNTBLANK(OFFSET(A$1,,,SUMPRODUCT(MAX(ROW(E$1:E1557)*(E2=E$1:E1557))))))</f>
        <v/>
      </c>
      <c r="K1558" s="24" t="str">
        <f>IF(OR(E1558="",E1558="!!!",F1558="NEW"),"",INDEX(J$1:J1557,SUMPRODUCT(MAX(ROW(E$1:E1557)*(E1558=E$1:E1557)))))</f>
        <v/>
      </c>
      <c r="L1558" s="25"/>
    </row>
    <row r="1559" spans="1:12" x14ac:dyDescent="0.3">
      <c r="A1559" t="s">
        <v>142</v>
      </c>
      <c r="E1559" s="20" t="str">
        <f>IF(D1559="?OLD","!!!","")</f>
        <v/>
      </c>
      <c r="F1559" s="21" t="str">
        <f>IF(OR(E1559="",E1559="!!!"),"",IF(NOT(ISNA(VLOOKUP(E1559,E$1:E1558,1,FALSE()))),"OLD",IF(AND(E1559&lt;&gt;"",E1559&lt;&gt;"!!!"),"NEW","")))</f>
        <v/>
      </c>
      <c r="G1559" s="22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3" t="str">
        <f t="shared" ca="1" si="101"/>
        <v/>
      </c>
      <c r="I1559" s="24" t="str">
        <f>IF(OR(E1559="",E1559="!!!",F1559="NEW"),"",INDEX(B$2:B1558,-1+SUMPRODUCT(MAX(ROW(E$2:E1558)*(E1559=E$2:E1558)))))</f>
        <v/>
      </c>
      <c r="J1559" s="24" t="str">
        <f ca="1">IF(OR(E1559="",E1559="!!!",F1559="NEW"),"",COUNTBLANK(OFFSET(A$1,,,SUMPRODUCT(MAX(ROW(E$2:E1559)*(E1559=E$2:E1559)))))-COUNTBLANK(OFFSET(A$1,,,SUMPRODUCT(MAX(ROW(E$1:E1558)*(E2=E$1:E1558))))))</f>
        <v/>
      </c>
      <c r="K1559" s="24" t="str">
        <f>IF(OR(E1559="",E1559="!!!",F1559="NEW"),"",INDEX(J$1:J1558,SUMPRODUCT(MAX(ROW(E$1:E1558)*(E1559=E$1:E1558)))))</f>
        <v/>
      </c>
      <c r="L1559" s="25"/>
    </row>
    <row r="1560" spans="1:12" x14ac:dyDescent="0.3">
      <c r="A1560" t="s">
        <v>917</v>
      </c>
      <c r="E1560" s="20" t="str">
        <f>IF(D1560="?OLD","!!!","")</f>
        <v/>
      </c>
      <c r="F1560" s="21" t="str">
        <f>IF(OR(E1560="",E1560="!!!"),"",IF(NOT(ISNA(VLOOKUP(E1560,E$1:E1559,1,FALSE()))),"OLD",IF(AND(E1560&lt;&gt;"",E1560&lt;&gt;"!!!"),"NEW","")))</f>
        <v/>
      </c>
      <c r="G1560" s="22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3" t="str">
        <f t="shared" ca="1" si="101"/>
        <v/>
      </c>
      <c r="I1560" s="24" t="str">
        <f>IF(OR(E1560="",E1560="!!!",F1560="NEW"),"",INDEX(B$2:B1559,-1+SUMPRODUCT(MAX(ROW(E$2:E1559)*(E1560=E$2:E1559)))))</f>
        <v/>
      </c>
      <c r="J1560" s="24" t="str">
        <f ca="1">IF(OR(E1560="",E1560="!!!",F1560="NEW"),"",COUNTBLANK(OFFSET(A$1,,,SUMPRODUCT(MAX(ROW(E$2:E1560)*(E1560=E$2:E1560)))))-COUNTBLANK(OFFSET(A$1,,,SUMPRODUCT(MAX(ROW(E$1:E1559)*(E2=E$1:E1559))))))</f>
        <v/>
      </c>
      <c r="K1560" s="24" t="str">
        <f>IF(OR(E1560="",E1560="!!!",F1560="NEW"),"",INDEX(J$1:J1559,SUMPRODUCT(MAX(ROW(E$1:E1559)*(E1560=E$1:E1559)))))</f>
        <v/>
      </c>
      <c r="L1560" s="25"/>
    </row>
    <row r="1561" spans="1:12" x14ac:dyDescent="0.3">
      <c r="A1561" t="s">
        <v>78</v>
      </c>
      <c r="E1561" s="20" t="str">
        <f>IF(D1561="?OLD","!!!","")</f>
        <v/>
      </c>
      <c r="F1561" s="21" t="str">
        <f>IF(OR(E1561="",E1561="!!!"),"",IF(NOT(ISNA(VLOOKUP(E1561,E$1:E1560,1,FALSE()))),"OLD",IF(AND(E1561&lt;&gt;"",E1561&lt;&gt;"!!!"),"NEW","")))</f>
        <v/>
      </c>
      <c r="G1561" s="22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t="shared" ca="1" si="101"/>
        <v/>
      </c>
      <c r="I1561" s="24" t="str">
        <f>IF(OR(E1561="",E1561="!!!",F1561="NEW"),"",INDEX(B$2:B1560,-1+SUMPRODUCT(MAX(ROW(E$2:E1560)*(E1561=E$2:E1560)))))</f>
        <v/>
      </c>
      <c r="J1561" s="24" t="str">
        <f ca="1">IF(OR(E1561="",E1561="!!!",F1561="NEW"),"",COUNTBLANK(OFFSET(A$1,,,SUMPRODUCT(MAX(ROW(E$2:E1561)*(E1561=E$2:E1561)))))-COUNTBLANK(OFFSET(A$1,,,SUMPRODUCT(MAX(ROW(E$1:E1560)*(E2=E$1:E1560))))))</f>
        <v/>
      </c>
      <c r="K1561" s="24" t="str">
        <f>IF(OR(E1561="",E1561="!!!",F1561="NEW"),"",INDEX(J$1:J1560,SUMPRODUCT(MAX(ROW(E$1:E1560)*(E1561=E$1:E1560)))))</f>
        <v/>
      </c>
      <c r="L1561" s="25"/>
    </row>
    <row r="1562" spans="1:12" x14ac:dyDescent="0.3">
      <c r="A1562" t="s">
        <v>199</v>
      </c>
      <c r="E1562" s="20" t="str">
        <f>IF(D1562="?OLD","!!!","")</f>
        <v/>
      </c>
      <c r="F1562" s="21" t="str">
        <f>IF(OR(E1562="",E1562="!!!"),"",IF(NOT(ISNA(VLOOKUP(E1562,E$1:E1561,1,FALSE()))),"OLD",IF(AND(E1562&lt;&gt;"",E1562&lt;&gt;"!!!"),"NEW","")))</f>
        <v/>
      </c>
      <c r="G1562" s="22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t="shared" ca="1" si="101"/>
        <v/>
      </c>
      <c r="I1562" s="24" t="str">
        <f>IF(OR(E1562="",E1562="!!!",F1562="NEW"),"",INDEX(B$2:B1561,-1+SUMPRODUCT(MAX(ROW(E$2:E1561)*(E1562=E$2:E1561)))))</f>
        <v/>
      </c>
      <c r="J1562" s="24" t="str">
        <f ca="1">IF(OR(E1562="",E1562="!!!",F1562="NEW"),"",COUNTBLANK(OFFSET(A$1,,,SUMPRODUCT(MAX(ROW(E$2:E1562)*(E1562=E$2:E1562)))))-COUNTBLANK(OFFSET(A$1,,,SUMPRODUCT(MAX(ROW(E$1:E1561)*(E2=E$1:E1561))))))</f>
        <v/>
      </c>
      <c r="K1562" s="24" t="str">
        <f>IF(OR(E1562="",E1562="!!!",F1562="NEW"),"",INDEX(J$1:J1561,SUMPRODUCT(MAX(ROW(E$1:E1561)*(E1562=E$1:E1561)))))</f>
        <v/>
      </c>
      <c r="L1562" s="25"/>
    </row>
    <row r="1563" spans="1:12" x14ac:dyDescent="0.3">
      <c r="A1563" t="s">
        <v>170</v>
      </c>
      <c r="E1563" s="20"/>
      <c r="F1563" s="21" t="str">
        <f>IF(OR(E1563="",E1563="!!!"),"",IF(NOT(ISNA(VLOOKUP(E1563,E$1:E1562,1,FALSE()))),"OLD",IF(AND(E1563&lt;&gt;"",E1563&lt;&gt;"!!!"),"NEW","")))</f>
        <v/>
      </c>
      <c r="G1563" s="22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3" t="str">
        <f t="shared" ca="1" si="101"/>
        <v/>
      </c>
      <c r="I1563" s="24" t="str">
        <f>IF(OR(E1563="",E1563="!!!",F1563="NEW"),"",INDEX(B$2:B1562,-1+SUMPRODUCT(MAX(ROW(E$2:E1562)*(E1563=E$2:E1562)))))</f>
        <v/>
      </c>
      <c r="J1563" s="24" t="str">
        <f ca="1">IF(OR(E1563="",E1563="!!!",F1563="NEW"),"",COUNTBLANK(OFFSET(A$1,,,SUMPRODUCT(MAX(ROW(E$2:E1563)*(E1563=E$2:E1563)))))-COUNTBLANK(OFFSET(A$1,,,SUMPRODUCT(MAX(ROW(E$1:E1562)*(E2=E$1:E1562))))))</f>
        <v/>
      </c>
      <c r="K1563" s="24" t="str">
        <f>IF(OR(E1563="",E1563="!!!",F1563="NEW"),"",INDEX(J$1:J1562,SUMPRODUCT(MAX(ROW(E$1:E1562)*(E1563=E$1:E1562)))))</f>
        <v/>
      </c>
      <c r="L1563" s="27"/>
    </row>
    <row r="1564" spans="1:12" x14ac:dyDescent="0.3">
      <c r="A1564" t="s">
        <v>446</v>
      </c>
      <c r="E1564" s="20" t="str">
        <f t="shared" ref="E1564:E1584" si="102">IF(D1564="?OLD","!!!","")</f>
        <v/>
      </c>
      <c r="F1564" s="21" t="str">
        <f>IF(OR(E1564="",E1564="!!!"),"",IF(NOT(ISNA(VLOOKUP(E1564,E$1:E1563,1,FALSE()))),"OLD",IF(AND(E1564&lt;&gt;"",E1564&lt;&gt;"!!!"),"NEW","")))</f>
        <v/>
      </c>
      <c r="G1564" s="22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t="shared" ca="1" si="101"/>
        <v/>
      </c>
      <c r="I1564" s="24" t="str">
        <f>IF(OR(E1564="",E1564="!!!",F1564="NEW"),"",INDEX(B$2:B1563,-1+SUMPRODUCT(MAX(ROW(E$2:E1563)*(E1564=E$2:E1563)))))</f>
        <v/>
      </c>
      <c r="J1564" s="24" t="str">
        <f ca="1">IF(OR(E1564="",E1564="!!!",F1564="NEW"),"",COUNTBLANK(OFFSET(A$1,,,SUMPRODUCT(MAX(ROW(E$2:E1564)*(E1564=E$2:E1564)))))-COUNTBLANK(OFFSET(A$1,,,SUMPRODUCT(MAX(ROW(E$1:E1563)*(E2=E$1:E1563))))))</f>
        <v/>
      </c>
      <c r="K1564" s="24" t="str">
        <f>IF(OR(E1564="",E1564="!!!",F1564="NEW"),"",INDEX(J$1:J1563,SUMPRODUCT(MAX(ROW(E$1:E1563)*(E1564=E$1:E1563)))))</f>
        <v/>
      </c>
      <c r="L1564" s="25"/>
    </row>
    <row r="1565" spans="1:12" x14ac:dyDescent="0.3">
      <c r="A1565" t="s">
        <v>436</v>
      </c>
      <c r="E1565" s="20" t="str">
        <f t="shared" si="102"/>
        <v/>
      </c>
      <c r="F1565" s="21" t="str">
        <f>IF(OR(E1565="",E1565="!!!"),"",IF(NOT(ISNA(VLOOKUP(E1565,E$1:E1564,1,FALSE()))),"OLD",IF(AND(E1565&lt;&gt;"",E1565&lt;&gt;"!!!"),"NEW","")))</f>
        <v/>
      </c>
      <c r="G1565" s="22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t="shared" ca="1" si="101"/>
        <v/>
      </c>
      <c r="I1565" s="24" t="str">
        <f>IF(OR(E1565="",E1565="!!!",F1565="NEW"),"",INDEX(B$2:B1564,-1+SUMPRODUCT(MAX(ROW(E$2:E1564)*(E1565=E$2:E1564)))))</f>
        <v/>
      </c>
      <c r="J1565" s="24" t="str">
        <f ca="1">IF(OR(E1565="",E1565="!!!",F1565="NEW"),"",COUNTBLANK(OFFSET(A$1,,,SUMPRODUCT(MAX(ROW(E$2:E1565)*(E1565=E$2:E1565)))))-COUNTBLANK(OFFSET(A$1,,,SUMPRODUCT(MAX(ROW(E$1:E1564)*(E2=E$1:E1564))))))</f>
        <v/>
      </c>
      <c r="K1565" s="24" t="str">
        <f>IF(OR(E1565="",E1565="!!!",F1565="NEW"),"",INDEX(J$1:J1564,SUMPRODUCT(MAX(ROW(E$1:E1564)*(E1565=E$1:E1564)))))</f>
        <v/>
      </c>
      <c r="L1565" s="25"/>
    </row>
    <row r="1566" spans="1:12" x14ac:dyDescent="0.3">
      <c r="A1566" t="s">
        <v>888</v>
      </c>
      <c r="E1566" s="20" t="str">
        <f t="shared" si="102"/>
        <v/>
      </c>
      <c r="F1566" s="21" t="str">
        <f>IF(OR(E1566="",E1566="!!!"),"",IF(NOT(ISNA(VLOOKUP(E1566,E$1:E1565,1,FALSE()))),"OLD",IF(AND(E1566&lt;&gt;"",E1566&lt;&gt;"!!!"),"NEW","")))</f>
        <v/>
      </c>
      <c r="G1566" s="22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t="shared" ca="1" si="101"/>
        <v/>
      </c>
      <c r="I1566" s="24" t="str">
        <f>IF(OR(E1566="",E1566="!!!",F1566="NEW"),"",INDEX(B$2:B1565,-1+SUMPRODUCT(MAX(ROW(E$2:E1565)*(E1566=E$2:E1565)))))</f>
        <v/>
      </c>
      <c r="J1566" s="24" t="str">
        <f ca="1">IF(OR(E1566="",E1566="!!!",F1566="NEW"),"",COUNTBLANK(OFFSET(A$1,,,SUMPRODUCT(MAX(ROW(E$2:E1566)*(E1566=E$2:E1566)))))-COUNTBLANK(OFFSET(A$1,,,SUMPRODUCT(MAX(ROW(E$1:E1565)*(E2=E$1:E1565))))))</f>
        <v/>
      </c>
      <c r="K1566" s="24" t="str">
        <f>IF(OR(E1566="",E1566="!!!",F1566="NEW"),"",INDEX(J$1:J1565,SUMPRODUCT(MAX(ROW(E$1:E1565)*(E1566=E$1:E1565)))))</f>
        <v/>
      </c>
      <c r="L1566" s="25"/>
    </row>
    <row r="1567" spans="1:12" x14ac:dyDescent="0.3">
      <c r="A1567" t="s">
        <v>889</v>
      </c>
      <c r="B1567" s="26" t="s">
        <v>203</v>
      </c>
      <c r="C1567" s="26" t="s">
        <v>105</v>
      </c>
      <c r="E1567" s="20" t="str">
        <f t="shared" si="102"/>
        <v/>
      </c>
      <c r="F1567" s="21" t="str">
        <f>IF(OR(E1567="",E1567="!!!"),"",IF(NOT(ISNA(VLOOKUP(E1567,E$1:E1566,1,FALSE()))),"OLD",IF(AND(E1567&lt;&gt;"",E1567&lt;&gt;"!!!"),"NEW","")))</f>
        <v/>
      </c>
      <c r="G1567" s="22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t="shared" ca="1" si="101"/>
        <v/>
      </c>
      <c r="I1567" s="24" t="str">
        <f>IF(OR(E1567="",E1567="!!!",F1567="NEW"),"",INDEX(B$2:B1566,-1+SUMPRODUCT(MAX(ROW(E$2:E1566)*(E1567=E$2:E1566)))))</f>
        <v/>
      </c>
      <c r="J1567" s="24" t="str">
        <f ca="1">IF(OR(E1567="",E1567="!!!",F1567="NEW"),"",COUNTBLANK(OFFSET(A$1,,,SUMPRODUCT(MAX(ROW(E$2:E1567)*(E1567=E$2:E1567)))))-COUNTBLANK(OFFSET(A$1,,,SUMPRODUCT(MAX(ROW(E$1:E1566)*(E2=E$1:E1566))))))</f>
        <v/>
      </c>
      <c r="K1567" s="24" t="str">
        <f>IF(OR(E1567="",E1567="!!!",F1567="NEW"),"",INDEX(J$1:J1566,SUMPRODUCT(MAX(ROW(E$1:E1566)*(E1567=E$1:E1566)))))</f>
        <v/>
      </c>
      <c r="L1567" s="25"/>
    </row>
    <row r="1568" spans="1:12" x14ac:dyDescent="0.3">
      <c r="A1568" t="s">
        <v>142</v>
      </c>
      <c r="E1568" s="20" t="str">
        <f t="shared" si="102"/>
        <v/>
      </c>
      <c r="F1568" s="21" t="str">
        <f>IF(OR(E1568="",E1568="!!!"),"",IF(NOT(ISNA(VLOOKUP(E1568,E$1:E1567,1,FALSE()))),"OLD",IF(AND(E1568&lt;&gt;"",E1568&lt;&gt;"!!!"),"NEW","")))</f>
        <v/>
      </c>
      <c r="G1568" s="22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t="shared" ca="1" si="101"/>
        <v/>
      </c>
      <c r="I1568" s="24" t="str">
        <f>IF(OR(E1568="",E1568="!!!",F1568="NEW"),"",INDEX(B$2:B1567,-1+SUMPRODUCT(MAX(ROW(E$2:E1567)*(E1568=E$2:E1567)))))</f>
        <v/>
      </c>
      <c r="J1568" s="24" t="str">
        <f ca="1">IF(OR(E1568="",E1568="!!!",F1568="NEW"),"",COUNTBLANK(OFFSET(A$1,,,SUMPRODUCT(MAX(ROW(E$2:E1568)*(E1568=E$2:E1568)))))-COUNTBLANK(OFFSET(A$1,,,SUMPRODUCT(MAX(ROW(E$1:E1567)*(E2=E$1:E1567))))))</f>
        <v/>
      </c>
      <c r="K1568" s="24" t="str">
        <f>IF(OR(E1568="",E1568="!!!",F1568="NEW"),"",INDEX(J$1:J1567,SUMPRODUCT(MAX(ROW(E$1:E1567)*(E1568=E$1:E1567)))))</f>
        <v/>
      </c>
      <c r="L1568" s="25"/>
    </row>
    <row r="1569" spans="1:12" x14ac:dyDescent="0.3">
      <c r="A1569" t="s">
        <v>887</v>
      </c>
      <c r="E1569" s="20" t="str">
        <f t="shared" si="102"/>
        <v/>
      </c>
      <c r="F1569" s="21" t="str">
        <f>IF(OR(E1569="",E1569="!!!"),"",IF(NOT(ISNA(VLOOKUP(E1569,E$1:E1568,1,FALSE()))),"OLD",IF(AND(E1569&lt;&gt;"",E1569&lt;&gt;"!!!"),"NEW","")))</f>
        <v/>
      </c>
      <c r="G1569" s="22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t="shared" ca="1" si="101"/>
        <v/>
      </c>
      <c r="I1569" s="24" t="str">
        <f>IF(OR(E1569="",E1569="!!!",F1569="NEW"),"",INDEX(B$2:B1568,-1+SUMPRODUCT(MAX(ROW(E$2:E1568)*(E1569=E$2:E1568)))))</f>
        <v/>
      </c>
      <c r="J1569" s="24" t="str">
        <f ca="1">IF(OR(E1569="",E1569="!!!",F1569="NEW"),"",COUNTBLANK(OFFSET(A$1,,,SUMPRODUCT(MAX(ROW(E$2:E1569)*(E1569=E$2:E1569)))))-COUNTBLANK(OFFSET(A$1,,,SUMPRODUCT(MAX(ROW(E$1:E1568)*(E2=E$1:E1568))))))</f>
        <v/>
      </c>
      <c r="K1569" s="24" t="str">
        <f>IF(OR(E1569="",E1569="!!!",F1569="NEW"),"",INDEX(J$1:J1568,SUMPRODUCT(MAX(ROW(E$1:E1568)*(E1569=E$1:E1568)))))</f>
        <v/>
      </c>
      <c r="L1569" s="25"/>
    </row>
    <row r="1570" spans="1:12" x14ac:dyDescent="0.3">
      <c r="A1570" t="s">
        <v>598</v>
      </c>
      <c r="B1570" s="26" t="s">
        <v>402</v>
      </c>
      <c r="C1570" s="26" t="s">
        <v>105</v>
      </c>
      <c r="E1570" s="20" t="str">
        <f t="shared" si="102"/>
        <v/>
      </c>
      <c r="F1570" s="21" t="str">
        <f>IF(OR(E1570="",E1570="!!!"),"",IF(NOT(ISNA(VLOOKUP(E1570,E$1:E1569,1,FALSE()))),"OLD",IF(AND(E1570&lt;&gt;"",E1570&lt;&gt;"!!!"),"NEW","")))</f>
        <v/>
      </c>
      <c r="G1570" s="22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3" t="str">
        <f t="shared" ca="1" si="101"/>
        <v/>
      </c>
      <c r="I1570" s="24" t="str">
        <f>IF(OR(E1570="",E1570="!!!",F1570="NEW"),"",INDEX(B$2:B1569,-1+SUMPRODUCT(MAX(ROW(E$2:E1569)*(E1570=E$2:E1569)))))</f>
        <v/>
      </c>
      <c r="J1570" s="24" t="str">
        <f ca="1">IF(OR(E1570="",E1570="!!!",F1570="NEW"),"",COUNTBLANK(OFFSET(A$1,,,SUMPRODUCT(MAX(ROW(E$2:E1570)*(E1570=E$2:E1570)))))-COUNTBLANK(OFFSET(A$1,,,SUMPRODUCT(MAX(ROW(E$1:E1569)*(E2=E$1:E1569))))))</f>
        <v/>
      </c>
      <c r="K1570" s="24" t="str">
        <f>IF(OR(E1570="",E1570="!!!",F1570="NEW"),"",INDEX(J$1:J1569,SUMPRODUCT(MAX(ROW(E$1:E1569)*(E1570=E$1:E1569)))))</f>
        <v/>
      </c>
      <c r="L1570" s="25"/>
    </row>
    <row r="1571" spans="1:12" x14ac:dyDescent="0.3">
      <c r="A1571" t="s">
        <v>918</v>
      </c>
      <c r="E1571" s="20" t="str">
        <f t="shared" si="102"/>
        <v/>
      </c>
      <c r="F1571" s="21" t="str">
        <f>IF(OR(E1571="",E1571="!!!"),"",IF(NOT(ISNA(VLOOKUP(E1571,E$1:E1570,1,FALSE()))),"OLD",IF(AND(E1571&lt;&gt;"",E1571&lt;&gt;"!!!"),"NEW","")))</f>
        <v/>
      </c>
      <c r="G1571" s="22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3" t="str">
        <f t="shared" ca="1" si="101"/>
        <v/>
      </c>
      <c r="I1571" s="24" t="str">
        <f>IF(OR(E1571="",E1571="!!!",F1571="NEW"),"",INDEX(B$2:B1570,-1+SUMPRODUCT(MAX(ROW(E$2:E1570)*(E1571=E$2:E1570)))))</f>
        <v/>
      </c>
      <c r="J1571" s="24" t="str">
        <f ca="1">IF(OR(E1571="",E1571="!!!",F1571="NEW"),"",COUNTBLANK(OFFSET(A$1,,,SUMPRODUCT(MAX(ROW(E$2:E1571)*(E1571=E$2:E1571)))))-COUNTBLANK(OFFSET(A$1,,,SUMPRODUCT(MAX(ROW(E$1:E1570)*(E2=E$1:E1570))))))</f>
        <v/>
      </c>
      <c r="K1571" s="24" t="str">
        <f>IF(OR(E1571="",E1571="!!!",F1571="NEW"),"",INDEX(J$1:J1570,SUMPRODUCT(MAX(ROW(E$1:E1570)*(E1571=E$1:E1570)))))</f>
        <v/>
      </c>
      <c r="L1571" s="25"/>
    </row>
    <row r="1572" spans="1:12" x14ac:dyDescent="0.3">
      <c r="A1572" t="s">
        <v>446</v>
      </c>
      <c r="E1572" s="20" t="str">
        <f t="shared" si="102"/>
        <v/>
      </c>
      <c r="F1572" s="21" t="str">
        <f>IF(OR(E1572="",E1572="!!!"),"",IF(NOT(ISNA(VLOOKUP(E1572,E$1:E1571,1,FALSE()))),"OLD",IF(AND(E1572&lt;&gt;"",E1572&lt;&gt;"!!!"),"NEW","")))</f>
        <v/>
      </c>
      <c r="G1572" s="22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t="shared" ca="1" si="101"/>
        <v/>
      </c>
      <c r="I1572" s="24" t="str">
        <f>IF(OR(E1572="",E1572="!!!",F1572="NEW"),"",INDEX(B$2:B1571,-1+SUMPRODUCT(MAX(ROW(E$2:E1571)*(E1572=E$2:E1571)))))</f>
        <v/>
      </c>
      <c r="J1572" s="24" t="str">
        <f ca="1">IF(OR(E1572="",E1572="!!!",F1572="NEW"),"",COUNTBLANK(OFFSET(A$1,,,SUMPRODUCT(MAX(ROW(E$2:E1572)*(E1572=E$2:E1572)))))-COUNTBLANK(OFFSET(A$1,,,SUMPRODUCT(MAX(ROW(E$1:E1571)*(E2=E$1:E1571))))))</f>
        <v/>
      </c>
      <c r="K1572" s="24" t="str">
        <f>IF(OR(E1572="",E1572="!!!",F1572="NEW"),"",INDEX(J$1:J1571,SUMPRODUCT(MAX(ROW(E$1:E1571)*(E1572=E$1:E1571)))))</f>
        <v/>
      </c>
      <c r="L1572" s="25"/>
    </row>
    <row r="1573" spans="1:12" x14ac:dyDescent="0.3">
      <c r="A1573" t="s">
        <v>855</v>
      </c>
      <c r="E1573" s="20" t="str">
        <f t="shared" si="102"/>
        <v/>
      </c>
      <c r="F1573" s="21" t="str">
        <f>IF(OR(E1573="",E1573="!!!"),"",IF(NOT(ISNA(VLOOKUP(E1573,E$1:E1572,1,FALSE()))),"OLD",IF(AND(E1573&lt;&gt;"",E1573&lt;&gt;"!!!"),"NEW","")))</f>
        <v/>
      </c>
      <c r="G1573" s="22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t="shared" ca="1" si="101"/>
        <v/>
      </c>
      <c r="I1573" s="24" t="str">
        <f>IF(OR(E1573="",E1573="!!!",F1573="NEW"),"",INDEX(B$2:B1572,-1+SUMPRODUCT(MAX(ROW(E$2:E1572)*(E1573=E$2:E1572)))))</f>
        <v/>
      </c>
      <c r="J1573" s="24" t="str">
        <f ca="1">IF(OR(E1573="",E1573="!!!",F1573="NEW"),"",COUNTBLANK(OFFSET(A$1,,,SUMPRODUCT(MAX(ROW(E$2:E1573)*(E1573=E$2:E1573)))))-COUNTBLANK(OFFSET(A$1,,,SUMPRODUCT(MAX(ROW(E$1:E1572)*(E2=E$1:E1572))))))</f>
        <v/>
      </c>
      <c r="K1573" s="24" t="str">
        <f>IF(OR(E1573="",E1573="!!!",F1573="NEW"),"",INDEX(J$1:J1572,SUMPRODUCT(MAX(ROW(E$1:E1572)*(E1573=E$1:E1572)))))</f>
        <v/>
      </c>
      <c r="L1573" s="25"/>
    </row>
    <row r="1574" spans="1:12" x14ac:dyDescent="0.3">
      <c r="A1574" t="s">
        <v>919</v>
      </c>
      <c r="E1574" s="20" t="str">
        <f t="shared" si="102"/>
        <v/>
      </c>
      <c r="F1574" s="21" t="str">
        <f>IF(OR(E1574="",E1574="!!!"),"",IF(NOT(ISNA(VLOOKUP(E1574,E$1:E1573,1,FALSE()))),"OLD",IF(AND(E1574&lt;&gt;"",E1574&lt;&gt;"!!!"),"NEW","")))</f>
        <v/>
      </c>
      <c r="G1574" s="22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t="shared" ca="1" si="101"/>
        <v/>
      </c>
      <c r="I1574" s="24" t="str">
        <f>IF(OR(E1574="",E1574="!!!",F1574="NEW"),"",INDEX(B$2:B1573,-1+SUMPRODUCT(MAX(ROW(E$2:E1573)*(E1574=E$2:E1573)))))</f>
        <v/>
      </c>
      <c r="J1574" s="24" t="str">
        <f ca="1">IF(OR(E1574="",E1574="!!!",F1574="NEW"),"",COUNTBLANK(OFFSET(A$1,,,SUMPRODUCT(MAX(ROW(E$2:E1574)*(E1574=E$2:E1574)))))-COUNTBLANK(OFFSET(A$1,,,SUMPRODUCT(MAX(ROW(E$1:E1573)*(E2=E$1:E1573))))))</f>
        <v/>
      </c>
      <c r="K1574" s="24" t="str">
        <f>IF(OR(E1574="",E1574="!!!",F1574="NEW"),"",INDEX(J$1:J1573,SUMPRODUCT(MAX(ROW(E$1:E1573)*(E1574=E$1:E1573)))))</f>
        <v/>
      </c>
      <c r="L1574" s="25"/>
    </row>
    <row r="1575" spans="1:12" x14ac:dyDescent="0.3">
      <c r="A1575" t="s">
        <v>920</v>
      </c>
      <c r="B1575" s="26" t="s">
        <v>257</v>
      </c>
      <c r="C1575" s="26" t="s">
        <v>335</v>
      </c>
      <c r="E1575" s="20" t="str">
        <f t="shared" si="102"/>
        <v/>
      </c>
      <c r="F1575" s="21" t="str">
        <f>IF(OR(E1575="",E1575="!!!"),"",IF(NOT(ISNA(VLOOKUP(E1575,E$1:E1574,1,FALSE()))),"OLD",IF(AND(E1575&lt;&gt;"",E1575&lt;&gt;"!!!"),"NEW","")))</f>
        <v/>
      </c>
      <c r="G1575" s="22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t="shared" ca="1" si="101"/>
        <v/>
      </c>
      <c r="I1575" s="24" t="str">
        <f>IF(OR(E1575="",E1575="!!!",F1575="NEW"),"",INDEX(B$2:B1574,-1+SUMPRODUCT(MAX(ROW(E$2:E1574)*(E1575=E$2:E1574)))))</f>
        <v/>
      </c>
      <c r="J1575" s="24" t="str">
        <f ca="1">IF(OR(E1575="",E1575="!!!",F1575="NEW"),"",COUNTBLANK(OFFSET(A$1,,,SUMPRODUCT(MAX(ROW(E$2:E1575)*(E1575=E$2:E1575)))))-COUNTBLANK(OFFSET(A$1,,,SUMPRODUCT(MAX(ROW(E$1:E1574)*(E2=E$1:E1574))))))</f>
        <v/>
      </c>
      <c r="K1575" s="24" t="str">
        <f>IF(OR(E1575="",E1575="!!!",F1575="NEW"),"",INDEX(J$1:J1574,SUMPRODUCT(MAX(ROW(E$1:E1574)*(E1575=E$1:E1574)))))</f>
        <v/>
      </c>
      <c r="L1575" s="25"/>
    </row>
    <row r="1576" spans="1:12" x14ac:dyDescent="0.3">
      <c r="A1576" t="s">
        <v>921</v>
      </c>
      <c r="E1576" s="20" t="str">
        <f t="shared" si="102"/>
        <v/>
      </c>
      <c r="F1576" s="21" t="str">
        <f>IF(OR(E1576="",E1576="!!!"),"",IF(NOT(ISNA(VLOOKUP(E1576,E$1:E1575,1,FALSE()))),"OLD",IF(AND(E1576&lt;&gt;"",E1576&lt;&gt;"!!!"),"NEW","")))</f>
        <v/>
      </c>
      <c r="G1576" s="22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t="shared" ca="1" si="101"/>
        <v/>
      </c>
      <c r="I1576" s="24" t="str">
        <f>IF(OR(E1576="",E1576="!!!",F1576="NEW"),"",INDEX(B$2:B1575,-1+SUMPRODUCT(MAX(ROW(E$2:E1575)*(E1576=E$2:E1575)))))</f>
        <v/>
      </c>
      <c r="J1576" s="24" t="str">
        <f ca="1">IF(OR(E1576="",E1576="!!!",F1576="NEW"),"",COUNTBLANK(OFFSET(A$1,,,SUMPRODUCT(MAX(ROW(E$2:E1576)*(E1576=E$2:E1576)))))-COUNTBLANK(OFFSET(A$1,,,SUMPRODUCT(MAX(ROW(E$1:E1575)*(E2=E$1:E1575))))))</f>
        <v/>
      </c>
      <c r="K1576" s="24" t="str">
        <f>IF(OR(E1576="",E1576="!!!",F1576="NEW"),"",INDEX(J$1:J1575,SUMPRODUCT(MAX(ROW(E$1:E1575)*(E1576=E$1:E1575)))))</f>
        <v/>
      </c>
      <c r="L1576" s="25"/>
    </row>
    <row r="1577" spans="1:12" x14ac:dyDescent="0.3">
      <c r="A1577" t="s">
        <v>245</v>
      </c>
      <c r="E1577" s="20" t="str">
        <f t="shared" si="102"/>
        <v/>
      </c>
      <c r="F1577" s="21" t="str">
        <f>IF(OR(E1577="",E1577="!!!"),"",IF(NOT(ISNA(VLOOKUP(E1577,E$1:E1576,1,FALSE()))),"OLD",IF(AND(E1577&lt;&gt;"",E1577&lt;&gt;"!!!"),"NEW","")))</f>
        <v/>
      </c>
      <c r="G1577" s="22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t="shared" ca="1" si="101"/>
        <v/>
      </c>
      <c r="I1577" s="24" t="str">
        <f>IF(OR(E1577="",E1577="!!!",F1577="NEW"),"",INDEX(B$2:B1576,-1+SUMPRODUCT(MAX(ROW(E$2:E1576)*(E1577=E$2:E1576)))))</f>
        <v/>
      </c>
      <c r="J1577" s="24" t="str">
        <f ca="1">IF(OR(E1577="",E1577="!!!",F1577="NEW"),"",COUNTBLANK(OFFSET(A$1,,,SUMPRODUCT(MAX(ROW(E$2:E1577)*(E1577=E$2:E1577)))))-COUNTBLANK(OFFSET(A$1,,,SUMPRODUCT(MAX(ROW(E$1:E1576)*(E2=E$1:E1576))))))</f>
        <v/>
      </c>
      <c r="K1577" s="24" t="str">
        <f>IF(OR(E1577="",E1577="!!!",F1577="NEW"),"",INDEX(J$1:J1576,SUMPRODUCT(MAX(ROW(E$1:E1576)*(E1577=E$1:E1576)))))</f>
        <v/>
      </c>
      <c r="L1577" s="25"/>
    </row>
    <row r="1578" spans="1:12" x14ac:dyDescent="0.3">
      <c r="A1578" t="s">
        <v>172</v>
      </c>
      <c r="E1578" s="20" t="str">
        <f t="shared" si="102"/>
        <v/>
      </c>
      <c r="F1578" s="21" t="str">
        <f>IF(OR(E1578="",E1578="!!!"),"",IF(NOT(ISNA(VLOOKUP(E1578,E$1:E1577,1,FALSE()))),"OLD",IF(AND(E1578&lt;&gt;"",E1578&lt;&gt;"!!!"),"NEW","")))</f>
        <v/>
      </c>
      <c r="G1578" s="22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3" t="str">
        <f t="shared" ca="1" si="101"/>
        <v/>
      </c>
      <c r="I1578" s="24" t="str">
        <f>IF(OR(E1578="",E1578="!!!",F1578="NEW"),"",INDEX(B$2:B1577,-1+SUMPRODUCT(MAX(ROW(E$2:E1577)*(E1578=E$2:E1577)))))</f>
        <v/>
      </c>
      <c r="J1578" s="24" t="str">
        <f ca="1">IF(OR(E1578="",E1578="!!!",F1578="NEW"),"",COUNTBLANK(OFFSET(A$1,,,SUMPRODUCT(MAX(ROW(E$2:E1578)*(E1578=E$2:E1578)))))-COUNTBLANK(OFFSET(A$1,,,SUMPRODUCT(MAX(ROW(E$1:E1577)*(E2=E$1:E1577))))))</f>
        <v/>
      </c>
      <c r="K1578" s="24" t="str">
        <f>IF(OR(E1578="",E1578="!!!",F1578="NEW"),"",INDEX(J$1:J1577,SUMPRODUCT(MAX(ROW(E$1:E1577)*(E1578=E$1:E1577)))))</f>
        <v/>
      </c>
      <c r="L1578" s="25"/>
    </row>
    <row r="1579" spans="1:12" x14ac:dyDescent="0.3">
      <c r="A1579" t="s">
        <v>94</v>
      </c>
      <c r="E1579" s="20" t="str">
        <f t="shared" si="102"/>
        <v/>
      </c>
      <c r="F1579" s="21" t="str">
        <f>IF(OR(E1579="",E1579="!!!"),"",IF(NOT(ISNA(VLOOKUP(E1579,E$1:E1578,1,FALSE()))),"OLD",IF(AND(E1579&lt;&gt;"",E1579&lt;&gt;"!!!"),"NEW","")))</f>
        <v/>
      </c>
      <c r="G1579" s="22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3" t="str">
        <f t="shared" ca="1" si="101"/>
        <v/>
      </c>
      <c r="I1579" s="24" t="str">
        <f>IF(OR(E1579="",E1579="!!!",F1579="NEW"),"",INDEX(B$2:B1578,-1+SUMPRODUCT(MAX(ROW(E$2:E1578)*(E1579=E$2:E1578)))))</f>
        <v/>
      </c>
      <c r="J1579" s="24" t="str">
        <f ca="1">IF(OR(E1579="",E1579="!!!",F1579="NEW"),"",COUNTBLANK(OFFSET(A$1,,,SUMPRODUCT(MAX(ROW(E$2:E1579)*(E1579=E$2:E1579)))))-COUNTBLANK(OFFSET(A$1,,,SUMPRODUCT(MAX(ROW(E$1:E1578)*(E2=E$1:E1578))))))</f>
        <v/>
      </c>
      <c r="K1579" s="24" t="str">
        <f>IF(OR(E1579="",E1579="!!!",F1579="NEW"),"",INDEX(J$1:J1578,SUMPRODUCT(MAX(ROW(E$1:E1578)*(E1579=E$1:E1578)))))</f>
        <v/>
      </c>
      <c r="L1579" s="25"/>
    </row>
    <row r="1580" spans="1:12" x14ac:dyDescent="0.3">
      <c r="A1580" t="s">
        <v>122</v>
      </c>
      <c r="E1580" s="20" t="str">
        <f t="shared" si="102"/>
        <v/>
      </c>
      <c r="F1580" s="21" t="str">
        <f>IF(OR(E1580="",E1580="!!!"),"",IF(NOT(ISNA(VLOOKUP(E1580,E$1:E1579,1,FALSE()))),"OLD",IF(AND(E1580&lt;&gt;"",E1580&lt;&gt;"!!!"),"NEW","")))</f>
        <v/>
      </c>
      <c r="G1580" s="22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t="shared" ca="1" si="101"/>
        <v/>
      </c>
      <c r="I1580" s="24" t="str">
        <f>IF(OR(E1580="",E1580="!!!",F1580="NEW"),"",INDEX(B$2:B1579,-1+SUMPRODUCT(MAX(ROW(E$2:E1579)*(E1580=E$2:E1579)))))</f>
        <v/>
      </c>
      <c r="J1580" s="24" t="str">
        <f ca="1">IF(OR(E1580="",E1580="!!!",F1580="NEW"),"",COUNTBLANK(OFFSET(A$1,,,SUMPRODUCT(MAX(ROW(E$2:E1580)*(E1580=E$2:E1580)))))-COUNTBLANK(OFFSET(A$1,,,SUMPRODUCT(MAX(ROW(E$1:E1579)*(E2=E$1:E1579))))))</f>
        <v/>
      </c>
      <c r="K1580" s="24" t="str">
        <f>IF(OR(E1580="",E1580="!!!",F1580="NEW"),"",INDEX(J$1:J1579,SUMPRODUCT(MAX(ROW(E$1:E1579)*(E1580=E$1:E1579)))))</f>
        <v/>
      </c>
      <c r="L1580" s="25"/>
    </row>
    <row r="1581" spans="1:12" x14ac:dyDescent="0.3">
      <c r="A1581" t="s">
        <v>160</v>
      </c>
      <c r="E1581" s="20" t="str">
        <f t="shared" si="102"/>
        <v/>
      </c>
      <c r="F1581" s="21" t="str">
        <f>IF(OR(E1581="",E1581="!!!"),"",IF(NOT(ISNA(VLOOKUP(E1581,E$1:E1580,1,FALSE()))),"OLD",IF(AND(E1581&lt;&gt;"",E1581&lt;&gt;"!!!"),"NEW","")))</f>
        <v/>
      </c>
      <c r="G1581" s="22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t="shared" ca="1" si="101"/>
        <v/>
      </c>
      <c r="I1581" s="24" t="str">
        <f>IF(OR(E1581="",E1581="!!!",F1581="NEW"),"",INDEX(B$2:B1580,-1+SUMPRODUCT(MAX(ROW(E$2:E1580)*(E1581=E$2:E1580)))))</f>
        <v/>
      </c>
      <c r="J1581" s="24" t="str">
        <f ca="1">IF(OR(E1581="",E1581="!!!",F1581="NEW"),"",COUNTBLANK(OFFSET(A$1,,,SUMPRODUCT(MAX(ROW(E$2:E1581)*(E1581=E$2:E1581)))))-COUNTBLANK(OFFSET(A$1,,,SUMPRODUCT(MAX(ROW(E$1:E1580)*(E2=E$1:E1580))))))</f>
        <v/>
      </c>
      <c r="K1581" s="24" t="str">
        <f>IF(OR(E1581="",E1581="!!!",F1581="NEW"),"",INDEX(J$1:J1580,SUMPRODUCT(MAX(ROW(E$1:E1580)*(E1581=E$1:E1580)))))</f>
        <v/>
      </c>
      <c r="L1581" s="25"/>
    </row>
    <row r="1582" spans="1:12" x14ac:dyDescent="0.3">
      <c r="A1582" t="s">
        <v>856</v>
      </c>
      <c r="E1582" s="20" t="str">
        <f t="shared" si="102"/>
        <v/>
      </c>
      <c r="F1582" s="21" t="str">
        <f>IF(OR(E1582="",E1582="!!!"),"",IF(NOT(ISNA(VLOOKUP(E1582,E$1:E1581,1,FALSE()))),"OLD",IF(AND(E1582&lt;&gt;"",E1582&lt;&gt;"!!!"),"NEW","")))</f>
        <v/>
      </c>
      <c r="G1582" s="22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t="shared" ca="1" si="101"/>
        <v/>
      </c>
      <c r="I1582" s="24" t="str">
        <f>IF(OR(E1582="",E1582="!!!",F1582="NEW"),"",INDEX(B$2:B1581,-1+SUMPRODUCT(MAX(ROW(E$2:E1581)*(E1582=E$2:E1581)))))</f>
        <v/>
      </c>
      <c r="J1582" s="24" t="str">
        <f ca="1">IF(OR(E1582="",E1582="!!!",F1582="NEW"),"",COUNTBLANK(OFFSET(A$1,,,SUMPRODUCT(MAX(ROW(E$2:E1582)*(E1582=E$2:E1582)))))-COUNTBLANK(OFFSET(A$1,,,SUMPRODUCT(MAX(ROW(E$1:E1581)*(E2=E$1:E1581))))))</f>
        <v/>
      </c>
      <c r="K1582" s="24" t="str">
        <f>IF(OR(E1582="",E1582="!!!",F1582="NEW"),"",INDEX(J$1:J1581,SUMPRODUCT(MAX(ROW(E$1:E1581)*(E1582=E$1:E1581)))))</f>
        <v/>
      </c>
      <c r="L1582" s="25"/>
    </row>
    <row r="1583" spans="1:12" x14ac:dyDescent="0.3">
      <c r="A1583" t="s">
        <v>922</v>
      </c>
      <c r="E1583" s="20" t="str">
        <f t="shared" si="102"/>
        <v/>
      </c>
      <c r="F1583" s="21" t="str">
        <f>IF(OR(E1583="",E1583="!!!"),"",IF(NOT(ISNA(VLOOKUP(E1583,E$1:E1582,1,FALSE()))),"OLD",IF(AND(E1583&lt;&gt;"",E1583&lt;&gt;"!!!"),"NEW","")))</f>
        <v/>
      </c>
      <c r="G1583" s="22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t="shared" ca="1" si="101"/>
        <v/>
      </c>
      <c r="I1583" s="24" t="str">
        <f>IF(OR(E1583="",E1583="!!!",F1583="NEW"),"",INDEX(B$2:B1582,-1+SUMPRODUCT(MAX(ROW(E$2:E1582)*(E1583=E$2:E1582)))))</f>
        <v/>
      </c>
      <c r="J1583" s="24" t="str">
        <f ca="1">IF(OR(E1583="",E1583="!!!",F1583="NEW"),"",COUNTBLANK(OFFSET(A$1,,,SUMPRODUCT(MAX(ROW(E$2:E1583)*(E1583=E$2:E1583)))))-COUNTBLANK(OFFSET(A$1,,,SUMPRODUCT(MAX(ROW(E$1:E1582)*(E2=E$1:E1582))))))</f>
        <v/>
      </c>
      <c r="K1583" s="24" t="str">
        <f>IF(OR(E1583="",E1583="!!!",F1583="NEW"),"",INDEX(J$1:J1582,SUMPRODUCT(MAX(ROW(E$1:E1582)*(E1583=E$1:E1582)))))</f>
        <v/>
      </c>
      <c r="L1583" s="25"/>
    </row>
    <row r="1584" spans="1:12" x14ac:dyDescent="0.3">
      <c r="A1584" t="s">
        <v>16</v>
      </c>
      <c r="E1584" s="20" t="str">
        <f t="shared" si="102"/>
        <v/>
      </c>
      <c r="F1584" s="21" t="str">
        <f>IF(OR(E1584="",E1584="!!!"),"",IF(NOT(ISNA(VLOOKUP(E1584,E$1:E1583,1,FALSE()))),"OLD",IF(AND(E1584&lt;&gt;"",E1584&lt;&gt;"!!!"),"NEW","")))</f>
        <v/>
      </c>
      <c r="G1584" s="22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t="shared" ca="1" si="101"/>
        <v/>
      </c>
      <c r="I1584" s="24" t="str">
        <f>IF(OR(E1584="",E1584="!!!",F1584="NEW"),"",INDEX(B$2:B1583,-1+SUMPRODUCT(MAX(ROW(E$2:E1583)*(E1584=E$2:E1583)))))</f>
        <v/>
      </c>
      <c r="J1584" s="24" t="str">
        <f ca="1">IF(OR(E1584="",E1584="!!!",F1584="NEW"),"",COUNTBLANK(OFFSET(A$1,,,SUMPRODUCT(MAX(ROW(E$2:E1584)*(E1584=E$2:E1584)))))-COUNTBLANK(OFFSET(A$1,,,SUMPRODUCT(MAX(ROW(E$1:E1583)*(E2=E$1:E1583))))))</f>
        <v/>
      </c>
      <c r="K1584" s="24" t="str">
        <f>IF(OR(E1584="",E1584="!!!",F1584="NEW"),"",INDEX(J$1:J1583,SUMPRODUCT(MAX(ROW(E$1:E1583)*(E1584=E$1:E1583)))))</f>
        <v/>
      </c>
      <c r="L1584" s="25"/>
    </row>
    <row r="1585" spans="1:12" x14ac:dyDescent="0.3">
      <c r="A1585" t="s">
        <v>279</v>
      </c>
      <c r="B1585" s="26" t="s">
        <v>546</v>
      </c>
      <c r="C1585" s="26" t="s">
        <v>280</v>
      </c>
      <c r="D1585" s="26" t="s">
        <v>75</v>
      </c>
      <c r="E1585" s="20"/>
      <c r="F1585" s="21" t="str">
        <f>IF(OR(E1585="",E1585="!!!"),"",IF(NOT(ISNA(VLOOKUP(E1585,E$1:E1584,1,FALSE()))),"OLD",IF(AND(E1585&lt;&gt;"",E1585&lt;&gt;"!!!"),"NEW","")))</f>
        <v/>
      </c>
      <c r="G1585" s="22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t="shared" ca="1" si="101"/>
        <v/>
      </c>
      <c r="I1585" s="24" t="str">
        <f>IF(OR(E1585="",E1585="!!!",F1585="NEW"),"",INDEX(B$2:B1584,-1+SUMPRODUCT(MAX(ROW(E$2:E1584)*(E1585=E$2:E1584)))))</f>
        <v/>
      </c>
      <c r="J1585" s="24" t="str">
        <f ca="1">IF(OR(E1585="",E1585="!!!",F1585="NEW"),"",COUNTBLANK(OFFSET(A$1,,,SUMPRODUCT(MAX(ROW(E$2:E1585)*(E1585=E$2:E1585)))))-COUNTBLANK(OFFSET(A$1,,,SUMPRODUCT(MAX(ROW(E$1:E1584)*(E2=E$1:E1584))))))</f>
        <v/>
      </c>
      <c r="K1585" s="24" t="str">
        <f>IF(OR(E1585="",E1585="!!!",F1585="NEW"),"",INDEX(J$1:J1584,SUMPRODUCT(MAX(ROW(E$1:E1584)*(E1585=E$1:E1584)))))</f>
        <v/>
      </c>
      <c r="L1585" s="27" t="s">
        <v>527</v>
      </c>
    </row>
    <row r="1586" spans="1:12" x14ac:dyDescent="0.3">
      <c r="A1586" t="s">
        <v>16</v>
      </c>
      <c r="E1586" s="20" t="str">
        <f>IF(D1586="?OLD","!!!","")</f>
        <v/>
      </c>
      <c r="F1586" s="21" t="str">
        <f>IF(OR(E1586="",E1586="!!!"),"",IF(NOT(ISNA(VLOOKUP(E1586,E$1:E1585,1,FALSE()))),"OLD",IF(AND(E1586&lt;&gt;"",E1586&lt;&gt;"!!!"),"NEW","")))</f>
        <v/>
      </c>
      <c r="G1586" s="22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t="shared" ca="1" si="101"/>
        <v/>
      </c>
      <c r="I1586" s="24" t="str">
        <f>IF(OR(E1586="",E1586="!!!",F1586="NEW"),"",INDEX(B$2:B1585,-1+SUMPRODUCT(MAX(ROW(E$2:E1585)*(E1586=E$2:E1585)))))</f>
        <v/>
      </c>
      <c r="J1586" s="24" t="str">
        <f ca="1">IF(OR(E1586="",E1586="!!!",F1586="NEW"),"",COUNTBLANK(OFFSET(A$1,,,SUMPRODUCT(MAX(ROW(E$2:E1586)*(E1586=E$2:E1586)))))-COUNTBLANK(OFFSET(A$1,,,SUMPRODUCT(MAX(ROW(E$1:E1585)*(E2=E$1:E1585))))))</f>
        <v/>
      </c>
      <c r="K1586" s="24" t="str">
        <f>IF(OR(E1586="",E1586="!!!",F1586="NEW"),"",INDEX(J$1:J1585,SUMPRODUCT(MAX(ROW(E$1:E1585)*(E1586=E$1:E1585)))))</f>
        <v/>
      </c>
      <c r="L1586" s="25"/>
    </row>
    <row r="1587" spans="1:12" x14ac:dyDescent="0.3">
      <c r="A1587" t="s">
        <v>923</v>
      </c>
      <c r="E1587" s="20" t="s">
        <v>924</v>
      </c>
      <c r="F1587" s="21" t="str">
        <f>IF(OR(E1587="",E1587="!!!"),"",IF(NOT(ISNA(VLOOKUP(E1587,E$1:E1586,1,FALSE()))),"OLD",IF(AND(E1587&lt;&gt;"",E1587&lt;&gt;"!!!"),"NEW","")))</f>
        <v>NEW</v>
      </c>
      <c r="G1587" s="22" t="str">
        <f ca="1"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?REFERENTIAL</v>
      </c>
      <c r="H1587" s="23" t="str">
        <f t="shared" ca="1" si="101"/>
        <v/>
      </c>
      <c r="I1587" s="24" t="str">
        <f>IF(OR(E1587="",E1587="!!!",F1587="NEW"),"",INDEX(B$2:B1586,-1+SUMPRODUCT(MAX(ROW(E$2:E1586)*(E1587=E$2:E1586)))))</f>
        <v/>
      </c>
      <c r="J1587" s="24" t="str">
        <f ca="1">IF(OR(E1587="",E1587="!!!",F1587="NEW"),"",COUNTBLANK(OFFSET(A$1,,,SUMPRODUCT(MAX(ROW(E$2:E1587)*(E1587=E$2:E1587)))))-COUNTBLANK(OFFSET(A$1,,,SUMPRODUCT(MAX(ROW(E$1:E1586)*(E2=E$1:E1586))))))</f>
        <v/>
      </c>
      <c r="K1587" s="24" t="str">
        <f>IF(OR(E1587="",E1587="!!!",F1587="NEW"),"",INDEX(J$1:J1586,SUMPRODUCT(MAX(ROW(E$1:E1586)*(E1587=E$1:E1586)))))</f>
        <v/>
      </c>
      <c r="L1587" s="25"/>
    </row>
    <row r="1588" spans="1:12" x14ac:dyDescent="0.3">
      <c r="A1588" t="s">
        <v>925</v>
      </c>
      <c r="E1588" s="20" t="str">
        <f t="shared" ref="E1588:E1594" si="103">IF(D1588="?OLD","!!!","")</f>
        <v/>
      </c>
      <c r="F1588" s="21" t="str">
        <f>IF(OR(E1588="",E1588="!!!"),"",IF(NOT(ISNA(VLOOKUP(E1588,E$1:E1587,1,FALSE()))),"OLD",IF(AND(E1588&lt;&gt;"",E1588&lt;&gt;"!!!"),"NEW","")))</f>
        <v/>
      </c>
      <c r="G1588" s="22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t="shared" ca="1" si="101"/>
        <v/>
      </c>
      <c r="I1588" s="24" t="str">
        <f>IF(OR(E1588="",E1588="!!!",F1588="NEW"),"",INDEX(B$2:B1587,-1+SUMPRODUCT(MAX(ROW(E$2:E1587)*(E1588=E$2:E1587)))))</f>
        <v/>
      </c>
      <c r="J1588" s="24" t="str">
        <f ca="1">IF(OR(E1588="",E1588="!!!",F1588="NEW"),"",COUNTBLANK(OFFSET(A$1,,,SUMPRODUCT(MAX(ROW(E$2:E1588)*(E1588=E$2:E1588)))))-COUNTBLANK(OFFSET(A$1,,,SUMPRODUCT(MAX(ROW(E$1:E1587)*(E2=E$1:E1587))))))</f>
        <v/>
      </c>
      <c r="K1588" s="24" t="str">
        <f>IF(OR(E1588="",E1588="!!!",F1588="NEW"),"",INDEX(J$1:J1587,SUMPRODUCT(MAX(ROW(E$1:E1587)*(E1588=E$1:E1587)))))</f>
        <v/>
      </c>
      <c r="L1588" s="25"/>
    </row>
    <row r="1589" spans="1:12" x14ac:dyDescent="0.3">
      <c r="A1589" t="s">
        <v>142</v>
      </c>
      <c r="E1589" s="20" t="str">
        <f t="shared" si="103"/>
        <v/>
      </c>
      <c r="F1589" s="21" t="str">
        <f>IF(OR(E1589="",E1589="!!!"),"",IF(NOT(ISNA(VLOOKUP(E1589,E$1:E1588,1,FALSE()))),"OLD",IF(AND(E1589&lt;&gt;"",E1589&lt;&gt;"!!!"),"NEW","")))</f>
        <v/>
      </c>
      <c r="G1589" s="22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t="shared" ca="1" si="101"/>
        <v/>
      </c>
      <c r="I1589" s="24" t="str">
        <f>IF(OR(E1589="",E1589="!!!",F1589="NEW"),"",INDEX(B$2:B1588,-1+SUMPRODUCT(MAX(ROW(E$2:E1588)*(E1589=E$2:E1588)))))</f>
        <v/>
      </c>
      <c r="J1589" s="24" t="str">
        <f ca="1">IF(OR(E1589="",E1589="!!!",F1589="NEW"),"",COUNTBLANK(OFFSET(A$1,,,SUMPRODUCT(MAX(ROW(E$2:E1589)*(E1589=E$2:E1589)))))-COUNTBLANK(OFFSET(A$1,,,SUMPRODUCT(MAX(ROW(E$1:E1588)*(E2=E$1:E1588))))))</f>
        <v/>
      </c>
      <c r="K1589" s="24" t="str">
        <f>IF(OR(E1589="",E1589="!!!",F1589="NEW"),"",INDEX(J$1:J1588,SUMPRODUCT(MAX(ROW(E$1:E1588)*(E1589=E$1:E1588)))))</f>
        <v/>
      </c>
      <c r="L1589" s="25"/>
    </row>
    <row r="1590" spans="1:12" x14ac:dyDescent="0.3">
      <c r="A1590" t="s">
        <v>116</v>
      </c>
      <c r="E1590" s="20" t="str">
        <f t="shared" si="103"/>
        <v/>
      </c>
      <c r="F1590" s="21" t="str">
        <f>IF(OR(E1590="",E1590="!!!"),"",IF(NOT(ISNA(VLOOKUP(E1590,E$1:E1589,1,FALSE()))),"OLD",IF(AND(E1590&lt;&gt;"",E1590&lt;&gt;"!!!"),"NEW","")))</f>
        <v/>
      </c>
      <c r="G1590" s="22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t="shared" ca="1" si="101"/>
        <v/>
      </c>
      <c r="I1590" s="24" t="str">
        <f>IF(OR(E1590="",E1590="!!!",F1590="NEW"),"",INDEX(B$2:B1589,-1+SUMPRODUCT(MAX(ROW(E$2:E1589)*(E1590=E$2:E1589)))))</f>
        <v/>
      </c>
      <c r="J1590" s="24" t="str">
        <f ca="1">IF(OR(E1590="",E1590="!!!",F1590="NEW"),"",COUNTBLANK(OFFSET(A$1,,,SUMPRODUCT(MAX(ROW(E$2:E1590)*(E1590=E$2:E1590)))))-COUNTBLANK(OFFSET(A$1,,,SUMPRODUCT(MAX(ROW(E$1:E1589)*(E2=E$1:E1589))))))</f>
        <v/>
      </c>
      <c r="K1590" s="24" t="str">
        <f>IF(OR(E1590="",E1590="!!!",F1590="NEW"),"",INDEX(J$1:J1589,SUMPRODUCT(MAX(ROW(E$1:E1589)*(E1590=E$1:E1589)))))</f>
        <v/>
      </c>
      <c r="L1590" s="25"/>
    </row>
    <row r="1591" spans="1:12" x14ac:dyDescent="0.3">
      <c r="A1591" t="s">
        <v>926</v>
      </c>
      <c r="E1591" s="20" t="str">
        <f t="shared" si="103"/>
        <v/>
      </c>
      <c r="F1591" s="21" t="str">
        <f>IF(OR(E1591="",E1591="!!!"),"",IF(NOT(ISNA(VLOOKUP(E1591,E$1:E1590,1,FALSE()))),"OLD",IF(AND(E1591&lt;&gt;"",E1591&lt;&gt;"!!!"),"NEW","")))</f>
        <v/>
      </c>
      <c r="G1591" s="22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3" t="str">
        <f t="shared" ca="1" si="101"/>
        <v/>
      </c>
      <c r="I1591" s="24" t="str">
        <f>IF(OR(E1591="",E1591="!!!",F1591="NEW"),"",INDEX(B$2:B1590,-1+SUMPRODUCT(MAX(ROW(E$2:E1590)*(E1591=E$2:E1590)))))</f>
        <v/>
      </c>
      <c r="J1591" s="24" t="str">
        <f ca="1">IF(OR(E1591="",E1591="!!!",F1591="NEW"),"",COUNTBLANK(OFFSET(A$1,,,SUMPRODUCT(MAX(ROW(E$2:E1591)*(E1591=E$2:E1591)))))-COUNTBLANK(OFFSET(A$1,,,SUMPRODUCT(MAX(ROW(E$1:E1590)*(E2=E$1:E1590))))))</f>
        <v/>
      </c>
      <c r="K1591" s="24" t="str">
        <f>IF(OR(E1591="",E1591="!!!",F1591="NEW"),"",INDEX(J$1:J1590,SUMPRODUCT(MAX(ROW(E$1:E1590)*(E1591=E$1:E1590)))))</f>
        <v/>
      </c>
      <c r="L1591" s="25"/>
    </row>
    <row r="1592" spans="1:12" x14ac:dyDescent="0.3">
      <c r="A1592" t="s">
        <v>78</v>
      </c>
      <c r="E1592" s="20" t="str">
        <f t="shared" si="103"/>
        <v/>
      </c>
      <c r="F1592" s="21" t="str">
        <f>IF(OR(E1592="",E1592="!!!"),"",IF(NOT(ISNA(VLOOKUP(E1592,E$1:E1591,1,FALSE()))),"OLD",IF(AND(E1592&lt;&gt;"",E1592&lt;&gt;"!!!"),"NEW","")))</f>
        <v/>
      </c>
      <c r="G1592" s="22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3" t="str">
        <f t="shared" ca="1" si="101"/>
        <v/>
      </c>
      <c r="I1592" s="24" t="str">
        <f>IF(OR(E1592="",E1592="!!!",F1592="NEW"),"",INDEX(B$2:B1591,-1+SUMPRODUCT(MAX(ROW(E$2:E1591)*(E1592=E$2:E1591)))))</f>
        <v/>
      </c>
      <c r="J1592" s="24" t="str">
        <f ca="1">IF(OR(E1592="",E1592="!!!",F1592="NEW"),"",COUNTBLANK(OFFSET(A$1,,,SUMPRODUCT(MAX(ROW(E$2:E1592)*(E1592=E$2:E1592)))))-COUNTBLANK(OFFSET(A$1,,,SUMPRODUCT(MAX(ROW(E$1:E1591)*(E2=E$1:E1591))))))</f>
        <v/>
      </c>
      <c r="K1592" s="24" t="str">
        <f>IF(OR(E1592="",E1592="!!!",F1592="NEW"),"",INDEX(J$1:J1591,SUMPRODUCT(MAX(ROW(E$1:E1591)*(E1592=E$1:E1591)))))</f>
        <v/>
      </c>
      <c r="L1592" s="25"/>
    </row>
    <row r="1593" spans="1:12" x14ac:dyDescent="0.3">
      <c r="A1593" t="s">
        <v>446</v>
      </c>
      <c r="E1593" s="20" t="str">
        <f t="shared" si="103"/>
        <v/>
      </c>
      <c r="F1593" s="21" t="str">
        <f>IF(OR(E1593="",E1593="!!!"),"",IF(NOT(ISNA(VLOOKUP(E1593,E$1:E1592,1,FALSE()))),"OLD",IF(AND(E1593&lt;&gt;"",E1593&lt;&gt;"!!!"),"NEW","")))</f>
        <v/>
      </c>
      <c r="G1593" s="22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t="shared" ca="1" si="101"/>
        <v/>
      </c>
      <c r="I1593" s="24" t="str">
        <f>IF(OR(E1593="",E1593="!!!",F1593="NEW"),"",INDEX(B$2:B1592,-1+SUMPRODUCT(MAX(ROW(E$2:E1592)*(E1593=E$2:E1592)))))</f>
        <v/>
      </c>
      <c r="J1593" s="24" t="str">
        <f ca="1">IF(OR(E1593="",E1593="!!!",F1593="NEW"),"",COUNTBLANK(OFFSET(A$1,,,SUMPRODUCT(MAX(ROW(E$2:E1593)*(E1593=E$2:E1593)))))-COUNTBLANK(OFFSET(A$1,,,SUMPRODUCT(MAX(ROW(E$1:E1592)*(E2=E$1:E1592))))))</f>
        <v/>
      </c>
      <c r="K1593" s="24" t="str">
        <f>IF(OR(E1593="",E1593="!!!",F1593="NEW"),"",INDEX(J$1:J1592,SUMPRODUCT(MAX(ROW(E$1:E1592)*(E1593=E$1:E1592)))))</f>
        <v/>
      </c>
      <c r="L1593" s="25"/>
    </row>
    <row r="1594" spans="1:12" x14ac:dyDescent="0.3">
      <c r="A1594" t="s">
        <v>436</v>
      </c>
      <c r="E1594" s="20" t="str">
        <f t="shared" si="103"/>
        <v/>
      </c>
      <c r="F1594" s="21" t="str">
        <f>IF(OR(E1594="",E1594="!!!"),"",IF(NOT(ISNA(VLOOKUP(E1594,E$1:E1593,1,FALSE()))),"OLD",IF(AND(E1594&lt;&gt;"",E1594&lt;&gt;"!!!"),"NEW","")))</f>
        <v/>
      </c>
      <c r="G1594" s="22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t="shared" ca="1" si="101"/>
        <v/>
      </c>
      <c r="I1594" s="24" t="str">
        <f>IF(OR(E1594="",E1594="!!!",F1594="NEW"),"",INDEX(B$2:B1593,-1+SUMPRODUCT(MAX(ROW(E$2:E1593)*(E1594=E$2:E1593)))))</f>
        <v/>
      </c>
      <c r="J1594" s="24" t="str">
        <f ca="1">IF(OR(E1594="",E1594="!!!",F1594="NEW"),"",COUNTBLANK(OFFSET(A$1,,,SUMPRODUCT(MAX(ROW(E$2:E1594)*(E1594=E$2:E1594)))))-COUNTBLANK(OFFSET(A$1,,,SUMPRODUCT(MAX(ROW(E$1:E1593)*(E2=E$1:E1593))))))</f>
        <v/>
      </c>
      <c r="K1594" s="24" t="str">
        <f>IF(OR(E1594="",E1594="!!!",F1594="NEW"),"",INDEX(J$1:J1593,SUMPRODUCT(MAX(ROW(E$1:E1593)*(E1594=E$1:E1593)))))</f>
        <v/>
      </c>
      <c r="L1594" s="25"/>
    </row>
    <row r="1595" spans="1:12" x14ac:dyDescent="0.3">
      <c r="A1595" t="s">
        <v>123</v>
      </c>
      <c r="B1595" s="26" t="s">
        <v>546</v>
      </c>
      <c r="C1595" s="26" t="s">
        <v>88</v>
      </c>
      <c r="D1595" s="26" t="s">
        <v>75</v>
      </c>
      <c r="E1595" s="20" t="s">
        <v>924</v>
      </c>
      <c r="F1595" s="21" t="str">
        <f>IF(OR(E1595="",E1595="!!!"),"",IF(NOT(ISNA(VLOOKUP(E1595,E$1:E1594,1,FALSE()))),"OLD",IF(AND(E1595&lt;&gt;"",E1595&lt;&gt;"!!!"),"NEW","")))</f>
        <v>OLD</v>
      </c>
      <c r="G1595" s="22" t="str">
        <f ca="1"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?IN_FOCUS</v>
      </c>
      <c r="H1595" s="23" t="str">
        <f t="shared" ca="1" si="101"/>
        <v/>
      </c>
      <c r="I1595" s="24">
        <f>IF(OR(E1595="",E1595="!!!",F1595="NEW"),"",INDEX(B$2:B1594,-1+SUMPRODUCT(MAX(ROW(E$2:E1594)*(E1595=E$2:E1594)))))</f>
        <v>0</v>
      </c>
      <c r="J1595" s="24">
        <f ca="1">IF(OR(E1595="",E1595="!!!",F1595="NEW"),"",COUNTBLANK(OFFSET(A$1,,,SUMPRODUCT(MAX(ROW(E$2:E1595)*(E1595=E$2:E1595)))))-COUNTBLANK(OFFSET(A$1,,,SUMPRODUCT(MAX(ROW(E$1:E1594)*(E2=E$1:E1594))))))</f>
        <v>0</v>
      </c>
      <c r="K1595" s="24" t="str">
        <f ca="1">IF(OR(E1595="",E1595="!!!",F1595="NEW"),"",INDEX(J$1:J1594,SUMPRODUCT(MAX(ROW(E$1:E1594)*(E1595=E$1:E1594)))))</f>
        <v/>
      </c>
      <c r="L1595" s="25"/>
    </row>
    <row r="1596" spans="1:12" x14ac:dyDescent="0.3">
      <c r="A1596" t="s">
        <v>453</v>
      </c>
      <c r="E1596" s="20" t="str">
        <f t="shared" ref="E1596:E1605" si="104">IF(D1596="?OLD","!!!","")</f>
        <v/>
      </c>
      <c r="F1596" s="21" t="str">
        <f>IF(OR(E1596="",E1596="!!!"),"",IF(NOT(ISNA(VLOOKUP(E1596,E$1:E1595,1,FALSE()))),"OLD",IF(AND(E1596&lt;&gt;"",E1596&lt;&gt;"!!!"),"NEW","")))</f>
        <v/>
      </c>
      <c r="G1596" s="22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t="shared" ca="1" si="101"/>
        <v/>
      </c>
      <c r="I1596" s="24" t="str">
        <f>IF(OR(E1596="",E1596="!!!",F1596="NEW"),"",INDEX(B$2:B1595,-1+SUMPRODUCT(MAX(ROW(E$2:E1595)*(E1596=E$2:E1595)))))</f>
        <v/>
      </c>
      <c r="J1596" s="24" t="str">
        <f ca="1">IF(OR(E1596="",E1596="!!!",F1596="NEW"),"",COUNTBLANK(OFFSET(A$1,,,SUMPRODUCT(MAX(ROW(E$2:E1596)*(E1596=E$2:E1596)))))-COUNTBLANK(OFFSET(A$1,,,SUMPRODUCT(MAX(ROW(E$1:E1595)*(E2=E$1:E1595))))))</f>
        <v/>
      </c>
      <c r="K1596" s="24" t="str">
        <f>IF(OR(E1596="",E1596="!!!",F1596="NEW"),"",INDEX(J$1:J1595,SUMPRODUCT(MAX(ROW(E$1:E1595)*(E1596=E$1:E1595)))))</f>
        <v/>
      </c>
      <c r="L1596" s="25"/>
    </row>
    <row r="1597" spans="1:12" x14ac:dyDescent="0.3">
      <c r="A1597" t="s">
        <v>927</v>
      </c>
      <c r="E1597" s="20" t="str">
        <f t="shared" si="104"/>
        <v/>
      </c>
      <c r="F1597" s="21" t="str">
        <f>IF(OR(E1597="",E1597="!!!"),"",IF(NOT(ISNA(VLOOKUP(E1597,E$1:E1596,1,FALSE()))),"OLD",IF(AND(E1597&lt;&gt;"",E1597&lt;&gt;"!!!"),"NEW","")))</f>
        <v/>
      </c>
      <c r="G1597" s="22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t="shared" ca="1" si="101"/>
        <v/>
      </c>
      <c r="I1597" s="24" t="str">
        <f>IF(OR(E1597="",E1597="!!!",F1597="NEW"),"",INDEX(B$2:B1596,-1+SUMPRODUCT(MAX(ROW(E$2:E1596)*(E1597=E$2:E1596)))))</f>
        <v/>
      </c>
      <c r="J1597" s="24" t="str">
        <f ca="1">IF(OR(E1597="",E1597="!!!",F1597="NEW"),"",COUNTBLANK(OFFSET(A$1,,,SUMPRODUCT(MAX(ROW(E$2:E1597)*(E1597=E$2:E1597)))))-COUNTBLANK(OFFSET(A$1,,,SUMPRODUCT(MAX(ROW(E$1:E1596)*(E2=E$1:E1596))))))</f>
        <v/>
      </c>
      <c r="K1597" s="24" t="str">
        <f>IF(OR(E1597="",E1597="!!!",F1597="NEW"),"",INDEX(J$1:J1596,SUMPRODUCT(MAX(ROW(E$1:E1596)*(E1597=E$1:E1596)))))</f>
        <v/>
      </c>
      <c r="L1597" s="25"/>
    </row>
    <row r="1598" spans="1:12" x14ac:dyDescent="0.3">
      <c r="A1598" t="s">
        <v>258</v>
      </c>
      <c r="E1598" s="20" t="str">
        <f t="shared" si="104"/>
        <v/>
      </c>
      <c r="F1598" s="21" t="str">
        <f>IF(OR(E1598="",E1598="!!!"),"",IF(NOT(ISNA(VLOOKUP(E1598,E$1:E1597,1,FALSE()))),"OLD",IF(AND(E1598&lt;&gt;"",E1598&lt;&gt;"!!!"),"NEW","")))</f>
        <v/>
      </c>
      <c r="G1598" s="22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t="shared" ca="1" si="101"/>
        <v/>
      </c>
      <c r="I1598" s="24" t="str">
        <f>IF(OR(E1598="",E1598="!!!",F1598="NEW"),"",INDEX(B$2:B1597,-1+SUMPRODUCT(MAX(ROW(E$2:E1597)*(E1598=E$2:E1597)))))</f>
        <v/>
      </c>
      <c r="J1598" s="24" t="str">
        <f ca="1">IF(OR(E1598="",E1598="!!!",F1598="NEW"),"",COUNTBLANK(OFFSET(A$1,,,SUMPRODUCT(MAX(ROW(E$2:E1598)*(E1598=E$2:E1598)))))-COUNTBLANK(OFFSET(A$1,,,SUMPRODUCT(MAX(ROW(E$1:E1597)*(E2=E$1:E1597))))))</f>
        <v/>
      </c>
      <c r="K1598" s="24" t="str">
        <f>IF(OR(E1598="",E1598="!!!",F1598="NEW"),"",INDEX(J$1:J1597,SUMPRODUCT(MAX(ROW(E$1:E1597)*(E1598=E$1:E1597)))))</f>
        <v/>
      </c>
      <c r="L1598" s="25"/>
    </row>
    <row r="1599" spans="1:12" x14ac:dyDescent="0.3">
      <c r="A1599" t="s">
        <v>928</v>
      </c>
      <c r="E1599" s="20" t="str">
        <f t="shared" si="104"/>
        <v/>
      </c>
      <c r="F1599" s="21" t="str">
        <f>IF(OR(E1599="",E1599="!!!"),"",IF(NOT(ISNA(VLOOKUP(E1599,E$1:E1598,1,FALSE()))),"OLD",IF(AND(E1599&lt;&gt;"",E1599&lt;&gt;"!!!"),"NEW","")))</f>
        <v/>
      </c>
      <c r="G1599" s="22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t="shared" ca="1" si="101"/>
        <v/>
      </c>
      <c r="I1599" s="24" t="str">
        <f>IF(OR(E1599="",E1599="!!!",F1599="NEW"),"",INDEX(B$2:B1598,-1+SUMPRODUCT(MAX(ROW(E$2:E1598)*(E1599=E$2:E1598)))))</f>
        <v/>
      </c>
      <c r="J1599" s="24" t="str">
        <f ca="1">IF(OR(E1599="",E1599="!!!",F1599="NEW"),"",COUNTBLANK(OFFSET(A$1,,,SUMPRODUCT(MAX(ROW(E$2:E1599)*(E1599=E$2:E1599)))))-COUNTBLANK(OFFSET(A$1,,,SUMPRODUCT(MAX(ROW(E$1:E1598)*(E2=E$1:E1598))))))</f>
        <v/>
      </c>
      <c r="K1599" s="24" t="str">
        <f>IF(OR(E1599="",E1599="!!!",F1599="NEW"),"",INDEX(J$1:J1598,SUMPRODUCT(MAX(ROW(E$1:E1598)*(E1599=E$1:E1598)))))</f>
        <v/>
      </c>
      <c r="L1599" s="25"/>
    </row>
    <row r="1600" spans="1:12" x14ac:dyDescent="0.3">
      <c r="A1600" t="s">
        <v>929</v>
      </c>
      <c r="B1600" s="26" t="s">
        <v>416</v>
      </c>
      <c r="C1600" s="26" t="s">
        <v>105</v>
      </c>
      <c r="E1600" s="20" t="str">
        <f t="shared" si="104"/>
        <v/>
      </c>
      <c r="F1600" s="21" t="str">
        <f>IF(OR(E1600="",E1600="!!!"),"",IF(NOT(ISNA(VLOOKUP(E1600,E$1:E1599,1,FALSE()))),"OLD",IF(AND(E1600&lt;&gt;"",E1600&lt;&gt;"!!!"),"NEW","")))</f>
        <v/>
      </c>
      <c r="G1600" s="22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t="shared" ca="1" si="101"/>
        <v/>
      </c>
      <c r="I1600" s="24" t="str">
        <f>IF(OR(E1600="",E1600="!!!",F1600="NEW"),"",INDEX(B$2:B1599,-1+SUMPRODUCT(MAX(ROW(E$2:E1599)*(E1600=E$2:E1599)))))</f>
        <v/>
      </c>
      <c r="J1600" s="24" t="str">
        <f ca="1">IF(OR(E1600="",E1600="!!!",F1600="NEW"),"",COUNTBLANK(OFFSET(A$1,,,SUMPRODUCT(MAX(ROW(E$2:E1600)*(E1600=E$2:E1600)))))-COUNTBLANK(OFFSET(A$1,,,SUMPRODUCT(MAX(ROW(E$1:E1599)*(E2=E$1:E1599))))))</f>
        <v/>
      </c>
      <c r="K1600" s="24" t="str">
        <f>IF(OR(E1600="",E1600="!!!",F1600="NEW"),"",INDEX(J$1:J1599,SUMPRODUCT(MAX(ROW(E$1:E1599)*(E1600=E$1:E1599)))))</f>
        <v/>
      </c>
      <c r="L1600" s="25"/>
    </row>
    <row r="1601" spans="1:12" x14ac:dyDescent="0.3">
      <c r="A1601" t="s">
        <v>483</v>
      </c>
      <c r="E1601" s="20" t="str">
        <f t="shared" si="104"/>
        <v/>
      </c>
      <c r="F1601" s="21" t="str">
        <f>IF(OR(E1601="",E1601="!!!"),"",IF(NOT(ISNA(VLOOKUP(E1601,E$1:E1600,1,FALSE()))),"OLD",IF(AND(E1601&lt;&gt;"",E1601&lt;&gt;"!!!"),"NEW","")))</f>
        <v/>
      </c>
      <c r="G1601" s="22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3" t="str">
        <f t="shared" ca="1" si="101"/>
        <v/>
      </c>
      <c r="I1601" s="24" t="str">
        <f>IF(OR(E1601="",E1601="!!!",F1601="NEW"),"",INDEX(B$2:B1600,-1+SUMPRODUCT(MAX(ROW(E$2:E1600)*(E1601=E$2:E1600)))))</f>
        <v/>
      </c>
      <c r="J1601" s="24" t="str">
        <f ca="1">IF(OR(E1601="",E1601="!!!",F1601="NEW"),"",COUNTBLANK(OFFSET(A$1,,,SUMPRODUCT(MAX(ROW(E$2:E1601)*(E1601=E$2:E1601)))))-COUNTBLANK(OFFSET(A$1,,,SUMPRODUCT(MAX(ROW(E$1:E1600)*(E2=E$1:E1600))))))</f>
        <v/>
      </c>
      <c r="K1601" s="24" t="str">
        <f>IF(OR(E1601="",E1601="!!!",F1601="NEW"),"",INDEX(J$1:J1600,SUMPRODUCT(MAX(ROW(E$1:E1600)*(E1601=E$1:E1600)))))</f>
        <v/>
      </c>
      <c r="L1601" s="25"/>
    </row>
    <row r="1602" spans="1:12" x14ac:dyDescent="0.3">
      <c r="A1602" t="s">
        <v>680</v>
      </c>
      <c r="E1602" s="20" t="str">
        <f t="shared" si="104"/>
        <v/>
      </c>
      <c r="F1602" s="21" t="str">
        <f>IF(OR(E1602="",E1602="!!!"),"",IF(NOT(ISNA(VLOOKUP(E1602,E$1:E1601,1,FALSE()))),"OLD",IF(AND(E1602&lt;&gt;"",E1602&lt;&gt;"!!!"),"NEW","")))</f>
        <v/>
      </c>
      <c r="G1602" s="22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3" t="str">
        <f t="shared" ca="1" si="101"/>
        <v/>
      </c>
      <c r="I1602" s="24" t="str">
        <f>IF(OR(E1602="",E1602="!!!",F1602="NEW"),"",INDEX(B$2:B1601,-1+SUMPRODUCT(MAX(ROW(E$2:E1601)*(E1602=E$2:E1601)))))</f>
        <v/>
      </c>
      <c r="J1602" s="24" t="str">
        <f ca="1">IF(OR(E1602="",E1602="!!!",F1602="NEW"),"",COUNTBLANK(OFFSET(A$1,,,SUMPRODUCT(MAX(ROW(E$2:E1602)*(E1602=E$2:E1602)))))-COUNTBLANK(OFFSET(A$1,,,SUMPRODUCT(MAX(ROW(E$1:E1601)*(E2=E$1:E1601))))))</f>
        <v/>
      </c>
      <c r="K1602" s="24" t="str">
        <f>IF(OR(E1602="",E1602="!!!",F1602="NEW"),"",INDEX(J$1:J1601,SUMPRODUCT(MAX(ROW(E$1:E1601)*(E1602=E$1:E1601)))))</f>
        <v/>
      </c>
      <c r="L1602" s="25"/>
    </row>
    <row r="1603" spans="1:12" x14ac:dyDescent="0.3">
      <c r="A1603" t="s">
        <v>930</v>
      </c>
      <c r="E1603" s="20" t="str">
        <f t="shared" si="104"/>
        <v/>
      </c>
      <c r="F1603" s="21" t="str">
        <f>IF(OR(E1603="",E1603="!!!"),"",IF(NOT(ISNA(VLOOKUP(E1603,E$1:E1602,1,FALSE()))),"OLD",IF(AND(E1603&lt;&gt;"",E1603&lt;&gt;"!!!"),"NEW","")))</f>
        <v/>
      </c>
      <c r="G1603" s="22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t="shared" ca="1" si="101"/>
        <v/>
      </c>
      <c r="I1603" s="24" t="str">
        <f>IF(OR(E1603="",E1603="!!!",F1603="NEW"),"",INDEX(B$2:B1602,-1+SUMPRODUCT(MAX(ROW(E$2:E1602)*(E1603=E$2:E1602)))))</f>
        <v/>
      </c>
      <c r="J1603" s="24" t="str">
        <f ca="1">IF(OR(E1603="",E1603="!!!",F1603="NEW"),"",COUNTBLANK(OFFSET(A$1,,,SUMPRODUCT(MAX(ROW(E$2:E1603)*(E1603=E$2:E1603)))))-COUNTBLANK(OFFSET(A$1,,,SUMPRODUCT(MAX(ROW(E$1:E1602)*(E2=E$1:E1602))))))</f>
        <v/>
      </c>
      <c r="K1603" s="24" t="str">
        <f>IF(OR(E1603="",E1603="!!!",F1603="NEW"),"",INDEX(J$1:J1602,SUMPRODUCT(MAX(ROW(E$1:E1602)*(E1603=E$1:E1602)))))</f>
        <v/>
      </c>
      <c r="L1603" s="25"/>
    </row>
    <row r="1604" spans="1:12" x14ac:dyDescent="0.3">
      <c r="A1604" t="s">
        <v>920</v>
      </c>
      <c r="B1604" s="26" t="s">
        <v>414</v>
      </c>
      <c r="C1604" s="26" t="s">
        <v>335</v>
      </c>
      <c r="E1604" s="20" t="str">
        <f t="shared" si="104"/>
        <v/>
      </c>
      <c r="F1604" s="21" t="str">
        <f>IF(OR(E1604="",E1604="!!!"),"",IF(NOT(ISNA(VLOOKUP(E1604,E$1:E1603,1,FALSE()))),"OLD",IF(AND(E1604&lt;&gt;"",E1604&lt;&gt;"!!!"),"NEW","")))</f>
        <v/>
      </c>
      <c r="G1604" s="22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t="shared" ca="1" si="101"/>
        <v/>
      </c>
      <c r="I1604" s="24" t="str">
        <f>IF(OR(E1604="",E1604="!!!",F1604="NEW"),"",INDEX(B$2:B1603,-1+SUMPRODUCT(MAX(ROW(E$2:E1603)*(E1604=E$2:E1603)))))</f>
        <v/>
      </c>
      <c r="J1604" s="24" t="str">
        <f ca="1">IF(OR(E1604="",E1604="!!!",F1604="NEW"),"",COUNTBLANK(OFFSET(A$1,,,SUMPRODUCT(MAX(ROW(E$2:E1604)*(E1604=E$2:E1604)))))-COUNTBLANK(OFFSET(A$1,,,SUMPRODUCT(MAX(ROW(E$1:E1603)*(E2=E$1:E1603))))))</f>
        <v/>
      </c>
      <c r="K1604" s="24" t="str">
        <f>IF(OR(E1604="",E1604="!!!",F1604="NEW"),"",INDEX(J$1:J1603,SUMPRODUCT(MAX(ROW(E$1:E1603)*(E1604=E$1:E1603)))))</f>
        <v/>
      </c>
      <c r="L1604" s="25"/>
    </row>
    <row r="1605" spans="1:12" x14ac:dyDescent="0.3">
      <c r="A1605" t="s">
        <v>240</v>
      </c>
      <c r="E1605" s="20" t="str">
        <f t="shared" si="104"/>
        <v/>
      </c>
      <c r="F1605" s="21" t="str">
        <f>IF(OR(E1605="",E1605="!!!"),"",IF(NOT(ISNA(VLOOKUP(E1605,E$1:E1604,1,FALSE()))),"OLD",IF(AND(E1605&lt;&gt;"",E1605&lt;&gt;"!!!"),"NEW","")))</f>
        <v/>
      </c>
      <c r="G1605" s="22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t="shared" ca="1" si="101"/>
        <v/>
      </c>
      <c r="I1605" s="24" t="str">
        <f>IF(OR(E1605="",E1605="!!!",F1605="NEW"),"",INDEX(B$2:B1604,-1+SUMPRODUCT(MAX(ROW(E$2:E1604)*(E1605=E$2:E1604)))))</f>
        <v/>
      </c>
      <c r="J1605" s="24" t="str">
        <f ca="1">IF(OR(E1605="",E1605="!!!",F1605="NEW"),"",COUNTBLANK(OFFSET(A$1,,,SUMPRODUCT(MAX(ROW(E$2:E1605)*(E1605=E$2:E1605)))))-COUNTBLANK(OFFSET(A$1,,,SUMPRODUCT(MAX(ROW(E$1:E1604)*(E2=E$1:E1604))))))</f>
        <v/>
      </c>
      <c r="K1605" s="24" t="str">
        <f>IF(OR(E1605="",E1605="!!!",F1605="NEW"),"",INDEX(J$1:J1604,SUMPRODUCT(MAX(ROW(E$1:E1604)*(E1605=E$1:E1604)))))</f>
        <v/>
      </c>
      <c r="L1605" s="25"/>
    </row>
    <row r="1606" spans="1:12" x14ac:dyDescent="0.3">
      <c r="A1606" t="s">
        <v>931</v>
      </c>
      <c r="B1606" s="26" t="s">
        <v>557</v>
      </c>
      <c r="C1606" s="26" t="s">
        <v>74</v>
      </c>
      <c r="D1606" s="26" t="s">
        <v>75</v>
      </c>
      <c r="E1606" s="20" t="s">
        <v>932</v>
      </c>
      <c r="F1606" s="21" t="str">
        <f>IF(OR(E1606="",E1606="!!!"),"",IF(NOT(ISNA(VLOOKUP(E1606,E$1:E1605,1,FALSE()))),"OLD",IF(AND(E1606&lt;&gt;"",E1606&lt;&gt;"!!!"),"NEW","")))</f>
        <v>NEW</v>
      </c>
      <c r="G1606" s="22" t="str">
        <f ca="1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?REFERENTIAL</v>
      </c>
      <c r="H1606" s="23" t="str">
        <f t="shared" ca="1" si="101"/>
        <v/>
      </c>
      <c r="I1606" s="24" t="str">
        <f>IF(OR(E1606="",E1606="!!!",F1606="NEW"),"",INDEX(B$2:B1605,-1+SUMPRODUCT(MAX(ROW(E$2:E1605)*(E1606=E$2:E1605)))))</f>
        <v/>
      </c>
      <c r="J1606" s="24" t="str">
        <f ca="1">IF(OR(E1606="",E1606="!!!",F1606="NEW"),"",COUNTBLANK(OFFSET(A$1,,,SUMPRODUCT(MAX(ROW(E$2:E1606)*(E1606=E$2:E1606)))))-COUNTBLANK(OFFSET(A$1,,,SUMPRODUCT(MAX(ROW(E$1:E1605)*(E2=E$1:E1605))))))</f>
        <v/>
      </c>
      <c r="K1606" s="24" t="str">
        <f>IF(OR(E1606="",E1606="!!!",F1606="NEW"),"",INDEX(J$1:J1605,SUMPRODUCT(MAX(ROW(E$1:E1605)*(E1606=E$1:E1605)))))</f>
        <v/>
      </c>
      <c r="L1606" s="25"/>
    </row>
    <row r="1607" spans="1:12" x14ac:dyDescent="0.3">
      <c r="A1607" t="s">
        <v>78</v>
      </c>
      <c r="E1607" s="20" t="str">
        <f>IF(D1607="?OLD","!!!","")</f>
        <v/>
      </c>
      <c r="F1607" s="21" t="str">
        <f>IF(OR(E1607="",E1607="!!!"),"",IF(NOT(ISNA(VLOOKUP(E1607,E$1:E1606,1,FALSE()))),"OLD",IF(AND(E1607&lt;&gt;"",E1607&lt;&gt;"!!!"),"NEW","")))</f>
        <v/>
      </c>
      <c r="G1607" s="22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t="shared" ca="1" si="101"/>
        <v/>
      </c>
      <c r="I1607" s="24" t="str">
        <f>IF(OR(E1607="",E1607="!!!",F1607="NEW"),"",INDEX(B$2:B1606,-1+SUMPRODUCT(MAX(ROW(E$2:E1606)*(E1607=E$2:E1606)))))</f>
        <v/>
      </c>
      <c r="J1607" s="24" t="str">
        <f ca="1">IF(OR(E1607="",E1607="!!!",F1607="NEW"),"",COUNTBLANK(OFFSET(A$1,,,SUMPRODUCT(MAX(ROW(E$2:E1607)*(E1607=E$2:E1607)))))-COUNTBLANK(OFFSET(A$1,,,SUMPRODUCT(MAX(ROW(E$1:E1606)*(E2=E$1:E1606))))))</f>
        <v/>
      </c>
      <c r="K1607" s="24" t="str">
        <f>IF(OR(E1607="",E1607="!!!",F1607="NEW"),"",INDEX(J$1:J1606,SUMPRODUCT(MAX(ROW(E$1:E1606)*(E1607=E$1:E1606)))))</f>
        <v/>
      </c>
      <c r="L1607" s="25"/>
    </row>
    <row r="1608" spans="1:12" x14ac:dyDescent="0.3">
      <c r="A1608" t="s">
        <v>446</v>
      </c>
      <c r="E1608" s="20" t="str">
        <f>IF(D1608="?OLD","!!!","")</f>
        <v/>
      </c>
      <c r="F1608" s="21" t="str">
        <f>IF(OR(E1608="",E1608="!!!"),"",IF(NOT(ISNA(VLOOKUP(E1608,E$1:E1607,1,FALSE()))),"OLD",IF(AND(E1608&lt;&gt;"",E1608&lt;&gt;"!!!"),"NEW","")))</f>
        <v/>
      </c>
      <c r="G1608" s="22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t="shared" ca="1" si="101"/>
        <v/>
      </c>
      <c r="I1608" s="24" t="str">
        <f>IF(OR(E1608="",E1608="!!!",F1608="NEW"),"",INDEX(B$2:B1607,-1+SUMPRODUCT(MAX(ROW(E$2:E1607)*(E1608=E$2:E1607)))))</f>
        <v/>
      </c>
      <c r="J1608" s="24" t="str">
        <f ca="1">IF(OR(E1608="",E1608="!!!",F1608="NEW"),"",COUNTBLANK(OFFSET(A$1,,,SUMPRODUCT(MAX(ROW(E$2:E1608)*(E1608=E$2:E1608)))))-COUNTBLANK(OFFSET(A$1,,,SUMPRODUCT(MAX(ROW(E$1:E1607)*(E2=E$1:E1607))))))</f>
        <v/>
      </c>
      <c r="K1608" s="24" t="str">
        <f>IF(OR(E1608="",E1608="!!!",F1608="NEW"),"",INDEX(J$1:J1607,SUMPRODUCT(MAX(ROW(E$1:E1607)*(E1608=E$1:E1607)))))</f>
        <v/>
      </c>
      <c r="L1608" s="25"/>
    </row>
    <row r="1609" spans="1:12" x14ac:dyDescent="0.3">
      <c r="A1609" t="s">
        <v>933</v>
      </c>
      <c r="B1609" s="26" t="s">
        <v>203</v>
      </c>
      <c r="C1609" s="26" t="s">
        <v>105</v>
      </c>
      <c r="E1609" s="20" t="str">
        <f>IF(D1609="?OLD","!!!","")</f>
        <v/>
      </c>
      <c r="F1609" s="21" t="str">
        <f>IF(OR(E1609="",E1609="!!!"),"",IF(NOT(ISNA(VLOOKUP(E1609,E$1:E1608,1,FALSE()))),"OLD",IF(AND(E1609&lt;&gt;"",E1609&lt;&gt;"!!!"),"NEW","")))</f>
        <v/>
      </c>
      <c r="G1609" s="22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t="shared" ca="1" si="101"/>
        <v/>
      </c>
      <c r="I1609" s="24" t="str">
        <f>IF(OR(E1609="",E1609="!!!",F1609="NEW"),"",INDEX(B$2:B1608,-1+SUMPRODUCT(MAX(ROW(E$2:E1608)*(E1609=E$2:E1608)))))</f>
        <v/>
      </c>
      <c r="J1609" s="24" t="str">
        <f ca="1">IF(OR(E1609="",E1609="!!!",F1609="NEW"),"",COUNTBLANK(OFFSET(A$1,,,SUMPRODUCT(MAX(ROW(E$2:E1609)*(E1609=E$2:E1609)))))-COUNTBLANK(OFFSET(A$1,,,SUMPRODUCT(MAX(ROW(E$1:E1608)*(E2=E$1:E1608))))))</f>
        <v/>
      </c>
      <c r="K1609" s="24" t="str">
        <f>IF(OR(E1609="",E1609="!!!",F1609="NEW"),"",INDEX(J$1:J1608,SUMPRODUCT(MAX(ROW(E$1:E1608)*(E1609=E$1:E1608)))))</f>
        <v/>
      </c>
      <c r="L1609" s="25"/>
    </row>
    <row r="1610" spans="1:12" x14ac:dyDescent="0.3">
      <c r="A1610" t="s">
        <v>934</v>
      </c>
      <c r="B1610" s="26" t="s">
        <v>402</v>
      </c>
      <c r="C1610" s="26" t="s">
        <v>280</v>
      </c>
      <c r="D1610" s="26" t="s">
        <v>75</v>
      </c>
      <c r="E1610" s="20" t="s">
        <v>935</v>
      </c>
      <c r="F1610" s="21" t="str">
        <f>IF(OR(E1610="",E1610="!!!"),"",IF(NOT(ISNA(VLOOKUP(E1610,E$1:E1609,1,FALSE()))),"OLD",IF(AND(E1610&lt;&gt;"",E1610&lt;&gt;"!!!"),"NEW","")))</f>
        <v>NEW</v>
      </c>
      <c r="G1610" s="22" t="str">
        <f ca="1"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?REFERENTIAL</v>
      </c>
      <c r="H1610" s="23" t="str">
        <f t="shared" ca="1" si="101"/>
        <v/>
      </c>
      <c r="I1610" s="24" t="str">
        <f>IF(OR(E1610="",E1610="!!!",F1610="NEW"),"",INDEX(B$2:B1609,-1+SUMPRODUCT(MAX(ROW(E$2:E1609)*(E1610=E$2:E1609)))))</f>
        <v/>
      </c>
      <c r="J1610" s="24" t="str">
        <f ca="1">IF(OR(E1610="",E1610="!!!",F1610="NEW"),"",COUNTBLANK(OFFSET(A$1,,,SUMPRODUCT(MAX(ROW(E$2:E1610)*(E1610=E$2:E1610)))))-COUNTBLANK(OFFSET(A$1,,,SUMPRODUCT(MAX(ROW(E$1:E1609)*(E2=E$1:E1609))))))</f>
        <v/>
      </c>
      <c r="K1610" s="24" t="str">
        <f>IF(OR(E1610="",E1610="!!!",F1610="NEW"),"",INDEX(J$1:J1609,SUMPRODUCT(MAX(ROW(E$1:E1609)*(E1610=E$1:E1609)))))</f>
        <v/>
      </c>
      <c r="L1610" s="25"/>
    </row>
    <row r="1611" spans="1:12" x14ac:dyDescent="0.3">
      <c r="A1611" t="s">
        <v>936</v>
      </c>
      <c r="E1611" s="20" t="str">
        <f>IF(D1611="?OLD","!!!","")</f>
        <v/>
      </c>
      <c r="F1611" s="21" t="str">
        <f>IF(OR(E1611="",E1611="!!!"),"",IF(NOT(ISNA(VLOOKUP(E1611,E$1:E1610,1,FALSE()))),"OLD",IF(AND(E1611&lt;&gt;"",E1611&lt;&gt;"!!!"),"NEW","")))</f>
        <v/>
      </c>
      <c r="G1611" s="22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3" t="str">
        <f t="shared" ca="1" si="101"/>
        <v/>
      </c>
      <c r="I1611" s="24" t="str">
        <f>IF(OR(E1611="",E1611="!!!",F1611="NEW"),"",INDEX(B$2:B1610,-1+SUMPRODUCT(MAX(ROW(E$2:E1610)*(E1611=E$2:E1610)))))</f>
        <v/>
      </c>
      <c r="J1611" s="24" t="str">
        <f ca="1">IF(OR(E1611="",E1611="!!!",F1611="NEW"),"",COUNTBLANK(OFFSET(A$1,,,SUMPRODUCT(MAX(ROW(E$2:E1611)*(E1611=E$2:E1611)))))-COUNTBLANK(OFFSET(A$1,,,SUMPRODUCT(MAX(ROW(E$1:E1610)*(E2=E$1:E1610))))))</f>
        <v/>
      </c>
      <c r="K1611" s="24" t="str">
        <f>IF(OR(E1611="",E1611="!!!",F1611="NEW"),"",INDEX(J$1:J1610,SUMPRODUCT(MAX(ROW(E$1:E1610)*(E1611=E$1:E1610)))))</f>
        <v/>
      </c>
      <c r="L1611" s="25"/>
    </row>
    <row r="1612" spans="1:12" x14ac:dyDescent="0.3">
      <c r="A1612" t="s">
        <v>937</v>
      </c>
      <c r="E1612" s="20" t="str">
        <f>IF(D1612="?OLD","!!!","")</f>
        <v/>
      </c>
      <c r="F1612" s="21" t="str">
        <f>IF(OR(E1612="",E1612="!!!"),"",IF(NOT(ISNA(VLOOKUP(E1612,E$1:E1611,1,FALSE()))),"OLD",IF(AND(E1612&lt;&gt;"",E1612&lt;&gt;"!!!"),"NEW","")))</f>
        <v/>
      </c>
      <c r="G1612" s="22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t="shared" ca="1" si="101"/>
        <v/>
      </c>
      <c r="I1612" s="24" t="str">
        <f>IF(OR(E1612="",E1612="!!!",F1612="NEW"),"",INDEX(B$2:B1611,-1+SUMPRODUCT(MAX(ROW(E$2:E1611)*(E1612=E$2:E1611)))))</f>
        <v/>
      </c>
      <c r="J1612" s="24" t="str">
        <f ca="1">IF(OR(E1612="",E1612="!!!",F1612="NEW"),"",COUNTBLANK(OFFSET(A$1,,,SUMPRODUCT(MAX(ROW(E$2:E1612)*(E1612=E$2:E1612)))))-COUNTBLANK(OFFSET(A$1,,,SUMPRODUCT(MAX(ROW(E$1:E1611)*(E2=E$1:E1611))))))</f>
        <v/>
      </c>
      <c r="K1612" s="24" t="str">
        <f>IF(OR(E1612="",E1612="!!!",F1612="NEW"),"",INDEX(J$1:J1611,SUMPRODUCT(MAX(ROW(E$1:E1611)*(E1612=E$1:E1611)))))</f>
        <v/>
      </c>
      <c r="L1612" s="25"/>
    </row>
    <row r="1613" spans="1:12" x14ac:dyDescent="0.3">
      <c r="A1613" t="s">
        <v>938</v>
      </c>
      <c r="E1613" s="20" t="str">
        <f>IF(D1613="?OLD","!!!","")</f>
        <v/>
      </c>
      <c r="F1613" s="21" t="str">
        <f>IF(OR(E1613="",E1613="!!!"),"",IF(NOT(ISNA(VLOOKUP(E1613,E$1:E1612,1,FALSE()))),"OLD",IF(AND(E1613&lt;&gt;"",E1613&lt;&gt;"!!!"),"NEW","")))</f>
        <v/>
      </c>
      <c r="G1613" s="22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t="shared" ref="H1613:H1676" ca="1" si="105">IF(J1613&lt;&gt;1,"",IF(I1613="SBJ","CB","?"))</f>
        <v/>
      </c>
      <c r="I1613" s="24" t="str">
        <f>IF(OR(E1613="",E1613="!!!",F1613="NEW"),"",INDEX(B$2:B1612,-1+SUMPRODUCT(MAX(ROW(E$2:E1612)*(E1613=E$2:E1612)))))</f>
        <v/>
      </c>
      <c r="J1613" s="24" t="str">
        <f ca="1">IF(OR(E1613="",E1613="!!!",F1613="NEW"),"",COUNTBLANK(OFFSET(A$1,,,SUMPRODUCT(MAX(ROW(E$2:E1613)*(E1613=E$2:E1613)))))-COUNTBLANK(OFFSET(A$1,,,SUMPRODUCT(MAX(ROW(E$1:E1612)*(E2=E$1:E1612))))))</f>
        <v/>
      </c>
      <c r="K1613" s="24" t="str">
        <f>IF(OR(E1613="",E1613="!!!",F1613="NEW"),"",INDEX(J$1:J1612,SUMPRODUCT(MAX(ROW(E$1:E1612)*(E1613=E$1:E1612)))))</f>
        <v/>
      </c>
      <c r="L1613" s="25"/>
    </row>
    <row r="1614" spans="1:12" x14ac:dyDescent="0.3">
      <c r="A1614" t="s">
        <v>939</v>
      </c>
      <c r="E1614" s="20" t="s">
        <v>924</v>
      </c>
      <c r="F1614" s="21" t="str">
        <f>IF(OR(E1614="",E1614="!!!"),"",IF(NOT(ISNA(VLOOKUP(E1614,E$1:E1613,1,FALSE()))),"OLD",IF(AND(E1614&lt;&gt;"",E1614&lt;&gt;"!!!"),"NEW","")))</f>
        <v>OLD</v>
      </c>
      <c r="G1614" s="22" t="str">
        <f ca="1"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?IN_FOCUS</v>
      </c>
      <c r="H1614" s="23" t="str">
        <f t="shared" ca="1" si="105"/>
        <v/>
      </c>
      <c r="I1614" s="24" t="str">
        <f>IF(OR(E1614="",E1614="!!!",F1614="NEW"),"",INDEX(B$2:B1613,-1+SUMPRODUCT(MAX(ROW(E$2:E1613)*(E1614=E$2:E1613)))))</f>
        <v>SBJ_8</v>
      </c>
      <c r="J1614" s="24">
        <f ca="1">IF(OR(E1614="",E1614="!!!",F1614="NEW"),"",COUNTBLANK(OFFSET(A$1,,,SUMPRODUCT(MAX(ROW(E$2:E1614)*(E1614=E$2:E1614)))))-COUNTBLANK(OFFSET(A$1,,,SUMPRODUCT(MAX(ROW(E$1:E1613)*(E2=E$1:E1613))))))</f>
        <v>0</v>
      </c>
      <c r="K1614" s="24">
        <f ca="1">IF(OR(E1614="",E1614="!!!",F1614="NEW"),"",INDEX(J$1:J1613,SUMPRODUCT(MAX(ROW(E$1:E1613)*(E1614=E$1:E1613)))))</f>
        <v>0</v>
      </c>
      <c r="L1614" s="25"/>
    </row>
    <row r="1615" spans="1:12" x14ac:dyDescent="0.3">
      <c r="A1615" t="s">
        <v>160</v>
      </c>
      <c r="E1615" s="20" t="str">
        <f>IF(D1615="?OLD","!!!","")</f>
        <v/>
      </c>
      <c r="F1615" s="21" t="str">
        <f>IF(OR(E1615="",E1615="!!!"),"",IF(NOT(ISNA(VLOOKUP(E1615,E$1:E1614,1,FALSE()))),"OLD",IF(AND(E1615&lt;&gt;"",E1615&lt;&gt;"!!!"),"NEW","")))</f>
        <v/>
      </c>
      <c r="G1615" s="22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t="shared" ca="1" si="105"/>
        <v/>
      </c>
      <c r="I1615" s="24" t="str">
        <f>IF(OR(E1615="",E1615="!!!",F1615="NEW"),"",INDEX(B$2:B1614,-1+SUMPRODUCT(MAX(ROW(E$2:E1614)*(E1615=E$2:E1614)))))</f>
        <v/>
      </c>
      <c r="J1615" s="24" t="str">
        <f ca="1">IF(OR(E1615="",E1615="!!!",F1615="NEW"),"",COUNTBLANK(OFFSET(A$1,,,SUMPRODUCT(MAX(ROW(E$2:E1615)*(E1615=E$2:E1615)))))-COUNTBLANK(OFFSET(A$1,,,SUMPRODUCT(MAX(ROW(E$1:E1614)*(E2=E$1:E1614))))))</f>
        <v/>
      </c>
      <c r="K1615" s="24" t="str">
        <f>IF(OR(E1615="",E1615="!!!",F1615="NEW"),"",INDEX(J$1:J1614,SUMPRODUCT(MAX(ROW(E$1:E1614)*(E1615=E$1:E1614)))))</f>
        <v/>
      </c>
      <c r="L1615" s="25"/>
    </row>
    <row r="1616" spans="1:12" x14ac:dyDescent="0.3">
      <c r="A1616" t="s">
        <v>940</v>
      </c>
      <c r="E1616" s="20" t="str">
        <f>IF(D1616="?OLD","!!!","")</f>
        <v/>
      </c>
      <c r="F1616" s="21" t="str">
        <f>IF(OR(E1616="",E1616="!!!"),"",IF(NOT(ISNA(VLOOKUP(E1616,E$1:E1615,1,FALSE()))),"OLD",IF(AND(E1616&lt;&gt;"",E1616&lt;&gt;"!!!"),"NEW","")))</f>
        <v/>
      </c>
      <c r="G1616" s="22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t="shared" ca="1" si="105"/>
        <v/>
      </c>
      <c r="I1616" s="24" t="str">
        <f>IF(OR(E1616="",E1616="!!!",F1616="NEW"),"",INDEX(B$2:B1615,-1+SUMPRODUCT(MAX(ROW(E$2:E1615)*(E1616=E$2:E1615)))))</f>
        <v/>
      </c>
      <c r="J1616" s="24" t="str">
        <f ca="1">IF(OR(E1616="",E1616="!!!",F1616="NEW"),"",COUNTBLANK(OFFSET(A$1,,,SUMPRODUCT(MAX(ROW(E$2:E1616)*(E1616=E$2:E1616)))))-COUNTBLANK(OFFSET(A$1,,,SUMPRODUCT(MAX(ROW(E$1:E1615)*(E2=E$1:E1615))))))</f>
        <v/>
      </c>
      <c r="K1616" s="24" t="str">
        <f>IF(OR(E1616="",E1616="!!!",F1616="NEW"),"",INDEX(J$1:J1615,SUMPRODUCT(MAX(ROW(E$1:E1615)*(E1616=E$1:E1615)))))</f>
        <v/>
      </c>
      <c r="L1616" s="25"/>
    </row>
    <row r="1617" spans="1:12" x14ac:dyDescent="0.3">
      <c r="A1617" t="s">
        <v>941</v>
      </c>
      <c r="B1617" s="26" t="s">
        <v>207</v>
      </c>
      <c r="C1617" s="26" t="s">
        <v>74</v>
      </c>
      <c r="D1617" s="26" t="s">
        <v>75</v>
      </c>
      <c r="E1617" s="20" t="s">
        <v>942</v>
      </c>
      <c r="F1617" s="21" t="str">
        <f>IF(OR(E1617="",E1617="!!!"),"",IF(NOT(ISNA(VLOOKUP(E1617,E$1:E1616,1,FALSE()))),"OLD",IF(AND(E1617&lt;&gt;"",E1617&lt;&gt;"!!!"),"NEW","")))</f>
        <v>NEW</v>
      </c>
      <c r="G1617" s="22" t="str">
        <f ca="1"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?REFERENTIAL</v>
      </c>
      <c r="H1617" s="23" t="str">
        <f t="shared" ca="1" si="105"/>
        <v/>
      </c>
      <c r="I1617" s="24" t="str">
        <f>IF(OR(E1617="",E1617="!!!",F1617="NEW"),"",INDEX(B$2:B1616,-1+SUMPRODUCT(MAX(ROW(E$2:E1616)*(E1617=E$2:E1616)))))</f>
        <v/>
      </c>
      <c r="J1617" s="24" t="str">
        <f ca="1">IF(OR(E1617="",E1617="!!!",F1617="NEW"),"",COUNTBLANK(OFFSET(A$1,,,SUMPRODUCT(MAX(ROW(E$2:E1617)*(E1617=E$2:E1617)))))-COUNTBLANK(OFFSET(A$1,,,SUMPRODUCT(MAX(ROW(E$1:E1616)*(E2=E$1:E1616))))))</f>
        <v/>
      </c>
      <c r="K1617" s="24" t="str">
        <f>IF(OR(E1617="",E1617="!!!",F1617="NEW"),"",INDEX(J$1:J1616,SUMPRODUCT(MAX(ROW(E$1:E1616)*(E1617=E$1:E1616)))))</f>
        <v/>
      </c>
      <c r="L1617" s="25"/>
    </row>
    <row r="1618" spans="1:12" x14ac:dyDescent="0.3">
      <c r="A1618" t="s">
        <v>172</v>
      </c>
      <c r="E1618" s="20" t="str">
        <f>IF(D1618="?OLD","!!!","")</f>
        <v/>
      </c>
      <c r="F1618" s="21" t="str">
        <f>IF(OR(E1618="",E1618="!!!"),"",IF(NOT(ISNA(VLOOKUP(E1618,E$1:E1617,1,FALSE()))),"OLD",IF(AND(E1618&lt;&gt;"",E1618&lt;&gt;"!!!"),"NEW","")))</f>
        <v/>
      </c>
      <c r="G1618" s="22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t="shared" ca="1" si="105"/>
        <v/>
      </c>
      <c r="I1618" s="24" t="str">
        <f>IF(OR(E1618="",E1618="!!!",F1618="NEW"),"",INDEX(B$2:B1617,-1+SUMPRODUCT(MAX(ROW(E$2:E1617)*(E1618=E$2:E1617)))))</f>
        <v/>
      </c>
      <c r="J1618" s="24" t="str">
        <f ca="1">IF(OR(E1618="",E1618="!!!",F1618="NEW"),"",COUNTBLANK(OFFSET(A$1,,,SUMPRODUCT(MAX(ROW(E$2:E1618)*(E1618=E$2:E1618)))))-COUNTBLANK(OFFSET(A$1,,,SUMPRODUCT(MAX(ROW(E$1:E1617)*(E2=E$1:E1617))))))</f>
        <v/>
      </c>
      <c r="K1618" s="24" t="str">
        <f>IF(OR(E1618="",E1618="!!!",F1618="NEW"),"",INDEX(J$1:J1617,SUMPRODUCT(MAX(ROW(E$1:E1617)*(E1618=E$1:E1617)))))</f>
        <v/>
      </c>
      <c r="L1618" s="25"/>
    </row>
    <row r="1619" spans="1:12" x14ac:dyDescent="0.3">
      <c r="A1619" t="s">
        <v>370</v>
      </c>
      <c r="E1619" s="20" t="str">
        <f>IF(D1619="?OLD","!!!","")</f>
        <v/>
      </c>
      <c r="F1619" s="21" t="str">
        <f>IF(OR(E1619="",E1619="!!!"),"",IF(NOT(ISNA(VLOOKUP(E1619,E$1:E1618,1,FALSE()))),"OLD",IF(AND(E1619&lt;&gt;"",E1619&lt;&gt;"!!!"),"NEW","")))</f>
        <v/>
      </c>
      <c r="G1619" s="22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t="shared" ca="1" si="105"/>
        <v/>
      </c>
      <c r="I1619" s="24" t="str">
        <f>IF(OR(E1619="",E1619="!!!",F1619="NEW"),"",INDEX(B$2:B1618,-1+SUMPRODUCT(MAX(ROW(E$2:E1618)*(E1619=E$2:E1618)))))</f>
        <v/>
      </c>
      <c r="J1619" s="24" t="str">
        <f ca="1">IF(OR(E1619="",E1619="!!!",F1619="NEW"),"",COUNTBLANK(OFFSET(A$1,,,SUMPRODUCT(MAX(ROW(E$2:E1619)*(E1619=E$2:E1619)))))-COUNTBLANK(OFFSET(A$1,,,SUMPRODUCT(MAX(ROW(E$1:E1618)*(E2=E$1:E1618))))))</f>
        <v/>
      </c>
      <c r="K1619" s="24" t="str">
        <f>IF(OR(E1619="",E1619="!!!",F1619="NEW"),"",INDEX(J$1:J1618,SUMPRODUCT(MAX(ROW(E$1:E1618)*(E1619=E$1:E1618)))))</f>
        <v/>
      </c>
      <c r="L1619" s="25"/>
    </row>
    <row r="1620" spans="1:12" x14ac:dyDescent="0.3">
      <c r="A1620" t="s">
        <v>943</v>
      </c>
      <c r="B1620" s="26" t="s">
        <v>411</v>
      </c>
      <c r="C1620" s="26" t="s">
        <v>105</v>
      </c>
      <c r="E1620" s="20" t="s">
        <v>944</v>
      </c>
      <c r="F1620" s="21" t="str">
        <f>IF(OR(E1620="",E1620="!!!"),"",IF(NOT(ISNA(VLOOKUP(E1620,E$1:E1619,1,FALSE()))),"OLD",IF(AND(E1620&lt;&gt;"",E1620&lt;&gt;"!!!"),"NEW","")))</f>
        <v>NEW</v>
      </c>
      <c r="G1620" s="22" t="str">
        <f ca="1"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?REFERENTIAL</v>
      </c>
      <c r="H1620" s="23" t="str">
        <f t="shared" ca="1" si="105"/>
        <v/>
      </c>
      <c r="I1620" s="24" t="str">
        <f>IF(OR(E1620="",E1620="!!!",F1620="NEW"),"",INDEX(B$2:B1619,-1+SUMPRODUCT(MAX(ROW(E$2:E1619)*(E1620=E$2:E1619)))))</f>
        <v/>
      </c>
      <c r="J1620" s="24" t="str">
        <f ca="1">IF(OR(E1620="",E1620="!!!",F1620="NEW"),"",COUNTBLANK(OFFSET(A$1,,,SUMPRODUCT(MAX(ROW(E$2:E1620)*(E1620=E$2:E1620)))))-COUNTBLANK(OFFSET(A$1,,,SUMPRODUCT(MAX(ROW(E$1:E1619)*(E2=E$1:E1619))))))</f>
        <v/>
      </c>
      <c r="K1620" s="24" t="str">
        <f>IF(OR(E1620="",E1620="!!!",F1620="NEW"),"",INDEX(J$1:J1619,SUMPRODUCT(MAX(ROW(E$1:E1619)*(E1620=E$1:E1619)))))</f>
        <v/>
      </c>
      <c r="L1620" s="27" t="s">
        <v>332</v>
      </c>
    </row>
    <row r="1621" spans="1:12" x14ac:dyDescent="0.3">
      <c r="A1621" t="s">
        <v>945</v>
      </c>
      <c r="E1621" s="20" t="str">
        <f>IF(D1621="?OLD","!!!","")</f>
        <v/>
      </c>
      <c r="F1621" s="21" t="str">
        <f>IF(OR(E1621="",E1621="!!!"),"",IF(NOT(ISNA(VLOOKUP(E1621,E$1:E1620,1,FALSE()))),"OLD",IF(AND(E1621&lt;&gt;"",E1621&lt;&gt;"!!!"),"NEW","")))</f>
        <v/>
      </c>
      <c r="G1621" s="22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3" t="str">
        <f t="shared" ca="1" si="105"/>
        <v/>
      </c>
      <c r="I1621" s="24" t="str">
        <f>IF(OR(E1621="",E1621="!!!",F1621="NEW"),"",INDEX(B$2:B1620,-1+SUMPRODUCT(MAX(ROW(E$2:E1620)*(E1621=E$2:E1620)))))</f>
        <v/>
      </c>
      <c r="J1621" s="24" t="str">
        <f ca="1">IF(OR(E1621="",E1621="!!!",F1621="NEW"),"",COUNTBLANK(OFFSET(A$1,,,SUMPRODUCT(MAX(ROW(E$2:E1621)*(E1621=E$2:E1621)))))-COUNTBLANK(OFFSET(A$1,,,SUMPRODUCT(MAX(ROW(E$1:E1620)*(E2=E$1:E1620))))))</f>
        <v/>
      </c>
      <c r="K1621" s="24" t="str">
        <f>IF(OR(E1621="",E1621="!!!",F1621="NEW"),"",INDEX(J$1:J1620,SUMPRODUCT(MAX(ROW(E$1:E1620)*(E1621=E$1:E1620)))))</f>
        <v/>
      </c>
      <c r="L1621" s="25"/>
    </row>
    <row r="1622" spans="1:12" x14ac:dyDescent="0.3">
      <c r="A1622" t="s">
        <v>419</v>
      </c>
      <c r="B1622" s="26" t="s">
        <v>408</v>
      </c>
      <c r="C1622" s="26" t="s">
        <v>105</v>
      </c>
      <c r="E1622" s="20"/>
      <c r="F1622" s="21" t="str">
        <f>IF(OR(E1622="",E1622="!!!"),"",IF(NOT(ISNA(VLOOKUP(E1622,E$1:E1621,1,FALSE()))),"OLD",IF(AND(E1622&lt;&gt;"",E1622&lt;&gt;"!!!"),"NEW","")))</f>
        <v/>
      </c>
      <c r="G1622" s="22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t="shared" ca="1" si="105"/>
        <v/>
      </c>
      <c r="I1622" s="24" t="str">
        <f>IF(OR(E1622="",E1622="!!!",F1622="NEW"),"",INDEX(B$2:B1621,-1+SUMPRODUCT(MAX(ROW(E$2:E1621)*(E1622=E$2:E1621)))))</f>
        <v/>
      </c>
      <c r="J1622" s="24" t="str">
        <f ca="1">IF(OR(E1622="",E1622="!!!",F1622="NEW"),"",COUNTBLANK(OFFSET(A$1,,,SUMPRODUCT(MAX(ROW(E$2:E1622)*(E1622=E$2:E1622)))))-COUNTBLANK(OFFSET(A$1,,,SUMPRODUCT(MAX(ROW(E$1:E1621)*(E2=E$1:E1621))))))</f>
        <v/>
      </c>
      <c r="K1622" s="24" t="str">
        <f>IF(OR(E1622="",E1622="!!!",F1622="NEW"),"",INDEX(J$1:J1621,SUMPRODUCT(MAX(ROW(E$1:E1621)*(E1622=E$1:E1621)))))</f>
        <v/>
      </c>
      <c r="L1622" s="25"/>
    </row>
    <row r="1623" spans="1:12" x14ac:dyDescent="0.3">
      <c r="A1623" t="s">
        <v>142</v>
      </c>
      <c r="E1623" s="20" t="str">
        <f>IF(D1623="?OLD","!!!","")</f>
        <v/>
      </c>
      <c r="F1623" s="21" t="str">
        <f>IF(OR(E1623="",E1623="!!!"),"",IF(NOT(ISNA(VLOOKUP(E1623,E$1:E1622,1,FALSE()))),"OLD",IF(AND(E1623&lt;&gt;"",E1623&lt;&gt;"!!!"),"NEW","")))</f>
        <v/>
      </c>
      <c r="G1623" s="22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t="shared" ca="1" si="105"/>
        <v/>
      </c>
      <c r="I1623" s="24" t="str">
        <f>IF(OR(E1623="",E1623="!!!",F1623="NEW"),"",INDEX(B$2:B1622,-1+SUMPRODUCT(MAX(ROW(E$2:E1622)*(E1623=E$2:E1622)))))</f>
        <v/>
      </c>
      <c r="J1623" s="24" t="str">
        <f ca="1">IF(OR(E1623="",E1623="!!!",F1623="NEW"),"",COUNTBLANK(OFFSET(A$1,,,SUMPRODUCT(MAX(ROW(E$2:E1623)*(E1623=E$2:E1623)))))-COUNTBLANK(OFFSET(A$1,,,SUMPRODUCT(MAX(ROW(E$1:E1622)*(E2=E$1:E1622))))))</f>
        <v/>
      </c>
      <c r="K1623" s="24" t="str">
        <f>IF(OR(E1623="",E1623="!!!",F1623="NEW"),"",INDEX(J$1:J1622,SUMPRODUCT(MAX(ROW(E$1:E1622)*(E1623=E$1:E1622)))))</f>
        <v/>
      </c>
      <c r="L1623" s="25"/>
    </row>
    <row r="1624" spans="1:12" x14ac:dyDescent="0.3">
      <c r="A1624" t="s">
        <v>946</v>
      </c>
      <c r="B1624" s="26" t="s">
        <v>414</v>
      </c>
      <c r="C1624" s="26" t="s">
        <v>105</v>
      </c>
      <c r="E1624" s="20"/>
      <c r="F1624" s="21" t="str">
        <f>IF(OR(E1624="",E1624="!!!"),"",IF(NOT(ISNA(VLOOKUP(E1624,E$1:E1623,1,FALSE()))),"OLD",IF(AND(E1624&lt;&gt;"",E1624&lt;&gt;"!!!"),"NEW","")))</f>
        <v/>
      </c>
      <c r="G1624" s="22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t="shared" ca="1" si="105"/>
        <v/>
      </c>
      <c r="I1624" s="24" t="str">
        <f>IF(OR(E1624="",E1624="!!!",F1624="NEW"),"",INDEX(B$2:B1623,-1+SUMPRODUCT(MAX(ROW(E$2:E1623)*(E1624=E$2:E1623)))))</f>
        <v/>
      </c>
      <c r="J1624" s="24" t="str">
        <f ca="1">IF(OR(E1624="",E1624="!!!",F1624="NEW"),"",COUNTBLANK(OFFSET(A$1,,,SUMPRODUCT(MAX(ROW(E$2:E1624)*(E1624=E$2:E1624)))))-COUNTBLANK(OFFSET(A$1,,,SUMPRODUCT(MAX(ROW(E$1:E1623)*(E2=E$1:E1623))))))</f>
        <v/>
      </c>
      <c r="K1624" s="24" t="str">
        <f>IF(OR(E1624="",E1624="!!!",F1624="NEW"),"",INDEX(J$1:J1623,SUMPRODUCT(MAX(ROW(E$1:E1623)*(E1624=E$1:E1623)))))</f>
        <v/>
      </c>
      <c r="L1624" s="25"/>
    </row>
    <row r="1625" spans="1:12" x14ac:dyDescent="0.3">
      <c r="A1625" t="s">
        <v>101</v>
      </c>
      <c r="E1625" s="20" t="str">
        <f>IF(D1625="?OLD","!!!","")</f>
        <v/>
      </c>
      <c r="F1625" s="21" t="str">
        <f>IF(OR(E1625="",E1625="!!!"),"",IF(NOT(ISNA(VLOOKUP(E1625,E$1:E1624,1,FALSE()))),"OLD",IF(AND(E1625&lt;&gt;"",E1625&lt;&gt;"!!!"),"NEW","")))</f>
        <v/>
      </c>
      <c r="G1625" s="22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t="shared" ca="1" si="105"/>
        <v/>
      </c>
      <c r="I1625" s="24" t="str">
        <f>IF(OR(E1625="",E1625="!!!",F1625="NEW"),"",INDEX(B$2:B1624,-1+SUMPRODUCT(MAX(ROW(E$2:E1624)*(E1625=E$2:E1624)))))</f>
        <v/>
      </c>
      <c r="J1625" s="24" t="str">
        <f ca="1">IF(OR(E1625="",E1625="!!!",F1625="NEW"),"",COUNTBLANK(OFFSET(A$1,,,SUMPRODUCT(MAX(ROW(E$2:E1625)*(E1625=E$2:E1625)))))-COUNTBLANK(OFFSET(A$1,,,SUMPRODUCT(MAX(ROW(E$1:E1624)*(E2=E$1:E1624))))))</f>
        <v/>
      </c>
      <c r="K1625" s="24" t="str">
        <f>IF(OR(E1625="",E1625="!!!",F1625="NEW"),"",INDEX(J$1:J1624,SUMPRODUCT(MAX(ROW(E$1:E1624)*(E1625=E$1:E1624)))))</f>
        <v/>
      </c>
      <c r="L1625" s="25"/>
    </row>
    <row r="1626" spans="1:12" x14ac:dyDescent="0.3">
      <c r="A1626" t="s">
        <v>270</v>
      </c>
      <c r="E1626" s="20" t="str">
        <f>IF(D1626="?OLD","!!!","")</f>
        <v/>
      </c>
      <c r="F1626" s="21" t="str">
        <f>IF(OR(E1626="",E1626="!!!"),"",IF(NOT(ISNA(VLOOKUP(E1626,E$1:E1625,1,FALSE()))),"OLD",IF(AND(E1626&lt;&gt;"",E1626&lt;&gt;"!!!"),"NEW","")))</f>
        <v/>
      </c>
      <c r="G1626" s="22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t="shared" ca="1" si="105"/>
        <v/>
      </c>
      <c r="I1626" s="24" t="str">
        <f>IF(OR(E1626="",E1626="!!!",F1626="NEW"),"",INDEX(B$2:B1625,-1+SUMPRODUCT(MAX(ROW(E$2:E1625)*(E1626=E$2:E1625)))))</f>
        <v/>
      </c>
      <c r="J1626" s="24" t="str">
        <f ca="1">IF(OR(E1626="",E1626="!!!",F1626="NEW"),"",COUNTBLANK(OFFSET(A$1,,,SUMPRODUCT(MAX(ROW(E$2:E1626)*(E1626=E$2:E1626)))))-COUNTBLANK(OFFSET(A$1,,,SUMPRODUCT(MAX(ROW(E$1:E1625)*(E2=E$1:E1625))))))</f>
        <v/>
      </c>
      <c r="K1626" s="24" t="str">
        <f>IF(OR(E1626="",E1626="!!!",F1626="NEW"),"",INDEX(J$1:J1625,SUMPRODUCT(MAX(ROW(E$1:E1625)*(E1626=E$1:E1625)))))</f>
        <v/>
      </c>
      <c r="L1626" s="25"/>
    </row>
    <row r="1627" spans="1:12" x14ac:dyDescent="0.3">
      <c r="A1627" t="s">
        <v>253</v>
      </c>
      <c r="B1627" s="26" t="s">
        <v>546</v>
      </c>
      <c r="C1627" s="26" t="s">
        <v>208</v>
      </c>
      <c r="D1627" s="26" t="s">
        <v>75</v>
      </c>
      <c r="E1627" s="20" t="s">
        <v>944</v>
      </c>
      <c r="F1627" s="21" t="str">
        <f>IF(OR(E1627="",E1627="!!!"),"",IF(NOT(ISNA(VLOOKUP(E1627,E$1:E1626,1,FALSE()))),"OLD",IF(AND(E1627&lt;&gt;"",E1627&lt;&gt;"!!!"),"NEW","")))</f>
        <v>OLD</v>
      </c>
      <c r="G1627" s="22" t="str">
        <f ca="1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?IN_FOCUS</v>
      </c>
      <c r="H1627" s="23" t="str">
        <f t="shared" ca="1" si="105"/>
        <v/>
      </c>
      <c r="I1627" s="24" t="str">
        <f>IF(OR(E1627="",E1627="!!!",F1627="NEW"),"",INDEX(B$2:B1626,-1+SUMPRODUCT(MAX(ROW(E$2:E1626)*(E1627=E$2:E1626)))))</f>
        <v>SBJ_7</v>
      </c>
      <c r="J1627" s="24">
        <f ca="1">IF(OR(E1627="",E1627="!!!",F1627="NEW"),"",COUNTBLANK(OFFSET(A$1,,,SUMPRODUCT(MAX(ROW(E$2:E1627)*(E1627=E$2:E1627)))))-COUNTBLANK(OFFSET(A$1,,,SUMPRODUCT(MAX(ROW(E$1:E1626)*(E2=E$1:E1626))))))</f>
        <v>0</v>
      </c>
      <c r="K1627" s="24" t="str">
        <f ca="1">IF(OR(E1627="",E1627="!!!",F1627="NEW"),"",INDEX(J$1:J1626,SUMPRODUCT(MAX(ROW(E$1:E1626)*(E1627=E$1:E1626)))))</f>
        <v/>
      </c>
      <c r="L1627" s="25"/>
    </row>
    <row r="1628" spans="1:12" x14ac:dyDescent="0.3">
      <c r="A1628" t="s">
        <v>167</v>
      </c>
      <c r="E1628" s="20" t="str">
        <f t="shared" ref="E1628:E1633" si="106">IF(D1628="?OLD","!!!","")</f>
        <v/>
      </c>
      <c r="F1628" s="21" t="str">
        <f>IF(OR(E1628="",E1628="!!!"),"",IF(NOT(ISNA(VLOOKUP(E1628,E$1:E1627,1,FALSE()))),"OLD",IF(AND(E1628&lt;&gt;"",E1628&lt;&gt;"!!!"),"NEW","")))</f>
        <v/>
      </c>
      <c r="G1628" s="22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t="shared" ca="1" si="105"/>
        <v/>
      </c>
      <c r="I1628" s="24" t="str">
        <f>IF(OR(E1628="",E1628="!!!",F1628="NEW"),"",INDEX(B$2:B1627,-1+SUMPRODUCT(MAX(ROW(E$2:E1627)*(E1628=E$2:E1627)))))</f>
        <v/>
      </c>
      <c r="J1628" s="24" t="str">
        <f ca="1">IF(OR(E1628="",E1628="!!!",F1628="NEW"),"",COUNTBLANK(OFFSET(A$1,,,SUMPRODUCT(MAX(ROW(E$2:E1628)*(E1628=E$2:E1628)))))-COUNTBLANK(OFFSET(A$1,,,SUMPRODUCT(MAX(ROW(E$1:E1627)*(E2=E$1:E1627))))))</f>
        <v/>
      </c>
      <c r="K1628" s="24" t="str">
        <f>IF(OR(E1628="",E1628="!!!",F1628="NEW"),"",INDEX(J$1:J1627,SUMPRODUCT(MAX(ROW(E$1:E1627)*(E1628=E$1:E1627)))))</f>
        <v/>
      </c>
      <c r="L1628" s="25"/>
    </row>
    <row r="1629" spans="1:12" x14ac:dyDescent="0.3">
      <c r="A1629" t="s">
        <v>947</v>
      </c>
      <c r="E1629" s="20" t="str">
        <f t="shared" si="106"/>
        <v/>
      </c>
      <c r="F1629" s="21" t="str">
        <f>IF(OR(E1629="",E1629="!!!"),"",IF(NOT(ISNA(VLOOKUP(E1629,E$1:E1628,1,FALSE()))),"OLD",IF(AND(E1629&lt;&gt;"",E1629&lt;&gt;"!!!"),"NEW","")))</f>
        <v/>
      </c>
      <c r="G1629" s="22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3" t="str">
        <f t="shared" ca="1" si="105"/>
        <v/>
      </c>
      <c r="I1629" s="24" t="str">
        <f>IF(OR(E1629="",E1629="!!!",F1629="NEW"),"",INDEX(B$2:B1628,-1+SUMPRODUCT(MAX(ROW(E$2:E1628)*(E1629=E$2:E1628)))))</f>
        <v/>
      </c>
      <c r="J1629" s="24" t="str">
        <f ca="1">IF(OR(E1629="",E1629="!!!",F1629="NEW"),"",COUNTBLANK(OFFSET(A$1,,,SUMPRODUCT(MAX(ROW(E$2:E1629)*(E1629=E$2:E1629)))))-COUNTBLANK(OFFSET(A$1,,,SUMPRODUCT(MAX(ROW(E$1:E1628)*(E2=E$1:E1628))))))</f>
        <v/>
      </c>
      <c r="K1629" s="24" t="str">
        <f>IF(OR(E1629="",E1629="!!!",F1629="NEW"),"",INDEX(J$1:J1628,SUMPRODUCT(MAX(ROW(E$1:E1628)*(E1629=E$1:E1628)))))</f>
        <v/>
      </c>
      <c r="L1629" s="25"/>
    </row>
    <row r="1630" spans="1:12" x14ac:dyDescent="0.3">
      <c r="A1630" t="s">
        <v>948</v>
      </c>
      <c r="E1630" s="20" t="str">
        <f t="shared" si="106"/>
        <v/>
      </c>
      <c r="F1630" s="21" t="str">
        <f>IF(OR(E1630="",E1630="!!!"),"",IF(NOT(ISNA(VLOOKUP(E1630,E$1:E1629,1,FALSE()))),"OLD",IF(AND(E1630&lt;&gt;"",E1630&lt;&gt;"!!!"),"NEW","")))</f>
        <v/>
      </c>
      <c r="G1630" s="22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3" t="str">
        <f t="shared" ca="1" si="105"/>
        <v/>
      </c>
      <c r="I1630" s="24" t="str">
        <f>IF(OR(E1630="",E1630="!!!",F1630="NEW"),"",INDEX(B$2:B1629,-1+SUMPRODUCT(MAX(ROW(E$2:E1629)*(E1630=E$2:E1629)))))</f>
        <v/>
      </c>
      <c r="J1630" s="24" t="str">
        <f ca="1">IF(OR(E1630="",E1630="!!!",F1630="NEW"),"",COUNTBLANK(OFFSET(A$1,,,SUMPRODUCT(MAX(ROW(E$2:E1630)*(E1630=E$2:E1630)))))-COUNTBLANK(OFFSET(A$1,,,SUMPRODUCT(MAX(ROW(E$1:E1629)*(E2=E$1:E1629))))))</f>
        <v/>
      </c>
      <c r="K1630" s="24" t="str">
        <f>IF(OR(E1630="",E1630="!!!",F1630="NEW"),"",INDEX(J$1:J1629,SUMPRODUCT(MAX(ROW(E$1:E1629)*(E1630=E$1:E1629)))))</f>
        <v/>
      </c>
      <c r="L1630" s="25"/>
    </row>
    <row r="1631" spans="1:12" x14ac:dyDescent="0.3">
      <c r="A1631" t="s">
        <v>199</v>
      </c>
      <c r="E1631" s="20" t="str">
        <f t="shared" si="106"/>
        <v/>
      </c>
      <c r="F1631" s="21" t="str">
        <f>IF(OR(E1631="",E1631="!!!"),"",IF(NOT(ISNA(VLOOKUP(E1631,E$1:E1630,1,FALSE()))),"OLD",IF(AND(E1631&lt;&gt;"",E1631&lt;&gt;"!!!"),"NEW","")))</f>
        <v/>
      </c>
      <c r="G1631" s="22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t="shared" ca="1" si="105"/>
        <v/>
      </c>
      <c r="I1631" s="24" t="str">
        <f>IF(OR(E1631="",E1631="!!!",F1631="NEW"),"",INDEX(B$2:B1630,-1+SUMPRODUCT(MAX(ROW(E$2:E1630)*(E1631=E$2:E1630)))))</f>
        <v/>
      </c>
      <c r="J1631" s="24" t="str">
        <f ca="1">IF(OR(E1631="",E1631="!!!",F1631="NEW"),"",COUNTBLANK(OFFSET(A$1,,,SUMPRODUCT(MAX(ROW(E$2:E1631)*(E1631=E$2:E1631)))))-COUNTBLANK(OFFSET(A$1,,,SUMPRODUCT(MAX(ROW(E$1:E1630)*(E2=E$1:E1630))))))</f>
        <v/>
      </c>
      <c r="K1631" s="24" t="str">
        <f>IF(OR(E1631="",E1631="!!!",F1631="NEW"),"",INDEX(J$1:J1630,SUMPRODUCT(MAX(ROW(E$1:E1630)*(E1631=E$1:E1630)))))</f>
        <v/>
      </c>
      <c r="L1631" s="25"/>
    </row>
    <row r="1632" spans="1:12" x14ac:dyDescent="0.3">
      <c r="A1632" t="s">
        <v>136</v>
      </c>
      <c r="E1632" s="20" t="str">
        <f t="shared" si="106"/>
        <v/>
      </c>
      <c r="F1632" s="21" t="str">
        <f>IF(OR(E1632="",E1632="!!!"),"",IF(NOT(ISNA(VLOOKUP(E1632,E$1:E1631,1,FALSE()))),"OLD",IF(AND(E1632&lt;&gt;"",E1632&lt;&gt;"!!!"),"NEW","")))</f>
        <v/>
      </c>
      <c r="G1632" s="22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t="shared" ca="1" si="105"/>
        <v/>
      </c>
      <c r="I1632" s="24" t="str">
        <f>IF(OR(E1632="",E1632="!!!",F1632="NEW"),"",INDEX(B$2:B1631,-1+SUMPRODUCT(MAX(ROW(E$2:E1631)*(E1632=E$2:E1631)))))</f>
        <v/>
      </c>
      <c r="J1632" s="24" t="str">
        <f ca="1">IF(OR(E1632="",E1632="!!!",F1632="NEW"),"",COUNTBLANK(OFFSET(A$1,,,SUMPRODUCT(MAX(ROW(E$2:E1632)*(E1632=E$2:E1632)))))-COUNTBLANK(OFFSET(A$1,,,SUMPRODUCT(MAX(ROW(E$1:E1631)*(E2=E$1:E1631))))))</f>
        <v/>
      </c>
      <c r="K1632" s="24" t="str">
        <f>IF(OR(E1632="",E1632="!!!",F1632="NEW"),"",INDEX(J$1:J1631,SUMPRODUCT(MAX(ROW(E$1:E1631)*(E1632=E$1:E1631)))))</f>
        <v/>
      </c>
      <c r="L1632" s="25"/>
    </row>
    <row r="1633" spans="1:12" x14ac:dyDescent="0.3">
      <c r="A1633" t="s">
        <v>949</v>
      </c>
      <c r="E1633" s="20" t="str">
        <f t="shared" si="106"/>
        <v/>
      </c>
      <c r="F1633" s="21" t="str">
        <f>IF(OR(E1633="",E1633="!!!"),"",IF(NOT(ISNA(VLOOKUP(E1633,E$1:E1632,1,FALSE()))),"OLD",IF(AND(E1633&lt;&gt;"",E1633&lt;&gt;"!!!"),"NEW","")))</f>
        <v/>
      </c>
      <c r="G1633" s="22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t="shared" ca="1" si="105"/>
        <v/>
      </c>
      <c r="I1633" s="24" t="str">
        <f>IF(OR(E1633="",E1633="!!!",F1633="NEW"),"",INDEX(B$2:B1632,-1+SUMPRODUCT(MAX(ROW(E$2:E1632)*(E1633=E$2:E1632)))))</f>
        <v/>
      </c>
      <c r="J1633" s="24" t="str">
        <f ca="1">IF(OR(E1633="",E1633="!!!",F1633="NEW"),"",COUNTBLANK(OFFSET(A$1,,,SUMPRODUCT(MAX(ROW(E$2:E1633)*(E1633=E$2:E1633)))))-COUNTBLANK(OFFSET(A$1,,,SUMPRODUCT(MAX(ROW(E$1:E1632)*(E2=E$1:E1632))))))</f>
        <v/>
      </c>
      <c r="K1633" s="24" t="str">
        <f>IF(OR(E1633="",E1633="!!!",F1633="NEW"),"",INDEX(J$1:J1632,SUMPRODUCT(MAX(ROW(E$1:E1632)*(E1633=E$1:E1632)))))</f>
        <v/>
      </c>
      <c r="L1633" s="25"/>
    </row>
    <row r="1634" spans="1:12" x14ac:dyDescent="0.3">
      <c r="A1634" t="s">
        <v>419</v>
      </c>
      <c r="B1634" s="26" t="s">
        <v>414</v>
      </c>
      <c r="C1634" s="26" t="s">
        <v>74</v>
      </c>
      <c r="D1634" s="26" t="s">
        <v>75</v>
      </c>
      <c r="E1634" s="20" t="s">
        <v>950</v>
      </c>
      <c r="F1634" s="21" t="str">
        <f>IF(OR(E1634="",E1634="!!!"),"",IF(NOT(ISNA(VLOOKUP(E1634,E$1:E1633,1,FALSE()))),"OLD",IF(AND(E1634&lt;&gt;"",E1634&lt;&gt;"!!!"),"NEW","")))</f>
        <v>NEW</v>
      </c>
      <c r="G1634" s="22" t="str">
        <f ca="1"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?REFERENTIAL</v>
      </c>
      <c r="H1634" s="23" t="str">
        <f t="shared" ca="1" si="105"/>
        <v/>
      </c>
      <c r="I1634" s="24" t="str">
        <f>IF(OR(E1634="",E1634="!!!",F1634="NEW"),"",INDEX(B$2:B1633,-1+SUMPRODUCT(MAX(ROW(E$2:E1633)*(E1634=E$2:E1633)))))</f>
        <v/>
      </c>
      <c r="J1634" s="24" t="str">
        <f ca="1">IF(OR(E1634="",E1634="!!!",F1634="NEW"),"",COUNTBLANK(OFFSET(A$1,,,SUMPRODUCT(MAX(ROW(E$2:E1634)*(E1634=E$2:E1634)))))-COUNTBLANK(OFFSET(A$1,,,SUMPRODUCT(MAX(ROW(E$1:E1633)*(E2=E$1:E1633))))))</f>
        <v/>
      </c>
      <c r="K1634" s="24" t="str">
        <f>IF(OR(E1634="",E1634="!!!",F1634="NEW"),"",INDEX(J$1:J1633,SUMPRODUCT(MAX(ROW(E$1:E1633)*(E1634=E$1:E1633)))))</f>
        <v/>
      </c>
      <c r="L1634" s="25"/>
    </row>
    <row r="1635" spans="1:12" x14ac:dyDescent="0.3">
      <c r="A1635" t="s">
        <v>142</v>
      </c>
      <c r="E1635" s="20" t="str">
        <f>IF(D1635="?OLD","!!!","")</f>
        <v/>
      </c>
      <c r="F1635" s="21" t="str">
        <f>IF(OR(E1635="",E1635="!!!"),"",IF(NOT(ISNA(VLOOKUP(E1635,E$1:E1634,1,FALSE()))),"OLD",IF(AND(E1635&lt;&gt;"",E1635&lt;&gt;"!!!"),"NEW","")))</f>
        <v/>
      </c>
      <c r="G1635" s="22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t="shared" ca="1" si="105"/>
        <v/>
      </c>
      <c r="I1635" s="24" t="str">
        <f>IF(OR(E1635="",E1635="!!!",F1635="NEW"),"",INDEX(B$2:B1634,-1+SUMPRODUCT(MAX(ROW(E$2:E1634)*(E1635=E$2:E1634)))))</f>
        <v/>
      </c>
      <c r="J1635" s="24" t="str">
        <f ca="1">IF(OR(E1635="",E1635="!!!",F1635="NEW"),"",COUNTBLANK(OFFSET(A$1,,,SUMPRODUCT(MAX(ROW(E$2:E1635)*(E1635=E$2:E1635)))))-COUNTBLANK(OFFSET(A$1,,,SUMPRODUCT(MAX(ROW(E$1:E1634)*(E2=E$1:E1634))))))</f>
        <v/>
      </c>
      <c r="K1635" s="24" t="str">
        <f>IF(OR(E1635="",E1635="!!!",F1635="NEW"),"",INDEX(J$1:J1634,SUMPRODUCT(MAX(ROW(E$1:E1634)*(E1635=E$1:E1634)))))</f>
        <v/>
      </c>
      <c r="L1635" s="25"/>
    </row>
    <row r="1636" spans="1:12" x14ac:dyDescent="0.3">
      <c r="A1636" t="s">
        <v>946</v>
      </c>
      <c r="B1636" s="26" t="s">
        <v>557</v>
      </c>
      <c r="C1636" s="26" t="s">
        <v>105</v>
      </c>
      <c r="E1636" s="20"/>
      <c r="F1636" s="21" t="str">
        <f>IF(OR(E1636="",E1636="!!!"),"",IF(NOT(ISNA(VLOOKUP(E1636,E$1:E1635,1,FALSE()))),"OLD",IF(AND(E1636&lt;&gt;"",E1636&lt;&gt;"!!!"),"NEW","")))</f>
        <v/>
      </c>
      <c r="G1636" s="22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t="shared" ca="1" si="105"/>
        <v/>
      </c>
      <c r="I1636" s="24" t="str">
        <f>IF(OR(E1636="",E1636="!!!",F1636="NEW"),"",INDEX(B$2:B1635,-1+SUMPRODUCT(MAX(ROW(E$2:E1635)*(E1636=E$2:E1635)))))</f>
        <v/>
      </c>
      <c r="J1636" s="24" t="str">
        <f ca="1">IF(OR(E1636="",E1636="!!!",F1636="NEW"),"",COUNTBLANK(OFFSET(A$1,,,SUMPRODUCT(MAX(ROW(E$2:E1636)*(E1636=E$2:E1636)))))-COUNTBLANK(OFFSET(A$1,,,SUMPRODUCT(MAX(ROW(E$1:E1635)*(E2=E$1:E1635))))))</f>
        <v/>
      </c>
      <c r="K1636" s="24" t="str">
        <f>IF(OR(E1636="",E1636="!!!",F1636="NEW"),"",INDEX(J$1:J1635,SUMPRODUCT(MAX(ROW(E$1:E1635)*(E1636=E$1:E1635)))))</f>
        <v/>
      </c>
      <c r="L1636" s="25"/>
    </row>
    <row r="1637" spans="1:12" x14ac:dyDescent="0.3">
      <c r="A1637" t="s">
        <v>112</v>
      </c>
      <c r="E1637" s="20" t="str">
        <f>IF(D1637="?OLD","!!!","")</f>
        <v/>
      </c>
      <c r="F1637" s="21" t="str">
        <f>IF(OR(E1637="",E1637="!!!"),"",IF(NOT(ISNA(VLOOKUP(E1637,E$1:E1636,1,FALSE()))),"OLD",IF(AND(E1637&lt;&gt;"",E1637&lt;&gt;"!!!"),"NEW","")))</f>
        <v/>
      </c>
      <c r="G1637" s="22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3" t="str">
        <f t="shared" ca="1" si="105"/>
        <v/>
      </c>
      <c r="I1637" s="24" t="str">
        <f>IF(OR(E1637="",E1637="!!!",F1637="NEW"),"",INDEX(B$2:B1636,-1+SUMPRODUCT(MAX(ROW(E$2:E1636)*(E1637=E$2:E1636)))))</f>
        <v/>
      </c>
      <c r="J1637" s="24" t="str">
        <f ca="1">IF(OR(E1637="",E1637="!!!",F1637="NEW"),"",COUNTBLANK(OFFSET(A$1,,,SUMPRODUCT(MAX(ROW(E$2:E1637)*(E1637=E$2:E1637)))))-COUNTBLANK(OFFSET(A$1,,,SUMPRODUCT(MAX(ROW(E$1:E1636)*(E2=E$1:E1636))))))</f>
        <v/>
      </c>
      <c r="K1637" s="24" t="str">
        <f>IF(OR(E1637="",E1637="!!!",F1637="NEW"),"",INDEX(J$1:J1636,SUMPRODUCT(MAX(ROW(E$1:E1636)*(E1637=E$1:E1636)))))</f>
        <v/>
      </c>
      <c r="L1637" s="25"/>
    </row>
    <row r="1638" spans="1:12" x14ac:dyDescent="0.3">
      <c r="A1638" t="s">
        <v>951</v>
      </c>
      <c r="E1638" s="20" t="str">
        <f>IF(D1638="?OLD","!!!","")</f>
        <v/>
      </c>
      <c r="F1638" s="21" t="str">
        <f>IF(OR(E1638="",E1638="!!!"),"",IF(NOT(ISNA(VLOOKUP(E1638,E$1:E1637,1,FALSE()))),"OLD",IF(AND(E1638&lt;&gt;"",E1638&lt;&gt;"!!!"),"NEW","")))</f>
        <v/>
      </c>
      <c r="G1638" s="22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3" t="str">
        <f t="shared" ca="1" si="105"/>
        <v/>
      </c>
      <c r="I1638" s="24" t="str">
        <f>IF(OR(E1638="",E1638="!!!",F1638="NEW"),"",INDEX(B$2:B1637,-1+SUMPRODUCT(MAX(ROW(E$2:E1637)*(E1638=E$2:E1637)))))</f>
        <v/>
      </c>
      <c r="J1638" s="24" t="str">
        <f ca="1">IF(OR(E1638="",E1638="!!!",F1638="NEW"),"",COUNTBLANK(OFFSET(A$1,,,SUMPRODUCT(MAX(ROW(E$2:E1638)*(E1638=E$2:E1638)))))-COUNTBLANK(OFFSET(A$1,,,SUMPRODUCT(MAX(ROW(E$1:E1637)*(E2=E$1:E1637))))))</f>
        <v/>
      </c>
      <c r="K1638" s="24" t="str">
        <f>IF(OR(E1638="",E1638="!!!",F1638="NEW"),"",INDEX(J$1:J1637,SUMPRODUCT(MAX(ROW(E$1:E1637)*(E1638=E$1:E1637)))))</f>
        <v/>
      </c>
      <c r="L1638" s="25"/>
    </row>
    <row r="1639" spans="1:12" x14ac:dyDescent="0.3">
      <c r="A1639" t="s">
        <v>952</v>
      </c>
      <c r="B1639" s="26" t="s">
        <v>557</v>
      </c>
      <c r="C1639" s="26" t="s">
        <v>74</v>
      </c>
      <c r="D1639" s="26" t="s">
        <v>75</v>
      </c>
      <c r="E1639" s="20" t="s">
        <v>953</v>
      </c>
      <c r="F1639" s="21" t="str">
        <f>IF(OR(E1639="",E1639="!!!"),"",IF(NOT(ISNA(VLOOKUP(E1639,E$1:E1638,1,FALSE()))),"OLD",IF(AND(E1639&lt;&gt;"",E1639&lt;&gt;"!!!"),"NEW","")))</f>
        <v>NEW</v>
      </c>
      <c r="G1639" s="22" t="str">
        <f ca="1"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?REFERENTIAL</v>
      </c>
      <c r="H1639" s="23" t="str">
        <f t="shared" ca="1" si="105"/>
        <v/>
      </c>
      <c r="I1639" s="24" t="str">
        <f>IF(OR(E1639="",E1639="!!!",F1639="NEW"),"",INDEX(B$2:B1638,-1+SUMPRODUCT(MAX(ROW(E$2:E1638)*(E1639=E$2:E1638)))))</f>
        <v/>
      </c>
      <c r="J1639" s="24" t="str">
        <f ca="1">IF(OR(E1639="",E1639="!!!",F1639="NEW"),"",COUNTBLANK(OFFSET(A$1,,,SUMPRODUCT(MAX(ROW(E$2:E1639)*(E1639=E$2:E1639)))))-COUNTBLANK(OFFSET(A$1,,,SUMPRODUCT(MAX(ROW(E$1:E1638)*(E2=E$1:E1638))))))</f>
        <v/>
      </c>
      <c r="K1639" s="24" t="str">
        <f>IF(OR(E1639="",E1639="!!!",F1639="NEW"),"",INDEX(J$1:J1638,SUMPRODUCT(MAX(ROW(E$1:E1638)*(E1639=E$1:E1638)))))</f>
        <v/>
      </c>
      <c r="L1639" s="25"/>
    </row>
    <row r="1640" spans="1:12" x14ac:dyDescent="0.3">
      <c r="A1640" t="s">
        <v>86</v>
      </c>
      <c r="E1640" s="20" t="str">
        <f t="shared" ref="E1640:E1649" si="107">IF(D1640="?OLD","!!!","")</f>
        <v/>
      </c>
      <c r="F1640" s="21" t="str">
        <f>IF(OR(E1640="",E1640="!!!"),"",IF(NOT(ISNA(VLOOKUP(E1640,E$1:E1639,1,FALSE()))),"OLD",IF(AND(E1640&lt;&gt;"",E1640&lt;&gt;"!!!"),"NEW","")))</f>
        <v/>
      </c>
      <c r="G1640" s="22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t="shared" ca="1" si="105"/>
        <v/>
      </c>
      <c r="I1640" s="24" t="str">
        <f>IF(OR(E1640="",E1640="!!!",F1640="NEW"),"",INDEX(B$2:B1639,-1+SUMPRODUCT(MAX(ROW(E$2:E1639)*(E1640=E$2:E1639)))))</f>
        <v/>
      </c>
      <c r="J1640" s="24" t="str">
        <f ca="1">IF(OR(E1640="",E1640="!!!",F1640="NEW"),"",COUNTBLANK(OFFSET(A$1,,,SUMPRODUCT(MAX(ROW(E$2:E1640)*(E1640=E$2:E1640)))))-COUNTBLANK(OFFSET(A$1,,,SUMPRODUCT(MAX(ROW(E$1:E1639)*(E2=E$1:E1639))))))</f>
        <v/>
      </c>
      <c r="K1640" s="24" t="str">
        <f>IF(OR(E1640="",E1640="!!!",F1640="NEW"),"",INDEX(J$1:J1639,SUMPRODUCT(MAX(ROW(E$1:E1639)*(E1640=E$1:E1639)))))</f>
        <v/>
      </c>
      <c r="L1640" s="25"/>
    </row>
    <row r="1641" spans="1:12" x14ac:dyDescent="0.3">
      <c r="A1641" t="s">
        <v>370</v>
      </c>
      <c r="E1641" s="20" t="str">
        <f t="shared" si="107"/>
        <v/>
      </c>
      <c r="F1641" s="21" t="str">
        <f>IF(OR(E1641="",E1641="!!!"),"",IF(NOT(ISNA(VLOOKUP(E1641,E$1:E1640,1,FALSE()))),"OLD",IF(AND(E1641&lt;&gt;"",E1641&lt;&gt;"!!!"),"NEW","")))</f>
        <v/>
      </c>
      <c r="G1641" s="22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t="shared" ca="1" si="105"/>
        <v/>
      </c>
      <c r="I1641" s="24" t="str">
        <f>IF(OR(E1641="",E1641="!!!",F1641="NEW"),"",INDEX(B$2:B1640,-1+SUMPRODUCT(MAX(ROW(E$2:E1640)*(E1641=E$2:E1640)))))</f>
        <v/>
      </c>
      <c r="J1641" s="24" t="str">
        <f ca="1">IF(OR(E1641="",E1641="!!!",F1641="NEW"),"",COUNTBLANK(OFFSET(A$1,,,SUMPRODUCT(MAX(ROW(E$2:E1641)*(E1641=E$2:E1641)))))-COUNTBLANK(OFFSET(A$1,,,SUMPRODUCT(MAX(ROW(E$1:E1640)*(E2=E$1:E1640))))))</f>
        <v/>
      </c>
      <c r="K1641" s="24" t="str">
        <f>IF(OR(E1641="",E1641="!!!",F1641="NEW"),"",INDEX(J$1:J1640,SUMPRODUCT(MAX(ROW(E$1:E1640)*(E1641=E$1:E1640)))))</f>
        <v/>
      </c>
      <c r="L1641" s="25"/>
    </row>
    <row r="1642" spans="1:12" x14ac:dyDescent="0.3">
      <c r="A1642" t="s">
        <v>954</v>
      </c>
      <c r="E1642" s="20" t="str">
        <f t="shared" si="107"/>
        <v/>
      </c>
      <c r="F1642" s="21" t="str">
        <f>IF(OR(E1642="",E1642="!!!"),"",IF(NOT(ISNA(VLOOKUP(E1642,E$1:E1641,1,FALSE()))),"OLD",IF(AND(E1642&lt;&gt;"",E1642&lt;&gt;"!!!"),"NEW","")))</f>
        <v/>
      </c>
      <c r="G1642" s="22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t="shared" ca="1" si="105"/>
        <v/>
      </c>
      <c r="I1642" s="24" t="str">
        <f>IF(OR(E1642="",E1642="!!!",F1642="NEW"),"",INDEX(B$2:B1641,-1+SUMPRODUCT(MAX(ROW(E$2:E1641)*(E1642=E$2:E1641)))))</f>
        <v/>
      </c>
      <c r="J1642" s="24" t="str">
        <f ca="1">IF(OR(E1642="",E1642="!!!",F1642="NEW"),"",COUNTBLANK(OFFSET(A$1,,,SUMPRODUCT(MAX(ROW(E$2:E1642)*(E1642=E$2:E1642)))))-COUNTBLANK(OFFSET(A$1,,,SUMPRODUCT(MAX(ROW(E$1:E1641)*(E2=E$1:E1641))))))</f>
        <v/>
      </c>
      <c r="K1642" s="24" t="str">
        <f>IF(OR(E1642="",E1642="!!!",F1642="NEW"),"",INDEX(J$1:J1641,SUMPRODUCT(MAX(ROW(E$1:E1641)*(E1642=E$1:E1641)))))</f>
        <v/>
      </c>
      <c r="L1642" s="25"/>
    </row>
    <row r="1643" spans="1:12" x14ac:dyDescent="0.3">
      <c r="A1643" t="s">
        <v>229</v>
      </c>
      <c r="E1643" s="20" t="str">
        <f t="shared" si="107"/>
        <v/>
      </c>
      <c r="F1643" s="21" t="str">
        <f>IF(OR(E1643="",E1643="!!!"),"",IF(NOT(ISNA(VLOOKUP(E1643,E$1:E1642,1,FALSE()))),"OLD",IF(AND(E1643&lt;&gt;"",E1643&lt;&gt;"!!!"),"NEW","")))</f>
        <v/>
      </c>
      <c r="G1643" s="22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t="shared" ca="1" si="105"/>
        <v/>
      </c>
      <c r="I1643" s="24" t="str">
        <f>IF(OR(E1643="",E1643="!!!",F1643="NEW"),"",INDEX(B$2:B1642,-1+SUMPRODUCT(MAX(ROW(E$2:E1642)*(E1643=E$2:E1642)))))</f>
        <v/>
      </c>
      <c r="J1643" s="24" t="str">
        <f ca="1">IF(OR(E1643="",E1643="!!!",F1643="NEW"),"",COUNTBLANK(OFFSET(A$1,,,SUMPRODUCT(MAX(ROW(E$2:E1643)*(E1643=E$2:E1643)))))-COUNTBLANK(OFFSET(A$1,,,SUMPRODUCT(MAX(ROW(E$1:E1642)*(E2=E$1:E1642))))))</f>
        <v/>
      </c>
      <c r="K1643" s="24" t="str">
        <f>IF(OR(E1643="",E1643="!!!",F1643="NEW"),"",INDEX(J$1:J1642,SUMPRODUCT(MAX(ROW(E$1:E1642)*(E1643=E$1:E1642)))))</f>
        <v/>
      </c>
      <c r="L1643" s="25"/>
    </row>
    <row r="1644" spans="1:12" x14ac:dyDescent="0.3">
      <c r="A1644" t="s">
        <v>123</v>
      </c>
      <c r="E1644" s="20" t="str">
        <f t="shared" si="107"/>
        <v/>
      </c>
      <c r="F1644" s="21"/>
      <c r="G1644" s="22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t="shared" ca="1" si="105"/>
        <v/>
      </c>
      <c r="I1644" s="24" t="str">
        <f>IF(OR(E1644="",E1644="!!!",F1644="NEW"),"",INDEX(B$2:B1643,-1+SUMPRODUCT(MAX(ROW(E$2:E1643)*(E1644=E$2:E1643)))))</f>
        <v/>
      </c>
      <c r="J1644" s="24" t="str">
        <f ca="1">IF(OR(E1644="",E1644="!!!",F1644="NEW"),"",COUNTBLANK(OFFSET(A$1,,,SUMPRODUCT(MAX(ROW(E$2:E1644)*(E1644=E$2:E1644)))))-COUNTBLANK(OFFSET(A$1,,,SUMPRODUCT(MAX(ROW(E$1:E1643)*(E2=E$1:E1643))))))</f>
        <v/>
      </c>
      <c r="K1644" s="24" t="str">
        <f>IF(OR(E1644="",E1644="!!!",F1644="NEW"),"",INDEX(J$1:J1643,SUMPRODUCT(MAX(ROW(E$1:E1643)*(E1644=E$1:E1643)))))</f>
        <v/>
      </c>
      <c r="L1644" s="25"/>
    </row>
    <row r="1645" spans="1:12" x14ac:dyDescent="0.3">
      <c r="A1645" t="s">
        <v>333</v>
      </c>
      <c r="E1645" s="20" t="str">
        <f t="shared" si="107"/>
        <v/>
      </c>
      <c r="F1645" s="21" t="str">
        <f>IF(OR(E1645="",E1645="!!!"),"",IF(NOT(ISNA(VLOOKUP(E1645,E$1:E1644,1,FALSE()))),"OLD",IF(AND(E1645&lt;&gt;"",E1645&lt;&gt;"!!!"),"NEW","")))</f>
        <v/>
      </c>
      <c r="G1645" s="22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t="shared" ca="1" si="105"/>
        <v/>
      </c>
      <c r="I1645" s="24" t="str">
        <f>IF(OR(E1645="",E1645="!!!",F1645="NEW"),"",INDEX(B$2:B1644,-1+SUMPRODUCT(MAX(ROW(E$2:E1644)*(E1645=E$2:E1644)))))</f>
        <v/>
      </c>
      <c r="J1645" s="24" t="str">
        <f ca="1">IF(OR(E1645="",E1645="!!!",F1645="NEW"),"",COUNTBLANK(OFFSET(A$1,,,SUMPRODUCT(MAX(ROW(E$2:E1645)*(E1645=E$2:E1645)))))-COUNTBLANK(OFFSET(A$1,,,SUMPRODUCT(MAX(ROW(E$1:E1644)*(E2=E$1:E1644))))))</f>
        <v/>
      </c>
      <c r="K1645" s="24" t="str">
        <f>IF(OR(E1645="",E1645="!!!",F1645="NEW"),"",INDEX(J$1:J1644,SUMPRODUCT(MAX(ROW(E$1:E1644)*(E1645=E$1:E1644)))))</f>
        <v/>
      </c>
      <c r="L1645" s="25"/>
    </row>
    <row r="1646" spans="1:12" x14ac:dyDescent="0.3">
      <c r="A1646" t="s">
        <v>955</v>
      </c>
      <c r="B1646" s="26" t="s">
        <v>213</v>
      </c>
      <c r="C1646" s="26" t="s">
        <v>335</v>
      </c>
      <c r="E1646" s="20" t="str">
        <f t="shared" si="107"/>
        <v/>
      </c>
      <c r="F1646" s="21" t="str">
        <f>IF(OR(E1646="",E1646="!!!"),"",IF(NOT(ISNA(VLOOKUP(E1646,E$1:E1645,1,FALSE()))),"OLD",IF(AND(E1646&lt;&gt;"",E1646&lt;&gt;"!!!"),"NEW","")))</f>
        <v/>
      </c>
      <c r="G1646" s="22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t="shared" ca="1" si="105"/>
        <v/>
      </c>
      <c r="I1646" s="24" t="str">
        <f>IF(OR(E1646="",E1646="!!!",F1646="NEW"),"",INDEX(B$2:B1645,-1+SUMPRODUCT(MAX(ROW(E$2:E1645)*(E1646=E$2:E1645)))))</f>
        <v/>
      </c>
      <c r="J1646" s="24" t="str">
        <f ca="1">IF(OR(E1646="",E1646="!!!",F1646="NEW"),"",COUNTBLANK(OFFSET(A$1,,,SUMPRODUCT(MAX(ROW(E$2:E1646)*(E1646=E$2:E1646)))))-COUNTBLANK(OFFSET(A$1,,,SUMPRODUCT(MAX(ROW(E$1:E1645)*(E2=E$1:E1645))))))</f>
        <v/>
      </c>
      <c r="K1646" s="24" t="str">
        <f>IF(OR(E1646="",E1646="!!!",F1646="NEW"),"",INDEX(J$1:J1645,SUMPRODUCT(MAX(ROW(E$1:E1645)*(E1646=E$1:E1645)))))</f>
        <v/>
      </c>
      <c r="L1646" s="25"/>
    </row>
    <row r="1647" spans="1:12" x14ac:dyDescent="0.3">
      <c r="A1647" t="s">
        <v>101</v>
      </c>
      <c r="E1647" s="20" t="str">
        <f t="shared" si="107"/>
        <v/>
      </c>
      <c r="F1647" s="21" t="str">
        <f>IF(OR(E1647="",E1647="!!!"),"",IF(NOT(ISNA(VLOOKUP(E1647,E$1:E1646,1,FALSE()))),"OLD",IF(AND(E1647&lt;&gt;"",E1647&lt;&gt;"!!!"),"NEW","")))</f>
        <v/>
      </c>
      <c r="G1647" s="22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t="shared" ca="1" si="105"/>
        <v/>
      </c>
      <c r="I1647" s="24" t="str">
        <f>IF(OR(E1647="",E1647="!!!",F1647="NEW"),"",INDEX(B$2:B1646,-1+SUMPRODUCT(MAX(ROW(E$2:E1646)*(E1647=E$2:E1646)))))</f>
        <v/>
      </c>
      <c r="J1647" s="24" t="str">
        <f ca="1">IF(OR(E1647="",E1647="!!!",F1647="NEW"),"",COUNTBLANK(OFFSET(A$1,,,SUMPRODUCT(MAX(ROW(E$2:E1647)*(E1647=E$2:E1647)))))-COUNTBLANK(OFFSET(A$1,,,SUMPRODUCT(MAX(ROW(E$1:E1646)*(E2=E$1:E1646))))))</f>
        <v/>
      </c>
      <c r="K1647" s="24" t="str">
        <f>IF(OR(E1647="",E1647="!!!",F1647="NEW"),"",INDEX(J$1:J1646,SUMPRODUCT(MAX(ROW(E$1:E1646)*(E1647=E$1:E1646)))))</f>
        <v/>
      </c>
      <c r="L1647" s="25"/>
    </row>
    <row r="1648" spans="1:12" x14ac:dyDescent="0.3">
      <c r="A1648" t="s">
        <v>270</v>
      </c>
      <c r="E1648" s="20" t="str">
        <f t="shared" si="107"/>
        <v/>
      </c>
      <c r="F1648" s="21" t="str">
        <f>IF(OR(E1648="",E1648="!!!"),"",IF(NOT(ISNA(VLOOKUP(E1648,E$1:E1647,1,FALSE()))),"OLD",IF(AND(E1648&lt;&gt;"",E1648&lt;&gt;"!!!"),"NEW","")))</f>
        <v/>
      </c>
      <c r="G1648" s="22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3" t="str">
        <f t="shared" ca="1" si="105"/>
        <v/>
      </c>
      <c r="I1648" s="24" t="str">
        <f>IF(OR(E1648="",E1648="!!!",F1648="NEW"),"",INDEX(B$2:B1647,-1+SUMPRODUCT(MAX(ROW(E$2:E1647)*(E1648=E$2:E1647)))))</f>
        <v/>
      </c>
      <c r="J1648" s="24" t="str">
        <f ca="1">IF(OR(E1648="",E1648="!!!",F1648="NEW"),"",COUNTBLANK(OFFSET(A$1,,,SUMPRODUCT(MAX(ROW(E$2:E1648)*(E1648=E$2:E1648)))))-COUNTBLANK(OFFSET(A$1,,,SUMPRODUCT(MAX(ROW(E$1:E1647)*(E2=E$1:E1647))))))</f>
        <v/>
      </c>
      <c r="K1648" s="24" t="str">
        <f>IF(OR(E1648="",E1648="!!!",F1648="NEW"),"",INDEX(J$1:J1647,SUMPRODUCT(MAX(ROW(E$1:E1647)*(E1648=E$1:E1647)))))</f>
        <v/>
      </c>
      <c r="L1648" s="25"/>
    </row>
    <row r="1649" spans="1:12" x14ac:dyDescent="0.3">
      <c r="A1649" t="s">
        <v>627</v>
      </c>
      <c r="E1649" s="20" t="str">
        <f t="shared" si="107"/>
        <v/>
      </c>
      <c r="F1649" s="21" t="str">
        <f>IF(OR(E1649="",E1649="!!!"),"",IF(NOT(ISNA(VLOOKUP(E1649,E$1:E1648,1,FALSE()))),"OLD",IF(AND(E1649&lt;&gt;"",E1649&lt;&gt;"!!!"),"NEW","")))</f>
        <v/>
      </c>
      <c r="G1649" s="22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3" t="str">
        <f t="shared" ca="1" si="105"/>
        <v/>
      </c>
      <c r="I1649" s="24" t="str">
        <f>IF(OR(E1649="",E1649="!!!",F1649="NEW"),"",INDEX(B$2:B1648,-1+SUMPRODUCT(MAX(ROW(E$2:E1648)*(E1649=E$2:E1648)))))</f>
        <v/>
      </c>
      <c r="J1649" s="24" t="str">
        <f ca="1">IF(OR(E1649="",E1649="!!!",F1649="NEW"),"",COUNTBLANK(OFFSET(A$1,,,SUMPRODUCT(MAX(ROW(E$2:E1649)*(E1649=E$2:E1649)))))-COUNTBLANK(OFFSET(A$1,,,SUMPRODUCT(MAX(ROW(E$1:E1648)*(E2=E$1:E1648))))))</f>
        <v/>
      </c>
      <c r="K1649" s="24" t="str">
        <f>IF(OR(E1649="",E1649="!!!",F1649="NEW"),"",INDEX(J$1:J1648,SUMPRODUCT(MAX(ROW(E$1:E1648)*(E1649=E$1:E1648)))))</f>
        <v/>
      </c>
      <c r="L1649" s="25"/>
    </row>
    <row r="1650" spans="1:12" x14ac:dyDescent="0.3">
      <c r="A1650" t="s">
        <v>956</v>
      </c>
      <c r="B1650" s="26" t="s">
        <v>411</v>
      </c>
      <c r="C1650" s="26" t="s">
        <v>151</v>
      </c>
      <c r="D1650" s="26" t="s">
        <v>75</v>
      </c>
      <c r="E1650" s="20" t="s">
        <v>957</v>
      </c>
      <c r="F1650" s="21" t="str">
        <f>IF(OR(E1650="",E1650="!!!"),"",IF(NOT(ISNA(VLOOKUP(E1650,E$1:E1649,1,FALSE()))),"OLD",IF(AND(E1650&lt;&gt;"",E1650&lt;&gt;"!!!"),"NEW","")))</f>
        <v>NEW</v>
      </c>
      <c r="G1650" s="22" t="str">
        <f ca="1"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?REFERENTIAL</v>
      </c>
      <c r="H1650" s="23" t="str">
        <f t="shared" ca="1" si="105"/>
        <v/>
      </c>
      <c r="I1650" s="24" t="str">
        <f>IF(OR(E1650="",E1650="!!!",F1650="NEW"),"",INDEX(B$2:B1649,-1+SUMPRODUCT(MAX(ROW(E$2:E1649)*(E1650=E$2:E1649)))))</f>
        <v/>
      </c>
      <c r="J1650" s="24" t="str">
        <f ca="1">IF(OR(E1650="",E1650="!!!",F1650="NEW"),"",COUNTBLANK(OFFSET(A$1,,,SUMPRODUCT(MAX(ROW(E$2:E1650)*(E1650=E$2:E1650)))))-COUNTBLANK(OFFSET(A$1,,,SUMPRODUCT(MAX(ROW(E$1:E1649)*(E2=E$1:E1649))))))</f>
        <v/>
      </c>
      <c r="K1650" s="24" t="str">
        <f>IF(OR(E1650="",E1650="!!!",F1650="NEW"),"",INDEX(J$1:J1649,SUMPRODUCT(MAX(ROW(E$1:E1649)*(E1650=E$1:E1649)))))</f>
        <v/>
      </c>
      <c r="L1650" s="25"/>
    </row>
    <row r="1651" spans="1:12" x14ac:dyDescent="0.3">
      <c r="A1651" t="s">
        <v>274</v>
      </c>
      <c r="B1651" s="26" t="s">
        <v>411</v>
      </c>
      <c r="C1651" s="26" t="s">
        <v>111</v>
      </c>
      <c r="E1651" s="20" t="str">
        <f t="shared" ref="E1651:E1659" si="108">IF(D1651="?OLD","!!!","")</f>
        <v/>
      </c>
      <c r="F1651" s="21" t="str">
        <f>IF(OR(E1651="",E1651="!!!"),"",IF(NOT(ISNA(VLOOKUP(E1651,E$1:E1650,1,FALSE()))),"OLD",IF(AND(E1651&lt;&gt;"",E1651&lt;&gt;"!!!"),"NEW","")))</f>
        <v/>
      </c>
      <c r="G1651" s="22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t="shared" ca="1" si="105"/>
        <v/>
      </c>
      <c r="I1651" s="24" t="str">
        <f>IF(OR(E1651="",E1651="!!!",F1651="NEW"),"",INDEX(B$2:B1650,-1+SUMPRODUCT(MAX(ROW(E$2:E1650)*(E1651=E$2:E1650)))))</f>
        <v/>
      </c>
      <c r="J1651" s="24" t="str">
        <f ca="1">IF(OR(E1651="",E1651="!!!",F1651="NEW"),"",COUNTBLANK(OFFSET(A$1,,,SUMPRODUCT(MAX(ROW(E$2:E1651)*(E1651=E$2:E1651)))))-COUNTBLANK(OFFSET(A$1,,,SUMPRODUCT(MAX(ROW(E$1:E1650)*(E2=E$1:E1650))))))</f>
        <v/>
      </c>
      <c r="K1651" s="24" t="str">
        <f>IF(OR(E1651="",E1651="!!!",F1651="NEW"),"",INDEX(J$1:J1650,SUMPRODUCT(MAX(ROW(E$1:E1650)*(E1651=E$1:E1650)))))</f>
        <v/>
      </c>
      <c r="L1651" s="25"/>
    </row>
    <row r="1652" spans="1:12" x14ac:dyDescent="0.3">
      <c r="A1652" t="s">
        <v>178</v>
      </c>
      <c r="E1652" s="20" t="str">
        <f t="shared" si="108"/>
        <v/>
      </c>
      <c r="F1652" s="21" t="str">
        <f>IF(OR(E1652="",E1652="!!!"),"",IF(NOT(ISNA(VLOOKUP(E1652,E$1:E1651,1,FALSE()))),"OLD",IF(AND(E1652&lt;&gt;"",E1652&lt;&gt;"!!!"),"NEW","")))</f>
        <v/>
      </c>
      <c r="G1652" s="22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t="shared" ca="1" si="105"/>
        <v/>
      </c>
      <c r="I1652" s="24" t="str">
        <f>IF(OR(E1652="",E1652="!!!",F1652="NEW"),"",INDEX(B$2:B1651,-1+SUMPRODUCT(MAX(ROW(E$2:E1651)*(E1652=E$2:E1651)))))</f>
        <v/>
      </c>
      <c r="J1652" s="24" t="str">
        <f ca="1">IF(OR(E1652="",E1652="!!!",F1652="NEW"),"",COUNTBLANK(OFFSET(A$1,,,SUMPRODUCT(MAX(ROW(E$2:E1652)*(E1652=E$2:E1652)))))-COUNTBLANK(OFFSET(A$1,,,SUMPRODUCT(MAX(ROW(E$1:E1651)*(E2=E$1:E1651))))))</f>
        <v/>
      </c>
      <c r="K1652" s="24" t="str">
        <f>IF(OR(E1652="",E1652="!!!",F1652="NEW"),"",INDEX(J$1:J1651,SUMPRODUCT(MAX(ROW(E$1:E1651)*(E1652=E$1:E1651)))))</f>
        <v/>
      </c>
      <c r="L1652" s="25"/>
    </row>
    <row r="1653" spans="1:12" x14ac:dyDescent="0.3">
      <c r="A1653" t="s">
        <v>958</v>
      </c>
      <c r="E1653" s="20" t="str">
        <f t="shared" si="108"/>
        <v/>
      </c>
      <c r="F1653" s="21" t="str">
        <f>IF(OR(E1653="",E1653="!!!"),"",IF(NOT(ISNA(VLOOKUP(E1653,E$1:E1652,1,FALSE()))),"OLD",IF(AND(E1653&lt;&gt;"",E1653&lt;&gt;"!!!"),"NEW","")))</f>
        <v/>
      </c>
      <c r="G1653" s="22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t="shared" ca="1" si="105"/>
        <v/>
      </c>
      <c r="I1653" s="24" t="str">
        <f>IF(OR(E1653="",E1653="!!!",F1653="NEW"),"",INDEX(B$2:B1652,-1+SUMPRODUCT(MAX(ROW(E$2:E1652)*(E1653=E$2:E1652)))))</f>
        <v/>
      </c>
      <c r="J1653" s="24" t="str">
        <f ca="1">IF(OR(E1653="",E1653="!!!",F1653="NEW"),"",COUNTBLANK(OFFSET(A$1,,,SUMPRODUCT(MAX(ROW(E$2:E1653)*(E1653=E$2:E1653)))))-COUNTBLANK(OFFSET(A$1,,,SUMPRODUCT(MAX(ROW(E$1:E1652)*(E2=E$1:E1652))))))</f>
        <v/>
      </c>
      <c r="K1653" s="24" t="str">
        <f>IF(OR(E1653="",E1653="!!!",F1653="NEW"),"",INDEX(J$1:J1652,SUMPRODUCT(MAX(ROW(E$1:E1652)*(E1653=E$1:E1652)))))</f>
        <v/>
      </c>
      <c r="L1653" s="25"/>
    </row>
    <row r="1654" spans="1:12" x14ac:dyDescent="0.3">
      <c r="A1654" t="s">
        <v>959</v>
      </c>
      <c r="E1654" s="20" t="str">
        <f t="shared" si="108"/>
        <v/>
      </c>
      <c r="F1654" s="21" t="str">
        <f>IF(OR(E1654="",E1654="!!!"),"",IF(NOT(ISNA(VLOOKUP(E1654,E$1:E1653,1,FALSE()))),"OLD",IF(AND(E1654&lt;&gt;"",E1654&lt;&gt;"!!!"),"NEW","")))</f>
        <v/>
      </c>
      <c r="G1654" s="22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t="shared" ca="1" si="105"/>
        <v/>
      </c>
      <c r="I1654" s="24" t="str">
        <f>IF(OR(E1654="",E1654="!!!",F1654="NEW"),"",INDEX(B$2:B1653,-1+SUMPRODUCT(MAX(ROW(E$2:E1653)*(E1654=E$2:E1653)))))</f>
        <v/>
      </c>
      <c r="J1654" s="24" t="str">
        <f ca="1">IF(OR(E1654="",E1654="!!!",F1654="NEW"),"",COUNTBLANK(OFFSET(A$1,,,SUMPRODUCT(MAX(ROW(E$2:E1654)*(E1654=E$2:E1654)))))-COUNTBLANK(OFFSET(A$1,,,SUMPRODUCT(MAX(ROW(E$1:E1653)*(E2=E$1:E1653))))))</f>
        <v/>
      </c>
      <c r="K1654" s="24" t="str">
        <f>IF(OR(E1654="",E1654="!!!",F1654="NEW"),"",INDEX(J$1:J1653,SUMPRODUCT(MAX(ROW(E$1:E1653)*(E1654=E$1:E1653)))))</f>
        <v/>
      </c>
      <c r="L1654" s="25"/>
    </row>
    <row r="1655" spans="1:12" x14ac:dyDescent="0.3">
      <c r="A1655" t="s">
        <v>960</v>
      </c>
      <c r="B1655" s="26" t="s">
        <v>416</v>
      </c>
      <c r="C1655" s="26" t="s">
        <v>105</v>
      </c>
      <c r="E1655" s="20" t="str">
        <f t="shared" si="108"/>
        <v/>
      </c>
      <c r="F1655" s="21" t="str">
        <f>IF(OR(E1655="",E1655="!!!"),"",IF(NOT(ISNA(VLOOKUP(E1655,E$1:E1654,1,FALSE()))),"OLD",IF(AND(E1655&lt;&gt;"",E1655&lt;&gt;"!!!"),"NEW","")))</f>
        <v/>
      </c>
      <c r="G1655" s="22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t="shared" ca="1" si="105"/>
        <v/>
      </c>
      <c r="I1655" s="24" t="str">
        <f>IF(OR(E1655="",E1655="!!!",F1655="NEW"),"",INDEX(B$2:B1654,-1+SUMPRODUCT(MAX(ROW(E$2:E1654)*(E1655=E$2:E1654)))))</f>
        <v/>
      </c>
      <c r="J1655" s="24" t="str">
        <f ca="1">IF(OR(E1655="",E1655="!!!",F1655="NEW"),"",COUNTBLANK(OFFSET(A$1,,,SUMPRODUCT(MAX(ROW(E$2:E1655)*(E1655=E$2:E1655)))))-COUNTBLANK(OFFSET(A$1,,,SUMPRODUCT(MAX(ROW(E$1:E1654)*(E2=E$1:E1654))))))</f>
        <v/>
      </c>
      <c r="K1655" s="24" t="str">
        <f>IF(OR(E1655="",E1655="!!!",F1655="NEW"),"",INDEX(J$1:J1654,SUMPRODUCT(MAX(ROW(E$1:E1654)*(E1655=E$1:E1654)))))</f>
        <v/>
      </c>
      <c r="L1655" s="25"/>
    </row>
    <row r="1656" spans="1:12" x14ac:dyDescent="0.3">
      <c r="A1656" t="s">
        <v>961</v>
      </c>
      <c r="E1656" s="20" t="str">
        <f t="shared" si="108"/>
        <v/>
      </c>
      <c r="F1656" s="21" t="str">
        <f>IF(OR(E1656="",E1656="!!!"),"",IF(NOT(ISNA(VLOOKUP(E1656,E$1:E1655,1,FALSE()))),"OLD",IF(AND(E1656&lt;&gt;"",E1656&lt;&gt;"!!!"),"NEW","")))</f>
        <v/>
      </c>
      <c r="G1656" s="22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t="shared" ca="1" si="105"/>
        <v/>
      </c>
      <c r="I1656" s="24" t="str">
        <f>IF(OR(E1656="",E1656="!!!",F1656="NEW"),"",INDEX(B$2:B1655,-1+SUMPRODUCT(MAX(ROW(E$2:E1655)*(E1656=E$2:E1655)))))</f>
        <v/>
      </c>
      <c r="J1656" s="24" t="str">
        <f ca="1">IF(OR(E1656="",E1656="!!!",F1656="NEW"),"",COUNTBLANK(OFFSET(A$1,,,SUMPRODUCT(MAX(ROW(E$2:E1656)*(E1656=E$2:E1656)))))-COUNTBLANK(OFFSET(A$1,,,SUMPRODUCT(MAX(ROW(E$1:E1655)*(E2=E$1:E1655))))))</f>
        <v/>
      </c>
      <c r="K1656" s="24" t="str">
        <f>IF(OR(E1656="",E1656="!!!",F1656="NEW"),"",INDEX(J$1:J1655,SUMPRODUCT(MAX(ROW(E$1:E1655)*(E1656=E$1:E1655)))))</f>
        <v/>
      </c>
      <c r="L1656" s="25"/>
    </row>
    <row r="1657" spans="1:12" x14ac:dyDescent="0.3">
      <c r="A1657" t="s">
        <v>101</v>
      </c>
      <c r="E1657" s="20" t="str">
        <f t="shared" si="108"/>
        <v/>
      </c>
      <c r="F1657" s="21" t="str">
        <f>IF(OR(E1657="",E1657="!!!"),"",IF(NOT(ISNA(VLOOKUP(E1657,E$1:E1656,1,FALSE()))),"OLD",IF(AND(E1657&lt;&gt;"",E1657&lt;&gt;"!!!"),"NEW","")))</f>
        <v/>
      </c>
      <c r="G1657" s="22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t="shared" ca="1" si="105"/>
        <v/>
      </c>
      <c r="I1657" s="24" t="str">
        <f>IF(OR(E1657="",E1657="!!!",F1657="NEW"),"",INDEX(B$2:B1656,-1+SUMPRODUCT(MAX(ROW(E$2:E1656)*(E1657=E$2:E1656)))))</f>
        <v/>
      </c>
      <c r="J1657" s="24" t="str">
        <f ca="1">IF(OR(E1657="",E1657="!!!",F1657="NEW"),"",COUNTBLANK(OFFSET(A$1,,,SUMPRODUCT(MAX(ROW(E$2:E1657)*(E1657=E$2:E1657)))))-COUNTBLANK(OFFSET(A$1,,,SUMPRODUCT(MAX(ROW(E$1:E1656)*(E2=E$1:E1656))))))</f>
        <v/>
      </c>
      <c r="K1657" s="24" t="str">
        <f>IF(OR(E1657="",E1657="!!!",F1657="NEW"),"",INDEX(J$1:J1656,SUMPRODUCT(MAX(ROW(E$1:E1656)*(E1657=E$1:E1656)))))</f>
        <v/>
      </c>
      <c r="L1657" s="25"/>
    </row>
    <row r="1658" spans="1:12" x14ac:dyDescent="0.3">
      <c r="A1658" t="s">
        <v>78</v>
      </c>
      <c r="E1658" s="20" t="str">
        <f t="shared" si="108"/>
        <v/>
      </c>
      <c r="F1658" s="21" t="str">
        <f>IF(OR(E1658="",E1658="!!!"),"",IF(NOT(ISNA(VLOOKUP(E1658,E$1:E1657,1,FALSE()))),"OLD",IF(AND(E1658&lt;&gt;"",E1658&lt;&gt;"!!!"),"NEW","")))</f>
        <v/>
      </c>
      <c r="G1658" s="22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3" t="str">
        <f t="shared" ca="1" si="105"/>
        <v/>
      </c>
      <c r="I1658" s="24" t="str">
        <f>IF(OR(E1658="",E1658="!!!",F1658="NEW"),"",INDEX(B$2:B1657,-1+SUMPRODUCT(MAX(ROW(E$2:E1657)*(E1658=E$2:E1657)))))</f>
        <v/>
      </c>
      <c r="J1658" s="24" t="str">
        <f ca="1">IF(OR(E1658="",E1658="!!!",F1658="NEW"),"",COUNTBLANK(OFFSET(A$1,,,SUMPRODUCT(MAX(ROW(E$2:E1658)*(E1658=E$2:E1658)))))-COUNTBLANK(OFFSET(A$1,,,SUMPRODUCT(MAX(ROW(E$1:E1657)*(E2=E$1:E1657))))))</f>
        <v/>
      </c>
      <c r="K1658" s="24" t="str">
        <f>IF(OR(E1658="",E1658="!!!",F1658="NEW"),"",INDEX(J$1:J1657,SUMPRODUCT(MAX(ROW(E$1:E1657)*(E1658=E$1:E1657)))))</f>
        <v/>
      </c>
      <c r="L1658" s="25"/>
    </row>
    <row r="1659" spans="1:12" x14ac:dyDescent="0.3">
      <c r="A1659" t="s">
        <v>136</v>
      </c>
      <c r="E1659" s="20" t="str">
        <f t="shared" si="108"/>
        <v/>
      </c>
      <c r="F1659" s="21" t="str">
        <f>IF(OR(E1659="",E1659="!!!"),"",IF(NOT(ISNA(VLOOKUP(E1659,E$1:E1658,1,FALSE()))),"OLD",IF(AND(E1659&lt;&gt;"",E1659&lt;&gt;"!!!"),"NEW","")))</f>
        <v/>
      </c>
      <c r="G1659" s="22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3" t="str">
        <f t="shared" ca="1" si="105"/>
        <v/>
      </c>
      <c r="I1659" s="24" t="str">
        <f>IF(OR(E1659="",E1659="!!!",F1659="NEW"),"",INDEX(B$2:B1658,-1+SUMPRODUCT(MAX(ROW(E$2:E1658)*(E1659=E$2:E1658)))))</f>
        <v/>
      </c>
      <c r="J1659" s="24" t="str">
        <f ca="1">IF(OR(E1659="",E1659="!!!",F1659="NEW"),"",COUNTBLANK(OFFSET(A$1,,,SUMPRODUCT(MAX(ROW(E$2:E1659)*(E1659=E$2:E1659)))))-COUNTBLANK(OFFSET(A$1,,,SUMPRODUCT(MAX(ROW(E$1:E1658)*(E2=E$1:E1658))))))</f>
        <v/>
      </c>
      <c r="K1659" s="24" t="str">
        <f>IF(OR(E1659="",E1659="!!!",F1659="NEW"),"",INDEX(J$1:J1658,SUMPRODUCT(MAX(ROW(E$1:E1658)*(E1659=E$1:E1658)))))</f>
        <v/>
      </c>
      <c r="L1659" s="25"/>
    </row>
    <row r="1660" spans="1:12" x14ac:dyDescent="0.3">
      <c r="A1660" t="s">
        <v>962</v>
      </c>
      <c r="B1660" s="26" t="s">
        <v>552</v>
      </c>
      <c r="C1660" s="26" t="s">
        <v>74</v>
      </c>
      <c r="D1660" s="26" t="s">
        <v>75</v>
      </c>
      <c r="E1660" s="20" t="s">
        <v>963</v>
      </c>
      <c r="F1660" s="21" t="s">
        <v>107</v>
      </c>
      <c r="G1660" s="22" t="e">
        <f ca="1"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#VALUE!</v>
      </c>
      <c r="H1660" s="23" t="str">
        <f t="shared" ca="1" si="105"/>
        <v/>
      </c>
      <c r="I1660" s="24" t="e">
        <f>IF(OR(E1660="",E1660="!!!",F1660="NEW"),"",INDEX(B$2:B1659,-1+SUMPRODUCT(MAX(ROW(E$2:E1659)*(E1660=E$2:E1659)))))</f>
        <v>#VALUE!</v>
      </c>
      <c r="J1660" s="24">
        <f ca="1">IF(OR(E1660="",E1660="!!!",F1660="NEW"),"",COUNTBLANK(OFFSET(A$1,,,SUMPRODUCT(MAX(ROW(E$2:E1660)*(E1660=E$2:E1660)))))-COUNTBLANK(OFFSET(A$1,,,SUMPRODUCT(MAX(ROW(E$1:E1659)*(E2=E$1:E1659))))))</f>
        <v>0</v>
      </c>
      <c r="K1660" s="24" t="e">
        <f>IF(OR(E1660="",E1660="!!!",F1660="NEW"),"",INDEX(J$1:J1659,SUMPRODUCT(MAX(ROW(E$1:E1659)*(E1660=E$1:E1659)))))</f>
        <v>#VALUE!</v>
      </c>
      <c r="L1660" s="25"/>
    </row>
    <row r="1661" spans="1:12" x14ac:dyDescent="0.3">
      <c r="A1661" t="s">
        <v>101</v>
      </c>
      <c r="E1661" s="20" t="str">
        <f>IF(D1661="?OLD","!!!","")</f>
        <v/>
      </c>
      <c r="F1661" s="21" t="str">
        <f>IF(OR(E1661="",E1661="!!!"),"",IF(NOT(ISNA(VLOOKUP(E1661,E$1:E1660,1,FALSE()))),"OLD",IF(AND(E1661&lt;&gt;"",E1661&lt;&gt;"!!!"),"NEW","")))</f>
        <v/>
      </c>
      <c r="G1661" s="22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t="shared" ca="1" si="105"/>
        <v/>
      </c>
      <c r="I1661" s="24" t="str">
        <f>IF(OR(E1661="",E1661="!!!",F1661="NEW"),"",INDEX(B$2:B1660,-1+SUMPRODUCT(MAX(ROW(E$2:E1660)*(E1661=E$2:E1660)))))</f>
        <v/>
      </c>
      <c r="J1661" s="24" t="str">
        <f ca="1">IF(OR(E1661="",E1661="!!!",F1661="NEW"),"",COUNTBLANK(OFFSET(A$1,,,SUMPRODUCT(MAX(ROW(E$2:E1661)*(E1661=E$2:E1661)))))-COUNTBLANK(OFFSET(A$1,,,SUMPRODUCT(MAX(ROW(E$1:E1660)*(E2=E$1:E1660))))))</f>
        <v/>
      </c>
      <c r="K1661" s="24" t="str">
        <f>IF(OR(E1661="",E1661="!!!",F1661="NEW"),"",INDEX(J$1:J1660,SUMPRODUCT(MAX(ROW(E$1:E1660)*(E1661=E$1:E1660)))))</f>
        <v/>
      </c>
      <c r="L1661" s="25"/>
    </row>
    <row r="1662" spans="1:12" x14ac:dyDescent="0.3">
      <c r="A1662" t="s">
        <v>102</v>
      </c>
      <c r="E1662" s="20" t="str">
        <f>IF(D1662="?OLD","!!!","")</f>
        <v/>
      </c>
      <c r="F1662" s="21" t="str">
        <f>IF(OR(E1662="",E1662="!!!"),"",IF(NOT(ISNA(VLOOKUP(E1662,E$1:E1661,1,FALSE()))),"OLD",IF(AND(E1662&lt;&gt;"",E1662&lt;&gt;"!!!"),"NEW","")))</f>
        <v/>
      </c>
      <c r="G1662" s="22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t="shared" ca="1" si="105"/>
        <v/>
      </c>
      <c r="I1662" s="24" t="str">
        <f>IF(OR(E1662="",E1662="!!!",F1662="NEW"),"",INDEX(B$2:B1661,-1+SUMPRODUCT(MAX(ROW(E$2:E1661)*(E1662=E$2:E1661)))))</f>
        <v/>
      </c>
      <c r="J1662" s="24" t="str">
        <f ca="1">IF(OR(E1662="",E1662="!!!",F1662="NEW"),"",COUNTBLANK(OFFSET(A$1,,,SUMPRODUCT(MAX(ROW(E$2:E1662)*(E1662=E$2:E1662)))))-COUNTBLANK(OFFSET(A$1,,,SUMPRODUCT(MAX(ROW(E$1:E1661)*(E2=E$1:E1661))))))</f>
        <v/>
      </c>
      <c r="K1662" s="24" t="str">
        <f>IF(OR(E1662="",E1662="!!!",F1662="NEW"),"",INDEX(J$1:J1661,SUMPRODUCT(MAX(ROW(E$1:E1661)*(E1662=E$1:E1661)))))</f>
        <v/>
      </c>
      <c r="L1662" s="25"/>
    </row>
    <row r="1663" spans="1:12" x14ac:dyDescent="0.3">
      <c r="A1663" t="s">
        <v>123</v>
      </c>
      <c r="B1663" s="26" t="s">
        <v>964</v>
      </c>
      <c r="C1663" s="26" t="s">
        <v>88</v>
      </c>
      <c r="D1663" s="26" t="s">
        <v>75</v>
      </c>
      <c r="E1663" s="20" t="s">
        <v>957</v>
      </c>
      <c r="F1663" s="21" t="str">
        <f>IF(OR(E1663="",E1663="!!!"),"",IF(NOT(ISNA(VLOOKUP(E1663,E$1:E1662,1,FALSE()))),"OLD",IF(AND(E1663&lt;&gt;"",E1663&lt;&gt;"!!!"),"NEW","")))</f>
        <v>OLD</v>
      </c>
      <c r="G1663" s="22" t="str">
        <f ca="1"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?IN_FOCUS</v>
      </c>
      <c r="H1663" s="23" t="str">
        <f t="shared" ca="1" si="105"/>
        <v/>
      </c>
      <c r="I1663" s="24" t="str">
        <f>IF(OR(E1663="",E1663="!!!",F1663="NEW"),"",INDEX(B$2:B1662,-1+SUMPRODUCT(MAX(ROW(E$2:E1662)*(E1663=E$2:E1662)))))</f>
        <v>SBJ_7</v>
      </c>
      <c r="J1663" s="24">
        <f ca="1">IF(OR(E1663="",E1663="!!!",F1663="NEW"),"",COUNTBLANK(OFFSET(A$1,,,SUMPRODUCT(MAX(ROW(E$2:E1663)*(E1663=E$2:E1663)))))-COUNTBLANK(OFFSET(A$1,,,SUMPRODUCT(MAX(ROW(E$1:E1662)*(E2=E$1:E1662))))))</f>
        <v>0</v>
      </c>
      <c r="K1663" s="24" t="str">
        <f ca="1">IF(OR(E1663="",E1663="!!!",F1663="NEW"),"",INDEX(J$1:J1662,SUMPRODUCT(MAX(ROW(E$1:E1662)*(E1663=E$1:E1662)))))</f>
        <v/>
      </c>
      <c r="L1663" s="25"/>
    </row>
    <row r="1664" spans="1:12" x14ac:dyDescent="0.3">
      <c r="A1664" t="s">
        <v>116</v>
      </c>
      <c r="E1664" s="20" t="str">
        <f t="shared" ref="E1664:E1671" si="109">IF(D1664="?OLD","!!!","")</f>
        <v/>
      </c>
      <c r="F1664" s="21" t="str">
        <f>IF(OR(E1664="",E1664="!!!"),"",IF(NOT(ISNA(VLOOKUP(E1664,E$1:E1663,1,FALSE()))),"OLD",IF(AND(E1664&lt;&gt;"",E1664&lt;&gt;"!!!"),"NEW","")))</f>
        <v/>
      </c>
      <c r="G1664" s="22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t="shared" ca="1" si="105"/>
        <v/>
      </c>
      <c r="I1664" s="24" t="str">
        <f>IF(OR(E1664="",E1664="!!!",F1664="NEW"),"",INDEX(B$2:B1663,-1+SUMPRODUCT(MAX(ROW(E$2:E1663)*(E1664=E$2:E1663)))))</f>
        <v/>
      </c>
      <c r="J1664" s="24" t="str">
        <f ca="1">IF(OR(E1664="",E1664="!!!",F1664="NEW"),"",COUNTBLANK(OFFSET(A$1,,,SUMPRODUCT(MAX(ROW(E$2:E1664)*(E1664=E$2:E1664)))))-COUNTBLANK(OFFSET(A$1,,,SUMPRODUCT(MAX(ROW(E$1:E1663)*(E2=E$1:E1663))))))</f>
        <v/>
      </c>
      <c r="K1664" s="24" t="str">
        <f>IF(OR(E1664="",E1664="!!!",F1664="NEW"),"",INDEX(J$1:J1663,SUMPRODUCT(MAX(ROW(E$1:E1663)*(E1664=E$1:E1663)))))</f>
        <v/>
      </c>
      <c r="L1664" s="25"/>
    </row>
    <row r="1665" spans="1:12" x14ac:dyDescent="0.3">
      <c r="A1665" t="s">
        <v>965</v>
      </c>
      <c r="E1665" s="20" t="str">
        <f t="shared" si="109"/>
        <v/>
      </c>
      <c r="F1665" s="21" t="str">
        <f>IF(OR(E1665="",E1665="!!!"),"",IF(NOT(ISNA(VLOOKUP(E1665,E$1:E1664,1,FALSE()))),"OLD",IF(AND(E1665&lt;&gt;"",E1665&lt;&gt;"!!!"),"NEW","")))</f>
        <v/>
      </c>
      <c r="G1665" s="22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t="shared" ca="1" si="105"/>
        <v/>
      </c>
      <c r="I1665" s="24" t="str">
        <f>IF(OR(E1665="",E1665="!!!",F1665="NEW"),"",INDEX(B$2:B1664,-1+SUMPRODUCT(MAX(ROW(E$2:E1664)*(E1665=E$2:E1664)))))</f>
        <v/>
      </c>
      <c r="J1665" s="24" t="str">
        <f ca="1">IF(OR(E1665="",E1665="!!!",F1665="NEW"),"",COUNTBLANK(OFFSET(A$1,,,SUMPRODUCT(MAX(ROW(E$2:E1665)*(E1665=E$2:E1665)))))-COUNTBLANK(OFFSET(A$1,,,SUMPRODUCT(MAX(ROW(E$1:E1664)*(E2=E$1:E1664))))))</f>
        <v/>
      </c>
      <c r="K1665" s="24" t="str">
        <f>IF(OR(E1665="",E1665="!!!",F1665="NEW"),"",INDEX(J$1:J1664,SUMPRODUCT(MAX(ROW(E$1:E1664)*(E1665=E$1:E1664)))))</f>
        <v/>
      </c>
      <c r="L1665" s="25"/>
    </row>
    <row r="1666" spans="1:12" x14ac:dyDescent="0.3">
      <c r="A1666" t="s">
        <v>966</v>
      </c>
      <c r="E1666" s="20" t="str">
        <f t="shared" si="109"/>
        <v/>
      </c>
      <c r="F1666" s="21" t="str">
        <f>IF(OR(E1666="",E1666="!!!"),"",IF(NOT(ISNA(VLOOKUP(E1666,E$1:E1665,1,FALSE()))),"OLD",IF(AND(E1666&lt;&gt;"",E1666&lt;&gt;"!!!"),"NEW","")))</f>
        <v/>
      </c>
      <c r="G1666" s="22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t="shared" ca="1" si="105"/>
        <v/>
      </c>
      <c r="I1666" s="24" t="str">
        <f>IF(OR(E1666="",E1666="!!!",F1666="NEW"),"",INDEX(B$2:B1665,-1+SUMPRODUCT(MAX(ROW(E$2:E1665)*(E1666=E$2:E1665)))))</f>
        <v/>
      </c>
      <c r="J1666" s="24" t="str">
        <f ca="1">IF(OR(E1666="",E1666="!!!",F1666="NEW"),"",COUNTBLANK(OFFSET(A$1,,,SUMPRODUCT(MAX(ROW(E$2:E1666)*(E1666=E$2:E1666)))))-COUNTBLANK(OFFSET(A$1,,,SUMPRODUCT(MAX(ROW(E$1:E1665)*(E2=E$1:E1665))))))</f>
        <v/>
      </c>
      <c r="K1666" s="24" t="str">
        <f>IF(OR(E1666="",E1666="!!!",F1666="NEW"),"",INDEX(J$1:J1665,SUMPRODUCT(MAX(ROW(E$1:E1665)*(E1666=E$1:E1665)))))</f>
        <v/>
      </c>
      <c r="L1666" s="25"/>
    </row>
    <row r="1667" spans="1:12" x14ac:dyDescent="0.3">
      <c r="A1667" t="s">
        <v>78</v>
      </c>
      <c r="E1667" s="20" t="str">
        <f t="shared" si="109"/>
        <v/>
      </c>
      <c r="F1667" s="21" t="str">
        <f>IF(OR(E1667="",E1667="!!!"),"",IF(NOT(ISNA(VLOOKUP(E1667,E$1:E1666,1,FALSE()))),"OLD",IF(AND(E1667&lt;&gt;"",E1667&lt;&gt;"!!!"),"NEW","")))</f>
        <v/>
      </c>
      <c r="G1667" s="22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3" t="str">
        <f t="shared" ca="1" si="105"/>
        <v/>
      </c>
      <c r="I1667" s="24" t="str">
        <f>IF(OR(E1667="",E1667="!!!",F1667="NEW"),"",INDEX(B$2:B1666,-1+SUMPRODUCT(MAX(ROW(E$2:E1666)*(E1667=E$2:E1666)))))</f>
        <v/>
      </c>
      <c r="J1667" s="24" t="str">
        <f ca="1">IF(OR(E1667="",E1667="!!!",F1667="NEW"),"",COUNTBLANK(OFFSET(A$1,,,SUMPRODUCT(MAX(ROW(E$2:E1667)*(E1667=E$2:E1667)))))-COUNTBLANK(OFFSET(A$1,,,SUMPRODUCT(MAX(ROW(E$1:E1666)*(E2=E$1:E1666))))))</f>
        <v/>
      </c>
      <c r="K1667" s="24" t="str">
        <f>IF(OR(E1667="",E1667="!!!",F1667="NEW"),"",INDEX(J$1:J1666,SUMPRODUCT(MAX(ROW(E$1:E1666)*(E1667=E$1:E1666)))))</f>
        <v/>
      </c>
      <c r="L1667" s="25"/>
    </row>
    <row r="1668" spans="1:12" x14ac:dyDescent="0.3">
      <c r="A1668" t="s">
        <v>101</v>
      </c>
      <c r="E1668" s="20" t="str">
        <f t="shared" si="109"/>
        <v/>
      </c>
      <c r="F1668" s="21" t="str">
        <f>IF(OR(E1668="",E1668="!!!"),"",IF(NOT(ISNA(VLOOKUP(E1668,E$1:E1667,1,FALSE()))),"OLD",IF(AND(E1668&lt;&gt;"",E1668&lt;&gt;"!!!"),"NEW","")))</f>
        <v/>
      </c>
      <c r="G1668" s="22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3" t="str">
        <f t="shared" ca="1" si="105"/>
        <v/>
      </c>
      <c r="I1668" s="24" t="str">
        <f>IF(OR(E1668="",E1668="!!!",F1668="NEW"),"",INDEX(B$2:B1667,-1+SUMPRODUCT(MAX(ROW(E$2:E1667)*(E1668=E$2:E1667)))))</f>
        <v/>
      </c>
      <c r="J1668" s="24" t="str">
        <f ca="1">IF(OR(E1668="",E1668="!!!",F1668="NEW"),"",COUNTBLANK(OFFSET(A$1,,,SUMPRODUCT(MAX(ROW(E$2:E1668)*(E1668=E$2:E1668)))))-COUNTBLANK(OFFSET(A$1,,,SUMPRODUCT(MAX(ROW(E$1:E1667)*(E2=E$1:E1667))))))</f>
        <v/>
      </c>
      <c r="K1668" s="24" t="str">
        <f>IF(OR(E1668="",E1668="!!!",F1668="NEW"),"",INDEX(J$1:J1667,SUMPRODUCT(MAX(ROW(E$1:E1667)*(E1668=E$1:E1667)))))</f>
        <v/>
      </c>
      <c r="L1668" s="25"/>
    </row>
    <row r="1669" spans="1:12" x14ac:dyDescent="0.3">
      <c r="A1669" t="s">
        <v>967</v>
      </c>
      <c r="E1669" s="20" t="str">
        <f t="shared" si="109"/>
        <v/>
      </c>
      <c r="F1669" s="21" t="str">
        <f>IF(OR(E1669="",E1669="!!!"),"",IF(NOT(ISNA(VLOOKUP(E1669,E$1:E1668,1,FALSE()))),"OLD",IF(AND(E1669&lt;&gt;"",E1669&lt;&gt;"!!!"),"NEW","")))</f>
        <v/>
      </c>
      <c r="G1669" s="22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t="shared" ca="1" si="105"/>
        <v/>
      </c>
      <c r="I1669" s="24" t="str">
        <f>IF(OR(E1669="",E1669="!!!",F1669="NEW"),"",INDEX(B$2:B1668,-1+SUMPRODUCT(MAX(ROW(E$2:E1668)*(E1669=E$2:E1668)))))</f>
        <v/>
      </c>
      <c r="J1669" s="24" t="str">
        <f ca="1">IF(OR(E1669="",E1669="!!!",F1669="NEW"),"",COUNTBLANK(OFFSET(A$1,,,SUMPRODUCT(MAX(ROW(E$2:E1669)*(E1669=E$2:E1669)))))-COUNTBLANK(OFFSET(A$1,,,SUMPRODUCT(MAX(ROW(E$1:E1668)*(E2=E$1:E1668))))))</f>
        <v/>
      </c>
      <c r="K1669" s="24" t="str">
        <f>IF(OR(E1669="",E1669="!!!",F1669="NEW"),"",INDEX(J$1:J1668,SUMPRODUCT(MAX(ROW(E$1:E1668)*(E1669=E$1:E1668)))))</f>
        <v/>
      </c>
      <c r="L1669" s="25"/>
    </row>
    <row r="1670" spans="1:12" x14ac:dyDescent="0.3">
      <c r="A1670" t="s">
        <v>199</v>
      </c>
      <c r="E1670" s="20" t="str">
        <f t="shared" si="109"/>
        <v/>
      </c>
      <c r="F1670" s="21" t="str">
        <f>IF(OR(E1670="",E1670="!!!"),"",IF(NOT(ISNA(VLOOKUP(E1670,E$1:E1669,1,FALSE()))),"OLD",IF(AND(E1670&lt;&gt;"",E1670&lt;&gt;"!!!"),"NEW","")))</f>
        <v/>
      </c>
      <c r="G1670" s="22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t="shared" ca="1" si="105"/>
        <v/>
      </c>
      <c r="I1670" s="24" t="str">
        <f>IF(OR(E1670="",E1670="!!!",F1670="NEW"),"",INDEX(B$2:B1669,-1+SUMPRODUCT(MAX(ROW(E$2:E1669)*(E1670=E$2:E1669)))))</f>
        <v/>
      </c>
      <c r="J1670" s="24" t="str">
        <f ca="1">IF(OR(E1670="",E1670="!!!",F1670="NEW"),"",COUNTBLANK(OFFSET(A$1,,,SUMPRODUCT(MAX(ROW(E$2:E1670)*(E1670=E$2:E1670)))))-COUNTBLANK(OFFSET(A$1,,,SUMPRODUCT(MAX(ROW(E$1:E1669)*(E2=E$1:E1669))))))</f>
        <v/>
      </c>
      <c r="K1670" s="24" t="str">
        <f>IF(OR(E1670="",E1670="!!!",F1670="NEW"),"",INDEX(J$1:J1669,SUMPRODUCT(MAX(ROW(E$1:E1669)*(E1670=E$1:E1669)))))</f>
        <v/>
      </c>
      <c r="L1670" s="25"/>
    </row>
    <row r="1671" spans="1:12" x14ac:dyDescent="0.3">
      <c r="A1671" t="s">
        <v>136</v>
      </c>
      <c r="E1671" s="20" t="str">
        <f t="shared" si="109"/>
        <v/>
      </c>
      <c r="F1671" s="21" t="str">
        <f>IF(OR(E1671="",E1671="!!!"),"",IF(NOT(ISNA(VLOOKUP(E1671,E$1:E1670,1,FALSE()))),"OLD",IF(AND(E1671&lt;&gt;"",E1671&lt;&gt;"!!!"),"NEW","")))</f>
        <v/>
      </c>
      <c r="G1671" s="22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t="shared" ca="1" si="105"/>
        <v/>
      </c>
      <c r="I1671" s="24" t="str">
        <f>IF(OR(E1671="",E1671="!!!",F1671="NEW"),"",INDEX(B$2:B1670,-1+SUMPRODUCT(MAX(ROW(E$2:E1670)*(E1671=E$2:E1670)))))</f>
        <v/>
      </c>
      <c r="J1671" s="24" t="str">
        <f ca="1">IF(OR(E1671="",E1671="!!!",F1671="NEW"),"",COUNTBLANK(OFFSET(A$1,,,SUMPRODUCT(MAX(ROW(E$2:E1671)*(E1671=E$2:E1671)))))-COUNTBLANK(OFFSET(A$1,,,SUMPRODUCT(MAX(ROW(E$1:E1670)*(E2=E$1:E1670))))))</f>
        <v/>
      </c>
      <c r="K1671" s="24" t="str">
        <f>IF(OR(E1671="",E1671="!!!",F1671="NEW"),"",INDEX(J$1:J1670,SUMPRODUCT(MAX(ROW(E$1:E1670)*(E1671=E$1:E1670)))))</f>
        <v/>
      </c>
      <c r="L1671" s="25"/>
    </row>
    <row r="1672" spans="1:12" x14ac:dyDescent="0.3">
      <c r="A1672" t="s">
        <v>968</v>
      </c>
      <c r="B1672" s="26" t="s">
        <v>969</v>
      </c>
      <c r="C1672" s="26" t="s">
        <v>74</v>
      </c>
      <c r="D1672" s="26" t="s">
        <v>75</v>
      </c>
      <c r="E1672" s="20" t="s">
        <v>970</v>
      </c>
      <c r="F1672" s="21" t="str">
        <f>IF(OR(E1672="",E1672="!!!"),"",IF(NOT(ISNA(VLOOKUP(E1672,E$1:E1671,1,FALSE()))),"OLD",IF(AND(E1672&lt;&gt;"",E1672&lt;&gt;"!!!"),"NEW","")))</f>
        <v>NEW</v>
      </c>
      <c r="G1672" s="22" t="str">
        <f ca="1"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?REFERENTIAL</v>
      </c>
      <c r="H1672" s="23" t="str">
        <f t="shared" ca="1" si="105"/>
        <v/>
      </c>
      <c r="I1672" s="24" t="str">
        <f>IF(OR(E1672="",E1672="!!!",F1672="NEW"),"",INDEX(B$2:B1671,-1+SUMPRODUCT(MAX(ROW(E$2:E1671)*(E1672=E$2:E1671)))))</f>
        <v/>
      </c>
      <c r="J1672" s="24" t="str">
        <f ca="1">IF(OR(E1672="",E1672="!!!",F1672="NEW"),"",COUNTBLANK(OFFSET(A$1,,,SUMPRODUCT(MAX(ROW(E$2:E1672)*(E1672=E$2:E1672)))))-COUNTBLANK(OFFSET(A$1,,,SUMPRODUCT(MAX(ROW(E$1:E1671)*(E2=E$1:E1671))))))</f>
        <v/>
      </c>
      <c r="K1672" s="24" t="str">
        <f>IF(OR(E1672="",E1672="!!!",F1672="NEW"),"",INDEX(J$1:J1671,SUMPRODUCT(MAX(ROW(E$1:E1671)*(E1672=E$1:E1671)))))</f>
        <v/>
      </c>
      <c r="L1672" s="25"/>
    </row>
    <row r="1673" spans="1:12" x14ac:dyDescent="0.3">
      <c r="A1673" t="s">
        <v>101</v>
      </c>
      <c r="E1673" s="20" t="str">
        <f>IF(D1673="?OLD","!!!","")</f>
        <v/>
      </c>
      <c r="F1673" s="21" t="str">
        <f>IF(OR(E1673="",E1673="!!!"),"",IF(NOT(ISNA(VLOOKUP(E1673,E$1:E1672,1,FALSE()))),"OLD",IF(AND(E1673&lt;&gt;"",E1673&lt;&gt;"!!!"),"NEW","")))</f>
        <v/>
      </c>
      <c r="G1673" s="22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t="shared" ca="1" si="105"/>
        <v/>
      </c>
      <c r="I1673" s="24" t="str">
        <f>IF(OR(E1673="",E1673="!!!",F1673="NEW"),"",INDEX(B$2:B1672,-1+SUMPRODUCT(MAX(ROW(E$2:E1672)*(E1673=E$2:E1672)))))</f>
        <v/>
      </c>
      <c r="J1673" s="24" t="str">
        <f ca="1">IF(OR(E1673="",E1673="!!!",F1673="NEW"),"",COUNTBLANK(OFFSET(A$1,,,SUMPRODUCT(MAX(ROW(E$2:E1673)*(E1673=E$2:E1673)))))-COUNTBLANK(OFFSET(A$1,,,SUMPRODUCT(MAX(ROW(E$1:E1672)*(E2=E$1:E1672))))))</f>
        <v/>
      </c>
      <c r="K1673" s="24" t="str">
        <f>IF(OR(E1673="",E1673="!!!",F1673="NEW"),"",INDEX(J$1:J1672,SUMPRODUCT(MAX(ROW(E$1:E1672)*(E1673=E$1:E1672)))))</f>
        <v/>
      </c>
      <c r="L1673" s="25"/>
    </row>
    <row r="1674" spans="1:12" x14ac:dyDescent="0.3">
      <c r="A1674" t="s">
        <v>102</v>
      </c>
      <c r="E1674" s="20" t="str">
        <f>IF(D1674="?OLD","!!!","")</f>
        <v/>
      </c>
      <c r="F1674" s="21" t="str">
        <f>IF(OR(E1674="",E1674="!!!"),"",IF(NOT(ISNA(VLOOKUP(E1674,E$1:E1673,1,FALSE()))),"OLD",IF(AND(E1674&lt;&gt;"",E1674&lt;&gt;"!!!"),"NEW","")))</f>
        <v/>
      </c>
      <c r="G1674" s="22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t="shared" ca="1" si="105"/>
        <v/>
      </c>
      <c r="I1674" s="24" t="str">
        <f>IF(OR(E1674="",E1674="!!!",F1674="NEW"),"",INDEX(B$2:B1673,-1+SUMPRODUCT(MAX(ROW(E$2:E1673)*(E1674=E$2:E1673)))))</f>
        <v/>
      </c>
      <c r="J1674" s="24" t="str">
        <f ca="1">IF(OR(E1674="",E1674="!!!",F1674="NEW"),"",COUNTBLANK(OFFSET(A$1,,,SUMPRODUCT(MAX(ROW(E$2:E1674)*(E1674=E$2:E1674)))))-COUNTBLANK(OFFSET(A$1,,,SUMPRODUCT(MAX(ROW(E$1:E1673)*(E2=E$1:E1673))))))</f>
        <v/>
      </c>
      <c r="K1674" s="24" t="str">
        <f>IF(OR(E1674="",E1674="!!!",F1674="NEW"),"",INDEX(J$1:J1673,SUMPRODUCT(MAX(ROW(E$1:E1673)*(E1674=E$1:E1673)))))</f>
        <v/>
      </c>
      <c r="L1674" s="25"/>
    </row>
    <row r="1675" spans="1:12" x14ac:dyDescent="0.3">
      <c r="A1675" t="s">
        <v>971</v>
      </c>
      <c r="B1675" s="26" t="s">
        <v>972</v>
      </c>
      <c r="C1675" s="26" t="s">
        <v>133</v>
      </c>
      <c r="D1675" s="26" t="s">
        <v>75</v>
      </c>
      <c r="E1675" s="20" t="s">
        <v>825</v>
      </c>
      <c r="F1675" s="21" t="s">
        <v>272</v>
      </c>
      <c r="G1675" s="22" t="str">
        <f ca="1"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?IN_FOCUS</v>
      </c>
      <c r="H1675" s="23" t="str">
        <f t="shared" ca="1" si="105"/>
        <v/>
      </c>
      <c r="I1675" s="24" t="str">
        <f>IF(OR(E1675="",E1675="!!!",F1675="NEW"),"",INDEX(B$2:B1674,-1+SUMPRODUCT(MAX(ROW(E$2:E1674)*(E1675=E$2:E1674)))))</f>
        <v>SBJ_5</v>
      </c>
      <c r="J1675" s="24">
        <f ca="1">IF(OR(E1675="",E1675="!!!",F1675="NEW"),"",COUNTBLANK(OFFSET(A$1,,,SUMPRODUCT(MAX(ROW(E$2:E1675)*(E1675=E$2:E1675)))))-COUNTBLANK(OFFSET(A$1,,,SUMPRODUCT(MAX(ROW(E$1:E1674)*(E2=E$1:E1674))))))</f>
        <v>0</v>
      </c>
      <c r="K1675" s="24">
        <f ca="1">IF(OR(E1675="",E1675="!!!",F1675="NEW"),"",INDEX(J$1:J1674,SUMPRODUCT(MAX(ROW(E$1:E1674)*(E1675=E$1:E1674)))))</f>
        <v>0</v>
      </c>
      <c r="L1675" s="25"/>
    </row>
    <row r="1676" spans="1:12" x14ac:dyDescent="0.3">
      <c r="A1676" t="s">
        <v>973</v>
      </c>
      <c r="B1676" s="26" t="s">
        <v>974</v>
      </c>
      <c r="C1676" s="26" t="s">
        <v>105</v>
      </c>
      <c r="E1676" s="20" t="s">
        <v>975</v>
      </c>
      <c r="F1676" s="21" t="str">
        <f>IF(OR(E1676="",E1676="!!!"),"",IF(NOT(ISNA(VLOOKUP(E1676,E$1:E1675,1,FALSE()))),"OLD",IF(AND(E1676&lt;&gt;"",E1676&lt;&gt;"!!!"),"NEW","")))</f>
        <v>NEW</v>
      </c>
      <c r="G1676" s="22" t="str">
        <f ca="1"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?REFERENTIAL</v>
      </c>
      <c r="H1676" s="23" t="str">
        <f t="shared" ca="1" si="105"/>
        <v/>
      </c>
      <c r="I1676" s="24" t="str">
        <f>IF(OR(E1676="",E1676="!!!",F1676="NEW"),"",INDEX(B$2:B1675,-1+SUMPRODUCT(MAX(ROW(E$2:E1675)*(E1676=E$2:E1675)))))</f>
        <v/>
      </c>
      <c r="J1676" s="24" t="str">
        <f ca="1">IF(OR(E1676="",E1676="!!!",F1676="NEW"),"",COUNTBLANK(OFFSET(A$1,,,SUMPRODUCT(MAX(ROW(E$2:E1676)*(E1676=E$2:E1676)))))-COUNTBLANK(OFFSET(A$1,,,SUMPRODUCT(MAX(ROW(E$1:E1675)*(E2=E$1:E1675))))))</f>
        <v/>
      </c>
      <c r="K1676" s="24" t="str">
        <f>IF(OR(E1676="",E1676="!!!",F1676="NEW"),"",INDEX(J$1:J1675,SUMPRODUCT(MAX(ROW(E$1:E1675)*(E1676=E$1:E1675)))))</f>
        <v/>
      </c>
      <c r="L1676" s="25"/>
    </row>
    <row r="1677" spans="1:12" x14ac:dyDescent="0.3">
      <c r="A1677" t="s">
        <v>976</v>
      </c>
      <c r="E1677" s="20" t="s">
        <v>977</v>
      </c>
      <c r="F1677" s="21" t="str">
        <f>IF(OR(E1677="",E1677="!!!"),"",IF(NOT(ISNA(VLOOKUP(E1677,E$1:E1676,1,FALSE()))),"OLD",IF(AND(E1677&lt;&gt;"",E1677&lt;&gt;"!!!"),"NEW","")))</f>
        <v>NEW</v>
      </c>
      <c r="G1677" s="22" t="str">
        <f ca="1"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?REFERENTIAL</v>
      </c>
      <c r="H1677" s="23" t="str">
        <f t="shared" ref="H1677:H1740" ca="1" si="110">IF(J1677&lt;&gt;1,"",IF(I1677="SBJ","CB","?"))</f>
        <v/>
      </c>
      <c r="I1677" s="24" t="str">
        <f>IF(OR(E1677="",E1677="!!!",F1677="NEW"),"",INDEX(B$2:B1676,-1+SUMPRODUCT(MAX(ROW(E$2:E1676)*(E1677=E$2:E1676)))))</f>
        <v/>
      </c>
      <c r="J1677" s="24" t="str">
        <f ca="1">IF(OR(E1677="",E1677="!!!",F1677="NEW"),"",COUNTBLANK(OFFSET(A$1,,,SUMPRODUCT(MAX(ROW(E$2:E1677)*(E1677=E$2:E1677)))))-COUNTBLANK(OFFSET(A$1,,,SUMPRODUCT(MAX(ROW(E$1:E1676)*(E2=E$1:E1676))))))</f>
        <v/>
      </c>
      <c r="K1677" s="24" t="str">
        <f>IF(OR(E1677="",E1677="!!!",F1677="NEW"),"",INDEX(J$1:J1676,SUMPRODUCT(MAX(ROW(E$1:E1676)*(E1677=E$1:E1676)))))</f>
        <v/>
      </c>
      <c r="L1677" s="27" t="s">
        <v>978</v>
      </c>
    </row>
    <row r="1678" spans="1:12" x14ac:dyDescent="0.3">
      <c r="A1678" t="s">
        <v>483</v>
      </c>
      <c r="E1678" s="20" t="str">
        <f>IF(D1678="?OLD","!!!","")</f>
        <v/>
      </c>
      <c r="F1678" s="21" t="str">
        <f>IF(OR(E1678="",E1678="!!!"),"",IF(NOT(ISNA(VLOOKUP(E1678,E$1:E1677,1,FALSE()))),"OLD",IF(AND(E1678&lt;&gt;"",E1678&lt;&gt;"!!!"),"NEW","")))</f>
        <v/>
      </c>
      <c r="G1678" s="22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t="shared" ca="1" si="110"/>
        <v/>
      </c>
      <c r="I1678" s="24" t="str">
        <f>IF(OR(E1678="",E1678="!!!",F1678="NEW"),"",INDEX(B$2:B1677,-1+SUMPRODUCT(MAX(ROW(E$2:E1677)*(E1678=E$2:E1677)))))</f>
        <v/>
      </c>
      <c r="J1678" s="24" t="str">
        <f ca="1">IF(OR(E1678="",E1678="!!!",F1678="NEW"),"",COUNTBLANK(OFFSET(A$1,,,SUMPRODUCT(MAX(ROW(E$2:E1678)*(E1678=E$2:E1678)))))-COUNTBLANK(OFFSET(A$1,,,SUMPRODUCT(MAX(ROW(E$1:E1677)*(E2=E$1:E1677))))))</f>
        <v/>
      </c>
      <c r="K1678" s="24" t="str">
        <f>IF(OR(E1678="",E1678="!!!",F1678="NEW"),"",INDEX(J$1:J1677,SUMPRODUCT(MAX(ROW(E$1:E1677)*(E1678=E$1:E1677)))))</f>
        <v/>
      </c>
      <c r="L1678" s="25"/>
    </row>
    <row r="1679" spans="1:12" x14ac:dyDescent="0.3">
      <c r="A1679" t="s">
        <v>206</v>
      </c>
      <c r="B1679" s="26" t="s">
        <v>979</v>
      </c>
      <c r="C1679" s="26" t="s">
        <v>208</v>
      </c>
      <c r="D1679" s="26" t="s">
        <v>75</v>
      </c>
      <c r="E1679" s="20" t="s">
        <v>825</v>
      </c>
      <c r="F1679" s="21" t="s">
        <v>272</v>
      </c>
      <c r="G1679" s="22" t="str">
        <f ca="1"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?IN_FOCUS</v>
      </c>
      <c r="H1679" s="23" t="str">
        <f t="shared" ca="1" si="110"/>
        <v/>
      </c>
      <c r="I1679" s="24" t="str">
        <f>IF(OR(E1679="",E1679="!!!",F1679="NEW"),"",INDEX(B$2:B1678,-1+SUMPRODUCT(MAX(ROW(E$2:E1678)*(E1679=E$2:E1678)))))</f>
        <v>other_14</v>
      </c>
      <c r="J1679" s="24">
        <f ca="1">IF(OR(E1679="",E1679="!!!",F1679="NEW"),"",COUNTBLANK(OFFSET(A$1,,,SUMPRODUCT(MAX(ROW(E$2:E1679)*(E1679=E$2:E1679)))))-COUNTBLANK(OFFSET(A$1,,,SUMPRODUCT(MAX(ROW(E$1:E1678)*(E2=E$1:E1678))))))</f>
        <v>0</v>
      </c>
      <c r="K1679" s="24">
        <f ca="1">IF(OR(E1679="",E1679="!!!",F1679="NEW"),"",INDEX(J$1:J1678,SUMPRODUCT(MAX(ROW(E$1:E1678)*(E1679=E$1:E1678)))))</f>
        <v>0</v>
      </c>
      <c r="L1679" s="25"/>
    </row>
    <row r="1680" spans="1:12" x14ac:dyDescent="0.3">
      <c r="A1680" t="s">
        <v>469</v>
      </c>
      <c r="E1680" s="20" t="str">
        <f>IF(D1680="?OLD","!!!","")</f>
        <v/>
      </c>
      <c r="F1680" s="21" t="str">
        <f>IF(OR(E1680="",E1680="!!!"),"",IF(NOT(ISNA(VLOOKUP(E1680,E$1:E1679,1,FALSE()))),"OLD",IF(AND(E1680&lt;&gt;"",E1680&lt;&gt;"!!!"),"NEW","")))</f>
        <v/>
      </c>
      <c r="G1680" s="22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t="shared" ca="1" si="110"/>
        <v/>
      </c>
      <c r="I1680" s="24" t="str">
        <f>IF(OR(E1680="",E1680="!!!",F1680="NEW"),"",INDEX(B$2:B1679,-1+SUMPRODUCT(MAX(ROW(E$2:E1679)*(E1680=E$2:E1679)))))</f>
        <v/>
      </c>
      <c r="J1680" s="24" t="str">
        <f ca="1">IF(OR(E1680="",E1680="!!!",F1680="NEW"),"",COUNTBLANK(OFFSET(A$1,,,SUMPRODUCT(MAX(ROW(E$2:E1680)*(E1680=E$2:E1680)))))-COUNTBLANK(OFFSET(A$1,,,SUMPRODUCT(MAX(ROW(E$1:E1679)*(E2=E$1:E1679))))))</f>
        <v/>
      </c>
      <c r="K1680" s="24" t="str">
        <f>IF(OR(E1680="",E1680="!!!",F1680="NEW"),"",INDEX(J$1:J1679,SUMPRODUCT(MAX(ROW(E$1:E1679)*(E1680=E$1:E1679)))))</f>
        <v/>
      </c>
      <c r="L1680" s="25"/>
    </row>
    <row r="1681" spans="1:12" x14ac:dyDescent="0.3">
      <c r="A1681" t="s">
        <v>980</v>
      </c>
      <c r="B1681" s="26" t="s">
        <v>981</v>
      </c>
      <c r="C1681" s="26" t="s">
        <v>335</v>
      </c>
      <c r="E1681" s="20"/>
      <c r="F1681" s="21" t="str">
        <f>IF(OR(E1681="",E1681="!!!"),"",IF(NOT(ISNA(VLOOKUP(E1681,E$1:E1680,1,FALSE()))),"OLD",IF(AND(E1681&lt;&gt;"",E1681&lt;&gt;"!!!"),"NEW","")))</f>
        <v/>
      </c>
      <c r="G1681" s="22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3" t="str">
        <f t="shared" ca="1" si="110"/>
        <v/>
      </c>
      <c r="I1681" s="24" t="str">
        <f>IF(OR(E1681="",E1681="!!!",F1681="NEW"),"",INDEX(B$2:B1680,-1+SUMPRODUCT(MAX(ROW(E$2:E1680)*(E1681=E$2:E1680)))))</f>
        <v/>
      </c>
      <c r="J1681" s="24" t="str">
        <f ca="1">IF(OR(E1681="",E1681="!!!",F1681="NEW"),"",COUNTBLANK(OFFSET(A$1,,,SUMPRODUCT(MAX(ROW(E$2:E1681)*(E1681=E$2:E1681)))))-COUNTBLANK(OFFSET(A$1,,,SUMPRODUCT(MAX(ROW(E$1:E1680)*(E2=E$1:E1680))))))</f>
        <v/>
      </c>
      <c r="K1681" s="24" t="str">
        <f>IF(OR(E1681="",E1681="!!!",F1681="NEW"),"",INDEX(J$1:J1680,SUMPRODUCT(MAX(ROW(E$1:E1680)*(E1681=E$1:E1680)))))</f>
        <v/>
      </c>
      <c r="L1681" s="25"/>
    </row>
    <row r="1682" spans="1:12" x14ac:dyDescent="0.3">
      <c r="A1682" t="s">
        <v>590</v>
      </c>
      <c r="E1682" s="20" t="s">
        <v>982</v>
      </c>
      <c r="F1682" s="21" t="str">
        <f>IF(OR(E1682="",E1682="!!!"),"",IF(NOT(ISNA(VLOOKUP(E1682,E$1:E1681,1,FALSE()))),"OLD",IF(AND(E1682&lt;&gt;"",E1682&lt;&gt;"!!!"),"NEW","")))</f>
        <v>NEW</v>
      </c>
      <c r="G1682" s="22" t="str">
        <f ca="1"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?REFERENTIAL</v>
      </c>
      <c r="H1682" s="23" t="str">
        <f t="shared" ca="1" si="110"/>
        <v/>
      </c>
      <c r="I1682" s="24" t="str">
        <f>IF(OR(E1682="",E1682="!!!",F1682="NEW"),"",INDEX(B$2:B1681,-1+SUMPRODUCT(MAX(ROW(E$2:E1681)*(E1682=E$2:E1681)))))</f>
        <v/>
      </c>
      <c r="J1682" s="24" t="str">
        <f ca="1">IF(OR(E1682="",E1682="!!!",F1682="NEW"),"",COUNTBLANK(OFFSET(A$1,,,SUMPRODUCT(MAX(ROW(E$2:E1682)*(E1682=E$2:E1682)))))-COUNTBLANK(OFFSET(A$1,,,SUMPRODUCT(MAX(ROW(E$1:E1681)*(E2=E$1:E1681))))))</f>
        <v/>
      </c>
      <c r="K1682" s="24" t="str">
        <f>IF(OR(E1682="",E1682="!!!",F1682="NEW"),"",INDEX(J$1:J1681,SUMPRODUCT(MAX(ROW(E$1:E1681)*(E1682=E$1:E1681)))))</f>
        <v/>
      </c>
      <c r="L1682" s="27" t="s">
        <v>978</v>
      </c>
    </row>
    <row r="1683" spans="1:12" x14ac:dyDescent="0.3">
      <c r="A1683" t="s">
        <v>86</v>
      </c>
      <c r="E1683" s="20" t="str">
        <f>IF(D1683="?OLD","!!!","")</f>
        <v/>
      </c>
      <c r="F1683" s="21" t="str">
        <f>IF(OR(E1683="",E1683="!!!"),"",IF(NOT(ISNA(VLOOKUP(E1683,E$1:E1682,1,FALSE()))),"OLD",IF(AND(E1683&lt;&gt;"",E1683&lt;&gt;"!!!"),"NEW","")))</f>
        <v/>
      </c>
      <c r="G1683" s="22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t="shared" ca="1" si="110"/>
        <v/>
      </c>
      <c r="I1683" s="24" t="str">
        <f>IF(OR(E1683="",E1683="!!!",F1683="NEW"),"",INDEX(B$2:B1682,-1+SUMPRODUCT(MAX(ROW(E$2:E1682)*(E1683=E$2:E1682)))))</f>
        <v/>
      </c>
      <c r="J1683" s="24" t="str">
        <f ca="1">IF(OR(E1683="",E1683="!!!",F1683="NEW"),"",COUNTBLANK(OFFSET(A$1,,,SUMPRODUCT(MAX(ROW(E$2:E1683)*(E1683=E$2:E1683)))))-COUNTBLANK(OFFSET(A$1,,,SUMPRODUCT(MAX(ROW(E$1:E1682)*(E2=E$1:E1682))))))</f>
        <v/>
      </c>
      <c r="K1683" s="24" t="str">
        <f>IF(OR(E1683="",E1683="!!!",F1683="NEW"),"",INDEX(J$1:J1682,SUMPRODUCT(MAX(ROW(E$1:E1682)*(E1683=E$1:E1682)))))</f>
        <v/>
      </c>
      <c r="L1683" s="25"/>
    </row>
    <row r="1684" spans="1:12" x14ac:dyDescent="0.3">
      <c r="A1684" t="s">
        <v>710</v>
      </c>
      <c r="B1684" s="26" t="s">
        <v>983</v>
      </c>
      <c r="C1684" s="26" t="s">
        <v>280</v>
      </c>
      <c r="D1684" s="26" t="s">
        <v>75</v>
      </c>
      <c r="E1684" s="20"/>
      <c r="F1684" s="21" t="str">
        <f>IF(OR(E1684="",E1684="!!!"),"",IF(NOT(ISNA(VLOOKUP(E1684,E$1:E1683,1,FALSE()))),"OLD",IF(AND(E1684&lt;&gt;"",E1684&lt;&gt;"!!!"),"NEW","")))</f>
        <v/>
      </c>
      <c r="G1684" s="22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t="shared" ca="1" si="110"/>
        <v/>
      </c>
      <c r="I1684" s="24" t="str">
        <f>IF(OR(E1684="",E1684="!!!",F1684="NEW"),"",INDEX(B$2:B1683,-1+SUMPRODUCT(MAX(ROW(E$2:E1683)*(E1684=E$2:E1683)))))</f>
        <v/>
      </c>
      <c r="J1684" s="24" t="str">
        <f ca="1">IF(OR(E1684="",E1684="!!!",F1684="NEW"),"",COUNTBLANK(OFFSET(A$1,,,SUMPRODUCT(MAX(ROW(E$2:E1684)*(E1684=E$2:E1684)))))-COUNTBLANK(OFFSET(A$1,,,SUMPRODUCT(MAX(ROW(E$1:E1683)*(E2=E$1:E1683))))))</f>
        <v/>
      </c>
      <c r="K1684" s="24" t="str">
        <f>IF(OR(E1684="",E1684="!!!",F1684="NEW"),"",INDEX(J$1:J1683,SUMPRODUCT(MAX(ROW(E$1:E1683)*(E1684=E$1:E1683)))))</f>
        <v/>
      </c>
      <c r="L1684" s="27" t="s">
        <v>984</v>
      </c>
    </row>
    <row r="1685" spans="1:12" x14ac:dyDescent="0.3">
      <c r="A1685" t="s">
        <v>101</v>
      </c>
      <c r="E1685" s="20" t="str">
        <f>IF(D1685="?OLD","!!!","")</f>
        <v/>
      </c>
      <c r="F1685" s="21" t="str">
        <f>IF(OR(E1685="",E1685="!!!"),"",IF(NOT(ISNA(VLOOKUP(E1685,E$1:E1684,1,FALSE()))),"OLD",IF(AND(E1685&lt;&gt;"",E1685&lt;&gt;"!!!"),"NEW","")))</f>
        <v/>
      </c>
      <c r="G1685" s="22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t="shared" ca="1" si="110"/>
        <v/>
      </c>
      <c r="I1685" s="24" t="str">
        <f>IF(OR(E1685="",E1685="!!!",F1685="NEW"),"",INDEX(B$2:B1684,-1+SUMPRODUCT(MAX(ROW(E$2:E1684)*(E1685=E$2:E1684)))))</f>
        <v/>
      </c>
      <c r="J1685" s="24" t="str">
        <f ca="1">IF(OR(E1685="",E1685="!!!",F1685="NEW"),"",COUNTBLANK(OFFSET(A$1,,,SUMPRODUCT(MAX(ROW(E$2:E1685)*(E1685=E$2:E1685)))))-COUNTBLANK(OFFSET(A$1,,,SUMPRODUCT(MAX(ROW(E$1:E1684)*(E2=E$1:E1684))))))</f>
        <v/>
      </c>
      <c r="K1685" s="24" t="str">
        <f>IF(OR(E1685="",E1685="!!!",F1685="NEW"),"",INDEX(J$1:J1684,SUMPRODUCT(MAX(ROW(E$1:E1684)*(E1685=E$1:E1684)))))</f>
        <v/>
      </c>
      <c r="L1685" s="25"/>
    </row>
    <row r="1686" spans="1:12" x14ac:dyDescent="0.3">
      <c r="A1686" t="s">
        <v>618</v>
      </c>
      <c r="E1686" s="20" t="str">
        <f>IF(D1686="?OLD","!!!","")</f>
        <v/>
      </c>
      <c r="F1686" s="21" t="str">
        <f>IF(OR(E1686="",E1686="!!!"),"",IF(NOT(ISNA(VLOOKUP(E1686,E$1:E1685,1,FALSE()))),"OLD",IF(AND(E1686&lt;&gt;"",E1686&lt;&gt;"!!!"),"NEW","")))</f>
        <v/>
      </c>
      <c r="G1686" s="22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t="shared" ca="1" si="110"/>
        <v/>
      </c>
      <c r="I1686" s="24" t="str">
        <f>IF(OR(E1686="",E1686="!!!",F1686="NEW"),"",INDEX(B$2:B1685,-1+SUMPRODUCT(MAX(ROW(E$2:E1685)*(E1686=E$2:E1685)))))</f>
        <v/>
      </c>
      <c r="J1686" s="24" t="str">
        <f ca="1">IF(OR(E1686="",E1686="!!!",F1686="NEW"),"",COUNTBLANK(OFFSET(A$1,,,SUMPRODUCT(MAX(ROW(E$2:E1686)*(E1686=E$2:E1686)))))-COUNTBLANK(OFFSET(A$1,,,SUMPRODUCT(MAX(ROW(E$1:E1685)*(E2=E$1:E1685))))))</f>
        <v/>
      </c>
      <c r="K1686" s="24" t="str">
        <f>IF(OR(E1686="",E1686="!!!",F1686="NEW"),"",INDEX(J$1:J1685,SUMPRODUCT(MAX(ROW(E$1:E1685)*(E1686=E$1:E1685)))))</f>
        <v/>
      </c>
      <c r="L1686" s="25"/>
    </row>
    <row r="1687" spans="1:12" x14ac:dyDescent="0.3">
      <c r="A1687" t="s">
        <v>116</v>
      </c>
      <c r="E1687" s="20" t="str">
        <f>IF(D1687="?OLD","!!!","")</f>
        <v/>
      </c>
      <c r="F1687" s="21" t="str">
        <f>IF(OR(E1687="",E1687="!!!"),"",IF(NOT(ISNA(VLOOKUP(E1687,E$1:E1686,1,FALSE()))),"OLD",IF(AND(E1687&lt;&gt;"",E1687&lt;&gt;"!!!"),"NEW","")))</f>
        <v/>
      </c>
      <c r="G1687" s="22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t="shared" ca="1" si="110"/>
        <v/>
      </c>
      <c r="I1687" s="24" t="str">
        <f>IF(OR(E1687="",E1687="!!!",F1687="NEW"),"",INDEX(B$2:B1686,-1+SUMPRODUCT(MAX(ROW(E$2:E1686)*(E1687=E$2:E1686)))))</f>
        <v/>
      </c>
      <c r="J1687" s="24" t="str">
        <f ca="1">IF(OR(E1687="",E1687="!!!",F1687="NEW"),"",COUNTBLANK(OFFSET(A$1,,,SUMPRODUCT(MAX(ROW(E$2:E1687)*(E1687=E$2:E1687)))))-COUNTBLANK(OFFSET(A$1,,,SUMPRODUCT(MAX(ROW(E$1:E1686)*(E2=E$1:E1686))))))</f>
        <v/>
      </c>
      <c r="K1687" s="24" t="str">
        <f>IF(OR(E1687="",E1687="!!!",F1687="NEW"),"",INDEX(J$1:J1686,SUMPRODUCT(MAX(ROW(E$1:E1686)*(E1687=E$1:E1686)))))</f>
        <v/>
      </c>
      <c r="L1687" s="25"/>
    </row>
    <row r="1688" spans="1:12" x14ac:dyDescent="0.3">
      <c r="A1688" t="s">
        <v>101</v>
      </c>
      <c r="E1688" s="20" t="str">
        <f>IF(D1688="?OLD","!!!","")</f>
        <v/>
      </c>
      <c r="F1688" s="21" t="str">
        <f>IF(OR(E1688="",E1688="!!!"),"",IF(NOT(ISNA(VLOOKUP(E1688,E$1:E1687,1,FALSE()))),"OLD",IF(AND(E1688&lt;&gt;"",E1688&lt;&gt;"!!!"),"NEW","")))</f>
        <v/>
      </c>
      <c r="G1688" s="22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t="shared" ca="1" si="110"/>
        <v/>
      </c>
      <c r="I1688" s="24" t="str">
        <f>IF(OR(E1688="",E1688="!!!",F1688="NEW"),"",INDEX(B$2:B1687,-1+SUMPRODUCT(MAX(ROW(E$2:E1687)*(E1688=E$2:E1687)))))</f>
        <v/>
      </c>
      <c r="J1688" s="24" t="str">
        <f ca="1">IF(OR(E1688="",E1688="!!!",F1688="NEW"),"",COUNTBLANK(OFFSET(A$1,,,SUMPRODUCT(MAX(ROW(E$2:E1688)*(E1688=E$2:E1688)))))-COUNTBLANK(OFFSET(A$1,,,SUMPRODUCT(MAX(ROW(E$1:E1687)*(E2=E$1:E1687))))))</f>
        <v/>
      </c>
      <c r="K1688" s="24" t="str">
        <f>IF(OR(E1688="",E1688="!!!",F1688="NEW"),"",INDEX(J$1:J1687,SUMPRODUCT(MAX(ROW(E$1:E1687)*(E1688=E$1:E1687)))))</f>
        <v/>
      </c>
      <c r="L1688" s="25"/>
    </row>
    <row r="1689" spans="1:12" x14ac:dyDescent="0.3">
      <c r="A1689" t="s">
        <v>122</v>
      </c>
      <c r="E1689" s="20" t="str">
        <f>IF(D1689="?OLD","!!!","")</f>
        <v/>
      </c>
      <c r="F1689" s="21" t="str">
        <f>IF(OR(E1689="",E1689="!!!"),"",IF(NOT(ISNA(VLOOKUP(E1689,E$1:E1688,1,FALSE()))),"OLD",IF(AND(E1689&lt;&gt;"",E1689&lt;&gt;"!!!"),"NEW","")))</f>
        <v/>
      </c>
      <c r="G1689" s="22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t="shared" ca="1" si="110"/>
        <v/>
      </c>
      <c r="I1689" s="24" t="str">
        <f>IF(OR(E1689="",E1689="!!!",F1689="NEW"),"",INDEX(B$2:B1688,-1+SUMPRODUCT(MAX(ROW(E$2:E1688)*(E1689=E$2:E1688)))))</f>
        <v/>
      </c>
      <c r="J1689" s="24" t="str">
        <f ca="1">IF(OR(E1689="",E1689="!!!",F1689="NEW"),"",COUNTBLANK(OFFSET(A$1,,,SUMPRODUCT(MAX(ROW(E$2:E1689)*(E1689=E$2:E1689)))))-COUNTBLANK(OFFSET(A$1,,,SUMPRODUCT(MAX(ROW(E$1:E1688)*(E2=E$1:E1688))))))</f>
        <v/>
      </c>
      <c r="K1689" s="24" t="str">
        <f>IF(OR(E1689="",E1689="!!!",F1689="NEW"),"",INDEX(J$1:J1688,SUMPRODUCT(MAX(ROW(E$1:E1688)*(E1689=E$1:E1688)))))</f>
        <v/>
      </c>
      <c r="L1689" s="25"/>
    </row>
    <row r="1690" spans="1:12" x14ac:dyDescent="0.3">
      <c r="A1690" t="s">
        <v>87</v>
      </c>
      <c r="B1690" s="26" t="s">
        <v>964</v>
      </c>
      <c r="C1690" s="26" t="s">
        <v>88</v>
      </c>
      <c r="D1690" s="26" t="s">
        <v>75</v>
      </c>
      <c r="E1690" s="20"/>
      <c r="F1690" s="21" t="s">
        <v>107</v>
      </c>
      <c r="G1690" s="22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3" t="str">
        <f t="shared" ca="1" si="110"/>
        <v/>
      </c>
      <c r="I1690" s="24" t="str">
        <f>IF(OR(E1690="",E1690="!!!",F1690="NEW"),"",INDEX(B$2:B1689,-1+SUMPRODUCT(MAX(ROW(E$2:E1689)*(E1690=E$2:E1689)))))</f>
        <v/>
      </c>
      <c r="J1690" s="24" t="str">
        <f ca="1">IF(OR(E1690="",E1690="!!!",F1690="NEW"),"",COUNTBLANK(OFFSET(A$1,,,SUMPRODUCT(MAX(ROW(E$2:E1690)*(E1690=E$2:E1690)))))-COUNTBLANK(OFFSET(A$1,,,SUMPRODUCT(MAX(ROW(E$1:E1689)*(E2=E$1:E1689))))))</f>
        <v/>
      </c>
      <c r="K1690" s="24" t="str">
        <f>IF(OR(E1690="",E1690="!!!",F1690="NEW"),"",INDEX(J$1:J1689,SUMPRODUCT(MAX(ROW(E$1:E1689)*(E1690=E$1:E1689)))))</f>
        <v/>
      </c>
      <c r="L1690" s="25"/>
    </row>
    <row r="1691" spans="1:12" x14ac:dyDescent="0.3">
      <c r="A1691" t="s">
        <v>79</v>
      </c>
      <c r="E1691" s="20" t="str">
        <f>IF(D1691="?OLD","!!!","")</f>
        <v/>
      </c>
      <c r="F1691" s="21" t="str">
        <f>IF(OR(E1691="",E1691="!!!"),"",IF(NOT(ISNA(VLOOKUP(E1691,E$1:E1690,1,FALSE()))),"OLD",IF(AND(E1691&lt;&gt;"",E1691&lt;&gt;"!!!"),"NEW","")))</f>
        <v/>
      </c>
      <c r="G1691" s="22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t="shared" ca="1" si="110"/>
        <v/>
      </c>
      <c r="I1691" s="24" t="str">
        <f>IF(OR(E1691="",E1691="!!!",F1691="NEW"),"",INDEX(B$2:B1690,-1+SUMPRODUCT(MAX(ROW(E$2:E1690)*(E1691=E$2:E1690)))))</f>
        <v/>
      </c>
      <c r="J1691" s="24" t="str">
        <f ca="1">IF(OR(E1691="",E1691="!!!",F1691="NEW"),"",COUNTBLANK(OFFSET(A$1,,,SUMPRODUCT(MAX(ROW(E$2:E1691)*(E1691=E$2:E1691)))))-COUNTBLANK(OFFSET(A$1,,,SUMPRODUCT(MAX(ROW(E$1:E1690)*(E2=E$1:E1690))))))</f>
        <v/>
      </c>
      <c r="K1691" s="24" t="str">
        <f>IF(OR(E1691="",E1691="!!!",F1691="NEW"),"",INDEX(J$1:J1690,SUMPRODUCT(MAX(ROW(E$1:E1690)*(E1691=E$1:E1690)))))</f>
        <v/>
      </c>
      <c r="L1691" s="25"/>
    </row>
    <row r="1692" spans="1:12" x14ac:dyDescent="0.3">
      <c r="A1692" t="s">
        <v>985</v>
      </c>
      <c r="B1692" s="26" t="s">
        <v>986</v>
      </c>
      <c r="C1692" s="26" t="s">
        <v>280</v>
      </c>
      <c r="D1692" s="26" t="s">
        <v>75</v>
      </c>
      <c r="E1692" s="20" t="s">
        <v>987</v>
      </c>
      <c r="F1692" s="21" t="str">
        <f>IF(OR(E1692="",E1692="!!!"),"",IF(NOT(ISNA(VLOOKUP(E1692,E$1:E1691,1,FALSE()))),"OLD",IF(AND(E1692&lt;&gt;"",E1692&lt;&gt;"!!!"),"NEW","")))</f>
        <v>NEW</v>
      </c>
      <c r="G1692" s="22" t="str">
        <f ca="1"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?REFERENTIAL</v>
      </c>
      <c r="H1692" s="23" t="str">
        <f t="shared" ca="1" si="110"/>
        <v/>
      </c>
      <c r="I1692" s="24" t="str">
        <f>IF(OR(E1692="",E1692="!!!",F1692="NEW"),"",INDEX(B$2:B1691,-1+SUMPRODUCT(MAX(ROW(E$2:E1691)*(E1692=E$2:E1691)))))</f>
        <v/>
      </c>
      <c r="J1692" s="24" t="str">
        <f ca="1">IF(OR(E1692="",E1692="!!!",F1692="NEW"),"",COUNTBLANK(OFFSET(A$1,,,SUMPRODUCT(MAX(ROW(E$2:E1692)*(E1692=E$2:E1692)))))-COUNTBLANK(OFFSET(A$1,,,SUMPRODUCT(MAX(ROW(E$1:E1691)*(E2=E$1:E1691))))))</f>
        <v/>
      </c>
      <c r="K1692" s="24" t="str">
        <f>IF(OR(E1692="",E1692="!!!",F1692="NEW"),"",INDEX(J$1:J1691,SUMPRODUCT(MAX(ROW(E$1:E1691)*(E1692=E$1:E1691)))))</f>
        <v/>
      </c>
      <c r="L1692" s="25"/>
    </row>
    <row r="1693" spans="1:12" x14ac:dyDescent="0.3">
      <c r="A1693" t="s">
        <v>988</v>
      </c>
      <c r="E1693" s="20" t="str">
        <f>IF(D1693="?OLD","!!!","")</f>
        <v/>
      </c>
      <c r="F1693" s="21" t="str">
        <f>IF(OR(E1693="",E1693="!!!"),"",IF(NOT(ISNA(VLOOKUP(E1693,E$1:E1692,1,FALSE()))),"OLD",IF(AND(E1693&lt;&gt;"",E1693&lt;&gt;"!!!"),"NEW","")))</f>
        <v/>
      </c>
      <c r="G1693" s="22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3" t="str">
        <f t="shared" ca="1" si="110"/>
        <v/>
      </c>
      <c r="I1693" s="24" t="str">
        <f>IF(OR(E1693="",E1693="!!!",F1693="NEW"),"",INDEX(B$2:B1692,-1+SUMPRODUCT(MAX(ROW(E$2:E1692)*(E1693=E$2:E1692)))))</f>
        <v/>
      </c>
      <c r="J1693" s="24" t="str">
        <f ca="1">IF(OR(E1693="",E1693="!!!",F1693="NEW"),"",COUNTBLANK(OFFSET(A$1,,,SUMPRODUCT(MAX(ROW(E$2:E1693)*(E1693=E$2:E1693)))))-COUNTBLANK(OFFSET(A$1,,,SUMPRODUCT(MAX(ROW(E$1:E1692)*(E2=E$1:E1692))))))</f>
        <v/>
      </c>
      <c r="K1693" s="24" t="str">
        <f>IF(OR(E1693="",E1693="!!!",F1693="NEW"),"",INDEX(J$1:J1692,SUMPRODUCT(MAX(ROW(E$1:E1692)*(E1693=E$1:E1692)))))</f>
        <v/>
      </c>
      <c r="L1693" s="25"/>
    </row>
    <row r="1694" spans="1:12" x14ac:dyDescent="0.3">
      <c r="A1694" t="s">
        <v>86</v>
      </c>
      <c r="E1694" s="20" t="str">
        <f>IF(D1694="?OLD","!!!","")</f>
        <v/>
      </c>
      <c r="F1694" s="21" t="str">
        <f>IF(OR(E1694="",E1694="!!!"),"",IF(NOT(ISNA(VLOOKUP(E1694,E$1:E1693,1,FALSE()))),"OLD",IF(AND(E1694&lt;&gt;"",E1694&lt;&gt;"!!!"),"NEW","")))</f>
        <v/>
      </c>
      <c r="G1694" s="22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3" t="str">
        <f t="shared" ca="1" si="110"/>
        <v/>
      </c>
      <c r="I1694" s="24" t="str">
        <f>IF(OR(E1694="",E1694="!!!",F1694="NEW"),"",INDEX(B$2:B1693,-1+SUMPRODUCT(MAX(ROW(E$2:E1693)*(E1694=E$2:E1693)))))</f>
        <v/>
      </c>
      <c r="J1694" s="24" t="str">
        <f ca="1">IF(OR(E1694="",E1694="!!!",F1694="NEW"),"",COUNTBLANK(OFFSET(A$1,,,SUMPRODUCT(MAX(ROW(E$2:E1694)*(E1694=E$2:E1694)))))-COUNTBLANK(OFFSET(A$1,,,SUMPRODUCT(MAX(ROW(E$1:E1693)*(E2=E$1:E1693))))))</f>
        <v/>
      </c>
      <c r="K1694" s="24" t="str">
        <f>IF(OR(E1694="",E1694="!!!",F1694="NEW"),"",INDEX(J$1:J1693,SUMPRODUCT(MAX(ROW(E$1:E1693)*(E1694=E$1:E1693)))))</f>
        <v/>
      </c>
      <c r="L1694" s="25"/>
    </row>
    <row r="1695" spans="1:12" x14ac:dyDescent="0.3">
      <c r="A1695" t="s">
        <v>315</v>
      </c>
      <c r="E1695" s="20" t="str">
        <f>IF(D1695="?OLD","!!!","")</f>
        <v/>
      </c>
      <c r="F1695" s="21" t="str">
        <f>IF(OR(E1695="",E1695="!!!"),"",IF(NOT(ISNA(VLOOKUP(E1695,E$1:E1694,1,FALSE()))),"OLD",IF(AND(E1695&lt;&gt;"",E1695&lt;&gt;"!!!"),"NEW","")))</f>
        <v/>
      </c>
      <c r="G1695" s="22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t="shared" ca="1" si="110"/>
        <v/>
      </c>
      <c r="I1695" s="24" t="str">
        <f>IF(OR(E1695="",E1695="!!!",F1695="NEW"),"",INDEX(B$2:B1694,-1+SUMPRODUCT(MAX(ROW(E$2:E1694)*(E1695=E$2:E1694)))))</f>
        <v/>
      </c>
      <c r="J1695" s="24" t="str">
        <f ca="1">IF(OR(E1695="",E1695="!!!",F1695="NEW"),"",COUNTBLANK(OFFSET(A$1,,,SUMPRODUCT(MAX(ROW(E$2:E1695)*(E1695=E$2:E1695)))))-COUNTBLANK(OFFSET(A$1,,,SUMPRODUCT(MAX(ROW(E$1:E1694)*(E2=E$1:E1694))))))</f>
        <v/>
      </c>
      <c r="K1695" s="24" t="str">
        <f>IF(OR(E1695="",E1695="!!!",F1695="NEW"),"",INDEX(J$1:J1694,SUMPRODUCT(MAX(ROW(E$1:E1694)*(E1695=E$1:E1694)))))</f>
        <v/>
      </c>
      <c r="L1695" s="25"/>
    </row>
    <row r="1696" spans="1:12" x14ac:dyDescent="0.3">
      <c r="A1696" t="s">
        <v>316</v>
      </c>
      <c r="E1696" s="20" t="str">
        <f>IF(D1696="?OLD","!!!","")</f>
        <v/>
      </c>
      <c r="F1696" s="21" t="str">
        <f>IF(OR(E1696="",E1696="!!!"),"",IF(NOT(ISNA(VLOOKUP(E1696,E$1:E1695,1,FALSE()))),"OLD",IF(AND(E1696&lt;&gt;"",E1696&lt;&gt;"!!!"),"NEW","")))</f>
        <v/>
      </c>
      <c r="G1696" s="22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t="shared" ca="1" si="110"/>
        <v/>
      </c>
      <c r="I1696" s="24" t="str">
        <f>IF(OR(E1696="",E1696="!!!",F1696="NEW"),"",INDEX(B$2:B1695,-1+SUMPRODUCT(MAX(ROW(E$2:E1695)*(E1696=E$2:E1695)))))</f>
        <v/>
      </c>
      <c r="J1696" s="24" t="str">
        <f ca="1">IF(OR(E1696="",E1696="!!!",F1696="NEW"),"",COUNTBLANK(OFFSET(A$1,,,SUMPRODUCT(MAX(ROW(E$2:E1696)*(E1696=E$2:E1696)))))-COUNTBLANK(OFFSET(A$1,,,SUMPRODUCT(MAX(ROW(E$1:E1695)*(E2=E$1:E1695))))))</f>
        <v/>
      </c>
      <c r="K1696" s="24" t="str">
        <f>IF(OR(E1696="",E1696="!!!",F1696="NEW"),"",INDEX(J$1:J1695,SUMPRODUCT(MAX(ROW(E$1:E1695)*(E1696=E$1:E1695)))))</f>
        <v/>
      </c>
      <c r="L1696" s="25"/>
    </row>
    <row r="1697" spans="1:12" x14ac:dyDescent="0.3">
      <c r="A1697" t="s">
        <v>317</v>
      </c>
      <c r="E1697" s="20" t="str">
        <f>IF(D1697="?OLD","!!!","")</f>
        <v/>
      </c>
      <c r="F1697" s="21" t="str">
        <f>IF(OR(E1697="",E1697="!!!"),"",IF(NOT(ISNA(VLOOKUP(E1697,E$1:E1696,1,FALSE()))),"OLD",IF(AND(E1697&lt;&gt;"",E1697&lt;&gt;"!!!"),"NEW","")))</f>
        <v/>
      </c>
      <c r="G1697" s="22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t="shared" ca="1" si="110"/>
        <v/>
      </c>
      <c r="I1697" s="24" t="str">
        <f>IF(OR(E1697="",E1697="!!!",F1697="NEW"),"",INDEX(B$2:B1696,-1+SUMPRODUCT(MAX(ROW(E$2:E1696)*(E1697=E$2:E1696)))))</f>
        <v/>
      </c>
      <c r="J1697" s="24" t="str">
        <f ca="1">IF(OR(E1697="",E1697="!!!",F1697="NEW"),"",COUNTBLANK(OFFSET(A$1,,,SUMPRODUCT(MAX(ROW(E$2:E1697)*(E1697=E$2:E1697)))))-COUNTBLANK(OFFSET(A$1,,,SUMPRODUCT(MAX(ROW(E$1:E1696)*(E2=E$1:E1696))))))</f>
        <v/>
      </c>
      <c r="K1697" s="24" t="str">
        <f>IF(OR(E1697="",E1697="!!!",F1697="NEW"),"",INDEX(J$1:J1696,SUMPRODUCT(MAX(ROW(E$1:E1696)*(E1697=E$1:E1696)))))</f>
        <v/>
      </c>
      <c r="L1697" s="25"/>
    </row>
    <row r="1698" spans="1:12" x14ac:dyDescent="0.3">
      <c r="A1698" t="s">
        <v>148</v>
      </c>
      <c r="B1698" s="26" t="s">
        <v>983</v>
      </c>
      <c r="C1698" s="26" t="s">
        <v>88</v>
      </c>
      <c r="D1698" s="26" t="s">
        <v>75</v>
      </c>
      <c r="E1698" s="20"/>
      <c r="F1698" s="21" t="s">
        <v>124</v>
      </c>
      <c r="G1698" s="22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t="shared" ca="1" si="110"/>
        <v/>
      </c>
      <c r="I1698" s="24" t="str">
        <f>IF(OR(E1698="",E1698="!!!",F1698="NEW"),"",INDEX(B$2:B1697,-1+SUMPRODUCT(MAX(ROW(E$2:E1697)*(E1698=E$2:E1697)))))</f>
        <v/>
      </c>
      <c r="J1698" s="24" t="str">
        <f ca="1">IF(OR(E1698="",E1698="!!!",F1698="NEW"),"",COUNTBLANK(OFFSET(A$1,,,SUMPRODUCT(MAX(ROW(E$2:E1698)*(E1698=E$2:E1698)))))-COUNTBLANK(OFFSET(A$1,,,SUMPRODUCT(MAX(ROW(E$1:E1697)*(E2=E$1:E1697))))))</f>
        <v/>
      </c>
      <c r="K1698" s="24" t="str">
        <f>IF(OR(E1698="",E1698="!!!",F1698="NEW"),"",INDEX(J$1:J1697,SUMPRODUCT(MAX(ROW(E$1:E1697)*(E1698=E$1:E1697)))))</f>
        <v/>
      </c>
      <c r="L1698" s="25"/>
    </row>
    <row r="1699" spans="1:12" x14ac:dyDescent="0.3">
      <c r="A1699" t="s">
        <v>78</v>
      </c>
      <c r="E1699" s="20" t="str">
        <f>IF(D1699="?OLD","!!!","")</f>
        <v/>
      </c>
      <c r="F1699" s="21" t="str">
        <f>IF(OR(E1699="",E1699="!!!"),"",IF(NOT(ISNA(VLOOKUP(E1699,E$1:E1698,1,FALSE()))),"OLD",IF(AND(E1699&lt;&gt;"",E1699&lt;&gt;"!!!"),"NEW","")))</f>
        <v/>
      </c>
      <c r="G1699" s="22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t="shared" ca="1" si="110"/>
        <v/>
      </c>
      <c r="I1699" s="24" t="str">
        <f>IF(OR(E1699="",E1699="!!!",F1699="NEW"),"",INDEX(B$2:B1698,-1+SUMPRODUCT(MAX(ROW(E$2:E1698)*(E1699=E$2:E1698)))))</f>
        <v/>
      </c>
      <c r="J1699" s="24" t="str">
        <f ca="1">IF(OR(E1699="",E1699="!!!",F1699="NEW"),"",COUNTBLANK(OFFSET(A$1,,,SUMPRODUCT(MAX(ROW(E$2:E1699)*(E1699=E$2:E1699)))))-COUNTBLANK(OFFSET(A$1,,,SUMPRODUCT(MAX(ROW(E$1:E1698)*(E2=E$1:E1698))))))</f>
        <v/>
      </c>
      <c r="K1699" s="24" t="str">
        <f>IF(OR(E1699="",E1699="!!!",F1699="NEW"),"",INDEX(J$1:J1698,SUMPRODUCT(MAX(ROW(E$1:E1698)*(E1699=E$1:E1698)))))</f>
        <v/>
      </c>
      <c r="L1699" s="25"/>
    </row>
    <row r="1700" spans="1:12" x14ac:dyDescent="0.3">
      <c r="A1700" t="s">
        <v>664</v>
      </c>
      <c r="E1700" s="20" t="str">
        <f>IF(D1700="?OLD","!!!","")</f>
        <v/>
      </c>
      <c r="F1700" s="21" t="str">
        <f>IF(OR(E1700="",E1700="!!!"),"",IF(NOT(ISNA(VLOOKUP(E1700,E$1:E1699,1,FALSE()))),"OLD",IF(AND(E1700&lt;&gt;"",E1700&lt;&gt;"!!!"),"NEW","")))</f>
        <v/>
      </c>
      <c r="G1700" s="22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t="shared" ca="1" si="110"/>
        <v/>
      </c>
      <c r="I1700" s="24" t="str">
        <f>IF(OR(E1700="",E1700="!!!",F1700="NEW"),"",INDEX(B$2:B1699,-1+SUMPRODUCT(MAX(ROW(E$2:E1699)*(E1700=E$2:E1699)))))</f>
        <v/>
      </c>
      <c r="J1700" s="24" t="str">
        <f ca="1">IF(OR(E1700="",E1700="!!!",F1700="NEW"),"",COUNTBLANK(OFFSET(A$1,,,SUMPRODUCT(MAX(ROW(E$2:E1700)*(E1700=E$2:E1700)))))-COUNTBLANK(OFFSET(A$1,,,SUMPRODUCT(MAX(ROW(E$1:E1699)*(E2=E$1:E1699))))))</f>
        <v/>
      </c>
      <c r="K1700" s="24" t="str">
        <f>IF(OR(E1700="",E1700="!!!",F1700="NEW"),"",INDEX(J$1:J1699,SUMPRODUCT(MAX(ROW(E$1:E1699)*(E1700=E$1:E1699)))))</f>
        <v/>
      </c>
      <c r="L1700" s="25"/>
    </row>
    <row r="1701" spans="1:12" x14ac:dyDescent="0.3">
      <c r="A1701" t="s">
        <v>989</v>
      </c>
      <c r="E1701" s="20" t="str">
        <f>IF(D1701="?OLD","!!!","")</f>
        <v/>
      </c>
      <c r="F1701" s="21" t="str">
        <f>IF(OR(E1701="",E1701="!!!"),"",IF(NOT(ISNA(VLOOKUP(E1701,E$1:E1700,1,FALSE()))),"OLD",IF(AND(E1701&lt;&gt;"",E1701&lt;&gt;"!!!"),"NEW","")))</f>
        <v/>
      </c>
      <c r="G1701" s="22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t="shared" ca="1" si="110"/>
        <v/>
      </c>
      <c r="I1701" s="24" t="str">
        <f>IF(OR(E1701="",E1701="!!!",F1701="NEW"),"",INDEX(B$2:B1700,-1+SUMPRODUCT(MAX(ROW(E$2:E1700)*(E1701=E$2:E1700)))))</f>
        <v/>
      </c>
      <c r="J1701" s="24" t="str">
        <f ca="1">IF(OR(E1701="",E1701="!!!",F1701="NEW"),"",COUNTBLANK(OFFSET(A$1,,,SUMPRODUCT(MAX(ROW(E$2:E1701)*(E1701=E$2:E1701)))))-COUNTBLANK(OFFSET(A$1,,,SUMPRODUCT(MAX(ROW(E$1:E1700)*(E2=E$1:E1700))))))</f>
        <v/>
      </c>
      <c r="K1701" s="24" t="str">
        <f>IF(OR(E1701="",E1701="!!!",F1701="NEW"),"",INDEX(J$1:J1700,SUMPRODUCT(MAX(ROW(E$1:E1700)*(E1701=E$1:E1700)))))</f>
        <v/>
      </c>
      <c r="L1701" s="25"/>
    </row>
    <row r="1702" spans="1:12" x14ac:dyDescent="0.3">
      <c r="A1702" t="s">
        <v>172</v>
      </c>
      <c r="E1702" s="20" t="str">
        <f>IF(D1702="?OLD","!!!","")</f>
        <v/>
      </c>
      <c r="F1702" s="21" t="str">
        <f>IF(OR(E1702="",E1702="!!!"),"",IF(NOT(ISNA(VLOOKUP(E1702,E$1:E1701,1,FALSE()))),"OLD",IF(AND(E1702&lt;&gt;"",E1702&lt;&gt;"!!!"),"NEW","")))</f>
        <v/>
      </c>
      <c r="G1702" s="22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t="shared" ca="1" si="110"/>
        <v/>
      </c>
      <c r="I1702" s="24" t="str">
        <f>IF(OR(E1702="",E1702="!!!",F1702="NEW"),"",INDEX(B$2:B1701,-1+SUMPRODUCT(MAX(ROW(E$2:E1701)*(E1702=E$2:E1701)))))</f>
        <v/>
      </c>
      <c r="J1702" s="24" t="str">
        <f ca="1">IF(OR(E1702="",E1702="!!!",F1702="NEW"),"",COUNTBLANK(OFFSET(A$1,,,SUMPRODUCT(MAX(ROW(E$2:E1702)*(E1702=E$2:E1702)))))-COUNTBLANK(OFFSET(A$1,,,SUMPRODUCT(MAX(ROW(E$1:E1701)*(E2=E$1:E1701))))))</f>
        <v/>
      </c>
      <c r="K1702" s="24" t="str">
        <f>IF(OR(E1702="",E1702="!!!",F1702="NEW"),"",INDEX(J$1:J1701,SUMPRODUCT(MAX(ROW(E$1:E1701)*(E1702=E$1:E1701)))))</f>
        <v/>
      </c>
      <c r="L1702" s="25"/>
    </row>
    <row r="1703" spans="1:12" x14ac:dyDescent="0.3">
      <c r="A1703" t="s">
        <v>246</v>
      </c>
      <c r="E1703" s="20" t="s">
        <v>825</v>
      </c>
      <c r="F1703" s="21" t="s">
        <v>272</v>
      </c>
      <c r="G1703" s="22" t="str">
        <f ca="1"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?IN_FOCUS</v>
      </c>
      <c r="H1703" s="23" t="str">
        <f t="shared" ca="1" si="110"/>
        <v/>
      </c>
      <c r="I1703" s="24" t="str">
        <f>IF(OR(E1703="",E1703="!!!",F1703="NEW"),"",INDEX(B$2:B1702,-1+SUMPRODUCT(MAX(ROW(E$2:E1702)*(E1703=E$2:E1702)))))</f>
        <v>SBJ_14</v>
      </c>
      <c r="J1703" s="24">
        <f ca="1">IF(OR(E1703="",E1703="!!!",F1703="NEW"),"",COUNTBLANK(OFFSET(A$1,,,SUMPRODUCT(MAX(ROW(E$2:E1703)*(E1703=E$2:E1703)))))-COUNTBLANK(OFFSET(A$1,,,SUMPRODUCT(MAX(ROW(E$1:E1702)*(E2=E$1:E1702))))))</f>
        <v>0</v>
      </c>
      <c r="K1703" s="24">
        <f ca="1">IF(OR(E1703="",E1703="!!!",F1703="NEW"),"",INDEX(J$1:J1702,SUMPRODUCT(MAX(ROW(E$1:E1702)*(E1703=E$1:E1702)))))</f>
        <v>0</v>
      </c>
      <c r="L1703" s="25"/>
    </row>
    <row r="1704" spans="1:12" x14ac:dyDescent="0.3">
      <c r="A1704" t="s">
        <v>990</v>
      </c>
      <c r="E1704" s="20" t="str">
        <f t="shared" ref="E1704:E1709" si="111">IF(D1704="?OLD","!!!","")</f>
        <v/>
      </c>
      <c r="F1704" s="21" t="str">
        <f>IF(OR(E1704="",E1704="!!!"),"",IF(NOT(ISNA(VLOOKUP(E1704,E$1:E1703,1,FALSE()))),"OLD",IF(AND(E1704&lt;&gt;"",E1704&lt;&gt;"!!!"),"NEW","")))</f>
        <v/>
      </c>
      <c r="G1704" s="22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t="shared" ca="1" si="110"/>
        <v/>
      </c>
      <c r="I1704" s="24" t="str">
        <f>IF(OR(E1704="",E1704="!!!",F1704="NEW"),"",INDEX(B$2:B1703,-1+SUMPRODUCT(MAX(ROW(E$2:E1703)*(E1704=E$2:E1703)))))</f>
        <v/>
      </c>
      <c r="J1704" s="24" t="str">
        <f ca="1">IF(OR(E1704="",E1704="!!!",F1704="NEW"),"",COUNTBLANK(OFFSET(A$1,,,SUMPRODUCT(MAX(ROW(E$2:E1704)*(E1704=E$2:E1704)))))-COUNTBLANK(OFFSET(A$1,,,SUMPRODUCT(MAX(ROW(E$1:E1703)*(E2=E$1:E1703))))))</f>
        <v/>
      </c>
      <c r="K1704" s="24" t="str">
        <f>IF(OR(E1704="",E1704="!!!",F1704="NEW"),"",INDEX(J$1:J1703,SUMPRODUCT(MAX(ROW(E$1:E1703)*(E1704=E$1:E1703)))))</f>
        <v/>
      </c>
      <c r="L1704" s="25"/>
    </row>
    <row r="1705" spans="1:12" x14ac:dyDescent="0.3">
      <c r="A1705" t="s">
        <v>991</v>
      </c>
      <c r="B1705" s="26" t="s">
        <v>805</v>
      </c>
      <c r="C1705" s="26" t="s">
        <v>105</v>
      </c>
      <c r="E1705" s="20" t="str">
        <f t="shared" si="111"/>
        <v/>
      </c>
      <c r="F1705" s="21" t="str">
        <f>IF(OR(E1705="",E1705="!!!"),"",IF(NOT(ISNA(VLOOKUP(E1705,E$1:E1704,1,FALSE()))),"OLD",IF(AND(E1705&lt;&gt;"",E1705&lt;&gt;"!!!"),"NEW","")))</f>
        <v/>
      </c>
      <c r="G1705" s="22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t="shared" ca="1" si="110"/>
        <v/>
      </c>
      <c r="I1705" s="24" t="str">
        <f>IF(OR(E1705="",E1705="!!!",F1705="NEW"),"",INDEX(B$2:B1704,-1+SUMPRODUCT(MAX(ROW(E$2:E1704)*(E1705=E$2:E1704)))))</f>
        <v/>
      </c>
      <c r="J1705" s="24" t="str">
        <f ca="1">IF(OR(E1705="",E1705="!!!",F1705="NEW"),"",COUNTBLANK(OFFSET(A$1,,,SUMPRODUCT(MAX(ROW(E$2:E1705)*(E1705=E$2:E1705)))))-COUNTBLANK(OFFSET(A$1,,,SUMPRODUCT(MAX(ROW(E$1:E1704)*(E2=E$1:E1704))))))</f>
        <v/>
      </c>
      <c r="K1705" s="24" t="str">
        <f>IF(OR(E1705="",E1705="!!!",F1705="NEW"),"",INDEX(J$1:J1704,SUMPRODUCT(MAX(ROW(E$1:E1704)*(E1705=E$1:E1704)))))</f>
        <v/>
      </c>
      <c r="L1705" s="25"/>
    </row>
    <row r="1706" spans="1:12" x14ac:dyDescent="0.3">
      <c r="A1706" t="s">
        <v>992</v>
      </c>
      <c r="E1706" s="20" t="str">
        <f t="shared" si="111"/>
        <v/>
      </c>
      <c r="F1706" s="21" t="str">
        <f>IF(OR(E1706="",E1706="!!!"),"",IF(NOT(ISNA(VLOOKUP(E1706,E$1:E1705,1,FALSE()))),"OLD",IF(AND(E1706&lt;&gt;"",E1706&lt;&gt;"!!!"),"NEW","")))</f>
        <v/>
      </c>
      <c r="G1706" s="22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3" t="str">
        <f t="shared" ca="1" si="110"/>
        <v/>
      </c>
      <c r="I1706" s="24" t="str">
        <f>IF(OR(E1706="",E1706="!!!",F1706="NEW"),"",INDEX(B$2:B1705,-1+SUMPRODUCT(MAX(ROW(E$2:E1705)*(E1706=E$2:E1705)))))</f>
        <v/>
      </c>
      <c r="J1706" s="24" t="str">
        <f ca="1">IF(OR(E1706="",E1706="!!!",F1706="NEW"),"",COUNTBLANK(OFFSET(A$1,,,SUMPRODUCT(MAX(ROW(E$2:E1706)*(E1706=E$2:E1706)))))-COUNTBLANK(OFFSET(A$1,,,SUMPRODUCT(MAX(ROW(E$1:E1705)*(E2=E$1:E1705))))))</f>
        <v/>
      </c>
      <c r="K1706" s="24" t="str">
        <f>IF(OR(E1706="",E1706="!!!",F1706="NEW"),"",INDEX(J$1:J1705,SUMPRODUCT(MAX(ROW(E$1:E1705)*(E1706=E$1:E1705)))))</f>
        <v/>
      </c>
      <c r="L1706" s="25"/>
    </row>
    <row r="1707" spans="1:12" x14ac:dyDescent="0.3">
      <c r="A1707" t="s">
        <v>101</v>
      </c>
      <c r="E1707" s="20" t="str">
        <f t="shared" si="111"/>
        <v/>
      </c>
      <c r="F1707" s="21" t="str">
        <f>IF(OR(E1707="",E1707="!!!"),"",IF(NOT(ISNA(VLOOKUP(E1707,E$1:E1706,1,FALSE()))),"OLD",IF(AND(E1707&lt;&gt;"",E1707&lt;&gt;"!!!"),"NEW","")))</f>
        <v/>
      </c>
      <c r="G1707" s="22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3" t="str">
        <f t="shared" ca="1" si="110"/>
        <v/>
      </c>
      <c r="I1707" s="24" t="str">
        <f>IF(OR(E1707="",E1707="!!!",F1707="NEW"),"",INDEX(B$2:B1706,-1+SUMPRODUCT(MAX(ROW(E$2:E1706)*(E1707=E$2:E1706)))))</f>
        <v/>
      </c>
      <c r="J1707" s="24" t="str">
        <f ca="1">IF(OR(E1707="",E1707="!!!",F1707="NEW"),"",COUNTBLANK(OFFSET(A$1,,,SUMPRODUCT(MAX(ROW(E$2:E1707)*(E1707=E$2:E1707)))))-COUNTBLANK(OFFSET(A$1,,,SUMPRODUCT(MAX(ROW(E$1:E1706)*(E2=E$1:E1706))))))</f>
        <v/>
      </c>
      <c r="K1707" s="24" t="str">
        <f>IF(OR(E1707="",E1707="!!!",F1707="NEW"),"",INDEX(J$1:J1706,SUMPRODUCT(MAX(ROW(E$1:E1706)*(E1707=E$1:E1706)))))</f>
        <v/>
      </c>
      <c r="L1707" s="25"/>
    </row>
    <row r="1708" spans="1:12" x14ac:dyDescent="0.3">
      <c r="A1708" t="s">
        <v>125</v>
      </c>
      <c r="E1708" s="20" t="str">
        <f t="shared" si="111"/>
        <v/>
      </c>
      <c r="F1708" s="21" t="str">
        <f>IF(OR(E1708="",E1708="!!!"),"",IF(NOT(ISNA(VLOOKUP(E1708,E$1:E1707,1,FALSE()))),"OLD",IF(AND(E1708&lt;&gt;"",E1708&lt;&gt;"!!!"),"NEW","")))</f>
        <v/>
      </c>
      <c r="G1708" s="22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t="shared" ca="1" si="110"/>
        <v/>
      </c>
      <c r="I1708" s="24" t="str">
        <f>IF(OR(E1708="",E1708="!!!",F1708="NEW"),"",INDEX(B$2:B1707,-1+SUMPRODUCT(MAX(ROW(E$2:E1707)*(E1708=E$2:E1707)))))</f>
        <v/>
      </c>
      <c r="J1708" s="24" t="str">
        <f ca="1">IF(OR(E1708="",E1708="!!!",F1708="NEW"),"",COUNTBLANK(OFFSET(A$1,,,SUMPRODUCT(MAX(ROW(E$2:E1708)*(E1708=E$2:E1708)))))-COUNTBLANK(OFFSET(A$1,,,SUMPRODUCT(MAX(ROW(E$1:E1707)*(E2=E$1:E1707))))))</f>
        <v/>
      </c>
      <c r="K1708" s="24" t="str">
        <f>IF(OR(E1708="",E1708="!!!",F1708="NEW"),"",INDEX(J$1:J1707,SUMPRODUCT(MAX(ROW(E$1:E1707)*(E1708=E$1:E1707)))))</f>
        <v/>
      </c>
      <c r="L1708" s="25"/>
    </row>
    <row r="1709" spans="1:12" x14ac:dyDescent="0.3">
      <c r="A1709" t="s">
        <v>258</v>
      </c>
      <c r="E1709" s="20" t="str">
        <f t="shared" si="111"/>
        <v/>
      </c>
      <c r="F1709" s="21" t="str">
        <f>IF(OR(E1709="",E1709="!!!"),"",IF(NOT(ISNA(VLOOKUP(E1709,E$1:E1708,1,FALSE()))),"OLD",IF(AND(E1709&lt;&gt;"",E1709&lt;&gt;"!!!"),"NEW","")))</f>
        <v/>
      </c>
      <c r="G1709" s="22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t="shared" ca="1" si="110"/>
        <v/>
      </c>
      <c r="I1709" s="24" t="str">
        <f>IF(OR(E1709="",E1709="!!!",F1709="NEW"),"",INDEX(B$2:B1708,-1+SUMPRODUCT(MAX(ROW(E$2:E1708)*(E1709=E$2:E1708)))))</f>
        <v/>
      </c>
      <c r="J1709" s="24" t="str">
        <f ca="1">IF(OR(E1709="",E1709="!!!",F1709="NEW"),"",COUNTBLANK(OFFSET(A$1,,,SUMPRODUCT(MAX(ROW(E$2:E1709)*(E1709=E$2:E1709)))))-COUNTBLANK(OFFSET(A$1,,,SUMPRODUCT(MAX(ROW(E$1:E1708)*(E2=E$1:E1708))))))</f>
        <v/>
      </c>
      <c r="K1709" s="24" t="str">
        <f>IF(OR(E1709="",E1709="!!!",F1709="NEW"),"",INDEX(J$1:J1708,SUMPRODUCT(MAX(ROW(E$1:E1708)*(E1709=E$1:E1708)))))</f>
        <v/>
      </c>
      <c r="L1709" s="25"/>
    </row>
    <row r="1710" spans="1:12" x14ac:dyDescent="0.3">
      <c r="A1710" t="s">
        <v>150</v>
      </c>
      <c r="B1710" s="26" t="s">
        <v>983</v>
      </c>
      <c r="C1710" s="26" t="s">
        <v>151</v>
      </c>
      <c r="D1710" s="26" t="s">
        <v>75</v>
      </c>
      <c r="E1710" s="20"/>
      <c r="F1710" s="21" t="str">
        <f>IF(OR(E1710="",E1710="!!!"),"",IF(NOT(ISNA(VLOOKUP(E1710,E$1:E1709,1,FALSE()))),"OLD",IF(AND(E1710&lt;&gt;"",E1710&lt;&gt;"!!!"),"NEW","")))</f>
        <v/>
      </c>
      <c r="G1710" s="22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t="shared" ca="1" si="110"/>
        <v/>
      </c>
      <c r="I1710" s="24" t="str">
        <f>IF(OR(E1710="",E1710="!!!",F1710="NEW"),"",INDEX(B$2:B1709,-1+SUMPRODUCT(MAX(ROW(E$2:E1709)*(E1710=E$2:E1709)))))</f>
        <v/>
      </c>
      <c r="J1710" s="24" t="str">
        <f ca="1">IF(OR(E1710="",E1710="!!!",F1710="NEW"),"",COUNTBLANK(OFFSET(A$1,,,SUMPRODUCT(MAX(ROW(E$2:E1710)*(E1710=E$2:E1710)))))-COUNTBLANK(OFFSET(A$1,,,SUMPRODUCT(MAX(ROW(E$1:E1709)*(E2=E$1:E1709))))))</f>
        <v/>
      </c>
      <c r="K1710" s="24" t="str">
        <f>IF(OR(E1710="",E1710="!!!",F1710="NEW"),"",INDEX(J$1:J1709,SUMPRODUCT(MAX(ROW(E$1:E1709)*(E1710=E$1:E1709)))))</f>
        <v/>
      </c>
      <c r="L1710" s="27" t="s">
        <v>527</v>
      </c>
    </row>
    <row r="1711" spans="1:12" x14ac:dyDescent="0.3">
      <c r="A1711" t="s">
        <v>993</v>
      </c>
      <c r="B1711" s="26" t="s">
        <v>557</v>
      </c>
      <c r="C1711" s="26" t="s">
        <v>353</v>
      </c>
      <c r="D1711" s="26" t="s">
        <v>75</v>
      </c>
      <c r="E1711" s="20" t="s">
        <v>994</v>
      </c>
      <c r="F1711" s="21" t="s">
        <v>210</v>
      </c>
      <c r="G1711" s="22" t="e">
        <f ca="1"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#VALUE!</v>
      </c>
      <c r="H1711" s="23" t="str">
        <f t="shared" ca="1" si="110"/>
        <v/>
      </c>
      <c r="I1711" s="24" t="e">
        <f>IF(OR(E1711="",E1711="!!!",F1711="NEW"),"",INDEX(B$2:B1710,-1+SUMPRODUCT(MAX(ROW(E$2:E1710)*(E1711=E$2:E1710)))))</f>
        <v>#VALUE!</v>
      </c>
      <c r="J1711" s="24">
        <f ca="1">IF(OR(E1711="",E1711="!!!",F1711="NEW"),"",COUNTBLANK(OFFSET(A$1,,,SUMPRODUCT(MAX(ROW(E$2:E1711)*(E1711=E$2:E1711)))))-COUNTBLANK(OFFSET(A$1,,,SUMPRODUCT(MAX(ROW(E$1:E1710)*(E2=E$1:E1710))))))</f>
        <v>0</v>
      </c>
      <c r="K1711" s="24" t="e">
        <f>IF(OR(E1711="",E1711="!!!",F1711="NEW"),"",INDEX(J$1:J1710,SUMPRODUCT(MAX(ROW(E$1:E1710)*(E1711=E$1:E1710)))))</f>
        <v>#VALUE!</v>
      </c>
      <c r="L1711" s="25"/>
    </row>
    <row r="1712" spans="1:12" x14ac:dyDescent="0.3">
      <c r="A1712" t="s">
        <v>624</v>
      </c>
      <c r="E1712" s="20" t="str">
        <f t="shared" ref="E1712:E1720" si="112">IF(D1712="?OLD","!!!","")</f>
        <v/>
      </c>
      <c r="F1712" s="21" t="str">
        <f>IF(OR(E1712="",E1712="!!!"),"",IF(NOT(ISNA(VLOOKUP(E1712,E$1:E1711,1,FALSE()))),"OLD",IF(AND(E1712&lt;&gt;"",E1712&lt;&gt;"!!!"),"NEW","")))</f>
        <v/>
      </c>
      <c r="G1712" s="22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t="shared" ca="1" si="110"/>
        <v/>
      </c>
      <c r="I1712" s="24" t="str">
        <f>IF(OR(E1712="",E1712="!!!",F1712="NEW"),"",INDEX(B$2:B1711,-1+SUMPRODUCT(MAX(ROW(E$2:E1711)*(E1712=E$2:E1711)))))</f>
        <v/>
      </c>
      <c r="J1712" s="24" t="str">
        <f ca="1">IF(OR(E1712="",E1712="!!!",F1712="NEW"),"",COUNTBLANK(OFFSET(A$1,,,SUMPRODUCT(MAX(ROW(E$2:E1712)*(E1712=E$2:E1712)))))-COUNTBLANK(OFFSET(A$1,,,SUMPRODUCT(MAX(ROW(E$1:E1711)*(E2=E$1:E1711))))))</f>
        <v/>
      </c>
      <c r="K1712" s="24" t="str">
        <f>IF(OR(E1712="",E1712="!!!",F1712="NEW"),"",INDEX(J$1:J1711,SUMPRODUCT(MAX(ROW(E$1:E1711)*(E1712=E$1:E1711)))))</f>
        <v/>
      </c>
      <c r="L1712" s="25"/>
    </row>
    <row r="1713" spans="1:12" x14ac:dyDescent="0.3">
      <c r="A1713" t="s">
        <v>995</v>
      </c>
      <c r="E1713" s="20" t="str">
        <f t="shared" si="112"/>
        <v/>
      </c>
      <c r="F1713" s="21" t="str">
        <f>IF(OR(E1713="",E1713="!!!"),"",IF(NOT(ISNA(VLOOKUP(E1713,E$1:E1712,1,FALSE()))),"OLD",IF(AND(E1713&lt;&gt;"",E1713&lt;&gt;"!!!"),"NEW","")))</f>
        <v/>
      </c>
      <c r="G1713" s="22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t="shared" ca="1" si="110"/>
        <v/>
      </c>
      <c r="I1713" s="24" t="str">
        <f>IF(OR(E1713="",E1713="!!!",F1713="NEW"),"",INDEX(B$2:B1712,-1+SUMPRODUCT(MAX(ROW(E$2:E1712)*(E1713=E$2:E1712)))))</f>
        <v/>
      </c>
      <c r="J1713" s="24" t="str">
        <f ca="1">IF(OR(E1713="",E1713="!!!",F1713="NEW"),"",COUNTBLANK(OFFSET(A$1,,,SUMPRODUCT(MAX(ROW(E$2:E1713)*(E1713=E$2:E1713)))))-COUNTBLANK(OFFSET(A$1,,,SUMPRODUCT(MAX(ROW(E$1:E1712)*(E2=E$1:E1712))))))</f>
        <v/>
      </c>
      <c r="K1713" s="24" t="str">
        <f>IF(OR(E1713="",E1713="!!!",F1713="NEW"),"",INDEX(J$1:J1712,SUMPRODUCT(MAX(ROW(E$1:E1712)*(E1713=E$1:E1712)))))</f>
        <v/>
      </c>
      <c r="L1713" s="25"/>
    </row>
    <row r="1714" spans="1:12" x14ac:dyDescent="0.3">
      <c r="A1714" t="s">
        <v>155</v>
      </c>
      <c r="E1714" s="20" t="str">
        <f t="shared" si="112"/>
        <v/>
      </c>
      <c r="F1714" s="21" t="str">
        <f>IF(OR(E1714="",E1714="!!!"),"",IF(NOT(ISNA(VLOOKUP(E1714,E$1:E1713,1,FALSE()))),"OLD",IF(AND(E1714&lt;&gt;"",E1714&lt;&gt;"!!!"),"NEW","")))</f>
        <v/>
      </c>
      <c r="G1714" s="22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/>
      </c>
      <c r="H1714" s="23" t="str">
        <f t="shared" ca="1" si="110"/>
        <v/>
      </c>
      <c r="I1714" s="24" t="str">
        <f>IF(OR(E1714="",E1714="!!!",F1714="NEW"),"",INDEX(B$2:B1713,-1+SUMPRODUCT(MAX(ROW(E$2:E1713)*(E1714=E$2:E1713)))))</f>
        <v/>
      </c>
      <c r="J1714" s="24" t="str">
        <f ca="1">IF(OR(E1714="",E1714="!!!",F1714="NEW"),"",COUNTBLANK(OFFSET(A$1,,,SUMPRODUCT(MAX(ROW(E$2:E1714)*(E1714=E$2:E1714)))))-COUNTBLANK(OFFSET(A$1,,,SUMPRODUCT(MAX(ROW(E$1:E1713)*(E2=E$1:E1713))))))</f>
        <v/>
      </c>
      <c r="K1714" s="24" t="str">
        <f>IF(OR(E1714="",E1714="!!!",F1714="NEW"),"",INDEX(J$1:J1713,SUMPRODUCT(MAX(ROW(E$1:E1713)*(E1714=E$1:E1713)))))</f>
        <v/>
      </c>
      <c r="L1714" s="25"/>
    </row>
    <row r="1715" spans="1:12" x14ac:dyDescent="0.3">
      <c r="A1715" t="s">
        <v>245</v>
      </c>
      <c r="E1715" s="20" t="str">
        <f t="shared" si="112"/>
        <v/>
      </c>
      <c r="F1715" s="21" t="str">
        <f>IF(OR(E1715="",E1715="!!!"),"",IF(NOT(ISNA(VLOOKUP(E1715,E$1:E1714,1,FALSE()))),"OLD",IF(AND(E1715&lt;&gt;"",E1715&lt;&gt;"!!!"),"NEW","")))</f>
        <v/>
      </c>
      <c r="G1715" s="22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3" t="str">
        <f t="shared" ca="1" si="110"/>
        <v/>
      </c>
      <c r="I1715" s="24" t="str">
        <f>IF(OR(E1715="",E1715="!!!",F1715="NEW"),"",INDEX(B$2:B1714,-1+SUMPRODUCT(MAX(ROW(E$2:E1714)*(E1715=E$2:E1714)))))</f>
        <v/>
      </c>
      <c r="J1715" s="24" t="str">
        <f ca="1">IF(OR(E1715="",E1715="!!!",F1715="NEW"),"",COUNTBLANK(OFFSET(A$1,,,SUMPRODUCT(MAX(ROW(E$2:E1715)*(E1715=E$2:E1715)))))-COUNTBLANK(OFFSET(A$1,,,SUMPRODUCT(MAX(ROW(E$1:E1714)*(E2=E$1:E1714))))))</f>
        <v/>
      </c>
      <c r="K1715" s="24" t="str">
        <f>IF(OR(E1715="",E1715="!!!",F1715="NEW"),"",INDEX(J$1:J1714,SUMPRODUCT(MAX(ROW(E$1:E1714)*(E1715=E$1:E1714)))))</f>
        <v/>
      </c>
      <c r="L1715" s="25"/>
    </row>
    <row r="1716" spans="1:12" x14ac:dyDescent="0.3">
      <c r="A1716" t="s">
        <v>101</v>
      </c>
      <c r="E1716" s="20" t="str">
        <f t="shared" si="112"/>
        <v/>
      </c>
      <c r="F1716" s="21" t="str">
        <f>IF(OR(E1716="",E1716="!!!"),"",IF(NOT(ISNA(VLOOKUP(E1716,E$1:E1715,1,FALSE()))),"OLD",IF(AND(E1716&lt;&gt;"",E1716&lt;&gt;"!!!"),"NEW","")))</f>
        <v/>
      </c>
      <c r="G1716" s="22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3" t="str">
        <f t="shared" ca="1" si="110"/>
        <v/>
      </c>
      <c r="I1716" s="24" t="str">
        <f>IF(OR(E1716="",E1716="!!!",F1716="NEW"),"",INDEX(B$2:B1715,-1+SUMPRODUCT(MAX(ROW(E$2:E1715)*(E1716=E$2:E1715)))))</f>
        <v/>
      </c>
      <c r="J1716" s="24" t="str">
        <f ca="1">IF(OR(E1716="",E1716="!!!",F1716="NEW"),"",COUNTBLANK(OFFSET(A$1,,,SUMPRODUCT(MAX(ROW(E$2:E1716)*(E1716=E$2:E1716)))))-COUNTBLANK(OFFSET(A$1,,,SUMPRODUCT(MAX(ROW(E$1:E1715)*(E2=E$1:E1715))))))</f>
        <v/>
      </c>
      <c r="K1716" s="24" t="str">
        <f>IF(OR(E1716="",E1716="!!!",F1716="NEW"),"",INDEX(J$1:J1715,SUMPRODUCT(MAX(ROW(E$1:E1715)*(E1716=E$1:E1715)))))</f>
        <v/>
      </c>
      <c r="L1716" s="25"/>
    </row>
    <row r="1717" spans="1:12" x14ac:dyDescent="0.3">
      <c r="A1717" t="s">
        <v>483</v>
      </c>
      <c r="E1717" s="20" t="str">
        <f t="shared" si="112"/>
        <v/>
      </c>
      <c r="F1717" s="21" t="str">
        <f>IF(OR(E1717="",E1717="!!!"),"",IF(NOT(ISNA(VLOOKUP(E1717,E$1:E1716,1,FALSE()))),"OLD",IF(AND(E1717&lt;&gt;"",E1717&lt;&gt;"!!!"),"NEW","")))</f>
        <v/>
      </c>
      <c r="G1717" s="22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3" t="str">
        <f t="shared" ca="1" si="110"/>
        <v/>
      </c>
      <c r="I1717" s="24" t="str">
        <f>IF(OR(E1717="",E1717="!!!",F1717="NEW"),"",INDEX(B$2:B1716,-1+SUMPRODUCT(MAX(ROW(E$2:E1716)*(E1717=E$2:E1716)))))</f>
        <v/>
      </c>
      <c r="J1717" s="24" t="str">
        <f ca="1">IF(OR(E1717="",E1717="!!!",F1717="NEW"),"",COUNTBLANK(OFFSET(A$1,,,SUMPRODUCT(MAX(ROW(E$2:E1717)*(E1717=E$2:E1717)))))-COUNTBLANK(OFFSET(A$1,,,SUMPRODUCT(MAX(ROW(E$1:E1716)*(E2=E$1:E1716))))))</f>
        <v/>
      </c>
      <c r="K1717" s="24" t="str">
        <f>IF(OR(E1717="",E1717="!!!",F1717="NEW"),"",INDEX(J$1:J1716,SUMPRODUCT(MAX(ROW(E$1:E1716)*(E1717=E$1:E1716)))))</f>
        <v/>
      </c>
      <c r="L1717" s="25"/>
    </row>
    <row r="1718" spans="1:12" x14ac:dyDescent="0.3">
      <c r="A1718" t="s">
        <v>446</v>
      </c>
      <c r="E1718" s="20" t="str">
        <f t="shared" si="112"/>
        <v/>
      </c>
      <c r="F1718" s="21" t="str">
        <f>IF(OR(E1718="",E1718="!!!"),"",IF(NOT(ISNA(VLOOKUP(E1718,E$1:E1717,1,FALSE()))),"OLD",IF(AND(E1718&lt;&gt;"",E1718&lt;&gt;"!!!"),"NEW","")))</f>
        <v/>
      </c>
      <c r="G1718" s="22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3" t="str">
        <f t="shared" ca="1" si="110"/>
        <v/>
      </c>
      <c r="I1718" s="24" t="str">
        <f>IF(OR(E1718="",E1718="!!!",F1718="NEW"),"",INDEX(B$2:B1717,-1+SUMPRODUCT(MAX(ROW(E$2:E1717)*(E1718=E$2:E1717)))))</f>
        <v/>
      </c>
      <c r="J1718" s="24" t="str">
        <f ca="1">IF(OR(E1718="",E1718="!!!",F1718="NEW"),"",COUNTBLANK(OFFSET(A$1,,,SUMPRODUCT(MAX(ROW(E$2:E1718)*(E1718=E$2:E1718)))))-COUNTBLANK(OFFSET(A$1,,,SUMPRODUCT(MAX(ROW(E$1:E1717)*(E2=E$1:E1717))))))</f>
        <v/>
      </c>
      <c r="K1718" s="24" t="str">
        <f>IF(OR(E1718="",E1718="!!!",F1718="NEW"),"",INDEX(J$1:J1717,SUMPRODUCT(MAX(ROW(E$1:E1717)*(E1718=E$1:E1717)))))</f>
        <v/>
      </c>
      <c r="L1718" s="25"/>
    </row>
    <row r="1719" spans="1:12" x14ac:dyDescent="0.3">
      <c r="A1719" t="s">
        <v>996</v>
      </c>
      <c r="E1719" s="20" t="str">
        <f t="shared" si="112"/>
        <v/>
      </c>
      <c r="F1719" s="21" t="str">
        <f>IF(OR(E1719="",E1719="!!!"),"",IF(NOT(ISNA(VLOOKUP(E1719,E$1:E1718,1,FALSE()))),"OLD",IF(AND(E1719&lt;&gt;"",E1719&lt;&gt;"!!!"),"NEW","")))</f>
        <v/>
      </c>
      <c r="G1719" s="22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3" t="str">
        <f t="shared" ca="1" si="110"/>
        <v/>
      </c>
      <c r="I1719" s="24" t="str">
        <f>IF(OR(E1719="",E1719="!!!",F1719="NEW"),"",INDEX(B$2:B1718,-1+SUMPRODUCT(MAX(ROW(E$2:E1718)*(E1719=E$2:E1718)))))</f>
        <v/>
      </c>
      <c r="J1719" s="24" t="str">
        <f ca="1">IF(OR(E1719="",E1719="!!!",F1719="NEW"),"",COUNTBLANK(OFFSET(A$1,,,SUMPRODUCT(MAX(ROW(E$2:E1719)*(E1719=E$2:E1719)))))-COUNTBLANK(OFFSET(A$1,,,SUMPRODUCT(MAX(ROW(E$1:E1718)*(E2=E$1:E1718))))))</f>
        <v/>
      </c>
      <c r="K1719" s="24" t="str">
        <f>IF(OR(E1719="",E1719="!!!",F1719="NEW"),"",INDEX(J$1:J1718,SUMPRODUCT(MAX(ROW(E$1:E1718)*(E1719=E$1:E1718)))))</f>
        <v/>
      </c>
      <c r="L1719" s="25"/>
    </row>
    <row r="1720" spans="1:12" x14ac:dyDescent="0.3">
      <c r="A1720" t="s">
        <v>194</v>
      </c>
      <c r="E1720" s="20" t="str">
        <f t="shared" si="112"/>
        <v/>
      </c>
      <c r="F1720" s="21" t="str">
        <f>IF(OR(E1720="",E1720="!!!"),"",IF(NOT(ISNA(VLOOKUP(E1720,E$1:E1719,1,FALSE()))),"OLD",IF(AND(E1720&lt;&gt;"",E1720&lt;&gt;"!!!"),"NEW","")))</f>
        <v/>
      </c>
      <c r="G1720" s="22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3" t="str">
        <f t="shared" ca="1" si="110"/>
        <v/>
      </c>
      <c r="I1720" s="24" t="str">
        <f>IF(OR(E1720="",E1720="!!!",F1720="NEW"),"",INDEX(B$2:B1719,-1+SUMPRODUCT(MAX(ROW(E$2:E1719)*(E1720=E$2:E1719)))))</f>
        <v/>
      </c>
      <c r="J1720" s="24" t="str">
        <f ca="1">IF(OR(E1720="",E1720="!!!",F1720="NEW"),"",COUNTBLANK(OFFSET(A$1,,,SUMPRODUCT(MAX(ROW(E$2:E1720)*(E1720=E$2:E1720)))))-COUNTBLANK(OFFSET(A$1,,,SUMPRODUCT(MAX(ROW(E$1:E1719)*(E2=E$1:E1719))))))</f>
        <v/>
      </c>
      <c r="K1720" s="24" t="str">
        <f>IF(OR(E1720="",E1720="!!!",F1720="NEW"),"",INDEX(J$1:J1719,SUMPRODUCT(MAX(ROW(E$1:E1719)*(E1720=E$1:E1719)))))</f>
        <v/>
      </c>
      <c r="L1720" s="25"/>
    </row>
    <row r="1721" spans="1:12" x14ac:dyDescent="0.3">
      <c r="A1721" t="s">
        <v>195</v>
      </c>
      <c r="B1721" s="26" t="s">
        <v>557</v>
      </c>
      <c r="C1721" s="26" t="s">
        <v>105</v>
      </c>
      <c r="E1721" s="20"/>
      <c r="F1721" s="21" t="str">
        <f>IF(OR(E1721="",E1721="!!!"),"",IF(NOT(ISNA(VLOOKUP(E1721,E$1:E1720,1,FALSE()))),"OLD",IF(AND(E1721&lt;&gt;"",E1721&lt;&gt;"!!!"),"NEW","")))</f>
        <v/>
      </c>
      <c r="G1721" s="22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3" t="str">
        <f t="shared" ca="1" si="110"/>
        <v/>
      </c>
      <c r="I1721" s="24" t="str">
        <f>IF(OR(E1721="",E1721="!!!",F1721="NEW"),"",INDEX(B$2:B1720,-1+SUMPRODUCT(MAX(ROW(E$2:E1720)*(E1721=E$2:E1720)))))</f>
        <v/>
      </c>
      <c r="J1721" s="24" t="str">
        <f ca="1">IF(OR(E1721="",E1721="!!!",F1721="NEW"),"",COUNTBLANK(OFFSET(A$1,,,SUMPRODUCT(MAX(ROW(E$2:E1721)*(E1721=E$2:E1721)))))-COUNTBLANK(OFFSET(A$1,,,SUMPRODUCT(MAX(ROW(E$1:E1720)*(E2=E$1:E1720))))))</f>
        <v/>
      </c>
      <c r="K1721" s="24" t="str">
        <f>IF(OR(E1721="",E1721="!!!",F1721="NEW"),"",INDEX(J$1:J1720,SUMPRODUCT(MAX(ROW(E$1:E1720)*(E1721=E$1:E1720)))))</f>
        <v/>
      </c>
      <c r="L1721" s="25"/>
    </row>
    <row r="1722" spans="1:12" x14ac:dyDescent="0.3">
      <c r="A1722" t="s">
        <v>298</v>
      </c>
      <c r="E1722" s="20" t="str">
        <f>IF(D1722="?OLD","!!!","")</f>
        <v/>
      </c>
      <c r="F1722" s="21" t="str">
        <f>IF(OR(E1722="",E1722="!!!"),"",IF(NOT(ISNA(VLOOKUP(E1722,E$1:E1721,1,FALSE()))),"OLD",IF(AND(E1722&lt;&gt;"",E1722&lt;&gt;"!!!"),"NEW","")))</f>
        <v/>
      </c>
      <c r="G1722" s="22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3" t="str">
        <f t="shared" ca="1" si="110"/>
        <v/>
      </c>
      <c r="I1722" s="24" t="str">
        <f>IF(OR(E1722="",E1722="!!!",F1722="NEW"),"",INDEX(B$2:B1721,-1+SUMPRODUCT(MAX(ROW(E$2:E1721)*(E1722=E$2:E1721)))))</f>
        <v/>
      </c>
      <c r="J1722" s="24" t="str">
        <f ca="1">IF(OR(E1722="",E1722="!!!",F1722="NEW"),"",COUNTBLANK(OFFSET(A$1,,,SUMPRODUCT(MAX(ROW(E$2:E1722)*(E1722=E$2:E1722)))))-COUNTBLANK(OFFSET(A$1,,,SUMPRODUCT(MAX(ROW(E$1:E1721)*(E2=E$1:E1721))))))</f>
        <v/>
      </c>
      <c r="K1722" s="24" t="str">
        <f>IF(OR(E1722="",E1722="!!!",F1722="NEW"),"",INDEX(J$1:J1721,SUMPRODUCT(MAX(ROW(E$1:E1721)*(E1722=E$1:E1721)))))</f>
        <v/>
      </c>
      <c r="L1722" s="25"/>
    </row>
    <row r="1723" spans="1:12" x14ac:dyDescent="0.3">
      <c r="A1723" t="s">
        <v>206</v>
      </c>
      <c r="B1723" s="26" t="s">
        <v>552</v>
      </c>
      <c r="C1723" s="26" t="s">
        <v>208</v>
      </c>
      <c r="D1723" s="26" t="s">
        <v>75</v>
      </c>
      <c r="E1723" s="20" t="s">
        <v>825</v>
      </c>
      <c r="F1723" s="21" t="str">
        <f>IF(OR(E1723="",E1723="!!!"),"",IF(NOT(ISNA(VLOOKUP(E1723,E$1:E1722,1,FALSE()))),"OLD",IF(AND(E1723&lt;&gt;"",E1723&lt;&gt;"!!!"),"NEW","")))</f>
        <v>OLD</v>
      </c>
      <c r="G1723" s="22" t="str">
        <f ca="1"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?IN_FOCUS</v>
      </c>
      <c r="H1723" s="23" t="str">
        <f t="shared" ca="1" si="110"/>
        <v/>
      </c>
      <c r="I1723" s="24">
        <f>IF(OR(E1723="",E1723="!!!",F1723="NEW"),"",INDEX(B$2:B1722,-1+SUMPRODUCT(MAX(ROW(E$2:E1722)*(E1723=E$2:E1722)))))</f>
        <v>0</v>
      </c>
      <c r="J1723" s="24">
        <f ca="1">IF(OR(E1723="",E1723="!!!",F1723="NEW"),"",COUNTBLANK(OFFSET(A$1,,,SUMPRODUCT(MAX(ROW(E$2:E1723)*(E1723=E$2:E1723)))))-COUNTBLANK(OFFSET(A$1,,,SUMPRODUCT(MAX(ROW(E$1:E1722)*(E2=E$1:E1722))))))</f>
        <v>0</v>
      </c>
      <c r="K1723" s="24">
        <f ca="1">IF(OR(E1723="",E1723="!!!",F1723="NEW"),"",INDEX(J$1:J1722,SUMPRODUCT(MAX(ROW(E$1:E1722)*(E1723=E$1:E1722)))))</f>
        <v>0</v>
      </c>
      <c r="L1723" s="25"/>
    </row>
    <row r="1724" spans="1:12" x14ac:dyDescent="0.3">
      <c r="A1724" t="s">
        <v>689</v>
      </c>
      <c r="E1724" s="20" t="str">
        <f>IF(D1724="?OLD","!!!","")</f>
        <v/>
      </c>
      <c r="F1724" s="21" t="str">
        <f>IF(OR(E1724="",E1724="!!!"),"",IF(NOT(ISNA(VLOOKUP(E1724,E$1:E1723,1,FALSE()))),"OLD",IF(AND(E1724&lt;&gt;"",E1724&lt;&gt;"!!!"),"NEW","")))</f>
        <v/>
      </c>
      <c r="G1724" s="22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3" t="str">
        <f t="shared" ca="1" si="110"/>
        <v/>
      </c>
      <c r="I1724" s="24" t="str">
        <f>IF(OR(E1724="",E1724="!!!",F1724="NEW"),"",INDEX(B$2:B1723,-1+SUMPRODUCT(MAX(ROW(E$2:E1723)*(E1724=E$2:E1723)))))</f>
        <v/>
      </c>
      <c r="J1724" s="24" t="str">
        <f ca="1">IF(OR(E1724="",E1724="!!!",F1724="NEW"),"",COUNTBLANK(OFFSET(A$1,,,SUMPRODUCT(MAX(ROW(E$2:E1724)*(E1724=E$2:E1724)))))-COUNTBLANK(OFFSET(A$1,,,SUMPRODUCT(MAX(ROW(E$1:E1723)*(E2=E$1:E1723))))))</f>
        <v/>
      </c>
      <c r="K1724" s="24" t="str">
        <f>IF(OR(E1724="",E1724="!!!",F1724="NEW"),"",INDEX(J$1:J1723,SUMPRODUCT(MAX(ROW(E$1:E1723)*(E1724=E$1:E1723)))))</f>
        <v/>
      </c>
      <c r="L1724" s="25"/>
    </row>
    <row r="1725" spans="1:12" x14ac:dyDescent="0.3">
      <c r="A1725" t="s">
        <v>153</v>
      </c>
      <c r="B1725" s="26" t="s">
        <v>997</v>
      </c>
      <c r="C1725" s="26" t="s">
        <v>119</v>
      </c>
      <c r="E1725" s="20" t="str">
        <f>IF(D1725="?OLD","!!!","")</f>
        <v/>
      </c>
      <c r="F1725" s="21" t="str">
        <f>IF(OR(E1725="",E1725="!!!"),"",IF(NOT(ISNA(VLOOKUP(E1725,E$1:E1724,1,FALSE()))),"OLD",IF(AND(E1725&lt;&gt;"",E1725&lt;&gt;"!!!"),"NEW","")))</f>
        <v/>
      </c>
      <c r="G1725" s="22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3" t="str">
        <f t="shared" ca="1" si="110"/>
        <v/>
      </c>
      <c r="I1725" s="24" t="str">
        <f>IF(OR(E1725="",E1725="!!!",F1725="NEW"),"",INDEX(B$2:B1724,-1+SUMPRODUCT(MAX(ROW(E$2:E1724)*(E1725=E$2:E1724)))))</f>
        <v/>
      </c>
      <c r="J1725" s="24" t="str">
        <f ca="1">IF(OR(E1725="",E1725="!!!",F1725="NEW"),"",COUNTBLANK(OFFSET(A$1,,,SUMPRODUCT(MAX(ROW(E$2:E1725)*(E1725=E$2:E1725)))))-COUNTBLANK(OFFSET(A$1,,,SUMPRODUCT(MAX(ROW(E$1:E1724)*(E2=E$1:E1724))))))</f>
        <v/>
      </c>
      <c r="K1725" s="24" t="str">
        <f>IF(OR(E1725="",E1725="!!!",F1725="NEW"),"",INDEX(J$1:J1724,SUMPRODUCT(MAX(ROW(E$1:E1724)*(E1725=E$1:E1724)))))</f>
        <v/>
      </c>
      <c r="L1725" s="25"/>
    </row>
    <row r="1726" spans="1:12" x14ac:dyDescent="0.3">
      <c r="A1726" t="s">
        <v>86</v>
      </c>
      <c r="E1726" s="20" t="str">
        <f>IF(D1726="?OLD","!!!","")</f>
        <v/>
      </c>
      <c r="F1726" s="21" t="str">
        <f>IF(OR(E1726="",E1726="!!!"),"",IF(NOT(ISNA(VLOOKUP(E1726,E$1:E1725,1,FALSE()))),"OLD",IF(AND(E1726&lt;&gt;"",E1726&lt;&gt;"!!!"),"NEW","")))</f>
        <v/>
      </c>
      <c r="G1726" s="22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3" t="str">
        <f t="shared" ca="1" si="110"/>
        <v/>
      </c>
      <c r="I1726" s="24" t="str">
        <f>IF(OR(E1726="",E1726="!!!",F1726="NEW"),"",INDEX(B$2:B1725,-1+SUMPRODUCT(MAX(ROW(E$2:E1725)*(E1726=E$2:E1725)))))</f>
        <v/>
      </c>
      <c r="J1726" s="24" t="str">
        <f ca="1">IF(OR(E1726="",E1726="!!!",F1726="NEW"),"",COUNTBLANK(OFFSET(A$1,,,SUMPRODUCT(MAX(ROW(E$2:E1726)*(E1726=E$2:E1726)))))-COUNTBLANK(OFFSET(A$1,,,SUMPRODUCT(MAX(ROW(E$1:E1725)*(E2=E$1:E1725))))))</f>
        <v/>
      </c>
      <c r="K1726" s="24" t="str">
        <f>IF(OR(E1726="",E1726="!!!",F1726="NEW"),"",INDEX(J$1:J1725,SUMPRODUCT(MAX(ROW(E$1:E1725)*(E1726=E$1:E1725)))))</f>
        <v/>
      </c>
      <c r="L1726" s="25"/>
    </row>
    <row r="1727" spans="1:12" x14ac:dyDescent="0.3">
      <c r="A1727" t="s">
        <v>246</v>
      </c>
      <c r="B1727" s="26" t="s">
        <v>207</v>
      </c>
      <c r="C1727" s="26" t="s">
        <v>208</v>
      </c>
      <c r="D1727" s="26" t="s">
        <v>75</v>
      </c>
      <c r="E1727" s="20" t="s">
        <v>825</v>
      </c>
      <c r="F1727" s="21" t="str">
        <f>IF(OR(E1727="",E1727="!!!"),"",IF(NOT(ISNA(VLOOKUP(E1727,E$1:E1726,1,FALSE()))),"OLD",IF(AND(E1727&lt;&gt;"",E1727&lt;&gt;"!!!"),"NEW","")))</f>
        <v>OLD</v>
      </c>
      <c r="G1727" s="22" t="str">
        <f ca="1"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?IN_FOCUS</v>
      </c>
      <c r="H1727" s="23" t="str">
        <f t="shared" ca="1" si="110"/>
        <v/>
      </c>
      <c r="I1727" s="24" t="str">
        <f>IF(OR(E1727="",E1727="!!!",F1727="NEW"),"",INDEX(B$2:B1726,-1+SUMPRODUCT(MAX(ROW(E$2:E1726)*(E1727=E$2:E1726)))))</f>
        <v>SBJ_9</v>
      </c>
      <c r="J1727" s="24">
        <f ca="1">IF(OR(E1727="",E1727="!!!",F1727="NEW"),"",COUNTBLANK(OFFSET(A$1,,,SUMPRODUCT(MAX(ROW(E$2:E1727)*(E1727=E$2:E1727)))))-COUNTBLANK(OFFSET(A$1,,,SUMPRODUCT(MAX(ROW(E$1:E1726)*(E2=E$1:E1726))))))</f>
        <v>0</v>
      </c>
      <c r="K1727" s="24">
        <f ca="1">IF(OR(E1727="",E1727="!!!",F1727="NEW"),"",INDEX(J$1:J1726,SUMPRODUCT(MAX(ROW(E$1:E1726)*(E1727=E$1:E1726)))))</f>
        <v>0</v>
      </c>
      <c r="L1727" s="25"/>
    </row>
    <row r="1728" spans="1:12" x14ac:dyDescent="0.3">
      <c r="A1728" t="s">
        <v>20</v>
      </c>
      <c r="E1728" s="20" t="str">
        <f t="shared" ref="E1728:E1733" si="113">IF(D1728="?OLD","!!!","")</f>
        <v/>
      </c>
      <c r="F1728" s="21" t="str">
        <f>IF(OR(E1728="",E1728="!!!"),"",IF(NOT(ISNA(VLOOKUP(E1728,E$1:E1727,1,FALSE()))),"OLD",IF(AND(E1728&lt;&gt;"",E1728&lt;&gt;"!!!"),"NEW","")))</f>
        <v/>
      </c>
      <c r="G1728" s="22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3" t="str">
        <f t="shared" ca="1" si="110"/>
        <v/>
      </c>
      <c r="I1728" s="24" t="str">
        <f>IF(OR(E1728="",E1728="!!!",F1728="NEW"),"",INDEX(B$2:B1727,-1+SUMPRODUCT(MAX(ROW(E$2:E1727)*(E1728=E$2:E1727)))))</f>
        <v/>
      </c>
      <c r="J1728" s="24" t="str">
        <f ca="1">IF(OR(E1728="",E1728="!!!",F1728="NEW"),"",COUNTBLANK(OFFSET(A$1,,,SUMPRODUCT(MAX(ROW(E$2:E1728)*(E1728=E$2:E1728)))))-COUNTBLANK(OFFSET(A$1,,,SUMPRODUCT(MAX(ROW(E$1:E1727)*(E2=E$1:E1727))))))</f>
        <v/>
      </c>
      <c r="K1728" s="24" t="str">
        <f>IF(OR(E1728="",E1728="!!!",F1728="NEW"),"",INDEX(J$1:J1727,SUMPRODUCT(MAX(ROW(E$1:E1727)*(E1728=E$1:E1727)))))</f>
        <v/>
      </c>
      <c r="L1728" s="25"/>
    </row>
    <row r="1729" spans="1:12" x14ac:dyDescent="0.3">
      <c r="A1729" t="s">
        <v>680</v>
      </c>
      <c r="E1729" s="20" t="str">
        <f t="shared" si="113"/>
        <v/>
      </c>
      <c r="F1729" s="21" t="str">
        <f>IF(OR(E1729="",E1729="!!!"),"",IF(NOT(ISNA(VLOOKUP(E1729,E$1:E1728,1,FALSE()))),"OLD",IF(AND(E1729&lt;&gt;"",E1729&lt;&gt;"!!!"),"NEW","")))</f>
        <v/>
      </c>
      <c r="G1729" s="22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3" t="str">
        <f t="shared" ca="1" si="110"/>
        <v/>
      </c>
      <c r="I1729" s="24" t="str">
        <f>IF(OR(E1729="",E1729="!!!",F1729="NEW"),"",INDEX(B$2:B1728,-1+SUMPRODUCT(MAX(ROW(E$2:E1728)*(E1729=E$2:E1728)))))</f>
        <v/>
      </c>
      <c r="J1729" s="24" t="str">
        <f ca="1">IF(OR(E1729="",E1729="!!!",F1729="NEW"),"",COUNTBLANK(OFFSET(A$1,,,SUMPRODUCT(MAX(ROW(E$2:E1729)*(E1729=E$2:E1729)))))-COUNTBLANK(OFFSET(A$1,,,SUMPRODUCT(MAX(ROW(E$1:E1728)*(E2=E$1:E1728))))))</f>
        <v/>
      </c>
      <c r="K1729" s="24" t="str">
        <f>IF(OR(E1729="",E1729="!!!",F1729="NEW"),"",INDEX(J$1:J1728,SUMPRODUCT(MAX(ROW(E$1:E1728)*(E1729=E$1:E1728)))))</f>
        <v/>
      </c>
      <c r="L1729" s="25"/>
    </row>
    <row r="1730" spans="1:12" x14ac:dyDescent="0.3">
      <c r="A1730" t="s">
        <v>998</v>
      </c>
      <c r="B1730" s="26" t="s">
        <v>213</v>
      </c>
      <c r="C1730" s="26" t="s">
        <v>335</v>
      </c>
      <c r="E1730" s="20" t="str">
        <f t="shared" si="113"/>
        <v/>
      </c>
      <c r="F1730" s="21" t="str">
        <f>IF(OR(E1730="",E1730="!!!"),"",IF(NOT(ISNA(VLOOKUP(E1730,E$1:E1729,1,FALSE()))),"OLD",IF(AND(E1730&lt;&gt;"",E1730&lt;&gt;"!!!"),"NEW","")))</f>
        <v/>
      </c>
      <c r="G1730" s="22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3" t="str">
        <f t="shared" ca="1" si="110"/>
        <v/>
      </c>
      <c r="I1730" s="24" t="str">
        <f>IF(OR(E1730="",E1730="!!!",F1730="NEW"),"",INDEX(B$2:B1729,-1+SUMPRODUCT(MAX(ROW(E$2:E1729)*(E1730=E$2:E1729)))))</f>
        <v/>
      </c>
      <c r="J1730" s="24" t="str">
        <f ca="1">IF(OR(E1730="",E1730="!!!",F1730="NEW"),"",COUNTBLANK(OFFSET(A$1,,,SUMPRODUCT(MAX(ROW(E$2:E1730)*(E1730=E$2:E1730)))))-COUNTBLANK(OFFSET(A$1,,,SUMPRODUCT(MAX(ROW(E$1:E1729)*(E2=E$1:E1729))))))</f>
        <v/>
      </c>
      <c r="K1730" s="24" t="str">
        <f>IF(OR(E1730="",E1730="!!!",F1730="NEW"),"",INDEX(J$1:J1729,SUMPRODUCT(MAX(ROW(E$1:E1729)*(E1730=E$1:E1729)))))</f>
        <v/>
      </c>
      <c r="L1730" s="25"/>
    </row>
    <row r="1731" spans="1:12" x14ac:dyDescent="0.3">
      <c r="A1731" t="s">
        <v>101</v>
      </c>
      <c r="E1731" s="20" t="str">
        <f t="shared" si="113"/>
        <v/>
      </c>
      <c r="F1731" s="21" t="str">
        <f>IF(OR(E1731="",E1731="!!!"),"",IF(NOT(ISNA(VLOOKUP(E1731,E$1:E1730,1,FALSE()))),"OLD",IF(AND(E1731&lt;&gt;"",E1731&lt;&gt;"!!!"),"NEW","")))</f>
        <v/>
      </c>
      <c r="G1731" s="22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3" t="str">
        <f t="shared" ca="1" si="110"/>
        <v/>
      </c>
      <c r="I1731" s="24" t="str">
        <f>IF(OR(E1731="",E1731="!!!",F1731="NEW"),"",INDEX(B$2:B1730,-1+SUMPRODUCT(MAX(ROW(E$2:E1730)*(E1731=E$2:E1730)))))</f>
        <v/>
      </c>
      <c r="J1731" s="24" t="str">
        <f ca="1">IF(OR(E1731="",E1731="!!!",F1731="NEW"),"",COUNTBLANK(OFFSET(A$1,,,SUMPRODUCT(MAX(ROW(E$2:E1731)*(E1731=E$2:E1731)))))-COUNTBLANK(OFFSET(A$1,,,SUMPRODUCT(MAX(ROW(E$1:E1730)*(E2=E$1:E1730))))))</f>
        <v/>
      </c>
      <c r="K1731" s="24" t="str">
        <f>IF(OR(E1731="",E1731="!!!",F1731="NEW"),"",INDEX(J$1:J1730,SUMPRODUCT(MAX(ROW(E$1:E1730)*(E1731=E$1:E1730)))))</f>
        <v/>
      </c>
      <c r="L1731" s="25"/>
    </row>
    <row r="1732" spans="1:12" x14ac:dyDescent="0.3">
      <c r="A1732" t="s">
        <v>999</v>
      </c>
      <c r="E1732" s="20" t="str">
        <f t="shared" si="113"/>
        <v/>
      </c>
      <c r="F1732" s="21" t="str">
        <f>IF(OR(E1732="",E1732="!!!"),"",IF(NOT(ISNA(VLOOKUP(E1732,E$1:E1731,1,FALSE()))),"OLD",IF(AND(E1732&lt;&gt;"",E1732&lt;&gt;"!!!"),"NEW","")))</f>
        <v/>
      </c>
      <c r="G1732" s="22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3" t="str">
        <f t="shared" ca="1" si="110"/>
        <v/>
      </c>
      <c r="I1732" s="24" t="str">
        <f>IF(OR(E1732="",E1732="!!!",F1732="NEW"),"",INDEX(B$2:B1731,-1+SUMPRODUCT(MAX(ROW(E$2:E1731)*(E1732=E$2:E1731)))))</f>
        <v/>
      </c>
      <c r="J1732" s="24" t="str">
        <f ca="1">IF(OR(E1732="",E1732="!!!",F1732="NEW"),"",COUNTBLANK(OFFSET(A$1,,,SUMPRODUCT(MAX(ROW(E$2:E1732)*(E1732=E$2:E1732)))))-COUNTBLANK(OFFSET(A$1,,,SUMPRODUCT(MAX(ROW(E$1:E1731)*(E2=E$1:E1731))))))</f>
        <v/>
      </c>
      <c r="K1732" s="24" t="str">
        <f>IF(OR(E1732="",E1732="!!!",F1732="NEW"),"",INDEX(J$1:J1731,SUMPRODUCT(MAX(ROW(E$1:E1731)*(E1732=E$1:E1731)))))</f>
        <v/>
      </c>
      <c r="L1732" s="25"/>
    </row>
    <row r="1733" spans="1:12" x14ac:dyDescent="0.3">
      <c r="A1733" t="s">
        <v>136</v>
      </c>
      <c r="E1733" s="20" t="str">
        <f t="shared" si="113"/>
        <v/>
      </c>
      <c r="F1733" s="21" t="str">
        <f>IF(OR(E1733="",E1733="!!!"),"",IF(NOT(ISNA(VLOOKUP(E1733,E$1:E1732,1,FALSE()))),"OLD",IF(AND(E1733&lt;&gt;"",E1733&lt;&gt;"!!!"),"NEW","")))</f>
        <v/>
      </c>
      <c r="G1733" s="22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3" t="str">
        <f t="shared" ca="1" si="110"/>
        <v/>
      </c>
      <c r="I1733" s="24" t="str">
        <f>IF(OR(E1733="",E1733="!!!",F1733="NEW"),"",INDEX(B$2:B1732,-1+SUMPRODUCT(MAX(ROW(E$2:E1732)*(E1733=E$2:E1732)))))</f>
        <v/>
      </c>
      <c r="J1733" s="24" t="str">
        <f ca="1">IF(OR(E1733="",E1733="!!!",F1733="NEW"),"",COUNTBLANK(OFFSET(A$1,,,SUMPRODUCT(MAX(ROW(E$2:E1733)*(E1733=E$2:E1733)))))-COUNTBLANK(OFFSET(A$1,,,SUMPRODUCT(MAX(ROW(E$1:E1732)*(E2=E$1:E1732))))))</f>
        <v/>
      </c>
      <c r="K1733" s="24" t="str">
        <f>IF(OR(E1733="",E1733="!!!",F1733="NEW"),"",INDEX(J$1:J1732,SUMPRODUCT(MAX(ROW(E$1:E1732)*(E1733=E$1:E1732)))))</f>
        <v/>
      </c>
      <c r="L1733" s="25"/>
    </row>
    <row r="1734" spans="1:12" x14ac:dyDescent="0.3">
      <c r="A1734" t="s">
        <v>1000</v>
      </c>
      <c r="B1734" s="26" t="s">
        <v>411</v>
      </c>
      <c r="C1734" s="26" t="s">
        <v>74</v>
      </c>
      <c r="D1734" s="26" t="s">
        <v>75</v>
      </c>
      <c r="E1734" s="20" t="s">
        <v>1001</v>
      </c>
      <c r="F1734" s="21" t="str">
        <f>IF(OR(E1734="",E1734="!!!"),"",IF(NOT(ISNA(VLOOKUP(E1734,E$1:E1733,1,FALSE()))),"OLD",IF(AND(E1734&lt;&gt;"",E1734&lt;&gt;"!!!"),"NEW","")))</f>
        <v>NEW</v>
      </c>
      <c r="G1734" s="22" t="str">
        <f ca="1"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?REFERENTIAL</v>
      </c>
      <c r="H1734" s="23" t="str">
        <f t="shared" ca="1" si="110"/>
        <v/>
      </c>
      <c r="I1734" s="24" t="str">
        <f>IF(OR(E1734="",E1734="!!!",F1734="NEW"),"",INDEX(B$2:B1733,-1+SUMPRODUCT(MAX(ROW(E$2:E1733)*(E1734=E$2:E1733)))))</f>
        <v/>
      </c>
      <c r="J1734" s="24" t="str">
        <f ca="1">IF(OR(E1734="",E1734="!!!",F1734="NEW"),"",COUNTBLANK(OFFSET(A$1,,,SUMPRODUCT(MAX(ROW(E$2:E1734)*(E1734=E$2:E1734)))))-COUNTBLANK(OFFSET(A$1,,,SUMPRODUCT(MAX(ROW(E$1:E1733)*(E2=E$1:E1733))))))</f>
        <v/>
      </c>
      <c r="K1734" s="24" t="str">
        <f>IF(OR(E1734="",E1734="!!!",F1734="NEW"),"",INDEX(J$1:J1733,SUMPRODUCT(MAX(ROW(E$1:E1733)*(E1734=E$1:E1733)))))</f>
        <v/>
      </c>
      <c r="L1734" s="25"/>
    </row>
    <row r="1735" spans="1:12" x14ac:dyDescent="0.3">
      <c r="A1735" t="s">
        <v>258</v>
      </c>
      <c r="E1735" s="20" t="str">
        <f>IF(D1735="?OLD","!!!","")</f>
        <v/>
      </c>
      <c r="F1735" s="21" t="str">
        <f>IF(OR(E1735="",E1735="!!!"),"",IF(NOT(ISNA(VLOOKUP(E1735,E$1:E1734,1,FALSE()))),"OLD",IF(AND(E1735&lt;&gt;"",E1735&lt;&gt;"!!!"),"NEW","")))</f>
        <v/>
      </c>
      <c r="G1735" s="22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3" t="str">
        <f t="shared" ca="1" si="110"/>
        <v/>
      </c>
      <c r="I1735" s="24" t="str">
        <f>IF(OR(E1735="",E1735="!!!",F1735="NEW"),"",INDEX(B$2:B1734,-1+SUMPRODUCT(MAX(ROW(E$2:E1734)*(E1735=E$2:E1734)))))</f>
        <v/>
      </c>
      <c r="J1735" s="24" t="str">
        <f ca="1">IF(OR(E1735="",E1735="!!!",F1735="NEW"),"",COUNTBLANK(OFFSET(A$1,,,SUMPRODUCT(MAX(ROW(E$2:E1735)*(E1735=E$2:E1735)))))-COUNTBLANK(OFFSET(A$1,,,SUMPRODUCT(MAX(ROW(E$1:E1734)*(E2=E$1:E1734))))))</f>
        <v/>
      </c>
      <c r="K1735" s="24" t="str">
        <f>IF(OR(E1735="",E1735="!!!",F1735="NEW"),"",INDEX(J$1:J1734,SUMPRODUCT(MAX(ROW(E$1:E1734)*(E1735=E$1:E1734)))))</f>
        <v/>
      </c>
      <c r="L1735" s="25"/>
    </row>
    <row r="1736" spans="1:12" x14ac:dyDescent="0.3">
      <c r="A1736" t="s">
        <v>534</v>
      </c>
      <c r="B1736" s="26" t="s">
        <v>557</v>
      </c>
      <c r="C1736" s="26" t="s">
        <v>133</v>
      </c>
      <c r="D1736" s="26" t="s">
        <v>75</v>
      </c>
      <c r="E1736" s="20" t="s">
        <v>224</v>
      </c>
      <c r="F1736" s="21" t="str">
        <f>IF(OR(E1736="",E1736="!!!"),"",IF(NOT(ISNA(VLOOKUP(E1736,E$1:E1735,1,FALSE()))),"OLD",IF(AND(E1736&lt;&gt;"",E1736&lt;&gt;"!!!"),"NEW","")))</f>
        <v>OLD</v>
      </c>
      <c r="G1736" s="22" t="str">
        <f ca="1"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?IN_FOCUS</v>
      </c>
      <c r="H1736" s="23" t="str">
        <f t="shared" ca="1" si="110"/>
        <v/>
      </c>
      <c r="I1736" s="24" t="str">
        <f>IF(OR(E1736="",E1736="!!!",F1736="NEW"),"",INDEX(B$2:B1735,-1+SUMPRODUCT(MAX(ROW(E$2:E1735)*(E1736=E$2:E1735)))))</f>
        <v>other_4</v>
      </c>
      <c r="J1736" s="24">
        <f ca="1">IF(OR(E1736="",E1736="!!!",F1736="NEW"),"",COUNTBLANK(OFFSET(A$1,,,SUMPRODUCT(MAX(ROW(E$2:E1736)*(E1736=E$2:E1736)))))-COUNTBLANK(OFFSET(A$1,,,SUMPRODUCT(MAX(ROW(E$1:E1735)*(E2=E$1:E1735))))))</f>
        <v>0</v>
      </c>
      <c r="K1736" s="24">
        <f ca="1">IF(OR(E1736="",E1736="!!!",F1736="NEW"),"",INDEX(J$1:J1735,SUMPRODUCT(MAX(ROW(E$1:E1735)*(E1736=E$1:E1735)))))</f>
        <v>0</v>
      </c>
      <c r="L1736" s="25"/>
    </row>
    <row r="1737" spans="1:12" x14ac:dyDescent="0.3">
      <c r="A1737" t="s">
        <v>423</v>
      </c>
      <c r="B1737" s="26" t="s">
        <v>414</v>
      </c>
      <c r="C1737" s="26" t="s">
        <v>105</v>
      </c>
      <c r="E1737" s="20" t="s">
        <v>234</v>
      </c>
      <c r="F1737" s="21" t="str">
        <f>IF(OR(E1737="",E1737="!!!"),"",IF(NOT(ISNA(VLOOKUP(E1737,E$1:E1736,1,FALSE()))),"OLD",IF(AND(E1737&lt;&gt;"",E1737&lt;&gt;"!!!"),"NEW","")))</f>
        <v>OLD</v>
      </c>
      <c r="G1737" s="22" t="str">
        <f ca="1"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?IN_FOCUS</v>
      </c>
      <c r="H1737" s="23" t="str">
        <f t="shared" ca="1" si="110"/>
        <v/>
      </c>
      <c r="I1737" s="24" t="str">
        <f>IF(OR(E1737="",E1737="!!!",F1737="NEW"),"",INDEX(B$2:B1736,-1+SUMPRODUCT(MAX(ROW(E$2:E1736)*(E1737=E$2:E1736)))))</f>
        <v>other_4</v>
      </c>
      <c r="J1737" s="24">
        <f ca="1">IF(OR(E1737="",E1737="!!!",F1737="NEW"),"",COUNTBLANK(OFFSET(A$1,,,SUMPRODUCT(MAX(ROW(E$2:E1737)*(E1737=E$2:E1737)))))-COUNTBLANK(OFFSET(A$1,,,SUMPRODUCT(MAX(ROW(E$1:E1736)*(E2=E$1:E1736))))))</f>
        <v>0</v>
      </c>
      <c r="K1737" s="24">
        <f ca="1">IF(OR(E1737="",E1737="!!!",F1737="NEW"),"",INDEX(J$1:J1736,SUMPRODUCT(MAX(ROW(E$1:E1736)*(E1737=E$1:E1736)))))</f>
        <v>0</v>
      </c>
      <c r="L1737" s="25"/>
    </row>
    <row r="1738" spans="1:12" x14ac:dyDescent="0.3">
      <c r="A1738" t="s">
        <v>142</v>
      </c>
      <c r="E1738" s="20" t="str">
        <f>IF(D1738="?OLD","!!!","")</f>
        <v/>
      </c>
      <c r="F1738" s="21" t="str">
        <f>IF(OR(E1738="",E1738="!!!"),"",IF(NOT(ISNA(VLOOKUP(E1738,E$1:E1737,1,FALSE()))),"OLD",IF(AND(E1738&lt;&gt;"",E1738&lt;&gt;"!!!"),"NEW","")))</f>
        <v/>
      </c>
      <c r="G1738" s="22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3" t="str">
        <f t="shared" ca="1" si="110"/>
        <v/>
      </c>
      <c r="I1738" s="24" t="str">
        <f>IF(OR(E1738="",E1738="!!!",F1738="NEW"),"",INDEX(B$2:B1737,-1+SUMPRODUCT(MAX(ROW(E$2:E1737)*(E1738=E$2:E1737)))))</f>
        <v/>
      </c>
      <c r="J1738" s="24" t="str">
        <f ca="1">IF(OR(E1738="",E1738="!!!",F1738="NEW"),"",COUNTBLANK(OFFSET(A$1,,,SUMPRODUCT(MAX(ROW(E$2:E1738)*(E1738=E$2:E1738)))))-COUNTBLANK(OFFSET(A$1,,,SUMPRODUCT(MAX(ROW(E$1:E1737)*(E2=E$1:E1737))))))</f>
        <v/>
      </c>
      <c r="K1738" s="24" t="str">
        <f>IF(OR(E1738="",E1738="!!!",F1738="NEW"),"",INDEX(J$1:J1737,SUMPRODUCT(MAX(ROW(E$1:E1737)*(E1738=E$1:E1737)))))</f>
        <v/>
      </c>
      <c r="L1738" s="25"/>
    </row>
    <row r="1739" spans="1:12" x14ac:dyDescent="0.3">
      <c r="A1739" t="s">
        <v>258</v>
      </c>
      <c r="E1739" s="20" t="str">
        <f>IF(D1739="?OLD","!!!","")</f>
        <v/>
      </c>
      <c r="F1739" s="21" t="str">
        <f>IF(OR(E1739="",E1739="!!!"),"",IF(NOT(ISNA(VLOOKUP(E1739,E$1:E1738,1,FALSE()))),"OLD",IF(AND(E1739&lt;&gt;"",E1739&lt;&gt;"!!!"),"NEW","")))</f>
        <v/>
      </c>
      <c r="G1739" s="22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3" t="str">
        <f t="shared" ca="1" si="110"/>
        <v/>
      </c>
      <c r="I1739" s="24" t="str">
        <f>IF(OR(E1739="",E1739="!!!",F1739="NEW"),"",INDEX(B$2:B1738,-1+SUMPRODUCT(MAX(ROW(E$2:E1738)*(E1739=E$2:E1738)))))</f>
        <v/>
      </c>
      <c r="J1739" s="24" t="str">
        <f ca="1">IF(OR(E1739="",E1739="!!!",F1739="NEW"),"",COUNTBLANK(OFFSET(A$1,,,SUMPRODUCT(MAX(ROW(E$2:E1739)*(E1739=E$2:E1739)))))-COUNTBLANK(OFFSET(A$1,,,SUMPRODUCT(MAX(ROW(E$1:E1738)*(E2=E$1:E1738))))))</f>
        <v/>
      </c>
      <c r="K1739" s="24" t="str">
        <f>IF(OR(E1739="",E1739="!!!",F1739="NEW"),"",INDEX(J$1:J1738,SUMPRODUCT(MAX(ROW(E$1:E1738)*(E1739=E$1:E1738)))))</f>
        <v/>
      </c>
      <c r="L1739" s="25"/>
    </row>
    <row r="1740" spans="1:12" x14ac:dyDescent="0.3">
      <c r="A1740" t="s">
        <v>1002</v>
      </c>
      <c r="B1740" s="26" t="s">
        <v>983</v>
      </c>
      <c r="C1740" s="26" t="s">
        <v>133</v>
      </c>
      <c r="D1740" s="26" t="s">
        <v>75</v>
      </c>
      <c r="E1740" s="20" t="s">
        <v>224</v>
      </c>
      <c r="F1740" s="21" t="str">
        <f>IF(OR(E1740="",E1740="!!!"),"",IF(NOT(ISNA(VLOOKUP(E1740,E$1:E1739,1,FALSE()))),"OLD",IF(AND(E1740&lt;&gt;"",E1740&lt;&gt;"!!!"),"NEW","")))</f>
        <v>OLD</v>
      </c>
      <c r="G1740" s="22" t="str">
        <f ca="1"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?IN_FOCUS</v>
      </c>
      <c r="H1740" s="23" t="str">
        <f t="shared" ca="1" si="110"/>
        <v/>
      </c>
      <c r="I1740" s="24" t="str">
        <f>IF(OR(E1740="",E1740="!!!",F1740="NEW"),"",INDEX(B$2:B1739,-1+SUMPRODUCT(MAX(ROW(E$2:E1739)*(E1740=E$2:E1739)))))</f>
        <v>other_9</v>
      </c>
      <c r="J1740" s="24">
        <f ca="1">IF(OR(E1740="",E1740="!!!",F1740="NEW"),"",COUNTBLANK(OFFSET(A$1,,,SUMPRODUCT(MAX(ROW(E$2:E1740)*(E1740=E$2:E1740)))))-COUNTBLANK(OFFSET(A$1,,,SUMPRODUCT(MAX(ROW(E$1:E1739)*(E2=E$1:E1739))))))</f>
        <v>0</v>
      </c>
      <c r="K1740" s="24">
        <f ca="1">IF(OR(E1740="",E1740="!!!",F1740="NEW"),"",INDEX(J$1:J1739,SUMPRODUCT(MAX(ROW(E$1:E1739)*(E1740=E$1:E1739)))))</f>
        <v>0</v>
      </c>
      <c r="L1740" s="25"/>
    </row>
    <row r="1741" spans="1:12" x14ac:dyDescent="0.3">
      <c r="A1741" t="s">
        <v>1003</v>
      </c>
      <c r="B1741" s="26" t="s">
        <v>557</v>
      </c>
      <c r="C1741" s="26" t="s">
        <v>105</v>
      </c>
      <c r="E1741" s="20" t="s">
        <v>1004</v>
      </c>
      <c r="F1741" s="21" t="str">
        <f>IF(OR(E1741="",E1741="!!!"),"",IF(NOT(ISNA(VLOOKUP(E1741,E$1:E1740,1,FALSE()))),"OLD",IF(AND(E1741&lt;&gt;"",E1741&lt;&gt;"!!!"),"NEW","")))</f>
        <v>NEW</v>
      </c>
      <c r="G1741" s="22" t="str">
        <f ca="1"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?REFERENTIAL</v>
      </c>
      <c r="H1741" s="23" t="str">
        <f t="shared" ref="H1741:H1804" ca="1" si="114">IF(J1741&lt;&gt;1,"",IF(I1741="SBJ","CB","?"))</f>
        <v/>
      </c>
      <c r="I1741" s="24" t="str">
        <f>IF(OR(E1741="",E1741="!!!",F1741="NEW"),"",INDEX(B$2:B1740,-1+SUMPRODUCT(MAX(ROW(E$2:E1740)*(E1741=E$2:E1740)))))</f>
        <v/>
      </c>
      <c r="J1741" s="24" t="str">
        <f ca="1">IF(OR(E1741="",E1741="!!!",F1741="NEW"),"",COUNTBLANK(OFFSET(A$1,,,SUMPRODUCT(MAX(ROW(E$2:E1741)*(E1741=E$2:E1741)))))-COUNTBLANK(OFFSET(A$1,,,SUMPRODUCT(MAX(ROW(E$1:E1740)*(E2=E$1:E1740))))))</f>
        <v/>
      </c>
      <c r="K1741" s="24" t="str">
        <f>IF(OR(E1741="",E1741="!!!",F1741="NEW"),"",INDEX(J$1:J1740,SUMPRODUCT(MAX(ROW(E$1:E1740)*(E1741=E$1:E1740)))))</f>
        <v/>
      </c>
      <c r="L1741" s="25"/>
    </row>
    <row r="1742" spans="1:12" x14ac:dyDescent="0.3">
      <c r="A1742" t="s">
        <v>101</v>
      </c>
      <c r="E1742" s="20" t="str">
        <f>IF(D1742="?OLD","!!!","")</f>
        <v/>
      </c>
      <c r="F1742" s="21" t="str">
        <f>IF(OR(E1742="",E1742="!!!"),"",IF(NOT(ISNA(VLOOKUP(E1742,E$1:E1741,1,FALSE()))),"OLD",IF(AND(E1742&lt;&gt;"",E1742&lt;&gt;"!!!"),"NEW","")))</f>
        <v/>
      </c>
      <c r="G1742" s="22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3" t="str">
        <f t="shared" ca="1" si="114"/>
        <v/>
      </c>
      <c r="I1742" s="24" t="str">
        <f>IF(OR(E1742="",E1742="!!!",F1742="NEW"),"",INDEX(B$2:B1741,-1+SUMPRODUCT(MAX(ROW(E$2:E1741)*(E1742=E$2:E1741)))))</f>
        <v/>
      </c>
      <c r="J1742" s="24" t="str">
        <f ca="1">IF(OR(E1742="",E1742="!!!",F1742="NEW"),"",COUNTBLANK(OFFSET(A$1,,,SUMPRODUCT(MAX(ROW(E$2:E1742)*(E1742=E$2:E1742)))))-COUNTBLANK(OFFSET(A$1,,,SUMPRODUCT(MAX(ROW(E$1:E1741)*(E2=E$1:E1741))))))</f>
        <v/>
      </c>
      <c r="K1742" s="24" t="str">
        <f>IF(OR(E1742="",E1742="!!!",F1742="NEW"),"",INDEX(J$1:J1741,SUMPRODUCT(MAX(ROW(E$1:E1741)*(E1742=E$1:E1741)))))</f>
        <v/>
      </c>
      <c r="L1742" s="25"/>
    </row>
    <row r="1743" spans="1:12" x14ac:dyDescent="0.3">
      <c r="A1743" t="s">
        <v>142</v>
      </c>
      <c r="E1743" s="20" t="str">
        <f>IF(D1743="?OLD","!!!","")</f>
        <v/>
      </c>
      <c r="F1743" s="21" t="str">
        <f>IF(OR(E1743="",E1743="!!!"),"",IF(NOT(ISNA(VLOOKUP(E1743,E$1:E1742,1,FALSE()))),"OLD",IF(AND(E1743&lt;&gt;"",E1743&lt;&gt;"!!!"),"NEW","")))</f>
        <v/>
      </c>
      <c r="G1743" s="22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3" t="str">
        <f t="shared" ca="1" si="114"/>
        <v/>
      </c>
      <c r="I1743" s="24" t="str">
        <f>IF(OR(E1743="",E1743="!!!",F1743="NEW"),"",INDEX(B$2:B1742,-1+SUMPRODUCT(MAX(ROW(E$2:E1742)*(E1743=E$2:E1742)))))</f>
        <v/>
      </c>
      <c r="J1743" s="24" t="str">
        <f ca="1">IF(OR(E1743="",E1743="!!!",F1743="NEW"),"",COUNTBLANK(OFFSET(A$1,,,SUMPRODUCT(MAX(ROW(E$2:E1743)*(E1743=E$2:E1743)))))-COUNTBLANK(OFFSET(A$1,,,SUMPRODUCT(MAX(ROW(E$1:E1742)*(E2=E$1:E1742))))))</f>
        <v/>
      </c>
      <c r="K1743" s="24" t="str">
        <f>IF(OR(E1743="",E1743="!!!",F1743="NEW"),"",INDEX(J$1:J1742,SUMPRODUCT(MAX(ROW(E$1:E1742)*(E1743=E$1:E1742)))))</f>
        <v/>
      </c>
      <c r="L1743" s="25"/>
    </row>
    <row r="1744" spans="1:12" x14ac:dyDescent="0.3">
      <c r="A1744" t="s">
        <v>1005</v>
      </c>
      <c r="E1744" s="20" t="str">
        <f>IF(D1744="?OLD","!!!","")</f>
        <v/>
      </c>
      <c r="F1744" s="21" t="str">
        <f>IF(OR(E1744="",E1744="!!!"),"",IF(NOT(ISNA(VLOOKUP(E1744,E$1:E1743,1,FALSE()))),"OLD",IF(AND(E1744&lt;&gt;"",E1744&lt;&gt;"!!!"),"NEW","")))</f>
        <v/>
      </c>
      <c r="G1744" s="22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3" t="str">
        <f t="shared" ca="1" si="114"/>
        <v/>
      </c>
      <c r="I1744" s="24" t="str">
        <f>IF(OR(E1744="",E1744="!!!",F1744="NEW"),"",INDEX(B$2:B1743,-1+SUMPRODUCT(MAX(ROW(E$2:E1743)*(E1744=E$2:E1743)))))</f>
        <v/>
      </c>
      <c r="J1744" s="24" t="str">
        <f ca="1">IF(OR(E1744="",E1744="!!!",F1744="NEW"),"",COUNTBLANK(OFFSET(A$1,,,SUMPRODUCT(MAX(ROW(E$2:E1744)*(E1744=E$2:E1744)))))-COUNTBLANK(OFFSET(A$1,,,SUMPRODUCT(MAX(ROW(E$1:E1743)*(E2=E$1:E1743))))))</f>
        <v/>
      </c>
      <c r="K1744" s="24" t="str">
        <f>IF(OR(E1744="",E1744="!!!",F1744="NEW"),"",INDEX(J$1:J1743,SUMPRODUCT(MAX(ROW(E$1:E1743)*(E1744=E$1:E1743)))))</f>
        <v/>
      </c>
      <c r="L1744" s="25"/>
    </row>
    <row r="1745" spans="1:12" x14ac:dyDescent="0.3">
      <c r="A1745" t="s">
        <v>1006</v>
      </c>
      <c r="E1745" s="20" t="str">
        <f>IF(D1745="?OLD","!!!","")</f>
        <v/>
      </c>
      <c r="F1745" s="21" t="str">
        <f>IF(OR(E1745="",E1745="!!!"),"",IF(NOT(ISNA(VLOOKUP(E1745,E$1:E1744,1,FALSE()))),"OLD",IF(AND(E1745&lt;&gt;"",E1745&lt;&gt;"!!!"),"NEW","")))</f>
        <v/>
      </c>
      <c r="G1745" s="22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3" t="str">
        <f t="shared" ca="1" si="114"/>
        <v/>
      </c>
      <c r="I1745" s="24" t="str">
        <f>IF(OR(E1745="",E1745="!!!",F1745="NEW"),"",INDEX(B$2:B1744,-1+SUMPRODUCT(MAX(ROW(E$2:E1744)*(E1745=E$2:E1744)))))</f>
        <v/>
      </c>
      <c r="J1745" s="24" t="str">
        <f ca="1">IF(OR(E1745="",E1745="!!!",F1745="NEW"),"",COUNTBLANK(OFFSET(A$1,,,SUMPRODUCT(MAX(ROW(E$2:E1745)*(E1745=E$2:E1745)))))-COUNTBLANK(OFFSET(A$1,,,SUMPRODUCT(MAX(ROW(E$1:E1744)*(E2=E$1:E1744))))))</f>
        <v/>
      </c>
      <c r="K1745" s="24" t="str">
        <f>IF(OR(E1745="",E1745="!!!",F1745="NEW"),"",INDEX(J$1:J1744,SUMPRODUCT(MAX(ROW(E$1:E1744)*(E1745=E$1:E1744)))))</f>
        <v/>
      </c>
      <c r="L1745" s="25"/>
    </row>
    <row r="1746" spans="1:12" x14ac:dyDescent="0.3">
      <c r="A1746" t="s">
        <v>206</v>
      </c>
      <c r="B1746" s="26" t="s">
        <v>546</v>
      </c>
      <c r="C1746" s="26" t="s">
        <v>208</v>
      </c>
      <c r="D1746" s="26" t="s">
        <v>75</v>
      </c>
      <c r="E1746" s="20" t="s">
        <v>825</v>
      </c>
      <c r="F1746" s="21" t="str">
        <f>IF(OR(E1746="",E1746="!!!"),"",IF(NOT(ISNA(VLOOKUP(E1746,E$1:E1745,1,FALSE()))),"OLD",IF(AND(E1746&lt;&gt;"",E1746&lt;&gt;"!!!"),"NEW","")))</f>
        <v>OLD</v>
      </c>
      <c r="G1746" s="22" t="str">
        <f ca="1"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?IN_FOCUS</v>
      </c>
      <c r="H1746" s="23" t="str">
        <f t="shared" ca="1" si="114"/>
        <v/>
      </c>
      <c r="I1746" s="24" t="str">
        <f>IF(OR(E1746="",E1746="!!!",F1746="NEW"),"",INDEX(B$2:B1745,-1+SUMPRODUCT(MAX(ROW(E$2:E1745)*(E1746=E$2:E1745)))))</f>
        <v>SBJ_6</v>
      </c>
      <c r="J1746" s="24">
        <f ca="1">IF(OR(E1746="",E1746="!!!",F1746="NEW"),"",COUNTBLANK(OFFSET(A$1,,,SUMPRODUCT(MAX(ROW(E$2:E1746)*(E1746=E$2:E1746)))))-COUNTBLANK(OFFSET(A$1,,,SUMPRODUCT(MAX(ROW(E$1:E1745)*(E2=E$1:E1745))))))</f>
        <v>0</v>
      </c>
      <c r="K1746" s="24">
        <f ca="1">IF(OR(E1746="",E1746="!!!",F1746="NEW"),"",INDEX(J$1:J1745,SUMPRODUCT(MAX(ROW(E$1:E1745)*(E1746=E$1:E1745)))))</f>
        <v>0</v>
      </c>
      <c r="L1746" s="25"/>
    </row>
    <row r="1747" spans="1:12" x14ac:dyDescent="0.3">
      <c r="A1747" t="s">
        <v>1007</v>
      </c>
      <c r="E1747" s="20" t="str">
        <f t="shared" ref="E1747:E1753" si="115">IF(D1747="?OLD","!!!","")</f>
        <v/>
      </c>
      <c r="F1747" s="21" t="str">
        <f>IF(OR(E1747="",E1747="!!!"),"",IF(NOT(ISNA(VLOOKUP(E1747,E$1:E1746,1,FALSE()))),"OLD",IF(AND(E1747&lt;&gt;"",E1747&lt;&gt;"!!!"),"NEW","")))</f>
        <v/>
      </c>
      <c r="G1747" s="22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3" t="str">
        <f t="shared" ca="1" si="114"/>
        <v/>
      </c>
      <c r="I1747" s="24" t="str">
        <f>IF(OR(E1747="",E1747="!!!",F1747="NEW"),"",INDEX(B$2:B1746,-1+SUMPRODUCT(MAX(ROW(E$2:E1746)*(E1747=E$2:E1746)))))</f>
        <v/>
      </c>
      <c r="J1747" s="24" t="str">
        <f ca="1">IF(OR(E1747="",E1747="!!!",F1747="NEW"),"",COUNTBLANK(OFFSET(A$1,,,SUMPRODUCT(MAX(ROW(E$2:E1747)*(E1747=E$2:E1747)))))-COUNTBLANK(OFFSET(A$1,,,SUMPRODUCT(MAX(ROW(E$1:E1746)*(E2=E$1:E1746))))))</f>
        <v/>
      </c>
      <c r="K1747" s="24" t="str">
        <f>IF(OR(E1747="",E1747="!!!",F1747="NEW"),"",INDEX(J$1:J1746,SUMPRODUCT(MAX(ROW(E$1:E1746)*(E1747=E$1:E1746)))))</f>
        <v/>
      </c>
      <c r="L1747" s="25"/>
    </row>
    <row r="1748" spans="1:12" x14ac:dyDescent="0.3">
      <c r="A1748" t="s">
        <v>116</v>
      </c>
      <c r="E1748" s="20" t="str">
        <f t="shared" si="115"/>
        <v/>
      </c>
      <c r="F1748" s="21" t="str">
        <f>IF(OR(E1748="",E1748="!!!"),"",IF(NOT(ISNA(VLOOKUP(E1748,E$1:E1747,1,FALSE()))),"OLD",IF(AND(E1748&lt;&gt;"",E1748&lt;&gt;"!!!"),"NEW","")))</f>
        <v/>
      </c>
      <c r="G1748" s="22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3" t="str">
        <f t="shared" ca="1" si="114"/>
        <v/>
      </c>
      <c r="I1748" s="24" t="str">
        <f>IF(OR(E1748="",E1748="!!!",F1748="NEW"),"",INDEX(B$2:B1747,-1+SUMPRODUCT(MAX(ROW(E$2:E1747)*(E1748=E$2:E1747)))))</f>
        <v/>
      </c>
      <c r="J1748" s="24" t="str">
        <f ca="1">IF(OR(E1748="",E1748="!!!",F1748="NEW"),"",COUNTBLANK(OFFSET(A$1,,,SUMPRODUCT(MAX(ROW(E$2:E1748)*(E1748=E$2:E1748)))))-COUNTBLANK(OFFSET(A$1,,,SUMPRODUCT(MAX(ROW(E$1:E1747)*(E2=E$1:E1747))))))</f>
        <v/>
      </c>
      <c r="K1748" s="24" t="str">
        <f>IF(OR(E1748="",E1748="!!!",F1748="NEW"),"",INDEX(J$1:J1747,SUMPRODUCT(MAX(ROW(E$1:E1747)*(E1748=E$1:E1747)))))</f>
        <v/>
      </c>
      <c r="L1748" s="25"/>
    </row>
    <row r="1749" spans="1:12" x14ac:dyDescent="0.3">
      <c r="A1749" t="s">
        <v>178</v>
      </c>
      <c r="E1749" s="20" t="str">
        <f t="shared" si="115"/>
        <v/>
      </c>
      <c r="F1749" s="21" t="str">
        <f>IF(OR(E1749="",E1749="!!!"),"",IF(NOT(ISNA(VLOOKUP(E1749,E$1:E1748,1,FALSE()))),"OLD",IF(AND(E1749&lt;&gt;"",E1749&lt;&gt;"!!!"),"NEW","")))</f>
        <v/>
      </c>
      <c r="G1749" s="22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3" t="str">
        <f t="shared" ca="1" si="114"/>
        <v/>
      </c>
      <c r="I1749" s="24" t="str">
        <f>IF(OR(E1749="",E1749="!!!",F1749="NEW"),"",INDEX(B$2:B1748,-1+SUMPRODUCT(MAX(ROW(E$2:E1748)*(E1749=E$2:E1748)))))</f>
        <v/>
      </c>
      <c r="J1749" s="24" t="str">
        <f ca="1">IF(OR(E1749="",E1749="!!!",F1749="NEW"),"",COUNTBLANK(OFFSET(A$1,,,SUMPRODUCT(MAX(ROW(E$2:E1749)*(E1749=E$2:E1749)))))-COUNTBLANK(OFFSET(A$1,,,SUMPRODUCT(MAX(ROW(E$1:E1748)*(E2=E$1:E1748))))))</f>
        <v/>
      </c>
      <c r="K1749" s="24" t="str">
        <f>IF(OR(E1749="",E1749="!!!",F1749="NEW"),"",INDEX(J$1:J1748,SUMPRODUCT(MAX(ROW(E$1:E1748)*(E1749=E$1:E1748)))))</f>
        <v/>
      </c>
      <c r="L1749" s="25"/>
    </row>
    <row r="1750" spans="1:12" x14ac:dyDescent="0.3">
      <c r="A1750" t="s">
        <v>638</v>
      </c>
      <c r="B1750" s="26" t="s">
        <v>414</v>
      </c>
      <c r="C1750" s="26" t="s">
        <v>105</v>
      </c>
      <c r="E1750" s="20" t="str">
        <f t="shared" si="115"/>
        <v/>
      </c>
      <c r="F1750" s="21" t="str">
        <f>IF(OR(E1750="",E1750="!!!"),"",IF(NOT(ISNA(VLOOKUP(E1750,E$1:E1749,1,FALSE()))),"OLD",IF(AND(E1750&lt;&gt;"",E1750&lt;&gt;"!!!"),"NEW","")))</f>
        <v/>
      </c>
      <c r="G1750" s="22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3" t="str">
        <f t="shared" ca="1" si="114"/>
        <v/>
      </c>
      <c r="I1750" s="24" t="str">
        <f>IF(OR(E1750="",E1750="!!!",F1750="NEW"),"",INDEX(B$2:B1749,-1+SUMPRODUCT(MAX(ROW(E$2:E1749)*(E1750=E$2:E1749)))))</f>
        <v/>
      </c>
      <c r="J1750" s="24" t="str">
        <f ca="1">IF(OR(E1750="",E1750="!!!",F1750="NEW"),"",COUNTBLANK(OFFSET(A$1,,,SUMPRODUCT(MAX(ROW(E$2:E1750)*(E1750=E$2:E1750)))))-COUNTBLANK(OFFSET(A$1,,,SUMPRODUCT(MAX(ROW(E$1:E1749)*(E2=E$1:E1749))))))</f>
        <v/>
      </c>
      <c r="K1750" s="24" t="str">
        <f>IF(OR(E1750="",E1750="!!!",F1750="NEW"),"",INDEX(J$1:J1749,SUMPRODUCT(MAX(ROW(E$1:E1749)*(E1750=E$1:E1749)))))</f>
        <v/>
      </c>
      <c r="L1750" s="25"/>
    </row>
    <row r="1751" spans="1:12" x14ac:dyDescent="0.3">
      <c r="A1751" t="s">
        <v>1008</v>
      </c>
      <c r="E1751" s="20" t="str">
        <f t="shared" si="115"/>
        <v/>
      </c>
      <c r="F1751" s="21" t="str">
        <f>IF(OR(E1751="",E1751="!!!"),"",IF(NOT(ISNA(VLOOKUP(E1751,E$1:E1750,1,FALSE()))),"OLD",IF(AND(E1751&lt;&gt;"",E1751&lt;&gt;"!!!"),"NEW","")))</f>
        <v/>
      </c>
      <c r="G1751" s="22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3" t="str">
        <f t="shared" ca="1" si="114"/>
        <v/>
      </c>
      <c r="I1751" s="24" t="str">
        <f>IF(OR(E1751="",E1751="!!!",F1751="NEW"),"",INDEX(B$2:B1750,-1+SUMPRODUCT(MAX(ROW(E$2:E1750)*(E1751=E$2:E1750)))))</f>
        <v/>
      </c>
      <c r="J1751" s="24" t="str">
        <f ca="1">IF(OR(E1751="",E1751="!!!",F1751="NEW"),"",COUNTBLANK(OFFSET(A$1,,,SUMPRODUCT(MAX(ROW(E$2:E1751)*(E1751=E$2:E1751)))))-COUNTBLANK(OFFSET(A$1,,,SUMPRODUCT(MAX(ROW(E$1:E1750)*(E2=E$1:E1750))))))</f>
        <v/>
      </c>
      <c r="K1751" s="24" t="str">
        <f>IF(OR(E1751="",E1751="!!!",F1751="NEW"),"",INDEX(J$1:J1750,SUMPRODUCT(MAX(ROW(E$1:E1750)*(E1751=E$1:E1750)))))</f>
        <v/>
      </c>
      <c r="L1751" s="25"/>
    </row>
    <row r="1752" spans="1:12" x14ac:dyDescent="0.3">
      <c r="A1752" t="s">
        <v>86</v>
      </c>
      <c r="E1752" s="20" t="str">
        <f t="shared" si="115"/>
        <v/>
      </c>
      <c r="F1752" s="21" t="str">
        <f>IF(OR(E1752="",E1752="!!!"),"",IF(NOT(ISNA(VLOOKUP(E1752,E$1:E1751,1,FALSE()))),"OLD",IF(AND(E1752&lt;&gt;"",E1752&lt;&gt;"!!!"),"NEW","")))</f>
        <v/>
      </c>
      <c r="G1752" s="22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3" t="str">
        <f t="shared" ca="1" si="114"/>
        <v/>
      </c>
      <c r="I1752" s="24" t="str">
        <f>IF(OR(E1752="",E1752="!!!",F1752="NEW"),"",INDEX(B$2:B1751,-1+SUMPRODUCT(MAX(ROW(E$2:E1751)*(E1752=E$2:E1751)))))</f>
        <v/>
      </c>
      <c r="J1752" s="24" t="str">
        <f ca="1">IF(OR(E1752="",E1752="!!!",F1752="NEW"),"",COUNTBLANK(OFFSET(A$1,,,SUMPRODUCT(MAX(ROW(E$2:E1752)*(E1752=E$2:E1752)))))-COUNTBLANK(OFFSET(A$1,,,SUMPRODUCT(MAX(ROW(E$1:E1751)*(E2=E$1:E1751))))))</f>
        <v/>
      </c>
      <c r="K1752" s="24" t="str">
        <f>IF(OR(E1752="",E1752="!!!",F1752="NEW"),"",INDEX(J$1:J1751,SUMPRODUCT(MAX(ROW(E$1:E1751)*(E1752=E$1:E1751)))))</f>
        <v/>
      </c>
      <c r="L1752" s="25"/>
    </row>
    <row r="1753" spans="1:12" x14ac:dyDescent="0.3">
      <c r="A1753" t="s">
        <v>727</v>
      </c>
      <c r="E1753" s="20" t="str">
        <f t="shared" si="115"/>
        <v/>
      </c>
      <c r="F1753" s="21" t="str">
        <f>IF(OR(E1753="",E1753="!!!"),"",IF(NOT(ISNA(VLOOKUP(E1753,E$1:E1752,1,FALSE()))),"OLD",IF(AND(E1753&lt;&gt;"",E1753&lt;&gt;"!!!"),"NEW","")))</f>
        <v/>
      </c>
      <c r="G1753" s="22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3" t="str">
        <f t="shared" ca="1" si="114"/>
        <v/>
      </c>
      <c r="I1753" s="24" t="str">
        <f>IF(OR(E1753="",E1753="!!!",F1753="NEW"),"",INDEX(B$2:B1752,-1+SUMPRODUCT(MAX(ROW(E$2:E1752)*(E1753=E$2:E1752)))))</f>
        <v/>
      </c>
      <c r="J1753" s="24" t="str">
        <f ca="1">IF(OR(E1753="",E1753="!!!",F1753="NEW"),"",COUNTBLANK(OFFSET(A$1,,,SUMPRODUCT(MAX(ROW(E$2:E1753)*(E1753=E$2:E1753)))))-COUNTBLANK(OFFSET(A$1,,,SUMPRODUCT(MAX(ROW(E$1:E1752)*(E2=E$1:E1752))))))</f>
        <v/>
      </c>
      <c r="K1753" s="24" t="str">
        <f>IF(OR(E1753="",E1753="!!!",F1753="NEW"),"",INDEX(J$1:J1752,SUMPRODUCT(MAX(ROW(E$1:E1752)*(E1753=E$1:E1752)))))</f>
        <v/>
      </c>
      <c r="L1753" s="25"/>
    </row>
    <row r="1754" spans="1:12" x14ac:dyDescent="0.3">
      <c r="A1754" t="s">
        <v>1009</v>
      </c>
      <c r="B1754" s="26" t="s">
        <v>411</v>
      </c>
      <c r="C1754" s="26" t="s">
        <v>280</v>
      </c>
      <c r="D1754" s="26" t="s">
        <v>75</v>
      </c>
      <c r="E1754" s="20" t="s">
        <v>1010</v>
      </c>
      <c r="F1754" s="21" t="s">
        <v>98</v>
      </c>
      <c r="G1754" s="22" t="e">
        <f ca="1"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#VALUE!</v>
      </c>
      <c r="H1754" s="23" t="str">
        <f t="shared" ca="1" si="114"/>
        <v/>
      </c>
      <c r="I1754" s="24" t="e">
        <f>IF(OR(E1754="",E1754="!!!",F1754="NEW"),"",INDEX(B$2:B1753,-1+SUMPRODUCT(MAX(ROW(E$2:E1753)*(E1754=E$2:E1753)))))</f>
        <v>#VALUE!</v>
      </c>
      <c r="J1754" s="24">
        <f ca="1">IF(OR(E1754="",E1754="!!!",F1754="NEW"),"",COUNTBLANK(OFFSET(A$1,,,SUMPRODUCT(MAX(ROW(E$2:E1754)*(E1754=E$2:E1754)))))-COUNTBLANK(OFFSET(A$1,,,SUMPRODUCT(MAX(ROW(E$1:E1753)*(E2=E$1:E1753))))))</f>
        <v>0</v>
      </c>
      <c r="K1754" s="24" t="e">
        <f>IF(OR(E1754="",E1754="!!!",F1754="NEW"),"",INDEX(J$1:J1753,SUMPRODUCT(MAX(ROW(E$1:E1753)*(E1754=E$1:E1753)))))</f>
        <v>#VALUE!</v>
      </c>
      <c r="L1754" s="25"/>
    </row>
    <row r="1755" spans="1:12" x14ac:dyDescent="0.3">
      <c r="A1755" t="s">
        <v>172</v>
      </c>
      <c r="E1755" s="20" t="str">
        <f>IF(D1755="?OLD","!!!","")</f>
        <v/>
      </c>
      <c r="F1755" s="21" t="str">
        <f>IF(OR(E1755="",E1755="!!!"),"",IF(NOT(ISNA(VLOOKUP(E1755,E$1:E1754,1,FALSE()))),"OLD",IF(AND(E1755&lt;&gt;"",E1755&lt;&gt;"!!!"),"NEW","")))</f>
        <v/>
      </c>
      <c r="G1755" s="22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3" t="str">
        <f t="shared" ca="1" si="114"/>
        <v/>
      </c>
      <c r="I1755" s="24" t="str">
        <f>IF(OR(E1755="",E1755="!!!",F1755="NEW"),"",INDEX(B$2:B1754,-1+SUMPRODUCT(MAX(ROW(E$2:E1754)*(E1755=E$2:E1754)))))</f>
        <v/>
      </c>
      <c r="J1755" s="24" t="str">
        <f ca="1">IF(OR(E1755="",E1755="!!!",F1755="NEW"),"",COUNTBLANK(OFFSET(A$1,,,SUMPRODUCT(MAX(ROW(E$2:E1755)*(E1755=E$2:E1755)))))-COUNTBLANK(OFFSET(A$1,,,SUMPRODUCT(MAX(ROW(E$1:E1754)*(E2=E$1:E1754))))))</f>
        <v/>
      </c>
      <c r="K1755" s="24" t="str">
        <f>IF(OR(E1755="",E1755="!!!",F1755="NEW"),"",INDEX(J$1:J1754,SUMPRODUCT(MAX(ROW(E$1:E1754)*(E1755=E$1:E1754)))))</f>
        <v/>
      </c>
      <c r="L1755" s="25"/>
    </row>
    <row r="1756" spans="1:12" x14ac:dyDescent="0.3">
      <c r="A1756" t="s">
        <v>370</v>
      </c>
      <c r="E1756" s="20" t="str">
        <f>IF(D1756="?OLD","!!!","")</f>
        <v/>
      </c>
      <c r="F1756" s="21" t="str">
        <f>IF(OR(E1756="",E1756="!!!"),"",IF(NOT(ISNA(VLOOKUP(E1756,E$1:E1755,1,FALSE()))),"OLD",IF(AND(E1756&lt;&gt;"",E1756&lt;&gt;"!!!"),"NEW","")))</f>
        <v/>
      </c>
      <c r="G1756" s="22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3" t="str">
        <f t="shared" ca="1" si="114"/>
        <v/>
      </c>
      <c r="I1756" s="24" t="str">
        <f>IF(OR(E1756="",E1756="!!!",F1756="NEW"),"",INDEX(B$2:B1755,-1+SUMPRODUCT(MAX(ROW(E$2:E1755)*(E1756=E$2:E1755)))))</f>
        <v/>
      </c>
      <c r="J1756" s="24" t="str">
        <f ca="1">IF(OR(E1756="",E1756="!!!",F1756="NEW"),"",COUNTBLANK(OFFSET(A$1,,,SUMPRODUCT(MAX(ROW(E$2:E1756)*(E1756=E$2:E1756)))))-COUNTBLANK(OFFSET(A$1,,,SUMPRODUCT(MAX(ROW(E$1:E1755)*(E2=E$1:E1755))))))</f>
        <v/>
      </c>
      <c r="K1756" s="24" t="str">
        <f>IF(OR(E1756="",E1756="!!!",F1756="NEW"),"",INDEX(J$1:J1755,SUMPRODUCT(MAX(ROW(E$1:E1755)*(E1756=E$1:E1755)))))</f>
        <v/>
      </c>
      <c r="L1756" s="25"/>
    </row>
    <row r="1757" spans="1:12" x14ac:dyDescent="0.3">
      <c r="A1757" t="s">
        <v>893</v>
      </c>
      <c r="B1757" s="26" t="s">
        <v>411</v>
      </c>
      <c r="C1757" s="26" t="s">
        <v>208</v>
      </c>
      <c r="D1757" s="26" t="s">
        <v>75</v>
      </c>
      <c r="E1757" s="20"/>
      <c r="F1757" s="21" t="s">
        <v>131</v>
      </c>
      <c r="G1757" s="22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3" t="str">
        <f t="shared" ca="1" si="114"/>
        <v/>
      </c>
      <c r="I1757" s="24" t="str">
        <f>IF(OR(E1757="",E1757="!!!",F1757="NEW"),"",INDEX(B$2:B1756,-1+SUMPRODUCT(MAX(ROW(E$2:E1756)*(E1757=E$2:E1756)))))</f>
        <v/>
      </c>
      <c r="J1757" s="24" t="str">
        <f ca="1">IF(OR(E1757="",E1757="!!!",F1757="NEW"),"",COUNTBLANK(OFFSET(A$1,,,SUMPRODUCT(MAX(ROW(E$2:E1757)*(E1757=E$2:E1757)))))-COUNTBLANK(OFFSET(A$1,,,SUMPRODUCT(MAX(ROW(E$1:E1756)*(E2=E$1:E1756))))))</f>
        <v/>
      </c>
      <c r="K1757" s="24" t="str">
        <f>IF(OR(E1757="",E1757="!!!",F1757="NEW"),"",INDEX(J$1:J1756,SUMPRODUCT(MAX(ROW(E$1:E1756)*(E1757=E$1:E1756)))))</f>
        <v/>
      </c>
      <c r="L1757" s="27" t="s">
        <v>1011</v>
      </c>
    </row>
    <row r="1758" spans="1:12" x14ac:dyDescent="0.3">
      <c r="A1758" t="s">
        <v>101</v>
      </c>
      <c r="E1758" s="20" t="str">
        <f>IF(D1758="?OLD","!!!","")</f>
        <v/>
      </c>
      <c r="F1758" s="21" t="str">
        <f>IF(OR(E1758="",E1758="!!!"),"",IF(NOT(ISNA(VLOOKUP(E1758,E$1:E1757,1,FALSE()))),"OLD",IF(AND(E1758&lt;&gt;"",E1758&lt;&gt;"!!!"),"NEW","")))</f>
        <v/>
      </c>
      <c r="G1758" s="22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3" t="str">
        <f t="shared" ca="1" si="114"/>
        <v/>
      </c>
      <c r="I1758" s="24" t="str">
        <f>IF(OR(E1758="",E1758="!!!",F1758="NEW"),"",INDEX(B$2:B1757,-1+SUMPRODUCT(MAX(ROW(E$2:E1757)*(E1758=E$2:E1757)))))</f>
        <v/>
      </c>
      <c r="J1758" s="24" t="str">
        <f ca="1">IF(OR(E1758="",E1758="!!!",F1758="NEW"),"",COUNTBLANK(OFFSET(A$1,,,SUMPRODUCT(MAX(ROW(E$2:E1758)*(E1758=E$2:E1758)))))-COUNTBLANK(OFFSET(A$1,,,SUMPRODUCT(MAX(ROW(E$1:E1757)*(E2=E$1:E1757))))))</f>
        <v/>
      </c>
      <c r="K1758" s="24" t="str">
        <f>IF(OR(E1758="",E1758="!!!",F1758="NEW"),"",INDEX(J$1:J1757,SUMPRODUCT(MAX(ROW(E$1:E1757)*(E1758=E$1:E1757)))))</f>
        <v/>
      </c>
      <c r="L1758" s="25"/>
    </row>
    <row r="1759" spans="1:12" x14ac:dyDescent="0.3">
      <c r="A1759" t="s">
        <v>122</v>
      </c>
      <c r="E1759" s="20" t="str">
        <f>IF(D1759="?OLD","!!!","")</f>
        <v/>
      </c>
      <c r="F1759" s="21" t="str">
        <f>IF(OR(E1759="",E1759="!!!"),"",IF(NOT(ISNA(VLOOKUP(E1759,E$1:E1758,1,FALSE()))),"OLD",IF(AND(E1759&lt;&gt;"",E1759&lt;&gt;"!!!"),"NEW","")))</f>
        <v/>
      </c>
      <c r="G1759" s="22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3" t="str">
        <f t="shared" ca="1" si="114"/>
        <v/>
      </c>
      <c r="I1759" s="24" t="str">
        <f>IF(OR(E1759="",E1759="!!!",F1759="NEW"),"",INDEX(B$2:B1758,-1+SUMPRODUCT(MAX(ROW(E$2:E1758)*(E1759=E$2:E1758)))))</f>
        <v/>
      </c>
      <c r="J1759" s="24" t="str">
        <f ca="1">IF(OR(E1759="",E1759="!!!",F1759="NEW"),"",COUNTBLANK(OFFSET(A$1,,,SUMPRODUCT(MAX(ROW(E$2:E1759)*(E1759=E$2:E1759)))))-COUNTBLANK(OFFSET(A$1,,,SUMPRODUCT(MAX(ROW(E$1:E1758)*(E2=E$1:E1758))))))</f>
        <v/>
      </c>
      <c r="K1759" s="24" t="str">
        <f>IF(OR(E1759="",E1759="!!!",F1759="NEW"),"",INDEX(J$1:J1758,SUMPRODUCT(MAX(ROW(E$1:E1758)*(E1759=E$1:E1758)))))</f>
        <v/>
      </c>
      <c r="L1759" s="25"/>
    </row>
    <row r="1760" spans="1:12" x14ac:dyDescent="0.3">
      <c r="A1760" t="s">
        <v>160</v>
      </c>
      <c r="B1760" s="26" t="s">
        <v>546</v>
      </c>
      <c r="C1760" s="26" t="s">
        <v>151</v>
      </c>
      <c r="D1760" s="26" t="s">
        <v>75</v>
      </c>
      <c r="E1760" s="20" t="s">
        <v>957</v>
      </c>
      <c r="F1760" s="21" t="str">
        <f>IF(OR(E1760="",E1760="!!!"),"",IF(NOT(ISNA(VLOOKUP(E1760,E$1:E1759,1,FALSE()))),"OLD",IF(AND(E1760&lt;&gt;"",E1760&lt;&gt;"!!!"),"NEW","")))</f>
        <v>OLD</v>
      </c>
      <c r="G1760" s="22" t="str">
        <f ca="1"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?IN_FOCUS</v>
      </c>
      <c r="H1760" s="23" t="str">
        <f t="shared" ca="1" si="114"/>
        <v/>
      </c>
      <c r="I1760" s="24" t="str">
        <f>IF(OR(E1760="",E1760="!!!",F1760="NEW"),"",INDEX(B$2:B1759,-1+SUMPRODUCT(MAX(ROW(E$2:E1759)*(E1760=E$2:E1759)))))</f>
        <v>SBJ_11</v>
      </c>
      <c r="J1760" s="24">
        <f ca="1">IF(OR(E1760="",E1760="!!!",F1760="NEW"),"",COUNTBLANK(OFFSET(A$1,,,SUMPRODUCT(MAX(ROW(E$2:E1760)*(E1760=E$2:E1760)))))-COUNTBLANK(OFFSET(A$1,,,SUMPRODUCT(MAX(ROW(E$1:E1759)*(E2=E$1:E1759))))))</f>
        <v>0</v>
      </c>
      <c r="K1760" s="24">
        <f ca="1">IF(OR(E1760="",E1760="!!!",F1760="NEW"),"",INDEX(J$1:J1759,SUMPRODUCT(MAX(ROW(E$1:E1759)*(E1760=E$1:E1759)))))</f>
        <v>0</v>
      </c>
      <c r="L1760" s="25"/>
    </row>
    <row r="1761" spans="1:12" x14ac:dyDescent="0.3">
      <c r="A1761" t="s">
        <v>274</v>
      </c>
      <c r="B1761" s="26" t="s">
        <v>414</v>
      </c>
      <c r="C1761" s="26" t="s">
        <v>111</v>
      </c>
      <c r="E1761" s="20" t="str">
        <f>IF(D1761="?OLD","!!!","")</f>
        <v/>
      </c>
      <c r="F1761" s="21" t="str">
        <f>IF(OR(E1761="",E1761="!!!"),"",IF(NOT(ISNA(VLOOKUP(E1761,E$1:E1760,1,FALSE()))),"OLD",IF(AND(E1761&lt;&gt;"",E1761&lt;&gt;"!!!"),"NEW","")))</f>
        <v/>
      </c>
      <c r="G1761" s="22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3" t="str">
        <f t="shared" ca="1" si="114"/>
        <v/>
      </c>
      <c r="I1761" s="24" t="str">
        <f>IF(OR(E1761="",E1761="!!!",F1761="NEW"),"",INDEX(B$2:B1760,-1+SUMPRODUCT(MAX(ROW(E$2:E1760)*(E1761=E$2:E1760)))))</f>
        <v/>
      </c>
      <c r="J1761" s="24" t="str">
        <f ca="1">IF(OR(E1761="",E1761="!!!",F1761="NEW"),"",COUNTBLANK(OFFSET(A$1,,,SUMPRODUCT(MAX(ROW(E$2:E1761)*(E1761=E$2:E1761)))))-COUNTBLANK(OFFSET(A$1,,,SUMPRODUCT(MAX(ROW(E$1:E1760)*(E2=E$1:E1760))))))</f>
        <v/>
      </c>
      <c r="K1761" s="24" t="str">
        <f>IF(OR(E1761="",E1761="!!!",F1761="NEW"),"",INDEX(J$1:J1760,SUMPRODUCT(MAX(ROW(E$1:E1760)*(E1761=E$1:E1760)))))</f>
        <v/>
      </c>
      <c r="L1761" s="25"/>
    </row>
    <row r="1762" spans="1:12" x14ac:dyDescent="0.3">
      <c r="A1762" t="s">
        <v>1012</v>
      </c>
      <c r="E1762" s="20" t="str">
        <f>IF(D1762="?OLD","!!!","")</f>
        <v/>
      </c>
      <c r="F1762" s="21" t="str">
        <f>IF(OR(E1762="",E1762="!!!"),"",IF(NOT(ISNA(VLOOKUP(E1762,E$1:E1761,1,FALSE()))),"OLD",IF(AND(E1762&lt;&gt;"",E1762&lt;&gt;"!!!"),"NEW","")))</f>
        <v/>
      </c>
      <c r="G1762" s="22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3" t="str">
        <f t="shared" ca="1" si="114"/>
        <v/>
      </c>
      <c r="I1762" s="24" t="str">
        <f>IF(OR(E1762="",E1762="!!!",F1762="NEW"),"",INDEX(B$2:B1761,-1+SUMPRODUCT(MAX(ROW(E$2:E1761)*(E1762=E$2:E1761)))))</f>
        <v/>
      </c>
      <c r="J1762" s="24" t="str">
        <f ca="1">IF(OR(E1762="",E1762="!!!",F1762="NEW"),"",COUNTBLANK(OFFSET(A$1,,,SUMPRODUCT(MAX(ROW(E$2:E1762)*(E1762=E$2:E1762)))))-COUNTBLANK(OFFSET(A$1,,,SUMPRODUCT(MAX(ROW(E$1:E1761)*(E2=E$1:E1761))))))</f>
        <v/>
      </c>
      <c r="K1762" s="24" t="str">
        <f>IF(OR(E1762="",E1762="!!!",F1762="NEW"),"",INDEX(J$1:J1761,SUMPRODUCT(MAX(ROW(E$1:E1761)*(E1762=E$1:E1761)))))</f>
        <v/>
      </c>
      <c r="L1762" s="25"/>
    </row>
    <row r="1763" spans="1:12" x14ac:dyDescent="0.3">
      <c r="A1763" t="s">
        <v>1013</v>
      </c>
      <c r="B1763" s="26" t="s">
        <v>416</v>
      </c>
      <c r="C1763" s="26" t="s">
        <v>119</v>
      </c>
      <c r="E1763" s="20" t="str">
        <f>IF(D1763="?OLD","!!!","")</f>
        <v/>
      </c>
      <c r="F1763" s="21" t="str">
        <f>IF(OR(E1763="",E1763="!!!"),"",IF(NOT(ISNA(VLOOKUP(E1763,E$1:E1762,1,FALSE()))),"OLD",IF(AND(E1763&lt;&gt;"",E1763&lt;&gt;"!!!"),"NEW","")))</f>
        <v/>
      </c>
      <c r="G1763" s="22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3" t="str">
        <f t="shared" ca="1" si="114"/>
        <v/>
      </c>
      <c r="I1763" s="24" t="str">
        <f>IF(OR(E1763="",E1763="!!!",F1763="NEW"),"",INDEX(B$2:B1762,-1+SUMPRODUCT(MAX(ROW(E$2:E1762)*(E1763=E$2:E1762)))))</f>
        <v/>
      </c>
      <c r="J1763" s="24" t="str">
        <f ca="1">IF(OR(E1763="",E1763="!!!",F1763="NEW"),"",COUNTBLANK(OFFSET(A$1,,,SUMPRODUCT(MAX(ROW(E$2:E1763)*(E1763=E$2:E1763)))))-COUNTBLANK(OFFSET(A$1,,,SUMPRODUCT(MAX(ROW(E$1:E1762)*(E2=E$1:E1762))))))</f>
        <v/>
      </c>
      <c r="K1763" s="24" t="str">
        <f>IF(OR(E1763="",E1763="!!!",F1763="NEW"),"",INDEX(J$1:J1762,SUMPRODUCT(MAX(ROW(E$1:E1762)*(E1763=E$1:E1762)))))</f>
        <v/>
      </c>
      <c r="L1763" s="25"/>
    </row>
    <row r="1764" spans="1:12" x14ac:dyDescent="0.3">
      <c r="A1764" t="s">
        <v>78</v>
      </c>
      <c r="E1764" s="20" t="str">
        <f>IF(D1764="?OLD","!!!","")</f>
        <v/>
      </c>
      <c r="F1764" s="21" t="str">
        <f>IF(OR(E1764="",E1764="!!!"),"",IF(NOT(ISNA(VLOOKUP(E1764,E$1:E1763,1,FALSE()))),"OLD",IF(AND(E1764&lt;&gt;"",E1764&lt;&gt;"!!!"),"NEW","")))</f>
        <v/>
      </c>
      <c r="G1764" s="22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3" t="str">
        <f t="shared" ca="1" si="114"/>
        <v/>
      </c>
      <c r="I1764" s="24" t="str">
        <f>IF(OR(E1764="",E1764="!!!",F1764="NEW"),"",INDEX(B$2:B1763,-1+SUMPRODUCT(MAX(ROW(E$2:E1763)*(E1764=E$2:E1763)))))</f>
        <v/>
      </c>
      <c r="J1764" s="24" t="str">
        <f ca="1">IF(OR(E1764="",E1764="!!!",F1764="NEW"),"",COUNTBLANK(OFFSET(A$1,,,SUMPRODUCT(MAX(ROW(E$2:E1764)*(E1764=E$2:E1764)))))-COUNTBLANK(OFFSET(A$1,,,SUMPRODUCT(MAX(ROW(E$1:E1763)*(E2=E$1:E1763))))))</f>
        <v/>
      </c>
      <c r="K1764" s="24" t="str">
        <f>IF(OR(E1764="",E1764="!!!",F1764="NEW"),"",INDEX(J$1:J1763,SUMPRODUCT(MAX(ROW(E$1:E1763)*(E1764=E$1:E1763)))))</f>
        <v/>
      </c>
      <c r="L1764" s="25"/>
    </row>
    <row r="1765" spans="1:12" x14ac:dyDescent="0.3">
      <c r="A1765" t="s">
        <v>142</v>
      </c>
      <c r="E1765" s="20" t="str">
        <f>IF(D1765="?OLD","!!!","")</f>
        <v/>
      </c>
      <c r="F1765" s="21" t="str">
        <f>IF(OR(E1765="",E1765="!!!"),"",IF(NOT(ISNA(VLOOKUP(E1765,E$1:E1764,1,FALSE()))),"OLD",IF(AND(E1765&lt;&gt;"",E1765&lt;&gt;"!!!"),"NEW","")))</f>
        <v/>
      </c>
      <c r="G1765" s="22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3" t="str">
        <f t="shared" ca="1" si="114"/>
        <v/>
      </c>
      <c r="I1765" s="24" t="str">
        <f>IF(OR(E1765="",E1765="!!!",F1765="NEW"),"",INDEX(B$2:B1764,-1+SUMPRODUCT(MAX(ROW(E$2:E1764)*(E1765=E$2:E1764)))))</f>
        <v/>
      </c>
      <c r="J1765" s="24" t="str">
        <f ca="1">IF(OR(E1765="",E1765="!!!",F1765="NEW"),"",COUNTBLANK(OFFSET(A$1,,,SUMPRODUCT(MAX(ROW(E$2:E1765)*(E1765=E$2:E1765)))))-COUNTBLANK(OFFSET(A$1,,,SUMPRODUCT(MAX(ROW(E$1:E1764)*(E2=E$1:E1764))))))</f>
        <v/>
      </c>
      <c r="K1765" s="24" t="str">
        <f>IF(OR(E1765="",E1765="!!!",F1765="NEW"),"",INDEX(J$1:J1764,SUMPRODUCT(MAX(ROW(E$1:E1764)*(E1765=E$1:E1764)))))</f>
        <v/>
      </c>
      <c r="L1765" s="25"/>
    </row>
    <row r="1766" spans="1:12" x14ac:dyDescent="0.3">
      <c r="A1766" t="s">
        <v>206</v>
      </c>
      <c r="B1766" s="26" t="s">
        <v>411</v>
      </c>
      <c r="C1766" s="26" t="s">
        <v>208</v>
      </c>
      <c r="D1766" s="26" t="s">
        <v>75</v>
      </c>
      <c r="E1766" s="20" t="s">
        <v>224</v>
      </c>
      <c r="F1766" s="21" t="str">
        <f>IF(OR(E1766="",E1766="!!!"),"",IF(NOT(ISNA(VLOOKUP(E1766,E$1:E1765,1,FALSE()))),"OLD",IF(AND(E1766&lt;&gt;"",E1766&lt;&gt;"!!!"),"NEW","")))</f>
        <v>OLD</v>
      </c>
      <c r="G1766" s="22" t="str">
        <f ca="1"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?IN_FOCUS</v>
      </c>
      <c r="H1766" s="23" t="str">
        <f t="shared" ca="1" si="114"/>
        <v/>
      </c>
      <c r="I1766" s="24" t="str">
        <f>IF(OR(E1766="",E1766="!!!",F1766="NEW"),"",INDEX(B$2:B1765,-1+SUMPRODUCT(MAX(ROW(E$2:E1765)*(E1766=E$2:E1765)))))</f>
        <v>other_10</v>
      </c>
      <c r="J1766" s="24">
        <f ca="1">IF(OR(E1766="",E1766="!!!",F1766="NEW"),"",COUNTBLANK(OFFSET(A$1,,,SUMPRODUCT(MAX(ROW(E$2:E1766)*(E1766=E$2:E1766)))))-COUNTBLANK(OFFSET(A$1,,,SUMPRODUCT(MAX(ROW(E$1:E1765)*(E2=E$1:E1765))))))</f>
        <v>0</v>
      </c>
      <c r="K1766" s="24">
        <f ca="1">IF(OR(E1766="",E1766="!!!",F1766="NEW"),"",INDEX(J$1:J1765,SUMPRODUCT(MAX(ROW(E$1:E1765)*(E1766=E$1:E1765)))))</f>
        <v>0</v>
      </c>
      <c r="L1766" s="27" t="s">
        <v>1014</v>
      </c>
    </row>
    <row r="1767" spans="1:12" x14ac:dyDescent="0.3">
      <c r="A1767" t="s">
        <v>20</v>
      </c>
      <c r="E1767" s="20" t="str">
        <f>IF(D1767="?OLD","!!!","")</f>
        <v/>
      </c>
      <c r="F1767" s="21" t="str">
        <f>IF(OR(E1767="",E1767="!!!"),"",IF(NOT(ISNA(VLOOKUP(E1767,E$1:E1766,1,FALSE()))),"OLD",IF(AND(E1767&lt;&gt;"",E1767&lt;&gt;"!!!"),"NEW","")))</f>
        <v/>
      </c>
      <c r="G1767" s="22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3" t="str">
        <f t="shared" ca="1" si="114"/>
        <v/>
      </c>
      <c r="I1767" s="24" t="str">
        <f>IF(OR(E1767="",E1767="!!!",F1767="NEW"),"",INDEX(B$2:B1766,-1+SUMPRODUCT(MAX(ROW(E$2:E1766)*(E1767=E$2:E1766)))))</f>
        <v/>
      </c>
      <c r="J1767" s="24" t="str">
        <f ca="1">IF(OR(E1767="",E1767="!!!",F1767="NEW"),"",COUNTBLANK(OFFSET(A$1,,,SUMPRODUCT(MAX(ROW(E$2:E1767)*(E1767=E$2:E1767)))))-COUNTBLANK(OFFSET(A$1,,,SUMPRODUCT(MAX(ROW(E$1:E1766)*(E2=E$1:E1766))))))</f>
        <v/>
      </c>
      <c r="K1767" s="24" t="str">
        <f>IF(OR(E1767="",E1767="!!!",F1767="NEW"),"",INDEX(J$1:J1766,SUMPRODUCT(MAX(ROW(E$1:E1766)*(E1767=E$1:E1766)))))</f>
        <v/>
      </c>
      <c r="L1767" s="25"/>
    </row>
    <row r="1768" spans="1:12" x14ac:dyDescent="0.3">
      <c r="A1768" t="s">
        <v>1015</v>
      </c>
      <c r="E1768" s="20" t="str">
        <f>IF(D1768="?OLD","!!!","")</f>
        <v/>
      </c>
      <c r="F1768" s="21" t="str">
        <f>IF(OR(E1768="",E1768="!!!"),"",IF(NOT(ISNA(VLOOKUP(E1768,E$1:E1767,1,FALSE()))),"OLD",IF(AND(E1768&lt;&gt;"",E1768&lt;&gt;"!!!"),"NEW","")))</f>
        <v/>
      </c>
      <c r="G1768" s="22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3" t="str">
        <f t="shared" ca="1" si="114"/>
        <v/>
      </c>
      <c r="I1768" s="24" t="str">
        <f>IF(OR(E1768="",E1768="!!!",F1768="NEW"),"",INDEX(B$2:B1767,-1+SUMPRODUCT(MAX(ROW(E$2:E1767)*(E1768=E$2:E1767)))))</f>
        <v/>
      </c>
      <c r="J1768" s="24" t="str">
        <f ca="1">IF(OR(E1768="",E1768="!!!",F1768="NEW"),"",COUNTBLANK(OFFSET(A$1,,,SUMPRODUCT(MAX(ROW(E$2:E1768)*(E1768=E$2:E1768)))))-COUNTBLANK(OFFSET(A$1,,,SUMPRODUCT(MAX(ROW(E$1:E1767)*(E2=E$1:E1767))))))</f>
        <v/>
      </c>
      <c r="K1768" s="24" t="str">
        <f>IF(OR(E1768="",E1768="!!!",F1768="NEW"),"",INDEX(J$1:J1767,SUMPRODUCT(MAX(ROW(E$1:E1767)*(E1768=E$1:E1767)))))</f>
        <v/>
      </c>
      <c r="L1768" s="25"/>
    </row>
    <row r="1769" spans="1:12" x14ac:dyDescent="0.3">
      <c r="A1769" t="s">
        <v>1016</v>
      </c>
      <c r="B1769" s="26" t="s">
        <v>416</v>
      </c>
      <c r="C1769" s="26" t="s">
        <v>105</v>
      </c>
      <c r="E1769" s="20" t="str">
        <f>IF(D1769="?OLD","!!!","")</f>
        <v/>
      </c>
      <c r="F1769" s="21" t="str">
        <f>IF(OR(E1769="",E1769="!!!"),"",IF(NOT(ISNA(VLOOKUP(E1769,E$1:E1768,1,FALSE()))),"OLD",IF(AND(E1769&lt;&gt;"",E1769&lt;&gt;"!!!"),"NEW","")))</f>
        <v/>
      </c>
      <c r="G1769" s="22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3" t="str">
        <f t="shared" ca="1" si="114"/>
        <v/>
      </c>
      <c r="I1769" s="24" t="str">
        <f>IF(OR(E1769="",E1769="!!!",F1769="NEW"),"",INDEX(B$2:B1768,-1+SUMPRODUCT(MAX(ROW(E$2:E1768)*(E1769=E$2:E1768)))))</f>
        <v/>
      </c>
      <c r="J1769" s="24" t="str">
        <f ca="1">IF(OR(E1769="",E1769="!!!",F1769="NEW"),"",COUNTBLANK(OFFSET(A$1,,,SUMPRODUCT(MAX(ROW(E$2:E1769)*(E1769=E$2:E1769)))))-COUNTBLANK(OFFSET(A$1,,,SUMPRODUCT(MAX(ROW(E$1:E1768)*(E2=E$1:E1768))))))</f>
        <v/>
      </c>
      <c r="K1769" s="24" t="str">
        <f>IF(OR(E1769="",E1769="!!!",F1769="NEW"),"",INDEX(J$1:J1768,SUMPRODUCT(MAX(ROW(E$1:E1768)*(E1769=E$1:E1768)))))</f>
        <v/>
      </c>
      <c r="L1769" s="25"/>
    </row>
    <row r="1770" spans="1:12" x14ac:dyDescent="0.3">
      <c r="A1770" t="s">
        <v>680</v>
      </c>
      <c r="E1770" s="20" t="str">
        <f>IF(D1770="?OLD","!!!","")</f>
        <v/>
      </c>
      <c r="F1770" s="21" t="str">
        <f>IF(OR(E1770="",E1770="!!!"),"",IF(NOT(ISNA(VLOOKUP(E1770,E$1:E1769,1,FALSE()))),"OLD",IF(AND(E1770&lt;&gt;"",E1770&lt;&gt;"!!!"),"NEW","")))</f>
        <v/>
      </c>
      <c r="G1770" s="22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3" t="str">
        <f t="shared" ca="1" si="114"/>
        <v/>
      </c>
      <c r="I1770" s="24" t="str">
        <f>IF(OR(E1770="",E1770="!!!",F1770="NEW"),"",INDEX(B$2:B1769,-1+SUMPRODUCT(MAX(ROW(E$2:E1769)*(E1770=E$2:E1769)))))</f>
        <v/>
      </c>
      <c r="J1770" s="24" t="str">
        <f ca="1">IF(OR(E1770="",E1770="!!!",F1770="NEW"),"",COUNTBLANK(OFFSET(A$1,,,SUMPRODUCT(MAX(ROW(E$2:E1770)*(E1770=E$2:E1770)))))-COUNTBLANK(OFFSET(A$1,,,SUMPRODUCT(MAX(ROW(E$1:E1769)*(E2=E$1:E1769))))))</f>
        <v/>
      </c>
      <c r="K1770" s="24" t="str">
        <f>IF(OR(E1770="",E1770="!!!",F1770="NEW"),"",INDEX(J$1:J1769,SUMPRODUCT(MAX(ROW(E$1:E1769)*(E1770=E$1:E1769)))))</f>
        <v/>
      </c>
      <c r="L1770" s="25"/>
    </row>
    <row r="1771" spans="1:12" x14ac:dyDescent="0.3">
      <c r="A1771" t="s">
        <v>1017</v>
      </c>
      <c r="E1771" s="20" t="str">
        <f>IF(D1771="?OLD","!!!","")</f>
        <v/>
      </c>
      <c r="F1771" s="21" t="str">
        <f>IF(OR(E1771="",E1771="!!!"),"",IF(NOT(ISNA(VLOOKUP(E1771,E$1:E1770,1,FALSE()))),"OLD",IF(AND(E1771&lt;&gt;"",E1771&lt;&gt;"!!!"),"NEW","")))</f>
        <v/>
      </c>
      <c r="G1771" s="22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3" t="str">
        <f t="shared" ca="1" si="114"/>
        <v/>
      </c>
      <c r="I1771" s="24" t="str">
        <f>IF(OR(E1771="",E1771="!!!",F1771="NEW"),"",INDEX(B$2:B1770,-1+SUMPRODUCT(MAX(ROW(E$2:E1770)*(E1771=E$2:E1770)))))</f>
        <v/>
      </c>
      <c r="J1771" s="24" t="str">
        <f ca="1">IF(OR(E1771="",E1771="!!!",F1771="NEW"),"",COUNTBLANK(OFFSET(A$1,,,SUMPRODUCT(MAX(ROW(E$2:E1771)*(E1771=E$2:E1771)))))-COUNTBLANK(OFFSET(A$1,,,SUMPRODUCT(MAX(ROW(E$1:E1770)*(E2=E$1:E1770))))))</f>
        <v/>
      </c>
      <c r="K1771" s="24" t="str">
        <f>IF(OR(E1771="",E1771="!!!",F1771="NEW"),"",INDEX(J$1:J1770,SUMPRODUCT(MAX(ROW(E$1:E1770)*(E1771=E$1:E1770)))))</f>
        <v/>
      </c>
      <c r="L1771" s="25"/>
    </row>
    <row r="1772" spans="1:12" x14ac:dyDescent="0.3">
      <c r="A1772" t="s">
        <v>72</v>
      </c>
      <c r="B1772" s="26" t="s">
        <v>408</v>
      </c>
      <c r="C1772" s="26" t="s">
        <v>335</v>
      </c>
      <c r="E1772" s="20"/>
      <c r="F1772" s="21" t="str">
        <f>IF(OR(E1772="",E1772="!!!"),"",IF(NOT(ISNA(VLOOKUP(E1772,E$1:E1771,1,FALSE()))),"OLD",IF(AND(E1772&lt;&gt;"",E1772&lt;&gt;"!!!"),"NEW","")))</f>
        <v/>
      </c>
      <c r="G1772" s="22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3" t="str">
        <f t="shared" ca="1" si="114"/>
        <v/>
      </c>
      <c r="I1772" s="24" t="str">
        <f>IF(OR(E1772="",E1772="!!!",F1772="NEW"),"",INDEX(B$2:B1771,-1+SUMPRODUCT(MAX(ROW(E$2:E1771)*(E1772=E$2:E1771)))))</f>
        <v/>
      </c>
      <c r="J1772" s="24" t="str">
        <f ca="1">IF(OR(E1772="",E1772="!!!",F1772="NEW"),"",COUNTBLANK(OFFSET(A$1,,,SUMPRODUCT(MAX(ROW(E$2:E1772)*(E1772=E$2:E1772)))))-COUNTBLANK(OFFSET(A$1,,,SUMPRODUCT(MAX(ROW(E$1:E1771)*(E2=E$1:E1771))))))</f>
        <v/>
      </c>
      <c r="K1772" s="24" t="str">
        <f>IF(OR(E1772="",E1772="!!!",F1772="NEW"),"",INDEX(J$1:J1771,SUMPRODUCT(MAX(ROW(E$1:E1771)*(E1772=E$1:E1771)))))</f>
        <v/>
      </c>
      <c r="L1772" s="25"/>
    </row>
    <row r="1773" spans="1:12" x14ac:dyDescent="0.3">
      <c r="A1773" t="s">
        <v>446</v>
      </c>
      <c r="E1773" s="20" t="str">
        <f>IF(D1773="?OLD","!!!","")</f>
        <v/>
      </c>
      <c r="F1773" s="21" t="str">
        <f>IF(OR(E1773="",E1773="!!!"),"",IF(NOT(ISNA(VLOOKUP(E1773,E$1:E1772,1,FALSE()))),"OLD",IF(AND(E1773&lt;&gt;"",E1773&lt;&gt;"!!!"),"NEW","")))</f>
        <v/>
      </c>
      <c r="G1773" s="22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3" t="str">
        <f t="shared" ca="1" si="114"/>
        <v/>
      </c>
      <c r="I1773" s="24" t="str">
        <f>IF(OR(E1773="",E1773="!!!",F1773="NEW"),"",INDEX(B$2:B1772,-1+SUMPRODUCT(MAX(ROW(E$2:E1772)*(E1773=E$2:E1772)))))</f>
        <v/>
      </c>
      <c r="J1773" s="24" t="str">
        <f ca="1">IF(OR(E1773="",E1773="!!!",F1773="NEW"),"",COUNTBLANK(OFFSET(A$1,,,SUMPRODUCT(MAX(ROW(E$2:E1773)*(E1773=E$2:E1773)))))-COUNTBLANK(OFFSET(A$1,,,SUMPRODUCT(MAX(ROW(E$1:E1772)*(E2=E$1:E1772))))))</f>
        <v/>
      </c>
      <c r="K1773" s="24" t="str">
        <f>IF(OR(E1773="",E1773="!!!",F1773="NEW"),"",INDEX(J$1:J1772,SUMPRODUCT(MAX(ROW(E$1:E1772)*(E1773=E$1:E1772)))))</f>
        <v/>
      </c>
      <c r="L1773" s="25"/>
    </row>
    <row r="1774" spans="1:12" x14ac:dyDescent="0.3">
      <c r="A1774" t="s">
        <v>370</v>
      </c>
      <c r="E1774" s="20" t="str">
        <f>IF(D1774="?OLD","!!!","")</f>
        <v/>
      </c>
      <c r="F1774" s="21" t="str">
        <f>IF(OR(E1774="",E1774="!!!"),"",IF(NOT(ISNA(VLOOKUP(E1774,E$1:E1773,1,FALSE()))),"OLD",IF(AND(E1774&lt;&gt;"",E1774&lt;&gt;"!!!"),"NEW","")))</f>
        <v/>
      </c>
      <c r="G1774" s="22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3" t="str">
        <f t="shared" ca="1" si="114"/>
        <v/>
      </c>
      <c r="I1774" s="24" t="str">
        <f>IF(OR(E1774="",E1774="!!!",F1774="NEW"),"",INDEX(B$2:B1773,-1+SUMPRODUCT(MAX(ROW(E$2:E1773)*(E1774=E$2:E1773)))))</f>
        <v/>
      </c>
      <c r="J1774" s="24" t="str">
        <f ca="1">IF(OR(E1774="",E1774="!!!",F1774="NEW"),"",COUNTBLANK(OFFSET(A$1,,,SUMPRODUCT(MAX(ROW(E$2:E1774)*(E1774=E$2:E1774)))))-COUNTBLANK(OFFSET(A$1,,,SUMPRODUCT(MAX(ROW(E$1:E1773)*(E2=E$1:E1773))))))</f>
        <v/>
      </c>
      <c r="K1774" s="24" t="str">
        <f>IF(OR(E1774="",E1774="!!!",F1774="NEW"),"",INDEX(J$1:J1773,SUMPRODUCT(MAX(ROW(E$1:E1773)*(E1774=E$1:E1773)))))</f>
        <v/>
      </c>
      <c r="L1774" s="25"/>
    </row>
    <row r="1775" spans="1:12" x14ac:dyDescent="0.3">
      <c r="A1775" t="s">
        <v>729</v>
      </c>
      <c r="E1775" s="20" t="str">
        <f>IF(D1775="?OLD","!!!","")</f>
        <v/>
      </c>
      <c r="F1775" s="21" t="str">
        <f>IF(OR(E1775="",E1775="!!!"),"",IF(NOT(ISNA(VLOOKUP(E1775,E$1:E1774,1,FALSE()))),"OLD",IF(AND(E1775&lt;&gt;"",E1775&lt;&gt;"!!!"),"NEW","")))</f>
        <v/>
      </c>
      <c r="G1775" s="22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3" t="str">
        <f t="shared" ca="1" si="114"/>
        <v/>
      </c>
      <c r="I1775" s="24" t="str">
        <f>IF(OR(E1775="",E1775="!!!",F1775="NEW"),"",INDEX(B$2:B1774,-1+SUMPRODUCT(MAX(ROW(E$2:E1774)*(E1775=E$2:E1774)))))</f>
        <v/>
      </c>
      <c r="J1775" s="24" t="str">
        <f ca="1">IF(OR(E1775="",E1775="!!!",F1775="NEW"),"",COUNTBLANK(OFFSET(A$1,,,SUMPRODUCT(MAX(ROW(E$2:E1775)*(E1775=E$2:E1775)))))-COUNTBLANK(OFFSET(A$1,,,SUMPRODUCT(MAX(ROW(E$1:E1774)*(E2=E$1:E1774))))))</f>
        <v/>
      </c>
      <c r="K1775" s="24" t="str">
        <f>IF(OR(E1775="",E1775="!!!",F1775="NEW"),"",INDEX(J$1:J1774,SUMPRODUCT(MAX(ROW(E$1:E1774)*(E1775=E$1:E1774)))))</f>
        <v/>
      </c>
      <c r="L1775" s="25"/>
    </row>
    <row r="1776" spans="1:12" x14ac:dyDescent="0.3">
      <c r="A1776" t="s">
        <v>1018</v>
      </c>
      <c r="B1776" s="26" t="s">
        <v>416</v>
      </c>
      <c r="C1776" s="26" t="s">
        <v>105</v>
      </c>
      <c r="E1776" s="20" t="str">
        <f>IF(D1776="?OLD","!!!","")</f>
        <v/>
      </c>
      <c r="F1776" s="21" t="str">
        <f>IF(OR(E1776="",E1776="!!!"),"",IF(NOT(ISNA(VLOOKUP(E1776,E$1:E1775,1,FALSE()))),"OLD",IF(AND(E1776&lt;&gt;"",E1776&lt;&gt;"!!!"),"NEW","")))</f>
        <v/>
      </c>
      <c r="G1776" s="22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3" t="str">
        <f t="shared" ca="1" si="114"/>
        <v/>
      </c>
      <c r="I1776" s="24" t="str">
        <f>IF(OR(E1776="",E1776="!!!",F1776="NEW"),"",INDEX(B$2:B1775,-1+SUMPRODUCT(MAX(ROW(E$2:E1775)*(E1776=E$2:E1775)))))</f>
        <v/>
      </c>
      <c r="J1776" s="24" t="str">
        <f ca="1">IF(OR(E1776="",E1776="!!!",F1776="NEW"),"",COUNTBLANK(OFFSET(A$1,,,SUMPRODUCT(MAX(ROW(E$2:E1776)*(E1776=E$2:E1776)))))-COUNTBLANK(OFFSET(A$1,,,SUMPRODUCT(MAX(ROW(E$1:E1775)*(E2=E$1:E1775))))))</f>
        <v/>
      </c>
      <c r="K1776" s="24" t="str">
        <f>IF(OR(E1776="",E1776="!!!",F1776="NEW"),"",INDEX(J$1:J1775,SUMPRODUCT(MAX(ROW(E$1:E1775)*(E1776=E$1:E1775)))))</f>
        <v/>
      </c>
      <c r="L1776" s="25"/>
    </row>
    <row r="1777" spans="1:12" x14ac:dyDescent="0.3">
      <c r="A1777" t="s">
        <v>101</v>
      </c>
      <c r="E1777" s="20" t="str">
        <f>IF(D1777="?OLD","!!!","")</f>
        <v/>
      </c>
      <c r="F1777" s="21" t="str">
        <f>IF(OR(E1777="",E1777="!!!"),"",IF(NOT(ISNA(VLOOKUP(E1777,E$1:E1776,1,FALSE()))),"OLD",IF(AND(E1777&lt;&gt;"",E1777&lt;&gt;"!!!"),"NEW","")))</f>
        <v/>
      </c>
      <c r="G1777" s="22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3" t="str">
        <f t="shared" ca="1" si="114"/>
        <v/>
      </c>
      <c r="I1777" s="24" t="str">
        <f>IF(OR(E1777="",E1777="!!!",F1777="NEW"),"",INDEX(B$2:B1776,-1+SUMPRODUCT(MAX(ROW(E$2:E1776)*(E1777=E$2:E1776)))))</f>
        <v/>
      </c>
      <c r="J1777" s="24" t="str">
        <f ca="1">IF(OR(E1777="",E1777="!!!",F1777="NEW"),"",COUNTBLANK(OFFSET(A$1,,,SUMPRODUCT(MAX(ROW(E$2:E1777)*(E1777=E$2:E1777)))))-COUNTBLANK(OFFSET(A$1,,,SUMPRODUCT(MAX(ROW(E$1:E1776)*(E2=E$1:E1776))))))</f>
        <v/>
      </c>
      <c r="K1777" s="24" t="str">
        <f>IF(OR(E1777="",E1777="!!!",F1777="NEW"),"",INDEX(J$1:J1776,SUMPRODUCT(MAX(ROW(E$1:E1776)*(E1777=E$1:E1776)))))</f>
        <v/>
      </c>
      <c r="L1777" s="25"/>
    </row>
    <row r="1778" spans="1:12" x14ac:dyDescent="0.3">
      <c r="A1778" t="s">
        <v>763</v>
      </c>
      <c r="B1778" s="26" t="s">
        <v>546</v>
      </c>
      <c r="C1778" s="26" t="s">
        <v>88</v>
      </c>
      <c r="D1778" s="26" t="s">
        <v>75</v>
      </c>
      <c r="E1778" s="20" t="s">
        <v>1010</v>
      </c>
      <c r="F1778" s="21" t="str">
        <f>IF(OR(E1778="",E1778="!!!"),"",IF(NOT(ISNA(VLOOKUP(E1778,E$1:E1777,1,FALSE()))),"OLD",IF(AND(E1778&lt;&gt;"",E1778&lt;&gt;"!!!"),"NEW","")))</f>
        <v>OLD</v>
      </c>
      <c r="G1778" s="22" t="str">
        <f ca="1"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?IN_FOCUS</v>
      </c>
      <c r="H1778" s="23" t="str">
        <f t="shared" ca="1" si="114"/>
        <v/>
      </c>
      <c r="I1778" s="24" t="str">
        <f>IF(OR(E1778="",E1778="!!!",F1778="NEW"),"",INDEX(B$2:B1777,-1+SUMPRODUCT(MAX(ROW(E$2:E1777)*(E1778=E$2:E1777)))))</f>
        <v>SBJ_7</v>
      </c>
      <c r="J1778" s="24">
        <f ca="1">IF(OR(E1778="",E1778="!!!",F1778="NEW"),"",COUNTBLANK(OFFSET(A$1,,,SUMPRODUCT(MAX(ROW(E$2:E1778)*(E1778=E$2:E1778)))))-COUNTBLANK(OFFSET(A$1,,,SUMPRODUCT(MAX(ROW(E$1:E1777)*(E2=E$1:E1777))))))</f>
        <v>0</v>
      </c>
      <c r="K1778" s="24">
        <f ca="1">IF(OR(E1778="",E1778="!!!",F1778="NEW"),"",INDEX(J$1:J1777,SUMPRODUCT(MAX(ROW(E$1:E1777)*(E1778=E$1:E1777)))))</f>
        <v>0</v>
      </c>
      <c r="L1778" s="25"/>
    </row>
    <row r="1779" spans="1:12" x14ac:dyDescent="0.3">
      <c r="A1779" t="s">
        <v>1019</v>
      </c>
      <c r="E1779" s="20" t="str">
        <f>IF(D1779="?OLD","!!!","")</f>
        <v/>
      </c>
      <c r="F1779" s="21" t="str">
        <f>IF(OR(E1779="",E1779="!!!"),"",IF(NOT(ISNA(VLOOKUP(E1779,E$1:E1778,1,FALSE()))),"OLD",IF(AND(E1779&lt;&gt;"",E1779&lt;&gt;"!!!"),"NEW","")))</f>
        <v/>
      </c>
      <c r="G1779" s="22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3" t="str">
        <f t="shared" ca="1" si="114"/>
        <v/>
      </c>
      <c r="I1779" s="24" t="str">
        <f>IF(OR(E1779="",E1779="!!!",F1779="NEW"),"",INDEX(B$2:B1778,-1+SUMPRODUCT(MAX(ROW(E$2:E1778)*(E1779=E$2:E1778)))))</f>
        <v/>
      </c>
      <c r="J1779" s="24" t="str">
        <f ca="1">IF(OR(E1779="",E1779="!!!",F1779="NEW"),"",COUNTBLANK(OFFSET(A$1,,,SUMPRODUCT(MAX(ROW(E$2:E1779)*(E1779=E$2:E1779)))))-COUNTBLANK(OFFSET(A$1,,,SUMPRODUCT(MAX(ROW(E$1:E1778)*(E2=E$1:E1778))))))</f>
        <v/>
      </c>
      <c r="K1779" s="24" t="str">
        <f>IF(OR(E1779="",E1779="!!!",F1779="NEW"),"",INDEX(J$1:J1778,SUMPRODUCT(MAX(ROW(E$1:E1778)*(E1779=E$1:E1778)))))</f>
        <v/>
      </c>
      <c r="L1779" s="25"/>
    </row>
    <row r="1780" spans="1:12" x14ac:dyDescent="0.3">
      <c r="A1780" t="s">
        <v>1020</v>
      </c>
      <c r="B1780" s="26" t="s">
        <v>805</v>
      </c>
      <c r="C1780" s="26" t="s">
        <v>88</v>
      </c>
      <c r="D1780" s="26" t="s">
        <v>75</v>
      </c>
      <c r="E1780" s="20" t="s">
        <v>168</v>
      </c>
      <c r="F1780" s="21" t="str">
        <f>IF(OR(E1780="",E1780="!!!"),"",IF(NOT(ISNA(VLOOKUP(E1780,E$1:E1779,1,FALSE()))),"OLD",IF(AND(E1780&lt;&gt;"",E1780&lt;&gt;"!!!"),"NEW","")))</f>
        <v>OLD</v>
      </c>
      <c r="G1780" s="22" t="str">
        <f ca="1"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?IN_FOCUS</v>
      </c>
      <c r="H1780" s="23" t="str">
        <f t="shared" ca="1" si="114"/>
        <v/>
      </c>
      <c r="I1780" s="24" t="str">
        <f>IF(OR(E1780="",E1780="!!!",F1780="NEW"),"",INDEX(B$2:B1779,-1+SUMPRODUCT(MAX(ROW(E$2:E1779)*(E1780=E$2:E1779)))))</f>
        <v>SBJ_8</v>
      </c>
      <c r="J1780" s="24">
        <f ca="1">IF(OR(E1780="",E1780="!!!",F1780="NEW"),"",COUNTBLANK(OFFSET(A$1,,,SUMPRODUCT(MAX(ROW(E$2:E1780)*(E1780=E$2:E1780)))))-COUNTBLANK(OFFSET(A$1,,,SUMPRODUCT(MAX(ROW(E$1:E1779)*(E2=E$1:E1779))))))</f>
        <v>0</v>
      </c>
      <c r="K1780" s="24">
        <f ca="1">IF(OR(E1780="",E1780="!!!",F1780="NEW"),"",INDEX(J$1:J1779,SUMPRODUCT(MAX(ROW(E$1:E1779)*(E1780=E$1:E1779)))))</f>
        <v>0</v>
      </c>
      <c r="L1780" s="25"/>
    </row>
    <row r="1781" spans="1:12" x14ac:dyDescent="0.3">
      <c r="A1781" t="s">
        <v>86</v>
      </c>
      <c r="E1781" s="20" t="str">
        <f>IF(D1781="?OLD","!!!","")</f>
        <v/>
      </c>
      <c r="F1781" s="21" t="str">
        <f>IF(OR(E1781="",E1781="!!!"),"",IF(NOT(ISNA(VLOOKUP(E1781,E$1:E1780,1,FALSE()))),"OLD",IF(AND(E1781&lt;&gt;"",E1781&lt;&gt;"!!!"),"NEW","")))</f>
        <v/>
      </c>
      <c r="G1781" s="22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3" t="str">
        <f t="shared" ca="1" si="114"/>
        <v/>
      </c>
      <c r="I1781" s="24" t="str">
        <f>IF(OR(E1781="",E1781="!!!",F1781="NEW"),"",INDEX(B$2:B1780,-1+SUMPRODUCT(MAX(ROW(E$2:E1780)*(E1781=E$2:E1780)))))</f>
        <v/>
      </c>
      <c r="J1781" s="24" t="str">
        <f ca="1">IF(OR(E1781="",E1781="!!!",F1781="NEW"),"",COUNTBLANK(OFFSET(A$1,,,SUMPRODUCT(MAX(ROW(E$2:E1781)*(E1781=E$2:E1781)))))-COUNTBLANK(OFFSET(A$1,,,SUMPRODUCT(MAX(ROW(E$1:E1780)*(E2=E$1:E1780))))))</f>
        <v/>
      </c>
      <c r="K1781" s="24" t="str">
        <f>IF(OR(E1781="",E1781="!!!",F1781="NEW"),"",INDEX(J$1:J1780,SUMPRODUCT(MAX(ROW(E$1:E1780)*(E1781=E$1:E1780)))))</f>
        <v/>
      </c>
      <c r="L1781" s="25"/>
    </row>
    <row r="1782" spans="1:12" x14ac:dyDescent="0.3">
      <c r="A1782" t="s">
        <v>192</v>
      </c>
      <c r="B1782" s="26" t="s">
        <v>411</v>
      </c>
      <c r="C1782" s="26" t="s">
        <v>88</v>
      </c>
      <c r="D1782" s="26" t="s">
        <v>75</v>
      </c>
      <c r="E1782" s="20" t="s">
        <v>97</v>
      </c>
      <c r="F1782" s="21" t="str">
        <f>IF(OR(E1782="",E1782="!!!"),"",IF(NOT(ISNA(VLOOKUP(E1782,E$1:E1781,1,FALSE()))),"OLD",IF(AND(E1782&lt;&gt;"",E1782&lt;&gt;"!!!"),"NEW","")))</f>
        <v>OLD</v>
      </c>
      <c r="G1782" s="22" t="str">
        <f ca="1"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?IN_FOCUS</v>
      </c>
      <c r="H1782" s="23" t="str">
        <f t="shared" ca="1" si="114"/>
        <v/>
      </c>
      <c r="I1782" s="24" t="str">
        <f>IF(OR(E1782="",E1782="!!!",F1782="NEW"),"",INDEX(B$2:B1781,-1+SUMPRODUCT(MAX(ROW(E$2:E1781)*(E1782=E$2:E1781)))))</f>
        <v>SBJ</v>
      </c>
      <c r="J1782" s="24">
        <f ca="1">IF(OR(E1782="",E1782="!!!",F1782="NEW"),"",COUNTBLANK(OFFSET(A$1,,,SUMPRODUCT(MAX(ROW(E$2:E1782)*(E1782=E$2:E1782)))))-COUNTBLANK(OFFSET(A$1,,,SUMPRODUCT(MAX(ROW(E$1:E1781)*(E2=E$1:E1781))))))</f>
        <v>0</v>
      </c>
      <c r="K1782" s="24">
        <f ca="1">IF(OR(E1782="",E1782="!!!",F1782="NEW"),"",INDEX(J$1:J1781,SUMPRODUCT(MAX(ROW(E$1:E1781)*(E1782=E$1:E1781)))))</f>
        <v>0</v>
      </c>
      <c r="L1782" s="25"/>
    </row>
    <row r="1783" spans="1:12" x14ac:dyDescent="0.3">
      <c r="A1783" t="s">
        <v>1021</v>
      </c>
      <c r="E1783" s="20" t="str">
        <f>IF(D1783="?OLD","!!!","")</f>
        <v/>
      </c>
      <c r="F1783" s="21" t="str">
        <f>IF(OR(E1783="",E1783="!!!"),"",IF(NOT(ISNA(VLOOKUP(E1783,E$1:E1782,1,FALSE()))),"OLD",IF(AND(E1783&lt;&gt;"",E1783&lt;&gt;"!!!"),"NEW","")))</f>
        <v/>
      </c>
      <c r="G1783" s="22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3" t="str">
        <f t="shared" ca="1" si="114"/>
        <v/>
      </c>
      <c r="I1783" s="24" t="str">
        <f>IF(OR(E1783="",E1783="!!!",F1783="NEW"),"",INDEX(B$2:B1782,-1+SUMPRODUCT(MAX(ROW(E$2:E1782)*(E1783=E$2:E1782)))))</f>
        <v/>
      </c>
      <c r="J1783" s="24" t="str">
        <f ca="1">IF(OR(E1783="",E1783="!!!",F1783="NEW"),"",COUNTBLANK(OFFSET(A$1,,,SUMPRODUCT(MAX(ROW(E$2:E1783)*(E1783=E$2:E1783)))))-COUNTBLANK(OFFSET(A$1,,,SUMPRODUCT(MAX(ROW(E$1:E1782)*(E2=E$1:E1782))))))</f>
        <v/>
      </c>
      <c r="K1783" s="24" t="str">
        <f>IF(OR(E1783="",E1783="!!!",F1783="NEW"),"",INDEX(J$1:J1782,SUMPRODUCT(MAX(ROW(E$1:E1782)*(E1783=E$1:E1782)))))</f>
        <v/>
      </c>
      <c r="L1783" s="25"/>
    </row>
    <row r="1784" spans="1:12" x14ac:dyDescent="0.3">
      <c r="A1784" t="s">
        <v>1022</v>
      </c>
      <c r="B1784" s="26" t="s">
        <v>546</v>
      </c>
      <c r="C1784" s="26" t="s">
        <v>88</v>
      </c>
      <c r="D1784" s="26" t="s">
        <v>75</v>
      </c>
      <c r="E1784" s="20" t="s">
        <v>1010</v>
      </c>
      <c r="F1784" s="21" t="str">
        <f>IF(OR(E1784="",E1784="!!!"),"",IF(NOT(ISNA(VLOOKUP(E1784,E$1:E1783,1,FALSE()))),"OLD",IF(AND(E1784&lt;&gt;"",E1784&lt;&gt;"!!!"),"NEW","")))</f>
        <v>OLD</v>
      </c>
      <c r="G1784" s="22" t="str">
        <f ca="1"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?IN_FOCUS</v>
      </c>
      <c r="H1784" s="23" t="str">
        <f t="shared" ca="1" si="114"/>
        <v/>
      </c>
      <c r="I1784" s="24" t="str">
        <f>IF(OR(E1784="",E1784="!!!",F1784="NEW"),"",INDEX(B$2:B1783,-1+SUMPRODUCT(MAX(ROW(E$2:E1783)*(E1784=E$2:E1783)))))</f>
        <v>SBJ_8</v>
      </c>
      <c r="J1784" s="24">
        <f ca="1">IF(OR(E1784="",E1784="!!!",F1784="NEW"),"",COUNTBLANK(OFFSET(A$1,,,SUMPRODUCT(MAX(ROW(E$2:E1784)*(E1784=E$2:E1784)))))-COUNTBLANK(OFFSET(A$1,,,SUMPRODUCT(MAX(ROW(E$1:E1783)*(E2=E$1:E1783))))))</f>
        <v>0</v>
      </c>
      <c r="K1784" s="24">
        <f ca="1">IF(OR(E1784="",E1784="!!!",F1784="NEW"),"",INDEX(J$1:J1783,SUMPRODUCT(MAX(ROW(E$1:E1783)*(E1784=E$1:E1783)))))</f>
        <v>0</v>
      </c>
      <c r="L1784" s="25"/>
    </row>
    <row r="1785" spans="1:12" x14ac:dyDescent="0.3">
      <c r="A1785" t="s">
        <v>276</v>
      </c>
      <c r="E1785" s="20" t="str">
        <f>IF(D1785="?OLD","!!!","")</f>
        <v/>
      </c>
      <c r="F1785" s="21" t="str">
        <f>IF(OR(E1785="",E1785="!!!"),"",IF(NOT(ISNA(VLOOKUP(E1785,E$1:E1784,1,FALSE()))),"OLD",IF(AND(E1785&lt;&gt;"",E1785&lt;&gt;"!!!"),"NEW","")))</f>
        <v/>
      </c>
      <c r="G1785" s="22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3" t="str">
        <f t="shared" ca="1" si="114"/>
        <v/>
      </c>
      <c r="I1785" s="24" t="str">
        <f>IF(OR(E1785="",E1785="!!!",F1785="NEW"),"",INDEX(B$2:B1784,-1+SUMPRODUCT(MAX(ROW(E$2:E1784)*(E1785=E$2:E1784)))))</f>
        <v/>
      </c>
      <c r="J1785" s="24" t="str">
        <f ca="1">IF(OR(E1785="",E1785="!!!",F1785="NEW"),"",COUNTBLANK(OFFSET(A$1,,,SUMPRODUCT(MAX(ROW(E$2:E1785)*(E1785=E$2:E1785)))))-COUNTBLANK(OFFSET(A$1,,,SUMPRODUCT(MAX(ROW(E$1:E1784)*(E2=E$1:E1784))))))</f>
        <v/>
      </c>
      <c r="K1785" s="24" t="str">
        <f>IF(OR(E1785="",E1785="!!!",F1785="NEW"),"",INDEX(J$1:J1784,SUMPRODUCT(MAX(ROW(E$1:E1784)*(E1785=E$1:E1784)))))</f>
        <v/>
      </c>
      <c r="L1785" s="25"/>
    </row>
    <row r="1786" spans="1:12" x14ac:dyDescent="0.3">
      <c r="A1786" t="s">
        <v>86</v>
      </c>
      <c r="E1786" s="20" t="str">
        <f>IF(D1786="?OLD","!!!","")</f>
        <v/>
      </c>
      <c r="F1786" s="21" t="str">
        <f>IF(OR(E1786="",E1786="!!!"),"",IF(NOT(ISNA(VLOOKUP(E1786,E$1:E1785,1,FALSE()))),"OLD",IF(AND(E1786&lt;&gt;"",E1786&lt;&gt;"!!!"),"NEW","")))</f>
        <v/>
      </c>
      <c r="G1786" s="22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3" t="str">
        <f t="shared" ca="1" si="114"/>
        <v/>
      </c>
      <c r="I1786" s="24" t="str">
        <f>IF(OR(E1786="",E1786="!!!",F1786="NEW"),"",INDEX(B$2:B1785,-1+SUMPRODUCT(MAX(ROW(E$2:E1785)*(E1786=E$2:E1785)))))</f>
        <v/>
      </c>
      <c r="J1786" s="24" t="str">
        <f ca="1">IF(OR(E1786="",E1786="!!!",F1786="NEW"),"",COUNTBLANK(OFFSET(A$1,,,SUMPRODUCT(MAX(ROW(E$2:E1786)*(E1786=E$2:E1786)))))-COUNTBLANK(OFFSET(A$1,,,SUMPRODUCT(MAX(ROW(E$1:E1785)*(E2=E$1:E1785))))))</f>
        <v/>
      </c>
      <c r="K1786" s="24" t="str">
        <f>IF(OR(E1786="",E1786="!!!",F1786="NEW"),"",INDEX(J$1:J1785,SUMPRODUCT(MAX(ROW(E$1:E1785)*(E1786=E$1:E1785)))))</f>
        <v/>
      </c>
      <c r="L1786" s="25"/>
    </row>
    <row r="1787" spans="1:12" x14ac:dyDescent="0.3">
      <c r="A1787" t="s">
        <v>315</v>
      </c>
      <c r="E1787" s="20" t="str">
        <f>IF(D1787="?OLD","!!!","")</f>
        <v/>
      </c>
      <c r="F1787" s="21" t="str">
        <f>IF(OR(E1787="",E1787="!!!"),"",IF(NOT(ISNA(VLOOKUP(E1787,E$1:E1786,1,FALSE()))),"OLD",IF(AND(E1787&lt;&gt;"",E1787&lt;&gt;"!!!"),"NEW","")))</f>
        <v/>
      </c>
      <c r="G1787" s="22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3" t="str">
        <f t="shared" ca="1" si="114"/>
        <v/>
      </c>
      <c r="I1787" s="24" t="str">
        <f>IF(OR(E1787="",E1787="!!!",F1787="NEW"),"",INDEX(B$2:B1786,-1+SUMPRODUCT(MAX(ROW(E$2:E1786)*(E1787=E$2:E1786)))))</f>
        <v/>
      </c>
      <c r="J1787" s="24" t="str">
        <f ca="1">IF(OR(E1787="",E1787="!!!",F1787="NEW"),"",COUNTBLANK(OFFSET(A$1,,,SUMPRODUCT(MAX(ROW(E$2:E1787)*(E1787=E$2:E1787)))))-COUNTBLANK(OFFSET(A$1,,,SUMPRODUCT(MAX(ROW(E$1:E1786)*(E2=E$1:E1786))))))</f>
        <v/>
      </c>
      <c r="K1787" s="24" t="str">
        <f>IF(OR(E1787="",E1787="!!!",F1787="NEW"),"",INDEX(J$1:J1786,SUMPRODUCT(MAX(ROW(E$1:E1786)*(E1787=E$1:E1786)))))</f>
        <v/>
      </c>
      <c r="L1787" s="25"/>
    </row>
    <row r="1788" spans="1:12" x14ac:dyDescent="0.3">
      <c r="A1788" t="s">
        <v>316</v>
      </c>
      <c r="B1788" s="26" t="s">
        <v>414</v>
      </c>
      <c r="C1788" s="26" t="s">
        <v>105</v>
      </c>
      <c r="E1788" s="20" t="str">
        <f>IF(D1788="?OLD","!!!","")</f>
        <v/>
      </c>
      <c r="F1788" s="21" t="str">
        <f>IF(OR(E1788="",E1788="!!!"),"",IF(NOT(ISNA(VLOOKUP(E1788,E$1:E1787,1,FALSE()))),"OLD",IF(AND(E1788&lt;&gt;"",E1788&lt;&gt;"!!!"),"NEW","")))</f>
        <v/>
      </c>
      <c r="G1788" s="22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3" t="str">
        <f t="shared" ca="1" si="114"/>
        <v/>
      </c>
      <c r="I1788" s="24" t="str">
        <f>IF(OR(E1788="",E1788="!!!",F1788="NEW"),"",INDEX(B$2:B1787,-1+SUMPRODUCT(MAX(ROW(E$2:E1787)*(E1788=E$2:E1787)))))</f>
        <v/>
      </c>
      <c r="J1788" s="24" t="str">
        <f ca="1">IF(OR(E1788="",E1788="!!!",F1788="NEW"),"",COUNTBLANK(OFFSET(A$1,,,SUMPRODUCT(MAX(ROW(E$2:E1788)*(E1788=E$2:E1788)))))-COUNTBLANK(OFFSET(A$1,,,SUMPRODUCT(MAX(ROW(E$1:E1787)*(E2=E$1:E1787))))))</f>
        <v/>
      </c>
      <c r="K1788" s="24" t="str">
        <f>IF(OR(E1788="",E1788="!!!",F1788="NEW"),"",INDEX(J$1:J1787,SUMPRODUCT(MAX(ROW(E$1:E1787)*(E1788=E$1:E1787)))))</f>
        <v/>
      </c>
      <c r="L1788" s="25"/>
    </row>
    <row r="1789" spans="1:12" x14ac:dyDescent="0.3">
      <c r="A1789" t="s">
        <v>317</v>
      </c>
      <c r="E1789" s="20" t="str">
        <f>IF(D1789="?OLD","!!!","")</f>
        <v/>
      </c>
      <c r="F1789" s="21" t="str">
        <f>IF(OR(E1789="",E1789="!!!"),"",IF(NOT(ISNA(VLOOKUP(E1789,E$1:E1788,1,FALSE()))),"OLD",IF(AND(E1789&lt;&gt;"",E1789&lt;&gt;"!!!"),"NEW","")))</f>
        <v/>
      </c>
      <c r="G1789" s="22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3" t="str">
        <f t="shared" ca="1" si="114"/>
        <v/>
      </c>
      <c r="I1789" s="24" t="str">
        <f>IF(OR(E1789="",E1789="!!!",F1789="NEW"),"",INDEX(B$2:B1788,-1+SUMPRODUCT(MAX(ROW(E$2:E1788)*(E1789=E$2:E1788)))))</f>
        <v/>
      </c>
      <c r="J1789" s="24" t="str">
        <f ca="1">IF(OR(E1789="",E1789="!!!",F1789="NEW"),"",COUNTBLANK(OFFSET(A$1,,,SUMPRODUCT(MAX(ROW(E$2:E1789)*(E1789=E$2:E1789)))))-COUNTBLANK(OFFSET(A$1,,,SUMPRODUCT(MAX(ROW(E$1:E1788)*(E2=E$1:E1788))))))</f>
        <v/>
      </c>
      <c r="K1789" s="24" t="str">
        <f>IF(OR(E1789="",E1789="!!!",F1789="NEW"),"",INDEX(J$1:J1788,SUMPRODUCT(MAX(ROW(E$1:E1788)*(E1789=E$1:E1788)))))</f>
        <v/>
      </c>
      <c r="L1789" s="25"/>
    </row>
    <row r="1790" spans="1:12" x14ac:dyDescent="0.3">
      <c r="A1790" t="s">
        <v>192</v>
      </c>
      <c r="B1790" s="26" t="s">
        <v>411</v>
      </c>
      <c r="C1790" s="26" t="s">
        <v>88</v>
      </c>
      <c r="D1790" s="26" t="s">
        <v>75</v>
      </c>
      <c r="E1790" s="20" t="s">
        <v>97</v>
      </c>
      <c r="F1790" s="21" t="str">
        <f>IF(OR(E1790="",E1790="!!!"),"",IF(NOT(ISNA(VLOOKUP(E1790,E$1:E1789,1,FALSE()))),"OLD",IF(AND(E1790&lt;&gt;"",E1790&lt;&gt;"!!!"),"NEW","")))</f>
        <v>OLD</v>
      </c>
      <c r="G1790" s="22" t="str">
        <f ca="1"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?IN_FOCUS</v>
      </c>
      <c r="H1790" s="23" t="str">
        <f t="shared" ca="1" si="114"/>
        <v/>
      </c>
      <c r="I1790" s="24" t="str">
        <f>IF(OR(E1790="",E1790="!!!",F1790="NEW"),"",INDEX(B$2:B1789,-1+SUMPRODUCT(MAX(ROW(E$2:E1789)*(E1790=E$2:E1789)))))</f>
        <v>SBJ_7</v>
      </c>
      <c r="J1790" s="24">
        <f ca="1">IF(OR(E1790="",E1790="!!!",F1790="NEW"),"",COUNTBLANK(OFFSET(A$1,,,SUMPRODUCT(MAX(ROW(E$2:E1790)*(E1790=E$2:E1790)))))-COUNTBLANK(OFFSET(A$1,,,SUMPRODUCT(MAX(ROW(E$1:E1789)*(E2=E$1:E1789))))))</f>
        <v>0</v>
      </c>
      <c r="K1790" s="24">
        <f ca="1">IF(OR(E1790="",E1790="!!!",F1790="NEW"),"",INDEX(J$1:J1789,SUMPRODUCT(MAX(ROW(E$1:E1789)*(E1790=E$1:E1789)))))</f>
        <v>0</v>
      </c>
      <c r="L1790" s="25"/>
    </row>
    <row r="1791" spans="1:12" x14ac:dyDescent="0.3">
      <c r="A1791" t="s">
        <v>1021</v>
      </c>
      <c r="E1791" s="20" t="str">
        <f>IF(D1791="?OLD","!!!","")</f>
        <v/>
      </c>
      <c r="F1791" s="21" t="str">
        <f>IF(OR(E1791="",E1791="!!!"),"",IF(NOT(ISNA(VLOOKUP(E1791,E$1:E1790,1,FALSE()))),"OLD",IF(AND(E1791&lt;&gt;"",E1791&lt;&gt;"!!!"),"NEW","")))</f>
        <v/>
      </c>
      <c r="G1791" s="22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3" t="str">
        <f t="shared" ca="1" si="114"/>
        <v/>
      </c>
      <c r="I1791" s="24" t="str">
        <f>IF(OR(E1791="",E1791="!!!",F1791="NEW"),"",INDEX(B$2:B1790,-1+SUMPRODUCT(MAX(ROW(E$2:E1790)*(E1791=E$2:E1790)))))</f>
        <v/>
      </c>
      <c r="J1791" s="24" t="str">
        <f ca="1">IF(OR(E1791="",E1791="!!!",F1791="NEW"),"",COUNTBLANK(OFFSET(A$1,,,SUMPRODUCT(MAX(ROW(E$2:E1791)*(E1791=E$2:E1791)))))-COUNTBLANK(OFFSET(A$1,,,SUMPRODUCT(MAX(ROW(E$1:E1790)*(E2=E$1:E1790))))))</f>
        <v/>
      </c>
      <c r="K1791" s="24" t="str">
        <f>IF(OR(E1791="",E1791="!!!",F1791="NEW"),"",INDEX(J$1:J1790,SUMPRODUCT(MAX(ROW(E$1:E1790)*(E1791=E$1:E1790)))))</f>
        <v/>
      </c>
      <c r="L1791" s="25"/>
    </row>
    <row r="1792" spans="1:12" x14ac:dyDescent="0.3">
      <c r="A1792" t="s">
        <v>1022</v>
      </c>
      <c r="B1792" s="26" t="s">
        <v>408</v>
      </c>
      <c r="C1792" s="26" t="s">
        <v>88</v>
      </c>
      <c r="D1792" s="26" t="s">
        <v>75</v>
      </c>
      <c r="E1792" s="20" t="s">
        <v>1010</v>
      </c>
      <c r="F1792" s="21" t="str">
        <f>IF(OR(E1792="",E1792="!!!"),"",IF(NOT(ISNA(VLOOKUP(E1792,E$1:E1791,1,FALSE()))),"OLD",IF(AND(E1792&lt;&gt;"",E1792&lt;&gt;"!!!"),"NEW","")))</f>
        <v>OLD</v>
      </c>
      <c r="G1792" s="22" t="str">
        <f ca="1"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?IN_FOCUS</v>
      </c>
      <c r="H1792" s="23" t="str">
        <f t="shared" ca="1" si="114"/>
        <v/>
      </c>
      <c r="I1792" s="24" t="str">
        <f>IF(OR(E1792="",E1792="!!!",F1792="NEW"),"",INDEX(B$2:B1791,-1+SUMPRODUCT(MAX(ROW(E$2:E1791)*(E1792=E$2:E1791)))))</f>
        <v>SBJ_8</v>
      </c>
      <c r="J1792" s="24">
        <f ca="1">IF(OR(E1792="",E1792="!!!",F1792="NEW"),"",COUNTBLANK(OFFSET(A$1,,,SUMPRODUCT(MAX(ROW(E$2:E1792)*(E1792=E$2:E1792)))))-COUNTBLANK(OFFSET(A$1,,,SUMPRODUCT(MAX(ROW(E$1:E1791)*(E2=E$1:E1791))))))</f>
        <v>0</v>
      </c>
      <c r="K1792" s="24">
        <f ca="1">IF(OR(E1792="",E1792="!!!",F1792="NEW"),"",INDEX(J$1:J1791,SUMPRODUCT(MAX(ROW(E$1:E1791)*(E1792=E$1:E1791)))))</f>
        <v>0</v>
      </c>
      <c r="L1792" s="25"/>
    </row>
    <row r="1793" spans="1:12" x14ac:dyDescent="0.3">
      <c r="A1793" t="s">
        <v>101</v>
      </c>
      <c r="E1793" s="20" t="str">
        <f>IF(D1793="?OLD","!!!","")</f>
        <v/>
      </c>
      <c r="F1793" s="21" t="str">
        <f>IF(OR(E1793="",E1793="!!!"),"",IF(NOT(ISNA(VLOOKUP(E1793,E$1:E1792,1,FALSE()))),"OLD",IF(AND(E1793&lt;&gt;"",E1793&lt;&gt;"!!!"),"NEW","")))</f>
        <v/>
      </c>
      <c r="G1793" s="22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3" t="str">
        <f t="shared" ca="1" si="114"/>
        <v/>
      </c>
      <c r="I1793" s="24" t="str">
        <f>IF(OR(E1793="",E1793="!!!",F1793="NEW"),"",INDEX(B$2:B1792,-1+SUMPRODUCT(MAX(ROW(E$2:E1792)*(E1793=E$2:E1792)))))</f>
        <v/>
      </c>
      <c r="J1793" s="24" t="str">
        <f ca="1">IF(OR(E1793="",E1793="!!!",F1793="NEW"),"",COUNTBLANK(OFFSET(A$1,,,SUMPRODUCT(MAX(ROW(E$2:E1793)*(E1793=E$2:E1793)))))-COUNTBLANK(OFFSET(A$1,,,SUMPRODUCT(MAX(ROW(E$1:E1792)*(E2=E$1:E1792))))))</f>
        <v/>
      </c>
      <c r="K1793" s="24" t="str">
        <f>IF(OR(E1793="",E1793="!!!",F1793="NEW"),"",INDEX(J$1:J1792,SUMPRODUCT(MAX(ROW(E$1:E1792)*(E1793=E$1:E1792)))))</f>
        <v/>
      </c>
      <c r="L1793" s="25"/>
    </row>
    <row r="1794" spans="1:12" x14ac:dyDescent="0.3">
      <c r="A1794" t="s">
        <v>1023</v>
      </c>
      <c r="E1794" s="20" t="str">
        <f>IF(D1794="?OLD","!!!","")</f>
        <v/>
      </c>
      <c r="F1794" s="21" t="str">
        <f>IF(OR(E1794="",E1794="!!!"),"",IF(NOT(ISNA(VLOOKUP(E1794,E$1:E1793,1,FALSE()))),"OLD",IF(AND(E1794&lt;&gt;"",E1794&lt;&gt;"!!!"),"NEW","")))</f>
        <v/>
      </c>
      <c r="G1794" s="22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3" t="str">
        <f t="shared" ca="1" si="114"/>
        <v/>
      </c>
      <c r="I1794" s="24" t="str">
        <f>IF(OR(E1794="",E1794="!!!",F1794="NEW"),"",INDEX(B$2:B1793,-1+SUMPRODUCT(MAX(ROW(E$2:E1793)*(E1794=E$2:E1793)))))</f>
        <v/>
      </c>
      <c r="J1794" s="24" t="str">
        <f ca="1">IF(OR(E1794="",E1794="!!!",F1794="NEW"),"",COUNTBLANK(OFFSET(A$1,,,SUMPRODUCT(MAX(ROW(E$2:E1794)*(E1794=E$2:E1794)))))-COUNTBLANK(OFFSET(A$1,,,SUMPRODUCT(MAX(ROW(E$1:E1793)*(E2=E$1:E1793))))))</f>
        <v/>
      </c>
      <c r="K1794" s="24" t="str">
        <f>IF(OR(E1794="",E1794="!!!",F1794="NEW"),"",INDEX(J$1:J1793,SUMPRODUCT(MAX(ROW(E$1:E1793)*(E1794=E$1:E1793)))))</f>
        <v/>
      </c>
      <c r="L1794" s="25"/>
    </row>
    <row r="1795" spans="1:12" x14ac:dyDescent="0.3">
      <c r="A1795" t="s">
        <v>763</v>
      </c>
      <c r="B1795" s="26" t="s">
        <v>411</v>
      </c>
      <c r="C1795" s="26" t="s">
        <v>88</v>
      </c>
      <c r="D1795" s="26" t="s">
        <v>75</v>
      </c>
      <c r="E1795" s="20" t="s">
        <v>1010</v>
      </c>
      <c r="F1795" s="21" t="str">
        <f>IF(OR(E1795="",E1795="!!!"),"",IF(NOT(ISNA(VLOOKUP(E1795,E$1:E1794,1,FALSE()))),"OLD",IF(AND(E1795&lt;&gt;"",E1795&lt;&gt;"!!!"),"NEW","")))</f>
        <v>OLD</v>
      </c>
      <c r="G1795" s="22" t="str">
        <f ca="1"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?IN_FOCUS</v>
      </c>
      <c r="H1795" s="23" t="str">
        <f t="shared" ca="1" si="114"/>
        <v/>
      </c>
      <c r="I1795" s="24" t="str">
        <f>IF(OR(E1795="",E1795="!!!",F1795="NEW"),"",INDEX(B$2:B1794,-1+SUMPRODUCT(MAX(ROW(E$2:E1794)*(E1795=E$2:E1794)))))</f>
        <v>OBJ_7</v>
      </c>
      <c r="J1795" s="24">
        <f ca="1">IF(OR(E1795="",E1795="!!!",F1795="NEW"),"",COUNTBLANK(OFFSET(A$1,,,SUMPRODUCT(MAX(ROW(E$2:E1795)*(E1795=E$2:E1795)))))-COUNTBLANK(OFFSET(A$1,,,SUMPRODUCT(MAX(ROW(E$1:E1794)*(E2=E$1:E1794))))))</f>
        <v>0</v>
      </c>
      <c r="K1795" s="24">
        <f ca="1">IF(OR(E1795="",E1795="!!!",F1795="NEW"),"",INDEX(J$1:J1794,SUMPRODUCT(MAX(ROW(E$1:E1794)*(E1795=E$1:E1794)))))</f>
        <v>0</v>
      </c>
      <c r="L1795" s="25"/>
    </row>
    <row r="1796" spans="1:12" x14ac:dyDescent="0.3">
      <c r="A1796" t="s">
        <v>90</v>
      </c>
      <c r="B1796" s="26" t="s">
        <v>408</v>
      </c>
      <c r="E1796" s="20" t="str">
        <f>IF(D1796="?OLD","!!!","")</f>
        <v/>
      </c>
      <c r="F1796" s="21" t="str">
        <f>IF(OR(E1796="",E1796="!!!"),"",IF(NOT(ISNA(VLOOKUP(E1796,E$1:E1795,1,FALSE()))),"OLD",IF(AND(E1796&lt;&gt;"",E1796&lt;&gt;"!!!"),"NEW","")))</f>
        <v/>
      </c>
      <c r="G1796" s="22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3" t="str">
        <f t="shared" ca="1" si="114"/>
        <v/>
      </c>
      <c r="I1796" s="24" t="str">
        <f>IF(OR(E1796="",E1796="!!!",F1796="NEW"),"",INDEX(B$2:B1795,-1+SUMPRODUCT(MAX(ROW(E$2:E1795)*(E1796=E$2:E1795)))))</f>
        <v/>
      </c>
      <c r="J1796" s="24" t="str">
        <f ca="1">IF(OR(E1796="",E1796="!!!",F1796="NEW"),"",COUNTBLANK(OFFSET(A$1,,,SUMPRODUCT(MAX(ROW(E$2:E1796)*(E1796=E$2:E1796)))))-COUNTBLANK(OFFSET(A$1,,,SUMPRODUCT(MAX(ROW(E$1:E1795)*(E2=E$1:E1795))))))</f>
        <v/>
      </c>
      <c r="K1796" s="24" t="str">
        <f>IF(OR(E1796="",E1796="!!!",F1796="NEW"),"",INDEX(J$1:J1795,SUMPRODUCT(MAX(ROW(E$1:E1795)*(E1796=E$1:E1795)))))</f>
        <v/>
      </c>
      <c r="L1796" s="25"/>
    </row>
    <row r="1797" spans="1:12" x14ac:dyDescent="0.3">
      <c r="A1797" t="s">
        <v>397</v>
      </c>
      <c r="E1797" s="20" t="str">
        <f>IF(D1797="?OLD","!!!","")</f>
        <v/>
      </c>
      <c r="F1797" s="21" t="str">
        <f>IF(OR(E1797="",E1797="!!!"),"",IF(NOT(ISNA(VLOOKUP(E1797,E$1:E1796,1,FALSE()))),"OLD",IF(AND(E1797&lt;&gt;"",E1797&lt;&gt;"!!!"),"NEW","")))</f>
        <v/>
      </c>
      <c r="G1797" s="22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3" t="str">
        <f t="shared" ca="1" si="114"/>
        <v/>
      </c>
      <c r="I1797" s="24" t="str">
        <f>IF(OR(E1797="",E1797="!!!",F1797="NEW"),"",INDEX(B$2:B1796,-1+SUMPRODUCT(MAX(ROW(E$2:E1796)*(E1797=E$2:E1796)))))</f>
        <v/>
      </c>
      <c r="J1797" s="24" t="str">
        <f ca="1">IF(OR(E1797="",E1797="!!!",F1797="NEW"),"",COUNTBLANK(OFFSET(A$1,,,SUMPRODUCT(MAX(ROW(E$2:E1797)*(E1797=E$2:E1797)))))-COUNTBLANK(OFFSET(A$1,,,SUMPRODUCT(MAX(ROW(E$1:E1796)*(E2=E$1:E1796))))))</f>
        <v/>
      </c>
      <c r="K1797" s="24" t="str">
        <f>IF(OR(E1797="",E1797="!!!",F1797="NEW"),"",INDEX(J$1:J1796,SUMPRODUCT(MAX(ROW(E$1:E1796)*(E1797=E$1:E1796)))))</f>
        <v/>
      </c>
      <c r="L1797" s="25"/>
    </row>
    <row r="1798" spans="1:12" x14ac:dyDescent="0.3">
      <c r="A1798" t="s">
        <v>1024</v>
      </c>
      <c r="B1798" s="26" t="s">
        <v>414</v>
      </c>
      <c r="C1798" s="26" t="s">
        <v>111</v>
      </c>
      <c r="E1798" s="20" t="str">
        <f>IF(D1798="?OLD","!!!","")</f>
        <v/>
      </c>
      <c r="F1798" s="21" t="str">
        <f>IF(OR(E1798="",E1798="!!!"),"",IF(NOT(ISNA(VLOOKUP(E1798,E$1:E1797,1,FALSE()))),"OLD",IF(AND(E1798&lt;&gt;"",E1798&lt;&gt;"!!!"),"NEW","")))</f>
        <v/>
      </c>
      <c r="G1798" s="22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3" t="str">
        <f t="shared" ca="1" si="114"/>
        <v/>
      </c>
      <c r="I1798" s="24" t="str">
        <f>IF(OR(E1798="",E1798="!!!",F1798="NEW"),"",INDEX(B$2:B1797,-1+SUMPRODUCT(MAX(ROW(E$2:E1797)*(E1798=E$2:E1797)))))</f>
        <v/>
      </c>
      <c r="J1798" s="24" t="str">
        <f ca="1">IF(OR(E1798="",E1798="!!!",F1798="NEW"),"",COUNTBLANK(OFFSET(A$1,,,SUMPRODUCT(MAX(ROW(E$2:E1798)*(E1798=E$2:E1798)))))-COUNTBLANK(OFFSET(A$1,,,SUMPRODUCT(MAX(ROW(E$1:E1797)*(E2=E$1:E1797))))))</f>
        <v/>
      </c>
      <c r="K1798" s="24" t="str">
        <f>IF(OR(E1798="",E1798="!!!",F1798="NEW"),"",INDEX(J$1:J1797,SUMPRODUCT(MAX(ROW(E$1:E1797)*(E1798=E$1:E1797)))))</f>
        <v/>
      </c>
      <c r="L1798" s="25"/>
    </row>
    <row r="1799" spans="1:12" x14ac:dyDescent="0.3">
      <c r="A1799" t="s">
        <v>1025</v>
      </c>
      <c r="B1799" s="26" t="s">
        <v>416</v>
      </c>
      <c r="C1799" s="26" t="s">
        <v>503</v>
      </c>
      <c r="D1799" s="26" t="s">
        <v>75</v>
      </c>
      <c r="E1799" s="20" t="s">
        <v>1026</v>
      </c>
      <c r="F1799" s="21" t="s">
        <v>210</v>
      </c>
      <c r="G1799" s="22" t="e">
        <f ca="1"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#VALUE!</v>
      </c>
      <c r="H1799" s="23" t="str">
        <f t="shared" ca="1" si="114"/>
        <v/>
      </c>
      <c r="I1799" s="24" t="e">
        <f>IF(OR(E1799="",E1799="!!!",F1799="NEW"),"",INDEX(B$2:B1798,-1+SUMPRODUCT(MAX(ROW(E$2:E1798)*(E1799=E$2:E1798)))))</f>
        <v>#VALUE!</v>
      </c>
      <c r="J1799" s="24">
        <f ca="1">IF(OR(E1799="",E1799="!!!",F1799="NEW"),"",COUNTBLANK(OFFSET(A$1,,,SUMPRODUCT(MAX(ROW(E$2:E1799)*(E1799=E$2:E1799)))))-COUNTBLANK(OFFSET(A$1,,,SUMPRODUCT(MAX(ROW(E$1:E1798)*(E2=E$1:E1798))))))</f>
        <v>0</v>
      </c>
      <c r="K1799" s="24" t="e">
        <f>IF(OR(E1799="",E1799="!!!",F1799="NEW"),"",INDEX(J$1:J1798,SUMPRODUCT(MAX(ROW(E$1:E1798)*(E1799=E$1:E1798)))))</f>
        <v>#VALUE!</v>
      </c>
      <c r="L1799" s="25"/>
    </row>
    <row r="1800" spans="1:12" x14ac:dyDescent="0.3">
      <c r="A1800" t="s">
        <v>240</v>
      </c>
      <c r="E1800" s="20" t="str">
        <f>IF(D1800="?OLD","!!!","")</f>
        <v/>
      </c>
      <c r="F1800" s="21" t="str">
        <f>IF(OR(E1800="",E1800="!!!"),"",IF(NOT(ISNA(VLOOKUP(E1800,E$1:E1799,1,FALSE()))),"OLD",IF(AND(E1800&lt;&gt;"",E1800&lt;&gt;"!!!"),"NEW","")))</f>
        <v/>
      </c>
      <c r="G1800" s="22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3" t="str">
        <f t="shared" ca="1" si="114"/>
        <v/>
      </c>
      <c r="I1800" s="24" t="str">
        <f>IF(OR(E1800="",E1800="!!!",F1800="NEW"),"",INDEX(B$2:B1799,-1+SUMPRODUCT(MAX(ROW(E$2:E1799)*(E1800=E$2:E1799)))))</f>
        <v/>
      </c>
      <c r="J1800" s="24" t="str">
        <f ca="1">IF(OR(E1800="",E1800="!!!",F1800="NEW"),"",COUNTBLANK(OFFSET(A$1,,,SUMPRODUCT(MAX(ROW(E$2:E1800)*(E1800=E$2:E1800)))))-COUNTBLANK(OFFSET(A$1,,,SUMPRODUCT(MAX(ROW(E$1:E1799)*(E2=E$1:E1799))))))</f>
        <v/>
      </c>
      <c r="K1800" s="24" t="str">
        <f>IF(OR(E1800="",E1800="!!!",F1800="NEW"),"",INDEX(J$1:J1799,SUMPRODUCT(MAX(ROW(E$1:E1799)*(E1800=E$1:E1799)))))</f>
        <v/>
      </c>
      <c r="L1800" s="25"/>
    </row>
    <row r="1801" spans="1:12" x14ac:dyDescent="0.3">
      <c r="A1801" t="s">
        <v>1027</v>
      </c>
      <c r="B1801" s="26" t="s">
        <v>414</v>
      </c>
      <c r="C1801" s="26" t="s">
        <v>74</v>
      </c>
      <c r="D1801" s="26" t="s">
        <v>75</v>
      </c>
      <c r="E1801" s="20" t="s">
        <v>260</v>
      </c>
      <c r="F1801" s="21" t="str">
        <f>IF(OR(E1801="",E1801="!!!"),"",IF(NOT(ISNA(VLOOKUP(E1801,E$1:E1800,1,FALSE()))),"OLD",IF(AND(E1801&lt;&gt;"",E1801&lt;&gt;"!!!"),"NEW","")))</f>
        <v>OLD</v>
      </c>
      <c r="G1801" s="22" t="str">
        <f ca="1"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?IN_FOCUS</v>
      </c>
      <c r="H1801" s="23" t="str">
        <f t="shared" ca="1" si="114"/>
        <v/>
      </c>
      <c r="I1801" s="24" t="str">
        <f>IF(OR(E1801="",E1801="!!!",F1801="NEW"),"",INDEX(B$2:B1800,-1+SUMPRODUCT(MAX(ROW(E$2:E1800)*(E1801=E$2:E1800)))))</f>
        <v>other_4</v>
      </c>
      <c r="J1801" s="24">
        <f ca="1">IF(OR(E1801="",E1801="!!!",F1801="NEW"),"",COUNTBLANK(OFFSET(A$1,,,SUMPRODUCT(MAX(ROW(E$2:E1801)*(E1801=E$2:E1801)))))-COUNTBLANK(OFFSET(A$1,,,SUMPRODUCT(MAX(ROW(E$1:E1800)*(E2=E$1:E1800))))))</f>
        <v>0</v>
      </c>
      <c r="K1801" s="24" t="str">
        <f ca="1">IF(OR(E1801="",E1801="!!!",F1801="NEW"),"",INDEX(J$1:J1800,SUMPRODUCT(MAX(ROW(E$1:E1800)*(E1801=E$1:E1800)))))</f>
        <v/>
      </c>
      <c r="L1801" s="25"/>
    </row>
    <row r="1802" spans="1:12" x14ac:dyDescent="0.3">
      <c r="A1802" t="s">
        <v>1028</v>
      </c>
      <c r="E1802" s="20" t="str">
        <f>IF(D1802="?OLD","!!!","")</f>
        <v/>
      </c>
      <c r="F1802" s="21" t="str">
        <f>IF(OR(E1802="",E1802="!!!"),"",IF(NOT(ISNA(VLOOKUP(E1802,E$1:E1801,1,FALSE()))),"OLD",IF(AND(E1802&lt;&gt;"",E1802&lt;&gt;"!!!"),"NEW","")))</f>
        <v/>
      </c>
      <c r="G1802" s="22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3" t="str">
        <f t="shared" ca="1" si="114"/>
        <v/>
      </c>
      <c r="I1802" s="24" t="str">
        <f>IF(OR(E1802="",E1802="!!!",F1802="NEW"),"",INDEX(B$2:B1801,-1+SUMPRODUCT(MAX(ROW(E$2:E1801)*(E1802=E$2:E1801)))))</f>
        <v/>
      </c>
      <c r="J1802" s="24" t="str">
        <f ca="1">IF(OR(E1802="",E1802="!!!",F1802="NEW"),"",COUNTBLANK(OFFSET(A$1,,,SUMPRODUCT(MAX(ROW(E$2:E1802)*(E1802=E$2:E1802)))))-COUNTBLANK(OFFSET(A$1,,,SUMPRODUCT(MAX(ROW(E$1:E1801)*(E2=E$1:E1801))))))</f>
        <v/>
      </c>
      <c r="K1802" s="24" t="str">
        <f>IF(OR(E1802="",E1802="!!!",F1802="NEW"),"",INDEX(J$1:J1801,SUMPRODUCT(MAX(ROW(E$1:E1801)*(E1802=E$1:E1801)))))</f>
        <v/>
      </c>
      <c r="L1802" s="25"/>
    </row>
    <row r="1803" spans="1:12" x14ac:dyDescent="0.3">
      <c r="A1803" t="s">
        <v>175</v>
      </c>
      <c r="E1803" s="20" t="str">
        <f>IF(D1803="?OLD","!!!","")</f>
        <v/>
      </c>
      <c r="F1803" s="21" t="str">
        <f>IF(OR(E1803="",E1803="!!!"),"",IF(NOT(ISNA(VLOOKUP(E1803,E$1:E1802,1,FALSE()))),"OLD",IF(AND(E1803&lt;&gt;"",E1803&lt;&gt;"!!!"),"NEW","")))</f>
        <v/>
      </c>
      <c r="G1803" s="22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3" t="str">
        <f t="shared" ca="1" si="114"/>
        <v/>
      </c>
      <c r="I1803" s="24" t="str">
        <f>IF(OR(E1803="",E1803="!!!",F1803="NEW"),"",INDEX(B$2:B1802,-1+SUMPRODUCT(MAX(ROW(E$2:E1802)*(E1803=E$2:E1802)))))</f>
        <v/>
      </c>
      <c r="J1803" s="24" t="str">
        <f ca="1">IF(OR(E1803="",E1803="!!!",F1803="NEW"),"",COUNTBLANK(OFFSET(A$1,,,SUMPRODUCT(MAX(ROW(E$2:E1803)*(E1803=E$2:E1803)))))-COUNTBLANK(OFFSET(A$1,,,SUMPRODUCT(MAX(ROW(E$1:E1802)*(E2=E$1:E1802))))))</f>
        <v/>
      </c>
      <c r="K1803" s="24" t="str">
        <f>IF(OR(E1803="",E1803="!!!",F1803="NEW"),"",INDEX(J$1:J1802,SUMPRODUCT(MAX(ROW(E$1:E1802)*(E1803=E$1:E1802)))))</f>
        <v/>
      </c>
      <c r="L1803" s="25"/>
    </row>
    <row r="1804" spans="1:12" x14ac:dyDescent="0.3">
      <c r="A1804" t="s">
        <v>86</v>
      </c>
      <c r="E1804" s="20" t="str">
        <f>IF(D1804="?OLD","!!!","")</f>
        <v/>
      </c>
      <c r="F1804" s="21" t="str">
        <f>IF(OR(E1804="",E1804="!!!"),"",IF(NOT(ISNA(VLOOKUP(E1804,E$1:E1803,1,FALSE()))),"OLD",IF(AND(E1804&lt;&gt;"",E1804&lt;&gt;"!!!"),"NEW","")))</f>
        <v/>
      </c>
      <c r="G1804" s="22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3" t="str">
        <f t="shared" ca="1" si="114"/>
        <v/>
      </c>
      <c r="I1804" s="24" t="str">
        <f>IF(OR(E1804="",E1804="!!!",F1804="NEW"),"",INDEX(B$2:B1803,-1+SUMPRODUCT(MAX(ROW(E$2:E1803)*(E1804=E$2:E1803)))))</f>
        <v/>
      </c>
      <c r="J1804" s="24" t="str">
        <f ca="1">IF(OR(E1804="",E1804="!!!",F1804="NEW"),"",COUNTBLANK(OFFSET(A$1,,,SUMPRODUCT(MAX(ROW(E$2:E1804)*(E1804=E$2:E1804)))))-COUNTBLANK(OFFSET(A$1,,,SUMPRODUCT(MAX(ROW(E$1:E1803)*(E2=E$1:E1803))))))</f>
        <v/>
      </c>
      <c r="K1804" s="24" t="str">
        <f>IF(OR(E1804="",E1804="!!!",F1804="NEW"),"",INDEX(J$1:J1803,SUMPRODUCT(MAX(ROW(E$1:E1803)*(E1804=E$1:E1803)))))</f>
        <v/>
      </c>
      <c r="L1804" s="25"/>
    </row>
    <row r="1805" spans="1:12" x14ac:dyDescent="0.3">
      <c r="A1805" t="s">
        <v>192</v>
      </c>
      <c r="B1805" s="26" t="s">
        <v>411</v>
      </c>
      <c r="C1805" s="26" t="s">
        <v>88</v>
      </c>
      <c r="D1805" s="26" t="s">
        <v>75</v>
      </c>
      <c r="E1805" s="20" t="s">
        <v>97</v>
      </c>
      <c r="F1805" s="21" t="str">
        <f>IF(OR(E1805="",E1805="!!!"),"",IF(NOT(ISNA(VLOOKUP(E1805,E$1:E1804,1,FALSE()))),"OLD",IF(AND(E1805&lt;&gt;"",E1805&lt;&gt;"!!!"),"NEW","")))</f>
        <v>OLD</v>
      </c>
      <c r="G1805" s="22" t="str">
        <f ca="1"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?IN_FOCUS</v>
      </c>
      <c r="H1805" s="23" t="str">
        <f t="shared" ref="H1805:H1868" ca="1" si="116">IF(J1805&lt;&gt;1,"",IF(I1805="SBJ","CB","?"))</f>
        <v/>
      </c>
      <c r="I1805" s="24" t="str">
        <f>IF(OR(E1805="",E1805="!!!",F1805="NEW"),"",INDEX(B$2:B1804,-1+SUMPRODUCT(MAX(ROW(E$2:E1804)*(E1805=E$2:E1804)))))</f>
        <v>SBJ_7</v>
      </c>
      <c r="J1805" s="24">
        <f ca="1">IF(OR(E1805="",E1805="!!!",F1805="NEW"),"",COUNTBLANK(OFFSET(A$1,,,SUMPRODUCT(MAX(ROW(E$2:E1805)*(E1805=E$2:E1805)))))-COUNTBLANK(OFFSET(A$1,,,SUMPRODUCT(MAX(ROW(E$1:E1804)*(E2=E$1:E1804))))))</f>
        <v>0</v>
      </c>
      <c r="K1805" s="24">
        <f ca="1">IF(OR(E1805="",E1805="!!!",F1805="NEW"),"",INDEX(J$1:J1804,SUMPRODUCT(MAX(ROW(E$1:E1804)*(E1805=E$1:E1804)))))</f>
        <v>0</v>
      </c>
      <c r="L1805" s="25"/>
    </row>
    <row r="1806" spans="1:12" x14ac:dyDescent="0.3">
      <c r="A1806" t="s">
        <v>1029</v>
      </c>
      <c r="E1806" s="20" t="str">
        <f>IF(D1806="?OLD","!!!","")</f>
        <v/>
      </c>
      <c r="F1806" s="21" t="str">
        <f>IF(OR(E1806="",E1806="!!!"),"",IF(NOT(ISNA(VLOOKUP(E1806,E$1:E1805,1,FALSE()))),"OLD",IF(AND(E1806&lt;&gt;"",E1806&lt;&gt;"!!!"),"NEW","")))</f>
        <v/>
      </c>
      <c r="G1806" s="22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3" t="str">
        <f t="shared" ca="1" si="116"/>
        <v/>
      </c>
      <c r="I1806" s="24" t="str">
        <f>IF(OR(E1806="",E1806="!!!",F1806="NEW"),"",INDEX(B$2:B1805,-1+SUMPRODUCT(MAX(ROW(E$2:E1805)*(E1806=E$2:E1805)))))</f>
        <v/>
      </c>
      <c r="J1806" s="24" t="str">
        <f ca="1">IF(OR(E1806="",E1806="!!!",F1806="NEW"),"",COUNTBLANK(OFFSET(A$1,,,SUMPRODUCT(MAX(ROW(E$2:E1806)*(E1806=E$2:E1806)))))-COUNTBLANK(OFFSET(A$1,,,SUMPRODUCT(MAX(ROW(E$1:E1805)*(E2=E$1:E1805))))))</f>
        <v/>
      </c>
      <c r="K1806" s="24" t="str">
        <f>IF(OR(E1806="",E1806="!!!",F1806="NEW"),"",INDEX(J$1:J1805,SUMPRODUCT(MAX(ROW(E$1:E1805)*(E1806=E$1:E1805)))))</f>
        <v/>
      </c>
      <c r="L1806" s="25"/>
    </row>
    <row r="1807" spans="1:12" x14ac:dyDescent="0.3">
      <c r="A1807" t="s">
        <v>101</v>
      </c>
      <c r="E1807" s="20" t="str">
        <f>IF(D1807="?OLD","!!!","")</f>
        <v/>
      </c>
      <c r="F1807" s="21" t="str">
        <f>IF(OR(E1807="",E1807="!!!"),"",IF(NOT(ISNA(VLOOKUP(E1807,E$1:E1806,1,FALSE()))),"OLD",IF(AND(E1807&lt;&gt;"",E1807&lt;&gt;"!!!"),"NEW","")))</f>
        <v/>
      </c>
      <c r="G1807" s="22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3" t="str">
        <f t="shared" ca="1" si="116"/>
        <v/>
      </c>
      <c r="I1807" s="24" t="str">
        <f>IF(OR(E1807="",E1807="!!!",F1807="NEW"),"",INDEX(B$2:B1806,-1+SUMPRODUCT(MAX(ROW(E$2:E1806)*(E1807=E$2:E1806)))))</f>
        <v/>
      </c>
      <c r="J1807" s="24" t="str">
        <f ca="1">IF(OR(E1807="",E1807="!!!",F1807="NEW"),"",COUNTBLANK(OFFSET(A$1,,,SUMPRODUCT(MAX(ROW(E$2:E1807)*(E1807=E$2:E1807)))))-COUNTBLANK(OFFSET(A$1,,,SUMPRODUCT(MAX(ROW(E$1:E1806)*(E2=E$1:E1806))))))</f>
        <v/>
      </c>
      <c r="K1807" s="24" t="str">
        <f>IF(OR(E1807="",E1807="!!!",F1807="NEW"),"",INDEX(J$1:J1806,SUMPRODUCT(MAX(ROW(E$1:E1806)*(E1807=E$1:E1806)))))</f>
        <v/>
      </c>
      <c r="L1807" s="25"/>
    </row>
    <row r="1808" spans="1:12" x14ac:dyDescent="0.3">
      <c r="A1808" t="s">
        <v>87</v>
      </c>
      <c r="B1808" s="26" t="s">
        <v>805</v>
      </c>
      <c r="C1808" s="26" t="s">
        <v>88</v>
      </c>
      <c r="D1808" s="26" t="s">
        <v>75</v>
      </c>
      <c r="E1808" s="20" t="s">
        <v>168</v>
      </c>
      <c r="F1808" s="21" t="str">
        <f>IF(OR(E1808="",E1808="!!!"),"",IF(NOT(ISNA(VLOOKUP(E1808,E$1:E1807,1,FALSE()))),"OLD",IF(AND(E1808&lt;&gt;"",E1808&lt;&gt;"!!!"),"NEW","")))</f>
        <v>OLD</v>
      </c>
      <c r="G1808" s="22" t="str">
        <f ca="1"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?IN_FOCUS</v>
      </c>
      <c r="H1808" s="23" t="str">
        <f t="shared" ca="1" si="116"/>
        <v/>
      </c>
      <c r="I1808" s="24" t="str">
        <f>IF(OR(E1808="",E1808="!!!",F1808="NEW"),"",INDEX(B$2:B1807,-1+SUMPRODUCT(MAX(ROW(E$2:E1807)*(E1808=E$2:E1807)))))</f>
        <v>OBJ_8</v>
      </c>
      <c r="J1808" s="24">
        <f ca="1">IF(OR(E1808="",E1808="!!!",F1808="NEW"),"",COUNTBLANK(OFFSET(A$1,,,SUMPRODUCT(MAX(ROW(E$2:E1808)*(E1808=E$2:E1808)))))-COUNTBLANK(OFFSET(A$1,,,SUMPRODUCT(MAX(ROW(E$1:E1807)*(E2=E$1:E1807))))))</f>
        <v>0</v>
      </c>
      <c r="K1808" s="24">
        <f ca="1">IF(OR(E1808="",E1808="!!!",F1808="NEW"),"",INDEX(J$1:J1807,SUMPRODUCT(MAX(ROW(E$1:E1807)*(E1808=E$1:E1807)))))</f>
        <v>0</v>
      </c>
      <c r="L1808" s="25"/>
    </row>
    <row r="1809" spans="1:12" x14ac:dyDescent="0.3">
      <c r="A1809" t="s">
        <v>1030</v>
      </c>
      <c r="E1809" s="20" t="str">
        <f t="shared" ref="E1809:E1814" si="117">IF(D1809="?OLD","!!!","")</f>
        <v/>
      </c>
      <c r="F1809" s="21" t="str">
        <f>IF(OR(E1809="",E1809="!!!"),"",IF(NOT(ISNA(VLOOKUP(E1809,E$1:E1808,1,FALSE()))),"OLD",IF(AND(E1809&lt;&gt;"",E1809&lt;&gt;"!!!"),"NEW","")))</f>
        <v/>
      </c>
      <c r="G1809" s="22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3" t="str">
        <f t="shared" ca="1" si="116"/>
        <v/>
      </c>
      <c r="I1809" s="24" t="str">
        <f>IF(OR(E1809="",E1809="!!!",F1809="NEW"),"",INDEX(B$2:B1808,-1+SUMPRODUCT(MAX(ROW(E$2:E1808)*(E1809=E$2:E1808)))))</f>
        <v/>
      </c>
      <c r="J1809" s="24" t="str">
        <f ca="1">IF(OR(E1809="",E1809="!!!",F1809="NEW"),"",COUNTBLANK(OFFSET(A$1,,,SUMPRODUCT(MAX(ROW(E$2:E1809)*(E1809=E$2:E1809)))))-COUNTBLANK(OFFSET(A$1,,,SUMPRODUCT(MAX(ROW(E$1:E1808)*(E2=E$1:E1808))))))</f>
        <v/>
      </c>
      <c r="K1809" s="24" t="str">
        <f>IF(OR(E1809="",E1809="!!!",F1809="NEW"),"",INDEX(J$1:J1808,SUMPRODUCT(MAX(ROW(E$1:E1808)*(E1809=E$1:E1808)))))</f>
        <v/>
      </c>
      <c r="L1809" s="25"/>
    </row>
    <row r="1810" spans="1:12" x14ac:dyDescent="0.3">
      <c r="A1810" t="s">
        <v>116</v>
      </c>
      <c r="E1810" s="20" t="str">
        <f t="shared" si="117"/>
        <v/>
      </c>
      <c r="F1810" s="21" t="str">
        <f>IF(OR(E1810="",E1810="!!!"),"",IF(NOT(ISNA(VLOOKUP(E1810,E$1:E1809,1,FALSE()))),"OLD",IF(AND(E1810&lt;&gt;"",E1810&lt;&gt;"!!!"),"NEW","")))</f>
        <v/>
      </c>
      <c r="G1810" s="22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3" t="str">
        <f t="shared" ca="1" si="116"/>
        <v/>
      </c>
      <c r="I1810" s="24" t="str">
        <f>IF(OR(E1810="",E1810="!!!",F1810="NEW"),"",INDEX(B$2:B1809,-1+SUMPRODUCT(MAX(ROW(E$2:E1809)*(E1810=E$2:E1809)))))</f>
        <v/>
      </c>
      <c r="J1810" s="24" t="str">
        <f ca="1">IF(OR(E1810="",E1810="!!!",F1810="NEW"),"",COUNTBLANK(OFFSET(A$1,,,SUMPRODUCT(MAX(ROW(E$2:E1810)*(E1810=E$2:E1810)))))-COUNTBLANK(OFFSET(A$1,,,SUMPRODUCT(MAX(ROW(E$1:E1809)*(E2=E$1:E1809))))))</f>
        <v/>
      </c>
      <c r="K1810" s="24" t="str">
        <f>IF(OR(E1810="",E1810="!!!",F1810="NEW"),"",INDEX(J$1:J1809,SUMPRODUCT(MAX(ROW(E$1:E1809)*(E1810=E$1:E1809)))))</f>
        <v/>
      </c>
      <c r="L1810" s="25"/>
    </row>
    <row r="1811" spans="1:12" x14ac:dyDescent="0.3">
      <c r="A1811" t="s">
        <v>101</v>
      </c>
      <c r="E1811" s="20" t="str">
        <f t="shared" si="117"/>
        <v/>
      </c>
      <c r="F1811" s="21" t="str">
        <f>IF(OR(E1811="",E1811="!!!"),"",IF(NOT(ISNA(VLOOKUP(E1811,E$1:E1810,1,FALSE()))),"OLD",IF(AND(E1811&lt;&gt;"",E1811&lt;&gt;"!!!"),"NEW","")))</f>
        <v/>
      </c>
      <c r="G1811" s="22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3" t="str">
        <f t="shared" ca="1" si="116"/>
        <v/>
      </c>
      <c r="I1811" s="24" t="str">
        <f>IF(OR(E1811="",E1811="!!!",F1811="NEW"),"",INDEX(B$2:B1810,-1+SUMPRODUCT(MAX(ROW(E$2:E1810)*(E1811=E$2:E1810)))))</f>
        <v/>
      </c>
      <c r="J1811" s="24" t="str">
        <f ca="1">IF(OR(E1811="",E1811="!!!",F1811="NEW"),"",COUNTBLANK(OFFSET(A$1,,,SUMPRODUCT(MAX(ROW(E$2:E1811)*(E1811=E$2:E1811)))))-COUNTBLANK(OFFSET(A$1,,,SUMPRODUCT(MAX(ROW(E$1:E1810)*(E2=E$1:E1810))))))</f>
        <v/>
      </c>
      <c r="K1811" s="24" t="str">
        <f>IF(OR(E1811="",E1811="!!!",F1811="NEW"),"",INDEX(J$1:J1810,SUMPRODUCT(MAX(ROW(E$1:E1810)*(E1811=E$1:E1810)))))</f>
        <v/>
      </c>
      <c r="L1811" s="25"/>
    </row>
    <row r="1812" spans="1:12" x14ac:dyDescent="0.3">
      <c r="A1812" t="s">
        <v>178</v>
      </c>
      <c r="E1812" s="20" t="str">
        <f t="shared" si="117"/>
        <v/>
      </c>
      <c r="F1812" s="21" t="str">
        <f>IF(OR(E1812="",E1812="!!!"),"",IF(NOT(ISNA(VLOOKUP(E1812,E$1:E1811,1,FALSE()))),"OLD",IF(AND(E1812&lt;&gt;"",E1812&lt;&gt;"!!!"),"NEW","")))</f>
        <v/>
      </c>
      <c r="G1812" s="22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3" t="str">
        <f t="shared" ca="1" si="116"/>
        <v/>
      </c>
      <c r="I1812" s="24" t="str">
        <f>IF(OR(E1812="",E1812="!!!",F1812="NEW"),"",INDEX(B$2:B1811,-1+SUMPRODUCT(MAX(ROW(E$2:E1811)*(E1812=E$2:E1811)))))</f>
        <v/>
      </c>
      <c r="J1812" s="24" t="str">
        <f ca="1">IF(OR(E1812="",E1812="!!!",F1812="NEW"),"",COUNTBLANK(OFFSET(A$1,,,SUMPRODUCT(MAX(ROW(E$2:E1812)*(E1812=E$2:E1812)))))-COUNTBLANK(OFFSET(A$1,,,SUMPRODUCT(MAX(ROW(E$1:E1811)*(E2=E$1:E1811))))))</f>
        <v/>
      </c>
      <c r="K1812" s="24" t="str">
        <f>IF(OR(E1812="",E1812="!!!",F1812="NEW"),"",INDEX(J$1:J1811,SUMPRODUCT(MAX(ROW(E$1:E1811)*(E1812=E$1:E1811)))))</f>
        <v/>
      </c>
      <c r="L1812" s="25"/>
    </row>
    <row r="1813" spans="1:12" x14ac:dyDescent="0.3">
      <c r="A1813" t="s">
        <v>1031</v>
      </c>
      <c r="E1813" s="20" t="str">
        <f t="shared" si="117"/>
        <v/>
      </c>
      <c r="F1813" s="21" t="str">
        <f>IF(OR(E1813="",E1813="!!!"),"",IF(NOT(ISNA(VLOOKUP(E1813,E$1:E1812,1,FALSE()))),"OLD",IF(AND(E1813&lt;&gt;"",E1813&lt;&gt;"!!!"),"NEW","")))</f>
        <v/>
      </c>
      <c r="G1813" s="22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3" t="str">
        <f t="shared" ca="1" si="116"/>
        <v/>
      </c>
      <c r="I1813" s="24" t="str">
        <f>IF(OR(E1813="",E1813="!!!",F1813="NEW"),"",INDEX(B$2:B1812,-1+SUMPRODUCT(MAX(ROW(E$2:E1812)*(E1813=E$2:E1812)))))</f>
        <v/>
      </c>
      <c r="J1813" s="24" t="str">
        <f ca="1">IF(OR(E1813="",E1813="!!!",F1813="NEW"),"",COUNTBLANK(OFFSET(A$1,,,SUMPRODUCT(MAX(ROW(E$2:E1813)*(E1813=E$2:E1813)))))-COUNTBLANK(OFFSET(A$1,,,SUMPRODUCT(MAX(ROW(E$1:E1812)*(E2=E$1:E1812))))))</f>
        <v/>
      </c>
      <c r="K1813" s="24" t="str">
        <f>IF(OR(E1813="",E1813="!!!",F1813="NEW"),"",INDEX(J$1:J1812,SUMPRODUCT(MAX(ROW(E$1:E1812)*(E1813=E$1:E1812)))))</f>
        <v/>
      </c>
      <c r="L1813" s="25"/>
    </row>
    <row r="1814" spans="1:12" x14ac:dyDescent="0.3">
      <c r="A1814" t="s">
        <v>1032</v>
      </c>
      <c r="B1814" s="26" t="s">
        <v>997</v>
      </c>
      <c r="C1814" s="26" t="s">
        <v>105</v>
      </c>
      <c r="E1814" s="20" t="str">
        <f t="shared" si="117"/>
        <v/>
      </c>
      <c r="F1814" s="21" t="str">
        <f>IF(OR(E1814="",E1814="!!!"),"",IF(NOT(ISNA(VLOOKUP(E1814,E$1:E1813,1,FALSE()))),"OLD",IF(AND(E1814&lt;&gt;"",E1814&lt;&gt;"!!!"),"NEW","")))</f>
        <v/>
      </c>
      <c r="G1814" s="22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3" t="str">
        <f t="shared" ca="1" si="116"/>
        <v/>
      </c>
      <c r="I1814" s="24" t="str">
        <f>IF(OR(E1814="",E1814="!!!",F1814="NEW"),"",INDEX(B$2:B1813,-1+SUMPRODUCT(MAX(ROW(E$2:E1813)*(E1814=E$2:E1813)))))</f>
        <v/>
      </c>
      <c r="J1814" s="24" t="str">
        <f ca="1">IF(OR(E1814="",E1814="!!!",F1814="NEW"),"",COUNTBLANK(OFFSET(A$1,,,SUMPRODUCT(MAX(ROW(E$2:E1814)*(E1814=E$2:E1814)))))-COUNTBLANK(OFFSET(A$1,,,SUMPRODUCT(MAX(ROW(E$1:E1813)*(E2=E$1:E1813))))))</f>
        <v/>
      </c>
      <c r="K1814" s="24" t="str">
        <f>IF(OR(E1814="",E1814="!!!",F1814="NEW"),"",INDEX(J$1:J1813,SUMPRODUCT(MAX(ROW(E$1:E1813)*(E1814=E$1:E1813)))))</f>
        <v/>
      </c>
      <c r="L1814" s="25"/>
    </row>
    <row r="1815" spans="1:12" x14ac:dyDescent="0.3">
      <c r="A1815" t="s">
        <v>95</v>
      </c>
      <c r="B1815" s="26" t="s">
        <v>552</v>
      </c>
      <c r="C1815" s="26" t="s">
        <v>88</v>
      </c>
      <c r="D1815" s="26" t="s">
        <v>75</v>
      </c>
      <c r="E1815" s="20" t="s">
        <v>97</v>
      </c>
      <c r="F1815" s="21" t="str">
        <f>IF(OR(E1815="",E1815="!!!"),"",IF(NOT(ISNA(VLOOKUP(E1815,E$1:E1814,1,FALSE()))),"OLD",IF(AND(E1815&lt;&gt;"",E1815&lt;&gt;"!!!"),"NEW","")))</f>
        <v>OLD</v>
      </c>
      <c r="G1815" s="22" t="str">
        <f ca="1"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?IN_FOCUS</v>
      </c>
      <c r="H1815" s="23" t="str">
        <f t="shared" ca="1" si="116"/>
        <v/>
      </c>
      <c r="I1815" s="24" t="str">
        <f>IF(OR(E1815="",E1815="!!!",F1815="NEW"),"",INDEX(B$2:B1814,-1+SUMPRODUCT(MAX(ROW(E$2:E1814)*(E1815=E$2:E1814)))))</f>
        <v>SBJ_7</v>
      </c>
      <c r="J1815" s="24">
        <f ca="1">IF(OR(E1815="",E1815="!!!",F1815="NEW"),"",COUNTBLANK(OFFSET(A$1,,,SUMPRODUCT(MAX(ROW(E$2:E1815)*(E1815=E$2:E1815)))))-COUNTBLANK(OFFSET(A$1,,,SUMPRODUCT(MAX(ROW(E$1:E1814)*(E2=E$1:E1814))))))</f>
        <v>0</v>
      </c>
      <c r="K1815" s="24">
        <f ca="1">IF(OR(E1815="",E1815="!!!",F1815="NEW"),"",INDEX(J$1:J1814,SUMPRODUCT(MAX(ROW(E$1:E1814)*(E1815=E$1:E1814)))))</f>
        <v>0</v>
      </c>
      <c r="L1815" s="25"/>
    </row>
    <row r="1816" spans="1:12" x14ac:dyDescent="0.3">
      <c r="A1816" t="s">
        <v>1033</v>
      </c>
      <c r="E1816" s="20" t="str">
        <f>IF(D1816="?OLD","!!!","")</f>
        <v/>
      </c>
      <c r="F1816" s="21" t="str">
        <f>IF(OR(E1816="",E1816="!!!"),"",IF(NOT(ISNA(VLOOKUP(E1816,E$1:E1815,1,FALSE()))),"OLD",IF(AND(E1816&lt;&gt;"",E1816&lt;&gt;"!!!"),"NEW","")))</f>
        <v/>
      </c>
      <c r="G1816" s="22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3" t="str">
        <f t="shared" ca="1" si="116"/>
        <v/>
      </c>
      <c r="I1816" s="24" t="str">
        <f>IF(OR(E1816="",E1816="!!!",F1816="NEW"),"",INDEX(B$2:B1815,-1+SUMPRODUCT(MAX(ROW(E$2:E1815)*(E1816=E$2:E1815)))))</f>
        <v/>
      </c>
      <c r="J1816" s="24" t="str">
        <f ca="1">IF(OR(E1816="",E1816="!!!",F1816="NEW"),"",COUNTBLANK(OFFSET(A$1,,,SUMPRODUCT(MAX(ROW(E$2:E1816)*(E1816=E$2:E1816)))))-COUNTBLANK(OFFSET(A$1,,,SUMPRODUCT(MAX(ROW(E$1:E1815)*(E2=E$1:E1815))))))</f>
        <v/>
      </c>
      <c r="K1816" s="24" t="str">
        <f>IF(OR(E1816="",E1816="!!!",F1816="NEW"),"",INDEX(J$1:J1815,SUMPRODUCT(MAX(ROW(E$1:E1815)*(E1816=E$1:E1815)))))</f>
        <v/>
      </c>
      <c r="L1816" s="25"/>
    </row>
    <row r="1817" spans="1:12" x14ac:dyDescent="0.3">
      <c r="A1817" t="s">
        <v>86</v>
      </c>
      <c r="E1817" s="20" t="str">
        <f>IF(D1817="?OLD","!!!","")</f>
        <v/>
      </c>
      <c r="F1817" s="21" t="str">
        <f>IF(OR(E1817="",E1817="!!!"),"",IF(NOT(ISNA(VLOOKUP(E1817,E$1:E1816,1,FALSE()))),"OLD",IF(AND(E1817&lt;&gt;"",E1817&lt;&gt;"!!!"),"NEW","")))</f>
        <v/>
      </c>
      <c r="G1817" s="22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3" t="str">
        <f t="shared" ca="1" si="116"/>
        <v/>
      </c>
      <c r="I1817" s="24" t="str">
        <f>IF(OR(E1817="",E1817="!!!",F1817="NEW"),"",INDEX(B$2:B1816,-1+SUMPRODUCT(MAX(ROW(E$2:E1816)*(E1817=E$2:E1816)))))</f>
        <v/>
      </c>
      <c r="J1817" s="24" t="str">
        <f ca="1">IF(OR(E1817="",E1817="!!!",F1817="NEW"),"",COUNTBLANK(OFFSET(A$1,,,SUMPRODUCT(MAX(ROW(E$2:E1817)*(E1817=E$2:E1817)))))-COUNTBLANK(OFFSET(A$1,,,SUMPRODUCT(MAX(ROW(E$1:E1816)*(E2=E$1:E1816))))))</f>
        <v/>
      </c>
      <c r="K1817" s="24" t="str">
        <f>IF(OR(E1817="",E1817="!!!",F1817="NEW"),"",INDEX(J$1:J1816,SUMPRODUCT(MAX(ROW(E$1:E1816)*(E1817=E$1:E1816)))))</f>
        <v/>
      </c>
      <c r="L1817" s="25"/>
    </row>
    <row r="1818" spans="1:12" x14ac:dyDescent="0.3">
      <c r="A1818" t="s">
        <v>192</v>
      </c>
      <c r="B1818" s="26" t="s">
        <v>411</v>
      </c>
      <c r="C1818" s="26" t="s">
        <v>88</v>
      </c>
      <c r="D1818" s="26" t="s">
        <v>75</v>
      </c>
      <c r="E1818" s="20" t="s">
        <v>97</v>
      </c>
      <c r="F1818" s="21" t="str">
        <f>IF(OR(E1818="",E1818="!!!"),"",IF(NOT(ISNA(VLOOKUP(E1818,E$1:E1817,1,FALSE()))),"OLD",IF(AND(E1818&lt;&gt;"",E1818&lt;&gt;"!!!"),"NEW","")))</f>
        <v>OLD</v>
      </c>
      <c r="G1818" s="22" t="str">
        <f ca="1"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?IN_FOCUS</v>
      </c>
      <c r="H1818" s="23" t="str">
        <f t="shared" ca="1" si="116"/>
        <v/>
      </c>
      <c r="I1818" s="24" t="str">
        <f>IF(OR(E1818="",E1818="!!!",F1818="NEW"),"",INDEX(B$2:B1817,-1+SUMPRODUCT(MAX(ROW(E$2:E1817)*(E1818=E$2:E1817)))))</f>
        <v>SBJ_9</v>
      </c>
      <c r="J1818" s="24">
        <f ca="1">IF(OR(E1818="",E1818="!!!",F1818="NEW"),"",COUNTBLANK(OFFSET(A$1,,,SUMPRODUCT(MAX(ROW(E$2:E1818)*(E1818=E$2:E1818)))))-COUNTBLANK(OFFSET(A$1,,,SUMPRODUCT(MAX(ROW(E$1:E1817)*(E2=E$1:E1817))))))</f>
        <v>0</v>
      </c>
      <c r="K1818" s="24">
        <f ca="1">IF(OR(E1818="",E1818="!!!",F1818="NEW"),"",INDEX(J$1:J1817,SUMPRODUCT(MAX(ROW(E$1:E1817)*(E1818=E$1:E1817)))))</f>
        <v>0</v>
      </c>
      <c r="L1818" s="25"/>
    </row>
    <row r="1819" spans="1:12" x14ac:dyDescent="0.3">
      <c r="A1819" t="s">
        <v>1021</v>
      </c>
      <c r="E1819" s="20" t="str">
        <f>IF(D1819="?OLD","!!!","")</f>
        <v/>
      </c>
      <c r="F1819" s="21" t="str">
        <f>IF(OR(E1819="",E1819="!!!"),"",IF(NOT(ISNA(VLOOKUP(E1819,E$1:E1818,1,FALSE()))),"OLD",IF(AND(E1819&lt;&gt;"",E1819&lt;&gt;"!!!"),"NEW","")))</f>
        <v/>
      </c>
      <c r="G1819" s="22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3" t="str">
        <f t="shared" ca="1" si="116"/>
        <v/>
      </c>
      <c r="I1819" s="24" t="str">
        <f>IF(OR(E1819="",E1819="!!!",F1819="NEW"),"",INDEX(B$2:B1818,-1+SUMPRODUCT(MAX(ROW(E$2:E1818)*(E1819=E$2:E1818)))))</f>
        <v/>
      </c>
      <c r="J1819" s="24" t="str">
        <f ca="1">IF(OR(E1819="",E1819="!!!",F1819="NEW"),"",COUNTBLANK(OFFSET(A$1,,,SUMPRODUCT(MAX(ROW(E$2:E1819)*(E1819=E$2:E1819)))))-COUNTBLANK(OFFSET(A$1,,,SUMPRODUCT(MAX(ROW(E$1:E1818)*(E2=E$1:E1818))))))</f>
        <v/>
      </c>
      <c r="K1819" s="24" t="str">
        <f>IF(OR(E1819="",E1819="!!!",F1819="NEW"),"",INDEX(J$1:J1818,SUMPRODUCT(MAX(ROW(E$1:E1818)*(E1819=E$1:E1818)))))</f>
        <v/>
      </c>
      <c r="L1819" s="25"/>
    </row>
    <row r="1820" spans="1:12" x14ac:dyDescent="0.3">
      <c r="A1820" t="s">
        <v>123</v>
      </c>
      <c r="B1820" s="26" t="s">
        <v>408</v>
      </c>
      <c r="C1820" s="26" t="s">
        <v>88</v>
      </c>
      <c r="D1820" s="26" t="s">
        <v>75</v>
      </c>
      <c r="E1820" s="20" t="s">
        <v>1010</v>
      </c>
      <c r="F1820" s="21" t="s">
        <v>124</v>
      </c>
      <c r="G1820" s="22" t="str">
        <f ca="1"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?IN_FOCUS</v>
      </c>
      <c r="H1820" s="23" t="str">
        <f t="shared" ca="1" si="116"/>
        <v/>
      </c>
      <c r="I1820" s="24" t="str">
        <f>IF(OR(E1820="",E1820="!!!",F1820="NEW"),"",INDEX(B$2:B1819,-1+SUMPRODUCT(MAX(ROW(E$2:E1819)*(E1820=E$2:E1819)))))</f>
        <v>SBJ_7</v>
      </c>
      <c r="J1820" s="24">
        <f ca="1">IF(OR(E1820="",E1820="!!!",F1820="NEW"),"",COUNTBLANK(OFFSET(A$1,,,SUMPRODUCT(MAX(ROW(E$2:E1820)*(E1820=E$2:E1820)))))-COUNTBLANK(OFFSET(A$1,,,SUMPRODUCT(MAX(ROW(E$1:E1819)*(E2=E$1:E1819))))))</f>
        <v>0</v>
      </c>
      <c r="K1820" s="24">
        <f ca="1">IF(OR(E1820="",E1820="!!!",F1820="NEW"),"",INDEX(J$1:J1819,SUMPRODUCT(MAX(ROW(E$1:E1819)*(E1820=E$1:E1819)))))</f>
        <v>0</v>
      </c>
      <c r="L1820" s="25"/>
    </row>
    <row r="1821" spans="1:12" x14ac:dyDescent="0.3">
      <c r="A1821" t="s">
        <v>499</v>
      </c>
      <c r="E1821" s="20" t="str">
        <f>IF(D1821="?OLD","!!!","")</f>
        <v/>
      </c>
      <c r="F1821" s="21" t="str">
        <f>IF(OR(E1821="",E1821="!!!"),"",IF(NOT(ISNA(VLOOKUP(E1821,E$1:E1820,1,FALSE()))),"OLD",IF(AND(E1821&lt;&gt;"",E1821&lt;&gt;"!!!"),"NEW","")))</f>
        <v/>
      </c>
      <c r="G1821" s="22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3" t="str">
        <f t="shared" ca="1" si="116"/>
        <v/>
      </c>
      <c r="I1821" s="24" t="str">
        <f>IF(OR(E1821="",E1821="!!!",F1821="NEW"),"",INDEX(B$2:B1820,-1+SUMPRODUCT(MAX(ROW(E$2:E1820)*(E1821=E$2:E1820)))))</f>
        <v/>
      </c>
      <c r="J1821" s="24" t="str">
        <f ca="1">IF(OR(E1821="",E1821="!!!",F1821="NEW"),"",COUNTBLANK(OFFSET(A$1,,,SUMPRODUCT(MAX(ROW(E$2:E1821)*(E1821=E$2:E1821)))))-COUNTBLANK(OFFSET(A$1,,,SUMPRODUCT(MAX(ROW(E$1:E1820)*(E2=E$1:E1820))))))</f>
        <v/>
      </c>
      <c r="K1821" s="24" t="str">
        <f>IF(OR(E1821="",E1821="!!!",F1821="NEW"),"",INDEX(J$1:J1820,SUMPRODUCT(MAX(ROW(E$1:E1820)*(E1821=E$1:E1820)))))</f>
        <v/>
      </c>
      <c r="L1821" s="25"/>
    </row>
    <row r="1822" spans="1:12" x14ac:dyDescent="0.3">
      <c r="A1822" t="s">
        <v>101</v>
      </c>
      <c r="E1822" s="20" t="str">
        <f>IF(D1822="?OLD","!!!","")</f>
        <v/>
      </c>
      <c r="F1822" s="21" t="str">
        <f>IF(OR(E1822="",E1822="!!!"),"",IF(NOT(ISNA(VLOOKUP(E1822,E$1:E1821,1,FALSE()))),"OLD",IF(AND(E1822&lt;&gt;"",E1822&lt;&gt;"!!!"),"NEW","")))</f>
        <v/>
      </c>
      <c r="G1822" s="22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3" t="str">
        <f t="shared" ca="1" si="116"/>
        <v/>
      </c>
      <c r="I1822" s="24" t="str">
        <f>IF(OR(E1822="",E1822="!!!",F1822="NEW"),"",INDEX(B$2:B1821,-1+SUMPRODUCT(MAX(ROW(E$2:E1821)*(E1822=E$2:E1821)))))</f>
        <v/>
      </c>
      <c r="J1822" s="24" t="str">
        <f ca="1">IF(OR(E1822="",E1822="!!!",F1822="NEW"),"",COUNTBLANK(OFFSET(A$1,,,SUMPRODUCT(MAX(ROW(E$2:E1822)*(E1822=E$2:E1822)))))-COUNTBLANK(OFFSET(A$1,,,SUMPRODUCT(MAX(ROW(E$1:E1821)*(E2=E$1:E1821))))))</f>
        <v/>
      </c>
      <c r="K1822" s="24" t="str">
        <f>IF(OR(E1822="",E1822="!!!",F1822="NEW"),"",INDEX(J$1:J1821,SUMPRODUCT(MAX(ROW(E$1:E1821)*(E1822=E$1:E1821)))))</f>
        <v/>
      </c>
      <c r="L1822" s="25"/>
    </row>
    <row r="1824" spans="1:12" x14ac:dyDescent="0.3">
      <c r="A1824" t="s">
        <v>393</v>
      </c>
      <c r="E1824" s="20" t="str">
        <f>IF(D1824="?OLD","!!!","")</f>
        <v/>
      </c>
      <c r="F1824" s="21" t="str">
        <f>IF(OR(E1824="",E1824="!!!"),"",IF(NOT(ISNA(VLOOKUP(E1824,E$1:E1823,1,FALSE()))),"OLD",IF(AND(E1824&lt;&gt;"",E1824&lt;&gt;"!!!"),"NEW","")))</f>
        <v/>
      </c>
      <c r="G1824" s="22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/>
      </c>
      <c r="H1824" s="23" t="str">
        <f ca="1">IF(J1824&lt;&gt;1,"",IF(I1824="SBJ","CB","?"))</f>
        <v/>
      </c>
      <c r="I1824" s="24" t="str">
        <f>IF(OR(E1824="",E1824="!!!",F1824="NEW"),"",INDEX(B$2:B1823,-1+SUMPRODUCT(MAX(ROW(E$2:E1823)*(E1824=E$2:E1823)))))</f>
        <v/>
      </c>
      <c r="J1824" s="24" t="str">
        <f ca="1">IF(OR(E1824="",E1824="!!!",F1824="NEW"),"",COUNTBLANK(OFFSET(A$1,,,SUMPRODUCT(MAX(ROW(E$2:E1824)*(E1824=E$2:E1824)))))-COUNTBLANK(OFFSET(A$1,,,SUMPRODUCT(MAX(ROW(E$1:E1823)*(E2=E$1:E1823))))))</f>
        <v/>
      </c>
      <c r="K1824" s="24" t="str">
        <f>IF(OR(E1824="",E1824="!!!",F1824="NEW"),"",INDEX(J$1:J1823,SUMPRODUCT(MAX(ROW(E$1:E1823)*(E1824=E$1:E1823)))))</f>
        <v/>
      </c>
      <c r="L1824" s="25"/>
    </row>
    <row r="1825" spans="1:12" x14ac:dyDescent="0.3">
      <c r="A1825" t="s">
        <v>1034</v>
      </c>
    </row>
    <row r="1826" spans="1:12" x14ac:dyDescent="0.3">
      <c r="A1826" t="s">
        <v>1023</v>
      </c>
      <c r="E1826" s="20" t="str">
        <f>IF(D1826="?OLD","!!!","")</f>
        <v/>
      </c>
      <c r="F1826" s="21" t="str">
        <f>IF(OR(E1826="",E1826="!!!"),"",IF(NOT(ISNA(VLOOKUP(E1826,E$1:E1825,1,FALSE()))),"OLD",IF(AND(E1826&lt;&gt;"",E1826&lt;&gt;"!!!"),"NEW","")))</f>
        <v/>
      </c>
      <c r="G1826" s="22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3" t="str">
        <f t="shared" ref="H1826:H1856" ca="1" si="118">IF(J1826&lt;&gt;1,"",IF(I1826="SBJ","CB","?"))</f>
        <v/>
      </c>
      <c r="I1826" s="24" t="str">
        <f>IF(OR(E1826="",E1826="!!!",F1826="NEW"),"",INDEX(B$2:B1825,-1+SUMPRODUCT(MAX(ROW(E$2:E1825)*(E1826=E$2:E1825)))))</f>
        <v/>
      </c>
      <c r="J1826" s="24" t="str">
        <f ca="1">IF(OR(E1826="",E1826="!!!",F1826="NEW"),"",COUNTBLANK(OFFSET(A$1,,,SUMPRODUCT(MAX(ROW(E$2:E1826)*(E1826=E$2:E1826)))))-COUNTBLANK(OFFSET(A$1,,,SUMPRODUCT(MAX(ROW(E$1:E1825)*(E2=E$1:E1825))))))</f>
        <v/>
      </c>
      <c r="K1826" s="24" t="str">
        <f>IF(OR(E1826="",E1826="!!!",F1826="NEW"),"",INDEX(J$1:J1825,SUMPRODUCT(MAX(ROW(E$1:E1825)*(E1826=E$1:E1825)))))</f>
        <v/>
      </c>
      <c r="L1826" s="25"/>
    </row>
    <row r="1827" spans="1:12" x14ac:dyDescent="0.3">
      <c r="A1827" t="s">
        <v>763</v>
      </c>
      <c r="B1827" s="26" t="s">
        <v>73</v>
      </c>
      <c r="C1827" s="26" t="s">
        <v>88</v>
      </c>
      <c r="D1827" s="26" t="s">
        <v>75</v>
      </c>
      <c r="E1827" s="20" t="s">
        <v>1010</v>
      </c>
      <c r="F1827" s="21" t="str">
        <f>IF(OR(E1827="",E1827="!!!"),"",IF(NOT(ISNA(VLOOKUP(E1827,E$1:E1826,1,FALSE()))),"OLD",IF(AND(E1827&lt;&gt;"",E1827&lt;&gt;"!!!"),"NEW","")))</f>
        <v>OLD</v>
      </c>
      <c r="G1827" s="22" t="str">
        <f ca="1"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?IN_FOCUS</v>
      </c>
      <c r="H1827" s="23" t="str">
        <f t="shared" ca="1" si="118"/>
        <v/>
      </c>
      <c r="I1827" s="24" t="str">
        <f>IF(OR(E1827="",E1827="!!!",F1827="NEW"),"",INDEX(B$2:B1826,-1+SUMPRODUCT(MAX(ROW(E$2:E1826)*(E1827=E$2:E1826)))))</f>
        <v>OBJ_7</v>
      </c>
      <c r="J1827" s="24">
        <f ca="1">IF(OR(E1827="",E1827="!!!",F1827="NEW"),"",COUNTBLANK(OFFSET(A$1,,,SUMPRODUCT(MAX(ROW(E$2:E1827)*(E1827=E$2:E1827)))))-COUNTBLANK(OFFSET(A$1,,,SUMPRODUCT(MAX(ROW(E$1:E1826)*(E2=E$1:E1826))))))</f>
        <v>0</v>
      </c>
      <c r="K1827" s="24">
        <f ca="1">IF(OR(E1827="",E1827="!!!",F1827="NEW"),"",INDEX(J$1:J1826,SUMPRODUCT(MAX(ROW(E$1:E1826)*(E1827=E$1:E1826)))))</f>
        <v>0</v>
      </c>
      <c r="L1827" s="25"/>
    </row>
    <row r="1828" spans="1:12" x14ac:dyDescent="0.3">
      <c r="A1828" t="s">
        <v>320</v>
      </c>
      <c r="B1828" s="26" t="s">
        <v>91</v>
      </c>
      <c r="C1828" s="26" t="s">
        <v>88</v>
      </c>
      <c r="D1828" s="26" t="s">
        <v>75</v>
      </c>
      <c r="E1828" s="20" t="s">
        <v>97</v>
      </c>
      <c r="F1828" s="21" t="str">
        <f>IF(OR(E1828="",E1828="!!!"),"",IF(NOT(ISNA(VLOOKUP(E1828,E$1:E1827,1,FALSE()))),"OLD",IF(AND(E1828&lt;&gt;"",E1828&lt;&gt;"!!!"),"NEW","")))</f>
        <v>OLD</v>
      </c>
      <c r="G1828" s="22" t="str">
        <f ca="1"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?IN_FOCUS</v>
      </c>
      <c r="H1828" s="23" t="str">
        <f t="shared" ca="1" si="118"/>
        <v/>
      </c>
      <c r="I1828" s="24" t="str">
        <f>IF(OR(E1828="",E1828="!!!",F1828="NEW"),"",INDEX(B$2:B1827,-1+SUMPRODUCT(MAX(ROW(E$2:E1827)*(E1828=E$2:E1827)))))</f>
        <v>SBJ_7</v>
      </c>
      <c r="J1828" s="24">
        <f ca="1">IF(OR(E1828="",E1828="!!!",F1828="NEW"),"",COUNTBLANK(OFFSET(A$1,,,SUMPRODUCT(MAX(ROW(E$2:E1828)*(E1828=E$2:E1828)))))-COUNTBLANK(OFFSET(A$1,,,SUMPRODUCT(MAX(ROW(E$1:E1827)*(E2=E$1:E1827))))))</f>
        <v>0</v>
      </c>
      <c r="K1828" s="24">
        <f ca="1">IF(OR(E1828="",E1828="!!!",F1828="NEW"),"",INDEX(J$1:J1827,SUMPRODUCT(MAX(ROW(E$1:E1827)*(E1828=E$1:E1827)))))</f>
        <v>0</v>
      </c>
      <c r="L1828" s="25"/>
    </row>
    <row r="1829" spans="1:12" x14ac:dyDescent="0.3">
      <c r="A1829" t="s">
        <v>236</v>
      </c>
      <c r="E1829" s="20" t="str">
        <f>IF(D1829="?OLD","!!!","")</f>
        <v/>
      </c>
      <c r="F1829" s="21" t="str">
        <f>IF(OR(E1829="",E1829="!!!"),"",IF(NOT(ISNA(VLOOKUP(E1829,E$1:E1828,1,FALSE()))),"OLD",IF(AND(E1829&lt;&gt;"",E1829&lt;&gt;"!!!"),"NEW","")))</f>
        <v/>
      </c>
      <c r="G1829" s="22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3" t="str">
        <f t="shared" ca="1" si="118"/>
        <v/>
      </c>
      <c r="I1829" s="24" t="str">
        <f>IF(OR(E1829="",E1829="!!!",F1829="NEW"),"",INDEX(B$2:B1828,-1+SUMPRODUCT(MAX(ROW(E$2:E1828)*(E1829=E$2:E1828)))))</f>
        <v/>
      </c>
      <c r="J1829" s="24" t="str">
        <f ca="1">IF(OR(E1829="",E1829="!!!",F1829="NEW"),"",COUNTBLANK(OFFSET(A$1,,,SUMPRODUCT(MAX(ROW(E$2:E1829)*(E1829=E$2:E1829)))))-COUNTBLANK(OFFSET(A$1,,,SUMPRODUCT(MAX(ROW(E$1:E1828)*(E2=E$1:E1828))))))</f>
        <v/>
      </c>
      <c r="K1829" s="24" t="str">
        <f>IF(OR(E1829="",E1829="!!!",F1829="NEW"),"",INDEX(J$1:J1828,SUMPRODUCT(MAX(ROW(E$1:E1828)*(E1829=E$1:E1828)))))</f>
        <v/>
      </c>
      <c r="L1829" s="25"/>
    </row>
    <row r="1830" spans="1:12" x14ac:dyDescent="0.3">
      <c r="A1830" t="s">
        <v>1035</v>
      </c>
      <c r="B1830" s="26" t="s">
        <v>131</v>
      </c>
      <c r="C1830" s="26" t="s">
        <v>280</v>
      </c>
      <c r="D1830" s="26" t="s">
        <v>75</v>
      </c>
      <c r="E1830" s="20" t="s">
        <v>1036</v>
      </c>
      <c r="F1830" s="21" t="str">
        <f>IF(OR(E1830="",E1830="!!!"),"",IF(NOT(ISNA(VLOOKUP(E1830,E$1:E1829,1,FALSE()))),"OLD",IF(AND(E1830&lt;&gt;"",E1830&lt;&gt;"!!!"),"NEW","")))</f>
        <v>NEW</v>
      </c>
      <c r="G1830" s="22" t="str">
        <f ca="1"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?REFERENTIAL</v>
      </c>
      <c r="H1830" s="23" t="str">
        <f t="shared" ca="1" si="118"/>
        <v/>
      </c>
      <c r="I1830" s="24" t="str">
        <f>IF(OR(E1830="",E1830="!!!",F1830="NEW"),"",INDEX(B$2:B1829,-1+SUMPRODUCT(MAX(ROW(E$2:E1829)*(E1830=E$2:E1829)))))</f>
        <v/>
      </c>
      <c r="J1830" s="24" t="str">
        <f ca="1">IF(OR(E1830="",E1830="!!!",F1830="NEW"),"",COUNTBLANK(OFFSET(A$1,,,SUMPRODUCT(MAX(ROW(E$2:E1830)*(E1830=E$2:E1830)))))-COUNTBLANK(OFFSET(A$1,,,SUMPRODUCT(MAX(ROW(E$1:E1829)*(E2=E$1:E1829))))))</f>
        <v/>
      </c>
      <c r="K1830" s="24" t="str">
        <f>IF(OR(E1830="",E1830="!!!",F1830="NEW"),"",INDEX(J$1:J1829,SUMPRODUCT(MAX(ROW(E$1:E1829)*(E1830=E$1:E1829)))))</f>
        <v/>
      </c>
      <c r="L1830" s="25"/>
    </row>
    <row r="1831" spans="1:12" x14ac:dyDescent="0.3">
      <c r="A1831" t="s">
        <v>1037</v>
      </c>
      <c r="E1831" s="20" t="str">
        <f>IF(D1831="?OLD","!!!","")</f>
        <v/>
      </c>
      <c r="F1831" s="21" t="str">
        <f>IF(OR(E1831="",E1831="!!!"),"",IF(NOT(ISNA(VLOOKUP(E1831,E$1:E1830,1,FALSE()))),"OLD",IF(AND(E1831&lt;&gt;"",E1831&lt;&gt;"!!!"),"NEW","")))</f>
        <v/>
      </c>
      <c r="G1831" s="22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3" t="str">
        <f t="shared" ca="1" si="118"/>
        <v/>
      </c>
      <c r="I1831" s="24" t="str">
        <f>IF(OR(E1831="",E1831="!!!",F1831="NEW"),"",INDEX(B$2:B1830,-1+SUMPRODUCT(MAX(ROW(E$2:E1830)*(E1831=E$2:E1830)))))</f>
        <v/>
      </c>
      <c r="J1831" s="24" t="str">
        <f ca="1">IF(OR(E1831="",E1831="!!!",F1831="NEW"),"",COUNTBLANK(OFFSET(A$1,,,SUMPRODUCT(MAX(ROW(E$2:E1831)*(E1831=E$2:E1831)))))-COUNTBLANK(OFFSET(A$1,,,SUMPRODUCT(MAX(ROW(E$1:E1830)*(E2=E$1:E1830))))))</f>
        <v/>
      </c>
      <c r="K1831" s="24" t="str">
        <f>IF(OR(E1831="",E1831="!!!",F1831="NEW"),"",INDEX(J$1:J1830,SUMPRODUCT(MAX(ROW(E$1:E1830)*(E1831=E$1:E1830)))))</f>
        <v/>
      </c>
      <c r="L1831" s="25"/>
    </row>
    <row r="1832" spans="1:12" x14ac:dyDescent="0.3">
      <c r="A1832" t="s">
        <v>1038</v>
      </c>
      <c r="E1832" s="20" t="str">
        <f>IF(D1832="?OLD","!!!","")</f>
        <v/>
      </c>
      <c r="F1832" s="21" t="str">
        <f>IF(OR(E1832="",E1832="!!!"),"",IF(NOT(ISNA(VLOOKUP(E1832,E$1:E1831,1,FALSE()))),"OLD",IF(AND(E1832&lt;&gt;"",E1832&lt;&gt;"!!!"),"NEW","")))</f>
        <v/>
      </c>
      <c r="G1832" s="22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3" t="str">
        <f t="shared" ca="1" si="118"/>
        <v/>
      </c>
      <c r="I1832" s="24" t="str">
        <f>IF(OR(E1832="",E1832="!!!",F1832="NEW"),"",INDEX(B$2:B1831,-1+SUMPRODUCT(MAX(ROW(E$2:E1831)*(E1832=E$2:E1831)))))</f>
        <v/>
      </c>
      <c r="J1832" s="24" t="str">
        <f ca="1">IF(OR(E1832="",E1832="!!!",F1832="NEW"),"",COUNTBLANK(OFFSET(A$1,,,SUMPRODUCT(MAX(ROW(E$2:E1832)*(E1832=E$2:E1832)))))-COUNTBLANK(OFFSET(A$1,,,SUMPRODUCT(MAX(ROW(E$1:E1831)*(E2=E$1:E1831))))))</f>
        <v/>
      </c>
      <c r="K1832" s="24" t="str">
        <f>IF(OR(E1832="",E1832="!!!",F1832="NEW"),"",INDEX(J$1:J1831,SUMPRODUCT(MAX(ROW(E$1:E1831)*(E1832=E$1:E1831)))))</f>
        <v/>
      </c>
      <c r="L1832" s="25"/>
    </row>
    <row r="1833" spans="1:12" x14ac:dyDescent="0.3">
      <c r="A1833" t="s">
        <v>101</v>
      </c>
      <c r="E1833" s="20" t="str">
        <f>IF(D1833="?OLD","!!!","")</f>
        <v/>
      </c>
      <c r="F1833" s="21" t="str">
        <f>IF(OR(E1833="",E1833="!!!"),"",IF(NOT(ISNA(VLOOKUP(E1833,E$1:E1832,1,FALSE()))),"OLD",IF(AND(E1833&lt;&gt;"",E1833&lt;&gt;"!!!"),"NEW","")))</f>
        <v/>
      </c>
      <c r="G1833" s="22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3" t="str">
        <f t="shared" ca="1" si="118"/>
        <v/>
      </c>
      <c r="I1833" s="24" t="str">
        <f>IF(OR(E1833="",E1833="!!!",F1833="NEW"),"",INDEX(B$2:B1832,-1+SUMPRODUCT(MAX(ROW(E$2:E1832)*(E1833=E$2:E1832)))))</f>
        <v/>
      </c>
      <c r="J1833" s="24" t="str">
        <f ca="1">IF(OR(E1833="",E1833="!!!",F1833="NEW"),"",COUNTBLANK(OFFSET(A$1,,,SUMPRODUCT(MAX(ROW(E$2:E1833)*(E1833=E$2:E1833)))))-COUNTBLANK(OFFSET(A$1,,,SUMPRODUCT(MAX(ROW(E$1:E1832)*(E2=E$1:E1832))))))</f>
        <v/>
      </c>
      <c r="K1833" s="24" t="str">
        <f>IF(OR(E1833="",E1833="!!!",F1833="NEW"),"",INDEX(J$1:J1832,SUMPRODUCT(MAX(ROW(E$1:E1832)*(E1833=E$1:E1832)))))</f>
        <v/>
      </c>
      <c r="L1833" s="25"/>
    </row>
    <row r="1834" spans="1:12" x14ac:dyDescent="0.3">
      <c r="A1834" t="s">
        <v>112</v>
      </c>
      <c r="B1834" s="26" t="s">
        <v>96</v>
      </c>
      <c r="E1834" s="20"/>
      <c r="F1834" s="21" t="str">
        <f>IF(OR(E1834="",E1834="!!!"),"",IF(NOT(ISNA(VLOOKUP(E1834,E$1:E1833,1,FALSE()))),"OLD",IF(AND(E1834&lt;&gt;"",E1834&lt;&gt;"!!!"),"NEW","")))</f>
        <v/>
      </c>
      <c r="G1834" s="22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3" t="str">
        <f t="shared" ca="1" si="118"/>
        <v/>
      </c>
      <c r="I1834" s="24" t="str">
        <f>IF(OR(E1834="",E1834="!!!",F1834="NEW"),"",INDEX(B$2:B1833,-1+SUMPRODUCT(MAX(ROW(E$2:E1833)*(E1834=E$2:E1833)))))</f>
        <v/>
      </c>
      <c r="J1834" s="24" t="str">
        <f ca="1">IF(OR(E1834="",E1834="!!!",F1834="NEW"),"",COUNTBLANK(OFFSET(A$1,,,SUMPRODUCT(MAX(ROW(E$2:E1834)*(E1834=E$2:E1834)))))-COUNTBLANK(OFFSET(A$1,,,SUMPRODUCT(MAX(ROW(E$1:E1833)*(E2=E$1:E1833))))))</f>
        <v/>
      </c>
      <c r="K1834" s="24" t="str">
        <f>IF(OR(E1834="",E1834="!!!",F1834="NEW"),"",INDEX(J$1:J1833,SUMPRODUCT(MAX(ROW(E$1:E1833)*(E1834=E$1:E1833)))))</f>
        <v/>
      </c>
      <c r="L1834" s="25"/>
    </row>
    <row r="1835" spans="1:12" x14ac:dyDescent="0.3">
      <c r="A1835" t="s">
        <v>938</v>
      </c>
      <c r="E1835" s="20" t="str">
        <f t="shared" ref="E1835:E1840" si="119">IF(D1835="?OLD","!!!","")</f>
        <v/>
      </c>
      <c r="F1835" s="21" t="str">
        <f>IF(OR(E1835="",E1835="!!!"),"",IF(NOT(ISNA(VLOOKUP(E1835,E$1:E1834,1,FALSE()))),"OLD",IF(AND(E1835&lt;&gt;"",E1835&lt;&gt;"!!!"),"NEW","")))</f>
        <v/>
      </c>
      <c r="G1835" s="22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3" t="str">
        <f t="shared" ca="1" si="118"/>
        <v/>
      </c>
      <c r="I1835" s="24" t="str">
        <f>IF(OR(E1835="",E1835="!!!",F1835="NEW"),"",INDEX(B$2:B1834,-1+SUMPRODUCT(MAX(ROW(E$2:E1834)*(E1835=E$2:E1834)))))</f>
        <v/>
      </c>
      <c r="J1835" s="24" t="str">
        <f ca="1">IF(OR(E1835="",E1835="!!!",F1835="NEW"),"",COUNTBLANK(OFFSET(A$1,,,SUMPRODUCT(MAX(ROW(E$2:E1835)*(E1835=E$2:E1835)))))-COUNTBLANK(OFFSET(A$1,,,SUMPRODUCT(MAX(ROW(E$1:E1834)*(E2=E$1:E1834))))))</f>
        <v/>
      </c>
      <c r="K1835" s="24" t="str">
        <f>IF(OR(E1835="",E1835="!!!",F1835="NEW"),"",INDEX(J$1:J1834,SUMPRODUCT(MAX(ROW(E$1:E1834)*(E1835=E$1:E1834)))))</f>
        <v/>
      </c>
      <c r="L1835" s="25"/>
    </row>
    <row r="1836" spans="1:12" x14ac:dyDescent="0.3">
      <c r="A1836" t="s">
        <v>172</v>
      </c>
      <c r="E1836" s="20" t="str">
        <f t="shared" si="119"/>
        <v/>
      </c>
      <c r="F1836" s="21" t="str">
        <f>IF(OR(E1836="",E1836="!!!"),"",IF(NOT(ISNA(VLOOKUP(E1836,E$1:E1835,1,FALSE()))),"OLD",IF(AND(E1836&lt;&gt;"",E1836&lt;&gt;"!!!"),"NEW","")))</f>
        <v/>
      </c>
      <c r="G1836" s="22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3" t="str">
        <f t="shared" ca="1" si="118"/>
        <v/>
      </c>
      <c r="I1836" s="24" t="str">
        <f>IF(OR(E1836="",E1836="!!!",F1836="NEW"),"",INDEX(B$2:B1835,-1+SUMPRODUCT(MAX(ROW(E$2:E1835)*(E1836=E$2:E1835)))))</f>
        <v/>
      </c>
      <c r="J1836" s="24" t="str">
        <f ca="1">IF(OR(E1836="",E1836="!!!",F1836="NEW"),"",COUNTBLANK(OFFSET(A$1,,,SUMPRODUCT(MAX(ROW(E$2:E1836)*(E1836=E$2:E1836)))))-COUNTBLANK(OFFSET(A$1,,,SUMPRODUCT(MAX(ROW(E$1:E1835)*(E2=E$1:E1835))))))</f>
        <v/>
      </c>
      <c r="K1836" s="24" t="str">
        <f>IF(OR(E1836="",E1836="!!!",F1836="NEW"),"",INDEX(J$1:J1835,SUMPRODUCT(MAX(ROW(E$1:E1835)*(E1836=E$1:E1835)))))</f>
        <v/>
      </c>
      <c r="L1836" s="25"/>
    </row>
    <row r="1837" spans="1:12" x14ac:dyDescent="0.3">
      <c r="A1837" t="s">
        <v>370</v>
      </c>
      <c r="E1837" s="20" t="str">
        <f t="shared" si="119"/>
        <v/>
      </c>
      <c r="F1837" s="21" t="str">
        <f>IF(OR(E1837="",E1837="!!!"),"",IF(NOT(ISNA(VLOOKUP(E1837,E$1:E1836,1,FALSE()))),"OLD",IF(AND(E1837&lt;&gt;"",E1837&lt;&gt;"!!!"),"NEW","")))</f>
        <v/>
      </c>
      <c r="G1837" s="22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3" t="str">
        <f t="shared" ca="1" si="118"/>
        <v/>
      </c>
      <c r="I1837" s="24" t="str">
        <f>IF(OR(E1837="",E1837="!!!",F1837="NEW"),"",INDEX(B$2:B1836,-1+SUMPRODUCT(MAX(ROW(E$2:E1836)*(E1837=E$2:E1836)))))</f>
        <v/>
      </c>
      <c r="J1837" s="24" t="str">
        <f ca="1">IF(OR(E1837="",E1837="!!!",F1837="NEW"),"",COUNTBLANK(OFFSET(A$1,,,SUMPRODUCT(MAX(ROW(E$2:E1837)*(E1837=E$2:E1837)))))-COUNTBLANK(OFFSET(A$1,,,SUMPRODUCT(MAX(ROW(E$1:E1836)*(E2=E$1:E1836))))))</f>
        <v/>
      </c>
      <c r="K1837" s="24" t="str">
        <f>IF(OR(E1837="",E1837="!!!",F1837="NEW"),"",INDEX(J$1:J1836,SUMPRODUCT(MAX(ROW(E$1:E1836)*(E1837=E$1:E1836)))))</f>
        <v/>
      </c>
      <c r="L1837" s="25"/>
    </row>
    <row r="1838" spans="1:12" x14ac:dyDescent="0.3">
      <c r="A1838" t="s">
        <v>1039</v>
      </c>
      <c r="B1838" s="26" t="s">
        <v>104</v>
      </c>
      <c r="C1838" s="26" t="s">
        <v>105</v>
      </c>
      <c r="E1838" s="20" t="str">
        <f t="shared" si="119"/>
        <v/>
      </c>
      <c r="F1838" s="21" t="str">
        <f>IF(OR(E1838="",E1838="!!!"),"",IF(NOT(ISNA(VLOOKUP(E1838,E$1:E1837,1,FALSE()))),"OLD",IF(AND(E1838&lt;&gt;"",E1838&lt;&gt;"!!!"),"NEW","")))</f>
        <v/>
      </c>
      <c r="G1838" s="22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3" t="str">
        <f t="shared" ca="1" si="118"/>
        <v/>
      </c>
      <c r="I1838" s="24" t="str">
        <f>IF(OR(E1838="",E1838="!!!",F1838="NEW"),"",INDEX(B$2:B1837,-1+SUMPRODUCT(MAX(ROW(E$2:E1837)*(E1838=E$2:E1837)))))</f>
        <v/>
      </c>
      <c r="J1838" s="24" t="str">
        <f ca="1">IF(OR(E1838="",E1838="!!!",F1838="NEW"),"",COUNTBLANK(OFFSET(A$1,,,SUMPRODUCT(MAX(ROW(E$2:E1838)*(E1838=E$2:E1838)))))-COUNTBLANK(OFFSET(A$1,,,SUMPRODUCT(MAX(ROW(E$1:E1837)*(E2=E$1:E1837))))))</f>
        <v/>
      </c>
      <c r="K1838" s="24" t="str">
        <f>IF(OR(E1838="",E1838="!!!",F1838="NEW"),"",INDEX(J$1:J1837,SUMPRODUCT(MAX(ROW(E$1:E1837)*(E1838=E$1:E1837)))))</f>
        <v/>
      </c>
      <c r="L1838" s="25"/>
    </row>
    <row r="1839" spans="1:12" x14ac:dyDescent="0.3">
      <c r="A1839" t="s">
        <v>258</v>
      </c>
      <c r="E1839" s="20" t="str">
        <f t="shared" si="119"/>
        <v/>
      </c>
      <c r="F1839" s="21" t="str">
        <f>IF(OR(E1839="",E1839="!!!"),"",IF(NOT(ISNA(VLOOKUP(E1839,E$1:E1838,1,FALSE()))),"OLD",IF(AND(E1839&lt;&gt;"",E1839&lt;&gt;"!!!"),"NEW","")))</f>
        <v/>
      </c>
      <c r="G1839" s="22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3" t="str">
        <f t="shared" ca="1" si="118"/>
        <v/>
      </c>
      <c r="I1839" s="24" t="str">
        <f>IF(OR(E1839="",E1839="!!!",F1839="NEW"),"",INDEX(B$2:B1838,-1+SUMPRODUCT(MAX(ROW(E$2:E1838)*(E1839=E$2:E1838)))))</f>
        <v/>
      </c>
      <c r="J1839" s="24" t="str">
        <f ca="1">IF(OR(E1839="",E1839="!!!",F1839="NEW"),"",COUNTBLANK(OFFSET(A$1,,,SUMPRODUCT(MAX(ROW(E$2:E1839)*(E1839=E$2:E1839)))))-COUNTBLANK(OFFSET(A$1,,,SUMPRODUCT(MAX(ROW(E$1:E1838)*(E2=E$1:E1838))))))</f>
        <v/>
      </c>
      <c r="K1839" s="24" t="str">
        <f>IF(OR(E1839="",E1839="!!!",F1839="NEW"),"",INDEX(J$1:J1838,SUMPRODUCT(MAX(ROW(E$1:E1838)*(E1839=E$1:E1838)))))</f>
        <v/>
      </c>
      <c r="L1839" s="25"/>
    </row>
    <row r="1840" spans="1:12" x14ac:dyDescent="0.3">
      <c r="A1840" t="s">
        <v>136</v>
      </c>
      <c r="E1840" s="20" t="str">
        <f t="shared" si="119"/>
        <v/>
      </c>
      <c r="F1840" s="21" t="str">
        <f>IF(OR(E1840="",E1840="!!!"),"",IF(NOT(ISNA(VLOOKUP(E1840,E$1:E1839,1,FALSE()))),"OLD",IF(AND(E1840&lt;&gt;"",E1840&lt;&gt;"!!!"),"NEW","")))</f>
        <v/>
      </c>
      <c r="G1840" s="22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3" t="str">
        <f t="shared" ca="1" si="118"/>
        <v/>
      </c>
      <c r="I1840" s="24" t="str">
        <f>IF(OR(E1840="",E1840="!!!",F1840="NEW"),"",INDEX(B$2:B1839,-1+SUMPRODUCT(MAX(ROW(E$2:E1839)*(E1840=E$2:E1839)))))</f>
        <v/>
      </c>
      <c r="J1840" s="24" t="str">
        <f ca="1">IF(OR(E1840="",E1840="!!!",F1840="NEW"),"",COUNTBLANK(OFFSET(A$1,,,SUMPRODUCT(MAX(ROW(E$2:E1840)*(E1840=E$2:E1840)))))-COUNTBLANK(OFFSET(A$1,,,SUMPRODUCT(MAX(ROW(E$1:E1839)*(E2=E$1:E1839))))))</f>
        <v/>
      </c>
      <c r="K1840" s="24" t="str">
        <f>IF(OR(E1840="",E1840="!!!",F1840="NEW"),"",INDEX(J$1:J1839,SUMPRODUCT(MAX(ROW(E$1:E1839)*(E1840=E$1:E1839)))))</f>
        <v/>
      </c>
      <c r="L1840" s="25"/>
    </row>
    <row r="1841" spans="1:12" x14ac:dyDescent="0.3">
      <c r="A1841" t="s">
        <v>480</v>
      </c>
      <c r="B1841" s="26" t="s">
        <v>115</v>
      </c>
      <c r="C1841" s="26" t="s">
        <v>74</v>
      </c>
      <c r="D1841" s="26" t="s">
        <v>75</v>
      </c>
      <c r="E1841" s="20" t="s">
        <v>481</v>
      </c>
      <c r="F1841" s="21" t="str">
        <f>IF(OR(E1841="",E1841="!!!"),"",IF(NOT(ISNA(VLOOKUP(E1841,E$1:E1840,1,FALSE()))),"OLD",IF(AND(E1841&lt;&gt;"",E1841&lt;&gt;"!!!"),"NEW","")))</f>
        <v>OLD</v>
      </c>
      <c r="G1841" s="22" t="str">
        <f ca="1"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?IN_FOCUS</v>
      </c>
      <c r="H1841" s="23" t="str">
        <f t="shared" ca="1" si="118"/>
        <v/>
      </c>
      <c r="I1841" s="24" t="str">
        <f>IF(OR(E1841="",E1841="!!!",F1841="NEW"),"",INDEX(B$2:B1840,-1+SUMPRODUCT(MAX(ROW(E$2:E1840)*(E1841=E$2:E1840)))))</f>
        <v>other_4</v>
      </c>
      <c r="J1841" s="24">
        <f ca="1">IF(OR(E1841="",E1841="!!!",F1841="NEW"),"",COUNTBLANK(OFFSET(A$1,,,SUMPRODUCT(MAX(ROW(E$2:E1841)*(E1841=E$2:E1841)))))-COUNTBLANK(OFFSET(A$1,,,SUMPRODUCT(MAX(ROW(E$1:E1840)*(E2=E$1:E1840))))))</f>
        <v>0</v>
      </c>
      <c r="K1841" s="24">
        <f ca="1">IF(OR(E1841="",E1841="!!!",F1841="NEW"),"",INDEX(J$1:J1840,SUMPRODUCT(MAX(ROW(E$1:E1840)*(E1841=E$1:E1840)))))</f>
        <v>0</v>
      </c>
      <c r="L1841" s="25"/>
    </row>
    <row r="1842" spans="1:12" x14ac:dyDescent="0.3">
      <c r="A1842" t="s">
        <v>101</v>
      </c>
      <c r="E1842" s="20" t="str">
        <f>IF(D1842="?OLD","!!!","")</f>
        <v/>
      </c>
      <c r="F1842" s="21" t="str">
        <f>IF(OR(E1842="",E1842="!!!"),"",IF(NOT(ISNA(VLOOKUP(E1842,E$1:E1841,1,FALSE()))),"OLD",IF(AND(E1842&lt;&gt;"",E1842&lt;&gt;"!!!"),"NEW","")))</f>
        <v/>
      </c>
      <c r="G1842" s="22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3" t="str">
        <f t="shared" ca="1" si="118"/>
        <v/>
      </c>
      <c r="I1842" s="24" t="str">
        <f>IF(OR(E1842="",E1842="!!!",F1842="NEW"),"",INDEX(B$2:B1841,-1+SUMPRODUCT(MAX(ROW(E$2:E1841)*(E1842=E$2:E1841)))))</f>
        <v/>
      </c>
      <c r="J1842" s="24" t="str">
        <f ca="1">IF(OR(E1842="",E1842="!!!",F1842="NEW"),"",COUNTBLANK(OFFSET(A$1,,,SUMPRODUCT(MAX(ROW(E$2:E1842)*(E1842=E$2:E1842)))))-COUNTBLANK(OFFSET(A$1,,,SUMPRODUCT(MAX(ROW(E$1:E1841)*(E2=E$1:E1841))))))</f>
        <v/>
      </c>
      <c r="K1842" s="24" t="str">
        <f>IF(OR(E1842="",E1842="!!!",F1842="NEW"),"",INDEX(J$1:J1841,SUMPRODUCT(MAX(ROW(E$1:E1841)*(E1842=E$1:E1841)))))</f>
        <v/>
      </c>
      <c r="L1842" s="25"/>
    </row>
    <row r="1843" spans="1:12" x14ac:dyDescent="0.3">
      <c r="A1843" t="s">
        <v>159</v>
      </c>
      <c r="E1843" s="20" t="str">
        <f>IF(D1843="?OLD","!!!","")</f>
        <v/>
      </c>
      <c r="F1843" s="21" t="str">
        <f>IF(OR(E1843="",E1843="!!!"),"",IF(NOT(ISNA(VLOOKUP(E1843,E$1:E1842,1,FALSE()))),"OLD",IF(AND(E1843&lt;&gt;"",E1843&lt;&gt;"!!!"),"NEW","")))</f>
        <v/>
      </c>
      <c r="G1843" s="22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3" t="str">
        <f t="shared" ca="1" si="118"/>
        <v/>
      </c>
      <c r="I1843" s="24" t="str">
        <f>IF(OR(E1843="",E1843="!!!",F1843="NEW"),"",INDEX(B$2:B1842,-1+SUMPRODUCT(MAX(ROW(E$2:E1842)*(E1843=E$2:E1842)))))</f>
        <v/>
      </c>
      <c r="J1843" s="24" t="str">
        <f ca="1">IF(OR(E1843="",E1843="!!!",F1843="NEW"),"",COUNTBLANK(OFFSET(A$1,,,SUMPRODUCT(MAX(ROW(E$2:E1843)*(E1843=E$2:E1843)))))-COUNTBLANK(OFFSET(A$1,,,SUMPRODUCT(MAX(ROW(E$1:E1842)*(E2=E$1:E1842))))))</f>
        <v/>
      </c>
      <c r="K1843" s="24" t="str">
        <f>IF(OR(E1843="",E1843="!!!",F1843="NEW"),"",INDEX(J$1:J1842,SUMPRODUCT(MAX(ROW(E$1:E1842)*(E1843=E$1:E1842)))))</f>
        <v/>
      </c>
      <c r="L1843" s="25"/>
    </row>
    <row r="1844" spans="1:12" x14ac:dyDescent="0.3">
      <c r="A1844" t="s">
        <v>1040</v>
      </c>
      <c r="E1844" s="20" t="s">
        <v>481</v>
      </c>
      <c r="F1844" s="21" t="str">
        <f>IF(OR(E1844="",E1844="!!!"),"",IF(NOT(ISNA(VLOOKUP(E1844,E$1:E1843,1,FALSE()))),"OLD",IF(AND(E1844&lt;&gt;"",E1844&lt;&gt;"!!!"),"NEW","")))</f>
        <v>OLD</v>
      </c>
      <c r="G1844" s="22" t="str">
        <f ca="1"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?IN_FOCUS</v>
      </c>
      <c r="H1844" s="23" t="str">
        <f t="shared" ca="1" si="118"/>
        <v/>
      </c>
      <c r="I1844" s="24" t="str">
        <f>IF(OR(E1844="",E1844="!!!",F1844="NEW"),"",INDEX(B$2:B1843,-1+SUMPRODUCT(MAX(ROW(E$2:E1843)*(E1844=E$2:E1843)))))</f>
        <v>other_4</v>
      </c>
      <c r="J1844" s="24">
        <f ca="1">IF(OR(E1844="",E1844="!!!",F1844="NEW"),"",COUNTBLANK(OFFSET(A$1,,,SUMPRODUCT(MAX(ROW(E$2:E1844)*(E1844=E$2:E1844)))))-COUNTBLANK(OFFSET(A$1,,,SUMPRODUCT(MAX(ROW(E$1:E1843)*(E2=E$1:E1843))))))</f>
        <v>0</v>
      </c>
      <c r="K1844" s="24">
        <f ca="1">IF(OR(E1844="",E1844="!!!",F1844="NEW"),"",INDEX(J$1:J1843,SUMPRODUCT(MAX(ROW(E$1:E1843)*(E1844=E$1:E1843)))))</f>
        <v>0</v>
      </c>
      <c r="L1844" s="25"/>
    </row>
    <row r="1845" spans="1:12" x14ac:dyDescent="0.3">
      <c r="A1845" t="s">
        <v>1041</v>
      </c>
      <c r="E1845" s="20" t="str">
        <f>IF(D1845="?OLD","!!!","")</f>
        <v/>
      </c>
      <c r="F1845" s="21" t="str">
        <f>IF(OR(E1845="",E1845="!!!"),"",IF(NOT(ISNA(VLOOKUP(E1845,E$1:E1844,1,FALSE()))),"OLD",IF(AND(E1845&lt;&gt;"",E1845&lt;&gt;"!!!"),"NEW","")))</f>
        <v/>
      </c>
      <c r="G1845" s="22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3" t="str">
        <f t="shared" ca="1" si="118"/>
        <v/>
      </c>
      <c r="I1845" s="24" t="str">
        <f>IF(OR(E1845="",E1845="!!!",F1845="NEW"),"",INDEX(B$2:B1844,-1+SUMPRODUCT(MAX(ROW(E$2:E1844)*(E1845=E$2:E1844)))))</f>
        <v/>
      </c>
      <c r="J1845" s="24" t="str">
        <f ca="1">IF(OR(E1845="",E1845="!!!",F1845="NEW"),"",COUNTBLANK(OFFSET(A$1,,,SUMPRODUCT(MAX(ROW(E$2:E1845)*(E1845=E$2:E1845)))))-COUNTBLANK(OFFSET(A$1,,,SUMPRODUCT(MAX(ROW(E$1:E1844)*(E2=E$1:E1844))))))</f>
        <v/>
      </c>
      <c r="K1845" s="24" t="str">
        <f>IF(OR(E1845="",E1845="!!!",F1845="NEW"),"",INDEX(J$1:J1844,SUMPRODUCT(MAX(ROW(E$1:E1844)*(E1845=E$1:E1844)))))</f>
        <v/>
      </c>
      <c r="L1845" s="25"/>
    </row>
    <row r="1846" spans="1:12" x14ac:dyDescent="0.3">
      <c r="A1846" t="s">
        <v>1042</v>
      </c>
      <c r="B1846" s="26" t="s">
        <v>203</v>
      </c>
      <c r="C1846" s="26" t="s">
        <v>88</v>
      </c>
      <c r="D1846" s="26" t="s">
        <v>75</v>
      </c>
      <c r="E1846" s="20"/>
      <c r="F1846" s="21" t="s">
        <v>107</v>
      </c>
      <c r="G1846" s="22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3" t="str">
        <f t="shared" ca="1" si="118"/>
        <v/>
      </c>
      <c r="I1846" s="24" t="str">
        <f>IF(OR(E1846="",E1846="!!!",F1846="NEW"),"",INDEX(B$2:B1845,-1+SUMPRODUCT(MAX(ROW(E$2:E1845)*(E1846=E$2:E1845)))))</f>
        <v/>
      </c>
      <c r="J1846" s="24" t="str">
        <f ca="1">IF(OR(E1846="",E1846="!!!",F1846="NEW"),"",COUNTBLANK(OFFSET(A$1,,,SUMPRODUCT(MAX(ROW(E$2:E1846)*(E1846=E$2:E1846)))))-COUNTBLANK(OFFSET(A$1,,,SUMPRODUCT(MAX(ROW(E$1:E1845)*(E2=E$1:E1845))))))</f>
        <v/>
      </c>
      <c r="K1846" s="24" t="str">
        <f>IF(OR(E1846="",E1846="!!!",F1846="NEW"),"",INDEX(J$1:J1845,SUMPRODUCT(MAX(ROW(E$1:E1845)*(E1846=E$1:E1845)))))</f>
        <v/>
      </c>
      <c r="L1846" s="25"/>
    </row>
    <row r="1847" spans="1:12" x14ac:dyDescent="0.3">
      <c r="A1847" t="s">
        <v>187</v>
      </c>
      <c r="E1847" s="20" t="str">
        <f>IF(D1847="?OLD","!!!","")</f>
        <v/>
      </c>
      <c r="F1847" s="21" t="str">
        <f>IF(OR(E1847="",E1847="!!!"),"",IF(NOT(ISNA(VLOOKUP(E1847,E$1:E1846,1,FALSE()))),"OLD",IF(AND(E1847&lt;&gt;"",E1847&lt;&gt;"!!!"),"NEW","")))</f>
        <v/>
      </c>
      <c r="G1847" s="22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3" t="str">
        <f t="shared" ca="1" si="118"/>
        <v/>
      </c>
      <c r="I1847" s="24" t="str">
        <f>IF(OR(E1847="",E1847="!!!",F1847="NEW"),"",INDEX(B$2:B1846,-1+SUMPRODUCT(MAX(ROW(E$2:E1846)*(E1847=E$2:E1846)))))</f>
        <v/>
      </c>
      <c r="J1847" s="24" t="str">
        <f ca="1">IF(OR(E1847="",E1847="!!!",F1847="NEW"),"",COUNTBLANK(OFFSET(A$1,,,SUMPRODUCT(MAX(ROW(E$2:E1847)*(E1847=E$2:E1847)))))-COUNTBLANK(OFFSET(A$1,,,SUMPRODUCT(MAX(ROW(E$1:E1846)*(E2=E$1:E1846))))))</f>
        <v/>
      </c>
      <c r="K1847" s="24" t="str">
        <f>IF(OR(E1847="",E1847="!!!",F1847="NEW"),"",INDEX(J$1:J1846,SUMPRODUCT(MAX(ROW(E$1:E1846)*(E1847=E$1:E1846)))))</f>
        <v/>
      </c>
      <c r="L1847" s="25"/>
    </row>
    <row r="1848" spans="1:12" x14ac:dyDescent="0.3">
      <c r="A1848" t="s">
        <v>1043</v>
      </c>
      <c r="B1848" s="26" t="s">
        <v>300</v>
      </c>
      <c r="C1848" s="26" t="s">
        <v>74</v>
      </c>
      <c r="D1848" s="26" t="s">
        <v>75</v>
      </c>
      <c r="E1848" s="20" t="s">
        <v>913</v>
      </c>
      <c r="F1848" s="21" t="str">
        <f>IF(OR(E1848="",E1848="!!!"),"",IF(NOT(ISNA(VLOOKUP(E1848,E$1:E1847,1,FALSE()))),"OLD",IF(AND(E1848&lt;&gt;"",E1848&lt;&gt;"!!!"),"NEW","")))</f>
        <v>OLD</v>
      </c>
      <c r="G1848" s="22" t="str">
        <f ca="1"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?IN_FOCUS</v>
      </c>
      <c r="H1848" s="23" t="str">
        <f t="shared" ca="1" si="118"/>
        <v/>
      </c>
      <c r="I1848" s="24" t="str">
        <f>IF(OR(E1848="",E1848="!!!",F1848="NEW"),"",INDEX(B$2:B1847,-1+SUMPRODUCT(MAX(ROW(E$2:E1847)*(E1848=E$2:E1847)))))</f>
        <v>other_5</v>
      </c>
      <c r="J1848" s="24">
        <f ca="1">IF(OR(E1848="",E1848="!!!",F1848="NEW"),"",COUNTBLANK(OFFSET(A$1,,,SUMPRODUCT(MAX(ROW(E$2:E1848)*(E1848=E$2:E1848)))))-COUNTBLANK(OFFSET(A$1,,,SUMPRODUCT(MAX(ROW(E$1:E1847)*(E2=E$1:E1847))))))</f>
        <v>0</v>
      </c>
      <c r="K1848" s="24" t="str">
        <f ca="1">IF(OR(E1848="",E1848="!!!",F1848="NEW"),"",INDEX(J$1:J1847,SUMPRODUCT(MAX(ROW(E$1:E1847)*(E1848=E$1:E1847)))))</f>
        <v/>
      </c>
      <c r="L1848" s="25"/>
    </row>
    <row r="1849" spans="1:12" x14ac:dyDescent="0.3">
      <c r="A1849" t="s">
        <v>1044</v>
      </c>
      <c r="E1849" s="20"/>
      <c r="F1849" s="21" t="s">
        <v>107</v>
      </c>
      <c r="G1849" s="22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3" t="str">
        <f t="shared" ca="1" si="118"/>
        <v/>
      </c>
      <c r="I1849" s="24" t="str">
        <f>IF(OR(E1849="",E1849="!!!",F1849="NEW"),"",INDEX(B$2:B1848,-1+SUMPRODUCT(MAX(ROW(E$2:E1848)*(E1849=E$2:E1848)))))</f>
        <v/>
      </c>
      <c r="J1849" s="24" t="str">
        <f ca="1">IF(OR(E1849="",E1849="!!!",F1849="NEW"),"",COUNTBLANK(OFFSET(A$1,,,SUMPRODUCT(MAX(ROW(E$2:E1849)*(E1849=E$2:E1849)))))-COUNTBLANK(OFFSET(A$1,,,SUMPRODUCT(MAX(ROW(E$1:E1848)*(E2=E$1:E1848))))))</f>
        <v/>
      </c>
      <c r="K1849" s="24" t="str">
        <f>IF(OR(E1849="",E1849="!!!",F1849="NEW"),"",INDEX(J$1:J1848,SUMPRODUCT(MAX(ROW(E$1:E1848)*(E1849=E$1:E1848)))))</f>
        <v/>
      </c>
      <c r="L1849" s="25"/>
    </row>
    <row r="1850" spans="1:12" x14ac:dyDescent="0.3">
      <c r="A1850" t="s">
        <v>1045</v>
      </c>
      <c r="B1850" s="26" t="s">
        <v>402</v>
      </c>
      <c r="C1850" s="26" t="s">
        <v>474</v>
      </c>
      <c r="E1850" s="20" t="s">
        <v>988</v>
      </c>
      <c r="F1850" s="21" t="str">
        <f>IF(OR(E1850="",E1850="!!!"),"",IF(NOT(ISNA(VLOOKUP(E1850,E$1:E1849,1,FALSE()))),"OLD",IF(AND(E1850&lt;&gt;"",E1850&lt;&gt;"!!!"),"NEW","")))</f>
        <v>NEW</v>
      </c>
      <c r="G1850" s="22" t="str">
        <f ca="1"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?REFERENTIAL</v>
      </c>
      <c r="H1850" s="23" t="str">
        <f t="shared" ca="1" si="118"/>
        <v/>
      </c>
      <c r="I1850" s="24" t="str">
        <f>IF(OR(E1850="",E1850="!!!",F1850="NEW"),"",INDEX(B$2:B1849,-1+SUMPRODUCT(MAX(ROW(E$2:E1849)*(E1850=E$2:E1849)))))</f>
        <v/>
      </c>
      <c r="J1850" s="24" t="str">
        <f ca="1">IF(OR(E1850="",E1850="!!!",F1850="NEW"),"",COUNTBLANK(OFFSET(A$1,,,SUMPRODUCT(MAX(ROW(E$2:E1850)*(E1850=E$2:E1850)))))-COUNTBLANK(OFFSET(A$1,,,SUMPRODUCT(MAX(ROW(E$1:E1849)*(E2=E$1:E1849))))))</f>
        <v/>
      </c>
      <c r="K1850" s="24" t="str">
        <f>IF(OR(E1850="",E1850="!!!",F1850="NEW"),"",INDEX(J$1:J1849,SUMPRODUCT(MAX(ROW(E$1:E1849)*(E1850=E$1:E1849)))))</f>
        <v/>
      </c>
      <c r="L1850" s="25"/>
    </row>
    <row r="1851" spans="1:12" x14ac:dyDescent="0.3">
      <c r="A1851" t="s">
        <v>1046</v>
      </c>
      <c r="E1851" s="20" t="str">
        <f t="shared" ref="E1851:E1856" si="120">IF(D1851="?OLD","!!!","")</f>
        <v/>
      </c>
      <c r="F1851" s="21" t="str">
        <f>IF(OR(E1851="",E1851="!!!"),"",IF(NOT(ISNA(VLOOKUP(E1851,E$1:E1850,1,FALSE()))),"OLD",IF(AND(E1851&lt;&gt;"",E1851&lt;&gt;"!!!"),"NEW","")))</f>
        <v/>
      </c>
      <c r="G1851" s="22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3" t="str">
        <f t="shared" ca="1" si="118"/>
        <v/>
      </c>
      <c r="I1851" s="24" t="str">
        <f>IF(OR(E1851="",E1851="!!!",F1851="NEW"),"",INDEX(B$2:B1850,-1+SUMPRODUCT(MAX(ROW(E$2:E1850)*(E1851=E$2:E1850)))))</f>
        <v/>
      </c>
      <c r="J1851" s="24" t="str">
        <f ca="1">IF(OR(E1851="",E1851="!!!",F1851="NEW"),"",COUNTBLANK(OFFSET(A$1,,,SUMPRODUCT(MAX(ROW(E$2:E1851)*(E1851=E$2:E1851)))))-COUNTBLANK(OFFSET(A$1,,,SUMPRODUCT(MAX(ROW(E$1:E1850)*(E2=E$1:E1850))))))</f>
        <v/>
      </c>
      <c r="K1851" s="24" t="str">
        <f>IF(OR(E1851="",E1851="!!!",F1851="NEW"),"",INDEX(J$1:J1850,SUMPRODUCT(MAX(ROW(E$1:E1850)*(E1851=E$1:E1850)))))</f>
        <v/>
      </c>
      <c r="L1851" s="25"/>
    </row>
    <row r="1852" spans="1:12" x14ac:dyDescent="0.3">
      <c r="A1852" t="s">
        <v>86</v>
      </c>
      <c r="E1852" s="20" t="str">
        <f t="shared" si="120"/>
        <v/>
      </c>
      <c r="F1852" s="21" t="str">
        <f>IF(OR(E1852="",E1852="!!!"),"",IF(NOT(ISNA(VLOOKUP(E1852,E$1:E1851,1,FALSE()))),"OLD",IF(AND(E1852&lt;&gt;"",E1852&lt;&gt;"!!!"),"NEW","")))</f>
        <v/>
      </c>
      <c r="G1852" s="22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3" t="str">
        <f t="shared" ca="1" si="118"/>
        <v/>
      </c>
      <c r="I1852" s="24" t="str">
        <f>IF(OR(E1852="",E1852="!!!",F1852="NEW"),"",INDEX(B$2:B1851,-1+SUMPRODUCT(MAX(ROW(E$2:E1851)*(E1852=E$2:E1851)))))</f>
        <v/>
      </c>
      <c r="J1852" s="24" t="str">
        <f ca="1">IF(OR(E1852="",E1852="!!!",F1852="NEW"),"",COUNTBLANK(OFFSET(A$1,,,SUMPRODUCT(MAX(ROW(E$2:E1852)*(E1852=E$2:E1852)))))-COUNTBLANK(OFFSET(A$1,,,SUMPRODUCT(MAX(ROW(E$1:E1851)*(E2=E$1:E1851))))))</f>
        <v/>
      </c>
      <c r="K1852" s="24" t="str">
        <f>IF(OR(E1852="",E1852="!!!",F1852="NEW"),"",INDEX(J$1:J1851,SUMPRODUCT(MAX(ROW(E$1:E1851)*(E1852=E$1:E1851)))))</f>
        <v/>
      </c>
      <c r="L1852" s="25"/>
    </row>
    <row r="1853" spans="1:12" x14ac:dyDescent="0.3">
      <c r="A1853" t="s">
        <v>370</v>
      </c>
      <c r="E1853" s="20" t="str">
        <f t="shared" si="120"/>
        <v/>
      </c>
      <c r="F1853" s="21" t="str">
        <f>IF(OR(E1853="",E1853="!!!"),"",IF(NOT(ISNA(VLOOKUP(E1853,E$1:E1852,1,FALSE()))),"OLD",IF(AND(E1853&lt;&gt;"",E1853&lt;&gt;"!!!"),"NEW","")))</f>
        <v/>
      </c>
      <c r="G1853" s="22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3" t="str">
        <f t="shared" ca="1" si="118"/>
        <v/>
      </c>
      <c r="I1853" s="24" t="str">
        <f>IF(OR(E1853="",E1853="!!!",F1853="NEW"),"",INDEX(B$2:B1852,-1+SUMPRODUCT(MAX(ROW(E$2:E1852)*(E1853=E$2:E1852)))))</f>
        <v/>
      </c>
      <c r="J1853" s="24" t="str">
        <f ca="1">IF(OR(E1853="",E1853="!!!",F1853="NEW"),"",COUNTBLANK(OFFSET(A$1,,,SUMPRODUCT(MAX(ROW(E$2:E1853)*(E1853=E$2:E1853)))))-COUNTBLANK(OFFSET(A$1,,,SUMPRODUCT(MAX(ROW(E$1:E1852)*(E2=E$1:E1852))))))</f>
        <v/>
      </c>
      <c r="K1853" s="24" t="str">
        <f>IF(OR(E1853="",E1853="!!!",F1853="NEW"),"",INDEX(J$1:J1852,SUMPRODUCT(MAX(ROW(E$1:E1852)*(E1853=E$1:E1852)))))</f>
        <v/>
      </c>
      <c r="L1853" s="25"/>
    </row>
    <row r="1854" spans="1:12" x14ac:dyDescent="0.3">
      <c r="A1854" t="s">
        <v>1047</v>
      </c>
      <c r="E1854" s="20" t="str">
        <f t="shared" si="120"/>
        <v/>
      </c>
      <c r="F1854" s="21" t="str">
        <f>IF(OR(E1854="",E1854="!!!"),"",IF(NOT(ISNA(VLOOKUP(E1854,E$1:E1853,1,FALSE()))),"OLD",IF(AND(E1854&lt;&gt;"",E1854&lt;&gt;"!!!"),"NEW","")))</f>
        <v/>
      </c>
      <c r="G1854" s="22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3" t="str">
        <f t="shared" ca="1" si="118"/>
        <v/>
      </c>
      <c r="I1854" s="24" t="str">
        <f>IF(OR(E1854="",E1854="!!!",F1854="NEW"),"",INDEX(B$2:B1853,-1+SUMPRODUCT(MAX(ROW(E$2:E1853)*(E1854=E$2:E1853)))))</f>
        <v/>
      </c>
      <c r="J1854" s="24" t="str">
        <f ca="1">IF(OR(E1854="",E1854="!!!",F1854="NEW"),"",COUNTBLANK(OFFSET(A$1,,,SUMPRODUCT(MAX(ROW(E$2:E1854)*(E1854=E$2:E1854)))))-COUNTBLANK(OFFSET(A$1,,,SUMPRODUCT(MAX(ROW(E$1:E1853)*(E2=E$1:E1853))))))</f>
        <v/>
      </c>
      <c r="K1854" s="24" t="str">
        <f>IF(OR(E1854="",E1854="!!!",F1854="NEW"),"",INDEX(J$1:J1853,SUMPRODUCT(MAX(ROW(E$1:E1853)*(E1854=E$1:E1853)))))</f>
        <v/>
      </c>
      <c r="L1854" s="25"/>
    </row>
    <row r="1855" spans="1:12" x14ac:dyDescent="0.3">
      <c r="A1855" t="s">
        <v>1048</v>
      </c>
      <c r="B1855" s="26" t="s">
        <v>82</v>
      </c>
      <c r="C1855" s="26" t="s">
        <v>119</v>
      </c>
      <c r="E1855" s="20" t="str">
        <f t="shared" si="120"/>
        <v/>
      </c>
      <c r="F1855" s="21" t="str">
        <f>IF(OR(E1855="",E1855="!!!"),"",IF(NOT(ISNA(VLOOKUP(E1855,E$1:E1854,1,FALSE()))),"OLD",IF(AND(E1855&lt;&gt;"",E1855&lt;&gt;"!!!"),"NEW","")))</f>
        <v/>
      </c>
      <c r="G1855" s="22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3" t="str">
        <f t="shared" ca="1" si="118"/>
        <v/>
      </c>
      <c r="I1855" s="24" t="str">
        <f>IF(OR(E1855="",E1855="!!!",F1855="NEW"),"",INDEX(B$2:B1854,-1+SUMPRODUCT(MAX(ROW(E$2:E1854)*(E1855=E$2:E1854)))))</f>
        <v/>
      </c>
      <c r="J1855" s="24" t="str">
        <f ca="1">IF(OR(E1855="",E1855="!!!",F1855="NEW"),"",COUNTBLANK(OFFSET(A$1,,,SUMPRODUCT(MAX(ROW(E$2:E1855)*(E1855=E$2:E1855)))))-COUNTBLANK(OFFSET(A$1,,,SUMPRODUCT(MAX(ROW(E$1:E1854)*(E2=E$1:E1854))))))</f>
        <v/>
      </c>
      <c r="K1855" s="24" t="str">
        <f>IF(OR(E1855="",E1855="!!!",F1855="NEW"),"",INDEX(J$1:J1854,SUMPRODUCT(MAX(ROW(E$1:E1854)*(E1855=E$1:E1854)))))</f>
        <v/>
      </c>
      <c r="L1855" s="25"/>
    </row>
    <row r="1856" spans="1:12" x14ac:dyDescent="0.3">
      <c r="A1856" t="s">
        <v>86</v>
      </c>
      <c r="E1856" s="20" t="str">
        <f t="shared" si="120"/>
        <v/>
      </c>
      <c r="F1856" s="21" t="str">
        <f>IF(OR(E1856="",E1856="!!!"),"",IF(NOT(ISNA(VLOOKUP(E1856,E$1:E1855,1,FALSE()))),"OLD",IF(AND(E1856&lt;&gt;"",E1856&lt;&gt;"!!!"),"NEW","")))</f>
        <v/>
      </c>
      <c r="G1856" s="22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3" t="str">
        <f t="shared" ca="1" si="118"/>
        <v/>
      </c>
      <c r="I1856" s="24" t="str">
        <f>IF(OR(E1856="",E1856="!!!",F1856="NEW"),"",INDEX(B$2:B1855,-1+SUMPRODUCT(MAX(ROW(E$2:E1855)*(E1856=E$2:E1855)))))</f>
        <v/>
      </c>
      <c r="J1856" s="24" t="str">
        <f ca="1">IF(OR(E1856="",E1856="!!!",F1856="NEW"),"",COUNTBLANK(OFFSET(A$1,,,SUMPRODUCT(MAX(ROW(E$2:E1856)*(E1856=E$2:E1856)))))-COUNTBLANK(OFFSET(A$1,,,SUMPRODUCT(MAX(ROW(E$1:E1855)*(E2=E$1:E1855))))))</f>
        <v/>
      </c>
      <c r="K1856" s="24" t="str">
        <f>IF(OR(E1856="",E1856="!!!",F1856="NEW"),"",INDEX(J$1:J1855,SUMPRODUCT(MAX(ROW(E$1:E1855)*(E1856=E$1:E1855)))))</f>
        <v/>
      </c>
      <c r="L1856" s="25"/>
    </row>
  </sheetData>
  <autoFilter ref="A1:L41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Tabea Gröger</cp:lastModifiedBy>
  <cp:revision>1</cp:revision>
  <dcterms:created xsi:type="dcterms:W3CDTF">2024-05-20T20:26:21Z</dcterms:created>
  <dcterms:modified xsi:type="dcterms:W3CDTF">2024-12-12T12:56:51Z</dcterms:modified>
  <dc:language>en-US</dc:language>
</cp:coreProperties>
</file>