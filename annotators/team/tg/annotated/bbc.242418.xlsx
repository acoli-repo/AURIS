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tabea\Desktop\Git\AURIS\annotators\team\tg\annotated\"/>
    </mc:Choice>
  </mc:AlternateContent>
  <xr:revisionPtr revIDLastSave="0" documentId="13_ncr:1_{B3A2CDFA-1E1A-41F4-9FCF-B0212CE6FF8E}" xr6:coauthVersionLast="47" xr6:coauthVersionMax="47" xr10:uidLastSave="{00000000-0000-0000-0000-000000000000}"/>
  <bookViews>
    <workbookView xWindow="2304" yWindow="2124" windowWidth="16368" windowHeight="1083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556" i="2" l="1"/>
  <c r="E555" i="2"/>
  <c r="E554" i="2"/>
  <c r="E552" i="2"/>
  <c r="G552" i="2" s="1"/>
  <c r="E551" i="2"/>
  <c r="F551" i="2" s="1"/>
  <c r="K551" i="2" s="1"/>
  <c r="G549" i="2"/>
  <c r="F549" i="2"/>
  <c r="J549" i="2" s="1"/>
  <c r="H549" i="2" s="1"/>
  <c r="E549" i="2"/>
  <c r="E548" i="2"/>
  <c r="G547" i="2"/>
  <c r="E547" i="2"/>
  <c r="F546" i="2"/>
  <c r="I546" i="2" s="1"/>
  <c r="E546" i="2"/>
  <c r="G544" i="2"/>
  <c r="F544" i="2"/>
  <c r="I544" i="2" s="1"/>
  <c r="E544" i="2"/>
  <c r="E543" i="2"/>
  <c r="E542" i="2"/>
  <c r="G541" i="2"/>
  <c r="F541" i="2"/>
  <c r="J541" i="2" s="1"/>
  <c r="H541" i="2" s="1"/>
  <c r="E541" i="2"/>
  <c r="G540" i="2"/>
  <c r="E540" i="2"/>
  <c r="E539" i="2"/>
  <c r="F538" i="2"/>
  <c r="E537" i="2"/>
  <c r="G536" i="2"/>
  <c r="F536" i="2"/>
  <c r="I536" i="2" s="1"/>
  <c r="E536" i="2"/>
  <c r="E535" i="2"/>
  <c r="G534" i="2"/>
  <c r="E534" i="2"/>
  <c r="G533" i="2"/>
  <c r="F533" i="2"/>
  <c r="K533" i="2" s="1"/>
  <c r="E533" i="2"/>
  <c r="F532" i="2"/>
  <c r="K532" i="2" s="1"/>
  <c r="E532" i="2"/>
  <c r="E531" i="2"/>
  <c r="E530" i="2"/>
  <c r="G528" i="2"/>
  <c r="F528" i="2"/>
  <c r="I528" i="2" s="1"/>
  <c r="E528" i="2"/>
  <c r="F525" i="2"/>
  <c r="J525" i="2" s="1"/>
  <c r="H525" i="2" s="1"/>
  <c r="E525" i="2"/>
  <c r="E524" i="2"/>
  <c r="F523" i="2"/>
  <c r="K523" i="2" s="1"/>
  <c r="F522" i="2"/>
  <c r="E521" i="2"/>
  <c r="F520" i="2"/>
  <c r="K520" i="2" s="1"/>
  <c r="E520" i="2"/>
  <c r="E519" i="2"/>
  <c r="G518" i="2"/>
  <c r="F518" i="2"/>
  <c r="I518" i="2" s="1"/>
  <c r="E518" i="2"/>
  <c r="G515" i="2"/>
  <c r="F515" i="2"/>
  <c r="I515" i="2" s="1"/>
  <c r="E515" i="2"/>
  <c r="E514" i="2"/>
  <c r="E513" i="2"/>
  <c r="F512" i="2"/>
  <c r="I512" i="2" s="1"/>
  <c r="E512" i="2"/>
  <c r="E511" i="2"/>
  <c r="G510" i="2"/>
  <c r="F510" i="2"/>
  <c r="K510" i="2" s="1"/>
  <c r="E510" i="2"/>
  <c r="E509" i="2"/>
  <c r="G507" i="2"/>
  <c r="F507" i="2"/>
  <c r="K507" i="2" s="1"/>
  <c r="E507" i="2"/>
  <c r="G506" i="2"/>
  <c r="E506" i="2"/>
  <c r="G505" i="2"/>
  <c r="F505" i="2"/>
  <c r="E505" i="2"/>
  <c r="F504" i="2"/>
  <c r="I504" i="2" s="1"/>
  <c r="E503" i="2"/>
  <c r="F502" i="2"/>
  <c r="I502" i="2" s="1"/>
  <c r="E501" i="2"/>
  <c r="G499" i="2"/>
  <c r="F499" i="2"/>
  <c r="I499" i="2" s="1"/>
  <c r="E499" i="2"/>
  <c r="E498" i="2"/>
  <c r="G497" i="2"/>
  <c r="F497" i="2"/>
  <c r="I497" i="2" s="1"/>
  <c r="E497" i="2"/>
  <c r="F496" i="2"/>
  <c r="E496" i="2"/>
  <c r="G494" i="2"/>
  <c r="F494" i="2"/>
  <c r="J494" i="2" s="1"/>
  <c r="H494" i="2" s="1"/>
  <c r="E494" i="2"/>
  <c r="E493" i="2"/>
  <c r="G492" i="2"/>
  <c r="E492" i="2"/>
  <c r="G491" i="2"/>
  <c r="F491" i="2"/>
  <c r="K491" i="2" s="1"/>
  <c r="E491" i="2"/>
  <c r="F488" i="2"/>
  <c r="E488" i="2"/>
  <c r="F487" i="2"/>
  <c r="J487" i="2" s="1"/>
  <c r="H487" i="2" s="1"/>
  <c r="E487" i="2"/>
  <c r="F486" i="2"/>
  <c r="K486" i="2" s="1"/>
  <c r="E486" i="2"/>
  <c r="E485" i="2"/>
  <c r="G484" i="2"/>
  <c r="F484" i="2"/>
  <c r="I484" i="2" s="1"/>
  <c r="E484" i="2"/>
  <c r="E483" i="2"/>
  <c r="G482" i="2"/>
  <c r="E482" i="2"/>
  <c r="G481" i="2"/>
  <c r="F481" i="2"/>
  <c r="I481" i="2" s="1"/>
  <c r="E481" i="2"/>
  <c r="E480" i="2"/>
  <c r="F479" i="2"/>
  <c r="J479" i="2" s="1"/>
  <c r="H479" i="2" s="1"/>
  <c r="E478" i="2"/>
  <c r="E477" i="2"/>
  <c r="F476" i="2"/>
  <c r="K476" i="2" s="1"/>
  <c r="E475" i="2"/>
  <c r="E474" i="2"/>
  <c r="G473" i="2"/>
  <c r="F473" i="2"/>
  <c r="E473" i="2"/>
  <c r="F472" i="2"/>
  <c r="E472" i="2"/>
  <c r="F470" i="2"/>
  <c r="E470" i="2"/>
  <c r="G469" i="2"/>
  <c r="E469" i="2"/>
  <c r="F468" i="2"/>
  <c r="I468" i="2" s="1"/>
  <c r="E467" i="2"/>
  <c r="G466" i="2"/>
  <c r="E466" i="2"/>
  <c r="G465" i="2"/>
  <c r="F465" i="2"/>
  <c r="E465" i="2"/>
  <c r="E464" i="2"/>
  <c r="G463" i="2"/>
  <c r="E463" i="2"/>
  <c r="E462" i="2"/>
  <c r="E461" i="2"/>
  <c r="G459" i="2"/>
  <c r="F459" i="2"/>
  <c r="I459" i="2" s="1"/>
  <c r="E459" i="2"/>
  <c r="E457" i="2"/>
  <c r="G456" i="2"/>
  <c r="E456" i="2"/>
  <c r="G455" i="2"/>
  <c r="F455" i="2"/>
  <c r="E455" i="2"/>
  <c r="G451" i="2"/>
  <c r="F451" i="2"/>
  <c r="J451" i="2" s="1"/>
  <c r="H451" i="2" s="1"/>
  <c r="E451" i="2"/>
  <c r="G449" i="2"/>
  <c r="E449" i="2"/>
  <c r="G448" i="2"/>
  <c r="F448" i="2"/>
  <c r="J448" i="2" s="1"/>
  <c r="H448" i="2" s="1"/>
  <c r="E448" i="2"/>
  <c r="E446" i="2"/>
  <c r="G445" i="2"/>
  <c r="F445" i="2"/>
  <c r="E445" i="2"/>
  <c r="F444" i="2"/>
  <c r="J444" i="2" s="1"/>
  <c r="H444" i="2" s="1"/>
  <c r="E444" i="2"/>
  <c r="G443" i="2"/>
  <c r="F443" i="2"/>
  <c r="I443" i="2" s="1"/>
  <c r="E443" i="2"/>
  <c r="E442" i="2"/>
  <c r="E441" i="2"/>
  <c r="F440" i="2"/>
  <c r="F439" i="2"/>
  <c r="I439" i="2" s="1"/>
  <c r="E439" i="2"/>
  <c r="G438" i="2"/>
  <c r="E438" i="2"/>
  <c r="G437" i="2"/>
  <c r="F437" i="2"/>
  <c r="G436" i="2"/>
  <c r="F436" i="2"/>
  <c r="K436" i="2" s="1"/>
  <c r="E436" i="2"/>
  <c r="G435" i="2"/>
  <c r="G434" i="2"/>
  <c r="F434" i="2"/>
  <c r="E433" i="2"/>
  <c r="F430" i="2"/>
  <c r="K430" i="2" s="1"/>
  <c r="E429" i="2"/>
  <c r="F429" i="2" s="1"/>
  <c r="J429" i="2" s="1"/>
  <c r="H429" i="2" s="1"/>
  <c r="G428" i="2"/>
  <c r="F428" i="2"/>
  <c r="I428" i="2" s="1"/>
  <c r="E428" i="2"/>
  <c r="E427" i="2"/>
  <c r="E426" i="2"/>
  <c r="F425" i="2"/>
  <c r="I425" i="2" s="1"/>
  <c r="G424" i="2"/>
  <c r="E424" i="2"/>
  <c r="G423" i="2"/>
  <c r="E423" i="2"/>
  <c r="E422" i="2"/>
  <c r="F421" i="2"/>
  <c r="G418" i="2"/>
  <c r="F418" i="2"/>
  <c r="I418" i="2" s="1"/>
  <c r="E418" i="2"/>
  <c r="E417" i="2"/>
  <c r="F416" i="2"/>
  <c r="E416" i="2"/>
  <c r="F415" i="2"/>
  <c r="I415" i="2" s="1"/>
  <c r="E415" i="2"/>
  <c r="F414" i="2"/>
  <c r="G413" i="2"/>
  <c r="E413" i="2"/>
  <c r="F413" i="2" s="1"/>
  <c r="J413" i="2" s="1"/>
  <c r="H413" i="2" s="1"/>
  <c r="G412" i="2"/>
  <c r="F412" i="2"/>
  <c r="E412" i="2"/>
  <c r="E411" i="2"/>
  <c r="G410" i="2"/>
  <c r="F410" i="2"/>
  <c r="J410" i="2" s="1"/>
  <c r="H410" i="2" s="1"/>
  <c r="E410" i="2"/>
  <c r="E409" i="2"/>
  <c r="E408" i="2"/>
  <c r="G407" i="2"/>
  <c r="F407" i="2"/>
  <c r="I407" i="2" s="1"/>
  <c r="E407" i="2"/>
  <c r="F406" i="2"/>
  <c r="J406" i="2" s="1"/>
  <c r="H406" i="2" s="1"/>
  <c r="E406" i="2"/>
  <c r="G406" i="2" s="1"/>
  <c r="E405" i="2"/>
  <c r="G404" i="2"/>
  <c r="F404" i="2"/>
  <c r="E404" i="2"/>
  <c r="G403" i="2"/>
  <c r="F403" i="2"/>
  <c r="K403" i="2" s="1"/>
  <c r="E403" i="2"/>
  <c r="F401" i="2"/>
  <c r="I401" i="2" s="1"/>
  <c r="E401" i="2"/>
  <c r="G399" i="2"/>
  <c r="F399" i="2"/>
  <c r="I399" i="2" s="1"/>
  <c r="E399" i="2"/>
  <c r="F398" i="2"/>
  <c r="I398" i="2" s="1"/>
  <c r="E398" i="2"/>
  <c r="G398" i="2" s="1"/>
  <c r="G397" i="2"/>
  <c r="E397" i="2"/>
  <c r="F396" i="2"/>
  <c r="I396" i="2" s="1"/>
  <c r="F393" i="2"/>
  <c r="E393" i="2"/>
  <c r="G392" i="2"/>
  <c r="F392" i="2"/>
  <c r="J392" i="2" s="1"/>
  <c r="H392" i="2" s="1"/>
  <c r="E392" i="2"/>
  <c r="F391" i="2"/>
  <c r="K391" i="2" s="1"/>
  <c r="E391" i="2"/>
  <c r="G389" i="2"/>
  <c r="F389" i="2"/>
  <c r="K389" i="2" s="1"/>
  <c r="E389" i="2"/>
  <c r="E387" i="2"/>
  <c r="G386" i="2"/>
  <c r="F386" i="2"/>
  <c r="J386" i="2" s="1"/>
  <c r="H386" i="2" s="1"/>
  <c r="E386" i="2"/>
  <c r="F385" i="2"/>
  <c r="J385" i="2" s="1"/>
  <c r="H385" i="2" s="1"/>
  <c r="E385" i="2"/>
  <c r="F384" i="2"/>
  <c r="I384" i="2" s="1"/>
  <c r="E384" i="2"/>
  <c r="E383" i="2"/>
  <c r="G381" i="2"/>
  <c r="F381" i="2"/>
  <c r="E381" i="2"/>
  <c r="F380" i="2"/>
  <c r="K380" i="2" s="1"/>
  <c r="E380" i="2"/>
  <c r="G380" i="2" s="1"/>
  <c r="G376" i="2"/>
  <c r="F376" i="2"/>
  <c r="K376" i="2" s="1"/>
  <c r="E376" i="2"/>
  <c r="G375" i="2"/>
  <c r="E375" i="2"/>
  <c r="G374" i="2"/>
  <c r="F374" i="2"/>
  <c r="E374" i="2"/>
  <c r="F373" i="2"/>
  <c r="K373" i="2" s="1"/>
  <c r="E373" i="2"/>
  <c r="E372" i="2"/>
  <c r="F371" i="2"/>
  <c r="E371" i="2"/>
  <c r="G371" i="2" s="1"/>
  <c r="G370" i="2"/>
  <c r="E370" i="2"/>
  <c r="G369" i="2"/>
  <c r="F369" i="2"/>
  <c r="E369" i="2"/>
  <c r="F368" i="2"/>
  <c r="K368" i="2" s="1"/>
  <c r="E368" i="2"/>
  <c r="G366" i="2"/>
  <c r="F366" i="2"/>
  <c r="I366" i="2" s="1"/>
  <c r="E366" i="2"/>
  <c r="F365" i="2"/>
  <c r="E365" i="2"/>
  <c r="G365" i="2" s="1"/>
  <c r="G364" i="2"/>
  <c r="E364" i="2"/>
  <c r="F363" i="2"/>
  <c r="E363" i="2"/>
  <c r="G363" i="2" s="1"/>
  <c r="G362" i="2"/>
  <c r="E362" i="2"/>
  <c r="G361" i="2"/>
  <c r="F361" i="2"/>
  <c r="E361" i="2"/>
  <c r="F360" i="2"/>
  <c r="K360" i="2" s="1"/>
  <c r="E360" i="2"/>
  <c r="G358" i="2"/>
  <c r="F358" i="2"/>
  <c r="I358" i="2" s="1"/>
  <c r="E358" i="2"/>
  <c r="F357" i="2"/>
  <c r="E357" i="2"/>
  <c r="G357" i="2" s="1"/>
  <c r="F355" i="2"/>
  <c r="E355" i="2"/>
  <c r="G355" i="2" s="1"/>
  <c r="G354" i="2"/>
  <c r="E354" i="2"/>
  <c r="G353" i="2"/>
  <c r="F353" i="2"/>
  <c r="E353" i="2"/>
  <c r="F352" i="2"/>
  <c r="K352" i="2" s="1"/>
  <c r="E352" i="2"/>
  <c r="G350" i="2"/>
  <c r="F350" i="2"/>
  <c r="K350" i="2" s="1"/>
  <c r="E350" i="2"/>
  <c r="K349" i="2"/>
  <c r="E346" i="2"/>
  <c r="F345" i="2"/>
  <c r="G343" i="2"/>
  <c r="F343" i="2"/>
  <c r="K343" i="2" s="1"/>
  <c r="E343" i="2"/>
  <c r="F342" i="2"/>
  <c r="E342" i="2"/>
  <c r="G341" i="2"/>
  <c r="E341" i="2"/>
  <c r="G340" i="2"/>
  <c r="F340" i="2"/>
  <c r="K340" i="2" s="1"/>
  <c r="E340" i="2"/>
  <c r="E339" i="2"/>
  <c r="G338" i="2"/>
  <c r="E338" i="2"/>
  <c r="F337" i="2"/>
  <c r="G336" i="2"/>
  <c r="E336" i="2"/>
  <c r="F335" i="2"/>
  <c r="I335" i="2" s="1"/>
  <c r="G333" i="2"/>
  <c r="E333" i="2"/>
  <c r="G332" i="2"/>
  <c r="F332" i="2"/>
  <c r="E332" i="2"/>
  <c r="F331" i="2"/>
  <c r="K331" i="2" s="1"/>
  <c r="E331" i="2"/>
  <c r="G330" i="2"/>
  <c r="E330" i="2"/>
  <c r="F329" i="2"/>
  <c r="J329" i="2" s="1"/>
  <c r="H329" i="2" s="1"/>
  <c r="E329" i="2"/>
  <c r="G329" i="2" s="1"/>
  <c r="G328" i="2"/>
  <c r="E328" i="2"/>
  <c r="G327" i="2"/>
  <c r="F327" i="2"/>
  <c r="E327" i="2"/>
  <c r="F326" i="2"/>
  <c r="E323" i="2"/>
  <c r="G322" i="2"/>
  <c r="F322" i="2"/>
  <c r="K322" i="2" s="1"/>
  <c r="E322" i="2"/>
  <c r="F321" i="2"/>
  <c r="J321" i="2" s="1"/>
  <c r="H321" i="2" s="1"/>
  <c r="E320" i="2"/>
  <c r="F319" i="2"/>
  <c r="J319" i="2" s="1"/>
  <c r="H319" i="2" s="1"/>
  <c r="E319" i="2"/>
  <c r="G319" i="2" s="1"/>
  <c r="G318" i="2"/>
  <c r="E318" i="2"/>
  <c r="G317" i="2"/>
  <c r="F317" i="2"/>
  <c r="K317" i="2" s="1"/>
  <c r="E317" i="2"/>
  <c r="F316" i="2"/>
  <c r="I316" i="2" s="1"/>
  <c r="E316" i="2"/>
  <c r="G314" i="2"/>
  <c r="F314" i="2"/>
  <c r="I314" i="2" s="1"/>
  <c r="E314" i="2"/>
  <c r="E313" i="2"/>
  <c r="F312" i="2"/>
  <c r="J312" i="2" s="1"/>
  <c r="H312" i="2" s="1"/>
  <c r="F311" i="2"/>
  <c r="J311" i="2" s="1"/>
  <c r="H311" i="2" s="1"/>
  <c r="E311" i="2"/>
  <c r="G311" i="2" s="1"/>
  <c r="F310" i="2"/>
  <c r="I310" i="2" s="1"/>
  <c r="G309" i="2"/>
  <c r="F309" i="2"/>
  <c r="E309" i="2"/>
  <c r="E307" i="2"/>
  <c r="G306" i="2"/>
  <c r="F306" i="2"/>
  <c r="K306" i="2" s="1"/>
  <c r="E306" i="2"/>
  <c r="G305" i="2"/>
  <c r="F305" i="2"/>
  <c r="K305" i="2" s="1"/>
  <c r="E305" i="2"/>
  <c r="G304" i="2"/>
  <c r="F304" i="2"/>
  <c r="I304" i="2" s="1"/>
  <c r="E304" i="2"/>
  <c r="G303" i="2"/>
  <c r="F303" i="2"/>
  <c r="E303" i="2"/>
  <c r="E302" i="2"/>
  <c r="F301" i="2"/>
  <c r="J301" i="2" s="1"/>
  <c r="H301" i="2" s="1"/>
  <c r="E301" i="2"/>
  <c r="E297" i="2"/>
  <c r="G297" i="2" s="1"/>
  <c r="G296" i="2"/>
  <c r="F296" i="2"/>
  <c r="J296" i="2" s="1"/>
  <c r="H296" i="2" s="1"/>
  <c r="E296" i="2"/>
  <c r="G295" i="2"/>
  <c r="F295" i="2"/>
  <c r="I295" i="2" s="1"/>
  <c r="E295" i="2"/>
  <c r="F294" i="2"/>
  <c r="I294" i="2" s="1"/>
  <c r="E293" i="2"/>
  <c r="G292" i="2"/>
  <c r="F292" i="2"/>
  <c r="K292" i="2" s="1"/>
  <c r="E292" i="2"/>
  <c r="F291" i="2"/>
  <c r="E291" i="2"/>
  <c r="G290" i="2"/>
  <c r="E290" i="2"/>
  <c r="F290" i="2" s="1"/>
  <c r="K290" i="2" s="1"/>
  <c r="G289" i="2"/>
  <c r="F289" i="2"/>
  <c r="K289" i="2" s="1"/>
  <c r="E289" i="2"/>
  <c r="G288" i="2"/>
  <c r="E288" i="2"/>
  <c r="F288" i="2" s="1"/>
  <c r="I288" i="2" s="1"/>
  <c r="G287" i="2"/>
  <c r="F287" i="2"/>
  <c r="E287" i="2"/>
  <c r="G285" i="2"/>
  <c r="F285" i="2"/>
  <c r="J285" i="2" s="1"/>
  <c r="H285" i="2" s="1"/>
  <c r="F284" i="2"/>
  <c r="F283" i="2"/>
  <c r="K283" i="2" s="1"/>
  <c r="E283" i="2"/>
  <c r="G282" i="2"/>
  <c r="E282" i="2"/>
  <c r="F282" i="2" s="1"/>
  <c r="K282" i="2" s="1"/>
  <c r="F281" i="2"/>
  <c r="E281" i="2"/>
  <c r="G281" i="2" s="1"/>
  <c r="F280" i="2"/>
  <c r="G279" i="2"/>
  <c r="F279" i="2"/>
  <c r="K279" i="2" s="1"/>
  <c r="E279" i="2"/>
  <c r="I278" i="2"/>
  <c r="E277" i="2"/>
  <c r="G276" i="2"/>
  <c r="E275" i="2"/>
  <c r="F273" i="2"/>
  <c r="I273" i="2" s="1"/>
  <c r="E273" i="2"/>
  <c r="G273" i="2" s="1"/>
  <c r="G272" i="2"/>
  <c r="E272" i="2"/>
  <c r="F272" i="2" s="1"/>
  <c r="I272" i="2" s="1"/>
  <c r="G271" i="2"/>
  <c r="F271" i="2"/>
  <c r="E271" i="2"/>
  <c r="E270" i="2"/>
  <c r="F269" i="2"/>
  <c r="J269" i="2" s="1"/>
  <c r="H269" i="2" s="1"/>
  <c r="G266" i="2"/>
  <c r="F266" i="2"/>
  <c r="K266" i="2" s="1"/>
  <c r="E266" i="2"/>
  <c r="F265" i="2"/>
  <c r="K265" i="2" s="1"/>
  <c r="E265" i="2"/>
  <c r="G264" i="2"/>
  <c r="E264" i="2"/>
  <c r="F264" i="2" s="1"/>
  <c r="J264" i="2" s="1"/>
  <c r="H264" i="2" s="1"/>
  <c r="G263" i="2"/>
  <c r="E262" i="2"/>
  <c r="F262" i="2" s="1"/>
  <c r="G261" i="2"/>
  <c r="F261" i="2"/>
  <c r="K261" i="2" s="1"/>
  <c r="E261" i="2"/>
  <c r="F260" i="2"/>
  <c r="I260" i="2" s="1"/>
  <c r="E260" i="2"/>
  <c r="E259" i="2"/>
  <c r="E255" i="2"/>
  <c r="E254" i="2"/>
  <c r="F254" i="2" s="1"/>
  <c r="F253" i="2"/>
  <c r="I253" i="2" s="1"/>
  <c r="E253" i="2"/>
  <c r="G253" i="2" s="1"/>
  <c r="G252" i="2"/>
  <c r="E252" i="2"/>
  <c r="F252" i="2" s="1"/>
  <c r="I252" i="2" s="1"/>
  <c r="G251" i="2"/>
  <c r="F251" i="2"/>
  <c r="E251" i="2"/>
  <c r="E250" i="2"/>
  <c r="G249" i="2"/>
  <c r="F249" i="2"/>
  <c r="J249" i="2" s="1"/>
  <c r="H249" i="2" s="1"/>
  <c r="E249" i="2"/>
  <c r="F248" i="2"/>
  <c r="E248" i="2"/>
  <c r="F247" i="2"/>
  <c r="J247" i="2" s="1"/>
  <c r="H247" i="2" s="1"/>
  <c r="E247" i="2"/>
  <c r="G246" i="2"/>
  <c r="E246" i="2"/>
  <c r="F246" i="2" s="1"/>
  <c r="K246" i="2" s="1"/>
  <c r="F245" i="2"/>
  <c r="E245" i="2"/>
  <c r="G245" i="2" s="1"/>
  <c r="E244" i="2"/>
  <c r="F244" i="2" s="1"/>
  <c r="G243" i="2"/>
  <c r="F243" i="2"/>
  <c r="K243" i="2" s="1"/>
  <c r="F242" i="2"/>
  <c r="I242" i="2" s="1"/>
  <c r="I240" i="2"/>
  <c r="G239" i="2"/>
  <c r="F239" i="2"/>
  <c r="K239" i="2" s="1"/>
  <c r="E239" i="2"/>
  <c r="G238" i="2"/>
  <c r="F238" i="2"/>
  <c r="I238" i="2" s="1"/>
  <c r="E238" i="2"/>
  <c r="E237" i="2"/>
  <c r="G236" i="2"/>
  <c r="E236" i="2"/>
  <c r="F236" i="2" s="1"/>
  <c r="I236" i="2" s="1"/>
  <c r="G235" i="2"/>
  <c r="E235" i="2"/>
  <c r="F235" i="2" s="1"/>
  <c r="J235" i="2" s="1"/>
  <c r="H235" i="2" s="1"/>
  <c r="F234" i="2"/>
  <c r="J234" i="2" s="1"/>
  <c r="H234" i="2" s="1"/>
  <c r="G233" i="2"/>
  <c r="I233" i="2"/>
  <c r="G232" i="2"/>
  <c r="F232" i="2"/>
  <c r="E232" i="2"/>
  <c r="F231" i="2"/>
  <c r="E231" i="2"/>
  <c r="E229" i="2"/>
  <c r="G228" i="2"/>
  <c r="F228" i="2"/>
  <c r="K228" i="2" s="1"/>
  <c r="E228" i="2"/>
  <c r="F227" i="2"/>
  <c r="J227" i="2" s="1"/>
  <c r="H227" i="2" s="1"/>
  <c r="G226" i="2"/>
  <c r="F226" i="2"/>
  <c r="I226" i="2" s="1"/>
  <c r="E226" i="2"/>
  <c r="G225" i="2"/>
  <c r="F225" i="2"/>
  <c r="I225" i="2" s="1"/>
  <c r="E225" i="2"/>
  <c r="E223" i="2"/>
  <c r="E220" i="2"/>
  <c r="G218" i="2"/>
  <c r="F218" i="2"/>
  <c r="J218" i="2" s="1"/>
  <c r="H218" i="2" s="1"/>
  <c r="E218" i="2"/>
  <c r="F217" i="2"/>
  <c r="G216" i="2"/>
  <c r="F216" i="2"/>
  <c r="J216" i="2" s="1"/>
  <c r="H216" i="2" s="1"/>
  <c r="E216" i="2"/>
  <c r="G214" i="2"/>
  <c r="F214" i="2"/>
  <c r="J214" i="2" s="1"/>
  <c r="H214" i="2" s="1"/>
  <c r="E214" i="2"/>
  <c r="F213" i="2"/>
  <c r="E213" i="2"/>
  <c r="E212" i="2"/>
  <c r="F211" i="2"/>
  <c r="K211" i="2" s="1"/>
  <c r="G210" i="2"/>
  <c r="F210" i="2"/>
  <c r="I210" i="2" s="1"/>
  <c r="E210" i="2"/>
  <c r="G209" i="2"/>
  <c r="E209" i="2"/>
  <c r="F208" i="2"/>
  <c r="J208" i="2" s="1"/>
  <c r="G205" i="2"/>
  <c r="E205" i="2"/>
  <c r="G204" i="2"/>
  <c r="F204" i="2"/>
  <c r="J204" i="2" s="1"/>
  <c r="H204" i="2" s="1"/>
  <c r="E204" i="2"/>
  <c r="F203" i="2"/>
  <c r="K203" i="2" s="1"/>
  <c r="E203" i="2"/>
  <c r="E202" i="2"/>
  <c r="G201" i="2"/>
  <c r="E201" i="2"/>
  <c r="F201" i="2" s="1"/>
  <c r="G200" i="2"/>
  <c r="F200" i="2"/>
  <c r="I200" i="2" s="1"/>
  <c r="E200" i="2"/>
  <c r="G196" i="2"/>
  <c r="F196" i="2"/>
  <c r="J196" i="2" s="1"/>
  <c r="H196" i="2" s="1"/>
  <c r="E196" i="2"/>
  <c r="E195" i="2"/>
  <c r="G194" i="2"/>
  <c r="F194" i="2"/>
  <c r="J194" i="2" s="1"/>
  <c r="H194" i="2" s="1"/>
  <c r="E194" i="2"/>
  <c r="E193" i="2"/>
  <c r="E192" i="2"/>
  <c r="G191" i="2"/>
  <c r="E191" i="2"/>
  <c r="F191" i="2" s="1"/>
  <c r="K191" i="2" s="1"/>
  <c r="G190" i="2"/>
  <c r="F190" i="2"/>
  <c r="E190" i="2"/>
  <c r="G189" i="2"/>
  <c r="E189" i="2"/>
  <c r="G188" i="2"/>
  <c r="F188" i="2"/>
  <c r="E188" i="2"/>
  <c r="G186" i="2"/>
  <c r="F186" i="2"/>
  <c r="J186" i="2" s="1"/>
  <c r="H186" i="2" s="1"/>
  <c r="E186" i="2"/>
  <c r="E185" i="2"/>
  <c r="G183" i="2"/>
  <c r="E183" i="2"/>
  <c r="F183" i="2" s="1"/>
  <c r="K183" i="2" s="1"/>
  <c r="G182" i="2"/>
  <c r="F182" i="2"/>
  <c r="I182" i="2" s="1"/>
  <c r="E182" i="2"/>
  <c r="G180" i="2"/>
  <c r="F180" i="2"/>
  <c r="J180" i="2" s="1"/>
  <c r="H180" i="2" s="1"/>
  <c r="E180" i="2"/>
  <c r="G179" i="2"/>
  <c r="E179" i="2"/>
  <c r="G178" i="2"/>
  <c r="F178" i="2"/>
  <c r="J178" i="2" s="1"/>
  <c r="H178" i="2" s="1"/>
  <c r="E178" i="2"/>
  <c r="G177" i="2"/>
  <c r="E176" i="2"/>
  <c r="K175" i="2"/>
  <c r="G172" i="2"/>
  <c r="F172" i="2"/>
  <c r="K172" i="2" s="1"/>
  <c r="E172" i="2"/>
  <c r="E171" i="2"/>
  <c r="G170" i="2"/>
  <c r="F170" i="2"/>
  <c r="J170" i="2" s="1"/>
  <c r="H170" i="2" s="1"/>
  <c r="E170" i="2"/>
  <c r="E169" i="2"/>
  <c r="G168" i="2"/>
  <c r="F168" i="2"/>
  <c r="J168" i="2" s="1"/>
  <c r="H168" i="2" s="1"/>
  <c r="E168" i="2"/>
  <c r="G167" i="2"/>
  <c r="E167" i="2"/>
  <c r="G164" i="2"/>
  <c r="F164" i="2"/>
  <c r="K164" i="2" s="1"/>
  <c r="E164" i="2"/>
  <c r="G163" i="2"/>
  <c r="E163" i="2"/>
  <c r="F163" i="2" s="1"/>
  <c r="I163" i="2" s="1"/>
  <c r="G162" i="2"/>
  <c r="F162" i="2"/>
  <c r="J162" i="2" s="1"/>
  <c r="H162" i="2" s="1"/>
  <c r="E162" i="2"/>
  <c r="F161" i="2"/>
  <c r="E159" i="2"/>
  <c r="F158" i="2"/>
  <c r="G157" i="2"/>
  <c r="E157" i="2"/>
  <c r="F157" i="2" s="1"/>
  <c r="I157" i="2" s="1"/>
  <c r="G156" i="2"/>
  <c r="F156" i="2"/>
  <c r="K156" i="2" s="1"/>
  <c r="E156" i="2"/>
  <c r="G154" i="2"/>
  <c r="F154" i="2"/>
  <c r="E154" i="2"/>
  <c r="E153" i="2"/>
  <c r="G152" i="2"/>
  <c r="F152" i="2"/>
  <c r="K152" i="2" s="1"/>
  <c r="E152" i="2"/>
  <c r="F148" i="2"/>
  <c r="E148" i="2"/>
  <c r="G148" i="2" s="1"/>
  <c r="E147" i="2"/>
  <c r="G146" i="2"/>
  <c r="F146" i="2"/>
  <c r="J146" i="2" s="1"/>
  <c r="H146" i="2" s="1"/>
  <c r="E146" i="2"/>
  <c r="F145" i="2"/>
  <c r="J145" i="2" s="1"/>
  <c r="H145" i="2" s="1"/>
  <c r="G143" i="2"/>
  <c r="F143" i="2"/>
  <c r="E143" i="2"/>
  <c r="E142" i="2"/>
  <c r="G141" i="2"/>
  <c r="F141" i="2"/>
  <c r="I141" i="2" s="1"/>
  <c r="E141" i="2"/>
  <c r="E140" i="2"/>
  <c r="G140" i="2" s="1"/>
  <c r="G139" i="2"/>
  <c r="E139" i="2"/>
  <c r="F139" i="2" s="1"/>
  <c r="K139" i="2" s="1"/>
  <c r="F138" i="2"/>
  <c r="E135" i="2"/>
  <c r="G134" i="2"/>
  <c r="F134" i="2"/>
  <c r="J134" i="2" s="1"/>
  <c r="H134" i="2" s="1"/>
  <c r="E134" i="2"/>
  <c r="E133" i="2"/>
  <c r="G132" i="2"/>
  <c r="F132" i="2"/>
  <c r="E132" i="2"/>
  <c r="E131" i="2"/>
  <c r="I130" i="2"/>
  <c r="E129" i="2"/>
  <c r="F129" i="2" s="1"/>
  <c r="J129" i="2" s="1"/>
  <c r="H129" i="2" s="1"/>
  <c r="G128" i="2"/>
  <c r="F128" i="2"/>
  <c r="I128" i="2" s="1"/>
  <c r="E128" i="2"/>
  <c r="G127" i="2"/>
  <c r="F127" i="2"/>
  <c r="E127" i="2"/>
  <c r="E126" i="2"/>
  <c r="G125" i="2"/>
  <c r="F125" i="2"/>
  <c r="K125" i="2" s="1"/>
  <c r="E125" i="2"/>
  <c r="G123" i="2"/>
  <c r="F123" i="2"/>
  <c r="E123" i="2"/>
  <c r="E122" i="2"/>
  <c r="G121" i="2"/>
  <c r="E121" i="2"/>
  <c r="F121" i="2" s="1"/>
  <c r="I121" i="2" s="1"/>
  <c r="G120" i="2"/>
  <c r="F120" i="2"/>
  <c r="K120" i="2" s="1"/>
  <c r="E120" i="2"/>
  <c r="G118" i="2"/>
  <c r="E117" i="2"/>
  <c r="G116" i="2"/>
  <c r="F116" i="2"/>
  <c r="K116" i="2" s="1"/>
  <c r="E116" i="2"/>
  <c r="E114" i="2"/>
  <c r="G114" i="2" s="1"/>
  <c r="F112" i="2"/>
  <c r="E112" i="2"/>
  <c r="G112" i="2" s="1"/>
  <c r="E111" i="2"/>
  <c r="F110" i="2"/>
  <c r="J110" i="2" s="1"/>
  <c r="H110" i="2" s="1"/>
  <c r="G109" i="2"/>
  <c r="F109" i="2"/>
  <c r="K109" i="2" s="1"/>
  <c r="E109" i="2"/>
  <c r="E108" i="2"/>
  <c r="F107" i="2"/>
  <c r="E106" i="2"/>
  <c r="G105" i="2"/>
  <c r="F105" i="2"/>
  <c r="I105" i="2" s="1"/>
  <c r="E105" i="2"/>
  <c r="G103" i="2"/>
  <c r="E103" i="2"/>
  <c r="F103" i="2" s="1"/>
  <c r="I103" i="2" s="1"/>
  <c r="G102" i="2"/>
  <c r="F102" i="2"/>
  <c r="E102" i="2"/>
  <c r="G100" i="2"/>
  <c r="F100" i="2"/>
  <c r="J100" i="2" s="1"/>
  <c r="H100" i="2" s="1"/>
  <c r="E100" i="2"/>
  <c r="E99" i="2"/>
  <c r="F98" i="2"/>
  <c r="F96" i="2"/>
  <c r="I96" i="2" s="1"/>
  <c r="E96" i="2"/>
  <c r="G96" i="2" s="1"/>
  <c r="F95" i="2"/>
  <c r="J95" i="2" s="1"/>
  <c r="G92" i="2"/>
  <c r="F92" i="2"/>
  <c r="K92" i="2" s="1"/>
  <c r="E92" i="2"/>
  <c r="G91" i="2"/>
  <c r="F91" i="2"/>
  <c r="E91" i="2"/>
  <c r="G89" i="2"/>
  <c r="F89" i="2"/>
  <c r="K89" i="2" s="1"/>
  <c r="E89" i="2"/>
  <c r="E88" i="2"/>
  <c r="F87" i="2"/>
  <c r="E86" i="2"/>
  <c r="G85" i="2"/>
  <c r="E85" i="2"/>
  <c r="F85" i="2" s="1"/>
  <c r="I85" i="2" s="1"/>
  <c r="G84" i="2"/>
  <c r="F84" i="2"/>
  <c r="K84" i="2" s="1"/>
  <c r="E84" i="2"/>
  <c r="G83" i="2"/>
  <c r="G82" i="2"/>
  <c r="F82" i="2"/>
  <c r="E82" i="2"/>
  <c r="F81" i="2"/>
  <c r="E81" i="2"/>
  <c r="G80" i="2"/>
  <c r="F80" i="2"/>
  <c r="K80" i="2" s="1"/>
  <c r="E80" i="2"/>
  <c r="E78" i="2"/>
  <c r="G78" i="2" s="1"/>
  <c r="G77" i="2"/>
  <c r="E77" i="2"/>
  <c r="F77" i="2" s="1"/>
  <c r="G76" i="2"/>
  <c r="F76" i="2"/>
  <c r="E76" i="2"/>
  <c r="F75" i="2"/>
  <c r="E75" i="2"/>
  <c r="E72" i="2"/>
  <c r="G70" i="2"/>
  <c r="F70" i="2"/>
  <c r="K70" i="2" s="1"/>
  <c r="E70" i="2"/>
  <c r="G69" i="2"/>
  <c r="E68" i="2"/>
  <c r="G68" i="2" s="1"/>
  <c r="F67" i="2"/>
  <c r="G66" i="2"/>
  <c r="F66" i="2"/>
  <c r="E66" i="2"/>
  <c r="E64" i="2"/>
  <c r="G62" i="2"/>
  <c r="F62" i="2"/>
  <c r="K62" i="2" s="1"/>
  <c r="E62" i="2"/>
  <c r="E60" i="2"/>
  <c r="G60" i="2" s="1"/>
  <c r="G59" i="2"/>
  <c r="E59" i="2"/>
  <c r="F59" i="2" s="1"/>
  <c r="G58" i="2"/>
  <c r="F58" i="2"/>
  <c r="E58" i="2"/>
  <c r="F57" i="2"/>
  <c r="E57" i="2"/>
  <c r="E56" i="2"/>
  <c r="G54" i="2"/>
  <c r="F54" i="2"/>
  <c r="K54" i="2" s="1"/>
  <c r="E54" i="2"/>
  <c r="E53" i="2"/>
  <c r="G53" i="2" s="1"/>
  <c r="E52" i="2"/>
  <c r="G52" i="2" s="1"/>
  <c r="F51" i="2"/>
  <c r="G50" i="2"/>
  <c r="F50" i="2"/>
  <c r="E50" i="2"/>
  <c r="E49" i="2"/>
  <c r="G45" i="2"/>
  <c r="E45" i="2"/>
  <c r="F44" i="2"/>
  <c r="E43" i="2"/>
  <c r="G43" i="2" s="1"/>
  <c r="G41" i="2"/>
  <c r="E41" i="2"/>
  <c r="F41" i="2" s="1"/>
  <c r="G40" i="2"/>
  <c r="F40" i="2"/>
  <c r="E40" i="2"/>
  <c r="F39" i="2"/>
  <c r="G37" i="2"/>
  <c r="E37" i="2"/>
  <c r="G36" i="2"/>
  <c r="F36" i="2"/>
  <c r="K36" i="2" s="1"/>
  <c r="E36" i="2"/>
  <c r="E35" i="2"/>
  <c r="G35" i="2" s="1"/>
  <c r="E34" i="2"/>
  <c r="G34" i="2" s="1"/>
  <c r="F33" i="2"/>
  <c r="G32" i="2"/>
  <c r="E31" i="2"/>
  <c r="E28" i="2"/>
  <c r="G26" i="2"/>
  <c r="F26" i="2"/>
  <c r="K26" i="2" s="1"/>
  <c r="E26" i="2"/>
  <c r="F25" i="2"/>
  <c r="I25" i="2" s="1"/>
  <c r="E24" i="2"/>
  <c r="G24" i="2" s="1"/>
  <c r="G23" i="2"/>
  <c r="E23" i="2"/>
  <c r="F23" i="2" s="1"/>
  <c r="F22" i="2"/>
  <c r="F21" i="2"/>
  <c r="E21" i="2"/>
  <c r="G19" i="2"/>
  <c r="E19" i="2"/>
  <c r="G18" i="2"/>
  <c r="F18" i="2"/>
  <c r="K18" i="2" s="1"/>
  <c r="E18" i="2"/>
  <c r="G17" i="2"/>
  <c r="E16" i="2"/>
  <c r="G16" i="2" s="1"/>
  <c r="F15" i="2"/>
  <c r="F12" i="2"/>
  <c r="E11" i="2"/>
  <c r="F11" i="2" s="1"/>
  <c r="G9" i="2"/>
  <c r="E9" i="2"/>
  <c r="F8" i="2"/>
  <c r="E6" i="2"/>
  <c r="G6" i="2" s="1"/>
  <c r="G5" i="2"/>
  <c r="E5" i="2"/>
  <c r="F5" i="2" s="1"/>
  <c r="G4" i="2"/>
  <c r="F4" i="2"/>
  <c r="E4" i="2"/>
  <c r="G27" i="1"/>
  <c r="G26" i="1"/>
  <c r="G25" i="1"/>
  <c r="G24" i="1"/>
  <c r="G23" i="1"/>
  <c r="G22" i="1"/>
  <c r="G21" i="1"/>
  <c r="G20" i="1"/>
  <c r="G19" i="1"/>
  <c r="G18" i="1"/>
  <c r="G17" i="1"/>
  <c r="G16" i="1"/>
  <c r="G15" i="1"/>
  <c r="G14" i="1"/>
  <c r="G13" i="1"/>
  <c r="G12" i="1"/>
  <c r="G11" i="1"/>
  <c r="G10" i="1"/>
  <c r="G9" i="1"/>
  <c r="G8" i="1"/>
  <c r="G7" i="1"/>
  <c r="G6" i="1"/>
  <c r="G5" i="1"/>
  <c r="G4" i="1"/>
  <c r="G3" i="1"/>
  <c r="G2" i="1"/>
  <c r="I541" i="2" l="1"/>
  <c r="K85" i="2"/>
  <c r="I376" i="2"/>
  <c r="J54" i="2"/>
  <c r="H54" i="2" s="1"/>
  <c r="I26" i="2"/>
  <c r="K407" i="2"/>
  <c r="J399" i="2"/>
  <c r="H399" i="2" s="1"/>
  <c r="K288" i="2"/>
  <c r="J522" i="2"/>
  <c r="J26" i="2"/>
  <c r="H26" i="2" s="1"/>
  <c r="J109" i="2"/>
  <c r="H109" i="2" s="1"/>
  <c r="K399" i="2"/>
  <c r="I110" i="2"/>
  <c r="K232" i="2"/>
  <c r="J105" i="2"/>
  <c r="H105" i="2" s="1"/>
  <c r="I109" i="2"/>
  <c r="J128" i="2"/>
  <c r="H128" i="2" s="1"/>
  <c r="K231" i="2"/>
  <c r="J44" i="2"/>
  <c r="K170" i="2"/>
  <c r="J210" i="2"/>
  <c r="H210" i="2" s="1"/>
  <c r="K128" i="2"/>
  <c r="J253" i="2"/>
  <c r="H253" i="2" s="1"/>
  <c r="K96" i="2"/>
  <c r="K253" i="2"/>
  <c r="K366" i="2"/>
  <c r="J436" i="2"/>
  <c r="H436" i="2" s="1"/>
  <c r="I494" i="2"/>
  <c r="I129" i="2"/>
  <c r="K214" i="2"/>
  <c r="J243" i="2"/>
  <c r="H243" i="2" s="1"/>
  <c r="K247" i="2"/>
  <c r="J418" i="2"/>
  <c r="H418" i="2" s="1"/>
  <c r="K515" i="2"/>
  <c r="I429" i="2"/>
  <c r="I44" i="2"/>
  <c r="I84" i="2"/>
  <c r="I306" i="2"/>
  <c r="K429" i="2"/>
  <c r="K121" i="2"/>
  <c r="I170" i="2"/>
  <c r="K233" i="2"/>
  <c r="J288" i="2"/>
  <c r="H288" i="2" s="1"/>
  <c r="J306" i="2"/>
  <c r="H306" i="2" s="1"/>
  <c r="K238" i="2"/>
  <c r="K311" i="2"/>
  <c r="J332" i="2"/>
  <c r="H332" i="2" s="1"/>
  <c r="K312" i="2"/>
  <c r="K194" i="2"/>
  <c r="K296" i="2"/>
  <c r="K316" i="2"/>
  <c r="K329" i="2"/>
  <c r="I343" i="2"/>
  <c r="J398" i="2"/>
  <c r="H398" i="2" s="1"/>
  <c r="I476" i="2"/>
  <c r="K494" i="2"/>
  <c r="J532" i="2"/>
  <c r="H532" i="2" s="1"/>
  <c r="I54" i="2"/>
  <c r="J228" i="2"/>
  <c r="H228" i="2" s="1"/>
  <c r="J528" i="2"/>
  <c r="H528" i="2" s="1"/>
  <c r="J36" i="2"/>
  <c r="H36" i="2" s="1"/>
  <c r="K528" i="2"/>
  <c r="I36" i="2"/>
  <c r="J84" i="2"/>
  <c r="H84" i="2" s="1"/>
  <c r="J157" i="2"/>
  <c r="H157" i="2" s="1"/>
  <c r="K162" i="2"/>
  <c r="J200" i="2"/>
  <c r="H200" i="2" s="1"/>
  <c r="K224" i="2"/>
  <c r="K504" i="2"/>
  <c r="K321" i="2"/>
  <c r="J175" i="2"/>
  <c r="H175" i="2" s="1"/>
  <c r="I145" i="2"/>
  <c r="K182" i="2"/>
  <c r="K216" i="2"/>
  <c r="J226" i="2"/>
  <c r="H226" i="2" s="1"/>
  <c r="K260" i="2"/>
  <c r="I279" i="2"/>
  <c r="I329" i="2"/>
  <c r="J349" i="2"/>
  <c r="I538" i="2"/>
  <c r="I218" i="2"/>
  <c r="I520" i="2"/>
  <c r="K218" i="2"/>
  <c r="J25" i="2"/>
  <c r="H25" i="2" s="1"/>
  <c r="K145" i="2"/>
  <c r="I191" i="2"/>
  <c r="K196" i="2"/>
  <c r="K264" i="2"/>
  <c r="K319" i="2"/>
  <c r="I322" i="2"/>
  <c r="I380" i="2"/>
  <c r="J502" i="2"/>
  <c r="I162" i="2"/>
  <c r="I296" i="2"/>
  <c r="J103" i="2"/>
  <c r="H103" i="2" s="1"/>
  <c r="K103" i="2"/>
  <c r="J172" i="2"/>
  <c r="H172" i="2" s="1"/>
  <c r="I217" i="2"/>
  <c r="K240" i="2"/>
  <c r="I243" i="2"/>
  <c r="J252" i="2"/>
  <c r="H252" i="2" s="1"/>
  <c r="I261" i="2"/>
  <c r="J273" i="2"/>
  <c r="H273" i="2" s="1"/>
  <c r="J305" i="2"/>
  <c r="H305" i="2" s="1"/>
  <c r="I311" i="2"/>
  <c r="K358" i="2"/>
  <c r="K393" i="2"/>
  <c r="J407" i="2"/>
  <c r="H407" i="2" s="1"/>
  <c r="J414" i="2"/>
  <c r="K421" i="2" s="1"/>
  <c r="J430" i="2"/>
  <c r="K499" i="2"/>
  <c r="I479" i="2"/>
  <c r="J8" i="2"/>
  <c r="K15" i="2" s="1"/>
  <c r="J18" i="2"/>
  <c r="H18" i="2" s="1"/>
  <c r="I62" i="2"/>
  <c r="I70" i="2"/>
  <c r="I95" i="2"/>
  <c r="J141" i="2"/>
  <c r="H141" i="2" s="1"/>
  <c r="I172" i="2"/>
  <c r="J182" i="2"/>
  <c r="H182" i="2" s="1"/>
  <c r="K225" i="2"/>
  <c r="I228" i="2"/>
  <c r="J261" i="2"/>
  <c r="H261" i="2" s="1"/>
  <c r="K273" i="2"/>
  <c r="J343" i="2"/>
  <c r="H343" i="2" s="1"/>
  <c r="J350" i="2"/>
  <c r="H350" i="2" s="1"/>
  <c r="I352" i="2"/>
  <c r="K418" i="2"/>
  <c r="J439" i="2"/>
  <c r="H439" i="2" s="1"/>
  <c r="J468" i="2"/>
  <c r="K479" i="2" s="1"/>
  <c r="I486" i="2"/>
  <c r="J497" i="2"/>
  <c r="H497" i="2" s="1"/>
  <c r="I525" i="2"/>
  <c r="J536" i="2"/>
  <c r="H536" i="2" s="1"/>
  <c r="K146" i="2"/>
  <c r="K163" i="2"/>
  <c r="I180" i="2"/>
  <c r="I234" i="2"/>
  <c r="J236" i="2"/>
  <c r="H236" i="2" s="1"/>
  <c r="J246" i="2"/>
  <c r="H246" i="2" s="1"/>
  <c r="J265" i="2"/>
  <c r="H265" i="2" s="1"/>
  <c r="J272" i="2"/>
  <c r="H272" i="2" s="1"/>
  <c r="K314" i="2"/>
  <c r="I319" i="2"/>
  <c r="J322" i="2"/>
  <c r="H322" i="2" s="1"/>
  <c r="I326" i="2"/>
  <c r="J331" i="2"/>
  <c r="H331" i="2" s="1"/>
  <c r="J366" i="2"/>
  <c r="H366" i="2" s="1"/>
  <c r="I368" i="2"/>
  <c r="J443" i="2"/>
  <c r="H443" i="2" s="1"/>
  <c r="J499" i="2"/>
  <c r="H499" i="2" s="1"/>
  <c r="I146" i="2"/>
  <c r="I246" i="2"/>
  <c r="J62" i="2"/>
  <c r="H62" i="2" s="1"/>
  <c r="J70" i="2"/>
  <c r="H70" i="2" s="1"/>
  <c r="K110" i="2"/>
  <c r="K141" i="2"/>
  <c r="I156" i="2"/>
  <c r="K204" i="2"/>
  <c r="K210" i="2"/>
  <c r="J217" i="2"/>
  <c r="K236" i="2"/>
  <c r="J239" i="2"/>
  <c r="H239" i="2" s="1"/>
  <c r="J282" i="2"/>
  <c r="H282" i="2" s="1"/>
  <c r="I289" i="2"/>
  <c r="K295" i="2"/>
  <c r="I317" i="2"/>
  <c r="I350" i="2"/>
  <c r="J384" i="2"/>
  <c r="H384" i="2" s="1"/>
  <c r="J421" i="2"/>
  <c r="K440" i="2" s="1"/>
  <c r="J484" i="2"/>
  <c r="H484" i="2" s="1"/>
  <c r="I507" i="2"/>
  <c r="I510" i="2"/>
  <c r="I523" i="2"/>
  <c r="J544" i="2"/>
  <c r="H544" i="2" s="1"/>
  <c r="I92" i="2"/>
  <c r="K105" i="2"/>
  <c r="I120" i="2"/>
  <c r="I139" i="2"/>
  <c r="J156" i="2"/>
  <c r="H156" i="2" s="1"/>
  <c r="I183" i="2"/>
  <c r="K226" i="2"/>
  <c r="J289" i="2"/>
  <c r="H289" i="2" s="1"/>
  <c r="J317" i="2"/>
  <c r="H317" i="2" s="1"/>
  <c r="I386" i="2"/>
  <c r="K484" i="2"/>
  <c r="J510" i="2"/>
  <c r="H510" i="2" s="1"/>
  <c r="K544" i="2"/>
  <c r="I8" i="2"/>
  <c r="I18" i="2"/>
  <c r="J92" i="2"/>
  <c r="H92" i="2" s="1"/>
  <c r="J120" i="2"/>
  <c r="H120" i="2" s="1"/>
  <c r="J139" i="2"/>
  <c r="H139" i="2" s="1"/>
  <c r="J279" i="2"/>
  <c r="H279" i="2" s="1"/>
  <c r="I305" i="2"/>
  <c r="J358" i="2"/>
  <c r="H358" i="2" s="1"/>
  <c r="I360" i="2"/>
  <c r="J380" i="2"/>
  <c r="H380" i="2" s="1"/>
  <c r="K386" i="2"/>
  <c r="I406" i="2"/>
  <c r="K444" i="2"/>
  <c r="K518" i="2"/>
  <c r="K541" i="2"/>
  <c r="K180" i="2"/>
  <c r="K234" i="2"/>
  <c r="K278" i="2"/>
  <c r="J295" i="2"/>
  <c r="H295" i="2" s="1"/>
  <c r="K304" i="2"/>
  <c r="K406" i="2"/>
  <c r="G49" i="2"/>
  <c r="I102" i="2"/>
  <c r="K102" i="2"/>
  <c r="J102" i="2"/>
  <c r="H102" i="2" s="1"/>
  <c r="F49" i="2"/>
  <c r="K49" i="2" s="1"/>
  <c r="J87" i="2"/>
  <c r="K130" i="2" s="1"/>
  <c r="I87" i="2"/>
  <c r="K107" i="2"/>
  <c r="I107" i="2"/>
  <c r="K132" i="2"/>
  <c r="J132" i="2"/>
  <c r="H132" i="2" s="1"/>
  <c r="J154" i="2"/>
  <c r="H154" i="2" s="1"/>
  <c r="I154" i="2"/>
  <c r="I190" i="2"/>
  <c r="K190" i="2"/>
  <c r="J190" i="2"/>
  <c r="H190" i="2" s="1"/>
  <c r="F323" i="2"/>
  <c r="I323" i="2" s="1"/>
  <c r="G323" i="2"/>
  <c r="K5" i="2"/>
  <c r="I5" i="2"/>
  <c r="G31" i="2"/>
  <c r="J58" i="2"/>
  <c r="H58" i="2" s="1"/>
  <c r="K58" i="2"/>
  <c r="I58" i="2"/>
  <c r="K77" i="2"/>
  <c r="I77" i="2"/>
  <c r="J82" i="2"/>
  <c r="H82" i="2" s="1"/>
  <c r="I82" i="2"/>
  <c r="F90" i="2"/>
  <c r="K90" i="2" s="1"/>
  <c r="K112" i="2"/>
  <c r="J112" i="2"/>
  <c r="H112" i="2" s="1"/>
  <c r="I112" i="2"/>
  <c r="G135" i="2"/>
  <c r="F135" i="2"/>
  <c r="K135" i="2" s="1"/>
  <c r="K201" i="2"/>
  <c r="I201" i="2"/>
  <c r="I161" i="2"/>
  <c r="F171" i="2"/>
  <c r="K171" i="2" s="1"/>
  <c r="G28" i="2"/>
  <c r="F28" i="2"/>
  <c r="K28" i="2" s="1"/>
  <c r="G171" i="2"/>
  <c r="F20" i="2"/>
  <c r="K20" i="2" s="1"/>
  <c r="F10" i="2"/>
  <c r="K10" i="2" s="1"/>
  <c r="J21" i="2"/>
  <c r="H21" i="2" s="1"/>
  <c r="K21" i="2"/>
  <c r="I21" i="2"/>
  <c r="G21" i="2"/>
  <c r="F31" i="2"/>
  <c r="K31" i="2" s="1"/>
  <c r="J50" i="2"/>
  <c r="H50" i="2" s="1"/>
  <c r="K50" i="2"/>
  <c r="I50" i="2"/>
  <c r="I67" i="2"/>
  <c r="G97" i="2"/>
  <c r="F97" i="2"/>
  <c r="K97" i="2" s="1"/>
  <c r="G117" i="2"/>
  <c r="F117" i="2"/>
  <c r="I117" i="2" s="1"/>
  <c r="G122" i="2"/>
  <c r="F122" i="2"/>
  <c r="J122" i="2" s="1"/>
  <c r="H122" i="2" s="1"/>
  <c r="G142" i="2"/>
  <c r="F142" i="2"/>
  <c r="I142" i="2" s="1"/>
  <c r="F179" i="2"/>
  <c r="K179" i="2" s="1"/>
  <c r="F209" i="2"/>
  <c r="K209" i="2" s="1"/>
  <c r="K284" i="2"/>
  <c r="I284" i="2"/>
  <c r="J287" i="2"/>
  <c r="H287" i="2" s="1"/>
  <c r="I287" i="2"/>
  <c r="K127" i="2"/>
  <c r="J127" i="2"/>
  <c r="H127" i="2" s="1"/>
  <c r="I127" i="2"/>
  <c r="I158" i="2"/>
  <c r="J158" i="2"/>
  <c r="H158" i="2" s="1"/>
  <c r="I15" i="2"/>
  <c r="J66" i="2"/>
  <c r="H66" i="2" s="1"/>
  <c r="K66" i="2"/>
  <c r="I66" i="2"/>
  <c r="G72" i="2"/>
  <c r="F72" i="2"/>
  <c r="K72" i="2" s="1"/>
  <c r="J138" i="2"/>
  <c r="I138" i="2"/>
  <c r="K32" i="2"/>
  <c r="J32" i="2"/>
  <c r="H32" i="2" s="1"/>
  <c r="I32" i="2"/>
  <c r="I51" i="2"/>
  <c r="G64" i="2"/>
  <c r="F64" i="2"/>
  <c r="J64" i="2" s="1"/>
  <c r="H64" i="2" s="1"/>
  <c r="K75" i="2"/>
  <c r="J75" i="2"/>
  <c r="H75" i="2" s="1"/>
  <c r="I75" i="2"/>
  <c r="G75" i="2"/>
  <c r="K98" i="2"/>
  <c r="J98" i="2"/>
  <c r="J118" i="2"/>
  <c r="H118" i="2" s="1"/>
  <c r="I118" i="2"/>
  <c r="K123" i="2"/>
  <c r="J123" i="2"/>
  <c r="H123" i="2" s="1"/>
  <c r="I123" i="2"/>
  <c r="K143" i="2"/>
  <c r="I143" i="2"/>
  <c r="J213" i="2"/>
  <c r="H213" i="2" s="1"/>
  <c r="I213" i="2"/>
  <c r="G213" i="2"/>
  <c r="K213" i="2"/>
  <c r="J4" i="2"/>
  <c r="H4" i="2" s="1"/>
  <c r="K4" i="2"/>
  <c r="I4" i="2"/>
  <c r="K23" i="2"/>
  <c r="I23" i="2"/>
  <c r="J76" i="2"/>
  <c r="H76" i="2" s="1"/>
  <c r="K76" i="2"/>
  <c r="I76" i="2"/>
  <c r="I39" i="2"/>
  <c r="J39" i="2"/>
  <c r="H39" i="2" s="1"/>
  <c r="J11" i="2"/>
  <c r="H11" i="2" s="1"/>
  <c r="K11" i="2"/>
  <c r="I11" i="2"/>
  <c r="G11" i="2"/>
  <c r="J91" i="2"/>
  <c r="H91" i="2" s="1"/>
  <c r="K91" i="2"/>
  <c r="I91" i="2"/>
  <c r="J188" i="2"/>
  <c r="H188" i="2" s="1"/>
  <c r="I188" i="2"/>
  <c r="K263" i="2"/>
  <c r="J263" i="2"/>
  <c r="H263" i="2" s="1"/>
  <c r="I263" i="2"/>
  <c r="J22" i="2"/>
  <c r="K44" i="2" s="1"/>
  <c r="I22" i="2"/>
  <c r="F101" i="2"/>
  <c r="K101" i="2" s="1"/>
  <c r="G126" i="2"/>
  <c r="F126" i="2"/>
  <c r="I126" i="2" s="1"/>
  <c r="K148" i="2"/>
  <c r="J148" i="2"/>
  <c r="H148" i="2" s="1"/>
  <c r="I148" i="2"/>
  <c r="I38" i="2"/>
  <c r="F111" i="2"/>
  <c r="J111" i="2" s="1"/>
  <c r="H111" i="2" s="1"/>
  <c r="G111" i="2"/>
  <c r="K40" i="2"/>
  <c r="J40" i="2"/>
  <c r="H40" i="2" s="1"/>
  <c r="I40" i="2"/>
  <c r="K59" i="2"/>
  <c r="I59" i="2"/>
  <c r="F147" i="2"/>
  <c r="J147" i="2" s="1"/>
  <c r="H147" i="2" s="1"/>
  <c r="G147" i="2"/>
  <c r="G184" i="2"/>
  <c r="I184" i="2"/>
  <c r="F3" i="2"/>
  <c r="K3" i="2" s="1"/>
  <c r="K41" i="2"/>
  <c r="I41" i="2"/>
  <c r="G56" i="2"/>
  <c r="F56" i="2"/>
  <c r="K56" i="2" s="1"/>
  <c r="K12" i="2"/>
  <c r="J12" i="2"/>
  <c r="K22" i="2" s="1"/>
  <c r="I12" i="2"/>
  <c r="I33" i="2"/>
  <c r="F48" i="2"/>
  <c r="I48" i="2" s="1"/>
  <c r="K57" i="2"/>
  <c r="I57" i="2"/>
  <c r="J57" i="2"/>
  <c r="H57" i="2" s="1"/>
  <c r="G57" i="2"/>
  <c r="F65" i="2"/>
  <c r="I65" i="2" s="1"/>
  <c r="J81" i="2"/>
  <c r="H81" i="2" s="1"/>
  <c r="K81" i="2"/>
  <c r="I81" i="2"/>
  <c r="G81" i="2"/>
  <c r="G86" i="2"/>
  <c r="F86" i="2"/>
  <c r="I86" i="2" s="1"/>
  <c r="G106" i="2"/>
  <c r="F106" i="2"/>
  <c r="J106" i="2" s="1"/>
  <c r="H106" i="2" s="1"/>
  <c r="G131" i="2"/>
  <c r="F131" i="2"/>
  <c r="K131" i="2" s="1"/>
  <c r="G153" i="2"/>
  <c r="F153" i="2"/>
  <c r="I153" i="2" s="1"/>
  <c r="F165" i="2"/>
  <c r="I203" i="2"/>
  <c r="K245" i="2"/>
  <c r="J245" i="2"/>
  <c r="H245" i="2" s="1"/>
  <c r="I245" i="2"/>
  <c r="K129" i="2"/>
  <c r="G176" i="2"/>
  <c r="G192" i="2"/>
  <c r="F192" i="2"/>
  <c r="I192" i="2" s="1"/>
  <c r="G220" i="2"/>
  <c r="F220" i="2"/>
  <c r="K220" i="2" s="1"/>
  <c r="K271" i="2"/>
  <c r="J271" i="2"/>
  <c r="H271" i="2" s="1"/>
  <c r="I271" i="2"/>
  <c r="J5" i="2"/>
  <c r="H5" i="2" s="1"/>
  <c r="F9" i="2"/>
  <c r="K9" i="2" s="1"/>
  <c r="J15" i="2"/>
  <c r="K25" i="2" s="1"/>
  <c r="F19" i="2"/>
  <c r="K19" i="2" s="1"/>
  <c r="J23" i="2"/>
  <c r="H23" i="2" s="1"/>
  <c r="F27" i="2"/>
  <c r="J33" i="2"/>
  <c r="K39" i="2" s="1"/>
  <c r="F37" i="2"/>
  <c r="K37" i="2" s="1"/>
  <c r="J41" i="2"/>
  <c r="H41" i="2" s="1"/>
  <c r="F45" i="2"/>
  <c r="K45" i="2" s="1"/>
  <c r="J51" i="2"/>
  <c r="K217" i="2" s="1"/>
  <c r="F55" i="2"/>
  <c r="K55" i="2" s="1"/>
  <c r="J59" i="2"/>
  <c r="H59" i="2" s="1"/>
  <c r="F63" i="2"/>
  <c r="K63" i="2" s="1"/>
  <c r="J67" i="2"/>
  <c r="F71" i="2"/>
  <c r="J77" i="2"/>
  <c r="H77" i="2" s="1"/>
  <c r="I80" i="2"/>
  <c r="J89" i="2"/>
  <c r="H89" i="2" s="1"/>
  <c r="K100" i="2"/>
  <c r="I116" i="2"/>
  <c r="J125" i="2"/>
  <c r="H125" i="2" s="1"/>
  <c r="K134" i="2"/>
  <c r="I152" i="2"/>
  <c r="F160" i="2"/>
  <c r="F167" i="2"/>
  <c r="I167" i="2" s="1"/>
  <c r="F176" i="2"/>
  <c r="K176" i="2" s="1"/>
  <c r="K178" i="2"/>
  <c r="G185" i="2"/>
  <c r="G223" i="2"/>
  <c r="I227" i="2"/>
  <c r="K251" i="2"/>
  <c r="J251" i="2"/>
  <c r="H251" i="2" s="1"/>
  <c r="I251" i="2"/>
  <c r="G277" i="2"/>
  <c r="F277" i="2"/>
  <c r="J277" i="2" s="1"/>
  <c r="H277" i="2" s="1"/>
  <c r="F185" i="2"/>
  <c r="J185" i="2" s="1"/>
  <c r="H185" i="2" s="1"/>
  <c r="F189" i="2"/>
  <c r="I189" i="2" s="1"/>
  <c r="G202" i="2"/>
  <c r="F202" i="2"/>
  <c r="J202" i="2" s="1"/>
  <c r="H202" i="2" s="1"/>
  <c r="I211" i="2"/>
  <c r="F223" i="2"/>
  <c r="K223" i="2" s="1"/>
  <c r="G241" i="2"/>
  <c r="J241" i="2"/>
  <c r="H241" i="2" s="1"/>
  <c r="G259" i="2"/>
  <c r="F259" i="2"/>
  <c r="J259" i="2" s="1"/>
  <c r="H259" i="2" s="1"/>
  <c r="F7" i="2"/>
  <c r="K7" i="2" s="1"/>
  <c r="F35" i="2"/>
  <c r="K35" i="2" s="1"/>
  <c r="F43" i="2"/>
  <c r="K43" i="2" s="1"/>
  <c r="F53" i="2"/>
  <c r="K53" i="2" s="1"/>
  <c r="F61" i="2"/>
  <c r="F79" i="2"/>
  <c r="I164" i="2"/>
  <c r="F169" i="2"/>
  <c r="J169" i="2" s="1"/>
  <c r="H169" i="2" s="1"/>
  <c r="G193" i="2"/>
  <c r="F195" i="2"/>
  <c r="K195" i="2" s="1"/>
  <c r="I196" i="2"/>
  <c r="I216" i="2"/>
  <c r="F230" i="2"/>
  <c r="G293" i="2"/>
  <c r="F293" i="2"/>
  <c r="K293" i="2" s="1"/>
  <c r="F6" i="2"/>
  <c r="K6" i="2" s="1"/>
  <c r="F16" i="2"/>
  <c r="F52" i="2"/>
  <c r="K52" i="2" s="1"/>
  <c r="F60" i="2"/>
  <c r="K60" i="2" s="1"/>
  <c r="F68" i="2"/>
  <c r="K68" i="2" s="1"/>
  <c r="F78" i="2"/>
  <c r="K78" i="2" s="1"/>
  <c r="I83" i="2"/>
  <c r="F88" i="2"/>
  <c r="J88" i="2" s="1"/>
  <c r="H88" i="2" s="1"/>
  <c r="F99" i="2"/>
  <c r="I99" i="2" s="1"/>
  <c r="F104" i="2"/>
  <c r="K104" i="2" s="1"/>
  <c r="F108" i="2"/>
  <c r="I108" i="2" s="1"/>
  <c r="F114" i="2"/>
  <c r="K114" i="2" s="1"/>
  <c r="F119" i="2"/>
  <c r="I119" i="2" s="1"/>
  <c r="F124" i="2"/>
  <c r="J124" i="2" s="1"/>
  <c r="H124" i="2" s="1"/>
  <c r="G129" i="2"/>
  <c r="F133" i="2"/>
  <c r="I133" i="2" s="1"/>
  <c r="F140" i="2"/>
  <c r="F144" i="2"/>
  <c r="I144" i="2" s="1"/>
  <c r="F151" i="2"/>
  <c r="K155" i="2"/>
  <c r="F159" i="2"/>
  <c r="J159" i="2" s="1"/>
  <c r="H159" i="2" s="1"/>
  <c r="J164" i="2"/>
  <c r="H164" i="2" s="1"/>
  <c r="F166" i="2"/>
  <c r="I166" i="2" s="1"/>
  <c r="G169" i="2"/>
  <c r="F193" i="2"/>
  <c r="K193" i="2" s="1"/>
  <c r="G195" i="2"/>
  <c r="F199" i="2"/>
  <c r="G212" i="2"/>
  <c r="F212" i="2"/>
  <c r="I212" i="2" s="1"/>
  <c r="F215" i="2"/>
  <c r="K215" i="2" s="1"/>
  <c r="K235" i="2"/>
  <c r="I235" i="2"/>
  <c r="G237" i="2"/>
  <c r="F237" i="2"/>
  <c r="K237" i="2" s="1"/>
  <c r="K327" i="2"/>
  <c r="J327" i="2"/>
  <c r="H327" i="2" s="1"/>
  <c r="I327" i="2"/>
  <c r="G339" i="2"/>
  <c r="F339" i="2"/>
  <c r="J339" i="2" s="1"/>
  <c r="H339" i="2" s="1"/>
  <c r="K291" i="2"/>
  <c r="J291" i="2"/>
  <c r="H291" i="2" s="1"/>
  <c r="F24" i="2"/>
  <c r="I24" i="2" s="1"/>
  <c r="F34" i="2"/>
  <c r="I34" i="2" s="1"/>
  <c r="F42" i="2"/>
  <c r="J80" i="2"/>
  <c r="H80" i="2" s="1"/>
  <c r="K82" i="2"/>
  <c r="J85" i="2"/>
  <c r="H85" i="2" s="1"/>
  <c r="G88" i="2"/>
  <c r="I89" i="2"/>
  <c r="J96" i="2"/>
  <c r="H96" i="2" s="1"/>
  <c r="I98" i="2"/>
  <c r="G99" i="2"/>
  <c r="I100" i="2"/>
  <c r="J107" i="2"/>
  <c r="G108" i="2"/>
  <c r="J116" i="2"/>
  <c r="H116" i="2" s="1"/>
  <c r="K118" i="2"/>
  <c r="J121" i="2"/>
  <c r="H121" i="2" s="1"/>
  <c r="I125" i="2"/>
  <c r="J130" i="2"/>
  <c r="K158" i="2" s="1"/>
  <c r="I132" i="2"/>
  <c r="G133" i="2"/>
  <c r="I134" i="2"/>
  <c r="J143" i="2"/>
  <c r="H143" i="2" s="1"/>
  <c r="J152" i="2"/>
  <c r="H152" i="2" s="1"/>
  <c r="K154" i="2"/>
  <c r="K157" i="2"/>
  <c r="G159" i="2"/>
  <c r="J161" i="2"/>
  <c r="J163" i="2"/>
  <c r="H163" i="2" s="1"/>
  <c r="K168" i="2"/>
  <c r="I168" i="2"/>
  <c r="I175" i="2"/>
  <c r="F177" i="2"/>
  <c r="J177" i="2" s="1"/>
  <c r="H177" i="2" s="1"/>
  <c r="K186" i="2"/>
  <c r="K188" i="2"/>
  <c r="K200" i="2"/>
  <c r="J203" i="2"/>
  <c r="H203" i="2" s="1"/>
  <c r="G203" i="2"/>
  <c r="F205" i="2"/>
  <c r="K205" i="2" s="1"/>
  <c r="I208" i="2"/>
  <c r="K281" i="2"/>
  <c r="J281" i="2"/>
  <c r="H281" i="2" s="1"/>
  <c r="I281" i="2"/>
  <c r="G308" i="2"/>
  <c r="I308" i="2"/>
  <c r="J183" i="2"/>
  <c r="H183" i="2" s="1"/>
  <c r="J191" i="2"/>
  <c r="H191" i="2" s="1"/>
  <c r="J201" i="2"/>
  <c r="H201" i="2" s="1"/>
  <c r="J211" i="2"/>
  <c r="K244" i="2"/>
  <c r="G255" i="2"/>
  <c r="K262" i="2"/>
  <c r="G275" i="2"/>
  <c r="K280" i="2"/>
  <c r="F351" i="2"/>
  <c r="I351" i="2" s="1"/>
  <c r="F359" i="2"/>
  <c r="F537" i="2"/>
  <c r="J537" i="2" s="1"/>
  <c r="H537" i="2" s="1"/>
  <c r="G537" i="2"/>
  <c r="J248" i="2"/>
  <c r="H248" i="2" s="1"/>
  <c r="F255" i="2"/>
  <c r="J255" i="2" s="1"/>
  <c r="H255" i="2" s="1"/>
  <c r="G260" i="2"/>
  <c r="I264" i="2"/>
  <c r="J266" i="2"/>
  <c r="H266" i="2" s="1"/>
  <c r="F275" i="2"/>
  <c r="J275" i="2" s="1"/>
  <c r="H275" i="2" s="1"/>
  <c r="G278" i="2"/>
  <c r="I282" i="2"/>
  <c r="J284" i="2"/>
  <c r="K294" i="2" s="1"/>
  <c r="K287" i="2"/>
  <c r="I291" i="2"/>
  <c r="G291" i="2"/>
  <c r="I301" i="2"/>
  <c r="G301" i="2"/>
  <c r="K303" i="2"/>
  <c r="J303" i="2"/>
  <c r="H303" i="2" s="1"/>
  <c r="I303" i="2"/>
  <c r="J342" i="2"/>
  <c r="H342" i="2" s="1"/>
  <c r="G342" i="2"/>
  <c r="K342" i="2"/>
  <c r="I342" i="2"/>
  <c r="F344" i="2"/>
  <c r="K344" i="2" s="1"/>
  <c r="G344" i="2"/>
  <c r="K357" i="2"/>
  <c r="J357" i="2"/>
  <c r="H357" i="2" s="1"/>
  <c r="K365" i="2"/>
  <c r="J365" i="2"/>
  <c r="H365" i="2" s="1"/>
  <c r="G433" i="2"/>
  <c r="F433" i="2"/>
  <c r="K433" i="2" s="1"/>
  <c r="G480" i="2"/>
  <c r="F480" i="2"/>
  <c r="I480" i="2" s="1"/>
  <c r="G231" i="2"/>
  <c r="G248" i="2"/>
  <c r="K345" i="2"/>
  <c r="J345" i="2"/>
  <c r="J381" i="2"/>
  <c r="H381" i="2" s="1"/>
  <c r="K381" i="2"/>
  <c r="I381" i="2"/>
  <c r="F427" i="2"/>
  <c r="K427" i="2" s="1"/>
  <c r="G427" i="2"/>
  <c r="F524" i="2"/>
  <c r="J524" i="2" s="1"/>
  <c r="H524" i="2" s="1"/>
  <c r="G524" i="2"/>
  <c r="I178" i="2"/>
  <c r="I186" i="2"/>
  <c r="I194" i="2"/>
  <c r="I204" i="2"/>
  <c r="I214" i="2"/>
  <c r="F219" i="2"/>
  <c r="I224" i="2"/>
  <c r="J225" i="2"/>
  <c r="H225" i="2" s="1"/>
  <c r="F229" i="2"/>
  <c r="K229" i="2" s="1"/>
  <c r="I232" i="2"/>
  <c r="J233" i="2"/>
  <c r="H233" i="2" s="1"/>
  <c r="J238" i="2"/>
  <c r="H238" i="2" s="1"/>
  <c r="J240" i="2"/>
  <c r="K242" i="2" s="1"/>
  <c r="G244" i="2"/>
  <c r="I247" i="2"/>
  <c r="G247" i="2"/>
  <c r="I248" i="2"/>
  <c r="F250" i="2"/>
  <c r="I250" i="2" s="1"/>
  <c r="K252" i="2"/>
  <c r="G254" i="2"/>
  <c r="G262" i="2"/>
  <c r="I265" i="2"/>
  <c r="G265" i="2"/>
  <c r="I266" i="2"/>
  <c r="F270" i="2"/>
  <c r="K270" i="2" s="1"/>
  <c r="K272" i="2"/>
  <c r="G274" i="2"/>
  <c r="G280" i="2"/>
  <c r="I283" i="2"/>
  <c r="G283" i="2"/>
  <c r="F286" i="2"/>
  <c r="J286" i="2" s="1"/>
  <c r="H286" i="2" s="1"/>
  <c r="K301" i="2"/>
  <c r="G313" i="2"/>
  <c r="F315" i="2"/>
  <c r="I315" i="2" s="1"/>
  <c r="F334" i="2"/>
  <c r="K355" i="2"/>
  <c r="J355" i="2"/>
  <c r="H355" i="2" s="1"/>
  <c r="I355" i="2"/>
  <c r="K363" i="2"/>
  <c r="J363" i="2"/>
  <c r="H363" i="2" s="1"/>
  <c r="I363" i="2"/>
  <c r="F379" i="2"/>
  <c r="I379" i="2" s="1"/>
  <c r="J465" i="2"/>
  <c r="H465" i="2" s="1"/>
  <c r="J224" i="2"/>
  <c r="G229" i="2"/>
  <c r="I231" i="2"/>
  <c r="J232" i="2"/>
  <c r="H232" i="2" s="1"/>
  <c r="K248" i="2"/>
  <c r="G250" i="2"/>
  <c r="I254" i="2"/>
  <c r="G270" i="2"/>
  <c r="I274" i="2"/>
  <c r="F300" i="2"/>
  <c r="F313" i="2"/>
  <c r="K313" i="2" s="1"/>
  <c r="J337" i="2"/>
  <c r="K337" i="2"/>
  <c r="I337" i="2"/>
  <c r="I345" i="2"/>
  <c r="G409" i="2"/>
  <c r="F409" i="2"/>
  <c r="J409" i="2" s="1"/>
  <c r="H409" i="2" s="1"/>
  <c r="I465" i="2"/>
  <c r="K465" i="2"/>
  <c r="G514" i="2"/>
  <c r="J231" i="2"/>
  <c r="H231" i="2" s="1"/>
  <c r="I239" i="2"/>
  <c r="I244" i="2"/>
  <c r="K249" i="2"/>
  <c r="I249" i="2"/>
  <c r="J254" i="2"/>
  <c r="H254" i="2" s="1"/>
  <c r="F258" i="2"/>
  <c r="I258" i="2" s="1"/>
  <c r="I262" i="2"/>
  <c r="I269" i="2"/>
  <c r="J274" i="2"/>
  <c r="H274" i="2" s="1"/>
  <c r="I276" i="2"/>
  <c r="I280" i="2"/>
  <c r="K285" i="2"/>
  <c r="I285" i="2"/>
  <c r="I290" i="2"/>
  <c r="J292" i="2"/>
  <c r="H292" i="2" s="1"/>
  <c r="I292" i="2"/>
  <c r="J294" i="2"/>
  <c r="F302" i="2"/>
  <c r="K302" i="2" s="1"/>
  <c r="K309" i="2"/>
  <c r="J309" i="2"/>
  <c r="H309" i="2" s="1"/>
  <c r="I309" i="2"/>
  <c r="F330" i="2"/>
  <c r="I330" i="2" s="1"/>
  <c r="K332" i="2"/>
  <c r="I332" i="2"/>
  <c r="K335" i="2"/>
  <c r="J335" i="2"/>
  <c r="I340" i="2"/>
  <c r="K361" i="2"/>
  <c r="I361" i="2"/>
  <c r="J361" i="2"/>
  <c r="H361" i="2" s="1"/>
  <c r="F375" i="2"/>
  <c r="I375" i="2" s="1"/>
  <c r="I388" i="2"/>
  <c r="F514" i="2"/>
  <c r="I514" i="2" s="1"/>
  <c r="J242" i="2"/>
  <c r="J244" i="2"/>
  <c r="H244" i="2" s="1"/>
  <c r="K254" i="2"/>
  <c r="J260" i="2"/>
  <c r="H260" i="2" s="1"/>
  <c r="J262" i="2"/>
  <c r="H262" i="2" s="1"/>
  <c r="K274" i="2"/>
  <c r="J278" i="2"/>
  <c r="H278" i="2" s="1"/>
  <c r="J280" i="2"/>
  <c r="H280" i="2" s="1"/>
  <c r="J283" i="2"/>
  <c r="H283" i="2" s="1"/>
  <c r="J290" i="2"/>
  <c r="H290" i="2" s="1"/>
  <c r="G302" i="2"/>
  <c r="F318" i="2"/>
  <c r="J318" i="2" s="1"/>
  <c r="H318" i="2" s="1"/>
  <c r="F320" i="2"/>
  <c r="J320" i="2" s="1"/>
  <c r="H320" i="2" s="1"/>
  <c r="G320" i="2"/>
  <c r="K353" i="2"/>
  <c r="I353" i="2"/>
  <c r="J353" i="2"/>
  <c r="H353" i="2" s="1"/>
  <c r="F400" i="2"/>
  <c r="I400" i="2" s="1"/>
  <c r="F405" i="2"/>
  <c r="J405" i="2" s="1"/>
  <c r="H405" i="2" s="1"/>
  <c r="G405" i="2"/>
  <c r="K437" i="2"/>
  <c r="I437" i="2"/>
  <c r="J304" i="2"/>
  <c r="H304" i="2" s="1"/>
  <c r="J310" i="2"/>
  <c r="F346" i="2"/>
  <c r="J346" i="2" s="1"/>
  <c r="H346" i="2" s="1"/>
  <c r="F367" i="2"/>
  <c r="J367" i="2" s="1"/>
  <c r="H367" i="2" s="1"/>
  <c r="K369" i="2"/>
  <c r="I369" i="2"/>
  <c r="K371" i="2"/>
  <c r="J371" i="2"/>
  <c r="H371" i="2" s="1"/>
  <c r="F500" i="2"/>
  <c r="J500" i="2" s="1"/>
  <c r="H500" i="2" s="1"/>
  <c r="F297" i="2"/>
  <c r="F307" i="2"/>
  <c r="J326" i="2"/>
  <c r="G331" i="2"/>
  <c r="I331" i="2"/>
  <c r="F336" i="2"/>
  <c r="I336" i="2" s="1"/>
  <c r="F341" i="2"/>
  <c r="J341" i="2" s="1"/>
  <c r="H341" i="2" s="1"/>
  <c r="G346" i="2"/>
  <c r="J352" i="2"/>
  <c r="H352" i="2" s="1"/>
  <c r="G352" i="2"/>
  <c r="F354" i="2"/>
  <c r="K354" i="2" s="1"/>
  <c r="F356" i="2"/>
  <c r="G462" i="2"/>
  <c r="F462" i="2"/>
  <c r="J462" i="2" s="1"/>
  <c r="H462" i="2" s="1"/>
  <c r="G475" i="2"/>
  <c r="F475" i="2"/>
  <c r="J475" i="2" s="1"/>
  <c r="H475" i="2" s="1"/>
  <c r="G498" i="2"/>
  <c r="G501" i="2"/>
  <c r="F501" i="2"/>
  <c r="K501" i="2" s="1"/>
  <c r="G509" i="2"/>
  <c r="G531" i="2"/>
  <c r="G548" i="2"/>
  <c r="F548" i="2"/>
  <c r="K548" i="2" s="1"/>
  <c r="G307" i="2"/>
  <c r="I312" i="2"/>
  <c r="J314" i="2"/>
  <c r="H314" i="2" s="1"/>
  <c r="J360" i="2"/>
  <c r="H360" i="2" s="1"/>
  <c r="G360" i="2"/>
  <c r="F362" i="2"/>
  <c r="K362" i="2" s="1"/>
  <c r="F364" i="2"/>
  <c r="K364" i="2" s="1"/>
  <c r="J369" i="2"/>
  <c r="H369" i="2" s="1"/>
  <c r="I371" i="2"/>
  <c r="F382" i="2"/>
  <c r="J382" i="2" s="1"/>
  <c r="H382" i="2" s="1"/>
  <c r="I385" i="2"/>
  <c r="K385" i="2"/>
  <c r="G385" i="2"/>
  <c r="J389" i="2"/>
  <c r="H389" i="2" s="1"/>
  <c r="I389" i="2"/>
  <c r="F454" i="2"/>
  <c r="J454" i="2" s="1"/>
  <c r="H454" i="2" s="1"/>
  <c r="G457" i="2"/>
  <c r="F457" i="2"/>
  <c r="J457" i="2" s="1"/>
  <c r="H457" i="2" s="1"/>
  <c r="I472" i="2"/>
  <c r="K472" i="2"/>
  <c r="J472" i="2"/>
  <c r="H472" i="2" s="1"/>
  <c r="G472" i="2"/>
  <c r="G493" i="2"/>
  <c r="F493" i="2"/>
  <c r="K493" i="2" s="1"/>
  <c r="F498" i="2"/>
  <c r="I498" i="2" s="1"/>
  <c r="F509" i="2"/>
  <c r="K509" i="2" s="1"/>
  <c r="F531" i="2"/>
  <c r="J531" i="2" s="1"/>
  <c r="H531" i="2" s="1"/>
  <c r="J316" i="2"/>
  <c r="H316" i="2" s="1"/>
  <c r="G316" i="2"/>
  <c r="I321" i="2"/>
  <c r="F328" i="2"/>
  <c r="F333" i="2"/>
  <c r="J333" i="2" s="1"/>
  <c r="H333" i="2" s="1"/>
  <c r="F338" i="2"/>
  <c r="K338" i="2" s="1"/>
  <c r="J368" i="2"/>
  <c r="H368" i="2" s="1"/>
  <c r="G368" i="2"/>
  <c r="F370" i="2"/>
  <c r="K370" i="2" s="1"/>
  <c r="F372" i="2"/>
  <c r="I372" i="2" s="1"/>
  <c r="G372" i="2"/>
  <c r="F387" i="2"/>
  <c r="J387" i="2" s="1"/>
  <c r="H387" i="2" s="1"/>
  <c r="G387" i="2"/>
  <c r="J402" i="2"/>
  <c r="K404" i="2"/>
  <c r="J404" i="2"/>
  <c r="H404" i="2" s="1"/>
  <c r="I404" i="2"/>
  <c r="G411" i="2"/>
  <c r="F411" i="2"/>
  <c r="J411" i="2" s="1"/>
  <c r="H411" i="2" s="1"/>
  <c r="K416" i="2"/>
  <c r="J416" i="2"/>
  <c r="H416" i="2" s="1"/>
  <c r="I416" i="2"/>
  <c r="G416" i="2"/>
  <c r="F423" i="2"/>
  <c r="I423" i="2" s="1"/>
  <c r="G447" i="2"/>
  <c r="K447" i="2"/>
  <c r="G496" i="2"/>
  <c r="J496" i="2"/>
  <c r="H496" i="2" s="1"/>
  <c r="K496" i="2"/>
  <c r="I496" i="2"/>
  <c r="J340" i="2"/>
  <c r="H340" i="2" s="1"/>
  <c r="J374" i="2"/>
  <c r="H374" i="2" s="1"/>
  <c r="I374" i="2"/>
  <c r="G383" i="2"/>
  <c r="F383" i="2"/>
  <c r="I383" i="2" s="1"/>
  <c r="J396" i="2"/>
  <c r="K414" i="2" s="1"/>
  <c r="G442" i="2"/>
  <c r="F442" i="2"/>
  <c r="J442" i="2" s="1"/>
  <c r="H442" i="2" s="1"/>
  <c r="G467" i="2"/>
  <c r="F467" i="2"/>
  <c r="K467" i="2" s="1"/>
  <c r="F516" i="2"/>
  <c r="G539" i="2"/>
  <c r="F539" i="2"/>
  <c r="I539" i="2" s="1"/>
  <c r="F542" i="2"/>
  <c r="J542" i="2" s="1"/>
  <c r="H542" i="2" s="1"/>
  <c r="G542" i="2"/>
  <c r="I349" i="2"/>
  <c r="I357" i="2"/>
  <c r="I365" i="2"/>
  <c r="K374" i="2"/>
  <c r="K392" i="2"/>
  <c r="I392" i="2"/>
  <c r="K398" i="2"/>
  <c r="K412" i="2"/>
  <c r="J412" i="2"/>
  <c r="H412" i="2" s="1"/>
  <c r="K413" i="2"/>
  <c r="G464" i="2"/>
  <c r="F464" i="2"/>
  <c r="I464" i="2" s="1"/>
  <c r="J476" i="2"/>
  <c r="K481" i="2"/>
  <c r="G513" i="2"/>
  <c r="F513" i="2"/>
  <c r="I513" i="2" s="1"/>
  <c r="J373" i="2"/>
  <c r="H373" i="2" s="1"/>
  <c r="G373" i="2"/>
  <c r="J376" i="2"/>
  <c r="H376" i="2" s="1"/>
  <c r="J391" i="2"/>
  <c r="H391" i="2" s="1"/>
  <c r="G391" i="2"/>
  <c r="J401" i="2"/>
  <c r="H401" i="2" s="1"/>
  <c r="G401" i="2"/>
  <c r="J403" i="2"/>
  <c r="H403" i="2" s="1"/>
  <c r="I403" i="2"/>
  <c r="I412" i="2"/>
  <c r="I434" i="2"/>
  <c r="K434" i="2"/>
  <c r="J434" i="2"/>
  <c r="H434" i="2" s="1"/>
  <c r="J445" i="2"/>
  <c r="H445" i="2" s="1"/>
  <c r="G478" i="2"/>
  <c r="I491" i="2"/>
  <c r="F503" i="2"/>
  <c r="I503" i="2" s="1"/>
  <c r="F511" i="2"/>
  <c r="I511" i="2" s="1"/>
  <c r="G511" i="2"/>
  <c r="K384" i="2"/>
  <c r="J393" i="2"/>
  <c r="H393" i="2" s="1"/>
  <c r="I393" i="2"/>
  <c r="K428" i="2"/>
  <c r="J428" i="2"/>
  <c r="H428" i="2" s="1"/>
  <c r="J440" i="2"/>
  <c r="K468" i="2" s="1"/>
  <c r="I440" i="2"/>
  <c r="I445" i="2"/>
  <c r="K445" i="2"/>
  <c r="I448" i="2"/>
  <c r="K448" i="2"/>
  <c r="I450" i="2"/>
  <c r="K455" i="2"/>
  <c r="I455" i="2"/>
  <c r="K459" i="2"/>
  <c r="J459" i="2"/>
  <c r="H459" i="2" s="1"/>
  <c r="K470" i="2"/>
  <c r="I470" i="2"/>
  <c r="K473" i="2"/>
  <c r="I473" i="2"/>
  <c r="F478" i="2"/>
  <c r="I478" i="2" s="1"/>
  <c r="G483" i="2"/>
  <c r="F483" i="2"/>
  <c r="I483" i="2" s="1"/>
  <c r="F485" i="2"/>
  <c r="K485" i="2" s="1"/>
  <c r="G485" i="2"/>
  <c r="I488" i="2"/>
  <c r="K488" i="2"/>
  <c r="J488" i="2"/>
  <c r="H488" i="2" s="1"/>
  <c r="G503" i="2"/>
  <c r="F529" i="2"/>
  <c r="I529" i="2" s="1"/>
  <c r="F534" i="2"/>
  <c r="J534" i="2" s="1"/>
  <c r="H534" i="2" s="1"/>
  <c r="F417" i="2"/>
  <c r="J417" i="2" s="1"/>
  <c r="H417" i="2" s="1"/>
  <c r="G422" i="2"/>
  <c r="G426" i="2"/>
  <c r="F519" i="2"/>
  <c r="K519" i="2" s="1"/>
  <c r="G521" i="2"/>
  <c r="F521" i="2"/>
  <c r="K521" i="2" s="1"/>
  <c r="I373" i="2"/>
  <c r="G384" i="2"/>
  <c r="I390" i="2"/>
  <c r="I391" i="2"/>
  <c r="G393" i="2"/>
  <c r="F397" i="2"/>
  <c r="K397" i="2" s="1"/>
  <c r="K401" i="2"/>
  <c r="G408" i="2"/>
  <c r="F408" i="2"/>
  <c r="K410" i="2"/>
  <c r="I410" i="2"/>
  <c r="I413" i="2"/>
  <c r="J415" i="2"/>
  <c r="H415" i="2" s="1"/>
  <c r="K415" i="2"/>
  <c r="G415" i="2"/>
  <c r="G417" i="2"/>
  <c r="F422" i="2"/>
  <c r="J422" i="2" s="1"/>
  <c r="H422" i="2" s="1"/>
  <c r="F426" i="2"/>
  <c r="K426" i="2" s="1"/>
  <c r="G488" i="2"/>
  <c r="F506" i="2"/>
  <c r="J506" i="2" s="1"/>
  <c r="H506" i="2" s="1"/>
  <c r="G519" i="2"/>
  <c r="I414" i="2"/>
  <c r="J425" i="2"/>
  <c r="I436" i="2"/>
  <c r="G439" i="2"/>
  <c r="K439" i="2"/>
  <c r="I444" i="2"/>
  <c r="G444" i="2"/>
  <c r="F469" i="2"/>
  <c r="I469" i="2" s="1"/>
  <c r="F482" i="2"/>
  <c r="F495" i="2"/>
  <c r="J495" i="2" s="1"/>
  <c r="K497" i="2"/>
  <c r="K505" i="2"/>
  <c r="I505" i="2"/>
  <c r="F508" i="2"/>
  <c r="I508" i="2" s="1"/>
  <c r="F449" i="2"/>
  <c r="I449" i="2" s="1"/>
  <c r="F466" i="2"/>
  <c r="K466" i="2" s="1"/>
  <c r="F477" i="2"/>
  <c r="K477" i="2" s="1"/>
  <c r="G477" i="2"/>
  <c r="K487" i="2"/>
  <c r="I487" i="2"/>
  <c r="F492" i="2"/>
  <c r="J492" i="2" s="1"/>
  <c r="H492" i="2" s="1"/>
  <c r="J515" i="2"/>
  <c r="H515" i="2" s="1"/>
  <c r="J533" i="2"/>
  <c r="H533" i="2" s="1"/>
  <c r="I533" i="2"/>
  <c r="G543" i="2"/>
  <c r="F446" i="2"/>
  <c r="K446" i="2" s="1"/>
  <c r="F461" i="2"/>
  <c r="I461" i="2" s="1"/>
  <c r="G461" i="2"/>
  <c r="F474" i="2"/>
  <c r="K474" i="2" s="1"/>
  <c r="G530" i="2"/>
  <c r="G535" i="2"/>
  <c r="F535" i="2"/>
  <c r="F543" i="2"/>
  <c r="I543" i="2" s="1"/>
  <c r="I421" i="2"/>
  <c r="F424" i="2"/>
  <c r="I424" i="2" s="1"/>
  <c r="G429" i="2"/>
  <c r="I430" i="2"/>
  <c r="J435" i="2"/>
  <c r="H435" i="2" s="1"/>
  <c r="F441" i="2"/>
  <c r="I441" i="2" s="1"/>
  <c r="G441" i="2"/>
  <c r="K443" i="2"/>
  <c r="G446" i="2"/>
  <c r="K451" i="2"/>
  <c r="I451" i="2"/>
  <c r="F456" i="2"/>
  <c r="F463" i="2"/>
  <c r="F471" i="2"/>
  <c r="J471" i="2" s="1"/>
  <c r="G474" i="2"/>
  <c r="J481" i="2"/>
  <c r="H481" i="2" s="1"/>
  <c r="G487" i="2"/>
  <c r="J505" i="2"/>
  <c r="H505" i="2" s="1"/>
  <c r="G512" i="2"/>
  <c r="J512" i="2"/>
  <c r="H512" i="2" s="1"/>
  <c r="K512" i="2"/>
  <c r="F517" i="2"/>
  <c r="J518" i="2"/>
  <c r="H518" i="2" s="1"/>
  <c r="I522" i="2"/>
  <c r="G525" i="2"/>
  <c r="K525" i="2"/>
  <c r="F530" i="2"/>
  <c r="I530" i="2" s="1"/>
  <c r="I532" i="2"/>
  <c r="G532" i="2"/>
  <c r="K536" i="2"/>
  <c r="F540" i="2"/>
  <c r="F545" i="2"/>
  <c r="G546" i="2"/>
  <c r="J546" i="2"/>
  <c r="H546" i="2" s="1"/>
  <c r="J437" i="2"/>
  <c r="H437" i="2" s="1"/>
  <c r="J450" i="2"/>
  <c r="H450" i="2" s="1"/>
  <c r="J455" i="2"/>
  <c r="H455" i="2" s="1"/>
  <c r="G470" i="2"/>
  <c r="J470" i="2"/>
  <c r="H470" i="2" s="1"/>
  <c r="J473" i="2"/>
  <c r="H473" i="2" s="1"/>
  <c r="G486" i="2"/>
  <c r="J486" i="2"/>
  <c r="H486" i="2" s="1"/>
  <c r="J491" i="2"/>
  <c r="H491" i="2" s="1"/>
  <c r="J504" i="2"/>
  <c r="H504" i="2" s="1"/>
  <c r="J507" i="2"/>
  <c r="H507" i="2" s="1"/>
  <c r="G520" i="2"/>
  <c r="J520" i="2"/>
  <c r="H520" i="2" s="1"/>
  <c r="J523" i="2"/>
  <c r="J538" i="2"/>
  <c r="H538" i="2" s="1"/>
  <c r="K546" i="2"/>
  <c r="I549" i="2"/>
  <c r="K549" i="2"/>
  <c r="J551" i="2"/>
  <c r="H551" i="2" s="1"/>
  <c r="F547" i="2"/>
  <c r="F550" i="2"/>
  <c r="G551" i="2"/>
  <c r="I551" i="2"/>
  <c r="F556" i="2"/>
  <c r="K556" i="2" s="1"/>
  <c r="F555" i="2"/>
  <c r="I555" i="2" s="1"/>
  <c r="G556" i="2"/>
  <c r="F554" i="2"/>
  <c r="K554" i="2" s="1"/>
  <c r="G555" i="2"/>
  <c r="F553" i="2"/>
  <c r="J553" i="2" s="1"/>
  <c r="G554" i="2"/>
  <c r="F552" i="2"/>
  <c r="J552" i="2" s="1"/>
  <c r="H552" i="2" s="1"/>
  <c r="K181" i="2" l="1"/>
  <c r="H224" i="2"/>
  <c r="H553" i="2"/>
  <c r="H523" i="2"/>
  <c r="H522" i="2"/>
  <c r="K502" i="2"/>
  <c r="H502" i="2"/>
  <c r="H476" i="2"/>
  <c r="H471" i="2"/>
  <c r="H430" i="2"/>
  <c r="H425" i="2"/>
  <c r="K425" i="2"/>
  <c r="H402" i="2"/>
  <c r="H345" i="2"/>
  <c r="H337" i="2"/>
  <c r="H335" i="2"/>
  <c r="G335" i="2"/>
  <c r="K227" i="2"/>
  <c r="K160" i="2"/>
  <c r="H240" i="2"/>
  <c r="G240" i="2"/>
  <c r="H242" i="2"/>
  <c r="G242" i="2"/>
  <c r="G234" i="2"/>
  <c r="K219" i="2"/>
  <c r="H217" i="2"/>
  <c r="H211" i="2"/>
  <c r="H161" i="2"/>
  <c r="H130" i="2"/>
  <c r="H107" i="2"/>
  <c r="H98" i="2"/>
  <c r="H87" i="2"/>
  <c r="K545" i="2"/>
  <c r="H414" i="2"/>
  <c r="H349" i="2"/>
  <c r="K334" i="2"/>
  <c r="H310" i="2"/>
  <c r="K300" i="2"/>
  <c r="H294" i="2"/>
  <c r="H284" i="2"/>
  <c r="H67" i="2"/>
  <c r="H51" i="2"/>
  <c r="H44" i="2"/>
  <c r="K33" i="2"/>
  <c r="J379" i="2"/>
  <c r="K396" i="2" s="1"/>
  <c r="H22" i="2"/>
  <c r="K48" i="2"/>
  <c r="I56" i="2"/>
  <c r="K192" i="2"/>
  <c r="J56" i="2"/>
  <c r="H56" i="2" s="1"/>
  <c r="J308" i="2"/>
  <c r="H308" i="2" s="1"/>
  <c r="J529" i="2"/>
  <c r="K538" i="2" s="1"/>
  <c r="I485" i="2"/>
  <c r="J205" i="2"/>
  <c r="H205" i="2" s="1"/>
  <c r="I359" i="2"/>
  <c r="J555" i="2"/>
  <c r="H555" i="2" s="1"/>
  <c r="I135" i="2"/>
  <c r="I454" i="2"/>
  <c r="I320" i="2"/>
  <c r="K555" i="2"/>
  <c r="J516" i="2"/>
  <c r="K522" i="2" s="1"/>
  <c r="K379" i="2"/>
  <c r="K537" i="2"/>
  <c r="K503" i="2"/>
  <c r="I537" i="2"/>
  <c r="J90" i="2"/>
  <c r="K230" i="2" s="1"/>
  <c r="H12" i="2"/>
  <c r="J359" i="2"/>
  <c r="K367" i="2" s="1"/>
  <c r="J135" i="2"/>
  <c r="H135" i="2" s="1"/>
  <c r="J193" i="2"/>
  <c r="H193" i="2" s="1"/>
  <c r="I519" i="2"/>
  <c r="K318" i="2"/>
  <c r="K111" i="2"/>
  <c r="J323" i="2"/>
  <c r="H323" i="2" s="1"/>
  <c r="J464" i="2"/>
  <c r="H464" i="2" s="1"/>
  <c r="J539" i="2"/>
  <c r="H539" i="2" s="1"/>
  <c r="K241" i="2"/>
  <c r="I181" i="2"/>
  <c r="J167" i="2"/>
  <c r="H167" i="2" s="1"/>
  <c r="K64" i="2"/>
  <c r="J315" i="2"/>
  <c r="K326" i="2" s="1"/>
  <c r="J38" i="2"/>
  <c r="J195" i="2"/>
  <c r="H195" i="2" s="1"/>
  <c r="J375" i="2"/>
  <c r="H375" i="2" s="1"/>
  <c r="K478" i="2"/>
  <c r="K375" i="2"/>
  <c r="K315" i="2"/>
  <c r="I45" i="2"/>
  <c r="J187" i="2"/>
  <c r="J220" i="2"/>
  <c r="H220" i="2" s="1"/>
  <c r="I27" i="2"/>
  <c r="J34" i="2"/>
  <c r="H34" i="2" s="1"/>
  <c r="K147" i="2"/>
  <c r="I111" i="2"/>
  <c r="I241" i="2"/>
  <c r="K539" i="2"/>
  <c r="I542" i="2"/>
  <c r="I205" i="2"/>
  <c r="I90" i="2"/>
  <c r="K480" i="2"/>
  <c r="K34" i="2"/>
  <c r="J86" i="2"/>
  <c r="H86" i="2" s="1"/>
  <c r="I122" i="2"/>
  <c r="K153" i="2"/>
  <c r="J71" i="2"/>
  <c r="K87" i="2" s="1"/>
  <c r="H8" i="2"/>
  <c r="I506" i="2"/>
  <c r="K457" i="2"/>
  <c r="J153" i="2"/>
  <c r="H153" i="2" s="1"/>
  <c r="I362" i="2"/>
  <c r="K543" i="2"/>
  <c r="K86" i="2"/>
  <c r="K122" i="2"/>
  <c r="I71" i="2"/>
  <c r="I495" i="2"/>
  <c r="J362" i="2"/>
  <c r="H362" i="2" s="1"/>
  <c r="I433" i="2"/>
  <c r="J212" i="2"/>
  <c r="H212" i="2" s="1"/>
  <c r="I195" i="2"/>
  <c r="I187" i="2"/>
  <c r="K83" i="2"/>
  <c r="J126" i="2"/>
  <c r="H126" i="2" s="1"/>
  <c r="K323" i="2"/>
  <c r="K506" i="2"/>
  <c r="I531" i="2"/>
  <c r="K409" i="2"/>
  <c r="J433" i="2"/>
  <c r="H433" i="2" s="1"/>
  <c r="K250" i="2"/>
  <c r="I63" i="2"/>
  <c r="J192" i="2"/>
  <c r="H192" i="2" s="1"/>
  <c r="K126" i="2"/>
  <c r="J477" i="2"/>
  <c r="H477" i="2" s="1"/>
  <c r="I521" i="2"/>
  <c r="K464" i="2"/>
  <c r="J509" i="2"/>
  <c r="H509" i="2" s="1"/>
  <c r="K189" i="2"/>
  <c r="I176" i="2"/>
  <c r="K38" i="2"/>
  <c r="I405" i="2"/>
  <c r="K255" i="2"/>
  <c r="I165" i="2"/>
  <c r="J144" i="2"/>
  <c r="K151" i="2" s="1"/>
  <c r="J181" i="2"/>
  <c r="K187" i="2" s="1"/>
  <c r="I88" i="2"/>
  <c r="J165" i="2"/>
  <c r="J19" i="2"/>
  <c r="H19" i="2" s="1"/>
  <c r="K117" i="2"/>
  <c r="K524" i="2"/>
  <c r="J179" i="2"/>
  <c r="H179" i="2" s="1"/>
  <c r="K534" i="2"/>
  <c r="J478" i="2"/>
  <c r="H478" i="2" s="1"/>
  <c r="J370" i="2"/>
  <c r="H370" i="2" s="1"/>
  <c r="I493" i="2"/>
  <c r="I382" i="2"/>
  <c r="J498" i="2"/>
  <c r="H498" i="2" s="1"/>
  <c r="I471" i="2"/>
  <c r="J493" i="2"/>
  <c r="H493" i="2" s="1"/>
  <c r="I457" i="2"/>
  <c r="K531" i="2"/>
  <c r="K498" i="2"/>
  <c r="K500" i="2"/>
  <c r="I367" i="2"/>
  <c r="K471" i="2"/>
  <c r="J521" i="2"/>
  <c r="H521" i="2" s="1"/>
  <c r="J485" i="2"/>
  <c r="H485" i="2" s="1"/>
  <c r="J503" i="2"/>
  <c r="H503" i="2" s="1"/>
  <c r="I516" i="2"/>
  <c r="I509" i="2"/>
  <c r="K346" i="2"/>
  <c r="K405" i="2"/>
  <c r="K330" i="2"/>
  <c r="I409" i="2"/>
  <c r="J302" i="2"/>
  <c r="H302" i="2" s="1"/>
  <c r="I313" i="2"/>
  <c r="J480" i="2"/>
  <c r="H480" i="2" s="1"/>
  <c r="K212" i="2"/>
  <c r="I19" i="2"/>
  <c r="J176" i="2"/>
  <c r="H176" i="2" s="1"/>
  <c r="K202" i="2"/>
  <c r="I209" i="2"/>
  <c r="J117" i="2"/>
  <c r="H117" i="2" s="1"/>
  <c r="J63" i="2"/>
  <c r="I31" i="2"/>
  <c r="J65" i="2"/>
  <c r="K79" i="2" s="1"/>
  <c r="I64" i="2"/>
  <c r="J209" i="2"/>
  <c r="H209" i="2" s="1"/>
  <c r="J108" i="2"/>
  <c r="H108" i="2" s="1"/>
  <c r="J31" i="2"/>
  <c r="H31" i="2" s="1"/>
  <c r="K492" i="2"/>
  <c r="J160" i="2"/>
  <c r="K166" i="2" s="1"/>
  <c r="K422" i="2"/>
  <c r="I417" i="2"/>
  <c r="K495" i="2"/>
  <c r="I477" i="2"/>
  <c r="K475" i="2"/>
  <c r="K320" i="2"/>
  <c r="J514" i="2"/>
  <c r="H514" i="2" s="1"/>
  <c r="I193" i="2"/>
  <c r="K286" i="2"/>
  <c r="K167" i="2"/>
  <c r="I9" i="2"/>
  <c r="J184" i="2"/>
  <c r="H184" i="2" s="1"/>
  <c r="I492" i="2"/>
  <c r="K530" i="2"/>
  <c r="J519" i="2"/>
  <c r="H519" i="2" s="1"/>
  <c r="K417" i="2"/>
  <c r="K483" i="2"/>
  <c r="K333" i="2"/>
  <c r="K514" i="2"/>
  <c r="J334" i="2"/>
  <c r="K351" i="2" s="1"/>
  <c r="J351" i="2"/>
  <c r="K359" i="2" s="1"/>
  <c r="I255" i="2"/>
  <c r="J189" i="2"/>
  <c r="H189" i="2" s="1"/>
  <c r="I55" i="2"/>
  <c r="I202" i="2"/>
  <c r="I220" i="2"/>
  <c r="J48" i="2"/>
  <c r="K61" i="2" s="1"/>
  <c r="K184" i="2"/>
  <c r="J42" i="2"/>
  <c r="K71" i="2" s="1"/>
  <c r="I42" i="2"/>
  <c r="J356" i="2"/>
  <c r="I356" i="2"/>
  <c r="J140" i="2"/>
  <c r="H140" i="2" s="1"/>
  <c r="I140" i="2"/>
  <c r="I547" i="2"/>
  <c r="J547" i="2"/>
  <c r="H547" i="2" s="1"/>
  <c r="K449" i="2"/>
  <c r="J449" i="2"/>
  <c r="H449" i="2" s="1"/>
  <c r="I402" i="2"/>
  <c r="J307" i="2"/>
  <c r="H307" i="2" s="1"/>
  <c r="I307" i="2"/>
  <c r="I215" i="2"/>
  <c r="I28" i="2"/>
  <c r="I553" i="2"/>
  <c r="I426" i="2"/>
  <c r="J513" i="2"/>
  <c r="H513" i="2" s="1"/>
  <c r="I442" i="2"/>
  <c r="J423" i="2"/>
  <c r="H423" i="2" s="1"/>
  <c r="K411" i="2"/>
  <c r="I346" i="2"/>
  <c r="I548" i="2"/>
  <c r="I462" i="2"/>
  <c r="J354" i="2"/>
  <c r="H354" i="2" s="1"/>
  <c r="K297" i="2"/>
  <c r="J297" i="2"/>
  <c r="H297" i="2" s="1"/>
  <c r="I297" i="2"/>
  <c r="I270" i="2"/>
  <c r="I300" i="2"/>
  <c r="J427" i="2"/>
  <c r="H427" i="2" s="1"/>
  <c r="J270" i="2"/>
  <c r="H270" i="2" s="1"/>
  <c r="K339" i="2"/>
  <c r="I237" i="2"/>
  <c r="J215" i="2"/>
  <c r="K269" i="2" s="1"/>
  <c r="J230" i="2"/>
  <c r="K450" i="2" s="1"/>
  <c r="K144" i="2"/>
  <c r="J61" i="2"/>
  <c r="K65" i="2" s="1"/>
  <c r="I61" i="2"/>
  <c r="I259" i="2"/>
  <c r="I277" i="2"/>
  <c r="I223" i="2"/>
  <c r="I160" i="2"/>
  <c r="J83" i="2"/>
  <c r="H83" i="2" s="1"/>
  <c r="K106" i="2"/>
  <c r="I101" i="2"/>
  <c r="J3" i="2"/>
  <c r="K8" i="2" s="1"/>
  <c r="J142" i="2"/>
  <c r="H142" i="2" s="1"/>
  <c r="I20" i="2"/>
  <c r="J28" i="2"/>
  <c r="H28" i="2" s="1"/>
  <c r="J60" i="2"/>
  <c r="H60" i="2" s="1"/>
  <c r="I60" i="2"/>
  <c r="I535" i="2"/>
  <c r="K535" i="2"/>
  <c r="J535" i="2"/>
  <c r="H535" i="2" s="1"/>
  <c r="J408" i="2"/>
  <c r="H408" i="2" s="1"/>
  <c r="K408" i="2"/>
  <c r="K542" i="2"/>
  <c r="K372" i="2"/>
  <c r="J372" i="2"/>
  <c r="H372" i="2" s="1"/>
  <c r="I427" i="2"/>
  <c r="J69" i="2"/>
  <c r="H69" i="2" s="1"/>
  <c r="I69" i="2"/>
  <c r="J55" i="2"/>
  <c r="J556" i="2"/>
  <c r="H556" i="2" s="1"/>
  <c r="I482" i="2"/>
  <c r="J482" i="2"/>
  <c r="H482" i="2" s="1"/>
  <c r="K547" i="2"/>
  <c r="J530" i="2"/>
  <c r="H530" i="2" s="1"/>
  <c r="K508" i="2"/>
  <c r="K482" i="2"/>
  <c r="I408" i="2"/>
  <c r="J426" i="2"/>
  <c r="H426" i="2" s="1"/>
  <c r="J543" i="2"/>
  <c r="H543" i="2" s="1"/>
  <c r="J511" i="2"/>
  <c r="H511" i="2" s="1"/>
  <c r="K513" i="2"/>
  <c r="K442" i="2"/>
  <c r="J383" i="2"/>
  <c r="H383" i="2" s="1"/>
  <c r="K423" i="2"/>
  <c r="I411" i="2"/>
  <c r="I387" i="2"/>
  <c r="I370" i="2"/>
  <c r="I333" i="2"/>
  <c r="I501" i="2"/>
  <c r="K462" i="2"/>
  <c r="K307" i="2"/>
  <c r="K400" i="2"/>
  <c r="J400" i="2"/>
  <c r="K402" i="2" s="1"/>
  <c r="J300" i="2"/>
  <c r="K310" i="2" s="1"/>
  <c r="K388" i="2"/>
  <c r="J330" i="2"/>
  <c r="H330" i="2" s="1"/>
  <c r="J276" i="2"/>
  <c r="H276" i="2" s="1"/>
  <c r="I334" i="2"/>
  <c r="I524" i="2"/>
  <c r="J250" i="2"/>
  <c r="H250" i="2" s="1"/>
  <c r="J229" i="2"/>
  <c r="H229" i="2" s="1"/>
  <c r="K308" i="2"/>
  <c r="I339" i="2"/>
  <c r="J237" i="2"/>
  <c r="H237" i="2" s="1"/>
  <c r="K159" i="2"/>
  <c r="I159" i="2"/>
  <c r="J78" i="2"/>
  <c r="H78" i="2" s="1"/>
  <c r="I78" i="2"/>
  <c r="I293" i="2"/>
  <c r="J133" i="2"/>
  <c r="H133" i="2" s="1"/>
  <c r="J53" i="2"/>
  <c r="H53" i="2" s="1"/>
  <c r="I53" i="2"/>
  <c r="K259" i="2"/>
  <c r="K277" i="2"/>
  <c r="J223" i="2"/>
  <c r="H223" i="2" s="1"/>
  <c r="K119" i="2"/>
  <c r="K24" i="2"/>
  <c r="J24" i="2"/>
  <c r="H24" i="2" s="1"/>
  <c r="I131" i="2"/>
  <c r="I106" i="2"/>
  <c r="J101" i="2"/>
  <c r="I3" i="2"/>
  <c r="I72" i="2"/>
  <c r="K142" i="2"/>
  <c r="I97" i="2"/>
  <c r="J20" i="2"/>
  <c r="K67" i="2" s="1"/>
  <c r="K540" i="2"/>
  <c r="J540" i="2"/>
  <c r="H540" i="2" s="1"/>
  <c r="I517" i="2"/>
  <c r="K517" i="2"/>
  <c r="J517" i="2"/>
  <c r="J441" i="2"/>
  <c r="H441" i="2" s="1"/>
  <c r="K441" i="2"/>
  <c r="J338" i="2"/>
  <c r="H338" i="2" s="1"/>
  <c r="I338" i="2"/>
  <c r="I341" i="2"/>
  <c r="J6" i="2"/>
  <c r="H6" i="2" s="1"/>
  <c r="I6" i="2"/>
  <c r="J554" i="2"/>
  <c r="H554" i="2" s="1"/>
  <c r="K383" i="2"/>
  <c r="I354" i="2"/>
  <c r="I318" i="2"/>
  <c r="J52" i="2"/>
  <c r="H52" i="2" s="1"/>
  <c r="I52" i="2"/>
  <c r="I230" i="2"/>
  <c r="K552" i="2"/>
  <c r="I552" i="2"/>
  <c r="I550" i="2"/>
  <c r="J550" i="2"/>
  <c r="I554" i="2"/>
  <c r="J461" i="2"/>
  <c r="H461" i="2" s="1"/>
  <c r="K461" i="2"/>
  <c r="I534" i="2"/>
  <c r="I438" i="2"/>
  <c r="J438" i="2"/>
  <c r="H438" i="2" s="1"/>
  <c r="K511" i="2"/>
  <c r="I467" i="2"/>
  <c r="I447" i="2"/>
  <c r="J328" i="2"/>
  <c r="H328" i="2" s="1"/>
  <c r="K328" i="2"/>
  <c r="I364" i="2"/>
  <c r="J364" i="2"/>
  <c r="H364" i="2" s="1"/>
  <c r="J501" i="2"/>
  <c r="H501" i="2" s="1"/>
  <c r="I500" i="2"/>
  <c r="J313" i="2"/>
  <c r="H313" i="2" s="1"/>
  <c r="J219" i="2"/>
  <c r="J17" i="2"/>
  <c r="H17" i="2" s="1"/>
  <c r="I17" i="2"/>
  <c r="J155" i="2"/>
  <c r="K161" i="2" s="1"/>
  <c r="I155" i="2"/>
  <c r="J114" i="2"/>
  <c r="H114" i="2" s="1"/>
  <c r="I114" i="2"/>
  <c r="J293" i="2"/>
  <c r="H293" i="2" s="1"/>
  <c r="K169" i="2"/>
  <c r="I169" i="2"/>
  <c r="I124" i="2"/>
  <c r="J43" i="2"/>
  <c r="H43" i="2" s="1"/>
  <c r="I43" i="2"/>
  <c r="K185" i="2"/>
  <c r="I185" i="2"/>
  <c r="K69" i="2"/>
  <c r="K17" i="2"/>
  <c r="K140" i="2"/>
  <c r="J131" i="2"/>
  <c r="H131" i="2" s="1"/>
  <c r="K99" i="2"/>
  <c r="J72" i="2"/>
  <c r="H72" i="2" s="1"/>
  <c r="I179" i="2"/>
  <c r="J97" i="2"/>
  <c r="H97" i="2" s="1"/>
  <c r="I10" i="2"/>
  <c r="I171" i="2"/>
  <c r="J49" i="2"/>
  <c r="H49" i="2" s="1"/>
  <c r="I463" i="2"/>
  <c r="J463" i="2"/>
  <c r="H463" i="2" s="1"/>
  <c r="I456" i="2"/>
  <c r="J456" i="2"/>
  <c r="H456" i="2" s="1"/>
  <c r="I79" i="2"/>
  <c r="J79" i="2"/>
  <c r="K95" i="2" s="1"/>
  <c r="K456" i="2"/>
  <c r="K463" i="2"/>
  <c r="I37" i="2"/>
  <c r="J199" i="2"/>
  <c r="I199" i="2"/>
  <c r="J9" i="2"/>
  <c r="H9" i="2" s="1"/>
  <c r="J545" i="2"/>
  <c r="K550" i="2" s="1"/>
  <c r="J424" i="2"/>
  <c r="H424" i="2" s="1"/>
  <c r="K424" i="2"/>
  <c r="I556" i="2"/>
  <c r="K553" i="2"/>
  <c r="I545" i="2"/>
  <c r="J508" i="2"/>
  <c r="I474" i="2"/>
  <c r="J474" i="2"/>
  <c r="H474" i="2" s="1"/>
  <c r="I446" i="2"/>
  <c r="J446" i="2"/>
  <c r="H446" i="2" s="1"/>
  <c r="J469" i="2"/>
  <c r="H469" i="2" s="1"/>
  <c r="K469" i="2"/>
  <c r="I422" i="2"/>
  <c r="K438" i="2"/>
  <c r="J467" i="2"/>
  <c r="H467" i="2" s="1"/>
  <c r="J447" i="2"/>
  <c r="H447" i="2" s="1"/>
  <c r="K387" i="2"/>
  <c r="I328" i="2"/>
  <c r="K382" i="2"/>
  <c r="I475" i="2"/>
  <c r="I286" i="2"/>
  <c r="J388" i="2"/>
  <c r="K390" i="2" s="1"/>
  <c r="K275" i="2"/>
  <c r="J344" i="2"/>
  <c r="H344" i="2" s="1"/>
  <c r="I151" i="2"/>
  <c r="J151" i="2"/>
  <c r="K165" i="2" s="1"/>
  <c r="J68" i="2"/>
  <c r="H68" i="2" s="1"/>
  <c r="I68" i="2"/>
  <c r="K108" i="2"/>
  <c r="J35" i="2"/>
  <c r="H35" i="2" s="1"/>
  <c r="I35" i="2"/>
  <c r="J27" i="2"/>
  <c r="K42" i="2" s="1"/>
  <c r="I147" i="2"/>
  <c r="J37" i="2"/>
  <c r="H37" i="2" s="1"/>
  <c r="K133" i="2"/>
  <c r="J10" i="2"/>
  <c r="K27" i="2" s="1"/>
  <c r="I219" i="2"/>
  <c r="J171" i="2"/>
  <c r="H171" i="2" s="1"/>
  <c r="I49" i="2"/>
  <c r="I540" i="2"/>
  <c r="I344" i="2"/>
  <c r="K177" i="2"/>
  <c r="I177" i="2"/>
  <c r="J166" i="2"/>
  <c r="K435" i="2"/>
  <c r="I435" i="2"/>
  <c r="J390" i="2"/>
  <c r="J548" i="2"/>
  <c r="H548" i="2" s="1"/>
  <c r="J336" i="2"/>
  <c r="H336" i="2" s="1"/>
  <c r="K336" i="2"/>
  <c r="I229" i="2"/>
  <c r="J466" i="2"/>
  <c r="H466" i="2" s="1"/>
  <c r="I466" i="2"/>
  <c r="J397" i="2"/>
  <c r="H397" i="2" s="1"/>
  <c r="I397" i="2"/>
  <c r="J483" i="2"/>
  <c r="H483" i="2" s="1"/>
  <c r="K356" i="2"/>
  <c r="K341" i="2"/>
  <c r="I302" i="2"/>
  <c r="J258" i="2"/>
  <c r="I275" i="2"/>
  <c r="J104" i="2"/>
  <c r="K258" i="2" s="1"/>
  <c r="I104" i="2"/>
  <c r="J16" i="2"/>
  <c r="H16" i="2" s="1"/>
  <c r="I16" i="2"/>
  <c r="J99" i="2"/>
  <c r="H99" i="2" s="1"/>
  <c r="J7" i="2"/>
  <c r="K51" i="2" s="1"/>
  <c r="I7" i="2"/>
  <c r="K16" i="2"/>
  <c r="K276" i="2"/>
  <c r="J119" i="2"/>
  <c r="K138" i="2" s="1"/>
  <c r="K124" i="2"/>
  <c r="J45" i="2"/>
  <c r="H45" i="2" s="1"/>
  <c r="K88" i="2"/>
  <c r="H187" i="2" l="1"/>
  <c r="H181" i="2"/>
  <c r="H517" i="2"/>
  <c r="K529" i="2"/>
  <c r="H516" i="2"/>
  <c r="K516" i="2"/>
  <c r="K454" i="2"/>
  <c r="H400" i="2"/>
  <c r="H390" i="2"/>
  <c r="H388" i="2"/>
  <c r="H356" i="2"/>
  <c r="H258" i="2"/>
  <c r="H230" i="2"/>
  <c r="H219" i="2"/>
  <c r="K208" i="2"/>
  <c r="H199" i="2"/>
  <c r="K199" i="2"/>
  <c r="H155" i="2"/>
  <c r="H166" i="2"/>
  <c r="H160" i="2"/>
  <c r="H104" i="2"/>
  <c r="H101" i="2"/>
  <c r="H90" i="2"/>
  <c r="H71" i="2"/>
  <c r="H550" i="2"/>
  <c r="H545" i="2"/>
  <c r="H508" i="2"/>
  <c r="H359" i="2"/>
  <c r="H334" i="2"/>
  <c r="H315" i="2"/>
  <c r="H215" i="2"/>
  <c r="H165" i="2"/>
  <c r="H144" i="2"/>
  <c r="H63" i="2"/>
  <c r="H65" i="2"/>
  <c r="H61" i="2"/>
  <c r="H55" i="2"/>
  <c r="H7" i="2"/>
  <c r="H42" i="2"/>
  <c r="H38" i="2"/>
  <c r="H27" i="2"/>
  <c r="H20" i="2"/>
  <c r="H10" i="2"/>
  <c r="H3" i="2"/>
</calcChain>
</file>

<file path=xl/sharedStrings.xml><?xml version="1.0" encoding="utf-8"?>
<sst xmlns="http://schemas.openxmlformats.org/spreadsheetml/2006/main" count="1453" uniqueCount="486">
  <si>
    <t>ID</t>
  </si>
  <si>
    <t>PRED_ID</t>
  </si>
  <si>
    <t>MARKER_AUTO</t>
  </si>
  <si>
    <t>PREDICATE</t>
  </si>
  <si>
    <t>TEXT</t>
  </si>
  <si>
    <t>SENTENCE</t>
  </si>
  <si>
    <t>MARKER</t>
  </si>
  <si>
    <t>TARGET</t>
  </si>
  <si>
    <t>RELATION</t>
  </si>
  <si>
    <t>COMMENT</t>
  </si>
  <si>
    <t>1</t>
  </si>
  <si>
    <t>3</t>
  </si>
  <si>
    <t>_</t>
  </si>
  <si>
    <t>erreichen</t>
  </si>
  <si>
    <t>Frankie Dettori erreicht auf Predilection seinen 3.000ten Gewinn bei Newmarket</t>
  </si>
  <si>
    <t>file://conllu/de/bbc.242418.conllu#s1_0</t>
  </si>
  <si>
    <t>2</t>
  </si>
  <si>
    <t>sprühen</t>
  </si>
  <si>
    <t>Dettori sprüht Champagner nach einem Double bei Newmarket , der ihm 3.000ten Gewinn bringt</t>
  </si>
  <si>
    <t>file://conllu/de/bbc.242418.conllu#s2_0</t>
  </si>
  <si>
    <t>5</t>
  </si>
  <si>
    <t>sichern</t>
  </si>
  <si>
    <t>Der Jockey Frankie Dettori sicherte am an dem Freitag seinen 3.000ten britischen Gewinn bei Newmarket .</t>
  </si>
  <si>
    <t>file://conllu/de/bbc.242418.conllu#s3_0</t>
  </si>
  <si>
    <t>4</t>
  </si>
  <si>
    <t>setzen</t>
  </si>
  <si>
    <t>Er setzte auf Predilection , die von John Gosden trainiert wird , auf seiner lokalen Rennstrecke mit seinem zweiten Gewinn der Nacht einen Meilenstein .</t>
  </si>
  <si>
    <t>file://conllu/de/bbc.242418.conllu#s4_0</t>
  </si>
  <si>
    <t>6</t>
  </si>
  <si>
    <t>sein (sein Jockey)</t>
  </si>
  <si>
    <t>Der 45 jährige Italiener ist der sechste Jockey , der den Meilenstein im in dem Flachrennen erreicht .</t>
  </si>
  <si>
    <t>file://conllu/de/bbc.242418.conllu#s5_0</t>
  </si>
  <si>
    <t>folgen</t>
  </si>
  <si>
    <t>Er folgt Sir Gordon Richards , Doug Smith , Lester Piggott , Pat Eddry und Willie Carson .</t>
  </si>
  <si>
    <t>file://conllu/de/bbc.242418.conllu#s6_0</t>
  </si>
  <si>
    <t>7</t>
  </si>
  <si>
    <t>12</t>
  </si>
  <si>
    <t>sagen</t>
  </si>
  <si>
    <t>Der dreimalige Sieger Dettori , der davor auf Ghayyar gewann , sagte : &amp;quot; Es ist etwas Besonderes . &amp;quot;</t>
  </si>
  <si>
    <t>file://conllu/de/bbc.242418.conllu#s7_0</t>
  </si>
  <si>
    <t>8</t>
  </si>
  <si>
    <t>11</t>
  </si>
  <si>
    <t>sein</t>
  </si>
  <si>
    <t>Ich bin sehr emotional , weil meine Familie auch hier ist</t>
  </si>
  <si>
    <t>file://conllu/de/bbc.242418.conllu#s8_0</t>
  </si>
  <si>
    <t>9</t>
  </si>
  <si>
    <t>sein (sein glücklich)</t>
  </si>
  <si>
    <t>Ich bin sehr glücklich darüber , dass es bei Newmarket geschehen ist , weil ich hier vor 30 Jahren gelandet bin .</t>
  </si>
  <si>
    <t>file://conllu/de/bbc.242418.conllu#s9_0</t>
  </si>
  <si>
    <t>10</t>
  </si>
  <si>
    <t>sein (sein treffen)</t>
  </si>
  <si>
    <t>Es ist kein großes Treffen , es ist nicht Royal Ascot es ist ein banaler Freitag abend mit 20.000 Leuten .</t>
  </si>
  <si>
    <t>file://conllu/de/bbc.242418.conllu#s10_0</t>
  </si>
  <si>
    <t>sein (sein erleichtern)</t>
  </si>
  <si>
    <t>Ich bin erleichtert und sehr bescheiden .</t>
  </si>
  <si>
    <t>file://conllu/de/bbc.242418.conllu#s11_0</t>
  </si>
  <si>
    <t>nehmen</t>
  </si>
  <si>
    <t>Dettori nimmt den Jubel auf , als er auf Predilection den Sieg holt</t>
  </si>
  <si>
    <t>file://conllu/de/bbc.242418.conllu#s12_0</t>
  </si>
  <si>
    <t>13</t>
  </si>
  <si>
    <t>Zwei Jockeys haben den Meilenstein im in dem Hindernisrennen erreicht Jockey Richard Johnson und der pensionierte 20-malige Sieger Sir Anthony McCoy , der mehr als 4.300 Siege in einer rekordbrechenden Karriere erreichte .</t>
  </si>
  <si>
    <t>file://conllu/de/bbc.242418.conllu#s13_0</t>
  </si>
  <si>
    <t>14</t>
  </si>
  <si>
    <t>haben</t>
  </si>
  <si>
    <t>Lester Piggott , der neunmalige Derbysieger hatte 4.493 Karrieresiege</t>
  </si>
  <si>
    <t>file://conllu/de/bbc.242418.conllu#s14_0</t>
  </si>
  <si>
    <t>15</t>
  </si>
  <si>
    <t>sein (sein ein)</t>
  </si>
  <si>
    <t>Frankie ist einer der besten Jockey der Moderne und es ist keine Überraschung , dass er diesen Meilenstein erreicht hat , den nur wenige vor ihm erreicht haben .</t>
  </si>
  <si>
    <t>file://conllu/de/bbc.242418.conllu#s15_0</t>
  </si>
  <si>
    <t>16</t>
  </si>
  <si>
    <t>Er hat Stil und ist stark , aber es ist sein taktischer Intellekt , der ihn von den anderen im in dem Gewichtskontrollraum unterscheidet .</t>
  </si>
  <si>
    <t>file://conllu/de/bbc.242418.conllu#s16_0</t>
  </si>
  <si>
    <t>17</t>
  </si>
  <si>
    <t>sein (sein Botschafter)</t>
  </si>
  <si>
    <t>Er ist ein fantastischer Botschafter für Rennen , sein Enthusiasmus und Charisma begeistert Fans schon seit Jahren für diese Sportart .</t>
  </si>
  <si>
    <t>file://conllu/de/bbc.242418.conllu#s17_0</t>
  </si>
  <si>
    <t>18</t>
  </si>
  <si>
    <t>Ich sagte Frankie vor einigen Wochen bei Epsom , dass er bereits 6.000 Gewinne geholt hätte , wenn er nicht nur ein Wochenend und Großturnierjockey wäre !</t>
  </si>
  <si>
    <t>file://conllu/de/bbc.242418.conllu#s18_0</t>
  </si>
  <si>
    <t>19</t>
  </si>
  <si>
    <t>Was?</t>
  </si>
  <si>
    <t>reiden</t>
  </si>
  <si>
    <t>Frankie hat in GB bereits fast 30 Jahre Gewinner geritten , was toll ist .</t>
  </si>
  <si>
    <t>file://conllu/de/bbc.242418.conllu#s19_0</t>
  </si>
  <si>
    <t>20</t>
  </si>
  <si>
    <t>Er hat eine lebendige Persönlichkeit , was für ein britisches Rennen gut ist , aber darüber hinaus ist er ein unglaublicher Jockey .</t>
  </si>
  <si>
    <t>file://conllu/de/bbc.242418.conllu#s20_0</t>
  </si>
  <si>
    <t>21</t>
  </si>
  <si>
    <t>feiern</t>
  </si>
  <si>
    <t>Frankie Dettori feierte den Meilenstein mit einem typischen Flying Dismount</t>
  </si>
  <si>
    <t>file://conllu/de/bbc.242418.conllu#s21_0</t>
  </si>
  <si>
    <t>22</t>
  </si>
  <si>
    <t>sein (sein Aushängeschild)</t>
  </si>
  <si>
    <t>Von Flying Finishes zu Flying Dismounts , Frankie Dettori ist seit zwei Jahrzehnten das Aushängeschild des britischen Flachrennens .</t>
  </si>
  <si>
    <t>file://conllu/de/bbc.242418.conllu#s22_0</t>
  </si>
  <si>
    <t>23</t>
  </si>
  <si>
    <t>sein (sein nervenaufreibend)</t>
  </si>
  <si>
    <t>Es war nervenaufreibend .</t>
  </si>
  <si>
    <t>file://conllu/de/bbc.242418.conllu#s23_0</t>
  </si>
  <si>
    <t>24</t>
  </si>
  <si>
    <t>Reihe</t>
  </si>
  <si>
    <t>Eine ganze Reihe an Großturniergewinnen , einschließlich seiner berühmten &amp;quot; Glorreichen Sieben &amp;quot; 1996 in Ascot , aber er überlebte auch einen Flugzeugabsturz und erhielt ein Drogenverbot .</t>
  </si>
  <si>
    <t>file://conllu/de/bbc.242418.conllu#s24_0</t>
  </si>
  <si>
    <t>25</t>
  </si>
  <si>
    <t>Vor drei Jahren hatte er anfangs Schwierigkeiten , als er von seiner sechsmonatigen Sperre zurückkehrte , aber er zeigte eine beeindruckende charakterliche Stärke , um seinen Zweiflern zu trotzen und zu seiner Bestform zurückzukehren .</t>
  </si>
  <si>
    <t>file://conllu/de/bbc.242418.conllu#s25_0</t>
  </si>
  <si>
    <t>26</t>
  </si>
  <si>
    <t>sein (sein sagen)</t>
  </si>
  <si>
    <t>Und er ist noch lange nicht am an dem Ende Dettori hat früher einmal gesagt , dass er bei Wettbewerben bis zu seinem mindestens 50.ten Lebensjahr weitermachen will .</t>
  </si>
  <si>
    <t>file://conllu/de/bbc.242418.conllu#s26_0</t>
  </si>
  <si>
    <t>WORD</t>
  </si>
  <si>
    <t>GR</t>
  </si>
  <si>
    <t>NP_TYPE</t>
  </si>
  <si>
    <t>REF_AUTO</t>
  </si>
  <si>
    <t>COREF</t>
  </si>
  <si>
    <t>REF</t>
  </si>
  <si>
    <t>IS</t>
  </si>
  <si>
    <t>CB</t>
  </si>
  <si>
    <t>GR_ANTE</t>
  </si>
  <si>
    <t>REF_DIST</t>
  </si>
  <si>
    <t>REF_DIST_ANTE</t>
  </si>
  <si>
    <t># text = Frankie Dettori erreicht auf Predilection seinen 3.000ten Gewinn bei Newmarket</t>
  </si>
  <si>
    <t>Frankie</t>
  </si>
  <si>
    <t>SBJ</t>
  </si>
  <si>
    <t>ne</t>
  </si>
  <si>
    <t>?OLD</t>
  </si>
  <si>
    <t>Dettori</t>
  </si>
  <si>
    <t>erreicht</t>
  </si>
  <si>
    <t>auf</t>
  </si>
  <si>
    <t>Predilection</t>
  </si>
  <si>
    <t>other</t>
  </si>
  <si>
    <t>indef-np.bare</t>
  </si>
  <si>
    <t>seinen</t>
  </si>
  <si>
    <t>3.000ten</t>
  </si>
  <si>
    <t>Gewinn</t>
  </si>
  <si>
    <t>OBJ</t>
  </si>
  <si>
    <t>indef-np</t>
  </si>
  <si>
    <t>bei</t>
  </si>
  <si>
    <t>Newmarket</t>
  </si>
  <si>
    <t># text = Dettori sprüht Champagner nach einem Double bei Newmarket, der ihm 3.000ten Gewinn bringt</t>
  </si>
  <si>
    <t>sprüht</t>
  </si>
  <si>
    <t>Champagner</t>
  </si>
  <si>
    <t>nach</t>
  </si>
  <si>
    <t>einem</t>
  </si>
  <si>
    <t>Double</t>
  </si>
  <si>
    <t>indef-np.a</t>
  </si>
  <si>
    <t>other_2</t>
  </si>
  <si>
    <t>,</t>
  </si>
  <si>
    <t>der</t>
  </si>
  <si>
    <t>SBJ_3</t>
  </si>
  <si>
    <t>ihm</t>
  </si>
  <si>
    <t>OBJ_3</t>
  </si>
  <si>
    <t>pron.pper</t>
  </si>
  <si>
    <t>bringt</t>
  </si>
  <si>
    <t># text = Der Jockey Frankie Dettori sicherte am Freitag seinen 3.000ten britischen Gewinn bei Newmarket.</t>
  </si>
  <si>
    <t>Der</t>
  </si>
  <si>
    <t>Jockey</t>
  </si>
  <si>
    <t>sicherte</t>
  </si>
  <si>
    <t>an</t>
  </si>
  <si>
    <t>dem</t>
  </si>
  <si>
    <t>Freitag</t>
  </si>
  <si>
    <t>britischen</t>
  </si>
  <si>
    <t>.</t>
  </si>
  <si>
    <t># text = Er setzte auf Predilection, die von John Gosden trainiert wird, auf seiner lokalen Rennstrecke mit seinem zweiten Gewinn der Nacht einen Meilenstein.</t>
  </si>
  <si>
    <t>Er</t>
  </si>
  <si>
    <t>setzte</t>
  </si>
  <si>
    <t>die</t>
  </si>
  <si>
    <t>von</t>
  </si>
  <si>
    <t>John</t>
  </si>
  <si>
    <t>other_3</t>
  </si>
  <si>
    <t>Gosden</t>
  </si>
  <si>
    <t>trainiert</t>
  </si>
  <si>
    <t>wird</t>
  </si>
  <si>
    <t>seiner</t>
  </si>
  <si>
    <t>lokalen</t>
  </si>
  <si>
    <t>Rennstrecke</t>
  </si>
  <si>
    <t>mit</t>
  </si>
  <si>
    <t>seinem</t>
  </si>
  <si>
    <t>zweiten</t>
  </si>
  <si>
    <t>Nacht</t>
  </si>
  <si>
    <t>def-np.the</t>
  </si>
  <si>
    <t>einen</t>
  </si>
  <si>
    <t>Meilenstein</t>
  </si>
  <si>
    <t># text = Der 45-jährige Italiener ist der sechste Jockey, der den Meilenstein im Flachrennen erreicht.</t>
  </si>
  <si>
    <t>45</t>
  </si>
  <si>
    <t>jährige</t>
  </si>
  <si>
    <t>Italiener</t>
  </si>
  <si>
    <t>ist</t>
  </si>
  <si>
    <t>sechste</t>
  </si>
  <si>
    <t>SBJ_2</t>
  </si>
  <si>
    <t>den</t>
  </si>
  <si>
    <t>OBJ_2</t>
  </si>
  <si>
    <t>in</t>
  </si>
  <si>
    <t>Flachrennen</t>
  </si>
  <si>
    <t># text = Er folgt Sir Gordon Richards, Doug Smith, Lester Piggott, Pat Eddry und Willie Carson.</t>
  </si>
  <si>
    <t>folgt</t>
  </si>
  <si>
    <t>Sir</t>
  </si>
  <si>
    <t>Gordon</t>
  </si>
  <si>
    <t>Richards</t>
  </si>
  <si>
    <t>Doug</t>
  </si>
  <si>
    <t>Smith</t>
  </si>
  <si>
    <t>Lester</t>
  </si>
  <si>
    <t>Piggott</t>
  </si>
  <si>
    <t>Pat</t>
  </si>
  <si>
    <t>Eddry</t>
  </si>
  <si>
    <t>und</t>
  </si>
  <si>
    <t>Willie</t>
  </si>
  <si>
    <t>Carson</t>
  </si>
  <si>
    <t>--</t>
  </si>
  <si>
    <t># text = Der dreimalige Sieger Dettori, der davor auf Ghayyar gewann, sagte: "Es ist etwas Besonderes."</t>
  </si>
  <si>
    <t>dreimalige</t>
  </si>
  <si>
    <t>Sieger</t>
  </si>
  <si>
    <t>SBJ_4</t>
  </si>
  <si>
    <t>davor</t>
  </si>
  <si>
    <t>Ghayyar</t>
  </si>
  <si>
    <t>other_4</t>
  </si>
  <si>
    <t>gewann</t>
  </si>
  <si>
    <t>sagte</t>
  </si>
  <si>
    <t>:</t>
  </si>
  <si>
    <t>&amp;quot;</t>
  </si>
  <si>
    <t>Es</t>
  </si>
  <si>
    <t>etwas</t>
  </si>
  <si>
    <t>pron.pind</t>
  </si>
  <si>
    <t>Besonderes</t>
  </si>
  <si>
    <t>indef-np.quant</t>
  </si>
  <si>
    <t># text = Ich bin sehr emotional, weil meine Familie auch hier ist</t>
  </si>
  <si>
    <t>Ich</t>
  </si>
  <si>
    <t>bin</t>
  </si>
  <si>
    <t>sehr</t>
  </si>
  <si>
    <t>emotional</t>
  </si>
  <si>
    <t>weil</t>
  </si>
  <si>
    <t>meine</t>
  </si>
  <si>
    <t>pron.ppos</t>
  </si>
  <si>
    <t>Familie</t>
  </si>
  <si>
    <t>auch</t>
  </si>
  <si>
    <t>hier</t>
  </si>
  <si>
    <t># text = Ich bin sehr glücklich darüber, dass es bei Newmarket geschehen ist, weil ich hier vor 30 Jahren gelandet bin.</t>
  </si>
  <si>
    <t>glücklich</t>
  </si>
  <si>
    <t>darüber</t>
  </si>
  <si>
    <t>pron.padv</t>
  </si>
  <si>
    <t>dass</t>
  </si>
  <si>
    <t>es</t>
  </si>
  <si>
    <t>geschehen</t>
  </si>
  <si>
    <t>ich</t>
  </si>
  <si>
    <t>vor</t>
  </si>
  <si>
    <t>30</t>
  </si>
  <si>
    <t>Jahren</t>
  </si>
  <si>
    <t>gelandet</t>
  </si>
  <si>
    <t># text = Es ist kein großes Treffen, es ist nicht Royal Ascot - es ist ein banaler Freitag abend mit 20.000 Leuten.</t>
  </si>
  <si>
    <t>kein</t>
  </si>
  <si>
    <t>pron</t>
  </si>
  <si>
    <t>großes</t>
  </si>
  <si>
    <t>Treffen</t>
  </si>
  <si>
    <t>nicht</t>
  </si>
  <si>
    <t>Royal</t>
  </si>
  <si>
    <t>Ascot</t>
  </si>
  <si>
    <t>ein</t>
  </si>
  <si>
    <t>banaler</t>
  </si>
  <si>
    <t>abend</t>
  </si>
  <si>
    <t>20.000</t>
  </si>
  <si>
    <t>Leuten</t>
  </si>
  <si>
    <t># text = Ich bin erleichtert und sehr bescheiden.</t>
  </si>
  <si>
    <t>erleichtert</t>
  </si>
  <si>
    <t>bescheiden</t>
  </si>
  <si>
    <t># text = Dettori nimmt den Jubel auf, als er auf Predilection den Sieg holt</t>
  </si>
  <si>
    <t>nimmt</t>
  </si>
  <si>
    <t>Jubel</t>
  </si>
  <si>
    <t>als</t>
  </si>
  <si>
    <t>er</t>
  </si>
  <si>
    <t>Sieg</t>
  </si>
  <si>
    <t>holt</t>
  </si>
  <si>
    <t># text = Zwei Jockeys haben den Meilenstein im Hindernisrennen erreicht - Jockey Richard Johnson und der pensionierte 20-malige Sieger Sir Anthony McCoy, der mehr als 4.300 Siege in einer rekordbrechenden Karriere erreichte.</t>
  </si>
  <si>
    <t>Zwei</t>
  </si>
  <si>
    <t>Jockeys</t>
  </si>
  <si>
    <t>Hindernisrennen</t>
  </si>
  <si>
    <t>Richard</t>
  </si>
  <si>
    <t>Johnson</t>
  </si>
  <si>
    <t>pensionierte</t>
  </si>
  <si>
    <t>20-malige</t>
  </si>
  <si>
    <t>Anthony</t>
  </si>
  <si>
    <t>McCoy</t>
  </si>
  <si>
    <t>mehr</t>
  </si>
  <si>
    <t>4.300</t>
  </si>
  <si>
    <t>Siege</t>
  </si>
  <si>
    <t>einer</t>
  </si>
  <si>
    <t>rekordbrechenden</t>
  </si>
  <si>
    <t>Karriere</t>
  </si>
  <si>
    <t>erreichte</t>
  </si>
  <si>
    <t># text = Lester Piggott, der neunmalige Derbysieger hatte 4.493 Karrieresiege</t>
  </si>
  <si>
    <t>neunmalige</t>
  </si>
  <si>
    <t>Derbysieger</t>
  </si>
  <si>
    <t>hatte</t>
  </si>
  <si>
    <t>4.493</t>
  </si>
  <si>
    <t>Karrieresiege</t>
  </si>
  <si>
    <t># text = Frankie ist einer der besten Jockey der Moderne und es ist keine Überraschung, dass er diesen Meilenstein erreicht hat, den nur wenige vor ihm erreicht haben.</t>
  </si>
  <si>
    <t>besten</t>
  </si>
  <si>
    <t>Moderne</t>
  </si>
  <si>
    <t>keine</t>
  </si>
  <si>
    <t>Überraschung</t>
  </si>
  <si>
    <t>diesen</t>
  </si>
  <si>
    <t>pron.pds</t>
  </si>
  <si>
    <t>def-np.dem</t>
  </si>
  <si>
    <t>hat</t>
  </si>
  <si>
    <t>nur</t>
  </si>
  <si>
    <t>wenige</t>
  </si>
  <si>
    <t># text = Er hat Stil und ist stark, aber es ist sein taktischer Intellekt, der ihn von den anderen im Gewichtskontrollraum unterscheidet.</t>
  </si>
  <si>
    <t>Stil</t>
  </si>
  <si>
    <t>stark</t>
  </si>
  <si>
    <t>aber</t>
  </si>
  <si>
    <t>taktischer</t>
  </si>
  <si>
    <t>Intellekt</t>
  </si>
  <si>
    <t>ihn</t>
  </si>
  <si>
    <t>anderen</t>
  </si>
  <si>
    <t>Gewichtskontrollraum</t>
  </si>
  <si>
    <t>def-np.the.other</t>
  </si>
  <si>
    <t>unterscheidet</t>
  </si>
  <si>
    <t># text = Er ist ein fantastischer Botschafter für Rennen, sein Enthusiasmus und Charisma begeistert Fans schon seit Jahren für diese Sportart.</t>
  </si>
  <si>
    <t>fantastischer</t>
  </si>
  <si>
    <t>Botschafter</t>
  </si>
  <si>
    <t>für</t>
  </si>
  <si>
    <t>Rennen</t>
  </si>
  <si>
    <t>Enthusiasmus</t>
  </si>
  <si>
    <t>Charisma</t>
  </si>
  <si>
    <t>begeistert</t>
  </si>
  <si>
    <t>Fans</t>
  </si>
  <si>
    <t>schon</t>
  </si>
  <si>
    <t>seit</t>
  </si>
  <si>
    <t>diese</t>
  </si>
  <si>
    <t>Sportart</t>
  </si>
  <si>
    <t># text = Ich sagte Frankie vor einigen Wochen bei Epsom, dass er bereits 6.000 Gewinne geholt hätte, wenn er nicht nur ein Wochenend- und Großturnierjockey wäre!</t>
  </si>
  <si>
    <t>einigen</t>
  </si>
  <si>
    <t>Wochen</t>
  </si>
  <si>
    <t>Epsom</t>
  </si>
  <si>
    <t>bereits</t>
  </si>
  <si>
    <t>6.000</t>
  </si>
  <si>
    <t>Gewinne</t>
  </si>
  <si>
    <t>geholt</t>
  </si>
  <si>
    <t>hätte</t>
  </si>
  <si>
    <t>wenn</t>
  </si>
  <si>
    <t>Wochenend</t>
  </si>
  <si>
    <t>Großturnierjockey</t>
  </si>
  <si>
    <t>wäre</t>
  </si>
  <si>
    <t>!</t>
  </si>
  <si>
    <t># text = Frankie hat in GB bereits fast 30 Jahre Gewinner geritten, was toll ist.</t>
  </si>
  <si>
    <t>GB</t>
  </si>
  <si>
    <t>fast</t>
  </si>
  <si>
    <t>Jahre</t>
  </si>
  <si>
    <t>Gewinner</t>
  </si>
  <si>
    <t>geritten</t>
  </si>
  <si>
    <t>was</t>
  </si>
  <si>
    <t>toll</t>
  </si>
  <si>
    <t># text = Er hat eine lebendige Persönlichkeit, was für ein britisches Rennen gut ist, aber darüber hinaus ist er ein unglaublicher Jockey.</t>
  </si>
  <si>
    <t>eine</t>
  </si>
  <si>
    <t>lebendige</t>
  </si>
  <si>
    <t>Persönlichkeit</t>
  </si>
  <si>
    <t>britisches</t>
  </si>
  <si>
    <t>gut</t>
  </si>
  <si>
    <t>hinaus</t>
  </si>
  <si>
    <t>unglaublicher</t>
  </si>
  <si>
    <t># text = Frankie Dettori feierte den Meilenstein mit einem typischen Flying Dismount</t>
  </si>
  <si>
    <t>feierte</t>
  </si>
  <si>
    <t>typischen</t>
  </si>
  <si>
    <t>Flying</t>
  </si>
  <si>
    <t>Dismount</t>
  </si>
  <si>
    <t># text = Von Flying Finishes zu Flying Dismounts, Frankie Dettori ist seit zwei Jahrzehnten das Aushängeschild des britischen Flachrennens.</t>
  </si>
  <si>
    <t>Von</t>
  </si>
  <si>
    <t>Finishes</t>
  </si>
  <si>
    <t>zu</t>
  </si>
  <si>
    <t>Dismounts</t>
  </si>
  <si>
    <t>zwei</t>
  </si>
  <si>
    <t>Jahrzehnten</t>
  </si>
  <si>
    <t>das</t>
  </si>
  <si>
    <t>Aushängeschild</t>
  </si>
  <si>
    <t>des</t>
  </si>
  <si>
    <t>Flachrennens</t>
  </si>
  <si>
    <t># text = Es war nervenaufreibend.</t>
  </si>
  <si>
    <t>war</t>
  </si>
  <si>
    <t>nervenaufreibend</t>
  </si>
  <si>
    <t># text = Eine ganze Reihe an Großturniergewinnen, einschließlich seiner berühmten \"Glorreichen Sieben\" 1996 in Ascot, aber er überlebte auch einen Flugzeugabsturz und erhielt ein Drogenverbot.</t>
  </si>
  <si>
    <t>Eine</t>
  </si>
  <si>
    <t>ganze</t>
  </si>
  <si>
    <t>Großturniergewinnen</t>
  </si>
  <si>
    <t>einschließlich</t>
  </si>
  <si>
    <t>berühmten</t>
  </si>
  <si>
    <t>Glorreichen</t>
  </si>
  <si>
    <t>Sieben</t>
  </si>
  <si>
    <t>1996</t>
  </si>
  <si>
    <t>überlebte</t>
  </si>
  <si>
    <t>Flugzeugabsturz</t>
  </si>
  <si>
    <t>erhielt</t>
  </si>
  <si>
    <t>Drogenverbot</t>
  </si>
  <si>
    <t># text = Vor drei Jahren hatte er anfangs Schwierigkeiten, als er von seiner sechsmonatigen Sperre zurückkehrte, aber er zeigte eine beeindruckende charakterliche Stärke, um seinen Zweiflern zu trotzen und zu seiner Bestform zurückzukehren.</t>
  </si>
  <si>
    <t>Vor</t>
  </si>
  <si>
    <t>drei</t>
  </si>
  <si>
    <t>anfangs</t>
  </si>
  <si>
    <t>Schwierigkeiten</t>
  </si>
  <si>
    <t>sechsmonatigen</t>
  </si>
  <si>
    <t>Sperre</t>
  </si>
  <si>
    <t>zurückkehrte</t>
  </si>
  <si>
    <t>zeigte</t>
  </si>
  <si>
    <t>beeindruckende</t>
  </si>
  <si>
    <t>charakterliche</t>
  </si>
  <si>
    <t>Stärke</t>
  </si>
  <si>
    <t>um</t>
  </si>
  <si>
    <t>Zweiflern</t>
  </si>
  <si>
    <t>OBJ_4</t>
  </si>
  <si>
    <t>trotzen</t>
  </si>
  <si>
    <t>other_6</t>
  </si>
  <si>
    <t>Bestform</t>
  </si>
  <si>
    <t>other_5</t>
  </si>
  <si>
    <t>zurückzukehren</t>
  </si>
  <si>
    <t># text = Und er ist noch lange nicht am Ende - Dettori hat früher einmal gesagt, dass er bei Wettbewerben bis zu seinem mindestens 50.ten Lebensjahr weitermachen will.</t>
  </si>
  <si>
    <t>Und</t>
  </si>
  <si>
    <t>noch</t>
  </si>
  <si>
    <t>lange</t>
  </si>
  <si>
    <t>Ende</t>
  </si>
  <si>
    <t>früher</t>
  </si>
  <si>
    <t>einmal</t>
  </si>
  <si>
    <t>gesagt</t>
  </si>
  <si>
    <t>Wettbewerben</t>
  </si>
  <si>
    <t>bis</t>
  </si>
  <si>
    <t>mindestens</t>
  </si>
  <si>
    <t>50.ten</t>
  </si>
  <si>
    <t>Lebensjahr</t>
  </si>
  <si>
    <t>weitermachen</t>
  </si>
  <si>
    <t>will</t>
  </si>
  <si>
    <t>frankie_dettori</t>
  </si>
  <si>
    <t>3000ter_gewinn</t>
  </si>
  <si>
    <t>newmarket</t>
  </si>
  <si>
    <t>FOCUS</t>
  </si>
  <si>
    <t>double</t>
  </si>
  <si>
    <t>GEN</t>
  </si>
  <si>
    <t>PRED</t>
  </si>
  <si>
    <t>SIT</t>
  </si>
  <si>
    <t>predilection</t>
  </si>
  <si>
    <t>Antezedens</t>
  </si>
  <si>
    <t>kein auto ref</t>
  </si>
  <si>
    <t>john_gosden</t>
  </si>
  <si>
    <t>rennstrecke_dettori</t>
  </si>
  <si>
    <t>ghayyar</t>
  </si>
  <si>
    <t>EXPL</t>
  </si>
  <si>
    <t>familie_dettori</t>
  </si>
  <si>
    <t>autor</t>
  </si>
  <si>
    <t>flachrennen</t>
  </si>
  <si>
    <t>syntaktischer Kopf</t>
  </si>
  <si>
    <t>gordon_richards</t>
  </si>
  <si>
    <t>syntaktischer Kopf: Vorname</t>
  </si>
  <si>
    <t>doug_smith</t>
  </si>
  <si>
    <t>lester_piggott</t>
  </si>
  <si>
    <t>pat_eddry</t>
  </si>
  <si>
    <t>willie_carson</t>
  </si>
  <si>
    <t>OLD</t>
  </si>
  <si>
    <t>CAT</t>
  </si>
  <si>
    <t>hier_geschehen</t>
  </si>
  <si>
    <t>parser error</t>
  </si>
  <si>
    <t>freitag</t>
  </si>
  <si>
    <t>jubel</t>
  </si>
  <si>
    <t>Artikel</t>
  </si>
  <si>
    <t>intellekt_dettori</t>
  </si>
  <si>
    <t>gewichtskontrollraum</t>
  </si>
  <si>
    <t>enthusiasmus_charisma_dettori</t>
  </si>
  <si>
    <t>pferderennen</t>
  </si>
  <si>
    <t>epsom</t>
  </si>
  <si>
    <t>gross_britannien</t>
  </si>
  <si>
    <t>gewinner_geritten</t>
  </si>
  <si>
    <t>NEW</t>
  </si>
  <si>
    <t>lebendige_persoenlichkeit</t>
  </si>
  <si>
    <t>flying_dismount</t>
  </si>
  <si>
    <t>auch GEN denkbar</t>
  </si>
  <si>
    <t>britisches_flachrennen</t>
  </si>
  <si>
    <t>glorreichen_sieben</t>
  </si>
  <si>
    <t>ascot</t>
  </si>
  <si>
    <t>sperre_dettori</t>
  </si>
  <si>
    <t>zweifler_dettori</t>
  </si>
  <si>
    <t>bestform_dettori</t>
  </si>
  <si>
    <t>lebensjahr_dettori</t>
  </si>
  <si>
    <t>FAMILIAR</t>
  </si>
  <si>
    <t>ACTIVATED</t>
  </si>
  <si>
    <t>UNIQUE</t>
  </si>
  <si>
    <t>TYPE</t>
  </si>
  <si>
    <t>hindernisrennen</t>
  </si>
  <si>
    <t>auch TYPE denkbar</t>
  </si>
  <si>
    <t>johnson_mccoy</t>
  </si>
  <si>
    <t>siehe log</t>
  </si>
  <si>
    <t>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</si>
</sst>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27" si="0">IF(A2=1,"_",IF(C2="_","???",C2))</f>
        <v>???</v>
      </c>
      <c r="H2" s="10" t="s">
        <v>12</v>
      </c>
      <c r="I2" s="11" t="s">
        <v>12</v>
      </c>
      <c r="J2" s="12"/>
    </row>
    <row r="3" spans="1:10" ht="60" customHeight="1" x14ac:dyDescent="0.3">
      <c r="A3" s="6" t="s">
        <v>16</v>
      </c>
      <c r="B3" s="6" t="s">
        <v>16</v>
      </c>
      <c r="C3" s="6" t="s">
        <v>12</v>
      </c>
      <c r="D3" s="7" t="s">
        <v>17</v>
      </c>
      <c r="E3" s="8" t="s">
        <v>18</v>
      </c>
      <c r="F3" s="6" t="s">
        <v>19</v>
      </c>
      <c r="G3" s="9" t="str">
        <f t="shared" si="0"/>
        <v>???</v>
      </c>
      <c r="H3" s="10" t="s">
        <v>12</v>
      </c>
      <c r="I3" s="11" t="s">
        <v>12</v>
      </c>
      <c r="J3" s="12"/>
    </row>
    <row r="4" spans="1:10" ht="60" customHeight="1" x14ac:dyDescent="0.3">
      <c r="A4" s="6" t="s">
        <v>11</v>
      </c>
      <c r="B4" s="6" t="s">
        <v>20</v>
      </c>
      <c r="C4" s="6" t="s">
        <v>12</v>
      </c>
      <c r="D4" s="7" t="s">
        <v>21</v>
      </c>
      <c r="E4" s="8" t="s">
        <v>22</v>
      </c>
      <c r="F4" s="6" t="s">
        <v>23</v>
      </c>
      <c r="G4" s="9" t="str">
        <f t="shared" si="0"/>
        <v>???</v>
      </c>
      <c r="H4" s="10" t="s">
        <v>12</v>
      </c>
      <c r="I4" s="11" t="s">
        <v>12</v>
      </c>
      <c r="J4" s="12"/>
    </row>
    <row r="5" spans="1:10" ht="60" customHeight="1" x14ac:dyDescent="0.3">
      <c r="A5" s="6" t="s">
        <v>24</v>
      </c>
      <c r="B5" s="6" t="s">
        <v>16</v>
      </c>
      <c r="C5" s="6" t="s">
        <v>12</v>
      </c>
      <c r="D5" s="7" t="s">
        <v>25</v>
      </c>
      <c r="E5" s="8" t="s">
        <v>26</v>
      </c>
      <c r="F5" s="6" t="s">
        <v>27</v>
      </c>
      <c r="G5" s="9" t="str">
        <f t="shared" si="0"/>
        <v>???</v>
      </c>
      <c r="H5" s="10" t="s">
        <v>12</v>
      </c>
      <c r="I5" s="11" t="s">
        <v>12</v>
      </c>
      <c r="J5" s="12"/>
    </row>
    <row r="6" spans="1:10" ht="60" customHeight="1" x14ac:dyDescent="0.3">
      <c r="A6" s="6" t="s">
        <v>20</v>
      </c>
      <c r="B6" s="6" t="s">
        <v>28</v>
      </c>
      <c r="C6" s="6" t="s">
        <v>12</v>
      </c>
      <c r="D6" s="7" t="s">
        <v>29</v>
      </c>
      <c r="E6" s="8" t="s">
        <v>30</v>
      </c>
      <c r="F6" s="6" t="s">
        <v>31</v>
      </c>
      <c r="G6" s="9" t="str">
        <f t="shared" si="0"/>
        <v>???</v>
      </c>
      <c r="H6" s="10" t="s">
        <v>12</v>
      </c>
      <c r="I6" s="11" t="s">
        <v>12</v>
      </c>
      <c r="J6" s="12"/>
    </row>
    <row r="7" spans="1:10" ht="60" customHeight="1" x14ac:dyDescent="0.3">
      <c r="A7" s="6" t="s">
        <v>28</v>
      </c>
      <c r="B7" s="6" t="s">
        <v>16</v>
      </c>
      <c r="C7" s="6" t="s">
        <v>12</v>
      </c>
      <c r="D7" s="7" t="s">
        <v>32</v>
      </c>
      <c r="E7" s="8" t="s">
        <v>33</v>
      </c>
      <c r="F7" s="6" t="s">
        <v>34</v>
      </c>
      <c r="G7" s="9" t="str">
        <f t="shared" si="0"/>
        <v>???</v>
      </c>
      <c r="H7" s="10" t="s">
        <v>12</v>
      </c>
      <c r="I7" s="11" t="s">
        <v>12</v>
      </c>
      <c r="J7" s="12"/>
    </row>
    <row r="8" spans="1:10" ht="60" customHeight="1" x14ac:dyDescent="0.3">
      <c r="A8" s="6" t="s">
        <v>35</v>
      </c>
      <c r="B8" s="6" t="s">
        <v>36</v>
      </c>
      <c r="C8" s="6" t="s">
        <v>12</v>
      </c>
      <c r="D8" s="7" t="s">
        <v>37</v>
      </c>
      <c r="E8" s="8" t="s">
        <v>38</v>
      </c>
      <c r="F8" s="6" t="s">
        <v>39</v>
      </c>
      <c r="G8" s="9" t="str">
        <f t="shared" si="0"/>
        <v>???</v>
      </c>
      <c r="H8" s="10" t="s">
        <v>12</v>
      </c>
      <c r="I8" s="11" t="s">
        <v>12</v>
      </c>
      <c r="J8" s="12"/>
    </row>
    <row r="9" spans="1:10" ht="60" customHeight="1" x14ac:dyDescent="0.3">
      <c r="A9" s="6" t="s">
        <v>40</v>
      </c>
      <c r="B9" s="6" t="s">
        <v>41</v>
      </c>
      <c r="C9" s="6" t="s">
        <v>12</v>
      </c>
      <c r="D9" s="7" t="s">
        <v>42</v>
      </c>
      <c r="E9" s="8" t="s">
        <v>43</v>
      </c>
      <c r="F9" s="6" t="s">
        <v>44</v>
      </c>
      <c r="G9" s="9" t="str">
        <f t="shared" si="0"/>
        <v>???</v>
      </c>
      <c r="H9" s="10" t="s">
        <v>12</v>
      </c>
      <c r="I9" s="11" t="s">
        <v>12</v>
      </c>
      <c r="J9" s="12"/>
    </row>
    <row r="10" spans="1:10" ht="60" customHeight="1" x14ac:dyDescent="0.3">
      <c r="A10" s="6" t="s">
        <v>45</v>
      </c>
      <c r="B10" s="6" t="s">
        <v>16</v>
      </c>
      <c r="C10" s="6" t="s">
        <v>12</v>
      </c>
      <c r="D10" s="7" t="s">
        <v>46</v>
      </c>
      <c r="E10" s="8" t="s">
        <v>47</v>
      </c>
      <c r="F10" s="6" t="s">
        <v>48</v>
      </c>
      <c r="G10" s="9" t="str">
        <f t="shared" si="0"/>
        <v>???</v>
      </c>
      <c r="H10" s="10" t="s">
        <v>12</v>
      </c>
      <c r="I10" s="11" t="s">
        <v>12</v>
      </c>
      <c r="J10" s="12"/>
    </row>
    <row r="11" spans="1:10" ht="60" customHeight="1" x14ac:dyDescent="0.3">
      <c r="A11" s="6" t="s">
        <v>49</v>
      </c>
      <c r="B11" s="6" t="s">
        <v>16</v>
      </c>
      <c r="C11" s="6" t="s">
        <v>12</v>
      </c>
      <c r="D11" s="7" t="s">
        <v>50</v>
      </c>
      <c r="E11" s="8" t="s">
        <v>51</v>
      </c>
      <c r="F11" s="6" t="s">
        <v>52</v>
      </c>
      <c r="G11" s="9" t="str">
        <f t="shared" si="0"/>
        <v>???</v>
      </c>
      <c r="H11" s="10" t="s">
        <v>12</v>
      </c>
      <c r="I11" s="11" t="s">
        <v>12</v>
      </c>
      <c r="J11" s="12"/>
    </row>
    <row r="12" spans="1:10" ht="60" customHeight="1" x14ac:dyDescent="0.3">
      <c r="A12" s="6" t="s">
        <v>41</v>
      </c>
      <c r="B12" s="6" t="s">
        <v>16</v>
      </c>
      <c r="C12" s="6" t="s">
        <v>12</v>
      </c>
      <c r="D12" s="7" t="s">
        <v>53</v>
      </c>
      <c r="E12" s="8" t="s">
        <v>54</v>
      </c>
      <c r="F12" s="6" t="s">
        <v>55</v>
      </c>
      <c r="G12" s="9" t="str">
        <f t="shared" si="0"/>
        <v>???</v>
      </c>
      <c r="H12" s="10" t="s">
        <v>12</v>
      </c>
      <c r="I12" s="11" t="s">
        <v>12</v>
      </c>
      <c r="J12" s="12"/>
    </row>
    <row r="13" spans="1:10" ht="60" customHeight="1" x14ac:dyDescent="0.3">
      <c r="A13" s="6" t="s">
        <v>36</v>
      </c>
      <c r="B13" s="6" t="s">
        <v>16</v>
      </c>
      <c r="C13" s="6" t="s">
        <v>12</v>
      </c>
      <c r="D13" s="7" t="s">
        <v>56</v>
      </c>
      <c r="E13" s="8" t="s">
        <v>57</v>
      </c>
      <c r="F13" s="6" t="s">
        <v>58</v>
      </c>
      <c r="G13" s="9" t="str">
        <f t="shared" si="0"/>
        <v>???</v>
      </c>
      <c r="H13" s="10" t="s">
        <v>12</v>
      </c>
      <c r="I13" s="11" t="s">
        <v>12</v>
      </c>
      <c r="J13" s="12"/>
    </row>
    <row r="14" spans="1:10" ht="60" customHeight="1" x14ac:dyDescent="0.3">
      <c r="A14" s="6" t="s">
        <v>59</v>
      </c>
      <c r="B14" s="6" t="s">
        <v>45</v>
      </c>
      <c r="C14" s="6" t="s">
        <v>12</v>
      </c>
      <c r="D14" s="7" t="s">
        <v>13</v>
      </c>
      <c r="E14" s="8" t="s">
        <v>60</v>
      </c>
      <c r="F14" s="6" t="s">
        <v>61</v>
      </c>
      <c r="G14" s="9" t="str">
        <f t="shared" si="0"/>
        <v>???</v>
      </c>
      <c r="H14" s="10" t="s">
        <v>12</v>
      </c>
      <c r="I14" s="11" t="s">
        <v>12</v>
      </c>
      <c r="J14" s="12"/>
    </row>
    <row r="15" spans="1:10" ht="60" customHeight="1" x14ac:dyDescent="0.3">
      <c r="A15" s="6" t="s">
        <v>62</v>
      </c>
      <c r="B15" s="6" t="s">
        <v>35</v>
      </c>
      <c r="C15" s="6" t="s">
        <v>12</v>
      </c>
      <c r="D15" s="7" t="s">
        <v>63</v>
      </c>
      <c r="E15" s="8" t="s">
        <v>64</v>
      </c>
      <c r="F15" s="6" t="s">
        <v>65</v>
      </c>
      <c r="G15" s="9" t="str">
        <f t="shared" si="0"/>
        <v>???</v>
      </c>
      <c r="H15" s="10" t="s">
        <v>12</v>
      </c>
      <c r="I15" s="11" t="s">
        <v>12</v>
      </c>
      <c r="J15" s="12"/>
    </row>
    <row r="16" spans="1:10" ht="60" customHeight="1" x14ac:dyDescent="0.3">
      <c r="A16" s="6" t="s">
        <v>66</v>
      </c>
      <c r="B16" s="6" t="s">
        <v>16</v>
      </c>
      <c r="C16" s="6" t="s">
        <v>12</v>
      </c>
      <c r="D16" s="7" t="s">
        <v>67</v>
      </c>
      <c r="E16" s="8" t="s">
        <v>68</v>
      </c>
      <c r="F16" s="6" t="s">
        <v>69</v>
      </c>
      <c r="G16" s="9" t="str">
        <f t="shared" si="0"/>
        <v>???</v>
      </c>
      <c r="H16" s="10" t="s">
        <v>12</v>
      </c>
      <c r="I16" s="11" t="s">
        <v>12</v>
      </c>
      <c r="J16" s="12"/>
    </row>
    <row r="17" spans="1:10" ht="60" customHeight="1" x14ac:dyDescent="0.3">
      <c r="A17" s="6" t="s">
        <v>70</v>
      </c>
      <c r="B17" s="6" t="s">
        <v>16</v>
      </c>
      <c r="C17" s="6" t="s">
        <v>12</v>
      </c>
      <c r="D17" s="7" t="s">
        <v>63</v>
      </c>
      <c r="E17" s="8" t="s">
        <v>71</v>
      </c>
      <c r="F17" s="6" t="s">
        <v>72</v>
      </c>
      <c r="G17" s="9" t="str">
        <f t="shared" si="0"/>
        <v>???</v>
      </c>
      <c r="H17" s="10" t="s">
        <v>12</v>
      </c>
      <c r="I17" s="11" t="s">
        <v>12</v>
      </c>
      <c r="J17" s="12"/>
    </row>
    <row r="18" spans="1:10" ht="60" customHeight="1" x14ac:dyDescent="0.3">
      <c r="A18" s="6" t="s">
        <v>73</v>
      </c>
      <c r="B18" s="6" t="s">
        <v>16</v>
      </c>
      <c r="C18" s="6" t="s">
        <v>12</v>
      </c>
      <c r="D18" s="7" t="s">
        <v>74</v>
      </c>
      <c r="E18" s="8" t="s">
        <v>75</v>
      </c>
      <c r="F18" s="6" t="s">
        <v>76</v>
      </c>
      <c r="G18" s="9" t="str">
        <f t="shared" si="0"/>
        <v>???</v>
      </c>
      <c r="H18" s="10" t="s">
        <v>12</v>
      </c>
      <c r="I18" s="11" t="s">
        <v>12</v>
      </c>
      <c r="J18" s="12"/>
    </row>
    <row r="19" spans="1:10" ht="60" customHeight="1" x14ac:dyDescent="0.3">
      <c r="A19" s="6" t="s">
        <v>77</v>
      </c>
      <c r="B19" s="6" t="s">
        <v>16</v>
      </c>
      <c r="C19" s="6" t="s">
        <v>12</v>
      </c>
      <c r="D19" s="7" t="s">
        <v>37</v>
      </c>
      <c r="E19" s="8" t="s">
        <v>78</v>
      </c>
      <c r="F19" s="6" t="s">
        <v>79</v>
      </c>
      <c r="G19" s="9" t="str">
        <f t="shared" si="0"/>
        <v>???</v>
      </c>
      <c r="H19" s="10" t="s">
        <v>12</v>
      </c>
      <c r="I19" s="11" t="s">
        <v>12</v>
      </c>
      <c r="J19" s="12"/>
    </row>
    <row r="20" spans="1:10" ht="60" customHeight="1" x14ac:dyDescent="0.3">
      <c r="A20" s="6" t="s">
        <v>80</v>
      </c>
      <c r="B20" s="6" t="s">
        <v>49</v>
      </c>
      <c r="C20" s="6" t="s">
        <v>81</v>
      </c>
      <c r="D20" s="7" t="s">
        <v>82</v>
      </c>
      <c r="E20" s="8" t="s">
        <v>83</v>
      </c>
      <c r="F20" s="6" t="s">
        <v>84</v>
      </c>
      <c r="G20" s="9" t="str">
        <f t="shared" si="0"/>
        <v>Was?</v>
      </c>
      <c r="H20" s="10" t="s">
        <v>12</v>
      </c>
      <c r="I20" s="11" t="s">
        <v>12</v>
      </c>
      <c r="J20" s="12"/>
    </row>
    <row r="21" spans="1:10" ht="60" customHeight="1" x14ac:dyDescent="0.3">
      <c r="A21" s="6" t="s">
        <v>85</v>
      </c>
      <c r="B21" s="6" t="s">
        <v>16</v>
      </c>
      <c r="C21" s="6" t="s">
        <v>12</v>
      </c>
      <c r="D21" s="7" t="s">
        <v>63</v>
      </c>
      <c r="E21" s="8" t="s">
        <v>86</v>
      </c>
      <c r="F21" s="6" t="s">
        <v>87</v>
      </c>
      <c r="G21" s="9" t="str">
        <f t="shared" si="0"/>
        <v>???</v>
      </c>
      <c r="H21" s="10" t="s">
        <v>12</v>
      </c>
      <c r="I21" s="11" t="s">
        <v>12</v>
      </c>
      <c r="J21" s="12"/>
    </row>
    <row r="22" spans="1:10" ht="60" customHeight="1" x14ac:dyDescent="0.3">
      <c r="A22" s="6" t="s">
        <v>88</v>
      </c>
      <c r="B22" s="6" t="s">
        <v>11</v>
      </c>
      <c r="C22" s="6" t="s">
        <v>12</v>
      </c>
      <c r="D22" s="7" t="s">
        <v>89</v>
      </c>
      <c r="E22" s="8" t="s">
        <v>90</v>
      </c>
      <c r="F22" s="6" t="s">
        <v>91</v>
      </c>
      <c r="G22" s="9" t="str">
        <f t="shared" si="0"/>
        <v>???</v>
      </c>
      <c r="H22" s="10" t="s">
        <v>12</v>
      </c>
      <c r="I22" s="11" t="s">
        <v>12</v>
      </c>
      <c r="J22" s="12"/>
    </row>
    <row r="23" spans="1:10" ht="60" customHeight="1" x14ac:dyDescent="0.3">
      <c r="A23" s="6" t="s">
        <v>92</v>
      </c>
      <c r="B23" s="6" t="s">
        <v>49</v>
      </c>
      <c r="C23" s="6" t="s">
        <v>12</v>
      </c>
      <c r="D23" s="7" t="s">
        <v>93</v>
      </c>
      <c r="E23" s="8" t="s">
        <v>94</v>
      </c>
      <c r="F23" s="6" t="s">
        <v>95</v>
      </c>
      <c r="G23" s="9" t="str">
        <f t="shared" si="0"/>
        <v>???</v>
      </c>
      <c r="H23" s="10" t="s">
        <v>12</v>
      </c>
      <c r="I23" s="11" t="s">
        <v>12</v>
      </c>
      <c r="J23" s="12"/>
    </row>
    <row r="24" spans="1:10" ht="60" customHeight="1" x14ac:dyDescent="0.3">
      <c r="A24" s="6" t="s">
        <v>96</v>
      </c>
      <c r="B24" s="6" t="s">
        <v>16</v>
      </c>
      <c r="C24" s="6" t="s">
        <v>12</v>
      </c>
      <c r="D24" s="7" t="s">
        <v>97</v>
      </c>
      <c r="E24" s="8" t="s">
        <v>98</v>
      </c>
      <c r="F24" s="6" t="s">
        <v>99</v>
      </c>
      <c r="G24" s="9" t="str">
        <f t="shared" si="0"/>
        <v>???</v>
      </c>
      <c r="H24" s="10" t="s">
        <v>12</v>
      </c>
      <c r="I24" s="11" t="s">
        <v>12</v>
      </c>
      <c r="J24" s="12"/>
    </row>
    <row r="25" spans="1:10" ht="60" customHeight="1" x14ac:dyDescent="0.3">
      <c r="A25" s="6" t="s">
        <v>100</v>
      </c>
      <c r="B25" s="6" t="s">
        <v>11</v>
      </c>
      <c r="C25" s="6" t="s">
        <v>12</v>
      </c>
      <c r="D25" s="7" t="s">
        <v>101</v>
      </c>
      <c r="E25" s="8" t="s">
        <v>102</v>
      </c>
      <c r="F25" s="6" t="s">
        <v>103</v>
      </c>
      <c r="G25" s="9" t="str">
        <f t="shared" si="0"/>
        <v>???</v>
      </c>
      <c r="H25" s="10" t="s">
        <v>12</v>
      </c>
      <c r="I25" s="11" t="s">
        <v>12</v>
      </c>
      <c r="J25" s="12"/>
    </row>
    <row r="26" spans="1:10" ht="60" customHeight="1" x14ac:dyDescent="0.3">
      <c r="A26" s="6" t="s">
        <v>104</v>
      </c>
      <c r="B26" s="6" t="s">
        <v>24</v>
      </c>
      <c r="C26" s="6" t="s">
        <v>12</v>
      </c>
      <c r="D26" s="7" t="s">
        <v>63</v>
      </c>
      <c r="E26" s="8" t="s">
        <v>105</v>
      </c>
      <c r="F26" s="6" t="s">
        <v>106</v>
      </c>
      <c r="G26" s="9" t="str">
        <f t="shared" si="0"/>
        <v>???</v>
      </c>
      <c r="H26" s="10" t="s">
        <v>12</v>
      </c>
      <c r="I26" s="11" t="s">
        <v>12</v>
      </c>
      <c r="J26" s="12"/>
    </row>
    <row r="27" spans="1:10" ht="60" customHeight="1" x14ac:dyDescent="0.3">
      <c r="A27" s="6" t="s">
        <v>107</v>
      </c>
      <c r="B27" s="6" t="s">
        <v>11</v>
      </c>
      <c r="C27" s="6" t="s">
        <v>12</v>
      </c>
      <c r="D27" s="7" t="s">
        <v>108</v>
      </c>
      <c r="E27" s="8" t="s">
        <v>109</v>
      </c>
      <c r="F27" s="6" t="s">
        <v>110</v>
      </c>
      <c r="G27" s="9" t="str">
        <f t="shared" si="0"/>
        <v>???</v>
      </c>
      <c r="H27" s="10" t="s">
        <v>12</v>
      </c>
      <c r="I27" s="11" t="s">
        <v>12</v>
      </c>
      <c r="J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6"/>
  <sheetViews>
    <sheetView tabSelected="1" workbookViewId="0">
      <pane xSplit="1" ySplit="1" topLeftCell="C153" activePane="bottomRight" state="frozen"/>
      <selection pane="topRight" activeCell="B1" sqref="B1"/>
      <selection pane="bottomLeft" activeCell="A2" sqref="A2"/>
      <selection pane="bottomRight" activeCell="H162" sqref="H162"/>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111</v>
      </c>
      <c r="B1" s="13" t="s">
        <v>112</v>
      </c>
      <c r="C1" s="13" t="s">
        <v>113</v>
      </c>
      <c r="D1" s="13" t="s">
        <v>114</v>
      </c>
      <c r="E1" s="14" t="s">
        <v>115</v>
      </c>
      <c r="F1" s="15" t="s">
        <v>116</v>
      </c>
      <c r="G1" s="16" t="s">
        <v>117</v>
      </c>
      <c r="H1" s="17" t="s">
        <v>118</v>
      </c>
      <c r="I1" s="18" t="s">
        <v>119</v>
      </c>
      <c r="J1" s="18" t="s">
        <v>120</v>
      </c>
      <c r="K1" s="18" t="s">
        <v>121</v>
      </c>
      <c r="L1" s="19" t="s">
        <v>9</v>
      </c>
    </row>
    <row r="2" spans="1:12" x14ac:dyDescent="0.3">
      <c r="A2" t="s">
        <v>122</v>
      </c>
    </row>
    <row r="3" spans="1:12" x14ac:dyDescent="0.3">
      <c r="A3" t="s">
        <v>123</v>
      </c>
      <c r="B3" s="20" t="s">
        <v>124</v>
      </c>
      <c r="C3" s="20" t="s">
        <v>125</v>
      </c>
      <c r="D3" s="20" t="s">
        <v>126</v>
      </c>
      <c r="E3" s="21" t="s">
        <v>427</v>
      </c>
      <c r="F3" s="22" t="str">
        <f>IF(OR(E3="",E3="!!!"),"",IF(NOT(ISNA(VLOOKUP(E3,E$1:E2,1,FALSE()))),"OLD",IF(AND(E3&lt;&gt;"",E3&lt;&gt;"!!!"),"NEW","")))</f>
        <v>NEW</v>
      </c>
      <c r="G3" s="23" t="s">
        <v>116</v>
      </c>
      <c r="H3" s="24" t="str">
        <f t="shared" ref="H3:H12"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127</v>
      </c>
      <c r="E4" s="21" t="str">
        <f t="shared" ref="E4:E11"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128</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129</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130</v>
      </c>
      <c r="B7" s="20" t="s">
        <v>131</v>
      </c>
      <c r="C7" s="20" t="s">
        <v>132</v>
      </c>
      <c r="E7" s="21" t="s">
        <v>435</v>
      </c>
      <c r="F7" s="22" t="str">
        <f>IF(OR(E7="",E7="!!!"),"",IF(NOT(ISNA(VLOOKUP(E7,E$1:E6,1,FALSE()))),"OLD",IF(AND(E7&lt;&gt;"",E7&lt;&gt;"!!!"),"NEW","")))</f>
        <v>NEW</v>
      </c>
      <c r="G7" s="23" t="s">
        <v>116</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t="s">
        <v>436</v>
      </c>
    </row>
    <row r="8" spans="1:12" x14ac:dyDescent="0.3">
      <c r="A8" t="s">
        <v>133</v>
      </c>
      <c r="E8" s="21" t="s">
        <v>427</v>
      </c>
      <c r="F8" s="22" t="str">
        <f>IF(OR(E8="",E8="!!!"),"",IF(NOT(ISNA(VLOOKUP(E8,E$1:E7,1,FALSE()))),"OLD",IF(AND(E8&lt;&gt;"",E8&lt;&gt;"!!!"),"NEW","")))</f>
        <v>OLD</v>
      </c>
      <c r="G8" s="23" t="s">
        <v>430</v>
      </c>
      <c r="H8" s="24" t="str">
        <f t="shared" ca="1" si="0"/>
        <v/>
      </c>
      <c r="I8" s="25" t="str">
        <f>IF(OR(E8="",E8="!!!",F8="NEW"),"",INDEX(B$2:B7,-1+SUMPRODUCT(MAX(ROW(E$2:E7)*(E8=E$2:E7)))))</f>
        <v>SBJ</v>
      </c>
      <c r="J8" s="25">
        <f ca="1">IF(OR(E8="",E8="!!!",F8="NEW"),"",COUNTBLANK(OFFSET(A$1,,,SUMPRODUCT(MAX(ROW(E$2:E8)*(E8=E$2:E8)))))-COUNTBLANK(OFFSET(A$1,,,SUMPRODUCT(MAX(ROW(E$1:E7)*(E2=E$1:E7))))))</f>
        <v>0</v>
      </c>
      <c r="K8" s="25" t="str">
        <f ca="1">IF(OR(E8="",E8="!!!",F8="NEW"),"",INDEX(J$1:J7,SUMPRODUCT(MAX(ROW(E$1:E7)*(E8=E$1:E7)))))</f>
        <v/>
      </c>
      <c r="L8" s="26" t="s">
        <v>437</v>
      </c>
    </row>
    <row r="9" spans="1:12" x14ac:dyDescent="0.3">
      <c r="A9" t="s">
        <v>134</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135</v>
      </c>
      <c r="B10" s="20" t="s">
        <v>136</v>
      </c>
      <c r="C10" s="20" t="s">
        <v>137</v>
      </c>
      <c r="E10" s="21" t="s">
        <v>428</v>
      </c>
      <c r="F10" s="22" t="str">
        <f>IF(OR(E10="",E10="!!!"),"",IF(NOT(ISNA(VLOOKUP(E10,E$1:E9,1,FALSE()))),"OLD",IF(AND(E10&lt;&gt;"",E10&lt;&gt;"!!!"),"NEW","")))</f>
        <v>NEW</v>
      </c>
      <c r="G10" s="23" t="s">
        <v>116</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138</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139</v>
      </c>
      <c r="B12" s="20" t="s">
        <v>131</v>
      </c>
      <c r="C12" s="20" t="s">
        <v>125</v>
      </c>
      <c r="D12" s="20" t="s">
        <v>126</v>
      </c>
      <c r="E12" s="21" t="s">
        <v>429</v>
      </c>
      <c r="F12" s="22" t="str">
        <f>IF(OR(E12="",E12="!!!"),"",IF(NOT(ISNA(VLOOKUP(E12,E$1:E11,1,FALSE()))),"OLD",IF(AND(E12&lt;&gt;"",E12&lt;&gt;"!!!"),"NEW","")))</f>
        <v>NEW</v>
      </c>
      <c r="G12" s="23" t="s">
        <v>477</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4" spans="1:12" x14ac:dyDescent="0.3">
      <c r="A14" t="s">
        <v>140</v>
      </c>
    </row>
    <row r="15" spans="1:12" x14ac:dyDescent="0.3">
      <c r="A15" t="s">
        <v>127</v>
      </c>
      <c r="B15" s="20" t="s">
        <v>124</v>
      </c>
      <c r="C15" s="20" t="s">
        <v>125</v>
      </c>
      <c r="D15" s="20" t="s">
        <v>126</v>
      </c>
      <c r="E15" s="21" t="s">
        <v>427</v>
      </c>
      <c r="F15" s="22" t="str">
        <f>IF(OR(E15="",E15="!!!"),"",IF(NOT(ISNA(VLOOKUP(E15,E$1:E14,1,FALSE()))),"OLD",IF(AND(E15&lt;&gt;"",E15&lt;&gt;"!!!"),"NEW","")))</f>
        <v>OLD</v>
      </c>
      <c r="G15" s="23" t="s">
        <v>430</v>
      </c>
      <c r="H15" s="24" t="s">
        <v>118</v>
      </c>
      <c r="I15" s="25">
        <f>IF(OR(E15="",E15="!!!",F15="NEW"),"",INDEX(B$2:B14,-1+SUMPRODUCT(MAX(ROW(E$2:E14)*(E15=E$2:E14)))))</f>
        <v>0</v>
      </c>
      <c r="J15" s="25">
        <f ca="1">IF(OR(E15="",E15="!!!",F15="NEW"),"",COUNTBLANK(OFFSET(A$1,,,SUMPRODUCT(MAX(ROW(E$2:E15)*(E15=E$2:E15)))))-COUNTBLANK(OFFSET(A$1,,,SUMPRODUCT(MAX(ROW(E$1:E14)*(E2=E$1:E14))))))</f>
        <v>0</v>
      </c>
      <c r="K15" s="25">
        <f ca="1">IF(OR(E15="",E15="!!!",F15="NEW"),"",INDEX(J$1:J14,SUMPRODUCT(MAX(ROW(E$1:E14)*(E15=E$1:E14)))))</f>
        <v>0</v>
      </c>
      <c r="L15" s="26"/>
    </row>
    <row r="16" spans="1:12" x14ac:dyDescent="0.3">
      <c r="A16" t="s">
        <v>141</v>
      </c>
      <c r="E16" s="21" t="str">
        <f t="shared" ref="E16:E28" si="2">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ref="H16:H28" ca="1" si="3">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142</v>
      </c>
      <c r="B17" s="20" t="s">
        <v>136</v>
      </c>
      <c r="C17" s="20" t="s">
        <v>125</v>
      </c>
      <c r="D17" s="20" t="s">
        <v>126</v>
      </c>
      <c r="E17" s="21"/>
      <c r="F17" s="22" t="s">
        <v>432</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143</v>
      </c>
      <c r="E18" s="21" t="str">
        <f t="shared" si="2"/>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144</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145</v>
      </c>
      <c r="B20" s="20" t="s">
        <v>131</v>
      </c>
      <c r="C20" s="20" t="s">
        <v>146</v>
      </c>
      <c r="E20" s="21" t="s">
        <v>431</v>
      </c>
      <c r="F20" s="22" t="str">
        <f>IF(OR(E20="",E20="!!!"),"",IF(NOT(ISNA(VLOOKUP(E20,E$1:E19,1,FALSE()))),"OLD",IF(AND(E20&lt;&gt;"",E20&lt;&gt;"!!!"),"NEW","")))</f>
        <v>NEW</v>
      </c>
      <c r="G20" s="23" t="s">
        <v>116</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138</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139</v>
      </c>
      <c r="B22" s="20" t="s">
        <v>147</v>
      </c>
      <c r="C22" s="20" t="s">
        <v>125</v>
      </c>
      <c r="D22" s="20" t="s">
        <v>126</v>
      </c>
      <c r="E22" s="21" t="s">
        <v>429</v>
      </c>
      <c r="F22" s="22" t="str">
        <f>IF(OR(E22="",E22="!!!"),"",IF(NOT(ISNA(VLOOKUP(E22,E$1:E21,1,FALSE()))),"OLD",IF(AND(E22&lt;&gt;"",E22&lt;&gt;"!!!"),"NEW","")))</f>
        <v>OLD</v>
      </c>
      <c r="G22" s="23" t="s">
        <v>478</v>
      </c>
      <c r="H22" s="24" t="str">
        <f t="shared" ca="1" si="3"/>
        <v/>
      </c>
      <c r="I22" s="25" t="str">
        <f>IF(OR(E22="",E22="!!!",F22="NEW"),"",INDEX(B$2:B21,-1+SUMPRODUCT(MAX(ROW(E$2:E21)*(E22=E$2:E21)))))</f>
        <v>other</v>
      </c>
      <c r="J22" s="25">
        <f ca="1">IF(OR(E22="",E22="!!!",F22="NEW"),"",COUNTBLANK(OFFSET(A$1,,,SUMPRODUCT(MAX(ROW(E$2:E22)*(E22=E$2:E22)))))-COUNTBLANK(OFFSET(A$1,,,SUMPRODUCT(MAX(ROW(E$1:E21)*(E2=E$1:E21))))))</f>
        <v>0</v>
      </c>
      <c r="K22" s="25" t="str">
        <f ca="1">IF(OR(E22="",E22="!!!",F22="NEW"),"",INDEX(J$1:J21,SUMPRODUCT(MAX(ROW(E$1:E21)*(E22=E$1:E21)))))</f>
        <v/>
      </c>
      <c r="L22" s="26"/>
    </row>
    <row r="23" spans="1:12" x14ac:dyDescent="0.3">
      <c r="A23" t="s">
        <v>148</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149</v>
      </c>
      <c r="B24" s="20" t="s">
        <v>150</v>
      </c>
      <c r="E24" s="21" t="str">
        <f t="shared" si="2"/>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3"/>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151</v>
      </c>
      <c r="B25" s="20" t="s">
        <v>152</v>
      </c>
      <c r="C25" s="20" t="s">
        <v>153</v>
      </c>
      <c r="D25" s="20" t="s">
        <v>126</v>
      </c>
      <c r="E25" s="21" t="s">
        <v>427</v>
      </c>
      <c r="F25" s="22" t="str">
        <f>IF(OR(E25="",E25="!!!"),"",IF(NOT(ISNA(VLOOKUP(E25,E$1:E24,1,FALSE()))),"OLD",IF(AND(E25&lt;&gt;"",E25&lt;&gt;"!!!"),"NEW","")))</f>
        <v>OLD</v>
      </c>
      <c r="G25" s="23" t="s">
        <v>430</v>
      </c>
      <c r="H25" s="24" t="str">
        <f t="shared" ca="1" si="3"/>
        <v/>
      </c>
      <c r="I25" s="25" t="str">
        <f>IF(OR(E25="",E25="!!!",F25="NEW"),"",INDEX(B$2:B24,-1+SUMPRODUCT(MAX(ROW(E$2:E24)*(E25=E$2:E24)))))</f>
        <v>SBJ</v>
      </c>
      <c r="J25" s="25">
        <f ca="1">IF(OR(E25="",E25="!!!",F25="NEW"),"",COUNTBLANK(OFFSET(A$1,,,SUMPRODUCT(MAX(ROW(E$2:E25)*(E25=E$2:E25)))))-COUNTBLANK(OFFSET(A$1,,,SUMPRODUCT(MAX(ROW(E$1:E24)*(E2=E$1:E24))))))</f>
        <v>0</v>
      </c>
      <c r="K25" s="25">
        <f ca="1">IF(OR(E25="",E25="!!!",F25="NEW"),"",INDEX(J$1:J24,SUMPRODUCT(MAX(ROW(E$1:E24)*(E25=E$1:E24)))))</f>
        <v>0</v>
      </c>
      <c r="L25" s="26"/>
    </row>
    <row r="26" spans="1:12" x14ac:dyDescent="0.3">
      <c r="A26" t="s">
        <v>134</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135</v>
      </c>
      <c r="B27" s="20" t="s">
        <v>152</v>
      </c>
      <c r="C27" s="20" t="s">
        <v>132</v>
      </c>
      <c r="E27" s="21" t="s">
        <v>428</v>
      </c>
      <c r="F27" s="22" t="str">
        <f>IF(OR(E27="",E27="!!!"),"",IF(NOT(ISNA(VLOOKUP(E27,E$1:E26,1,FALSE()))),"OLD",IF(AND(E27&lt;&gt;"",E27&lt;&gt;"!!!"),"NEW","")))</f>
        <v>OLD</v>
      </c>
      <c r="G27" s="23" t="s">
        <v>478</v>
      </c>
      <c r="H27" s="24" t="str">
        <f t="shared" ca="1" si="3"/>
        <v/>
      </c>
      <c r="I27" s="25" t="str">
        <f>IF(OR(E27="",E27="!!!",F27="NEW"),"",INDEX(B$2:B26,-1+SUMPRODUCT(MAX(ROW(E$2:E26)*(E27=E$2:E26)))))</f>
        <v>OBJ</v>
      </c>
      <c r="J27" s="25">
        <f ca="1">IF(OR(E27="",E27="!!!",F27="NEW"),"",COUNTBLANK(OFFSET(A$1,,,SUMPRODUCT(MAX(ROW(E$2:E27)*(E27=E$2:E27)))))-COUNTBLANK(OFFSET(A$1,,,SUMPRODUCT(MAX(ROW(E$1:E26)*(E2=E$1:E26))))))</f>
        <v>0</v>
      </c>
      <c r="K27" s="25" t="str">
        <f ca="1">IF(OR(E27="",E27="!!!",F27="NEW"),"",INDEX(J$1:J26,SUMPRODUCT(MAX(ROW(E$1:E26)*(E27=E$1:E26)))))</f>
        <v/>
      </c>
      <c r="L27" s="26"/>
    </row>
    <row r="28" spans="1:12" x14ac:dyDescent="0.3">
      <c r="A28" t="s">
        <v>154</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30" spans="1:12" x14ac:dyDescent="0.3">
      <c r="A30" t="s">
        <v>155</v>
      </c>
    </row>
    <row r="31" spans="1:12" x14ac:dyDescent="0.3">
      <c r="A31" t="s">
        <v>156</v>
      </c>
      <c r="E31" s="21" t="str">
        <f t="shared" ref="E31:E45" si="4">IF(D31="?OLD","!!!","")</f>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ref="H31:H45" ca="1" si="5">IF(J31&lt;&gt;1,"",IF(I31="SBJ","CB","?"))</f>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157</v>
      </c>
      <c r="B32" s="20" t="s">
        <v>124</v>
      </c>
      <c r="C32" s="20" t="s">
        <v>125</v>
      </c>
      <c r="D32" s="20" t="s">
        <v>126</v>
      </c>
      <c r="E32" s="21"/>
      <c r="F32" s="22" t="s">
        <v>433</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123</v>
      </c>
      <c r="B33" s="20" t="s">
        <v>147</v>
      </c>
      <c r="C33" s="20" t="s">
        <v>125</v>
      </c>
      <c r="D33" s="20" t="s">
        <v>126</v>
      </c>
      <c r="E33" s="21" t="s">
        <v>427</v>
      </c>
      <c r="F33" s="22" t="str">
        <f>IF(OR(E33="",E33="!!!"),"",IF(NOT(ISNA(VLOOKUP(E33,E$1:E32,1,FALSE()))),"OLD",IF(AND(E33&lt;&gt;"",E33&lt;&gt;"!!!"),"NEW","")))</f>
        <v>OLD</v>
      </c>
      <c r="G33" s="23" t="s">
        <v>430</v>
      </c>
      <c r="H33" s="24" t="s">
        <v>118</v>
      </c>
      <c r="I33" s="25" t="str">
        <f>IF(OR(E33="",E33="!!!",F33="NEW"),"",INDEX(B$2:B32,-1+SUMPRODUCT(MAX(ROW(E$2:E32)*(E33=E$2:E32)))))</f>
        <v>OBJ_3</v>
      </c>
      <c r="J33" s="25">
        <f ca="1">IF(OR(E33="",E33="!!!",F33="NEW"),"",COUNTBLANK(OFFSET(A$1,,,SUMPRODUCT(MAX(ROW(E$2:E33)*(E33=E$2:E33)))))-COUNTBLANK(OFFSET(A$1,,,SUMPRODUCT(MAX(ROW(E$1:E32)*(E2=E$1:E32))))))</f>
        <v>0</v>
      </c>
      <c r="K33" s="25">
        <f ca="1">IF(OR(E33="",E33="!!!",F33="NEW"),"",INDEX(J$1:J32,SUMPRODUCT(MAX(ROW(E$1:E32)*(E33=E$1:E32)))))</f>
        <v>0</v>
      </c>
      <c r="L33" s="26"/>
    </row>
    <row r="34" spans="1:12" x14ac:dyDescent="0.3">
      <c r="A34" t="s">
        <v>127</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158</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159</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160</v>
      </c>
      <c r="E37" s="21" t="str">
        <f t="shared" si="4"/>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161</v>
      </c>
      <c r="B38" s="20" t="s">
        <v>131</v>
      </c>
      <c r="C38" s="20" t="s">
        <v>125</v>
      </c>
      <c r="D38" s="20" t="s">
        <v>126</v>
      </c>
      <c r="E38" s="21" t="s">
        <v>456</v>
      </c>
      <c r="F38" s="22" t="s">
        <v>434</v>
      </c>
      <c r="G38" s="23"/>
      <c r="H38" s="24" t="str">
        <f t="shared" ca="1" si="5"/>
        <v/>
      </c>
      <c r="I38" s="25" t="e">
        <f>IF(OR(E38="",E38="!!!",F38="NEW"),"",INDEX(B$2:B37,-1+SUMPRODUCT(MAX(ROW(E$2:E37)*(E38=E$2:E37)))))</f>
        <v>#VALUE!</v>
      </c>
      <c r="J38" s="25">
        <f ca="1">IF(OR(E38="",E38="!!!",F38="NEW"),"",COUNTBLANK(OFFSET(A$1,,,SUMPRODUCT(MAX(ROW(E$2:E38)*(E38=E$2:E38)))))-COUNTBLANK(OFFSET(A$1,,,SUMPRODUCT(MAX(ROW(E$1:E37)*(E2=E$1:E37))))))</f>
        <v>0</v>
      </c>
      <c r="K38" s="25" t="e">
        <f>IF(OR(E38="",E38="!!!",F38="NEW"),"",INDEX(J$1:J37,SUMPRODUCT(MAX(ROW(E$1:E37)*(E38=E$1:E37)))))</f>
        <v>#VALUE!</v>
      </c>
      <c r="L38" s="26"/>
    </row>
    <row r="39" spans="1:12" x14ac:dyDescent="0.3">
      <c r="A39" t="s">
        <v>133</v>
      </c>
      <c r="E39" s="21" t="s">
        <v>427</v>
      </c>
      <c r="F39" s="22" t="str">
        <f>IF(OR(E39="",E39="!!!"),"",IF(NOT(ISNA(VLOOKUP(E39,E$1:E38,1,FALSE()))),"OLD",IF(AND(E39&lt;&gt;"",E39&lt;&gt;"!!!"),"NEW","")))</f>
        <v>OLD</v>
      </c>
      <c r="G39" s="23" t="s">
        <v>430</v>
      </c>
      <c r="H39" s="24" t="str">
        <f t="shared" ca="1" si="5"/>
        <v/>
      </c>
      <c r="I39" s="25" t="str">
        <f>IF(OR(E39="",E39="!!!",F39="NEW"),"",INDEX(B$2:B38,-1+SUMPRODUCT(MAX(ROW(E$2:E38)*(E39=E$2:E38)))))</f>
        <v>other_2</v>
      </c>
      <c r="J39" s="25">
        <f ca="1">IF(OR(E39="",E39="!!!",F39="NEW"),"",COUNTBLANK(OFFSET(A$1,,,SUMPRODUCT(MAX(ROW(E$2:E39)*(E39=E$2:E39)))))-COUNTBLANK(OFFSET(A$1,,,SUMPRODUCT(MAX(ROW(E$1:E38)*(E2=E$1:E38))))))</f>
        <v>0</v>
      </c>
      <c r="K39" s="25">
        <f ca="1">IF(OR(E39="",E39="!!!",F39="NEW"),"",INDEX(J$1:J38,SUMPRODUCT(MAX(ROW(E$1:E38)*(E39=E$1:E38)))))</f>
        <v>0</v>
      </c>
      <c r="L39" s="26"/>
    </row>
    <row r="40" spans="1:12" x14ac:dyDescent="0.3">
      <c r="A40" t="s">
        <v>134</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162</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135</v>
      </c>
      <c r="B42" s="20" t="s">
        <v>136</v>
      </c>
      <c r="C42" s="20" t="s">
        <v>137</v>
      </c>
      <c r="E42" s="21" t="s">
        <v>428</v>
      </c>
      <c r="F42" s="22" t="str">
        <f>IF(OR(E42="",E42="!!!"),"",IF(NOT(ISNA(VLOOKUP(E42,E$1:E41,1,FALSE()))),"OLD",IF(AND(E42&lt;&gt;"",E42&lt;&gt;"!!!"),"NEW","")))</f>
        <v>OLD</v>
      </c>
      <c r="G42" s="23" t="s">
        <v>430</v>
      </c>
      <c r="H42" s="24" t="str">
        <f t="shared" ca="1" si="5"/>
        <v/>
      </c>
      <c r="I42" s="25" t="str">
        <f>IF(OR(E42="",E42="!!!",F42="NEW"),"",INDEX(B$2:B41,-1+SUMPRODUCT(MAX(ROW(E$2:E41)*(E42=E$2:E41)))))</f>
        <v>OBJ_3</v>
      </c>
      <c r="J42" s="25">
        <f ca="1">IF(OR(E42="",E42="!!!",F42="NEW"),"",COUNTBLANK(OFFSET(A$1,,,SUMPRODUCT(MAX(ROW(E$2:E42)*(E42=E$2:E42)))))-COUNTBLANK(OFFSET(A$1,,,SUMPRODUCT(MAX(ROW(E$1:E41)*(E2=E$1:E41))))))</f>
        <v>0</v>
      </c>
      <c r="K42" s="25">
        <f ca="1">IF(OR(E42="",E42="!!!",F42="NEW"),"",INDEX(J$1:J41,SUMPRODUCT(MAX(ROW(E$1:E41)*(E42=E$1:E41)))))</f>
        <v>0</v>
      </c>
      <c r="L42" s="26"/>
    </row>
    <row r="43" spans="1:12" x14ac:dyDescent="0.3">
      <c r="A43" t="s">
        <v>138</v>
      </c>
      <c r="E43" s="21" t="str">
        <f t="shared" si="4"/>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139</v>
      </c>
      <c r="B44" s="20" t="s">
        <v>131</v>
      </c>
      <c r="C44" s="20" t="s">
        <v>125</v>
      </c>
      <c r="D44" s="20" t="s">
        <v>126</v>
      </c>
      <c r="E44" s="21" t="s">
        <v>429</v>
      </c>
      <c r="F44" s="22" t="str">
        <f>IF(OR(E44="",E44="!!!"),"",IF(NOT(ISNA(VLOOKUP(E44,E$1:E43,1,FALSE()))),"OLD",IF(AND(E44&lt;&gt;"",E44&lt;&gt;"!!!"),"NEW","")))</f>
        <v>OLD</v>
      </c>
      <c r="G44" s="23" t="s">
        <v>430</v>
      </c>
      <c r="H44" s="24" t="str">
        <f t="shared" ca="1" si="5"/>
        <v/>
      </c>
      <c r="I44" s="25" t="str">
        <f>IF(OR(E44="",E44="!!!",F44="NEW"),"",INDEX(B$2:B43,-1+SUMPRODUCT(MAX(ROW(E$2:E43)*(E44=E$2:E43)))))</f>
        <v>other_2</v>
      </c>
      <c r="J44" s="25">
        <f ca="1">IF(OR(E44="",E44="!!!",F44="NEW"),"",COUNTBLANK(OFFSET(A$1,,,SUMPRODUCT(MAX(ROW(E$2:E44)*(E44=E$2:E44)))))-COUNTBLANK(OFFSET(A$1,,,SUMPRODUCT(MAX(ROW(E$1:E43)*(E2=E$1:E43))))))</f>
        <v>0</v>
      </c>
      <c r="K44" s="25">
        <f ca="1">IF(OR(E44="",E44="!!!",F44="NEW"),"",INDEX(J$1:J43,SUMPRODUCT(MAX(ROW(E$1:E43)*(E44=E$1:E43)))))</f>
        <v>0</v>
      </c>
      <c r="L44" s="26"/>
    </row>
    <row r="45" spans="1:12" x14ac:dyDescent="0.3">
      <c r="A45" t="s">
        <v>163</v>
      </c>
      <c r="E45" s="21" t="str">
        <f t="shared" si="4"/>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5"/>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7" spans="1:12" x14ac:dyDescent="0.3">
      <c r="A47" t="s">
        <v>164</v>
      </c>
    </row>
    <row r="48" spans="1:12" x14ac:dyDescent="0.3">
      <c r="A48" t="s">
        <v>165</v>
      </c>
      <c r="B48" s="20" t="s">
        <v>124</v>
      </c>
      <c r="C48" s="20" t="s">
        <v>153</v>
      </c>
      <c r="D48" s="20" t="s">
        <v>126</v>
      </c>
      <c r="E48" s="21" t="s">
        <v>427</v>
      </c>
      <c r="F48" s="22" t="str">
        <f>IF(OR(E48="",E48="!!!"),"",IF(NOT(ISNA(VLOOKUP(E48,E$1:E47,1,FALSE()))),"OLD",IF(AND(E48&lt;&gt;"",E48&lt;&gt;"!!!"),"NEW","")))</f>
        <v>OLD</v>
      </c>
      <c r="G48" s="23" t="s">
        <v>430</v>
      </c>
      <c r="H48" s="24" t="s">
        <v>118</v>
      </c>
      <c r="I48" s="25">
        <f>IF(OR(E48="",E48="!!!",F48="NEW"),"",INDEX(B$2:B47,-1+SUMPRODUCT(MAX(ROW(E$2:E47)*(E48=E$2:E47)))))</f>
        <v>0</v>
      </c>
      <c r="J48" s="25">
        <f ca="1">IF(OR(E48="",E48="!!!",F48="NEW"),"",COUNTBLANK(OFFSET(A$1,,,SUMPRODUCT(MAX(ROW(E$2:E48)*(E48=E$2:E48)))))-COUNTBLANK(OFFSET(A$1,,,SUMPRODUCT(MAX(ROW(E$1:E47)*(E2=E$1:E47))))))</f>
        <v>0</v>
      </c>
      <c r="K48" s="25">
        <f ca="1">IF(OR(E48="",E48="!!!",F48="NEW"),"",INDEX(J$1:J47,SUMPRODUCT(MAX(ROW(E$1:E47)*(E48=E$1:E47)))))</f>
        <v>0</v>
      </c>
      <c r="L48" s="26"/>
    </row>
    <row r="49" spans="1:12" x14ac:dyDescent="0.3">
      <c r="A49" t="s">
        <v>166</v>
      </c>
      <c r="E49" s="21" t="str">
        <f t="shared" ref="E49:E72" si="6">IF(D49="?OLD","!!!","")</f>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ref="H49:H72" ca="1" si="7">IF(J49&lt;&gt;1,"",IF(I49="SBJ","CB","?"))</f>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129</v>
      </c>
      <c r="E50" s="21" t="str">
        <f t="shared" si="6"/>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7"/>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130</v>
      </c>
      <c r="B51" s="20" t="s">
        <v>131</v>
      </c>
      <c r="C51" s="20" t="s">
        <v>132</v>
      </c>
      <c r="E51" s="21" t="s">
        <v>435</v>
      </c>
      <c r="F51" s="22" t="str">
        <f>IF(OR(E51="",E51="!!!"),"",IF(NOT(ISNA(VLOOKUP(E51,E$1:E50,1,FALSE()))),"OLD",IF(AND(E51&lt;&gt;"",E51&lt;&gt;"!!!"),"NEW","")))</f>
        <v>OLD</v>
      </c>
      <c r="G51" s="23" t="s">
        <v>477</v>
      </c>
      <c r="H51" s="24" t="str">
        <f t="shared" ca="1" si="7"/>
        <v/>
      </c>
      <c r="I51" s="25" t="str">
        <f>IF(OR(E51="",E51="!!!",F51="NEW"),"",INDEX(B$2:B50,-1+SUMPRODUCT(MAX(ROW(E$2:E50)*(E51=E$2:E50)))))</f>
        <v>other</v>
      </c>
      <c r="J51" s="25">
        <f ca="1">IF(OR(E51="",E51="!!!",F51="NEW"),"",COUNTBLANK(OFFSET(A$1,,,SUMPRODUCT(MAX(ROW(E$2:E51)*(E51=E$2:E51)))))-COUNTBLANK(OFFSET(A$1,,,SUMPRODUCT(MAX(ROW(E$1:E50)*(E2=E$1:E50))))))</f>
        <v>0</v>
      </c>
      <c r="K51" s="25" t="str">
        <f ca="1">IF(OR(E51="",E51="!!!",F51="NEW"),"",INDEX(J$1:J50,SUMPRODUCT(MAX(ROW(E$1:E50)*(E51=E$1:E50)))))</f>
        <v/>
      </c>
      <c r="L51" s="26"/>
    </row>
    <row r="52" spans="1:12" x14ac:dyDescent="0.3">
      <c r="A52" t="s">
        <v>148</v>
      </c>
      <c r="E52" s="21" t="str">
        <f t="shared" si="6"/>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7"/>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167</v>
      </c>
      <c r="B53" s="20" t="s">
        <v>150</v>
      </c>
      <c r="E53" s="21" t="str">
        <f t="shared" si="6"/>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7"/>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168</v>
      </c>
      <c r="E54" s="21" t="str">
        <f t="shared" si="6"/>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7"/>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169</v>
      </c>
      <c r="B55" s="20" t="s">
        <v>170</v>
      </c>
      <c r="C55" s="20" t="s">
        <v>125</v>
      </c>
      <c r="D55" s="20" t="s">
        <v>126</v>
      </c>
      <c r="E55" s="21" t="s">
        <v>438</v>
      </c>
      <c r="F55" s="22" t="str">
        <f>IF(OR(E55="",E55="!!!"),"",IF(NOT(ISNA(VLOOKUP(E55,E$1:E54,1,FALSE()))),"OLD",IF(AND(E55&lt;&gt;"",E55&lt;&gt;"!!!"),"NEW","")))</f>
        <v>NEW</v>
      </c>
      <c r="G55" s="23" t="s">
        <v>480</v>
      </c>
      <c r="H55" s="24" t="str">
        <f t="shared" ca="1" si="7"/>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171</v>
      </c>
      <c r="E56" s="21" t="str">
        <f t="shared" si="6"/>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7"/>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172</v>
      </c>
      <c r="E57" s="21" t="str">
        <f t="shared" si="6"/>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7"/>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173</v>
      </c>
      <c r="E58" s="21" t="str">
        <f t="shared" si="6"/>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7"/>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148</v>
      </c>
      <c r="E59" s="21" t="str">
        <f t="shared" si="6"/>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7"/>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129</v>
      </c>
      <c r="E60" s="21" t="str">
        <f t="shared" si="6"/>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7"/>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174</v>
      </c>
      <c r="E61" s="21" t="s">
        <v>427</v>
      </c>
      <c r="F61" s="22" t="str">
        <f>IF(OR(E61="",E61="!!!"),"",IF(NOT(ISNA(VLOOKUP(E61,E$1:E60,1,FALSE()))),"OLD",IF(AND(E61&lt;&gt;"",E61&lt;&gt;"!!!"),"NEW","")))</f>
        <v>OLD</v>
      </c>
      <c r="G61" s="23" t="s">
        <v>430</v>
      </c>
      <c r="H61" s="24" t="str">
        <f t="shared" ca="1" si="7"/>
        <v/>
      </c>
      <c r="I61" s="25" t="str">
        <f>IF(OR(E61="",E61="!!!",F61="NEW"),"",INDEX(B$2:B60,-1+SUMPRODUCT(MAX(ROW(E$2:E60)*(E61=E$2:E60)))))</f>
        <v>SBJ</v>
      </c>
      <c r="J61" s="25">
        <f ca="1">IF(OR(E61="",E61="!!!",F61="NEW"),"",COUNTBLANK(OFFSET(A$1,,,SUMPRODUCT(MAX(ROW(E$2:E61)*(E61=E$2:E61)))))-COUNTBLANK(OFFSET(A$1,,,SUMPRODUCT(MAX(ROW(E$1:E60)*(E2=E$1:E60))))))</f>
        <v>0</v>
      </c>
      <c r="K61" s="25">
        <f ca="1">IF(OR(E61="",E61="!!!",F61="NEW"),"",INDEX(J$1:J60,SUMPRODUCT(MAX(ROW(E$1:E60)*(E61=E$1:E60)))))</f>
        <v>0</v>
      </c>
      <c r="L61" s="26" t="s">
        <v>437</v>
      </c>
    </row>
    <row r="62" spans="1:12" x14ac:dyDescent="0.3">
      <c r="A62" t="s">
        <v>175</v>
      </c>
      <c r="E62" s="21" t="str">
        <f t="shared" si="6"/>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7"/>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176</v>
      </c>
      <c r="B63" s="20" t="s">
        <v>131</v>
      </c>
      <c r="C63" s="20" t="s">
        <v>137</v>
      </c>
      <c r="E63" s="21" t="s">
        <v>439</v>
      </c>
      <c r="F63" s="22" t="str">
        <f>IF(OR(E63="",E63="!!!"),"",IF(NOT(ISNA(VLOOKUP(E63,E$1:E62,1,FALSE()))),"OLD",IF(AND(E63&lt;&gt;"",E63&lt;&gt;"!!!"),"NEW","")))</f>
        <v>NEW</v>
      </c>
      <c r="G63" s="23" t="s">
        <v>479</v>
      </c>
      <c r="H63" s="24" t="str">
        <f t="shared" ca="1" si="7"/>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177</v>
      </c>
      <c r="E64" s="21" t="str">
        <f t="shared" si="6"/>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7"/>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178</v>
      </c>
      <c r="E65" s="21" t="s">
        <v>427</v>
      </c>
      <c r="F65" s="22" t="str">
        <f>IF(OR(E65="",E65="!!!"),"",IF(NOT(ISNA(VLOOKUP(E65,E$1:E64,1,FALSE()))),"OLD",IF(AND(E65&lt;&gt;"",E65&lt;&gt;"!!!"),"NEW","")))</f>
        <v>OLD</v>
      </c>
      <c r="G65" s="23" t="s">
        <v>430</v>
      </c>
      <c r="H65" s="24" t="str">
        <f t="shared" ca="1" si="7"/>
        <v/>
      </c>
      <c r="I65" s="25">
        <f>IF(OR(E65="",E65="!!!",F65="NEW"),"",INDEX(B$2:B64,-1+SUMPRODUCT(MAX(ROW(E$2:E64)*(E65=E$2:E64)))))</f>
        <v>0</v>
      </c>
      <c r="J65" s="25">
        <f ca="1">IF(OR(E65="",E65="!!!",F65="NEW"),"",COUNTBLANK(OFFSET(A$1,,,SUMPRODUCT(MAX(ROW(E$2:E65)*(E65=E$2:E65)))))-COUNTBLANK(OFFSET(A$1,,,SUMPRODUCT(MAX(ROW(E$1:E64)*(E2=E$1:E64))))))</f>
        <v>0</v>
      </c>
      <c r="K65" s="25">
        <f ca="1">IF(OR(E65="",E65="!!!",F65="NEW"),"",INDEX(J$1:J64,SUMPRODUCT(MAX(ROW(E$1:E64)*(E65=E$1:E64)))))</f>
        <v>0</v>
      </c>
      <c r="L65" s="26" t="s">
        <v>437</v>
      </c>
    </row>
    <row r="66" spans="1:12" x14ac:dyDescent="0.3">
      <c r="A66" t="s">
        <v>179</v>
      </c>
      <c r="E66" s="21" t="str">
        <f t="shared" si="6"/>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7"/>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135</v>
      </c>
      <c r="B67" s="20" t="s">
        <v>131</v>
      </c>
      <c r="C67" s="20" t="s">
        <v>137</v>
      </c>
      <c r="E67" s="21" t="s">
        <v>431</v>
      </c>
      <c r="F67" s="22" t="str">
        <f>IF(OR(E67="",E67="!!!"),"",IF(NOT(ISNA(VLOOKUP(E67,E$1:E66,1,FALSE()))),"OLD",IF(AND(E67&lt;&gt;"",E67&lt;&gt;"!!!"),"NEW","")))</f>
        <v>OLD</v>
      </c>
      <c r="G67" s="23" t="s">
        <v>478</v>
      </c>
      <c r="H67" s="24" t="str">
        <f t="shared" ca="1" si="7"/>
        <v/>
      </c>
      <c r="I67" s="25" t="str">
        <f>IF(OR(E67="",E67="!!!",F67="NEW"),"",INDEX(B$2:B66,-1+SUMPRODUCT(MAX(ROW(E$2:E66)*(E67=E$2:E66)))))</f>
        <v>other</v>
      </c>
      <c r="J67" s="25">
        <f ca="1">IF(OR(E67="",E67="!!!",F67="NEW"),"",COUNTBLANK(OFFSET(A$1,,,SUMPRODUCT(MAX(ROW(E$2:E67)*(E67=E$2:E67)))))-COUNTBLANK(OFFSET(A$1,,,SUMPRODUCT(MAX(ROW(E$1:E66)*(E2=E$1:E66))))))</f>
        <v>0</v>
      </c>
      <c r="K67" s="25" t="str">
        <f ca="1">IF(OR(E67="",E67="!!!",F67="NEW"),"",INDEX(J$1:J66,SUMPRODUCT(MAX(ROW(E$1:E66)*(E67=E$1:E66)))))</f>
        <v/>
      </c>
      <c r="L67" s="26"/>
    </row>
    <row r="68" spans="1:12" x14ac:dyDescent="0.3">
      <c r="A68" t="s">
        <v>149</v>
      </c>
      <c r="E68" s="21" t="str">
        <f t="shared" si="6"/>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7"/>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180</v>
      </c>
      <c r="B69" s="20" t="s">
        <v>147</v>
      </c>
      <c r="C69" s="20" t="s">
        <v>181</v>
      </c>
      <c r="D69" s="20" t="s">
        <v>126</v>
      </c>
      <c r="E69" s="21"/>
      <c r="F69" s="22" t="s">
        <v>432</v>
      </c>
      <c r="G69" s="23" t="str">
        <f>IF(OR(E69="",E69="!!!"),"",IF(OR(J69=0,AND(J69=1,K69=1),AND(J69=1,I69="SBJ"),AND(J69=1,I69=0)),"?IN_FOCUS",IF(J69&lt;=2,"?ACTIVATED",IF(J69&lt;&gt;"","?FAMILIAR",IF(F69="NEW",IF(ISNA(VLOOKUP(E69,#REF!,1,FALSE())),"?TYPE_IDENTIFIABLE","?REFERENTIAL"),"_")))))</f>
        <v/>
      </c>
      <c r="H69" s="24" t="str">
        <f t="shared" ca="1" si="7"/>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182</v>
      </c>
      <c r="E70" s="21" t="str">
        <f t="shared" si="6"/>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7"/>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183</v>
      </c>
      <c r="B71" s="20" t="s">
        <v>136</v>
      </c>
      <c r="C71" s="20" t="s">
        <v>146</v>
      </c>
      <c r="E71" s="21" t="s">
        <v>428</v>
      </c>
      <c r="F71" s="22" t="str">
        <f>IF(OR(E71="",E71="!!!"),"",IF(NOT(ISNA(VLOOKUP(E71,E$1:E70,1,FALSE()))),"OLD",IF(AND(E71&lt;&gt;"",E71&lt;&gt;"!!!"),"NEW","")))</f>
        <v>OLD</v>
      </c>
      <c r="G71" s="23" t="s">
        <v>430</v>
      </c>
      <c r="H71" s="24" t="str">
        <f t="shared" ca="1" si="7"/>
        <v/>
      </c>
      <c r="I71" s="25" t="str">
        <f>IF(OR(E71="",E71="!!!",F71="NEW"),"",INDEX(B$2:B70,-1+SUMPRODUCT(MAX(ROW(E$2:E70)*(E71=E$2:E70)))))</f>
        <v>OBJ</v>
      </c>
      <c r="J71" s="25">
        <f ca="1">IF(OR(E71="",E71="!!!",F71="NEW"),"",COUNTBLANK(OFFSET(A$1,,,SUMPRODUCT(MAX(ROW(E$2:E71)*(E71=E$2:E71)))))-COUNTBLANK(OFFSET(A$1,,,SUMPRODUCT(MAX(ROW(E$1:E70)*(E2=E$1:E70))))))</f>
        <v>0</v>
      </c>
      <c r="K71" s="25">
        <f ca="1">IF(OR(E71="",E71="!!!",F71="NEW"),"",INDEX(J$1:J70,SUMPRODUCT(MAX(ROW(E$1:E70)*(E71=E$1:E70)))))</f>
        <v>0</v>
      </c>
      <c r="L71" s="26" t="s">
        <v>484</v>
      </c>
    </row>
    <row r="72" spans="1:12" x14ac:dyDescent="0.3">
      <c r="A72" t="s">
        <v>163</v>
      </c>
      <c r="E72" s="21" t="str">
        <f t="shared" si="6"/>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7"/>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4" spans="1:12" x14ac:dyDescent="0.3">
      <c r="A74" t="s">
        <v>184</v>
      </c>
    </row>
    <row r="75" spans="1:12" x14ac:dyDescent="0.3">
      <c r="A75" t="s">
        <v>156</v>
      </c>
      <c r="E75" s="21" t="str">
        <f t="shared" ref="E75:E92" si="8">IF(D75="?OLD","!!!","")</f>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ref="H75:H92" ca="1" si="9">IF(J75&lt;&gt;1,"",IF(I75="SBJ","CB","?"))</f>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185</v>
      </c>
      <c r="E76" s="21" t="str">
        <f t="shared" si="8"/>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ca="1" si="9"/>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12</v>
      </c>
      <c r="E77" s="21" t="str">
        <f t="shared" si="8"/>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9"/>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186</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187</v>
      </c>
      <c r="B79" s="20" t="s">
        <v>124</v>
      </c>
      <c r="C79" s="20" t="s">
        <v>181</v>
      </c>
      <c r="D79" s="20" t="s">
        <v>126</v>
      </c>
      <c r="E79" s="21" t="s">
        <v>427</v>
      </c>
      <c r="F79" s="22" t="str">
        <f>IF(OR(E79="",E79="!!!"),"",IF(NOT(ISNA(VLOOKUP(E79,E$1:E78,1,FALSE()))),"OLD",IF(AND(E79&lt;&gt;"",E79&lt;&gt;"!!!"),"NEW","")))</f>
        <v>OLD</v>
      </c>
      <c r="G79" s="23" t="s">
        <v>430</v>
      </c>
      <c r="H79" s="24" t="s">
        <v>118</v>
      </c>
      <c r="I79" s="25">
        <f>IF(OR(E79="",E79="!!!",F79="NEW"),"",INDEX(B$2:B78,-1+SUMPRODUCT(MAX(ROW(E$2:E78)*(E79=E$2:E78)))))</f>
        <v>0</v>
      </c>
      <c r="J79" s="25">
        <f ca="1">IF(OR(E79="",E79="!!!",F79="NEW"),"",COUNTBLANK(OFFSET(A$1,,,SUMPRODUCT(MAX(ROW(E$2:E79)*(E79=E$2:E79)))))-COUNTBLANK(OFFSET(A$1,,,SUMPRODUCT(MAX(ROW(E$1:E78)*(E2=E$1:E78))))))</f>
        <v>0</v>
      </c>
      <c r="K79" s="25">
        <f ca="1">IF(OR(E79="",E79="!!!",F79="NEW"),"",INDEX(J$1:J78,SUMPRODUCT(MAX(ROW(E$1:E78)*(E79=E$1:E78)))))</f>
        <v>0</v>
      </c>
      <c r="L79" s="26"/>
    </row>
    <row r="80" spans="1:12" x14ac:dyDescent="0.3">
      <c r="A80" t="s">
        <v>188</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149</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189</v>
      </c>
      <c r="E82" s="21" t="str">
        <f t="shared" si="8"/>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157</v>
      </c>
      <c r="B83" s="20" t="s">
        <v>131</v>
      </c>
      <c r="C83" s="20" t="s">
        <v>181</v>
      </c>
      <c r="D83" s="20" t="s">
        <v>126</v>
      </c>
      <c r="E83" s="21"/>
      <c r="F83" s="22" t="s">
        <v>433</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148</v>
      </c>
      <c r="E84" s="21" t="str">
        <f t="shared" si="8"/>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9"/>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149</v>
      </c>
      <c r="B85" s="20" t="s">
        <v>190</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191</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183</v>
      </c>
      <c r="B87" s="20" t="s">
        <v>192</v>
      </c>
      <c r="C87" s="20" t="s">
        <v>181</v>
      </c>
      <c r="D87" s="20" t="s">
        <v>126</v>
      </c>
      <c r="E87" s="21" t="s">
        <v>428</v>
      </c>
      <c r="F87" s="22" t="str">
        <f>IF(OR(E87="",E87="!!!"),"",IF(NOT(ISNA(VLOOKUP(E87,E$1:E86,1,FALSE()))),"OLD",IF(AND(E87&lt;&gt;"",E87&lt;&gt;"!!!"),"NEW","")))</f>
        <v>OLD</v>
      </c>
      <c r="G87" s="23" t="s">
        <v>430</v>
      </c>
      <c r="H87" s="24" t="str">
        <f t="shared" ca="1" si="9"/>
        <v/>
      </c>
      <c r="I87" s="25" t="str">
        <f>IF(OR(E87="",E87="!!!",F87="NEW"),"",INDEX(B$2:B86,-1+SUMPRODUCT(MAX(ROW(E$2:E86)*(E87=E$2:E86)))))</f>
        <v>OBJ</v>
      </c>
      <c r="J87" s="25">
        <f ca="1">IF(OR(E87="",E87="!!!",F87="NEW"),"",COUNTBLANK(OFFSET(A$1,,,SUMPRODUCT(MAX(ROW(E$2:E87)*(E87=E$2:E87)))))-COUNTBLANK(OFFSET(A$1,,,SUMPRODUCT(MAX(ROW(E$1:E86)*(E2=E$1:E86))))))</f>
        <v>0</v>
      </c>
      <c r="K87" s="25">
        <f ca="1">IF(OR(E87="",E87="!!!",F87="NEW"),"",INDEX(J$1:J86,SUMPRODUCT(MAX(ROW(E$1:E86)*(E87=E$1:E86)))))</f>
        <v>0</v>
      </c>
      <c r="L87" s="26"/>
    </row>
    <row r="88" spans="1:12" x14ac:dyDescent="0.3">
      <c r="A88" t="s">
        <v>193</v>
      </c>
      <c r="E88" s="21" t="str">
        <f t="shared" si="8"/>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9"/>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160</v>
      </c>
      <c r="E89" s="21" t="str">
        <f t="shared" si="8"/>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9"/>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194</v>
      </c>
      <c r="B90" s="20" t="s">
        <v>147</v>
      </c>
      <c r="C90" s="20" t="s">
        <v>181</v>
      </c>
      <c r="D90" s="20" t="s">
        <v>126</v>
      </c>
      <c r="E90" s="21" t="s">
        <v>444</v>
      </c>
      <c r="F90" s="22" t="str">
        <f>IF(OR(E90="",E90="!!!"),"",IF(NOT(ISNA(VLOOKUP(E90,E$1:E89,1,FALSE()))),"OLD",IF(AND(E90&lt;&gt;"",E90&lt;&gt;"!!!"),"NEW","")))</f>
        <v>NEW</v>
      </c>
      <c r="G90" s="23" t="s">
        <v>479</v>
      </c>
      <c r="H90" s="24" t="str">
        <f t="shared" ca="1" si="9"/>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128</v>
      </c>
      <c r="E91" s="21" t="str">
        <f t="shared" si="8"/>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9"/>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163</v>
      </c>
      <c r="E92" s="21" t="str">
        <f t="shared" si="8"/>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9"/>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4" spans="1:12" x14ac:dyDescent="0.3">
      <c r="A94" t="s">
        <v>195</v>
      </c>
    </row>
    <row r="95" spans="1:12" x14ac:dyDescent="0.3">
      <c r="A95" t="s">
        <v>165</v>
      </c>
      <c r="B95" s="20" t="s">
        <v>124</v>
      </c>
      <c r="C95" s="20" t="s">
        <v>153</v>
      </c>
      <c r="D95" s="20" t="s">
        <v>126</v>
      </c>
      <c r="E95" s="21" t="s">
        <v>427</v>
      </c>
      <c r="F95" s="22" t="str">
        <f>IF(OR(E95="",E95="!!!"),"",IF(NOT(ISNA(VLOOKUP(E95,E$1:E94,1,FALSE()))),"OLD",IF(AND(E95&lt;&gt;"",E95&lt;&gt;"!!!"),"NEW","")))</f>
        <v>OLD</v>
      </c>
      <c r="G95" s="23" t="s">
        <v>430</v>
      </c>
      <c r="H95" s="24" t="s">
        <v>118</v>
      </c>
      <c r="I95" s="25" t="str">
        <f>IF(OR(E95="",E95="!!!",F95="NEW"),"",INDEX(B$2:B94,-1+SUMPRODUCT(MAX(ROW(E$2:E94)*(E95=E$2:E94)))))</f>
        <v>SBJ</v>
      </c>
      <c r="J95" s="25">
        <f ca="1">IF(OR(E95="",E95="!!!",F95="NEW"),"",COUNTBLANK(OFFSET(A$1,,,SUMPRODUCT(MAX(ROW(E$2:E95)*(E95=E$2:E95)))))-COUNTBLANK(OFFSET(A$1,,,SUMPRODUCT(MAX(ROW(E$1:E94)*(E2=E$1:E94))))))</f>
        <v>0</v>
      </c>
      <c r="K95" s="25">
        <f ca="1">IF(OR(E95="",E95="!!!",F95="NEW"),"",INDEX(J$1:J94,SUMPRODUCT(MAX(ROW(E$1:E94)*(E95=E$1:E94)))))</f>
        <v>0</v>
      </c>
      <c r="L95" s="26"/>
    </row>
    <row r="96" spans="1:12" x14ac:dyDescent="0.3">
      <c r="A96" t="s">
        <v>196</v>
      </c>
      <c r="E96" s="21" t="str">
        <f t="shared" ref="E96:E112" si="10">IF(D96="?OLD","!!!","")</f>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ref="H96:H112" ca="1" si="11">IF(J96&lt;&gt;1,"",IF(I96="SBJ","CB","?"))</f>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197</v>
      </c>
      <c r="B97" s="20" t="s">
        <v>131</v>
      </c>
      <c r="C97" s="20" t="s">
        <v>125</v>
      </c>
      <c r="D97" s="20" t="s">
        <v>126</v>
      </c>
      <c r="E97" s="21"/>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11"/>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198</v>
      </c>
      <c r="E98" s="21" t="s">
        <v>446</v>
      </c>
      <c r="F98" s="22" t="str">
        <f>IF(OR(E98="",E98="!!!"),"",IF(NOT(ISNA(VLOOKUP(E98,E$1:E97,1,FALSE()))),"OLD",IF(AND(E98&lt;&gt;"",E98&lt;&gt;"!!!"),"NEW","")))</f>
        <v>NEW</v>
      </c>
      <c r="G98" s="23" t="s">
        <v>480</v>
      </c>
      <c r="H98" s="24" t="str">
        <f t="shared" ca="1" si="11"/>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t="s">
        <v>447</v>
      </c>
    </row>
    <row r="99" spans="1:12" x14ac:dyDescent="0.3">
      <c r="A99" t="s">
        <v>199</v>
      </c>
      <c r="E99" s="21" t="str">
        <f t="shared" si="10"/>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1"/>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148</v>
      </c>
      <c r="E100" s="21" t="str">
        <f t="shared" si="10"/>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11"/>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200</v>
      </c>
      <c r="B101" s="20" t="s">
        <v>147</v>
      </c>
      <c r="C101" s="20" t="s">
        <v>125</v>
      </c>
      <c r="D101" s="20" t="s">
        <v>126</v>
      </c>
      <c r="E101" s="21" t="s">
        <v>448</v>
      </c>
      <c r="F101" s="22" t="str">
        <f>IF(OR(E101="",E101="!!!"),"",IF(NOT(ISNA(VLOOKUP(E101,E$1:E100,1,FALSE()))),"OLD",IF(AND(E101&lt;&gt;"",E101&lt;&gt;"!!!"),"NEW","")))</f>
        <v>NEW</v>
      </c>
      <c r="G101" s="23" t="s">
        <v>480</v>
      </c>
      <c r="H101" s="24" t="str">
        <f t="shared" ca="1" si="11"/>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201</v>
      </c>
      <c r="E102" s="21" t="str">
        <f t="shared" si="10"/>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11"/>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148</v>
      </c>
      <c r="E103" s="21" t="str">
        <f t="shared" si="10"/>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11"/>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202</v>
      </c>
      <c r="B104" s="20" t="s">
        <v>147</v>
      </c>
      <c r="C104" s="20" t="s">
        <v>125</v>
      </c>
      <c r="D104" s="20" t="s">
        <v>126</v>
      </c>
      <c r="E104" s="21" t="s">
        <v>449</v>
      </c>
      <c r="F104" s="22" t="str">
        <f>IF(OR(E104="",E104="!!!"),"",IF(NOT(ISNA(VLOOKUP(E104,E$1:E103,1,FALSE()))),"OLD",IF(AND(E104&lt;&gt;"",E104&lt;&gt;"!!!"),"NEW","")))</f>
        <v>NEW</v>
      </c>
      <c r="G104" s="23" t="s">
        <v>116</v>
      </c>
      <c r="H104" s="24" t="str">
        <f t="shared" ca="1" si="11"/>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203</v>
      </c>
      <c r="E105" s="21" t="str">
        <f t="shared" si="10"/>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11"/>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148</v>
      </c>
      <c r="E106" s="21" t="str">
        <f t="shared" si="10"/>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11"/>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204</v>
      </c>
      <c r="B107" s="20" t="s">
        <v>147</v>
      </c>
      <c r="C107" s="20" t="s">
        <v>125</v>
      </c>
      <c r="D107" s="20" t="s">
        <v>126</v>
      </c>
      <c r="E107" s="21" t="s">
        <v>450</v>
      </c>
      <c r="F107" s="22" t="str">
        <f>IF(OR(E107="",E107="!!!"),"",IF(NOT(ISNA(VLOOKUP(E107,E$1:E106,1,FALSE()))),"OLD",IF(AND(E107&lt;&gt;"",E107&lt;&gt;"!!!"),"NEW","")))</f>
        <v>NEW</v>
      </c>
      <c r="G107" s="23" t="s">
        <v>480</v>
      </c>
      <c r="H107" s="24" t="str">
        <f t="shared" ca="1" si="11"/>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205</v>
      </c>
      <c r="E108" s="21" t="str">
        <f t="shared" si="10"/>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11"/>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206</v>
      </c>
      <c r="E109" s="21" t="str">
        <f t="shared" si="10"/>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1"/>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207</v>
      </c>
      <c r="B110" s="20" t="s">
        <v>147</v>
      </c>
      <c r="C110" s="20" t="s">
        <v>125</v>
      </c>
      <c r="D110" s="20" t="s">
        <v>126</v>
      </c>
      <c r="E110" s="21" t="s">
        <v>451</v>
      </c>
      <c r="F110" s="22" t="str">
        <f>IF(OR(E110="",E110="!!!"),"",IF(NOT(ISNA(VLOOKUP(E110,E$1:E109,1,FALSE()))),"OLD",IF(AND(E110&lt;&gt;"",E110&lt;&gt;"!!!"),"NEW","")))</f>
        <v>NEW</v>
      </c>
      <c r="G110" s="23" t="s">
        <v>480</v>
      </c>
      <c r="H110" s="24" t="str">
        <f t="shared" ca="1" si="11"/>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208</v>
      </c>
      <c r="E111" s="21" t="str">
        <f t="shared" si="10"/>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1"/>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163</v>
      </c>
      <c r="E112" s="21" t="str">
        <f t="shared" si="10"/>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11"/>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4" spans="1:12" x14ac:dyDescent="0.3">
      <c r="A114" t="s">
        <v>209</v>
      </c>
      <c r="E114" s="21" t="str">
        <f>IF(D114="?OLD","!!!","")</f>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ca="1">IF(J114&lt;&gt;1,"",IF(I114="SBJ","CB","?"))</f>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210</v>
      </c>
    </row>
    <row r="116" spans="1:12" x14ac:dyDescent="0.3">
      <c r="A116" t="s">
        <v>156</v>
      </c>
      <c r="E116" s="21" t="str">
        <f t="shared" ref="E116:E135" si="12">IF(D116="?OLD","!!!","")</f>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ref="H116:H135" ca="1" si="13">IF(J116&lt;&gt;1,"",IF(I116="SBJ","CB","?"))</f>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211</v>
      </c>
      <c r="E117" s="21" t="str">
        <f t="shared" si="12"/>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3"/>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212</v>
      </c>
      <c r="B118" s="20" t="s">
        <v>124</v>
      </c>
      <c r="C118" s="20" t="s">
        <v>181</v>
      </c>
      <c r="D118" s="20" t="s">
        <v>126</v>
      </c>
      <c r="E118" s="21"/>
      <c r="F118" s="22" t="s">
        <v>433</v>
      </c>
      <c r="G118" s="23" t="str">
        <f>IF(OR(E118="",E118="!!!"),"",IF(OR(J118=0,AND(J118=1,K118=1),AND(J118=1,I118="SBJ"),AND(J118=1,I118=0)),"?IN_FOCUS",IF(J118&lt;=2,"?ACTIVATED",IF(J118&lt;&gt;"","?FAMILIAR",IF(F118="NEW",IF(ISNA(VLOOKUP(E118,#REF!,1,FALSE())),"?TYPE_IDENTIFIABLE","?REFERENTIAL"),"_")))))</f>
        <v/>
      </c>
      <c r="H118" s="24" t="str">
        <f t="shared" ca="1" si="13"/>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127</v>
      </c>
      <c r="B119" s="20" t="s">
        <v>147</v>
      </c>
      <c r="C119" s="20" t="s">
        <v>125</v>
      </c>
      <c r="D119" s="20" t="s">
        <v>126</v>
      </c>
      <c r="E119" s="21" t="s">
        <v>427</v>
      </c>
      <c r="F119" s="22" t="str">
        <f>IF(OR(E119="",E119="!!!"),"",IF(NOT(ISNA(VLOOKUP(E119,E$1:E118,1,FALSE()))),"OLD",IF(AND(E119&lt;&gt;"",E119&lt;&gt;"!!!"),"NEW","")))</f>
        <v>OLD</v>
      </c>
      <c r="G119" s="23" t="s">
        <v>430</v>
      </c>
      <c r="H119" s="24" t="s">
        <v>118</v>
      </c>
      <c r="I119" s="25" t="str">
        <f>IF(OR(E119="",E119="!!!",F119="NEW"),"",INDEX(B$2:B118,-1+SUMPRODUCT(MAX(ROW(E$2:E118)*(E119=E$2:E118)))))</f>
        <v>SBJ</v>
      </c>
      <c r="J119" s="25">
        <f ca="1">IF(OR(E119="",E119="!!!",F119="NEW"),"",COUNTBLANK(OFFSET(A$1,,,SUMPRODUCT(MAX(ROW(E$2:E119)*(E119=E$2:E119)))))-COUNTBLANK(OFFSET(A$1,,,SUMPRODUCT(MAX(ROW(E$1:E118)*(E2=E$1:E118))))))</f>
        <v>0</v>
      </c>
      <c r="K119" s="25">
        <f ca="1">IF(OR(E119="",E119="!!!",F119="NEW"),"",INDEX(J$1:J118,SUMPRODUCT(MAX(ROW(E$1:E118)*(E119=E$1:E118)))))</f>
        <v>0</v>
      </c>
      <c r="L119" s="26"/>
    </row>
    <row r="120" spans="1:12" x14ac:dyDescent="0.3">
      <c r="A120" t="s">
        <v>148</v>
      </c>
      <c r="E120" s="21" t="str">
        <f t="shared" si="12"/>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3"/>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149</v>
      </c>
      <c r="B121" s="20" t="s">
        <v>213</v>
      </c>
      <c r="E121" s="21" t="str">
        <f t="shared" si="12"/>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3"/>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214</v>
      </c>
      <c r="E122" s="21" t="str">
        <f t="shared" si="12"/>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3"/>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129</v>
      </c>
      <c r="E123" s="21" t="str">
        <f t="shared" si="12"/>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3"/>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215</v>
      </c>
      <c r="B124" s="20" t="s">
        <v>216</v>
      </c>
      <c r="C124" s="20" t="s">
        <v>125</v>
      </c>
      <c r="D124" s="20" t="s">
        <v>126</v>
      </c>
      <c r="E124" s="21" t="s">
        <v>440</v>
      </c>
      <c r="F124" s="22" t="str">
        <f>IF(OR(E124="",E124="!!!"),"",IF(NOT(ISNA(VLOOKUP(E124,E$1:E123,1,FALSE()))),"OLD",IF(AND(E124&lt;&gt;"",E124&lt;&gt;"!!!"),"NEW","")))</f>
        <v>NEW</v>
      </c>
      <c r="G124" s="23" t="s">
        <v>479</v>
      </c>
      <c r="H124" s="24" t="str">
        <f t="shared" ca="1" si="13"/>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217</v>
      </c>
      <c r="E125" s="21" t="str">
        <f t="shared" si="12"/>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3"/>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148</v>
      </c>
      <c r="E126" s="21" t="str">
        <f t="shared" si="12"/>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3"/>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218</v>
      </c>
      <c r="E127" s="21" t="str">
        <f t="shared" si="12"/>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3"/>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219</v>
      </c>
      <c r="E128" s="21" t="str">
        <f t="shared" si="12"/>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3"/>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220</v>
      </c>
      <c r="E129" s="21" t="str">
        <f t="shared" si="12"/>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3"/>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221</v>
      </c>
      <c r="B130" s="20" t="s">
        <v>190</v>
      </c>
      <c r="C130" s="20" t="s">
        <v>153</v>
      </c>
      <c r="D130" s="20" t="s">
        <v>126</v>
      </c>
      <c r="E130" s="21" t="s">
        <v>428</v>
      </c>
      <c r="F130" s="22" t="s">
        <v>452</v>
      </c>
      <c r="G130" s="23" t="s">
        <v>478</v>
      </c>
      <c r="H130" s="24" t="str">
        <f t="shared" ca="1" si="13"/>
        <v/>
      </c>
      <c r="I130" s="25" t="str">
        <f>IF(OR(E130="",E130="!!!",F130="NEW"),"",INDEX(B$2:B129,-1+SUMPRODUCT(MAX(ROW(E$2:E129)*(E130=E$2:E129)))))</f>
        <v>OBJ_2</v>
      </c>
      <c r="J130" s="25">
        <f ca="1">IF(OR(E130="",E130="!!!",F130="NEW"),"",COUNTBLANK(OFFSET(A$1,,,SUMPRODUCT(MAX(ROW(E$2:E130)*(E130=E$2:E130)))))-COUNTBLANK(OFFSET(A$1,,,SUMPRODUCT(MAX(ROW(E$1:E129)*(E2=E$1:E129))))))</f>
        <v>0</v>
      </c>
      <c r="K130" s="25">
        <f ca="1">IF(OR(E130="",E130="!!!",F130="NEW"),"",INDEX(J$1:J129,SUMPRODUCT(MAX(ROW(E$1:E129)*(E130=E$1:E129)))))</f>
        <v>0</v>
      </c>
      <c r="L130" s="26"/>
    </row>
    <row r="131" spans="1:12" x14ac:dyDescent="0.3">
      <c r="A131" t="s">
        <v>188</v>
      </c>
      <c r="E131" s="21" t="str">
        <f t="shared" si="12"/>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3"/>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222</v>
      </c>
      <c r="B132" s="20" t="s">
        <v>190</v>
      </c>
      <c r="C132" s="20" t="s">
        <v>223</v>
      </c>
      <c r="E132" s="21" t="str">
        <f t="shared" si="12"/>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3"/>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224</v>
      </c>
      <c r="B133" s="20" t="s">
        <v>131</v>
      </c>
      <c r="C133" s="20" t="s">
        <v>225</v>
      </c>
      <c r="E133" s="21" t="str">
        <f t="shared" si="12"/>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3"/>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163</v>
      </c>
      <c r="E134" s="21" t="str">
        <f t="shared" si="12"/>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13"/>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220</v>
      </c>
      <c r="E135" s="21" t="str">
        <f t="shared" si="12"/>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3"/>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7" spans="1:12" x14ac:dyDescent="0.3">
      <c r="A137" t="s">
        <v>226</v>
      </c>
    </row>
    <row r="138" spans="1:12" x14ac:dyDescent="0.3">
      <c r="A138" t="s">
        <v>227</v>
      </c>
      <c r="B138" s="20" t="s">
        <v>190</v>
      </c>
      <c r="C138" s="20" t="s">
        <v>153</v>
      </c>
      <c r="D138" s="20" t="s">
        <v>126</v>
      </c>
      <c r="E138" s="21" t="s">
        <v>427</v>
      </c>
      <c r="F138" s="22" t="str">
        <f>IF(OR(E138="",E138="!!!"),"",IF(NOT(ISNA(VLOOKUP(E138,E$1:E137,1,FALSE()))),"OLD",IF(AND(E138&lt;&gt;"",E138&lt;&gt;"!!!"),"NEW","")))</f>
        <v>OLD</v>
      </c>
      <c r="G138" s="23" t="s">
        <v>430</v>
      </c>
      <c r="H138" s="24" t="s">
        <v>118</v>
      </c>
      <c r="I138" s="25" t="str">
        <f>IF(OR(E138="",E138="!!!",F138="NEW"),"",INDEX(B$2:B137,-1+SUMPRODUCT(MAX(ROW(E$2:E137)*(E138=E$2:E137)))))</f>
        <v>other_2</v>
      </c>
      <c r="J138" s="25">
        <f ca="1">IF(OR(E138="",E138="!!!",F138="NEW"),"",COUNTBLANK(OFFSET(A$1,,,SUMPRODUCT(MAX(ROW(E$2:E138)*(E138=E$2:E138)))))-COUNTBLANK(OFFSET(A$1,,,SUMPRODUCT(MAX(ROW(E$1:E137)*(E2=E$1:E137))))))</f>
        <v>0</v>
      </c>
      <c r="K138" s="25">
        <f ca="1">IF(OR(E138="",E138="!!!",F138="NEW"),"",INDEX(J$1:J137,SUMPRODUCT(MAX(ROW(E$1:E137)*(E138=E$1:E137)))))</f>
        <v>0</v>
      </c>
      <c r="L138" s="26"/>
    </row>
    <row r="139" spans="1:12" x14ac:dyDescent="0.3">
      <c r="A139" t="s">
        <v>228</v>
      </c>
      <c r="E139" s="21" t="str">
        <f t="shared" ref="E139:E148" si="14">IF(D139="?OLD","!!!","")</f>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ref="H139:H148" ca="1" si="15">IF(J139&lt;&gt;1,"",IF(I139="SBJ","CB","?"))</f>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229</v>
      </c>
      <c r="E140" s="21" t="str">
        <f t="shared" si="14"/>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5"/>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230</v>
      </c>
      <c r="E141" s="21" t="str">
        <f t="shared" si="14"/>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5"/>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148</v>
      </c>
      <c r="E142" s="21" t="str">
        <f t="shared" si="14"/>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5"/>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231</v>
      </c>
      <c r="E143" s="21" t="str">
        <f t="shared" si="14"/>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5"/>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232</v>
      </c>
      <c r="B144" s="20" t="s">
        <v>216</v>
      </c>
      <c r="C144" s="20" t="s">
        <v>233</v>
      </c>
      <c r="D144" s="20" t="s">
        <v>126</v>
      </c>
      <c r="E144" s="21" t="s">
        <v>427</v>
      </c>
      <c r="F144" s="22" t="str">
        <f>IF(OR(E144="",E144="!!!"),"",IF(NOT(ISNA(VLOOKUP(E144,E$1:E143,1,FALSE()))),"OLD",IF(AND(E144&lt;&gt;"",E144&lt;&gt;"!!!"),"NEW","")))</f>
        <v>OLD</v>
      </c>
      <c r="G144" s="23" t="s">
        <v>430</v>
      </c>
      <c r="H144" s="24" t="str">
        <f t="shared" ca="1" si="15"/>
        <v/>
      </c>
      <c r="I144" s="25" t="str">
        <f>IF(OR(E144="",E144="!!!",F144="NEW"),"",INDEX(B$2:B143,-1+SUMPRODUCT(MAX(ROW(E$2:E143)*(E144=E$2:E143)))))</f>
        <v>SBJ_2</v>
      </c>
      <c r="J144" s="25">
        <f ca="1">IF(OR(E144="",E144="!!!",F144="NEW"),"",COUNTBLANK(OFFSET(A$1,,,SUMPRODUCT(MAX(ROW(E$2:E144)*(E144=E$2:E144)))))-COUNTBLANK(OFFSET(A$1,,,SUMPRODUCT(MAX(ROW(E$1:E143)*(E2=E$1:E143))))))</f>
        <v>0</v>
      </c>
      <c r="K144" s="25">
        <f ca="1">IF(OR(E144="",E144="!!!",F144="NEW"),"",INDEX(J$1:J143,SUMPRODUCT(MAX(ROW(E$1:E143)*(E144=E$1:E143)))))</f>
        <v>0</v>
      </c>
      <c r="L144" s="26"/>
    </row>
    <row r="145" spans="1:12" x14ac:dyDescent="0.3">
      <c r="A145" t="s">
        <v>234</v>
      </c>
      <c r="B145" s="20" t="s">
        <v>150</v>
      </c>
      <c r="C145" s="20" t="s">
        <v>132</v>
      </c>
      <c r="E145" s="21" t="s">
        <v>442</v>
      </c>
      <c r="F145" s="22" t="str">
        <f>IF(OR(E145="",E145="!!!"),"",IF(NOT(ISNA(VLOOKUP(E145,E$1:E144,1,FALSE()))),"OLD",IF(AND(E145&lt;&gt;"",E145&lt;&gt;"!!!"),"NEW","")))</f>
        <v>NEW</v>
      </c>
      <c r="G145" s="23" t="s">
        <v>479</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235</v>
      </c>
      <c r="E146" s="21" t="str">
        <f t="shared" si="14"/>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5"/>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236</v>
      </c>
      <c r="E147" s="21" t="str">
        <f t="shared" si="14"/>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188</v>
      </c>
      <c r="E148" s="21" t="str">
        <f t="shared" si="14"/>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5"/>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50" spans="1:12" x14ac:dyDescent="0.3">
      <c r="A150" t="s">
        <v>237</v>
      </c>
    </row>
    <row r="151" spans="1:12" x14ac:dyDescent="0.3">
      <c r="A151" t="s">
        <v>227</v>
      </c>
      <c r="B151" s="20" t="s">
        <v>124</v>
      </c>
      <c r="C151" s="20" t="s">
        <v>153</v>
      </c>
      <c r="D151" s="20" t="s">
        <v>126</v>
      </c>
      <c r="E151" s="21" t="s">
        <v>427</v>
      </c>
      <c r="F151" s="22" t="str">
        <f>IF(OR(E151="",E151="!!!"),"",IF(NOT(ISNA(VLOOKUP(E151,E$1:E150,1,FALSE()))),"OLD",IF(AND(E151&lt;&gt;"",E151&lt;&gt;"!!!"),"NEW","")))</f>
        <v>OLD</v>
      </c>
      <c r="G151" s="23" t="s">
        <v>430</v>
      </c>
      <c r="H151" s="24" t="s">
        <v>118</v>
      </c>
      <c r="I151" s="25" t="str">
        <f>IF(OR(E151="",E151="!!!",F151="NEW"),"",INDEX(B$2:B150,-1+SUMPRODUCT(MAX(ROW(E$2:E150)*(E151=E$2:E150)))))</f>
        <v>other_4</v>
      </c>
      <c r="J151" s="25">
        <f ca="1">IF(OR(E151="",E151="!!!",F151="NEW"),"",COUNTBLANK(OFFSET(A$1,,,SUMPRODUCT(MAX(ROW(E$2:E151)*(E151=E$2:E151)))))-COUNTBLANK(OFFSET(A$1,,,SUMPRODUCT(MAX(ROW(E$1:E150)*(E2=E$1:E150))))))</f>
        <v>0</v>
      </c>
      <c r="K151" s="25">
        <f ca="1">IF(OR(E151="",E151="!!!",F151="NEW"),"",INDEX(J$1:J150,SUMPRODUCT(MAX(ROW(E$1:E150)*(E151=E$1:E150)))))</f>
        <v>0</v>
      </c>
      <c r="L151" s="26"/>
    </row>
    <row r="152" spans="1:12" x14ac:dyDescent="0.3">
      <c r="A152" t="s">
        <v>228</v>
      </c>
      <c r="E152" s="21" t="str">
        <f t="shared" ref="E152:E172" si="16">IF(D152="?OLD","!!!","")</f>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ref="H152:H172" ca="1" si="17">IF(J152&lt;&gt;1,"",IF(I152="SBJ","CB","?"))</f>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229</v>
      </c>
      <c r="E153" s="21" t="str">
        <f t="shared" si="16"/>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17"/>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238</v>
      </c>
      <c r="E154" s="21" t="str">
        <f t="shared" si="16"/>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7"/>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239</v>
      </c>
      <c r="B155" s="20" t="s">
        <v>147</v>
      </c>
      <c r="C155" s="20" t="s">
        <v>240</v>
      </c>
      <c r="D155" s="20" t="s">
        <v>126</v>
      </c>
      <c r="E155" s="21" t="s">
        <v>454</v>
      </c>
      <c r="F155" s="22" t="s">
        <v>453</v>
      </c>
      <c r="G155" s="23"/>
      <c r="H155" s="24" t="str">
        <f t="shared" ca="1" si="17"/>
        <v/>
      </c>
      <c r="I155" s="25" t="e">
        <f>IF(OR(E155="",E155="!!!",F155="NEW"),"",INDEX(B$2:B154,-1+SUMPRODUCT(MAX(ROW(E$2:E154)*(E155=E$2:E154)))))</f>
        <v>#VALUE!</v>
      </c>
      <c r="J155" s="25">
        <f ca="1">IF(OR(E155="",E155="!!!",F155="NEW"),"",COUNTBLANK(OFFSET(A$1,,,SUMPRODUCT(MAX(ROW(E$2:E155)*(E155=E$2:E155)))))-COUNTBLANK(OFFSET(A$1,,,SUMPRODUCT(MAX(ROW(E$1:E154)*(E2=E$1:E154))))))</f>
        <v>0</v>
      </c>
      <c r="K155" s="25" t="e">
        <f>IF(OR(E155="",E155="!!!",F155="NEW"),"",INDEX(J$1:J154,SUMPRODUCT(MAX(ROW(E$1:E154)*(E155=E$1:E154)))))</f>
        <v>#VALUE!</v>
      </c>
      <c r="L155" s="26"/>
    </row>
    <row r="156" spans="1:12" x14ac:dyDescent="0.3">
      <c r="A156" t="s">
        <v>148</v>
      </c>
      <c r="E156" s="21" t="str">
        <f t="shared" si="16"/>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17"/>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241</v>
      </c>
      <c r="E157" s="21" t="str">
        <f t="shared" si="16"/>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7"/>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242</v>
      </c>
      <c r="B158" s="20" t="s">
        <v>190</v>
      </c>
      <c r="C158" s="20" t="s">
        <v>153</v>
      </c>
      <c r="D158" s="20" t="s">
        <v>126</v>
      </c>
      <c r="E158" s="21" t="s">
        <v>428</v>
      </c>
      <c r="F158" s="22" t="str">
        <f>IF(OR(E158="",E158="!!!"),"",IF(NOT(ISNA(VLOOKUP(E158,E$1:E157,1,FALSE()))),"OLD",IF(AND(E158&lt;&gt;"",E158&lt;&gt;"!!!"),"NEW","")))</f>
        <v>OLD</v>
      </c>
      <c r="G158" s="23" t="s">
        <v>478</v>
      </c>
      <c r="H158" s="24" t="str">
        <f t="shared" ca="1" si="17"/>
        <v/>
      </c>
      <c r="I158" s="25" t="str">
        <f>IF(OR(E158="",E158="!!!",F158="NEW"),"",INDEX(B$2:B157,-1+SUMPRODUCT(MAX(ROW(E$2:E157)*(E158=E$2:E157)))))</f>
        <v>SBJ_2</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138</v>
      </c>
      <c r="E159" s="21" t="str">
        <f t="shared" si="16"/>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7"/>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139</v>
      </c>
      <c r="B160" s="20" t="s">
        <v>147</v>
      </c>
      <c r="C160" s="20" t="s">
        <v>125</v>
      </c>
      <c r="D160" s="20" t="s">
        <v>126</v>
      </c>
      <c r="E160" s="21" t="s">
        <v>429</v>
      </c>
      <c r="F160" s="22" t="str">
        <f>IF(OR(E160="",E160="!!!"),"",IF(NOT(ISNA(VLOOKUP(E160,E$1:E159,1,FALSE()))),"OLD",IF(AND(E160&lt;&gt;"",E160&lt;&gt;"!!!"),"NEW","")))</f>
        <v>OLD</v>
      </c>
      <c r="G160" s="23" t="s">
        <v>477</v>
      </c>
      <c r="H160" s="24" t="str">
        <f t="shared" ca="1" si="17"/>
        <v/>
      </c>
      <c r="I160" s="25" t="str">
        <f>IF(OR(E160="",E160="!!!",F160="NEW"),"",INDEX(B$2:B159,-1+SUMPRODUCT(MAX(ROW(E$2:E159)*(E160=E$2:E159)))))</f>
        <v>other</v>
      </c>
      <c r="J160" s="25">
        <f ca="1">IF(OR(E160="",E160="!!!",F160="NEW"),"",COUNTBLANK(OFFSET(A$1,,,SUMPRODUCT(MAX(ROW(E$2:E160)*(E160=E$2:E160)))))-COUNTBLANK(OFFSET(A$1,,,SUMPRODUCT(MAX(ROW(E$1:E159)*(E2=E$1:E159))))))</f>
        <v>0</v>
      </c>
      <c r="K160" s="25">
        <f ca="1">IF(OR(E160="",E160="!!!",F160="NEW"),"",INDEX(J$1:J159,SUMPRODUCT(MAX(ROW(E$1:E159)*(E160=E$1:E159)))))</f>
        <v>0</v>
      </c>
      <c r="L160" s="26"/>
    </row>
    <row r="161" spans="1:12" x14ac:dyDescent="0.3">
      <c r="A161" t="s">
        <v>243</v>
      </c>
      <c r="E161" s="21" t="s">
        <v>454</v>
      </c>
      <c r="F161" s="22" t="str">
        <f>IF(OR(E161="",E161="!!!"),"",IF(NOT(ISNA(VLOOKUP(E161,E$1:E160,1,FALSE()))),"OLD",IF(AND(E161&lt;&gt;"",E161&lt;&gt;"!!!"),"NEW","")))</f>
        <v>OLD</v>
      </c>
      <c r="G161" s="23" t="s">
        <v>479</v>
      </c>
      <c r="H161" s="24" t="str">
        <f t="shared" ca="1" si="17"/>
        <v/>
      </c>
      <c r="I161" s="25" t="str">
        <f>IF(OR(E161="",E161="!!!",F161="NEW"),"",INDEX(B$2:B160,-1+SUMPRODUCT(MAX(ROW(E$2:E160)*(E161=E$2:E160)))))</f>
        <v>other_2</v>
      </c>
      <c r="J161" s="25">
        <f ca="1">IF(OR(E161="",E161="!!!",F161="NEW"),"",COUNTBLANK(OFFSET(A$1,,,SUMPRODUCT(MAX(ROW(E$2:E161)*(E161=E$2:E161)))))-COUNTBLANK(OFFSET(A$1,,,SUMPRODUCT(MAX(ROW(E$1:E160)*(E2=E$1:E160))))))</f>
        <v>0</v>
      </c>
      <c r="K161" s="25">
        <f ca="1">IF(OR(E161="",E161="!!!",F161="NEW"),"",INDEX(J$1:J160,SUMPRODUCT(MAX(ROW(E$1:E160)*(E161=E$1:E160)))))</f>
        <v>0</v>
      </c>
      <c r="L161" s="26"/>
    </row>
    <row r="162" spans="1:12" x14ac:dyDescent="0.3">
      <c r="A162" t="s">
        <v>188</v>
      </c>
      <c r="E162" s="21" t="str">
        <f t="shared" si="16"/>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7"/>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148</v>
      </c>
      <c r="E163" s="21" t="str">
        <f t="shared" si="16"/>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7"/>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231</v>
      </c>
      <c r="E164" s="21" t="str">
        <f t="shared" si="16"/>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7"/>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244</v>
      </c>
      <c r="B165" s="20" t="s">
        <v>150</v>
      </c>
      <c r="C165" s="20" t="s">
        <v>153</v>
      </c>
      <c r="D165" s="20" t="s">
        <v>126</v>
      </c>
      <c r="E165" s="21" t="s">
        <v>427</v>
      </c>
      <c r="F165" s="22" t="str">
        <f>IF(OR(E165="",E165="!!!"),"",IF(NOT(ISNA(VLOOKUP(E165,E$1:E164,1,FALSE()))),"OLD",IF(AND(E165&lt;&gt;"",E165&lt;&gt;"!!!"),"NEW","")))</f>
        <v>OLD</v>
      </c>
      <c r="G165" s="23" t="s">
        <v>430</v>
      </c>
      <c r="H165" s="24" t="str">
        <f t="shared" ca="1" si="17"/>
        <v/>
      </c>
      <c r="I165" s="25" t="str">
        <f>IF(OR(E165="",E165="!!!",F165="NEW"),"",INDEX(B$2:B164,-1+SUMPRODUCT(MAX(ROW(E$2:E164)*(E165=E$2:E164)))))</f>
        <v>SBJ</v>
      </c>
      <c r="J165" s="25">
        <f ca="1">IF(OR(E165="",E165="!!!",F165="NEW"),"",COUNTBLANK(OFFSET(A$1,,,SUMPRODUCT(MAX(ROW(E$2:E165)*(E165=E$2:E165)))))-COUNTBLANK(OFFSET(A$1,,,SUMPRODUCT(MAX(ROW(E$1:E164)*(E2=E$1:E164))))))</f>
        <v>0</v>
      </c>
      <c r="K165" s="25">
        <f ca="1">IF(OR(E165="",E165="!!!",F165="NEW"),"",INDEX(J$1:J164,SUMPRODUCT(MAX(ROW(E$1:E164)*(E165=E$1:E164)))))</f>
        <v>0</v>
      </c>
      <c r="L165" s="26"/>
    </row>
    <row r="166" spans="1:12" x14ac:dyDescent="0.3">
      <c r="A166" t="s">
        <v>236</v>
      </c>
      <c r="E166" s="21" t="s">
        <v>429</v>
      </c>
      <c r="F166" s="22" t="str">
        <f>IF(OR(E166="",E166="!!!"),"",IF(NOT(ISNA(VLOOKUP(E166,E$1:E165,1,FALSE()))),"OLD",IF(AND(E166&lt;&gt;"",E166&lt;&gt;"!!!"),"NEW","")))</f>
        <v>OLD</v>
      </c>
      <c r="G166" s="23" t="s">
        <v>430</v>
      </c>
      <c r="H166" s="24" t="str">
        <f t="shared" ca="1" si="17"/>
        <v/>
      </c>
      <c r="I166" s="25" t="str">
        <f>IF(OR(E166="",E166="!!!",F166="NEW"),"",INDEX(B$2:B165,-1+SUMPRODUCT(MAX(ROW(E$2:E165)*(E166=E$2:E165)))))</f>
        <v>other_2</v>
      </c>
      <c r="J166" s="25">
        <f ca="1">IF(OR(E166="",E166="!!!",F166="NEW"),"",COUNTBLANK(OFFSET(A$1,,,SUMPRODUCT(MAX(ROW(E$2:E166)*(E166=E$2:E166)))))-COUNTBLANK(OFFSET(A$1,,,SUMPRODUCT(MAX(ROW(E$1:E165)*(E2=E$1:E165))))))</f>
        <v>0</v>
      </c>
      <c r="K166" s="25">
        <f ca="1">IF(OR(E166="",E166="!!!",F166="NEW"),"",INDEX(J$1:J165,SUMPRODUCT(MAX(ROW(E$1:E165)*(E166=E$1:E165)))))</f>
        <v>0</v>
      </c>
      <c r="L166" s="26" t="s">
        <v>437</v>
      </c>
    </row>
    <row r="167" spans="1:12" x14ac:dyDescent="0.3">
      <c r="A167" t="s">
        <v>245</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246</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247</v>
      </c>
      <c r="B169" s="20" t="s">
        <v>170</v>
      </c>
      <c r="C169" s="20" t="s">
        <v>225</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248</v>
      </c>
      <c r="E170" s="21" t="str">
        <f t="shared" si="16"/>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228</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163</v>
      </c>
      <c r="E172" s="21" t="str">
        <f t="shared" si="16"/>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7"/>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4" spans="1:12" x14ac:dyDescent="0.3">
      <c r="A174" t="s">
        <v>249</v>
      </c>
    </row>
    <row r="175" spans="1:12" x14ac:dyDescent="0.3">
      <c r="A175" t="s">
        <v>221</v>
      </c>
      <c r="B175" s="20" t="s">
        <v>124</v>
      </c>
      <c r="C175" s="20" t="s">
        <v>153</v>
      </c>
      <c r="D175" s="20" t="s">
        <v>126</v>
      </c>
      <c r="E175" s="21" t="s">
        <v>485</v>
      </c>
      <c r="F175" s="22" t="s">
        <v>466</v>
      </c>
      <c r="G175" s="23" t="s">
        <v>479</v>
      </c>
      <c r="H175" s="24" t="str">
        <f t="shared" ref="H175:H196" ca="1" si="18">IF(J175&lt;&gt;1,"",IF(I175="SBJ","CB","?"))</f>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188</v>
      </c>
      <c r="E176" s="21" t="str">
        <f t="shared" ref="E176:E196" si="19">IF(D176="?OLD","!!!","")</f>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8"/>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250</v>
      </c>
      <c r="B177" s="20" t="s">
        <v>131</v>
      </c>
      <c r="C177" s="20" t="s">
        <v>251</v>
      </c>
      <c r="D177" s="20" t="s">
        <v>126</v>
      </c>
      <c r="E177" s="21"/>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8"/>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t="s">
        <v>455</v>
      </c>
    </row>
    <row r="178" spans="1:12" x14ac:dyDescent="0.3">
      <c r="A178" t="s">
        <v>252</v>
      </c>
      <c r="E178" s="21" t="str">
        <f t="shared" si="19"/>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8"/>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253</v>
      </c>
      <c r="B179" s="20" t="s">
        <v>131</v>
      </c>
      <c r="C179" s="20" t="s">
        <v>225</v>
      </c>
      <c r="E179" s="21" t="str">
        <f t="shared" si="19"/>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8"/>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148</v>
      </c>
      <c r="E180" s="21" t="str">
        <f t="shared" si="19"/>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8"/>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242</v>
      </c>
      <c r="B181" s="20" t="s">
        <v>190</v>
      </c>
      <c r="C181" s="20" t="s">
        <v>153</v>
      </c>
      <c r="D181" s="20" t="s">
        <v>126</v>
      </c>
      <c r="E181" s="21" t="s">
        <v>485</v>
      </c>
      <c r="F181" s="22" t="s">
        <v>452</v>
      </c>
      <c r="G181" s="23" t="s">
        <v>430</v>
      </c>
      <c r="H181" s="24" t="str">
        <f t="shared" ca="1" si="18"/>
        <v/>
      </c>
      <c r="I181" s="25" t="str">
        <f>IF(OR(E181="",E181="!!!",F181="NEW"),"",INDEX(B$2:B180,-1+SUMPRODUCT(MAX(ROW(E$2:E180)*(E181=E$2:E180)))))</f>
        <v>SBJ</v>
      </c>
      <c r="J181" s="25">
        <f ca="1">IF(OR(E181="",E181="!!!",F181="NEW"),"",COUNTBLANK(OFFSET(A$1,,,SUMPRODUCT(MAX(ROW(E$2:E181)*(E181=E$2:E181)))))-COUNTBLANK(OFFSET(A$1,,,SUMPRODUCT(MAX(ROW(E$1:E180)*(E2=E$1:E180))))))</f>
        <v>0</v>
      </c>
      <c r="K181" s="25" t="str">
        <f ca="1">IF(OR(E181="",E181="!!!",F181="NEW"),"",INDEX(J$1:J180,SUMPRODUCT(MAX(ROW(E$1:E180)*(E181=E$1:E180)))))</f>
        <v/>
      </c>
      <c r="L181" s="26"/>
    </row>
    <row r="182" spans="1:12" x14ac:dyDescent="0.3">
      <c r="A182" t="s">
        <v>188</v>
      </c>
      <c r="E182" s="21" t="str">
        <f t="shared" si="19"/>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8"/>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254</v>
      </c>
      <c r="E183" s="21" t="str">
        <f t="shared" si="19"/>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8"/>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255</v>
      </c>
      <c r="B184" s="20" t="s">
        <v>131</v>
      </c>
      <c r="C184" s="20" t="s">
        <v>125</v>
      </c>
      <c r="D184" s="20" t="s">
        <v>126</v>
      </c>
      <c r="E184" s="21"/>
      <c r="F184" s="22" t="s">
        <v>433</v>
      </c>
      <c r="G184" s="23" t="str">
        <f>IF(OR(E184="",E184="!!!"),"",IF(OR(J184=0,AND(J184=1,K184=1),AND(J184=1,I184="SBJ"),AND(J184=1,I184=0)),"?IN_FOCUS",IF(J184&lt;=2,"?ACTIVATED",IF(J184&lt;&gt;"","?FAMILIAR",IF(F184="NEW",IF(ISNA(VLOOKUP(E184,#REF!,1,FALSE())),"?TYPE_IDENTIFIABLE","?REFERENTIAL"),"_")))))</f>
        <v/>
      </c>
      <c r="H184" s="24" t="str">
        <f t="shared" ca="1" si="18"/>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256</v>
      </c>
      <c r="E185" s="21" t="str">
        <f t="shared" si="19"/>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8"/>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12</v>
      </c>
      <c r="E186" s="21" t="str">
        <f t="shared" si="19"/>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8"/>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242</v>
      </c>
      <c r="B187" s="20" t="s">
        <v>150</v>
      </c>
      <c r="C187" s="20" t="s">
        <v>153</v>
      </c>
      <c r="D187" s="20" t="s">
        <v>126</v>
      </c>
      <c r="E187" s="21" t="s">
        <v>485</v>
      </c>
      <c r="F187" s="22" t="s">
        <v>452</v>
      </c>
      <c r="G187" s="23" t="s">
        <v>430</v>
      </c>
      <c r="H187" s="24" t="str">
        <f t="shared" ca="1" si="18"/>
        <v/>
      </c>
      <c r="I187" s="25" t="str">
        <f>IF(OR(E187="",E187="!!!",F187="NEW"),"",INDEX(B$2:B186,-1+SUMPRODUCT(MAX(ROW(E$2:E186)*(E187=E$2:E186)))))</f>
        <v>SBJ_2</v>
      </c>
      <c r="J187" s="25">
        <f ca="1">IF(OR(E187="",E187="!!!",F187="NEW"),"",COUNTBLANK(OFFSET(A$1,,,SUMPRODUCT(MAX(ROW(E$2:E187)*(E187=E$2:E187)))))-COUNTBLANK(OFFSET(A$1,,,SUMPRODUCT(MAX(ROW(E$1:E186)*(E2=E$1:E186))))))</f>
        <v>0</v>
      </c>
      <c r="K187" s="25">
        <f ca="1">IF(OR(E187="",E187="!!!",F187="NEW"),"",INDEX(J$1:J186,SUMPRODUCT(MAX(ROW(E$1:E186)*(E187=E$1:E186)))))</f>
        <v>0</v>
      </c>
      <c r="L187" s="26"/>
    </row>
    <row r="188" spans="1:12" x14ac:dyDescent="0.3">
      <c r="A188" t="s">
        <v>188</v>
      </c>
      <c r="E188" s="21" t="str">
        <f t="shared" si="19"/>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8"/>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257</v>
      </c>
      <c r="E189" s="21" t="str">
        <f t="shared" si="19"/>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8"/>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258</v>
      </c>
      <c r="E190" s="21" t="str">
        <f t="shared" si="19"/>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8"/>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161</v>
      </c>
      <c r="E191" s="21" t="str">
        <f t="shared" si="19"/>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8"/>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259</v>
      </c>
      <c r="E192" s="21" t="str">
        <f t="shared" si="19"/>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8"/>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177</v>
      </c>
      <c r="E193" s="21" t="str">
        <f t="shared" si="19"/>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8"/>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260</v>
      </c>
      <c r="E194" s="21" t="str">
        <f t="shared" si="19"/>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8"/>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261</v>
      </c>
      <c r="B195" s="20" t="s">
        <v>170</v>
      </c>
      <c r="C195" s="20" t="s">
        <v>225</v>
      </c>
      <c r="E195" s="21" t="str">
        <f t="shared" si="19"/>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8"/>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163</v>
      </c>
      <c r="E196" s="21" t="str">
        <f t="shared" si="19"/>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8"/>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8" spans="1:12" x14ac:dyDescent="0.3">
      <c r="A198" t="s">
        <v>262</v>
      </c>
    </row>
    <row r="199" spans="1:12" x14ac:dyDescent="0.3">
      <c r="A199" t="s">
        <v>227</v>
      </c>
      <c r="B199" s="20" t="s">
        <v>124</v>
      </c>
      <c r="C199" s="20" t="s">
        <v>153</v>
      </c>
      <c r="D199" s="20" t="s">
        <v>126</v>
      </c>
      <c r="E199" s="21" t="s">
        <v>427</v>
      </c>
      <c r="F199" s="22" t="str">
        <f>IF(OR(E199="",E199="!!!"),"",IF(NOT(ISNA(VLOOKUP(E199,E$1:E198,1,FALSE()))),"OLD",IF(AND(E199&lt;&gt;"",E199&lt;&gt;"!!!"),"NEW","")))</f>
        <v>OLD</v>
      </c>
      <c r="G199" s="23" t="s">
        <v>478</v>
      </c>
      <c r="H199" s="24" t="str">
        <f t="shared" ref="H199:H205" ca="1" si="20">IF(J199&lt;&gt;1,"",IF(I199="SBJ","CB","?"))</f>
        <v/>
      </c>
      <c r="I199" s="25" t="str">
        <f>IF(OR(E199="",E199="!!!",F199="NEW"),"",INDEX(B$2:B198,-1+SUMPRODUCT(MAX(ROW(E$2:E198)*(E199=E$2:E198)))))</f>
        <v>SBJ_3</v>
      </c>
      <c r="J199" s="25">
        <f ca="1">IF(OR(E199="",E199="!!!",F199="NEW"),"",COUNTBLANK(OFFSET(A$1,,,SUMPRODUCT(MAX(ROW(E$2:E199)*(E199=E$2:E199)))))-COUNTBLANK(OFFSET(A$1,,,SUMPRODUCT(MAX(ROW(E$1:E198)*(E2=E$1:E198))))))</f>
        <v>0</v>
      </c>
      <c r="K199" s="25">
        <f ca="1">IF(OR(E199="",E199="!!!",F199="NEW"),"",INDEX(J$1:J198,SUMPRODUCT(MAX(ROW(E$1:E198)*(E199=E$1:E198)))))</f>
        <v>0</v>
      </c>
      <c r="L199" s="26"/>
    </row>
    <row r="200" spans="1:12" x14ac:dyDescent="0.3">
      <c r="A200" t="s">
        <v>228</v>
      </c>
      <c r="E200" s="21" t="str">
        <f t="shared" ref="E200:E205" si="21">IF(D200="?OLD","!!!","")</f>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20"/>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263</v>
      </c>
      <c r="E201" s="21" t="str">
        <f t="shared" si="21"/>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20"/>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206</v>
      </c>
      <c r="E202" s="21" t="str">
        <f t="shared" si="21"/>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20"/>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229</v>
      </c>
      <c r="E203" s="21" t="str">
        <f t="shared" si="21"/>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20"/>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264</v>
      </c>
      <c r="E204" s="21" t="str">
        <f t="shared" si="21"/>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20"/>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163</v>
      </c>
      <c r="E205" s="21" t="str">
        <f t="shared" si="21"/>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20"/>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7" spans="1:12" x14ac:dyDescent="0.3">
      <c r="A207" t="s">
        <v>265</v>
      </c>
    </row>
    <row r="208" spans="1:12" x14ac:dyDescent="0.3">
      <c r="A208" t="s">
        <v>127</v>
      </c>
      <c r="B208" s="20" t="s">
        <v>124</v>
      </c>
      <c r="C208" s="20" t="s">
        <v>125</v>
      </c>
      <c r="D208" s="20" t="s">
        <v>126</v>
      </c>
      <c r="E208" s="21" t="s">
        <v>427</v>
      </c>
      <c r="F208" s="22" t="str">
        <f>IF(OR(E208="",E208="!!!"),"",IF(NOT(ISNA(VLOOKUP(E208,E$1:E207,1,FALSE()))),"OLD",IF(AND(E208&lt;&gt;"",E208&lt;&gt;"!!!"),"NEW","")))</f>
        <v>OLD</v>
      </c>
      <c r="G208" s="23" t="s">
        <v>430</v>
      </c>
      <c r="H208" s="24" t="s">
        <v>118</v>
      </c>
      <c r="I208" s="25" t="str">
        <f>IF(OR(E208="",E208="!!!",F208="NEW"),"",INDEX(B$2:B207,-1+SUMPRODUCT(MAX(ROW(E$2:E207)*(E208=E$2:E207)))))</f>
        <v>SBJ</v>
      </c>
      <c r="J208" s="25">
        <f ca="1">IF(OR(E208="",E208="!!!",F208="NEW"),"",COUNTBLANK(OFFSET(A$1,,,SUMPRODUCT(MAX(ROW(E$2:E208)*(E208=E$2:E208)))))-COUNTBLANK(OFFSET(A$1,,,SUMPRODUCT(MAX(ROW(E$1:E207)*(E2=E$1:E207))))))</f>
        <v>0</v>
      </c>
      <c r="K208" s="25">
        <f ca="1">IF(OR(E208="",E208="!!!",F208="NEW"),"",INDEX(J$1:J207,SUMPRODUCT(MAX(ROW(E$1:E207)*(E208=E$1:E207)))))</f>
        <v>0</v>
      </c>
      <c r="L208" s="26"/>
    </row>
    <row r="209" spans="1:12" x14ac:dyDescent="0.3">
      <c r="A209" t="s">
        <v>266</v>
      </c>
      <c r="E209" s="21" t="str">
        <f t="shared" ref="E209:E220" si="22">IF(D209="?OLD","!!!","")</f>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ref="H209:H220" ca="1" si="23">IF(J209&lt;&gt;1,"",IF(I209="SBJ","CB","?"))</f>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191</v>
      </c>
      <c r="E210" s="21" t="str">
        <f t="shared" si="22"/>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3"/>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267</v>
      </c>
      <c r="B211" s="20" t="s">
        <v>136</v>
      </c>
      <c r="C211" s="20" t="s">
        <v>181</v>
      </c>
      <c r="D211" s="20" t="s">
        <v>126</v>
      </c>
      <c r="E211" s="21" t="s">
        <v>457</v>
      </c>
      <c r="F211" s="22" t="str">
        <f>IF(OR(E211="",E211="!!!"),"",IF(NOT(ISNA(VLOOKUP(E211,E$1:E210,1,FALSE()))),"OLD",IF(AND(E211&lt;&gt;"",E211&lt;&gt;"!!!"),"NEW","")))</f>
        <v>NEW</v>
      </c>
      <c r="G211" s="23" t="s">
        <v>477</v>
      </c>
      <c r="H211" s="24" t="str">
        <f t="shared" ca="1" si="23"/>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129</v>
      </c>
      <c r="E212" s="21" t="str">
        <f t="shared" si="22"/>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3"/>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148</v>
      </c>
      <c r="E213" s="21" t="str">
        <f t="shared" si="22"/>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3"/>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268</v>
      </c>
      <c r="E214" s="21" t="str">
        <f t="shared" si="22"/>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23"/>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269</v>
      </c>
      <c r="B215" s="20" t="s">
        <v>190</v>
      </c>
      <c r="C215" s="20" t="s">
        <v>153</v>
      </c>
      <c r="D215" s="20" t="s">
        <v>126</v>
      </c>
      <c r="E215" s="21" t="s">
        <v>427</v>
      </c>
      <c r="F215" s="22" t="str">
        <f>IF(OR(E215="",E215="!!!"),"",IF(NOT(ISNA(VLOOKUP(E215,E$1:E214,1,FALSE()))),"OLD",IF(AND(E215&lt;&gt;"",E215&lt;&gt;"!!!"),"NEW","")))</f>
        <v>OLD</v>
      </c>
      <c r="G215" s="23" t="s">
        <v>430</v>
      </c>
      <c r="H215" s="24" t="str">
        <f t="shared" ca="1" si="23"/>
        <v/>
      </c>
      <c r="I215" s="25" t="str">
        <f>IF(OR(E215="",E215="!!!",F215="NEW"),"",INDEX(B$2:B214,-1+SUMPRODUCT(MAX(ROW(E$2:E214)*(E215=E$2:E214)))))</f>
        <v>SBJ</v>
      </c>
      <c r="J215" s="25">
        <f ca="1">IF(OR(E215="",E215="!!!",F215="NEW"),"",COUNTBLANK(OFFSET(A$1,,,SUMPRODUCT(MAX(ROW(E$2:E215)*(E215=E$2:E215)))))-COUNTBLANK(OFFSET(A$1,,,SUMPRODUCT(MAX(ROW(E$1:E214)*(E2=E$1:E214))))))</f>
        <v>0</v>
      </c>
      <c r="K215" s="25">
        <f ca="1">IF(OR(E215="",E215="!!!",F215="NEW"),"",INDEX(J$1:J214,SUMPRODUCT(MAX(ROW(E$1:E214)*(E215=E$1:E214)))))</f>
        <v>0</v>
      </c>
      <c r="L215" s="26"/>
    </row>
    <row r="216" spans="1:12" x14ac:dyDescent="0.3">
      <c r="A216" t="s">
        <v>129</v>
      </c>
      <c r="E216" s="21" t="str">
        <f t="shared" si="22"/>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23"/>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130</v>
      </c>
      <c r="B217" s="20" t="s">
        <v>147</v>
      </c>
      <c r="C217" s="20" t="s">
        <v>132</v>
      </c>
      <c r="E217" s="21" t="s">
        <v>435</v>
      </c>
      <c r="F217" s="22" t="str">
        <f>IF(OR(E217="",E217="!!!"),"",IF(NOT(ISNA(VLOOKUP(E217,E$1:E216,1,FALSE()))),"OLD",IF(AND(E217&lt;&gt;"",E217&lt;&gt;"!!!"),"NEW","")))</f>
        <v>OLD</v>
      </c>
      <c r="G217" s="23" t="s">
        <v>477</v>
      </c>
      <c r="H217" s="24" t="str">
        <f t="shared" ca="1" si="23"/>
        <v/>
      </c>
      <c r="I217" s="25" t="str">
        <f>IF(OR(E217="",E217="!!!",F217="NEW"),"",INDEX(B$2:B216,-1+SUMPRODUCT(MAX(ROW(E$2:E216)*(E217=E$2:E216)))))</f>
        <v>other</v>
      </c>
      <c r="J217" s="25">
        <f ca="1">IF(OR(E217="",E217="!!!",F217="NEW"),"",COUNTBLANK(OFFSET(A$1,,,SUMPRODUCT(MAX(ROW(E$2:E217)*(E217=E$2:E217)))))-COUNTBLANK(OFFSET(A$1,,,SUMPRODUCT(MAX(ROW(E$1:E216)*(E2=E$1:E216))))))</f>
        <v>0</v>
      </c>
      <c r="K217" s="25">
        <f ca="1">IF(OR(E217="",E217="!!!",F217="NEW"),"",INDEX(J$1:J216,SUMPRODUCT(MAX(ROW(E$1:E216)*(E217=E$1:E216)))))</f>
        <v>0</v>
      </c>
      <c r="L217" s="26"/>
    </row>
    <row r="218" spans="1:12" x14ac:dyDescent="0.3">
      <c r="A218" t="s">
        <v>191</v>
      </c>
      <c r="E218" s="21" t="str">
        <f t="shared" si="22"/>
        <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23"/>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270</v>
      </c>
      <c r="B219" s="20" t="s">
        <v>192</v>
      </c>
      <c r="C219" s="20" t="s">
        <v>181</v>
      </c>
      <c r="D219" s="20" t="s">
        <v>126</v>
      </c>
      <c r="E219" s="21" t="s">
        <v>431</v>
      </c>
      <c r="F219" s="22" t="str">
        <f>IF(OR(E219="",E219="!!!"),"",IF(NOT(ISNA(VLOOKUP(E219,E$1:E218,1,FALSE()))),"OLD",IF(AND(E219&lt;&gt;"",E219&lt;&gt;"!!!"),"NEW","")))</f>
        <v>OLD</v>
      </c>
      <c r="G219" s="23" t="s">
        <v>477</v>
      </c>
      <c r="H219" s="24" t="str">
        <f t="shared" ca="1" si="23"/>
        <v/>
      </c>
      <c r="I219" s="25" t="str">
        <f>IF(OR(E219="",E219="!!!",F219="NEW"),"",INDEX(B$2:B218,-1+SUMPRODUCT(MAX(ROW(E$2:E218)*(E219=E$2:E218)))))</f>
        <v>other</v>
      </c>
      <c r="J219" s="25">
        <f ca="1">IF(OR(E219="",E219="!!!",F219="NEW"),"",COUNTBLANK(OFFSET(A$1,,,SUMPRODUCT(MAX(ROW(E$2:E219)*(E219=E$2:E219)))))-COUNTBLANK(OFFSET(A$1,,,SUMPRODUCT(MAX(ROW(E$1:E218)*(E2=E$1:E218))))))</f>
        <v>0</v>
      </c>
      <c r="K219" s="25">
        <f ca="1">IF(OR(E219="",E219="!!!",F219="NEW"),"",INDEX(J$1:J218,SUMPRODUCT(MAX(ROW(E$1:E218)*(E219=E$1:E218)))))</f>
        <v>0</v>
      </c>
      <c r="L219" s="26"/>
    </row>
    <row r="220" spans="1:12" x14ac:dyDescent="0.3">
      <c r="A220" t="s">
        <v>271</v>
      </c>
      <c r="E220" s="21" t="str">
        <f t="shared" si="22"/>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23"/>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2" spans="1:12" x14ac:dyDescent="0.3">
      <c r="A222" t="s">
        <v>272</v>
      </c>
    </row>
    <row r="223" spans="1:12" x14ac:dyDescent="0.3">
      <c r="A223" t="s">
        <v>273</v>
      </c>
      <c r="E223" s="21" t="str">
        <f t="shared" ref="E223:E255" si="24">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ref="H223:H255" ca="1" si="25">IF(J223&lt;&gt;1,"",IF(I223="SBJ","CB","?"))</f>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274</v>
      </c>
      <c r="B224" s="20" t="s">
        <v>124</v>
      </c>
      <c r="C224" s="20" t="s">
        <v>225</v>
      </c>
      <c r="E224" s="21" t="s">
        <v>483</v>
      </c>
      <c r="F224" s="22" t="s">
        <v>466</v>
      </c>
      <c r="G224" s="23" t="s">
        <v>479</v>
      </c>
      <c r="H224" s="24" t="str">
        <f t="shared" ca="1" si="2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63</v>
      </c>
      <c r="E225" s="21" t="str">
        <f t="shared" si="24"/>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191</v>
      </c>
      <c r="E226" s="21" t="str">
        <f t="shared" si="24"/>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2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183</v>
      </c>
      <c r="B227" s="20" t="s">
        <v>136</v>
      </c>
      <c r="C227" s="20" t="s">
        <v>181</v>
      </c>
      <c r="D227" s="20" t="s">
        <v>126</v>
      </c>
      <c r="E227" s="21" t="s">
        <v>428</v>
      </c>
      <c r="F227" s="22" t="str">
        <f>IF(OR(E227="",E227="!!!"),"",IF(NOT(ISNA(VLOOKUP(E227,E$1:E226,1,FALSE()))),"OLD",IF(AND(E227&lt;&gt;"",E227&lt;&gt;"!!!"),"NEW","")))</f>
        <v>OLD</v>
      </c>
      <c r="G227" s="23" t="s">
        <v>477</v>
      </c>
      <c r="H227" s="24" t="str">
        <f t="shared" ca="1" si="25"/>
        <v/>
      </c>
      <c r="I227" s="25" t="str">
        <f>IF(OR(E227="",E227="!!!",F227="NEW"),"",INDEX(B$2:B226,-1+SUMPRODUCT(MAX(ROW(E$2:E226)*(E227=E$2:E226)))))</f>
        <v>SBJ_2</v>
      </c>
      <c r="J227" s="25">
        <f ca="1">IF(OR(E227="",E227="!!!",F227="NEW"),"",COUNTBLANK(OFFSET(A$1,,,SUMPRODUCT(MAX(ROW(E$2:E227)*(E227=E$2:E227)))))-COUNTBLANK(OFFSET(A$1,,,SUMPRODUCT(MAX(ROW(E$1:E226)*(E2=E$1:E226))))))</f>
        <v>0</v>
      </c>
      <c r="K227" s="25">
        <f ca="1">IF(OR(E227="",E227="!!!",F227="NEW"),"",INDEX(J$1:J226,SUMPRODUCT(MAX(ROW(E$1:E226)*(E227=E$1:E226)))))</f>
        <v>0</v>
      </c>
      <c r="L227" s="26"/>
    </row>
    <row r="228" spans="1:12" x14ac:dyDescent="0.3">
      <c r="A228" t="s">
        <v>193</v>
      </c>
      <c r="E228" s="21" t="str">
        <f t="shared" si="24"/>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5"/>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160</v>
      </c>
      <c r="E229" s="21" t="str">
        <f t="shared" si="24"/>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5"/>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275</v>
      </c>
      <c r="B230" s="20" t="s">
        <v>131</v>
      </c>
      <c r="C230" s="20" t="s">
        <v>181</v>
      </c>
      <c r="D230" s="20" t="s">
        <v>126</v>
      </c>
      <c r="E230" s="21" t="s">
        <v>481</v>
      </c>
      <c r="F230" s="22" t="str">
        <f>IF(OR(E230="",E230="!!!"),"",IF(NOT(ISNA(VLOOKUP(E230,E$1:E229,1,FALSE()))),"OLD",IF(AND(E230&lt;&gt;"",E230&lt;&gt;"!!!"),"NEW","")))</f>
        <v>NEW</v>
      </c>
      <c r="G230" s="23" t="s">
        <v>477</v>
      </c>
      <c r="H230" s="24" t="str">
        <f t="shared" ca="1" si="25"/>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128</v>
      </c>
      <c r="E231" s="21" t="str">
        <f t="shared" si="24"/>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25"/>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12</v>
      </c>
      <c r="E232" s="21" t="str">
        <f t="shared" si="24"/>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5"/>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157</v>
      </c>
      <c r="B233" s="20" t="s">
        <v>131</v>
      </c>
      <c r="C233" s="20" t="s">
        <v>125</v>
      </c>
      <c r="D233" s="20" t="s">
        <v>126</v>
      </c>
      <c r="E233" s="21"/>
      <c r="F233" s="22" t="s">
        <v>433</v>
      </c>
      <c r="G233" s="23" t="str">
        <f>IF(OR(E233="",E233="!!!"),"",IF(OR(J233=0,AND(J233=1,K233=1),AND(J233=1,I233="SBJ"),AND(J233=1,I233=0)),"?IN_FOCUS",IF(J233&lt;=2,"?ACTIVATED",IF(J233&lt;&gt;"","?FAMILIAR",IF(F233="NEW",IF(ISNA(VLOOKUP(E233,#REF!,1,FALSE())),"?TYPE_IDENTIFIABLE","?REFERENTIAL"),"_")))))</f>
        <v/>
      </c>
      <c r="H233" s="24" t="str">
        <f t="shared" ca="1" si="25"/>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t="s">
        <v>484</v>
      </c>
    </row>
    <row r="234" spans="1:12" x14ac:dyDescent="0.3">
      <c r="A234" t="s">
        <v>276</v>
      </c>
      <c r="E234" s="21"/>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25"/>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277</v>
      </c>
      <c r="E235" s="21" t="str">
        <f t="shared" si="24"/>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5"/>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206</v>
      </c>
      <c r="E236" s="21" t="str">
        <f t="shared" si="24"/>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5"/>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149</v>
      </c>
      <c r="E237" s="21" t="str">
        <f t="shared" si="24"/>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5"/>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278</v>
      </c>
      <c r="E238" s="21" t="str">
        <f t="shared" si="24"/>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5"/>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279</v>
      </c>
      <c r="E239" s="21" t="str">
        <f t="shared" si="24"/>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25"/>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212</v>
      </c>
      <c r="B240" s="20" t="s">
        <v>147</v>
      </c>
      <c r="C240" s="20" t="s">
        <v>181</v>
      </c>
      <c r="D240" s="20" t="s">
        <v>126</v>
      </c>
      <c r="E240" s="21"/>
      <c r="F240" s="22" t="s">
        <v>433</v>
      </c>
      <c r="G240" s="23" t="str">
        <f>IF(OR(E240="",E240="!!!"),"",IF(OR(J240=0,AND(J240=1,K240=1),AND(J240=1,I240="SBJ"),AND(J240=1,I240=0)),"?IN_FOCUS",IF(J240&lt;=2,"?ACTIVATED",IF(J240&lt;&gt;"","?FAMILIAR",IF(F240="NEW",IF(ISNA(VLOOKUP(E240,#REF!,1,FALSE())),"?TYPE_IDENTIFIABLE","?REFERENTIAL"),"_")))))</f>
        <v/>
      </c>
      <c r="H240" s="24" t="str">
        <f t="shared" ca="1" si="25"/>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t="s">
        <v>484</v>
      </c>
    </row>
    <row r="241" spans="1:12" x14ac:dyDescent="0.3">
      <c r="A241" t="s">
        <v>197</v>
      </c>
      <c r="B241" s="20" t="s">
        <v>170</v>
      </c>
      <c r="C241" s="20" t="s">
        <v>125</v>
      </c>
      <c r="D241" s="20" t="s">
        <v>126</v>
      </c>
      <c r="E241" s="21"/>
      <c r="F241" s="22" t="s">
        <v>433</v>
      </c>
      <c r="G241" s="23" t="str">
        <f>IF(OR(E241="",E241="!!!"),"",IF(OR(J241=0,AND(J241=1,K241=1),AND(J241=1,I241="SBJ"),AND(J241=1,I241=0)),"?IN_FOCUS",IF(J241&lt;=2,"?ACTIVATED",IF(J241&lt;&gt;"","?FAMILIAR",IF(F241="NEW",IF(ISNA(VLOOKUP(E241,#REF!,1,FALSE())),"?TYPE_IDENTIFIABLE","?REFERENTIAL"),"_")))))</f>
        <v/>
      </c>
      <c r="H241" s="24" t="str">
        <f t="shared" ca="1" si="25"/>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280</v>
      </c>
      <c r="E242" s="21"/>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5"/>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281</v>
      </c>
      <c r="E243" s="21"/>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5"/>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148</v>
      </c>
      <c r="E244" s="21" t="str">
        <f t="shared" si="24"/>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25"/>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149</v>
      </c>
      <c r="B245" s="20" t="s">
        <v>213</v>
      </c>
      <c r="E245" s="21" t="str">
        <f t="shared" si="24"/>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25"/>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282</v>
      </c>
      <c r="E246" s="21" t="str">
        <f t="shared" si="24"/>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5"/>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268</v>
      </c>
      <c r="E247" s="21" t="str">
        <f t="shared" si="24"/>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5"/>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283</v>
      </c>
      <c r="E248" s="21" t="str">
        <f t="shared" si="24"/>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5"/>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284</v>
      </c>
      <c r="B249" s="20" t="s">
        <v>216</v>
      </c>
      <c r="C249" s="20" t="s">
        <v>225</v>
      </c>
      <c r="E249" s="21" t="str">
        <f t="shared" si="24"/>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5"/>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193</v>
      </c>
      <c r="E250" s="21" t="str">
        <f t="shared" si="24"/>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5"/>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285</v>
      </c>
      <c r="E251" s="21" t="str">
        <f t="shared" si="24"/>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ca="1" si="25"/>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286</v>
      </c>
      <c r="E252" s="21" t="str">
        <f t="shared" si="24"/>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25"/>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287</v>
      </c>
      <c r="B253" s="20" t="s">
        <v>216</v>
      </c>
      <c r="C253" s="20" t="s">
        <v>146</v>
      </c>
      <c r="E253" s="21" t="str">
        <f t="shared" si="24"/>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25"/>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288</v>
      </c>
      <c r="E254" s="21" t="str">
        <f t="shared" si="24"/>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25"/>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163</v>
      </c>
      <c r="E255" s="21" t="str">
        <f t="shared" si="24"/>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5"/>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7" spans="1:12" x14ac:dyDescent="0.3">
      <c r="A257" t="s">
        <v>289</v>
      </c>
    </row>
    <row r="258" spans="1:12" x14ac:dyDescent="0.3">
      <c r="A258" t="s">
        <v>202</v>
      </c>
      <c r="E258" s="21" t="s">
        <v>449</v>
      </c>
      <c r="F258" s="22" t="str">
        <f>IF(OR(E258="",E258="!!!"),"",IF(NOT(ISNA(VLOOKUP(E258,E$1:E257,1,FALSE()))),"OLD",IF(AND(E258&lt;&gt;"",E258&lt;&gt;"!!!"),"NEW","")))</f>
        <v>OLD</v>
      </c>
      <c r="G258" s="23" t="s">
        <v>477</v>
      </c>
      <c r="H258" s="24" t="str">
        <f t="shared" ref="H258:H266" ca="1" si="26">IF(J258&lt;&gt;1,"",IF(I258="SBJ","CB","?"))</f>
        <v/>
      </c>
      <c r="I258" s="25" t="str">
        <f>IF(OR(E258="",E258="!!!",F258="NEW"),"",INDEX(B$2:B257,-1+SUMPRODUCT(MAX(ROW(E$2:E257)*(E258=E$2:E257)))))</f>
        <v>other_2</v>
      </c>
      <c r="J258" s="25">
        <f ca="1">IF(OR(E258="",E258="!!!",F258="NEW"),"",COUNTBLANK(OFFSET(A$1,,,SUMPRODUCT(MAX(ROW(E$2:E258)*(E258=E$2:E258)))))-COUNTBLANK(OFFSET(A$1,,,SUMPRODUCT(MAX(ROW(E$1:E257)*(E2=E$1:E257))))))</f>
        <v>0</v>
      </c>
      <c r="K258" s="25" t="str">
        <f ca="1">IF(OR(E258="",E258="!!!",F258="NEW"),"",INDEX(J$1:J257,SUMPRODUCT(MAX(ROW(E$1:E257)*(E258=E$1:E257)))))</f>
        <v/>
      </c>
      <c r="L258" s="26"/>
    </row>
    <row r="259" spans="1:12" x14ac:dyDescent="0.3">
      <c r="A259" t="s">
        <v>203</v>
      </c>
      <c r="B259" s="20" t="s">
        <v>131</v>
      </c>
      <c r="C259" s="20" t="s">
        <v>132</v>
      </c>
      <c r="E259" s="21" t="str">
        <f t="shared" ref="E259:E266" si="27">IF(D259="?OLD","!!!","")</f>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6"/>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148</v>
      </c>
      <c r="E260" s="21" t="str">
        <f t="shared" si="27"/>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26"/>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149</v>
      </c>
      <c r="E261" s="21" t="str">
        <f t="shared" si="27"/>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26"/>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290</v>
      </c>
      <c r="E262" s="21" t="str">
        <f t="shared" si="27"/>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6"/>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291</v>
      </c>
      <c r="B263" s="20" t="s">
        <v>124</v>
      </c>
      <c r="C263" s="20" t="s">
        <v>181</v>
      </c>
      <c r="D263" s="20" t="s">
        <v>126</v>
      </c>
      <c r="E263" s="21"/>
      <c r="F263" s="22" t="s">
        <v>433</v>
      </c>
      <c r="G263" s="23" t="str">
        <f>IF(OR(E263="",E263="!!!"),"",IF(OR(J263=0,AND(J263=1,K263=1),AND(J263=1,I263="SBJ"),AND(J263=1,I263=0)),"?IN_FOCUS",IF(J263&lt;=2,"?ACTIVATED",IF(J263&lt;&gt;"","?FAMILIAR",IF(F263="NEW",IF(ISNA(VLOOKUP(E263,#REF!,1,FALSE())),"?TYPE_IDENTIFIABLE","?REFERENTIAL"),"_")))))</f>
        <v/>
      </c>
      <c r="H263" s="24" t="str">
        <f t="shared" ca="1" si="26"/>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292</v>
      </c>
      <c r="E264" s="21" t="str">
        <f t="shared" si="27"/>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6"/>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293</v>
      </c>
      <c r="E265" s="21" t="str">
        <f t="shared" si="27"/>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6"/>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294</v>
      </c>
      <c r="B266" s="20" t="s">
        <v>136</v>
      </c>
      <c r="C266" s="20" t="s">
        <v>225</v>
      </c>
      <c r="E266" s="21" t="str">
        <f t="shared" si="27"/>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6"/>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8" spans="1:12" x14ac:dyDescent="0.3">
      <c r="A268" t="s">
        <v>295</v>
      </c>
    </row>
    <row r="269" spans="1:12" x14ac:dyDescent="0.3">
      <c r="A269" t="s">
        <v>123</v>
      </c>
      <c r="B269" s="20" t="s">
        <v>124</v>
      </c>
      <c r="C269" s="20" t="s">
        <v>125</v>
      </c>
      <c r="D269" s="20" t="s">
        <v>126</v>
      </c>
      <c r="E269" s="21" t="s">
        <v>427</v>
      </c>
      <c r="F269" s="22" t="str">
        <f>IF(OR(E269="",E269="!!!"),"",IF(NOT(ISNA(VLOOKUP(E269,E$1:E268,1,FALSE()))),"OLD",IF(AND(E269&lt;&gt;"",E269&lt;&gt;"!!!"),"NEW","")))</f>
        <v>OLD</v>
      </c>
      <c r="G269" s="23" t="s">
        <v>477</v>
      </c>
      <c r="H269" s="24" t="str">
        <f t="shared" ref="H269:H297" ca="1" si="28">IF(J269&lt;&gt;1,"",IF(I269="SBJ","CB","?"))</f>
        <v/>
      </c>
      <c r="I269" s="25" t="str">
        <f>IF(OR(E269="",E269="!!!",F269="NEW"),"",INDEX(B$2:B268,-1+SUMPRODUCT(MAX(ROW(E$2:E268)*(E269=E$2:E268)))))</f>
        <v>SBJ_2</v>
      </c>
      <c r="J269" s="25">
        <f ca="1">IF(OR(E269="",E269="!!!",F269="NEW"),"",COUNTBLANK(OFFSET(A$1,,,SUMPRODUCT(MAX(ROW(E$2:E269)*(E269=E$2:E269)))))-COUNTBLANK(OFFSET(A$1,,,SUMPRODUCT(MAX(ROW(E$1:E268)*(E2=E$1:E268))))))</f>
        <v>0</v>
      </c>
      <c r="K269" s="25">
        <f ca="1">IF(OR(E269="",E269="!!!",F269="NEW"),"",INDEX(J$1:J268,SUMPRODUCT(MAX(ROW(E$1:E268)*(E269=E$1:E268)))))</f>
        <v>0</v>
      </c>
      <c r="L269" s="26"/>
    </row>
    <row r="270" spans="1:12" x14ac:dyDescent="0.3">
      <c r="A270" t="s">
        <v>188</v>
      </c>
      <c r="E270" s="21" t="str">
        <f t="shared" ref="E270:E297" si="29">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8"/>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285</v>
      </c>
      <c r="B271" s="20" t="s">
        <v>131</v>
      </c>
      <c r="C271" s="20" t="s">
        <v>223</v>
      </c>
      <c r="E271" s="21" t="str">
        <f t="shared" si="29"/>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8"/>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149</v>
      </c>
      <c r="E272" s="21" t="str">
        <f t="shared" si="29"/>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8"/>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296</v>
      </c>
      <c r="E273" s="21" t="str">
        <f t="shared" si="29"/>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8"/>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157</v>
      </c>
      <c r="B274" s="20" t="s">
        <v>131</v>
      </c>
      <c r="C274" s="20" t="s">
        <v>181</v>
      </c>
      <c r="D274" s="20" t="s">
        <v>126</v>
      </c>
      <c r="E274" s="21"/>
      <c r="F274" s="22" t="s">
        <v>433</v>
      </c>
      <c r="G274" s="23" t="str">
        <f>IF(OR(E274="",E274="!!!"),"",IF(OR(J274=0,AND(J274=1,K274=1),AND(J274=1,I274="SBJ"),AND(J274=1,I274=0)),"?IN_FOCUS",IF(J274&lt;=2,"?ACTIVATED",IF(J274&lt;&gt;"","?FAMILIAR",IF(F274="NEW",IF(ISNA(VLOOKUP(E274,#REF!,1,FALSE())),"?TYPE_IDENTIFIABLE","?REFERENTIAL"),"_")))))</f>
        <v/>
      </c>
      <c r="H274" s="24" t="str">
        <f t="shared" ca="1" si="28"/>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149</v>
      </c>
      <c r="E275" s="21" t="str">
        <f t="shared" si="29"/>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8"/>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297</v>
      </c>
      <c r="B276" s="20" t="s">
        <v>147</v>
      </c>
      <c r="C276" s="20" t="s">
        <v>181</v>
      </c>
      <c r="D276" s="20" t="s">
        <v>126</v>
      </c>
      <c r="E276" s="21"/>
      <c r="F276" s="22" t="s">
        <v>432</v>
      </c>
      <c r="G276" s="23" t="str">
        <f>IF(OR(E276="",E276="!!!"),"",IF(OR(J276=0,AND(J276=1,K276=1),AND(J276=1,I276="SBJ"),AND(J276=1,I276=0)),"?IN_FOCUS",IF(J276&lt;=2,"?ACTIVATED",IF(J276&lt;&gt;"","?FAMILIAR",IF(F276="NEW",IF(ISNA(VLOOKUP(E276,#REF!,1,FALSE())),"?TYPE_IDENTIFIABLE","?REFERENTIAL"),"_")))))</f>
        <v/>
      </c>
      <c r="H276" s="24" t="str">
        <f t="shared" ca="1" si="28"/>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206</v>
      </c>
      <c r="E277" s="21" t="str">
        <f t="shared" si="29"/>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8"/>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242</v>
      </c>
      <c r="B278" s="20" t="s">
        <v>190</v>
      </c>
      <c r="C278" s="20" t="s">
        <v>153</v>
      </c>
      <c r="D278" s="20" t="s">
        <v>126</v>
      </c>
      <c r="E278" s="21"/>
      <c r="F278" s="22" t="s">
        <v>441</v>
      </c>
      <c r="G278" s="23" t="str">
        <f>IF(OR(E278="",E278="!!!"),"",IF(OR(J278=0,AND(J278=1,K278=1),AND(J278=1,I278="SBJ"),AND(J278=1,I278=0)),"?IN_FOCUS",IF(J278&lt;=2,"?ACTIVATED",IF(J278&lt;&gt;"","?FAMILIAR",IF(F278="NEW",IF(ISNA(VLOOKUP(E278,#REF!,1,FALSE())),"?TYPE_IDENTIFIABLE","?REFERENTIAL"),"_")))))</f>
        <v/>
      </c>
      <c r="H278" s="24" t="str">
        <f t="shared" ca="1" si="28"/>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188</v>
      </c>
      <c r="E279" s="21" t="str">
        <f t="shared" si="29"/>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8"/>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298</v>
      </c>
      <c r="B280" s="20" t="s">
        <v>147</v>
      </c>
      <c r="C280" s="20" t="s">
        <v>251</v>
      </c>
      <c r="D280" s="20" t="s">
        <v>126</v>
      </c>
      <c r="E280" s="21"/>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8"/>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t="s">
        <v>455</v>
      </c>
    </row>
    <row r="281" spans="1:12" x14ac:dyDescent="0.3">
      <c r="A281" t="s">
        <v>299</v>
      </c>
      <c r="B281" s="20" t="s">
        <v>131</v>
      </c>
      <c r="C281" s="20" t="s">
        <v>225</v>
      </c>
      <c r="E281" s="21" t="str">
        <f t="shared" si="29"/>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8"/>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148</v>
      </c>
      <c r="E282" s="21" t="str">
        <f t="shared" si="29"/>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8"/>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241</v>
      </c>
      <c r="E283" s="21" t="str">
        <f t="shared" si="29"/>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8"/>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269</v>
      </c>
      <c r="B284" s="20" t="s">
        <v>150</v>
      </c>
      <c r="C284" s="20" t="s">
        <v>153</v>
      </c>
      <c r="D284" s="20" t="s">
        <v>126</v>
      </c>
      <c r="E284" s="21" t="s">
        <v>427</v>
      </c>
      <c r="F284" s="22" t="str">
        <f>IF(OR(E284="",E284="!!!"),"",IF(NOT(ISNA(VLOOKUP(E284,E$1:E283,1,FALSE()))),"OLD",IF(AND(E284&lt;&gt;"",E284&lt;&gt;"!!!"),"NEW","")))</f>
        <v>OLD</v>
      </c>
      <c r="G284" s="23" t="s">
        <v>430</v>
      </c>
      <c r="H284" s="24" t="str">
        <f t="shared" ca="1" si="28"/>
        <v/>
      </c>
      <c r="I284" s="25" t="str">
        <f>IF(OR(E284="",E284="!!!",F284="NEW"),"",INDEX(B$2:B283,-1+SUMPRODUCT(MAX(ROW(E$2:E283)*(E284=E$2:E283)))))</f>
        <v>SBJ</v>
      </c>
      <c r="J284" s="25">
        <f ca="1">IF(OR(E284="",E284="!!!",F284="NEW"),"",COUNTBLANK(OFFSET(A$1,,,SUMPRODUCT(MAX(ROW(E$2:E284)*(E284=E$2:E284)))))-COUNTBLANK(OFFSET(A$1,,,SUMPRODUCT(MAX(ROW(E$1:E283)*(E2=E$1:E283))))))</f>
        <v>0</v>
      </c>
      <c r="K284" s="25">
        <f ca="1">IF(OR(E284="",E284="!!!",F284="NEW"),"",INDEX(J$1:J283,SUMPRODUCT(MAX(ROW(E$1:E283)*(E284=E$1:E283)))))</f>
        <v>0</v>
      </c>
      <c r="L284" s="26"/>
    </row>
    <row r="285" spans="1:12" x14ac:dyDescent="0.3">
      <c r="A285" t="s">
        <v>300</v>
      </c>
      <c r="B285" s="20" t="s">
        <v>216</v>
      </c>
      <c r="C285" s="20" t="s">
        <v>301</v>
      </c>
      <c r="D285" s="20" t="s">
        <v>126</v>
      </c>
      <c r="E285" s="21"/>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8"/>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t="s">
        <v>458</v>
      </c>
    </row>
    <row r="286" spans="1:12" x14ac:dyDescent="0.3">
      <c r="A286" t="s">
        <v>183</v>
      </c>
      <c r="B286" s="20" t="s">
        <v>152</v>
      </c>
      <c r="C286" s="20" t="s">
        <v>302</v>
      </c>
      <c r="D286" s="20" t="s">
        <v>126</v>
      </c>
      <c r="E286" s="21" t="s">
        <v>428</v>
      </c>
      <c r="F286" s="22" t="str">
        <f>IF(OR(E286="",E286="!!!"),"",IF(NOT(ISNA(VLOOKUP(E286,E$1:E285,1,FALSE()))),"OLD",IF(AND(E286&lt;&gt;"",E286&lt;&gt;"!!!"),"NEW","")))</f>
        <v>OLD</v>
      </c>
      <c r="G286" s="23" t="s">
        <v>478</v>
      </c>
      <c r="H286" s="24" t="str">
        <f t="shared" ca="1" si="28"/>
        <v/>
      </c>
      <c r="I286" s="25" t="str">
        <f>IF(OR(E286="",E286="!!!",F286="NEW"),"",INDEX(B$2:B285,-1+SUMPRODUCT(MAX(ROW(E$2:E285)*(E286=E$2:E285)))))</f>
        <v>OBJ</v>
      </c>
      <c r="J286" s="25">
        <f ca="1">IF(OR(E286="",E286="!!!",F286="NEW"),"",COUNTBLANK(OFFSET(A$1,,,SUMPRODUCT(MAX(ROW(E$2:E286)*(E286=E$2:E286)))))-COUNTBLANK(OFFSET(A$1,,,SUMPRODUCT(MAX(ROW(E$1:E285)*(E2=E$1:E285))))))</f>
        <v>0</v>
      </c>
      <c r="K286" s="25">
        <f ca="1">IF(OR(E286="",E286="!!!",F286="NEW"),"",INDEX(J$1:J285,SUMPRODUCT(MAX(ROW(E$1:E285)*(E286=E$1:E285)))))</f>
        <v>0</v>
      </c>
      <c r="L286" s="26"/>
    </row>
    <row r="287" spans="1:12" x14ac:dyDescent="0.3">
      <c r="A287" t="s">
        <v>128</v>
      </c>
      <c r="E287" s="21" t="str">
        <f t="shared" si="29"/>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8"/>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303</v>
      </c>
      <c r="E288" s="21" t="str">
        <f t="shared" si="29"/>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8"/>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148</v>
      </c>
      <c r="E289" s="21" t="str">
        <f t="shared" si="29"/>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8"/>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191</v>
      </c>
      <c r="B290" s="20" t="s">
        <v>213</v>
      </c>
      <c r="E290" s="21" t="str">
        <f t="shared" si="29"/>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8"/>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304</v>
      </c>
      <c r="E291" s="21" t="str">
        <f t="shared" si="29"/>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8"/>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2" spans="1:12" x14ac:dyDescent="0.3">
      <c r="A292" t="s">
        <v>305</v>
      </c>
      <c r="E292" s="21" t="str">
        <f t="shared" si="29"/>
        <v/>
      </c>
      <c r="F292" s="22" t="str">
        <f>IF(OR(E292="",E292="!!!"),"",IF(NOT(ISNA(VLOOKUP(E292,E$1:E291,1,FALSE()))),"OLD",IF(AND(E292&lt;&gt;"",E292&lt;&gt;"!!!"),"NEW","")))</f>
        <v/>
      </c>
      <c r="G292" s="23" t="str">
        <f>IF(OR(E292="",E292="!!!"),"",IF(OR(J292=0,AND(J292=1,K292=1),AND(J292=1,I292="SBJ"),AND(J292=1,I292=0)),"?IN_FOCUS",IF(J292&lt;=2,"?ACTIVATED",IF(J292&lt;&gt;"","?FAMILIAR",IF(F292="NEW",IF(ISNA(VLOOKUP(E292,#REF!,1,FALSE())),"?TYPE_IDENTIFIABLE","?REFERENTIAL"),"_")))))</f>
        <v/>
      </c>
      <c r="H292" s="24" t="str">
        <f t="shared" ca="1" si="28"/>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245</v>
      </c>
      <c r="E293" s="21" t="str">
        <f t="shared" si="29"/>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8"/>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151</v>
      </c>
      <c r="B294" s="20" t="s">
        <v>216</v>
      </c>
      <c r="C294" s="20" t="s">
        <v>153</v>
      </c>
      <c r="D294" s="20" t="s">
        <v>126</v>
      </c>
      <c r="E294" s="21" t="s">
        <v>427</v>
      </c>
      <c r="F294" s="22" t="str">
        <f>IF(OR(E294="",E294="!!!"),"",IF(NOT(ISNA(VLOOKUP(E294,E$1:E293,1,FALSE()))),"OLD",IF(AND(E294&lt;&gt;"",E294&lt;&gt;"!!!"),"NEW","")))</f>
        <v>OLD</v>
      </c>
      <c r="G294" s="23" t="s">
        <v>430</v>
      </c>
      <c r="H294" s="24" t="str">
        <f t="shared" ca="1" si="28"/>
        <v/>
      </c>
      <c r="I294" s="25" t="str">
        <f>IF(OR(E294="",E294="!!!",F294="NEW"),"",INDEX(B$2:B293,-1+SUMPRODUCT(MAX(ROW(E$2:E293)*(E294=E$2:E293)))))</f>
        <v>SBJ_3</v>
      </c>
      <c r="J294" s="25">
        <f ca="1">IF(OR(E294="",E294="!!!",F294="NEW"),"",COUNTBLANK(OFFSET(A$1,,,SUMPRODUCT(MAX(ROW(E$2:E294)*(E294=E$2:E294)))))-COUNTBLANK(OFFSET(A$1,,,SUMPRODUCT(MAX(ROW(E$1:E293)*(E2=E$1:E293))))))</f>
        <v>0</v>
      </c>
      <c r="K294" s="25">
        <f ca="1">IF(OR(E294="",E294="!!!",F294="NEW"),"",INDEX(J$1:J293,SUMPRODUCT(MAX(ROW(E$1:E293)*(E294=E$1:E293)))))</f>
        <v>0</v>
      </c>
      <c r="L294" s="26"/>
    </row>
    <row r="295" spans="1:12" x14ac:dyDescent="0.3">
      <c r="A295" t="s">
        <v>128</v>
      </c>
      <c r="E295" s="21" t="str">
        <f t="shared" si="29"/>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8"/>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63</v>
      </c>
      <c r="E296" s="21" t="str">
        <f t="shared" si="29"/>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8"/>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163</v>
      </c>
      <c r="E297" s="21" t="str">
        <f t="shared" si="29"/>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8"/>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9" spans="1:12" x14ac:dyDescent="0.3">
      <c r="A299" t="s">
        <v>306</v>
      </c>
    </row>
    <row r="300" spans="1:12" x14ac:dyDescent="0.3">
      <c r="A300" t="s">
        <v>165</v>
      </c>
      <c r="B300" s="20" t="s">
        <v>124</v>
      </c>
      <c r="C300" s="20" t="s">
        <v>153</v>
      </c>
      <c r="D300" s="20" t="s">
        <v>126</v>
      </c>
      <c r="E300" s="21" t="s">
        <v>427</v>
      </c>
      <c r="F300" s="22" t="str">
        <f>IF(OR(E300="",E300="!!!"),"",IF(NOT(ISNA(VLOOKUP(E300,E$1:E299,1,FALSE()))),"OLD",IF(AND(E300&lt;&gt;"",E300&lt;&gt;"!!!"),"NEW","")))</f>
        <v>OLD</v>
      </c>
      <c r="G300" s="23" t="s">
        <v>430</v>
      </c>
      <c r="H300" s="24" t="s">
        <v>118</v>
      </c>
      <c r="I300" s="25" t="str">
        <f>IF(OR(E300="",E300="!!!",F300="NEW"),"",INDEX(B$2:B299,-1+SUMPRODUCT(MAX(ROW(E$2:E299)*(E300=E$2:E299)))))</f>
        <v>other_4</v>
      </c>
      <c r="J300" s="25">
        <f ca="1">IF(OR(E300="",E300="!!!",F300="NEW"),"",COUNTBLANK(OFFSET(A$1,,,SUMPRODUCT(MAX(ROW(E$2:E300)*(E300=E$2:E300)))))-COUNTBLANK(OFFSET(A$1,,,SUMPRODUCT(MAX(ROW(E$1:E299)*(E2=E$1:E299))))))</f>
        <v>0</v>
      </c>
      <c r="K300" s="25">
        <f ca="1">IF(OR(E300="",E300="!!!",F300="NEW"),"",INDEX(J$1:J299,SUMPRODUCT(MAX(ROW(E$1:E299)*(E300=E$1:E299)))))</f>
        <v>0</v>
      </c>
      <c r="L300" s="26"/>
    </row>
    <row r="301" spans="1:12" x14ac:dyDescent="0.3">
      <c r="A301" t="s">
        <v>303</v>
      </c>
      <c r="E301" s="21" t="str">
        <f t="shared" ref="E301:E323" si="30">IF(D301="?OLD","!!!","")</f>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ref="H301:H323" ca="1" si="31">IF(J301&lt;&gt;1,"",IF(I301="SBJ","CB","?"))</f>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307</v>
      </c>
      <c r="B302" s="20" t="s">
        <v>136</v>
      </c>
      <c r="C302" s="20" t="s">
        <v>132</v>
      </c>
      <c r="E302" s="21" t="str">
        <f t="shared" si="30"/>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31"/>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206</v>
      </c>
      <c r="E303" s="21" t="str">
        <f t="shared" si="30"/>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31"/>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188</v>
      </c>
      <c r="E304" s="21" t="str">
        <f t="shared" si="30"/>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31"/>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308</v>
      </c>
      <c r="E305" s="21" t="str">
        <f t="shared" si="30"/>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31"/>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148</v>
      </c>
      <c r="E306" s="21" t="str">
        <f t="shared" si="30"/>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31"/>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309</v>
      </c>
      <c r="E307" s="21" t="str">
        <f t="shared" si="30"/>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31"/>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242</v>
      </c>
      <c r="B308" s="20" t="s">
        <v>213</v>
      </c>
      <c r="C308" s="20" t="s">
        <v>153</v>
      </c>
      <c r="D308" s="20" t="s">
        <v>126</v>
      </c>
      <c r="E308" s="21"/>
      <c r="F308" s="22" t="s">
        <v>441</v>
      </c>
      <c r="G308" s="23" t="str">
        <f>IF(OR(E308="",E308="!!!"),"",IF(OR(J308=0,AND(J308=1,K308=1),AND(J308=1,I308="SBJ"),AND(J308=1,I308=0)),"?IN_FOCUS",IF(J308&lt;=2,"?ACTIVATED",IF(J308&lt;&gt;"","?FAMILIAR",IF(F308="NEW",IF(ISNA(VLOOKUP(E308,#REF!,1,FALSE())),"?TYPE_IDENTIFIABLE","?REFERENTIAL"),"_")))))</f>
        <v/>
      </c>
      <c r="H308" s="24" t="str">
        <f t="shared" ca="1" si="3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188</v>
      </c>
      <c r="E309" s="21" t="str">
        <f t="shared" si="30"/>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31"/>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42</v>
      </c>
      <c r="E310" s="21" t="s">
        <v>427</v>
      </c>
      <c r="F310" s="22" t="str">
        <f>IF(OR(E310="",E310="!!!"),"",IF(NOT(ISNA(VLOOKUP(E310,E$1:E309,1,FALSE()))),"OLD",IF(AND(E310&lt;&gt;"",E310&lt;&gt;"!!!"),"NEW","")))</f>
        <v>OLD</v>
      </c>
      <c r="G310" s="23" t="s">
        <v>430</v>
      </c>
      <c r="H310" s="24" t="str">
        <f t="shared" ca="1" si="31"/>
        <v/>
      </c>
      <c r="I310" s="25" t="str">
        <f>IF(OR(E310="",E310="!!!",F310="NEW"),"",INDEX(B$2:B309,-1+SUMPRODUCT(MAX(ROW(E$2:E309)*(E310=E$2:E309)))))</f>
        <v>SBJ</v>
      </c>
      <c r="J310" s="25">
        <f ca="1">IF(OR(E310="",E310="!!!",F310="NEW"),"",COUNTBLANK(OFFSET(A$1,,,SUMPRODUCT(MAX(ROW(E$2:E310)*(E310=E$2:E310)))))-COUNTBLANK(OFFSET(A$1,,,SUMPRODUCT(MAX(ROW(E$1:E309)*(E2=E$1:E309))))))</f>
        <v>0</v>
      </c>
      <c r="K310" s="25">
        <f ca="1">IF(OR(E310="",E310="!!!",F310="NEW"),"",INDEX(J$1:J309,SUMPRODUCT(MAX(ROW(E$1:E309)*(E310=E$1:E309)))))</f>
        <v>0</v>
      </c>
      <c r="L310" s="26" t="s">
        <v>437</v>
      </c>
    </row>
    <row r="311" spans="1:12" x14ac:dyDescent="0.3">
      <c r="A311" t="s">
        <v>310</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311</v>
      </c>
      <c r="B312" s="20" t="s">
        <v>170</v>
      </c>
      <c r="C312" s="20" t="s">
        <v>137</v>
      </c>
      <c r="E312" s="21" t="s">
        <v>459</v>
      </c>
      <c r="F312" s="22" t="str">
        <f>IF(OR(E312="",E312="!!!"),"",IF(NOT(ISNA(VLOOKUP(E312,E$1:E311,1,FALSE()))),"OLD",IF(AND(E312&lt;&gt;"",E312&lt;&gt;"!!!"),"NEW","")))</f>
        <v>NEW</v>
      </c>
      <c r="G312" s="23" t="s">
        <v>479</v>
      </c>
      <c r="H312" s="24" t="str">
        <f t="shared" ca="1" si="3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148</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149</v>
      </c>
      <c r="B314" s="20" t="s">
        <v>150</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312</v>
      </c>
      <c r="B315" s="20" t="s">
        <v>152</v>
      </c>
      <c r="C315" s="20" t="s">
        <v>153</v>
      </c>
      <c r="D315" s="20" t="s">
        <v>126</v>
      </c>
      <c r="E315" s="21" t="s">
        <v>427</v>
      </c>
      <c r="F315" s="22" t="str">
        <f>IF(OR(E315="",E315="!!!"),"",IF(NOT(ISNA(VLOOKUP(E315,E$1:E314,1,FALSE()))),"OLD",IF(AND(E315&lt;&gt;"",E315&lt;&gt;"!!!"),"NEW","")))</f>
        <v>OLD</v>
      </c>
      <c r="G315" s="23" t="s">
        <v>430</v>
      </c>
      <c r="H315" s="24" t="str">
        <f t="shared" ca="1" si="31"/>
        <v/>
      </c>
      <c r="I315" s="25">
        <f>IF(OR(E315="",E315="!!!",F315="NEW"),"",INDEX(B$2:B314,-1+SUMPRODUCT(MAX(ROW(E$2:E314)*(E315=E$2:E314)))))</f>
        <v>0</v>
      </c>
      <c r="J315" s="25">
        <f ca="1">IF(OR(E315="",E315="!!!",F315="NEW"),"",COUNTBLANK(OFFSET(A$1,,,SUMPRODUCT(MAX(ROW(E$2:E315)*(E315=E$2:E315)))))-COUNTBLANK(OFFSET(A$1,,,SUMPRODUCT(MAX(ROW(E$1:E314)*(E2=E$1:E314))))))</f>
        <v>0</v>
      </c>
      <c r="K315" s="25">
        <f ca="1">IF(OR(E315="",E315="!!!",F315="NEW"),"",INDEX(J$1:J314,SUMPRODUCT(MAX(ROW(E$1:E314)*(E315=E$1:E314)))))</f>
        <v>0</v>
      </c>
      <c r="L315" s="26"/>
    </row>
    <row r="316" spans="1:12" x14ac:dyDescent="0.3">
      <c r="A316" t="s">
        <v>168</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191</v>
      </c>
      <c r="E317" s="21" t="str">
        <f t="shared" si="30"/>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31"/>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313</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193</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160</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314</v>
      </c>
      <c r="B321" s="20" t="s">
        <v>170</v>
      </c>
      <c r="C321" s="20" t="s">
        <v>315</v>
      </c>
      <c r="D321" s="20" t="s">
        <v>126</v>
      </c>
      <c r="E321" s="21" t="s">
        <v>460</v>
      </c>
      <c r="F321" s="22" t="str">
        <f>IF(OR(E321="",E321="!!!"),"",IF(NOT(ISNA(VLOOKUP(E321,E$1:E320,1,FALSE()))),"OLD",IF(AND(E321&lt;&gt;"",E321&lt;&gt;"!!!"),"NEW","")))</f>
        <v>NEW</v>
      </c>
      <c r="G321" s="23" t="s">
        <v>479</v>
      </c>
      <c r="H321" s="24" t="str">
        <f t="shared" ca="1" si="31"/>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316</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163</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5" spans="1:12" x14ac:dyDescent="0.3">
      <c r="A325" t="s">
        <v>317</v>
      </c>
    </row>
    <row r="326" spans="1:12" x14ac:dyDescent="0.3">
      <c r="A326" t="s">
        <v>165</v>
      </c>
      <c r="B326" s="20" t="s">
        <v>124</v>
      </c>
      <c r="C326" s="20" t="s">
        <v>153</v>
      </c>
      <c r="D326" s="20" t="s">
        <v>126</v>
      </c>
      <c r="E326" s="21" t="s">
        <v>427</v>
      </c>
      <c r="F326" s="22" t="str">
        <f>IF(OR(E326="",E326="!!!"),"",IF(NOT(ISNA(VLOOKUP(E326,E$1:E325,1,FALSE()))),"OLD",IF(AND(E326&lt;&gt;"",E326&lt;&gt;"!!!"),"NEW","")))</f>
        <v>OLD</v>
      </c>
      <c r="G326" s="23" t="s">
        <v>430</v>
      </c>
      <c r="H326" s="24" t="s">
        <v>118</v>
      </c>
      <c r="I326" s="25" t="str">
        <f>IF(OR(E326="",E326="!!!",F326="NEW"),"",INDEX(B$2:B325,-1+SUMPRODUCT(MAX(ROW(E$2:E325)*(E326=E$2:E325)))))</f>
        <v>OBJ_3</v>
      </c>
      <c r="J326" s="25">
        <f ca="1">IF(OR(E326="",E326="!!!",F326="NEW"),"",COUNTBLANK(OFFSET(A$1,,,SUMPRODUCT(MAX(ROW(E$2:E326)*(E326=E$2:E326)))))-COUNTBLANK(OFFSET(A$1,,,SUMPRODUCT(MAX(ROW(E$1:E325)*(E2=E$1:E325))))))</f>
        <v>0</v>
      </c>
      <c r="K326" s="25">
        <f ca="1">IF(OR(E326="",E326="!!!",F326="NEW"),"",INDEX(J$1:J325,SUMPRODUCT(MAX(ROW(E$1:E325)*(E326=E$1:E325)))))</f>
        <v>0</v>
      </c>
      <c r="L326" s="26"/>
    </row>
    <row r="327" spans="1:12" x14ac:dyDescent="0.3">
      <c r="A327" t="s">
        <v>188</v>
      </c>
      <c r="E327" s="21" t="str">
        <f t="shared" ref="E327:E346" si="32">IF(D327="?OLD","!!!","")</f>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ref="H327:H346" ca="1" si="33">IF(J327&lt;&gt;1,"",IF(I327="SBJ","CB","?"))</f>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257</v>
      </c>
      <c r="E328" s="21" t="str">
        <f t="shared" si="3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3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318</v>
      </c>
      <c r="E329" s="21" t="str">
        <f t="shared" si="3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319</v>
      </c>
      <c r="B330" s="20" t="s">
        <v>131</v>
      </c>
      <c r="C330" s="20" t="s">
        <v>146</v>
      </c>
      <c r="E330" s="21" t="str">
        <f t="shared" si="3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320</v>
      </c>
      <c r="E331" s="21" t="str">
        <f t="shared" si="3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321</v>
      </c>
      <c r="B332" s="20" t="s">
        <v>131</v>
      </c>
      <c r="C332" s="20" t="s">
        <v>132</v>
      </c>
      <c r="E332" s="21" t="str">
        <f t="shared" si="3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148</v>
      </c>
      <c r="E333" s="21" t="str">
        <f t="shared" si="3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42</v>
      </c>
      <c r="E334" s="21" t="s">
        <v>427</v>
      </c>
      <c r="F334" s="22" t="str">
        <f>IF(OR(E334="",E334="!!!"),"",IF(NOT(ISNA(VLOOKUP(E334,E$1:E333,1,FALSE()))),"OLD",IF(AND(E334&lt;&gt;"",E334&lt;&gt;"!!!"),"NEW","")))</f>
        <v>OLD</v>
      </c>
      <c r="G334" s="23" t="s">
        <v>430</v>
      </c>
      <c r="H334" s="24" t="str">
        <f t="shared" ca="1" si="33"/>
        <v/>
      </c>
      <c r="I334" s="25" t="str">
        <f>IF(OR(E334="",E334="!!!",F334="NEW"),"",INDEX(B$2:B333,-1+SUMPRODUCT(MAX(ROW(E$2:E333)*(E334=E$2:E333)))))</f>
        <v>SBJ</v>
      </c>
      <c r="J334" s="25">
        <f ca="1">IF(OR(E334="",E334="!!!",F334="NEW"),"",COUNTBLANK(OFFSET(A$1,,,SUMPRODUCT(MAX(ROW(E$2:E334)*(E334=E$2:E334)))))-COUNTBLANK(OFFSET(A$1,,,SUMPRODUCT(MAX(ROW(E$1:E333)*(E2=E$1:E333))))))</f>
        <v>0</v>
      </c>
      <c r="K334" s="25">
        <f ca="1">IF(OR(E334="",E334="!!!",F334="NEW"),"",INDEX(J$1:J333,SUMPRODUCT(MAX(ROW(E$1:E333)*(E334=E$1:E333)))))</f>
        <v>0</v>
      </c>
      <c r="L334" s="26" t="s">
        <v>437</v>
      </c>
    </row>
    <row r="335" spans="1:12" x14ac:dyDescent="0.3">
      <c r="A335" t="s">
        <v>322</v>
      </c>
      <c r="B335" s="20" t="s">
        <v>147</v>
      </c>
      <c r="C335" s="20" t="s">
        <v>137</v>
      </c>
      <c r="E335" s="21"/>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206</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323</v>
      </c>
      <c r="B337" s="20" t="s">
        <v>147</v>
      </c>
      <c r="C337" s="20" t="s">
        <v>125</v>
      </c>
      <c r="D337" s="20" t="s">
        <v>126</v>
      </c>
      <c r="E337" s="21" t="s">
        <v>461</v>
      </c>
      <c r="F337" s="22" t="str">
        <f>IF(OR(E337="",E337="!!!"),"",IF(NOT(ISNA(VLOOKUP(E337,E$1:E336,1,FALSE()))),"OLD",IF(AND(E337&lt;&gt;"",E337&lt;&gt;"!!!"),"NEW","")))</f>
        <v>NEW</v>
      </c>
      <c r="G337" s="23" t="s">
        <v>479</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324</v>
      </c>
      <c r="E338" s="21" t="str">
        <f t="shared" si="3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325</v>
      </c>
      <c r="B339" s="20" t="s">
        <v>131</v>
      </c>
      <c r="C339" s="20" t="s">
        <v>132</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326</v>
      </c>
      <c r="E340" s="21" t="str">
        <f t="shared" si="32"/>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3"/>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327</v>
      </c>
      <c r="E341" s="21" t="str">
        <f t="shared" si="32"/>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247</v>
      </c>
      <c r="B342" s="20" t="s">
        <v>147</v>
      </c>
      <c r="C342" s="20" t="s">
        <v>132</v>
      </c>
      <c r="E342" s="21" t="str">
        <f t="shared" si="3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320</v>
      </c>
      <c r="E343" s="21" t="str">
        <f t="shared" si="3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328</v>
      </c>
      <c r="B344" s="20" t="s">
        <v>216</v>
      </c>
      <c r="C344" s="20" t="s">
        <v>301</v>
      </c>
      <c r="D344" s="20" t="s">
        <v>126</v>
      </c>
      <c r="E344" s="21"/>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t="s">
        <v>458</v>
      </c>
    </row>
    <row r="345" spans="1:12" x14ac:dyDescent="0.3">
      <c r="A345" t="s">
        <v>329</v>
      </c>
      <c r="B345" s="20" t="s">
        <v>170</v>
      </c>
      <c r="C345" s="20" t="s">
        <v>302</v>
      </c>
      <c r="D345" s="20" t="s">
        <v>126</v>
      </c>
      <c r="E345" s="21" t="s">
        <v>462</v>
      </c>
      <c r="F345" s="22" t="str">
        <f>IF(OR(E345="",E345="!!!"),"",IF(NOT(ISNA(VLOOKUP(E345,E$1:E344,1,FALSE()))),"OLD",IF(AND(E345&lt;&gt;"",E345&lt;&gt;"!!!"),"NEW","")))</f>
        <v>NEW</v>
      </c>
      <c r="G345" s="23" t="s">
        <v>477</v>
      </c>
      <c r="H345" s="24" t="str">
        <f t="shared" ca="1" si="3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163</v>
      </c>
      <c r="E346" s="21" t="str">
        <f t="shared" si="3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3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8" spans="1:12" x14ac:dyDescent="0.3">
      <c r="A348" t="s">
        <v>330</v>
      </c>
    </row>
    <row r="349" spans="1:12" x14ac:dyDescent="0.3">
      <c r="A349" t="s">
        <v>227</v>
      </c>
      <c r="B349" s="20" t="s">
        <v>124</v>
      </c>
      <c r="C349" s="20" t="s">
        <v>153</v>
      </c>
      <c r="D349" s="20" t="s">
        <v>126</v>
      </c>
      <c r="E349" s="21" t="s">
        <v>443</v>
      </c>
      <c r="F349" s="22" t="s">
        <v>434</v>
      </c>
      <c r="G349" s="23"/>
      <c r="H349" s="24" t="str">
        <f t="shared" ref="H349:H376" ca="1" si="34">IF(J349&lt;&gt;1,"",IF(I349="SBJ","CB","?"))</f>
        <v/>
      </c>
      <c r="I349" s="25" t="e">
        <f>IF(OR(E349="",E349="!!!",F349="NEW"),"",INDEX(B$2:B348,-1+SUMPRODUCT(MAX(ROW(E$2:E348)*(E349=E$2:E348)))))</f>
        <v>#VALUE!</v>
      </c>
      <c r="J349" s="25">
        <f ca="1">IF(OR(E349="",E349="!!!",F349="NEW"),"",COUNTBLANK(OFFSET(A$1,,,SUMPRODUCT(MAX(ROW(E$2:E349)*(E349=E$2:E349)))))-COUNTBLANK(OFFSET(A$1,,,SUMPRODUCT(MAX(ROW(E$1:E348)*(E2=E$1:E348))))))</f>
        <v>0</v>
      </c>
      <c r="K349" s="25" t="e">
        <f>IF(OR(E349="",E349="!!!",F349="NEW"),"",INDEX(J$1:J348,SUMPRODUCT(MAX(ROW(E$1:E348)*(E349=E$1:E348)))))</f>
        <v>#VALUE!</v>
      </c>
      <c r="L349" s="26"/>
    </row>
    <row r="350" spans="1:12" x14ac:dyDescent="0.3">
      <c r="A350" t="s">
        <v>218</v>
      </c>
      <c r="E350" s="21" t="str">
        <f t="shared" ref="E350:E376" si="35">IF(D350="?OLD","!!!","")</f>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4"/>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123</v>
      </c>
      <c r="E351" s="21" t="s">
        <v>427</v>
      </c>
      <c r="F351" s="22" t="str">
        <f>IF(OR(E351="",E351="!!!"),"",IF(NOT(ISNA(VLOOKUP(E351,E$1:E350,1,FALSE()))),"OLD",IF(AND(E351&lt;&gt;"",E351&lt;&gt;"!!!"),"NEW","")))</f>
        <v>OLD</v>
      </c>
      <c r="G351" s="23" t="s">
        <v>430</v>
      </c>
      <c r="H351" s="24" t="s">
        <v>118</v>
      </c>
      <c r="I351" s="25">
        <f>IF(OR(E351="",E351="!!!",F351="NEW"),"",INDEX(B$2:B350,-1+SUMPRODUCT(MAX(ROW(E$2:E350)*(E351=E$2:E350)))))</f>
        <v>0</v>
      </c>
      <c r="J351" s="25">
        <f ca="1">IF(OR(E351="",E351="!!!",F351="NEW"),"",COUNTBLANK(OFFSET(A$1,,,SUMPRODUCT(MAX(ROW(E$2:E351)*(E351=E$2:E351)))))-COUNTBLANK(OFFSET(A$1,,,SUMPRODUCT(MAX(ROW(E$1:E350)*(E2=E$1:E350))))))</f>
        <v>0</v>
      </c>
      <c r="K351" s="25">
        <f ca="1">IF(OR(E351="",E351="!!!",F351="NEW"),"",INDEX(J$1:J350,SUMPRODUCT(MAX(ROW(E$1:E350)*(E351=E$1:E350)))))</f>
        <v>0</v>
      </c>
      <c r="L351" s="26" t="s">
        <v>437</v>
      </c>
    </row>
    <row r="352" spans="1:12" x14ac:dyDescent="0.3">
      <c r="A352" t="s">
        <v>245</v>
      </c>
      <c r="E352" s="21" t="str">
        <f t="shared" si="35"/>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4"/>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331</v>
      </c>
      <c r="B353" s="20" t="s">
        <v>147</v>
      </c>
      <c r="C353" s="20" t="s">
        <v>223</v>
      </c>
      <c r="E353" s="21" t="str">
        <f t="shared" si="35"/>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4"/>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332</v>
      </c>
      <c r="B354" s="20" t="s">
        <v>131</v>
      </c>
      <c r="C354" s="20" t="s">
        <v>225</v>
      </c>
      <c r="E354" s="21" t="str">
        <f t="shared" si="35"/>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34"/>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138</v>
      </c>
      <c r="E355" s="21" t="str">
        <f t="shared" si="35"/>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4"/>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333</v>
      </c>
      <c r="B356" s="20" t="s">
        <v>131</v>
      </c>
      <c r="C356" s="20" t="s">
        <v>125</v>
      </c>
      <c r="D356" s="20" t="s">
        <v>126</v>
      </c>
      <c r="E356" s="21" t="s">
        <v>463</v>
      </c>
      <c r="F356" s="22" t="str">
        <f>IF(OR(E356="",E356="!!!"),"",IF(NOT(ISNA(VLOOKUP(E356,E$1:E355,1,FALSE()))),"OLD",IF(AND(E356&lt;&gt;"",E356&lt;&gt;"!!!"),"NEW","")))</f>
        <v>NEW</v>
      </c>
      <c r="G356" s="23" t="s">
        <v>480</v>
      </c>
      <c r="H356" s="24" t="str">
        <f t="shared" ca="1" si="34"/>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148</v>
      </c>
      <c r="E357" s="21" t="str">
        <f t="shared" si="35"/>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4"/>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241</v>
      </c>
      <c r="E358" s="21" t="str">
        <f t="shared" si="35"/>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4"/>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269</v>
      </c>
      <c r="B359" s="20" t="s">
        <v>190</v>
      </c>
      <c r="C359" s="20" t="s">
        <v>153</v>
      </c>
      <c r="D359" s="20" t="s">
        <v>126</v>
      </c>
      <c r="E359" s="21" t="s">
        <v>427</v>
      </c>
      <c r="F359" s="22" t="str">
        <f>IF(OR(E359="",E359="!!!"),"",IF(NOT(ISNA(VLOOKUP(E359,E$1:E358,1,FALSE()))),"OLD",IF(AND(E359&lt;&gt;"",E359&lt;&gt;"!!!"),"NEW","")))</f>
        <v>OLD</v>
      </c>
      <c r="G359" s="23" t="s">
        <v>430</v>
      </c>
      <c r="H359" s="24" t="str">
        <f t="shared" ca="1" si="34"/>
        <v/>
      </c>
      <c r="I359" s="25">
        <f>IF(OR(E359="",E359="!!!",F359="NEW"),"",INDEX(B$2:B358,-1+SUMPRODUCT(MAX(ROW(E$2:E358)*(E359=E$2:E358)))))</f>
        <v>0</v>
      </c>
      <c r="J359" s="25">
        <f ca="1">IF(OR(E359="",E359="!!!",F359="NEW"),"",COUNTBLANK(OFFSET(A$1,,,SUMPRODUCT(MAX(ROW(E$2:E359)*(E359=E$2:E359)))))-COUNTBLANK(OFFSET(A$1,,,SUMPRODUCT(MAX(ROW(E$1:E358)*(E2=E$1:E358))))))</f>
        <v>0</v>
      </c>
      <c r="K359" s="25">
        <f ca="1">IF(OR(E359="",E359="!!!",F359="NEW"),"",INDEX(J$1:J358,SUMPRODUCT(MAX(ROW(E$1:E358)*(E359=E$1:E358)))))</f>
        <v>0</v>
      </c>
      <c r="L359" s="26"/>
    </row>
    <row r="360" spans="1:12" x14ac:dyDescent="0.3">
      <c r="A360" t="s">
        <v>334</v>
      </c>
      <c r="E360" s="21" t="str">
        <f t="shared" si="35"/>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4"/>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335</v>
      </c>
      <c r="E361" s="21" t="str">
        <f t="shared" si="35"/>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34"/>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336</v>
      </c>
      <c r="B362" s="20" t="s">
        <v>192</v>
      </c>
      <c r="C362" s="20" t="s">
        <v>225</v>
      </c>
      <c r="E362" s="21" t="str">
        <f t="shared" si="35"/>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4"/>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337</v>
      </c>
      <c r="E363" s="21" t="str">
        <f t="shared" si="35"/>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4"/>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338</v>
      </c>
      <c r="E364" s="21" t="str">
        <f t="shared" si="35"/>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4"/>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148</v>
      </c>
      <c r="E365" s="21" t="str">
        <f t="shared" si="35"/>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4"/>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339</v>
      </c>
      <c r="E366" s="21" t="str">
        <f t="shared" si="35"/>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4"/>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269</v>
      </c>
      <c r="B367" s="20" t="s">
        <v>150</v>
      </c>
      <c r="C367" s="20" t="s">
        <v>153</v>
      </c>
      <c r="D367" s="20" t="s">
        <v>126</v>
      </c>
      <c r="E367" s="21" t="s">
        <v>427</v>
      </c>
      <c r="F367" s="22" t="str">
        <f>IF(OR(E367="",E367="!!!"),"",IF(NOT(ISNA(VLOOKUP(E367,E$1:E366,1,FALSE()))),"OLD",IF(AND(E367&lt;&gt;"",E367&lt;&gt;"!!!"),"NEW","")))</f>
        <v>OLD</v>
      </c>
      <c r="G367" s="23" t="s">
        <v>430</v>
      </c>
      <c r="H367" s="24" t="str">
        <f t="shared" ca="1" si="34"/>
        <v/>
      </c>
      <c r="I367" s="25" t="str">
        <f>IF(OR(E367="",E367="!!!",F367="NEW"),"",INDEX(B$2:B366,-1+SUMPRODUCT(MAX(ROW(E$2:E366)*(E367=E$2:E366)))))</f>
        <v>SBJ_2</v>
      </c>
      <c r="J367" s="25">
        <f ca="1">IF(OR(E367="",E367="!!!",F367="NEW"),"",COUNTBLANK(OFFSET(A$1,,,SUMPRODUCT(MAX(ROW(E$2:E367)*(E367=E$2:E367)))))-COUNTBLANK(OFFSET(A$1,,,SUMPRODUCT(MAX(ROW(E$1:E366)*(E2=E$1:E366))))))</f>
        <v>0</v>
      </c>
      <c r="K367" s="25">
        <f ca="1">IF(OR(E367="",E367="!!!",F367="NEW"),"",INDEX(J$1:J366,SUMPRODUCT(MAX(ROW(E$1:E366)*(E367=E$1:E366)))))</f>
        <v>0</v>
      </c>
      <c r="L367" s="26"/>
    </row>
    <row r="368" spans="1:12" x14ac:dyDescent="0.3">
      <c r="A368" t="s">
        <v>254</v>
      </c>
      <c r="E368" s="21" t="str">
        <f t="shared" si="35"/>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4"/>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304</v>
      </c>
      <c r="E369" s="21" t="str">
        <f t="shared" si="35"/>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4"/>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257</v>
      </c>
      <c r="E370" s="21" t="str">
        <f t="shared" si="35"/>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4"/>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340</v>
      </c>
      <c r="B371" s="20" t="s">
        <v>147</v>
      </c>
      <c r="C371" s="20" t="s">
        <v>146</v>
      </c>
      <c r="E371" s="21" t="str">
        <f t="shared" si="35"/>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34"/>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12</v>
      </c>
      <c r="E372" s="21" t="str">
        <f t="shared" si="35"/>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34"/>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206</v>
      </c>
      <c r="E373" s="21" t="str">
        <f t="shared" si="35"/>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34"/>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341</v>
      </c>
      <c r="B374" s="20" t="s">
        <v>170</v>
      </c>
      <c r="C374" s="20" t="s">
        <v>132</v>
      </c>
      <c r="E374" s="21" t="str">
        <f t="shared" si="35"/>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4"/>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342</v>
      </c>
      <c r="E375" s="21" t="str">
        <f t="shared" si="35"/>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34"/>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343</v>
      </c>
      <c r="E376" s="21" t="str">
        <f t="shared" si="35"/>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4"/>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8" spans="1:12" x14ac:dyDescent="0.3">
      <c r="A378" t="s">
        <v>344</v>
      </c>
    </row>
    <row r="379" spans="1:12" x14ac:dyDescent="0.3">
      <c r="A379" t="s">
        <v>123</v>
      </c>
      <c r="B379" s="20" t="s">
        <v>124</v>
      </c>
      <c r="C379" s="20" t="s">
        <v>125</v>
      </c>
      <c r="D379" s="20" t="s">
        <v>126</v>
      </c>
      <c r="E379" s="21" t="s">
        <v>427</v>
      </c>
      <c r="F379" s="22" t="str">
        <f>IF(OR(E379="",E379="!!!"),"",IF(NOT(ISNA(VLOOKUP(E379,E$1:E378,1,FALSE()))),"OLD",IF(AND(E379&lt;&gt;"",E379&lt;&gt;"!!!"),"NEW","")))</f>
        <v>OLD</v>
      </c>
      <c r="G379" s="23" t="s">
        <v>430</v>
      </c>
      <c r="H379" s="24" t="s">
        <v>118</v>
      </c>
      <c r="I379" s="25" t="str">
        <f>IF(OR(E379="",E379="!!!",F379="NEW"),"",INDEX(B$2:B378,-1+SUMPRODUCT(MAX(ROW(E$2:E378)*(E379=E$2:E378)))))</f>
        <v>SBJ_3</v>
      </c>
      <c r="J379" s="25">
        <f ca="1">IF(OR(E379="",E379="!!!",F379="NEW"),"",COUNTBLANK(OFFSET(A$1,,,SUMPRODUCT(MAX(ROW(E$2:E379)*(E379=E$2:E379)))))-COUNTBLANK(OFFSET(A$1,,,SUMPRODUCT(MAX(ROW(E$1:E378)*(E2=E$1:E378))))))</f>
        <v>0</v>
      </c>
      <c r="K379" s="25">
        <f ca="1">IF(OR(E379="",E379="!!!",F379="NEW"),"",INDEX(J$1:J378,SUMPRODUCT(MAX(ROW(E$1:E378)*(E379=E$1:E378)))))</f>
        <v>0</v>
      </c>
      <c r="L379" s="26"/>
    </row>
    <row r="380" spans="1:12" x14ac:dyDescent="0.3">
      <c r="A380" t="s">
        <v>303</v>
      </c>
      <c r="E380" s="21" t="str">
        <f t="shared" ref="E380:E393" si="36">IF(D380="?OLD","!!!","")</f>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ref="H380:H393" ca="1" si="37">IF(J380&lt;&gt;1,"",IF(I380="SBJ","CB","?"))</f>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193</v>
      </c>
      <c r="E381" s="21" t="str">
        <f t="shared" si="36"/>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37"/>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345</v>
      </c>
      <c r="B382" s="20" t="s">
        <v>131</v>
      </c>
      <c r="C382" s="20" t="s">
        <v>125</v>
      </c>
      <c r="D382" s="20" t="s">
        <v>126</v>
      </c>
      <c r="E382" s="21" t="s">
        <v>464</v>
      </c>
      <c r="F382" s="22" t="str">
        <f>IF(OR(E382="",E382="!!!"),"",IF(NOT(ISNA(VLOOKUP(E382,E$1:E381,1,FALSE()))),"OLD",IF(AND(E382&lt;&gt;"",E382&lt;&gt;"!!!"),"NEW","")))</f>
        <v>NEW</v>
      </c>
      <c r="G382" s="23" t="s">
        <v>477</v>
      </c>
      <c r="H382" s="24" t="str">
        <f t="shared" ca="1" si="37"/>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334</v>
      </c>
      <c r="E383" s="21" t="str">
        <f t="shared" si="36"/>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7"/>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346</v>
      </c>
      <c r="E384" s="21" t="str">
        <f t="shared" si="36"/>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7"/>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246</v>
      </c>
      <c r="E385" s="21" t="str">
        <f t="shared" si="3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347</v>
      </c>
      <c r="B386" s="20" t="s">
        <v>147</v>
      </c>
      <c r="C386" s="20" t="s">
        <v>225</v>
      </c>
      <c r="E386" s="21" t="str">
        <f t="shared" si="36"/>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7"/>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348</v>
      </c>
      <c r="B387" s="20" t="s">
        <v>136</v>
      </c>
      <c r="C387" s="20" t="s">
        <v>132</v>
      </c>
      <c r="E387" s="21" t="str">
        <f t="shared" si="36"/>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7"/>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349</v>
      </c>
      <c r="E388" s="21" t="s">
        <v>465</v>
      </c>
      <c r="F388" s="22" t="s">
        <v>466</v>
      </c>
      <c r="G388" s="23" t="s">
        <v>479</v>
      </c>
      <c r="H388" s="24" t="str">
        <f t="shared" ca="1" si="3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t="s">
        <v>436</v>
      </c>
    </row>
    <row r="389" spans="1:12" x14ac:dyDescent="0.3">
      <c r="A389" t="s">
        <v>148</v>
      </c>
      <c r="E389" s="21" t="str">
        <f t="shared" si="3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350</v>
      </c>
      <c r="B390" s="20" t="s">
        <v>190</v>
      </c>
      <c r="C390" s="20" t="s">
        <v>251</v>
      </c>
      <c r="D390" s="20" t="s">
        <v>126</v>
      </c>
      <c r="E390" s="21" t="s">
        <v>465</v>
      </c>
      <c r="F390" s="22" t="s">
        <v>452</v>
      </c>
      <c r="G390" s="23" t="s">
        <v>430</v>
      </c>
      <c r="H390" s="24" t="str">
        <f t="shared" ca="1" si="37"/>
        <v/>
      </c>
      <c r="I390" s="25">
        <f>IF(OR(E390="",E390="!!!",F390="NEW"),"",INDEX(B$2:B389,-1+SUMPRODUCT(MAX(ROW(E$2:E389)*(E390=E$2:E389)))))</f>
        <v>0</v>
      </c>
      <c r="J390" s="25">
        <f ca="1">IF(OR(E390="",E390="!!!",F390="NEW"),"",COUNTBLANK(OFFSET(A$1,,,SUMPRODUCT(MAX(ROW(E$2:E390)*(E390=E$2:E390)))))-COUNTBLANK(OFFSET(A$1,,,SUMPRODUCT(MAX(ROW(E$1:E389)*(E2=E$1:E389))))))</f>
        <v>0</v>
      </c>
      <c r="K390" s="25" t="str">
        <f ca="1">IF(OR(E390="",E390="!!!",F390="NEW"),"",INDEX(J$1:J389,SUMPRODUCT(MAX(ROW(E$1:E389)*(E390=E$1:E389)))))</f>
        <v/>
      </c>
      <c r="L390" s="26"/>
    </row>
    <row r="391" spans="1:12" x14ac:dyDescent="0.3">
      <c r="A391" t="s">
        <v>351</v>
      </c>
      <c r="E391" s="21" t="str">
        <f t="shared" si="3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188</v>
      </c>
      <c r="E392" s="21" t="str">
        <f t="shared" si="36"/>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37"/>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163</v>
      </c>
      <c r="E393" s="21" t="str">
        <f t="shared" si="36"/>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7"/>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5" spans="1:12" x14ac:dyDescent="0.3">
      <c r="A395" t="s">
        <v>352</v>
      </c>
    </row>
    <row r="396" spans="1:12" x14ac:dyDescent="0.3">
      <c r="A396" t="s">
        <v>165</v>
      </c>
      <c r="B396" s="20" t="s">
        <v>124</v>
      </c>
      <c r="C396" s="20" t="s">
        <v>153</v>
      </c>
      <c r="D396" s="20" t="s">
        <v>126</v>
      </c>
      <c r="E396" s="21" t="s">
        <v>427</v>
      </c>
      <c r="F396" s="22" t="str">
        <f>IF(OR(E396="",E396="!!!"),"",IF(NOT(ISNA(VLOOKUP(E396,E$1:E395,1,FALSE()))),"OLD",IF(AND(E396&lt;&gt;"",E396&lt;&gt;"!!!"),"NEW","")))</f>
        <v>OLD</v>
      </c>
      <c r="G396" s="23" t="s">
        <v>430</v>
      </c>
      <c r="H396" s="24" t="s">
        <v>118</v>
      </c>
      <c r="I396" s="25" t="str">
        <f>IF(OR(E396="",E396="!!!",F396="NEW"),"",INDEX(B$2:B395,-1+SUMPRODUCT(MAX(ROW(E$2:E395)*(E396=E$2:E395)))))</f>
        <v>SBJ</v>
      </c>
      <c r="J396" s="25">
        <f ca="1">IF(OR(E396="",E396="!!!",F396="NEW"),"",COUNTBLANK(OFFSET(A$1,,,SUMPRODUCT(MAX(ROW(E$2:E396)*(E396=E$2:E396)))))-COUNTBLANK(OFFSET(A$1,,,SUMPRODUCT(MAX(ROW(E$1:E395)*(E2=E$1:E395))))))</f>
        <v>0</v>
      </c>
      <c r="K396" s="25">
        <f ca="1">IF(OR(E396="",E396="!!!",F396="NEW"),"",INDEX(J$1:J395,SUMPRODUCT(MAX(ROW(E$1:E395)*(E396=E$1:E395)))))</f>
        <v>0</v>
      </c>
      <c r="L396" s="26"/>
    </row>
    <row r="397" spans="1:12" x14ac:dyDescent="0.3">
      <c r="A397" t="s">
        <v>303</v>
      </c>
      <c r="E397" s="21" t="str">
        <f t="shared" ref="E397:E418" si="38">IF(D397="?OLD","!!!","")</f>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ref="H397:H418" ca="1" si="39">IF(J397&lt;&gt;1,"",IF(I397="SBJ","CB","?"))</f>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353</v>
      </c>
      <c r="E398" s="21" t="str">
        <f t="shared" si="38"/>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9"/>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354</v>
      </c>
      <c r="E399" s="21" t="str">
        <f t="shared" si="38"/>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9"/>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355</v>
      </c>
      <c r="B400" s="20" t="s">
        <v>136</v>
      </c>
      <c r="C400" s="20" t="s">
        <v>146</v>
      </c>
      <c r="E400" s="21" t="s">
        <v>467</v>
      </c>
      <c r="F400" s="22" t="str">
        <f>IF(OR(E400="",E400="!!!"),"",IF(NOT(ISNA(VLOOKUP(E400,E$1:E399,1,FALSE()))),"OLD",IF(AND(E400&lt;&gt;"",E400&lt;&gt;"!!!"),"NEW","")))</f>
        <v>NEW</v>
      </c>
      <c r="G400" s="23" t="s">
        <v>479</v>
      </c>
      <c r="H400" s="24" t="str">
        <f t="shared" ca="1" si="39"/>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148</v>
      </c>
      <c r="E401" s="21" t="str">
        <f t="shared" si="38"/>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9"/>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350</v>
      </c>
      <c r="B402" s="20" t="s">
        <v>150</v>
      </c>
      <c r="C402" s="20" t="s">
        <v>251</v>
      </c>
      <c r="D402" s="20" t="s">
        <v>126</v>
      </c>
      <c r="E402" s="21" t="s">
        <v>467</v>
      </c>
      <c r="F402" s="22" t="s">
        <v>452</v>
      </c>
      <c r="G402" s="23" t="s">
        <v>430</v>
      </c>
      <c r="H402" s="24" t="str">
        <f t="shared" ca="1" si="39"/>
        <v/>
      </c>
      <c r="I402" s="25" t="str">
        <f>IF(OR(E402="",E402="!!!",F402="NEW"),"",INDEX(B$2:B401,-1+SUMPRODUCT(MAX(ROW(E$2:E401)*(E402=E$2:E401)))))</f>
        <v>OBJ</v>
      </c>
      <c r="J402" s="25">
        <f ca="1">IF(OR(E402="",E402="!!!",F402="NEW"),"",COUNTBLANK(OFFSET(A$1,,,SUMPRODUCT(MAX(ROW(E$2:E402)*(E402=E$2:E402)))))-COUNTBLANK(OFFSET(A$1,,,SUMPRODUCT(MAX(ROW(E$1:E401)*(E2=E$1:E401))))))</f>
        <v>0</v>
      </c>
      <c r="K402" s="25" t="str">
        <f ca="1">IF(OR(E402="",E402="!!!",F402="NEW"),"",INDEX(J$1:J401,SUMPRODUCT(MAX(ROW(E$1:E401)*(E402=E$1:E401)))))</f>
        <v/>
      </c>
      <c r="L402" s="26"/>
    </row>
    <row r="403" spans="1:12" x14ac:dyDescent="0.3">
      <c r="A403" t="s">
        <v>320</v>
      </c>
      <c r="E403" s="21" t="str">
        <f t="shared" si="38"/>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9"/>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257</v>
      </c>
      <c r="E404" s="21" t="str">
        <f t="shared" si="38"/>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9"/>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356</v>
      </c>
      <c r="E405" s="21" t="str">
        <f t="shared" si="38"/>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9"/>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321</v>
      </c>
      <c r="B406" s="20" t="s">
        <v>170</v>
      </c>
      <c r="C406" s="20" t="s">
        <v>146</v>
      </c>
      <c r="E406" s="21" t="str">
        <f t="shared" si="38"/>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9"/>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357</v>
      </c>
      <c r="E407" s="21" t="str">
        <f t="shared" si="38"/>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9"/>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188</v>
      </c>
      <c r="E408" s="21" t="str">
        <f t="shared" si="38"/>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9"/>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148</v>
      </c>
      <c r="E409" s="21" t="str">
        <f t="shared" si="38"/>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39"/>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309</v>
      </c>
      <c r="E410" s="21" t="str">
        <f t="shared" si="38"/>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39"/>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239</v>
      </c>
      <c r="E411" s="21" t="str">
        <f t="shared" si="38"/>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9"/>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358</v>
      </c>
      <c r="E412" s="21" t="str">
        <f t="shared" si="38"/>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9"/>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188</v>
      </c>
      <c r="E413" s="21" t="str">
        <f t="shared" si="38"/>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9"/>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269</v>
      </c>
      <c r="B414" s="20" t="s">
        <v>190</v>
      </c>
      <c r="C414" s="20" t="s">
        <v>153</v>
      </c>
      <c r="D414" s="20" t="s">
        <v>126</v>
      </c>
      <c r="E414" s="21" t="s">
        <v>427</v>
      </c>
      <c r="F414" s="22" t="str">
        <f>IF(OR(E414="",E414="!!!"),"",IF(NOT(ISNA(VLOOKUP(E414,E$1:E413,1,FALSE()))),"OLD",IF(AND(E414&lt;&gt;"",E414&lt;&gt;"!!!"),"NEW","")))</f>
        <v>OLD</v>
      </c>
      <c r="G414" s="23" t="s">
        <v>430</v>
      </c>
      <c r="H414" s="24" t="str">
        <f t="shared" ca="1" si="39"/>
        <v/>
      </c>
      <c r="I414" s="25" t="str">
        <f>IF(OR(E414="",E414="!!!",F414="NEW"),"",INDEX(B$2:B413,-1+SUMPRODUCT(MAX(ROW(E$2:E413)*(E414=E$2:E413)))))</f>
        <v>SBJ</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257</v>
      </c>
      <c r="E415" s="21" t="str">
        <f t="shared" si="38"/>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9"/>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359</v>
      </c>
      <c r="E416" s="21" t="str">
        <f t="shared" si="38"/>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9"/>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157</v>
      </c>
      <c r="B417" s="20" t="s">
        <v>131</v>
      </c>
      <c r="C417" s="20" t="s">
        <v>146</v>
      </c>
      <c r="E417" s="21" t="str">
        <f t="shared" si="38"/>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9"/>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163</v>
      </c>
      <c r="E418" s="21" t="str">
        <f t="shared" si="38"/>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9"/>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20" spans="1:12" x14ac:dyDescent="0.3">
      <c r="A420" t="s">
        <v>360</v>
      </c>
    </row>
    <row r="421" spans="1:12" x14ac:dyDescent="0.3">
      <c r="A421" t="s">
        <v>123</v>
      </c>
      <c r="B421" s="20" t="s">
        <v>124</v>
      </c>
      <c r="C421" s="20" t="s">
        <v>125</v>
      </c>
      <c r="D421" s="20" t="s">
        <v>126</v>
      </c>
      <c r="E421" s="21" t="s">
        <v>427</v>
      </c>
      <c r="F421" s="22" t="str">
        <f>IF(OR(E421="",E421="!!!"),"",IF(NOT(ISNA(VLOOKUP(E421,E$1:E420,1,FALSE()))),"OLD",IF(AND(E421&lt;&gt;"",E421&lt;&gt;"!!!"),"NEW","")))</f>
        <v>OLD</v>
      </c>
      <c r="G421" s="23" t="s">
        <v>430</v>
      </c>
      <c r="H421" s="24" t="s">
        <v>118</v>
      </c>
      <c r="I421" s="25" t="str">
        <f>IF(OR(E421="",E421="!!!",F421="NEW"),"",INDEX(B$2:B420,-1+SUMPRODUCT(MAX(ROW(E$2:E420)*(E421=E$2:E420)))))</f>
        <v>SBJ_2</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127</v>
      </c>
      <c r="E422" s="21" t="str">
        <f t="shared" ref="E422:E429" si="40">IF(D422="?OLD","!!!","")</f>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ref="H422:H430" ca="1" si="41">IF(J422&lt;&gt;1,"",IF(I422="SBJ","CB","?"))</f>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361</v>
      </c>
      <c r="E423" s="21" t="str">
        <f t="shared" si="40"/>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41"/>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191</v>
      </c>
      <c r="E424" s="21" t="str">
        <f t="shared" si="40"/>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41"/>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183</v>
      </c>
      <c r="B425" s="20" t="s">
        <v>136</v>
      </c>
      <c r="C425" s="20" t="s">
        <v>181</v>
      </c>
      <c r="D425" s="20" t="s">
        <v>126</v>
      </c>
      <c r="E425" s="21" t="s">
        <v>428</v>
      </c>
      <c r="F425" s="22" t="str">
        <f>IF(OR(E425="",E425="!!!"),"",IF(NOT(ISNA(VLOOKUP(E425,E$1:E424,1,FALSE()))),"OLD",IF(AND(E425&lt;&gt;"",E425&lt;&gt;"!!!"),"NEW","")))</f>
        <v>OLD</v>
      </c>
      <c r="G425" s="23" t="s">
        <v>477</v>
      </c>
      <c r="H425" s="24" t="str">
        <f t="shared" ca="1" si="41"/>
        <v/>
      </c>
      <c r="I425" s="25" t="str">
        <f>IF(OR(E425="",E425="!!!",F425="NEW"),"",INDEX(B$2:B424,-1+SUMPRODUCT(MAX(ROW(E$2:E424)*(E425=E$2:E424)))))</f>
        <v>OBJ_3</v>
      </c>
      <c r="J425" s="25">
        <f ca="1">IF(OR(E425="",E425="!!!",F425="NEW"),"",COUNTBLANK(OFFSET(A$1,,,SUMPRODUCT(MAX(ROW(E$2:E425)*(E425=E$2:E425)))))-COUNTBLANK(OFFSET(A$1,,,SUMPRODUCT(MAX(ROW(E$1:E424)*(E2=E$1:E424))))))</f>
        <v>0</v>
      </c>
      <c r="K425" s="25">
        <f ca="1">IF(OR(E425="",E425="!!!",F425="NEW"),"",INDEX(J$1:J424,SUMPRODUCT(MAX(ROW(E$1:E424)*(E425=E$1:E424)))))</f>
        <v>0</v>
      </c>
      <c r="L425" s="26"/>
    </row>
    <row r="426" spans="1:12" x14ac:dyDescent="0.3">
      <c r="A426" t="s">
        <v>177</v>
      </c>
      <c r="E426" s="21" t="str">
        <f t="shared" si="40"/>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41"/>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144</v>
      </c>
      <c r="E427" s="21" t="str">
        <f t="shared" si="40"/>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41"/>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362</v>
      </c>
      <c r="E428" s="21" t="str">
        <f t="shared" si="40"/>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41"/>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363</v>
      </c>
      <c r="B429" s="20" t="s">
        <v>131</v>
      </c>
      <c r="C429" s="20" t="s">
        <v>146</v>
      </c>
      <c r="E429" s="21" t="str">
        <f t="shared" si="40"/>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41"/>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364</v>
      </c>
      <c r="B430" s="20" t="s">
        <v>147</v>
      </c>
      <c r="C430" s="20" t="s">
        <v>125</v>
      </c>
      <c r="D430" s="20" t="s">
        <v>126</v>
      </c>
      <c r="E430" s="21" t="s">
        <v>468</v>
      </c>
      <c r="F430" s="22" t="str">
        <f>IF(OR(E430="",E430="!!!"),"",IF(NOT(ISNA(VLOOKUP(E430,E$1:E429,1,FALSE()))),"OLD",IF(AND(E430&lt;&gt;"",E430&lt;&gt;"!!!"),"NEW","")))</f>
        <v>NEW</v>
      </c>
      <c r="G430" s="23" t="s">
        <v>479</v>
      </c>
      <c r="H430" s="24" t="str">
        <f t="shared" ca="1" si="41"/>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t="s">
        <v>482</v>
      </c>
    </row>
    <row r="432" spans="1:12" x14ac:dyDescent="0.3">
      <c r="A432" t="s">
        <v>365</v>
      </c>
    </row>
    <row r="433" spans="1:12" x14ac:dyDescent="0.3">
      <c r="A433" t="s">
        <v>366</v>
      </c>
      <c r="E433" s="21" t="str">
        <f t="shared" ref="E433:E451" si="42">IF(D433="?OLD","!!!","")</f>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ref="H433:H451" ca="1" si="43">IF(J433&lt;&gt;1,"",IF(I433="SBJ","CB","?"))</f>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363</v>
      </c>
      <c r="B434" s="20" t="s">
        <v>147</v>
      </c>
      <c r="C434" s="20" t="s">
        <v>125</v>
      </c>
      <c r="D434" s="20" t="s">
        <v>126</v>
      </c>
      <c r="E434" s="21"/>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43"/>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367</v>
      </c>
      <c r="B435" s="20" t="s">
        <v>124</v>
      </c>
      <c r="C435" s="20" t="s">
        <v>125</v>
      </c>
      <c r="D435" s="20" t="s">
        <v>126</v>
      </c>
      <c r="E435" s="21"/>
      <c r="F435" s="22" t="s">
        <v>432</v>
      </c>
      <c r="G435" s="23" t="str">
        <f>IF(OR(E435="",E435="!!!"),"",IF(OR(J435=0,AND(J435=1,K435=1),AND(J435=1,I435="SBJ"),AND(J435=1,I435=0)),"?IN_FOCUS",IF(J435&lt;=2,"?ACTIVATED",IF(J435&lt;&gt;"","?FAMILIAR",IF(F435="NEW",IF(ISNA(VLOOKUP(E435,#REF!,1,FALSE())),"?TYPE_IDENTIFIABLE","?REFERENTIAL"),"_")))))</f>
        <v/>
      </c>
      <c r="H435" s="24" t="str">
        <f t="shared" ca="1" si="43"/>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368</v>
      </c>
      <c r="B436" s="20" t="s">
        <v>170</v>
      </c>
      <c r="C436" s="20" t="s">
        <v>223</v>
      </c>
      <c r="E436" s="21" t="str">
        <f t="shared" si="42"/>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43"/>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363</v>
      </c>
      <c r="B437" s="20" t="s">
        <v>147</v>
      </c>
      <c r="C437" s="20" t="s">
        <v>125</v>
      </c>
      <c r="D437" s="20" t="s">
        <v>126</v>
      </c>
      <c r="E437" s="21"/>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43"/>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369</v>
      </c>
      <c r="E438" s="21" t="str">
        <f t="shared" si="42"/>
        <v/>
      </c>
      <c r="F438" s="22" t="s">
        <v>432</v>
      </c>
      <c r="G438" s="23" t="str">
        <f>IF(OR(E438="",E438="!!!"),"",IF(OR(J438=0,AND(J438=1,K438=1),AND(J438=1,I438="SBJ"),AND(J438=1,I438=0)),"?IN_FOCUS",IF(J438&lt;=2,"?ACTIVATED",IF(J438&lt;&gt;"","?FAMILIAR",IF(F438="NEW",IF(ISNA(VLOOKUP(E438,#REF!,1,FALSE())),"?TYPE_IDENTIFIABLE","?REFERENTIAL"),"_")))))</f>
        <v/>
      </c>
      <c r="H438" s="24" t="str">
        <f t="shared" ca="1" si="43"/>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t="s">
        <v>445</v>
      </c>
    </row>
    <row r="439" spans="1:12" x14ac:dyDescent="0.3">
      <c r="A439" t="s">
        <v>148</v>
      </c>
      <c r="E439" s="21" t="str">
        <f t="shared" si="42"/>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43"/>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123</v>
      </c>
      <c r="B440" s="20" t="s">
        <v>170</v>
      </c>
      <c r="C440" s="20" t="s">
        <v>125</v>
      </c>
      <c r="D440" s="20" t="s">
        <v>126</v>
      </c>
      <c r="E440" s="21" t="s">
        <v>427</v>
      </c>
      <c r="F440" s="22" t="str">
        <f>IF(OR(E440="",E440="!!!"),"",IF(NOT(ISNA(VLOOKUP(E440,E$1:E439,1,FALSE()))),"OLD",IF(AND(E440&lt;&gt;"",E440&lt;&gt;"!!!"),"NEW","")))</f>
        <v>OLD</v>
      </c>
      <c r="G440" s="23" t="s">
        <v>430</v>
      </c>
      <c r="H440" s="24" t="s">
        <v>118</v>
      </c>
      <c r="I440" s="25" t="str">
        <f>IF(OR(E440="",E440="!!!",F440="NEW"),"",INDEX(B$2:B439,-1+SUMPRODUCT(MAX(ROW(E$2:E439)*(E440=E$2:E439)))))</f>
        <v>SBJ</v>
      </c>
      <c r="J440" s="25">
        <f ca="1">IF(OR(E440="",E440="!!!",F440="NEW"),"",COUNTBLANK(OFFSET(A$1,,,SUMPRODUCT(MAX(ROW(E$2:E440)*(E440=E$2:E440)))))-COUNTBLANK(OFFSET(A$1,,,SUMPRODUCT(MAX(ROW(E$1:E439)*(E2=E$1:E439))))))</f>
        <v>0</v>
      </c>
      <c r="K440" s="25">
        <f ca="1">IF(OR(E440="",E440="!!!",F440="NEW"),"",INDEX(J$1:J439,SUMPRODUCT(MAX(ROW(E$1:E439)*(E440=E$1:E439)))))</f>
        <v>0</v>
      </c>
      <c r="L440" s="26"/>
    </row>
    <row r="441" spans="1:12" x14ac:dyDescent="0.3">
      <c r="A441" t="s">
        <v>127</v>
      </c>
      <c r="E441" s="21" t="str">
        <f t="shared" si="42"/>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43"/>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188</v>
      </c>
      <c r="E442" s="21" t="str">
        <f t="shared" si="42"/>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43"/>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327</v>
      </c>
      <c r="E443" s="21" t="str">
        <f t="shared" si="42"/>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43"/>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370</v>
      </c>
      <c r="E444" s="21" t="str">
        <f t="shared" si="42"/>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43"/>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371</v>
      </c>
      <c r="B445" s="20" t="s">
        <v>131</v>
      </c>
      <c r="C445" s="20" t="s">
        <v>225</v>
      </c>
      <c r="E445" s="21" t="str">
        <f t="shared" si="42"/>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43"/>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372</v>
      </c>
      <c r="E446" s="21" t="str">
        <f t="shared" si="42"/>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43"/>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373</v>
      </c>
      <c r="B447" s="20" t="s">
        <v>131</v>
      </c>
      <c r="C447" s="20" t="s">
        <v>181</v>
      </c>
      <c r="D447" s="20" t="s">
        <v>126</v>
      </c>
      <c r="E447" s="21"/>
      <c r="F447" s="22" t="s">
        <v>433</v>
      </c>
      <c r="G447" s="23" t="str">
        <f>IF(OR(E447="",E447="!!!"),"",IF(OR(J447=0,AND(J447=1,K447=1),AND(J447=1,I447="SBJ"),AND(J447=1,I447=0)),"?IN_FOCUS",IF(J447&lt;=2,"?ACTIVATED",IF(J447&lt;&gt;"","?FAMILIAR",IF(F447="NEW",IF(ISNA(VLOOKUP(E447,#REF!,1,FALSE())),"?TYPE_IDENTIFIABLE","?REFERENTIAL"),"_")))))</f>
        <v/>
      </c>
      <c r="H447" s="24" t="str">
        <f t="shared" ca="1" si="43"/>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374</v>
      </c>
      <c r="E448" s="21" t="str">
        <f t="shared" si="42"/>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3"/>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162</v>
      </c>
      <c r="E449" s="21" t="str">
        <f t="shared" si="42"/>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3"/>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375</v>
      </c>
      <c r="B450" s="20" t="s">
        <v>131</v>
      </c>
      <c r="C450" s="20" t="s">
        <v>181</v>
      </c>
      <c r="D450" s="20" t="s">
        <v>126</v>
      </c>
      <c r="E450" s="21" t="s">
        <v>470</v>
      </c>
      <c r="F450" s="22" t="s">
        <v>466</v>
      </c>
      <c r="G450" s="23" t="s">
        <v>477</v>
      </c>
      <c r="H450" s="24" t="str">
        <f t="shared" ca="1" si="43"/>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t="s">
        <v>469</v>
      </c>
    </row>
    <row r="451" spans="1:12" x14ac:dyDescent="0.3">
      <c r="A451" t="s">
        <v>163</v>
      </c>
      <c r="E451" s="21" t="str">
        <f t="shared" si="42"/>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43"/>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3" spans="1:12" x14ac:dyDescent="0.3">
      <c r="A453" t="s">
        <v>376</v>
      </c>
    </row>
    <row r="454" spans="1:12" x14ac:dyDescent="0.3">
      <c r="A454" t="s">
        <v>221</v>
      </c>
      <c r="B454" s="20" t="s">
        <v>124</v>
      </c>
      <c r="C454" s="20" t="s">
        <v>153</v>
      </c>
      <c r="D454" s="20" t="s">
        <v>126</v>
      </c>
      <c r="E454" s="21" t="s">
        <v>444</v>
      </c>
      <c r="F454" s="22" t="str">
        <f>IF(OR(E454="",E454="!!!"),"",IF(NOT(ISNA(VLOOKUP(E454,E$1:E453,1,FALSE()))),"OLD",IF(AND(E454&lt;&gt;"",E454&lt;&gt;"!!!"),"NEW","")))</f>
        <v>OLD</v>
      </c>
      <c r="G454" s="23" t="s">
        <v>477</v>
      </c>
      <c r="H454" s="24" t="str">
        <f ca="1">IF(J454&lt;&gt;1,"",IF(I454="SBJ","CB","?"))</f>
        <v/>
      </c>
      <c r="I454" s="25" t="str">
        <f>IF(OR(E454="",E454="!!!",F454="NEW"),"",INDEX(B$2:B453,-1+SUMPRODUCT(MAX(ROW(E$2:E453)*(E454=E$2:E453)))))</f>
        <v>other_2</v>
      </c>
      <c r="J454" s="25">
        <f ca="1">IF(OR(E454="",E454="!!!",F454="NEW"),"",COUNTBLANK(OFFSET(A$1,,,SUMPRODUCT(MAX(ROW(E$2:E454)*(E454=E$2:E454)))))-COUNTBLANK(OFFSET(A$1,,,SUMPRODUCT(MAX(ROW(E$1:E453)*(E2=E$1:E453))))))</f>
        <v>0</v>
      </c>
      <c r="K454" s="25" t="str">
        <f ca="1">IF(OR(E454="",E454="!!!",F454="NEW"),"",INDEX(J$1:J453,SUMPRODUCT(MAX(ROW(E$1:E453)*(E454=E$1:E453)))))</f>
        <v/>
      </c>
      <c r="L454" s="26"/>
    </row>
    <row r="455" spans="1:12" x14ac:dyDescent="0.3">
      <c r="A455" t="s">
        <v>377</v>
      </c>
      <c r="E455" s="21" t="str">
        <f>IF(D455="?OLD","!!!","")</f>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ca="1">IF(J455&lt;&gt;1,"",IF(I455="SBJ","CB","?"))</f>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378</v>
      </c>
      <c r="E456" s="21" t="str">
        <f>IF(D456="?OLD","!!!","")</f>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ca="1">IF(J456&lt;&gt;1,"",IF(I456="SBJ","CB","?"))</f>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163</v>
      </c>
      <c r="E457" s="21" t="str">
        <f>IF(D457="?OLD","!!!","")</f>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ca="1">IF(J457&lt;&gt;1,"",IF(I457="SBJ","CB","?"))</f>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9" spans="1:12" x14ac:dyDescent="0.3">
      <c r="A459" t="s">
        <v>209</v>
      </c>
      <c r="E459" s="21" t="str">
        <f>IF(D459="?OLD","!!!","")</f>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ca="1">IF(J459&lt;&gt;1,"",IF(I459="SBJ","CB","?"))</f>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379</v>
      </c>
    </row>
    <row r="461" spans="1:12" x14ac:dyDescent="0.3">
      <c r="A461" t="s">
        <v>380</v>
      </c>
      <c r="E461" s="21" t="str">
        <f t="shared" ref="E461:E488" si="44">IF(D461="?OLD","!!!","")</f>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ref="H461:H488" ca="1" si="45">IF(J461&lt;&gt;1,"",IF(I461="SBJ","CB","?"))</f>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381</v>
      </c>
      <c r="E462" s="21" t="str">
        <f t="shared" si="44"/>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45"/>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101</v>
      </c>
      <c r="B463" s="20" t="s">
        <v>131</v>
      </c>
      <c r="C463" s="20" t="s">
        <v>146</v>
      </c>
      <c r="E463" s="21" t="str">
        <f t="shared" si="44"/>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5"/>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159</v>
      </c>
      <c r="E464" s="21" t="str">
        <f t="shared" si="44"/>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45"/>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382</v>
      </c>
      <c r="B465" s="20" t="s">
        <v>131</v>
      </c>
      <c r="C465" s="20" t="s">
        <v>132</v>
      </c>
      <c r="E465" s="21" t="str">
        <f t="shared" si="44"/>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45"/>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148</v>
      </c>
      <c r="E466" s="21" t="str">
        <f t="shared" si="44"/>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45"/>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383</v>
      </c>
      <c r="E467" s="21" t="str">
        <f t="shared" si="44"/>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45"/>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174</v>
      </c>
      <c r="E468" s="21" t="s">
        <v>427</v>
      </c>
      <c r="F468" s="22" t="str">
        <f>IF(OR(E468="",E468="!!!"),"",IF(NOT(ISNA(VLOOKUP(E468,E$1:E467,1,FALSE()))),"OLD",IF(AND(E468&lt;&gt;"",E468&lt;&gt;"!!!"),"NEW","")))</f>
        <v>OLD</v>
      </c>
      <c r="G468" s="23" t="s">
        <v>430</v>
      </c>
      <c r="H468" s="24" t="s">
        <v>118</v>
      </c>
      <c r="I468" s="25" t="str">
        <f>IF(OR(E468="",E468="!!!",F468="NEW"),"",INDEX(B$2:B467,-1+SUMPRODUCT(MAX(ROW(E$2:E467)*(E468=E$2:E467)))))</f>
        <v>other_3</v>
      </c>
      <c r="J468" s="25">
        <f ca="1">IF(OR(E468="",E468="!!!",F468="NEW"),"",COUNTBLANK(OFFSET(A$1,,,SUMPRODUCT(MAX(ROW(E$2:E468)*(E468=E$2:E468)))))-COUNTBLANK(OFFSET(A$1,,,SUMPRODUCT(MAX(ROW(E$1:E467)*(E2=E$1:E467))))))</f>
        <v>0</v>
      </c>
      <c r="K468" s="25">
        <f ca="1">IF(OR(E468="",E468="!!!",F468="NEW"),"",INDEX(J$1:J467,SUMPRODUCT(MAX(ROW(E$1:E467)*(E468=E$1:E467)))))</f>
        <v>0</v>
      </c>
      <c r="L468" s="26" t="s">
        <v>437</v>
      </c>
    </row>
    <row r="469" spans="1:12" x14ac:dyDescent="0.3">
      <c r="A469" t="s">
        <v>384</v>
      </c>
      <c r="E469" s="21" t="str">
        <f t="shared" si="44"/>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5"/>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220</v>
      </c>
      <c r="E470" s="21" t="str">
        <f t="shared" si="44"/>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5"/>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385</v>
      </c>
      <c r="B471" s="20" t="s">
        <v>147</v>
      </c>
      <c r="C471" s="20" t="s">
        <v>125</v>
      </c>
      <c r="D471" s="20" t="s">
        <v>126</v>
      </c>
      <c r="E471" s="21" t="s">
        <v>471</v>
      </c>
      <c r="F471" s="22" t="str">
        <f>IF(OR(E471="",E471="!!!"),"",IF(NOT(ISNA(VLOOKUP(E471,E$1:E470,1,FALSE()))),"OLD",IF(AND(E471&lt;&gt;"",E471&lt;&gt;"!!!"),"NEW","")))</f>
        <v>NEW</v>
      </c>
      <c r="G471" s="23" t="s">
        <v>479</v>
      </c>
      <c r="H471" s="24" t="str">
        <f t="shared" ca="1" si="45"/>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386</v>
      </c>
      <c r="E472" s="21" t="str">
        <f t="shared" si="44"/>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45"/>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220</v>
      </c>
      <c r="E473" s="21" t="str">
        <f t="shared" si="44"/>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5"/>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387</v>
      </c>
      <c r="E474" s="21" t="str">
        <f t="shared" si="44"/>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5"/>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193</v>
      </c>
      <c r="E475" s="21" t="str">
        <f t="shared" si="44"/>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5"/>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256</v>
      </c>
      <c r="B476" s="20" t="s">
        <v>147</v>
      </c>
      <c r="C476" s="20" t="s">
        <v>125</v>
      </c>
      <c r="D476" s="20" t="s">
        <v>126</v>
      </c>
      <c r="E476" s="21" t="s">
        <v>472</v>
      </c>
      <c r="F476" s="22" t="str">
        <f>IF(OR(E476="",E476="!!!"),"",IF(NOT(ISNA(VLOOKUP(E476,E$1:E475,1,FALSE()))),"OLD",IF(AND(E476&lt;&gt;"",E476&lt;&gt;"!!!"),"NEW","")))</f>
        <v>NEW</v>
      </c>
      <c r="G476" s="23" t="s">
        <v>477</v>
      </c>
      <c r="H476" s="24" t="str">
        <f t="shared" ca="1" si="45"/>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148</v>
      </c>
      <c r="E477" s="21" t="str">
        <f t="shared" si="44"/>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5"/>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309</v>
      </c>
      <c r="E478" s="21" t="str">
        <f t="shared" si="44"/>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45"/>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269</v>
      </c>
      <c r="B479" s="20" t="s">
        <v>190</v>
      </c>
      <c r="C479" s="20" t="s">
        <v>153</v>
      </c>
      <c r="D479" s="20" t="s">
        <v>126</v>
      </c>
      <c r="E479" s="21" t="s">
        <v>427</v>
      </c>
      <c r="F479" s="22" t="str">
        <f>IF(OR(E479="",E479="!!!"),"",IF(NOT(ISNA(VLOOKUP(E479,E$1:E478,1,FALSE()))),"OLD",IF(AND(E479&lt;&gt;"",E479&lt;&gt;"!!!"),"NEW","")))</f>
        <v>OLD</v>
      </c>
      <c r="G479" s="23" t="s">
        <v>430</v>
      </c>
      <c r="H479" s="24" t="str">
        <f t="shared" ca="1" si="45"/>
        <v/>
      </c>
      <c r="I479" s="25">
        <f>IF(OR(E479="",E479="!!!",F479="NEW"),"",INDEX(B$2:B478,-1+SUMPRODUCT(MAX(ROW(E$2:E478)*(E479=E$2:E478)))))</f>
        <v>0</v>
      </c>
      <c r="J479" s="25">
        <f ca="1">IF(OR(E479="",E479="!!!",F479="NEW"),"",COUNTBLANK(OFFSET(A$1,,,SUMPRODUCT(MAX(ROW(E$2:E479)*(E479=E$2:E479)))))-COUNTBLANK(OFFSET(A$1,,,SUMPRODUCT(MAX(ROW(E$1:E478)*(E2=E$1:E478))))))</f>
        <v>0</v>
      </c>
      <c r="K479" s="25">
        <f ca="1">IF(OR(E479="",E479="!!!",F479="NEW"),"",INDEX(J$1:J478,SUMPRODUCT(MAX(ROW(E$1:E478)*(E479=E$1:E478)))))</f>
        <v>0</v>
      </c>
      <c r="L479" s="26"/>
    </row>
    <row r="480" spans="1:12" x14ac:dyDescent="0.3">
      <c r="A480" t="s">
        <v>388</v>
      </c>
      <c r="E480" s="21" t="str">
        <f t="shared" si="44"/>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5"/>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235</v>
      </c>
      <c r="E481" s="21" t="str">
        <f t="shared" si="44"/>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5"/>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182</v>
      </c>
      <c r="E482" s="21" t="str">
        <f t="shared" si="44"/>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45"/>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389</v>
      </c>
      <c r="B483" s="20" t="s">
        <v>192</v>
      </c>
      <c r="C483" s="20" t="s">
        <v>146</v>
      </c>
      <c r="E483" s="21" t="str">
        <f t="shared" si="44"/>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5"/>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206</v>
      </c>
      <c r="E484" s="21" t="str">
        <f t="shared" si="44"/>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45"/>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390</v>
      </c>
      <c r="E485" s="21" t="str">
        <f t="shared" si="44"/>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45"/>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257</v>
      </c>
      <c r="E486" s="21" t="str">
        <f t="shared" si="44"/>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45"/>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391</v>
      </c>
      <c r="B487" s="20" t="s">
        <v>152</v>
      </c>
      <c r="C487" s="20" t="s">
        <v>146</v>
      </c>
      <c r="E487" s="21" t="str">
        <f t="shared" si="44"/>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45"/>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163</v>
      </c>
      <c r="E488" s="21" t="str">
        <f t="shared" si="44"/>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5"/>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90" spans="1:12" x14ac:dyDescent="0.3">
      <c r="A490" t="s">
        <v>392</v>
      </c>
    </row>
    <row r="491" spans="1:12" x14ac:dyDescent="0.3">
      <c r="A491" t="s">
        <v>393</v>
      </c>
      <c r="E491" s="21" t="str">
        <f t="shared" ref="E491:E525" si="46">IF(D491="?OLD","!!!","")</f>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ref="H491:H525" ca="1" si="47">IF(J491&lt;&gt;1,"",IF(I491="SBJ","CB","?"))</f>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394</v>
      </c>
      <c r="E492" s="21" t="str">
        <f t="shared" si="46"/>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47"/>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247</v>
      </c>
      <c r="B493" s="20" t="s">
        <v>131</v>
      </c>
      <c r="C493" s="20" t="s">
        <v>225</v>
      </c>
      <c r="E493" s="21" t="str">
        <f t="shared" si="46"/>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7"/>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292</v>
      </c>
      <c r="E494" s="21" t="str">
        <f t="shared" si="46"/>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7"/>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269</v>
      </c>
      <c r="B495" s="20" t="s">
        <v>124</v>
      </c>
      <c r="C495" s="20" t="s">
        <v>153</v>
      </c>
      <c r="D495" s="20" t="s">
        <v>126</v>
      </c>
      <c r="E495" s="21" t="s">
        <v>427</v>
      </c>
      <c r="F495" s="22" t="str">
        <f>IF(OR(E495="",E495="!!!"),"",IF(NOT(ISNA(VLOOKUP(E495,E$1:E494,1,FALSE()))),"OLD",IF(AND(E495&lt;&gt;"",E495&lt;&gt;"!!!"),"NEW","")))</f>
        <v>OLD</v>
      </c>
      <c r="G495" s="23" t="s">
        <v>430</v>
      </c>
      <c r="H495" s="24" t="s">
        <v>118</v>
      </c>
      <c r="I495" s="25" t="str">
        <f>IF(OR(E495="",E495="!!!",F495="NEW"),"",INDEX(B$2:B494,-1+SUMPRODUCT(MAX(ROW(E$2:E494)*(E495=E$2:E494)))))</f>
        <v>SBJ_2</v>
      </c>
      <c r="J495" s="25">
        <f ca="1">IF(OR(E495="",E495="!!!",F495="NEW"),"",COUNTBLANK(OFFSET(A$1,,,SUMPRODUCT(MAX(ROW(E$2:E495)*(E495=E$2:E495)))))-COUNTBLANK(OFFSET(A$1,,,SUMPRODUCT(MAX(ROW(E$1:E494)*(E2=E$1:E494))))))</f>
        <v>0</v>
      </c>
      <c r="K495" s="25">
        <f ca="1">IF(OR(E495="",E495="!!!",F495="NEW"),"",INDEX(J$1:J494,SUMPRODUCT(MAX(ROW(E$1:E494)*(E495=E$1:E494)))))</f>
        <v>0</v>
      </c>
      <c r="L495" s="26"/>
    </row>
    <row r="496" spans="1:12" x14ac:dyDescent="0.3">
      <c r="A496" t="s">
        <v>395</v>
      </c>
      <c r="E496" s="21" t="str">
        <f t="shared" si="46"/>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7"/>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396</v>
      </c>
      <c r="B497" s="20" t="s">
        <v>136</v>
      </c>
      <c r="C497" s="20" t="s">
        <v>132</v>
      </c>
      <c r="E497" s="21" t="str">
        <f t="shared" si="46"/>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7"/>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148</v>
      </c>
      <c r="E498" s="21" t="str">
        <f t="shared" si="46"/>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7"/>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268</v>
      </c>
      <c r="E499" s="21" t="str">
        <f t="shared" si="46"/>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7"/>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269</v>
      </c>
      <c r="B500" s="20" t="s">
        <v>190</v>
      </c>
      <c r="C500" s="20" t="s">
        <v>153</v>
      </c>
      <c r="D500" s="20" t="s">
        <v>126</v>
      </c>
      <c r="E500" s="21" t="s">
        <v>427</v>
      </c>
      <c r="F500" s="22" t="str">
        <f>IF(OR(E500="",E500="!!!"),"",IF(NOT(ISNA(VLOOKUP(E500,E$1:E499,1,FALSE()))),"OLD",IF(AND(E500&lt;&gt;"",E500&lt;&gt;"!!!"),"NEW","")))</f>
        <v>OLD</v>
      </c>
      <c r="G500" s="23" t="s">
        <v>430</v>
      </c>
      <c r="H500" s="24" t="str">
        <f t="shared" ca="1" si="47"/>
        <v/>
      </c>
      <c r="I500" s="25" t="str">
        <f>IF(OR(E500="",E500="!!!",F500="NEW"),"",INDEX(B$2:B499,-1+SUMPRODUCT(MAX(ROW(E$2:E499)*(E500=E$2:E499)))))</f>
        <v>SBJ</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168</v>
      </c>
      <c r="E501" s="21" t="str">
        <f t="shared" si="46"/>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7"/>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174</v>
      </c>
      <c r="E502" s="21" t="s">
        <v>427</v>
      </c>
      <c r="F502" s="22" t="str">
        <f>IF(OR(E502="",E502="!!!"),"",IF(NOT(ISNA(VLOOKUP(E502,E$1:E501,1,FALSE()))),"OLD",IF(AND(E502&lt;&gt;"",E502&lt;&gt;"!!!"),"NEW","")))</f>
        <v>OLD</v>
      </c>
      <c r="G502" s="23" t="s">
        <v>430</v>
      </c>
      <c r="H502" s="24" t="str">
        <f t="shared" ca="1" si="47"/>
        <v/>
      </c>
      <c r="I502" s="25" t="str">
        <f>IF(OR(E502="",E502="!!!",F502="NEW"),"",INDEX(B$2:B501,-1+SUMPRODUCT(MAX(ROW(E$2:E501)*(E502=E$2:E501)))))</f>
        <v>SBJ_2</v>
      </c>
      <c r="J502" s="25">
        <f ca="1">IF(OR(E502="",E502="!!!",F502="NEW"),"",COUNTBLANK(OFFSET(A$1,,,SUMPRODUCT(MAX(ROW(E$2:E502)*(E502=E$2:E502)))))-COUNTBLANK(OFFSET(A$1,,,SUMPRODUCT(MAX(ROW(E$1:E501)*(E2=E$1:E501))))))</f>
        <v>0</v>
      </c>
      <c r="K502" s="25">
        <f ca="1">IF(OR(E502="",E502="!!!",F502="NEW"),"",INDEX(J$1:J501,SUMPRODUCT(MAX(ROW(E$1:E501)*(E502=E$1:E501)))))</f>
        <v>0</v>
      </c>
      <c r="L502" s="26" t="s">
        <v>437</v>
      </c>
    </row>
    <row r="503" spans="1:12" x14ac:dyDescent="0.3">
      <c r="A503" t="s">
        <v>397</v>
      </c>
      <c r="E503" s="21" t="str">
        <f t="shared" si="46"/>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7"/>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398</v>
      </c>
      <c r="B504" s="20" t="s">
        <v>147</v>
      </c>
      <c r="C504" s="20" t="s">
        <v>137</v>
      </c>
      <c r="E504" s="21" t="s">
        <v>473</v>
      </c>
      <c r="F504" s="22" t="str">
        <f>IF(OR(E504="",E504="!!!"),"",IF(NOT(ISNA(VLOOKUP(E504,E$1:E503,1,FALSE()))),"OLD",IF(AND(E504&lt;&gt;"",E504&lt;&gt;"!!!"),"NEW","")))</f>
        <v>NEW</v>
      </c>
      <c r="G504" s="23" t="s">
        <v>479</v>
      </c>
      <c r="H504" s="24" t="str">
        <f t="shared" ca="1" si="47"/>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399</v>
      </c>
      <c r="E505" s="21" t="str">
        <f t="shared" si="46"/>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7"/>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148</v>
      </c>
      <c r="E506" s="21" t="str">
        <f t="shared" si="46"/>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7"/>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309</v>
      </c>
      <c r="E507" s="21" t="str">
        <f t="shared" si="46"/>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7"/>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269</v>
      </c>
      <c r="B508" s="20" t="s">
        <v>150</v>
      </c>
      <c r="C508" s="20" t="s">
        <v>153</v>
      </c>
      <c r="D508" s="20" t="s">
        <v>126</v>
      </c>
      <c r="E508" s="21" t="s">
        <v>427</v>
      </c>
      <c r="F508" s="22" t="str">
        <f>IF(OR(E508="",E508="!!!"),"",IF(NOT(ISNA(VLOOKUP(E508,E$1:E507,1,FALSE()))),"OLD",IF(AND(E508&lt;&gt;"",E508&lt;&gt;"!!!"),"NEW","")))</f>
        <v>OLD</v>
      </c>
      <c r="G508" s="23" t="s">
        <v>430</v>
      </c>
      <c r="H508" s="24" t="str">
        <f t="shared" ca="1" si="47"/>
        <v/>
      </c>
      <c r="I508" s="25">
        <f>IF(OR(E508="",E508="!!!",F508="NEW"),"",INDEX(B$2:B507,-1+SUMPRODUCT(MAX(ROW(E$2:E507)*(E508=E$2:E507)))))</f>
        <v>0</v>
      </c>
      <c r="J508" s="25">
        <f ca="1">IF(OR(E508="",E508="!!!",F508="NEW"),"",COUNTBLANK(OFFSET(A$1,,,SUMPRODUCT(MAX(ROW(E$2:E508)*(E508=E$2:E508)))))-COUNTBLANK(OFFSET(A$1,,,SUMPRODUCT(MAX(ROW(E$1:E507)*(E2=E$1:E507))))))</f>
        <v>0</v>
      </c>
      <c r="K508" s="25">
        <f ca="1">IF(OR(E508="",E508="!!!",F508="NEW"),"",INDEX(J$1:J507,SUMPRODUCT(MAX(ROW(E$1:E507)*(E508=E$1:E507)))))</f>
        <v>0</v>
      </c>
      <c r="L508" s="26"/>
    </row>
    <row r="509" spans="1:12" x14ac:dyDescent="0.3">
      <c r="A509" t="s">
        <v>400</v>
      </c>
      <c r="E509" s="21" t="str">
        <f t="shared" si="46"/>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47"/>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353</v>
      </c>
      <c r="E510" s="21" t="str">
        <f t="shared" si="46"/>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7"/>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401</v>
      </c>
      <c r="E511" s="21" t="str">
        <f t="shared" si="46"/>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7"/>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402</v>
      </c>
      <c r="E512" s="21" t="str">
        <f t="shared" si="46"/>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7"/>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403</v>
      </c>
      <c r="B513" s="20" t="s">
        <v>152</v>
      </c>
      <c r="C513" s="20" t="s">
        <v>146</v>
      </c>
      <c r="E513" s="21" t="str">
        <f t="shared" si="46"/>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47"/>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148</v>
      </c>
      <c r="E514" s="21" t="str">
        <f t="shared" si="46"/>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47"/>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404</v>
      </c>
      <c r="E515" s="21" t="str">
        <f t="shared" si="46"/>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7"/>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133</v>
      </c>
      <c r="E516" s="21" t="s">
        <v>427</v>
      </c>
      <c r="F516" s="22" t="str">
        <f>IF(OR(E516="",E516="!!!"),"",IF(NOT(ISNA(VLOOKUP(E516,E$1:E515,1,FALSE()))),"OLD",IF(AND(E516&lt;&gt;"",E516&lt;&gt;"!!!"),"NEW","")))</f>
        <v>OLD</v>
      </c>
      <c r="G516" s="23" t="s">
        <v>430</v>
      </c>
      <c r="H516" s="24" t="str">
        <f t="shared" ca="1" si="47"/>
        <v/>
      </c>
      <c r="I516" s="25" t="str">
        <f>IF(OR(E516="",E516="!!!",F516="NEW"),"",INDEX(B$2:B515,-1+SUMPRODUCT(MAX(ROW(E$2:E515)*(E516=E$2:E515)))))</f>
        <v>SBJ_3</v>
      </c>
      <c r="J516" s="25">
        <f ca="1">IF(OR(E516="",E516="!!!",F516="NEW"),"",COUNTBLANK(OFFSET(A$1,,,SUMPRODUCT(MAX(ROW(E$2:E516)*(E516=E$2:E516)))))-COUNTBLANK(OFFSET(A$1,,,SUMPRODUCT(MAX(ROW(E$1:E515)*(E2=E$1:E515))))))</f>
        <v>0</v>
      </c>
      <c r="K516" s="25">
        <f ca="1">IF(OR(E516="",E516="!!!",F516="NEW"),"",INDEX(J$1:J515,SUMPRODUCT(MAX(ROW(E$1:E515)*(E516=E$1:E515)))))</f>
        <v>0</v>
      </c>
      <c r="L516" s="26" t="s">
        <v>437</v>
      </c>
    </row>
    <row r="517" spans="1:12" x14ac:dyDescent="0.3">
      <c r="A517" t="s">
        <v>405</v>
      </c>
      <c r="B517" s="20" t="s">
        <v>406</v>
      </c>
      <c r="C517" s="20" t="s">
        <v>137</v>
      </c>
      <c r="E517" s="21" t="s">
        <v>474</v>
      </c>
      <c r="F517" s="22" t="str">
        <f>IF(OR(E517="",E517="!!!"),"",IF(NOT(ISNA(VLOOKUP(E517,E$1:E516,1,FALSE()))),"OLD",IF(AND(E517&lt;&gt;"",E517&lt;&gt;"!!!"),"NEW","")))</f>
        <v>NEW</v>
      </c>
      <c r="G517" s="23" t="s">
        <v>479</v>
      </c>
      <c r="H517" s="24" t="str">
        <f t="shared" ca="1" si="47"/>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368</v>
      </c>
      <c r="E518" s="21" t="str">
        <f t="shared" si="46"/>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7"/>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407</v>
      </c>
      <c r="E519" s="21" t="str">
        <f t="shared" si="46"/>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7"/>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206</v>
      </c>
      <c r="E520" s="21" t="str">
        <f t="shared" si="46"/>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7"/>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368</v>
      </c>
      <c r="B521" s="20" t="s">
        <v>408</v>
      </c>
      <c r="C521" s="20" t="s">
        <v>223</v>
      </c>
      <c r="E521" s="21" t="str">
        <f t="shared" si="46"/>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7"/>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174</v>
      </c>
      <c r="E522" s="21" t="s">
        <v>427</v>
      </c>
      <c r="F522" s="22" t="str">
        <f>IF(OR(E522="",E522="!!!"),"",IF(NOT(ISNA(VLOOKUP(E522,E$1:E521,1,FALSE()))),"OLD",IF(AND(E522&lt;&gt;"",E522&lt;&gt;"!!!"),"NEW","")))</f>
        <v>OLD</v>
      </c>
      <c r="G522" s="23" t="s">
        <v>430</v>
      </c>
      <c r="H522" s="24" t="str">
        <f t="shared" ca="1" si="47"/>
        <v/>
      </c>
      <c r="I522" s="25">
        <f>IF(OR(E522="",E522="!!!",F522="NEW"),"",INDEX(B$2:B521,-1+SUMPRODUCT(MAX(ROW(E$2:E521)*(E522=E$2:E521)))))</f>
        <v>0</v>
      </c>
      <c r="J522" s="25">
        <f ca="1">IF(OR(E522="",E522="!!!",F522="NEW"),"",COUNTBLANK(OFFSET(A$1,,,SUMPRODUCT(MAX(ROW(E$2:E522)*(E522=E$2:E522)))))-COUNTBLANK(OFFSET(A$1,,,SUMPRODUCT(MAX(ROW(E$1:E521)*(E2=E$1:E521))))))</f>
        <v>0</v>
      </c>
      <c r="K522" s="25">
        <f ca="1">IF(OR(E522="",E522="!!!",F522="NEW"),"",INDEX(J$1:J521,SUMPRODUCT(MAX(ROW(E$1:E521)*(E522=E$1:E521)))))</f>
        <v>0</v>
      </c>
      <c r="L522" s="26" t="s">
        <v>437</v>
      </c>
    </row>
    <row r="523" spans="1:12" x14ac:dyDescent="0.3">
      <c r="A523" t="s">
        <v>409</v>
      </c>
      <c r="B523" s="20" t="s">
        <v>410</v>
      </c>
      <c r="C523" s="20" t="s">
        <v>137</v>
      </c>
      <c r="E523" s="21" t="s">
        <v>475</v>
      </c>
      <c r="F523" s="22" t="str">
        <f>IF(OR(E523="",E523="!!!"),"",IF(NOT(ISNA(VLOOKUP(E523,E$1:E522,1,FALSE()))),"OLD",IF(AND(E523&lt;&gt;"",E523&lt;&gt;"!!!"),"NEW","")))</f>
        <v>NEW</v>
      </c>
      <c r="G523" s="23" t="s">
        <v>479</v>
      </c>
      <c r="H523" s="24" t="str">
        <f t="shared" ca="1" si="47"/>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411</v>
      </c>
      <c r="E524" s="21" t="str">
        <f t="shared" si="46"/>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7"/>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163</v>
      </c>
      <c r="E525" s="21" t="str">
        <f t="shared" si="46"/>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7"/>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7" spans="1:12" x14ac:dyDescent="0.3">
      <c r="A527" t="s">
        <v>412</v>
      </c>
    </row>
    <row r="528" spans="1:12" x14ac:dyDescent="0.3">
      <c r="A528" t="s">
        <v>413</v>
      </c>
      <c r="E528" s="21" t="str">
        <f t="shared" ref="E528:E556" si="48">IF(D528="?OLD","!!!","")</f>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ref="H528:H556" ca="1" si="49">IF(J528&lt;&gt;1,"",IF(I528="SBJ","CB","?"))</f>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269</v>
      </c>
      <c r="B529" s="20" t="s">
        <v>124</v>
      </c>
      <c r="C529" s="20" t="s">
        <v>153</v>
      </c>
      <c r="D529" s="20" t="s">
        <v>126</v>
      </c>
      <c r="E529" s="21" t="s">
        <v>427</v>
      </c>
      <c r="F529" s="22" t="str">
        <f>IF(OR(E529="",E529="!!!"),"",IF(NOT(ISNA(VLOOKUP(E529,E$1:E528,1,FALSE()))),"OLD",IF(AND(E529&lt;&gt;"",E529&lt;&gt;"!!!"),"NEW","")))</f>
        <v>OLD</v>
      </c>
      <c r="G529" s="23" t="s">
        <v>430</v>
      </c>
      <c r="H529" s="24" t="s">
        <v>118</v>
      </c>
      <c r="I529" s="25">
        <f>IF(OR(E529="",E529="!!!",F529="NEW"),"",INDEX(B$2:B528,-1+SUMPRODUCT(MAX(ROW(E$2:E528)*(E529=E$2:E528)))))</f>
        <v>0</v>
      </c>
      <c r="J529" s="25">
        <f ca="1">IF(OR(E529="",E529="!!!",F529="NEW"),"",COUNTBLANK(OFFSET(A$1,,,SUMPRODUCT(MAX(ROW(E$2:E529)*(E529=E$2:E529)))))-COUNTBLANK(OFFSET(A$1,,,SUMPRODUCT(MAX(ROW(E$1:E528)*(E2=E$1:E528))))))</f>
        <v>0</v>
      </c>
      <c r="K529" s="25">
        <f ca="1">IF(OR(E529="",E529="!!!",F529="NEW"),"",INDEX(J$1:J528,SUMPRODUCT(MAX(ROW(E$1:E528)*(E529=E$1:E528)))))</f>
        <v>0</v>
      </c>
      <c r="L529" s="26"/>
    </row>
    <row r="530" spans="1:12" x14ac:dyDescent="0.3">
      <c r="A530" t="s">
        <v>188</v>
      </c>
      <c r="E530" s="21" t="str">
        <f t="shared" si="48"/>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9"/>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414</v>
      </c>
      <c r="E531" s="21" t="str">
        <f t="shared" si="48"/>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9"/>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415</v>
      </c>
      <c r="E532" s="21" t="str">
        <f t="shared" si="48"/>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49"/>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254</v>
      </c>
      <c r="E533" s="21" t="str">
        <f t="shared" si="48"/>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49"/>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159</v>
      </c>
      <c r="E534" s="21" t="str">
        <f t="shared" si="48"/>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49"/>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160</v>
      </c>
      <c r="E535" s="21" t="str">
        <f t="shared" si="48"/>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9"/>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416</v>
      </c>
      <c r="E536" s="21" t="str">
        <f t="shared" si="48"/>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9"/>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12</v>
      </c>
      <c r="E537" s="21" t="str">
        <f t="shared" si="48"/>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9"/>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127</v>
      </c>
      <c r="B538" s="20" t="s">
        <v>131</v>
      </c>
      <c r="C538" s="20" t="s">
        <v>125</v>
      </c>
      <c r="D538" s="20" t="s">
        <v>126</v>
      </c>
      <c r="E538" s="21" t="s">
        <v>427</v>
      </c>
      <c r="F538" s="22" t="str">
        <f>IF(OR(E538="",E538="!!!"),"",IF(NOT(ISNA(VLOOKUP(E538,E$1:E537,1,FALSE()))),"OLD",IF(AND(E538&lt;&gt;"",E538&lt;&gt;"!!!"),"NEW","")))</f>
        <v>OLD</v>
      </c>
      <c r="G538" s="23" t="s">
        <v>430</v>
      </c>
      <c r="H538" s="24" t="str">
        <f t="shared" ca="1" si="49"/>
        <v/>
      </c>
      <c r="I538" s="25" t="str">
        <f>IF(OR(E538="",E538="!!!",F538="NEW"),"",INDEX(B$2:B537,-1+SUMPRODUCT(MAX(ROW(E$2:E537)*(E538=E$2:E537)))))</f>
        <v>SBJ</v>
      </c>
      <c r="J538" s="25">
        <f ca="1">IF(OR(E538="",E538="!!!",F538="NEW"),"",COUNTBLANK(OFFSET(A$1,,,SUMPRODUCT(MAX(ROW(E$2:E538)*(E538=E$2:E538)))))-COUNTBLANK(OFFSET(A$1,,,SUMPRODUCT(MAX(ROW(E$1:E537)*(E2=E$1:E537))))))</f>
        <v>0</v>
      </c>
      <c r="K538" s="25">
        <f ca="1">IF(OR(E538="",E538="!!!",F538="NEW"),"",INDEX(J$1:J537,SUMPRODUCT(MAX(ROW(E$1:E537)*(E538=E$1:E537)))))</f>
        <v>0</v>
      </c>
      <c r="L538" s="26"/>
    </row>
    <row r="539" spans="1:12" x14ac:dyDescent="0.3">
      <c r="A539" t="s">
        <v>303</v>
      </c>
      <c r="E539" s="21" t="str">
        <f t="shared" si="48"/>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9"/>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417</v>
      </c>
      <c r="E540" s="21" t="str">
        <f t="shared" si="48"/>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49"/>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418</v>
      </c>
      <c r="E541" s="21" t="str">
        <f t="shared" si="48"/>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9"/>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419</v>
      </c>
      <c r="E542" s="21" t="str">
        <f t="shared" si="48"/>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49"/>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148</v>
      </c>
      <c r="E543" s="21" t="str">
        <f t="shared" si="48"/>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49"/>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241</v>
      </c>
      <c r="E544" s="21" t="str">
        <f t="shared" si="48"/>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9"/>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269</v>
      </c>
      <c r="B545" s="20" t="s">
        <v>190</v>
      </c>
      <c r="C545" s="20" t="s">
        <v>153</v>
      </c>
      <c r="D545" s="20" t="s">
        <v>126</v>
      </c>
      <c r="E545" s="21" t="s">
        <v>427</v>
      </c>
      <c r="F545" s="22" t="str">
        <f>IF(OR(E545="",E545="!!!"),"",IF(NOT(ISNA(VLOOKUP(E545,E$1:E544,1,FALSE()))),"OLD",IF(AND(E545&lt;&gt;"",E545&lt;&gt;"!!!"),"NEW","")))</f>
        <v>OLD</v>
      </c>
      <c r="G545" s="23" t="s">
        <v>430</v>
      </c>
      <c r="H545" s="24" t="str">
        <f t="shared" ca="1" si="49"/>
        <v/>
      </c>
      <c r="I545" s="25" t="str">
        <f>IF(OR(E545="",E545="!!!",F545="NEW"),"",INDEX(B$2:B544,-1+SUMPRODUCT(MAX(ROW(E$2:E544)*(E545=E$2:E544)))))</f>
        <v>other</v>
      </c>
      <c r="J545" s="25">
        <f ca="1">IF(OR(E545="",E545="!!!",F545="NEW"),"",COUNTBLANK(OFFSET(A$1,,,SUMPRODUCT(MAX(ROW(E$2:E545)*(E545=E$2:E545)))))-COUNTBLANK(OFFSET(A$1,,,SUMPRODUCT(MAX(ROW(E$1:E544)*(E2=E$1:E544))))))</f>
        <v>0</v>
      </c>
      <c r="K545" s="25">
        <f ca="1">IF(OR(E545="",E545="!!!",F545="NEW"),"",INDEX(J$1:J544,SUMPRODUCT(MAX(ROW(E$1:E544)*(E545=E$1:E544)))))</f>
        <v>0</v>
      </c>
      <c r="L545" s="26"/>
    </row>
    <row r="546" spans="1:12" x14ac:dyDescent="0.3">
      <c r="A546" t="s">
        <v>138</v>
      </c>
      <c r="E546" s="21" t="str">
        <f t="shared" si="48"/>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9"/>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420</v>
      </c>
      <c r="B547" s="20" t="s">
        <v>147</v>
      </c>
      <c r="C547" s="20" t="s">
        <v>132</v>
      </c>
      <c r="E547" s="21" t="str">
        <f t="shared" si="48"/>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9"/>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421</v>
      </c>
      <c r="E548" s="21" t="str">
        <f t="shared" si="48"/>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9"/>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368</v>
      </c>
      <c r="E549" s="21" t="str">
        <f t="shared" si="48"/>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9"/>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178</v>
      </c>
      <c r="E550" s="21" t="s">
        <v>427</v>
      </c>
      <c r="F550" s="22" t="str">
        <f>IF(OR(E550="",E550="!!!"),"",IF(NOT(ISNA(VLOOKUP(E550,E$1:E549,1,FALSE()))),"OLD",IF(AND(E550&lt;&gt;"",E550&lt;&gt;"!!!"),"NEW","")))</f>
        <v>OLD</v>
      </c>
      <c r="G550" s="23" t="s">
        <v>430</v>
      </c>
      <c r="H550" s="24" t="str">
        <f t="shared" ca="1" si="49"/>
        <v/>
      </c>
      <c r="I550" s="25" t="str">
        <f>IF(OR(E550="",E550="!!!",F550="NEW"),"",INDEX(B$2:B549,-1+SUMPRODUCT(MAX(ROW(E$2:E549)*(E550=E$2:E549)))))</f>
        <v>SBJ_2</v>
      </c>
      <c r="J550" s="25">
        <f ca="1">IF(OR(E550="",E550="!!!",F550="NEW"),"",COUNTBLANK(OFFSET(A$1,,,SUMPRODUCT(MAX(ROW(E$2:E550)*(E550=E$2:E550)))))-COUNTBLANK(OFFSET(A$1,,,SUMPRODUCT(MAX(ROW(E$1:E549)*(E2=E$1:E549))))))</f>
        <v>0</v>
      </c>
      <c r="K550" s="25">
        <f ca="1">IF(OR(E550="",E550="!!!",F550="NEW"),"",INDEX(J$1:J549,SUMPRODUCT(MAX(ROW(E$1:E549)*(E550=E$1:E549)))))</f>
        <v>0</v>
      </c>
      <c r="L550" s="26" t="s">
        <v>437</v>
      </c>
    </row>
    <row r="551" spans="1:12" x14ac:dyDescent="0.3">
      <c r="A551" t="s">
        <v>422</v>
      </c>
      <c r="E551" s="21" t="str">
        <f t="shared" si="48"/>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9"/>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423</v>
      </c>
      <c r="E552" s="21" t="str">
        <f t="shared" si="48"/>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49"/>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424</v>
      </c>
      <c r="B553" s="20" t="s">
        <v>147</v>
      </c>
      <c r="C553" s="20" t="s">
        <v>137</v>
      </c>
      <c r="E553" s="21" t="s">
        <v>476</v>
      </c>
      <c r="F553" s="22" t="str">
        <f>IF(OR(E553="",E553="!!!"),"",IF(NOT(ISNA(VLOOKUP(E553,E$1:E552,1,FALSE()))),"OLD",IF(AND(E553&lt;&gt;"",E553&lt;&gt;"!!!"),"NEW","")))</f>
        <v>NEW</v>
      </c>
      <c r="G553" s="23" t="s">
        <v>479</v>
      </c>
      <c r="H553" s="24" t="str">
        <f t="shared" ca="1" si="49"/>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425</v>
      </c>
      <c r="E554" s="21" t="str">
        <f t="shared" si="48"/>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9"/>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426</v>
      </c>
      <c r="E555" s="21" t="str">
        <f t="shared" si="48"/>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9"/>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163</v>
      </c>
      <c r="E556" s="21" t="str">
        <f t="shared" si="48"/>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49"/>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2024-12-05T17:52:24Z</dcterms:created>
  <dcterms:modified xsi:type="dcterms:W3CDTF">2025-02-02T13:19:06Z</dcterms:modified>
</cp:coreProperties>
</file>