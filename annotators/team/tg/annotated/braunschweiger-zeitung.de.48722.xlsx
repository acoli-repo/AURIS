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C034E809-B17E-4655-8A56-BA6D0EDA56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609" i="2" l="1"/>
  <c r="E609" i="2"/>
  <c r="E608" i="2"/>
  <c r="E607" i="2"/>
  <c r="E606" i="2"/>
  <c r="G606" i="2" s="1"/>
  <c r="G604" i="2"/>
  <c r="E604" i="2"/>
  <c r="F604" i="2" s="1"/>
  <c r="F603" i="2"/>
  <c r="E603" i="2"/>
  <c r="E602" i="2"/>
  <c r="G601" i="2"/>
  <c r="F601" i="2"/>
  <c r="K601" i="2" s="1"/>
  <c r="E601" i="2"/>
  <c r="E600" i="2"/>
  <c r="E599" i="2"/>
  <c r="G598" i="2"/>
  <c r="F598" i="2"/>
  <c r="I598" i="2" s="1"/>
  <c r="E598" i="2"/>
  <c r="F597" i="2"/>
  <c r="E597" i="2"/>
  <c r="G597" i="2" s="1"/>
  <c r="E596" i="2"/>
  <c r="F595" i="2"/>
  <c r="E592" i="2"/>
  <c r="F591" i="2"/>
  <c r="K591" i="2" s="1"/>
  <c r="E590" i="2"/>
  <c r="E589" i="2"/>
  <c r="G588" i="2"/>
  <c r="F588" i="2"/>
  <c r="I588" i="2" s="1"/>
  <c r="E588" i="2"/>
  <c r="F587" i="2"/>
  <c r="J587" i="2" s="1"/>
  <c r="H587" i="2" s="1"/>
  <c r="E587" i="2"/>
  <c r="G587" i="2" s="1"/>
  <c r="E586" i="2"/>
  <c r="F585" i="2"/>
  <c r="E585" i="2"/>
  <c r="E584" i="2"/>
  <c r="G583" i="2"/>
  <c r="F583" i="2"/>
  <c r="K583" i="2" s="1"/>
  <c r="E583" i="2"/>
  <c r="E579" i="2"/>
  <c r="G578" i="2"/>
  <c r="F578" i="2"/>
  <c r="K578" i="2" s="1"/>
  <c r="E578" i="2"/>
  <c r="J577" i="2"/>
  <c r="H577" i="2" s="1"/>
  <c r="G577" i="2"/>
  <c r="E576" i="2"/>
  <c r="F575" i="2"/>
  <c r="E575" i="2"/>
  <c r="E574" i="2"/>
  <c r="F573" i="2"/>
  <c r="E572" i="2"/>
  <c r="E571" i="2"/>
  <c r="G570" i="2"/>
  <c r="F570" i="2"/>
  <c r="J570" i="2" s="1"/>
  <c r="H570" i="2" s="1"/>
  <c r="E570" i="2"/>
  <c r="F569" i="2"/>
  <c r="K569" i="2" s="1"/>
  <c r="E569" i="2"/>
  <c r="G569" i="2" s="1"/>
  <c r="G568" i="2"/>
  <c r="E568" i="2"/>
  <c r="F567" i="2"/>
  <c r="E567" i="2"/>
  <c r="E566" i="2"/>
  <c r="G565" i="2"/>
  <c r="F565" i="2"/>
  <c r="E565" i="2"/>
  <c r="E564" i="2"/>
  <c r="E563" i="2"/>
  <c r="F562" i="2"/>
  <c r="K562" i="2" s="1"/>
  <c r="F561" i="2"/>
  <c r="J561" i="2" s="1"/>
  <c r="H561" i="2" s="1"/>
  <c r="E561" i="2"/>
  <c r="G561" i="2" s="1"/>
  <c r="G559" i="2"/>
  <c r="E559" i="2"/>
  <c r="F557" i="2"/>
  <c r="E557" i="2"/>
  <c r="E556" i="2"/>
  <c r="G555" i="2"/>
  <c r="F555" i="2"/>
  <c r="E555" i="2"/>
  <c r="E553" i="2"/>
  <c r="G552" i="2"/>
  <c r="F552" i="2"/>
  <c r="I552" i="2" s="1"/>
  <c r="E552" i="2"/>
  <c r="F551" i="2"/>
  <c r="K551" i="2" s="1"/>
  <c r="E551" i="2"/>
  <c r="G551" i="2" s="1"/>
  <c r="G550" i="2"/>
  <c r="E550" i="2"/>
  <c r="G549" i="2"/>
  <c r="K549" i="2"/>
  <c r="E548" i="2"/>
  <c r="G547" i="2"/>
  <c r="F547" i="2"/>
  <c r="J547" i="2" s="1"/>
  <c r="H547" i="2" s="1"/>
  <c r="E547" i="2"/>
  <c r="E546" i="2"/>
  <c r="E545" i="2"/>
  <c r="F544" i="2"/>
  <c r="E543" i="2"/>
  <c r="E540" i="2"/>
  <c r="G539" i="2"/>
  <c r="F539" i="2"/>
  <c r="K539" i="2" s="1"/>
  <c r="E539" i="2"/>
  <c r="F538" i="2"/>
  <c r="J538" i="2" s="1"/>
  <c r="H538" i="2" s="1"/>
  <c r="E538" i="2"/>
  <c r="F537" i="2"/>
  <c r="J537" i="2" s="1"/>
  <c r="H537" i="2" s="1"/>
  <c r="E537" i="2"/>
  <c r="E535" i="2"/>
  <c r="G534" i="2"/>
  <c r="F534" i="2"/>
  <c r="K534" i="2" s="1"/>
  <c r="E534" i="2"/>
  <c r="F533" i="2"/>
  <c r="I533" i="2" s="1"/>
  <c r="E533" i="2"/>
  <c r="G533" i="2" s="1"/>
  <c r="G532" i="2"/>
  <c r="E532" i="2"/>
  <c r="G531" i="2"/>
  <c r="F531" i="2"/>
  <c r="K531" i="2" s="1"/>
  <c r="E531" i="2"/>
  <c r="E530" i="2"/>
  <c r="G529" i="2"/>
  <c r="E529" i="2"/>
  <c r="F528" i="2"/>
  <c r="K528" i="2" s="1"/>
  <c r="E528" i="2"/>
  <c r="G527" i="2"/>
  <c r="E527" i="2"/>
  <c r="G524" i="2"/>
  <c r="F524" i="2"/>
  <c r="J524" i="2" s="1"/>
  <c r="H524" i="2" s="1"/>
  <c r="E524" i="2"/>
  <c r="E522" i="2"/>
  <c r="G521" i="2"/>
  <c r="F521" i="2"/>
  <c r="K521" i="2" s="1"/>
  <c r="E521" i="2"/>
  <c r="J520" i="2"/>
  <c r="H520" i="2" s="1"/>
  <c r="F519" i="2"/>
  <c r="J519" i="2" s="1"/>
  <c r="H519" i="2" s="1"/>
  <c r="E519" i="2"/>
  <c r="E518" i="2"/>
  <c r="E517" i="2"/>
  <c r="G516" i="2"/>
  <c r="F516" i="2"/>
  <c r="K516" i="2" s="1"/>
  <c r="E516" i="2"/>
  <c r="F515" i="2"/>
  <c r="I515" i="2" s="1"/>
  <c r="E515" i="2"/>
  <c r="G515" i="2" s="1"/>
  <c r="G514" i="2"/>
  <c r="E514" i="2"/>
  <c r="G513" i="2"/>
  <c r="F513" i="2"/>
  <c r="I513" i="2" s="1"/>
  <c r="E513" i="2"/>
  <c r="E512" i="2"/>
  <c r="G511" i="2"/>
  <c r="E511" i="2"/>
  <c r="F510" i="2"/>
  <c r="I510" i="2" s="1"/>
  <c r="G509" i="2"/>
  <c r="E509" i="2"/>
  <c r="G508" i="2"/>
  <c r="F508" i="2"/>
  <c r="J508" i="2" s="1"/>
  <c r="H508" i="2" s="1"/>
  <c r="E508" i="2"/>
  <c r="E506" i="2"/>
  <c r="G505" i="2"/>
  <c r="K505" i="2"/>
  <c r="F504" i="2"/>
  <c r="J504" i="2" s="1"/>
  <c r="H504" i="2" s="1"/>
  <c r="E504" i="2"/>
  <c r="F503" i="2"/>
  <c r="J503" i="2" s="1"/>
  <c r="H503" i="2" s="1"/>
  <c r="E503" i="2"/>
  <c r="E502" i="2"/>
  <c r="E499" i="2"/>
  <c r="G498" i="2"/>
  <c r="F498" i="2"/>
  <c r="K498" i="2" s="1"/>
  <c r="E498" i="2"/>
  <c r="F497" i="2"/>
  <c r="I497" i="2" s="1"/>
  <c r="G496" i="2"/>
  <c r="E496" i="2"/>
  <c r="G495" i="2"/>
  <c r="F495" i="2"/>
  <c r="K495" i="2" s="1"/>
  <c r="E495" i="2"/>
  <c r="G493" i="2"/>
  <c r="E493" i="2"/>
  <c r="F492" i="2"/>
  <c r="I492" i="2" s="1"/>
  <c r="E492" i="2"/>
  <c r="G490" i="2"/>
  <c r="F490" i="2"/>
  <c r="J490" i="2" s="1"/>
  <c r="H490" i="2" s="1"/>
  <c r="E490" i="2"/>
  <c r="E489" i="2"/>
  <c r="E486" i="2"/>
  <c r="G485" i="2"/>
  <c r="F485" i="2"/>
  <c r="K485" i="2" s="1"/>
  <c r="E485" i="2"/>
  <c r="F484" i="2"/>
  <c r="J484" i="2" s="1"/>
  <c r="H484" i="2" s="1"/>
  <c r="E484" i="2"/>
  <c r="F483" i="2"/>
  <c r="J483" i="2" s="1"/>
  <c r="H483" i="2" s="1"/>
  <c r="E483" i="2"/>
  <c r="E482" i="2"/>
  <c r="F481" i="2"/>
  <c r="E480" i="2"/>
  <c r="G479" i="2"/>
  <c r="E479" i="2"/>
  <c r="F479" i="2" s="1"/>
  <c r="J479" i="2" s="1"/>
  <c r="H479" i="2" s="1"/>
  <c r="F478" i="2"/>
  <c r="K478" i="2" s="1"/>
  <c r="E478" i="2"/>
  <c r="E477" i="2"/>
  <c r="G476" i="2"/>
  <c r="F476" i="2"/>
  <c r="K476" i="2" s="1"/>
  <c r="E476" i="2"/>
  <c r="F475" i="2"/>
  <c r="K475" i="2" s="1"/>
  <c r="E475" i="2"/>
  <c r="G475" i="2" s="1"/>
  <c r="G474" i="2"/>
  <c r="E474" i="2"/>
  <c r="G473" i="2"/>
  <c r="F473" i="2"/>
  <c r="K473" i="2" s="1"/>
  <c r="E473" i="2"/>
  <c r="E472" i="2"/>
  <c r="G469" i="2"/>
  <c r="E469" i="2"/>
  <c r="F469" i="2" s="1"/>
  <c r="J469" i="2" s="1"/>
  <c r="H469" i="2" s="1"/>
  <c r="F468" i="2"/>
  <c r="I468" i="2" s="1"/>
  <c r="E468" i="2"/>
  <c r="G466" i="2"/>
  <c r="J466" i="2"/>
  <c r="H466" i="2" s="1"/>
  <c r="F465" i="2"/>
  <c r="K465" i="2" s="1"/>
  <c r="E465" i="2"/>
  <c r="G465" i="2" s="1"/>
  <c r="E464" i="2"/>
  <c r="G463" i="2"/>
  <c r="F463" i="2"/>
  <c r="K463" i="2" s="1"/>
  <c r="E463" i="2"/>
  <c r="F462" i="2"/>
  <c r="G461" i="2"/>
  <c r="F461" i="2"/>
  <c r="J461" i="2" s="1"/>
  <c r="H461" i="2" s="1"/>
  <c r="E461" i="2"/>
  <c r="F460" i="2"/>
  <c r="K460" i="2" s="1"/>
  <c r="E460" i="2"/>
  <c r="E459" i="2"/>
  <c r="G456" i="2"/>
  <c r="F456" i="2"/>
  <c r="K456" i="2" s="1"/>
  <c r="E456" i="2"/>
  <c r="F455" i="2"/>
  <c r="K455" i="2" s="1"/>
  <c r="E455" i="2"/>
  <c r="G455" i="2" s="1"/>
  <c r="G453" i="2"/>
  <c r="F453" i="2"/>
  <c r="K453" i="2" s="1"/>
  <c r="E453" i="2"/>
  <c r="F452" i="2"/>
  <c r="E452" i="2"/>
  <c r="G451" i="2"/>
  <c r="F451" i="2"/>
  <c r="E451" i="2"/>
  <c r="F450" i="2"/>
  <c r="E450" i="2"/>
  <c r="E449" i="2"/>
  <c r="G448" i="2"/>
  <c r="F448" i="2"/>
  <c r="J448" i="2" s="1"/>
  <c r="H448" i="2" s="1"/>
  <c r="E448" i="2"/>
  <c r="F445" i="2"/>
  <c r="E445" i="2"/>
  <c r="G445" i="2" s="1"/>
  <c r="G444" i="2"/>
  <c r="E444" i="2"/>
  <c r="F443" i="2"/>
  <c r="K443" i="2" s="1"/>
  <c r="G442" i="2"/>
  <c r="F442" i="2"/>
  <c r="K442" i="2" s="1"/>
  <c r="E442" i="2"/>
  <c r="E441" i="2"/>
  <c r="F440" i="2"/>
  <c r="K440" i="2" s="1"/>
  <c r="E440" i="2"/>
  <c r="G436" i="2"/>
  <c r="F436" i="2"/>
  <c r="K436" i="2" s="1"/>
  <c r="E436" i="2"/>
  <c r="F435" i="2"/>
  <c r="K435" i="2" s="1"/>
  <c r="G434" i="2"/>
  <c r="E434" i="2"/>
  <c r="F433" i="2"/>
  <c r="I433" i="2" s="1"/>
  <c r="G432" i="2"/>
  <c r="F432" i="2"/>
  <c r="J432" i="2" s="1"/>
  <c r="H432" i="2" s="1"/>
  <c r="E432" i="2"/>
  <c r="E431" i="2"/>
  <c r="E430" i="2"/>
  <c r="G429" i="2"/>
  <c r="E429" i="2"/>
  <c r="G428" i="2"/>
  <c r="F428" i="2"/>
  <c r="K428" i="2" s="1"/>
  <c r="E428" i="2"/>
  <c r="F427" i="2"/>
  <c r="E427" i="2"/>
  <c r="G426" i="2"/>
  <c r="E426" i="2"/>
  <c r="G425" i="2"/>
  <c r="F425" i="2"/>
  <c r="K425" i="2" s="1"/>
  <c r="E425" i="2"/>
  <c r="G424" i="2"/>
  <c r="F424" i="2"/>
  <c r="K424" i="2" s="1"/>
  <c r="E424" i="2"/>
  <c r="E423" i="2"/>
  <c r="G422" i="2"/>
  <c r="F422" i="2"/>
  <c r="I422" i="2" s="1"/>
  <c r="E422" i="2"/>
  <c r="G419" i="2"/>
  <c r="E419" i="2"/>
  <c r="F419" i="2" s="1"/>
  <c r="J419" i="2" s="1"/>
  <c r="H419" i="2" s="1"/>
  <c r="F418" i="2"/>
  <c r="I418" i="2" s="1"/>
  <c r="E418" i="2"/>
  <c r="G418" i="2" s="1"/>
  <c r="E417" i="2"/>
  <c r="F416" i="2"/>
  <c r="E415" i="2"/>
  <c r="E414" i="2"/>
  <c r="G413" i="2"/>
  <c r="E413" i="2"/>
  <c r="G412" i="2"/>
  <c r="F412" i="2"/>
  <c r="I412" i="2" s="1"/>
  <c r="E412" i="2"/>
  <c r="G411" i="2"/>
  <c r="E411" i="2"/>
  <c r="F411" i="2" s="1"/>
  <c r="J411" i="2" s="1"/>
  <c r="H411" i="2" s="1"/>
  <c r="F410" i="2"/>
  <c r="I410" i="2" s="1"/>
  <c r="E410" i="2"/>
  <c r="G410" i="2" s="1"/>
  <c r="E409" i="2"/>
  <c r="G408" i="2"/>
  <c r="F408" i="2"/>
  <c r="E408" i="2"/>
  <c r="G405" i="2"/>
  <c r="E405" i="2"/>
  <c r="G404" i="2"/>
  <c r="F404" i="2"/>
  <c r="E404" i="2"/>
  <c r="E403" i="2"/>
  <c r="E402" i="2"/>
  <c r="E401" i="2"/>
  <c r="G400" i="2"/>
  <c r="F400" i="2"/>
  <c r="K400" i="2" s="1"/>
  <c r="E400" i="2"/>
  <c r="E398" i="2"/>
  <c r="G395" i="2"/>
  <c r="E395" i="2"/>
  <c r="G394" i="2"/>
  <c r="F394" i="2"/>
  <c r="I394" i="2" s="1"/>
  <c r="E394" i="2"/>
  <c r="E393" i="2"/>
  <c r="G393" i="2" s="1"/>
  <c r="E392" i="2"/>
  <c r="G390" i="2"/>
  <c r="F390" i="2"/>
  <c r="K390" i="2" s="1"/>
  <c r="E390" i="2"/>
  <c r="F389" i="2"/>
  <c r="J389" i="2" s="1"/>
  <c r="H389" i="2" s="1"/>
  <c r="E387" i="2"/>
  <c r="G386" i="2"/>
  <c r="F386" i="2"/>
  <c r="I386" i="2" s="1"/>
  <c r="E386" i="2"/>
  <c r="G385" i="2"/>
  <c r="F385" i="2"/>
  <c r="E385" i="2"/>
  <c r="E384" i="2"/>
  <c r="G381" i="2"/>
  <c r="E381" i="2"/>
  <c r="G380" i="2"/>
  <c r="F380" i="2"/>
  <c r="E380" i="2"/>
  <c r="F379" i="2"/>
  <c r="K379" i="2" s="1"/>
  <c r="G377" i="2"/>
  <c r="E377" i="2"/>
  <c r="G376" i="2"/>
  <c r="F376" i="2"/>
  <c r="J376" i="2" s="1"/>
  <c r="H376" i="2" s="1"/>
  <c r="E376" i="2"/>
  <c r="E375" i="2"/>
  <c r="G375" i="2" s="1"/>
  <c r="G372" i="2"/>
  <c r="F372" i="2"/>
  <c r="K372" i="2" s="1"/>
  <c r="E372" i="2"/>
  <c r="G371" i="2"/>
  <c r="F371" i="2"/>
  <c r="J371" i="2" s="1"/>
  <c r="H371" i="2" s="1"/>
  <c r="E371" i="2"/>
  <c r="E369" i="2"/>
  <c r="G368" i="2"/>
  <c r="F368" i="2"/>
  <c r="J368" i="2" s="1"/>
  <c r="H368" i="2" s="1"/>
  <c r="E368" i="2"/>
  <c r="F367" i="2"/>
  <c r="I367" i="2" s="1"/>
  <c r="E367" i="2"/>
  <c r="E366" i="2"/>
  <c r="G365" i="2"/>
  <c r="E365" i="2"/>
  <c r="F363" i="2"/>
  <c r="K363" i="2" s="1"/>
  <c r="E363" i="2"/>
  <c r="E362" i="2"/>
  <c r="G361" i="2"/>
  <c r="E361" i="2"/>
  <c r="G360" i="2"/>
  <c r="F360" i="2"/>
  <c r="J360" i="2" s="1"/>
  <c r="H360" i="2" s="1"/>
  <c r="E360" i="2"/>
  <c r="E359" i="2"/>
  <c r="G359" i="2" s="1"/>
  <c r="E356" i="2"/>
  <c r="G355" i="2"/>
  <c r="E355" i="2"/>
  <c r="G354" i="2"/>
  <c r="F354" i="2"/>
  <c r="K354" i="2" s="1"/>
  <c r="E354" i="2"/>
  <c r="G353" i="2"/>
  <c r="F353" i="2"/>
  <c r="J353" i="2" s="1"/>
  <c r="H353" i="2" s="1"/>
  <c r="E353" i="2"/>
  <c r="E352" i="2"/>
  <c r="G350" i="2"/>
  <c r="F350" i="2"/>
  <c r="J350" i="2" s="1"/>
  <c r="H350" i="2" s="1"/>
  <c r="E350" i="2"/>
  <c r="F349" i="2"/>
  <c r="I349" i="2" s="1"/>
  <c r="E348" i="2"/>
  <c r="G347" i="2"/>
  <c r="E347" i="2"/>
  <c r="G346" i="2"/>
  <c r="F346" i="2"/>
  <c r="E346" i="2"/>
  <c r="G345" i="2"/>
  <c r="F345" i="2"/>
  <c r="K345" i="2" s="1"/>
  <c r="E345" i="2"/>
  <c r="E344" i="2"/>
  <c r="G343" i="2"/>
  <c r="E343" i="2"/>
  <c r="G342" i="2"/>
  <c r="F342" i="2"/>
  <c r="K342" i="2" s="1"/>
  <c r="E342" i="2"/>
  <c r="E341" i="2"/>
  <c r="G339" i="2"/>
  <c r="E339" i="2"/>
  <c r="F339" i="2" s="1"/>
  <c r="G338" i="2"/>
  <c r="F338" i="2"/>
  <c r="J338" i="2" s="1"/>
  <c r="H338" i="2" s="1"/>
  <c r="E338" i="2"/>
  <c r="E337" i="2"/>
  <c r="F336" i="2"/>
  <c r="E336" i="2"/>
  <c r="G333" i="2"/>
  <c r="E333" i="2"/>
  <c r="G332" i="2"/>
  <c r="F332" i="2"/>
  <c r="K332" i="2" s="1"/>
  <c r="E332" i="2"/>
  <c r="E331" i="2"/>
  <c r="G329" i="2"/>
  <c r="E329" i="2"/>
  <c r="F329" i="2" s="1"/>
  <c r="J329" i="2" s="1"/>
  <c r="H329" i="2" s="1"/>
  <c r="G328" i="2"/>
  <c r="E327" i="2"/>
  <c r="E326" i="2"/>
  <c r="G325" i="2"/>
  <c r="E325" i="2"/>
  <c r="G324" i="2"/>
  <c r="F324" i="2"/>
  <c r="K324" i="2" s="1"/>
  <c r="E324" i="2"/>
  <c r="G323" i="2"/>
  <c r="E320" i="2"/>
  <c r="G319" i="2"/>
  <c r="E319" i="2"/>
  <c r="F319" i="2" s="1"/>
  <c r="J319" i="2" s="1"/>
  <c r="H319" i="2" s="1"/>
  <c r="G318" i="2"/>
  <c r="F318" i="2"/>
  <c r="I318" i="2" s="1"/>
  <c r="E318" i="2"/>
  <c r="F317" i="2"/>
  <c r="J317" i="2" s="1"/>
  <c r="H317" i="2" s="1"/>
  <c r="E317" i="2"/>
  <c r="E316" i="2"/>
  <c r="G313" i="2"/>
  <c r="E313" i="2"/>
  <c r="G312" i="2"/>
  <c r="F312" i="2"/>
  <c r="J312" i="2" s="1"/>
  <c r="H312" i="2" s="1"/>
  <c r="E312" i="2"/>
  <c r="F311" i="2"/>
  <c r="I311" i="2" s="1"/>
  <c r="E310" i="2"/>
  <c r="G309" i="2"/>
  <c r="E309" i="2"/>
  <c r="F309" i="2" s="1"/>
  <c r="J309" i="2" s="1"/>
  <c r="H309" i="2" s="1"/>
  <c r="G308" i="2"/>
  <c r="F308" i="2"/>
  <c r="I308" i="2" s="1"/>
  <c r="E308" i="2"/>
  <c r="G307" i="2"/>
  <c r="E307" i="2"/>
  <c r="E306" i="2"/>
  <c r="G306" i="2" s="1"/>
  <c r="F305" i="2"/>
  <c r="G304" i="2"/>
  <c r="F304" i="2"/>
  <c r="E304" i="2"/>
  <c r="F303" i="2"/>
  <c r="K303" i="2" s="1"/>
  <c r="E303" i="2"/>
  <c r="G303" i="2" s="1"/>
  <c r="F301" i="2"/>
  <c r="I301" i="2" s="1"/>
  <c r="G300" i="2"/>
  <c r="F300" i="2"/>
  <c r="K300" i="2" s="1"/>
  <c r="E300" i="2"/>
  <c r="G299" i="2"/>
  <c r="F299" i="2"/>
  <c r="J299" i="2" s="1"/>
  <c r="H299" i="2" s="1"/>
  <c r="E299" i="2"/>
  <c r="E296" i="2"/>
  <c r="E295" i="2"/>
  <c r="F294" i="2"/>
  <c r="K294" i="2" s="1"/>
  <c r="E293" i="2"/>
  <c r="G293" i="2" s="1"/>
  <c r="E292" i="2"/>
  <c r="G291" i="2"/>
  <c r="J291" i="2"/>
  <c r="H291" i="2" s="1"/>
  <c r="G290" i="2"/>
  <c r="F290" i="2"/>
  <c r="E290" i="2"/>
  <c r="G289" i="2"/>
  <c r="E289" i="2"/>
  <c r="E288" i="2"/>
  <c r="G288" i="2" s="1"/>
  <c r="F287" i="2"/>
  <c r="E287" i="2"/>
  <c r="G286" i="2"/>
  <c r="F286" i="2"/>
  <c r="E286" i="2"/>
  <c r="F285" i="2"/>
  <c r="I285" i="2" s="1"/>
  <c r="E285" i="2"/>
  <c r="G285" i="2" s="1"/>
  <c r="G283" i="2"/>
  <c r="E283" i="2"/>
  <c r="F283" i="2" s="1"/>
  <c r="I283" i="2" s="1"/>
  <c r="G282" i="2"/>
  <c r="F282" i="2"/>
  <c r="J282" i="2" s="1"/>
  <c r="H282" i="2" s="1"/>
  <c r="E282" i="2"/>
  <c r="F281" i="2"/>
  <c r="J281" i="2" s="1"/>
  <c r="H281" i="2" s="1"/>
  <c r="E280" i="2"/>
  <c r="E277" i="2"/>
  <c r="F276" i="2"/>
  <c r="E275" i="2"/>
  <c r="G275" i="2" s="1"/>
  <c r="E274" i="2"/>
  <c r="G273" i="2"/>
  <c r="E273" i="2"/>
  <c r="F273" i="2" s="1"/>
  <c r="K273" i="2" s="1"/>
  <c r="G272" i="2"/>
  <c r="F272" i="2"/>
  <c r="E272" i="2"/>
  <c r="E271" i="2"/>
  <c r="F270" i="2"/>
  <c r="J270" i="2" s="1"/>
  <c r="H270" i="2" s="1"/>
  <c r="E269" i="2"/>
  <c r="G269" i="2" s="1"/>
  <c r="G266" i="2"/>
  <c r="F266" i="2"/>
  <c r="K266" i="2" s="1"/>
  <c r="E266" i="2"/>
  <c r="E265" i="2"/>
  <c r="F264" i="2"/>
  <c r="K264" i="2" s="1"/>
  <c r="E264" i="2"/>
  <c r="G264" i="2" s="1"/>
  <c r="E263" i="2"/>
  <c r="F263" i="2" s="1"/>
  <c r="I263" i="2" s="1"/>
  <c r="G262" i="2"/>
  <c r="F262" i="2"/>
  <c r="J262" i="2" s="1"/>
  <c r="H262" i="2" s="1"/>
  <c r="E262" i="2"/>
  <c r="F261" i="2"/>
  <c r="E260" i="2"/>
  <c r="F259" i="2"/>
  <c r="K259" i="2" s="1"/>
  <c r="E258" i="2"/>
  <c r="G258" i="2" s="1"/>
  <c r="G255" i="2"/>
  <c r="F255" i="2"/>
  <c r="K255" i="2" s="1"/>
  <c r="E255" i="2"/>
  <c r="E254" i="2"/>
  <c r="F253" i="2"/>
  <c r="K253" i="2" s="1"/>
  <c r="G252" i="2"/>
  <c r="F252" i="2"/>
  <c r="J252" i="2" s="1"/>
  <c r="H252" i="2" s="1"/>
  <c r="E252" i="2"/>
  <c r="E251" i="2"/>
  <c r="F251" i="2" s="1"/>
  <c r="J251" i="2" s="1"/>
  <c r="H251" i="2" s="1"/>
  <c r="G250" i="2"/>
  <c r="F250" i="2"/>
  <c r="J250" i="2" s="1"/>
  <c r="H250" i="2" s="1"/>
  <c r="E250" i="2"/>
  <c r="G248" i="2"/>
  <c r="F248" i="2"/>
  <c r="K248" i="2" s="1"/>
  <c r="E248" i="2"/>
  <c r="E247" i="2"/>
  <c r="F247" i="2" s="1"/>
  <c r="F246" i="2"/>
  <c r="K246" i="2" s="1"/>
  <c r="E246" i="2"/>
  <c r="G246" i="2" s="1"/>
  <c r="E245" i="2"/>
  <c r="G244" i="2"/>
  <c r="F244" i="2"/>
  <c r="I244" i="2" s="1"/>
  <c r="E244" i="2"/>
  <c r="G243" i="2"/>
  <c r="F243" i="2"/>
  <c r="K243" i="2" s="1"/>
  <c r="E243" i="2"/>
  <c r="G241" i="2"/>
  <c r="F241" i="2"/>
  <c r="K241" i="2" s="1"/>
  <c r="E241" i="2"/>
  <c r="E240" i="2"/>
  <c r="G238" i="2"/>
  <c r="F238" i="2"/>
  <c r="J238" i="2" s="1"/>
  <c r="H238" i="2" s="1"/>
  <c r="E238" i="2"/>
  <c r="E236" i="2"/>
  <c r="G236" i="2" s="1"/>
  <c r="E234" i="2"/>
  <c r="F234" i="2" s="1"/>
  <c r="I234" i="2" s="1"/>
  <c r="G233" i="2"/>
  <c r="F233" i="2"/>
  <c r="J233" i="2" s="1"/>
  <c r="H233" i="2" s="1"/>
  <c r="E233" i="2"/>
  <c r="G232" i="2"/>
  <c r="F232" i="2"/>
  <c r="E232" i="2"/>
  <c r="F231" i="2"/>
  <c r="E231" i="2"/>
  <c r="E230" i="2"/>
  <c r="E229" i="2"/>
  <c r="G228" i="2"/>
  <c r="F228" i="2"/>
  <c r="K228" i="2" s="1"/>
  <c r="E228" i="2"/>
  <c r="E227" i="2"/>
  <c r="G227" i="2" s="1"/>
  <c r="E226" i="2"/>
  <c r="F226" i="2" s="1"/>
  <c r="J226" i="2" s="1"/>
  <c r="H226" i="2" s="1"/>
  <c r="G225" i="2"/>
  <c r="F225" i="2"/>
  <c r="J225" i="2" s="1"/>
  <c r="H225" i="2" s="1"/>
  <c r="E225" i="2"/>
  <c r="G224" i="2"/>
  <c r="F224" i="2"/>
  <c r="E224" i="2"/>
  <c r="F223" i="2"/>
  <c r="I223" i="2" s="1"/>
  <c r="E223" i="2"/>
  <c r="E222" i="2"/>
  <c r="G221" i="2"/>
  <c r="E221" i="2"/>
  <c r="G220" i="2"/>
  <c r="F220" i="2"/>
  <c r="J220" i="2" s="1"/>
  <c r="H220" i="2" s="1"/>
  <c r="E220" i="2"/>
  <c r="E219" i="2"/>
  <c r="E218" i="2"/>
  <c r="F218" i="2" s="1"/>
  <c r="G217" i="2"/>
  <c r="F217" i="2"/>
  <c r="J217" i="2" s="1"/>
  <c r="H217" i="2" s="1"/>
  <c r="E217" i="2"/>
  <c r="F216" i="2"/>
  <c r="E215" i="2"/>
  <c r="E214" i="2"/>
  <c r="E213" i="2"/>
  <c r="G210" i="2"/>
  <c r="F210" i="2"/>
  <c r="K210" i="2" s="1"/>
  <c r="E210" i="2"/>
  <c r="E209" i="2"/>
  <c r="G209" i="2" s="1"/>
  <c r="E208" i="2"/>
  <c r="G207" i="2"/>
  <c r="F207" i="2"/>
  <c r="J207" i="2" s="1"/>
  <c r="H207" i="2" s="1"/>
  <c r="E207" i="2"/>
  <c r="G206" i="2"/>
  <c r="F206" i="2"/>
  <c r="K206" i="2" s="1"/>
  <c r="E206" i="2"/>
  <c r="F204" i="2"/>
  <c r="I204" i="2" s="1"/>
  <c r="E204" i="2"/>
  <c r="E203" i="2"/>
  <c r="G202" i="2"/>
  <c r="F202" i="2"/>
  <c r="I202" i="2" s="1"/>
  <c r="E202" i="2"/>
  <c r="F201" i="2"/>
  <c r="I201" i="2" s="1"/>
  <c r="E201" i="2"/>
  <c r="G201" i="2" s="1"/>
  <c r="E200" i="2"/>
  <c r="G199" i="2"/>
  <c r="F199" i="2"/>
  <c r="J199" i="2" s="1"/>
  <c r="H199" i="2" s="1"/>
  <c r="E199" i="2"/>
  <c r="G198" i="2"/>
  <c r="F198" i="2"/>
  <c r="E198" i="2"/>
  <c r="G197" i="2"/>
  <c r="E197" i="2"/>
  <c r="E196" i="2"/>
  <c r="G194" i="2"/>
  <c r="F194" i="2"/>
  <c r="I194" i="2" s="1"/>
  <c r="E194" i="2"/>
  <c r="E193" i="2"/>
  <c r="G191" i="2"/>
  <c r="F191" i="2"/>
  <c r="J191" i="2" s="1"/>
  <c r="H191" i="2" s="1"/>
  <c r="E191" i="2"/>
  <c r="G190" i="2"/>
  <c r="F190" i="2"/>
  <c r="K190" i="2" s="1"/>
  <c r="E190" i="2"/>
  <c r="F189" i="2"/>
  <c r="J189" i="2" s="1"/>
  <c r="H189" i="2" s="1"/>
  <c r="E189" i="2"/>
  <c r="F188" i="2"/>
  <c r="G187" i="2"/>
  <c r="E187" i="2"/>
  <c r="G185" i="2"/>
  <c r="F185" i="2"/>
  <c r="I185" i="2" s="1"/>
  <c r="E185" i="2"/>
  <c r="E183" i="2"/>
  <c r="G183" i="2" s="1"/>
  <c r="E182" i="2"/>
  <c r="G181" i="2"/>
  <c r="F181" i="2"/>
  <c r="J181" i="2" s="1"/>
  <c r="H181" i="2" s="1"/>
  <c r="E181" i="2"/>
  <c r="G180" i="2"/>
  <c r="F180" i="2"/>
  <c r="J180" i="2" s="1"/>
  <c r="H180" i="2" s="1"/>
  <c r="E180" i="2"/>
  <c r="E178" i="2"/>
  <c r="E177" i="2"/>
  <c r="G176" i="2"/>
  <c r="F176" i="2"/>
  <c r="E176" i="2"/>
  <c r="E175" i="2"/>
  <c r="G175" i="2" s="1"/>
  <c r="E174" i="2"/>
  <c r="F173" i="2"/>
  <c r="J173" i="2" s="1"/>
  <c r="H173" i="2" s="1"/>
  <c r="G172" i="2"/>
  <c r="E172" i="2"/>
  <c r="G171" i="2"/>
  <c r="F171" i="2"/>
  <c r="J171" i="2" s="1"/>
  <c r="H171" i="2" s="1"/>
  <c r="E171" i="2"/>
  <c r="E170" i="2"/>
  <c r="G169" i="2"/>
  <c r="E169" i="2"/>
  <c r="G168" i="2"/>
  <c r="F168" i="2"/>
  <c r="K168" i="2" s="1"/>
  <c r="E168" i="2"/>
  <c r="F167" i="2"/>
  <c r="K167" i="2" s="1"/>
  <c r="E167" i="2"/>
  <c r="G167" i="2" s="1"/>
  <c r="F166" i="2"/>
  <c r="G165" i="2"/>
  <c r="F165" i="2"/>
  <c r="K165" i="2" s="1"/>
  <c r="E165" i="2"/>
  <c r="F164" i="2"/>
  <c r="J164" i="2" s="1"/>
  <c r="H164" i="2" s="1"/>
  <c r="E164" i="2"/>
  <c r="G164" i="2" s="1"/>
  <c r="G163" i="2"/>
  <c r="F163" i="2"/>
  <c r="J163" i="2" s="1"/>
  <c r="H163" i="2" s="1"/>
  <c r="E163" i="2"/>
  <c r="G162" i="2"/>
  <c r="F162" i="2"/>
  <c r="K162" i="2" s="1"/>
  <c r="E162" i="2"/>
  <c r="F160" i="2"/>
  <c r="E160" i="2"/>
  <c r="G160" i="2" s="1"/>
  <c r="F159" i="2"/>
  <c r="K159" i="2" s="1"/>
  <c r="E159" i="2"/>
  <c r="G159" i="2" s="1"/>
  <c r="F158" i="2"/>
  <c r="K158" i="2" s="1"/>
  <c r="G157" i="2"/>
  <c r="F157" i="2"/>
  <c r="J157" i="2" s="1"/>
  <c r="H157" i="2" s="1"/>
  <c r="E157" i="2"/>
  <c r="E156" i="2"/>
  <c r="F154" i="2"/>
  <c r="I154" i="2" s="1"/>
  <c r="E154" i="2"/>
  <c r="G152" i="2"/>
  <c r="F152" i="2"/>
  <c r="K152" i="2" s="1"/>
  <c r="E152" i="2"/>
  <c r="G151" i="2"/>
  <c r="E151" i="2"/>
  <c r="G150" i="2"/>
  <c r="J150" i="2"/>
  <c r="H150" i="2" s="1"/>
  <c r="E149" i="2"/>
  <c r="E148" i="2"/>
  <c r="G147" i="2"/>
  <c r="E147" i="2"/>
  <c r="F147" i="2" s="1"/>
  <c r="K147" i="2" s="1"/>
  <c r="F146" i="2"/>
  <c r="I146" i="2" s="1"/>
  <c r="E146" i="2"/>
  <c r="G146" i="2" s="1"/>
  <c r="E145" i="2"/>
  <c r="F144" i="2"/>
  <c r="E143" i="2"/>
  <c r="G142" i="2"/>
  <c r="F142" i="2"/>
  <c r="J142" i="2" s="1"/>
  <c r="H142" i="2" s="1"/>
  <c r="E142" i="2"/>
  <c r="E139" i="2"/>
  <c r="E138" i="2"/>
  <c r="G137" i="2"/>
  <c r="E137" i="2"/>
  <c r="F137" i="2" s="1"/>
  <c r="J137" i="2" s="1"/>
  <c r="H137" i="2" s="1"/>
  <c r="F136" i="2"/>
  <c r="I136" i="2" s="1"/>
  <c r="E136" i="2"/>
  <c r="G136" i="2" s="1"/>
  <c r="E135" i="2"/>
  <c r="G134" i="2"/>
  <c r="F134" i="2"/>
  <c r="E134" i="2"/>
  <c r="E133" i="2"/>
  <c r="G132" i="2"/>
  <c r="F132" i="2"/>
  <c r="J132" i="2" s="1"/>
  <c r="H132" i="2" s="1"/>
  <c r="E132" i="2"/>
  <c r="E131" i="2"/>
  <c r="E130" i="2"/>
  <c r="G129" i="2"/>
  <c r="E129" i="2"/>
  <c r="F129" i="2" s="1"/>
  <c r="J129" i="2" s="1"/>
  <c r="H129" i="2" s="1"/>
  <c r="F128" i="2"/>
  <c r="I128" i="2" s="1"/>
  <c r="E128" i="2"/>
  <c r="G128" i="2" s="1"/>
  <c r="E127" i="2"/>
  <c r="G126" i="2"/>
  <c r="F126" i="2"/>
  <c r="I126" i="2" s="1"/>
  <c r="E126" i="2"/>
  <c r="G125" i="2"/>
  <c r="E125" i="2"/>
  <c r="G124" i="2"/>
  <c r="F124" i="2"/>
  <c r="J124" i="2" s="1"/>
  <c r="H124" i="2" s="1"/>
  <c r="E124" i="2"/>
  <c r="F123" i="2"/>
  <c r="E123" i="2"/>
  <c r="E122" i="2"/>
  <c r="G121" i="2"/>
  <c r="E121" i="2"/>
  <c r="F121" i="2" s="1"/>
  <c r="J121" i="2" s="1"/>
  <c r="H121" i="2" s="1"/>
  <c r="F120" i="2"/>
  <c r="I120" i="2" s="1"/>
  <c r="G119" i="2"/>
  <c r="E119" i="2"/>
  <c r="G118" i="2"/>
  <c r="F118" i="2"/>
  <c r="E118" i="2"/>
  <c r="E117" i="2"/>
  <c r="G117" i="2" s="1"/>
  <c r="G116" i="2"/>
  <c r="E115" i="2"/>
  <c r="G113" i="2"/>
  <c r="E113" i="2"/>
  <c r="F113" i="2" s="1"/>
  <c r="I113" i="2" s="1"/>
  <c r="F112" i="2"/>
  <c r="J112" i="2" s="1"/>
  <c r="H112" i="2" s="1"/>
  <c r="E112" i="2"/>
  <c r="G112" i="2" s="1"/>
  <c r="E111" i="2"/>
  <c r="G110" i="2"/>
  <c r="F110" i="2"/>
  <c r="E110" i="2"/>
  <c r="F109" i="2"/>
  <c r="K109" i="2" s="1"/>
  <c r="G108" i="2"/>
  <c r="E108" i="2"/>
  <c r="F107" i="2"/>
  <c r="E107" i="2"/>
  <c r="G104" i="2"/>
  <c r="E104" i="2"/>
  <c r="F104" i="2" s="1"/>
  <c r="K104" i="2" s="1"/>
  <c r="F102" i="2"/>
  <c r="J102" i="2" s="1"/>
  <c r="H102" i="2" s="1"/>
  <c r="E102" i="2"/>
  <c r="G102" i="2" s="1"/>
  <c r="E101" i="2"/>
  <c r="G100" i="2"/>
  <c r="F100" i="2"/>
  <c r="E100" i="2"/>
  <c r="G99" i="2"/>
  <c r="E99" i="2"/>
  <c r="E98" i="2"/>
  <c r="E95" i="2"/>
  <c r="E94" i="2"/>
  <c r="G93" i="2"/>
  <c r="E93" i="2"/>
  <c r="F93" i="2" s="1"/>
  <c r="I93" i="2" s="1"/>
  <c r="F92" i="2"/>
  <c r="E91" i="2"/>
  <c r="G90" i="2"/>
  <c r="F90" i="2"/>
  <c r="I90" i="2" s="1"/>
  <c r="E90" i="2"/>
  <c r="G89" i="2"/>
  <c r="E89" i="2"/>
  <c r="G88" i="2"/>
  <c r="F88" i="2"/>
  <c r="E88" i="2"/>
  <c r="G87" i="2"/>
  <c r="E87" i="2"/>
  <c r="F86" i="2"/>
  <c r="K86" i="2" s="1"/>
  <c r="G85" i="2"/>
  <c r="E85" i="2"/>
  <c r="F85" i="2" s="1"/>
  <c r="K85" i="2" s="1"/>
  <c r="E84" i="2"/>
  <c r="G84" i="2" s="1"/>
  <c r="K83" i="2"/>
  <c r="G82" i="2"/>
  <c r="F82" i="2"/>
  <c r="K82" i="2" s="1"/>
  <c r="E82" i="2"/>
  <c r="E81" i="2"/>
  <c r="F80" i="2"/>
  <c r="I80" i="2" s="1"/>
  <c r="E80" i="2"/>
  <c r="G79" i="2"/>
  <c r="E79" i="2"/>
  <c r="G76" i="2"/>
  <c r="E76" i="2"/>
  <c r="E75" i="2"/>
  <c r="F74" i="2"/>
  <c r="J74" i="2" s="1"/>
  <c r="H74" i="2" s="1"/>
  <c r="G74" i="2"/>
  <c r="F73" i="2"/>
  <c r="J73" i="2" s="1"/>
  <c r="H73" i="2" s="1"/>
  <c r="G72" i="2"/>
  <c r="F72" i="2"/>
  <c r="J72" i="2" s="1"/>
  <c r="H72" i="2" s="1"/>
  <c r="E72" i="2"/>
  <c r="G69" i="2"/>
  <c r="E69" i="2"/>
  <c r="E68" i="2"/>
  <c r="G67" i="2"/>
  <c r="F67" i="2"/>
  <c r="K67" i="2" s="1"/>
  <c r="E67" i="2"/>
  <c r="F66" i="2"/>
  <c r="I66" i="2" s="1"/>
  <c r="E66" i="2"/>
  <c r="G66" i="2" s="1"/>
  <c r="G64" i="2"/>
  <c r="E64" i="2"/>
  <c r="F64" i="2" s="1"/>
  <c r="K64" i="2" s="1"/>
  <c r="G63" i="2"/>
  <c r="F63" i="2"/>
  <c r="J63" i="2" s="1"/>
  <c r="H63" i="2" s="1"/>
  <c r="E63" i="2"/>
  <c r="F61" i="2"/>
  <c r="E61" i="2"/>
  <c r="E60" i="2"/>
  <c r="G59" i="2"/>
  <c r="F59" i="2"/>
  <c r="K59" i="2" s="1"/>
  <c r="E59" i="2"/>
  <c r="F58" i="2"/>
  <c r="I58" i="2" s="1"/>
  <c r="E58" i="2"/>
  <c r="G58" i="2" s="1"/>
  <c r="G56" i="2"/>
  <c r="E56" i="2"/>
  <c r="F56" i="2" s="1"/>
  <c r="K56" i="2" s="1"/>
  <c r="G54" i="2"/>
  <c r="F54" i="2"/>
  <c r="J54" i="2" s="1"/>
  <c r="H54" i="2" s="1"/>
  <c r="E54" i="2"/>
  <c r="G52" i="2"/>
  <c r="E52" i="2"/>
  <c r="F51" i="2"/>
  <c r="E51" i="2"/>
  <c r="E50" i="2"/>
  <c r="F49" i="2"/>
  <c r="K49" i="2" s="1"/>
  <c r="F48" i="2"/>
  <c r="I48" i="2" s="1"/>
  <c r="E48" i="2"/>
  <c r="G48" i="2" s="1"/>
  <c r="E47" i="2"/>
  <c r="G47" i="2" s="1"/>
  <c r="G46" i="2"/>
  <c r="E46" i="2"/>
  <c r="F46" i="2" s="1"/>
  <c r="K46" i="2" s="1"/>
  <c r="J45" i="2"/>
  <c r="H45" i="2" s="1"/>
  <c r="G44" i="2"/>
  <c r="E44" i="2"/>
  <c r="F43" i="2"/>
  <c r="E43" i="2"/>
  <c r="E42" i="2"/>
  <c r="F41" i="2"/>
  <c r="F40" i="2"/>
  <c r="I40" i="2" s="1"/>
  <c r="E40" i="2"/>
  <c r="G40" i="2" s="1"/>
  <c r="E39" i="2"/>
  <c r="G39" i="2" s="1"/>
  <c r="F38" i="2"/>
  <c r="K38" i="2" s="1"/>
  <c r="G37" i="2"/>
  <c r="F37" i="2"/>
  <c r="J37" i="2" s="1"/>
  <c r="H37" i="2" s="1"/>
  <c r="E37" i="2"/>
  <c r="G36" i="2"/>
  <c r="E36" i="2"/>
  <c r="F35" i="2"/>
  <c r="E35" i="2"/>
  <c r="E34" i="2"/>
  <c r="G33" i="2"/>
  <c r="F33" i="2"/>
  <c r="K33" i="2" s="1"/>
  <c r="E33" i="2"/>
  <c r="F32" i="2"/>
  <c r="I32" i="2" s="1"/>
  <c r="E32" i="2"/>
  <c r="G32" i="2" s="1"/>
  <c r="E29" i="2"/>
  <c r="G29" i="2" s="1"/>
  <c r="G28" i="2"/>
  <c r="E28" i="2"/>
  <c r="F28" i="2" s="1"/>
  <c r="K28" i="2" s="1"/>
  <c r="G27" i="2"/>
  <c r="F27" i="2"/>
  <c r="J27" i="2" s="1"/>
  <c r="H27" i="2" s="1"/>
  <c r="E27" i="2"/>
  <c r="G26" i="2"/>
  <c r="F25" i="2"/>
  <c r="E25" i="2"/>
  <c r="E24" i="2"/>
  <c r="G23" i="2"/>
  <c r="F23" i="2"/>
  <c r="K23" i="2" s="1"/>
  <c r="E23" i="2"/>
  <c r="F22" i="2"/>
  <c r="I22" i="2" s="1"/>
  <c r="E22" i="2"/>
  <c r="G22" i="2" s="1"/>
  <c r="E21" i="2"/>
  <c r="G21" i="2" s="1"/>
  <c r="G20" i="2"/>
  <c r="E20" i="2"/>
  <c r="F20" i="2" s="1"/>
  <c r="K20" i="2" s="1"/>
  <c r="F19" i="2"/>
  <c r="J19" i="2" s="1"/>
  <c r="H19" i="2" s="1"/>
  <c r="G16" i="2"/>
  <c r="E16" i="2"/>
  <c r="F15" i="2"/>
  <c r="I15" i="2" s="1"/>
  <c r="G13" i="2"/>
  <c r="F13" i="2"/>
  <c r="K13" i="2" s="1"/>
  <c r="E13" i="2"/>
  <c r="F12" i="2"/>
  <c r="I12" i="2" s="1"/>
  <c r="E11" i="2"/>
  <c r="G11" i="2" s="1"/>
  <c r="G8" i="2"/>
  <c r="E8" i="2"/>
  <c r="F8" i="2" s="1"/>
  <c r="K8" i="2" s="1"/>
  <c r="F7" i="2"/>
  <c r="J7" i="2" s="1"/>
  <c r="H7" i="2" s="1"/>
  <c r="I7" i="2"/>
  <c r="G6" i="2"/>
  <c r="E6" i="2"/>
  <c r="F5" i="2"/>
  <c r="I5" i="2" s="1"/>
  <c r="E4" i="2"/>
  <c r="J3" i="2"/>
  <c r="H3" i="2" s="1"/>
  <c r="G3" i="2"/>
  <c r="F3" i="2"/>
  <c r="K3" i="2" s="1"/>
  <c r="E3" i="2"/>
  <c r="I3" i="2" s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I390" i="2" l="1"/>
  <c r="K238" i="2"/>
  <c r="J442" i="2"/>
  <c r="H442" i="2" s="1"/>
  <c r="K92" i="2"/>
  <c r="J23" i="2"/>
  <c r="H23" i="2" s="1"/>
  <c r="K311" i="2"/>
  <c r="I353" i="2"/>
  <c r="I456" i="2"/>
  <c r="K353" i="2"/>
  <c r="I371" i="2"/>
  <c r="K102" i="2"/>
  <c r="K588" i="2"/>
  <c r="K282" i="2"/>
  <c r="I498" i="2"/>
  <c r="I181" i="2"/>
  <c r="I463" i="2"/>
  <c r="I199" i="2"/>
  <c r="I228" i="2"/>
  <c r="I190" i="2"/>
  <c r="I206" i="2"/>
  <c r="K513" i="2"/>
  <c r="J562" i="2"/>
  <c r="I45" i="2"/>
  <c r="K66" i="2"/>
  <c r="I152" i="2"/>
  <c r="J190" i="2"/>
  <c r="H190" i="2" s="1"/>
  <c r="J552" i="2"/>
  <c r="H552" i="2" s="1"/>
  <c r="I92" i="2"/>
  <c r="J318" i="2"/>
  <c r="H318" i="2" s="1"/>
  <c r="J324" i="2"/>
  <c r="H324" i="2" s="1"/>
  <c r="J505" i="2"/>
  <c r="H505" i="2" s="1"/>
  <c r="K508" i="2"/>
  <c r="I173" i="2"/>
  <c r="K181" i="2"/>
  <c r="I503" i="2"/>
  <c r="J41" i="2"/>
  <c r="K416" i="2" s="1"/>
  <c r="I129" i="2"/>
  <c r="I281" i="2"/>
  <c r="K448" i="2"/>
  <c r="K466" i="2"/>
  <c r="I38" i="2"/>
  <c r="K142" i="2"/>
  <c r="K150" i="2"/>
  <c r="J598" i="2"/>
  <c r="H598" i="2" s="1"/>
  <c r="J456" i="2"/>
  <c r="H456" i="2" s="1"/>
  <c r="K552" i="2"/>
  <c r="I165" i="2"/>
  <c r="K262" i="2"/>
  <c r="K285" i="2"/>
  <c r="I299" i="2"/>
  <c r="K468" i="2"/>
  <c r="J165" i="2"/>
  <c r="H165" i="2" s="1"/>
  <c r="J255" i="2"/>
  <c r="H255" i="2" s="1"/>
  <c r="I282" i="2"/>
  <c r="K286" i="2"/>
  <c r="J311" i="2"/>
  <c r="K598" i="2"/>
  <c r="K48" i="2"/>
  <c r="I137" i="2"/>
  <c r="K146" i="2"/>
  <c r="J194" i="2"/>
  <c r="H194" i="2" s="1"/>
  <c r="K207" i="2"/>
  <c r="K233" i="2"/>
  <c r="I246" i="2"/>
  <c r="I562" i="2"/>
  <c r="J567" i="2"/>
  <c r="H567" i="2" s="1"/>
  <c r="K124" i="2"/>
  <c r="K137" i="2"/>
  <c r="I171" i="2"/>
  <c r="I220" i="2"/>
  <c r="K304" i="2"/>
  <c r="K350" i="2"/>
  <c r="I354" i="2"/>
  <c r="I440" i="2"/>
  <c r="K492" i="2"/>
  <c r="J59" i="2"/>
  <c r="H59" i="2" s="1"/>
  <c r="K72" i="2"/>
  <c r="J136" i="2"/>
  <c r="H136" i="2" s="1"/>
  <c r="I144" i="2"/>
  <c r="J202" i="2"/>
  <c r="H202" i="2" s="1"/>
  <c r="K220" i="2"/>
  <c r="K244" i="2"/>
  <c r="K386" i="2"/>
  <c r="J412" i="2"/>
  <c r="H412" i="2" s="1"/>
  <c r="I453" i="2"/>
  <c r="J515" i="2"/>
  <c r="H515" i="2" s="1"/>
  <c r="K12" i="2"/>
  <c r="I27" i="2"/>
  <c r="K32" i="2"/>
  <c r="I102" i="2"/>
  <c r="K136" i="2"/>
  <c r="I157" i="2"/>
  <c r="I166" i="2"/>
  <c r="K199" i="2"/>
  <c r="K202" i="2"/>
  <c r="J263" i="2"/>
  <c r="H263" i="2" s="1"/>
  <c r="K291" i="2"/>
  <c r="I324" i="2"/>
  <c r="J390" i="2"/>
  <c r="H390" i="2" s="1"/>
  <c r="J400" i="2"/>
  <c r="H400" i="2" s="1"/>
  <c r="K412" i="2"/>
  <c r="I476" i="2"/>
  <c r="J583" i="2"/>
  <c r="H583" i="2" s="1"/>
  <c r="K252" i="2"/>
  <c r="I255" i="2"/>
  <c r="K263" i="2"/>
  <c r="I270" i="2"/>
  <c r="J285" i="2"/>
  <c r="H285" i="2" s="1"/>
  <c r="J363" i="2"/>
  <c r="H363" i="2" s="1"/>
  <c r="K367" i="2"/>
  <c r="K433" i="2"/>
  <c r="J476" i="2"/>
  <c r="H476" i="2" s="1"/>
  <c r="K524" i="2"/>
  <c r="J533" i="2"/>
  <c r="H533" i="2" s="1"/>
  <c r="J549" i="2"/>
  <c r="H549" i="2" s="1"/>
  <c r="J573" i="2"/>
  <c r="I13" i="2"/>
  <c r="K27" i="2"/>
  <c r="I33" i="2"/>
  <c r="I49" i="2"/>
  <c r="K63" i="2"/>
  <c r="I67" i="2"/>
  <c r="K112" i="2"/>
  <c r="I168" i="2"/>
  <c r="I225" i="2"/>
  <c r="J228" i="2"/>
  <c r="H228" i="2" s="1"/>
  <c r="I252" i="2"/>
  <c r="I262" i="2"/>
  <c r="K283" i="2"/>
  <c r="I300" i="2"/>
  <c r="I303" i="2"/>
  <c r="I309" i="2"/>
  <c r="K329" i="2"/>
  <c r="J372" i="2"/>
  <c r="H372" i="2" s="1"/>
  <c r="I389" i="2"/>
  <c r="I428" i="2"/>
  <c r="I443" i="2"/>
  <c r="I448" i="2"/>
  <c r="I466" i="2"/>
  <c r="I483" i="2"/>
  <c r="K504" i="2"/>
  <c r="K7" i="2"/>
  <c r="I19" i="2"/>
  <c r="I37" i="2"/>
  <c r="K45" i="2"/>
  <c r="I54" i="2"/>
  <c r="I104" i="2"/>
  <c r="K180" i="2"/>
  <c r="K225" i="2"/>
  <c r="J234" i="2"/>
  <c r="H234" i="2" s="1"/>
  <c r="J243" i="2"/>
  <c r="H243" i="2" s="1"/>
  <c r="I273" i="2"/>
  <c r="J300" i="2"/>
  <c r="H300" i="2" s="1"/>
  <c r="J303" i="2"/>
  <c r="H303" i="2" s="1"/>
  <c r="K309" i="2"/>
  <c r="J345" i="2"/>
  <c r="H345" i="2" s="1"/>
  <c r="I408" i="2"/>
  <c r="K422" i="2"/>
  <c r="J428" i="2"/>
  <c r="H428" i="2" s="1"/>
  <c r="I436" i="2"/>
  <c r="K452" i="2"/>
  <c r="I495" i="2"/>
  <c r="J578" i="2"/>
  <c r="H578" i="2" s="1"/>
  <c r="J588" i="2"/>
  <c r="H588" i="2" s="1"/>
  <c r="J436" i="2"/>
  <c r="H436" i="2" s="1"/>
  <c r="J13" i="2"/>
  <c r="H13" i="2" s="1"/>
  <c r="K22" i="2"/>
  <c r="I28" i="2"/>
  <c r="J33" i="2"/>
  <c r="H33" i="2" s="1"/>
  <c r="K40" i="2"/>
  <c r="J49" i="2"/>
  <c r="K58" i="2"/>
  <c r="I64" i="2"/>
  <c r="J67" i="2"/>
  <c r="H67" i="2" s="1"/>
  <c r="J113" i="2"/>
  <c r="H113" i="2" s="1"/>
  <c r="I159" i="2"/>
  <c r="I191" i="2"/>
  <c r="I226" i="2"/>
  <c r="I238" i="2"/>
  <c r="J354" i="2"/>
  <c r="H354" i="2" s="1"/>
  <c r="K371" i="2"/>
  <c r="J424" i="2"/>
  <c r="H424" i="2" s="1"/>
  <c r="J433" i="2"/>
  <c r="K481" i="2" s="1"/>
  <c r="I460" i="2"/>
  <c r="I465" i="2"/>
  <c r="I478" i="2"/>
  <c r="I531" i="2"/>
  <c r="J539" i="2"/>
  <c r="H539" i="2" s="1"/>
  <c r="I570" i="2"/>
  <c r="J104" i="2"/>
  <c r="H104" i="2" s="1"/>
  <c r="K432" i="2"/>
  <c r="I23" i="2"/>
  <c r="K37" i="2"/>
  <c r="I41" i="2"/>
  <c r="I59" i="2"/>
  <c r="J80" i="2"/>
  <c r="H80" i="2" s="1"/>
  <c r="K113" i="2"/>
  <c r="J159" i="2"/>
  <c r="H159" i="2" s="1"/>
  <c r="J185" i="2"/>
  <c r="H185" i="2" s="1"/>
  <c r="K191" i="2"/>
  <c r="I207" i="2"/>
  <c r="I217" i="2"/>
  <c r="J248" i="2"/>
  <c r="H248" i="2" s="1"/>
  <c r="I259" i="2"/>
  <c r="K318" i="2"/>
  <c r="K368" i="2"/>
  <c r="I372" i="2"/>
  <c r="J379" i="2"/>
  <c r="H379" i="2" s="1"/>
  <c r="I419" i="2"/>
  <c r="J435" i="2"/>
  <c r="J465" i="2"/>
  <c r="H465" i="2" s="1"/>
  <c r="I481" i="2"/>
  <c r="J485" i="2"/>
  <c r="H485" i="2" s="1"/>
  <c r="K490" i="2"/>
  <c r="I544" i="2"/>
  <c r="K570" i="2"/>
  <c r="I578" i="2"/>
  <c r="J591" i="2"/>
  <c r="K595" i="2" s="1"/>
  <c r="K19" i="2"/>
  <c r="K54" i="2"/>
  <c r="K217" i="2"/>
  <c r="I233" i="2"/>
  <c r="I291" i="2"/>
  <c r="J544" i="2"/>
  <c r="J146" i="2"/>
  <c r="H146" i="2" s="1"/>
  <c r="I180" i="2"/>
  <c r="I243" i="2"/>
  <c r="J521" i="2"/>
  <c r="H521" i="2" s="1"/>
  <c r="K609" i="2"/>
  <c r="F14" i="2"/>
  <c r="J14" i="2" s="1"/>
  <c r="H14" i="2" s="1"/>
  <c r="I25" i="2"/>
  <c r="J25" i="2"/>
  <c r="H25" i="2" s="1"/>
  <c r="G50" i="2"/>
  <c r="F50" i="2"/>
  <c r="I50" i="2" s="1"/>
  <c r="J61" i="2"/>
  <c r="H61" i="2" s="1"/>
  <c r="I61" i="2"/>
  <c r="G42" i="2"/>
  <c r="F42" i="2"/>
  <c r="I42" i="2" s="1"/>
  <c r="K15" i="2"/>
  <c r="K51" i="2"/>
  <c r="K5" i="2"/>
  <c r="K43" i="2"/>
  <c r="G4" i="2"/>
  <c r="F4" i="2"/>
  <c r="J4" i="2" s="1"/>
  <c r="H4" i="2" s="1"/>
  <c r="I20" i="2"/>
  <c r="G34" i="2"/>
  <c r="F34" i="2"/>
  <c r="J34" i="2" s="1"/>
  <c r="H34" i="2" s="1"/>
  <c r="I43" i="2"/>
  <c r="J43" i="2"/>
  <c r="H43" i="2" s="1"/>
  <c r="I56" i="2"/>
  <c r="J51" i="2"/>
  <c r="H51" i="2" s="1"/>
  <c r="I51" i="2"/>
  <c r="K35" i="2"/>
  <c r="I8" i="2"/>
  <c r="G24" i="2"/>
  <c r="F24" i="2"/>
  <c r="I24" i="2" s="1"/>
  <c r="J35" i="2"/>
  <c r="H35" i="2" s="1"/>
  <c r="I35" i="2"/>
  <c r="I46" i="2"/>
  <c r="G60" i="2"/>
  <c r="F60" i="2"/>
  <c r="I60" i="2" s="1"/>
  <c r="K25" i="2"/>
  <c r="K61" i="2"/>
  <c r="G94" i="2"/>
  <c r="F94" i="2"/>
  <c r="K94" i="2" s="1"/>
  <c r="J93" i="2"/>
  <c r="H93" i="2" s="1"/>
  <c r="F101" i="2"/>
  <c r="K101" i="2" s="1"/>
  <c r="F106" i="2"/>
  <c r="J106" i="2" s="1"/>
  <c r="H106" i="2" s="1"/>
  <c r="K118" i="2"/>
  <c r="J118" i="2"/>
  <c r="H118" i="2" s="1"/>
  <c r="K121" i="2"/>
  <c r="G193" i="2"/>
  <c r="F193" i="2"/>
  <c r="K193" i="2" s="1"/>
  <c r="K290" i="2"/>
  <c r="J290" i="2"/>
  <c r="H290" i="2" s="1"/>
  <c r="I290" i="2"/>
  <c r="F91" i="2"/>
  <c r="K91" i="2" s="1"/>
  <c r="F6" i="2"/>
  <c r="J6" i="2" s="1"/>
  <c r="H6" i="2" s="1"/>
  <c r="J12" i="2"/>
  <c r="F16" i="2"/>
  <c r="J16" i="2" s="1"/>
  <c r="H16" i="2" s="1"/>
  <c r="J22" i="2"/>
  <c r="H22" i="2" s="1"/>
  <c r="J26" i="2"/>
  <c r="H26" i="2" s="1"/>
  <c r="J32" i="2"/>
  <c r="H32" i="2" s="1"/>
  <c r="F36" i="2"/>
  <c r="J36" i="2" s="1"/>
  <c r="H36" i="2" s="1"/>
  <c r="J40" i="2"/>
  <c r="H40" i="2" s="1"/>
  <c r="F44" i="2"/>
  <c r="J44" i="2" s="1"/>
  <c r="H44" i="2" s="1"/>
  <c r="J48" i="2"/>
  <c r="H48" i="2" s="1"/>
  <c r="F52" i="2"/>
  <c r="J52" i="2" s="1"/>
  <c r="H52" i="2" s="1"/>
  <c r="J58" i="2"/>
  <c r="H58" i="2" s="1"/>
  <c r="J62" i="2"/>
  <c r="J66" i="2"/>
  <c r="H66" i="2" s="1"/>
  <c r="F69" i="2"/>
  <c r="J69" i="2" s="1"/>
  <c r="H69" i="2" s="1"/>
  <c r="I73" i="2"/>
  <c r="K74" i="2"/>
  <c r="F76" i="2"/>
  <c r="K76" i="2" s="1"/>
  <c r="G83" i="2"/>
  <c r="I86" i="2"/>
  <c r="F89" i="2"/>
  <c r="I89" i="2" s="1"/>
  <c r="K93" i="2"/>
  <c r="G101" i="2"/>
  <c r="F108" i="2"/>
  <c r="J108" i="2" s="1"/>
  <c r="H108" i="2" s="1"/>
  <c r="G122" i="2"/>
  <c r="F122" i="2"/>
  <c r="K122" i="2" s="1"/>
  <c r="K126" i="2"/>
  <c r="J126" i="2"/>
  <c r="H126" i="2" s="1"/>
  <c r="K129" i="2"/>
  <c r="K132" i="2"/>
  <c r="G148" i="2"/>
  <c r="F148" i="2"/>
  <c r="K148" i="2" s="1"/>
  <c r="I176" i="2"/>
  <c r="K176" i="2"/>
  <c r="J176" i="2"/>
  <c r="H176" i="2" s="1"/>
  <c r="G215" i="2"/>
  <c r="F215" i="2"/>
  <c r="I215" i="2" s="1"/>
  <c r="G240" i="2"/>
  <c r="F240" i="2"/>
  <c r="I240" i="2" s="1"/>
  <c r="G280" i="2"/>
  <c r="F280" i="2"/>
  <c r="K280" i="2" s="1"/>
  <c r="F284" i="2"/>
  <c r="J284" i="2" s="1"/>
  <c r="H284" i="2" s="1"/>
  <c r="K110" i="2"/>
  <c r="J110" i="2"/>
  <c r="H110" i="2" s="1"/>
  <c r="K134" i="2"/>
  <c r="J134" i="2"/>
  <c r="H134" i="2" s="1"/>
  <c r="J160" i="2"/>
  <c r="H160" i="2" s="1"/>
  <c r="I160" i="2"/>
  <c r="G170" i="2"/>
  <c r="F170" i="2"/>
  <c r="J170" i="2" s="1"/>
  <c r="H170" i="2" s="1"/>
  <c r="G553" i="2"/>
  <c r="F553" i="2"/>
  <c r="I553" i="2" s="1"/>
  <c r="J8" i="2"/>
  <c r="H8" i="2" s="1"/>
  <c r="G15" i="2"/>
  <c r="J20" i="2"/>
  <c r="H20" i="2" s="1"/>
  <c r="G25" i="2"/>
  <c r="J28" i="2"/>
  <c r="H28" i="2" s="1"/>
  <c r="G35" i="2"/>
  <c r="J38" i="2"/>
  <c r="K364" i="2" s="1"/>
  <c r="G43" i="2"/>
  <c r="J46" i="2"/>
  <c r="H46" i="2" s="1"/>
  <c r="G51" i="2"/>
  <c r="J56" i="2"/>
  <c r="H56" i="2" s="1"/>
  <c r="G61" i="2"/>
  <c r="I63" i="2"/>
  <c r="J64" i="2"/>
  <c r="H64" i="2" s="1"/>
  <c r="F68" i="2"/>
  <c r="K68" i="2" s="1"/>
  <c r="I72" i="2"/>
  <c r="K73" i="2"/>
  <c r="F75" i="2"/>
  <c r="I75" i="2" s="1"/>
  <c r="F81" i="2"/>
  <c r="K81" i="2" s="1"/>
  <c r="I83" i="2"/>
  <c r="K88" i="2"/>
  <c r="I88" i="2"/>
  <c r="G91" i="2"/>
  <c r="J92" i="2"/>
  <c r="K144" i="2" s="1"/>
  <c r="F98" i="2"/>
  <c r="K98" i="2" s="1"/>
  <c r="F115" i="2"/>
  <c r="I115" i="2" s="1"/>
  <c r="F117" i="2"/>
  <c r="K117" i="2" s="1"/>
  <c r="I118" i="2"/>
  <c r="J120" i="2"/>
  <c r="K544" i="2" s="1"/>
  <c r="G138" i="2"/>
  <c r="F138" i="2"/>
  <c r="J138" i="2" s="1"/>
  <c r="H138" i="2" s="1"/>
  <c r="G149" i="2"/>
  <c r="F149" i="2"/>
  <c r="I149" i="2" s="1"/>
  <c r="J154" i="2"/>
  <c r="H154" i="2" s="1"/>
  <c r="K160" i="2"/>
  <c r="K198" i="2"/>
  <c r="J198" i="2"/>
  <c r="H198" i="2" s="1"/>
  <c r="J218" i="2"/>
  <c r="H218" i="2" s="1"/>
  <c r="I218" i="2"/>
  <c r="G222" i="2"/>
  <c r="F222" i="2"/>
  <c r="K222" i="2" s="1"/>
  <c r="G271" i="2"/>
  <c r="F271" i="2"/>
  <c r="J271" i="2" s="1"/>
  <c r="H271" i="2" s="1"/>
  <c r="I6" i="2"/>
  <c r="G68" i="2"/>
  <c r="G75" i="2"/>
  <c r="K80" i="2"/>
  <c r="G81" i="2"/>
  <c r="J83" i="2"/>
  <c r="H83" i="2" s="1"/>
  <c r="J86" i="2"/>
  <c r="H86" i="2" s="1"/>
  <c r="G98" i="2"/>
  <c r="K100" i="2"/>
  <c r="J100" i="2"/>
  <c r="H100" i="2" s="1"/>
  <c r="J107" i="2"/>
  <c r="H107" i="2" s="1"/>
  <c r="G107" i="2"/>
  <c r="J109" i="2"/>
  <c r="H109" i="2" s="1"/>
  <c r="I109" i="2"/>
  <c r="F119" i="2"/>
  <c r="I119" i="2" s="1"/>
  <c r="J123" i="2"/>
  <c r="H123" i="2" s="1"/>
  <c r="G123" i="2"/>
  <c r="F125" i="2"/>
  <c r="J125" i="2" s="1"/>
  <c r="H125" i="2" s="1"/>
  <c r="J128" i="2"/>
  <c r="H128" i="2" s="1"/>
  <c r="G178" i="2"/>
  <c r="F178" i="2"/>
  <c r="J178" i="2" s="1"/>
  <c r="H178" i="2" s="1"/>
  <c r="G115" i="2"/>
  <c r="I82" i="2"/>
  <c r="I110" i="2"/>
  <c r="F127" i="2"/>
  <c r="J127" i="2" s="1"/>
  <c r="H127" i="2" s="1"/>
  <c r="K128" i="2"/>
  <c r="G131" i="2"/>
  <c r="F133" i="2"/>
  <c r="K133" i="2" s="1"/>
  <c r="I134" i="2"/>
  <c r="J5" i="2"/>
  <c r="F11" i="2"/>
  <c r="J11" i="2" s="1"/>
  <c r="H11" i="2" s="1"/>
  <c r="J15" i="2"/>
  <c r="H15" i="2" s="1"/>
  <c r="F21" i="2"/>
  <c r="J21" i="2" s="1"/>
  <c r="H21" i="2" s="1"/>
  <c r="F29" i="2"/>
  <c r="J29" i="2" s="1"/>
  <c r="H29" i="2" s="1"/>
  <c r="F39" i="2"/>
  <c r="J39" i="2" s="1"/>
  <c r="H39" i="2" s="1"/>
  <c r="F47" i="2"/>
  <c r="J47" i="2" s="1"/>
  <c r="H47" i="2" s="1"/>
  <c r="F57" i="2"/>
  <c r="J57" i="2" s="1"/>
  <c r="F65" i="2"/>
  <c r="J65" i="2" s="1"/>
  <c r="G80" i="2"/>
  <c r="J82" i="2"/>
  <c r="H82" i="2" s="1"/>
  <c r="I85" i="2"/>
  <c r="K90" i="2"/>
  <c r="J90" i="2"/>
  <c r="H90" i="2" s="1"/>
  <c r="G95" i="2"/>
  <c r="I107" i="2"/>
  <c r="F111" i="2"/>
  <c r="I112" i="2"/>
  <c r="F114" i="2"/>
  <c r="I114" i="2" s="1"/>
  <c r="I123" i="2"/>
  <c r="G127" i="2"/>
  <c r="F131" i="2"/>
  <c r="K131" i="2" s="1"/>
  <c r="G133" i="2"/>
  <c r="F135" i="2"/>
  <c r="I135" i="2" s="1"/>
  <c r="G139" i="2"/>
  <c r="F143" i="2"/>
  <c r="J143" i="2" s="1"/>
  <c r="H143" i="2" s="1"/>
  <c r="J147" i="2"/>
  <c r="H147" i="2" s="1"/>
  <c r="I147" i="2"/>
  <c r="G130" i="2"/>
  <c r="F130" i="2"/>
  <c r="J130" i="2" s="1"/>
  <c r="H130" i="2" s="1"/>
  <c r="I74" i="2"/>
  <c r="F79" i="2"/>
  <c r="I79" i="2" s="1"/>
  <c r="F84" i="2"/>
  <c r="J84" i="2" s="1"/>
  <c r="H84" i="2" s="1"/>
  <c r="J85" i="2"/>
  <c r="H85" i="2" s="1"/>
  <c r="F87" i="2"/>
  <c r="K87" i="2" s="1"/>
  <c r="J88" i="2"/>
  <c r="H88" i="2" s="1"/>
  <c r="F95" i="2"/>
  <c r="I95" i="2" s="1"/>
  <c r="F99" i="2"/>
  <c r="K99" i="2" s="1"/>
  <c r="I100" i="2"/>
  <c r="K107" i="2"/>
  <c r="G111" i="2"/>
  <c r="J116" i="2"/>
  <c r="H116" i="2" s="1"/>
  <c r="I121" i="2"/>
  <c r="K123" i="2"/>
  <c r="G135" i="2"/>
  <c r="F139" i="2"/>
  <c r="I139" i="2" s="1"/>
  <c r="G143" i="2"/>
  <c r="F145" i="2"/>
  <c r="K145" i="2" s="1"/>
  <c r="G145" i="2"/>
  <c r="K164" i="2"/>
  <c r="I164" i="2"/>
  <c r="F213" i="2"/>
  <c r="I213" i="2" s="1"/>
  <c r="G213" i="2"/>
  <c r="K224" i="2"/>
  <c r="J224" i="2"/>
  <c r="H224" i="2" s="1"/>
  <c r="K157" i="2"/>
  <c r="F174" i="2"/>
  <c r="I174" i="2" s="1"/>
  <c r="G174" i="2"/>
  <c r="I189" i="2"/>
  <c r="G196" i="2"/>
  <c r="J210" i="2"/>
  <c r="H210" i="2" s="1"/>
  <c r="G265" i="2"/>
  <c r="F265" i="2"/>
  <c r="K265" i="2" s="1"/>
  <c r="F302" i="2"/>
  <c r="K302" i="2" s="1"/>
  <c r="F151" i="2"/>
  <c r="K151" i="2" s="1"/>
  <c r="J162" i="2"/>
  <c r="H162" i="2" s="1"/>
  <c r="J188" i="2"/>
  <c r="H188" i="2" s="1"/>
  <c r="F196" i="2"/>
  <c r="K196" i="2" s="1"/>
  <c r="I198" i="2"/>
  <c r="F209" i="2"/>
  <c r="I209" i="2" s="1"/>
  <c r="I224" i="2"/>
  <c r="G229" i="2"/>
  <c r="F229" i="2"/>
  <c r="K229" i="2" s="1"/>
  <c r="K232" i="2"/>
  <c r="J232" i="2"/>
  <c r="H232" i="2" s="1"/>
  <c r="I232" i="2"/>
  <c r="F245" i="2"/>
  <c r="K245" i="2" s="1"/>
  <c r="G245" i="2"/>
  <c r="I251" i="2"/>
  <c r="G296" i="2"/>
  <c r="F296" i="2"/>
  <c r="I296" i="2" s="1"/>
  <c r="K328" i="2"/>
  <c r="I328" i="2"/>
  <c r="J328" i="2"/>
  <c r="H328" i="2" s="1"/>
  <c r="I163" i="2"/>
  <c r="J168" i="2"/>
  <c r="H168" i="2" s="1"/>
  <c r="K194" i="2"/>
  <c r="F203" i="2"/>
  <c r="K203" i="2" s="1"/>
  <c r="J216" i="2"/>
  <c r="K301" i="2" s="1"/>
  <c r="G230" i="2"/>
  <c r="G254" i="2"/>
  <c r="F254" i="2"/>
  <c r="J254" i="2" s="1"/>
  <c r="H254" i="2" s="1"/>
  <c r="F370" i="2"/>
  <c r="J144" i="2"/>
  <c r="F156" i="2"/>
  <c r="I156" i="2" s="1"/>
  <c r="I158" i="2"/>
  <c r="F161" i="2"/>
  <c r="K161" i="2" s="1"/>
  <c r="I167" i="2"/>
  <c r="F183" i="2"/>
  <c r="J183" i="2" s="1"/>
  <c r="H183" i="2" s="1"/>
  <c r="K185" i="2"/>
  <c r="I188" i="2"/>
  <c r="F195" i="2"/>
  <c r="J201" i="2"/>
  <c r="H201" i="2" s="1"/>
  <c r="G203" i="2"/>
  <c r="I205" i="2"/>
  <c r="J206" i="2"/>
  <c r="H206" i="2" s="1"/>
  <c r="F208" i="2"/>
  <c r="I208" i="2" s="1"/>
  <c r="G208" i="2"/>
  <c r="F230" i="2"/>
  <c r="K230" i="2" s="1"/>
  <c r="G249" i="2"/>
  <c r="F249" i="2"/>
  <c r="J249" i="2" s="1"/>
  <c r="H249" i="2" s="1"/>
  <c r="K272" i="2"/>
  <c r="J272" i="2"/>
  <c r="H272" i="2" s="1"/>
  <c r="I272" i="2"/>
  <c r="J339" i="2"/>
  <c r="H339" i="2" s="1"/>
  <c r="K339" i="2"/>
  <c r="I339" i="2"/>
  <c r="I124" i="2"/>
  <c r="I132" i="2"/>
  <c r="I142" i="2"/>
  <c r="I150" i="2"/>
  <c r="K154" i="2"/>
  <c r="G156" i="2"/>
  <c r="J158" i="2"/>
  <c r="I162" i="2"/>
  <c r="J167" i="2"/>
  <c r="H167" i="2" s="1"/>
  <c r="F169" i="2"/>
  <c r="F172" i="2"/>
  <c r="F175" i="2"/>
  <c r="J175" i="2" s="1"/>
  <c r="H175" i="2" s="1"/>
  <c r="F187" i="2"/>
  <c r="K187" i="2" s="1"/>
  <c r="K189" i="2"/>
  <c r="F197" i="2"/>
  <c r="J197" i="2" s="1"/>
  <c r="H197" i="2" s="1"/>
  <c r="F200" i="2"/>
  <c r="J200" i="2" s="1"/>
  <c r="H200" i="2" s="1"/>
  <c r="G200" i="2"/>
  <c r="K201" i="2"/>
  <c r="I210" i="2"/>
  <c r="K223" i="2"/>
  <c r="J223" i="2"/>
  <c r="H223" i="2" s="1"/>
  <c r="K231" i="2"/>
  <c r="J231" i="2"/>
  <c r="H231" i="2" s="1"/>
  <c r="I231" i="2"/>
  <c r="F177" i="2"/>
  <c r="K177" i="2" s="1"/>
  <c r="F192" i="2"/>
  <c r="J192" i="2" s="1"/>
  <c r="G214" i="2"/>
  <c r="G219" i="2"/>
  <c r="F219" i="2"/>
  <c r="J219" i="2" s="1"/>
  <c r="H219" i="2" s="1"/>
  <c r="K247" i="2"/>
  <c r="I247" i="2"/>
  <c r="G260" i="2"/>
  <c r="F260" i="2"/>
  <c r="J260" i="2" s="1"/>
  <c r="H260" i="2" s="1"/>
  <c r="G326" i="2"/>
  <c r="F326" i="2"/>
  <c r="J326" i="2" s="1"/>
  <c r="H326" i="2" s="1"/>
  <c r="J152" i="2"/>
  <c r="H152" i="2" s="1"/>
  <c r="G154" i="2"/>
  <c r="K163" i="2"/>
  <c r="J166" i="2"/>
  <c r="H166" i="2" s="1"/>
  <c r="K171" i="2"/>
  <c r="K173" i="2"/>
  <c r="G177" i="2"/>
  <c r="F179" i="2"/>
  <c r="J179" i="2" s="1"/>
  <c r="H179" i="2" s="1"/>
  <c r="F182" i="2"/>
  <c r="K182" i="2" s="1"/>
  <c r="G182" i="2"/>
  <c r="G189" i="2"/>
  <c r="J204" i="2"/>
  <c r="H204" i="2" s="1"/>
  <c r="G204" i="2"/>
  <c r="K204" i="2"/>
  <c r="F214" i="2"/>
  <c r="J214" i="2" s="1"/>
  <c r="H214" i="2" s="1"/>
  <c r="I216" i="2"/>
  <c r="F221" i="2"/>
  <c r="K221" i="2" s="1"/>
  <c r="G223" i="2"/>
  <c r="G231" i="2"/>
  <c r="J247" i="2"/>
  <c r="H247" i="2" s="1"/>
  <c r="F337" i="2"/>
  <c r="K337" i="2" s="1"/>
  <c r="G337" i="2"/>
  <c r="G218" i="2"/>
  <c r="G226" i="2"/>
  <c r="G234" i="2"/>
  <c r="J241" i="2"/>
  <c r="H241" i="2" s="1"/>
  <c r="J244" i="2"/>
  <c r="H244" i="2" s="1"/>
  <c r="G247" i="2"/>
  <c r="K250" i="2"/>
  <c r="G251" i="2"/>
  <c r="J253" i="2"/>
  <c r="J264" i="2"/>
  <c r="H264" i="2" s="1"/>
  <c r="I266" i="2"/>
  <c r="I276" i="2"/>
  <c r="J283" i="2"/>
  <c r="H283" i="2" s="1"/>
  <c r="I294" i="2"/>
  <c r="J301" i="2"/>
  <c r="K312" i="2"/>
  <c r="K319" i="2"/>
  <c r="I329" i="2"/>
  <c r="I332" i="2"/>
  <c r="G341" i="2"/>
  <c r="F341" i="2"/>
  <c r="K341" i="2" s="1"/>
  <c r="G423" i="2"/>
  <c r="F423" i="2"/>
  <c r="J423" i="2" s="1"/>
  <c r="H423" i="2" s="1"/>
  <c r="J287" i="2"/>
  <c r="H287" i="2" s="1"/>
  <c r="I287" i="2"/>
  <c r="J305" i="2"/>
  <c r="H305" i="2" s="1"/>
  <c r="I305" i="2"/>
  <c r="F313" i="2"/>
  <c r="I313" i="2" s="1"/>
  <c r="K317" i="2"/>
  <c r="G320" i="2"/>
  <c r="F320" i="2"/>
  <c r="K320" i="2" s="1"/>
  <c r="J276" i="2"/>
  <c r="G287" i="2"/>
  <c r="J294" i="2"/>
  <c r="G310" i="2"/>
  <c r="F310" i="2"/>
  <c r="K310" i="2" s="1"/>
  <c r="G317" i="2"/>
  <c r="J332" i="2"/>
  <c r="H332" i="2" s="1"/>
  <c r="G430" i="2"/>
  <c r="F430" i="2"/>
  <c r="I430" i="2" s="1"/>
  <c r="K218" i="2"/>
  <c r="K226" i="2"/>
  <c r="K234" i="2"/>
  <c r="F239" i="2"/>
  <c r="K239" i="2" s="1"/>
  <c r="I241" i="2"/>
  <c r="J246" i="2"/>
  <c r="H246" i="2" s="1"/>
  <c r="I248" i="2"/>
  <c r="I250" i="2"/>
  <c r="K251" i="2"/>
  <c r="J259" i="2"/>
  <c r="K573" i="2" s="1"/>
  <c r="I261" i="2"/>
  <c r="J266" i="2"/>
  <c r="H266" i="2" s="1"/>
  <c r="K270" i="2"/>
  <c r="J273" i="2"/>
  <c r="H273" i="2" s="1"/>
  <c r="F275" i="2"/>
  <c r="K275" i="2" s="1"/>
  <c r="I286" i="2"/>
  <c r="F289" i="2"/>
  <c r="K289" i="2" s="1"/>
  <c r="F293" i="2"/>
  <c r="K293" i="2" s="1"/>
  <c r="I304" i="2"/>
  <c r="F307" i="2"/>
  <c r="I307" i="2" s="1"/>
  <c r="J308" i="2"/>
  <c r="H308" i="2" s="1"/>
  <c r="I312" i="2"/>
  <c r="I317" i="2"/>
  <c r="F333" i="2"/>
  <c r="K333" i="2" s="1"/>
  <c r="G348" i="2"/>
  <c r="F348" i="2"/>
  <c r="J348" i="2" s="1"/>
  <c r="H348" i="2" s="1"/>
  <c r="J364" i="2"/>
  <c r="K385" i="2"/>
  <c r="F417" i="2"/>
  <c r="J417" i="2" s="1"/>
  <c r="H417" i="2" s="1"/>
  <c r="G417" i="2"/>
  <c r="J261" i="2"/>
  <c r="K276" i="2" s="1"/>
  <c r="K287" i="2"/>
  <c r="K308" i="2"/>
  <c r="G316" i="2"/>
  <c r="G331" i="2"/>
  <c r="F331" i="2"/>
  <c r="K331" i="2" s="1"/>
  <c r="J385" i="2"/>
  <c r="H385" i="2" s="1"/>
  <c r="I385" i="2"/>
  <c r="F388" i="2"/>
  <c r="K388" i="2" s="1"/>
  <c r="F399" i="2"/>
  <c r="I399" i="2" s="1"/>
  <c r="F482" i="2"/>
  <c r="I482" i="2" s="1"/>
  <c r="G482" i="2"/>
  <c r="F227" i="2"/>
  <c r="F236" i="2"/>
  <c r="G274" i="2"/>
  <c r="F274" i="2"/>
  <c r="F277" i="2"/>
  <c r="K277" i="2" s="1"/>
  <c r="G292" i="2"/>
  <c r="F292" i="2"/>
  <c r="F295" i="2"/>
  <c r="K295" i="2" s="1"/>
  <c r="F316" i="2"/>
  <c r="I316" i="2" s="1"/>
  <c r="I323" i="2"/>
  <c r="F327" i="2"/>
  <c r="K327" i="2" s="1"/>
  <c r="K338" i="2"/>
  <c r="I338" i="2"/>
  <c r="K346" i="2"/>
  <c r="J346" i="2"/>
  <c r="H346" i="2" s="1"/>
  <c r="G352" i="2"/>
  <c r="F352" i="2"/>
  <c r="K352" i="2" s="1"/>
  <c r="K380" i="2"/>
  <c r="J380" i="2"/>
  <c r="H380" i="2" s="1"/>
  <c r="F242" i="2"/>
  <c r="I253" i="2"/>
  <c r="F258" i="2"/>
  <c r="I258" i="2" s="1"/>
  <c r="G263" i="2"/>
  <c r="I264" i="2"/>
  <c r="F269" i="2"/>
  <c r="G277" i="2"/>
  <c r="J286" i="2"/>
  <c r="H286" i="2" s="1"/>
  <c r="F288" i="2"/>
  <c r="I288" i="2" s="1"/>
  <c r="G295" i="2"/>
  <c r="K299" i="2"/>
  <c r="J304" i="2"/>
  <c r="H304" i="2" s="1"/>
  <c r="F306" i="2"/>
  <c r="I306" i="2" s="1"/>
  <c r="I319" i="2"/>
  <c r="F325" i="2"/>
  <c r="K325" i="2" s="1"/>
  <c r="G327" i="2"/>
  <c r="K336" i="2"/>
  <c r="I404" i="2"/>
  <c r="K404" i="2"/>
  <c r="J404" i="2"/>
  <c r="H404" i="2" s="1"/>
  <c r="G414" i="2"/>
  <c r="F414" i="2"/>
  <c r="J414" i="2" s="1"/>
  <c r="H414" i="2" s="1"/>
  <c r="G356" i="2"/>
  <c r="K360" i="2"/>
  <c r="K376" i="2"/>
  <c r="G392" i="2"/>
  <c r="K394" i="2"/>
  <c r="G402" i="2"/>
  <c r="J416" i="2"/>
  <c r="F596" i="2"/>
  <c r="J596" i="2" s="1"/>
  <c r="H596" i="2" s="1"/>
  <c r="G596" i="2"/>
  <c r="F343" i="2"/>
  <c r="I343" i="2" s="1"/>
  <c r="I346" i="2"/>
  <c r="F356" i="2"/>
  <c r="J356" i="2" s="1"/>
  <c r="H356" i="2" s="1"/>
  <c r="F361" i="2"/>
  <c r="I361" i="2" s="1"/>
  <c r="I364" i="2"/>
  <c r="F374" i="2"/>
  <c r="J374" i="2" s="1"/>
  <c r="H374" i="2" s="1"/>
  <c r="F377" i="2"/>
  <c r="J377" i="2" s="1"/>
  <c r="H377" i="2" s="1"/>
  <c r="I380" i="2"/>
  <c r="F392" i="2"/>
  <c r="J392" i="2" s="1"/>
  <c r="H392" i="2" s="1"/>
  <c r="F402" i="2"/>
  <c r="K402" i="2" s="1"/>
  <c r="F566" i="2"/>
  <c r="K566" i="2" s="1"/>
  <c r="G566" i="2"/>
  <c r="G336" i="2"/>
  <c r="I342" i="2"/>
  <c r="F355" i="2"/>
  <c r="J355" i="2" s="1"/>
  <c r="H355" i="2" s="1"/>
  <c r="I360" i="2"/>
  <c r="G367" i="2"/>
  <c r="F373" i="2"/>
  <c r="I376" i="2"/>
  <c r="J386" i="2"/>
  <c r="H386" i="2" s="1"/>
  <c r="I391" i="2"/>
  <c r="G406" i="2"/>
  <c r="J406" i="2"/>
  <c r="H406" i="2" s="1"/>
  <c r="K408" i="2"/>
  <c r="J408" i="2"/>
  <c r="H408" i="2" s="1"/>
  <c r="I425" i="2"/>
  <c r="F431" i="2"/>
  <c r="J431" i="2" s="1"/>
  <c r="H431" i="2" s="1"/>
  <c r="F464" i="2"/>
  <c r="K464" i="2" s="1"/>
  <c r="G464" i="2"/>
  <c r="G366" i="2"/>
  <c r="G384" i="2"/>
  <c r="F401" i="2"/>
  <c r="K401" i="2" s="1"/>
  <c r="G415" i="2"/>
  <c r="G431" i="2"/>
  <c r="G502" i="2"/>
  <c r="F502" i="2"/>
  <c r="I502" i="2" s="1"/>
  <c r="I336" i="2"/>
  <c r="J349" i="2"/>
  <c r="H349" i="2" s="1"/>
  <c r="F351" i="2"/>
  <c r="I351" i="2" s="1"/>
  <c r="G363" i="2"/>
  <c r="F366" i="2"/>
  <c r="K366" i="2" s="1"/>
  <c r="J367" i="2"/>
  <c r="H367" i="2" s="1"/>
  <c r="F369" i="2"/>
  <c r="I369" i="2" s="1"/>
  <c r="G379" i="2"/>
  <c r="F384" i="2"/>
  <c r="K384" i="2" s="1"/>
  <c r="F387" i="2"/>
  <c r="I387" i="2" s="1"/>
  <c r="G401" i="2"/>
  <c r="F403" i="2"/>
  <c r="J403" i="2" s="1"/>
  <c r="H403" i="2" s="1"/>
  <c r="F409" i="2"/>
  <c r="K409" i="2" s="1"/>
  <c r="F415" i="2"/>
  <c r="J415" i="2" s="1"/>
  <c r="H415" i="2" s="1"/>
  <c r="F439" i="2"/>
  <c r="I439" i="2" s="1"/>
  <c r="F330" i="2"/>
  <c r="K330" i="2" s="1"/>
  <c r="J336" i="2"/>
  <c r="H336" i="2" s="1"/>
  <c r="F340" i="2"/>
  <c r="G344" i="2"/>
  <c r="I345" i="2"/>
  <c r="F359" i="2"/>
  <c r="J359" i="2" s="1"/>
  <c r="H359" i="2" s="1"/>
  <c r="G362" i="2"/>
  <c r="I363" i="2"/>
  <c r="G369" i="2"/>
  <c r="F375" i="2"/>
  <c r="J375" i="2" s="1"/>
  <c r="H375" i="2" s="1"/>
  <c r="I379" i="2"/>
  <c r="G387" i="2"/>
  <c r="F393" i="2"/>
  <c r="J393" i="2" s="1"/>
  <c r="H393" i="2" s="1"/>
  <c r="G398" i="2"/>
  <c r="F398" i="2"/>
  <c r="K398" i="2" s="1"/>
  <c r="G403" i="2"/>
  <c r="G409" i="2"/>
  <c r="I411" i="2"/>
  <c r="J342" i="2"/>
  <c r="H342" i="2" s="1"/>
  <c r="F344" i="2"/>
  <c r="F347" i="2"/>
  <c r="I350" i="2"/>
  <c r="F362" i="2"/>
  <c r="K362" i="2" s="1"/>
  <c r="F365" i="2"/>
  <c r="J365" i="2" s="1"/>
  <c r="H365" i="2" s="1"/>
  <c r="I368" i="2"/>
  <c r="F378" i="2"/>
  <c r="K378" i="2" s="1"/>
  <c r="F381" i="2"/>
  <c r="J381" i="2" s="1"/>
  <c r="H381" i="2" s="1"/>
  <c r="J394" i="2"/>
  <c r="H394" i="2" s="1"/>
  <c r="I400" i="2"/>
  <c r="F407" i="2"/>
  <c r="J407" i="2" s="1"/>
  <c r="H407" i="2" s="1"/>
  <c r="I416" i="2"/>
  <c r="G427" i="2"/>
  <c r="K427" i="2"/>
  <c r="J427" i="2"/>
  <c r="H427" i="2" s="1"/>
  <c r="I427" i="2"/>
  <c r="K450" i="2"/>
  <c r="J410" i="2"/>
  <c r="H410" i="2" s="1"/>
  <c r="K411" i="2"/>
  <c r="J418" i="2"/>
  <c r="H418" i="2" s="1"/>
  <c r="K419" i="2"/>
  <c r="I450" i="2"/>
  <c r="G452" i="2"/>
  <c r="F454" i="2"/>
  <c r="J454" i="2" s="1"/>
  <c r="H454" i="2" s="1"/>
  <c r="I455" i="2"/>
  <c r="G467" i="2"/>
  <c r="J467" i="2"/>
  <c r="H467" i="2" s="1"/>
  <c r="I473" i="2"/>
  <c r="G480" i="2"/>
  <c r="F480" i="2"/>
  <c r="J480" i="2" s="1"/>
  <c r="H480" i="2" s="1"/>
  <c r="F517" i="2"/>
  <c r="J517" i="2" s="1"/>
  <c r="H517" i="2" s="1"/>
  <c r="G517" i="2"/>
  <c r="F535" i="2"/>
  <c r="J535" i="2" s="1"/>
  <c r="H535" i="2" s="1"/>
  <c r="G535" i="2"/>
  <c r="G548" i="2"/>
  <c r="F548" i="2"/>
  <c r="I548" i="2" s="1"/>
  <c r="F395" i="2"/>
  <c r="F405" i="2"/>
  <c r="J405" i="2" s="1"/>
  <c r="H405" i="2" s="1"/>
  <c r="K410" i="2"/>
  <c r="F413" i="2"/>
  <c r="K418" i="2"/>
  <c r="J422" i="2"/>
  <c r="H422" i="2" s="1"/>
  <c r="F426" i="2"/>
  <c r="I432" i="2"/>
  <c r="F441" i="2"/>
  <c r="J441" i="2" s="1"/>
  <c r="H441" i="2" s="1"/>
  <c r="F444" i="2"/>
  <c r="K444" i="2" s="1"/>
  <c r="I445" i="2"/>
  <c r="J455" i="2"/>
  <c r="H455" i="2" s="1"/>
  <c r="G459" i="2"/>
  <c r="F459" i="2"/>
  <c r="I459" i="2" s="1"/>
  <c r="K461" i="2"/>
  <c r="I461" i="2"/>
  <c r="F474" i="2"/>
  <c r="J474" i="2" s="1"/>
  <c r="H474" i="2" s="1"/>
  <c r="J478" i="2"/>
  <c r="H478" i="2" s="1"/>
  <c r="J497" i="2"/>
  <c r="F429" i="2"/>
  <c r="K429" i="2" s="1"/>
  <c r="G441" i="2"/>
  <c r="J445" i="2"/>
  <c r="H445" i="2" s="1"/>
  <c r="G449" i="2"/>
  <c r="F449" i="2"/>
  <c r="J449" i="2" s="1"/>
  <c r="H449" i="2" s="1"/>
  <c r="K451" i="2"/>
  <c r="I451" i="2"/>
  <c r="J463" i="2"/>
  <c r="H463" i="2" s="1"/>
  <c r="G472" i="2"/>
  <c r="F472" i="2"/>
  <c r="K472" i="2" s="1"/>
  <c r="K555" i="2"/>
  <c r="I555" i="2"/>
  <c r="J555" i="2"/>
  <c r="H555" i="2" s="1"/>
  <c r="J425" i="2"/>
  <c r="H425" i="2" s="1"/>
  <c r="J440" i="2"/>
  <c r="H440" i="2" s="1"/>
  <c r="G440" i="2"/>
  <c r="J443" i="2"/>
  <c r="K462" i="2" s="1"/>
  <c r="K445" i="2"/>
  <c r="J453" i="2"/>
  <c r="H453" i="2" s="1"/>
  <c r="J468" i="2"/>
  <c r="H468" i="2" s="1"/>
  <c r="J481" i="2"/>
  <c r="F486" i="2"/>
  <c r="I486" i="2" s="1"/>
  <c r="G486" i="2"/>
  <c r="F507" i="2"/>
  <c r="I507" i="2" s="1"/>
  <c r="F523" i="2"/>
  <c r="K523" i="2" s="1"/>
  <c r="G543" i="2"/>
  <c r="F543" i="2"/>
  <c r="K543" i="2" s="1"/>
  <c r="G546" i="2"/>
  <c r="F546" i="2"/>
  <c r="J546" i="2" s="1"/>
  <c r="H546" i="2" s="1"/>
  <c r="I424" i="2"/>
  <c r="F434" i="2"/>
  <c r="I434" i="2" s="1"/>
  <c r="I435" i="2"/>
  <c r="I442" i="2"/>
  <c r="J451" i="2"/>
  <c r="H451" i="2" s="1"/>
  <c r="J460" i="2"/>
  <c r="H460" i="2" s="1"/>
  <c r="G460" i="2"/>
  <c r="J462" i="2"/>
  <c r="K510" i="2" s="1"/>
  <c r="I462" i="2"/>
  <c r="J473" i="2"/>
  <c r="H473" i="2" s="1"/>
  <c r="J475" i="2"/>
  <c r="H475" i="2" s="1"/>
  <c r="I475" i="2"/>
  <c r="K484" i="2"/>
  <c r="K520" i="2"/>
  <c r="K538" i="2"/>
  <c r="F576" i="2"/>
  <c r="J576" i="2" s="1"/>
  <c r="H576" i="2" s="1"/>
  <c r="G576" i="2"/>
  <c r="J450" i="2"/>
  <c r="H450" i="2" s="1"/>
  <c r="G450" i="2"/>
  <c r="J452" i="2"/>
  <c r="H452" i="2" s="1"/>
  <c r="I452" i="2"/>
  <c r="G477" i="2"/>
  <c r="F477" i="2"/>
  <c r="K477" i="2" s="1"/>
  <c r="G489" i="2"/>
  <c r="F489" i="2"/>
  <c r="I489" i="2" s="1"/>
  <c r="F499" i="2"/>
  <c r="I499" i="2" s="1"/>
  <c r="G499" i="2"/>
  <c r="K557" i="2"/>
  <c r="I557" i="2"/>
  <c r="F586" i="2"/>
  <c r="I586" i="2" s="1"/>
  <c r="G586" i="2"/>
  <c r="G468" i="2"/>
  <c r="G478" i="2"/>
  <c r="G484" i="2"/>
  <c r="I485" i="2"/>
  <c r="I490" i="2"/>
  <c r="J492" i="2"/>
  <c r="H492" i="2" s="1"/>
  <c r="G492" i="2"/>
  <c r="J495" i="2"/>
  <c r="H495" i="2" s="1"/>
  <c r="K497" i="2"/>
  <c r="G504" i="2"/>
  <c r="I505" i="2"/>
  <c r="I508" i="2"/>
  <c r="J510" i="2"/>
  <c r="H510" i="2" s="1"/>
  <c r="J513" i="2"/>
  <c r="H513" i="2" s="1"/>
  <c r="K515" i="2"/>
  <c r="G520" i="2"/>
  <c r="I521" i="2"/>
  <c r="I524" i="2"/>
  <c r="J528" i="2"/>
  <c r="H528" i="2" s="1"/>
  <c r="G528" i="2"/>
  <c r="J531" i="2"/>
  <c r="H531" i="2" s="1"/>
  <c r="K533" i="2"/>
  <c r="G538" i="2"/>
  <c r="I539" i="2"/>
  <c r="I549" i="2"/>
  <c r="J551" i="2"/>
  <c r="H551" i="2" s="1"/>
  <c r="G564" i="2"/>
  <c r="F564" i="2"/>
  <c r="K564" i="2" s="1"/>
  <c r="G602" i="2"/>
  <c r="F602" i="2"/>
  <c r="K602" i="2" s="1"/>
  <c r="I469" i="2"/>
  <c r="I479" i="2"/>
  <c r="K483" i="2"/>
  <c r="K503" i="2"/>
  <c r="K519" i="2"/>
  <c r="K537" i="2"/>
  <c r="F550" i="2"/>
  <c r="J550" i="2" s="1"/>
  <c r="H550" i="2" s="1"/>
  <c r="F559" i="2"/>
  <c r="I559" i="2" s="1"/>
  <c r="J603" i="2"/>
  <c r="H603" i="2" s="1"/>
  <c r="F506" i="2"/>
  <c r="K506" i="2" s="1"/>
  <c r="F522" i="2"/>
  <c r="I522" i="2" s="1"/>
  <c r="F540" i="2"/>
  <c r="K540" i="2" s="1"/>
  <c r="F556" i="2"/>
  <c r="J556" i="2" s="1"/>
  <c r="H556" i="2" s="1"/>
  <c r="K597" i="2"/>
  <c r="J597" i="2"/>
  <c r="H597" i="2" s="1"/>
  <c r="K603" i="2"/>
  <c r="I603" i="2"/>
  <c r="K469" i="2"/>
  <c r="K479" i="2"/>
  <c r="G483" i="2"/>
  <c r="F491" i="2"/>
  <c r="I491" i="2" s="1"/>
  <c r="F494" i="2"/>
  <c r="K494" i="2" s="1"/>
  <c r="G503" i="2"/>
  <c r="G506" i="2"/>
  <c r="F509" i="2"/>
  <c r="I509" i="2" s="1"/>
  <c r="F512" i="2"/>
  <c r="K512" i="2" s="1"/>
  <c r="G519" i="2"/>
  <c r="G522" i="2"/>
  <c r="F527" i="2"/>
  <c r="I527" i="2" s="1"/>
  <c r="I528" i="2"/>
  <c r="F530" i="2"/>
  <c r="K530" i="2" s="1"/>
  <c r="G537" i="2"/>
  <c r="G540" i="2"/>
  <c r="G545" i="2"/>
  <c r="F545" i="2"/>
  <c r="I545" i="2" s="1"/>
  <c r="K547" i="2"/>
  <c r="I547" i="2"/>
  <c r="F554" i="2"/>
  <c r="J554" i="2" s="1"/>
  <c r="H554" i="2" s="1"/>
  <c r="G556" i="2"/>
  <c r="K567" i="2"/>
  <c r="I567" i="2"/>
  <c r="J569" i="2"/>
  <c r="H569" i="2" s="1"/>
  <c r="G574" i="2"/>
  <c r="F574" i="2"/>
  <c r="K574" i="2" s="1"/>
  <c r="G584" i="2"/>
  <c r="F584" i="2"/>
  <c r="K584" i="2" s="1"/>
  <c r="G592" i="2"/>
  <c r="F592" i="2"/>
  <c r="K592" i="2" s="1"/>
  <c r="J604" i="2"/>
  <c r="H604" i="2" s="1"/>
  <c r="I604" i="2"/>
  <c r="G512" i="2"/>
  <c r="I516" i="2"/>
  <c r="G518" i="2"/>
  <c r="I519" i="2"/>
  <c r="G530" i="2"/>
  <c r="I534" i="2"/>
  <c r="G536" i="2"/>
  <c r="I537" i="2"/>
  <c r="K565" i="2"/>
  <c r="I565" i="2"/>
  <c r="G572" i="2"/>
  <c r="F572" i="2"/>
  <c r="I572" i="2" s="1"/>
  <c r="J498" i="2"/>
  <c r="H498" i="2" s="1"/>
  <c r="J516" i="2"/>
  <c r="H516" i="2" s="1"/>
  <c r="F518" i="2"/>
  <c r="I518" i="2" s="1"/>
  <c r="J534" i="2"/>
  <c r="H534" i="2" s="1"/>
  <c r="I536" i="2"/>
  <c r="F568" i="2"/>
  <c r="I568" i="2" s="1"/>
  <c r="J575" i="2"/>
  <c r="H575" i="2" s="1"/>
  <c r="J585" i="2"/>
  <c r="H585" i="2" s="1"/>
  <c r="J595" i="2"/>
  <c r="I484" i="2"/>
  <c r="F493" i="2"/>
  <c r="I493" i="2" s="1"/>
  <c r="F496" i="2"/>
  <c r="J496" i="2" s="1"/>
  <c r="H496" i="2" s="1"/>
  <c r="I504" i="2"/>
  <c r="F511" i="2"/>
  <c r="J511" i="2" s="1"/>
  <c r="H511" i="2" s="1"/>
  <c r="F514" i="2"/>
  <c r="J514" i="2" s="1"/>
  <c r="H514" i="2" s="1"/>
  <c r="I520" i="2"/>
  <c r="F529" i="2"/>
  <c r="J529" i="2" s="1"/>
  <c r="H529" i="2" s="1"/>
  <c r="F532" i="2"/>
  <c r="J532" i="2" s="1"/>
  <c r="H532" i="2" s="1"/>
  <c r="I538" i="2"/>
  <c r="J557" i="2"/>
  <c r="H557" i="2" s="1"/>
  <c r="J565" i="2"/>
  <c r="H565" i="2" s="1"/>
  <c r="K575" i="2"/>
  <c r="I575" i="2"/>
  <c r="K585" i="2"/>
  <c r="I585" i="2"/>
  <c r="I595" i="2"/>
  <c r="I551" i="2"/>
  <c r="G557" i="2"/>
  <c r="I561" i="2"/>
  <c r="G567" i="2"/>
  <c r="I569" i="2"/>
  <c r="G575" i="2"/>
  <c r="I577" i="2"/>
  <c r="G585" i="2"/>
  <c r="I587" i="2"/>
  <c r="I597" i="2"/>
  <c r="G603" i="2"/>
  <c r="K561" i="2"/>
  <c r="K577" i="2"/>
  <c r="F582" i="2"/>
  <c r="K587" i="2"/>
  <c r="F590" i="2"/>
  <c r="J590" i="2" s="1"/>
  <c r="H590" i="2" s="1"/>
  <c r="F600" i="2"/>
  <c r="K600" i="2" s="1"/>
  <c r="F608" i="2"/>
  <c r="K608" i="2" s="1"/>
  <c r="G609" i="2"/>
  <c r="F563" i="2"/>
  <c r="J563" i="2" s="1"/>
  <c r="H563" i="2" s="1"/>
  <c r="F571" i="2"/>
  <c r="J571" i="2" s="1"/>
  <c r="H571" i="2" s="1"/>
  <c r="F579" i="2"/>
  <c r="J579" i="2" s="1"/>
  <c r="H579" i="2" s="1"/>
  <c r="F589" i="2"/>
  <c r="J589" i="2" s="1"/>
  <c r="H589" i="2" s="1"/>
  <c r="G590" i="2"/>
  <c r="F599" i="2"/>
  <c r="J599" i="2" s="1"/>
  <c r="H599" i="2" s="1"/>
  <c r="G600" i="2"/>
  <c r="K604" i="2"/>
  <c r="F607" i="2"/>
  <c r="J607" i="2" s="1"/>
  <c r="H607" i="2" s="1"/>
  <c r="G608" i="2"/>
  <c r="G563" i="2"/>
  <c r="G571" i="2"/>
  <c r="I573" i="2"/>
  <c r="G579" i="2"/>
  <c r="I583" i="2"/>
  <c r="G589" i="2"/>
  <c r="I591" i="2"/>
  <c r="G599" i="2"/>
  <c r="I601" i="2"/>
  <c r="F606" i="2"/>
  <c r="J606" i="2" s="1"/>
  <c r="H606" i="2" s="1"/>
  <c r="G607" i="2"/>
  <c r="I609" i="2"/>
  <c r="J601" i="2"/>
  <c r="H601" i="2" s="1"/>
  <c r="F605" i="2"/>
  <c r="I605" i="2" s="1"/>
  <c r="J609" i="2"/>
  <c r="H609" i="2" s="1"/>
  <c r="H65" i="2" l="1"/>
  <c r="K216" i="2"/>
  <c r="H591" i="2"/>
  <c r="I131" i="2"/>
  <c r="H49" i="2"/>
  <c r="H497" i="2"/>
  <c r="H481" i="2"/>
  <c r="H435" i="2"/>
  <c r="H433" i="2"/>
  <c r="H416" i="2"/>
  <c r="K370" i="2"/>
  <c r="H364" i="2"/>
  <c r="K340" i="2"/>
  <c r="H311" i="2"/>
  <c r="H301" i="2"/>
  <c r="H294" i="2"/>
  <c r="H261" i="2"/>
  <c r="K261" i="2"/>
  <c r="H253" i="2"/>
  <c r="H216" i="2"/>
  <c r="K195" i="2"/>
  <c r="H158" i="2"/>
  <c r="H62" i="2"/>
  <c r="H38" i="2"/>
  <c r="H573" i="2"/>
  <c r="H562" i="2"/>
  <c r="H544" i="2"/>
  <c r="H462" i="2"/>
  <c r="H443" i="2"/>
  <c r="H259" i="2"/>
  <c r="K166" i="2"/>
  <c r="H144" i="2"/>
  <c r="K120" i="2"/>
  <c r="H120" i="2"/>
  <c r="K482" i="2"/>
  <c r="I320" i="2"/>
  <c r="I277" i="2"/>
  <c r="H92" i="2"/>
  <c r="K572" i="2"/>
  <c r="I403" i="2"/>
  <c r="H57" i="2"/>
  <c r="J543" i="2"/>
  <c r="H543" i="2" s="1"/>
  <c r="J91" i="2"/>
  <c r="H91" i="2" s="1"/>
  <c r="K313" i="2"/>
  <c r="J76" i="2"/>
  <c r="H76" i="2" s="1"/>
  <c r="K41" i="2"/>
  <c r="J230" i="2"/>
  <c r="H230" i="2" s="1"/>
  <c r="I219" i="2"/>
  <c r="I91" i="2"/>
  <c r="I44" i="2"/>
  <c r="J122" i="2"/>
  <c r="H122" i="2" s="1"/>
  <c r="J187" i="2"/>
  <c r="H187" i="2" s="1"/>
  <c r="H41" i="2"/>
  <c r="J430" i="2"/>
  <c r="H430" i="2" s="1"/>
  <c r="K213" i="2"/>
  <c r="K430" i="2"/>
  <c r="J87" i="2"/>
  <c r="H87" i="2" s="1"/>
  <c r="K106" i="2"/>
  <c r="K589" i="2"/>
  <c r="I170" i="2"/>
  <c r="J506" i="2"/>
  <c r="H506" i="2" s="1"/>
  <c r="K568" i="2"/>
  <c r="I550" i="2"/>
  <c r="K550" i="2"/>
  <c r="I546" i="2"/>
  <c r="K548" i="2"/>
  <c r="I341" i="2"/>
  <c r="K125" i="2"/>
  <c r="I125" i="2"/>
  <c r="J101" i="2"/>
  <c r="H101" i="2" s="1"/>
  <c r="J540" i="2"/>
  <c r="H540" i="2" s="1"/>
  <c r="J548" i="2"/>
  <c r="H548" i="2" s="1"/>
  <c r="K361" i="2"/>
  <c r="I68" i="2"/>
  <c r="K449" i="2"/>
  <c r="K486" i="2"/>
  <c r="I200" i="2"/>
  <c r="I52" i="2"/>
  <c r="K44" i="2"/>
  <c r="K42" i="2"/>
  <c r="I517" i="2"/>
  <c r="I566" i="2"/>
  <c r="J361" i="2"/>
  <c r="H361" i="2" s="1"/>
  <c r="I384" i="2"/>
  <c r="K511" i="2"/>
  <c r="K546" i="2"/>
  <c r="K474" i="2"/>
  <c r="J439" i="2"/>
  <c r="K491" i="2" s="1"/>
  <c r="K200" i="2"/>
  <c r="K119" i="2"/>
  <c r="I454" i="2"/>
  <c r="J68" i="2"/>
  <c r="H68" i="2" s="1"/>
  <c r="I222" i="2"/>
  <c r="I592" i="2"/>
  <c r="I535" i="2"/>
  <c r="J320" i="2"/>
  <c r="H320" i="2" s="1"/>
  <c r="J208" i="2"/>
  <c r="H208" i="2" s="1"/>
  <c r="I265" i="2"/>
  <c r="J222" i="2"/>
  <c r="H222" i="2" s="1"/>
  <c r="K52" i="2"/>
  <c r="J494" i="2"/>
  <c r="I540" i="2"/>
  <c r="K480" i="2"/>
  <c r="J502" i="2"/>
  <c r="H502" i="2" s="1"/>
  <c r="J205" i="2"/>
  <c r="K349" i="2" s="1"/>
  <c r="J265" i="2"/>
  <c r="H265" i="2" s="1"/>
  <c r="I81" i="2"/>
  <c r="I16" i="2"/>
  <c r="I574" i="2"/>
  <c r="K607" i="2"/>
  <c r="I607" i="2"/>
  <c r="I543" i="2"/>
  <c r="J486" i="2"/>
  <c r="H486" i="2" s="1"/>
  <c r="K517" i="2"/>
  <c r="I130" i="2"/>
  <c r="K115" i="2"/>
  <c r="K69" i="2"/>
  <c r="K34" i="2"/>
  <c r="I355" i="2"/>
  <c r="K439" i="2"/>
  <c r="K431" i="2"/>
  <c r="K596" i="2"/>
  <c r="J213" i="2"/>
  <c r="H213" i="2" s="1"/>
  <c r="K57" i="2"/>
  <c r="K60" i="2"/>
  <c r="J277" i="2"/>
  <c r="H277" i="2" s="1"/>
  <c r="J313" i="2"/>
  <c r="H313" i="2" s="1"/>
  <c r="J341" i="2"/>
  <c r="H341" i="2" s="1"/>
  <c r="I337" i="2"/>
  <c r="I197" i="2"/>
  <c r="J370" i="2"/>
  <c r="K373" i="2" s="1"/>
  <c r="I196" i="2"/>
  <c r="I193" i="2"/>
  <c r="J493" i="2"/>
  <c r="H493" i="2" s="1"/>
  <c r="J117" i="2"/>
  <c r="H117" i="2" s="1"/>
  <c r="I275" i="2"/>
  <c r="J296" i="2"/>
  <c r="H296" i="2" s="1"/>
  <c r="H12" i="2"/>
  <c r="J193" i="2"/>
  <c r="H193" i="2" s="1"/>
  <c r="J512" i="2"/>
  <c r="H512" i="2" s="1"/>
  <c r="J586" i="2"/>
  <c r="H586" i="2" s="1"/>
  <c r="J489" i="2"/>
  <c r="H489" i="2" s="1"/>
  <c r="I464" i="2"/>
  <c r="I348" i="2"/>
  <c r="J337" i="2"/>
  <c r="H337" i="2" s="1"/>
  <c r="I133" i="2"/>
  <c r="I69" i="2"/>
  <c r="J553" i="2"/>
  <c r="H553" i="2" s="1"/>
  <c r="J323" i="2"/>
  <c r="H323" i="2" s="1"/>
  <c r="K536" i="2"/>
  <c r="J536" i="2"/>
  <c r="H536" i="2" s="1"/>
  <c r="J530" i="2"/>
  <c r="H530" i="2" s="1"/>
  <c r="K493" i="2"/>
  <c r="K586" i="2"/>
  <c r="K576" i="2"/>
  <c r="K434" i="2"/>
  <c r="K441" i="2"/>
  <c r="J477" i="2"/>
  <c r="H477" i="2" s="1"/>
  <c r="J464" i="2"/>
  <c r="H464" i="2" s="1"/>
  <c r="I414" i="2"/>
  <c r="I331" i="2"/>
  <c r="J275" i="2"/>
  <c r="H275" i="2" s="1"/>
  <c r="I302" i="2"/>
  <c r="K553" i="2"/>
  <c r="J149" i="2"/>
  <c r="H149" i="2" s="1"/>
  <c r="K149" i="2"/>
  <c r="K529" i="2"/>
  <c r="I596" i="2"/>
  <c r="K351" i="2"/>
  <c r="I417" i="2"/>
  <c r="J119" i="2"/>
  <c r="H119" i="2" s="1"/>
  <c r="I523" i="2"/>
  <c r="J568" i="2"/>
  <c r="H568" i="2" s="1"/>
  <c r="J572" i="2"/>
  <c r="H572" i="2" s="1"/>
  <c r="I429" i="2"/>
  <c r="J434" i="2"/>
  <c r="H434" i="2" s="1"/>
  <c r="I366" i="2"/>
  <c r="J566" i="2"/>
  <c r="H566" i="2" s="1"/>
  <c r="J331" i="2"/>
  <c r="H331" i="2" s="1"/>
  <c r="K417" i="2"/>
  <c r="K348" i="2"/>
  <c r="I423" i="2"/>
  <c r="K260" i="2"/>
  <c r="K192" i="2"/>
  <c r="I370" i="2"/>
  <c r="I230" i="2"/>
  <c r="K296" i="2"/>
  <c r="K174" i="2"/>
  <c r="I117" i="2"/>
  <c r="K127" i="2"/>
  <c r="J115" i="2"/>
  <c r="H115" i="2" s="1"/>
  <c r="I26" i="2"/>
  <c r="J89" i="2"/>
  <c r="H89" i="2" s="1"/>
  <c r="K514" i="2"/>
  <c r="K554" i="2"/>
  <c r="I554" i="2"/>
  <c r="I571" i="2"/>
  <c r="J564" i="2"/>
  <c r="H564" i="2" s="1"/>
  <c r="J523" i="2"/>
  <c r="I441" i="2"/>
  <c r="J472" i="2"/>
  <c r="H472" i="2" s="1"/>
  <c r="K391" i="2"/>
  <c r="J351" i="2"/>
  <c r="K356" i="2"/>
  <c r="J333" i="2"/>
  <c r="H333" i="2" s="1"/>
  <c r="I187" i="2"/>
  <c r="K209" i="2"/>
  <c r="K197" i="2"/>
  <c r="I127" i="2"/>
  <c r="J94" i="2"/>
  <c r="H94" i="2" s="1"/>
  <c r="K138" i="2"/>
  <c r="I280" i="2"/>
  <c r="I94" i="2"/>
  <c r="K355" i="2"/>
  <c r="J316" i="2"/>
  <c r="H316" i="2" s="1"/>
  <c r="J366" i="2"/>
  <c r="H366" i="2" s="1"/>
  <c r="I183" i="2"/>
  <c r="I192" i="2"/>
  <c r="K89" i="2"/>
  <c r="I214" i="2"/>
  <c r="I34" i="2"/>
  <c r="I449" i="2"/>
  <c r="I467" i="2"/>
  <c r="K571" i="2"/>
  <c r="K559" i="2"/>
  <c r="I477" i="2"/>
  <c r="K535" i="2"/>
  <c r="I480" i="2"/>
  <c r="K467" i="2"/>
  <c r="I431" i="2"/>
  <c r="I402" i="2"/>
  <c r="I356" i="2"/>
  <c r="J343" i="2"/>
  <c r="H343" i="2" s="1"/>
  <c r="I289" i="2"/>
  <c r="K316" i="2"/>
  <c r="K326" i="2"/>
  <c r="K214" i="2"/>
  <c r="K208" i="2"/>
  <c r="I151" i="2"/>
  <c r="K116" i="2"/>
  <c r="J133" i="2"/>
  <c r="H133" i="2" s="1"/>
  <c r="I62" i="2"/>
  <c r="I101" i="2"/>
  <c r="I122" i="2"/>
  <c r="K24" i="2"/>
  <c r="K26" i="2"/>
  <c r="I178" i="2"/>
  <c r="I584" i="2"/>
  <c r="I564" i="2"/>
  <c r="K532" i="2"/>
  <c r="K522" i="2"/>
  <c r="J429" i="2"/>
  <c r="H429" i="2" s="1"/>
  <c r="K502" i="2"/>
  <c r="I392" i="2"/>
  <c r="I327" i="2"/>
  <c r="K183" i="2"/>
  <c r="J174" i="2"/>
  <c r="H174" i="2" s="1"/>
  <c r="K130" i="2"/>
  <c r="I138" i="2"/>
  <c r="J240" i="2"/>
  <c r="H240" i="2" s="1"/>
  <c r="I148" i="2"/>
  <c r="I11" i="2"/>
  <c r="J426" i="2"/>
  <c r="H426" i="2" s="1"/>
  <c r="I426" i="2"/>
  <c r="K374" i="2"/>
  <c r="I563" i="2"/>
  <c r="K545" i="2"/>
  <c r="J545" i="2"/>
  <c r="H545" i="2" s="1"/>
  <c r="I529" i="2"/>
  <c r="I511" i="2"/>
  <c r="J499" i="2"/>
  <c r="H499" i="2" s="1"/>
  <c r="I576" i="2"/>
  <c r="J507" i="2"/>
  <c r="K395" i="2"/>
  <c r="I395" i="2"/>
  <c r="K347" i="2"/>
  <c r="I347" i="2"/>
  <c r="I340" i="2"/>
  <c r="J340" i="2"/>
  <c r="I406" i="2"/>
  <c r="I374" i="2"/>
  <c r="J242" i="2"/>
  <c r="K284" i="2" s="1"/>
  <c r="I242" i="2"/>
  <c r="J306" i="2"/>
  <c r="H306" i="2" s="1"/>
  <c r="J399" i="2"/>
  <c r="K454" i="2" s="1"/>
  <c r="K179" i="2"/>
  <c r="K169" i="2"/>
  <c r="J169" i="2"/>
  <c r="H169" i="2" s="1"/>
  <c r="K254" i="2"/>
  <c r="K205" i="2"/>
  <c r="K156" i="2"/>
  <c r="J139" i="2"/>
  <c r="H139" i="2" s="1"/>
  <c r="I111" i="2"/>
  <c r="J111" i="2"/>
  <c r="H111" i="2" s="1"/>
  <c r="J75" i="2"/>
  <c r="H75" i="2" s="1"/>
  <c r="K219" i="2"/>
  <c r="K39" i="2"/>
  <c r="J215" i="2"/>
  <c r="H215" i="2" s="1"/>
  <c r="I65" i="2"/>
  <c r="K143" i="2"/>
  <c r="J60" i="2"/>
  <c r="H60" i="2" s="1"/>
  <c r="J24" i="2"/>
  <c r="H24" i="2" s="1"/>
  <c r="K62" i="2"/>
  <c r="J42" i="2"/>
  <c r="H42" i="2" s="1"/>
  <c r="J50" i="2"/>
  <c r="H50" i="2" s="1"/>
  <c r="I608" i="2"/>
  <c r="K582" i="2"/>
  <c r="I582" i="2"/>
  <c r="J608" i="2"/>
  <c r="H608" i="2" s="1"/>
  <c r="I600" i="2"/>
  <c r="K563" i="2"/>
  <c r="K556" i="2"/>
  <c r="J491" i="2"/>
  <c r="I530" i="2"/>
  <c r="K499" i="2"/>
  <c r="K507" i="2"/>
  <c r="K426" i="2"/>
  <c r="I514" i="2"/>
  <c r="I344" i="2"/>
  <c r="J344" i="2"/>
  <c r="H344" i="2" s="1"/>
  <c r="I415" i="2"/>
  <c r="K406" i="2"/>
  <c r="J373" i="2"/>
  <c r="K306" i="2"/>
  <c r="J274" i="2"/>
  <c r="H274" i="2" s="1"/>
  <c r="K274" i="2"/>
  <c r="J482" i="2"/>
  <c r="H482" i="2" s="1"/>
  <c r="J310" i="2"/>
  <c r="H310" i="2" s="1"/>
  <c r="I310" i="2"/>
  <c r="K369" i="2"/>
  <c r="J239" i="2"/>
  <c r="K281" i="2" s="1"/>
  <c r="I221" i="2"/>
  <c r="I182" i="2"/>
  <c r="J182" i="2"/>
  <c r="H182" i="2" s="1"/>
  <c r="J161" i="2"/>
  <c r="J177" i="2"/>
  <c r="H177" i="2" s="1"/>
  <c r="I169" i="2"/>
  <c r="J195" i="2"/>
  <c r="J203" i="2"/>
  <c r="H203" i="2" s="1"/>
  <c r="I161" i="2"/>
  <c r="J196" i="2"/>
  <c r="H196" i="2" s="1"/>
  <c r="J156" i="2"/>
  <c r="H156" i="2" s="1"/>
  <c r="K135" i="2"/>
  <c r="I116" i="2"/>
  <c r="J98" i="2"/>
  <c r="H98" i="2" s="1"/>
  <c r="K271" i="2"/>
  <c r="K11" i="2"/>
  <c r="K215" i="2"/>
  <c r="I84" i="2"/>
  <c r="I39" i="2"/>
  <c r="K95" i="2"/>
  <c r="I506" i="2"/>
  <c r="J600" i="2"/>
  <c r="H600" i="2" s="1"/>
  <c r="J584" i="2"/>
  <c r="H584" i="2" s="1"/>
  <c r="I556" i="2"/>
  <c r="I589" i="2"/>
  <c r="I532" i="2"/>
  <c r="K365" i="2"/>
  <c r="I365" i="2"/>
  <c r="J398" i="2"/>
  <c r="H398" i="2" s="1"/>
  <c r="I398" i="2"/>
  <c r="I409" i="2"/>
  <c r="J387" i="2"/>
  <c r="H387" i="2" s="1"/>
  <c r="K403" i="2"/>
  <c r="J395" i="2"/>
  <c r="H395" i="2" s="1"/>
  <c r="J402" i="2"/>
  <c r="H402" i="2" s="1"/>
  <c r="K414" i="2"/>
  <c r="I325" i="2"/>
  <c r="K269" i="2"/>
  <c r="I269" i="2"/>
  <c r="J292" i="2"/>
  <c r="H292" i="2" s="1"/>
  <c r="K292" i="2"/>
  <c r="J269" i="2"/>
  <c r="H269" i="2" s="1"/>
  <c r="K307" i="2"/>
  <c r="K323" i="2"/>
  <c r="K423" i="2"/>
  <c r="J289" i="2"/>
  <c r="H289" i="2" s="1"/>
  <c r="I260" i="2"/>
  <c r="I177" i="2"/>
  <c r="I195" i="2"/>
  <c r="I203" i="2"/>
  <c r="J302" i="2"/>
  <c r="K305" i="2" s="1"/>
  <c r="K114" i="2"/>
  <c r="J114" i="2"/>
  <c r="K188" i="2" s="1"/>
  <c r="I99" i="2"/>
  <c r="J131" i="2"/>
  <c r="H131" i="2" s="1"/>
  <c r="K178" i="2"/>
  <c r="K29" i="2"/>
  <c r="K170" i="2"/>
  <c r="K240" i="2"/>
  <c r="I57" i="2"/>
  <c r="I108" i="2"/>
  <c r="J81" i="2"/>
  <c r="H81" i="2" s="1"/>
  <c r="K4" i="2"/>
  <c r="K14" i="2"/>
  <c r="K387" i="2"/>
  <c r="K579" i="2"/>
  <c r="K606" i="2"/>
  <c r="I606" i="2"/>
  <c r="K590" i="2"/>
  <c r="I590" i="2"/>
  <c r="J522" i="2"/>
  <c r="H522" i="2" s="1"/>
  <c r="K496" i="2"/>
  <c r="J509" i="2"/>
  <c r="H509" i="2" s="1"/>
  <c r="K509" i="2"/>
  <c r="I512" i="2"/>
  <c r="I579" i="2"/>
  <c r="I602" i="2"/>
  <c r="I474" i="2"/>
  <c r="K407" i="2"/>
  <c r="I407" i="2"/>
  <c r="I362" i="2"/>
  <c r="J362" i="2"/>
  <c r="H362" i="2" s="1"/>
  <c r="K415" i="2"/>
  <c r="I375" i="2"/>
  <c r="K375" i="2"/>
  <c r="K489" i="2"/>
  <c r="J409" i="2"/>
  <c r="H409" i="2" s="1"/>
  <c r="I401" i="2"/>
  <c r="J391" i="2"/>
  <c r="K399" i="2" s="1"/>
  <c r="J325" i="2"/>
  <c r="H325" i="2" s="1"/>
  <c r="I352" i="2"/>
  <c r="I388" i="2"/>
  <c r="I333" i="2"/>
  <c r="J384" i="2"/>
  <c r="H384" i="2" s="1"/>
  <c r="I249" i="2"/>
  <c r="I274" i="2"/>
  <c r="J229" i="2"/>
  <c r="H229" i="2" s="1"/>
  <c r="I239" i="2"/>
  <c r="J99" i="2"/>
  <c r="H99" i="2" s="1"/>
  <c r="I271" i="2"/>
  <c r="I98" i="2"/>
  <c r="I29" i="2"/>
  <c r="K108" i="2"/>
  <c r="K75" i="2"/>
  <c r="K16" i="2"/>
  <c r="K50" i="2"/>
  <c r="I599" i="2"/>
  <c r="I330" i="2"/>
  <c r="J330" i="2"/>
  <c r="J518" i="2"/>
  <c r="H518" i="2" s="1"/>
  <c r="J602" i="2"/>
  <c r="H602" i="2" s="1"/>
  <c r="K413" i="2"/>
  <c r="I413" i="2"/>
  <c r="K381" i="2"/>
  <c r="I381" i="2"/>
  <c r="J413" i="2"/>
  <c r="H413" i="2" s="1"/>
  <c r="I373" i="2"/>
  <c r="J401" i="2"/>
  <c r="H401" i="2" s="1"/>
  <c r="J352" i="2"/>
  <c r="H352" i="2" s="1"/>
  <c r="J288" i="2"/>
  <c r="H288" i="2" s="1"/>
  <c r="K242" i="2"/>
  <c r="J388" i="2"/>
  <c r="K389" i="2" s="1"/>
  <c r="I295" i="2"/>
  <c r="J293" i="2"/>
  <c r="H293" i="2" s="1"/>
  <c r="I293" i="2"/>
  <c r="K249" i="2"/>
  <c r="I245" i="2"/>
  <c r="I143" i="2"/>
  <c r="I179" i="2"/>
  <c r="I36" i="2"/>
  <c r="K47" i="2"/>
  <c r="J151" i="2"/>
  <c r="H151" i="2" s="1"/>
  <c r="K6" i="2"/>
  <c r="J444" i="2"/>
  <c r="H444" i="2" s="1"/>
  <c r="I444" i="2"/>
  <c r="I378" i="2"/>
  <c r="J378" i="2"/>
  <c r="I393" i="2"/>
  <c r="K393" i="2"/>
  <c r="K258" i="2"/>
  <c r="J258" i="2"/>
  <c r="H258" i="2" s="1"/>
  <c r="K288" i="2"/>
  <c r="J236" i="2"/>
  <c r="H236" i="2" s="1"/>
  <c r="I236" i="2"/>
  <c r="K236" i="2"/>
  <c r="J327" i="2"/>
  <c r="H327" i="2" s="1"/>
  <c r="J295" i="2"/>
  <c r="H295" i="2" s="1"/>
  <c r="I326" i="2"/>
  <c r="I175" i="2"/>
  <c r="K175" i="2"/>
  <c r="I254" i="2"/>
  <c r="J245" i="2"/>
  <c r="H245" i="2" s="1"/>
  <c r="J145" i="2"/>
  <c r="H145" i="2" s="1"/>
  <c r="I145" i="2"/>
  <c r="J95" i="2"/>
  <c r="H95" i="2" s="1"/>
  <c r="K65" i="2"/>
  <c r="K21" i="2"/>
  <c r="I284" i="2"/>
  <c r="J280" i="2"/>
  <c r="H280" i="2" s="1"/>
  <c r="J148" i="2"/>
  <c r="H148" i="2" s="1"/>
  <c r="I47" i="2"/>
  <c r="I292" i="2"/>
  <c r="I76" i="2"/>
  <c r="K36" i="2"/>
  <c r="K79" i="2"/>
  <c r="I4" i="2"/>
  <c r="I87" i="2"/>
  <c r="I14" i="2"/>
  <c r="I359" i="2"/>
  <c r="K359" i="2"/>
  <c r="J135" i="2"/>
  <c r="H135" i="2" s="1"/>
  <c r="K599" i="2"/>
  <c r="I496" i="2"/>
  <c r="K605" i="2"/>
  <c r="J605" i="2"/>
  <c r="J582" i="2"/>
  <c r="J592" i="2"/>
  <c r="H592" i="2" s="1"/>
  <c r="J574" i="2"/>
  <c r="H574" i="2" s="1"/>
  <c r="J527" i="2"/>
  <c r="H527" i="2" s="1"/>
  <c r="K527" i="2"/>
  <c r="I494" i="2"/>
  <c r="J559" i="2"/>
  <c r="H559" i="2" s="1"/>
  <c r="I472" i="2"/>
  <c r="K518" i="2"/>
  <c r="K459" i="2"/>
  <c r="J459" i="2"/>
  <c r="H459" i="2" s="1"/>
  <c r="I405" i="2"/>
  <c r="K405" i="2"/>
  <c r="J347" i="2"/>
  <c r="H347" i="2" s="1"/>
  <c r="K344" i="2"/>
  <c r="J369" i="2"/>
  <c r="H369" i="2" s="1"/>
  <c r="K343" i="2"/>
  <c r="K377" i="2"/>
  <c r="I377" i="2"/>
  <c r="K392" i="2"/>
  <c r="J307" i="2"/>
  <c r="H307" i="2" s="1"/>
  <c r="K227" i="2"/>
  <c r="I227" i="2"/>
  <c r="J227" i="2"/>
  <c r="H227" i="2" s="1"/>
  <c r="J221" i="2"/>
  <c r="H221" i="2" s="1"/>
  <c r="K172" i="2"/>
  <c r="J172" i="2"/>
  <c r="H172" i="2" s="1"/>
  <c r="I172" i="2"/>
  <c r="J209" i="2"/>
  <c r="H209" i="2" s="1"/>
  <c r="I229" i="2"/>
  <c r="K111" i="2"/>
  <c r="J79" i="2"/>
  <c r="H79" i="2" s="1"/>
  <c r="K84" i="2"/>
  <c r="I21" i="2"/>
  <c r="I106" i="2"/>
  <c r="K139" i="2"/>
  <c r="H302" i="2" l="1"/>
  <c r="H605" i="2"/>
  <c r="G62" i="2"/>
  <c r="H523" i="2"/>
  <c r="H507" i="2"/>
  <c r="H494" i="2"/>
  <c r="H491" i="2"/>
  <c r="H373" i="2"/>
  <c r="H370" i="2"/>
  <c r="H378" i="2"/>
  <c r="H351" i="2"/>
  <c r="H340" i="2"/>
  <c r="H330" i="2"/>
  <c r="H239" i="2"/>
  <c r="H205" i="2"/>
  <c r="G205" i="2"/>
  <c r="H195" i="2"/>
  <c r="H161" i="2"/>
  <c r="H388" i="2"/>
  <c r="H242" i="2"/>
  <c r="H114" i="2"/>
</calcChain>
</file>

<file path=xl/sharedStrings.xml><?xml version="1.0" encoding="utf-8"?>
<sst xmlns="http://schemas.openxmlformats.org/spreadsheetml/2006/main" count="1434" uniqueCount="518">
  <si>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</si>
  <si>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</si>
  <si>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</si>
  <si>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</si>
  <si>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</si>
  <si>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</si>
  <si>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</si>
  <si>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</si>
  <si>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</si>
  <si>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</si>
  <si>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</si>
  <si>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</si>
  <si>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</si>
  <si>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bauen</t>
  </si>
  <si>
    <t>Wer baut Braunschweigs günstige Wohnungen ?</t>
  </si>
  <si>
    <t>file://conllu/de/braunschweiger-zeitung.de.48722.conllu#s1_0</t>
  </si>
  <si>
    <t>5</t>
  </si>
  <si>
    <t>mein</t>
  </si>
  <si>
    <t>Die SPD und Grüne meinen :</t>
  </si>
  <si>
    <t>file://conllu/de/braunschweiger-zeitung.de.48722.conllu#s2_0</t>
  </si>
  <si>
    <t>3</t>
  </si>
  <si>
    <t>9</t>
  </si>
  <si>
    <t>nehmen</t>
  </si>
  <si>
    <t>Investoren sollen künftig viel stärker in die Pflicht genommen werden .</t>
  </si>
  <si>
    <t>file://conllu/de/braunschweiger-zeitung.de.48722.conllu#s3_0</t>
  </si>
  <si>
    <t>4</t>
  </si>
  <si>
    <t>reagieren</t>
  </si>
  <si>
    <t>Wie reagiert man auf die schlechte Nachricht , dass Braunschweig in den nächsten Jahren fast 1300 günstige Wohnungen verlieren wird ?</t>
  </si>
  <si>
    <t>file://conllu/de/braunschweiger-zeitung.de.48722.conllu#s4_0</t>
  </si>
  <si>
    <t>schlagen</t>
  </si>
  <si>
    <t>Die SPD schlägt zur zu der nächsten Ratssitzung ein &amp;quot; Handlungskonzept Wohnen &amp;quot; vor .</t>
  </si>
  <si>
    <t>file://conllu/de/braunschweiger-zeitung.de.48722.conllu#s5_0</t>
  </si>
  <si>
    <t>6</t>
  </si>
  <si>
    <t>sein (sein programmieren)</t>
  </si>
  <si>
    <t>Doch Streit ist programmiert .</t>
  </si>
  <si>
    <t>file://conllu/de/braunschweiger-zeitung.de.48722.conllu#s6_0</t>
  </si>
  <si>
    <t>7</t>
  </si>
  <si>
    <t>gehen</t>
  </si>
  <si>
    <t>In erster Linie geht es um die Frage : Wer soll die günstigen Wohnungen eigentlich bauen ?</t>
  </si>
  <si>
    <t>file://conllu/de/braunschweiger-zeitung.de.48722.conllu#s7_0</t>
  </si>
  <si>
    <t>8</t>
  </si>
  <si>
    <t>fehlen</t>
  </si>
  <si>
    <t>Eine Regelung fehlt bislang .</t>
  </si>
  <si>
    <t>file://conllu/de/braunschweiger-zeitung.de.48722.conllu#s8_0</t>
  </si>
  <si>
    <t>10</t>
  </si>
  <si>
    <t>sein (sein einig)</t>
  </si>
  <si>
    <t>SPD Fraktionsvorsitzender Christoph Bratmann meint : &amp;quot; Wir sind uns mit den Grünen einig : Wer auf städtischen Flächen bauen will , muss künftig 20 Prozent aller Wohnungen als Sozialwohnungen ausweisen . &amp;quot;</t>
  </si>
  <si>
    <t>file://conllu/de/braunschweiger-zeitung.de.48722.conllu#s9_0</t>
  </si>
  <si>
    <t>entstehen</t>
  </si>
  <si>
    <t>Die günstigen Wohnungen können allerdings auch im in dem Bestand entstehen .</t>
  </si>
  <si>
    <t>file://conllu/de/braunschweiger-zeitung.de.48722.conllu#s10_0</t>
  </si>
  <si>
    <t>11</t>
  </si>
  <si>
    <t>sein (sein jedoch)</t>
  </si>
  <si>
    <t>Der große Streitpunkt im in dem Rathaus sei jedoch , so Bratmann : &amp;quot; Wie geht man mit Investoren um , die auf privaten Flächen bauen wollen ? &amp;quot;</t>
  </si>
  <si>
    <t>file://conllu/de/braunschweiger-zeitung.de.48722.conllu#s11_0</t>
  </si>
  <si>
    <t>12</t>
  </si>
  <si>
    <t>wollen</t>
  </si>
  <si>
    <t>&amp;quot; Wir wollen , dass Investoren auf solchen Flächen mindestens 10 Prozent , aber möglichst 20 Prozent der Wohnungen als Sozialwohnungen bauen . &amp;quot;</t>
  </si>
  <si>
    <t>file://conllu/de/braunschweiger-zeitung.de.48722.conllu#s12_0</t>
  </si>
  <si>
    <t>13</t>
  </si>
  <si>
    <t>21</t>
  </si>
  <si>
    <t>sorgen</t>
  </si>
  <si>
    <t>Ein neues städtisches Wohnungsbau Förderprogramm , das Millionen kosten wird und noch finanziert werden muss , soll für Anreize sorgen .</t>
  </si>
  <si>
    <t>file://conllu/de/braunschweiger-zeitung.de.48722.conllu#s13_0</t>
  </si>
  <si>
    <t>14</t>
  </si>
  <si>
    <t>Problem</t>
  </si>
  <si>
    <t>Das Problem , so Bratmann : &amp;quot; Es gibt momentan noch keine Einigung zwischen den Fraktionen . &amp;quot;</t>
  </si>
  <si>
    <t>file://conllu/de/braunschweiger-zeitung.de.48722.conllu#s14_0</t>
  </si>
  <si>
    <t>15</t>
  </si>
  <si>
    <t>machen</t>
  </si>
  <si>
    <t>Die CDU möchte Investoren möglichst wenige Vorschriften machen .</t>
  </si>
  <si>
    <t>file://conllu/de/braunschweiger-zeitung.de.48722.conllu#s15_0</t>
  </si>
  <si>
    <t>16</t>
  </si>
  <si>
    <t>Die Linke will noch härte Auflagen für Investoren .</t>
  </si>
  <si>
    <t>file://conllu/de/braunschweiger-zeitung.de.48722.conllu#s16_0</t>
  </si>
  <si>
    <t>17</t>
  </si>
  <si>
    <t>ungeachtet</t>
  </si>
  <si>
    <t>Ungeachtet dessen , so Bratmann , bahne sich eine Verschärfung der Situation auf dem Wohnungsmarkt an .</t>
  </si>
  <si>
    <t>file://conllu/de/braunschweiger-zeitung.de.48722.conllu#s17_0</t>
  </si>
  <si>
    <t>18</t>
  </si>
  <si>
    <t>Wird das Handlungskonzept umgesetzt , wird das für zusätzliche Aufgaben in der Bauverwaltung sorgen .</t>
  </si>
  <si>
    <t>file://conllu/de/braunschweiger-zeitung.de.48722.conllu#s18_0</t>
  </si>
  <si>
    <t>19</t>
  </si>
  <si>
    <t>benötigen</t>
  </si>
  <si>
    <t>Mehr Personal wird benötigt .</t>
  </si>
  <si>
    <t>file://conllu/de/braunschweiger-zeitung.de.48722.conllu#s19_0</t>
  </si>
  <si>
    <t>20</t>
  </si>
  <si>
    <t>sein (sein unklar)</t>
  </si>
  <si>
    <t>Es ist unklar , ob wir die Fachkräfte bekommen werden .</t>
  </si>
  <si>
    <t>file://conllu/de/braunschweiger-zeitung.de.48722.conllu#s20_0</t>
  </si>
  <si>
    <t>stehen</t>
  </si>
  <si>
    <t>Doch noch steht das Programm nicht gänzlich : Denn die rund 1260 neuen Wohnungen , die sollten ohnehin gebaut werden .</t>
  </si>
  <si>
    <t>file://conllu/de/braunschweiger-zeitung.de.48722.conllu#s21_0</t>
  </si>
  <si>
    <t>22</t>
  </si>
  <si>
    <t>gleichen</t>
  </si>
  <si>
    <t>Wie aber gleicht man den Verlust von weiteren rund 1300 günstigen Wohnungen aus , deren Förderung in den nächsten Jahren auslaufen wird ?</t>
  </si>
  <si>
    <t>file://conllu/de/braunschweiger-zeitung.de.48722.conllu#s22_0</t>
  </si>
  <si>
    <t>23</t>
  </si>
  <si>
    <t>werden</t>
  </si>
  <si>
    <t>Allein bis zum zu dem Jahr 2020 werden es 500 Wohnungen sein .</t>
  </si>
  <si>
    <t>file://conllu/de/braunschweiger-zeitung.de.48722.conllu#s23_0</t>
  </si>
  <si>
    <t>24</t>
  </si>
  <si>
    <t>angekaufen</t>
  </si>
  <si>
    <t>Um das zu verhindern , so die planungspolitische Sprecherin Nicole Palm , sollten jetzt auslaufende Bindungen von der Stadt angekauft werden .</t>
  </si>
  <si>
    <t>file://conllu/de/braunschweiger-zeitung.de.48722.conllu#s24_0</t>
  </si>
  <si>
    <t>25</t>
  </si>
  <si>
    <t>nachdenken</t>
  </si>
  <si>
    <t>Außerdem müsste darüber nachgedacht werden , Wohnungen wieder zurück in die Preisbindung zu holen .</t>
  </si>
  <si>
    <t>file://conllu/de/braunschweiger-zeitung.de.48722.conllu#s25_0</t>
  </si>
  <si>
    <t>26</t>
  </si>
  <si>
    <t>sein (sein möglich)</t>
  </si>
  <si>
    <t>Das ist in der Weststadt möglich .</t>
  </si>
  <si>
    <t>file://conllu/de/braunschweiger-zeitung.de.48722.conllu#s26_0</t>
  </si>
  <si>
    <t>27</t>
  </si>
  <si>
    <t>lassen</t>
  </si>
  <si>
    <t>Auf einen Schlag ließe sich das Problem lösen .</t>
  </si>
  <si>
    <t>file://conllu/de/braunschweiger-zeitung.de.48722.conllu#s27_0</t>
  </si>
  <si>
    <t>28</t>
  </si>
  <si>
    <t>laufen</t>
  </si>
  <si>
    <t>Denn in der Weststadt laufen zum zu dem Jahresende Fristen aus .</t>
  </si>
  <si>
    <t>file://conllu/de/braunschweiger-zeitung.de.48722.conllu#s28_0</t>
  </si>
  <si>
    <t>29</t>
  </si>
  <si>
    <t>holen</t>
  </si>
  <si>
    <t>Rund 1800 Wohnungen könnte man dort zurück in die Preisbindung für günstige Wohnungen holen .</t>
  </si>
  <si>
    <t>file://conllu/de/braunschweiger-zeitung.de.48722.conllu#s29_0</t>
  </si>
  <si>
    <t>30</t>
  </si>
  <si>
    <t>Nur : Das wollen die Eigentümer , die Wohnungsbaugesellschaften nicht .</t>
  </si>
  <si>
    <t>file://conllu/de/braunschweiger-zeitung.de.48722.conllu#s30_0</t>
  </si>
  <si>
    <t>31</t>
  </si>
  <si>
    <t>erhöhen</t>
  </si>
  <si>
    <t>Denn wird die Zahl der Sozialwohnungen in der Weststadt wieder drastisch erhöht , entfernt man sich vom von dem Ziel der sogenannten Durchmischung .</t>
  </si>
  <si>
    <t>file://conllu/de/braunschweiger-zeitung.de.48722.conllu#s31_0</t>
  </si>
  <si>
    <t>32</t>
  </si>
  <si>
    <t>geben</t>
  </si>
  <si>
    <t>Eine Konzentration von Sozialschwachen in nur wenigen Stadtteilen soll es nicht mehr geben .</t>
  </si>
  <si>
    <t>file://conllu/de/braunschweiger-zeitung.de.48722.conllu#s32_0</t>
  </si>
  <si>
    <t>33</t>
  </si>
  <si>
    <t>rechnen</t>
  </si>
  <si>
    <t>Die Grünen rechnen damit , dass es noch Bewegung in der Diskussion geben wird .</t>
  </si>
  <si>
    <t>file://conllu/de/braunschweiger-zeitung.de.48722.conllu#s33_0</t>
  </si>
  <si>
    <t>34</t>
  </si>
  <si>
    <t>meinen</t>
  </si>
  <si>
    <t>Fraktionsvorsitzender Holger Herlitschke meint : &amp;quot; Für eine breite Mehrheit muss die CDU mit ins in das Boot . &amp;quot;</t>
  </si>
  <si>
    <t>file://conllu/de/braunschweiger-zeitung.de.48722.conllu#s34_0</t>
  </si>
  <si>
    <t>35</t>
  </si>
  <si>
    <t>konzentrieren</t>
  </si>
  <si>
    <t>Die habe sich zwar auf mehr Bauplätze für Einfamilienhäuser konzentriert .</t>
  </si>
  <si>
    <t>file://conllu/de/braunschweiger-zeitung.de.48722.conllu#s35_0</t>
  </si>
  <si>
    <t>36</t>
  </si>
  <si>
    <t>Was?</t>
  </si>
  <si>
    <t>heißen</t>
  </si>
  <si>
    <t>Was aber nicht heißt , dass nicht doch noch ein Kompromiss gefunden werden kann .</t>
  </si>
  <si>
    <t>file://conllu/de/braunschweiger-zeitung.de.48722.conllu#s36_0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</si>
  <si>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</si>
  <si>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</si>
  <si>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</si>
  <si>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</si>
  <si>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</si>
  <si>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</si>
  <si>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</si>
  <si>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</si>
  <si>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</si>
  <si>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</si>
  <si>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</si>
  <si>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Wer baut Braunschweigs günstige Wohnungen?</t>
  </si>
  <si>
    <t>Wer</t>
  </si>
  <si>
    <t>SBJ</t>
  </si>
  <si>
    <t>pron.pint</t>
  </si>
  <si>
    <t>baut</t>
  </si>
  <si>
    <t>Braunschweigs</t>
  </si>
  <si>
    <t>ne</t>
  </si>
  <si>
    <t>?OLD</t>
  </si>
  <si>
    <t>günstige</t>
  </si>
  <si>
    <t>Wohnungen</t>
  </si>
  <si>
    <t>OBJ</t>
  </si>
  <si>
    <t>indef-np.bare</t>
  </si>
  <si>
    <t>?</t>
  </si>
  <si>
    <t># text = Die SPD und Grüne meinen:</t>
  </si>
  <si>
    <t>Die</t>
  </si>
  <si>
    <t>SPD</t>
  </si>
  <si>
    <t>und</t>
  </si>
  <si>
    <t>Grüne</t>
  </si>
  <si>
    <t>other_2</t>
  </si>
  <si>
    <t>other</t>
  </si>
  <si>
    <t>pron</t>
  </si>
  <si>
    <t>:</t>
  </si>
  <si>
    <t># text = Investoren sollen künftig viel stärker in die Pflicht genommen werden.</t>
  </si>
  <si>
    <t>Investoren</t>
  </si>
  <si>
    <t>sollen</t>
  </si>
  <si>
    <t>künftig</t>
  </si>
  <si>
    <t>viel</t>
  </si>
  <si>
    <t>stärker</t>
  </si>
  <si>
    <t>in</t>
  </si>
  <si>
    <t>die</t>
  </si>
  <si>
    <t>Pflicht</t>
  </si>
  <si>
    <t>def-np.the</t>
  </si>
  <si>
    <t>genommen</t>
  </si>
  <si>
    <t>.</t>
  </si>
  <si>
    <t># text = Wie reagiert man auf die schlechte Nachricht, dass Braunschweig in den nächsten Jahren fast 1300 günstige Wohnungen verlieren wird?</t>
  </si>
  <si>
    <t>Wie</t>
  </si>
  <si>
    <t>reagiert</t>
  </si>
  <si>
    <t>man</t>
  </si>
  <si>
    <t>pron.pind</t>
  </si>
  <si>
    <t>auf</t>
  </si>
  <si>
    <t>schlechte</t>
  </si>
  <si>
    <t>Nachricht</t>
  </si>
  <si>
    <t>,</t>
  </si>
  <si>
    <t>dass</t>
  </si>
  <si>
    <t>Braunschweig</t>
  </si>
  <si>
    <t>SBJ_2</t>
  </si>
  <si>
    <t>den</t>
  </si>
  <si>
    <t>nächsten</t>
  </si>
  <si>
    <t>Jahren</t>
  </si>
  <si>
    <t>fast</t>
  </si>
  <si>
    <t>1300</t>
  </si>
  <si>
    <t>OBJ_2</t>
  </si>
  <si>
    <t>indef-np.quant</t>
  </si>
  <si>
    <t>verlieren</t>
  </si>
  <si>
    <t>wird</t>
  </si>
  <si>
    <t>--</t>
  </si>
  <si>
    <t># text = Die SPD schlägt zur nächsten Ratssitzung ein \"Handlungskonzept Wohnen\" vor.</t>
  </si>
  <si>
    <t>schlägt</t>
  </si>
  <si>
    <t>zu</t>
  </si>
  <si>
    <t>der</t>
  </si>
  <si>
    <t>Ratssitzung</t>
  </si>
  <si>
    <t>ein</t>
  </si>
  <si>
    <t>&amp;quot;</t>
  </si>
  <si>
    <t>Handlungskonzept</t>
  </si>
  <si>
    <t>Wohnen</t>
  </si>
  <si>
    <t>indef-np.a</t>
  </si>
  <si>
    <t>vor</t>
  </si>
  <si>
    <t># text = Doch Streit ist programmiert.</t>
  </si>
  <si>
    <t>Doch</t>
  </si>
  <si>
    <t>Streit</t>
  </si>
  <si>
    <t>ist</t>
  </si>
  <si>
    <t>programmiert</t>
  </si>
  <si>
    <t># text = In erster Linie geht es um die Frage: Wer soll die günstigen Wohnungen eigentlich bauen?</t>
  </si>
  <si>
    <t>In</t>
  </si>
  <si>
    <t>erster</t>
  </si>
  <si>
    <t>Linie</t>
  </si>
  <si>
    <t>geht</t>
  </si>
  <si>
    <t>es</t>
  </si>
  <si>
    <t>pron.pper</t>
  </si>
  <si>
    <t>um</t>
  </si>
  <si>
    <t>Frage</t>
  </si>
  <si>
    <t>soll</t>
  </si>
  <si>
    <t>günstigen</t>
  </si>
  <si>
    <t>eigentlich</t>
  </si>
  <si>
    <t># text = Eine Regelung fehlt bislang.</t>
  </si>
  <si>
    <t>Eine</t>
  </si>
  <si>
    <t>Regelung</t>
  </si>
  <si>
    <t>fehlt</t>
  </si>
  <si>
    <t>bislang</t>
  </si>
  <si>
    <t># text = SPD-Fraktionsvorsitzender Christoph Bratmann meint: "Wir sind uns mit den Grünen einig: Wer auf städtischen Flächen bauen will, muss künftig 20 Prozent aller Wohnungen als Sozialwohnungen ausweisen."</t>
  </si>
  <si>
    <t>Fraktionsvorsitzender</t>
  </si>
  <si>
    <t>SBJ_3</t>
  </si>
  <si>
    <t>Christoph</t>
  </si>
  <si>
    <t>other_4</t>
  </si>
  <si>
    <t>Bratmann</t>
  </si>
  <si>
    <t>meint</t>
  </si>
  <si>
    <t>Wir</t>
  </si>
  <si>
    <t>sind</t>
  </si>
  <si>
    <t>uns</t>
  </si>
  <si>
    <t>mit</t>
  </si>
  <si>
    <t>Grünen</t>
  </si>
  <si>
    <t>einig</t>
  </si>
  <si>
    <t>städtischen</t>
  </si>
  <si>
    <t>Flächen</t>
  </si>
  <si>
    <t>other_3</t>
  </si>
  <si>
    <t>will</t>
  </si>
  <si>
    <t>OBJ_3</t>
  </si>
  <si>
    <t>muss</t>
  </si>
  <si>
    <t>Prozent</t>
  </si>
  <si>
    <t>aller</t>
  </si>
  <si>
    <t>als</t>
  </si>
  <si>
    <t>Sozialwohnungen</t>
  </si>
  <si>
    <t>ausweisen</t>
  </si>
  <si>
    <t># text = Die günstigen Wohnungen können allerdings auch im Bestand entstehen.</t>
  </si>
  <si>
    <t>können</t>
  </si>
  <si>
    <t>allerdings</t>
  </si>
  <si>
    <t>auch</t>
  </si>
  <si>
    <t>dem</t>
  </si>
  <si>
    <t>Bestand</t>
  </si>
  <si>
    <t># text = Der große Streitpunkt im Rathaus sei jedoch, so Bratmann: "Wie geht man mit Investoren um, die auf privaten Flächen bauen wollen?"</t>
  </si>
  <si>
    <t>Der</t>
  </si>
  <si>
    <t>große</t>
  </si>
  <si>
    <t>Streitpunkt</t>
  </si>
  <si>
    <t>Rathaus</t>
  </si>
  <si>
    <t>sei</t>
  </si>
  <si>
    <t>jedoch</t>
  </si>
  <si>
    <t>so</t>
  </si>
  <si>
    <t>SBJ_4</t>
  </si>
  <si>
    <t>privaten</t>
  </si>
  <si>
    <t># text = \"Wir wollen, dass Investoren auf solchen Flächen mindestens 10 Prozent, aber möglichst 20 Prozent der Wohnungen als Sozialwohnungen bauen.\"</t>
  </si>
  <si>
    <t>solchen</t>
  </si>
  <si>
    <t>pron.pds</t>
  </si>
  <si>
    <t>mindestens</t>
  </si>
  <si>
    <t>aber</t>
  </si>
  <si>
    <t>möglichst</t>
  </si>
  <si>
    <t># text = Ein neues städtisches Wohnungsbau-Förderprogramm, das Millionen kosten wird und noch finanziert werden muss, soll für Anreize sorgen.</t>
  </si>
  <si>
    <t>Ein</t>
  </si>
  <si>
    <t>neues</t>
  </si>
  <si>
    <t>städtisches</t>
  </si>
  <si>
    <t>Wohnungsbau</t>
  </si>
  <si>
    <t>Förderprogramm</t>
  </si>
  <si>
    <t>das</t>
  </si>
  <si>
    <t>Millionen</t>
  </si>
  <si>
    <t>kosten</t>
  </si>
  <si>
    <t>noch</t>
  </si>
  <si>
    <t>finanziert</t>
  </si>
  <si>
    <t>für</t>
  </si>
  <si>
    <t>Anreize</t>
  </si>
  <si>
    <t># text = Das Problem, so Bratmann: "Es gibt momentan noch keine Einigung zwischen den Fraktionen."</t>
  </si>
  <si>
    <t>Das</t>
  </si>
  <si>
    <t>Es</t>
  </si>
  <si>
    <t>gibt</t>
  </si>
  <si>
    <t>momentan</t>
  </si>
  <si>
    <t>keine</t>
  </si>
  <si>
    <t>Einigung</t>
  </si>
  <si>
    <t>zwischen</t>
  </si>
  <si>
    <t>Fraktionen</t>
  </si>
  <si>
    <t># text = Die CDU möchte Investoren möglichst wenige Vorschriften machen.</t>
  </si>
  <si>
    <t>CDU</t>
  </si>
  <si>
    <t>möchte</t>
  </si>
  <si>
    <t>wenige</t>
  </si>
  <si>
    <t>Vorschriften</t>
  </si>
  <si>
    <t># text = Die Linke will noch härte Auflagen für Investoren.</t>
  </si>
  <si>
    <t>Linke</t>
  </si>
  <si>
    <t>härte</t>
  </si>
  <si>
    <t>Auflagen</t>
  </si>
  <si>
    <t># text = Ungeachtet dessen, so Bratmann, bahne sich eine Verschärfung der Situation auf dem Wohnungsmarkt an.</t>
  </si>
  <si>
    <t>Ungeachtet</t>
  </si>
  <si>
    <t>dessen</t>
  </si>
  <si>
    <t>bahne</t>
  </si>
  <si>
    <t>sich</t>
  </si>
  <si>
    <t>eine</t>
  </si>
  <si>
    <t>Verschärfung</t>
  </si>
  <si>
    <t>Situation</t>
  </si>
  <si>
    <t>Wohnungsmarkt</t>
  </si>
  <si>
    <t>an</t>
  </si>
  <si>
    <t># text = Wird das Handlungskonzept umgesetzt, wird das für zusätzliche Aufgaben in der Bauverwaltung sorgen.</t>
  </si>
  <si>
    <t>Wird</t>
  </si>
  <si>
    <t>umgesetzt</t>
  </si>
  <si>
    <t>zusätzliche</t>
  </si>
  <si>
    <t>Aufgaben</t>
  </si>
  <si>
    <t>Bauverwaltung</t>
  </si>
  <si>
    <t># text = Mehr Personal wird benötigt.</t>
  </si>
  <si>
    <t>Mehr</t>
  </si>
  <si>
    <t>Personal</t>
  </si>
  <si>
    <t>benötigt</t>
  </si>
  <si>
    <t># text = Es ist unklar, ob wir die Fachkräfte bekommen werden.</t>
  </si>
  <si>
    <t>unklar</t>
  </si>
  <si>
    <t>ob</t>
  </si>
  <si>
    <t>wir</t>
  </si>
  <si>
    <t>Fachkräfte</t>
  </si>
  <si>
    <t>bekommen</t>
  </si>
  <si>
    <t># text = Doch noch steht das Programm nicht gänzlich: Denn die rund 1260 neuen Wohnungen, die sollten ohnehin gebaut werden.</t>
  </si>
  <si>
    <t>steht</t>
  </si>
  <si>
    <t>Programm</t>
  </si>
  <si>
    <t>nicht</t>
  </si>
  <si>
    <t>gänzlich</t>
  </si>
  <si>
    <t>Denn</t>
  </si>
  <si>
    <t>rund</t>
  </si>
  <si>
    <t>1260</t>
  </si>
  <si>
    <t>neuen</t>
  </si>
  <si>
    <t>sollten</t>
  </si>
  <si>
    <t>ohnehin</t>
  </si>
  <si>
    <t>gebaut</t>
  </si>
  <si>
    <t># text = Wie aber gleicht man den Verlust von weiteren rund 1300 günstigen Wohnungen aus, deren Förderung in den nächsten Jahren auslaufen wird?</t>
  </si>
  <si>
    <t>gleicht</t>
  </si>
  <si>
    <t>Verlust</t>
  </si>
  <si>
    <t>von</t>
  </si>
  <si>
    <t>weiteren</t>
  </si>
  <si>
    <t>aus</t>
  </si>
  <si>
    <t>deren</t>
  </si>
  <si>
    <t>Förderung</t>
  </si>
  <si>
    <t>def-np.poss</t>
  </si>
  <si>
    <t>auslaufen</t>
  </si>
  <si>
    <t># text = Allein bis zum Jahr 2020 werden es 500 Wohnungen sein.</t>
  </si>
  <si>
    <t>Allein</t>
  </si>
  <si>
    <t>bis</t>
  </si>
  <si>
    <t>Jahr</t>
  </si>
  <si>
    <t>def-np.quant</t>
  </si>
  <si>
    <t>2020</t>
  </si>
  <si>
    <t>500</t>
  </si>
  <si>
    <t>sein</t>
  </si>
  <si>
    <t># text = Um das zu verhindern, so die planungspolitische Sprecherin Nicole Palm, sollten jetzt auslaufende Bindungen von der Stadt angekauft werden.</t>
  </si>
  <si>
    <t>Um</t>
  </si>
  <si>
    <t>verhindern</t>
  </si>
  <si>
    <t>planungspolitische</t>
  </si>
  <si>
    <t>Sprecherin</t>
  </si>
  <si>
    <t>Nicole</t>
  </si>
  <si>
    <t>Palm</t>
  </si>
  <si>
    <t>jetzt</t>
  </si>
  <si>
    <t>auslaufende</t>
  </si>
  <si>
    <t>Bindungen</t>
  </si>
  <si>
    <t>Stadt</t>
  </si>
  <si>
    <t>angekauft</t>
  </si>
  <si>
    <t># text = Außerdem müsste darüber nachgedacht werden, Wohnungen wieder zurück in die Preisbindung zu holen.</t>
  </si>
  <si>
    <t>Außerdem</t>
  </si>
  <si>
    <t>müsste</t>
  </si>
  <si>
    <t>darüber</t>
  </si>
  <si>
    <t>nachgedacht</t>
  </si>
  <si>
    <t>wieder</t>
  </si>
  <si>
    <t>zurück</t>
  </si>
  <si>
    <t>Preisbindung</t>
  </si>
  <si>
    <t># text = Das ist in der Weststadt möglich.</t>
  </si>
  <si>
    <t>Weststadt</t>
  </si>
  <si>
    <t>möglich</t>
  </si>
  <si>
    <t># text = Auf einen Schlag ließe sich das Problem lösen.</t>
  </si>
  <si>
    <t>Auf</t>
  </si>
  <si>
    <t>einen</t>
  </si>
  <si>
    <t>Schlag</t>
  </si>
  <si>
    <t>ließe</t>
  </si>
  <si>
    <t>lösen</t>
  </si>
  <si>
    <t># text = Denn in der Weststadt laufen zum Jahresende Fristen aus.</t>
  </si>
  <si>
    <t>Jahresende</t>
  </si>
  <si>
    <t>Fristen</t>
  </si>
  <si>
    <t># text = Rund 1800 Wohnungen könnte man dort zurück in die Preisbindung für günstige Wohnungen holen.</t>
  </si>
  <si>
    <t>Rund</t>
  </si>
  <si>
    <t>1800</t>
  </si>
  <si>
    <t>könnte</t>
  </si>
  <si>
    <t>dort</t>
  </si>
  <si>
    <t># text = Nur: Das wollen die Eigentümer, die Wohnungsbaugesellschaften nicht.</t>
  </si>
  <si>
    <t>Nur</t>
  </si>
  <si>
    <t>Eigentümer</t>
  </si>
  <si>
    <t>Wohnungsbaugesellschaften</t>
  </si>
  <si>
    <t># text = Denn wird die Zahl der Sozialwohnungen in der Weststadt wieder drastisch erhöht, entfernt man sich vom Ziel der sogenannten Durchmischung.</t>
  </si>
  <si>
    <t>Zahl</t>
  </si>
  <si>
    <t>drastisch</t>
  </si>
  <si>
    <t>erhöht</t>
  </si>
  <si>
    <t>entfernt</t>
  </si>
  <si>
    <t>Ziel</t>
  </si>
  <si>
    <t>sogenannten</t>
  </si>
  <si>
    <t>Durchmischung</t>
  </si>
  <si>
    <t># text = Eine Konzentration von Sozialschwachen in nur wenigen Stadtteilen soll es nicht mehr geben.</t>
  </si>
  <si>
    <t>Konzentration</t>
  </si>
  <si>
    <t>Sozialschwachen</t>
  </si>
  <si>
    <t>nur</t>
  </si>
  <si>
    <t>wenigen</t>
  </si>
  <si>
    <t>Stadtteilen</t>
  </si>
  <si>
    <t>mehr</t>
  </si>
  <si>
    <t># text = Die Grünen rechnen damit, dass es noch Bewegung in der Diskussion geben wird.</t>
  </si>
  <si>
    <t>damit</t>
  </si>
  <si>
    <t>Bewegung</t>
  </si>
  <si>
    <t>Diskussion</t>
  </si>
  <si>
    <t># text = Fraktionsvorsitzender Holger Herlitschke meint: "Für eine breite Mehrheit muss die CDU mit ins Boot."</t>
  </si>
  <si>
    <t>Holger</t>
  </si>
  <si>
    <t>Herlitschke</t>
  </si>
  <si>
    <t>Für</t>
  </si>
  <si>
    <t>breite</t>
  </si>
  <si>
    <t>Mehrheit</t>
  </si>
  <si>
    <t>Boot</t>
  </si>
  <si>
    <t># text = Die habe sich zwar auf mehr Bauplätze für Einfamilienhäuser konzentriert.</t>
  </si>
  <si>
    <t>habe</t>
  </si>
  <si>
    <t>zwar</t>
  </si>
  <si>
    <t>Bauplätze</t>
  </si>
  <si>
    <t>Einfamilienhäuser</t>
  </si>
  <si>
    <t>konzentriert</t>
  </si>
  <si>
    <t># text = Was aber nicht heißt, dass nicht doch noch ein Kompromiss gefunden werden kann.</t>
  </si>
  <si>
    <t>Was</t>
  </si>
  <si>
    <t>heißt</t>
  </si>
  <si>
    <t>doch</t>
  </si>
  <si>
    <t>Kompromiss</t>
  </si>
  <si>
    <t>gefunden</t>
  </si>
  <si>
    <t>kann</t>
  </si>
  <si>
    <t>braunschweig</t>
  </si>
  <si>
    <t>spd</t>
  </si>
  <si>
    <t>gruene</t>
  </si>
  <si>
    <t>parser error: verb</t>
  </si>
  <si>
    <t>IDIOM</t>
  </si>
  <si>
    <t>EXPL</t>
  </si>
  <si>
    <t>guenstige_wohnungen</t>
  </si>
  <si>
    <t>Antezedens</t>
  </si>
  <si>
    <t>christoph_bratmann</t>
  </si>
  <si>
    <t>BOUND</t>
  </si>
  <si>
    <t>cdu</t>
  </si>
  <si>
    <t>linke</t>
  </si>
  <si>
    <t>PRED</t>
  </si>
  <si>
    <t>nicole_palm</t>
  </si>
  <si>
    <t>weststadt</t>
  </si>
  <si>
    <t>holger_herlitschke</t>
  </si>
  <si>
    <t>kein auto ref</t>
  </si>
  <si>
    <t>SIT</t>
  </si>
  <si>
    <t>naechste_jahre</t>
  </si>
  <si>
    <t>frage_wohnungsbau</t>
  </si>
  <si>
    <t>GEN</t>
  </si>
  <si>
    <t>rathaus</t>
  </si>
  <si>
    <t>umgang_investoren</t>
  </si>
  <si>
    <t>private_flaechen</t>
  </si>
  <si>
    <t>investoren</t>
  </si>
  <si>
    <t>wohnungsbau_programm</t>
  </si>
  <si>
    <t>parser error</t>
  </si>
  <si>
    <t>fraktionen</t>
  </si>
  <si>
    <t>wohnungsmarkt</t>
  </si>
  <si>
    <t>bauverwaltung</t>
  </si>
  <si>
    <t>fachkraefte</t>
  </si>
  <si>
    <t>1260_neue_wohnungen</t>
  </si>
  <si>
    <t>verlust_guenstige_wohnungen</t>
  </si>
  <si>
    <t>foerderung_guenstige_wohnungen</t>
  </si>
  <si>
    <t>1300_guenstige_wohnungen</t>
  </si>
  <si>
    <t>preisbindung</t>
  </si>
  <si>
    <t>zurueck_in_preisbindung</t>
  </si>
  <si>
    <t>eigentuemer</t>
  </si>
  <si>
    <t>wohnungsbaugesellschaften</t>
  </si>
  <si>
    <t>durchmischung</t>
  </si>
  <si>
    <t>OLD</t>
  </si>
  <si>
    <t>einigung_wohnungsbau</t>
  </si>
  <si>
    <t>fokus_cdu</t>
  </si>
  <si>
    <t>FAMILIAR</t>
  </si>
  <si>
    <t>UNIQUE</t>
  </si>
  <si>
    <t>streit_wohnungsbau</t>
  </si>
  <si>
    <t>siehe log</t>
  </si>
  <si>
    <t>FOCUS</t>
  </si>
  <si>
    <t>ACTIVATED</t>
  </si>
  <si>
    <t>neue Wohnungen im Allgemeinen</t>
  </si>
  <si>
    <t>umsetzung_programm</t>
  </si>
  <si>
    <t>syntaktischer Kopf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</si>
</sst>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37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16</v>
      </c>
      <c r="B6" s="6" t="s">
        <v>20</v>
      </c>
      <c r="C6" s="6" t="s">
        <v>12</v>
      </c>
      <c r="D6" s="7" t="s">
        <v>29</v>
      </c>
      <c r="E6" s="8" t="s">
        <v>30</v>
      </c>
      <c r="F6" s="6" t="s">
        <v>31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32</v>
      </c>
      <c r="B7" s="6" t="s">
        <v>20</v>
      </c>
      <c r="C7" s="6" t="s">
        <v>12</v>
      </c>
      <c r="D7" s="7" t="s">
        <v>33</v>
      </c>
      <c r="E7" s="8" t="s">
        <v>34</v>
      </c>
      <c r="F7" s="6" t="s">
        <v>35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36</v>
      </c>
      <c r="B8" s="6" t="s">
        <v>25</v>
      </c>
      <c r="C8" s="6" t="s">
        <v>12</v>
      </c>
      <c r="D8" s="7" t="s">
        <v>37</v>
      </c>
      <c r="E8" s="8" t="s">
        <v>38</v>
      </c>
      <c r="F8" s="6" t="s">
        <v>39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40</v>
      </c>
      <c r="B9" s="6" t="s">
        <v>20</v>
      </c>
      <c r="C9" s="6" t="s">
        <v>12</v>
      </c>
      <c r="D9" s="7" t="s">
        <v>41</v>
      </c>
      <c r="E9" s="8" t="s">
        <v>42</v>
      </c>
      <c r="F9" s="6" t="s">
        <v>43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21</v>
      </c>
      <c r="B10" s="6" t="s">
        <v>44</v>
      </c>
      <c r="C10" s="6" t="s">
        <v>12</v>
      </c>
      <c r="D10" s="7" t="s">
        <v>45</v>
      </c>
      <c r="E10" s="8" t="s">
        <v>46</v>
      </c>
      <c r="F10" s="6" t="s">
        <v>47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44</v>
      </c>
      <c r="B11" s="6" t="s">
        <v>44</v>
      </c>
      <c r="C11" s="6" t="s">
        <v>12</v>
      </c>
      <c r="D11" s="7" t="s">
        <v>48</v>
      </c>
      <c r="E11" s="8" t="s">
        <v>49</v>
      </c>
      <c r="F11" s="6" t="s">
        <v>50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51</v>
      </c>
      <c r="B12" s="6" t="s">
        <v>36</v>
      </c>
      <c r="C12" s="6" t="s">
        <v>12</v>
      </c>
      <c r="D12" s="7" t="s">
        <v>52</v>
      </c>
      <c r="E12" s="8" t="s">
        <v>53</v>
      </c>
      <c r="F12" s="6" t="s">
        <v>54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55</v>
      </c>
      <c r="B13" s="6" t="s">
        <v>20</v>
      </c>
      <c r="C13" s="6" t="s">
        <v>12</v>
      </c>
      <c r="D13" s="7" t="s">
        <v>56</v>
      </c>
      <c r="E13" s="8" t="s">
        <v>57</v>
      </c>
      <c r="F13" s="6" t="s">
        <v>58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59</v>
      </c>
      <c r="B14" s="6" t="s">
        <v>60</v>
      </c>
      <c r="C14" s="6" t="s">
        <v>12</v>
      </c>
      <c r="D14" s="7" t="s">
        <v>61</v>
      </c>
      <c r="E14" s="8" t="s">
        <v>62</v>
      </c>
      <c r="F14" s="6" t="s">
        <v>63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64</v>
      </c>
      <c r="B15" s="6" t="s">
        <v>11</v>
      </c>
      <c r="C15" s="6" t="s">
        <v>12</v>
      </c>
      <c r="D15" s="7" t="s">
        <v>65</v>
      </c>
      <c r="E15" s="8" t="s">
        <v>66</v>
      </c>
      <c r="F15" s="6" t="s">
        <v>67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68</v>
      </c>
      <c r="B16" s="6" t="s">
        <v>40</v>
      </c>
      <c r="C16" s="6" t="s">
        <v>12</v>
      </c>
      <c r="D16" s="7" t="s">
        <v>69</v>
      </c>
      <c r="E16" s="8" t="s">
        <v>70</v>
      </c>
      <c r="F16" s="6" t="s">
        <v>71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72</v>
      </c>
      <c r="B17" s="6" t="s">
        <v>20</v>
      </c>
      <c r="C17" s="6" t="s">
        <v>12</v>
      </c>
      <c r="D17" s="7" t="s">
        <v>56</v>
      </c>
      <c r="E17" s="8" t="s">
        <v>73</v>
      </c>
      <c r="F17" s="6" t="s">
        <v>74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75</v>
      </c>
      <c r="B18" s="6" t="s">
        <v>10</v>
      </c>
      <c r="C18" s="6" t="s">
        <v>12</v>
      </c>
      <c r="D18" s="7" t="s">
        <v>76</v>
      </c>
      <c r="E18" s="8" t="s">
        <v>77</v>
      </c>
      <c r="F18" s="6" t="s">
        <v>78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79</v>
      </c>
      <c r="B19" s="6" t="s">
        <v>64</v>
      </c>
      <c r="C19" s="6" t="s">
        <v>12</v>
      </c>
      <c r="D19" s="7" t="s">
        <v>61</v>
      </c>
      <c r="E19" s="8" t="s">
        <v>80</v>
      </c>
      <c r="F19" s="6" t="s">
        <v>81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82</v>
      </c>
      <c r="B20" s="6" t="s">
        <v>25</v>
      </c>
      <c r="C20" s="6" t="s">
        <v>12</v>
      </c>
      <c r="D20" s="7" t="s">
        <v>83</v>
      </c>
      <c r="E20" s="8" t="s">
        <v>84</v>
      </c>
      <c r="F20" s="6" t="s">
        <v>85</v>
      </c>
      <c r="G20" s="9" t="str">
        <f t="shared" si="0"/>
        <v>???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86</v>
      </c>
      <c r="B21" s="6" t="s">
        <v>11</v>
      </c>
      <c r="C21" s="6" t="s">
        <v>12</v>
      </c>
      <c r="D21" s="7" t="s">
        <v>87</v>
      </c>
      <c r="E21" s="8" t="s">
        <v>88</v>
      </c>
      <c r="F21" s="6" t="s">
        <v>89</v>
      </c>
      <c r="G21" s="9" t="str">
        <f t="shared" si="0"/>
        <v>???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60</v>
      </c>
      <c r="B22" s="6" t="s">
        <v>20</v>
      </c>
      <c r="C22" s="6" t="s">
        <v>12</v>
      </c>
      <c r="D22" s="7" t="s">
        <v>90</v>
      </c>
      <c r="E22" s="8" t="s">
        <v>91</v>
      </c>
      <c r="F22" s="6" t="s">
        <v>92</v>
      </c>
      <c r="G22" s="9" t="str">
        <f t="shared" si="0"/>
        <v>???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93</v>
      </c>
      <c r="B23" s="6" t="s">
        <v>20</v>
      </c>
      <c r="C23" s="6" t="s">
        <v>12</v>
      </c>
      <c r="D23" s="7" t="s">
        <v>94</v>
      </c>
      <c r="E23" s="8" t="s">
        <v>95</v>
      </c>
      <c r="F23" s="6" t="s">
        <v>96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97</v>
      </c>
      <c r="B24" s="6" t="s">
        <v>36</v>
      </c>
      <c r="C24" s="6" t="s">
        <v>12</v>
      </c>
      <c r="D24" s="7" t="s">
        <v>98</v>
      </c>
      <c r="E24" s="8" t="s">
        <v>99</v>
      </c>
      <c r="F24" s="6" t="s">
        <v>100</v>
      </c>
      <c r="G24" s="9" t="str">
        <f t="shared" si="0"/>
        <v>???</v>
      </c>
      <c r="H24" s="10" t="s">
        <v>12</v>
      </c>
      <c r="I24" s="11" t="s">
        <v>12</v>
      </c>
      <c r="J24" s="12"/>
    </row>
    <row r="25" spans="1:10" ht="60" customHeight="1" x14ac:dyDescent="0.3">
      <c r="A25" s="6" t="s">
        <v>101</v>
      </c>
      <c r="B25" s="6" t="s">
        <v>86</v>
      </c>
      <c r="C25" s="6" t="s">
        <v>12</v>
      </c>
      <c r="D25" s="7" t="s">
        <v>102</v>
      </c>
      <c r="E25" s="8" t="s">
        <v>103</v>
      </c>
      <c r="F25" s="6" t="s">
        <v>104</v>
      </c>
      <c r="G25" s="9" t="str">
        <f t="shared" si="0"/>
        <v>???</v>
      </c>
      <c r="H25" s="10" t="s">
        <v>12</v>
      </c>
      <c r="I25" s="11" t="s">
        <v>12</v>
      </c>
      <c r="J25" s="12"/>
    </row>
    <row r="26" spans="1:10" ht="60" customHeight="1" x14ac:dyDescent="0.3">
      <c r="A26" s="6" t="s">
        <v>105</v>
      </c>
      <c r="B26" s="6" t="s">
        <v>25</v>
      </c>
      <c r="C26" s="6" t="s">
        <v>12</v>
      </c>
      <c r="D26" s="7" t="s">
        <v>106</v>
      </c>
      <c r="E26" s="8" t="s">
        <v>107</v>
      </c>
      <c r="F26" s="6" t="s">
        <v>108</v>
      </c>
      <c r="G26" s="9" t="str">
        <f t="shared" si="0"/>
        <v>???</v>
      </c>
      <c r="H26" s="10" t="s">
        <v>12</v>
      </c>
      <c r="I26" s="11" t="s">
        <v>12</v>
      </c>
      <c r="J26" s="12"/>
    </row>
    <row r="27" spans="1:10" ht="60" customHeight="1" x14ac:dyDescent="0.3">
      <c r="A27" s="6" t="s">
        <v>109</v>
      </c>
      <c r="B27" s="6" t="s">
        <v>11</v>
      </c>
      <c r="C27" s="6" t="s">
        <v>12</v>
      </c>
      <c r="D27" s="7" t="s">
        <v>110</v>
      </c>
      <c r="E27" s="8" t="s">
        <v>111</v>
      </c>
      <c r="F27" s="6" t="s">
        <v>112</v>
      </c>
      <c r="G27" s="9" t="str">
        <f t="shared" si="0"/>
        <v>???</v>
      </c>
      <c r="H27" s="10" t="s">
        <v>12</v>
      </c>
      <c r="I27" s="11" t="s">
        <v>12</v>
      </c>
      <c r="J27" s="12"/>
    </row>
    <row r="28" spans="1:10" ht="60" customHeight="1" x14ac:dyDescent="0.3">
      <c r="A28" s="6" t="s">
        <v>113</v>
      </c>
      <c r="B28" s="6" t="s">
        <v>25</v>
      </c>
      <c r="C28" s="6" t="s">
        <v>12</v>
      </c>
      <c r="D28" s="7" t="s">
        <v>114</v>
      </c>
      <c r="E28" s="8" t="s">
        <v>115</v>
      </c>
      <c r="F28" s="6" t="s">
        <v>116</v>
      </c>
      <c r="G28" s="9" t="str">
        <f t="shared" si="0"/>
        <v>???</v>
      </c>
      <c r="H28" s="10" t="s">
        <v>12</v>
      </c>
      <c r="I28" s="11" t="s">
        <v>12</v>
      </c>
      <c r="J28" s="12"/>
    </row>
    <row r="29" spans="1:10" ht="60" customHeight="1" x14ac:dyDescent="0.3">
      <c r="A29" s="6" t="s">
        <v>117</v>
      </c>
      <c r="B29" s="6" t="s">
        <v>16</v>
      </c>
      <c r="C29" s="6" t="s">
        <v>12</v>
      </c>
      <c r="D29" s="7" t="s">
        <v>118</v>
      </c>
      <c r="E29" s="8" t="s">
        <v>119</v>
      </c>
      <c r="F29" s="6" t="s">
        <v>120</v>
      </c>
      <c r="G29" s="9" t="str">
        <f t="shared" si="0"/>
        <v>???</v>
      </c>
      <c r="H29" s="10" t="s">
        <v>12</v>
      </c>
      <c r="I29" s="11" t="s">
        <v>12</v>
      </c>
      <c r="J29" s="12"/>
    </row>
    <row r="30" spans="1:10" ht="60" customHeight="1" x14ac:dyDescent="0.3">
      <c r="A30" s="6" t="s">
        <v>121</v>
      </c>
      <c r="B30" s="6" t="s">
        <v>64</v>
      </c>
      <c r="C30" s="6" t="s">
        <v>12</v>
      </c>
      <c r="D30" s="7" t="s">
        <v>122</v>
      </c>
      <c r="E30" s="8" t="s">
        <v>123</v>
      </c>
      <c r="F30" s="6" t="s">
        <v>124</v>
      </c>
      <c r="G30" s="9" t="str">
        <f t="shared" si="0"/>
        <v>???</v>
      </c>
      <c r="H30" s="10" t="s">
        <v>12</v>
      </c>
      <c r="I30" s="11" t="s">
        <v>12</v>
      </c>
      <c r="J30" s="12"/>
    </row>
    <row r="31" spans="1:10" ht="60" customHeight="1" x14ac:dyDescent="0.3">
      <c r="A31" s="6" t="s">
        <v>125</v>
      </c>
      <c r="B31" s="6" t="s">
        <v>25</v>
      </c>
      <c r="C31" s="6" t="s">
        <v>12</v>
      </c>
      <c r="D31" s="7" t="s">
        <v>56</v>
      </c>
      <c r="E31" s="8" t="s">
        <v>126</v>
      </c>
      <c r="F31" s="6" t="s">
        <v>127</v>
      </c>
      <c r="G31" s="9" t="str">
        <f t="shared" si="0"/>
        <v>???</v>
      </c>
      <c r="H31" s="10" t="s">
        <v>12</v>
      </c>
      <c r="I31" s="11" t="s">
        <v>12</v>
      </c>
      <c r="J31" s="12"/>
    </row>
    <row r="32" spans="1:10" ht="60" customHeight="1" x14ac:dyDescent="0.3">
      <c r="A32" s="6" t="s">
        <v>128</v>
      </c>
      <c r="B32" s="6" t="s">
        <v>55</v>
      </c>
      <c r="C32" s="6" t="s">
        <v>12</v>
      </c>
      <c r="D32" s="7" t="s">
        <v>129</v>
      </c>
      <c r="E32" s="8" t="s">
        <v>130</v>
      </c>
      <c r="F32" s="6" t="s">
        <v>131</v>
      </c>
      <c r="G32" s="9" t="str">
        <f t="shared" si="0"/>
        <v>???</v>
      </c>
      <c r="H32" s="10" t="s">
        <v>12</v>
      </c>
      <c r="I32" s="11" t="s">
        <v>12</v>
      </c>
      <c r="J32" s="12"/>
    </row>
    <row r="33" spans="1:10" ht="60" customHeight="1" x14ac:dyDescent="0.3">
      <c r="A33" s="6" t="s">
        <v>132</v>
      </c>
      <c r="B33" s="6" t="s">
        <v>59</v>
      </c>
      <c r="C33" s="6" t="s">
        <v>12</v>
      </c>
      <c r="D33" s="7" t="s">
        <v>133</v>
      </c>
      <c r="E33" s="8" t="s">
        <v>134</v>
      </c>
      <c r="F33" s="6" t="s">
        <v>135</v>
      </c>
      <c r="G33" s="9" t="str">
        <f t="shared" si="0"/>
        <v>???</v>
      </c>
      <c r="H33" s="10" t="s">
        <v>12</v>
      </c>
      <c r="I33" s="11" t="s">
        <v>12</v>
      </c>
      <c r="J33" s="12"/>
    </row>
    <row r="34" spans="1:10" ht="60" customHeight="1" x14ac:dyDescent="0.3">
      <c r="A34" s="6" t="s">
        <v>136</v>
      </c>
      <c r="B34" s="6" t="s">
        <v>20</v>
      </c>
      <c r="C34" s="6" t="s">
        <v>12</v>
      </c>
      <c r="D34" s="7" t="s">
        <v>137</v>
      </c>
      <c r="E34" s="8" t="s">
        <v>138</v>
      </c>
      <c r="F34" s="6" t="s">
        <v>139</v>
      </c>
      <c r="G34" s="9" t="str">
        <f t="shared" si="0"/>
        <v>???</v>
      </c>
      <c r="H34" s="10" t="s">
        <v>12</v>
      </c>
      <c r="I34" s="11" t="s">
        <v>12</v>
      </c>
      <c r="J34" s="12"/>
    </row>
    <row r="35" spans="1:10" ht="60" customHeight="1" x14ac:dyDescent="0.3">
      <c r="A35" s="6" t="s">
        <v>140</v>
      </c>
      <c r="B35" s="6" t="s">
        <v>25</v>
      </c>
      <c r="C35" s="6" t="s">
        <v>12</v>
      </c>
      <c r="D35" s="7" t="s">
        <v>141</v>
      </c>
      <c r="E35" s="8" t="s">
        <v>142</v>
      </c>
      <c r="F35" s="6" t="s">
        <v>143</v>
      </c>
      <c r="G35" s="9" t="str">
        <f t="shared" si="0"/>
        <v>???</v>
      </c>
      <c r="H35" s="10" t="s">
        <v>12</v>
      </c>
      <c r="I35" s="11" t="s">
        <v>12</v>
      </c>
      <c r="J35" s="12"/>
    </row>
    <row r="36" spans="1:10" ht="60" customHeight="1" x14ac:dyDescent="0.3">
      <c r="A36" s="6" t="s">
        <v>144</v>
      </c>
      <c r="B36" s="6" t="s">
        <v>44</v>
      </c>
      <c r="C36" s="6" t="s">
        <v>12</v>
      </c>
      <c r="D36" s="7" t="s">
        <v>145</v>
      </c>
      <c r="E36" s="8" t="s">
        <v>146</v>
      </c>
      <c r="F36" s="6" t="s">
        <v>147</v>
      </c>
      <c r="G36" s="9" t="str">
        <f t="shared" si="0"/>
        <v>???</v>
      </c>
      <c r="H36" s="10" t="s">
        <v>12</v>
      </c>
      <c r="I36" s="11" t="s">
        <v>12</v>
      </c>
      <c r="J36" s="12"/>
    </row>
    <row r="37" spans="1:10" ht="60" customHeight="1" x14ac:dyDescent="0.3">
      <c r="A37" s="6" t="s">
        <v>148</v>
      </c>
      <c r="B37" s="6" t="s">
        <v>25</v>
      </c>
      <c r="C37" s="6" t="s">
        <v>149</v>
      </c>
      <c r="D37" s="7" t="s">
        <v>150</v>
      </c>
      <c r="E37" s="8" t="s">
        <v>151</v>
      </c>
      <c r="F37" s="6" t="s">
        <v>152</v>
      </c>
      <c r="G37" s="9" t="str">
        <f t="shared" si="0"/>
        <v>Was?</v>
      </c>
      <c r="H37" s="10" t="s">
        <v>12</v>
      </c>
      <c r="I37" s="11" t="s">
        <v>12</v>
      </c>
      <c r="J3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9"/>
  <sheetViews>
    <sheetView tabSelected="1" workbookViewId="0">
      <pane xSplit="1" ySplit="1" topLeftCell="B144" activePane="bottomRight" state="frozen"/>
      <selection pane="topRight" activeCell="B1" sqref="B1"/>
      <selection pane="bottomLeft" activeCell="A2" sqref="A2"/>
      <selection pane="bottomRight" activeCell="H149" sqref="H149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153</v>
      </c>
      <c r="B1" s="13" t="s">
        <v>154</v>
      </c>
      <c r="C1" s="13" t="s">
        <v>155</v>
      </c>
      <c r="D1" s="13" t="s">
        <v>156</v>
      </c>
      <c r="E1" s="14" t="s">
        <v>157</v>
      </c>
      <c r="F1" s="15" t="s">
        <v>158</v>
      </c>
      <c r="G1" s="16" t="s">
        <v>159</v>
      </c>
      <c r="H1" s="17" t="s">
        <v>160</v>
      </c>
      <c r="I1" s="18" t="s">
        <v>161</v>
      </c>
      <c r="J1" s="18" t="s">
        <v>162</v>
      </c>
      <c r="K1" s="18" t="s">
        <v>163</v>
      </c>
      <c r="L1" s="19" t="s">
        <v>9</v>
      </c>
    </row>
    <row r="2" spans="1:12" x14ac:dyDescent="0.3">
      <c r="A2" t="s">
        <v>164</v>
      </c>
    </row>
    <row r="3" spans="1:12" x14ac:dyDescent="0.3">
      <c r="A3" t="s">
        <v>165</v>
      </c>
      <c r="B3" s="20" t="s">
        <v>166</v>
      </c>
      <c r="C3" s="20" t="s">
        <v>167</v>
      </c>
      <c r="E3" s="21" t="str">
        <f t="shared" ref="E3:E8" si="0">IF(D3="?OLD","!!!","")</f>
        <v/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8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168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169</v>
      </c>
      <c r="B5" s="20" t="s">
        <v>166</v>
      </c>
      <c r="C5" s="20" t="s">
        <v>170</v>
      </c>
      <c r="D5" s="20" t="s">
        <v>171</v>
      </c>
      <c r="E5" s="21" t="s">
        <v>466</v>
      </c>
      <c r="F5" s="22" t="str">
        <f>IF(OR(E5="",E5="!!!"),"",IF(NOT(ISNA(VLOOKUP(E5,E$1:E4,1,FALSE()))),"OLD",IF(AND(E5&lt;&gt;"",E5&lt;&gt;"!!!"),"NEW","")))</f>
        <v>NEW</v>
      </c>
      <c r="G5" s="23" t="s">
        <v>509</v>
      </c>
      <c r="H5" s="24"/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172</v>
      </c>
      <c r="E6" s="21" t="str">
        <f t="shared" si="0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173</v>
      </c>
      <c r="B7" s="20" t="s">
        <v>174</v>
      </c>
      <c r="C7" s="20" t="s">
        <v>175</v>
      </c>
      <c r="E7" s="21" t="s">
        <v>472</v>
      </c>
      <c r="F7" s="22" t="str">
        <f>IF(OR(E7="",E7="!!!"),"",IF(NOT(ISNA(VLOOKUP(E7,E$1:E6,1,FALSE()))),"OLD",IF(AND(E7&lt;&gt;"",E7&lt;&gt;"!!!"),"NEW","")))</f>
        <v>NEW</v>
      </c>
      <c r="G7" s="23" t="s">
        <v>509</v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 t="s">
        <v>473</v>
      </c>
    </row>
    <row r="8" spans="1:12" x14ac:dyDescent="0.3">
      <c r="A8" t="s">
        <v>176</v>
      </c>
      <c r="E8" s="21" t="str">
        <f t="shared" si="0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10" spans="1:12" x14ac:dyDescent="0.3">
      <c r="A10" t="s">
        <v>177</v>
      </c>
    </row>
    <row r="11" spans="1:12" x14ac:dyDescent="0.3">
      <c r="A11" t="s">
        <v>178</v>
      </c>
      <c r="E11" s="21" t="str">
        <f t="shared" ref="E11:E16" si="2">IF(D11="?OLD","!!!","")</f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ref="H11:H16" ca="1" si="3">IF(J11&lt;&gt;1,"",IF(I11="SBJ","CB","?"))</f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179</v>
      </c>
      <c r="B12" s="20" t="s">
        <v>166</v>
      </c>
      <c r="C12" s="20" t="s">
        <v>170</v>
      </c>
      <c r="D12" s="20" t="s">
        <v>171</v>
      </c>
      <c r="E12" s="21" t="s">
        <v>467</v>
      </c>
      <c r="F12" s="22" t="str">
        <f>IF(OR(E12="",E12="!!!"),"",IF(NOT(ISNA(VLOOKUP(E12,E$1:E11,1,FALSE()))),"OLD",IF(AND(E12&lt;&gt;"",E12&lt;&gt;"!!!"),"NEW","")))</f>
        <v>NEW</v>
      </c>
      <c r="G12" s="23" t="s">
        <v>509</v>
      </c>
      <c r="H12" s="24" t="str">
        <f t="shared" ca="1" si="3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180</v>
      </c>
      <c r="E13" s="21" t="str">
        <f t="shared" si="2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3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181</v>
      </c>
      <c r="B14" s="20" t="s">
        <v>182</v>
      </c>
      <c r="C14" s="20" t="s">
        <v>170</v>
      </c>
      <c r="D14" s="20" t="s">
        <v>171</v>
      </c>
      <c r="E14" s="21" t="s">
        <v>468</v>
      </c>
      <c r="F14" s="22" t="str">
        <f>IF(OR(E14="",E14="!!!"),"",IF(NOT(ISNA(VLOOKUP(E14,E$1:E13,1,FALSE()))),"OLD",IF(AND(E14&lt;&gt;"",E14&lt;&gt;"!!!"),"NEW","")))</f>
        <v>NEW</v>
      </c>
      <c r="G14" s="23" t="s">
        <v>509</v>
      </c>
      <c r="H14" s="24" t="str">
        <f t="shared" ca="1" si="3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141</v>
      </c>
      <c r="B15" s="20" t="s">
        <v>183</v>
      </c>
      <c r="C15" s="20" t="s">
        <v>184</v>
      </c>
      <c r="D15" s="20" t="s">
        <v>171</v>
      </c>
      <c r="E15" s="21"/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3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 t="s">
        <v>469</v>
      </c>
    </row>
    <row r="16" spans="1:12" x14ac:dyDescent="0.3">
      <c r="A16" t="s">
        <v>185</v>
      </c>
      <c r="E16" s="21" t="str">
        <f t="shared" si="2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3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8" spans="1:12" x14ac:dyDescent="0.3">
      <c r="A18" t="s">
        <v>186</v>
      </c>
    </row>
    <row r="19" spans="1:12" x14ac:dyDescent="0.3">
      <c r="A19" t="s">
        <v>187</v>
      </c>
      <c r="B19" s="20" t="s">
        <v>166</v>
      </c>
      <c r="C19" s="20" t="s">
        <v>175</v>
      </c>
      <c r="E19" s="21" t="s">
        <v>490</v>
      </c>
      <c r="F19" s="22" t="str">
        <f>IF(OR(E19="",E19="!!!"),"",IF(NOT(ISNA(VLOOKUP(E19,E$1:E18,1,FALSE()))),"OLD",IF(AND(E19&lt;&gt;"",E19&lt;&gt;"!!!"),"NEW","")))</f>
        <v>NEW</v>
      </c>
      <c r="G19" s="23" t="s">
        <v>509</v>
      </c>
      <c r="H19" s="24" t="str">
        <f t="shared" ref="H19:H29" ca="1" si="4">IF(J19&lt;&gt;1,"",IF(I19="SBJ","CB","?"))</f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 t="s">
        <v>473</v>
      </c>
    </row>
    <row r="20" spans="1:12" x14ac:dyDescent="0.3">
      <c r="A20" t="s">
        <v>188</v>
      </c>
      <c r="E20" s="21" t="str">
        <f t="shared" ref="E19:E29" si="5">IF(D20="?OLD","!!!","")</f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4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189</v>
      </c>
      <c r="E21" s="21" t="str">
        <f t="shared" si="5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4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190</v>
      </c>
      <c r="E22" s="21" t="str">
        <f t="shared" si="5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4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191</v>
      </c>
      <c r="E23" s="21" t="str">
        <f t="shared" si="5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4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192</v>
      </c>
      <c r="E24" s="21" t="str">
        <f t="shared" si="5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4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193</v>
      </c>
      <c r="E25" s="21" t="str">
        <f t="shared" si="5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4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194</v>
      </c>
      <c r="B26" s="20" t="s">
        <v>183</v>
      </c>
      <c r="C26" s="20" t="s">
        <v>195</v>
      </c>
      <c r="D26" s="20" t="s">
        <v>171</v>
      </c>
      <c r="E26" s="21"/>
      <c r="F26" s="22" t="s">
        <v>470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4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196</v>
      </c>
      <c r="E27" s="21" t="str">
        <f t="shared" si="5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4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98</v>
      </c>
      <c r="E28" s="21" t="str">
        <f t="shared" si="5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4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197</v>
      </c>
      <c r="E29" s="21" t="str">
        <f t="shared" si="5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4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1" spans="1:12" x14ac:dyDescent="0.3">
      <c r="A31" t="s">
        <v>198</v>
      </c>
    </row>
    <row r="32" spans="1:12" x14ac:dyDescent="0.3">
      <c r="A32" t="s">
        <v>199</v>
      </c>
      <c r="E32" s="21" t="str">
        <f t="shared" ref="E32:E52" si="6">IF(D32="?OLD","!!!","")</f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ref="H32:H52" ca="1" si="7">IF(J32&lt;&gt;1,"",IF(I32="SBJ","CB","?"))</f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200</v>
      </c>
      <c r="E33" s="21" t="str">
        <f t="shared" si="6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7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201</v>
      </c>
      <c r="B34" s="20" t="s">
        <v>166</v>
      </c>
      <c r="C34" s="20" t="s">
        <v>202</v>
      </c>
      <c r="E34" s="21" t="str">
        <f t="shared" si="6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7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203</v>
      </c>
      <c r="E35" s="21" t="str">
        <f t="shared" si="6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7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193</v>
      </c>
      <c r="E36" s="21" t="str">
        <f t="shared" si="6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7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204</v>
      </c>
      <c r="E37" s="21" t="str">
        <f t="shared" si="6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7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205</v>
      </c>
      <c r="B38" s="20" t="s">
        <v>183</v>
      </c>
      <c r="C38" s="20" t="s">
        <v>195</v>
      </c>
      <c r="D38" s="20" t="s">
        <v>171</v>
      </c>
      <c r="E38" s="21" t="s">
        <v>498</v>
      </c>
      <c r="F38" s="22" t="str">
        <f>IF(OR(E38="",E38="!!!"),"",IF(NOT(ISNA(VLOOKUP(E38,E$1:E37,1,FALSE()))),"OLD",IF(AND(E38&lt;&gt;"",E38&lt;&gt;"!!!"),"NEW","")))</f>
        <v>NEW</v>
      </c>
      <c r="G38" s="23" t="s">
        <v>510</v>
      </c>
      <c r="H38" s="24" t="str">
        <f t="shared" ca="1" si="7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206</v>
      </c>
      <c r="E39" s="21" t="str">
        <f t="shared" si="6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7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207</v>
      </c>
      <c r="E40" s="21" t="str">
        <f t="shared" si="6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7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208</v>
      </c>
      <c r="B41" s="20" t="s">
        <v>209</v>
      </c>
      <c r="C41" s="20" t="s">
        <v>170</v>
      </c>
      <c r="D41" s="20" t="s">
        <v>171</v>
      </c>
      <c r="E41" s="21" t="s">
        <v>466</v>
      </c>
      <c r="F41" s="22" t="str">
        <f>IF(OR(E41="",E41="!!!"),"",IF(NOT(ISNA(VLOOKUP(E41,E$1:E40,1,FALSE()))),"OLD",IF(AND(E41&lt;&gt;"",E41&lt;&gt;"!!!"),"NEW","")))</f>
        <v>OLD</v>
      </c>
      <c r="G41" s="23" t="s">
        <v>509</v>
      </c>
      <c r="H41" s="24" t="str">
        <f t="shared" ca="1" si="7"/>
        <v/>
      </c>
      <c r="I41" s="25" t="str">
        <f>IF(OR(E41="",E41="!!!",F41="NEW"),"",INDEX(B$2:B40,-1+SUMPRODUCT(MAX(ROW(E$2:E40)*(E41=E$2:E40)))))</f>
        <v>SBJ</v>
      </c>
      <c r="J41" s="25">
        <f ca="1">IF(OR(E41="",E41="!!!",F41="NEW"),"",COUNTBLANK(OFFSET(A$1,,,SUMPRODUCT(MAX(ROW(E$2:E41)*(E41=E$2:E41)))))-COUNTBLANK(OFFSET(A$1,,,SUMPRODUCT(MAX(ROW(E$1:E40)*(E2=E$1:E40))))))</f>
        <v>0</v>
      </c>
      <c r="K41" s="25" t="str">
        <f ca="1">IF(OR(E41="",E41="!!!",F41="NEW"),"",INDEX(J$1:J40,SUMPRODUCT(MAX(ROW(E$1:E40)*(E41=E$1:E40)))))</f>
        <v/>
      </c>
      <c r="L41" s="26"/>
    </row>
    <row r="42" spans="1:12" x14ac:dyDescent="0.3">
      <c r="A42" t="s">
        <v>192</v>
      </c>
      <c r="E42" s="21" t="str">
        <f t="shared" si="6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7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210</v>
      </c>
      <c r="E43" s="21" t="str">
        <f t="shared" si="6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7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211</v>
      </c>
      <c r="E44" s="21" t="str">
        <f t="shared" si="6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7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212</v>
      </c>
      <c r="B45" s="20" t="s">
        <v>182</v>
      </c>
      <c r="C45" s="20" t="s">
        <v>195</v>
      </c>
      <c r="D45" s="20" t="s">
        <v>171</v>
      </c>
      <c r="E45" s="21" t="s">
        <v>484</v>
      </c>
      <c r="F45" s="22" t="s">
        <v>483</v>
      </c>
      <c r="G45" s="23"/>
      <c r="H45" s="24" t="str">
        <f t="shared" ca="1" si="7"/>
        <v/>
      </c>
      <c r="I45" s="25" t="e">
        <f>IF(OR(E45="",E45="!!!",F45="NEW"),"",INDEX(B$2:B44,-1+SUMPRODUCT(MAX(ROW(E$2:E44)*(E45=E$2:E44)))))</f>
        <v>#VALUE!</v>
      </c>
      <c r="J45" s="25">
        <f ca="1">IF(OR(E45="",E45="!!!",F45="NEW"),"",COUNTBLANK(OFFSET(A$1,,,SUMPRODUCT(MAX(ROW(E$2:E45)*(E45=E$2:E45)))))-COUNTBLANK(OFFSET(A$1,,,SUMPRODUCT(MAX(ROW(E$1:E44)*(E2=E$1:E44))))))</f>
        <v>0</v>
      </c>
      <c r="K45" s="25" t="e">
        <f>IF(OR(E45="",E45="!!!",F45="NEW"),"",INDEX(J$1:J44,SUMPRODUCT(MAX(ROW(E$1:E44)*(E45=E$1:E44)))))</f>
        <v>#VALUE!</v>
      </c>
      <c r="L45" s="26"/>
    </row>
    <row r="46" spans="1:12" x14ac:dyDescent="0.3">
      <c r="A46" t="s">
        <v>213</v>
      </c>
      <c r="E46" s="21" t="str">
        <f t="shared" si="6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7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214</v>
      </c>
      <c r="E47" s="21" t="str">
        <f t="shared" si="6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7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172</v>
      </c>
      <c r="E48" s="21" t="str">
        <f t="shared" si="6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7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173</v>
      </c>
      <c r="B49" s="20" t="s">
        <v>215</v>
      </c>
      <c r="C49" s="20" t="s">
        <v>216</v>
      </c>
      <c r="E49" s="21" t="s">
        <v>500</v>
      </c>
      <c r="F49" s="22" t="str">
        <f>IF(OR(E49="",E49="!!!"),"",IF(NOT(ISNA(VLOOKUP(E49,E$1:E48,1,FALSE()))),"OLD",IF(AND(E49&lt;&gt;"",E49&lt;&gt;"!!!"),"NEW","")))</f>
        <v>NEW</v>
      </c>
      <c r="G49" s="23" t="s">
        <v>510</v>
      </c>
      <c r="H49" s="24" t="str">
        <f t="shared" ca="1" si="7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 t="s">
        <v>473</v>
      </c>
    </row>
    <row r="50" spans="1:12" x14ac:dyDescent="0.3">
      <c r="A50" t="s">
        <v>217</v>
      </c>
      <c r="E50" s="21" t="str">
        <f t="shared" si="6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7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218</v>
      </c>
      <c r="E51" s="21" t="str">
        <f t="shared" si="6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7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176</v>
      </c>
      <c r="E52" s="21" t="str">
        <f t="shared" si="6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7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4" spans="1:12" x14ac:dyDescent="0.3">
      <c r="A54" t="s">
        <v>219</v>
      </c>
      <c r="E54" s="21" t="str">
        <f>IF(D54="?OLD","!!!","")</f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ca="1">IF(J54&lt;&gt;1,"",IF(I54="SBJ","CB","?"))</f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220</v>
      </c>
    </row>
    <row r="56" spans="1:12" x14ac:dyDescent="0.3">
      <c r="A56" t="s">
        <v>178</v>
      </c>
      <c r="E56" s="21" t="str">
        <f t="shared" ref="E56:E69" si="8">IF(D56="?OLD","!!!","")</f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ref="H56:H69" ca="1" si="9">IF(J56&lt;&gt;1,"",IF(I56="SBJ","CB","?"))</f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179</v>
      </c>
      <c r="B57" s="20" t="s">
        <v>166</v>
      </c>
      <c r="C57" s="20" t="s">
        <v>170</v>
      </c>
      <c r="D57" s="20" t="s">
        <v>171</v>
      </c>
      <c r="E57" s="21" t="s">
        <v>467</v>
      </c>
      <c r="F57" s="22" t="str">
        <f>IF(OR(E57="",E57="!!!"),"",IF(NOT(ISNA(VLOOKUP(E57,E$1:E56,1,FALSE()))),"OLD",IF(AND(E57&lt;&gt;"",E57&lt;&gt;"!!!"),"NEW","")))</f>
        <v>OLD</v>
      </c>
      <c r="G57" s="23" t="s">
        <v>509</v>
      </c>
      <c r="H57" s="24" t="str">
        <f t="shared" ca="1" si="9"/>
        <v/>
      </c>
      <c r="I57" s="25" t="str">
        <f>IF(OR(E57="",E57="!!!",F57="NEW"),"",INDEX(B$2:B56,-1+SUMPRODUCT(MAX(ROW(E$2:E56)*(E57=E$2:E56)))))</f>
        <v>SBJ</v>
      </c>
      <c r="J57" s="25">
        <f ca="1">IF(OR(E57="",E57="!!!",F57="NEW"),"",COUNTBLANK(OFFSET(A$1,,,SUMPRODUCT(MAX(ROW(E$2:E57)*(E57=E$2:E57)))))-COUNTBLANK(OFFSET(A$1,,,SUMPRODUCT(MAX(ROW(E$1:E56)*(E2=E$1:E56))))))</f>
        <v>0</v>
      </c>
      <c r="K57" s="25" t="str">
        <f ca="1">IF(OR(E57="",E57="!!!",F57="NEW"),"",INDEX(J$1:J56,SUMPRODUCT(MAX(ROW(E$1:E56)*(E57=E$1:E56)))))</f>
        <v/>
      </c>
      <c r="L57" s="26"/>
    </row>
    <row r="58" spans="1:12" x14ac:dyDescent="0.3">
      <c r="A58" t="s">
        <v>221</v>
      </c>
      <c r="E58" s="21" t="str">
        <f t="shared" si="8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9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222</v>
      </c>
      <c r="B59" s="20" t="s">
        <v>182</v>
      </c>
      <c r="C59" s="20" t="s">
        <v>202</v>
      </c>
      <c r="E59" s="21" t="str">
        <f t="shared" si="8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9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223</v>
      </c>
      <c r="E60" s="21" t="str">
        <f t="shared" si="8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9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211</v>
      </c>
      <c r="E61" s="21" t="str">
        <f t="shared" si="8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9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224</v>
      </c>
      <c r="B62" s="20" t="s">
        <v>183</v>
      </c>
      <c r="C62" s="20" t="s">
        <v>195</v>
      </c>
      <c r="D62" s="20" t="s">
        <v>171</v>
      </c>
      <c r="E62" s="21"/>
      <c r="F62" s="22" t="s">
        <v>483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9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225</v>
      </c>
      <c r="E63" s="21" t="str">
        <f t="shared" si="8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9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226</v>
      </c>
      <c r="E64" s="21" t="str">
        <f t="shared" si="8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9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227</v>
      </c>
      <c r="B65" s="20" t="s">
        <v>182</v>
      </c>
      <c r="C65" s="20" t="s">
        <v>175</v>
      </c>
      <c r="E65" s="21" t="s">
        <v>491</v>
      </c>
      <c r="F65" s="22" t="str">
        <f>IF(OR(E65="",E65="!!!"),"",IF(NOT(ISNA(VLOOKUP(E65,E$1:E64,1,FALSE()))),"OLD",IF(AND(E65&lt;&gt;"",E65&lt;&gt;"!!!"),"NEW","")))</f>
        <v>NEW</v>
      </c>
      <c r="G65" s="23" t="s">
        <v>158</v>
      </c>
      <c r="H65" s="24" t="str">
        <f t="shared" ca="1" si="9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 t="s">
        <v>473</v>
      </c>
    </row>
    <row r="66" spans="1:12" x14ac:dyDescent="0.3">
      <c r="A66" t="s">
        <v>228</v>
      </c>
      <c r="B66" s="20" t="s">
        <v>174</v>
      </c>
      <c r="C66" s="20" t="s">
        <v>229</v>
      </c>
      <c r="E66" s="21" t="str">
        <f t="shared" si="8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9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226</v>
      </c>
      <c r="E67" s="21" t="str">
        <f t="shared" si="8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9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230</v>
      </c>
      <c r="E68" s="21" t="str">
        <f t="shared" si="8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9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197</v>
      </c>
      <c r="E69" s="21" t="str">
        <f t="shared" si="8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9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1" spans="1:12" x14ac:dyDescent="0.3">
      <c r="A71" t="s">
        <v>231</v>
      </c>
    </row>
    <row r="72" spans="1:12" x14ac:dyDescent="0.3">
      <c r="A72" t="s">
        <v>232</v>
      </c>
      <c r="E72" s="21" t="str">
        <f>IF(D72="?OLD","!!!","")</f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ca="1">IF(J72&lt;&gt;1,"",IF(I72="SBJ","CB","?"))</f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233</v>
      </c>
      <c r="B73" s="20" t="s">
        <v>166</v>
      </c>
      <c r="C73" s="20" t="s">
        <v>175</v>
      </c>
      <c r="E73" s="21" t="s">
        <v>511</v>
      </c>
      <c r="F73" s="22" t="str">
        <f>IF(OR(E73="",E73="!!!"),"",IF(NOT(ISNA(VLOOKUP(E73,E$1:E72,1,FALSE()))),"OLD",IF(AND(E73&lt;&gt;"",E73&lt;&gt;"!!!"),"NEW","")))</f>
        <v>NEW</v>
      </c>
      <c r="G73" s="23" t="s">
        <v>510</v>
      </c>
      <c r="H73" s="24" t="str">
        <f ca="1">IF(J73&lt;&gt;1,"",IF(I73="SBJ","CB","?"))</f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 t="s">
        <v>473</v>
      </c>
    </row>
    <row r="74" spans="1:12" x14ac:dyDescent="0.3">
      <c r="A74" t="s">
        <v>234</v>
      </c>
      <c r="E74" s="21"/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ca="1">IF(J74&lt;&gt;1,"",IF(I74="SBJ","CB","?"))</f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235</v>
      </c>
      <c r="E75" s="21" t="str">
        <f>IF(D75="?OLD","!!!","")</f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ca="1">IF(J75&lt;&gt;1,"",IF(I75="SBJ","CB","?"))</f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197</v>
      </c>
      <c r="E76" s="21" t="str">
        <f>IF(D76="?OLD","!!!","")</f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ca="1">IF(J76&lt;&gt;1,"",IF(I76="SBJ","CB","?"))</f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8" spans="1:12" x14ac:dyDescent="0.3">
      <c r="A78" t="s">
        <v>236</v>
      </c>
    </row>
    <row r="79" spans="1:12" x14ac:dyDescent="0.3">
      <c r="A79" t="s">
        <v>237</v>
      </c>
      <c r="E79" s="21" t="str">
        <f t="shared" ref="E79:E95" si="10">IF(D79="?OLD","!!!","")</f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ref="H79:H95" ca="1" si="11">IF(J79&lt;&gt;1,"",IF(I79="SBJ","CB","?"))</f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238</v>
      </c>
      <c r="E80" s="21" t="str">
        <f t="shared" si="10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11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239</v>
      </c>
      <c r="B81" s="20" t="s">
        <v>183</v>
      </c>
      <c r="C81" s="20" t="s">
        <v>175</v>
      </c>
      <c r="E81" s="21" t="str">
        <f t="shared" si="10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11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240</v>
      </c>
      <c r="E82" s="21" t="str">
        <f t="shared" si="10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11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241</v>
      </c>
      <c r="B83" s="20" t="s">
        <v>166</v>
      </c>
      <c r="C83" s="20" t="s">
        <v>242</v>
      </c>
      <c r="D83" s="20" t="s">
        <v>171</v>
      </c>
      <c r="E83" s="21"/>
      <c r="F83" s="22" t="s">
        <v>471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11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243</v>
      </c>
      <c r="E84" s="21" t="str">
        <f t="shared" si="10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11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193</v>
      </c>
      <c r="E85" s="21" t="str">
        <f t="shared" si="10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11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244</v>
      </c>
      <c r="B86" s="20" t="s">
        <v>183</v>
      </c>
      <c r="C86" s="20" t="s">
        <v>195</v>
      </c>
      <c r="D86" s="20" t="s">
        <v>171</v>
      </c>
      <c r="E86" s="21" t="s">
        <v>485</v>
      </c>
      <c r="F86" s="22" t="str">
        <f>IF(OR(E86="",E86="!!!"),"",IF(NOT(ISNA(VLOOKUP(E86,E$1:E85,1,FALSE()))),"OLD",IF(AND(E86&lt;&gt;"",E86&lt;&gt;"!!!"),"NEW","")))</f>
        <v>NEW</v>
      </c>
      <c r="G86" s="23" t="s">
        <v>510</v>
      </c>
      <c r="H86" s="24" t="str">
        <f t="shared" ca="1" si="11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185</v>
      </c>
      <c r="E87" s="21" t="str">
        <f t="shared" si="10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11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165</v>
      </c>
      <c r="B88" s="20" t="s">
        <v>209</v>
      </c>
      <c r="C88" s="20" t="s">
        <v>167</v>
      </c>
      <c r="E88" s="21" t="str">
        <f t="shared" si="10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11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245</v>
      </c>
      <c r="E89" s="21" t="str">
        <f t="shared" si="10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11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193</v>
      </c>
      <c r="E90" s="21" t="str">
        <f t="shared" si="10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11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246</v>
      </c>
      <c r="E91" s="21" t="str">
        <f t="shared" si="10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11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173</v>
      </c>
      <c r="B92" s="20" t="s">
        <v>215</v>
      </c>
      <c r="C92" s="20" t="s">
        <v>195</v>
      </c>
      <c r="D92" s="20" t="s">
        <v>171</v>
      </c>
      <c r="E92" s="21" t="s">
        <v>472</v>
      </c>
      <c r="F92" s="22" t="str">
        <f>IF(OR(E92="",E92="!!!"),"",IF(NOT(ISNA(VLOOKUP(E92,E$1:E91,1,FALSE()))),"OLD",IF(AND(E92&lt;&gt;"",E92&lt;&gt;"!!!"),"NEW","")))</f>
        <v>OLD</v>
      </c>
      <c r="G92" s="23" t="s">
        <v>509</v>
      </c>
      <c r="H92" s="24" t="str">
        <f t="shared" ca="1" si="11"/>
        <v/>
      </c>
      <c r="I92" s="25" t="str">
        <f>IF(OR(E92="",E92="!!!",F92="NEW"),"",INDEX(B$2:B91,-1+SUMPRODUCT(MAX(ROW(E$2:E91)*(E92=E$2:E91)))))</f>
        <v>OBJ</v>
      </c>
      <c r="J92" s="25">
        <f ca="1">IF(OR(E92="",E92="!!!",F92="NEW"),"",COUNTBLANK(OFFSET(A$1,,,SUMPRODUCT(MAX(ROW(E$2:E92)*(E92=E$2:E92)))))-COUNTBLANK(OFFSET(A$1,,,SUMPRODUCT(MAX(ROW(E$1:E91)*(E2=E$1:E91))))))</f>
        <v>0</v>
      </c>
      <c r="K92" s="25" t="str">
        <f ca="1">IF(OR(E92="",E92="!!!",F92="NEW"),"",INDEX(J$1:J91,SUMPRODUCT(MAX(ROW(E$1:E91)*(E92=E$1:E91)))))</f>
        <v/>
      </c>
      <c r="L92" s="26"/>
    </row>
    <row r="93" spans="1:12" x14ac:dyDescent="0.3">
      <c r="A93" t="s">
        <v>247</v>
      </c>
      <c r="E93" s="21" t="str">
        <f t="shared" si="10"/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11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13</v>
      </c>
      <c r="E94" s="21" t="str">
        <f t="shared" si="10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11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176</v>
      </c>
      <c r="E95" s="21" t="str">
        <f t="shared" si="10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1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7" spans="1:12" x14ac:dyDescent="0.3">
      <c r="A97" t="s">
        <v>248</v>
      </c>
    </row>
    <row r="98" spans="1:12" x14ac:dyDescent="0.3">
      <c r="A98" t="s">
        <v>249</v>
      </c>
      <c r="E98" s="21" t="str">
        <f>IF(D98="?OLD","!!!","")</f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ca="1">IF(J98&lt;&gt;1,"",IF(I98="SBJ","CB","?"))</f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250</v>
      </c>
      <c r="B99" s="20" t="s">
        <v>166</v>
      </c>
      <c r="C99" s="20" t="s">
        <v>229</v>
      </c>
      <c r="E99" s="21" t="str">
        <f>IF(D99="?OLD","!!!","")</f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ca="1">IF(J99&lt;&gt;1,"",IF(I99="SBJ","CB","?"))</f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251</v>
      </c>
      <c r="E100" s="21" t="str">
        <f>IF(D100="?OLD","!!!","")</f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ca="1">IF(J100&lt;&gt;1,"",IF(I100="SBJ","CB","?"))</f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252</v>
      </c>
      <c r="E101" s="21" t="str">
        <f>IF(D101="?OLD","!!!","")</f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ca="1">IF(J101&lt;&gt;1,"",IF(I101="SBJ","CB","?"))</f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197</v>
      </c>
      <c r="E102" s="21" t="str">
        <f>IF(D102="?OLD","!!!","")</f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ca="1">IF(J102&lt;&gt;1,"",IF(I102="SBJ","CB","?"))</f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4" spans="1:12" x14ac:dyDescent="0.3">
      <c r="A104" t="s">
        <v>219</v>
      </c>
      <c r="E104" s="21" t="str">
        <f>IF(D104="?OLD","!!!","")</f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ca="1">IF(J104&lt;&gt;1,"",IF(I104="SBJ","CB","?"))</f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253</v>
      </c>
    </row>
    <row r="106" spans="1:12" x14ac:dyDescent="0.3">
      <c r="A106" t="s">
        <v>179</v>
      </c>
      <c r="E106" s="21" t="s">
        <v>467</v>
      </c>
      <c r="F106" s="22" t="str">
        <f>IF(OR(E106="",E106="!!!"),"",IF(NOT(ISNA(VLOOKUP(E106,E$1:E105,1,FALSE()))),"OLD",IF(AND(E106&lt;&gt;"",E106&lt;&gt;"!!!"),"NEW","")))</f>
        <v>OLD</v>
      </c>
      <c r="G106" s="23" t="s">
        <v>509</v>
      </c>
      <c r="H106" s="24" t="str">
        <f t="shared" ref="H106:H139" ca="1" si="12">IF(J106&lt;&gt;1,"",IF(I106="SBJ","CB","?"))</f>
        <v/>
      </c>
      <c r="I106" s="25" t="str">
        <f>IF(OR(E106="",E106="!!!",F106="NEW"),"",INDEX(B$2:B105,-1+SUMPRODUCT(MAX(ROW(E$2:E105)*(E106=E$2:E105)))))</f>
        <v>SBJ</v>
      </c>
      <c r="J106" s="25">
        <f ca="1">IF(OR(E106="",E106="!!!",F106="NEW"),"",COUNTBLANK(OFFSET(A$1,,,SUMPRODUCT(MAX(ROW(E$2:E106)*(E106=E$2:E106)))))-COUNTBLANK(OFFSET(A$1,,,SUMPRODUCT(MAX(ROW(E$1:E105)*(E2=E$1:E105))))))</f>
        <v>0</v>
      </c>
      <c r="K106" s="25">
        <f ca="1">IF(OR(E106="",E106="!!!",F106="NEW"),"",INDEX(J$1:J105,SUMPRODUCT(MAX(ROW(E$1:E105)*(E106=E$1:E105)))))</f>
        <v>0</v>
      </c>
      <c r="L106" s="26"/>
    </row>
    <row r="107" spans="1:12" x14ac:dyDescent="0.3">
      <c r="A107" t="s">
        <v>12</v>
      </c>
      <c r="E107" s="21" t="str">
        <f t="shared" ref="E106:E139" si="13">IF(D107="?OLD","!!!","")</f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2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254</v>
      </c>
      <c r="B108" s="20" t="s">
        <v>255</v>
      </c>
      <c r="C108" s="20" t="s">
        <v>175</v>
      </c>
      <c r="E108" s="21" t="str">
        <f t="shared" si="13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12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256</v>
      </c>
      <c r="B109" s="20" t="s">
        <v>257</v>
      </c>
      <c r="C109" s="20" t="s">
        <v>170</v>
      </c>
      <c r="D109" s="20" t="s">
        <v>171</v>
      </c>
      <c r="E109" s="21" t="s">
        <v>474</v>
      </c>
      <c r="F109" s="22" t="str">
        <f>IF(OR(E109="",E109="!!!"),"",IF(NOT(ISNA(VLOOKUP(E109,E$1:E108,1,FALSE()))),"OLD",IF(AND(E109&lt;&gt;"",E109&lt;&gt;"!!!"),"NEW","")))</f>
        <v>NEW</v>
      </c>
      <c r="G109" s="23" t="s">
        <v>510</v>
      </c>
      <c r="H109" s="24" t="str">
        <f t="shared" ca="1" si="12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 t="s">
        <v>512</v>
      </c>
    </row>
    <row r="110" spans="1:12" x14ac:dyDescent="0.3">
      <c r="A110" t="s">
        <v>258</v>
      </c>
      <c r="E110" s="21" t="str">
        <f t="shared" si="13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2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259</v>
      </c>
      <c r="E111" s="21" t="str">
        <f t="shared" si="13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2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185</v>
      </c>
      <c r="E112" s="21" t="str">
        <f t="shared" si="13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2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226</v>
      </c>
      <c r="E113" s="21" t="str">
        <f t="shared" si="13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2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260</v>
      </c>
      <c r="B114" s="20" t="s">
        <v>166</v>
      </c>
      <c r="C114" s="20" t="s">
        <v>184</v>
      </c>
      <c r="D114" s="20" t="s">
        <v>171</v>
      </c>
      <c r="E114" s="21" t="s">
        <v>467</v>
      </c>
      <c r="F114" s="22" t="str">
        <f>IF(OR(E114="",E114="!!!"),"",IF(NOT(ISNA(VLOOKUP(E114,E$1:E113,1,FALSE()))),"OLD",IF(AND(E114&lt;&gt;"",E114&lt;&gt;"!!!"),"NEW","")))</f>
        <v>OLD</v>
      </c>
      <c r="G114" s="23" t="s">
        <v>513</v>
      </c>
      <c r="H114" s="24" t="str">
        <f t="shared" ca="1" si="12"/>
        <v/>
      </c>
      <c r="I114" s="25">
        <f>IF(OR(E114="",E114="!!!",F114="NEW"),"",INDEX(B$2:B113,-1+SUMPRODUCT(MAX(ROW(E$2:E113)*(E114=E$2:E113)))))</f>
        <v>0</v>
      </c>
      <c r="J114" s="25">
        <f ca="1">IF(OR(E114="",E114="!!!",F114="NEW"),"",COUNTBLANK(OFFSET(A$1,,,SUMPRODUCT(MAX(ROW(E$2:E114)*(E114=E$2:E114)))))-COUNTBLANK(OFFSET(A$1,,,SUMPRODUCT(MAX(ROW(E$1:E113)*(E2=E$1:E113))))))</f>
        <v>0</v>
      </c>
      <c r="K114" s="25">
        <f ca="1">IF(OR(E114="",E114="!!!",F114="NEW"),"",INDEX(J$1:J113,SUMPRODUCT(MAX(ROW(E$1:E113)*(E114=E$1:E113)))))</f>
        <v>0</v>
      </c>
      <c r="L114" s="26"/>
    </row>
    <row r="115" spans="1:12" x14ac:dyDescent="0.3">
      <c r="A115" t="s">
        <v>261</v>
      </c>
      <c r="E115" s="21" t="str">
        <f t="shared" si="13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2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262</v>
      </c>
      <c r="B116" s="20" t="s">
        <v>174</v>
      </c>
      <c r="C116" s="20" t="s">
        <v>184</v>
      </c>
      <c r="D116" s="20" t="s">
        <v>171</v>
      </c>
      <c r="E116" s="21"/>
      <c r="F116" s="22" t="s">
        <v>475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2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263</v>
      </c>
      <c r="E117" s="21" t="str">
        <f t="shared" si="13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2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210</v>
      </c>
      <c r="E118" s="21" t="str">
        <f t="shared" si="13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2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264</v>
      </c>
      <c r="E119" s="21" t="str">
        <f t="shared" si="13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2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265</v>
      </c>
      <c r="B120" s="20" t="s">
        <v>183</v>
      </c>
      <c r="C120" s="20" t="s">
        <v>184</v>
      </c>
      <c r="D120" s="20" t="s">
        <v>171</v>
      </c>
      <c r="E120" s="21" t="s">
        <v>468</v>
      </c>
      <c r="F120" s="22" t="str">
        <f>IF(OR(E120="",E120="!!!"),"",IF(NOT(ISNA(VLOOKUP(E120,E$1:E119,1,FALSE()))),"OLD",IF(AND(E120&lt;&gt;"",E120&lt;&gt;"!!!"),"NEW","")))</f>
        <v>OLD</v>
      </c>
      <c r="G120" s="23" t="s">
        <v>509</v>
      </c>
      <c r="H120" s="24" t="str">
        <f t="shared" ca="1" si="12"/>
        <v/>
      </c>
      <c r="I120" s="25" t="str">
        <f>IF(OR(E120="",E120="!!!",F120="NEW"),"",INDEX(B$2:B119,-1+SUMPRODUCT(MAX(ROW(E$2:E119)*(E120=E$2:E119)))))</f>
        <v>other_2</v>
      </c>
      <c r="J120" s="25">
        <f ca="1">IF(OR(E120="",E120="!!!",F120="NEW"),"",COUNTBLANK(OFFSET(A$1,,,SUMPRODUCT(MAX(ROW(E$2:E120)*(E120=E$2:E120)))))-COUNTBLANK(OFFSET(A$1,,,SUMPRODUCT(MAX(ROW(E$1:E119)*(E2=E$1:E119))))))</f>
        <v>0</v>
      </c>
      <c r="K120" s="25" t="str">
        <f ca="1">IF(OR(E120="",E120="!!!",F120="NEW"),"",INDEX(J$1:J119,SUMPRODUCT(MAX(ROW(E$1:E119)*(E120=E$1:E119)))))</f>
        <v/>
      </c>
      <c r="L120" s="26"/>
    </row>
    <row r="121" spans="1:12" x14ac:dyDescent="0.3">
      <c r="A121" t="s">
        <v>185</v>
      </c>
      <c r="E121" s="21" t="str">
        <f t="shared" si="13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2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165</v>
      </c>
      <c r="B122" s="20" t="s">
        <v>255</v>
      </c>
      <c r="C122" s="20" t="s">
        <v>167</v>
      </c>
      <c r="E122" s="21" t="str">
        <f t="shared" si="13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2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203</v>
      </c>
      <c r="E123" s="21" t="str">
        <f t="shared" si="13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2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266</v>
      </c>
      <c r="E124" s="21" t="str">
        <f t="shared" si="13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2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267</v>
      </c>
      <c r="B125" s="20" t="s">
        <v>268</v>
      </c>
      <c r="C125" s="20" t="s">
        <v>175</v>
      </c>
      <c r="E125" s="21" t="str">
        <f t="shared" si="13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2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13</v>
      </c>
      <c r="E126" s="21" t="str">
        <f t="shared" si="13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2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269</v>
      </c>
      <c r="B127" s="20" t="s">
        <v>270</v>
      </c>
      <c r="E127" s="21" t="str">
        <f t="shared" si="13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2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206</v>
      </c>
      <c r="E128" s="21" t="str">
        <f t="shared" si="13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2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271</v>
      </c>
      <c r="E129" s="21" t="str">
        <f t="shared" si="13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2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189</v>
      </c>
      <c r="E130" s="21" t="str">
        <f t="shared" si="13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2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86</v>
      </c>
      <c r="E131" s="21" t="str">
        <f t="shared" si="13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2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272</v>
      </c>
      <c r="B132" s="20" t="s">
        <v>209</v>
      </c>
      <c r="C132" s="20" t="s">
        <v>216</v>
      </c>
      <c r="E132" s="21" t="str">
        <f t="shared" si="13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2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273</v>
      </c>
      <c r="B133" s="20" t="s">
        <v>257</v>
      </c>
      <c r="C133" s="20" t="s">
        <v>202</v>
      </c>
      <c r="E133" s="21" t="str">
        <f t="shared" si="13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2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173</v>
      </c>
      <c r="B134" s="20" t="s">
        <v>268</v>
      </c>
      <c r="C134" s="20" t="s">
        <v>216</v>
      </c>
      <c r="E134" s="21" t="str">
        <f t="shared" si="13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2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274</v>
      </c>
      <c r="E135" s="21" t="str">
        <f t="shared" si="13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2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275</v>
      </c>
      <c r="B136" s="20" t="s">
        <v>182</v>
      </c>
      <c r="C136" s="20" t="s">
        <v>175</v>
      </c>
      <c r="E136" s="21" t="str">
        <f t="shared" si="13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2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276</v>
      </c>
      <c r="E137" s="21" t="str">
        <f t="shared" si="13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2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197</v>
      </c>
      <c r="E138" s="21" t="str">
        <f t="shared" si="13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2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226</v>
      </c>
      <c r="E139" s="21" t="str">
        <f t="shared" si="13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2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1" spans="1:12" x14ac:dyDescent="0.3">
      <c r="A141" t="s">
        <v>277</v>
      </c>
    </row>
    <row r="142" spans="1:12" x14ac:dyDescent="0.3">
      <c r="A142" t="s">
        <v>178</v>
      </c>
      <c r="E142" s="21" t="str">
        <f t="shared" ref="E142:E152" si="14">IF(D142="?OLD","!!!","")</f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ref="H142:H152" ca="1" si="15">IF(J142&lt;&gt;1,"",IF(I142="SBJ","CB","?"))</f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246</v>
      </c>
      <c r="E143" s="21" t="str">
        <f t="shared" si="14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5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173</v>
      </c>
      <c r="B144" s="20" t="s">
        <v>166</v>
      </c>
      <c r="C144" s="20" t="s">
        <v>195</v>
      </c>
      <c r="D144" s="20" t="s">
        <v>171</v>
      </c>
      <c r="E144" s="21" t="s">
        <v>472</v>
      </c>
      <c r="F144" s="22" t="str">
        <f>IF(OR(E144="",E144="!!!"),"",IF(NOT(ISNA(VLOOKUP(E144,E$1:E143,1,FALSE()))),"OLD",IF(AND(E144&lt;&gt;"",E144&lt;&gt;"!!!"),"NEW","")))</f>
        <v>OLD</v>
      </c>
      <c r="G144" s="23" t="s">
        <v>509</v>
      </c>
      <c r="H144" s="24" t="str">
        <f t="shared" ca="1" si="15"/>
        <v/>
      </c>
      <c r="I144" s="25" t="str">
        <f>IF(OR(E144="",E144="!!!",F144="NEW"),"",INDEX(B$2:B143,-1+SUMPRODUCT(MAX(ROW(E$2:E143)*(E144=E$2:E143)))))</f>
        <v>OBJ_2</v>
      </c>
      <c r="J144" s="25">
        <f ca="1">IF(OR(E144="",E144="!!!",F144="NEW"),"",COUNTBLANK(OFFSET(A$1,,,SUMPRODUCT(MAX(ROW(E$2:E144)*(E144=E$2:E144)))))-COUNTBLANK(OFFSET(A$1,,,SUMPRODUCT(MAX(ROW(E$1:E143)*(E2=E$1:E143))))))</f>
        <v>0</v>
      </c>
      <c r="K144" s="25">
        <f ca="1">IF(OR(E144="",E144="!!!",F144="NEW"),"",INDEX(J$1:J143,SUMPRODUCT(MAX(ROW(E$1:E143)*(E144=E$1:E143)))))</f>
        <v>0</v>
      </c>
      <c r="L144" s="26"/>
    </row>
    <row r="145" spans="1:12" x14ac:dyDescent="0.3">
      <c r="A145" t="s">
        <v>278</v>
      </c>
      <c r="E145" s="21" t="str">
        <f t="shared" si="14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5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279</v>
      </c>
      <c r="E146" s="21" t="str">
        <f t="shared" si="14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5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280</v>
      </c>
      <c r="E147" s="21" t="str">
        <f t="shared" si="14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5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192</v>
      </c>
      <c r="E148" s="21" t="str">
        <f t="shared" si="14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5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281</v>
      </c>
      <c r="E149" s="21" t="str">
        <f t="shared" si="14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5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282</v>
      </c>
      <c r="B150" s="20" t="s">
        <v>183</v>
      </c>
      <c r="C150" s="20" t="s">
        <v>195</v>
      </c>
      <c r="D150" s="20" t="s">
        <v>171</v>
      </c>
      <c r="E150" s="21"/>
      <c r="F150" s="22" t="s">
        <v>486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5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48</v>
      </c>
      <c r="E151" s="21" t="str">
        <f t="shared" si="14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5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197</v>
      </c>
      <c r="E152" s="21" t="str">
        <f t="shared" si="14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5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4" spans="1:12" x14ac:dyDescent="0.3">
      <c r="A154" t="s">
        <v>219</v>
      </c>
      <c r="E154" s="21" t="str">
        <f>IF(D154="?OLD","!!!","")</f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ca="1">IF(J154&lt;&gt;1,"",IF(I154="SBJ","CB","?"))</f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283</v>
      </c>
    </row>
    <row r="156" spans="1:12" x14ac:dyDescent="0.3">
      <c r="A156" t="s">
        <v>284</v>
      </c>
      <c r="E156" s="21" t="str">
        <f t="shared" ref="E156:E183" si="16">IF(D156="?OLD","!!!","")</f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ref="H156:H183" ca="1" si="17">IF(J156&lt;&gt;1,"",IF(I156="SBJ","CB","?"))</f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285</v>
      </c>
      <c r="E157" s="21" t="str">
        <f t="shared" si="16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7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286</v>
      </c>
      <c r="B158" s="20" t="s">
        <v>166</v>
      </c>
      <c r="C158" s="20" t="s">
        <v>195</v>
      </c>
      <c r="D158" s="20" t="s">
        <v>171</v>
      </c>
      <c r="E158" s="21" t="s">
        <v>488</v>
      </c>
      <c r="F158" s="22" t="str">
        <f>IF(OR(E158="",E158="!!!"),"",IF(NOT(ISNA(VLOOKUP(E158,E$1:E157,1,FALSE()))),"OLD",IF(AND(E158&lt;&gt;"",E158&lt;&gt;"!!!"),"NEW","")))</f>
        <v>NEW</v>
      </c>
      <c r="G158" s="23" t="s">
        <v>510</v>
      </c>
      <c r="H158" s="24" t="str">
        <f t="shared" ca="1" si="17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192</v>
      </c>
      <c r="E159" s="21" t="str">
        <f t="shared" si="16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7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281</v>
      </c>
      <c r="E160" s="21" t="str">
        <f t="shared" si="16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7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287</v>
      </c>
      <c r="B161" s="20" t="s">
        <v>182</v>
      </c>
      <c r="C161" s="20" t="s">
        <v>195</v>
      </c>
      <c r="D161" s="20" t="s">
        <v>171</v>
      </c>
      <c r="E161" s="21" t="s">
        <v>487</v>
      </c>
      <c r="F161" s="22" t="str">
        <f>IF(OR(E161="",E161="!!!"),"",IF(NOT(ISNA(VLOOKUP(E161,E$1:E160,1,FALSE()))),"OLD",IF(AND(E161&lt;&gt;"",E161&lt;&gt;"!!!"),"NEW","")))</f>
        <v>NEW</v>
      </c>
      <c r="G161" s="23" t="s">
        <v>510</v>
      </c>
      <c r="H161" s="24" t="str">
        <f t="shared" ca="1" si="17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288</v>
      </c>
      <c r="E162" s="21" t="str">
        <f t="shared" si="16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7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289</v>
      </c>
      <c r="E163" s="21" t="str">
        <f t="shared" si="16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7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206</v>
      </c>
      <c r="E164" s="21" t="str">
        <f t="shared" si="16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7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290</v>
      </c>
      <c r="E165" s="21" t="str">
        <f t="shared" si="16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7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258</v>
      </c>
      <c r="B166" s="20" t="s">
        <v>183</v>
      </c>
      <c r="C166" s="20" t="s">
        <v>170</v>
      </c>
      <c r="D166" s="20" t="s">
        <v>171</v>
      </c>
      <c r="E166" s="21" t="s">
        <v>474</v>
      </c>
      <c r="F166" s="22" t="str">
        <f>IF(OR(E166="",E166="!!!"),"",IF(NOT(ISNA(VLOOKUP(E166,E$1:E165,1,FALSE()))),"OLD",IF(AND(E166&lt;&gt;"",E166&lt;&gt;"!!!"),"NEW","")))</f>
        <v>OLD</v>
      </c>
      <c r="G166" s="23" t="s">
        <v>514</v>
      </c>
      <c r="H166" s="24" t="str">
        <f t="shared" ca="1" si="17"/>
        <v/>
      </c>
      <c r="I166" s="25" t="str">
        <f>IF(OR(E166="",E166="!!!",F166="NEW"),"",INDEX(B$2:B165,-1+SUMPRODUCT(MAX(ROW(E$2:E165)*(E166=E$2:E165)))))</f>
        <v>other_4</v>
      </c>
      <c r="J166" s="25">
        <f ca="1">IF(OR(E166="",E166="!!!",F166="NEW"),"",COUNTBLANK(OFFSET(A$1,,,SUMPRODUCT(MAX(ROW(E$2:E166)*(E166=E$2:E166)))))-COUNTBLANK(OFFSET(A$1,,,SUMPRODUCT(MAX(ROW(E$1:E165)*(E2=E$1:E165))))))</f>
        <v>0</v>
      </c>
      <c r="K166" s="25" t="str">
        <f ca="1">IF(OR(E166="",E166="!!!",F166="NEW"),"",INDEX(J$1:J165,SUMPRODUCT(MAX(ROW(E$1:E165)*(E166=E$1:E165)))))</f>
        <v/>
      </c>
      <c r="L166" s="26"/>
    </row>
    <row r="167" spans="1:12" x14ac:dyDescent="0.3">
      <c r="A167" t="s">
        <v>185</v>
      </c>
      <c r="E167" s="21" t="str">
        <f t="shared" si="16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7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226</v>
      </c>
      <c r="E168" s="21" t="str">
        <f t="shared" si="16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7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199</v>
      </c>
      <c r="E169" s="21" t="str">
        <f t="shared" si="16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7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240</v>
      </c>
      <c r="E170" s="21" t="str">
        <f t="shared" si="16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7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201</v>
      </c>
      <c r="B171" s="20" t="s">
        <v>255</v>
      </c>
      <c r="C171" s="20" t="s">
        <v>202</v>
      </c>
      <c r="E171" s="21" t="str">
        <f t="shared" si="16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7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263</v>
      </c>
      <c r="E172" s="21" t="str">
        <f t="shared" si="16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7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187</v>
      </c>
      <c r="B173" s="20" t="s">
        <v>268</v>
      </c>
      <c r="C173" s="20" t="s">
        <v>175</v>
      </c>
      <c r="E173" s="21" t="s">
        <v>490</v>
      </c>
      <c r="F173" s="22" t="str">
        <f>IF(OR(E173="",E173="!!!"),"",IF(NOT(ISNA(VLOOKUP(E173,E$1:E172,1,FALSE()))),"OLD",IF(AND(E173&lt;&gt;"",E173&lt;&gt;"!!!"),"NEW","")))</f>
        <v>OLD</v>
      </c>
      <c r="G173" s="23" t="s">
        <v>509</v>
      </c>
      <c r="H173" s="24" t="str">
        <f t="shared" ca="1" si="17"/>
        <v/>
      </c>
      <c r="I173" s="25" t="str">
        <f>IF(OR(E173="",E173="!!!",F173="NEW"),"",INDEX(B$2:B172,-1+SUMPRODUCT(MAX(ROW(E$2:E172)*(E173=E$2:E172)))))</f>
        <v>SBJ</v>
      </c>
      <c r="J173" s="25">
        <f ca="1">IF(OR(E173="",E173="!!!",F173="NEW"),"",COUNTBLANK(OFFSET(A$1,,,SUMPRODUCT(MAX(ROW(E$2:E173)*(E173=E$2:E173)))))-COUNTBLANK(OFFSET(A$1,,,SUMPRODUCT(MAX(ROW(E$1:E172)*(E2=E$1:E172))))))</f>
        <v>0</v>
      </c>
      <c r="K173" s="25" t="str">
        <f ca="1">IF(OR(E173="",E173="!!!",F173="NEW"),"",INDEX(J$1:J172,SUMPRODUCT(MAX(ROW(E$1:E172)*(E173=E$1:E172)))))</f>
        <v/>
      </c>
      <c r="L173" s="26" t="s">
        <v>473</v>
      </c>
    </row>
    <row r="174" spans="1:12" x14ac:dyDescent="0.3">
      <c r="A174" t="s">
        <v>243</v>
      </c>
      <c r="E174" s="21" t="str">
        <f t="shared" si="16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7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206</v>
      </c>
      <c r="E175" s="21" t="str">
        <f t="shared" si="16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7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193</v>
      </c>
      <c r="B176" s="20" t="s">
        <v>291</v>
      </c>
      <c r="E176" s="21" t="str">
        <f t="shared" si="16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7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203</v>
      </c>
      <c r="E177" s="21" t="str">
        <f t="shared" si="16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7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292</v>
      </c>
      <c r="E178" s="21" t="str">
        <f t="shared" si="16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7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267</v>
      </c>
      <c r="B179" s="20" t="s">
        <v>257</v>
      </c>
      <c r="C179" s="20" t="s">
        <v>175</v>
      </c>
      <c r="E179" s="21" t="s">
        <v>489</v>
      </c>
      <c r="F179" s="22" t="str">
        <f>IF(OR(E179="",E179="!!!"),"",IF(NOT(ISNA(VLOOKUP(E179,E$1:E178,1,FALSE()))),"OLD",IF(AND(E179&lt;&gt;"",E179&lt;&gt;"!!!"),"NEW","")))</f>
        <v>NEW</v>
      </c>
      <c r="G179" s="23" t="s">
        <v>510</v>
      </c>
      <c r="H179" s="24" t="str">
        <f t="shared" ca="1" si="17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 t="s">
        <v>473</v>
      </c>
    </row>
    <row r="180" spans="1:12" x14ac:dyDescent="0.3">
      <c r="A180" t="s">
        <v>13</v>
      </c>
      <c r="E180" s="21" t="str">
        <f t="shared" si="16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7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56</v>
      </c>
      <c r="E181" s="21" t="str">
        <f t="shared" si="16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7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176</v>
      </c>
      <c r="E182" s="21" t="str">
        <f t="shared" si="16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7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226</v>
      </c>
      <c r="E183" s="21" t="str">
        <f t="shared" si="16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5" spans="1:12" x14ac:dyDescent="0.3">
      <c r="A185" t="s">
        <v>219</v>
      </c>
      <c r="E185" s="21" t="str">
        <f>IF(D185="?OLD","!!!","")</f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ca="1">IF(J185&lt;&gt;1,"",IF(I185="SBJ","CB","?"))</f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293</v>
      </c>
    </row>
    <row r="187" spans="1:12" x14ac:dyDescent="0.3">
      <c r="A187" t="s">
        <v>226</v>
      </c>
      <c r="E187" s="21" t="str">
        <f t="shared" ref="E187:E210" si="18">IF(D187="?OLD","!!!","")</f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ref="H187:H210" ca="1" si="19">IF(J187&lt;&gt;1,"",IF(I187="SBJ","CB","?"))</f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260</v>
      </c>
      <c r="B188" s="20" t="s">
        <v>166</v>
      </c>
      <c r="C188" s="20" t="s">
        <v>184</v>
      </c>
      <c r="D188" s="20" t="s">
        <v>171</v>
      </c>
      <c r="E188" s="21" t="s">
        <v>467</v>
      </c>
      <c r="F188" s="22" t="str">
        <f>IF(OR(E188="",E188="!!!"),"",IF(NOT(ISNA(VLOOKUP(E188,E$1:E187,1,FALSE()))),"OLD",IF(AND(E188&lt;&gt;"",E188&lt;&gt;"!!!"),"NEW","")))</f>
        <v>OLD</v>
      </c>
      <c r="G188" s="23" t="s">
        <v>509</v>
      </c>
      <c r="H188" s="24" t="str">
        <f t="shared" ca="1" si="19"/>
        <v/>
      </c>
      <c r="I188" s="25" t="str">
        <f>IF(OR(E188="",E188="!!!",F188="NEW"),"",INDEX(B$2:B187,-1+SUMPRODUCT(MAX(ROW(E$2:E187)*(E188=E$2:E187)))))</f>
        <v>SBJ</v>
      </c>
      <c r="J188" s="25">
        <f ca="1">IF(OR(E188="",E188="!!!",F188="NEW"),"",COUNTBLANK(OFFSET(A$1,,,SUMPRODUCT(MAX(ROW(E$2:E188)*(E188=E$2:E188)))))-COUNTBLANK(OFFSET(A$1,,,SUMPRODUCT(MAX(ROW(E$1:E187)*(E2=E$1:E187))))))</f>
        <v>0</v>
      </c>
      <c r="K188" s="25">
        <f ca="1">IF(OR(E188="",E188="!!!",F188="NEW"),"",INDEX(J$1:J187,SUMPRODUCT(MAX(ROW(E$1:E187)*(E188=E$1:E187)))))</f>
        <v>0</v>
      </c>
      <c r="L188" s="26"/>
    </row>
    <row r="189" spans="1:12" x14ac:dyDescent="0.3">
      <c r="A189" t="s">
        <v>56</v>
      </c>
      <c r="E189" s="21" t="str">
        <f t="shared" si="18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9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206</v>
      </c>
      <c r="E190" s="21" t="str">
        <f t="shared" si="18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9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207</v>
      </c>
      <c r="E191" s="21" t="str">
        <f t="shared" si="18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9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187</v>
      </c>
      <c r="B192" s="20" t="s">
        <v>209</v>
      </c>
      <c r="C192" s="20" t="s">
        <v>175</v>
      </c>
      <c r="E192" s="21" t="s">
        <v>490</v>
      </c>
      <c r="F192" s="22" t="str">
        <f>IF(OR(E192="",E192="!!!"),"",IF(NOT(ISNA(VLOOKUP(E192,E$1:E191,1,FALSE()))),"OLD",IF(AND(E192&lt;&gt;"",E192&lt;&gt;"!!!"),"NEW","")))</f>
        <v>OLD</v>
      </c>
      <c r="G192" s="23" t="s">
        <v>513</v>
      </c>
      <c r="H192" s="24" t="s">
        <v>160</v>
      </c>
      <c r="I192" s="25" t="str">
        <f>IF(OR(E192="",E192="!!!",F192="NEW"),"",INDEX(B$2:B191,-1+SUMPRODUCT(MAX(ROW(E$2:E191)*(E192=E$2:E191)))))</f>
        <v>other_3</v>
      </c>
      <c r="J192" s="25">
        <f ca="1">IF(OR(E192="",E192="!!!",F192="NEW"),"",COUNTBLANK(OFFSET(A$1,,,SUMPRODUCT(MAX(ROW(E$2:E192)*(E192=E$2:E192)))))-COUNTBLANK(OFFSET(A$1,,,SUMPRODUCT(MAX(ROW(E$1:E191)*(E2=E$1:E191))))))</f>
        <v>0</v>
      </c>
      <c r="K192" s="25">
        <f ca="1">IF(OR(E192="",E192="!!!",F192="NEW"),"",INDEX(J$1:J191,SUMPRODUCT(MAX(ROW(E$1:E191)*(E192=E$1:E191)))))</f>
        <v>0</v>
      </c>
      <c r="L192" s="26"/>
    </row>
    <row r="193" spans="1:12" x14ac:dyDescent="0.3">
      <c r="A193" t="s">
        <v>203</v>
      </c>
      <c r="E193" s="21" t="str">
        <f t="shared" si="18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9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294</v>
      </c>
      <c r="B194" s="20" t="s">
        <v>268</v>
      </c>
      <c r="C194" s="20" t="s">
        <v>202</v>
      </c>
      <c r="E194" s="21" t="str">
        <f t="shared" si="18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9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267</v>
      </c>
      <c r="B195" s="20" t="s">
        <v>182</v>
      </c>
      <c r="C195" s="20" t="s">
        <v>295</v>
      </c>
      <c r="E195" s="21" t="s">
        <v>489</v>
      </c>
      <c r="F195" s="22" t="str">
        <f>IF(OR(E195="",E195="!!!"),"",IF(NOT(ISNA(VLOOKUP(E195,E$1:E194,1,FALSE()))),"OLD",IF(AND(E195&lt;&gt;"",E195&lt;&gt;"!!!"),"NEW","")))</f>
        <v>OLD</v>
      </c>
      <c r="G195" s="23" t="s">
        <v>514</v>
      </c>
      <c r="H195" s="24" t="str">
        <f t="shared" ca="1" si="19"/>
        <v/>
      </c>
      <c r="I195" s="25" t="str">
        <f>IF(OR(E195="",E195="!!!",F195="NEW"),"",INDEX(B$2:B194,-1+SUMPRODUCT(MAX(ROW(E$2:E194)*(E195=E$2:E194)))))</f>
        <v>other_4</v>
      </c>
      <c r="J195" s="25">
        <f ca="1">IF(OR(E195="",E195="!!!",F195="NEW"),"",COUNTBLANK(OFFSET(A$1,,,SUMPRODUCT(MAX(ROW(E$2:E195)*(E195=E$2:E195)))))-COUNTBLANK(OFFSET(A$1,,,SUMPRODUCT(MAX(ROW(E$1:E194)*(E2=E$1:E194))))))</f>
        <v>0</v>
      </c>
      <c r="K195" s="25" t="str">
        <f ca="1">IF(OR(E195="",E195="!!!",F195="NEW"),"",INDEX(J$1:J194,SUMPRODUCT(MAX(ROW(E$1:E194)*(E195=E$1:E194)))))</f>
        <v/>
      </c>
      <c r="L195" s="26"/>
    </row>
    <row r="196" spans="1:12" x14ac:dyDescent="0.3">
      <c r="A196" t="s">
        <v>296</v>
      </c>
      <c r="E196" s="21" t="str">
        <f t="shared" si="18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9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44</v>
      </c>
      <c r="E197" s="21" t="str">
        <f t="shared" si="18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9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272</v>
      </c>
      <c r="B198" s="20" t="s">
        <v>268</v>
      </c>
      <c r="C198" s="20" t="s">
        <v>216</v>
      </c>
      <c r="E198" s="21" t="str">
        <f t="shared" si="18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9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206</v>
      </c>
      <c r="E199" s="21" t="str">
        <f t="shared" si="18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9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297</v>
      </c>
      <c r="E200" s="21" t="str">
        <f t="shared" si="18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9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298</v>
      </c>
      <c r="E201" s="21" t="str">
        <f t="shared" si="18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9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86</v>
      </c>
      <c r="E202" s="21" t="str">
        <f t="shared" si="18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9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272</v>
      </c>
      <c r="B203" s="20" t="s">
        <v>209</v>
      </c>
      <c r="C203" s="20" t="s">
        <v>216</v>
      </c>
      <c r="E203" s="21" t="str">
        <f t="shared" si="18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9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223</v>
      </c>
      <c r="E204" s="21" t="str">
        <f t="shared" si="18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9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173</v>
      </c>
      <c r="B205" s="20" t="s">
        <v>268</v>
      </c>
      <c r="C205" s="20" t="s">
        <v>195</v>
      </c>
      <c r="D205" s="20" t="s">
        <v>171</v>
      </c>
      <c r="E205" s="21"/>
      <c r="F205" s="22" t="s">
        <v>486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9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 t="s">
        <v>515</v>
      </c>
    </row>
    <row r="206" spans="1:12" x14ac:dyDescent="0.3">
      <c r="A206" t="s">
        <v>274</v>
      </c>
      <c r="E206" s="21" t="str">
        <f t="shared" si="18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9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275</v>
      </c>
      <c r="B207" s="20" t="s">
        <v>182</v>
      </c>
      <c r="C207" s="20" t="s">
        <v>175</v>
      </c>
      <c r="E207" s="21" t="str">
        <f t="shared" si="18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9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13</v>
      </c>
      <c r="E208" s="21" t="str">
        <f t="shared" si="18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19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197</v>
      </c>
      <c r="E209" s="21" t="str">
        <f t="shared" si="18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9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226</v>
      </c>
      <c r="E210" s="21" t="str">
        <f t="shared" si="18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9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2" spans="1:12" x14ac:dyDescent="0.3">
      <c r="A212" t="s">
        <v>299</v>
      </c>
    </row>
    <row r="213" spans="1:12" x14ac:dyDescent="0.3">
      <c r="A213" t="s">
        <v>300</v>
      </c>
      <c r="E213" s="21" t="str">
        <f t="shared" ref="E213:E234" si="20">IF(D213="?OLD","!!!","")</f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ref="H213:H234" ca="1" si="21">IF(J213&lt;&gt;1,"",IF(I213="SBJ","CB","?"))</f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301</v>
      </c>
      <c r="E214" s="21" t="str">
        <f t="shared" si="20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1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302</v>
      </c>
      <c r="E215" s="21" t="str">
        <f t="shared" si="20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1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303</v>
      </c>
      <c r="E216" s="21" t="s">
        <v>491</v>
      </c>
      <c r="F216" s="22" t="str">
        <f>IF(OR(E216="",E216="!!!"),"",IF(NOT(ISNA(VLOOKUP(E216,E$1:E215,1,FALSE()))),"OLD",IF(AND(E216&lt;&gt;"",E216&lt;&gt;"!!!"),"NEW","")))</f>
        <v>OLD</v>
      </c>
      <c r="G216" s="23" t="s">
        <v>509</v>
      </c>
      <c r="H216" s="24" t="str">
        <f t="shared" ca="1" si="21"/>
        <v/>
      </c>
      <c r="I216" s="25" t="str">
        <f>IF(OR(E216="",E216="!!!",F216="NEW"),"",INDEX(B$2:B215,-1+SUMPRODUCT(MAX(ROW(E$2:E215)*(E216=E$2:E215)))))</f>
        <v>other_2</v>
      </c>
      <c r="J216" s="25">
        <f ca="1">IF(OR(E216="",E216="!!!",F216="NEW"),"",COUNTBLANK(OFFSET(A$1,,,SUMPRODUCT(MAX(ROW(E$2:E216)*(E216=E$2:E216)))))-COUNTBLANK(OFFSET(A$1,,,SUMPRODUCT(MAX(ROW(E$1:E215)*(E2=E$1:E215))))))</f>
        <v>0</v>
      </c>
      <c r="K216" s="25" t="str">
        <f ca="1">IF(OR(E216="",E216="!!!",F216="NEW"),"",INDEX(J$1:J215,SUMPRODUCT(MAX(ROW(E$1:E215)*(E216=E$1:E215)))))</f>
        <v/>
      </c>
      <c r="L216" s="26"/>
    </row>
    <row r="217" spans="1:12" x14ac:dyDescent="0.3">
      <c r="A217" t="s">
        <v>12</v>
      </c>
      <c r="E217" s="21" t="str">
        <f t="shared" si="20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1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304</v>
      </c>
      <c r="B218" s="20" t="s">
        <v>166</v>
      </c>
      <c r="C218" s="20" t="s">
        <v>229</v>
      </c>
      <c r="E218" s="21" t="str">
        <f t="shared" si="20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1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206</v>
      </c>
      <c r="E219" s="21" t="str">
        <f t="shared" si="20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1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305</v>
      </c>
      <c r="B220" s="20" t="s">
        <v>255</v>
      </c>
      <c r="E220" s="21" t="str">
        <f t="shared" si="20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1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306</v>
      </c>
      <c r="B221" s="20" t="s">
        <v>270</v>
      </c>
      <c r="C221" s="20" t="s">
        <v>175</v>
      </c>
      <c r="E221" s="21" t="str">
        <f t="shared" si="20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1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307</v>
      </c>
      <c r="E222" s="21" t="str">
        <f t="shared" si="20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1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218</v>
      </c>
      <c r="E223" s="21" t="str">
        <f t="shared" si="20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1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180</v>
      </c>
      <c r="E224" s="21" t="str">
        <f t="shared" si="20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1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308</v>
      </c>
      <c r="E225" s="21" t="str">
        <f t="shared" si="20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1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309</v>
      </c>
      <c r="E226" s="21" t="str">
        <f t="shared" si="20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1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98</v>
      </c>
      <c r="E227" s="21" t="str">
        <f t="shared" si="20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1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271</v>
      </c>
      <c r="E228" s="21" t="str">
        <f t="shared" si="20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1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206</v>
      </c>
      <c r="E229" s="21" t="str">
        <f t="shared" si="20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1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245</v>
      </c>
      <c r="E230" s="21" t="str">
        <f t="shared" si="20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1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310</v>
      </c>
      <c r="E231" s="21" t="str">
        <f t="shared" si="20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1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311</v>
      </c>
      <c r="B232" s="20" t="s">
        <v>183</v>
      </c>
      <c r="C232" s="20" t="s">
        <v>175</v>
      </c>
      <c r="E232" s="21" t="str">
        <f t="shared" si="20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1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61</v>
      </c>
      <c r="E233" s="21" t="str">
        <f t="shared" si="20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1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197</v>
      </c>
      <c r="E234" s="21" t="str">
        <f t="shared" si="20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21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6" spans="1:12" x14ac:dyDescent="0.3">
      <c r="A236" t="s">
        <v>219</v>
      </c>
      <c r="E236" s="21" t="str">
        <f>IF(D236="?OLD","!!!","")</f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ca="1">IF(J236&lt;&gt;1,"",IF(I236="SBJ","CB","?"))</f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312</v>
      </c>
    </row>
    <row r="238" spans="1:12" x14ac:dyDescent="0.3">
      <c r="A238" t="s">
        <v>313</v>
      </c>
      <c r="E238" s="21" t="str">
        <f t="shared" ref="E238:E255" si="22">IF(D238="?OLD","!!!","")</f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ref="H238:H255" ca="1" si="23">IF(J238&lt;&gt;1,"",IF(I238="SBJ","CB","?"))</f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65</v>
      </c>
      <c r="B239" s="20" t="s">
        <v>183</v>
      </c>
      <c r="C239" s="20" t="s">
        <v>195</v>
      </c>
      <c r="D239" s="20" t="s">
        <v>171</v>
      </c>
      <c r="E239" s="21" t="s">
        <v>507</v>
      </c>
      <c r="F239" s="22" t="str">
        <f>IF(OR(E239="",E239="!!!"),"",IF(NOT(ISNA(VLOOKUP(E239,E$1:E238,1,FALSE()))),"OLD",IF(AND(E239&lt;&gt;"",E239&lt;&gt;"!!!"),"NEW","")))</f>
        <v>NEW</v>
      </c>
      <c r="G239" s="23" t="s">
        <v>510</v>
      </c>
      <c r="H239" s="24" t="str">
        <f t="shared" ca="1" si="23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206</v>
      </c>
      <c r="E240" s="21" t="str">
        <f t="shared" si="22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3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290</v>
      </c>
      <c r="E241" s="21" t="str">
        <f t="shared" si="22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23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258</v>
      </c>
      <c r="B242" s="20" t="s">
        <v>183</v>
      </c>
      <c r="C242" s="20" t="s">
        <v>170</v>
      </c>
      <c r="D242" s="20" t="s">
        <v>171</v>
      </c>
      <c r="E242" s="21" t="s">
        <v>474</v>
      </c>
      <c r="F242" s="22" t="str">
        <f>IF(OR(E242="",E242="!!!"),"",IF(NOT(ISNA(VLOOKUP(E242,E$1:E241,1,FALSE()))),"OLD",IF(AND(E242&lt;&gt;"",E242&lt;&gt;"!!!"),"NEW","")))</f>
        <v>OLD</v>
      </c>
      <c r="G242" s="23" t="s">
        <v>509</v>
      </c>
      <c r="H242" s="24" t="str">
        <f t="shared" ca="1" si="23"/>
        <v/>
      </c>
      <c r="I242" s="25" t="str">
        <f>IF(OR(E242="",E242="!!!",F242="NEW"),"",INDEX(B$2:B241,-1+SUMPRODUCT(MAX(ROW(E$2:E241)*(E242=E$2:E241)))))</f>
        <v>other</v>
      </c>
      <c r="J242" s="25">
        <f ca="1">IF(OR(E242="",E242="!!!",F242="NEW"),"",COUNTBLANK(OFFSET(A$1,,,SUMPRODUCT(MAX(ROW(E$2:E242)*(E242=E$2:E242)))))-COUNTBLANK(OFFSET(A$1,,,SUMPRODUCT(MAX(ROW(E$1:E241)*(E2=E$1:E241))))))</f>
        <v>0</v>
      </c>
      <c r="K242" s="25">
        <f ca="1">IF(OR(E242="",E242="!!!",F242="NEW"),"",INDEX(J$1:J241,SUMPRODUCT(MAX(ROW(E$1:E241)*(E242=E$1:E241)))))</f>
        <v>0</v>
      </c>
      <c r="L242" s="26"/>
    </row>
    <row r="243" spans="1:12" x14ac:dyDescent="0.3">
      <c r="A243" t="s">
        <v>185</v>
      </c>
      <c r="E243" s="21" t="str">
        <f t="shared" si="22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3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226</v>
      </c>
      <c r="E244" s="21" t="str">
        <f t="shared" si="22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3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314</v>
      </c>
      <c r="E245" s="21" t="str">
        <f t="shared" si="22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3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315</v>
      </c>
      <c r="E246" s="21" t="str">
        <f t="shared" si="22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3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316</v>
      </c>
      <c r="E247" s="21" t="str">
        <f t="shared" si="22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3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308</v>
      </c>
      <c r="E248" s="21" t="str">
        <f t="shared" si="22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3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317</v>
      </c>
      <c r="B249" s="20" t="s">
        <v>257</v>
      </c>
      <c r="C249" s="20" t="s">
        <v>184</v>
      </c>
      <c r="D249" s="20" t="s">
        <v>171</v>
      </c>
      <c r="E249" s="21"/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3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 t="s">
        <v>492</v>
      </c>
    </row>
    <row r="250" spans="1:12" x14ac:dyDescent="0.3">
      <c r="A250" t="s">
        <v>318</v>
      </c>
      <c r="B250" s="20" t="s">
        <v>270</v>
      </c>
      <c r="C250" s="20" t="s">
        <v>216</v>
      </c>
      <c r="E250" s="21" t="str">
        <f t="shared" si="22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3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319</v>
      </c>
      <c r="E251" s="21" t="str">
        <f t="shared" si="22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3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210</v>
      </c>
      <c r="E252" s="21" t="str">
        <f t="shared" si="22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3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320</v>
      </c>
      <c r="B253" s="20" t="s">
        <v>257</v>
      </c>
      <c r="C253" s="20" t="s">
        <v>195</v>
      </c>
      <c r="D253" s="20" t="s">
        <v>171</v>
      </c>
      <c r="E253" s="21" t="s">
        <v>493</v>
      </c>
      <c r="F253" s="22" t="str">
        <f>IF(OR(E253="",E253="!!!"),"",IF(NOT(ISNA(VLOOKUP(E253,E$1:E252,1,FALSE()))),"OLD",IF(AND(E253&lt;&gt;"",E253&lt;&gt;"!!!"),"NEW","")))</f>
        <v>NEW</v>
      </c>
      <c r="G253" s="23" t="s">
        <v>509</v>
      </c>
      <c r="H253" s="24" t="str">
        <f t="shared" ca="1" si="23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197</v>
      </c>
      <c r="E254" s="21" t="str">
        <f t="shared" si="22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3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226</v>
      </c>
      <c r="E255" s="21" t="str">
        <f t="shared" si="22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3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7" spans="1:12" x14ac:dyDescent="0.3">
      <c r="A257" t="s">
        <v>321</v>
      </c>
    </row>
    <row r="258" spans="1:12" x14ac:dyDescent="0.3">
      <c r="A258" t="s">
        <v>178</v>
      </c>
      <c r="E258" s="21" t="str">
        <f t="shared" ref="E258:E266" si="24">IF(D258="?OLD","!!!","")</f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ref="H258:H266" ca="1" si="25">IF(J258&lt;&gt;1,"",IF(I258="SBJ","CB","?"))</f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322</v>
      </c>
      <c r="B259" s="20" t="s">
        <v>166</v>
      </c>
      <c r="C259" s="20" t="s">
        <v>170</v>
      </c>
      <c r="D259" s="20" t="s">
        <v>171</v>
      </c>
      <c r="E259" s="21" t="s">
        <v>476</v>
      </c>
      <c r="F259" s="22" t="str">
        <f>IF(OR(E259="",E259="!!!"),"",IF(NOT(ISNA(VLOOKUP(E259,E$1:E258,1,FALSE()))),"OLD",IF(AND(E259&lt;&gt;"",E259&lt;&gt;"!!!"),"NEW","")))</f>
        <v>NEW</v>
      </c>
      <c r="G259" s="23" t="s">
        <v>509</v>
      </c>
      <c r="H259" s="24" t="str">
        <f t="shared" ca="1" si="25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323</v>
      </c>
      <c r="E260" s="21" t="str">
        <f t="shared" si="24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5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187</v>
      </c>
      <c r="B261" s="20" t="s">
        <v>166</v>
      </c>
      <c r="C261" s="20" t="s">
        <v>175</v>
      </c>
      <c r="E261" s="21" t="s">
        <v>490</v>
      </c>
      <c r="F261" s="22" t="str">
        <f>IF(OR(E261="",E261="!!!"),"",IF(NOT(ISNA(VLOOKUP(E261,E$1:E260,1,FALSE()))),"OLD",IF(AND(E261&lt;&gt;"",E261&lt;&gt;"!!!"),"NEW","")))</f>
        <v>OLD</v>
      </c>
      <c r="G261" s="23" t="s">
        <v>509</v>
      </c>
      <c r="H261" s="24" t="str">
        <f t="shared" ca="1" si="25"/>
        <v/>
      </c>
      <c r="I261" s="25" t="str">
        <f>IF(OR(E261="",E261="!!!",F261="NEW"),"",INDEX(B$2:B260,-1+SUMPRODUCT(MAX(ROW(E$2:E260)*(E261=E$2:E260)))))</f>
        <v>SBJ_2</v>
      </c>
      <c r="J261" s="25">
        <f ca="1">IF(OR(E261="",E261="!!!",F261="NEW"),"",COUNTBLANK(OFFSET(A$1,,,SUMPRODUCT(MAX(ROW(E$2:E261)*(E261=E$2:E261)))))-COUNTBLANK(OFFSET(A$1,,,SUMPRODUCT(MAX(ROW(E$1:E260)*(E2=E$1:E260))))))</f>
        <v>0</v>
      </c>
      <c r="K261" s="25">
        <f ca="1">IF(OR(E261="",E261="!!!",F261="NEW"),"",INDEX(J$1:J260,SUMPRODUCT(MAX(ROW(E$1:E260)*(E261=E$1:E260)))))</f>
        <v>0</v>
      </c>
      <c r="L261" s="26"/>
    </row>
    <row r="262" spans="1:12" x14ac:dyDescent="0.3">
      <c r="A262" t="s">
        <v>298</v>
      </c>
      <c r="E262" s="21" t="str">
        <f t="shared" si="24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5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324</v>
      </c>
      <c r="E263" s="21" t="str">
        <f t="shared" si="24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5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325</v>
      </c>
      <c r="B264" s="20" t="s">
        <v>174</v>
      </c>
      <c r="C264" s="20" t="s">
        <v>216</v>
      </c>
      <c r="E264" s="21" t="str">
        <f t="shared" si="24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5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69</v>
      </c>
      <c r="E265" s="21" t="str">
        <f t="shared" si="24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5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197</v>
      </c>
      <c r="E266" s="21" t="str">
        <f t="shared" si="24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5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8" spans="1:12" x14ac:dyDescent="0.3">
      <c r="A268" t="s">
        <v>326</v>
      </c>
    </row>
    <row r="269" spans="1:12" x14ac:dyDescent="0.3">
      <c r="A269" t="s">
        <v>178</v>
      </c>
      <c r="E269" s="21" t="str">
        <f t="shared" ref="E269:E277" si="26">IF(D269="?OLD","!!!","")</f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ref="H269:H277" ca="1" si="27">IF(J269&lt;&gt;1,"",IF(I269="SBJ","CB","?"))</f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327</v>
      </c>
      <c r="B270" s="20" t="s">
        <v>166</v>
      </c>
      <c r="C270" s="20" t="s">
        <v>195</v>
      </c>
      <c r="D270" s="20" t="s">
        <v>171</v>
      </c>
      <c r="E270" s="21" t="s">
        <v>477</v>
      </c>
      <c r="F270" s="22" t="str">
        <f>IF(OR(E270="",E270="!!!"),"",IF(NOT(ISNA(VLOOKUP(E270,E$1:E269,1,FALSE()))),"OLD",IF(AND(E270&lt;&gt;"",E270&lt;&gt;"!!!"),"NEW","")))</f>
        <v>NEW</v>
      </c>
      <c r="G270" s="23" t="s">
        <v>509</v>
      </c>
      <c r="H270" s="24" t="str">
        <f t="shared" ca="1" si="27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269</v>
      </c>
      <c r="E271" s="21" t="str">
        <f t="shared" si="26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7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308</v>
      </c>
      <c r="E272" s="21" t="str">
        <f t="shared" si="26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7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328</v>
      </c>
      <c r="E273" s="21" t="str">
        <f t="shared" si="26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7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329</v>
      </c>
      <c r="B274" s="20" t="s">
        <v>174</v>
      </c>
      <c r="C274" s="20" t="s">
        <v>175</v>
      </c>
      <c r="E274" s="21" t="str">
        <f t="shared" si="26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7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310</v>
      </c>
      <c r="E275" s="21" t="str">
        <f t="shared" si="26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7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187</v>
      </c>
      <c r="B276" s="20" t="s">
        <v>182</v>
      </c>
      <c r="C276" s="20" t="s">
        <v>175</v>
      </c>
      <c r="E276" s="21" t="s">
        <v>490</v>
      </c>
      <c r="F276" s="22" t="str">
        <f>IF(OR(E276="",E276="!!!"),"",IF(NOT(ISNA(VLOOKUP(E276,E$1:E275,1,FALSE()))),"OLD",IF(AND(E276&lt;&gt;"",E276&lt;&gt;"!!!"),"NEW","")))</f>
        <v>OLD</v>
      </c>
      <c r="G276" s="23" t="s">
        <v>514</v>
      </c>
      <c r="H276" s="24" t="s">
        <v>160</v>
      </c>
      <c r="I276" s="25" t="str">
        <f>IF(OR(E276="",E276="!!!",F276="NEW"),"",INDEX(B$2:B275,-1+SUMPRODUCT(MAX(ROW(E$2:E275)*(E276=E$2:E275)))))</f>
        <v>SBJ</v>
      </c>
      <c r="J276" s="25">
        <f ca="1">IF(OR(E276="",E276="!!!",F276="NEW"),"",COUNTBLANK(OFFSET(A$1,,,SUMPRODUCT(MAX(ROW(E$2:E276)*(E276=E$2:E276)))))-COUNTBLANK(OFFSET(A$1,,,SUMPRODUCT(MAX(ROW(E$1:E275)*(E2=E$1:E275))))))</f>
        <v>0</v>
      </c>
      <c r="K276" s="25">
        <f ca="1">IF(OR(E276="",E276="!!!",F276="NEW"),"",INDEX(J$1:J275,SUMPRODUCT(MAX(ROW(E$1:E275)*(E276=E$1:E275)))))</f>
        <v>0</v>
      </c>
      <c r="L276" s="26"/>
    </row>
    <row r="277" spans="1:12" x14ac:dyDescent="0.3">
      <c r="A277" t="s">
        <v>197</v>
      </c>
      <c r="E277" s="21" t="str">
        <f t="shared" si="26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7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9" spans="1:12" x14ac:dyDescent="0.3">
      <c r="A279" t="s">
        <v>330</v>
      </c>
    </row>
    <row r="280" spans="1:12" x14ac:dyDescent="0.3">
      <c r="A280" t="s">
        <v>331</v>
      </c>
      <c r="E280" s="21" t="str">
        <f t="shared" ref="E280:E296" si="28">IF(D280="?OLD","!!!","")</f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ref="H280:H296" ca="1" si="29">IF(J280&lt;&gt;1,"",IF(I280="SBJ","CB","?"))</f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332</v>
      </c>
      <c r="B281" s="20" t="s">
        <v>174</v>
      </c>
      <c r="C281" s="20" t="s">
        <v>295</v>
      </c>
      <c r="D281" s="20" t="s">
        <v>171</v>
      </c>
      <c r="E281" s="21" t="s">
        <v>507</v>
      </c>
      <c r="F281" s="22" t="str">
        <f>IF(OR(E281="",E281="!!!"),"",IF(NOT(ISNA(VLOOKUP(E281,E$1:E280,1,FALSE()))),"OLD",IF(AND(E281&lt;&gt;"",E281&lt;&gt;"!!!"),"NEW","")))</f>
        <v>OLD</v>
      </c>
      <c r="G281" s="23" t="s">
        <v>509</v>
      </c>
      <c r="H281" s="24" t="str">
        <f t="shared" ca="1" si="29"/>
        <v/>
      </c>
      <c r="I281" s="25" t="str">
        <f>IF(OR(E281="",E281="!!!",F281="NEW"),"",INDEX(B$2:B280,-1+SUMPRODUCT(MAX(ROW(E$2:E280)*(E281=E$2:E280)))))</f>
        <v>other</v>
      </c>
      <c r="J281" s="25">
        <f ca="1">IF(OR(E281="",E281="!!!",F281="NEW"),"",COUNTBLANK(OFFSET(A$1,,,SUMPRODUCT(MAX(ROW(E$2:E281)*(E281=E$2:E281)))))-COUNTBLANK(OFFSET(A$1,,,SUMPRODUCT(MAX(ROW(E$1:E280)*(E2=E$1:E280))))))</f>
        <v>0</v>
      </c>
      <c r="K281" s="25" t="str">
        <f ca="1">IF(OR(E281="",E281="!!!",F281="NEW"),"",INDEX(J$1:J280,SUMPRODUCT(MAX(ROW(E$1:E280)*(E281=E$1:E280)))))</f>
        <v/>
      </c>
      <c r="L281" s="26"/>
    </row>
    <row r="282" spans="1:12" x14ac:dyDescent="0.3">
      <c r="A282" t="s">
        <v>206</v>
      </c>
      <c r="E282" s="21" t="str">
        <f t="shared" si="2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290</v>
      </c>
      <c r="E283" s="21" t="str">
        <f t="shared" si="2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258</v>
      </c>
      <c r="B284" s="20" t="s">
        <v>183</v>
      </c>
      <c r="C284" s="20" t="s">
        <v>170</v>
      </c>
      <c r="D284" s="20" t="s">
        <v>171</v>
      </c>
      <c r="E284" s="21" t="s">
        <v>474</v>
      </c>
      <c r="F284" s="22" t="str">
        <f>IF(OR(E284="",E284="!!!"),"",IF(NOT(ISNA(VLOOKUP(E284,E$1:E283,1,FALSE()))),"OLD",IF(AND(E284&lt;&gt;"",E284&lt;&gt;"!!!"),"NEW","")))</f>
        <v>OLD</v>
      </c>
      <c r="G284" s="23" t="s">
        <v>509</v>
      </c>
      <c r="H284" s="24" t="str">
        <f t="shared" ca="1" si="29"/>
        <v/>
      </c>
      <c r="I284" s="25" t="str">
        <f>IF(OR(E284="",E284="!!!",F284="NEW"),"",INDEX(B$2:B283,-1+SUMPRODUCT(MAX(ROW(E$2:E283)*(E284=E$2:E283)))))</f>
        <v>other</v>
      </c>
      <c r="J284" s="25">
        <f ca="1">IF(OR(E284="",E284="!!!",F284="NEW"),"",COUNTBLANK(OFFSET(A$1,,,SUMPRODUCT(MAX(ROW(E$2:E284)*(E284=E$2:E284)))))-COUNTBLANK(OFFSET(A$1,,,SUMPRODUCT(MAX(ROW(E$1:E283)*(E2=E$1:E283))))))</f>
        <v>0</v>
      </c>
      <c r="K284" s="25">
        <f ca="1">IF(OR(E284="",E284="!!!",F284="NEW"),"",INDEX(J$1:J283,SUMPRODUCT(MAX(ROW(E$1:E283)*(E284=E$1:E283)))))</f>
        <v>0</v>
      </c>
      <c r="L284" s="26"/>
    </row>
    <row r="285" spans="1:12" x14ac:dyDescent="0.3">
      <c r="A285" t="s">
        <v>206</v>
      </c>
      <c r="E285" s="21" t="str">
        <f t="shared" si="2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333</v>
      </c>
      <c r="E286" s="21" t="str">
        <f t="shared" si="2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334</v>
      </c>
      <c r="B287" s="20" t="s">
        <v>215</v>
      </c>
      <c r="E287" s="21" t="str">
        <f t="shared" si="2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335</v>
      </c>
      <c r="E288" s="21" t="str">
        <f t="shared" si="28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2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336</v>
      </c>
      <c r="B289" s="20" t="s">
        <v>209</v>
      </c>
      <c r="C289" s="20" t="s">
        <v>229</v>
      </c>
      <c r="E289" s="21" t="str">
        <f t="shared" si="28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2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223</v>
      </c>
      <c r="E290" s="21" t="str">
        <f t="shared" si="2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2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337</v>
      </c>
      <c r="B291" s="20" t="s">
        <v>268</v>
      </c>
      <c r="C291" s="20" t="s">
        <v>195</v>
      </c>
      <c r="D291" s="20" t="s">
        <v>171</v>
      </c>
      <c r="E291" s="21"/>
      <c r="F291" s="22" t="s">
        <v>486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203</v>
      </c>
      <c r="E292" s="21" t="str">
        <f t="shared" si="2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281</v>
      </c>
      <c r="E293" s="21" t="str">
        <f t="shared" si="2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338</v>
      </c>
      <c r="B294" s="20" t="s">
        <v>257</v>
      </c>
      <c r="C294" s="20" t="s">
        <v>195</v>
      </c>
      <c r="D294" s="20" t="s">
        <v>171</v>
      </c>
      <c r="E294" s="21" t="s">
        <v>494</v>
      </c>
      <c r="F294" s="22" t="str">
        <f>IF(OR(E294="",E294="!!!"),"",IF(NOT(ISNA(VLOOKUP(E294,E$1:E293,1,FALSE()))),"OLD",IF(AND(E294&lt;&gt;"",E294&lt;&gt;"!!!"),"NEW","")))</f>
        <v>NEW</v>
      </c>
      <c r="G294" s="23" t="s">
        <v>509</v>
      </c>
      <c r="H294" s="24" t="str">
        <f t="shared" ca="1" si="2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339</v>
      </c>
      <c r="E295" s="21" t="str">
        <f t="shared" si="2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197</v>
      </c>
      <c r="E296" s="21" t="str">
        <f t="shared" si="2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8" spans="1:12" x14ac:dyDescent="0.3">
      <c r="A298" t="s">
        <v>340</v>
      </c>
    </row>
    <row r="299" spans="1:12" x14ac:dyDescent="0.3">
      <c r="A299" t="s">
        <v>341</v>
      </c>
      <c r="E299" s="21" t="str">
        <f t="shared" ref="E299:E313" si="30">IF(D299="?OLD","!!!","")</f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ref="H299:H313" ca="1" si="31">IF(J299&lt;&gt;1,"",IF(I299="SBJ","CB","?"))</f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305</v>
      </c>
      <c r="E300" s="21" t="str">
        <f t="shared" si="30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31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227</v>
      </c>
      <c r="B301" s="20" t="s">
        <v>209</v>
      </c>
      <c r="C301" s="20" t="s">
        <v>195</v>
      </c>
      <c r="D301" s="20" t="s">
        <v>171</v>
      </c>
      <c r="E301" s="21" t="s">
        <v>491</v>
      </c>
      <c r="F301" s="22" t="str">
        <f>IF(OR(E301="",E301="!!!"),"",IF(NOT(ISNA(VLOOKUP(E301,E$1:E300,1,FALSE()))),"OLD",IF(AND(E301&lt;&gt;"",E301&lt;&gt;"!!!"),"NEW","")))</f>
        <v>OLD</v>
      </c>
      <c r="G301" s="23" t="s">
        <v>509</v>
      </c>
      <c r="H301" s="24" t="str">
        <f t="shared" ca="1" si="31"/>
        <v/>
      </c>
      <c r="I301" s="25">
        <f>IF(OR(E301="",E301="!!!",F301="NEW"),"",INDEX(B$2:B300,-1+SUMPRODUCT(MAX(ROW(E$2:E300)*(E301=E$2:E300)))))</f>
        <v>0</v>
      </c>
      <c r="J301" s="25">
        <f ca="1">IF(OR(E301="",E301="!!!",F301="NEW"),"",COUNTBLANK(OFFSET(A$1,,,SUMPRODUCT(MAX(ROW(E$2:E301)*(E301=E$2:E301)))))-COUNTBLANK(OFFSET(A$1,,,SUMPRODUCT(MAX(ROW(E$1:E300)*(E2=E$1:E300))))))</f>
        <v>0</v>
      </c>
      <c r="K301" s="25">
        <f ca="1">IF(OR(E301="",E301="!!!",F301="NEW"),"",INDEX(J$1:J300,SUMPRODUCT(MAX(ROW(E$1:E300)*(E301=E$1:E300)))))</f>
        <v>0</v>
      </c>
      <c r="L301" s="26"/>
    </row>
    <row r="302" spans="1:12" x14ac:dyDescent="0.3">
      <c r="A302" t="s">
        <v>342</v>
      </c>
      <c r="E302" s="21" t="s">
        <v>516</v>
      </c>
      <c r="F302" s="22" t="str">
        <f>IF(OR(E302="",E302="!!!"),"",IF(NOT(ISNA(VLOOKUP(E302,E$1:E301,1,FALSE()))),"OLD",IF(AND(E302&lt;&gt;"",E302&lt;&gt;"!!!"),"NEW","")))</f>
        <v>NEW</v>
      </c>
      <c r="G302" s="23" t="s">
        <v>510</v>
      </c>
      <c r="H302" s="24" t="str">
        <f t="shared" ca="1" si="31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 t="s">
        <v>473</v>
      </c>
    </row>
    <row r="303" spans="1:12" x14ac:dyDescent="0.3">
      <c r="A303" t="s">
        <v>206</v>
      </c>
      <c r="E303" s="21" t="str">
        <f t="shared" si="30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31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218</v>
      </c>
      <c r="E304" s="21" t="str">
        <f t="shared" si="30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1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305</v>
      </c>
      <c r="B305" s="20" t="s">
        <v>166</v>
      </c>
      <c r="E305" s="21" t="s">
        <v>516</v>
      </c>
      <c r="F305" s="22" t="str">
        <f>IF(OR(E305="",E305="!!!"),"",IF(NOT(ISNA(VLOOKUP(E305,E$1:E304,1,FALSE()))),"OLD",IF(AND(E305&lt;&gt;"",E305&lt;&gt;"!!!"),"NEW","")))</f>
        <v>OLD</v>
      </c>
      <c r="G305" s="23" t="s">
        <v>513</v>
      </c>
      <c r="H305" s="24" t="str">
        <f t="shared" ca="1" si="31"/>
        <v/>
      </c>
      <c r="I305" s="25">
        <f>IF(OR(E305="",E305="!!!",F305="NEW"),"",INDEX(B$2:B304,-1+SUMPRODUCT(MAX(ROW(E$2:E304)*(E305=E$2:E304)))))</f>
        <v>0</v>
      </c>
      <c r="J305" s="25">
        <f ca="1">IF(OR(E305="",E305="!!!",F305="NEW"),"",COUNTBLANK(OFFSET(A$1,,,SUMPRODUCT(MAX(ROW(E$2:E305)*(E305=E$2:E305)))))-COUNTBLANK(OFFSET(A$1,,,SUMPRODUCT(MAX(ROW(E$1:E304)*(E2=E$1:E304))))))</f>
        <v>0</v>
      </c>
      <c r="K305" s="25" t="str">
        <f ca="1">IF(OR(E305="",E305="!!!",F305="NEW"),"",INDEX(J$1:J304,SUMPRODUCT(MAX(ROW(E$1:E304)*(E305=E$1:E304)))))</f>
        <v/>
      </c>
      <c r="L305" s="26"/>
    </row>
    <row r="306" spans="1:12" x14ac:dyDescent="0.3">
      <c r="A306" t="s">
        <v>310</v>
      </c>
      <c r="E306" s="21" t="str">
        <f t="shared" si="30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1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343</v>
      </c>
      <c r="E307" s="21" t="str">
        <f t="shared" si="30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31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344</v>
      </c>
      <c r="B308" s="20" t="s">
        <v>183</v>
      </c>
      <c r="C308" s="20" t="s">
        <v>175</v>
      </c>
      <c r="E308" s="21" t="str">
        <f t="shared" si="30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1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192</v>
      </c>
      <c r="E309" s="21" t="str">
        <f t="shared" si="30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31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223</v>
      </c>
      <c r="E310" s="21" t="str">
        <f t="shared" si="30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31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345</v>
      </c>
      <c r="B311" s="20" t="s">
        <v>182</v>
      </c>
      <c r="C311" s="20" t="s">
        <v>195</v>
      </c>
      <c r="D311" s="20" t="s">
        <v>171</v>
      </c>
      <c r="E311" s="21" t="s">
        <v>495</v>
      </c>
      <c r="F311" s="22" t="str">
        <f>IF(OR(E311="",E311="!!!"),"",IF(NOT(ISNA(VLOOKUP(E311,E$1:E310,1,FALSE()))),"OLD",IF(AND(E311&lt;&gt;"",E311&lt;&gt;"!!!"),"NEW","")))</f>
        <v>NEW</v>
      </c>
      <c r="G311" s="23" t="s">
        <v>509</v>
      </c>
      <c r="H311" s="24" t="str">
        <f t="shared" ca="1" si="31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61</v>
      </c>
      <c r="E312" s="21" t="str">
        <f t="shared" si="30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31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197</v>
      </c>
      <c r="E313" s="21" t="str">
        <f t="shared" si="30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1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5" spans="1:12" x14ac:dyDescent="0.3">
      <c r="A315" t="s">
        <v>346</v>
      </c>
    </row>
    <row r="316" spans="1:12" x14ac:dyDescent="0.3">
      <c r="A316" t="s">
        <v>347</v>
      </c>
      <c r="B316" s="20" t="s">
        <v>182</v>
      </c>
      <c r="C316" s="20" t="s">
        <v>202</v>
      </c>
      <c r="E316" s="21" t="str">
        <f>IF(D316="?OLD","!!!","")</f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ca="1">IF(J316&lt;&gt;1,"",IF(I316="SBJ","CB","?"))</f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348</v>
      </c>
      <c r="B317" s="20" t="s">
        <v>166</v>
      </c>
      <c r="C317" s="20" t="s">
        <v>175</v>
      </c>
      <c r="E317" s="21" t="str">
        <f>IF(D317="?OLD","!!!","")</f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ca="1">IF(J317&lt;&gt;1,"",IF(I317="SBJ","CB","?"))</f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218</v>
      </c>
      <c r="E318" s="21" t="str">
        <f>IF(D318="?OLD","!!!","")</f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ca="1">IF(J318&lt;&gt;1,"",IF(I318="SBJ","CB","?"))</f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349</v>
      </c>
      <c r="E319" s="21" t="str">
        <f>IF(D319="?OLD","!!!","")</f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ca="1">IF(J319&lt;&gt;1,"",IF(I319="SBJ","CB","?"))</f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197</v>
      </c>
      <c r="E320" s="21" t="str">
        <f>IF(D320="?OLD","!!!","")</f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ca="1">IF(J320&lt;&gt;1,"",IF(I320="SBJ","CB","?"))</f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2" spans="1:12" x14ac:dyDescent="0.3">
      <c r="A322" t="s">
        <v>350</v>
      </c>
    </row>
    <row r="323" spans="1:12" x14ac:dyDescent="0.3">
      <c r="A323" t="s">
        <v>314</v>
      </c>
      <c r="B323" s="20" t="s">
        <v>166</v>
      </c>
      <c r="C323" s="20" t="s">
        <v>242</v>
      </c>
      <c r="D323" s="20" t="s">
        <v>171</v>
      </c>
      <c r="E323" s="21"/>
      <c r="F323" s="22" t="s">
        <v>471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ref="H323:H333" ca="1" si="32">IF(J323&lt;&gt;1,"",IF(I323="SBJ","CB","?"))</f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234</v>
      </c>
      <c r="E324" s="21" t="str">
        <f t="shared" ref="E323:E333" si="33">IF(D324="?OLD","!!!","")</f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32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351</v>
      </c>
      <c r="E325" s="21" t="str">
        <f t="shared" si="33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2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206</v>
      </c>
      <c r="E326" s="21" t="str">
        <f t="shared" si="33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2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352</v>
      </c>
      <c r="E327" s="21" t="str">
        <f t="shared" si="33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2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353</v>
      </c>
      <c r="B328" s="20" t="s">
        <v>209</v>
      </c>
      <c r="C328" s="20" t="s">
        <v>184</v>
      </c>
      <c r="D328" s="20" t="s">
        <v>171</v>
      </c>
      <c r="E328" s="21"/>
      <c r="F328" s="22" t="s">
        <v>486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2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193</v>
      </c>
      <c r="E329" s="21" t="str">
        <f t="shared" si="33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2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354</v>
      </c>
      <c r="B330" s="20" t="s">
        <v>215</v>
      </c>
      <c r="C330" s="20" t="s">
        <v>195</v>
      </c>
      <c r="D330" s="20" t="s">
        <v>171</v>
      </c>
      <c r="E330" s="21" t="s">
        <v>496</v>
      </c>
      <c r="F330" s="22" t="str">
        <f>IF(OR(E330="",E330="!!!"),"",IF(NOT(ISNA(VLOOKUP(E330,E$1:E329,1,FALSE()))),"OLD",IF(AND(E330&lt;&gt;"",E330&lt;&gt;"!!!"),"NEW","")))</f>
        <v>NEW</v>
      </c>
      <c r="G330" s="23" t="s">
        <v>509</v>
      </c>
      <c r="H330" s="24" t="str">
        <f t="shared" ca="1" si="32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355</v>
      </c>
      <c r="E331" s="21" t="str">
        <f t="shared" si="33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2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98</v>
      </c>
      <c r="E332" s="21" t="str">
        <f t="shared" si="33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2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197</v>
      </c>
      <c r="E333" s="21" t="str">
        <f t="shared" si="33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2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5" spans="1:12" x14ac:dyDescent="0.3">
      <c r="A335" t="s">
        <v>356</v>
      </c>
    </row>
    <row r="336" spans="1:12" x14ac:dyDescent="0.3">
      <c r="A336" t="s">
        <v>232</v>
      </c>
      <c r="E336" s="21" t="str">
        <f t="shared" ref="E336:E356" si="34">IF(D336="?OLD","!!!","")</f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ref="H336:H356" ca="1" si="35">IF(J336&lt;&gt;1,"",IF(I336="SBJ","CB","?"))</f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308</v>
      </c>
      <c r="E337" s="21" t="str">
        <f t="shared" si="34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35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357</v>
      </c>
      <c r="E338" s="21" t="str">
        <f t="shared" si="34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5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305</v>
      </c>
      <c r="E339" s="21" t="str">
        <f t="shared" si="34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5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358</v>
      </c>
      <c r="B340" s="20" t="s">
        <v>166</v>
      </c>
      <c r="C340" s="20" t="s">
        <v>195</v>
      </c>
      <c r="D340" s="20" t="s">
        <v>171</v>
      </c>
      <c r="E340" s="21" t="s">
        <v>491</v>
      </c>
      <c r="F340" s="22" t="str">
        <f>IF(OR(E340="",E340="!!!"),"",IF(NOT(ISNA(VLOOKUP(E340,E$1:E339,1,FALSE()))),"OLD",IF(AND(E340&lt;&gt;"",E340&lt;&gt;"!!!"),"NEW","")))</f>
        <v>OLD</v>
      </c>
      <c r="G340" s="23" t="s">
        <v>509</v>
      </c>
      <c r="H340" s="24" t="str">
        <f t="shared" ca="1" si="35"/>
        <v/>
      </c>
      <c r="I340" s="25" t="str">
        <f>IF(OR(E340="",E340="!!!",F340="NEW"),"",INDEX(B$2:B339,-1+SUMPRODUCT(MAX(ROW(E$2:E339)*(E340=E$2:E339)))))</f>
        <v>SBJ_2</v>
      </c>
      <c r="J340" s="25">
        <f ca="1">IF(OR(E340="",E340="!!!",F340="NEW"),"",COUNTBLANK(OFFSET(A$1,,,SUMPRODUCT(MAX(ROW(E$2:E340)*(E340=E$2:E340)))))-COUNTBLANK(OFFSET(A$1,,,SUMPRODUCT(MAX(ROW(E$1:E339)*(E2=E$1:E339))))))</f>
        <v>0</v>
      </c>
      <c r="K340" s="25">
        <f ca="1">IF(OR(E340="",E340="!!!",F340="NEW"),"",INDEX(J$1:J339,SUMPRODUCT(MAX(ROW(E$1:E339)*(E340=E$1:E339)))))</f>
        <v>0</v>
      </c>
      <c r="L340" s="26"/>
    </row>
    <row r="341" spans="1:12" x14ac:dyDescent="0.3">
      <c r="A341" t="s">
        <v>359</v>
      </c>
      <c r="E341" s="21" t="str">
        <f t="shared" si="34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5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360</v>
      </c>
      <c r="E342" s="21" t="str">
        <f t="shared" si="34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5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185</v>
      </c>
      <c r="E343" s="21" t="str">
        <f t="shared" si="34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5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361</v>
      </c>
      <c r="E344" s="21" t="str">
        <f t="shared" si="34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5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193</v>
      </c>
      <c r="E345" s="21" t="str">
        <f t="shared" si="34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5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362</v>
      </c>
      <c r="E346" s="21" t="str">
        <f t="shared" si="34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5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363</v>
      </c>
      <c r="E347" s="21" t="str">
        <f t="shared" si="34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5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364</v>
      </c>
      <c r="E348" s="21" t="str">
        <f t="shared" si="34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5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173</v>
      </c>
      <c r="B349" s="20" t="s">
        <v>183</v>
      </c>
      <c r="C349" s="20" t="s">
        <v>195</v>
      </c>
      <c r="D349" s="20" t="s">
        <v>171</v>
      </c>
      <c r="E349" s="21" t="s">
        <v>497</v>
      </c>
      <c r="F349" s="22" t="str">
        <f>IF(OR(E349="",E349="!!!"),"",IF(NOT(ISNA(VLOOKUP(E349,E$1:E348,1,FALSE()))),"OLD",IF(AND(E349&lt;&gt;"",E349&lt;&gt;"!!!"),"NEW","")))</f>
        <v>NEW</v>
      </c>
      <c r="G349" s="23" t="s">
        <v>510</v>
      </c>
      <c r="H349" s="24" t="str">
        <f t="shared" ca="1" si="35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206</v>
      </c>
      <c r="E350" s="21" t="str">
        <f t="shared" si="34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5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193</v>
      </c>
      <c r="B351" s="20" t="s">
        <v>255</v>
      </c>
      <c r="E351" s="21" t="s">
        <v>497</v>
      </c>
      <c r="F351" s="22" t="str">
        <f>IF(OR(E351="",E351="!!!"),"",IF(NOT(ISNA(VLOOKUP(E351,E$1:E350,1,FALSE()))),"OLD",IF(AND(E351&lt;&gt;"",E351&lt;&gt;"!!!"),"NEW","")))</f>
        <v>OLD</v>
      </c>
      <c r="G351" s="23" t="s">
        <v>513</v>
      </c>
      <c r="H351" s="24" t="str">
        <f t="shared" ca="1" si="35"/>
        <v/>
      </c>
      <c r="I351" s="25" t="str">
        <f>IF(OR(E351="",E351="!!!",F351="NEW"),"",INDEX(B$2:B350,-1+SUMPRODUCT(MAX(ROW(E$2:E350)*(E351=E$2:E350)))))</f>
        <v>other</v>
      </c>
      <c r="J351" s="25">
        <f ca="1">IF(OR(E351="",E351="!!!",F351="NEW"),"",COUNTBLANK(OFFSET(A$1,,,SUMPRODUCT(MAX(ROW(E$2:E351)*(E351=E$2:E351)))))-COUNTBLANK(OFFSET(A$1,,,SUMPRODUCT(MAX(ROW(E$1:E350)*(E2=E$1:E350))))))</f>
        <v>0</v>
      </c>
      <c r="K351" s="25" t="str">
        <f ca="1">IF(OR(E351="",E351="!!!",F351="NEW"),"",INDEX(J$1:J350,SUMPRODUCT(MAX(ROW(E$1:E350)*(E351=E$1:E350)))))</f>
        <v/>
      </c>
      <c r="L351" s="26"/>
    </row>
    <row r="352" spans="1:12" x14ac:dyDescent="0.3">
      <c r="A352" t="s">
        <v>365</v>
      </c>
      <c r="E352" s="21" t="str">
        <f t="shared" si="34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5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366</v>
      </c>
      <c r="E353" s="21" t="str">
        <f t="shared" si="34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35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367</v>
      </c>
      <c r="E354" s="21" t="str">
        <f t="shared" si="34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35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98</v>
      </c>
      <c r="E355" s="21" t="str">
        <f t="shared" si="34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35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197</v>
      </c>
      <c r="E356" s="21" t="str">
        <f t="shared" si="34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35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8" spans="1:12" x14ac:dyDescent="0.3">
      <c r="A358" t="s">
        <v>368</v>
      </c>
    </row>
    <row r="359" spans="1:12" x14ac:dyDescent="0.3">
      <c r="A359" t="s">
        <v>199</v>
      </c>
      <c r="E359" s="21" t="str">
        <f t="shared" ref="E359:E381" si="36">IF(D359="?OLD","!!!","")</f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ref="H359:H381" ca="1" si="37">IF(J359&lt;&gt;1,"",IF(I359="SBJ","CB","?"))</f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297</v>
      </c>
      <c r="E360" s="21" t="str">
        <f t="shared" si="36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7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369</v>
      </c>
      <c r="E361" s="21" t="str">
        <f t="shared" si="36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37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201</v>
      </c>
      <c r="B362" s="20" t="s">
        <v>166</v>
      </c>
      <c r="C362" s="20" t="s">
        <v>202</v>
      </c>
      <c r="E362" s="21" t="str">
        <f t="shared" si="36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7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210</v>
      </c>
      <c r="E363" s="21" t="str">
        <f t="shared" si="36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37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370</v>
      </c>
      <c r="B364" s="20" t="s">
        <v>174</v>
      </c>
      <c r="C364" s="20" t="s">
        <v>195</v>
      </c>
      <c r="D364" s="20" t="s">
        <v>171</v>
      </c>
      <c r="E364" s="21" t="s">
        <v>498</v>
      </c>
      <c r="F364" s="22" t="s">
        <v>506</v>
      </c>
      <c r="G364" s="23" t="s">
        <v>509</v>
      </c>
      <c r="H364" s="24" t="str">
        <f t="shared" ca="1" si="37"/>
        <v/>
      </c>
      <c r="I364" s="25" t="str">
        <f>IF(OR(E364="",E364="!!!",F364="NEW"),"",INDEX(B$2:B363,-1+SUMPRODUCT(MAX(ROW(E$2:E363)*(E364=E$2:E363)))))</f>
        <v>other</v>
      </c>
      <c r="J364" s="25">
        <f ca="1">IF(OR(E364="",E364="!!!",F364="NEW"),"",COUNTBLANK(OFFSET(A$1,,,SUMPRODUCT(MAX(ROW(E$2:E364)*(E364=E$2:E364)))))-COUNTBLANK(OFFSET(A$1,,,SUMPRODUCT(MAX(ROW(E$1:E363)*(E2=E$1:E363))))))</f>
        <v>0</v>
      </c>
      <c r="K364" s="25" t="str">
        <f ca="1">IF(OR(E364="",E364="!!!",F364="NEW"),"",INDEX(J$1:J363,SUMPRODUCT(MAX(ROW(E$1:E363)*(E364=E$1:E363)))))</f>
        <v/>
      </c>
      <c r="L364" s="26"/>
    </row>
    <row r="365" spans="1:12" x14ac:dyDescent="0.3">
      <c r="A365" t="s">
        <v>371</v>
      </c>
      <c r="E365" s="21" t="str">
        <f t="shared" si="36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7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372</v>
      </c>
      <c r="E366" s="21" t="str">
        <f t="shared" si="36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7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362</v>
      </c>
      <c r="E367" s="21" t="str">
        <f t="shared" si="36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7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214</v>
      </c>
      <c r="E368" s="21" t="str">
        <f t="shared" si="36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7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246</v>
      </c>
      <c r="E369" s="21" t="str">
        <f t="shared" si="36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7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173</v>
      </c>
      <c r="B370" s="20" t="s">
        <v>182</v>
      </c>
      <c r="C370" s="20" t="s">
        <v>175</v>
      </c>
      <c r="E370" s="21" t="s">
        <v>500</v>
      </c>
      <c r="F370" s="22" t="str">
        <f>IF(OR(E370="",E370="!!!"),"",IF(NOT(ISNA(VLOOKUP(E370,E$1:E369,1,FALSE()))),"OLD",IF(AND(E370&lt;&gt;"",E370&lt;&gt;"!!!"),"NEW","")))</f>
        <v>OLD</v>
      </c>
      <c r="G370" s="23" t="s">
        <v>509</v>
      </c>
      <c r="H370" s="24" t="str">
        <f t="shared" ca="1" si="37"/>
        <v/>
      </c>
      <c r="I370" s="25" t="str">
        <f>IF(OR(E370="",E370="!!!",F370="NEW"),"",INDEX(B$2:B369,-1+SUMPRODUCT(MAX(ROW(E$2:E369)*(E370=E$2:E369)))))</f>
        <v>OBJ_2</v>
      </c>
      <c r="J370" s="25">
        <f ca="1">IF(OR(E370="",E370="!!!",F370="NEW"),"",COUNTBLANK(OFFSET(A$1,,,SUMPRODUCT(MAX(ROW(E$2:E370)*(E370=E$2:E370)))))-COUNTBLANK(OFFSET(A$1,,,SUMPRODUCT(MAX(ROW(E$1:E369)*(E2=E$1:E369))))))</f>
        <v>0</v>
      </c>
      <c r="K370" s="25" t="str">
        <f ca="1">IF(OR(E370="",E370="!!!",F370="NEW"),"",INDEX(J$1:J369,SUMPRODUCT(MAX(ROW(E$1:E369)*(E370=E$1:E369)))))</f>
        <v/>
      </c>
      <c r="L370" s="26"/>
    </row>
    <row r="371" spans="1:12" x14ac:dyDescent="0.3">
      <c r="A371" t="s">
        <v>373</v>
      </c>
      <c r="E371" s="21" t="str">
        <f t="shared" si="36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37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206</v>
      </c>
      <c r="E372" s="21" t="str">
        <f t="shared" si="36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37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374</v>
      </c>
      <c r="E373" s="21" t="s">
        <v>500</v>
      </c>
      <c r="F373" s="22" t="str">
        <f>IF(OR(E373="",E373="!!!"),"",IF(NOT(ISNA(VLOOKUP(E373,E$1:E372,1,FALSE()))),"OLD",IF(AND(E373&lt;&gt;"",E373&lt;&gt;"!!!"),"NEW","")))</f>
        <v>OLD</v>
      </c>
      <c r="G373" s="23" t="s">
        <v>513</v>
      </c>
      <c r="H373" s="24" t="str">
        <f t="shared" ca="1" si="37"/>
        <v/>
      </c>
      <c r="I373" s="25" t="str">
        <f>IF(OR(E373="",E373="!!!",F373="NEW"),"",INDEX(B$2:B372,-1+SUMPRODUCT(MAX(ROW(E$2:E372)*(E373=E$2:E372)))))</f>
        <v>other_2</v>
      </c>
      <c r="J373" s="25">
        <f ca="1">IF(OR(E373="",E373="!!!",F373="NEW"),"",COUNTBLANK(OFFSET(A$1,,,SUMPRODUCT(MAX(ROW(E$2:E373)*(E373=E$2:E373)))))-COUNTBLANK(OFFSET(A$1,,,SUMPRODUCT(MAX(ROW(E$1:E372)*(E2=E$1:E372))))))</f>
        <v>0</v>
      </c>
      <c r="K373" s="25">
        <f ca="1">IF(OR(E373="",E373="!!!",F373="NEW"),"",INDEX(J$1:J372,SUMPRODUCT(MAX(ROW(E$1:E372)*(E373=E$1:E372)))))</f>
        <v>0</v>
      </c>
      <c r="L373" s="26"/>
    </row>
    <row r="374" spans="1:12" x14ac:dyDescent="0.3">
      <c r="A374" t="s">
        <v>375</v>
      </c>
      <c r="B374" s="20" t="s">
        <v>209</v>
      </c>
      <c r="C374" s="20" t="s">
        <v>376</v>
      </c>
      <c r="D374" s="20" t="s">
        <v>171</v>
      </c>
      <c r="E374" s="21" t="s">
        <v>499</v>
      </c>
      <c r="F374" s="22" t="str">
        <f>IF(OR(E374="",E374="!!!"),"",IF(NOT(ISNA(VLOOKUP(E374,E$1:E373,1,FALSE()))),"OLD",IF(AND(E374&lt;&gt;"",E374&lt;&gt;"!!!"),"NEW","")))</f>
        <v>NEW</v>
      </c>
      <c r="G374" s="23" t="s">
        <v>510</v>
      </c>
      <c r="H374" s="24" t="str">
        <f t="shared" ca="1" si="37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192</v>
      </c>
      <c r="E375" s="21" t="str">
        <f t="shared" si="36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37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210</v>
      </c>
      <c r="E376" s="21" t="str">
        <f t="shared" si="36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37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211</v>
      </c>
      <c r="E377" s="21" t="str">
        <f t="shared" si="36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7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212</v>
      </c>
      <c r="B378" s="20" t="s">
        <v>182</v>
      </c>
      <c r="C378" s="20" t="s">
        <v>195</v>
      </c>
      <c r="D378" s="20" t="s">
        <v>171</v>
      </c>
      <c r="E378" s="21" t="s">
        <v>484</v>
      </c>
      <c r="F378" s="22" t="str">
        <f>IF(OR(E378="",E378="!!!"),"",IF(NOT(ISNA(VLOOKUP(E378,E$1:E377,1,FALSE()))),"OLD",IF(AND(E378&lt;&gt;"",E378&lt;&gt;"!!!"),"NEW","")))</f>
        <v>OLD</v>
      </c>
      <c r="G378" s="23" t="s">
        <v>509</v>
      </c>
      <c r="H378" s="24" t="str">
        <f t="shared" ca="1" si="37"/>
        <v/>
      </c>
      <c r="I378" s="25" t="str">
        <f>IF(OR(E378="",E378="!!!",F378="NEW"),"",INDEX(B$2:B377,-1+SUMPRODUCT(MAX(ROW(E$2:E377)*(E378=E$2:E377)))))</f>
        <v>other_2</v>
      </c>
      <c r="J378" s="25">
        <f ca="1">IF(OR(E378="",E378="!!!",F378="NEW"),"",COUNTBLANK(OFFSET(A$1,,,SUMPRODUCT(MAX(ROW(E$2:E378)*(E378=E$2:E378)))))-COUNTBLANK(OFFSET(A$1,,,SUMPRODUCT(MAX(ROW(E$1:E377)*(E2=E$1:E377))))))</f>
        <v>0</v>
      </c>
      <c r="K378" s="25">
        <f ca="1">IF(OR(E378="",E378="!!!",F378="NEW"),"",INDEX(J$1:J377,SUMPRODUCT(MAX(ROW(E$1:E377)*(E378=E$1:E377)))))</f>
        <v>0</v>
      </c>
      <c r="L378" s="26"/>
    </row>
    <row r="379" spans="1:12" x14ac:dyDescent="0.3">
      <c r="A379" t="s">
        <v>377</v>
      </c>
      <c r="E379" s="21"/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7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218</v>
      </c>
      <c r="E380" s="21" t="str">
        <f t="shared" si="36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37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176</v>
      </c>
      <c r="E381" s="21" t="str">
        <f t="shared" si="36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7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3" spans="1:12" x14ac:dyDescent="0.3">
      <c r="A383" t="s">
        <v>378</v>
      </c>
    </row>
    <row r="384" spans="1:12" x14ac:dyDescent="0.3">
      <c r="A384" t="s">
        <v>379</v>
      </c>
      <c r="E384" s="21" t="str">
        <f t="shared" ref="E384:E395" si="38">IF(D384="?OLD","!!!","")</f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ref="H384:H395" ca="1" si="39">IF(J384&lt;&gt;1,"",IF(I384="SBJ","CB","?"))</f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380</v>
      </c>
      <c r="E385" s="21" t="str">
        <f t="shared" si="38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39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222</v>
      </c>
      <c r="B386" s="20" t="s">
        <v>182</v>
      </c>
      <c r="C386" s="20" t="s">
        <v>202</v>
      </c>
      <c r="E386" s="21" t="str">
        <f t="shared" si="38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39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281</v>
      </c>
      <c r="E387" s="21" t="str">
        <f t="shared" si="38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9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381</v>
      </c>
      <c r="B388" s="20" t="s">
        <v>183</v>
      </c>
      <c r="C388" s="20" t="s">
        <v>382</v>
      </c>
      <c r="D388" s="20" t="s">
        <v>171</v>
      </c>
      <c r="E388" s="21"/>
      <c r="F388" s="22" t="str">
        <f>IF(OR(E388="",E388="!!!"),"",IF(NOT(ISNA(VLOOKUP(E388,E$1:E387,1,FALSE()))),"OLD",IF(AND(E388&lt;&gt;"",E388&lt;&gt;"!!!"),"NEW","")))</f>
        <v/>
      </c>
      <c r="G388" s="23"/>
      <c r="H388" s="24" t="str">
        <f t="shared" ca="1" si="39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383</v>
      </c>
      <c r="E389" s="21">
        <v>2020</v>
      </c>
      <c r="F389" s="22" t="str">
        <f>IF(OR(E389="",E389="!!!"),"",IF(NOT(ISNA(VLOOKUP(E389,E$1:E388,1,FALSE()))),"OLD",IF(AND(E389&lt;&gt;"",E389&lt;&gt;"!!!"),"NEW","")))</f>
        <v>NEW</v>
      </c>
      <c r="G389" s="23" t="s">
        <v>510</v>
      </c>
      <c r="H389" s="24" t="str">
        <f t="shared" ca="1" si="39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 t="s">
        <v>517</v>
      </c>
    </row>
    <row r="390" spans="1:12" x14ac:dyDescent="0.3">
      <c r="A390" t="s">
        <v>98</v>
      </c>
      <c r="E390" s="21" t="str">
        <f t="shared" si="38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39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241</v>
      </c>
      <c r="B391" s="20" t="s">
        <v>209</v>
      </c>
      <c r="C391" s="20" t="s">
        <v>242</v>
      </c>
      <c r="D391" s="20" t="s">
        <v>171</v>
      </c>
      <c r="E391" s="21" t="s">
        <v>498</v>
      </c>
      <c r="F391" s="22" t="s">
        <v>506</v>
      </c>
      <c r="G391" s="23" t="s">
        <v>513</v>
      </c>
      <c r="H391" s="24" t="s">
        <v>160</v>
      </c>
      <c r="I391" s="25" t="str">
        <f>IF(OR(E391="",E391="!!!",F391="NEW"),"",INDEX(B$2:B390,-1+SUMPRODUCT(MAX(ROW(E$2:E390)*(E391=E$2:E390)))))</f>
        <v>OBJ</v>
      </c>
      <c r="J391" s="25">
        <f ca="1">IF(OR(E391="",E391="!!!",F391="NEW"),"",COUNTBLANK(OFFSET(A$1,,,SUMPRODUCT(MAX(ROW(E$2:E391)*(E391=E$2:E391)))))-COUNTBLANK(OFFSET(A$1,,,SUMPRODUCT(MAX(ROW(E$1:E390)*(E2=E$1:E390))))))</f>
        <v>0</v>
      </c>
      <c r="K391" s="25">
        <f ca="1">IF(OR(E391="",E391="!!!",F391="NEW"),"",INDEX(J$1:J390,SUMPRODUCT(MAX(ROW(E$1:E390)*(E391=E$1:E390)))))</f>
        <v>0</v>
      </c>
      <c r="L391" s="26"/>
    </row>
    <row r="392" spans="1:12" x14ac:dyDescent="0.3">
      <c r="A392" t="s">
        <v>384</v>
      </c>
      <c r="E392" s="21" t="str">
        <f t="shared" si="38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9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173</v>
      </c>
      <c r="B393" s="20" t="s">
        <v>183</v>
      </c>
      <c r="C393" s="20" t="s">
        <v>216</v>
      </c>
      <c r="E393" s="21" t="str">
        <f t="shared" si="38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9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385</v>
      </c>
      <c r="E394" s="21" t="str">
        <f t="shared" si="38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39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197</v>
      </c>
      <c r="E395" s="21" t="str">
        <f t="shared" si="38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9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7" spans="1:12" x14ac:dyDescent="0.3">
      <c r="A397" t="s">
        <v>386</v>
      </c>
    </row>
    <row r="398" spans="1:12" x14ac:dyDescent="0.3">
      <c r="A398" t="s">
        <v>387</v>
      </c>
      <c r="E398" s="21" t="str">
        <f t="shared" ref="E398:E419" si="40">IF(D398="?OLD","!!!","")</f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ref="H398:H419" ca="1" si="41">IF(J398&lt;&gt;1,"",IF(I398="SBJ","CB","?"))</f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305</v>
      </c>
      <c r="B399" s="20" t="s">
        <v>215</v>
      </c>
      <c r="E399" s="21" t="s">
        <v>498</v>
      </c>
      <c r="F399" s="22" t="str">
        <f>IF(OR(E399="",E399="!!!"),"",IF(NOT(ISNA(VLOOKUP(E399,E$1:E398,1,FALSE()))),"OLD",IF(AND(E399&lt;&gt;"",E399&lt;&gt;"!!!"),"NEW","")))</f>
        <v>OLD</v>
      </c>
      <c r="G399" s="23" t="s">
        <v>513</v>
      </c>
      <c r="H399" s="24" t="s">
        <v>160</v>
      </c>
      <c r="I399" s="25" t="str">
        <f>IF(OR(E399="",E399="!!!",F399="NEW"),"",INDEX(B$2:B398,-1+SUMPRODUCT(MAX(ROW(E$2:E398)*(E399=E$2:E398)))))</f>
        <v>SBJ_2</v>
      </c>
      <c r="J399" s="25">
        <f ca="1">IF(OR(E399="",E399="!!!",F399="NEW"),"",COUNTBLANK(OFFSET(A$1,,,SUMPRODUCT(MAX(ROW(E$2:E399)*(E399=E$2:E399)))))-COUNTBLANK(OFFSET(A$1,,,SUMPRODUCT(MAX(ROW(E$1:E398)*(E2=E$1:E398))))))</f>
        <v>0</v>
      </c>
      <c r="K399" s="25">
        <f ca="1">IF(OR(E399="",E399="!!!",F399="NEW"),"",INDEX(J$1:J398,SUMPRODUCT(MAX(ROW(E$1:E398)*(E399=E$1:E398)))))</f>
        <v>0</v>
      </c>
      <c r="L399" s="26"/>
    </row>
    <row r="400" spans="1:12" x14ac:dyDescent="0.3">
      <c r="A400" t="s">
        <v>222</v>
      </c>
      <c r="E400" s="21" t="str">
        <f t="shared" si="40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41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388</v>
      </c>
      <c r="E401" s="21" t="str">
        <f t="shared" si="40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41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206</v>
      </c>
      <c r="E402" s="21" t="str">
        <f t="shared" si="40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41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290</v>
      </c>
      <c r="E403" s="21" t="str">
        <f t="shared" si="40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41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193</v>
      </c>
      <c r="E404" s="21" t="str">
        <f t="shared" si="40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1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389</v>
      </c>
      <c r="E405" s="21" t="str">
        <f t="shared" si="40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41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390</v>
      </c>
      <c r="B406" s="20" t="s">
        <v>166</v>
      </c>
      <c r="C406" s="20" t="s">
        <v>195</v>
      </c>
      <c r="D406" s="20" t="s">
        <v>171</v>
      </c>
      <c r="E406" s="21"/>
      <c r="F406" s="22" t="s">
        <v>478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1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391</v>
      </c>
      <c r="B407" s="20" t="s">
        <v>182</v>
      </c>
      <c r="C407" s="20" t="s">
        <v>170</v>
      </c>
      <c r="D407" s="20" t="s">
        <v>171</v>
      </c>
      <c r="E407" s="21" t="s">
        <v>479</v>
      </c>
      <c r="F407" s="22" t="str">
        <f>IF(OR(E407="",E407="!!!"),"",IF(NOT(ISNA(VLOOKUP(E407,E$1:E406,1,FALSE()))),"OLD",IF(AND(E407&lt;&gt;"",E407&lt;&gt;"!!!"),"NEW","")))</f>
        <v>NEW</v>
      </c>
      <c r="G407" s="23" t="s">
        <v>510</v>
      </c>
      <c r="H407" s="24" t="str">
        <f t="shared" ca="1" si="41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 t="s">
        <v>512</v>
      </c>
    </row>
    <row r="408" spans="1:12" x14ac:dyDescent="0.3">
      <c r="A408" t="s">
        <v>392</v>
      </c>
      <c r="E408" s="21" t="str">
        <f t="shared" si="40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41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206</v>
      </c>
      <c r="E409" s="21" t="str">
        <f t="shared" si="40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1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365</v>
      </c>
      <c r="E410" s="21" t="str">
        <f t="shared" si="40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41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393</v>
      </c>
      <c r="E411" s="21" t="str">
        <f t="shared" si="40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41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394</v>
      </c>
      <c r="E412" s="21" t="str">
        <f t="shared" si="40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1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395</v>
      </c>
      <c r="B413" s="20" t="s">
        <v>166</v>
      </c>
      <c r="C413" s="20" t="s">
        <v>175</v>
      </c>
      <c r="E413" s="21" t="str">
        <f t="shared" si="40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1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371</v>
      </c>
      <c r="E414" s="21" t="str">
        <f t="shared" si="40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1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223</v>
      </c>
      <c r="E415" s="21" t="str">
        <f t="shared" si="40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1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396</v>
      </c>
      <c r="B416" s="20" t="s">
        <v>182</v>
      </c>
      <c r="C416" s="20" t="s">
        <v>195</v>
      </c>
      <c r="D416" s="20" t="s">
        <v>171</v>
      </c>
      <c r="E416" s="21" t="s">
        <v>466</v>
      </c>
      <c r="F416" s="22" t="str">
        <f>IF(OR(E416="",E416="!!!"),"",IF(NOT(ISNA(VLOOKUP(E416,E$1:E415,1,FALSE()))),"OLD",IF(AND(E416&lt;&gt;"",E416&lt;&gt;"!!!"),"NEW","")))</f>
        <v>OLD</v>
      </c>
      <c r="G416" s="23" t="s">
        <v>509</v>
      </c>
      <c r="H416" s="24" t="str">
        <f t="shared" ca="1" si="41"/>
        <v/>
      </c>
      <c r="I416" s="25" t="str">
        <f>IF(OR(E416="",E416="!!!",F416="NEW"),"",INDEX(B$2:B415,-1+SUMPRODUCT(MAX(ROW(E$2:E415)*(E416=E$2:E415)))))</f>
        <v>SBJ_2</v>
      </c>
      <c r="J416" s="25">
        <f ca="1">IF(OR(E416="",E416="!!!",F416="NEW"),"",COUNTBLANK(OFFSET(A$1,,,SUMPRODUCT(MAX(ROW(E$2:E416)*(E416=E$2:E416)))))-COUNTBLANK(OFFSET(A$1,,,SUMPRODUCT(MAX(ROW(E$1:E415)*(E2=E$1:E415))))))</f>
        <v>0</v>
      </c>
      <c r="K416" s="25">
        <f ca="1">IF(OR(E416="",E416="!!!",F416="NEW"),"",INDEX(J$1:J415,SUMPRODUCT(MAX(ROW(E$1:E415)*(E416=E$1:E415)))))</f>
        <v>0</v>
      </c>
      <c r="L416" s="26"/>
    </row>
    <row r="417" spans="1:12" x14ac:dyDescent="0.3">
      <c r="A417" t="s">
        <v>397</v>
      </c>
      <c r="E417" s="21" t="str">
        <f t="shared" si="40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1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98</v>
      </c>
      <c r="E418" s="21" t="str">
        <f t="shared" si="40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1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197</v>
      </c>
      <c r="E419" s="21" t="str">
        <f t="shared" si="40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1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1" spans="1:12" x14ac:dyDescent="0.3">
      <c r="A421" t="s">
        <v>398</v>
      </c>
    </row>
    <row r="422" spans="1:12" x14ac:dyDescent="0.3">
      <c r="A422" t="s">
        <v>399</v>
      </c>
      <c r="E422" s="21" t="str">
        <f t="shared" ref="E422:E436" si="42">IF(D422="?OLD","!!!","")</f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ref="H422:H436" ca="1" si="43">IF(J422&lt;&gt;1,"",IF(I422="SBJ","CB","?"))</f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400</v>
      </c>
      <c r="E423" s="21" t="str">
        <f t="shared" si="42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3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401</v>
      </c>
      <c r="E424" s="21" t="str">
        <f t="shared" si="42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3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402</v>
      </c>
      <c r="E425" s="21" t="str">
        <f t="shared" si="42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3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98</v>
      </c>
      <c r="E426" s="21" t="str">
        <f t="shared" si="42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3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206</v>
      </c>
      <c r="E427" s="21" t="str">
        <f t="shared" si="42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3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173</v>
      </c>
      <c r="B428" s="20" t="s">
        <v>215</v>
      </c>
      <c r="C428" s="20" t="s">
        <v>175</v>
      </c>
      <c r="E428" s="21" t="str">
        <f t="shared" si="42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3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403</v>
      </c>
      <c r="E429" s="21" t="str">
        <f t="shared" si="42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3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404</v>
      </c>
      <c r="E430" s="21" t="str">
        <f t="shared" si="42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3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192</v>
      </c>
      <c r="E431" s="21" t="str">
        <f t="shared" si="42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3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193</v>
      </c>
      <c r="E432" s="21" t="str">
        <f t="shared" si="42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3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405</v>
      </c>
      <c r="B433" s="20" t="s">
        <v>182</v>
      </c>
      <c r="C433" s="20" t="s">
        <v>195</v>
      </c>
      <c r="D433" s="20" t="s">
        <v>171</v>
      </c>
      <c r="E433" s="21" t="s">
        <v>501</v>
      </c>
      <c r="F433" s="22" t="str">
        <f>IF(OR(E433="",E433="!!!"),"",IF(NOT(ISNA(VLOOKUP(E433,E$1:E432,1,FALSE()))),"OLD",IF(AND(E433&lt;&gt;"",E433&lt;&gt;"!!!"),"NEW","")))</f>
        <v>NEW</v>
      </c>
      <c r="G433" s="23" t="s">
        <v>510</v>
      </c>
      <c r="H433" s="24" t="str">
        <f t="shared" ca="1" si="43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222</v>
      </c>
      <c r="E434" s="21" t="str">
        <f t="shared" si="42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3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122</v>
      </c>
      <c r="E435" s="21" t="s">
        <v>502</v>
      </c>
      <c r="F435" s="22" t="str">
        <f>IF(OR(E435="",E435="!!!"),"",IF(NOT(ISNA(VLOOKUP(E435,E$1:E434,1,FALSE()))),"OLD",IF(AND(E435&lt;&gt;"",E435&lt;&gt;"!!!"),"NEW","")))</f>
        <v>NEW</v>
      </c>
      <c r="G435" s="23" t="s">
        <v>510</v>
      </c>
      <c r="H435" s="24" t="str">
        <f t="shared" ca="1" si="43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197</v>
      </c>
      <c r="E436" s="21" t="str">
        <f t="shared" si="42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43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8" spans="1:12" x14ac:dyDescent="0.3">
      <c r="A438" t="s">
        <v>406</v>
      </c>
    </row>
    <row r="439" spans="1:12" x14ac:dyDescent="0.3">
      <c r="A439" t="s">
        <v>313</v>
      </c>
      <c r="B439" s="20" t="s">
        <v>166</v>
      </c>
      <c r="C439" s="20" t="s">
        <v>295</v>
      </c>
      <c r="D439" s="20" t="s">
        <v>171</v>
      </c>
      <c r="E439" s="21" t="s">
        <v>502</v>
      </c>
      <c r="F439" s="22" t="str">
        <f>IF(OR(E439="",E439="!!!"),"",IF(NOT(ISNA(VLOOKUP(E439,E$1:E438,1,FALSE()))),"OLD",IF(AND(E439&lt;&gt;"",E439&lt;&gt;"!!!"),"NEW","")))</f>
        <v>OLD</v>
      </c>
      <c r="G439" s="23" t="s">
        <v>513</v>
      </c>
      <c r="H439" s="24" t="s">
        <v>160</v>
      </c>
      <c r="I439" s="25">
        <f>IF(OR(E439="",E439="!!!",F439="NEW"),"",INDEX(B$2:B438,-1+SUMPRODUCT(MAX(ROW(E$2:E438)*(E439=E$2:E438)))))</f>
        <v>0</v>
      </c>
      <c r="J439" s="25">
        <f ca="1">IF(OR(E439="",E439="!!!",F439="NEW"),"",COUNTBLANK(OFFSET(A$1,,,SUMPRODUCT(MAX(ROW(E$2:E439)*(E439=E$2:E439)))))-COUNTBLANK(OFFSET(A$1,,,SUMPRODUCT(MAX(ROW(E$1:E438)*(E2=E$1:E438))))))</f>
        <v>0</v>
      </c>
      <c r="K439" s="25" t="str">
        <f ca="1">IF(OR(E439="",E439="!!!",F439="NEW"),"",INDEX(J$1:J438,SUMPRODUCT(MAX(ROW(E$1:E438)*(E439=E$1:E438)))))</f>
        <v/>
      </c>
      <c r="L439" s="26"/>
    </row>
    <row r="440" spans="1:12" x14ac:dyDescent="0.3">
      <c r="A440" t="s">
        <v>234</v>
      </c>
      <c r="E440" s="21" t="str">
        <f t="shared" ref="E439:E445" si="44">IF(D440="?OLD","!!!","")</f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ref="H439:H445" ca="1" si="45">IF(J440&lt;&gt;1,"",IF(I440="SBJ","CB","?"))</f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192</v>
      </c>
      <c r="E441" s="21" t="str">
        <f t="shared" si="44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5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223</v>
      </c>
      <c r="E442" s="21" t="str">
        <f t="shared" si="44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5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407</v>
      </c>
      <c r="B443" s="20" t="s">
        <v>183</v>
      </c>
      <c r="C443" s="20" t="s">
        <v>170</v>
      </c>
      <c r="D443" s="20" t="s">
        <v>171</v>
      </c>
      <c r="E443" s="21" t="s">
        <v>480</v>
      </c>
      <c r="F443" s="22" t="str">
        <f>IF(OR(E443="",E443="!!!"),"",IF(NOT(ISNA(VLOOKUP(E443,E$1:E442,1,FALSE()))),"OLD",IF(AND(E443&lt;&gt;"",E443&lt;&gt;"!!!"),"NEW","")))</f>
        <v>NEW</v>
      </c>
      <c r="G443" s="23" t="s">
        <v>510</v>
      </c>
      <c r="H443" s="24" t="str">
        <f t="shared" ca="1" si="45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408</v>
      </c>
      <c r="E444" s="21" t="str">
        <f t="shared" si="44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5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197</v>
      </c>
      <c r="E445" s="21" t="str">
        <f t="shared" si="44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45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7" spans="1:12" x14ac:dyDescent="0.3">
      <c r="A447" t="s">
        <v>409</v>
      </c>
    </row>
    <row r="448" spans="1:12" x14ac:dyDescent="0.3">
      <c r="A448" t="s">
        <v>410</v>
      </c>
      <c r="E448" s="21" t="str">
        <f t="shared" ref="E448:E456" si="46">IF(D448="?OLD","!!!","")</f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ref="H448:H456" ca="1" si="47">IF(J448&lt;&gt;1,"",IF(I448="SBJ","CB","?"))</f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411</v>
      </c>
      <c r="E449" s="21" t="str">
        <f t="shared" si="46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47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412</v>
      </c>
      <c r="B450" s="20" t="s">
        <v>183</v>
      </c>
      <c r="C450" s="20" t="s">
        <v>229</v>
      </c>
      <c r="E450" s="21" t="str">
        <f t="shared" si="46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47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413</v>
      </c>
      <c r="E451" s="21" t="str">
        <f t="shared" si="46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7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334</v>
      </c>
      <c r="B452" s="20" t="s">
        <v>174</v>
      </c>
      <c r="E452" s="21" t="str">
        <f t="shared" si="46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47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305</v>
      </c>
      <c r="E453" s="21" t="str">
        <f t="shared" si="46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47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65</v>
      </c>
      <c r="B454" s="20" t="s">
        <v>215</v>
      </c>
      <c r="C454" s="20" t="s">
        <v>195</v>
      </c>
      <c r="D454" s="20" t="s">
        <v>171</v>
      </c>
      <c r="E454" s="21" t="s">
        <v>498</v>
      </c>
      <c r="F454" s="22" t="str">
        <f>IF(OR(E454="",E454="!!!"),"",IF(NOT(ISNA(VLOOKUP(E454,E$1:E453,1,FALSE()))),"OLD",IF(AND(E454&lt;&gt;"",E454&lt;&gt;"!!!"),"NEW","")))</f>
        <v>OLD</v>
      </c>
      <c r="G454" s="23" t="s">
        <v>509</v>
      </c>
      <c r="H454" s="24" t="str">
        <f t="shared" ca="1" si="47"/>
        <v/>
      </c>
      <c r="I454" s="25" t="str">
        <f>IF(OR(E454="",E454="!!!",F454="NEW"),"",INDEX(B$2:B453,-1+SUMPRODUCT(MAX(ROW(E$2:E453)*(E454=E$2:E453)))))</f>
        <v>OBJ_2</v>
      </c>
      <c r="J454" s="25">
        <f ca="1">IF(OR(E454="",E454="!!!",F454="NEW"),"",COUNTBLANK(OFFSET(A$1,,,SUMPRODUCT(MAX(ROW(E$2:E454)*(E454=E$2:E454)))))-COUNTBLANK(OFFSET(A$1,,,SUMPRODUCT(MAX(ROW(E$1:E453)*(E2=E$1:E453))))))</f>
        <v>0</v>
      </c>
      <c r="K454" s="25">
        <f ca="1">IF(OR(E454="",E454="!!!",F454="NEW"),"",INDEX(J$1:J453,SUMPRODUCT(MAX(ROW(E$1:E453)*(E454=E$1:E453)))))</f>
        <v>0</v>
      </c>
      <c r="L454" s="26"/>
    </row>
    <row r="455" spans="1:12" x14ac:dyDescent="0.3">
      <c r="A455" t="s">
        <v>414</v>
      </c>
      <c r="E455" s="21" t="str">
        <f t="shared" si="46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7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197</v>
      </c>
      <c r="E456" s="21" t="str">
        <f t="shared" si="46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7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8" spans="1:12" x14ac:dyDescent="0.3">
      <c r="A458" t="s">
        <v>415</v>
      </c>
    </row>
    <row r="459" spans="1:12" x14ac:dyDescent="0.3">
      <c r="A459" t="s">
        <v>361</v>
      </c>
      <c r="E459" s="21" t="str">
        <f t="shared" ref="E459:E469" si="48">IF(D459="?OLD","!!!","")</f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ref="H459:H469" ca="1" si="49">IF(J459&lt;&gt;1,"",IF(I459="SBJ","CB","?"))</f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192</v>
      </c>
      <c r="E460" s="21" t="str">
        <f t="shared" si="48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4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223</v>
      </c>
      <c r="E461" s="21" t="str">
        <f t="shared" si="4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407</v>
      </c>
      <c r="B462" s="20" t="s">
        <v>183</v>
      </c>
      <c r="C462" s="20" t="s">
        <v>195</v>
      </c>
      <c r="D462" s="20" t="s">
        <v>171</v>
      </c>
      <c r="E462" s="21" t="s">
        <v>480</v>
      </c>
      <c r="F462" s="22" t="str">
        <f>IF(OR(E462="",E462="!!!"),"",IF(NOT(ISNA(VLOOKUP(E462,E$1:E461,1,FALSE()))),"OLD",IF(AND(E462&lt;&gt;"",E462&lt;&gt;"!!!"),"NEW","")))</f>
        <v>OLD</v>
      </c>
      <c r="G462" s="23" t="s">
        <v>514</v>
      </c>
      <c r="H462" s="24" t="str">
        <f t="shared" ca="1" si="49"/>
        <v/>
      </c>
      <c r="I462" s="25" t="str">
        <f>IF(OR(E462="",E462="!!!",F462="NEW"),"",INDEX(B$2:B461,-1+SUMPRODUCT(MAX(ROW(E$2:E461)*(E462=E$2:E461)))))</f>
        <v>other</v>
      </c>
      <c r="J462" s="25">
        <f ca="1">IF(OR(E462="",E462="!!!",F462="NEW"),"",COUNTBLANK(OFFSET(A$1,,,SUMPRODUCT(MAX(ROW(E$2:E462)*(E462=E$2:E462)))))-COUNTBLANK(OFFSET(A$1,,,SUMPRODUCT(MAX(ROW(E$1:E461)*(E2=E$1:E461))))))</f>
        <v>0</v>
      </c>
      <c r="K462" s="25" t="str">
        <f ca="1">IF(OR(E462="",E462="!!!",F462="NEW"),"",INDEX(J$1:J461,SUMPRODUCT(MAX(ROW(E$1:E461)*(E462=E$1:E461)))))</f>
        <v/>
      </c>
      <c r="L462" s="26"/>
    </row>
    <row r="463" spans="1:12" x14ac:dyDescent="0.3">
      <c r="A463" t="s">
        <v>118</v>
      </c>
      <c r="E463" s="21" t="str">
        <f t="shared" si="4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4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222</v>
      </c>
      <c r="B464" s="20" t="s">
        <v>182</v>
      </c>
      <c r="C464" s="20" t="s">
        <v>202</v>
      </c>
      <c r="E464" s="21" t="str">
        <f t="shared" si="48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281</v>
      </c>
      <c r="E465" s="21" t="str">
        <f t="shared" si="4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416</v>
      </c>
      <c r="B466" s="20" t="s">
        <v>183</v>
      </c>
      <c r="C466" s="20" t="s">
        <v>195</v>
      </c>
      <c r="D466" s="20" t="s">
        <v>171</v>
      </c>
      <c r="E466" s="21"/>
      <c r="F466" s="22" t="s">
        <v>483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4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417</v>
      </c>
      <c r="B467" s="20" t="s">
        <v>182</v>
      </c>
      <c r="C467" s="20" t="s">
        <v>170</v>
      </c>
      <c r="D467" s="20" t="s">
        <v>171</v>
      </c>
      <c r="E467" s="21"/>
      <c r="F467" s="22" t="s">
        <v>486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373</v>
      </c>
      <c r="E468" s="21" t="str">
        <f t="shared" si="4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197</v>
      </c>
      <c r="E469" s="21" t="str">
        <f t="shared" si="4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4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1" spans="1:12" x14ac:dyDescent="0.3">
      <c r="A471" t="s">
        <v>418</v>
      </c>
    </row>
    <row r="472" spans="1:12" x14ac:dyDescent="0.3">
      <c r="A472" t="s">
        <v>419</v>
      </c>
      <c r="E472" s="21" t="str">
        <f t="shared" ref="E472:E486" si="50">IF(D472="?OLD","!!!","")</f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ref="H472:H486" ca="1" si="51">IF(J472&lt;&gt;1,"",IF(I472="SBJ","CB","?"))</f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420</v>
      </c>
      <c r="E473" s="21" t="str">
        <f t="shared" si="50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51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173</v>
      </c>
      <c r="B474" s="20" t="s">
        <v>174</v>
      </c>
      <c r="C474" s="20" t="s">
        <v>216</v>
      </c>
      <c r="E474" s="21" t="str">
        <f t="shared" si="50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51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421</v>
      </c>
      <c r="E475" s="21" t="str">
        <f t="shared" si="50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51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201</v>
      </c>
      <c r="B476" s="20" t="s">
        <v>166</v>
      </c>
      <c r="C476" s="20" t="s">
        <v>202</v>
      </c>
      <c r="E476" s="21" t="str">
        <f t="shared" si="50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1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422</v>
      </c>
      <c r="E477" s="21" t="str">
        <f t="shared" si="50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1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404</v>
      </c>
      <c r="E478" s="21" t="str">
        <f t="shared" si="50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51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192</v>
      </c>
      <c r="E479" s="21" t="str">
        <f t="shared" si="50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1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193</v>
      </c>
      <c r="E480" s="21" t="str">
        <f t="shared" si="50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51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405</v>
      </c>
      <c r="B481" s="20" t="s">
        <v>183</v>
      </c>
      <c r="C481" s="20" t="s">
        <v>195</v>
      </c>
      <c r="D481" s="20" t="s">
        <v>171</v>
      </c>
      <c r="E481" s="21" t="s">
        <v>501</v>
      </c>
      <c r="F481" s="22" t="str">
        <f>IF(OR(E481="",E481="!!!"),"",IF(NOT(ISNA(VLOOKUP(E481,E$1:E480,1,FALSE()))),"OLD",IF(AND(E481&lt;&gt;"",E481&lt;&gt;"!!!"),"NEW","")))</f>
        <v>OLD</v>
      </c>
      <c r="G481" s="23" t="s">
        <v>509</v>
      </c>
      <c r="H481" s="24" t="str">
        <f t="shared" ca="1" si="51"/>
        <v/>
      </c>
      <c r="I481" s="25" t="str">
        <f>IF(OR(E481="",E481="!!!",F481="NEW"),"",INDEX(B$2:B480,-1+SUMPRODUCT(MAX(ROW(E$2:E480)*(E481=E$2:E480)))))</f>
        <v>other_2</v>
      </c>
      <c r="J481" s="25">
        <f ca="1">IF(OR(E481="",E481="!!!",F481="NEW"),"",COUNTBLANK(OFFSET(A$1,,,SUMPRODUCT(MAX(ROW(E$2:E481)*(E481=E$2:E481)))))-COUNTBLANK(OFFSET(A$1,,,SUMPRODUCT(MAX(ROW(E$1:E480)*(E2=E$1:E480))))))</f>
        <v>0</v>
      </c>
      <c r="K481" s="25" t="str">
        <f ca="1">IF(OR(E481="",E481="!!!",F481="NEW"),"",INDEX(J$1:J480,SUMPRODUCT(MAX(ROW(E$1:E480)*(E481=E$1:E480)))))</f>
        <v/>
      </c>
      <c r="L481" s="26"/>
    </row>
    <row r="482" spans="1:12" x14ac:dyDescent="0.3">
      <c r="A482" t="s">
        <v>310</v>
      </c>
      <c r="E482" s="21" t="str">
        <f t="shared" si="50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51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172</v>
      </c>
      <c r="E483" s="21" t="str">
        <f t="shared" si="50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51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173</v>
      </c>
      <c r="B484" s="20" t="s">
        <v>183</v>
      </c>
      <c r="C484" s="20" t="s">
        <v>175</v>
      </c>
      <c r="E484" s="21" t="str">
        <f t="shared" si="50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51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122</v>
      </c>
      <c r="E485" s="21" t="str">
        <f t="shared" si="50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51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197</v>
      </c>
      <c r="E486" s="21" t="str">
        <f t="shared" si="50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51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8" spans="1:12" x14ac:dyDescent="0.3">
      <c r="A488" t="s">
        <v>423</v>
      </c>
    </row>
    <row r="489" spans="1:12" x14ac:dyDescent="0.3">
      <c r="A489" t="s">
        <v>424</v>
      </c>
      <c r="E489" s="21" t="str">
        <f t="shared" ref="E489:E499" si="52">IF(D489="?OLD","!!!","")</f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ref="H489:H499" ca="1" si="53">IF(J489&lt;&gt;1,"",IF(I489="SBJ","CB","?"))</f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185</v>
      </c>
      <c r="E490" s="21" t="str">
        <f t="shared" si="52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53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313</v>
      </c>
      <c r="B491" s="20" t="s">
        <v>182</v>
      </c>
      <c r="C491" s="20" t="s">
        <v>184</v>
      </c>
      <c r="D491" s="20" t="s">
        <v>171</v>
      </c>
      <c r="E491" s="21" t="s">
        <v>502</v>
      </c>
      <c r="F491" s="22" t="str">
        <f>IF(OR(E491="",E491="!!!"),"",IF(NOT(ISNA(VLOOKUP(E491,E$1:E490,1,FALSE()))),"OLD",IF(AND(E491&lt;&gt;"",E491&lt;&gt;"!!!"),"NEW","")))</f>
        <v>OLD</v>
      </c>
      <c r="G491" s="23" t="s">
        <v>509</v>
      </c>
      <c r="H491" s="24" t="str">
        <f t="shared" ca="1" si="53"/>
        <v/>
      </c>
      <c r="I491" s="25" t="str">
        <f>IF(OR(E491="",E491="!!!",F491="NEW"),"",INDEX(B$2:B490,-1+SUMPRODUCT(MAX(ROW(E$2:E490)*(E491=E$2:E490)))))</f>
        <v>SBJ</v>
      </c>
      <c r="J491" s="25">
        <f ca="1">IF(OR(E491="",E491="!!!",F491="NEW"),"",COUNTBLANK(OFFSET(A$1,,,SUMPRODUCT(MAX(ROW(E$2:E491)*(E491=E$2:E491)))))-COUNTBLANK(OFFSET(A$1,,,SUMPRODUCT(MAX(ROW(E$1:E490)*(E2=E$1:E490))))))</f>
        <v>0</v>
      </c>
      <c r="K491" s="25">
        <f ca="1">IF(OR(E491="",E491="!!!",F491="NEW"),"",INDEX(J$1:J490,SUMPRODUCT(MAX(ROW(E$1:E490)*(E491=E$1:E490)))))</f>
        <v>0</v>
      </c>
      <c r="L491" s="26"/>
    </row>
    <row r="492" spans="1:12" x14ac:dyDescent="0.3">
      <c r="A492" t="s">
        <v>56</v>
      </c>
      <c r="E492" s="21" t="str">
        <f t="shared" si="52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53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193</v>
      </c>
      <c r="E493" s="21" t="str">
        <f t="shared" si="52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53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425</v>
      </c>
      <c r="B494" s="20" t="s">
        <v>166</v>
      </c>
      <c r="C494" s="20" t="s">
        <v>195</v>
      </c>
      <c r="D494" s="20" t="s">
        <v>171</v>
      </c>
      <c r="E494" s="21" t="s">
        <v>503</v>
      </c>
      <c r="F494" s="22" t="str">
        <f>IF(OR(E494="",E494="!!!"),"",IF(NOT(ISNA(VLOOKUP(E494,E$1:E493,1,FALSE()))),"OLD",IF(AND(E494&lt;&gt;"",E494&lt;&gt;"!!!"),"NEW","")))</f>
        <v>NEW</v>
      </c>
      <c r="G494" s="23" t="s">
        <v>510</v>
      </c>
      <c r="H494" s="24" t="str">
        <f t="shared" ca="1" si="53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206</v>
      </c>
      <c r="E495" s="21" t="str">
        <f t="shared" si="52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53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193</v>
      </c>
      <c r="E496" s="21" t="str">
        <f t="shared" si="52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53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426</v>
      </c>
      <c r="B497" s="20" t="s">
        <v>182</v>
      </c>
      <c r="C497" s="20" t="s">
        <v>195</v>
      </c>
      <c r="D497" s="20" t="s">
        <v>171</v>
      </c>
      <c r="E497" s="21" t="s">
        <v>504</v>
      </c>
      <c r="F497" s="22" t="str">
        <f>IF(OR(E497="",E497="!!!"),"",IF(NOT(ISNA(VLOOKUP(E497,E$1:E496,1,FALSE()))),"OLD",IF(AND(E497&lt;&gt;"",E497&lt;&gt;"!!!"),"NEW","")))</f>
        <v>NEW</v>
      </c>
      <c r="G497" s="23" t="s">
        <v>510</v>
      </c>
      <c r="H497" s="24" t="str">
        <f t="shared" ca="1" si="53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359</v>
      </c>
      <c r="E498" s="21" t="str">
        <f t="shared" si="52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53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197</v>
      </c>
      <c r="E499" s="21" t="str">
        <f t="shared" si="52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53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1" spans="1:12" x14ac:dyDescent="0.3">
      <c r="A501" t="s">
        <v>427</v>
      </c>
    </row>
    <row r="502" spans="1:12" x14ac:dyDescent="0.3">
      <c r="A502" t="s">
        <v>361</v>
      </c>
      <c r="E502" s="21" t="str">
        <f t="shared" ref="E502:E524" si="54">IF(D502="?OLD","!!!","")</f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ref="H502:H524" ca="1" si="55">IF(J502&lt;&gt;1,"",IF(I502="SBJ","CB","?"))</f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218</v>
      </c>
      <c r="E503" s="21" t="str">
        <f t="shared" si="54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55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193</v>
      </c>
      <c r="E504" s="21" t="str">
        <f t="shared" si="54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55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428</v>
      </c>
      <c r="B505" s="20" t="s">
        <v>166</v>
      </c>
      <c r="C505" s="20" t="s">
        <v>195</v>
      </c>
      <c r="D505" s="20" t="s">
        <v>171</v>
      </c>
      <c r="E505" s="21"/>
      <c r="F505" s="22" t="s">
        <v>486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55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223</v>
      </c>
      <c r="E506" s="21" t="str">
        <f t="shared" si="54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55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275</v>
      </c>
      <c r="B507" s="20" t="s">
        <v>182</v>
      </c>
      <c r="C507" s="20" t="s">
        <v>195</v>
      </c>
      <c r="D507" s="20" t="s">
        <v>171</v>
      </c>
      <c r="E507" s="21" t="s">
        <v>472</v>
      </c>
      <c r="F507" s="22" t="str">
        <f>IF(OR(E507="",E507="!!!"),"",IF(NOT(ISNA(VLOOKUP(E507,E$1:E506,1,FALSE()))),"OLD",IF(AND(E507&lt;&gt;"",E507&lt;&gt;"!!!"),"NEW","")))</f>
        <v>OLD</v>
      </c>
      <c r="G507" s="23" t="s">
        <v>509</v>
      </c>
      <c r="H507" s="24" t="str">
        <f t="shared" ca="1" si="55"/>
        <v/>
      </c>
      <c r="I507" s="25" t="str">
        <f>IF(OR(E507="",E507="!!!",F507="NEW"),"",INDEX(B$2:B506,-1+SUMPRODUCT(MAX(ROW(E$2:E506)*(E507=E$2:E506)))))</f>
        <v>SBJ</v>
      </c>
      <c r="J507" s="25">
        <f ca="1">IF(OR(E507="",E507="!!!",F507="NEW"),"",COUNTBLANK(OFFSET(A$1,,,SUMPRODUCT(MAX(ROW(E$2:E507)*(E507=E$2:E507)))))-COUNTBLANK(OFFSET(A$1,,,SUMPRODUCT(MAX(ROW(E$1:E506)*(E2=E$1:E506))))))</f>
        <v>0</v>
      </c>
      <c r="K507" s="25">
        <f ca="1">IF(OR(E507="",E507="!!!",F507="NEW"),"",INDEX(J$1:J506,SUMPRODUCT(MAX(ROW(E$1:E506)*(E507=E$1:E506)))))</f>
        <v>0</v>
      </c>
      <c r="L507" s="26"/>
    </row>
    <row r="508" spans="1:12" x14ac:dyDescent="0.3">
      <c r="A508" t="s">
        <v>192</v>
      </c>
      <c r="E508" s="21" t="str">
        <f t="shared" si="54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55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223</v>
      </c>
      <c r="E509" s="21" t="str">
        <f t="shared" si="54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55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407</v>
      </c>
      <c r="B510" s="20" t="s">
        <v>268</v>
      </c>
      <c r="C510" s="20" t="s">
        <v>195</v>
      </c>
      <c r="D510" s="20" t="s">
        <v>171</v>
      </c>
      <c r="E510" s="21" t="s">
        <v>480</v>
      </c>
      <c r="F510" s="22" t="str">
        <f>IF(OR(E510="",E510="!!!"),"",IF(NOT(ISNA(VLOOKUP(E510,E$1:E509,1,FALSE()))),"OLD",IF(AND(E510&lt;&gt;"",E510&lt;&gt;"!!!"),"NEW","")))</f>
        <v>OLD</v>
      </c>
      <c r="G510" s="23" t="s">
        <v>509</v>
      </c>
      <c r="H510" s="24" t="str">
        <f t="shared" ca="1" si="55"/>
        <v/>
      </c>
      <c r="I510" s="25" t="str">
        <f>IF(OR(E510="",E510="!!!",F510="NEW"),"",INDEX(B$2:B509,-1+SUMPRODUCT(MAX(ROW(E$2:E509)*(E510=E$2:E509)))))</f>
        <v>other</v>
      </c>
      <c r="J510" s="25">
        <f ca="1">IF(OR(E510="",E510="!!!",F510="NEW"),"",COUNTBLANK(OFFSET(A$1,,,SUMPRODUCT(MAX(ROW(E$2:E510)*(E510=E$2:E510)))))-COUNTBLANK(OFFSET(A$1,,,SUMPRODUCT(MAX(ROW(E$1:E509)*(E2=E$1:E509))))))</f>
        <v>0</v>
      </c>
      <c r="K510" s="25">
        <f ca="1">IF(OR(E510="",E510="!!!",F510="NEW"),"",INDEX(J$1:J509,SUMPRODUCT(MAX(ROW(E$1:E509)*(E510=E$1:E509)))))</f>
        <v>0</v>
      </c>
      <c r="L510" s="26"/>
    </row>
    <row r="511" spans="1:12" x14ac:dyDescent="0.3">
      <c r="A511" t="s">
        <v>403</v>
      </c>
      <c r="E511" s="21" t="str">
        <f t="shared" si="54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55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429</v>
      </c>
      <c r="E512" s="21" t="str">
        <f t="shared" si="54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55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430</v>
      </c>
      <c r="E513" s="21" t="str">
        <f t="shared" si="54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55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206</v>
      </c>
      <c r="E514" s="21" t="str">
        <f t="shared" si="54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55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431</v>
      </c>
      <c r="E515" s="21" t="str">
        <f t="shared" si="54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55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201</v>
      </c>
      <c r="B516" s="20" t="s">
        <v>209</v>
      </c>
      <c r="C516" s="20" t="s">
        <v>202</v>
      </c>
      <c r="E516" s="21" t="str">
        <f t="shared" si="54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55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334</v>
      </c>
      <c r="B517" s="20" t="s">
        <v>215</v>
      </c>
      <c r="E517" s="21" t="str">
        <f t="shared" si="54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55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371</v>
      </c>
      <c r="E518" s="21" t="str">
        <f t="shared" si="54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55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281</v>
      </c>
      <c r="E519" s="21" t="str">
        <f t="shared" si="54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55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432</v>
      </c>
      <c r="B520" s="20" t="s">
        <v>182</v>
      </c>
      <c r="C520" s="20" t="s">
        <v>195</v>
      </c>
      <c r="D520" s="20" t="s">
        <v>171</v>
      </c>
      <c r="E520" s="21"/>
      <c r="F520" s="22" t="s">
        <v>486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55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223</v>
      </c>
      <c r="E521" s="21" t="str">
        <f t="shared" si="54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55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433</v>
      </c>
      <c r="E522" s="21" t="str">
        <f t="shared" si="54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55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434</v>
      </c>
      <c r="B523" s="20" t="s">
        <v>268</v>
      </c>
      <c r="C523" s="20" t="s">
        <v>195</v>
      </c>
      <c r="D523" s="20" t="s">
        <v>171</v>
      </c>
      <c r="E523" s="21" t="s">
        <v>505</v>
      </c>
      <c r="F523" s="22" t="str">
        <f>IF(OR(E523="",E523="!!!"),"",IF(NOT(ISNA(VLOOKUP(E523,E$1:E522,1,FALSE()))),"OLD",IF(AND(E523&lt;&gt;"",E523&lt;&gt;"!!!"),"NEW","")))</f>
        <v>NEW</v>
      </c>
      <c r="G523" s="23" t="s">
        <v>510</v>
      </c>
      <c r="H523" s="24" t="str">
        <f t="shared" ca="1" si="55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197</v>
      </c>
      <c r="E524" s="21" t="str">
        <f t="shared" si="54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55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6" spans="1:12" x14ac:dyDescent="0.3">
      <c r="A526" t="s">
        <v>435</v>
      </c>
    </row>
    <row r="527" spans="1:12" x14ac:dyDescent="0.3">
      <c r="A527" t="s">
        <v>249</v>
      </c>
      <c r="E527" s="21" t="str">
        <f t="shared" ref="E527:E540" si="56">IF(D527="?OLD","!!!","")</f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ref="H527:H540" ca="1" si="57">IF(J527&lt;&gt;1,"",IF(I527="SBJ","CB","?"))</f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436</v>
      </c>
      <c r="B528" s="20" t="s">
        <v>166</v>
      </c>
      <c r="C528" s="20" t="s">
        <v>229</v>
      </c>
      <c r="E528" s="21" t="str">
        <f t="shared" si="56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57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371</v>
      </c>
      <c r="E529" s="21" t="str">
        <f t="shared" si="56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57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437</v>
      </c>
      <c r="B530" s="20" t="s">
        <v>182</v>
      </c>
      <c r="C530" s="20" t="s">
        <v>175</v>
      </c>
      <c r="E530" s="21" t="str">
        <f t="shared" si="56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57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192</v>
      </c>
      <c r="E531" s="21" t="str">
        <f t="shared" si="56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57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438</v>
      </c>
      <c r="E532" s="21" t="str">
        <f t="shared" si="56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57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439</v>
      </c>
      <c r="B533" s="20" t="s">
        <v>268</v>
      </c>
      <c r="C533" s="20" t="s">
        <v>202</v>
      </c>
      <c r="E533" s="21" t="str">
        <f t="shared" si="56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57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440</v>
      </c>
      <c r="B534" s="20" t="s">
        <v>182</v>
      </c>
      <c r="C534" s="20" t="s">
        <v>216</v>
      </c>
      <c r="E534" s="21" t="str">
        <f t="shared" si="56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57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245</v>
      </c>
      <c r="E535" s="21" t="str">
        <f t="shared" si="56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57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241</v>
      </c>
      <c r="B536" s="20" t="s">
        <v>174</v>
      </c>
      <c r="C536" s="20" t="s">
        <v>242</v>
      </c>
      <c r="D536" s="20" t="s">
        <v>171</v>
      </c>
      <c r="E536" s="21"/>
      <c r="F536" s="22" t="s">
        <v>471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57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359</v>
      </c>
      <c r="E537" s="21" t="str">
        <f t="shared" si="56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57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441</v>
      </c>
      <c r="E538" s="21" t="str">
        <f t="shared" si="56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57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133</v>
      </c>
      <c r="E539" s="21" t="str">
        <f t="shared" si="56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57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197</v>
      </c>
      <c r="E540" s="21" t="str">
        <f t="shared" si="56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57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2" spans="1:12" x14ac:dyDescent="0.3">
      <c r="A542" t="s">
        <v>442</v>
      </c>
    </row>
    <row r="543" spans="1:12" x14ac:dyDescent="0.3">
      <c r="A543" t="s">
        <v>178</v>
      </c>
      <c r="E543" s="21" t="str">
        <f t="shared" ref="E543:E557" si="58">IF(D543="?OLD","!!!","")</f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ref="H543:H557" ca="1" si="59">IF(J543&lt;&gt;1,"",IF(I543="SBJ","CB","?"))</f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264</v>
      </c>
      <c r="B544" s="20" t="s">
        <v>166</v>
      </c>
      <c r="C544" s="20" t="s">
        <v>170</v>
      </c>
      <c r="D544" s="20" t="s">
        <v>171</v>
      </c>
      <c r="E544" s="21" t="s">
        <v>468</v>
      </c>
      <c r="F544" s="22" t="str">
        <f>IF(OR(E544="",E544="!!!"),"",IF(NOT(ISNA(VLOOKUP(E544,E$1:E543,1,FALSE()))),"OLD",IF(AND(E544&lt;&gt;"",E544&lt;&gt;"!!!"),"NEW","")))</f>
        <v>OLD</v>
      </c>
      <c r="G544" s="23" t="s">
        <v>509</v>
      </c>
      <c r="H544" s="24" t="str">
        <f t="shared" ca="1" si="59"/>
        <v/>
      </c>
      <c r="I544" s="25" t="str">
        <f>IF(OR(E544="",E544="!!!",F544="NEW"),"",INDEX(B$2:B543,-1+SUMPRODUCT(MAX(ROW(E$2:E543)*(E544=E$2:E543)))))</f>
        <v>other</v>
      </c>
      <c r="J544" s="25">
        <f ca="1">IF(OR(E544="",E544="!!!",F544="NEW"),"",COUNTBLANK(OFFSET(A$1,,,SUMPRODUCT(MAX(ROW(E$2:E544)*(E544=E$2:E544)))))-COUNTBLANK(OFFSET(A$1,,,SUMPRODUCT(MAX(ROW(E$1:E543)*(E2=E$1:E543))))))</f>
        <v>0</v>
      </c>
      <c r="K544" s="25">
        <f ca="1">IF(OR(E544="",E544="!!!",F544="NEW"),"",INDEX(J$1:J543,SUMPRODUCT(MAX(ROW(E$1:E543)*(E544=E$1:E543)))))</f>
        <v>0</v>
      </c>
      <c r="L544" s="26"/>
    </row>
    <row r="545" spans="1:12" x14ac:dyDescent="0.3">
      <c r="A545" t="s">
        <v>137</v>
      </c>
      <c r="E545" s="21" t="str">
        <f t="shared" si="58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59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443</v>
      </c>
      <c r="E546" s="21" t="str">
        <f t="shared" si="58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59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206</v>
      </c>
      <c r="E547" s="21" t="str">
        <f t="shared" si="58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59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207</v>
      </c>
      <c r="E548" s="21" t="str">
        <f t="shared" si="58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59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241</v>
      </c>
      <c r="B549" s="20" t="s">
        <v>209</v>
      </c>
      <c r="C549" s="20" t="s">
        <v>242</v>
      </c>
      <c r="D549" s="20" t="s">
        <v>171</v>
      </c>
      <c r="E549" s="21"/>
      <c r="F549" s="22" t="s">
        <v>471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59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308</v>
      </c>
      <c r="E550" s="21" t="str">
        <f t="shared" si="58"/>
        <v/>
      </c>
      <c r="F550" s="22" t="str">
        <f>IF(OR(E550="",E550="!!!"),"",IF(NOT(ISNA(VLOOKUP(E550,E$1:E549,1,FALSE()))),"OLD",IF(AND(E550&lt;&gt;"",E550&lt;&gt;"!!!"),"NEW","")))</f>
        <v/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t="shared" ca="1" si="59"/>
        <v/>
      </c>
      <c r="I550" s="25" t="str">
        <f>IF(OR(E550="",E550="!!!",F550="NEW"),"",INDEX(B$2:B549,-1+SUMPRODUCT(MAX(ROW(E$2:E549)*(E550=E$2:E549)))))</f>
        <v/>
      </c>
      <c r="J550" s="25" t="str">
        <f ca="1">IF(OR(E550="",E550="!!!",F550="NEW"),"",COUNTBLANK(OFFSET(A$1,,,SUMPRODUCT(MAX(ROW(E$2:E550)*(E550=E$2:E550)))))-COUNTBLANK(OFFSET(A$1,,,SUMPRODUCT(MAX(ROW(E$1:E549)*(E2=E$1:E549))))))</f>
        <v/>
      </c>
      <c r="K550" s="25" t="str">
        <f>IF(OR(E550="",E550="!!!",F550="NEW"),"",INDEX(J$1:J549,SUMPRODUCT(MAX(ROW(E$1:E549)*(E550=E$1:E549)))))</f>
        <v/>
      </c>
      <c r="L550" s="26"/>
    </row>
    <row r="551" spans="1:12" x14ac:dyDescent="0.3">
      <c r="A551" t="s">
        <v>444</v>
      </c>
      <c r="B551" s="20" t="s">
        <v>209</v>
      </c>
      <c r="C551" s="20" t="s">
        <v>175</v>
      </c>
      <c r="E551" s="21" t="str">
        <f t="shared" si="58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59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192</v>
      </c>
      <c r="E552" s="21" t="str">
        <f t="shared" si="58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59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223</v>
      </c>
      <c r="E553" s="21" t="str">
        <f t="shared" si="58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59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445</v>
      </c>
      <c r="B554" s="20" t="s">
        <v>182</v>
      </c>
      <c r="C554" s="20" t="s">
        <v>195</v>
      </c>
      <c r="D554" s="20" t="s">
        <v>171</v>
      </c>
      <c r="E554" s="21" t="s">
        <v>511</v>
      </c>
      <c r="F554" s="22" t="str">
        <f>IF(OR(E554="",E554="!!!"),"",IF(NOT(ISNA(VLOOKUP(E554,E$1:E553,1,FALSE()))),"OLD",IF(AND(E554&lt;&gt;"",E554&lt;&gt;"!!!"),"NEW","")))</f>
        <v>OLD</v>
      </c>
      <c r="G554" s="23" t="s">
        <v>509</v>
      </c>
      <c r="H554" s="24" t="str">
        <f t="shared" ca="1" si="59"/>
        <v/>
      </c>
      <c r="I554" s="25" t="str">
        <f>IF(OR(E554="",E554="!!!",F554="NEW"),"",INDEX(B$2:B553,-1+SUMPRODUCT(MAX(ROW(E$2:E553)*(E554=E$2:E553)))))</f>
        <v>SBJ</v>
      </c>
      <c r="J554" s="25">
        <f ca="1">IF(OR(E554="",E554="!!!",F554="NEW"),"",COUNTBLANK(OFFSET(A$1,,,SUMPRODUCT(MAX(ROW(E$2:E554)*(E554=E$2:E554)))))-COUNTBLANK(OFFSET(A$1,,,SUMPRODUCT(MAX(ROW(E$1:E553)*(E2=E$1:E553))))))</f>
        <v>0</v>
      </c>
      <c r="K554" s="25" t="str">
        <f ca="1">IF(OR(E554="",E554="!!!",F554="NEW"),"",INDEX(J$1:J553,SUMPRODUCT(MAX(ROW(E$1:E553)*(E554=E$1:E553)))))</f>
        <v/>
      </c>
      <c r="L554" s="26"/>
    </row>
    <row r="555" spans="1:12" x14ac:dyDescent="0.3">
      <c r="A555" t="s">
        <v>133</v>
      </c>
      <c r="E555" s="21" t="str">
        <f t="shared" si="58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59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218</v>
      </c>
      <c r="E556" s="21" t="str">
        <f t="shared" si="58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59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197</v>
      </c>
      <c r="E557" s="21" t="str">
        <f t="shared" si="58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59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9" spans="1:12" x14ac:dyDescent="0.3">
      <c r="A559" t="s">
        <v>219</v>
      </c>
      <c r="E559" s="21" t="str">
        <f>IF(D559="?OLD","!!!","")</f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ca="1">IF(J559&lt;&gt;1,"",IF(I559="SBJ","CB","?"))</f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446</v>
      </c>
    </row>
    <row r="561" spans="1:12" x14ac:dyDescent="0.3">
      <c r="A561" t="s">
        <v>254</v>
      </c>
      <c r="B561" s="20" t="s">
        <v>166</v>
      </c>
      <c r="C561" s="20" t="s">
        <v>175</v>
      </c>
      <c r="E561" s="21" t="str">
        <f t="shared" ref="E561:E579" si="60">IF(D561="?OLD","!!!","")</f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ref="H561:H579" ca="1" si="61">IF(J561&lt;&gt;1,"",IF(I561="SBJ","CB","?"))</f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447</v>
      </c>
      <c r="B562" s="20" t="s">
        <v>182</v>
      </c>
      <c r="C562" s="20" t="s">
        <v>170</v>
      </c>
      <c r="D562" s="20" t="s">
        <v>171</v>
      </c>
      <c r="E562" s="21" t="s">
        <v>481</v>
      </c>
      <c r="F562" s="22" t="str">
        <f>IF(OR(E562="",E562="!!!"),"",IF(NOT(ISNA(VLOOKUP(E562,E$1:E561,1,FALSE()))),"OLD",IF(AND(E562&lt;&gt;"",E562&lt;&gt;"!!!"),"NEW","")))</f>
        <v>NEW</v>
      </c>
      <c r="G562" s="23" t="s">
        <v>510</v>
      </c>
      <c r="H562" s="24" t="str">
        <f t="shared" ca="1" si="61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448</v>
      </c>
      <c r="E563" s="21" t="str">
        <f t="shared" si="60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61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259</v>
      </c>
      <c r="E564" s="21" t="str">
        <f t="shared" si="60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61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185</v>
      </c>
      <c r="E565" s="21" t="str">
        <f t="shared" si="60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61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226</v>
      </c>
      <c r="E566" s="21" t="str">
        <f t="shared" si="60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61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449</v>
      </c>
      <c r="E567" s="21" t="str">
        <f t="shared" si="60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61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335</v>
      </c>
      <c r="E568" s="21" t="str">
        <f t="shared" si="60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61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450</v>
      </c>
      <c r="E569" s="21" t="str">
        <f t="shared" si="60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61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451</v>
      </c>
      <c r="B570" s="20" t="s">
        <v>182</v>
      </c>
      <c r="C570" s="20" t="s">
        <v>229</v>
      </c>
      <c r="E570" s="21" t="str">
        <f t="shared" si="60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61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271</v>
      </c>
      <c r="E571" s="21" t="str">
        <f t="shared" si="60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61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193</v>
      </c>
      <c r="E572" s="21" t="str">
        <f t="shared" si="60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61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322</v>
      </c>
      <c r="B573" s="20" t="s">
        <v>183</v>
      </c>
      <c r="C573" s="20" t="s">
        <v>170</v>
      </c>
      <c r="D573" s="20" t="s">
        <v>171</v>
      </c>
      <c r="E573" s="21" t="s">
        <v>476</v>
      </c>
      <c r="F573" s="22" t="str">
        <f>IF(OR(E573="",E573="!!!"),"",IF(NOT(ISNA(VLOOKUP(E573,E$1:E572,1,FALSE()))),"OLD",IF(AND(E573&lt;&gt;"",E573&lt;&gt;"!!!"),"NEW","")))</f>
        <v>OLD</v>
      </c>
      <c r="G573" s="23" t="s">
        <v>509</v>
      </c>
      <c r="H573" s="24" t="str">
        <f t="shared" ca="1" si="61"/>
        <v/>
      </c>
      <c r="I573" s="25" t="str">
        <f>IF(OR(E573="",E573="!!!",F573="NEW"),"",INDEX(B$2:B572,-1+SUMPRODUCT(MAX(ROW(E$2:E572)*(E573=E$2:E572)))))</f>
        <v>SBJ</v>
      </c>
      <c r="J573" s="25">
        <f ca="1">IF(OR(E573="",E573="!!!",F573="NEW"),"",COUNTBLANK(OFFSET(A$1,,,SUMPRODUCT(MAX(ROW(E$2:E573)*(E573=E$2:E573)))))-COUNTBLANK(OFFSET(A$1,,,SUMPRODUCT(MAX(ROW(E$1:E572)*(E2=E$1:E572))))))</f>
        <v>0</v>
      </c>
      <c r="K573" s="25" t="str">
        <f ca="1">IF(OR(E573="",E573="!!!",F573="NEW"),"",INDEX(J$1:J572,SUMPRODUCT(MAX(ROW(E$1:E572)*(E573=E$1:E572)))))</f>
        <v/>
      </c>
      <c r="L573" s="26"/>
    </row>
    <row r="574" spans="1:12" x14ac:dyDescent="0.3">
      <c r="A574" t="s">
        <v>263</v>
      </c>
      <c r="E574" s="21" t="str">
        <f t="shared" si="60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61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192</v>
      </c>
      <c r="E575" s="21" t="str">
        <f t="shared" si="60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61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305</v>
      </c>
      <c r="E576" s="21" t="str">
        <f t="shared" si="60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61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452</v>
      </c>
      <c r="B577" s="20" t="s">
        <v>182</v>
      </c>
      <c r="C577" s="20" t="s">
        <v>195</v>
      </c>
      <c r="D577" s="20" t="s">
        <v>171</v>
      </c>
      <c r="E577" s="21"/>
      <c r="F577" s="22" t="s">
        <v>470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61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197</v>
      </c>
      <c r="E578" s="21" t="str">
        <f t="shared" si="60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61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226</v>
      </c>
      <c r="E579" s="21" t="str">
        <f t="shared" si="60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61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1" spans="1:12" x14ac:dyDescent="0.3">
      <c r="A581" t="s">
        <v>453</v>
      </c>
    </row>
    <row r="582" spans="1:12" x14ac:dyDescent="0.3">
      <c r="A582" t="s">
        <v>178</v>
      </c>
      <c r="B582" s="20" t="s">
        <v>166</v>
      </c>
      <c r="E582" s="21" t="s">
        <v>476</v>
      </c>
      <c r="F582" s="22" t="str">
        <f>IF(OR(E582="",E582="!!!"),"",IF(NOT(ISNA(VLOOKUP(E582,E$1:E581,1,FALSE()))),"OLD",IF(AND(E582&lt;&gt;"",E582&lt;&gt;"!!!"),"NEW","")))</f>
        <v>OLD</v>
      </c>
      <c r="G582" s="23" t="s">
        <v>513</v>
      </c>
      <c r="H582" s="24" t="s">
        <v>160</v>
      </c>
      <c r="I582" s="25" t="str">
        <f>IF(OR(E582="",E582="!!!",F582="NEW"),"",INDEX(B$2:B581,-1+SUMPRODUCT(MAX(ROW(E$2:E581)*(E582=E$2:E581)))))</f>
        <v>other</v>
      </c>
      <c r="J582" s="25">
        <f ca="1">IF(OR(E582="",E582="!!!",F582="NEW"),"",COUNTBLANK(OFFSET(A$1,,,SUMPRODUCT(MAX(ROW(E$2:E582)*(E582=E$2:E582)))))-COUNTBLANK(OFFSET(A$1,,,SUMPRODUCT(MAX(ROW(E$1:E581)*(E2=E$1:E581))))))</f>
        <v>0</v>
      </c>
      <c r="K582" s="25">
        <f ca="1">IF(OR(E582="",E582="!!!",F582="NEW"),"",INDEX(J$1:J581,SUMPRODUCT(MAX(ROW(E$1:E581)*(E582=E$1:E581)))))</f>
        <v>0</v>
      </c>
      <c r="L582" s="26" t="s">
        <v>482</v>
      </c>
    </row>
    <row r="583" spans="1:12" x14ac:dyDescent="0.3">
      <c r="A583" t="s">
        <v>454</v>
      </c>
      <c r="E583" s="21" t="str">
        <f t="shared" ref="E582:E592" si="62">IF(D583="?OLD","!!!","")</f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ref="H582:H592" ca="1" si="63">IF(J583&lt;&gt;1,"",IF(I583="SBJ","CB","?"))</f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334</v>
      </c>
      <c r="B584" s="20" t="s">
        <v>174</v>
      </c>
      <c r="E584" s="21" t="str">
        <f t="shared" si="62"/>
        <v/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63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455</v>
      </c>
      <c r="E585" s="21" t="str">
        <f t="shared" si="62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63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203</v>
      </c>
      <c r="E586" s="21" t="str">
        <f t="shared" si="62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63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441</v>
      </c>
      <c r="B587" s="20" t="s">
        <v>182</v>
      </c>
      <c r="C587" s="20" t="s">
        <v>202</v>
      </c>
      <c r="E587" s="21" t="str">
        <f t="shared" si="62"/>
        <v/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63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456</v>
      </c>
      <c r="B588" s="20" t="s">
        <v>183</v>
      </c>
      <c r="C588" s="20" t="s">
        <v>175</v>
      </c>
      <c r="E588" s="21" t="str">
        <f t="shared" si="62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63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310</v>
      </c>
      <c r="E589" s="21" t="str">
        <f t="shared" si="62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63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457</v>
      </c>
      <c r="B590" s="20" t="s">
        <v>183</v>
      </c>
      <c r="C590" s="20" t="s">
        <v>175</v>
      </c>
      <c r="E590" s="21" t="str">
        <f t="shared" si="62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63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458</v>
      </c>
      <c r="E591" s="21" t="s">
        <v>508</v>
      </c>
      <c r="F591" s="22" t="str">
        <f>IF(OR(E591="",E591="!!!"),"",IF(NOT(ISNA(VLOOKUP(E591,E$1:E590,1,FALSE()))),"OLD",IF(AND(E591&lt;&gt;"",E591&lt;&gt;"!!!"),"NEW","")))</f>
        <v>NEW</v>
      </c>
      <c r="G591" s="23" t="s">
        <v>510</v>
      </c>
      <c r="H591" s="24" t="str">
        <f t="shared" ca="1" si="63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 t="s">
        <v>473</v>
      </c>
    </row>
    <row r="592" spans="1:12" x14ac:dyDescent="0.3">
      <c r="A592" t="s">
        <v>197</v>
      </c>
      <c r="E592" s="21" t="str">
        <f t="shared" si="62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63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4" spans="1:12" x14ac:dyDescent="0.3">
      <c r="A594" t="s">
        <v>459</v>
      </c>
    </row>
    <row r="595" spans="1:12" x14ac:dyDescent="0.3">
      <c r="A595" t="s">
        <v>460</v>
      </c>
      <c r="B595" s="20" t="s">
        <v>166</v>
      </c>
      <c r="C595" s="20" t="s">
        <v>184</v>
      </c>
      <c r="D595" s="20" t="s">
        <v>171</v>
      </c>
      <c r="E595" s="21" t="s">
        <v>508</v>
      </c>
      <c r="F595" s="22" t="str">
        <f>IF(OR(E595="",E595="!!!"),"",IF(NOT(ISNA(VLOOKUP(E595,E$1:E594,1,FALSE()))),"OLD",IF(AND(E595&lt;&gt;"",E595&lt;&gt;"!!!"),"NEW","")))</f>
        <v>OLD</v>
      </c>
      <c r="G595" s="23" t="s">
        <v>513</v>
      </c>
      <c r="H595" s="24" t="s">
        <v>160</v>
      </c>
      <c r="I595" s="25">
        <f>IF(OR(E595="",E595="!!!",F595="NEW"),"",INDEX(B$2:B594,-1+SUMPRODUCT(MAX(ROW(E$2:E594)*(E595=E$2:E594)))))</f>
        <v>0</v>
      </c>
      <c r="J595" s="25">
        <f ca="1">IF(OR(E595="",E595="!!!",F595="NEW"),"",COUNTBLANK(OFFSET(A$1,,,SUMPRODUCT(MAX(ROW(E$2:E595)*(E595=E$2:E595)))))-COUNTBLANK(OFFSET(A$1,,,SUMPRODUCT(MAX(ROW(E$1:E594)*(E2=E$1:E594))))))</f>
        <v>0</v>
      </c>
      <c r="K595" s="25" t="str">
        <f ca="1">IF(OR(E595="",E595="!!!",F595="NEW"),"",INDEX(J$1:J594,SUMPRODUCT(MAX(ROW(E$1:E594)*(E595=E$1:E594)))))</f>
        <v/>
      </c>
      <c r="L595" s="26"/>
    </row>
    <row r="596" spans="1:12" x14ac:dyDescent="0.3">
      <c r="A596" t="s">
        <v>297</v>
      </c>
      <c r="E596" s="21" t="str">
        <f t="shared" ref="E595:E609" si="64">IF(D596="?OLD","!!!","")</f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ref="H595:H609" ca="1" si="65">IF(J596&lt;&gt;1,"",IF(I596="SBJ","CB","?"))</f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359</v>
      </c>
      <c r="E597" s="21" t="str">
        <f t="shared" si="64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65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461</v>
      </c>
      <c r="E598" s="21" t="str">
        <f t="shared" si="64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65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206</v>
      </c>
      <c r="E599" s="21" t="str">
        <f t="shared" si="64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65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207</v>
      </c>
      <c r="E600" s="21" t="str">
        <f t="shared" si="64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65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359</v>
      </c>
      <c r="E601" s="21" t="str">
        <f t="shared" si="64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65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462</v>
      </c>
      <c r="E602" s="21" t="str">
        <f t="shared" si="64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65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308</v>
      </c>
      <c r="E603" s="21" t="str">
        <f t="shared" si="64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65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225</v>
      </c>
      <c r="E604" s="21" t="str">
        <f t="shared" si="64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65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463</v>
      </c>
      <c r="B605" s="20" t="s">
        <v>209</v>
      </c>
      <c r="C605" s="20" t="s">
        <v>229</v>
      </c>
      <c r="E605" s="21" t="s">
        <v>507</v>
      </c>
      <c r="F605" s="22" t="str">
        <f>IF(OR(E605="",E605="!!!"),"",IF(NOT(ISNA(VLOOKUP(E605,E$1:E604,1,FALSE()))),"OLD",IF(AND(E605&lt;&gt;"",E605&lt;&gt;"!!!"),"NEW","")))</f>
        <v>OLD</v>
      </c>
      <c r="G605" s="23" t="s">
        <v>509</v>
      </c>
      <c r="H605" s="24" t="str">
        <f t="shared" ca="1" si="65"/>
        <v/>
      </c>
      <c r="I605" s="25" t="str">
        <f>IF(OR(E605="",E605="!!!",F605="NEW"),"",INDEX(B$2:B604,-1+SUMPRODUCT(MAX(ROW(E$2:E604)*(E605=E$2:E604)))))</f>
        <v>OBJ</v>
      </c>
      <c r="J605" s="25">
        <f ca="1">IF(OR(E605="",E605="!!!",F605="NEW"),"",COUNTBLANK(OFFSET(A$1,,,SUMPRODUCT(MAX(ROW(E$2:E605)*(E605=E$2:E605)))))-COUNTBLANK(OFFSET(A$1,,,SUMPRODUCT(MAX(ROW(E$1:E604)*(E2=E$1:E604))))))</f>
        <v>0</v>
      </c>
      <c r="K605" s="25">
        <f ca="1">IF(OR(E605="",E605="!!!",F605="NEW"),"",INDEX(J$1:J604,SUMPRODUCT(MAX(ROW(E$1:E604)*(E605=E$1:E604)))))</f>
        <v>0</v>
      </c>
      <c r="L605" s="26"/>
    </row>
    <row r="606" spans="1:12" x14ac:dyDescent="0.3">
      <c r="A606" t="s">
        <v>464</v>
      </c>
      <c r="E606" s="21" t="str">
        <f t="shared" si="64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65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98</v>
      </c>
      <c r="E607" s="21" t="str">
        <f t="shared" si="64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65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465</v>
      </c>
      <c r="E608" s="21" t="str">
        <f t="shared" si="64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65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197</v>
      </c>
      <c r="E609" s="21" t="str">
        <f t="shared" si="64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65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2024-12-05T17:54:39Z</dcterms:created>
  <dcterms:modified xsi:type="dcterms:W3CDTF">2025-02-05T15:23:57Z</dcterms:modified>
</cp:coreProperties>
</file>