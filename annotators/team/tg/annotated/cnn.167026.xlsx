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BDC7AD92-3264-4901-9970-C9FD8C4240F6}"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186" i="2" l="1"/>
  <c r="I646" i="2" l="1"/>
  <c r="E754" i="2"/>
  <c r="E753" i="2"/>
  <c r="E752" i="2"/>
  <c r="E751" i="2"/>
  <c r="G751" i="2" s="1"/>
  <c r="E750" i="2"/>
  <c r="G750" i="2" s="1"/>
  <c r="G749" i="2"/>
  <c r="E749" i="2"/>
  <c r="F749" i="2" s="1"/>
  <c r="J749" i="2" s="1"/>
  <c r="H749" i="2" s="1"/>
  <c r="G748" i="2"/>
  <c r="F748" i="2"/>
  <c r="E748" i="2"/>
  <c r="G747" i="2"/>
  <c r="E747" i="2"/>
  <c r="E746" i="2"/>
  <c r="E745" i="2"/>
  <c r="E744" i="2"/>
  <c r="F743" i="2"/>
  <c r="I743" i="2" s="1"/>
  <c r="E743" i="2"/>
  <c r="G743" i="2" s="1"/>
  <c r="E742" i="2"/>
  <c r="F741" i="2"/>
  <c r="F740" i="2"/>
  <c r="G739" i="2"/>
  <c r="E739" i="2"/>
  <c r="F738" i="2"/>
  <c r="I738" i="2" s="1"/>
  <c r="E738" i="2"/>
  <c r="E737" i="2"/>
  <c r="G736" i="2"/>
  <c r="E736" i="2"/>
  <c r="F735" i="2"/>
  <c r="E735" i="2"/>
  <c r="G735" i="2" s="1"/>
  <c r="E734" i="2"/>
  <c r="F733" i="2"/>
  <c r="G732" i="2"/>
  <c r="F732" i="2"/>
  <c r="K732" i="2" s="1"/>
  <c r="E732" i="2"/>
  <c r="G731" i="2"/>
  <c r="F731" i="2"/>
  <c r="E731" i="2"/>
  <c r="F730" i="2"/>
  <c r="I730" i="2" s="1"/>
  <c r="E730" i="2"/>
  <c r="G728" i="2"/>
  <c r="E728" i="2"/>
  <c r="F727" i="2"/>
  <c r="E727" i="2"/>
  <c r="G727" i="2" s="1"/>
  <c r="E726" i="2"/>
  <c r="G725" i="2"/>
  <c r="E725" i="2"/>
  <c r="F725" i="2" s="1"/>
  <c r="F724" i="2"/>
  <c r="E723" i="2"/>
  <c r="E722" i="2"/>
  <c r="G720" i="2"/>
  <c r="E720" i="2"/>
  <c r="F719" i="2"/>
  <c r="K719" i="2" s="1"/>
  <c r="E719" i="2"/>
  <c r="G719" i="2" s="1"/>
  <c r="E718" i="2"/>
  <c r="G717" i="2"/>
  <c r="F717" i="2"/>
  <c r="K717" i="2" s="1"/>
  <c r="E717" i="2"/>
  <c r="G715" i="2"/>
  <c r="E715" i="2"/>
  <c r="G714" i="2"/>
  <c r="F714" i="2"/>
  <c r="E714" i="2"/>
  <c r="F713" i="2"/>
  <c r="K713" i="2" s="1"/>
  <c r="G712" i="2"/>
  <c r="E712" i="2"/>
  <c r="F712" i="2" s="1"/>
  <c r="J712" i="2" s="1"/>
  <c r="H712" i="2" s="1"/>
  <c r="F711" i="2"/>
  <c r="K711" i="2" s="1"/>
  <c r="G711" i="2"/>
  <c r="G710" i="2"/>
  <c r="E710" i="2"/>
  <c r="F709" i="2"/>
  <c r="G708" i="2"/>
  <c r="F708" i="2"/>
  <c r="I708" i="2" s="1"/>
  <c r="E708" i="2"/>
  <c r="F707" i="2"/>
  <c r="E706" i="2"/>
  <c r="G704" i="2"/>
  <c r="E704" i="2"/>
  <c r="F703" i="2"/>
  <c r="J703" i="2" s="1"/>
  <c r="H703" i="2" s="1"/>
  <c r="G702" i="2"/>
  <c r="E702" i="2"/>
  <c r="F702" i="2" s="1"/>
  <c r="K702" i="2" s="1"/>
  <c r="F701" i="2"/>
  <c r="I701" i="2" s="1"/>
  <c r="E700" i="2"/>
  <c r="G698" i="2"/>
  <c r="F698" i="2"/>
  <c r="J698" i="2" s="1"/>
  <c r="H698" i="2" s="1"/>
  <c r="E698" i="2"/>
  <c r="G696" i="2"/>
  <c r="F696" i="2"/>
  <c r="E696" i="2"/>
  <c r="F695" i="2"/>
  <c r="K695" i="2" s="1"/>
  <c r="E695" i="2"/>
  <c r="G694" i="2"/>
  <c r="E694" i="2"/>
  <c r="F694" i="2" s="1"/>
  <c r="J694" i="2" s="1"/>
  <c r="H694" i="2" s="1"/>
  <c r="F693" i="2"/>
  <c r="K693" i="2" s="1"/>
  <c r="E693" i="2"/>
  <c r="G693" i="2" s="1"/>
  <c r="G692" i="2"/>
  <c r="E692" i="2"/>
  <c r="G691" i="2"/>
  <c r="F691" i="2"/>
  <c r="K691" i="2" s="1"/>
  <c r="E691" i="2"/>
  <c r="I690" i="2"/>
  <c r="E687" i="2"/>
  <c r="E685" i="2"/>
  <c r="G684" i="2"/>
  <c r="E684" i="2"/>
  <c r="F683" i="2"/>
  <c r="K683" i="2" s="1"/>
  <c r="E683" i="2"/>
  <c r="G683" i="2" s="1"/>
  <c r="E682" i="2"/>
  <c r="F682" i="2" s="1"/>
  <c r="K682" i="2" s="1"/>
  <c r="G681" i="2"/>
  <c r="F681" i="2"/>
  <c r="E681" i="2"/>
  <c r="G679" i="2"/>
  <c r="F679" i="2"/>
  <c r="J679" i="2" s="1"/>
  <c r="H679" i="2" s="1"/>
  <c r="E679" i="2"/>
  <c r="G678" i="2"/>
  <c r="F678" i="2"/>
  <c r="K678" i="2" s="1"/>
  <c r="E678" i="2"/>
  <c r="F677" i="2"/>
  <c r="E677" i="2"/>
  <c r="E676" i="2"/>
  <c r="F675" i="2"/>
  <c r="K675" i="2" s="1"/>
  <c r="E675" i="2"/>
  <c r="G675" i="2" s="1"/>
  <c r="E674" i="2"/>
  <c r="G673" i="2"/>
  <c r="K673" i="2"/>
  <c r="E670" i="2"/>
  <c r="F669" i="2"/>
  <c r="E669" i="2"/>
  <c r="G668" i="2"/>
  <c r="E668" i="2"/>
  <c r="G666" i="2"/>
  <c r="E666" i="2"/>
  <c r="F665" i="2"/>
  <c r="K665" i="2" s="1"/>
  <c r="E664" i="2"/>
  <c r="F664" i="2" s="1"/>
  <c r="I664" i="2" s="1"/>
  <c r="F663" i="2"/>
  <c r="F662" i="2"/>
  <c r="K662" i="2" s="1"/>
  <c r="E662" i="2"/>
  <c r="G661" i="2"/>
  <c r="F661" i="2"/>
  <c r="J661" i="2" s="1"/>
  <c r="H661" i="2" s="1"/>
  <c r="E661" i="2"/>
  <c r="G660" i="2"/>
  <c r="F660" i="2"/>
  <c r="E660" i="2"/>
  <c r="F659" i="2"/>
  <c r="J659" i="2" s="1"/>
  <c r="H659" i="2" s="1"/>
  <c r="E659" i="2"/>
  <c r="E658" i="2"/>
  <c r="F657" i="2"/>
  <c r="K657" i="2" s="1"/>
  <c r="E657" i="2"/>
  <c r="G657" i="2" s="1"/>
  <c r="G655" i="2"/>
  <c r="F655" i="2"/>
  <c r="K655" i="2" s="1"/>
  <c r="E655" i="2"/>
  <c r="E654" i="2"/>
  <c r="G652" i="2"/>
  <c r="E652" i="2"/>
  <c r="G650" i="2"/>
  <c r="F649" i="2"/>
  <c r="J649" i="2" s="1"/>
  <c r="H649" i="2" s="1"/>
  <c r="E648" i="2"/>
  <c r="G647" i="2"/>
  <c r="F647" i="2"/>
  <c r="K647" i="2" s="1"/>
  <c r="E647" i="2"/>
  <c r="G646" i="2"/>
  <c r="F643" i="2"/>
  <c r="J643" i="2" s="1"/>
  <c r="H643" i="2" s="1"/>
  <c r="E643" i="2"/>
  <c r="G641" i="2"/>
  <c r="F641" i="2"/>
  <c r="K641" i="2" s="1"/>
  <c r="E641" i="2"/>
  <c r="G640" i="2"/>
  <c r="F640" i="2"/>
  <c r="E640" i="2"/>
  <c r="E639" i="2"/>
  <c r="E638" i="2"/>
  <c r="G637" i="2"/>
  <c r="F637" i="2"/>
  <c r="K637" i="2" s="1"/>
  <c r="E637" i="2"/>
  <c r="G636" i="2"/>
  <c r="F636" i="2"/>
  <c r="I636" i="2" s="1"/>
  <c r="E636" i="2"/>
  <c r="E634" i="2"/>
  <c r="G633" i="2"/>
  <c r="F633" i="2"/>
  <c r="I633" i="2" s="1"/>
  <c r="E633" i="2"/>
  <c r="E632" i="2"/>
  <c r="E631" i="2"/>
  <c r="F631" i="2" s="1"/>
  <c r="J631" i="2" s="1"/>
  <c r="H631" i="2" s="1"/>
  <c r="G630" i="2"/>
  <c r="F630" i="2"/>
  <c r="I630" i="2" s="1"/>
  <c r="E630" i="2"/>
  <c r="F629" i="2"/>
  <c r="F625" i="2"/>
  <c r="E625" i="2"/>
  <c r="G623" i="2"/>
  <c r="F623" i="2"/>
  <c r="I623" i="2" s="1"/>
  <c r="E623" i="2"/>
  <c r="E622" i="2"/>
  <c r="G621" i="2"/>
  <c r="E621" i="2"/>
  <c r="G620" i="2"/>
  <c r="F620" i="2"/>
  <c r="J620" i="2" s="1"/>
  <c r="H620" i="2" s="1"/>
  <c r="E620" i="2"/>
  <c r="G619" i="2"/>
  <c r="F619" i="2"/>
  <c r="E619" i="2"/>
  <c r="E618" i="2"/>
  <c r="E617" i="2"/>
  <c r="F616" i="2"/>
  <c r="E616" i="2"/>
  <c r="G615" i="2"/>
  <c r="F615" i="2"/>
  <c r="E615" i="2"/>
  <c r="K614" i="2"/>
  <c r="G613" i="2"/>
  <c r="E613" i="2"/>
  <c r="G612" i="2"/>
  <c r="F612" i="2"/>
  <c r="E612" i="2"/>
  <c r="E611" i="2"/>
  <c r="G610" i="2"/>
  <c r="F610" i="2"/>
  <c r="J610" i="2" s="1"/>
  <c r="H610" i="2" s="1"/>
  <c r="E610" i="2"/>
  <c r="G609" i="2"/>
  <c r="F609" i="2"/>
  <c r="K609" i="2" s="1"/>
  <c r="E609" i="2"/>
  <c r="F608" i="2"/>
  <c r="E608" i="2"/>
  <c r="E607" i="2"/>
  <c r="G607" i="2" s="1"/>
  <c r="F606" i="2"/>
  <c r="K606" i="2" s="1"/>
  <c r="G602" i="2"/>
  <c r="F602" i="2"/>
  <c r="J602" i="2" s="1"/>
  <c r="H602" i="2" s="1"/>
  <c r="E602" i="2"/>
  <c r="E601" i="2"/>
  <c r="F600" i="2"/>
  <c r="I600" i="2" s="1"/>
  <c r="E600" i="2"/>
  <c r="G599" i="2"/>
  <c r="F599" i="2"/>
  <c r="E599" i="2"/>
  <c r="F598" i="2"/>
  <c r="K598" i="2" s="1"/>
  <c r="E598" i="2"/>
  <c r="G597" i="2"/>
  <c r="F597" i="2"/>
  <c r="E597" i="2"/>
  <c r="F596" i="2"/>
  <c r="G595" i="2"/>
  <c r="E595" i="2"/>
  <c r="F595" i="2" s="1"/>
  <c r="K595" i="2" s="1"/>
  <c r="G594" i="2"/>
  <c r="F594" i="2"/>
  <c r="I594" i="2" s="1"/>
  <c r="E594" i="2"/>
  <c r="G593" i="2"/>
  <c r="F593" i="2"/>
  <c r="I593" i="2" s="1"/>
  <c r="F592" i="2"/>
  <c r="E592" i="2"/>
  <c r="E591" i="2"/>
  <c r="G590" i="2"/>
  <c r="F590" i="2"/>
  <c r="K590" i="2" s="1"/>
  <c r="E590" i="2"/>
  <c r="F588" i="2"/>
  <c r="I588" i="2" s="1"/>
  <c r="E588" i="2"/>
  <c r="G587" i="2"/>
  <c r="E587" i="2"/>
  <c r="F587" i="2" s="1"/>
  <c r="K587" i="2" s="1"/>
  <c r="G586" i="2"/>
  <c r="F586" i="2"/>
  <c r="J586" i="2" s="1"/>
  <c r="H586" i="2" s="1"/>
  <c r="E586" i="2"/>
  <c r="G585" i="2"/>
  <c r="F585" i="2"/>
  <c r="E585" i="2"/>
  <c r="E584" i="2"/>
  <c r="F583" i="2"/>
  <c r="F582" i="2"/>
  <c r="E582" i="2"/>
  <c r="I581" i="2"/>
  <c r="E580" i="2"/>
  <c r="G580" i="2" s="1"/>
  <c r="E579" i="2"/>
  <c r="E578" i="2"/>
  <c r="F577" i="2"/>
  <c r="I577" i="2" s="1"/>
  <c r="E577" i="2"/>
  <c r="G577" i="2" s="1"/>
  <c r="G576" i="2"/>
  <c r="E576" i="2"/>
  <c r="F576" i="2" s="1"/>
  <c r="K576" i="2" s="1"/>
  <c r="G575" i="2"/>
  <c r="F575" i="2"/>
  <c r="E575" i="2"/>
  <c r="F573" i="2"/>
  <c r="E573" i="2"/>
  <c r="F572" i="2"/>
  <c r="K572" i="2" s="1"/>
  <c r="G571" i="2"/>
  <c r="F571" i="2"/>
  <c r="J571" i="2" s="1"/>
  <c r="H571" i="2" s="1"/>
  <c r="E571" i="2"/>
  <c r="E569" i="2"/>
  <c r="G568" i="2"/>
  <c r="I568" i="2"/>
  <c r="G567" i="2"/>
  <c r="F567" i="2"/>
  <c r="K567" i="2" s="1"/>
  <c r="E567" i="2"/>
  <c r="G566" i="2"/>
  <c r="F566" i="2"/>
  <c r="K566" i="2" s="1"/>
  <c r="E566" i="2"/>
  <c r="E563" i="2"/>
  <c r="E562" i="2"/>
  <c r="F561" i="2"/>
  <c r="K561" i="2" s="1"/>
  <c r="E561" i="2"/>
  <c r="G560" i="2"/>
  <c r="F560" i="2"/>
  <c r="I560" i="2" s="1"/>
  <c r="E560" i="2"/>
  <c r="E559" i="2"/>
  <c r="E558" i="2"/>
  <c r="G557" i="2"/>
  <c r="F557" i="2"/>
  <c r="I557" i="2" s="1"/>
  <c r="E557" i="2"/>
  <c r="F556" i="2"/>
  <c r="K556" i="2" s="1"/>
  <c r="E556" i="2"/>
  <c r="G556" i="2" s="1"/>
  <c r="G555" i="2"/>
  <c r="F555" i="2"/>
  <c r="J555" i="2" s="1"/>
  <c r="H555" i="2" s="1"/>
  <c r="E555" i="2"/>
  <c r="F554" i="2"/>
  <c r="E554" i="2"/>
  <c r="E553" i="2"/>
  <c r="F552" i="2"/>
  <c r="K552" i="2" s="1"/>
  <c r="E552" i="2"/>
  <c r="F551" i="2"/>
  <c r="K551" i="2" s="1"/>
  <c r="E551" i="2"/>
  <c r="G551" i="2" s="1"/>
  <c r="G550" i="2"/>
  <c r="E550" i="2"/>
  <c r="G549" i="2"/>
  <c r="F549" i="2"/>
  <c r="E549" i="2"/>
  <c r="F548" i="2"/>
  <c r="K548" i="2" s="1"/>
  <c r="F547" i="2"/>
  <c r="I547" i="2" s="1"/>
  <c r="E547" i="2"/>
  <c r="E546" i="2"/>
  <c r="G546" i="2" s="1"/>
  <c r="G545" i="2"/>
  <c r="F545" i="2"/>
  <c r="K545" i="2" s="1"/>
  <c r="E545" i="2"/>
  <c r="G544" i="2"/>
  <c r="F544" i="2"/>
  <c r="E544" i="2"/>
  <c r="E543" i="2"/>
  <c r="E542" i="2"/>
  <c r="E540" i="2"/>
  <c r="F539" i="2"/>
  <c r="K539" i="2" s="1"/>
  <c r="E539" i="2"/>
  <c r="G539" i="2" s="1"/>
  <c r="E538" i="2"/>
  <c r="G538" i="2" s="1"/>
  <c r="F537" i="2"/>
  <c r="G536" i="2"/>
  <c r="F536" i="2"/>
  <c r="I536" i="2" s="1"/>
  <c r="E536" i="2"/>
  <c r="F534" i="2"/>
  <c r="F533" i="2"/>
  <c r="E533" i="2"/>
  <c r="E530" i="2"/>
  <c r="F529" i="2"/>
  <c r="K529" i="2" s="1"/>
  <c r="E529" i="2"/>
  <c r="G529" i="2" s="1"/>
  <c r="E528" i="2"/>
  <c r="G528" i="2" s="1"/>
  <c r="G527" i="2"/>
  <c r="F527" i="2"/>
  <c r="K527" i="2" s="1"/>
  <c r="E527" i="2"/>
  <c r="G526" i="2"/>
  <c r="F526" i="2"/>
  <c r="I526" i="2" s="1"/>
  <c r="E526" i="2"/>
  <c r="F525" i="2"/>
  <c r="F524" i="2"/>
  <c r="F523" i="2"/>
  <c r="K523" i="2" s="1"/>
  <c r="E523" i="2"/>
  <c r="F519" i="2"/>
  <c r="K519" i="2" s="1"/>
  <c r="E519" i="2"/>
  <c r="G519" i="2" s="1"/>
  <c r="E518" i="2"/>
  <c r="G518" i="2" s="1"/>
  <c r="G517" i="2"/>
  <c r="F517" i="2"/>
  <c r="I517" i="2" s="1"/>
  <c r="E517" i="2"/>
  <c r="G516" i="2"/>
  <c r="F516" i="2"/>
  <c r="E516" i="2"/>
  <c r="F515" i="2"/>
  <c r="E515" i="2"/>
  <c r="G514" i="2"/>
  <c r="F514" i="2"/>
  <c r="E514" i="2"/>
  <c r="F513" i="2"/>
  <c r="K513" i="2" s="1"/>
  <c r="E513" i="2"/>
  <c r="E512" i="2"/>
  <c r="F511" i="2"/>
  <c r="K511" i="2" s="1"/>
  <c r="E511" i="2"/>
  <c r="G511" i="2" s="1"/>
  <c r="E510" i="2"/>
  <c r="G510" i="2" s="1"/>
  <c r="G509" i="2"/>
  <c r="F509" i="2"/>
  <c r="K509" i="2" s="1"/>
  <c r="E509" i="2"/>
  <c r="F508" i="2"/>
  <c r="I508" i="2" s="1"/>
  <c r="E507" i="2"/>
  <c r="F506" i="2"/>
  <c r="E505" i="2"/>
  <c r="F503" i="2"/>
  <c r="J503" i="2" s="1"/>
  <c r="H503" i="2" s="1"/>
  <c r="E503" i="2"/>
  <c r="G503" i="2" s="1"/>
  <c r="G502" i="2"/>
  <c r="G501" i="2"/>
  <c r="F501" i="2"/>
  <c r="J501" i="2" s="1"/>
  <c r="H501" i="2" s="1"/>
  <c r="E501" i="2"/>
  <c r="F500" i="2"/>
  <c r="G499" i="2"/>
  <c r="F499" i="2"/>
  <c r="E499" i="2"/>
  <c r="G498" i="2"/>
  <c r="E498" i="2"/>
  <c r="F497" i="2"/>
  <c r="K497" i="2" s="1"/>
  <c r="E497" i="2"/>
  <c r="E496" i="2"/>
  <c r="F495" i="2"/>
  <c r="J495" i="2" s="1"/>
  <c r="H495" i="2" s="1"/>
  <c r="E494" i="2"/>
  <c r="G494" i="2" s="1"/>
  <c r="G493" i="2"/>
  <c r="F493" i="2"/>
  <c r="J493" i="2" s="1"/>
  <c r="H493" i="2" s="1"/>
  <c r="E493" i="2"/>
  <c r="G492" i="2"/>
  <c r="I492" i="2"/>
  <c r="G489" i="2"/>
  <c r="E489" i="2"/>
  <c r="F488" i="2"/>
  <c r="E488" i="2"/>
  <c r="E487" i="2"/>
  <c r="F485" i="2"/>
  <c r="E485" i="2"/>
  <c r="G485" i="2" s="1"/>
  <c r="E484" i="2"/>
  <c r="K483" i="2"/>
  <c r="G482" i="2"/>
  <c r="F482" i="2"/>
  <c r="E482" i="2"/>
  <c r="G481" i="2"/>
  <c r="E481" i="2"/>
  <c r="G480" i="2"/>
  <c r="F480" i="2"/>
  <c r="I480" i="2" s="1"/>
  <c r="E480" i="2"/>
  <c r="J477" i="2"/>
  <c r="H477" i="2" s="1"/>
  <c r="E476" i="2"/>
  <c r="G475" i="2"/>
  <c r="F475" i="2"/>
  <c r="I475" i="2" s="1"/>
  <c r="E475" i="2"/>
  <c r="G474" i="2"/>
  <c r="F474" i="2"/>
  <c r="E474" i="2"/>
  <c r="G472" i="2"/>
  <c r="F472" i="2"/>
  <c r="I472" i="2" s="1"/>
  <c r="E472" i="2"/>
  <c r="E471" i="2"/>
  <c r="G470" i="2"/>
  <c r="E470" i="2"/>
  <c r="F470" i="2" s="1"/>
  <c r="I470" i="2" s="1"/>
  <c r="F469" i="2"/>
  <c r="J469" i="2" s="1"/>
  <c r="H469" i="2" s="1"/>
  <c r="E469" i="2"/>
  <c r="G469" i="2" s="1"/>
  <c r="G467" i="2"/>
  <c r="F467" i="2"/>
  <c r="K467" i="2" s="1"/>
  <c r="E467" i="2"/>
  <c r="F466" i="2"/>
  <c r="K466" i="2" s="1"/>
  <c r="E466" i="2"/>
  <c r="E465" i="2"/>
  <c r="F464" i="2"/>
  <c r="I464" i="2" s="1"/>
  <c r="F463" i="2"/>
  <c r="J463" i="2" s="1"/>
  <c r="H463" i="2" s="1"/>
  <c r="E463" i="2"/>
  <c r="G462" i="2"/>
  <c r="E462" i="2"/>
  <c r="F461" i="2"/>
  <c r="J461" i="2" s="1"/>
  <c r="H461" i="2" s="1"/>
  <c r="E461" i="2"/>
  <c r="G461" i="2" s="1"/>
  <c r="G460" i="2"/>
  <c r="E460" i="2"/>
  <c r="F460" i="2" s="1"/>
  <c r="K460" i="2" s="1"/>
  <c r="F459" i="2"/>
  <c r="J459" i="2" s="1"/>
  <c r="H459" i="2" s="1"/>
  <c r="E456" i="2"/>
  <c r="E455" i="2"/>
  <c r="G454" i="2"/>
  <c r="F454" i="2"/>
  <c r="E454" i="2"/>
  <c r="E453" i="2"/>
  <c r="G452" i="2"/>
  <c r="E452" i="2"/>
  <c r="F452" i="2" s="1"/>
  <c r="K452" i="2" s="1"/>
  <c r="F451" i="2"/>
  <c r="J451" i="2" s="1"/>
  <c r="H451" i="2" s="1"/>
  <c r="E451" i="2"/>
  <c r="G451" i="2" s="1"/>
  <c r="G449" i="2"/>
  <c r="F449" i="2"/>
  <c r="K449" i="2" s="1"/>
  <c r="E449" i="2"/>
  <c r="G448" i="2"/>
  <c r="F448" i="2"/>
  <c r="K448" i="2" s="1"/>
  <c r="E448" i="2"/>
  <c r="G447" i="2"/>
  <c r="F447" i="2"/>
  <c r="E447" i="2"/>
  <c r="G445" i="2"/>
  <c r="E445" i="2"/>
  <c r="F444" i="2"/>
  <c r="K444" i="2" s="1"/>
  <c r="E443" i="2"/>
  <c r="F441" i="2"/>
  <c r="J441" i="2" s="1"/>
  <c r="H441" i="2" s="1"/>
  <c r="G440" i="2"/>
  <c r="E440" i="2"/>
  <c r="E439" i="2"/>
  <c r="F438" i="2"/>
  <c r="I438" i="2" s="1"/>
  <c r="G437" i="2"/>
  <c r="G436" i="2"/>
  <c r="E436" i="2"/>
  <c r="F436" i="2" s="1"/>
  <c r="I436" i="2" s="1"/>
  <c r="E433" i="2"/>
  <c r="G432" i="2"/>
  <c r="E432" i="2"/>
  <c r="G431" i="2"/>
  <c r="F431" i="2"/>
  <c r="I431" i="2" s="1"/>
  <c r="E431" i="2"/>
  <c r="G429" i="2"/>
  <c r="E429" i="2"/>
  <c r="E428" i="2"/>
  <c r="F427" i="2"/>
  <c r="J427" i="2" s="1"/>
  <c r="H427" i="2" s="1"/>
  <c r="E427" i="2"/>
  <c r="G427" i="2" s="1"/>
  <c r="G426" i="2"/>
  <c r="F426" i="2"/>
  <c r="J426" i="2" s="1"/>
  <c r="H426" i="2" s="1"/>
  <c r="E426" i="2"/>
  <c r="E425" i="2"/>
  <c r="E424" i="2"/>
  <c r="G423" i="2"/>
  <c r="F423" i="2"/>
  <c r="K423" i="2" s="1"/>
  <c r="E423" i="2"/>
  <c r="G421" i="2"/>
  <c r="F421" i="2"/>
  <c r="J421" i="2" s="1"/>
  <c r="H421" i="2" s="1"/>
  <c r="E419" i="2"/>
  <c r="G416" i="2"/>
  <c r="F416" i="2"/>
  <c r="J416" i="2" s="1"/>
  <c r="H416" i="2" s="1"/>
  <c r="E416" i="2"/>
  <c r="E415" i="2"/>
  <c r="E414" i="2"/>
  <c r="G413" i="2"/>
  <c r="F413" i="2"/>
  <c r="K413" i="2" s="1"/>
  <c r="E413" i="2"/>
  <c r="G412" i="2"/>
  <c r="F412" i="2"/>
  <c r="E412" i="2"/>
  <c r="E410" i="2"/>
  <c r="G407" i="2"/>
  <c r="E407" i="2"/>
  <c r="E406" i="2"/>
  <c r="F405" i="2"/>
  <c r="I405" i="2" s="1"/>
  <c r="E405" i="2"/>
  <c r="G404" i="2"/>
  <c r="E404" i="2"/>
  <c r="G403" i="2"/>
  <c r="F403" i="2"/>
  <c r="K403" i="2" s="1"/>
  <c r="E403" i="2"/>
  <c r="G400" i="2"/>
  <c r="F400" i="2"/>
  <c r="E400" i="2"/>
  <c r="J399" i="2"/>
  <c r="H399" i="2" s="1"/>
  <c r="E398" i="2"/>
  <c r="E397" i="2"/>
  <c r="E396" i="2"/>
  <c r="G395" i="2"/>
  <c r="F395" i="2"/>
  <c r="I395" i="2" s="1"/>
  <c r="E395" i="2"/>
  <c r="G394" i="2"/>
  <c r="F394" i="2"/>
  <c r="K394" i="2" s="1"/>
  <c r="E394" i="2"/>
  <c r="E393" i="2"/>
  <c r="G392" i="2"/>
  <c r="F392" i="2"/>
  <c r="I392" i="2" s="1"/>
  <c r="E392" i="2"/>
  <c r="E391" i="2"/>
  <c r="G390" i="2"/>
  <c r="E390" i="2"/>
  <c r="F390" i="2" s="1"/>
  <c r="J390" i="2" s="1"/>
  <c r="H390" i="2" s="1"/>
  <c r="G389" i="2"/>
  <c r="F389" i="2"/>
  <c r="I389" i="2" s="1"/>
  <c r="E389" i="2"/>
  <c r="E388" i="2"/>
  <c r="G387" i="2"/>
  <c r="F387" i="2"/>
  <c r="J387" i="2" s="1"/>
  <c r="H387" i="2" s="1"/>
  <c r="E387" i="2"/>
  <c r="F386" i="2"/>
  <c r="E386" i="2"/>
  <c r="G385" i="2"/>
  <c r="F385" i="2"/>
  <c r="E385" i="2"/>
  <c r="E384" i="2"/>
  <c r="F383" i="2"/>
  <c r="K383" i="2" s="1"/>
  <c r="E383" i="2"/>
  <c r="G383" i="2" s="1"/>
  <c r="E382" i="2"/>
  <c r="F381" i="2"/>
  <c r="I381" i="2" s="1"/>
  <c r="G380" i="2"/>
  <c r="F380" i="2"/>
  <c r="E380" i="2"/>
  <c r="E379" i="2"/>
  <c r="G378" i="2"/>
  <c r="F378" i="2"/>
  <c r="K378" i="2" s="1"/>
  <c r="E378" i="2"/>
  <c r="E377" i="2"/>
  <c r="G376" i="2"/>
  <c r="F376" i="2"/>
  <c r="E376" i="2"/>
  <c r="E375" i="2"/>
  <c r="E374" i="2"/>
  <c r="G374" i="2" s="1"/>
  <c r="G373" i="2"/>
  <c r="F373" i="2"/>
  <c r="K373" i="2" s="1"/>
  <c r="E373" i="2"/>
  <c r="G372" i="2"/>
  <c r="F372" i="2"/>
  <c r="E372" i="2"/>
  <c r="E371" i="2"/>
  <c r="G369" i="2"/>
  <c r="F369" i="2"/>
  <c r="K369" i="2" s="1"/>
  <c r="E369" i="2"/>
  <c r="E368" i="2"/>
  <c r="E367" i="2"/>
  <c r="E366" i="2"/>
  <c r="G366" i="2" s="1"/>
  <c r="G365" i="2"/>
  <c r="F365" i="2"/>
  <c r="K365" i="2" s="1"/>
  <c r="E365" i="2"/>
  <c r="G364" i="2"/>
  <c r="F364" i="2"/>
  <c r="K364" i="2" s="1"/>
  <c r="E364" i="2"/>
  <c r="F363" i="2"/>
  <c r="E363" i="2"/>
  <c r="G362" i="2"/>
  <c r="E362" i="2"/>
  <c r="G361" i="2"/>
  <c r="F361" i="2"/>
  <c r="K361" i="2" s="1"/>
  <c r="E361" i="2"/>
  <c r="F360" i="2"/>
  <c r="E360" i="2"/>
  <c r="E359" i="2"/>
  <c r="G357" i="2"/>
  <c r="F357" i="2"/>
  <c r="K357" i="2" s="1"/>
  <c r="E357" i="2"/>
  <c r="G356" i="2"/>
  <c r="F356" i="2"/>
  <c r="I356" i="2" s="1"/>
  <c r="E356" i="2"/>
  <c r="E355" i="2"/>
  <c r="E354" i="2"/>
  <c r="G353" i="2"/>
  <c r="F353" i="2"/>
  <c r="J353" i="2" s="1"/>
  <c r="H353" i="2" s="1"/>
  <c r="E353" i="2"/>
  <c r="E351" i="2"/>
  <c r="E350" i="2"/>
  <c r="G350" i="2" s="1"/>
  <c r="G347" i="2"/>
  <c r="F347" i="2"/>
  <c r="K347" i="2" s="1"/>
  <c r="E347" i="2"/>
  <c r="G346" i="2"/>
  <c r="F346" i="2"/>
  <c r="K346" i="2" s="1"/>
  <c r="E346" i="2"/>
  <c r="F345" i="2"/>
  <c r="E345" i="2"/>
  <c r="G344" i="2"/>
  <c r="E344" i="2"/>
  <c r="F343" i="2"/>
  <c r="J343" i="2" s="1"/>
  <c r="H343" i="2" s="1"/>
  <c r="F342" i="2"/>
  <c r="J342" i="2" s="1"/>
  <c r="H342" i="2" s="1"/>
  <c r="E342" i="2"/>
  <c r="E340" i="2"/>
  <c r="G340" i="2" s="1"/>
  <c r="G339" i="2"/>
  <c r="F339" i="2"/>
  <c r="K339" i="2" s="1"/>
  <c r="E339" i="2"/>
  <c r="K338" i="2"/>
  <c r="F337" i="2"/>
  <c r="I337" i="2" s="1"/>
  <c r="E337" i="2"/>
  <c r="E336" i="2"/>
  <c r="G333" i="2"/>
  <c r="F333" i="2"/>
  <c r="E333" i="2"/>
  <c r="E332" i="2"/>
  <c r="E331" i="2"/>
  <c r="G329" i="2"/>
  <c r="F329" i="2"/>
  <c r="K329" i="2" s="1"/>
  <c r="E329" i="2"/>
  <c r="G328" i="2"/>
  <c r="F328" i="2"/>
  <c r="I328" i="2" s="1"/>
  <c r="E328" i="2"/>
  <c r="E327" i="2"/>
  <c r="E326" i="2"/>
  <c r="G325" i="2"/>
  <c r="F325" i="2"/>
  <c r="E325" i="2"/>
  <c r="E323" i="2"/>
  <c r="E322" i="2"/>
  <c r="G322" i="2" s="1"/>
  <c r="G321" i="2"/>
  <c r="F321" i="2"/>
  <c r="J321" i="2" s="1"/>
  <c r="H321" i="2" s="1"/>
  <c r="E321" i="2"/>
  <c r="G320" i="2"/>
  <c r="F320" i="2"/>
  <c r="I320" i="2" s="1"/>
  <c r="E320" i="2"/>
  <c r="F319" i="2"/>
  <c r="I319" i="2" s="1"/>
  <c r="E319" i="2"/>
  <c r="G318" i="2"/>
  <c r="G317" i="2"/>
  <c r="F317" i="2"/>
  <c r="J317" i="2" s="1"/>
  <c r="H317" i="2" s="1"/>
  <c r="E317" i="2"/>
  <c r="F316" i="2"/>
  <c r="E316" i="2"/>
  <c r="E315" i="2"/>
  <c r="E314" i="2"/>
  <c r="G314" i="2" s="1"/>
  <c r="F313" i="2"/>
  <c r="J313" i="2" s="1"/>
  <c r="G311" i="2"/>
  <c r="F311" i="2"/>
  <c r="J311" i="2" s="1"/>
  <c r="H311" i="2" s="1"/>
  <c r="E311" i="2"/>
  <c r="E309" i="2"/>
  <c r="E308" i="2"/>
  <c r="G307" i="2"/>
  <c r="F307" i="2"/>
  <c r="J307" i="2" s="1"/>
  <c r="H307" i="2" s="1"/>
  <c r="E307" i="2"/>
  <c r="E305" i="2"/>
  <c r="G304" i="2"/>
  <c r="E304" i="2"/>
  <c r="F304" i="2" s="1"/>
  <c r="G303" i="2"/>
  <c r="F303" i="2"/>
  <c r="K303" i="2" s="1"/>
  <c r="E303" i="2"/>
  <c r="G302" i="2"/>
  <c r="I302" i="2"/>
  <c r="F301" i="2"/>
  <c r="I301" i="2" s="1"/>
  <c r="E301" i="2"/>
  <c r="G300" i="2"/>
  <c r="E300" i="2"/>
  <c r="G299" i="2"/>
  <c r="F299" i="2"/>
  <c r="J299" i="2" s="1"/>
  <c r="H299" i="2" s="1"/>
  <c r="E299" i="2"/>
  <c r="F298" i="2"/>
  <c r="E297" i="2"/>
  <c r="G295" i="2"/>
  <c r="F295" i="2"/>
  <c r="K295" i="2" s="1"/>
  <c r="E295" i="2"/>
  <c r="G294" i="2"/>
  <c r="I294" i="2"/>
  <c r="F293" i="2"/>
  <c r="I293" i="2" s="1"/>
  <c r="E293" i="2"/>
  <c r="G292" i="2"/>
  <c r="E292" i="2"/>
  <c r="G291" i="2"/>
  <c r="F291" i="2"/>
  <c r="J291" i="2" s="1"/>
  <c r="H291" i="2" s="1"/>
  <c r="E291" i="2"/>
  <c r="G290" i="2"/>
  <c r="E290" i="2"/>
  <c r="F289" i="2"/>
  <c r="J289" i="2" s="1"/>
  <c r="H289" i="2" s="1"/>
  <c r="E288" i="2"/>
  <c r="F287" i="2"/>
  <c r="G286" i="2"/>
  <c r="F286" i="2"/>
  <c r="K286" i="2" s="1"/>
  <c r="E286" i="2"/>
  <c r="F285" i="2"/>
  <c r="J285" i="2" s="1"/>
  <c r="H285" i="2" s="1"/>
  <c r="E282" i="2"/>
  <c r="G281" i="2"/>
  <c r="F281" i="2"/>
  <c r="J281" i="2" s="1"/>
  <c r="H281" i="2" s="1"/>
  <c r="E281" i="2"/>
  <c r="G280" i="2"/>
  <c r="F280" i="2"/>
  <c r="J280" i="2" s="1"/>
  <c r="H280" i="2" s="1"/>
  <c r="E280" i="2"/>
  <c r="E278" i="2"/>
  <c r="G277" i="2"/>
  <c r="F277" i="2"/>
  <c r="K277" i="2" s="1"/>
  <c r="E277" i="2"/>
  <c r="G276" i="2"/>
  <c r="F276" i="2"/>
  <c r="K276" i="2" s="1"/>
  <c r="E276" i="2"/>
  <c r="E275" i="2"/>
  <c r="G274" i="2"/>
  <c r="E274" i="2"/>
  <c r="G273" i="2"/>
  <c r="F273" i="2"/>
  <c r="J273" i="2" s="1"/>
  <c r="H273" i="2" s="1"/>
  <c r="E273" i="2"/>
  <c r="E272" i="2"/>
  <c r="F271" i="2"/>
  <c r="J271" i="2" s="1"/>
  <c r="H271" i="2" s="1"/>
  <c r="E271" i="2"/>
  <c r="G269" i="2"/>
  <c r="F269" i="2"/>
  <c r="K269" i="2" s="1"/>
  <c r="F268" i="2"/>
  <c r="I268" i="2" s="1"/>
  <c r="F267" i="2"/>
  <c r="I267" i="2" s="1"/>
  <c r="E267" i="2"/>
  <c r="E266" i="2"/>
  <c r="G265" i="2"/>
  <c r="J265" i="2"/>
  <c r="H265" i="2" s="1"/>
  <c r="E262" i="2"/>
  <c r="E261" i="2"/>
  <c r="E260" i="2"/>
  <c r="G259" i="2"/>
  <c r="F259" i="2"/>
  <c r="J259" i="2" s="1"/>
  <c r="H259" i="2" s="1"/>
  <c r="E259" i="2"/>
  <c r="F258" i="2"/>
  <c r="E257" i="2"/>
  <c r="G254" i="2"/>
  <c r="E254" i="2"/>
  <c r="G253" i="2"/>
  <c r="F253" i="2"/>
  <c r="J253" i="2" s="1"/>
  <c r="H253" i="2" s="1"/>
  <c r="E253" i="2"/>
  <c r="F252" i="2"/>
  <c r="J252" i="2" s="1"/>
  <c r="H252" i="2" s="1"/>
  <c r="E252" i="2"/>
  <c r="G252" i="2" s="1"/>
  <c r="E251" i="2"/>
  <c r="E250" i="2"/>
  <c r="G249" i="2"/>
  <c r="F249" i="2"/>
  <c r="K249" i="2" s="1"/>
  <c r="E249" i="2"/>
  <c r="G248" i="2"/>
  <c r="F248" i="2"/>
  <c r="I248" i="2" s="1"/>
  <c r="E248" i="2"/>
  <c r="E247" i="2"/>
  <c r="G246" i="2"/>
  <c r="E246" i="2"/>
  <c r="G245" i="2"/>
  <c r="F245" i="2"/>
  <c r="J245" i="2" s="1"/>
  <c r="H245" i="2" s="1"/>
  <c r="E245" i="2"/>
  <c r="E244" i="2"/>
  <c r="E242" i="2"/>
  <c r="G241" i="2"/>
  <c r="F241" i="2"/>
  <c r="J241" i="2" s="1"/>
  <c r="H241" i="2" s="1"/>
  <c r="E241" i="2"/>
  <c r="F240" i="2"/>
  <c r="J240" i="2" s="1"/>
  <c r="H240" i="2" s="1"/>
  <c r="E240" i="2"/>
  <c r="E239" i="2"/>
  <c r="G237" i="2"/>
  <c r="F237" i="2"/>
  <c r="K237" i="2" s="1"/>
  <c r="E237" i="2"/>
  <c r="G236" i="2"/>
  <c r="I236" i="2"/>
  <c r="F235" i="2"/>
  <c r="J235" i="2" s="1"/>
  <c r="H235" i="2" s="1"/>
  <c r="E235" i="2"/>
  <c r="G234" i="2"/>
  <c r="E234" i="2"/>
  <c r="G231" i="2"/>
  <c r="F231" i="2"/>
  <c r="J231" i="2" s="1"/>
  <c r="H231" i="2" s="1"/>
  <c r="E231" i="2"/>
  <c r="E230" i="2"/>
  <c r="F230" i="2" s="1"/>
  <c r="E229" i="2"/>
  <c r="G228" i="2"/>
  <c r="E228" i="2"/>
  <c r="G227" i="2"/>
  <c r="F227" i="2"/>
  <c r="K227" i="2" s="1"/>
  <c r="E227" i="2"/>
  <c r="G226" i="2"/>
  <c r="F226" i="2"/>
  <c r="I226" i="2" s="1"/>
  <c r="E226" i="2"/>
  <c r="E225" i="2"/>
  <c r="G223" i="2"/>
  <c r="F223" i="2"/>
  <c r="J223" i="2" s="1"/>
  <c r="H223" i="2" s="1"/>
  <c r="E223" i="2"/>
  <c r="F222" i="2"/>
  <c r="J222" i="2" s="1"/>
  <c r="H222" i="2" s="1"/>
  <c r="E222" i="2"/>
  <c r="E221" i="2"/>
  <c r="G220" i="2"/>
  <c r="E220" i="2"/>
  <c r="G219" i="2"/>
  <c r="F219" i="2"/>
  <c r="K219" i="2" s="1"/>
  <c r="E219" i="2"/>
  <c r="F218" i="2"/>
  <c r="I218" i="2" s="1"/>
  <c r="F217" i="2"/>
  <c r="I217" i="2" s="1"/>
  <c r="E217" i="2"/>
  <c r="G215" i="2"/>
  <c r="F215" i="2"/>
  <c r="J215" i="2" s="1"/>
  <c r="H215" i="2" s="1"/>
  <c r="E215" i="2"/>
  <c r="E214" i="2"/>
  <c r="F214" i="2" s="1"/>
  <c r="G212" i="2"/>
  <c r="G211" i="2"/>
  <c r="F211" i="2"/>
  <c r="K211" i="2" s="1"/>
  <c r="E211" i="2"/>
  <c r="G210" i="2"/>
  <c r="F210" i="2"/>
  <c r="I210" i="2" s="1"/>
  <c r="E210" i="2"/>
  <c r="E208" i="2"/>
  <c r="G207" i="2"/>
  <c r="F207" i="2"/>
  <c r="J207" i="2" s="1"/>
  <c r="H207" i="2" s="1"/>
  <c r="E207" i="2"/>
  <c r="F206" i="2"/>
  <c r="J206" i="2" s="1"/>
  <c r="H206" i="2" s="1"/>
  <c r="E206" i="2"/>
  <c r="E205" i="2"/>
  <c r="G204" i="2"/>
  <c r="G203" i="2"/>
  <c r="F203" i="2"/>
  <c r="K203" i="2" s="1"/>
  <c r="E203" i="2"/>
  <c r="G202" i="2"/>
  <c r="F202" i="2"/>
  <c r="I202" i="2" s="1"/>
  <c r="E202" i="2"/>
  <c r="J201" i="2"/>
  <c r="H201" i="2" s="1"/>
  <c r="E200" i="2"/>
  <c r="G199" i="2"/>
  <c r="F199" i="2"/>
  <c r="K199" i="2" s="1"/>
  <c r="E199" i="2"/>
  <c r="E198" i="2"/>
  <c r="F198" i="2" s="1"/>
  <c r="E195" i="2"/>
  <c r="G194" i="2"/>
  <c r="E194" i="2"/>
  <c r="G193" i="2"/>
  <c r="F193" i="2"/>
  <c r="J193" i="2" s="1"/>
  <c r="H193" i="2" s="1"/>
  <c r="E193" i="2"/>
  <c r="G192" i="2"/>
  <c r="F192" i="2"/>
  <c r="I192" i="2" s="1"/>
  <c r="E192" i="2"/>
  <c r="E191" i="2"/>
  <c r="E190" i="2"/>
  <c r="G189" i="2"/>
  <c r="F189" i="2"/>
  <c r="J189" i="2" s="1"/>
  <c r="H189" i="2" s="1"/>
  <c r="E189" i="2"/>
  <c r="F188" i="2"/>
  <c r="J188" i="2" s="1"/>
  <c r="H188" i="2" s="1"/>
  <c r="E188" i="2"/>
  <c r="F184" i="2"/>
  <c r="I184" i="2" s="1"/>
  <c r="E184" i="2"/>
  <c r="E183" i="2"/>
  <c r="G182" i="2"/>
  <c r="F182" i="2"/>
  <c r="K182" i="2" s="1"/>
  <c r="E182" i="2"/>
  <c r="E181" i="2"/>
  <c r="G181" i="2" s="1"/>
  <c r="G178" i="2"/>
  <c r="E178" i="2"/>
  <c r="G177" i="2"/>
  <c r="K177" i="2"/>
  <c r="E176" i="2"/>
  <c r="G175" i="2"/>
  <c r="E175" i="2"/>
  <c r="F172" i="2"/>
  <c r="E172" i="2"/>
  <c r="G170" i="2"/>
  <c r="F170" i="2"/>
  <c r="I170" i="2" s="1"/>
  <c r="E170" i="2"/>
  <c r="E168" i="2"/>
  <c r="G167" i="2"/>
  <c r="F167" i="2"/>
  <c r="I167" i="2" s="1"/>
  <c r="E167" i="2"/>
  <c r="G166" i="2"/>
  <c r="F166" i="2"/>
  <c r="K166" i="2" s="1"/>
  <c r="E166" i="2"/>
  <c r="E164" i="2"/>
  <c r="G164" i="2" s="1"/>
  <c r="F162" i="2"/>
  <c r="I162" i="2" s="1"/>
  <c r="E162" i="2"/>
  <c r="E161" i="2"/>
  <c r="G161" i="2" s="1"/>
  <c r="G160" i="2"/>
  <c r="F160" i="2"/>
  <c r="K160" i="2" s="1"/>
  <c r="E160" i="2"/>
  <c r="E159" i="2"/>
  <c r="G159" i="2" s="1"/>
  <c r="G158" i="2"/>
  <c r="E158" i="2"/>
  <c r="F157" i="2"/>
  <c r="K157" i="2" s="1"/>
  <c r="E156" i="2"/>
  <c r="F156" i="2" s="1"/>
  <c r="K156" i="2" s="1"/>
  <c r="G155" i="2"/>
  <c r="E155" i="2"/>
  <c r="F154" i="2"/>
  <c r="E154" i="2"/>
  <c r="G152" i="2"/>
  <c r="F152" i="2"/>
  <c r="K152" i="2" s="1"/>
  <c r="E151" i="2"/>
  <c r="G151" i="2" s="1"/>
  <c r="E150" i="2"/>
  <c r="G150" i="2" s="1"/>
  <c r="G149" i="2"/>
  <c r="K149" i="2"/>
  <c r="G148" i="2"/>
  <c r="F148" i="2"/>
  <c r="J148" i="2" s="1"/>
  <c r="H148" i="2" s="1"/>
  <c r="E148" i="2"/>
  <c r="E147" i="2"/>
  <c r="F146" i="2"/>
  <c r="K146" i="2" s="1"/>
  <c r="E146" i="2"/>
  <c r="E145" i="2"/>
  <c r="G142" i="2"/>
  <c r="F142" i="2"/>
  <c r="K142" i="2" s="1"/>
  <c r="E142" i="2"/>
  <c r="F141" i="2"/>
  <c r="K141" i="2" s="1"/>
  <c r="E141" i="2"/>
  <c r="G141" i="2" s="1"/>
  <c r="G139" i="2"/>
  <c r="F139" i="2"/>
  <c r="K139" i="2" s="1"/>
  <c r="F138" i="2"/>
  <c r="K138" i="2" s="1"/>
  <c r="G137" i="2"/>
  <c r="E137" i="2"/>
  <c r="F136" i="2"/>
  <c r="E136" i="2"/>
  <c r="G134" i="2"/>
  <c r="F134" i="2"/>
  <c r="I134" i="2" s="1"/>
  <c r="E134" i="2"/>
  <c r="E133" i="2"/>
  <c r="G133" i="2" s="1"/>
  <c r="E132" i="2"/>
  <c r="G131" i="2"/>
  <c r="F131" i="2"/>
  <c r="K131" i="2" s="1"/>
  <c r="E131" i="2"/>
  <c r="G130" i="2"/>
  <c r="F130" i="2"/>
  <c r="J130" i="2" s="1"/>
  <c r="H130" i="2" s="1"/>
  <c r="E130" i="2"/>
  <c r="E129" i="2"/>
  <c r="G129" i="2" s="1"/>
  <c r="F128" i="2"/>
  <c r="E125" i="2"/>
  <c r="G124" i="2"/>
  <c r="F124" i="2"/>
  <c r="K124" i="2" s="1"/>
  <c r="E124" i="2"/>
  <c r="F123" i="2"/>
  <c r="G122" i="2"/>
  <c r="E122" i="2"/>
  <c r="G121" i="2"/>
  <c r="F121" i="2"/>
  <c r="K121" i="2" s="1"/>
  <c r="E121" i="2"/>
  <c r="E120" i="2"/>
  <c r="F120" i="2" s="1"/>
  <c r="K120" i="2" s="1"/>
  <c r="F118" i="2"/>
  <c r="G115" i="2"/>
  <c r="E115" i="2"/>
  <c r="G114" i="2"/>
  <c r="F114" i="2"/>
  <c r="I114" i="2" s="1"/>
  <c r="E114" i="2"/>
  <c r="E113" i="2"/>
  <c r="G113" i="2" s="1"/>
  <c r="E112" i="2"/>
  <c r="G111" i="2"/>
  <c r="F111" i="2"/>
  <c r="I111" i="2" s="1"/>
  <c r="E111" i="2"/>
  <c r="G110" i="2"/>
  <c r="F110" i="2"/>
  <c r="J110" i="2" s="1"/>
  <c r="H110" i="2" s="1"/>
  <c r="E110" i="2"/>
  <c r="E109" i="2"/>
  <c r="G109" i="2" s="1"/>
  <c r="F108" i="2"/>
  <c r="I108" i="2" s="1"/>
  <c r="E108" i="2"/>
  <c r="G107" i="2"/>
  <c r="G106" i="2"/>
  <c r="F106" i="2"/>
  <c r="K106" i="2" s="1"/>
  <c r="E106" i="2"/>
  <c r="F105" i="2"/>
  <c r="J105" i="2" s="1"/>
  <c r="H105" i="2" s="1"/>
  <c r="E105" i="2"/>
  <c r="G105" i="2" s="1"/>
  <c r="G104" i="2"/>
  <c r="E104" i="2"/>
  <c r="F103" i="2"/>
  <c r="K103" i="2" s="1"/>
  <c r="E102" i="2"/>
  <c r="G102" i="2" s="1"/>
  <c r="G101" i="2"/>
  <c r="E101" i="2"/>
  <c r="G99" i="2"/>
  <c r="E99" i="2"/>
  <c r="G98" i="2"/>
  <c r="F98" i="2"/>
  <c r="K98" i="2" s="1"/>
  <c r="E98" i="2"/>
  <c r="E97" i="2"/>
  <c r="G97" i="2" s="1"/>
  <c r="G95" i="2"/>
  <c r="F95" i="2"/>
  <c r="I95" i="2" s="1"/>
  <c r="E95" i="2"/>
  <c r="G94" i="2"/>
  <c r="F94" i="2"/>
  <c r="J94" i="2" s="1"/>
  <c r="H94" i="2" s="1"/>
  <c r="E94" i="2"/>
  <c r="F92" i="2"/>
  <c r="K92" i="2" s="1"/>
  <c r="G90" i="2"/>
  <c r="F90" i="2"/>
  <c r="K90" i="2" s="1"/>
  <c r="E90" i="2"/>
  <c r="F87" i="2"/>
  <c r="I87" i="2" s="1"/>
  <c r="E87" i="2"/>
  <c r="G87" i="2" s="1"/>
  <c r="G86" i="2"/>
  <c r="E86" i="2"/>
  <c r="G85" i="2"/>
  <c r="F85" i="2"/>
  <c r="K85" i="2" s="1"/>
  <c r="E85" i="2"/>
  <c r="E84" i="2"/>
  <c r="G83" i="2"/>
  <c r="F83" i="2"/>
  <c r="J83" i="2" s="1"/>
  <c r="H83" i="2" s="1"/>
  <c r="E83" i="2"/>
  <c r="F82" i="2"/>
  <c r="G81" i="2"/>
  <c r="E81" i="2"/>
  <c r="G80" i="2"/>
  <c r="F80" i="2"/>
  <c r="K80" i="2" s="1"/>
  <c r="E80" i="2"/>
  <c r="E79" i="2"/>
  <c r="G79" i="2" s="1"/>
  <c r="G77" i="2"/>
  <c r="F77" i="2"/>
  <c r="K77" i="2" s="1"/>
  <c r="E77" i="2"/>
  <c r="G76" i="2"/>
  <c r="F76" i="2"/>
  <c r="J76" i="2" s="1"/>
  <c r="H76" i="2" s="1"/>
  <c r="E76" i="2"/>
  <c r="E75" i="2"/>
  <c r="I74" i="2"/>
  <c r="E73" i="2"/>
  <c r="F72" i="2"/>
  <c r="E71" i="2"/>
  <c r="G71" i="2" s="1"/>
  <c r="G70" i="2"/>
  <c r="E70" i="2"/>
  <c r="F69" i="2"/>
  <c r="E68" i="2"/>
  <c r="G67" i="2"/>
  <c r="F67" i="2"/>
  <c r="J67" i="2" s="1"/>
  <c r="H67" i="2" s="1"/>
  <c r="E67" i="2"/>
  <c r="F66" i="2"/>
  <c r="E65" i="2"/>
  <c r="K64" i="2"/>
  <c r="E63" i="2"/>
  <c r="G63" i="2" s="1"/>
  <c r="E62" i="2"/>
  <c r="G62" i="2" s="1"/>
  <c r="F61" i="2"/>
  <c r="G60" i="2"/>
  <c r="F60" i="2"/>
  <c r="J60" i="2" s="1"/>
  <c r="H60" i="2" s="1"/>
  <c r="E59" i="2"/>
  <c r="F58" i="2"/>
  <c r="I58" i="2" s="1"/>
  <c r="E58" i="2"/>
  <c r="E57" i="2"/>
  <c r="G55" i="2"/>
  <c r="F55" i="2"/>
  <c r="K55" i="2" s="1"/>
  <c r="E55" i="2"/>
  <c r="E53" i="2"/>
  <c r="G52" i="2"/>
  <c r="E52" i="2"/>
  <c r="F52" i="2" s="1"/>
  <c r="G51" i="2"/>
  <c r="F51" i="2"/>
  <c r="K51" i="2" s="1"/>
  <c r="E51" i="2"/>
  <c r="G50" i="2"/>
  <c r="F50" i="2"/>
  <c r="I50" i="2" s="1"/>
  <c r="E50" i="2"/>
  <c r="G49" i="2"/>
  <c r="F49" i="2"/>
  <c r="I49" i="2" s="1"/>
  <c r="E49" i="2"/>
  <c r="E48" i="2"/>
  <c r="E46" i="2"/>
  <c r="E45" i="2"/>
  <c r="G44" i="2"/>
  <c r="E44" i="2"/>
  <c r="F44" i="2" s="1"/>
  <c r="G43" i="2"/>
  <c r="F43" i="2"/>
  <c r="I43" i="2" s="1"/>
  <c r="E43" i="2"/>
  <c r="G42" i="2"/>
  <c r="F42" i="2"/>
  <c r="J42" i="2" s="1"/>
  <c r="H42" i="2" s="1"/>
  <c r="E42" i="2"/>
  <c r="G41" i="2"/>
  <c r="F41" i="2"/>
  <c r="I41" i="2" s="1"/>
  <c r="E41" i="2"/>
  <c r="E40" i="2"/>
  <c r="E39" i="2"/>
  <c r="E37" i="2"/>
  <c r="G36" i="2"/>
  <c r="E36" i="2"/>
  <c r="F36" i="2" s="1"/>
  <c r="G33" i="2"/>
  <c r="F33" i="2"/>
  <c r="K33" i="2" s="1"/>
  <c r="E33" i="2"/>
  <c r="G32" i="2"/>
  <c r="F32" i="2"/>
  <c r="J32" i="2" s="1"/>
  <c r="H32" i="2" s="1"/>
  <c r="E32" i="2"/>
  <c r="G31" i="2"/>
  <c r="F31" i="2"/>
  <c r="I31" i="2" s="1"/>
  <c r="E31" i="2"/>
  <c r="E30" i="2"/>
  <c r="E29" i="2"/>
  <c r="E28" i="2"/>
  <c r="E27" i="2"/>
  <c r="G26" i="2"/>
  <c r="E26" i="2"/>
  <c r="F26" i="2" s="1"/>
  <c r="G25" i="2"/>
  <c r="F25" i="2"/>
  <c r="K25" i="2" s="1"/>
  <c r="E25" i="2"/>
  <c r="J24" i="2"/>
  <c r="H24" i="2" s="1"/>
  <c r="G23" i="2"/>
  <c r="F23" i="2"/>
  <c r="I23" i="2" s="1"/>
  <c r="E23" i="2"/>
  <c r="E22" i="2"/>
  <c r="E20" i="2"/>
  <c r="E19" i="2"/>
  <c r="G18" i="2"/>
  <c r="E18" i="2"/>
  <c r="F18" i="2" s="1"/>
  <c r="J17" i="2"/>
  <c r="H17" i="2" s="1"/>
  <c r="J16" i="2"/>
  <c r="H16" i="2" s="1"/>
  <c r="G16" i="2"/>
  <c r="I16" i="2"/>
  <c r="G15" i="2"/>
  <c r="F15" i="2"/>
  <c r="I15" i="2" s="1"/>
  <c r="E15" i="2"/>
  <c r="E14" i="2"/>
  <c r="E10" i="2"/>
  <c r="G8" i="2"/>
  <c r="E8" i="2"/>
  <c r="F8" i="2" s="1"/>
  <c r="F7" i="2"/>
  <c r="I7" i="2" s="1"/>
  <c r="I6" i="2"/>
  <c r="G6" i="2"/>
  <c r="F6" i="2"/>
  <c r="J6" i="2" s="1"/>
  <c r="H6" i="2" s="1"/>
  <c r="E6" i="2"/>
  <c r="K6" i="2" s="1"/>
  <c r="F5" i="2"/>
  <c r="I5" i="2" s="1"/>
  <c r="E3" i="2"/>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436" i="2" l="1"/>
  <c r="K381" i="2"/>
  <c r="K291" i="2"/>
  <c r="J294" i="2"/>
  <c r="H294" i="2" s="1"/>
  <c r="K631" i="2"/>
  <c r="I610" i="2"/>
  <c r="K743" i="2"/>
  <c r="K31" i="2"/>
  <c r="K568" i="2"/>
  <c r="I576" i="2"/>
  <c r="I265" i="2"/>
  <c r="I277" i="2"/>
  <c r="J657" i="2"/>
  <c r="H657" i="2" s="1"/>
  <c r="J717" i="2"/>
  <c r="H717" i="2" s="1"/>
  <c r="J743" i="2"/>
  <c r="H743" i="2" s="1"/>
  <c r="K110" i="2"/>
  <c r="K170" i="2"/>
  <c r="K594" i="2"/>
  <c r="I128" i="2"/>
  <c r="J123" i="2"/>
  <c r="K114" i="2"/>
  <c r="I131" i="2"/>
  <c r="J269" i="2"/>
  <c r="H269" i="2" s="1"/>
  <c r="K321" i="2"/>
  <c r="I466" i="2"/>
  <c r="K493" i="2"/>
  <c r="K49" i="2"/>
  <c r="I343" i="2"/>
  <c r="I276" i="2"/>
  <c r="K17" i="2"/>
  <c r="J320" i="2"/>
  <c r="H320" i="2" s="1"/>
  <c r="I329" i="2"/>
  <c r="J470" i="2"/>
  <c r="H470" i="2" s="1"/>
  <c r="J277" i="2"/>
  <c r="H277" i="2" s="1"/>
  <c r="I286" i="2"/>
  <c r="K470" i="2"/>
  <c r="K184" i="2"/>
  <c r="J268" i="2"/>
  <c r="J365" i="2"/>
  <c r="H365" i="2" s="1"/>
  <c r="I678" i="2"/>
  <c r="K265" i="2"/>
  <c r="I460" i="2"/>
  <c r="K41" i="2"/>
  <c r="I400" i="2"/>
  <c r="J594" i="2"/>
  <c r="H594" i="2" s="1"/>
  <c r="I665" i="2"/>
  <c r="K712" i="2"/>
  <c r="K24" i="2"/>
  <c r="I33" i="2"/>
  <c r="I64" i="2"/>
  <c r="I80" i="2"/>
  <c r="J134" i="2"/>
  <c r="H134" i="2" s="1"/>
  <c r="J141" i="2"/>
  <c r="H141" i="2" s="1"/>
  <c r="I146" i="2"/>
  <c r="I203" i="2"/>
  <c r="I207" i="2"/>
  <c r="I211" i="2"/>
  <c r="I219" i="2"/>
  <c r="I223" i="2"/>
  <c r="K294" i="2"/>
  <c r="I333" i="2"/>
  <c r="K342" i="2"/>
  <c r="I441" i="2"/>
  <c r="I448" i="2"/>
  <c r="K501" i="2"/>
  <c r="J665" i="2"/>
  <c r="J693" i="2"/>
  <c r="H693" i="2" s="1"/>
  <c r="K134" i="2"/>
  <c r="I149" i="2"/>
  <c r="I249" i="2"/>
  <c r="K441" i="2"/>
  <c r="J448" i="2"/>
  <c r="H448" i="2" s="1"/>
  <c r="J51" i="2"/>
  <c r="H51" i="2" s="1"/>
  <c r="I383" i="2"/>
  <c r="K557" i="2"/>
  <c r="I51" i="2"/>
  <c r="I271" i="2"/>
  <c r="I287" i="2"/>
  <c r="I291" i="2"/>
  <c r="I403" i="2"/>
  <c r="I452" i="2"/>
  <c r="I551" i="2"/>
  <c r="I24" i="2"/>
  <c r="J50" i="2"/>
  <c r="H50" i="2" s="1"/>
  <c r="K343" i="2"/>
  <c r="I346" i="2"/>
  <c r="I483" i="2"/>
  <c r="I493" i="2"/>
  <c r="K503" i="2"/>
  <c r="I555" i="2"/>
  <c r="J593" i="2"/>
  <c r="H593" i="2" s="1"/>
  <c r="I657" i="2"/>
  <c r="I717" i="2"/>
  <c r="I17" i="2"/>
  <c r="K23" i="2"/>
  <c r="K60" i="2"/>
  <c r="K76" i="2"/>
  <c r="K646" i="2"/>
  <c r="K252" i="2"/>
  <c r="J539" i="2"/>
  <c r="H539" i="2" s="1"/>
  <c r="K588" i="2"/>
  <c r="I675" i="2"/>
  <c r="K193" i="2"/>
  <c r="J517" i="2"/>
  <c r="H517" i="2" s="1"/>
  <c r="J547" i="2"/>
  <c r="H547" i="2" s="1"/>
  <c r="K560" i="2"/>
  <c r="I572" i="2"/>
  <c r="J623" i="2"/>
  <c r="H623" i="2" s="1"/>
  <c r="I682" i="2"/>
  <c r="I691" i="2"/>
  <c r="K694" i="2"/>
  <c r="I702" i="2"/>
  <c r="K708" i="2"/>
  <c r="I42" i="2"/>
  <c r="I98" i="2"/>
  <c r="J98" i="2"/>
  <c r="H98" i="2" s="1"/>
  <c r="I152" i="2"/>
  <c r="J211" i="2"/>
  <c r="H211" i="2" s="1"/>
  <c r="I227" i="2"/>
  <c r="J249" i="2"/>
  <c r="H249" i="2" s="1"/>
  <c r="I259" i="2"/>
  <c r="I317" i="2"/>
  <c r="J329" i="2"/>
  <c r="H329" i="2" s="1"/>
  <c r="I387" i="2"/>
  <c r="K389" i="2"/>
  <c r="K517" i="2"/>
  <c r="K586" i="2"/>
  <c r="J606" i="2"/>
  <c r="K629" i="2" s="1"/>
  <c r="K620" i="2"/>
  <c r="K623" i="2"/>
  <c r="J682" i="2"/>
  <c r="H682" i="2" s="1"/>
  <c r="J702" i="2"/>
  <c r="H702" i="2" s="1"/>
  <c r="J152" i="2"/>
  <c r="H152" i="2" s="1"/>
  <c r="I303" i="2"/>
  <c r="J405" i="2"/>
  <c r="H405" i="2" s="1"/>
  <c r="J452" i="2"/>
  <c r="H452" i="2" s="1"/>
  <c r="K469" i="2"/>
  <c r="I545" i="2"/>
  <c r="J561" i="2"/>
  <c r="H561" i="2" s="1"/>
  <c r="J576" i="2"/>
  <c r="H576" i="2" s="1"/>
  <c r="J598" i="2"/>
  <c r="H598" i="2" s="1"/>
  <c r="K664" i="2"/>
  <c r="J7" i="2"/>
  <c r="K69" i="2" s="1"/>
  <c r="K15" i="2"/>
  <c r="J43" i="2"/>
  <c r="H43" i="2" s="1"/>
  <c r="J227" i="2"/>
  <c r="H227" i="2" s="1"/>
  <c r="I237" i="2"/>
  <c r="I241" i="2"/>
  <c r="J248" i="2"/>
  <c r="H248" i="2" s="1"/>
  <c r="K317" i="2"/>
  <c r="K390" i="2"/>
  <c r="J475" i="2"/>
  <c r="H475" i="2" s="1"/>
  <c r="I501" i="2"/>
  <c r="J545" i="2"/>
  <c r="H545" i="2" s="1"/>
  <c r="J587" i="2"/>
  <c r="H587" i="2" s="1"/>
  <c r="I655" i="2"/>
  <c r="K690" i="2"/>
  <c r="I709" i="2"/>
  <c r="I712" i="2"/>
  <c r="K7" i="2"/>
  <c r="K42" i="2"/>
  <c r="K43" i="2"/>
  <c r="K94" i="2"/>
  <c r="K111" i="2"/>
  <c r="K167" i="2"/>
  <c r="I193" i="2"/>
  <c r="K245" i="2"/>
  <c r="K248" i="2"/>
  <c r="I416" i="2"/>
  <c r="K431" i="2"/>
  <c r="K463" i="2"/>
  <c r="K475" i="2"/>
  <c r="K495" i="2"/>
  <c r="I529" i="2"/>
  <c r="K571" i="2"/>
  <c r="J655" i="2"/>
  <c r="H655" i="2" s="1"/>
  <c r="J709" i="2"/>
  <c r="K32" i="2"/>
  <c r="K95" i="2"/>
  <c r="K105" i="2"/>
  <c r="K108" i="2"/>
  <c r="J114" i="2"/>
  <c r="H114" i="2" s="1"/>
  <c r="K162" i="2"/>
  <c r="J170" i="2"/>
  <c r="H170" i="2" s="1"/>
  <c r="K202" i="2"/>
  <c r="J258" i="2"/>
  <c r="J302" i="2"/>
  <c r="H302" i="2" s="1"/>
  <c r="I357" i="2"/>
  <c r="I373" i="2"/>
  <c r="J381" i="2"/>
  <c r="I423" i="2"/>
  <c r="J431" i="2"/>
  <c r="H431" i="2" s="1"/>
  <c r="J436" i="2"/>
  <c r="H436" i="2" s="1"/>
  <c r="J444" i="2"/>
  <c r="I447" i="2"/>
  <c r="I469" i="2"/>
  <c r="I539" i="2"/>
  <c r="J557" i="2"/>
  <c r="H557" i="2" s="1"/>
  <c r="J560" i="2"/>
  <c r="H560" i="2" s="1"/>
  <c r="J568" i="2"/>
  <c r="H568" i="2" s="1"/>
  <c r="I587" i="2"/>
  <c r="K602" i="2"/>
  <c r="J664" i="2"/>
  <c r="H664" i="2" s="1"/>
  <c r="I693" i="2"/>
  <c r="I451" i="2"/>
  <c r="K461" i="2"/>
  <c r="J483" i="2"/>
  <c r="I511" i="2"/>
  <c r="I519" i="2"/>
  <c r="J529" i="2"/>
  <c r="H529" i="2" s="1"/>
  <c r="I537" i="2"/>
  <c r="J551" i="2"/>
  <c r="H551" i="2" s="1"/>
  <c r="I556" i="2"/>
  <c r="I567" i="2"/>
  <c r="J590" i="2"/>
  <c r="H590" i="2" s="1"/>
  <c r="I649" i="2"/>
  <c r="J691" i="2"/>
  <c r="H691" i="2" s="1"/>
  <c r="I749" i="2"/>
  <c r="K5" i="2"/>
  <c r="J33" i="2"/>
  <c r="H33" i="2" s="1"/>
  <c r="K58" i="2"/>
  <c r="I61" i="2"/>
  <c r="J64" i="2"/>
  <c r="I67" i="2"/>
  <c r="K74" i="2"/>
  <c r="I77" i="2"/>
  <c r="J80" i="2"/>
  <c r="H80" i="2" s="1"/>
  <c r="J236" i="2"/>
  <c r="H236" i="2" s="1"/>
  <c r="J276" i="2"/>
  <c r="H276" i="2" s="1"/>
  <c r="I295" i="2"/>
  <c r="I313" i="2"/>
  <c r="I321" i="2"/>
  <c r="J339" i="2"/>
  <c r="H339" i="2" s="1"/>
  <c r="J347" i="2"/>
  <c r="H347" i="2" s="1"/>
  <c r="J357" i="2"/>
  <c r="H357" i="2" s="1"/>
  <c r="J373" i="2"/>
  <c r="H373" i="2" s="1"/>
  <c r="I378" i="2"/>
  <c r="I390" i="2"/>
  <c r="K395" i="2"/>
  <c r="I421" i="2"/>
  <c r="K426" i="2"/>
  <c r="I444" i="2"/>
  <c r="K451" i="2"/>
  <c r="K464" i="2"/>
  <c r="J467" i="2"/>
  <c r="H467" i="2" s="1"/>
  <c r="I495" i="2"/>
  <c r="I503" i="2"/>
  <c r="J511" i="2"/>
  <c r="H511" i="2" s="1"/>
  <c r="J519" i="2"/>
  <c r="H519" i="2" s="1"/>
  <c r="I527" i="2"/>
  <c r="J537" i="2"/>
  <c r="J556" i="2"/>
  <c r="H556" i="2" s="1"/>
  <c r="J567" i="2"/>
  <c r="H567" i="2" s="1"/>
  <c r="J577" i="2"/>
  <c r="H577" i="2" s="1"/>
  <c r="J581" i="2"/>
  <c r="I586" i="2"/>
  <c r="I595" i="2"/>
  <c r="J614" i="2"/>
  <c r="I620" i="2"/>
  <c r="I631" i="2"/>
  <c r="K649" i="2"/>
  <c r="J675" i="2"/>
  <c r="H675" i="2" s="1"/>
  <c r="I683" i="2"/>
  <c r="I703" i="2"/>
  <c r="J711" i="2"/>
  <c r="H711" i="2" s="1"/>
  <c r="K16" i="2"/>
  <c r="I25" i="2"/>
  <c r="I32" i="2"/>
  <c r="K50" i="2"/>
  <c r="I83" i="2"/>
  <c r="K148" i="2"/>
  <c r="I189" i="2"/>
  <c r="J218" i="2"/>
  <c r="K289" i="2" s="1"/>
  <c r="K236" i="2"/>
  <c r="I245" i="2"/>
  <c r="K302" i="2"/>
  <c r="J328" i="2"/>
  <c r="H328" i="2" s="1"/>
  <c r="I364" i="2"/>
  <c r="J449" i="2"/>
  <c r="H449" i="2" s="1"/>
  <c r="I509" i="2"/>
  <c r="J527" i="2"/>
  <c r="H527" i="2" s="1"/>
  <c r="I552" i="2"/>
  <c r="I566" i="2"/>
  <c r="K577" i="2"/>
  <c r="J595" i="2"/>
  <c r="H595" i="2" s="1"/>
  <c r="I609" i="2"/>
  <c r="I637" i="2"/>
  <c r="I647" i="2"/>
  <c r="I673" i="2"/>
  <c r="J683" i="2"/>
  <c r="H683" i="2" s="1"/>
  <c r="J303" i="2"/>
  <c r="H303" i="2" s="1"/>
  <c r="J364" i="2"/>
  <c r="H364" i="2" s="1"/>
  <c r="I413" i="2"/>
  <c r="J509" i="2"/>
  <c r="H509" i="2" s="1"/>
  <c r="J566" i="2"/>
  <c r="H566" i="2" s="1"/>
  <c r="J637" i="2"/>
  <c r="H637" i="2" s="1"/>
  <c r="J647" i="2"/>
  <c r="H647" i="2" s="1"/>
  <c r="J673" i="2"/>
  <c r="H673" i="2" s="1"/>
  <c r="J25" i="2"/>
  <c r="H25" i="2" s="1"/>
  <c r="J87" i="2"/>
  <c r="H87" i="2" s="1"/>
  <c r="I92" i="2"/>
  <c r="K259" i="2"/>
  <c r="J287" i="2"/>
  <c r="K506" i="2" s="1"/>
  <c r="J295" i="2"/>
  <c r="H295" i="2" s="1"/>
  <c r="K320" i="2"/>
  <c r="I338" i="2"/>
  <c r="J346" i="2"/>
  <c r="H346" i="2" s="1"/>
  <c r="I365" i="2"/>
  <c r="J389" i="2"/>
  <c r="H389" i="2" s="1"/>
  <c r="J413" i="2"/>
  <c r="H413" i="2" s="1"/>
  <c r="J552" i="2"/>
  <c r="H552" i="2" s="1"/>
  <c r="K87" i="2"/>
  <c r="J202" i="2"/>
  <c r="H202" i="2" s="1"/>
  <c r="I235" i="2"/>
  <c r="I258" i="2"/>
  <c r="I269" i="2"/>
  <c r="K280" i="2"/>
  <c r="K299" i="2"/>
  <c r="I339" i="2"/>
  <c r="I347" i="2"/>
  <c r="K392" i="2"/>
  <c r="I394" i="2"/>
  <c r="K636" i="2"/>
  <c r="J641" i="2"/>
  <c r="H641" i="2" s="1"/>
  <c r="J18" i="2"/>
  <c r="H18" i="2" s="1"/>
  <c r="I18" i="2"/>
  <c r="K18" i="2"/>
  <c r="I52" i="2"/>
  <c r="K52" i="2"/>
  <c r="J52" i="2"/>
  <c r="H52" i="2" s="1"/>
  <c r="K44" i="2"/>
  <c r="I44" i="2"/>
  <c r="J44" i="2"/>
  <c r="H44" i="2" s="1"/>
  <c r="I8" i="2"/>
  <c r="J8" i="2"/>
  <c r="H8" i="2" s="1"/>
  <c r="K8" i="2"/>
  <c r="I36" i="2"/>
  <c r="K36" i="2"/>
  <c r="J36" i="2"/>
  <c r="H36" i="2" s="1"/>
  <c r="K26" i="2"/>
  <c r="I26" i="2"/>
  <c r="J26" i="2"/>
  <c r="H26" i="2" s="1"/>
  <c r="F183" i="2"/>
  <c r="I183" i="2" s="1"/>
  <c r="F224" i="2"/>
  <c r="J224" i="2" s="1"/>
  <c r="H224" i="2" s="1"/>
  <c r="F40" i="2"/>
  <c r="K40" i="2" s="1"/>
  <c r="F48" i="2"/>
  <c r="I48" i="2" s="1"/>
  <c r="G57" i="2"/>
  <c r="F63" i="2"/>
  <c r="I63" i="2" s="1"/>
  <c r="J66" i="2"/>
  <c r="H66" i="2" s="1"/>
  <c r="J69" i="2"/>
  <c r="G73" i="2"/>
  <c r="F79" i="2"/>
  <c r="K79" i="2" s="1"/>
  <c r="J82" i="2"/>
  <c r="H82" i="2" s="1"/>
  <c r="J85" i="2"/>
  <c r="H85" i="2" s="1"/>
  <c r="F97" i="2"/>
  <c r="K97" i="2" s="1"/>
  <c r="J100" i="2"/>
  <c r="H100" i="2" s="1"/>
  <c r="G100" i="2"/>
  <c r="J103" i="2"/>
  <c r="K298" i="2" s="1"/>
  <c r="F113" i="2"/>
  <c r="J113" i="2" s="1"/>
  <c r="H113" i="2" s="1"/>
  <c r="J118" i="2"/>
  <c r="H118" i="2" s="1"/>
  <c r="G118" i="2"/>
  <c r="J121" i="2"/>
  <c r="H121" i="2" s="1"/>
  <c r="G125" i="2"/>
  <c r="F133" i="2"/>
  <c r="K133" i="2" s="1"/>
  <c r="J136" i="2"/>
  <c r="H136" i="2" s="1"/>
  <c r="G136" i="2"/>
  <c r="J139" i="2"/>
  <c r="H139" i="2" s="1"/>
  <c r="G145" i="2"/>
  <c r="F151" i="2"/>
  <c r="I151" i="2" s="1"/>
  <c r="J154" i="2"/>
  <c r="H154" i="2" s="1"/>
  <c r="G154" i="2"/>
  <c r="J157" i="2"/>
  <c r="F169" i="2"/>
  <c r="I169" i="2" s="1"/>
  <c r="J172" i="2"/>
  <c r="H172" i="2" s="1"/>
  <c r="G172" i="2"/>
  <c r="J177" i="2"/>
  <c r="H177" i="2" s="1"/>
  <c r="G183" i="2"/>
  <c r="I188" i="2"/>
  <c r="I206" i="2"/>
  <c r="I222" i="2"/>
  <c r="I240" i="2"/>
  <c r="G260" i="2"/>
  <c r="F260" i="2"/>
  <c r="I260" i="2" s="1"/>
  <c r="I273" i="2"/>
  <c r="G275" i="2"/>
  <c r="F275" i="2"/>
  <c r="I275" i="2" s="1"/>
  <c r="I285" i="2"/>
  <c r="I289" i="2"/>
  <c r="K311" i="2"/>
  <c r="K316" i="2"/>
  <c r="J316" i="2"/>
  <c r="H316" i="2" s="1"/>
  <c r="K345" i="2"/>
  <c r="J345" i="2"/>
  <c r="H345" i="2" s="1"/>
  <c r="G345" i="2"/>
  <c r="I345" i="2"/>
  <c r="G352" i="2"/>
  <c r="J352" i="2"/>
  <c r="H352" i="2" s="1"/>
  <c r="J482" i="2"/>
  <c r="H482" i="2" s="1"/>
  <c r="I482" i="2"/>
  <c r="K482" i="2"/>
  <c r="K107" i="2"/>
  <c r="F161" i="2"/>
  <c r="I161" i="2" s="1"/>
  <c r="F22" i="2"/>
  <c r="I22" i="2" s="1"/>
  <c r="G14" i="2"/>
  <c r="F21" i="2"/>
  <c r="K21" i="2" s="1"/>
  <c r="F96" i="2"/>
  <c r="K96" i="2" s="1"/>
  <c r="F112" i="2"/>
  <c r="K112" i="2" s="1"/>
  <c r="F132" i="2"/>
  <c r="K132" i="2" s="1"/>
  <c r="J166" i="2"/>
  <c r="H166" i="2" s="1"/>
  <c r="G205" i="2"/>
  <c r="K210" i="2"/>
  <c r="K215" i="2"/>
  <c r="G221" i="2"/>
  <c r="K226" i="2"/>
  <c r="G230" i="2"/>
  <c r="K231" i="2"/>
  <c r="G239" i="2"/>
  <c r="G243" i="2"/>
  <c r="K243" i="2"/>
  <c r="G257" i="2"/>
  <c r="G261" i="2"/>
  <c r="J333" i="2"/>
  <c r="H333" i="2" s="1"/>
  <c r="K333" i="2"/>
  <c r="F208" i="2"/>
  <c r="J208" i="2" s="1"/>
  <c r="H208" i="2" s="1"/>
  <c r="G208" i="2"/>
  <c r="G327" i="2"/>
  <c r="F327" i="2"/>
  <c r="J327" i="2" s="1"/>
  <c r="H327" i="2" s="1"/>
  <c r="F3" i="2"/>
  <c r="K3" i="2" s="1"/>
  <c r="G22" i="2"/>
  <c r="J199" i="2"/>
  <c r="H199" i="2" s="1"/>
  <c r="F279" i="2"/>
  <c r="I279" i="2" s="1"/>
  <c r="F424" i="2"/>
  <c r="I424" i="2" s="1"/>
  <c r="G424" i="2"/>
  <c r="F10" i="2"/>
  <c r="K10" i="2" s="1"/>
  <c r="K78" i="2"/>
  <c r="F93" i="2"/>
  <c r="F109" i="2"/>
  <c r="I109" i="2" s="1"/>
  <c r="F129" i="2"/>
  <c r="I129" i="2" s="1"/>
  <c r="F147" i="2"/>
  <c r="I147" i="2" s="1"/>
  <c r="F168" i="2"/>
  <c r="K168" i="2" s="1"/>
  <c r="K192" i="2"/>
  <c r="G198" i="2"/>
  <c r="I201" i="2"/>
  <c r="G214" i="2"/>
  <c r="I4" i="2"/>
  <c r="J5" i="2"/>
  <c r="K66" i="2" s="1"/>
  <c r="F9" i="2"/>
  <c r="G10" i="2"/>
  <c r="J15" i="2"/>
  <c r="H15" i="2" s="1"/>
  <c r="F19" i="2"/>
  <c r="I19" i="2" s="1"/>
  <c r="G20" i="2"/>
  <c r="J23" i="2"/>
  <c r="H23" i="2" s="1"/>
  <c r="F27" i="2"/>
  <c r="G28" i="2"/>
  <c r="J31" i="2"/>
  <c r="H31" i="2" s="1"/>
  <c r="F37" i="2"/>
  <c r="I37" i="2" s="1"/>
  <c r="J41" i="2"/>
  <c r="H41" i="2" s="1"/>
  <c r="F45" i="2"/>
  <c r="G46" i="2"/>
  <c r="J49" i="2"/>
  <c r="H49" i="2" s="1"/>
  <c r="F53" i="2"/>
  <c r="I53" i="2" s="1"/>
  <c r="G59" i="2"/>
  <c r="F65" i="2"/>
  <c r="I65" i="2" s="1"/>
  <c r="I66" i="2"/>
  <c r="F68" i="2"/>
  <c r="K68" i="2" s="1"/>
  <c r="G75" i="2"/>
  <c r="F81" i="2"/>
  <c r="I82" i="2"/>
  <c r="F84" i="2"/>
  <c r="K84" i="2" s="1"/>
  <c r="F99" i="2"/>
  <c r="K99" i="2" s="1"/>
  <c r="I100" i="2"/>
  <c r="F102" i="2"/>
  <c r="K102" i="2" s="1"/>
  <c r="G112" i="2"/>
  <c r="F115" i="2"/>
  <c r="K115" i="2" s="1"/>
  <c r="I118" i="2"/>
  <c r="K130" i="2"/>
  <c r="G132" i="2"/>
  <c r="F135" i="2"/>
  <c r="I136" i="2"/>
  <c r="G147" i="2"/>
  <c r="F153" i="2"/>
  <c r="K153" i="2" s="1"/>
  <c r="I154" i="2"/>
  <c r="G168" i="2"/>
  <c r="F171" i="2"/>
  <c r="I172" i="2"/>
  <c r="F176" i="2"/>
  <c r="K176" i="2" s="1"/>
  <c r="F187" i="2"/>
  <c r="G191" i="2"/>
  <c r="F191" i="2"/>
  <c r="I191" i="2" s="1"/>
  <c r="I198" i="2"/>
  <c r="F200" i="2"/>
  <c r="I200" i="2" s="1"/>
  <c r="F205" i="2"/>
  <c r="K205" i="2" s="1"/>
  <c r="F209" i="2"/>
  <c r="I209" i="2" s="1"/>
  <c r="I214" i="2"/>
  <c r="F216" i="2"/>
  <c r="I216" i="2" s="1"/>
  <c r="J217" i="2"/>
  <c r="H217" i="2" s="1"/>
  <c r="F221" i="2"/>
  <c r="K221" i="2" s="1"/>
  <c r="G225" i="2"/>
  <c r="F225" i="2"/>
  <c r="I225" i="2" s="1"/>
  <c r="I230" i="2"/>
  <c r="F234" i="2"/>
  <c r="I234" i="2" s="1"/>
  <c r="F239" i="2"/>
  <c r="K239" i="2" s="1"/>
  <c r="G247" i="2"/>
  <c r="F247" i="2"/>
  <c r="J247" i="2" s="1"/>
  <c r="H247" i="2" s="1"/>
  <c r="F257" i="2"/>
  <c r="K257" i="2" s="1"/>
  <c r="F261" i="2"/>
  <c r="I261" i="2" s="1"/>
  <c r="J267" i="2"/>
  <c r="H267" i="2" s="1"/>
  <c r="K281" i="2"/>
  <c r="F290" i="2"/>
  <c r="J290" i="2" s="1"/>
  <c r="H290" i="2" s="1"/>
  <c r="F292" i="2"/>
  <c r="I292" i="2" s="1"/>
  <c r="J298" i="2"/>
  <c r="H298" i="2" s="1"/>
  <c r="K307" i="2"/>
  <c r="I311" i="2"/>
  <c r="F402" i="2"/>
  <c r="J402" i="2" s="1"/>
  <c r="H402" i="2" s="1"/>
  <c r="F422" i="2"/>
  <c r="F57" i="2"/>
  <c r="I57" i="2" s="1"/>
  <c r="F73" i="2"/>
  <c r="K73" i="2" s="1"/>
  <c r="F125" i="2"/>
  <c r="J125" i="2" s="1"/>
  <c r="H125" i="2" s="1"/>
  <c r="F242" i="2"/>
  <c r="J242" i="2" s="1"/>
  <c r="H242" i="2" s="1"/>
  <c r="G242" i="2"/>
  <c r="G297" i="2"/>
  <c r="F297" i="2"/>
  <c r="J297" i="2" s="1"/>
  <c r="H297" i="2" s="1"/>
  <c r="K13" i="2"/>
  <c r="G40" i="2"/>
  <c r="G48" i="2"/>
  <c r="J293" i="2"/>
  <c r="H293" i="2" s="1"/>
  <c r="K304" i="2"/>
  <c r="I304" i="2"/>
  <c r="F370" i="2"/>
  <c r="J370" i="2" s="1"/>
  <c r="H370" i="2" s="1"/>
  <c r="G397" i="2"/>
  <c r="F397" i="2"/>
  <c r="J397" i="2" s="1"/>
  <c r="H397" i="2" s="1"/>
  <c r="F20" i="2"/>
  <c r="K20" i="2" s="1"/>
  <c r="G29" i="2"/>
  <c r="F38" i="2"/>
  <c r="K38" i="2" s="1"/>
  <c r="F59" i="2"/>
  <c r="J59" i="2" s="1"/>
  <c r="H59" i="2" s="1"/>
  <c r="I120" i="2"/>
  <c r="I138" i="2"/>
  <c r="F150" i="2"/>
  <c r="K150" i="2" s="1"/>
  <c r="I156" i="2"/>
  <c r="F164" i="2"/>
  <c r="J164" i="2" s="1"/>
  <c r="H164" i="2" s="1"/>
  <c r="I185" i="2"/>
  <c r="I3" i="2"/>
  <c r="J4" i="2"/>
  <c r="H4" i="2" s="1"/>
  <c r="G19" i="2"/>
  <c r="G27" i="2"/>
  <c r="G37" i="2"/>
  <c r="G45" i="2"/>
  <c r="G53" i="2"/>
  <c r="I55" i="2"/>
  <c r="J58" i="2"/>
  <c r="H58" i="2" s="1"/>
  <c r="G58" i="2"/>
  <c r="J61" i="2"/>
  <c r="G65" i="2"/>
  <c r="G68" i="2"/>
  <c r="I69" i="2"/>
  <c r="F71" i="2"/>
  <c r="I72" i="2"/>
  <c r="J74" i="2"/>
  <c r="H74" i="2" s="1"/>
  <c r="G74" i="2"/>
  <c r="J77" i="2"/>
  <c r="H77" i="2" s="1"/>
  <c r="K82" i="2"/>
  <c r="G84" i="2"/>
  <c r="I85" i="2"/>
  <c r="I90" i="2"/>
  <c r="J92" i="2"/>
  <c r="H92" i="2" s="1"/>
  <c r="G92" i="2"/>
  <c r="J95" i="2"/>
  <c r="H95" i="2" s="1"/>
  <c r="K100" i="2"/>
  <c r="I103" i="2"/>
  <c r="I106" i="2"/>
  <c r="J108" i="2"/>
  <c r="H108" i="2" s="1"/>
  <c r="G108" i="2"/>
  <c r="J111" i="2"/>
  <c r="H111" i="2" s="1"/>
  <c r="K118" i="2"/>
  <c r="G120" i="2"/>
  <c r="I121" i="2"/>
  <c r="I124" i="2"/>
  <c r="J128" i="2"/>
  <c r="H128" i="2" s="1"/>
  <c r="J131" i="2"/>
  <c r="H131" i="2" s="1"/>
  <c r="K136" i="2"/>
  <c r="I139" i="2"/>
  <c r="I142" i="2"/>
  <c r="J146" i="2"/>
  <c r="H146" i="2" s="1"/>
  <c r="G146" i="2"/>
  <c r="J149" i="2"/>
  <c r="H149" i="2" s="1"/>
  <c r="K154" i="2"/>
  <c r="G156" i="2"/>
  <c r="I157" i="2"/>
  <c r="F159" i="2"/>
  <c r="I159" i="2" s="1"/>
  <c r="I160" i="2"/>
  <c r="J162" i="2"/>
  <c r="H162" i="2" s="1"/>
  <c r="G162" i="2"/>
  <c r="J167" i="2"/>
  <c r="H167" i="2" s="1"/>
  <c r="K172" i="2"/>
  <c r="G176" i="2"/>
  <c r="I177" i="2"/>
  <c r="F181" i="2"/>
  <c r="I181" i="2" s="1"/>
  <c r="I182" i="2"/>
  <c r="J184" i="2"/>
  <c r="H184" i="2" s="1"/>
  <c r="G184" i="2"/>
  <c r="J198" i="2"/>
  <c r="H198" i="2" s="1"/>
  <c r="G200" i="2"/>
  <c r="J214" i="2"/>
  <c r="H214" i="2" s="1"/>
  <c r="J230" i="2"/>
  <c r="H230" i="2" s="1"/>
  <c r="G251" i="2"/>
  <c r="F251" i="2"/>
  <c r="I251" i="2" s="1"/>
  <c r="K273" i="2"/>
  <c r="F282" i="2"/>
  <c r="K282" i="2" s="1"/>
  <c r="G282" i="2"/>
  <c r="I299" i="2"/>
  <c r="G305" i="2"/>
  <c r="F305" i="2"/>
  <c r="J305" i="2" s="1"/>
  <c r="H305" i="2" s="1"/>
  <c r="F308" i="2"/>
  <c r="K308" i="2" s="1"/>
  <c r="G308" i="2"/>
  <c r="J325" i="2"/>
  <c r="H325" i="2" s="1"/>
  <c r="K325" i="2"/>
  <c r="G368" i="2"/>
  <c r="F368" i="2"/>
  <c r="K368" i="2" s="1"/>
  <c r="G542" i="2"/>
  <c r="F542" i="2"/>
  <c r="J542" i="2" s="1"/>
  <c r="H542" i="2" s="1"/>
  <c r="F145" i="2"/>
  <c r="J145" i="2" s="1"/>
  <c r="H145" i="2" s="1"/>
  <c r="F14" i="2"/>
  <c r="I14" i="2" s="1"/>
  <c r="F30" i="2"/>
  <c r="I30" i="2" s="1"/>
  <c r="G4" i="2"/>
  <c r="F29" i="2"/>
  <c r="I29" i="2" s="1"/>
  <c r="G30" i="2"/>
  <c r="F39" i="2"/>
  <c r="K39" i="2" s="1"/>
  <c r="K356" i="2"/>
  <c r="J356" i="2"/>
  <c r="H356" i="2" s="1"/>
  <c r="G39" i="2"/>
  <c r="F62" i="2"/>
  <c r="K62" i="2" s="1"/>
  <c r="F75" i="2"/>
  <c r="K75" i="2" s="1"/>
  <c r="J3" i="2"/>
  <c r="H3" i="2" s="1"/>
  <c r="K4" i="2"/>
  <c r="I10" i="2"/>
  <c r="J55" i="2"/>
  <c r="H55" i="2" s="1"/>
  <c r="K67" i="2"/>
  <c r="J72" i="2"/>
  <c r="K218" i="2" s="1"/>
  <c r="K83" i="2"/>
  <c r="J90" i="2"/>
  <c r="H90" i="2" s="1"/>
  <c r="J106" i="2"/>
  <c r="H106" i="2" s="1"/>
  <c r="J124" i="2"/>
  <c r="H124" i="2" s="1"/>
  <c r="J142" i="2"/>
  <c r="H142" i="2" s="1"/>
  <c r="J160" i="2"/>
  <c r="H160" i="2" s="1"/>
  <c r="J182" i="2"/>
  <c r="H182" i="2" s="1"/>
  <c r="G195" i="2"/>
  <c r="K198" i="2"/>
  <c r="J203" i="2"/>
  <c r="H203" i="2" s="1"/>
  <c r="K214" i="2"/>
  <c r="J219" i="2"/>
  <c r="H219" i="2" s="1"/>
  <c r="G229" i="2"/>
  <c r="K230" i="2"/>
  <c r="J237" i="2"/>
  <c r="H237" i="2" s="1"/>
  <c r="G244" i="2"/>
  <c r="F262" i="2"/>
  <c r="K262" i="2" s="1"/>
  <c r="F266" i="2"/>
  <c r="I266" i="2" s="1"/>
  <c r="G266" i="2"/>
  <c r="G272" i="2"/>
  <c r="G288" i="2"/>
  <c r="F288" i="2"/>
  <c r="K288" i="2" s="1"/>
  <c r="F354" i="2"/>
  <c r="K354" i="2" s="1"/>
  <c r="G354" i="2"/>
  <c r="K360" i="2"/>
  <c r="J360" i="2"/>
  <c r="H360" i="2" s="1"/>
  <c r="K372" i="2"/>
  <c r="J372" i="2"/>
  <c r="H372" i="2" s="1"/>
  <c r="I372" i="2"/>
  <c r="G375" i="2"/>
  <c r="F375" i="2"/>
  <c r="J375" i="2" s="1"/>
  <c r="H375" i="2" s="1"/>
  <c r="K385" i="2"/>
  <c r="J385" i="2"/>
  <c r="H385" i="2" s="1"/>
  <c r="G419" i="2"/>
  <c r="F419" i="2"/>
  <c r="I419" i="2" s="1"/>
  <c r="G562" i="2"/>
  <c r="F562" i="2"/>
  <c r="J562" i="2" s="1"/>
  <c r="H562" i="2" s="1"/>
  <c r="F579" i="2"/>
  <c r="I579" i="2" s="1"/>
  <c r="G579" i="2"/>
  <c r="F91" i="2"/>
  <c r="F190" i="2"/>
  <c r="K190" i="2" s="1"/>
  <c r="G190" i="2"/>
  <c r="F270" i="2"/>
  <c r="G323" i="2"/>
  <c r="F323" i="2"/>
  <c r="I323" i="2" s="1"/>
  <c r="F47" i="2"/>
  <c r="I47" i="2" s="1"/>
  <c r="G3" i="2"/>
  <c r="F28" i="2"/>
  <c r="K28" i="2" s="1"/>
  <c r="F46" i="2"/>
  <c r="K46" i="2" s="1"/>
  <c r="I60" i="2"/>
  <c r="J68" i="2"/>
  <c r="H68" i="2" s="1"/>
  <c r="F70" i="2"/>
  <c r="K70" i="2" s="1"/>
  <c r="I76" i="2"/>
  <c r="F86" i="2"/>
  <c r="K86" i="2" s="1"/>
  <c r="I94" i="2"/>
  <c r="F101" i="2"/>
  <c r="K101" i="2" s="1"/>
  <c r="F104" i="2"/>
  <c r="K104" i="2" s="1"/>
  <c r="I105" i="2"/>
  <c r="I110" i="2"/>
  <c r="F119" i="2"/>
  <c r="J120" i="2"/>
  <c r="H120" i="2" s="1"/>
  <c r="F122" i="2"/>
  <c r="K122" i="2" s="1"/>
  <c r="I123" i="2"/>
  <c r="I130" i="2"/>
  <c r="F137" i="2"/>
  <c r="K137" i="2" s="1"/>
  <c r="J138" i="2"/>
  <c r="H138" i="2" s="1"/>
  <c r="F140" i="2"/>
  <c r="K140" i="2" s="1"/>
  <c r="I141" i="2"/>
  <c r="I148" i="2"/>
  <c r="F155" i="2"/>
  <c r="K155" i="2" s="1"/>
  <c r="J156" i="2"/>
  <c r="H156" i="2" s="1"/>
  <c r="F158" i="2"/>
  <c r="K158" i="2" s="1"/>
  <c r="I166" i="2"/>
  <c r="F175" i="2"/>
  <c r="K175" i="2" s="1"/>
  <c r="F178" i="2"/>
  <c r="K178" i="2" s="1"/>
  <c r="F186" i="2"/>
  <c r="I186" i="2" s="1"/>
  <c r="K188" i="2"/>
  <c r="G188" i="2"/>
  <c r="K189" i="2"/>
  <c r="J192" i="2"/>
  <c r="H192" i="2" s="1"/>
  <c r="F195" i="2"/>
  <c r="J195" i="2" s="1"/>
  <c r="H195" i="2" s="1"/>
  <c r="I204" i="2"/>
  <c r="K206" i="2"/>
  <c r="G206" i="2"/>
  <c r="K207" i="2"/>
  <c r="J210" i="2"/>
  <c r="H210" i="2" s="1"/>
  <c r="F213" i="2"/>
  <c r="J213" i="2" s="1"/>
  <c r="H213" i="2" s="1"/>
  <c r="F220" i="2"/>
  <c r="I220" i="2" s="1"/>
  <c r="K222" i="2"/>
  <c r="G222" i="2"/>
  <c r="K223" i="2"/>
  <c r="J226" i="2"/>
  <c r="H226" i="2" s="1"/>
  <c r="F229" i="2"/>
  <c r="J229" i="2" s="1"/>
  <c r="H229" i="2" s="1"/>
  <c r="F238" i="2"/>
  <c r="I238" i="2" s="1"/>
  <c r="K240" i="2"/>
  <c r="K241" i="2"/>
  <c r="F244" i="2"/>
  <c r="K253" i="2"/>
  <c r="G262" i="2"/>
  <c r="F272" i="2"/>
  <c r="J272" i="2" s="1"/>
  <c r="H272" i="2" s="1"/>
  <c r="J286" i="2"/>
  <c r="H286" i="2" s="1"/>
  <c r="F306" i="2"/>
  <c r="J306" i="2" s="1"/>
  <c r="H306" i="2" s="1"/>
  <c r="G331" i="2"/>
  <c r="F331" i="2"/>
  <c r="K331" i="2" s="1"/>
  <c r="J500" i="2"/>
  <c r="I500" i="2"/>
  <c r="F194" i="2"/>
  <c r="J194" i="2" s="1"/>
  <c r="H194" i="2" s="1"/>
  <c r="I199" i="2"/>
  <c r="J212" i="2"/>
  <c r="H212" i="2" s="1"/>
  <c r="I215" i="2"/>
  <c r="F228" i="2"/>
  <c r="I231" i="2"/>
  <c r="G240" i="2"/>
  <c r="F246" i="2"/>
  <c r="J246" i="2" s="1"/>
  <c r="H246" i="2" s="1"/>
  <c r="F254" i="2"/>
  <c r="I254" i="2" s="1"/>
  <c r="G271" i="2"/>
  <c r="K271" i="2"/>
  <c r="I281" i="2"/>
  <c r="K293" i="2"/>
  <c r="G293" i="2"/>
  <c r="I298" i="2"/>
  <c r="F300" i="2"/>
  <c r="K300" i="2" s="1"/>
  <c r="G315" i="2"/>
  <c r="F315" i="2"/>
  <c r="I325" i="2"/>
  <c r="K337" i="2"/>
  <c r="J337" i="2"/>
  <c r="H337" i="2" s="1"/>
  <c r="G337" i="2"/>
  <c r="J338" i="2"/>
  <c r="I360" i="2"/>
  <c r="G360" i="2"/>
  <c r="F362" i="2"/>
  <c r="K362" i="2" s="1"/>
  <c r="J394" i="2"/>
  <c r="H394" i="2" s="1"/>
  <c r="F404" i="2"/>
  <c r="K404" i="2" s="1"/>
  <c r="I412" i="2"/>
  <c r="K412" i="2"/>
  <c r="J412" i="2"/>
  <c r="H412" i="2" s="1"/>
  <c r="K488" i="2"/>
  <c r="J488" i="2"/>
  <c r="H488" i="2" s="1"/>
  <c r="I488" i="2"/>
  <c r="G488" i="2"/>
  <c r="G355" i="2"/>
  <c r="J380" i="2"/>
  <c r="H380" i="2" s="1"/>
  <c r="I380" i="2"/>
  <c r="G391" i="2"/>
  <c r="F393" i="2"/>
  <c r="K393" i="2" s="1"/>
  <c r="G410" i="2"/>
  <c r="F420" i="2"/>
  <c r="J420" i="2" s="1"/>
  <c r="H420" i="2" s="1"/>
  <c r="F468" i="2"/>
  <c r="K468" i="2" s="1"/>
  <c r="G563" i="2"/>
  <c r="F563" i="2"/>
  <c r="I563" i="2" s="1"/>
  <c r="G201" i="2"/>
  <c r="K201" i="2"/>
  <c r="G217" i="2"/>
  <c r="K217" i="2"/>
  <c r="G235" i="2"/>
  <c r="K235" i="2"/>
  <c r="I253" i="2"/>
  <c r="K267" i="2"/>
  <c r="G267" i="2"/>
  <c r="G278" i="2"/>
  <c r="F278" i="2"/>
  <c r="J278" i="2" s="1"/>
  <c r="H278" i="2" s="1"/>
  <c r="I280" i="2"/>
  <c r="K301" i="2"/>
  <c r="J301" i="2"/>
  <c r="H301" i="2" s="1"/>
  <c r="G301" i="2"/>
  <c r="I316" i="2"/>
  <c r="G316" i="2"/>
  <c r="I318" i="2"/>
  <c r="K328" i="2"/>
  <c r="G341" i="2"/>
  <c r="K341" i="2"/>
  <c r="I353" i="2"/>
  <c r="F355" i="2"/>
  <c r="K355" i="2" s="1"/>
  <c r="K363" i="2"/>
  <c r="J363" i="2"/>
  <c r="H363" i="2" s="1"/>
  <c r="G363" i="2"/>
  <c r="K376" i="2"/>
  <c r="J376" i="2"/>
  <c r="H376" i="2" s="1"/>
  <c r="I376" i="2"/>
  <c r="J386" i="2"/>
  <c r="H386" i="2" s="1"/>
  <c r="K386" i="2"/>
  <c r="G386" i="2"/>
  <c r="F391" i="2"/>
  <c r="K391" i="2" s="1"/>
  <c r="G393" i="2"/>
  <c r="F410" i="2"/>
  <c r="K410" i="2" s="1"/>
  <c r="G443" i="2"/>
  <c r="F443" i="2"/>
  <c r="G507" i="2"/>
  <c r="F507" i="2"/>
  <c r="J507" i="2" s="1"/>
  <c r="H507" i="2" s="1"/>
  <c r="F326" i="2"/>
  <c r="K326" i="2" s="1"/>
  <c r="G351" i="2"/>
  <c r="F351" i="2"/>
  <c r="J351" i="2" s="1"/>
  <c r="H351" i="2" s="1"/>
  <c r="G371" i="2"/>
  <c r="K380" i="2"/>
  <c r="F382" i="2"/>
  <c r="J382" i="2" s="1"/>
  <c r="H382" i="2" s="1"/>
  <c r="G388" i="2"/>
  <c r="F388" i="2"/>
  <c r="J388" i="2" s="1"/>
  <c r="H388" i="2" s="1"/>
  <c r="G415" i="2"/>
  <c r="F415" i="2"/>
  <c r="K415" i="2" s="1"/>
  <c r="G428" i="2"/>
  <c r="F428" i="2"/>
  <c r="J428" i="2" s="1"/>
  <c r="H428" i="2" s="1"/>
  <c r="G433" i="2"/>
  <c r="F433" i="2"/>
  <c r="I433" i="2" s="1"/>
  <c r="K677" i="2"/>
  <c r="J677" i="2"/>
  <c r="H677" i="2" s="1"/>
  <c r="G309" i="2"/>
  <c r="K324" i="2"/>
  <c r="G326" i="2"/>
  <c r="G332" i="2"/>
  <c r="F336" i="2"/>
  <c r="K336" i="2" s="1"/>
  <c r="G359" i="2"/>
  <c r="F359" i="2"/>
  <c r="J359" i="2" s="1"/>
  <c r="H359" i="2" s="1"/>
  <c r="J361" i="2"/>
  <c r="H361" i="2" s="1"/>
  <c r="I361" i="2"/>
  <c r="F371" i="2"/>
  <c r="I371" i="2" s="1"/>
  <c r="G377" i="2"/>
  <c r="G382" i="2"/>
  <c r="G384" i="2"/>
  <c r="F384" i="2"/>
  <c r="K384" i="2" s="1"/>
  <c r="F406" i="2"/>
  <c r="K406" i="2" s="1"/>
  <c r="G455" i="2"/>
  <c r="K549" i="2"/>
  <c r="J549" i="2"/>
  <c r="H549" i="2" s="1"/>
  <c r="I549" i="2"/>
  <c r="G250" i="2"/>
  <c r="F250" i="2"/>
  <c r="K250" i="2" s="1"/>
  <c r="I252" i="2"/>
  <c r="F274" i="2"/>
  <c r="I274" i="2" s="1"/>
  <c r="I307" i="2"/>
  <c r="F309" i="2"/>
  <c r="I309" i="2" s="1"/>
  <c r="K319" i="2"/>
  <c r="J319" i="2"/>
  <c r="H319" i="2" s="1"/>
  <c r="G319" i="2"/>
  <c r="F332" i="2"/>
  <c r="J332" i="2" s="1"/>
  <c r="H332" i="2" s="1"/>
  <c r="G336" i="2"/>
  <c r="I342" i="2"/>
  <c r="G342" i="2"/>
  <c r="F344" i="2"/>
  <c r="K344" i="2" s="1"/>
  <c r="K353" i="2"/>
  <c r="I363" i="2"/>
  <c r="G367" i="2"/>
  <c r="F367" i="2"/>
  <c r="K367" i="2" s="1"/>
  <c r="J369" i="2"/>
  <c r="H369" i="2" s="1"/>
  <c r="I369" i="2"/>
  <c r="F377" i="2"/>
  <c r="K377" i="2" s="1"/>
  <c r="G379" i="2"/>
  <c r="F379" i="2"/>
  <c r="I386" i="2"/>
  <c r="F396" i="2"/>
  <c r="K396" i="2" s="1"/>
  <c r="G396" i="2"/>
  <c r="F401" i="2"/>
  <c r="K401" i="2" s="1"/>
  <c r="G406" i="2"/>
  <c r="F455" i="2"/>
  <c r="K455" i="2" s="1"/>
  <c r="J304" i="2"/>
  <c r="H304" i="2" s="1"/>
  <c r="J383" i="2"/>
  <c r="H383" i="2" s="1"/>
  <c r="I385" i="2"/>
  <c r="J395" i="2"/>
  <c r="H395" i="2" s="1"/>
  <c r="I399" i="2"/>
  <c r="K399" i="2"/>
  <c r="J403" i="2"/>
  <c r="H403" i="2" s="1"/>
  <c r="J438" i="2"/>
  <c r="F440" i="2"/>
  <c r="I440" i="2" s="1"/>
  <c r="F445" i="2"/>
  <c r="J478" i="2"/>
  <c r="G487" i="2"/>
  <c r="F487" i="2"/>
  <c r="J487" i="2" s="1"/>
  <c r="H487" i="2" s="1"/>
  <c r="G496" i="2"/>
  <c r="F496" i="2"/>
  <c r="I496" i="2" s="1"/>
  <c r="K516" i="2"/>
  <c r="J516" i="2"/>
  <c r="H516" i="2" s="1"/>
  <c r="I516" i="2"/>
  <c r="K525" i="2"/>
  <c r="J525" i="2"/>
  <c r="H525" i="2" s="1"/>
  <c r="I525" i="2"/>
  <c r="F541" i="2"/>
  <c r="J541" i="2" s="1"/>
  <c r="H541" i="2" s="1"/>
  <c r="F535" i="2"/>
  <c r="J535" i="2" s="1"/>
  <c r="H535" i="2" s="1"/>
  <c r="F543" i="2"/>
  <c r="I543" i="2" s="1"/>
  <c r="G543" i="2"/>
  <c r="F558" i="2"/>
  <c r="K558" i="2" s="1"/>
  <c r="G558" i="2"/>
  <c r="K599" i="2"/>
  <c r="I599" i="2"/>
  <c r="G618" i="2"/>
  <c r="F442" i="2"/>
  <c r="K442" i="2" s="1"/>
  <c r="G453" i="2"/>
  <c r="F453" i="2"/>
  <c r="K453" i="2" s="1"/>
  <c r="G465" i="2"/>
  <c r="G574" i="2"/>
  <c r="J574" i="2"/>
  <c r="H574" i="2" s="1"/>
  <c r="K597" i="2"/>
  <c r="I597" i="2"/>
  <c r="F618" i="2"/>
  <c r="K618" i="2" s="1"/>
  <c r="F296" i="2"/>
  <c r="F314" i="2"/>
  <c r="J314" i="2" s="1"/>
  <c r="H314" i="2" s="1"/>
  <c r="F322" i="2"/>
  <c r="J322" i="2" s="1"/>
  <c r="H322" i="2" s="1"/>
  <c r="F330" i="2"/>
  <c r="J330" i="2" s="1"/>
  <c r="F340" i="2"/>
  <c r="J340" i="2" s="1"/>
  <c r="H340" i="2" s="1"/>
  <c r="F350" i="2"/>
  <c r="J350" i="2" s="1"/>
  <c r="H350" i="2" s="1"/>
  <c r="F358" i="2"/>
  <c r="F366" i="2"/>
  <c r="J366" i="2" s="1"/>
  <c r="H366" i="2" s="1"/>
  <c r="F374" i="2"/>
  <c r="J374" i="2" s="1"/>
  <c r="H374" i="2" s="1"/>
  <c r="J378" i="2"/>
  <c r="H378" i="2" s="1"/>
  <c r="K387" i="2"/>
  <c r="J392" i="2"/>
  <c r="H392" i="2" s="1"/>
  <c r="F398" i="2"/>
  <c r="G398" i="2"/>
  <c r="J400" i="2"/>
  <c r="H400" i="2" s="1"/>
  <c r="K400" i="2"/>
  <c r="F430" i="2"/>
  <c r="I430" i="2" s="1"/>
  <c r="F439" i="2"/>
  <c r="I439" i="2" s="1"/>
  <c r="F446" i="2"/>
  <c r="G456" i="2"/>
  <c r="I461" i="2"/>
  <c r="F465" i="2"/>
  <c r="I465" i="2" s="1"/>
  <c r="G471" i="2"/>
  <c r="F471" i="2"/>
  <c r="K471" i="2" s="1"/>
  <c r="K485" i="2"/>
  <c r="I485" i="2"/>
  <c r="F504" i="2"/>
  <c r="G530" i="2"/>
  <c r="F530" i="2"/>
  <c r="I530" i="2" s="1"/>
  <c r="K536" i="2"/>
  <c r="J536" i="2"/>
  <c r="H536" i="2" s="1"/>
  <c r="G569" i="2"/>
  <c r="F569" i="2"/>
  <c r="K569" i="2" s="1"/>
  <c r="K585" i="2"/>
  <c r="J585" i="2"/>
  <c r="H585" i="2" s="1"/>
  <c r="I585" i="2"/>
  <c r="F605" i="2"/>
  <c r="F653" i="2"/>
  <c r="K653" i="2" s="1"/>
  <c r="G405" i="2"/>
  <c r="K405" i="2"/>
  <c r="F407" i="2"/>
  <c r="K407" i="2" s="1"/>
  <c r="F411" i="2"/>
  <c r="J411" i="2" s="1"/>
  <c r="F437" i="2"/>
  <c r="K437" i="2" s="1"/>
  <c r="G439" i="2"/>
  <c r="F456" i="2"/>
  <c r="J456" i="2" s="1"/>
  <c r="H456" i="2" s="1"/>
  <c r="J466" i="2"/>
  <c r="H466" i="2" s="1"/>
  <c r="G466" i="2"/>
  <c r="J485" i="2"/>
  <c r="H485" i="2" s="1"/>
  <c r="G505" i="2"/>
  <c r="F505" i="2"/>
  <c r="K505" i="2" s="1"/>
  <c r="K544" i="2"/>
  <c r="J544" i="2"/>
  <c r="H544" i="2" s="1"/>
  <c r="I544" i="2"/>
  <c r="F570" i="2"/>
  <c r="I570" i="2" s="1"/>
  <c r="K575" i="2"/>
  <c r="J575" i="2"/>
  <c r="H575" i="2" s="1"/>
  <c r="I575" i="2"/>
  <c r="K589" i="2"/>
  <c r="F723" i="2"/>
  <c r="I723" i="2" s="1"/>
  <c r="G723" i="2"/>
  <c r="F414" i="2"/>
  <c r="K414" i="2" s="1"/>
  <c r="G414" i="2"/>
  <c r="G425" i="2"/>
  <c r="F425" i="2"/>
  <c r="J425" i="2" s="1"/>
  <c r="H425" i="2" s="1"/>
  <c r="I427" i="2"/>
  <c r="K427" i="2"/>
  <c r="F432" i="2"/>
  <c r="J432" i="2" s="1"/>
  <c r="H432" i="2" s="1"/>
  <c r="F450" i="2"/>
  <c r="I450" i="2" s="1"/>
  <c r="I477" i="2"/>
  <c r="K477" i="2"/>
  <c r="G477" i="2" s="1"/>
  <c r="F486" i="2"/>
  <c r="G512" i="2"/>
  <c r="F512" i="2"/>
  <c r="J512" i="2" s="1"/>
  <c r="H512" i="2" s="1"/>
  <c r="G589" i="2"/>
  <c r="K416" i="2"/>
  <c r="K421" i="2"/>
  <c r="J423" i="2"/>
  <c r="H423" i="2" s="1"/>
  <c r="K459" i="2"/>
  <c r="I459" i="2"/>
  <c r="J460" i="2"/>
  <c r="H460" i="2" s="1"/>
  <c r="F462" i="2"/>
  <c r="I462" i="2" s="1"/>
  <c r="K472" i="2"/>
  <c r="J472" i="2"/>
  <c r="H472" i="2" s="1"/>
  <c r="F481" i="2"/>
  <c r="J481" i="2" s="1"/>
  <c r="H481" i="2" s="1"/>
  <c r="G484" i="2"/>
  <c r="F484" i="2"/>
  <c r="J454" i="2"/>
  <c r="H454" i="2" s="1"/>
  <c r="K454" i="2"/>
  <c r="J474" i="2"/>
  <c r="H474" i="2" s="1"/>
  <c r="I474" i="2"/>
  <c r="K479" i="2"/>
  <c r="F489" i="2"/>
  <c r="I489" i="2" s="1"/>
  <c r="J497" i="2"/>
  <c r="H497" i="2" s="1"/>
  <c r="I497" i="2"/>
  <c r="G497" i="2"/>
  <c r="J523" i="2"/>
  <c r="H523" i="2" s="1"/>
  <c r="I523" i="2"/>
  <c r="G523" i="2"/>
  <c r="G559" i="2"/>
  <c r="F559" i="2"/>
  <c r="I559" i="2" s="1"/>
  <c r="K573" i="2"/>
  <c r="J573" i="2"/>
  <c r="H573" i="2" s="1"/>
  <c r="I573" i="2"/>
  <c r="G573" i="2"/>
  <c r="J629" i="2"/>
  <c r="I629" i="2"/>
  <c r="G634" i="2"/>
  <c r="F634" i="2"/>
  <c r="J634" i="2" s="1"/>
  <c r="H634" i="2" s="1"/>
  <c r="K642" i="2"/>
  <c r="I642" i="2"/>
  <c r="G687" i="2"/>
  <c r="F687" i="2"/>
  <c r="I687" i="2" s="1"/>
  <c r="G622" i="2"/>
  <c r="G670" i="2"/>
  <c r="F670" i="2"/>
  <c r="J670" i="2" s="1"/>
  <c r="H670" i="2" s="1"/>
  <c r="I426" i="2"/>
  <c r="F429" i="2"/>
  <c r="I429" i="2" s="1"/>
  <c r="K447" i="2"/>
  <c r="J447" i="2"/>
  <c r="H447" i="2" s="1"/>
  <c r="I449" i="2"/>
  <c r="I454" i="2"/>
  <c r="I463" i="2"/>
  <c r="G463" i="2"/>
  <c r="I467" i="2"/>
  <c r="F473" i="2"/>
  <c r="J473" i="2" s="1"/>
  <c r="K508" i="2" s="1"/>
  <c r="K474" i="2"/>
  <c r="G476" i="2"/>
  <c r="F476" i="2"/>
  <c r="K480" i="2"/>
  <c r="J480" i="2"/>
  <c r="H480" i="2" s="1"/>
  <c r="K492" i="2"/>
  <c r="J492" i="2"/>
  <c r="H492" i="2" s="1"/>
  <c r="F498" i="2"/>
  <c r="K498" i="2" s="1"/>
  <c r="K514" i="2"/>
  <c r="J514" i="2"/>
  <c r="H514" i="2" s="1"/>
  <c r="I514" i="2"/>
  <c r="J534" i="2"/>
  <c r="I534" i="2"/>
  <c r="G553" i="2"/>
  <c r="F553" i="2"/>
  <c r="I553" i="2" s="1"/>
  <c r="G578" i="2"/>
  <c r="F578" i="2"/>
  <c r="K578" i="2" s="1"/>
  <c r="K615" i="2"/>
  <c r="J615" i="2"/>
  <c r="H615" i="2" s="1"/>
  <c r="I615" i="2"/>
  <c r="F622" i="2"/>
  <c r="J622" i="2" s="1"/>
  <c r="H622" i="2" s="1"/>
  <c r="K660" i="2"/>
  <c r="I660" i="2"/>
  <c r="G611" i="2"/>
  <c r="F611" i="2"/>
  <c r="K611" i="2" s="1"/>
  <c r="K714" i="2"/>
  <c r="I714" i="2"/>
  <c r="I616" i="2"/>
  <c r="G616" i="2"/>
  <c r="K616" i="2"/>
  <c r="J616" i="2"/>
  <c r="H616" i="2" s="1"/>
  <c r="F638" i="2"/>
  <c r="J638" i="2" s="1"/>
  <c r="H638" i="2" s="1"/>
  <c r="G638" i="2"/>
  <c r="J640" i="2"/>
  <c r="H640" i="2" s="1"/>
  <c r="I640" i="2"/>
  <c r="K640" i="2"/>
  <c r="K669" i="2"/>
  <c r="I669" i="2"/>
  <c r="J669" i="2"/>
  <c r="H669" i="2" s="1"/>
  <c r="G669" i="2"/>
  <c r="K681" i="2"/>
  <c r="J681" i="2"/>
  <c r="H681" i="2" s="1"/>
  <c r="I681" i="2"/>
  <c r="F686" i="2"/>
  <c r="I686" i="2" s="1"/>
  <c r="G700" i="2"/>
  <c r="F700" i="2"/>
  <c r="J700" i="2" s="1"/>
  <c r="H700" i="2" s="1"/>
  <c r="F729" i="2"/>
  <c r="J729" i="2" s="1"/>
  <c r="H729" i="2" s="1"/>
  <c r="K592" i="2"/>
  <c r="I592" i="2"/>
  <c r="J592" i="2"/>
  <c r="H592" i="2" s="1"/>
  <c r="G592" i="2"/>
  <c r="I608" i="2"/>
  <c r="J608" i="2"/>
  <c r="H608" i="2" s="1"/>
  <c r="K608" i="2"/>
  <c r="G608" i="2"/>
  <c r="K612" i="2"/>
  <c r="J612" i="2"/>
  <c r="H612" i="2" s="1"/>
  <c r="I612" i="2"/>
  <c r="K619" i="2"/>
  <c r="J619" i="2"/>
  <c r="H619" i="2" s="1"/>
  <c r="I619" i="2"/>
  <c r="G635" i="2"/>
  <c r="K635" i="2"/>
  <c r="J464" i="2"/>
  <c r="K515" i="2"/>
  <c r="J515" i="2"/>
  <c r="H515" i="2" s="1"/>
  <c r="I515" i="2"/>
  <c r="J524" i="2"/>
  <c r="H524" i="2" s="1"/>
  <c r="I524" i="2"/>
  <c r="K526" i="2"/>
  <c r="J526" i="2"/>
  <c r="H526" i="2" s="1"/>
  <c r="J533" i="2"/>
  <c r="H533" i="2" s="1"/>
  <c r="I533" i="2"/>
  <c r="G533" i="2"/>
  <c r="G540" i="2"/>
  <c r="F540" i="2"/>
  <c r="J540" i="2" s="1"/>
  <c r="H540" i="2" s="1"/>
  <c r="F550" i="2"/>
  <c r="I550" i="2" s="1"/>
  <c r="J554" i="2"/>
  <c r="H554" i="2" s="1"/>
  <c r="K554" i="2"/>
  <c r="I554" i="2"/>
  <c r="I582" i="2"/>
  <c r="G582" i="2"/>
  <c r="K582" i="2"/>
  <c r="J582" i="2"/>
  <c r="H582" i="2" s="1"/>
  <c r="G584" i="2"/>
  <c r="F584" i="2"/>
  <c r="J584" i="2" s="1"/>
  <c r="H584" i="2" s="1"/>
  <c r="K600" i="2"/>
  <c r="G600" i="2"/>
  <c r="J600" i="2"/>
  <c r="H600" i="2" s="1"/>
  <c r="J625" i="2"/>
  <c r="H625" i="2" s="1"/>
  <c r="G625" i="2"/>
  <c r="K625" i="2"/>
  <c r="F658" i="2"/>
  <c r="I658" i="2" s="1"/>
  <c r="J663" i="2"/>
  <c r="I663" i="2"/>
  <c r="G737" i="2"/>
  <c r="F737" i="2"/>
  <c r="I737" i="2" s="1"/>
  <c r="K630" i="2"/>
  <c r="J630" i="2"/>
  <c r="H630" i="2" s="1"/>
  <c r="G632" i="2"/>
  <c r="F632" i="2"/>
  <c r="K632" i="2" s="1"/>
  <c r="G658" i="2"/>
  <c r="K499" i="2"/>
  <c r="J499" i="2"/>
  <c r="H499" i="2" s="1"/>
  <c r="I499" i="2"/>
  <c r="J506" i="2"/>
  <c r="K707" i="2" s="1"/>
  <c r="I506" i="2"/>
  <c r="J508" i="2"/>
  <c r="J513" i="2"/>
  <c r="H513" i="2" s="1"/>
  <c r="I513" i="2"/>
  <c r="G513" i="2"/>
  <c r="G515" i="2"/>
  <c r="F522" i="2"/>
  <c r="I522" i="2" s="1"/>
  <c r="K533" i="2"/>
  <c r="J548" i="2"/>
  <c r="H548" i="2" s="1"/>
  <c r="I548" i="2"/>
  <c r="G554" i="2"/>
  <c r="J596" i="2"/>
  <c r="H596" i="2" s="1"/>
  <c r="I596" i="2"/>
  <c r="I606" i="2"/>
  <c r="I625" i="2"/>
  <c r="K725" i="2"/>
  <c r="J725" i="2"/>
  <c r="H725" i="2" s="1"/>
  <c r="I725" i="2"/>
  <c r="K547" i="2"/>
  <c r="I561" i="2"/>
  <c r="J572" i="2"/>
  <c r="H572" i="2" s="1"/>
  <c r="G588" i="2"/>
  <c r="J588" i="2"/>
  <c r="H588" i="2" s="1"/>
  <c r="I598" i="2"/>
  <c r="F648" i="2"/>
  <c r="J648" i="2" s="1"/>
  <c r="H648" i="2" s="1"/>
  <c r="G648" i="2"/>
  <c r="F667" i="2"/>
  <c r="K667" i="2" s="1"/>
  <c r="F684" i="2"/>
  <c r="J684" i="2" s="1"/>
  <c r="H684" i="2" s="1"/>
  <c r="K748" i="2"/>
  <c r="J748" i="2"/>
  <c r="H748" i="2" s="1"/>
  <c r="I748" i="2"/>
  <c r="G591" i="2"/>
  <c r="F674" i="2"/>
  <c r="I674" i="2" s="1"/>
  <c r="F676" i="2"/>
  <c r="J676" i="2" s="1"/>
  <c r="H676" i="2" s="1"/>
  <c r="G676" i="2"/>
  <c r="K696" i="2"/>
  <c r="I696" i="2"/>
  <c r="J701" i="2"/>
  <c r="F494" i="2"/>
  <c r="F510" i="2"/>
  <c r="F518" i="2"/>
  <c r="F528" i="2"/>
  <c r="F538" i="2"/>
  <c r="F546" i="2"/>
  <c r="G547" i="2"/>
  <c r="G552" i="2"/>
  <c r="K555" i="2"/>
  <c r="G561" i="2"/>
  <c r="I571" i="2"/>
  <c r="F580" i="2"/>
  <c r="J583" i="2"/>
  <c r="I583" i="2"/>
  <c r="F591" i="2"/>
  <c r="J591" i="2" s="1"/>
  <c r="H591" i="2" s="1"/>
  <c r="G598" i="2"/>
  <c r="F601" i="2"/>
  <c r="I601" i="2" s="1"/>
  <c r="F607" i="2"/>
  <c r="I607" i="2" s="1"/>
  <c r="F617" i="2"/>
  <c r="K617" i="2" s="1"/>
  <c r="F621" i="2"/>
  <c r="I621" i="2" s="1"/>
  <c r="F628" i="2"/>
  <c r="J628" i="2" s="1"/>
  <c r="H628" i="2" s="1"/>
  <c r="K643" i="2"/>
  <c r="I643" i="2"/>
  <c r="G643" i="2"/>
  <c r="F651" i="2"/>
  <c r="J651" i="2" s="1"/>
  <c r="H651" i="2" s="1"/>
  <c r="K659" i="2"/>
  <c r="J662" i="2"/>
  <c r="H662" i="2" s="1"/>
  <c r="I662" i="2"/>
  <c r="G662" i="2"/>
  <c r="G674" i="2"/>
  <c r="F692" i="2"/>
  <c r="J692" i="2" s="1"/>
  <c r="H692" i="2" s="1"/>
  <c r="F705" i="2"/>
  <c r="J705" i="2" s="1"/>
  <c r="H705" i="2" s="1"/>
  <c r="K716" i="2"/>
  <c r="K593" i="2"/>
  <c r="J597" i="2"/>
  <c r="H597" i="2" s="1"/>
  <c r="G601" i="2"/>
  <c r="I602" i="2"/>
  <c r="J609" i="2"/>
  <c r="H609" i="2" s="1"/>
  <c r="F613" i="2"/>
  <c r="J613" i="2" s="1"/>
  <c r="H613" i="2" s="1"/>
  <c r="I614" i="2"/>
  <c r="G617" i="2"/>
  <c r="G628" i="2"/>
  <c r="K633" i="2"/>
  <c r="J633" i="2"/>
  <c r="H633" i="2" s="1"/>
  <c r="J636" i="2"/>
  <c r="H636" i="2" s="1"/>
  <c r="G745" i="2"/>
  <c r="F745" i="2"/>
  <c r="I745" i="2" s="1"/>
  <c r="I590" i="2"/>
  <c r="J599" i="2"/>
  <c r="H599" i="2" s="1"/>
  <c r="K610" i="2"/>
  <c r="G639" i="2"/>
  <c r="G654" i="2"/>
  <c r="I624" i="2"/>
  <c r="G631" i="2"/>
  <c r="F639" i="2"/>
  <c r="J639" i="2" s="1"/>
  <c r="H639" i="2" s="1"/>
  <c r="J642" i="2"/>
  <c r="H642" i="2" s="1"/>
  <c r="G642" i="2"/>
  <c r="F650" i="2"/>
  <c r="J650" i="2" s="1"/>
  <c r="H650" i="2" s="1"/>
  <c r="F652" i="2"/>
  <c r="I652" i="2" s="1"/>
  <c r="F654" i="2"/>
  <c r="I659" i="2"/>
  <c r="G659" i="2"/>
  <c r="G664" i="2"/>
  <c r="F680" i="2"/>
  <c r="J680" i="2" s="1"/>
  <c r="G685" i="2"/>
  <c r="F685" i="2"/>
  <c r="G706" i="2"/>
  <c r="F706" i="2"/>
  <c r="I706" i="2" s="1"/>
  <c r="I713" i="2"/>
  <c r="J713" i="2"/>
  <c r="H713" i="2" s="1"/>
  <c r="G721" i="2"/>
  <c r="K721" i="2"/>
  <c r="K735" i="2"/>
  <c r="J735" i="2"/>
  <c r="H735" i="2" s="1"/>
  <c r="I735" i="2"/>
  <c r="F704" i="2"/>
  <c r="I704" i="2" s="1"/>
  <c r="I711" i="2"/>
  <c r="G722" i="2"/>
  <c r="F722" i="2"/>
  <c r="I722" i="2" s="1"/>
  <c r="K727" i="2"/>
  <c r="J727" i="2"/>
  <c r="H727" i="2" s="1"/>
  <c r="I727" i="2"/>
  <c r="K741" i="2"/>
  <c r="J741" i="2"/>
  <c r="I741" i="2"/>
  <c r="J646" i="2"/>
  <c r="H646" i="2" s="1"/>
  <c r="F656" i="2"/>
  <c r="I656" i="2" s="1"/>
  <c r="F666" i="2"/>
  <c r="J666" i="2" s="1"/>
  <c r="H666" i="2" s="1"/>
  <c r="F668" i="2"/>
  <c r="I668" i="2" s="1"/>
  <c r="I677" i="2"/>
  <c r="G677" i="2"/>
  <c r="G682" i="2"/>
  <c r="I695" i="2"/>
  <c r="G695" i="2"/>
  <c r="J695" i="2"/>
  <c r="H695" i="2" s="1"/>
  <c r="I707" i="2"/>
  <c r="J707" i="2"/>
  <c r="F710" i="2"/>
  <c r="K710" i="2" s="1"/>
  <c r="J719" i="2"/>
  <c r="H719" i="2" s="1"/>
  <c r="I719" i="2"/>
  <c r="K731" i="2"/>
  <c r="I731" i="2"/>
  <c r="J731" i="2"/>
  <c r="H731" i="2" s="1"/>
  <c r="J733" i="2"/>
  <c r="K740" i="2" s="1"/>
  <c r="I733" i="2"/>
  <c r="F739" i="2"/>
  <c r="I739" i="2" s="1"/>
  <c r="K661" i="2"/>
  <c r="I661" i="2"/>
  <c r="K679" i="2"/>
  <c r="I679" i="2"/>
  <c r="K698" i="2"/>
  <c r="I698" i="2"/>
  <c r="G746" i="2"/>
  <c r="G753" i="2"/>
  <c r="F753" i="2"/>
  <c r="J753" i="2" s="1"/>
  <c r="H753" i="2" s="1"/>
  <c r="J690" i="2"/>
  <c r="H690" i="2" s="1"/>
  <c r="J708" i="2"/>
  <c r="H708" i="2" s="1"/>
  <c r="F715" i="2"/>
  <c r="J715" i="2" s="1"/>
  <c r="H715" i="2" s="1"/>
  <c r="G718" i="2"/>
  <c r="F718" i="2"/>
  <c r="F746" i="2"/>
  <c r="K746" i="2" s="1"/>
  <c r="J724" i="2"/>
  <c r="I724" i="2"/>
  <c r="G726" i="2"/>
  <c r="F726" i="2"/>
  <c r="K726" i="2" s="1"/>
  <c r="K730" i="2"/>
  <c r="J730" i="2"/>
  <c r="H730" i="2" s="1"/>
  <c r="G730" i="2"/>
  <c r="J732" i="2"/>
  <c r="H732" i="2" s="1"/>
  <c r="I732" i="2"/>
  <c r="G734" i="2"/>
  <c r="F734" i="2"/>
  <c r="K734" i="2" s="1"/>
  <c r="K738" i="2"/>
  <c r="J738" i="2"/>
  <c r="H738" i="2" s="1"/>
  <c r="G738" i="2"/>
  <c r="J740" i="2"/>
  <c r="I740" i="2"/>
  <c r="G742" i="2"/>
  <c r="F742" i="2"/>
  <c r="K742" i="2" s="1"/>
  <c r="G754" i="2"/>
  <c r="I641" i="2"/>
  <c r="J660" i="2"/>
  <c r="H660" i="2" s="1"/>
  <c r="J678" i="2"/>
  <c r="H678" i="2" s="1"/>
  <c r="G690" i="2"/>
  <c r="I694" i="2"/>
  <c r="J696" i="2"/>
  <c r="H696" i="2" s="1"/>
  <c r="J714" i="2"/>
  <c r="H714" i="2" s="1"/>
  <c r="F747" i="2"/>
  <c r="K747" i="2" s="1"/>
  <c r="F754" i="2"/>
  <c r="K754" i="2" s="1"/>
  <c r="F720" i="2"/>
  <c r="I720" i="2" s="1"/>
  <c r="F728" i="2"/>
  <c r="I728" i="2" s="1"/>
  <c r="F736" i="2"/>
  <c r="F744" i="2"/>
  <c r="K749" i="2"/>
  <c r="F752" i="2"/>
  <c r="G744" i="2"/>
  <c r="F751" i="2"/>
  <c r="G752" i="2"/>
  <c r="F750" i="2"/>
  <c r="K446" i="2" l="1"/>
  <c r="H724" i="2"/>
  <c r="H665" i="2"/>
  <c r="H606" i="2"/>
  <c r="K500" i="2"/>
  <c r="K581" i="2"/>
  <c r="H581" i="2"/>
  <c r="H500" i="2"/>
  <c r="K438" i="2"/>
  <c r="H444" i="2"/>
  <c r="K422" i="2"/>
  <c r="H381" i="2"/>
  <c r="H338" i="2"/>
  <c r="H330" i="2"/>
  <c r="K313" i="2"/>
  <c r="H268" i="2"/>
  <c r="K268" i="2"/>
  <c r="H157" i="2"/>
  <c r="H741" i="2"/>
  <c r="H740" i="2"/>
  <c r="H733" i="2"/>
  <c r="K709" i="2"/>
  <c r="H709" i="2"/>
  <c r="H707" i="2"/>
  <c r="H701" i="2"/>
  <c r="H663" i="2"/>
  <c r="H614" i="2"/>
  <c r="G614" i="2"/>
  <c r="K605" i="2"/>
  <c r="H537" i="2"/>
  <c r="K537" i="2"/>
  <c r="H583" i="2"/>
  <c r="K583" i="2"/>
  <c r="K596" i="2"/>
  <c r="H508" i="2"/>
  <c r="H506" i="2"/>
  <c r="K504" i="2"/>
  <c r="H483" i="2"/>
  <c r="H478" i="2"/>
  <c r="H473" i="2"/>
  <c r="H464" i="2"/>
  <c r="H287" i="2"/>
  <c r="H258" i="2"/>
  <c r="K171" i="2"/>
  <c r="H218" i="2"/>
  <c r="I391" i="2"/>
  <c r="H123" i="2"/>
  <c r="H103" i="2"/>
  <c r="K93" i="2"/>
  <c r="H64" i="2"/>
  <c r="H61" i="2"/>
  <c r="J62" i="2"/>
  <c r="H62" i="2" s="1"/>
  <c r="J153" i="2"/>
  <c r="J151" i="2"/>
  <c r="H151" i="2" s="1"/>
  <c r="H72" i="2"/>
  <c r="J635" i="2"/>
  <c r="H635" i="2" s="1"/>
  <c r="H69" i="2"/>
  <c r="J239" i="2"/>
  <c r="H239" i="2" s="1"/>
  <c r="I96" i="2"/>
  <c r="I239" i="2"/>
  <c r="J63" i="2"/>
  <c r="H63" i="2" s="1"/>
  <c r="K63" i="2"/>
  <c r="I208" i="2"/>
  <c r="I257" i="2"/>
  <c r="J221" i="2"/>
  <c r="H221" i="2" s="1"/>
  <c r="K151" i="2"/>
  <c r="K705" i="2"/>
  <c r="J115" i="2"/>
  <c r="H115" i="2" s="1"/>
  <c r="I97" i="2"/>
  <c r="J391" i="2"/>
  <c r="H391" i="2" s="1"/>
  <c r="J97" i="2"/>
  <c r="H97" i="2" s="1"/>
  <c r="I205" i="2"/>
  <c r="I115" i="2"/>
  <c r="I684" i="2"/>
  <c r="J579" i="2"/>
  <c r="H579" i="2" s="1"/>
  <c r="J254" i="2"/>
  <c r="H254" i="2" s="1"/>
  <c r="J589" i="2"/>
  <c r="H589" i="2" s="1"/>
  <c r="I221" i="2"/>
  <c r="J362" i="2"/>
  <c r="H362" i="2" s="1"/>
  <c r="J176" i="2"/>
  <c r="H176" i="2" s="1"/>
  <c r="I168" i="2"/>
  <c r="J169" i="2"/>
  <c r="K213" i="2" s="1"/>
  <c r="K419" i="2"/>
  <c r="I710" i="2"/>
  <c r="J168" i="2"/>
  <c r="H168" i="2" s="1"/>
  <c r="I468" i="2"/>
  <c r="J112" i="2"/>
  <c r="H112" i="2" s="1"/>
  <c r="K420" i="2"/>
  <c r="J468" i="2"/>
  <c r="I112" i="2"/>
  <c r="K169" i="2"/>
  <c r="I68" i="2"/>
  <c r="I617" i="2"/>
  <c r="J415" i="2"/>
  <c r="H415" i="2" s="1"/>
  <c r="K220" i="2"/>
  <c r="J150" i="2"/>
  <c r="H150" i="2" s="1"/>
  <c r="I20" i="2"/>
  <c r="I308" i="2"/>
  <c r="J279" i="2"/>
  <c r="K279" i="2"/>
  <c r="K327" i="2"/>
  <c r="I415" i="2"/>
  <c r="J93" i="2"/>
  <c r="K119" i="2" s="1"/>
  <c r="I93" i="2"/>
  <c r="K473" i="2"/>
  <c r="I150" i="2"/>
  <c r="I133" i="2"/>
  <c r="I446" i="2"/>
  <c r="I73" i="2"/>
  <c r="J133" i="2"/>
  <c r="H133" i="2" s="1"/>
  <c r="K684" i="2"/>
  <c r="I670" i="2"/>
  <c r="K297" i="2"/>
  <c r="K161" i="2"/>
  <c r="K535" i="2"/>
  <c r="J674" i="2"/>
  <c r="H674" i="2" s="1"/>
  <c r="J530" i="2"/>
  <c r="H530" i="2" s="1"/>
  <c r="K674" i="2"/>
  <c r="I453" i="2"/>
  <c r="J543" i="2"/>
  <c r="H543" i="2" s="1"/>
  <c r="J205" i="2"/>
  <c r="H205" i="2" s="1"/>
  <c r="J40" i="2"/>
  <c r="H40" i="2" s="1"/>
  <c r="J79" i="2"/>
  <c r="H79" i="2" s="1"/>
  <c r="I635" i="2"/>
  <c r="I512" i="2"/>
  <c r="J171" i="2"/>
  <c r="K187" i="2" s="1"/>
  <c r="K200" i="2"/>
  <c r="I589" i="2"/>
  <c r="J453" i="2"/>
  <c r="H453" i="2" s="1"/>
  <c r="I377" i="2"/>
  <c r="I332" i="2"/>
  <c r="K318" i="2"/>
  <c r="J96" i="2"/>
  <c r="K258" i="2" s="1"/>
  <c r="I21" i="2"/>
  <c r="J550" i="2"/>
  <c r="H550" i="2" s="1"/>
  <c r="J260" i="2"/>
  <c r="H260" i="2" s="1"/>
  <c r="I721" i="2"/>
  <c r="K540" i="2"/>
  <c r="K638" i="2"/>
  <c r="I558" i="2"/>
  <c r="J185" i="2"/>
  <c r="I224" i="2"/>
  <c r="K739" i="2"/>
  <c r="K704" i="2"/>
  <c r="J721" i="2"/>
  <c r="H721" i="2" s="1"/>
  <c r="K481" i="2"/>
  <c r="I486" i="2"/>
  <c r="I569" i="2"/>
  <c r="J404" i="2"/>
  <c r="H404" i="2" s="1"/>
  <c r="K186" i="2"/>
  <c r="I262" i="2"/>
  <c r="J282" i="2"/>
  <c r="H282" i="2" s="1"/>
  <c r="I59" i="2"/>
  <c r="K651" i="2"/>
  <c r="I648" i="2"/>
  <c r="J553" i="2"/>
  <c r="H553" i="2" s="1"/>
  <c r="I384" i="2"/>
  <c r="K553" i="2"/>
  <c r="I574" i="2"/>
  <c r="I351" i="2"/>
  <c r="J410" i="2"/>
  <c r="H410" i="2" s="1"/>
  <c r="J78" i="2"/>
  <c r="K224" i="2" s="1"/>
  <c r="I46" i="2"/>
  <c r="J368" i="2"/>
  <c r="H368" i="2" s="1"/>
  <c r="K183" i="2"/>
  <c r="K352" i="2"/>
  <c r="H7" i="2"/>
  <c r="K574" i="2"/>
  <c r="J384" i="2"/>
  <c r="H384" i="2" s="1"/>
  <c r="J324" i="2"/>
  <c r="K330" i="2" s="1"/>
  <c r="J406" i="2"/>
  <c r="H406" i="2" s="1"/>
  <c r="I393" i="2"/>
  <c r="J147" i="2"/>
  <c r="H147" i="2" s="1"/>
  <c r="I28" i="2"/>
  <c r="I153" i="2"/>
  <c r="I113" i="2"/>
  <c r="K59" i="2"/>
  <c r="J21" i="2"/>
  <c r="K61" i="2" s="1"/>
  <c r="I368" i="2"/>
  <c r="I352" i="2"/>
  <c r="I331" i="2"/>
  <c r="I282" i="2"/>
  <c r="J465" i="2"/>
  <c r="H465" i="2" s="1"/>
  <c r="J722" i="2"/>
  <c r="H722" i="2" s="1"/>
  <c r="J706" i="2"/>
  <c r="H706" i="2" s="1"/>
  <c r="J745" i="2"/>
  <c r="H745" i="2" s="1"/>
  <c r="K737" i="2"/>
  <c r="I407" i="2"/>
  <c r="I535" i="2"/>
  <c r="I428" i="2"/>
  <c r="J318" i="2"/>
  <c r="H318" i="2" s="1"/>
  <c r="J331" i="2"/>
  <c r="H331" i="2" s="1"/>
  <c r="J99" i="2"/>
  <c r="H99" i="2" s="1"/>
  <c r="K579" i="2"/>
  <c r="J266" i="2"/>
  <c r="H266" i="2" s="1"/>
  <c r="I78" i="2"/>
  <c r="K147" i="2"/>
  <c r="I145" i="2"/>
  <c r="J183" i="2"/>
  <c r="H183" i="2" s="1"/>
  <c r="J243" i="2"/>
  <c r="H243" i="2" s="1"/>
  <c r="I397" i="2"/>
  <c r="I306" i="2"/>
  <c r="J39" i="2"/>
  <c r="H39" i="2" s="1"/>
  <c r="K550" i="2"/>
  <c r="J686" i="2"/>
  <c r="J611" i="2"/>
  <c r="H611" i="2" s="1"/>
  <c r="K687" i="2"/>
  <c r="J723" i="2"/>
  <c r="H723" i="2" s="1"/>
  <c r="I618" i="2"/>
  <c r="J433" i="2"/>
  <c r="H433" i="2" s="1"/>
  <c r="I420" i="2"/>
  <c r="J393" i="2"/>
  <c r="H393" i="2" s="1"/>
  <c r="I404" i="2"/>
  <c r="J300" i="2"/>
  <c r="H300" i="2" s="1"/>
  <c r="K375" i="2"/>
  <c r="J135" i="2"/>
  <c r="J323" i="2"/>
  <c r="H323" i="2" s="1"/>
  <c r="J129" i="2"/>
  <c r="H129" i="2" s="1"/>
  <c r="I38" i="2"/>
  <c r="I243" i="2"/>
  <c r="K129" i="2"/>
  <c r="I422" i="2"/>
  <c r="J225" i="2"/>
  <c r="H225" i="2" s="1"/>
  <c r="K208" i="2"/>
  <c r="I190" i="2"/>
  <c r="J251" i="2"/>
  <c r="H251" i="2" s="1"/>
  <c r="K251" i="2"/>
  <c r="K397" i="2"/>
  <c r="I753" i="2"/>
  <c r="J326" i="2"/>
  <c r="H326" i="2" s="1"/>
  <c r="I300" i="2"/>
  <c r="I746" i="2"/>
  <c r="I705" i="2"/>
  <c r="I479" i="2"/>
  <c r="K723" i="2"/>
  <c r="J618" i="2"/>
  <c r="H618" i="2" s="1"/>
  <c r="I388" i="2"/>
  <c r="K433" i="2"/>
  <c r="J132" i="2"/>
  <c r="H132" i="2" s="1"/>
  <c r="I187" i="2"/>
  <c r="J22" i="2"/>
  <c r="H22" i="2" s="1"/>
  <c r="K225" i="2"/>
  <c r="H5" i="2"/>
  <c r="K185" i="2"/>
  <c r="K22" i="2"/>
  <c r="K584" i="2"/>
  <c r="J687" i="2"/>
  <c r="H687" i="2" s="1"/>
  <c r="K542" i="2"/>
  <c r="J710" i="2"/>
  <c r="H710" i="2" s="1"/>
  <c r="K745" i="2"/>
  <c r="I628" i="2"/>
  <c r="J632" i="2"/>
  <c r="H632" i="2" s="1"/>
  <c r="J737" i="2"/>
  <c r="H737" i="2" s="1"/>
  <c r="I622" i="2"/>
  <c r="K411" i="2"/>
  <c r="J653" i="2"/>
  <c r="J569" i="2"/>
  <c r="H569" i="2" s="1"/>
  <c r="K543" i="2"/>
  <c r="I541" i="2"/>
  <c r="I359" i="2"/>
  <c r="J455" i="2"/>
  <c r="H455" i="2" s="1"/>
  <c r="K371" i="2"/>
  <c r="J563" i="2"/>
  <c r="H563" i="2" s="1"/>
  <c r="K254" i="2"/>
  <c r="J57" i="2"/>
  <c r="H57" i="2" s="1"/>
  <c r="I91" i="2"/>
  <c r="I562" i="2"/>
  <c r="I375" i="2"/>
  <c r="K266" i="2"/>
  <c r="J308" i="2"/>
  <c r="H308" i="2" s="1"/>
  <c r="I370" i="2"/>
  <c r="J422" i="2"/>
  <c r="K290" i="2"/>
  <c r="J161" i="2"/>
  <c r="H161" i="2" s="1"/>
  <c r="I79" i="2"/>
  <c r="J275" i="2"/>
  <c r="H275" i="2" s="1"/>
  <c r="J10" i="2"/>
  <c r="H10" i="2" s="1"/>
  <c r="K57" i="2"/>
  <c r="I135" i="2"/>
  <c r="I611" i="2"/>
  <c r="J471" i="2"/>
  <c r="H471" i="2" s="1"/>
  <c r="I132" i="2"/>
  <c r="J747" i="2"/>
  <c r="H747" i="2" s="1"/>
  <c r="K628" i="2"/>
  <c r="J667" i="2"/>
  <c r="I632" i="2"/>
  <c r="I729" i="2"/>
  <c r="K622" i="2"/>
  <c r="I414" i="2"/>
  <c r="J407" i="2"/>
  <c r="H407" i="2" s="1"/>
  <c r="I653" i="2"/>
  <c r="K496" i="2"/>
  <c r="J250" i="2"/>
  <c r="H250" i="2" s="1"/>
  <c r="I455" i="2"/>
  <c r="K359" i="2"/>
  <c r="K351" i="2"/>
  <c r="I507" i="2"/>
  <c r="K563" i="2"/>
  <c r="I410" i="2"/>
  <c r="K234" i="2"/>
  <c r="J220" i="2"/>
  <c r="H220" i="2" s="1"/>
  <c r="I270" i="2"/>
  <c r="K562" i="2"/>
  <c r="J288" i="2"/>
  <c r="H288" i="2" s="1"/>
  <c r="K195" i="2"/>
  <c r="J261" i="2"/>
  <c r="H261" i="2" s="1"/>
  <c r="K370" i="2"/>
  <c r="I290" i="2"/>
  <c r="I327" i="2"/>
  <c r="K261" i="2"/>
  <c r="J73" i="2"/>
  <c r="H73" i="2" s="1"/>
  <c r="J46" i="2"/>
  <c r="H46" i="2" s="1"/>
  <c r="I213" i="2"/>
  <c r="K559" i="2"/>
  <c r="I676" i="2"/>
  <c r="I638" i="2"/>
  <c r="J450" i="2"/>
  <c r="J496" i="2"/>
  <c r="H496" i="2" s="1"/>
  <c r="I406" i="2"/>
  <c r="K388" i="2"/>
  <c r="K507" i="2"/>
  <c r="J270" i="2"/>
  <c r="K358" i="2" s="1"/>
  <c r="J187" i="2"/>
  <c r="K216" i="2" s="1"/>
  <c r="I297" i="2"/>
  <c r="J234" i="2"/>
  <c r="H234" i="2" s="1"/>
  <c r="I40" i="2"/>
  <c r="I176" i="2"/>
  <c r="I75" i="2"/>
  <c r="I654" i="2"/>
  <c r="K654" i="2"/>
  <c r="J443" i="2"/>
  <c r="H443" i="2" s="1"/>
  <c r="I443" i="2"/>
  <c r="J742" i="2"/>
  <c r="H742" i="2" s="1"/>
  <c r="I742" i="2"/>
  <c r="J685" i="2"/>
  <c r="H685" i="2" s="1"/>
  <c r="K685" i="2"/>
  <c r="J621" i="2"/>
  <c r="H621" i="2" s="1"/>
  <c r="K621" i="2"/>
  <c r="J476" i="2"/>
  <c r="H476" i="2" s="1"/>
  <c r="I476" i="2"/>
  <c r="K350" i="2"/>
  <c r="I350" i="2"/>
  <c r="K487" i="2"/>
  <c r="I402" i="2"/>
  <c r="K45" i="2"/>
  <c r="J45" i="2"/>
  <c r="H45" i="2" s="1"/>
  <c r="J9" i="2"/>
  <c r="K72" i="2" s="1"/>
  <c r="K9" i="2"/>
  <c r="K750" i="2"/>
  <c r="J750" i="2"/>
  <c r="H750" i="2" s="1"/>
  <c r="I750" i="2"/>
  <c r="J728" i="2"/>
  <c r="H728" i="2" s="1"/>
  <c r="K728" i="2"/>
  <c r="J746" i="2"/>
  <c r="H746" i="2" s="1"/>
  <c r="K668" i="2"/>
  <c r="K652" i="2"/>
  <c r="J624" i="2"/>
  <c r="K624" i="2"/>
  <c r="K676" i="2"/>
  <c r="K528" i="2"/>
  <c r="J528" i="2"/>
  <c r="H528" i="2" s="1"/>
  <c r="I528" i="2"/>
  <c r="J617" i="2"/>
  <c r="H617" i="2" s="1"/>
  <c r="K648" i="2"/>
  <c r="K700" i="2"/>
  <c r="I498" i="2"/>
  <c r="K670" i="2"/>
  <c r="J489" i="2"/>
  <c r="H489" i="2" s="1"/>
  <c r="J486" i="2"/>
  <c r="K541" i="2" s="1"/>
  <c r="I432" i="2"/>
  <c r="I505" i="2"/>
  <c r="J442" i="2"/>
  <c r="K530" i="2"/>
  <c r="I504" i="2"/>
  <c r="J439" i="2"/>
  <c r="H439" i="2" s="1"/>
  <c r="I398" i="2"/>
  <c r="K398" i="2"/>
  <c r="J398" i="2"/>
  <c r="H398" i="2" s="1"/>
  <c r="K340" i="2"/>
  <c r="I340" i="2"/>
  <c r="K465" i="2"/>
  <c r="J558" i="2"/>
  <c r="H558" i="2" s="1"/>
  <c r="I382" i="2"/>
  <c r="J367" i="2"/>
  <c r="H367" i="2" s="1"/>
  <c r="I367" i="2"/>
  <c r="J344" i="2"/>
  <c r="H344" i="2" s="1"/>
  <c r="K274" i="2"/>
  <c r="I336" i="2"/>
  <c r="J309" i="2"/>
  <c r="H309" i="2" s="1"/>
  <c r="K278" i="2"/>
  <c r="I278" i="2"/>
  <c r="I194" i="2"/>
  <c r="K194" i="2"/>
  <c r="I288" i="2"/>
  <c r="I244" i="2"/>
  <c r="K244" i="2"/>
  <c r="J186" i="2"/>
  <c r="J262" i="2"/>
  <c r="H262" i="2" s="1"/>
  <c r="I229" i="2"/>
  <c r="J109" i="2"/>
  <c r="H109" i="2" s="1"/>
  <c r="J75" i="2"/>
  <c r="H75" i="2" s="1"/>
  <c r="I71" i="2"/>
  <c r="J71" i="2"/>
  <c r="H71" i="2" s="1"/>
  <c r="K71" i="2"/>
  <c r="I39" i="2"/>
  <c r="J14" i="2"/>
  <c r="H14" i="2" s="1"/>
  <c r="I125" i="2"/>
  <c r="K247" i="2"/>
  <c r="K209" i="2"/>
  <c r="K191" i="2"/>
  <c r="I171" i="2"/>
  <c r="J81" i="2"/>
  <c r="H81" i="2" s="1"/>
  <c r="K81" i="2"/>
  <c r="J107" i="2"/>
  <c r="H107" i="2" s="1"/>
  <c r="J257" i="2"/>
  <c r="H257" i="2" s="1"/>
  <c r="K47" i="2"/>
  <c r="I45" i="2"/>
  <c r="K125" i="2"/>
  <c r="K30" i="2"/>
  <c r="K445" i="2"/>
  <c r="J445" i="2"/>
  <c r="H445" i="2" s="1"/>
  <c r="K736" i="2"/>
  <c r="J736" i="2"/>
  <c r="H736" i="2" s="1"/>
  <c r="J726" i="2"/>
  <c r="H726" i="2" s="1"/>
  <c r="I726" i="2"/>
  <c r="K613" i="2"/>
  <c r="I613" i="2"/>
  <c r="K538" i="2"/>
  <c r="I538" i="2"/>
  <c r="J538" i="2"/>
  <c r="H538" i="2" s="1"/>
  <c r="I344" i="2"/>
  <c r="J65" i="2"/>
  <c r="H65" i="2" s="1"/>
  <c r="K65" i="2"/>
  <c r="J27" i="2"/>
  <c r="H27" i="2" s="1"/>
  <c r="K27" i="2"/>
  <c r="I107" i="2"/>
  <c r="I754" i="2"/>
  <c r="K720" i="2"/>
  <c r="J720" i="2"/>
  <c r="H720" i="2" s="1"/>
  <c r="J754" i="2"/>
  <c r="H754" i="2" s="1"/>
  <c r="J668" i="2"/>
  <c r="H668" i="2" s="1"/>
  <c r="I685" i="2"/>
  <c r="J652" i="2"/>
  <c r="H652" i="2" s="1"/>
  <c r="I651" i="2"/>
  <c r="K607" i="2"/>
  <c r="J607" i="2"/>
  <c r="H607" i="2" s="1"/>
  <c r="I518" i="2"/>
  <c r="K518" i="2"/>
  <c r="J518" i="2"/>
  <c r="H518" i="2" s="1"/>
  <c r="K729" i="2"/>
  <c r="I700" i="2"/>
  <c r="I578" i="2"/>
  <c r="J498" i="2"/>
  <c r="H498" i="2" s="1"/>
  <c r="K634" i="2"/>
  <c r="K489" i="2"/>
  <c r="K432" i="2"/>
  <c r="J570" i="2"/>
  <c r="J505" i="2"/>
  <c r="H505" i="2" s="1"/>
  <c r="I605" i="2"/>
  <c r="K439" i="2"/>
  <c r="I330" i="2"/>
  <c r="I487" i="2"/>
  <c r="K440" i="2"/>
  <c r="J440" i="2"/>
  <c r="H440" i="2" s="1"/>
  <c r="I396" i="2"/>
  <c r="J379" i="2"/>
  <c r="H379" i="2" s="1"/>
  <c r="I379" i="2"/>
  <c r="J336" i="2"/>
  <c r="H336" i="2" s="1"/>
  <c r="K309" i="2"/>
  <c r="K382" i="2"/>
  <c r="K332" i="2"/>
  <c r="K272" i="2"/>
  <c r="J29" i="2"/>
  <c r="H29" i="2" s="1"/>
  <c r="I102" i="2"/>
  <c r="I164" i="2"/>
  <c r="I13" i="2"/>
  <c r="K164" i="2"/>
  <c r="K145" i="2"/>
  <c r="I99" i="2"/>
  <c r="I81" i="2"/>
  <c r="J414" i="2"/>
  <c r="H414" i="2" s="1"/>
  <c r="J20" i="2"/>
  <c r="H20" i="2" s="1"/>
  <c r="I27" i="2"/>
  <c r="K546" i="2"/>
  <c r="J546" i="2"/>
  <c r="H546" i="2" s="1"/>
  <c r="I546" i="2"/>
  <c r="J315" i="2"/>
  <c r="H315" i="2" s="1"/>
  <c r="I315" i="2"/>
  <c r="K580" i="2"/>
  <c r="I580" i="2"/>
  <c r="J580" i="2"/>
  <c r="H580" i="2" s="1"/>
  <c r="J274" i="2"/>
  <c r="H274" i="2" s="1"/>
  <c r="J209" i="2"/>
  <c r="K724" i="2" s="1"/>
  <c r="J751" i="2"/>
  <c r="H751" i="2" s="1"/>
  <c r="I751" i="2"/>
  <c r="K751" i="2"/>
  <c r="J739" i="2"/>
  <c r="H739" i="2" s="1"/>
  <c r="K658" i="2"/>
  <c r="I484" i="2"/>
  <c r="K484" i="2"/>
  <c r="J484" i="2"/>
  <c r="H484" i="2" s="1"/>
  <c r="J462" i="2"/>
  <c r="H462" i="2" s="1"/>
  <c r="K462" i="2"/>
  <c r="K512" i="2"/>
  <c r="K570" i="2"/>
  <c r="J605" i="2"/>
  <c r="K663" i="2" s="1"/>
  <c r="J437" i="2"/>
  <c r="H437" i="2" s="1"/>
  <c r="K322" i="2"/>
  <c r="I322" i="2"/>
  <c r="J396" i="2"/>
  <c r="H396" i="2" s="1"/>
  <c r="I401" i="2"/>
  <c r="J341" i="2"/>
  <c r="H341" i="2" s="1"/>
  <c r="I341" i="2"/>
  <c r="I228" i="2"/>
  <c r="K228" i="2"/>
  <c r="I86" i="2"/>
  <c r="J86" i="2"/>
  <c r="H86" i="2" s="1"/>
  <c r="K229" i="2"/>
  <c r="J181" i="2"/>
  <c r="H181" i="2" s="1"/>
  <c r="K181" i="2"/>
  <c r="K113" i="2"/>
  <c r="J30" i="2"/>
  <c r="H30" i="2" s="1"/>
  <c r="J377" i="2"/>
  <c r="H377" i="2" s="1"/>
  <c r="K29" i="2"/>
  <c r="K48" i="2"/>
  <c r="K744" i="2"/>
  <c r="J744" i="2"/>
  <c r="H744" i="2" s="1"/>
  <c r="I246" i="2"/>
  <c r="K246" i="2"/>
  <c r="I734" i="2"/>
  <c r="J734" i="2"/>
  <c r="H734" i="2" s="1"/>
  <c r="K443" i="2"/>
  <c r="I715" i="2"/>
  <c r="I680" i="2"/>
  <c r="K680" i="2"/>
  <c r="K601" i="2"/>
  <c r="J601" i="2"/>
  <c r="H601" i="2" s="1"/>
  <c r="J510" i="2"/>
  <c r="H510" i="2" s="1"/>
  <c r="K510" i="2"/>
  <c r="I510" i="2"/>
  <c r="J522" i="2"/>
  <c r="J578" i="2"/>
  <c r="H578" i="2" s="1"/>
  <c r="I634" i="2"/>
  <c r="I747" i="2"/>
  <c r="K753" i="2"/>
  <c r="K715" i="2"/>
  <c r="K666" i="2"/>
  <c r="I666" i="2"/>
  <c r="K722" i="2"/>
  <c r="I650" i="2"/>
  <c r="K650" i="2"/>
  <c r="J654" i="2"/>
  <c r="H654" i="2" s="1"/>
  <c r="K692" i="2"/>
  <c r="K502" i="2"/>
  <c r="J502" i="2"/>
  <c r="H502" i="2" s="1"/>
  <c r="I502" i="2"/>
  <c r="J658" i="2"/>
  <c r="H658" i="2" s="1"/>
  <c r="I540" i="2"/>
  <c r="I473" i="2"/>
  <c r="I437" i="2"/>
  <c r="I314" i="2"/>
  <c r="K314" i="2"/>
  <c r="K478" i="2"/>
  <c r="K379" i="2"/>
  <c r="J401" i="2"/>
  <c r="K428" i="2"/>
  <c r="I326" i="2"/>
  <c r="I362" i="2"/>
  <c r="J228" i="2"/>
  <c r="H228" i="2" s="1"/>
  <c r="K238" i="2"/>
  <c r="I178" i="2"/>
  <c r="J178" i="2"/>
  <c r="H178" i="2" s="1"/>
  <c r="J158" i="2"/>
  <c r="H158" i="2" s="1"/>
  <c r="I158" i="2"/>
  <c r="J140" i="2"/>
  <c r="K270" i="2" s="1"/>
  <c r="I140" i="2"/>
  <c r="J122" i="2"/>
  <c r="H122" i="2" s="1"/>
  <c r="I122" i="2"/>
  <c r="I104" i="2"/>
  <c r="J104" i="2"/>
  <c r="H104" i="2" s="1"/>
  <c r="J84" i="2"/>
  <c r="H84" i="2" s="1"/>
  <c r="K323" i="2"/>
  <c r="J190" i="2"/>
  <c r="H190" i="2" s="1"/>
  <c r="J419" i="2"/>
  <c r="H419" i="2" s="1"/>
  <c r="I354" i="2"/>
  <c r="I272" i="2"/>
  <c r="J244" i="2"/>
  <c r="H244" i="2" s="1"/>
  <c r="I62" i="2"/>
  <c r="K109" i="2"/>
  <c r="J292" i="2"/>
  <c r="H292" i="2" s="1"/>
  <c r="J216" i="2"/>
  <c r="K287" i="2" s="1"/>
  <c r="J200" i="2"/>
  <c r="H200" i="2" s="1"/>
  <c r="J53" i="2"/>
  <c r="H53" i="2" s="1"/>
  <c r="K53" i="2"/>
  <c r="J37" i="2"/>
  <c r="H37" i="2" s="1"/>
  <c r="K37" i="2"/>
  <c r="K19" i="2"/>
  <c r="J19" i="2"/>
  <c r="H19" i="2" s="1"/>
  <c r="J424" i="2"/>
  <c r="H424" i="2" s="1"/>
  <c r="I250" i="2"/>
  <c r="K275" i="2"/>
  <c r="J38" i="2"/>
  <c r="K522" i="2" s="1"/>
  <c r="I9" i="2"/>
  <c r="I716" i="2"/>
  <c r="I358" i="2"/>
  <c r="I445" i="2"/>
  <c r="J204" i="2"/>
  <c r="H204" i="2" s="1"/>
  <c r="K752" i="2"/>
  <c r="J752" i="2"/>
  <c r="H752" i="2" s="1"/>
  <c r="J504" i="2"/>
  <c r="K701" i="2" s="1"/>
  <c r="J430" i="2"/>
  <c r="K374" i="2"/>
  <c r="I374" i="2"/>
  <c r="I296" i="2"/>
  <c r="K296" i="2"/>
  <c r="J296" i="2"/>
  <c r="K703" i="2" s="1"/>
  <c r="K450" i="2"/>
  <c r="I411" i="2"/>
  <c r="J355" i="2"/>
  <c r="H355" i="2" s="1"/>
  <c r="J102" i="2"/>
  <c r="H102" i="2" s="1"/>
  <c r="J354" i="2"/>
  <c r="H354" i="2" s="1"/>
  <c r="I195" i="2"/>
  <c r="I542" i="2"/>
  <c r="I305" i="2"/>
  <c r="J48" i="2"/>
  <c r="H48" i="2" s="1"/>
  <c r="K242" i="2"/>
  <c r="K402" i="2"/>
  <c r="K292" i="2"/>
  <c r="K424" i="2"/>
  <c r="K14" i="2"/>
  <c r="J91" i="2"/>
  <c r="K135" i="2" s="1"/>
  <c r="J28" i="2"/>
  <c r="H28" i="2" s="1"/>
  <c r="I242" i="2"/>
  <c r="I639" i="2"/>
  <c r="K639" i="2"/>
  <c r="I84" i="2"/>
  <c r="J716" i="2"/>
  <c r="I324" i="2"/>
  <c r="I70" i="2"/>
  <c r="J70" i="2"/>
  <c r="H70" i="2" s="1"/>
  <c r="J191" i="2"/>
  <c r="H191" i="2" s="1"/>
  <c r="I744" i="2"/>
  <c r="I692" i="2"/>
  <c r="K591" i="2"/>
  <c r="I591" i="2"/>
  <c r="J494" i="2"/>
  <c r="H494" i="2" s="1"/>
  <c r="K494" i="2"/>
  <c r="I494" i="2"/>
  <c r="I736" i="2"/>
  <c r="I718" i="2"/>
  <c r="K718" i="2"/>
  <c r="J718" i="2"/>
  <c r="H718" i="2" s="1"/>
  <c r="J656" i="2"/>
  <c r="K686" i="2" s="1"/>
  <c r="K656" i="2"/>
  <c r="J704" i="2"/>
  <c r="H704" i="2" s="1"/>
  <c r="K706" i="2"/>
  <c r="I752" i="2"/>
  <c r="I667" i="2"/>
  <c r="I584" i="2"/>
  <c r="K429" i="2"/>
  <c r="J559" i="2"/>
  <c r="H559" i="2" s="1"/>
  <c r="J479" i="2"/>
  <c r="I481" i="2"/>
  <c r="K425" i="2"/>
  <c r="I425" i="2"/>
  <c r="I456" i="2"/>
  <c r="K456" i="2"/>
  <c r="I471" i="2"/>
  <c r="J446" i="2"/>
  <c r="K366" i="2"/>
  <c r="I366" i="2"/>
  <c r="I442" i="2"/>
  <c r="I478" i="2"/>
  <c r="J358" i="2"/>
  <c r="J429" i="2"/>
  <c r="H429" i="2" s="1"/>
  <c r="I355" i="2"/>
  <c r="J371" i="2"/>
  <c r="H371" i="2" s="1"/>
  <c r="K315" i="2"/>
  <c r="I212" i="2"/>
  <c r="K212" i="2"/>
  <c r="J238" i="2"/>
  <c r="K285" i="2" s="1"/>
  <c r="K204" i="2"/>
  <c r="J175" i="2"/>
  <c r="H175" i="2" s="1"/>
  <c r="I175" i="2"/>
  <c r="J155" i="2"/>
  <c r="H155" i="2" s="1"/>
  <c r="I155" i="2"/>
  <c r="J137" i="2"/>
  <c r="H137" i="2" s="1"/>
  <c r="I137" i="2"/>
  <c r="J119" i="2"/>
  <c r="I119" i="2"/>
  <c r="J101" i="2"/>
  <c r="H101" i="2" s="1"/>
  <c r="I101" i="2"/>
  <c r="J47" i="2"/>
  <c r="K123" i="2" s="1"/>
  <c r="J13" i="2"/>
  <c r="K91" i="2" s="1"/>
  <c r="K305" i="2"/>
  <c r="J159" i="2"/>
  <c r="H159" i="2" s="1"/>
  <c r="K159" i="2"/>
  <c r="K476" i="2"/>
  <c r="I247" i="2"/>
  <c r="K260" i="2"/>
  <c r="K486" i="2" l="1"/>
  <c r="H716" i="2"/>
  <c r="G716" i="2"/>
  <c r="H686" i="2"/>
  <c r="H667" i="2"/>
  <c r="H656" i="2"/>
  <c r="K733" i="2"/>
  <c r="H653" i="2"/>
  <c r="H450" i="2"/>
  <c r="H446" i="2"/>
  <c r="K430" i="2"/>
  <c r="H430" i="2"/>
  <c r="H442" i="2"/>
  <c r="H422" i="2"/>
  <c r="H401" i="2"/>
  <c r="H324" i="2"/>
  <c r="H186" i="2"/>
  <c r="G186" i="2"/>
  <c r="H209" i="2"/>
  <c r="H153" i="2"/>
  <c r="H135" i="2"/>
  <c r="K306" i="2"/>
  <c r="K128" i="2"/>
  <c r="H91" i="2"/>
  <c r="H13" i="2"/>
  <c r="H185" i="2"/>
  <c r="H624" i="2"/>
  <c r="G624" i="2"/>
  <c r="K534" i="2"/>
  <c r="K524" i="2"/>
  <c r="H522" i="2"/>
  <c r="H486" i="2"/>
  <c r="H479" i="2"/>
  <c r="H468" i="2"/>
  <c r="H358" i="2"/>
  <c r="H296" i="2"/>
  <c r="H279" i="2"/>
  <c r="H270" i="2"/>
  <c r="H216" i="2"/>
  <c r="H187" i="2"/>
  <c r="H171" i="2"/>
  <c r="H169" i="2"/>
  <c r="H140" i="2"/>
  <c r="H96" i="2"/>
  <c r="H78" i="2"/>
  <c r="H47" i="2"/>
  <c r="H21" i="2"/>
  <c r="H9" i="2"/>
</calcChain>
</file>

<file path=xl/sharedStrings.xml><?xml version="1.0" encoding="utf-8"?>
<sst xmlns="http://schemas.openxmlformats.org/spreadsheetml/2006/main" count="1863" uniqueCount="596">
  <si>
    <t>ID</t>
  </si>
  <si>
    <t>PRED_ID</t>
  </si>
  <si>
    <t>MARKER_AUTO</t>
  </si>
  <si>
    <t>PREDICATE</t>
  </si>
  <si>
    <t>TEXT</t>
  </si>
  <si>
    <t>SENTENCE</t>
  </si>
  <si>
    <t>MARKER</t>
  </si>
  <si>
    <t>TARGET</t>
  </si>
  <si>
    <t>RELATION</t>
  </si>
  <si>
    <t>COMMENT</t>
  </si>
  <si>
    <t>1</t>
  </si>
  <si>
    <t>8</t>
  </si>
  <si>
    <t>_</t>
  </si>
  <si>
    <t>brauchen</t>
  </si>
  <si>
    <t>Weshalb wir Simone , Gabby und Laurie brauchen</t>
  </si>
  <si>
    <t>file://conllu/de/cnn.167026.conllu#s1_0</t>
  </si>
  <si>
    <t>2</t>
  </si>
  <si>
    <t>Was?</t>
  </si>
  <si>
    <t>sein (sein vorstellen)</t>
  </si>
  <si>
    <t>Das ist , was ich mir unter der Frauenolympiamannschaft im in dem Turnen vorstelle und das aus mehr als einem Grund .</t>
  </si>
  <si>
    <t>file://conllu/de/cnn.167026.conllu#s2_0</t>
  </si>
  <si>
    <t>3</t>
  </si>
  <si>
    <t>sein (sein dominanen)</t>
  </si>
  <si>
    <t>Erstens bin ich seit 1984 bei jeder Sommerolympiade dabei und die USA waren noch nie so dominant .</t>
  </si>
  <si>
    <t>file://conllu/de/cnn.167026.conllu#s3_0</t>
  </si>
  <si>
    <t>4</t>
  </si>
  <si>
    <t>6</t>
  </si>
  <si>
    <t>haben</t>
  </si>
  <si>
    <t>Und zweitens : Diese Mannschaft hat drei Turnerinnen , Simone Biles , Gabby Douglas und Lauren &amp;quot; Laurie &amp;quot; Hernandez , die für viele junge Mädchen anderer Hautfarbe inspirierend wirkten .</t>
  </si>
  <si>
    <t>file://conllu/de/cnn.167026.conllu#s4_0</t>
  </si>
  <si>
    <t>5</t>
  </si>
  <si>
    <t>23</t>
  </si>
  <si>
    <t>machen</t>
  </si>
  <si>
    <t>Die Struktur dieser Mannschaft , die Aly Raisman , die Jüdin ist und Madison Kocian , die Katholikin ist , abrunden , macht jeden stolz .</t>
  </si>
  <si>
    <t>file://conllu/de/cnn.167026.conllu#s5_0</t>
  </si>
  <si>
    <t>spiegeln</t>
  </si>
  <si>
    <t>Diese Mannschaft spiegelt endlich die USA wider .</t>
  </si>
  <si>
    <t>file://conllu/de/cnn.167026.conllu#s6_0</t>
  </si>
  <si>
    <t>7</t>
  </si>
  <si>
    <t>14</t>
  </si>
  <si>
    <t>verfestigen</t>
  </si>
  <si>
    <t>Es hat die schwarze und hispanische weibliche Anwesenheit an der Spitze dieser Sportart verfestigt .</t>
  </si>
  <si>
    <t>file://conllu/de/cnn.167026.conllu#s7_0</t>
  </si>
  <si>
    <t>sein (sein ein)</t>
  </si>
  <si>
    <t>In den letzten vier Jahren war die Nummer eins unter der weiblichen Turnerinnen eine Afro Amerikanerin .</t>
  </si>
  <si>
    <t>file://conllu/de/cnn.167026.conllu#s8_0</t>
  </si>
  <si>
    <t>9</t>
  </si>
  <si>
    <t>sein (sein Simon)</t>
  </si>
  <si>
    <t>Letztes Jahr waren Simone und Gabby und .</t>
  </si>
  <si>
    <t>file://conllu/de/cnn.167026.conllu#s9_0</t>
  </si>
  <si>
    <t>10</t>
  </si>
  <si>
    <t>Stärke</t>
  </si>
  <si>
    <t>Das zeigt Stärke .</t>
  </si>
  <si>
    <t>file://conllu/de/cnn.167026.conllu#s10_0</t>
  </si>
  <si>
    <t>11</t>
  </si>
  <si>
    <t>jubeln</t>
  </si>
  <si>
    <t>Bei den letzten Olympischen Spielen war Gabby Douglas eine überraschende Olympiagewinnerin und Amerika jubelte .</t>
  </si>
  <si>
    <t>file://conllu/de/cnn.167026.conllu#s11_0</t>
  </si>
  <si>
    <t>12</t>
  </si>
  <si>
    <t>sein (sein Lage)</t>
  </si>
  <si>
    <t>Jetzt war die Welt in der Lage , Zeuge der unglaublichen Leistung der dreifachen Weltmeisterin Simone Biles , Douglas und Laurie Hernandez zu sein , wie sie unerwartete , doch meisterhafte Gymastikroutinen lieferten .</t>
  </si>
  <si>
    <t>file://conllu/de/cnn.167026.conllu#s12_0</t>
  </si>
  <si>
    <t>gewinnen</t>
  </si>
  <si>
    <t>Mannschaftmitglied Aly Raisman gewann Silber .</t>
  </si>
  <si>
    <t>file://conllu/de/cnn.167026.conllu#s14_0</t>
  </si>
  <si>
    <t>15</t>
  </si>
  <si>
    <t>erleben</t>
  </si>
  <si>
    <t>Wir erleben die Spitze dieser Sportart , aber so sehen Turnklassen im in dem ganzen Land nicht aus .</t>
  </si>
  <si>
    <t>file://conllu/de/cnn.167026.conllu#s15_0</t>
  </si>
  <si>
    <t>16</t>
  </si>
  <si>
    <t>schlagen</t>
  </si>
  <si>
    <t>Simone , Gabby und Laurie schlugen alle den gleichen Weg wie Aly und Madison ein , um es ins in das olympische Team zu schaffen .</t>
  </si>
  <si>
    <t>file://conllu/de/cnn.167026.conllu#s16_0</t>
  </si>
  <si>
    <t>17</t>
  </si>
  <si>
    <t>sein (sein Fünf)</t>
  </si>
  <si>
    <t>Sie sind die &amp;quot; Letzten Fünf &amp;quot; , weil die nächste Olympiamannschaft nur vier Turnerinnen in der Mannschaft haben wird .</t>
  </si>
  <si>
    <t>file://conllu/de/cnn.167026.conllu#s17_0</t>
  </si>
  <si>
    <t>18</t>
  </si>
  <si>
    <t>sein (sein Jahr)</t>
  </si>
  <si>
    <t>Außerdem ist das das letzte Jahr mit Marta Karolyi als Trainerin .</t>
  </si>
  <si>
    <t>file://conllu/de/cnn.167026.conllu#s18_0</t>
  </si>
  <si>
    <t>19</t>
  </si>
  <si>
    <t>sehen</t>
  </si>
  <si>
    <t>Aber die Realität sieht so aus , dass Turnen ein teurer Sport ist und Turner in erster Linie in privaten Turnvereinen , die von Eltern aufrechterhalten werden , die für die Trainings , Einrichtungs , Reise Bekleidungs , Wettbewerbs und Hotelkosten ( für die Trainer und deren Turner und Familien ) aufkommen .</t>
  </si>
  <si>
    <t>file://conllu/de/cnn.167026.conllu#s19_0</t>
  </si>
  <si>
    <t>20</t>
  </si>
  <si>
    <t>lassen</t>
  </si>
  <si>
    <t>Die Liste lässt sich beliebig fortsetzen .</t>
  </si>
  <si>
    <t>file://conllu/de/cnn.167026.conllu#s20_0</t>
  </si>
  <si>
    <t>21</t>
  </si>
  <si>
    <t>liegen</t>
  </si>
  <si>
    <t>Die Mehrheit dieser Turnvereine liegen in wohlhabenden Vororten , die das Geschäft unterstützen können .</t>
  </si>
  <si>
    <t>file://conllu/de/cnn.167026.conllu#s21_0</t>
  </si>
  <si>
    <t>22</t>
  </si>
  <si>
    <t>erhalten</t>
  </si>
  <si>
    <t>In diesen Vereinen erhalten die Turner ihr gesamtes Training und das ist für die Familien ein teures und langfristiges Engagement .</t>
  </si>
  <si>
    <t>file://conllu/de/cnn.167026.conllu#s22_0</t>
  </si>
  <si>
    <t>trainieren</t>
  </si>
  <si>
    <t>Aimee Boorman , Trainerin von Simone Biles , und Maggie Haney , Trainerin von Laurie Hernandez , haben beide ihre Athleten trainiert , seitdem sie mit dem Turnen angefangen haben .</t>
  </si>
  <si>
    <t>file://conllu/de/cnn.167026.conllu#s23_0</t>
  </si>
  <si>
    <t>24</t>
  </si>
  <si>
    <t>unzählig</t>
  </si>
  <si>
    <t>Wir müssen den Gemeinden aun unzähligen , jungen Mädchen , die von Simone , Gabby und Laurie inspiriert werden , ein leistbareres und leichter zugängliches Turntrainung ermöglichen .</t>
  </si>
  <si>
    <t>file://conllu/de/cnn.167026.conllu#s24_0</t>
  </si>
  <si>
    <t>25</t>
  </si>
  <si>
    <t>gründen</t>
  </si>
  <si>
    <t>Ich habe meine Turnstiftung von 20 Jahren gegründet .</t>
  </si>
  <si>
    <t>file://conllu/de/cnn.167026.conllu#s25_0</t>
  </si>
  <si>
    <t>26</t>
  </si>
  <si>
    <t>Bei meinen Veranstaltungen haben wir kostenloses und erschwingliches Turnen in Harlem für über 15.000 urbane Jugendliche ( vor allem schwarze und hispanische ) geboten und nationale und internationale Sieger trainiert .</t>
  </si>
  <si>
    <t>file://conllu/de/cnn.167026.conllu#s26_0</t>
  </si>
  <si>
    <t>28</t>
  </si>
  <si>
    <t>entwickeln</t>
  </si>
  <si>
    <t>Turnen entwickelt Stärke , Flexibilität und Koordination für den Körper sowie harte Arbeit , Disziplin und Bestimmtheit für den Geist .</t>
  </si>
  <si>
    <t>file://conllu/de/cnn.167026.conllu#s28_0</t>
  </si>
  <si>
    <t>29</t>
  </si>
  <si>
    <t>bieten</t>
  </si>
  <si>
    <t>Diese Kombination bietet lebenslange Vorteile für die Gesundheit sowie für den schulischen und beruflichen Erfolg .</t>
  </si>
  <si>
    <t>file://conllu/de/cnn.167026.conllu#s29_0</t>
  </si>
  <si>
    <t>30</t>
  </si>
  <si>
    <t>sein (sein Inspiration)</t>
  </si>
  <si>
    <t>Es ist die Inspiration dieser Mannschaft , die tausende junge Mädchen dazu bringen , sich für das Turnen zu interessieren und das ist toll .</t>
  </si>
  <si>
    <t>file://conllu/de/cnn.167026.conllu#s30_0</t>
  </si>
  <si>
    <t>31</t>
  </si>
  <si>
    <t>sein (sein wichtig)</t>
  </si>
  <si>
    <t>Es ist so wichtig , am an dem Sport teilzunehmen , vor allem für Mädchen .</t>
  </si>
  <si>
    <t>file://conllu/de/cnn.167026.conllu#s31_0</t>
  </si>
  <si>
    <t>32</t>
  </si>
  <si>
    <t>sein (sein Zeit)</t>
  </si>
  <si>
    <t>Das ist eine so spannende Zeit .</t>
  </si>
  <si>
    <t>file://conllu/de/cnn.167026.conllu#s32_0</t>
  </si>
  <si>
    <t>33</t>
  </si>
  <si>
    <t>Dank</t>
  </si>
  <si>
    <t>Danke Simone , Aly , Laurie , Gabby und Madison für diese echte Darstellung von &amp;quot; Girl Power &amp;quot; durch das Holen des olympischen Mannschaftsgolds und danke , fass ihr so viele junge Mädchen mit unterschiedlichem Hintergrund motiviert , um ihren Weg zu beginnen , gesunde , starke und erfolgreiche junge Frauen zu werden .</t>
  </si>
  <si>
    <t>file://conllu/de/cnn.167026.conllu#s33_0</t>
  </si>
  <si>
    <t>WORD</t>
  </si>
  <si>
    <t>GR</t>
  </si>
  <si>
    <t>NP_TYPE</t>
  </si>
  <si>
    <t>REF_AUTO</t>
  </si>
  <si>
    <t>COREF</t>
  </si>
  <si>
    <t>REF</t>
  </si>
  <si>
    <t>IS</t>
  </si>
  <si>
    <t>CB</t>
  </si>
  <si>
    <t>GR_ANTE</t>
  </si>
  <si>
    <t>REF_DIST</t>
  </si>
  <si>
    <t>REF_DIST_ANTE</t>
  </si>
  <si>
    <t># text = Weshalb wir Simone, Gabby und Laurie brauchen</t>
  </si>
  <si>
    <t>Weshalb</t>
  </si>
  <si>
    <t>wir</t>
  </si>
  <si>
    <t>SBJ</t>
  </si>
  <si>
    <t>pron</t>
  </si>
  <si>
    <t>?OLD</t>
  </si>
  <si>
    <t>Simone</t>
  </si>
  <si>
    <t>other_2</t>
  </si>
  <si>
    <t>ne</t>
  </si>
  <si>
    <t>,</t>
  </si>
  <si>
    <t>Gabby</t>
  </si>
  <si>
    <t>other_3</t>
  </si>
  <si>
    <t>und</t>
  </si>
  <si>
    <t>Laurie</t>
  </si>
  <si>
    <t>indef-np.bare</t>
  </si>
  <si>
    <t># text = Das ist, was ich mir unter der Frauenolympiamannschaft im Turnen vorstelle und das aus mehr als einem Grund.</t>
  </si>
  <si>
    <t>Das</t>
  </si>
  <si>
    <t>pron.pds</t>
  </si>
  <si>
    <t>ist</t>
  </si>
  <si>
    <t>was</t>
  </si>
  <si>
    <t>OBJ</t>
  </si>
  <si>
    <t>ich</t>
  </si>
  <si>
    <t>pron.pper</t>
  </si>
  <si>
    <t>mir</t>
  </si>
  <si>
    <t>unter</t>
  </si>
  <si>
    <t>der</t>
  </si>
  <si>
    <t>Frauenolympiamannschaft</t>
  </si>
  <si>
    <t>other</t>
  </si>
  <si>
    <t>def-np.the</t>
  </si>
  <si>
    <t>in</t>
  </si>
  <si>
    <t>dem</t>
  </si>
  <si>
    <t>Turnen</t>
  </si>
  <si>
    <t>vorstelle</t>
  </si>
  <si>
    <t>das</t>
  </si>
  <si>
    <t>aus</t>
  </si>
  <si>
    <t>mehr</t>
  </si>
  <si>
    <t>als</t>
  </si>
  <si>
    <t>einem</t>
  </si>
  <si>
    <t>Grund</t>
  </si>
  <si>
    <t>indef-np.a</t>
  </si>
  <si>
    <t>.</t>
  </si>
  <si>
    <t># text = Erstens bin ich seit 1984 bei jeder Sommerolympiade dabei und die USA waren noch nie so dominant.</t>
  </si>
  <si>
    <t>Erstens</t>
  </si>
  <si>
    <t>bin</t>
  </si>
  <si>
    <t>seit</t>
  </si>
  <si>
    <t>1984</t>
  </si>
  <si>
    <t>bei</t>
  </si>
  <si>
    <t>jeder</t>
  </si>
  <si>
    <t>pron.pind</t>
  </si>
  <si>
    <t>Sommerolympiade</t>
  </si>
  <si>
    <t>dabei</t>
  </si>
  <si>
    <t>die</t>
  </si>
  <si>
    <t>USA</t>
  </si>
  <si>
    <t>waren</t>
  </si>
  <si>
    <t>noch</t>
  </si>
  <si>
    <t>nie</t>
  </si>
  <si>
    <t>so</t>
  </si>
  <si>
    <t>dominant</t>
  </si>
  <si>
    <t>--</t>
  </si>
  <si>
    <t># text = Und zweitens: Diese Mannschaft hat drei Turnerinnen, Simone Biles, Gabby Douglas und Lauren "Laurie" Hernandez, die für viele junge Mädchen anderer Hautfarbe inspirierend wirkten.</t>
  </si>
  <si>
    <t>Und</t>
  </si>
  <si>
    <t>zweitens</t>
  </si>
  <si>
    <t>:</t>
  </si>
  <si>
    <t>Diese</t>
  </si>
  <si>
    <t>Mannschaft</t>
  </si>
  <si>
    <t>def-np.dem</t>
  </si>
  <si>
    <t>hat</t>
  </si>
  <si>
    <t>drei</t>
  </si>
  <si>
    <t>Turnerinnen</t>
  </si>
  <si>
    <t>indef-np.quant</t>
  </si>
  <si>
    <t>Biles</t>
  </si>
  <si>
    <t>Douglas</t>
  </si>
  <si>
    <t>Lauren</t>
  </si>
  <si>
    <t>&amp;quot;</t>
  </si>
  <si>
    <t>Hernandez</t>
  </si>
  <si>
    <t>SBJ_4</t>
  </si>
  <si>
    <t>für</t>
  </si>
  <si>
    <t>viele</t>
  </si>
  <si>
    <t>junge</t>
  </si>
  <si>
    <t>Mädchen</t>
  </si>
  <si>
    <t>other_4</t>
  </si>
  <si>
    <t>anderer</t>
  </si>
  <si>
    <t>Hautfarbe</t>
  </si>
  <si>
    <t>other_5</t>
  </si>
  <si>
    <t>inspirierend</t>
  </si>
  <si>
    <t>wirkten</t>
  </si>
  <si>
    <t># text = Die Struktur dieser Mannschaft, die Aly Raisman, die Jüdin ist und Madison Kocian, die Katholikin ist, abrunden, macht jeden stolz.</t>
  </si>
  <si>
    <t>Die</t>
  </si>
  <si>
    <t>Struktur</t>
  </si>
  <si>
    <t>SBJ_2</t>
  </si>
  <si>
    <t>def-np.poss</t>
  </si>
  <si>
    <t>dieser</t>
  </si>
  <si>
    <t>Aly</t>
  </si>
  <si>
    <t>Raisman</t>
  </si>
  <si>
    <t>Jüdin</t>
  </si>
  <si>
    <t>Madison</t>
  </si>
  <si>
    <t>Kocian</t>
  </si>
  <si>
    <t>Katholikin</t>
  </si>
  <si>
    <t>SBJ_3</t>
  </si>
  <si>
    <t>abrunden</t>
  </si>
  <si>
    <t>macht</t>
  </si>
  <si>
    <t>jeden</t>
  </si>
  <si>
    <t>stolz</t>
  </si>
  <si>
    <t># text = Diese Mannschaft spiegelt endlich die USA wider.</t>
  </si>
  <si>
    <t>spiegelt</t>
  </si>
  <si>
    <t>endlich</t>
  </si>
  <si>
    <t>wider</t>
  </si>
  <si>
    <t># text = Es hat die schwarze und hispanische weibliche Anwesenheit an der Spitze dieser Sportart verfestigt.</t>
  </si>
  <si>
    <t>Es</t>
  </si>
  <si>
    <t>schwarze</t>
  </si>
  <si>
    <t>hispanische</t>
  </si>
  <si>
    <t>weibliche</t>
  </si>
  <si>
    <t>Anwesenheit</t>
  </si>
  <si>
    <t>an</t>
  </si>
  <si>
    <t>Spitze</t>
  </si>
  <si>
    <t>Sportart</t>
  </si>
  <si>
    <t>verfestigt</t>
  </si>
  <si>
    <t># text = In den letzten vier Jahren war die Nummer eins unter der weiblichen Turnerinnen eine Afro-Amerikanerin.</t>
  </si>
  <si>
    <t>In</t>
  </si>
  <si>
    <t>den</t>
  </si>
  <si>
    <t>letzten</t>
  </si>
  <si>
    <t>vier</t>
  </si>
  <si>
    <t>Jahren</t>
  </si>
  <si>
    <t>def-np.quant</t>
  </si>
  <si>
    <t>war</t>
  </si>
  <si>
    <t>Nummer</t>
  </si>
  <si>
    <t>eins</t>
  </si>
  <si>
    <t>weiblichen</t>
  </si>
  <si>
    <t>eine</t>
  </si>
  <si>
    <t>Afro</t>
  </si>
  <si>
    <t>Amerikanerin</t>
  </si>
  <si>
    <t># text = Letztes Jahr waren Simone und Gabby #1 und #2.</t>
  </si>
  <si>
    <t>Letztes</t>
  </si>
  <si>
    <t>Jahr</t>
  </si>
  <si>
    <t># text = Das zeigt Stärke.</t>
  </si>
  <si>
    <t>zeigt</t>
  </si>
  <si>
    <t># text = Bei den letzten Olympischen Spielen war Gabby Douglas eine überraschende Olympiagewinnerin und Amerika jubelte.</t>
  </si>
  <si>
    <t>Bei</t>
  </si>
  <si>
    <t>Olympischen</t>
  </si>
  <si>
    <t>Spielen</t>
  </si>
  <si>
    <t>überraschende</t>
  </si>
  <si>
    <t>Olympiagewinnerin</t>
  </si>
  <si>
    <t>Amerika</t>
  </si>
  <si>
    <t>jubelte</t>
  </si>
  <si>
    <t># text = Jetzt war die Welt in der Lage, Zeuge der unglaublichen Leistung der dreifachen Weltmeisterin Simone Biles, Douglas und Laurie Hernandez zu sein, wie sie unerwartete, doch meisterhafte Gymastikroutinen lieferten.</t>
  </si>
  <si>
    <t>Jetzt</t>
  </si>
  <si>
    <t>Welt</t>
  </si>
  <si>
    <t>Lage</t>
  </si>
  <si>
    <t>Zeuge</t>
  </si>
  <si>
    <t>unglaublichen</t>
  </si>
  <si>
    <t>Leistung</t>
  </si>
  <si>
    <t>dreifachen</t>
  </si>
  <si>
    <t>Weltmeisterin</t>
  </si>
  <si>
    <t>zu</t>
  </si>
  <si>
    <t>sein</t>
  </si>
  <si>
    <t>wie</t>
  </si>
  <si>
    <t>sie</t>
  </si>
  <si>
    <t>unerwartete</t>
  </si>
  <si>
    <t>doch</t>
  </si>
  <si>
    <t>meisterhafte</t>
  </si>
  <si>
    <t>Gymastikroutinen</t>
  </si>
  <si>
    <t>OBJ_3</t>
  </si>
  <si>
    <t>lieferten</t>
  </si>
  <si>
    <t># text = Am Donnerstag wurde Simone die vierte, heterosexuelle Amerikanerin, die bei einer individuellen Mehrkampfveranstaltung für Frauen Gold gewann.</t>
  </si>
  <si>
    <t>An</t>
  </si>
  <si>
    <t>Donnerstag</t>
  </si>
  <si>
    <t>wurde</t>
  </si>
  <si>
    <t>vierte</t>
  </si>
  <si>
    <t>heterosexuelle</t>
  </si>
  <si>
    <t>einer</t>
  </si>
  <si>
    <t>individuellen</t>
  </si>
  <si>
    <t>Mehrkampfveranstaltung</t>
  </si>
  <si>
    <t>Frauen</t>
  </si>
  <si>
    <t>Gold</t>
  </si>
  <si>
    <t>gewann</t>
  </si>
  <si>
    <t># text = Mannschaftmitglied Aly Raisman gewann Silber.</t>
  </si>
  <si>
    <t>Mannschaftmitglied</t>
  </si>
  <si>
    <t>Silber</t>
  </si>
  <si>
    <t># text = Wir erleben die Spitze dieser Sportart, aber so sehen Turnklassen im ganzen Land nicht aus.</t>
  </si>
  <si>
    <t>Wir</t>
  </si>
  <si>
    <t>aber</t>
  </si>
  <si>
    <t>Turnklassen</t>
  </si>
  <si>
    <t>ganzen</t>
  </si>
  <si>
    <t>Land</t>
  </si>
  <si>
    <t>nicht</t>
  </si>
  <si>
    <t># text = Simone, Gabby und Laurie schlugen alle den gleichen Weg wie Aly und Madison ein, um es ins olympische Team zu schaffen.</t>
  </si>
  <si>
    <t>schlugen</t>
  </si>
  <si>
    <t>alle</t>
  </si>
  <si>
    <t>gleichen</t>
  </si>
  <si>
    <t>Weg</t>
  </si>
  <si>
    <t>ein</t>
  </si>
  <si>
    <t>um</t>
  </si>
  <si>
    <t>es</t>
  </si>
  <si>
    <t>OBJ_2</t>
  </si>
  <si>
    <t>olympische</t>
  </si>
  <si>
    <t>Team</t>
  </si>
  <si>
    <t>schaffen</t>
  </si>
  <si>
    <t># text = Sie sind die "Letzten Fünf", weil die nächste Olympiamannschaft nur vier Turnerinnen in der Mannschaft haben wird.</t>
  </si>
  <si>
    <t>Sie</t>
  </si>
  <si>
    <t>sind</t>
  </si>
  <si>
    <t>Letzten</t>
  </si>
  <si>
    <t>Fünf</t>
  </si>
  <si>
    <t>weil</t>
  </si>
  <si>
    <t>nächste</t>
  </si>
  <si>
    <t>Olympiamannschaft</t>
  </si>
  <si>
    <t>nur</t>
  </si>
  <si>
    <t>wird</t>
  </si>
  <si>
    <t># text = Außerdem ist das das letzte Jahr mit Marta Karolyi als Trainerin.</t>
  </si>
  <si>
    <t>Außerdem</t>
  </si>
  <si>
    <t>letzte</t>
  </si>
  <si>
    <t>mit</t>
  </si>
  <si>
    <t>Marta</t>
  </si>
  <si>
    <t>Karolyi</t>
  </si>
  <si>
    <t>Trainerin</t>
  </si>
  <si>
    <t># text = Aber die Realität sieht so aus, dass Turnen ein teurer Sport ist und Turner in erster Linie in privaten Turnvereinen, die von Eltern aufrechterhalten werden, die für die Trainings-, Einrichtungs-, Reise- Bekleidungs-, Wettbewerbs- und Hotelkosten (für die Trainer und deren Turner und Familien) aufkommen.</t>
  </si>
  <si>
    <t>Aber</t>
  </si>
  <si>
    <t>Realität</t>
  </si>
  <si>
    <t>sieht</t>
  </si>
  <si>
    <t>dass</t>
  </si>
  <si>
    <t>teurer</t>
  </si>
  <si>
    <t>Sport</t>
  </si>
  <si>
    <t>Turner</t>
  </si>
  <si>
    <t>erster</t>
  </si>
  <si>
    <t>Linie</t>
  </si>
  <si>
    <t>privaten</t>
  </si>
  <si>
    <t>Turnvereinen</t>
  </si>
  <si>
    <t>SBJ_5</t>
  </si>
  <si>
    <t>von</t>
  </si>
  <si>
    <t>Eltern</t>
  </si>
  <si>
    <t>aufrechterhalten</t>
  </si>
  <si>
    <t>werden</t>
  </si>
  <si>
    <t>SBJ_6</t>
  </si>
  <si>
    <t>Trainings</t>
  </si>
  <si>
    <t>other_6</t>
  </si>
  <si>
    <t>Einrichtungs</t>
  </si>
  <si>
    <t>other_7</t>
  </si>
  <si>
    <t>Reise</t>
  </si>
  <si>
    <t>Bekleidungs</t>
  </si>
  <si>
    <t>Wettbewerbs</t>
  </si>
  <si>
    <t>Hotelkosten</t>
  </si>
  <si>
    <t>(</t>
  </si>
  <si>
    <t>Trainer</t>
  </si>
  <si>
    <t>deren</t>
  </si>
  <si>
    <t>other_8</t>
  </si>
  <si>
    <t>Familien</t>
  </si>
  <si>
    <t>other_9</t>
  </si>
  <si>
    <t>)</t>
  </si>
  <si>
    <t>aufkommen</t>
  </si>
  <si>
    <t># text = Die Liste lässt sich beliebig fortsetzen.</t>
  </si>
  <si>
    <t>Liste</t>
  </si>
  <si>
    <t>lässt</t>
  </si>
  <si>
    <t>sich</t>
  </si>
  <si>
    <t>beliebig</t>
  </si>
  <si>
    <t>fortsetzen</t>
  </si>
  <si>
    <t># text = Die Mehrheit dieser Turnvereine liegen in wohlhabenden Vororten, die das Geschäft unterstützen können.</t>
  </si>
  <si>
    <t>Mehrheit</t>
  </si>
  <si>
    <t>Turnvereine</t>
  </si>
  <si>
    <t>wohlhabenden</t>
  </si>
  <si>
    <t>Vororten</t>
  </si>
  <si>
    <t>Geschäft</t>
  </si>
  <si>
    <t>unterstützen</t>
  </si>
  <si>
    <t>können</t>
  </si>
  <si>
    <t># text = In diesen Vereinen erhalten die Turner ihr gesamtes Training und das ist für die Familien ein teures und langfristiges Engagement.</t>
  </si>
  <si>
    <t>diesen</t>
  </si>
  <si>
    <t>Vereinen</t>
  </si>
  <si>
    <t>ihr</t>
  </si>
  <si>
    <t>gesamtes</t>
  </si>
  <si>
    <t>Training</t>
  </si>
  <si>
    <t>indef-np</t>
  </si>
  <si>
    <t>teures</t>
  </si>
  <si>
    <t>langfristiges</t>
  </si>
  <si>
    <t>Engagement</t>
  </si>
  <si>
    <t># text = Aimee Boorman, Trainerin von Simone Biles, und Maggie Haney, Trainerin von Laurie Hernandez, haben beide ihre Athleten trainiert, seitdem sie mit dem Turnen angefangen haben.</t>
  </si>
  <si>
    <t>Aimee</t>
  </si>
  <si>
    <t>Boorman</t>
  </si>
  <si>
    <t>Maggie</t>
  </si>
  <si>
    <t>Haney</t>
  </si>
  <si>
    <t>beide</t>
  </si>
  <si>
    <t>ihre</t>
  </si>
  <si>
    <t>Athleten</t>
  </si>
  <si>
    <t>trainiert</t>
  </si>
  <si>
    <t>seitdem</t>
  </si>
  <si>
    <t>angefangen</t>
  </si>
  <si>
    <t># text = Wir müssen den Gemeinden aun unzähligen, jungen Mädchen, die von Simone, Gabby und Laurie inspiriert werden, ein leistbareres und leichter zugängliches Turntrainung ermöglichen.</t>
  </si>
  <si>
    <t>müssen</t>
  </si>
  <si>
    <t>Gemeinden</t>
  </si>
  <si>
    <t>aun</t>
  </si>
  <si>
    <t>unzähligen</t>
  </si>
  <si>
    <t>jungen</t>
  </si>
  <si>
    <t>inspiriert</t>
  </si>
  <si>
    <t>leistbareres</t>
  </si>
  <si>
    <t>leichter</t>
  </si>
  <si>
    <t>zugängliches</t>
  </si>
  <si>
    <t>Turntrainung</t>
  </si>
  <si>
    <t>ermöglichen</t>
  </si>
  <si>
    <t># text = Ich habe meine Turnstiftung von 20 Jahren gegründet.</t>
  </si>
  <si>
    <t>Ich</t>
  </si>
  <si>
    <t>habe</t>
  </si>
  <si>
    <t>meine</t>
  </si>
  <si>
    <t>Turnstiftung</t>
  </si>
  <si>
    <t>gegründet</t>
  </si>
  <si>
    <t># text = Bei meinen Veranstaltungen haben wir kostenloses und erschwingliches Turnen in Harlem für über 15.000 urbane Jugendliche (vor allem schwarze und hispanische) geboten und nationale und internationale Sieger trainiert.</t>
  </si>
  <si>
    <t>meinen</t>
  </si>
  <si>
    <t>pron.ppos</t>
  </si>
  <si>
    <t>Veranstaltungen</t>
  </si>
  <si>
    <t>kostenloses</t>
  </si>
  <si>
    <t>erschwingliches</t>
  </si>
  <si>
    <t>Harlem</t>
  </si>
  <si>
    <t>über</t>
  </si>
  <si>
    <t>15.000</t>
  </si>
  <si>
    <t>urbane</t>
  </si>
  <si>
    <t>Jugendliche</t>
  </si>
  <si>
    <t>vor</t>
  </si>
  <si>
    <t>allem</t>
  </si>
  <si>
    <t>geboten</t>
  </si>
  <si>
    <t>nationale</t>
  </si>
  <si>
    <t>internationale</t>
  </si>
  <si>
    <t>Sieger</t>
  </si>
  <si>
    <t># text = Im September werden wir nach Detroit (meine Heimatstadt) expandieren, um der Jugend hochqualitatives Turnen zu bieten, die die Möglichkeit verdienen, von dieser tollen olympischen Sportart zu lernen und zu profitieren.</t>
  </si>
  <si>
    <t>September</t>
  </si>
  <si>
    <t>nach</t>
  </si>
  <si>
    <t>Detroit</t>
  </si>
  <si>
    <t>Heimatstadt</t>
  </si>
  <si>
    <t>expandieren</t>
  </si>
  <si>
    <t>Jugend</t>
  </si>
  <si>
    <t>hochqualitatives</t>
  </si>
  <si>
    <t>Möglichkeit</t>
  </si>
  <si>
    <t>verdienen</t>
  </si>
  <si>
    <t>tollen</t>
  </si>
  <si>
    <t>olympischen</t>
  </si>
  <si>
    <t>lernen</t>
  </si>
  <si>
    <t>profitieren</t>
  </si>
  <si>
    <t># text = Turnen entwickelt Stärke, Flexibilität und Koordination für den Körper sowie harte Arbeit, Disziplin und Bestimmtheit für den Geist.</t>
  </si>
  <si>
    <t>entwickelt</t>
  </si>
  <si>
    <t>Flexibilität</t>
  </si>
  <si>
    <t>Koordination</t>
  </si>
  <si>
    <t>Körper</t>
  </si>
  <si>
    <t>sowie</t>
  </si>
  <si>
    <t>harte</t>
  </si>
  <si>
    <t>Arbeit</t>
  </si>
  <si>
    <t>Disziplin</t>
  </si>
  <si>
    <t>Bestimmtheit</t>
  </si>
  <si>
    <t>Geist</t>
  </si>
  <si>
    <t># text = Diese Kombination bietet lebenslange Vorteile für die Gesundheit sowie für den schulischen und beruflichen Erfolg.</t>
  </si>
  <si>
    <t>Kombination</t>
  </si>
  <si>
    <t>bietet</t>
  </si>
  <si>
    <t>lebenslange</t>
  </si>
  <si>
    <t>Vorteile</t>
  </si>
  <si>
    <t>Gesundheit</t>
  </si>
  <si>
    <t>schulischen</t>
  </si>
  <si>
    <t>beruflichen</t>
  </si>
  <si>
    <t>Erfolg</t>
  </si>
  <si>
    <t># text = Es ist die Inspiration dieser Mannschaft, die tausende junge Mädchen dazu bringen, sich für das Turnen zu interessieren und das ist toll.</t>
  </si>
  <si>
    <t>Inspiration</t>
  </si>
  <si>
    <t>tausende</t>
  </si>
  <si>
    <t>dazu</t>
  </si>
  <si>
    <t>bringen</t>
  </si>
  <si>
    <t>interessieren</t>
  </si>
  <si>
    <t>toll</t>
  </si>
  <si>
    <t># text = Es ist so wichtig, am Sport teilzunehmen, vor allem für Mädchen.</t>
  </si>
  <si>
    <t>wichtig</t>
  </si>
  <si>
    <t>teilzunehmen</t>
  </si>
  <si>
    <t># text = Das ist eine so spannende Zeit.</t>
  </si>
  <si>
    <t>spannende</t>
  </si>
  <si>
    <t>Zeit</t>
  </si>
  <si>
    <t># text = Danke Simone, Aly, Laurie, Gabby und Madison für diese echte Darstellung von "Girl Power" durch das Holen des olympischen Mannschaftsgolds und danke, fass ihr so viele junge Mädchen mit unterschiedlichem Hintergrund motiviert, um ihren Weg zu beginnen, gesunde, starke und erfolgreiche junge Frauen zu werden.</t>
  </si>
  <si>
    <t>Danke</t>
  </si>
  <si>
    <t>diese</t>
  </si>
  <si>
    <t>echte</t>
  </si>
  <si>
    <t>Darstellung</t>
  </si>
  <si>
    <t>Girl</t>
  </si>
  <si>
    <t>Power</t>
  </si>
  <si>
    <t>durch</t>
  </si>
  <si>
    <t>Holen</t>
  </si>
  <si>
    <t>des</t>
  </si>
  <si>
    <t>Mannschaftsgolds</t>
  </si>
  <si>
    <t>danke</t>
  </si>
  <si>
    <t>fass</t>
  </si>
  <si>
    <t>unterschiedlichem</t>
  </si>
  <si>
    <t>Hintergrund</t>
  </si>
  <si>
    <t>motiviert</t>
  </si>
  <si>
    <t>ihren</t>
  </si>
  <si>
    <t>OBJ_4</t>
  </si>
  <si>
    <t>beginnen</t>
  </si>
  <si>
    <t>gesunde</t>
  </si>
  <si>
    <t>starke</t>
  </si>
  <si>
    <t>erfolgreiche</t>
  </si>
  <si>
    <t>simone</t>
  </si>
  <si>
    <t>gabby</t>
  </si>
  <si>
    <t>laurie</t>
  </si>
  <si>
    <t>sprecher</t>
  </si>
  <si>
    <t>GEN</t>
  </si>
  <si>
    <t>frauenmannschaft_turnen</t>
  </si>
  <si>
    <t>artikel</t>
  </si>
  <si>
    <t>PRED</t>
  </si>
  <si>
    <t>GROUP</t>
  </si>
  <si>
    <t>drei&gt;simone,gabby,laurie</t>
  </si>
  <si>
    <t>OLD</t>
  </si>
  <si>
    <t>aly</t>
  </si>
  <si>
    <t>madison</t>
  </si>
  <si>
    <t>usa</t>
  </si>
  <si>
    <t>turnen</t>
  </si>
  <si>
    <t>ID, weil nacherwähnt</t>
  </si>
  <si>
    <t>IDIOM</t>
  </si>
  <si>
    <t>SIT</t>
  </si>
  <si>
    <t>EXPL</t>
  </si>
  <si>
    <t>marta</t>
  </si>
  <si>
    <t>aimee</t>
  </si>
  <si>
    <t>maggie</t>
  </si>
  <si>
    <t>trainerinnen&gt;aimee,maggie</t>
  </si>
  <si>
    <t>simone_laurie&gt;simone,laurie</t>
  </si>
  <si>
    <t>kein auto_ref</t>
  </si>
  <si>
    <t>simone_laurie</t>
  </si>
  <si>
    <t>BOUND</t>
  </si>
  <si>
    <t>veranstaltungen_sprecher</t>
  </si>
  <si>
    <t>detroit</t>
  </si>
  <si>
    <t>turnstiftung_sprecher</t>
  </si>
  <si>
    <t>junge_maedchen</t>
  </si>
  <si>
    <t>antezedens</t>
  </si>
  <si>
    <t>weg_junge_maedchen</t>
  </si>
  <si>
    <t>turnspitze</t>
  </si>
  <si>
    <t>weibliche_turnerinnen</t>
  </si>
  <si>
    <t>diversitaet</t>
  </si>
  <si>
    <t>syntaktischer Kopf</t>
  </si>
  <si>
    <t>beste_turnerin</t>
  </si>
  <si>
    <t>frauenmannschaft_turnen_zukunft</t>
  </si>
  <si>
    <t>NEW</t>
  </si>
  <si>
    <t>letztes_olympia</t>
  </si>
  <si>
    <t>naechstes_olympia</t>
  </si>
  <si>
    <t>kosten_turnen</t>
  </si>
  <si>
    <t>trainer_turnen</t>
  </si>
  <si>
    <t>kein auto ref</t>
  </si>
  <si>
    <t>turner_und_familien</t>
  </si>
  <si>
    <t>private_turnvereine</t>
  </si>
  <si>
    <t>mehrheit_turnvereine</t>
  </si>
  <si>
    <t>turner_vororte</t>
  </si>
  <si>
    <t>training_turner_vororte</t>
  </si>
  <si>
    <t>familien_turner</t>
  </si>
  <si>
    <t>gemeinden</t>
  </si>
  <si>
    <t>urbane_jugend</t>
  </si>
  <si>
    <t>nutzen_turnen</t>
  </si>
  <si>
    <t>inspiration_mannschaft</t>
  </si>
  <si>
    <t>interesse_turnen</t>
  </si>
  <si>
    <t>girl_power</t>
  </si>
  <si>
    <t>gold_olympia</t>
  </si>
  <si>
    <t>CAT</t>
  </si>
  <si>
    <t>FAMILIAR</t>
  </si>
  <si>
    <t>FOCUS</t>
  </si>
  <si>
    <t>ACTIVATED</t>
  </si>
  <si>
    <t>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</si>
</sst>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2" si="0">IF(A2=1,"_",IF(C2="_","???",C2))</f>
        <v>???</v>
      </c>
      <c r="H2" s="10" t="s">
        <v>12</v>
      </c>
      <c r="I2" s="11" t="s">
        <v>12</v>
      </c>
      <c r="J2" s="12"/>
    </row>
    <row r="3" spans="1:10" ht="60" customHeight="1" x14ac:dyDescent="0.3">
      <c r="A3" s="6" t="s">
        <v>16</v>
      </c>
      <c r="B3" s="6" t="s">
        <v>16</v>
      </c>
      <c r="C3" s="6" t="s">
        <v>17</v>
      </c>
      <c r="D3" s="7" t="s">
        <v>18</v>
      </c>
      <c r="E3" s="8" t="s">
        <v>19</v>
      </c>
      <c r="F3" s="6" t="s">
        <v>20</v>
      </c>
      <c r="G3" s="9" t="str">
        <f t="shared" si="0"/>
        <v>Was?</v>
      </c>
      <c r="H3" s="10" t="s">
        <v>12</v>
      </c>
      <c r="I3" s="11" t="s">
        <v>12</v>
      </c>
      <c r="J3" s="12"/>
    </row>
    <row r="4" spans="1:10" ht="60" customHeight="1" x14ac:dyDescent="0.3">
      <c r="A4" s="6" t="s">
        <v>21</v>
      </c>
      <c r="B4" s="6" t="s">
        <v>16</v>
      </c>
      <c r="C4" s="6" t="s">
        <v>12</v>
      </c>
      <c r="D4" s="7" t="s">
        <v>22</v>
      </c>
      <c r="E4" s="8" t="s">
        <v>23</v>
      </c>
      <c r="F4" s="6" t="s">
        <v>24</v>
      </c>
      <c r="G4" s="9" t="str">
        <f t="shared" si="0"/>
        <v>???</v>
      </c>
      <c r="H4" s="10" t="s">
        <v>12</v>
      </c>
      <c r="I4" s="11" t="s">
        <v>12</v>
      </c>
      <c r="J4" s="12"/>
    </row>
    <row r="5" spans="1:10" ht="60" customHeight="1" x14ac:dyDescent="0.3">
      <c r="A5" s="6" t="s">
        <v>25</v>
      </c>
      <c r="B5" s="6" t="s">
        <v>26</v>
      </c>
      <c r="C5" s="6" t="s">
        <v>12</v>
      </c>
      <c r="D5" s="7" t="s">
        <v>27</v>
      </c>
      <c r="E5" s="8" t="s">
        <v>28</v>
      </c>
      <c r="F5" s="6" t="s">
        <v>29</v>
      </c>
      <c r="G5" s="9" t="str">
        <f t="shared" si="0"/>
        <v>???</v>
      </c>
      <c r="H5" s="10" t="s">
        <v>12</v>
      </c>
      <c r="I5" s="11" t="s">
        <v>12</v>
      </c>
      <c r="J5" s="12"/>
    </row>
    <row r="6" spans="1:10" ht="60" customHeight="1" x14ac:dyDescent="0.3">
      <c r="A6" s="6" t="s">
        <v>30</v>
      </c>
      <c r="B6" s="6" t="s">
        <v>31</v>
      </c>
      <c r="C6" s="6" t="s">
        <v>12</v>
      </c>
      <c r="D6" s="7" t="s">
        <v>32</v>
      </c>
      <c r="E6" s="8" t="s">
        <v>33</v>
      </c>
      <c r="F6" s="6" t="s">
        <v>34</v>
      </c>
      <c r="G6" s="9" t="str">
        <f t="shared" si="0"/>
        <v>???</v>
      </c>
      <c r="H6" s="10" t="s">
        <v>12</v>
      </c>
      <c r="I6" s="11" t="s">
        <v>12</v>
      </c>
      <c r="J6" s="12"/>
    </row>
    <row r="7" spans="1:10" ht="60" customHeight="1" x14ac:dyDescent="0.3">
      <c r="A7" s="6" t="s">
        <v>26</v>
      </c>
      <c r="B7" s="6" t="s">
        <v>21</v>
      </c>
      <c r="C7" s="6" t="s">
        <v>12</v>
      </c>
      <c r="D7" s="7" t="s">
        <v>35</v>
      </c>
      <c r="E7" s="8" t="s">
        <v>36</v>
      </c>
      <c r="F7" s="6" t="s">
        <v>37</v>
      </c>
      <c r="G7" s="9" t="str">
        <f t="shared" si="0"/>
        <v>???</v>
      </c>
      <c r="H7" s="10" t="s">
        <v>12</v>
      </c>
      <c r="I7" s="11" t="s">
        <v>12</v>
      </c>
      <c r="J7" s="12"/>
    </row>
    <row r="8" spans="1:10" ht="60" customHeight="1" x14ac:dyDescent="0.3">
      <c r="A8" s="6" t="s">
        <v>38</v>
      </c>
      <c r="B8" s="6" t="s">
        <v>39</v>
      </c>
      <c r="C8" s="6" t="s">
        <v>12</v>
      </c>
      <c r="D8" s="7" t="s">
        <v>40</v>
      </c>
      <c r="E8" s="8" t="s">
        <v>41</v>
      </c>
      <c r="F8" s="6" t="s">
        <v>42</v>
      </c>
      <c r="G8" s="9" t="str">
        <f t="shared" si="0"/>
        <v>???</v>
      </c>
      <c r="H8" s="10" t="s">
        <v>12</v>
      </c>
      <c r="I8" s="11" t="s">
        <v>12</v>
      </c>
      <c r="J8" s="12"/>
    </row>
    <row r="9" spans="1:10" ht="60" customHeight="1" x14ac:dyDescent="0.3">
      <c r="A9" s="6" t="s">
        <v>11</v>
      </c>
      <c r="B9" s="6" t="s">
        <v>26</v>
      </c>
      <c r="C9" s="6" t="s">
        <v>12</v>
      </c>
      <c r="D9" s="7" t="s">
        <v>43</v>
      </c>
      <c r="E9" s="8" t="s">
        <v>44</v>
      </c>
      <c r="F9" s="6" t="s">
        <v>45</v>
      </c>
      <c r="G9" s="9" t="str">
        <f t="shared" si="0"/>
        <v>???</v>
      </c>
      <c r="H9" s="10" t="s">
        <v>12</v>
      </c>
      <c r="I9" s="11" t="s">
        <v>12</v>
      </c>
      <c r="J9" s="12"/>
    </row>
    <row r="10" spans="1:10" ht="60" customHeight="1" x14ac:dyDescent="0.3">
      <c r="A10" s="6" t="s">
        <v>46</v>
      </c>
      <c r="B10" s="6" t="s">
        <v>21</v>
      </c>
      <c r="C10" s="6" t="s">
        <v>12</v>
      </c>
      <c r="D10" s="7" t="s">
        <v>47</v>
      </c>
      <c r="E10" s="8" t="s">
        <v>48</v>
      </c>
      <c r="F10" s="6" t="s">
        <v>49</v>
      </c>
      <c r="G10" s="9" t="str">
        <f t="shared" si="0"/>
        <v>???</v>
      </c>
      <c r="H10" s="10" t="s">
        <v>12</v>
      </c>
      <c r="I10" s="11" t="s">
        <v>12</v>
      </c>
      <c r="J10" s="12"/>
    </row>
    <row r="11" spans="1:10" ht="60" customHeight="1" x14ac:dyDescent="0.3">
      <c r="A11" s="6" t="s">
        <v>50</v>
      </c>
      <c r="B11" s="6" t="s">
        <v>21</v>
      </c>
      <c r="C11" s="6" t="s">
        <v>12</v>
      </c>
      <c r="D11" s="7" t="s">
        <v>51</v>
      </c>
      <c r="E11" s="8" t="s">
        <v>52</v>
      </c>
      <c r="F11" s="6" t="s">
        <v>53</v>
      </c>
      <c r="G11" s="9" t="str">
        <f t="shared" si="0"/>
        <v>???</v>
      </c>
      <c r="H11" s="10" t="s">
        <v>12</v>
      </c>
      <c r="I11" s="11" t="s">
        <v>12</v>
      </c>
      <c r="J11" s="12"/>
    </row>
    <row r="12" spans="1:10" ht="60" customHeight="1" x14ac:dyDescent="0.3">
      <c r="A12" s="6" t="s">
        <v>54</v>
      </c>
      <c r="B12" s="6" t="s">
        <v>39</v>
      </c>
      <c r="C12" s="6" t="s">
        <v>12</v>
      </c>
      <c r="D12" s="7" t="s">
        <v>55</v>
      </c>
      <c r="E12" s="8" t="s">
        <v>56</v>
      </c>
      <c r="F12" s="6" t="s">
        <v>57</v>
      </c>
      <c r="G12" s="9" t="str">
        <f t="shared" si="0"/>
        <v>???</v>
      </c>
      <c r="H12" s="10" t="s">
        <v>12</v>
      </c>
      <c r="I12" s="11" t="s">
        <v>12</v>
      </c>
      <c r="J12" s="12"/>
    </row>
    <row r="13" spans="1:10" ht="60" customHeight="1" x14ac:dyDescent="0.3">
      <c r="A13" s="6" t="s">
        <v>58</v>
      </c>
      <c r="B13" s="6" t="s">
        <v>16</v>
      </c>
      <c r="C13" s="6" t="s">
        <v>12</v>
      </c>
      <c r="D13" s="7" t="s">
        <v>59</v>
      </c>
      <c r="E13" s="8" t="s">
        <v>60</v>
      </c>
      <c r="F13" s="6" t="s">
        <v>61</v>
      </c>
      <c r="G13" s="9" t="str">
        <f t="shared" si="0"/>
        <v>???</v>
      </c>
      <c r="H13" s="10" t="s">
        <v>12</v>
      </c>
      <c r="I13" s="11" t="s">
        <v>12</v>
      </c>
      <c r="J13" s="12"/>
    </row>
    <row r="14" spans="1:10" ht="60" customHeight="1" x14ac:dyDescent="0.3">
      <c r="A14" s="6" t="s">
        <v>39</v>
      </c>
      <c r="B14" s="6" t="s">
        <v>25</v>
      </c>
      <c r="C14" s="6" t="s">
        <v>12</v>
      </c>
      <c r="D14" s="7" t="s">
        <v>62</v>
      </c>
      <c r="E14" s="8" t="s">
        <v>63</v>
      </c>
      <c r="F14" s="6" t="s">
        <v>64</v>
      </c>
      <c r="G14" s="9" t="str">
        <f t="shared" si="0"/>
        <v>???</v>
      </c>
      <c r="H14" s="10" t="s">
        <v>12</v>
      </c>
      <c r="I14" s="11" t="s">
        <v>12</v>
      </c>
      <c r="J14" s="12"/>
    </row>
    <row r="15" spans="1:10" ht="60" customHeight="1" x14ac:dyDescent="0.3">
      <c r="A15" s="6" t="s">
        <v>65</v>
      </c>
      <c r="B15" s="6" t="s">
        <v>16</v>
      </c>
      <c r="C15" s="6" t="s">
        <v>12</v>
      </c>
      <c r="D15" s="7" t="s">
        <v>66</v>
      </c>
      <c r="E15" s="8" t="s">
        <v>67</v>
      </c>
      <c r="F15" s="6" t="s">
        <v>68</v>
      </c>
      <c r="G15" s="9" t="str">
        <f t="shared" si="0"/>
        <v>???</v>
      </c>
      <c r="H15" s="10" t="s">
        <v>12</v>
      </c>
      <c r="I15" s="11" t="s">
        <v>12</v>
      </c>
      <c r="J15" s="12"/>
    </row>
    <row r="16" spans="1:10" ht="60" customHeight="1" x14ac:dyDescent="0.3">
      <c r="A16" s="6" t="s">
        <v>69</v>
      </c>
      <c r="B16" s="6" t="s">
        <v>26</v>
      </c>
      <c r="C16" s="6" t="s">
        <v>12</v>
      </c>
      <c r="D16" s="7" t="s">
        <v>70</v>
      </c>
      <c r="E16" s="8" t="s">
        <v>71</v>
      </c>
      <c r="F16" s="6" t="s">
        <v>72</v>
      </c>
      <c r="G16" s="9" t="str">
        <f t="shared" si="0"/>
        <v>???</v>
      </c>
      <c r="H16" s="10" t="s">
        <v>12</v>
      </c>
      <c r="I16" s="11" t="s">
        <v>12</v>
      </c>
      <c r="J16" s="12"/>
    </row>
    <row r="17" spans="1:10" ht="60" customHeight="1" x14ac:dyDescent="0.3">
      <c r="A17" s="6" t="s">
        <v>73</v>
      </c>
      <c r="B17" s="6" t="s">
        <v>16</v>
      </c>
      <c r="C17" s="6" t="s">
        <v>12</v>
      </c>
      <c r="D17" s="7" t="s">
        <v>74</v>
      </c>
      <c r="E17" s="8" t="s">
        <v>75</v>
      </c>
      <c r="F17" s="6" t="s">
        <v>76</v>
      </c>
      <c r="G17" s="9" t="str">
        <f t="shared" si="0"/>
        <v>???</v>
      </c>
      <c r="H17" s="10" t="s">
        <v>12</v>
      </c>
      <c r="I17" s="11" t="s">
        <v>12</v>
      </c>
      <c r="J17" s="12"/>
    </row>
    <row r="18" spans="1:10" ht="60" customHeight="1" x14ac:dyDescent="0.3">
      <c r="A18" s="6" t="s">
        <v>77</v>
      </c>
      <c r="B18" s="6" t="s">
        <v>16</v>
      </c>
      <c r="C18" s="6" t="s">
        <v>12</v>
      </c>
      <c r="D18" s="7" t="s">
        <v>78</v>
      </c>
      <c r="E18" s="8" t="s">
        <v>79</v>
      </c>
      <c r="F18" s="6" t="s">
        <v>80</v>
      </c>
      <c r="G18" s="9" t="str">
        <f t="shared" si="0"/>
        <v>???</v>
      </c>
      <c r="H18" s="10" t="s">
        <v>12</v>
      </c>
      <c r="I18" s="11" t="s">
        <v>12</v>
      </c>
      <c r="J18" s="12"/>
    </row>
    <row r="19" spans="1:10" ht="60" customHeight="1" x14ac:dyDescent="0.3">
      <c r="A19" s="6" t="s">
        <v>81</v>
      </c>
      <c r="B19" s="6" t="s">
        <v>25</v>
      </c>
      <c r="C19" s="6" t="s">
        <v>12</v>
      </c>
      <c r="D19" s="7" t="s">
        <v>82</v>
      </c>
      <c r="E19" s="8" t="s">
        <v>83</v>
      </c>
      <c r="F19" s="6" t="s">
        <v>84</v>
      </c>
      <c r="G19" s="9" t="str">
        <f t="shared" si="0"/>
        <v>???</v>
      </c>
      <c r="H19" s="10" t="s">
        <v>12</v>
      </c>
      <c r="I19" s="11" t="s">
        <v>12</v>
      </c>
      <c r="J19" s="12"/>
    </row>
    <row r="20" spans="1:10" ht="60" customHeight="1" x14ac:dyDescent="0.3">
      <c r="A20" s="6" t="s">
        <v>85</v>
      </c>
      <c r="B20" s="6" t="s">
        <v>21</v>
      </c>
      <c r="C20" s="6" t="s">
        <v>12</v>
      </c>
      <c r="D20" s="7" t="s">
        <v>86</v>
      </c>
      <c r="E20" s="8" t="s">
        <v>87</v>
      </c>
      <c r="F20" s="6" t="s">
        <v>88</v>
      </c>
      <c r="G20" s="9" t="str">
        <f t="shared" si="0"/>
        <v>???</v>
      </c>
      <c r="H20" s="10" t="s">
        <v>12</v>
      </c>
      <c r="I20" s="11" t="s">
        <v>12</v>
      </c>
      <c r="J20" s="12"/>
    </row>
    <row r="21" spans="1:10" ht="60" customHeight="1" x14ac:dyDescent="0.3">
      <c r="A21" s="6" t="s">
        <v>89</v>
      </c>
      <c r="B21" s="6" t="s">
        <v>30</v>
      </c>
      <c r="C21" s="6" t="s">
        <v>12</v>
      </c>
      <c r="D21" s="7" t="s">
        <v>90</v>
      </c>
      <c r="E21" s="8" t="s">
        <v>91</v>
      </c>
      <c r="F21" s="6" t="s">
        <v>92</v>
      </c>
      <c r="G21" s="9" t="str">
        <f t="shared" si="0"/>
        <v>???</v>
      </c>
      <c r="H21" s="10" t="s">
        <v>12</v>
      </c>
      <c r="I21" s="11" t="s">
        <v>12</v>
      </c>
      <c r="J21" s="12"/>
    </row>
    <row r="22" spans="1:10" ht="60" customHeight="1" x14ac:dyDescent="0.3">
      <c r="A22" s="6" t="s">
        <v>93</v>
      </c>
      <c r="B22" s="6" t="s">
        <v>25</v>
      </c>
      <c r="C22" s="6" t="s">
        <v>12</v>
      </c>
      <c r="D22" s="7" t="s">
        <v>94</v>
      </c>
      <c r="E22" s="8" t="s">
        <v>95</v>
      </c>
      <c r="F22" s="6" t="s">
        <v>96</v>
      </c>
      <c r="G22" s="9" t="str">
        <f t="shared" si="0"/>
        <v>???</v>
      </c>
      <c r="H22" s="10" t="s">
        <v>12</v>
      </c>
      <c r="I22" s="11" t="s">
        <v>12</v>
      </c>
      <c r="J22" s="12"/>
    </row>
    <row r="23" spans="1:10" ht="60" customHeight="1" x14ac:dyDescent="0.3">
      <c r="A23" s="6" t="s">
        <v>31</v>
      </c>
      <c r="B23" s="6" t="s">
        <v>93</v>
      </c>
      <c r="C23" s="6" t="s">
        <v>12</v>
      </c>
      <c r="D23" s="7" t="s">
        <v>97</v>
      </c>
      <c r="E23" s="8" t="s">
        <v>98</v>
      </c>
      <c r="F23" s="6" t="s">
        <v>99</v>
      </c>
      <c r="G23" s="9" t="str">
        <f t="shared" si="0"/>
        <v>???</v>
      </c>
      <c r="H23" s="10" t="s">
        <v>12</v>
      </c>
      <c r="I23" s="11" t="s">
        <v>12</v>
      </c>
      <c r="J23" s="12"/>
    </row>
    <row r="24" spans="1:10" ht="60" customHeight="1" x14ac:dyDescent="0.3">
      <c r="A24" s="6" t="s">
        <v>100</v>
      </c>
      <c r="B24" s="6" t="s">
        <v>26</v>
      </c>
      <c r="C24" s="6" t="s">
        <v>12</v>
      </c>
      <c r="D24" s="7" t="s">
        <v>101</v>
      </c>
      <c r="E24" s="8" t="s">
        <v>102</v>
      </c>
      <c r="F24" s="6" t="s">
        <v>103</v>
      </c>
      <c r="G24" s="9" t="str">
        <f t="shared" si="0"/>
        <v>???</v>
      </c>
      <c r="H24" s="10" t="s">
        <v>12</v>
      </c>
      <c r="I24" s="11" t="s">
        <v>12</v>
      </c>
      <c r="J24" s="12"/>
    </row>
    <row r="25" spans="1:10" ht="60" customHeight="1" x14ac:dyDescent="0.3">
      <c r="A25" s="6" t="s">
        <v>104</v>
      </c>
      <c r="B25" s="6" t="s">
        <v>11</v>
      </c>
      <c r="C25" s="6" t="s">
        <v>12</v>
      </c>
      <c r="D25" s="7" t="s">
        <v>105</v>
      </c>
      <c r="E25" s="8" t="s">
        <v>106</v>
      </c>
      <c r="F25" s="6" t="s">
        <v>107</v>
      </c>
      <c r="G25" s="9" t="str">
        <f t="shared" si="0"/>
        <v>???</v>
      </c>
      <c r="H25" s="10" t="s">
        <v>12</v>
      </c>
      <c r="I25" s="11" t="s">
        <v>12</v>
      </c>
      <c r="J25" s="12"/>
    </row>
    <row r="26" spans="1:10" ht="60" customHeight="1" x14ac:dyDescent="0.3">
      <c r="A26" s="6" t="s">
        <v>108</v>
      </c>
      <c r="B26" s="6" t="s">
        <v>25</v>
      </c>
      <c r="C26" s="6" t="s">
        <v>12</v>
      </c>
      <c r="D26" s="7" t="s">
        <v>27</v>
      </c>
      <c r="E26" s="8" t="s">
        <v>109</v>
      </c>
      <c r="F26" s="6" t="s">
        <v>110</v>
      </c>
      <c r="G26" s="9" t="str">
        <f t="shared" si="0"/>
        <v>???</v>
      </c>
      <c r="H26" s="10" t="s">
        <v>12</v>
      </c>
      <c r="I26" s="11" t="s">
        <v>12</v>
      </c>
      <c r="J26" s="12"/>
    </row>
    <row r="27" spans="1:10" ht="60" customHeight="1" x14ac:dyDescent="0.3">
      <c r="A27" s="6" t="s">
        <v>111</v>
      </c>
      <c r="B27" s="6" t="s">
        <v>16</v>
      </c>
      <c r="C27" s="6" t="s">
        <v>12</v>
      </c>
      <c r="D27" s="7" t="s">
        <v>112</v>
      </c>
      <c r="E27" s="8" t="s">
        <v>113</v>
      </c>
      <c r="F27" s="6" t="s">
        <v>114</v>
      </c>
      <c r="G27" s="9" t="str">
        <f t="shared" si="0"/>
        <v>???</v>
      </c>
      <c r="H27" s="10" t="s">
        <v>12</v>
      </c>
      <c r="I27" s="11" t="s">
        <v>12</v>
      </c>
      <c r="J27" s="12"/>
    </row>
    <row r="28" spans="1:10" ht="60" customHeight="1" x14ac:dyDescent="0.3">
      <c r="A28" s="6" t="s">
        <v>115</v>
      </c>
      <c r="B28" s="6" t="s">
        <v>21</v>
      </c>
      <c r="C28" s="6" t="s">
        <v>12</v>
      </c>
      <c r="D28" s="7" t="s">
        <v>116</v>
      </c>
      <c r="E28" s="8" t="s">
        <v>117</v>
      </c>
      <c r="F28" s="6" t="s">
        <v>118</v>
      </c>
      <c r="G28" s="9" t="str">
        <f t="shared" si="0"/>
        <v>???</v>
      </c>
      <c r="H28" s="10" t="s">
        <v>12</v>
      </c>
      <c r="I28" s="11" t="s">
        <v>12</v>
      </c>
      <c r="J28" s="12"/>
    </row>
    <row r="29" spans="1:10" ht="60" customHeight="1" x14ac:dyDescent="0.3">
      <c r="A29" s="6" t="s">
        <v>119</v>
      </c>
      <c r="B29" s="6" t="s">
        <v>16</v>
      </c>
      <c r="C29" s="6" t="s">
        <v>12</v>
      </c>
      <c r="D29" s="7" t="s">
        <v>120</v>
      </c>
      <c r="E29" s="8" t="s">
        <v>121</v>
      </c>
      <c r="F29" s="6" t="s">
        <v>122</v>
      </c>
      <c r="G29" s="9" t="str">
        <f t="shared" si="0"/>
        <v>???</v>
      </c>
      <c r="H29" s="10" t="s">
        <v>12</v>
      </c>
      <c r="I29" s="11" t="s">
        <v>12</v>
      </c>
      <c r="J29" s="12"/>
    </row>
    <row r="30" spans="1:10" ht="60" customHeight="1" x14ac:dyDescent="0.3">
      <c r="A30" s="6" t="s">
        <v>123</v>
      </c>
      <c r="B30" s="6" t="s">
        <v>16</v>
      </c>
      <c r="C30" s="6" t="s">
        <v>12</v>
      </c>
      <c r="D30" s="7" t="s">
        <v>124</v>
      </c>
      <c r="E30" s="8" t="s">
        <v>125</v>
      </c>
      <c r="F30" s="6" t="s">
        <v>126</v>
      </c>
      <c r="G30" s="9" t="str">
        <f t="shared" si="0"/>
        <v>???</v>
      </c>
      <c r="H30" s="10" t="s">
        <v>12</v>
      </c>
      <c r="I30" s="11" t="s">
        <v>12</v>
      </c>
      <c r="J30" s="12"/>
    </row>
    <row r="31" spans="1:10" ht="60" customHeight="1" x14ac:dyDescent="0.3">
      <c r="A31" s="6" t="s">
        <v>127</v>
      </c>
      <c r="B31" s="6" t="s">
        <v>16</v>
      </c>
      <c r="C31" s="6" t="s">
        <v>12</v>
      </c>
      <c r="D31" s="7" t="s">
        <v>128</v>
      </c>
      <c r="E31" s="8" t="s">
        <v>129</v>
      </c>
      <c r="F31" s="6" t="s">
        <v>130</v>
      </c>
      <c r="G31" s="9" t="str">
        <f t="shared" si="0"/>
        <v>???</v>
      </c>
      <c r="H31" s="10" t="s">
        <v>12</v>
      </c>
      <c r="I31" s="11" t="s">
        <v>12</v>
      </c>
      <c r="J31" s="12"/>
    </row>
    <row r="32" spans="1:10" ht="60" customHeight="1" x14ac:dyDescent="0.3">
      <c r="A32" s="6" t="s">
        <v>131</v>
      </c>
      <c r="B32" s="6" t="s">
        <v>10</v>
      </c>
      <c r="C32" s="6" t="s">
        <v>12</v>
      </c>
      <c r="D32" s="7" t="s">
        <v>132</v>
      </c>
      <c r="E32" s="8" t="s">
        <v>133</v>
      </c>
      <c r="F32" s="6" t="s">
        <v>134</v>
      </c>
      <c r="G32" s="9" t="str">
        <f t="shared" si="0"/>
        <v>???</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4"/>
  <sheetViews>
    <sheetView tabSelected="1" workbookViewId="0">
      <pane xSplit="1" ySplit="1" topLeftCell="B732" activePane="bottomRight" state="frozen"/>
      <selection pane="topRight" activeCell="B1" sqref="B1"/>
      <selection pane="bottomLeft" activeCell="A2" sqref="A2"/>
      <selection pane="bottomRight" activeCell="G742" sqref="G74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135</v>
      </c>
      <c r="B1" s="13" t="s">
        <v>136</v>
      </c>
      <c r="C1" s="13" t="s">
        <v>137</v>
      </c>
      <c r="D1" s="13" t="s">
        <v>138</v>
      </c>
      <c r="E1" s="14" t="s">
        <v>139</v>
      </c>
      <c r="F1" s="15" t="s">
        <v>140</v>
      </c>
      <c r="G1" s="16" t="s">
        <v>141</v>
      </c>
      <c r="H1" s="17" t="s">
        <v>142</v>
      </c>
      <c r="I1" s="18" t="s">
        <v>143</v>
      </c>
      <c r="J1" s="18" t="s">
        <v>144</v>
      </c>
      <c r="K1" s="18" t="s">
        <v>145</v>
      </c>
      <c r="L1" s="19" t="s">
        <v>9</v>
      </c>
    </row>
    <row r="2" spans="1:12" x14ac:dyDescent="0.3">
      <c r="A2" t="s">
        <v>146</v>
      </c>
    </row>
    <row r="3" spans="1:12" x14ac:dyDescent="0.3">
      <c r="A3" t="s">
        <v>147</v>
      </c>
      <c r="E3" s="20" t="str">
        <f t="shared" ref="E3:E10"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0"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148</v>
      </c>
      <c r="B4" s="26" t="s">
        <v>149</v>
      </c>
      <c r="C4" s="26" t="s">
        <v>150</v>
      </c>
      <c r="D4" s="26" t="s">
        <v>151</v>
      </c>
      <c r="E4" s="20"/>
      <c r="F4" s="21" t="s">
        <v>537</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152</v>
      </c>
      <c r="B5" s="26" t="s">
        <v>153</v>
      </c>
      <c r="C5" s="26" t="s">
        <v>154</v>
      </c>
      <c r="D5" s="26" t="s">
        <v>151</v>
      </c>
      <c r="E5" s="20" t="s">
        <v>533</v>
      </c>
      <c r="F5" s="21" t="str">
        <f>IF(OR(E5="",E5="!!!"),"",IF(NOT(ISNA(VLOOKUP(E5,E$1:E4,1,FALSE()))),"OLD",IF(AND(E5&lt;&gt;"",E5&lt;&gt;"!!!"),"NEW","")))</f>
        <v>NEW</v>
      </c>
      <c r="G5" s="22" t="s">
        <v>140</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155</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156</v>
      </c>
      <c r="B7" s="26" t="s">
        <v>157</v>
      </c>
      <c r="C7" s="26" t="s">
        <v>154</v>
      </c>
      <c r="D7" s="26" t="s">
        <v>151</v>
      </c>
      <c r="E7" s="20" t="s">
        <v>534</v>
      </c>
      <c r="F7" s="21" t="str">
        <f>IF(OR(E7="",E7="!!!"),"",IF(NOT(ISNA(VLOOKUP(E7,E$1:E6,1,FALSE()))),"OLD",IF(AND(E7&lt;&gt;"",E7&lt;&gt;"!!!"),"NEW","")))</f>
        <v>NEW</v>
      </c>
      <c r="G7" s="22" t="s">
        <v>140</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158</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159</v>
      </c>
      <c r="B9" s="26" t="s">
        <v>157</v>
      </c>
      <c r="C9" s="26" t="s">
        <v>160</v>
      </c>
      <c r="E9" s="20" t="s">
        <v>535</v>
      </c>
      <c r="F9" s="21" t="str">
        <f>IF(OR(E9="",E9="!!!"),"",IF(NOT(ISNA(VLOOKUP(E9,E$1:E8,1,FALSE()))),"OLD",IF(AND(E9&lt;&gt;"",E9&lt;&gt;"!!!"),"NEW","")))</f>
        <v>NEW</v>
      </c>
      <c r="G9" s="22" t="s">
        <v>140</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13</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2" spans="1:12" x14ac:dyDescent="0.3">
      <c r="A12" t="s">
        <v>161</v>
      </c>
    </row>
    <row r="13" spans="1:12" x14ac:dyDescent="0.3">
      <c r="A13" t="s">
        <v>162</v>
      </c>
      <c r="B13" s="26" t="s">
        <v>149</v>
      </c>
      <c r="C13" s="26" t="s">
        <v>163</v>
      </c>
      <c r="D13" s="26" t="s">
        <v>151</v>
      </c>
      <c r="E13" s="20" t="s">
        <v>568</v>
      </c>
      <c r="F13" s="21" t="s">
        <v>591</v>
      </c>
      <c r="G13" s="22" t="s">
        <v>140</v>
      </c>
      <c r="H13" s="23" t="str">
        <f t="shared" ref="H13:H33" ca="1" si="2">IF(J13&lt;&gt;1,"",IF(I13="SBJ","CB","?"))</f>
        <v/>
      </c>
      <c r="I13" s="24" t="e">
        <f>IF(OR(E13="",E13="!!!",F13="NEW"),"",INDEX(B$2:B12,-1+SUMPRODUCT(MAX(ROW(E$2:E12)*(E13=E$2:E12)))))</f>
        <v>#VALUE!</v>
      </c>
      <c r="J13" s="24">
        <f ca="1">IF(OR(E13="",E13="!!!",F13="NEW"),"",COUNTBLANK(OFFSET(A$1,,,SUMPRODUCT(MAX(ROW(E$2:E13)*(E13=E$2:E13)))))-COUNTBLANK(OFFSET(A$1,,,SUMPRODUCT(MAX(ROW(E$1:E12)*(E2=E$1:E12))))))</f>
        <v>0</v>
      </c>
      <c r="K13" s="24" t="e">
        <f>IF(OR(E13="",E13="!!!",F13="NEW"),"",INDEX(J$1:J12,SUMPRODUCT(MAX(ROW(E$1:E12)*(E13=E$1:E12)))))</f>
        <v>#VALUE!</v>
      </c>
      <c r="L13" s="25"/>
    </row>
    <row r="14" spans="1:12" x14ac:dyDescent="0.3">
      <c r="A14" t="s">
        <v>164</v>
      </c>
      <c r="E14" s="20" t="str">
        <f t="shared" ref="E13:E33" si="3">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ca="1" si="2"/>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155</v>
      </c>
      <c r="E15" s="20" t="str">
        <f t="shared" si="3"/>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2"/>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165</v>
      </c>
      <c r="B16" s="26" t="s">
        <v>166</v>
      </c>
      <c r="C16" s="26" t="s">
        <v>150</v>
      </c>
      <c r="D16" s="26" t="s">
        <v>151</v>
      </c>
      <c r="E16" s="20"/>
      <c r="F16" s="21" t="s">
        <v>559</v>
      </c>
      <c r="G16" s="22" t="str">
        <f>IF(OR(E16="",E16="!!!"),"",IF(OR(J16=0,AND(J16=1,K16=1),AND(J16=1,I16="SBJ"),AND(J16=1,I16=0)),"?IN_FOCUS",IF(J16&lt;=2,"?ACTIVATED",IF(J16&lt;&gt;"","?FAMILIAR",IF(F16="NEW",IF(ISNA(VLOOKUP(E16,#REF!,1,FALSE())),"?TYPE_IDENTIFIABLE","?REFERENTIAL"),"_")))))</f>
        <v/>
      </c>
      <c r="H16" s="23" t="str">
        <f t="shared" ca="1" si="2"/>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167</v>
      </c>
      <c r="B17" s="26" t="s">
        <v>149</v>
      </c>
      <c r="C17" s="26" t="s">
        <v>168</v>
      </c>
      <c r="D17" s="26" t="s">
        <v>151</v>
      </c>
      <c r="E17" s="20" t="s">
        <v>536</v>
      </c>
      <c r="F17" s="21" t="s">
        <v>550</v>
      </c>
      <c r="G17" s="22" t="s">
        <v>140</v>
      </c>
      <c r="H17" s="23" t="str">
        <f t="shared" ca="1" si="2"/>
        <v/>
      </c>
      <c r="I17" s="24" t="e">
        <f>IF(OR(E17="",E17="!!!",F17="NEW"),"",INDEX(B$2:B16,-1+SUMPRODUCT(MAX(ROW(E$2:E16)*(E17=E$2:E16)))))</f>
        <v>#VALUE!</v>
      </c>
      <c r="J17" s="24">
        <f ca="1">IF(OR(E17="",E17="!!!",F17="NEW"),"",COUNTBLANK(OFFSET(A$1,,,SUMPRODUCT(MAX(ROW(E$2:E17)*(E17=E$2:E17)))))-COUNTBLANK(OFFSET(A$1,,,SUMPRODUCT(MAX(ROW(E$1:E16)*(E2=E$1:E16))))))</f>
        <v>0</v>
      </c>
      <c r="K17" s="24" t="e">
        <f>IF(OR(E17="",E17="!!!",F17="NEW"),"",INDEX(J$1:J16,SUMPRODUCT(MAX(ROW(E$1:E16)*(E17=E$1:E16)))))</f>
        <v>#VALUE!</v>
      </c>
      <c r="L17" s="25"/>
    </row>
    <row r="18" spans="1:12" x14ac:dyDescent="0.3">
      <c r="A18" t="s">
        <v>169</v>
      </c>
      <c r="B18" s="26" t="s">
        <v>166</v>
      </c>
      <c r="E18" s="20" t="str">
        <f t="shared" si="3"/>
        <v/>
      </c>
      <c r="F18" s="21"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2"/>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170</v>
      </c>
      <c r="E19" s="20" t="str">
        <f t="shared" si="3"/>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2"/>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171</v>
      </c>
      <c r="E20" s="20" t="str">
        <f t="shared" si="3"/>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2"/>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172</v>
      </c>
      <c r="B21" s="26" t="s">
        <v>173</v>
      </c>
      <c r="C21" s="26" t="s">
        <v>174</v>
      </c>
      <c r="D21" s="26" t="s">
        <v>151</v>
      </c>
      <c r="E21" s="20" t="s">
        <v>538</v>
      </c>
      <c r="F21" s="21" t="str">
        <f>IF(OR(E21="",E21="!!!"),"",IF(NOT(ISNA(VLOOKUP(E21,E$1:E20,1,FALSE()))),"OLD",IF(AND(E21&lt;&gt;"",E21&lt;&gt;"!!!"),"NEW","")))</f>
        <v>NEW</v>
      </c>
      <c r="G21" s="22" t="s">
        <v>592</v>
      </c>
      <c r="H21" s="23" t="str">
        <f t="shared" ca="1" si="2"/>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3">
      <c r="A22" t="s">
        <v>175</v>
      </c>
      <c r="E22" s="20" t="str">
        <f t="shared" si="3"/>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2"/>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176</v>
      </c>
      <c r="E23" s="20" t="str">
        <f t="shared" si="3"/>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2"/>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177</v>
      </c>
      <c r="B24" s="26" t="s">
        <v>173</v>
      </c>
      <c r="C24" s="26" t="s">
        <v>174</v>
      </c>
      <c r="D24" s="26" t="s">
        <v>151</v>
      </c>
      <c r="E24" s="20" t="s">
        <v>547</v>
      </c>
      <c r="F24" s="21" t="s">
        <v>537</v>
      </c>
      <c r="G24" s="22" t="s">
        <v>592</v>
      </c>
      <c r="H24" s="23" t="str">
        <f t="shared" ca="1" si="2"/>
        <v/>
      </c>
      <c r="I24" s="24" t="e">
        <f>IF(OR(E24="",E24="!!!",F24="NEW"),"",INDEX(B$2:B23,-1+SUMPRODUCT(MAX(ROW(E$2:E23)*(E24=E$2:E23)))))</f>
        <v>#VALUE!</v>
      </c>
      <c r="J24" s="24">
        <f ca="1">IF(OR(E24="",E24="!!!",F24="NEW"),"",COUNTBLANK(OFFSET(A$1,,,SUMPRODUCT(MAX(ROW(E$2:E24)*(E24=E$2:E24)))))-COUNTBLANK(OFFSET(A$1,,,SUMPRODUCT(MAX(ROW(E$1:E23)*(E2=E$1:E23))))))</f>
        <v>0</v>
      </c>
      <c r="K24" s="24" t="e">
        <f>IF(OR(E24="",E24="!!!",F24="NEW"),"",INDEX(J$1:J23,SUMPRODUCT(MAX(ROW(E$1:E23)*(E24=E$1:E23)))))</f>
        <v>#VALUE!</v>
      </c>
      <c r="L24" s="25" t="s">
        <v>548</v>
      </c>
    </row>
    <row r="25" spans="1:12" x14ac:dyDescent="0.3">
      <c r="A25" t="s">
        <v>178</v>
      </c>
      <c r="E25" s="20" t="str">
        <f t="shared" si="3"/>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2"/>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158</v>
      </c>
      <c r="E26" s="20" t="str">
        <f t="shared" si="3"/>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2"/>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179</v>
      </c>
      <c r="E27" s="20" t="str">
        <f t="shared" si="3"/>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2"/>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180</v>
      </c>
      <c r="E28" s="20" t="str">
        <f t="shared" si="3"/>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2"/>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181</v>
      </c>
      <c r="E29" s="20" t="str">
        <f t="shared" si="3"/>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2"/>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182</v>
      </c>
      <c r="E30" s="20" t="str">
        <f t="shared" si="3"/>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2"/>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183</v>
      </c>
      <c r="E31" s="20" t="str">
        <f t="shared" si="3"/>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2"/>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184</v>
      </c>
      <c r="B32" s="26" t="s">
        <v>153</v>
      </c>
      <c r="C32" s="26" t="s">
        <v>185</v>
      </c>
      <c r="E32" s="20" t="str">
        <f t="shared" si="3"/>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2"/>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186</v>
      </c>
      <c r="E33" s="20" t="str">
        <f t="shared" si="3"/>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2"/>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5" spans="1:12" x14ac:dyDescent="0.3">
      <c r="A35" t="s">
        <v>187</v>
      </c>
    </row>
    <row r="36" spans="1:12" x14ac:dyDescent="0.3">
      <c r="A36" t="s">
        <v>188</v>
      </c>
      <c r="E36" s="20" t="str">
        <f t="shared" ref="E36:E53" si="4">IF(D36="?OLD","!!!","")</f>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ref="H36:H53" ca="1" si="5">IF(J36&lt;&gt;1,"",IF(I36="SBJ","CB","?"))</f>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189</v>
      </c>
      <c r="E37" s="20" t="str">
        <f t="shared" si="4"/>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5"/>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167</v>
      </c>
      <c r="B38" s="26" t="s">
        <v>149</v>
      </c>
      <c r="C38" s="26" t="s">
        <v>168</v>
      </c>
      <c r="D38" s="26" t="s">
        <v>151</v>
      </c>
      <c r="E38" s="20" t="s">
        <v>536</v>
      </c>
      <c r="F38" s="21" t="str">
        <f>IF(OR(E38="",E38="!!!"),"",IF(NOT(ISNA(VLOOKUP(E38,E$1:E37,1,FALSE()))),"OLD",IF(AND(E38&lt;&gt;"",E38&lt;&gt;"!!!"),"NEW","")))</f>
        <v>OLD</v>
      </c>
      <c r="G38" s="22" t="s">
        <v>593</v>
      </c>
      <c r="H38" s="23" t="s">
        <v>142</v>
      </c>
      <c r="I38" s="24" t="str">
        <f>IF(OR(E38="",E38="!!!",F38="NEW"),"",INDEX(B$2:B37,-1+SUMPRODUCT(MAX(ROW(E$2:E37)*(E38=E$2:E37)))))</f>
        <v>SBJ</v>
      </c>
      <c r="J38" s="24">
        <f ca="1">IF(OR(E38="",E38="!!!",F38="NEW"),"",COUNTBLANK(OFFSET(A$1,,,SUMPRODUCT(MAX(ROW(E$2:E38)*(E38=E$2:E38)))))-COUNTBLANK(OFFSET(A$1,,,SUMPRODUCT(MAX(ROW(E$1:E37)*(E2=E$1:E37))))))</f>
        <v>0</v>
      </c>
      <c r="K38" s="24">
        <f ca="1">IF(OR(E38="",E38="!!!",F38="NEW"),"",INDEX(J$1:J37,SUMPRODUCT(MAX(ROW(E$1:E37)*(E38=E$1:E37)))))</f>
        <v>0</v>
      </c>
      <c r="L38" s="25"/>
    </row>
    <row r="39" spans="1:12" x14ac:dyDescent="0.3">
      <c r="A39" t="s">
        <v>190</v>
      </c>
      <c r="E39" s="20" t="str">
        <f t="shared" si="4"/>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191</v>
      </c>
      <c r="E40" s="20" t="str">
        <f t="shared" si="4"/>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5"/>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192</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193</v>
      </c>
      <c r="B42" s="26" t="s">
        <v>153</v>
      </c>
      <c r="C42" s="26" t="s">
        <v>194</v>
      </c>
      <c r="E42" s="20" t="str">
        <f t="shared" si="4"/>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195</v>
      </c>
      <c r="B43" s="26" t="s">
        <v>173</v>
      </c>
      <c r="C43" s="26" t="s">
        <v>160</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196</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158</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197</v>
      </c>
      <c r="E46" s="20" t="str">
        <f t="shared" si="4"/>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198</v>
      </c>
      <c r="B47" s="26" t="s">
        <v>149</v>
      </c>
      <c r="C47" s="26" t="s">
        <v>154</v>
      </c>
      <c r="D47" s="26" t="s">
        <v>151</v>
      </c>
      <c r="E47" s="20" t="s">
        <v>198</v>
      </c>
      <c r="F47" s="21" t="str">
        <f>IF(OR(E47="",E47="!!!"),"",IF(NOT(ISNA(VLOOKUP(E47,E$1:E46,1,FALSE()))),"OLD",IF(AND(E47&lt;&gt;"",E47&lt;&gt;"!!!"),"NEW","")))</f>
        <v>NEW</v>
      </c>
      <c r="G47" s="22" t="s">
        <v>592</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199</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200</v>
      </c>
      <c r="E49" s="20" t="str">
        <f t="shared" si="4"/>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5"/>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201</v>
      </c>
      <c r="E50" s="20" t="str">
        <f t="shared" si="4"/>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202</v>
      </c>
      <c r="E51" s="20" t="str">
        <f t="shared" si="4"/>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203</v>
      </c>
      <c r="E52" s="20" t="str">
        <f t="shared" si="4"/>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186</v>
      </c>
      <c r="E53" s="20" t="str">
        <f t="shared" si="4"/>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5" spans="1:12" x14ac:dyDescent="0.3">
      <c r="A55" t="s">
        <v>204</v>
      </c>
      <c r="E55" s="20" t="str">
        <f>IF(D55="?OLD","!!!","")</f>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ca="1">IF(J55&lt;&gt;1,"",IF(I55="SBJ","CB","?"))</f>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205</v>
      </c>
    </row>
    <row r="57" spans="1:12" x14ac:dyDescent="0.3">
      <c r="A57" t="s">
        <v>206</v>
      </c>
      <c r="E57" s="20" t="str">
        <f t="shared" ref="E57:E87" si="6">IF(D57="?OLD","!!!","")</f>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ref="H57:H87" ca="1" si="7">IF(J57&lt;&gt;1,"",IF(I57="SBJ","CB","?"))</f>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207</v>
      </c>
      <c r="E58" s="20" t="str">
        <f t="shared" si="6"/>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7"/>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208</v>
      </c>
      <c r="E59" s="20" t="str">
        <f t="shared" si="6"/>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209</v>
      </c>
      <c r="B60" s="26" t="s">
        <v>153</v>
      </c>
      <c r="C60" s="26" t="s">
        <v>163</v>
      </c>
      <c r="D60" s="26" t="s">
        <v>151</v>
      </c>
      <c r="E60" s="20"/>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t="s">
        <v>539</v>
      </c>
    </row>
    <row r="61" spans="1:12" x14ac:dyDescent="0.3">
      <c r="A61" t="s">
        <v>210</v>
      </c>
      <c r="B61" s="26" t="s">
        <v>149</v>
      </c>
      <c r="C61" s="26" t="s">
        <v>211</v>
      </c>
      <c r="D61" s="26" t="s">
        <v>151</v>
      </c>
      <c r="E61" s="20" t="s">
        <v>538</v>
      </c>
      <c r="F61" s="21" t="str">
        <f>IF(OR(E61="",E61="!!!"),"",IF(NOT(ISNA(VLOOKUP(E61,E$1:E60,1,FALSE()))),"OLD",IF(AND(E61&lt;&gt;"",E61&lt;&gt;"!!!"),"NEW","")))</f>
        <v>OLD</v>
      </c>
      <c r="G61" s="22" t="s">
        <v>594</v>
      </c>
      <c r="H61" s="23" t="str">
        <f t="shared" ca="1" si="7"/>
        <v/>
      </c>
      <c r="I61" s="24" t="str">
        <f>IF(OR(E61="",E61="!!!",F61="NEW"),"",INDEX(B$2:B60,-1+SUMPRODUCT(MAX(ROW(E$2:E60)*(E61=E$2:E60)))))</f>
        <v>other</v>
      </c>
      <c r="J61" s="24">
        <f ca="1">IF(OR(E61="",E61="!!!",F61="NEW"),"",COUNTBLANK(OFFSET(A$1,,,SUMPRODUCT(MAX(ROW(E$2:E61)*(E61=E$2:E61)))))-COUNTBLANK(OFFSET(A$1,,,SUMPRODUCT(MAX(ROW(E$1:E60)*(E2=E$1:E60))))))</f>
        <v>0</v>
      </c>
      <c r="K61" s="24" t="str">
        <f ca="1">IF(OR(E61="",E61="!!!",F61="NEW"),"",INDEX(J$1:J60,SUMPRODUCT(MAX(ROW(E$1:E60)*(E61=E$1:E60)))))</f>
        <v/>
      </c>
      <c r="L61" s="25"/>
    </row>
    <row r="62" spans="1:12" x14ac:dyDescent="0.3">
      <c r="A62" t="s">
        <v>212</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213</v>
      </c>
      <c r="E63" s="20" t="str">
        <f t="shared" si="6"/>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7"/>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214</v>
      </c>
      <c r="B64" s="26" t="s">
        <v>166</v>
      </c>
      <c r="C64" s="26" t="s">
        <v>215</v>
      </c>
      <c r="E64" s="20" t="s">
        <v>542</v>
      </c>
      <c r="F64" s="21" t="s">
        <v>541</v>
      </c>
      <c r="G64" s="22" t="s">
        <v>592</v>
      </c>
      <c r="H64" s="23" t="str">
        <f t="shared" ca="1" si="7"/>
        <v/>
      </c>
      <c r="I64" s="24" t="e">
        <f>IF(OR(E64="",E64="!!!",F64="NEW"),"",INDEX(B$2:B63,-1+SUMPRODUCT(MAX(ROW(E$2:E63)*(E64=E$2:E63)))))</f>
        <v>#VALUE!</v>
      </c>
      <c r="J64" s="24">
        <f ca="1">IF(OR(E64="",E64="!!!",F64="NEW"),"",COUNTBLANK(OFFSET(A$1,,,SUMPRODUCT(MAX(ROW(E$2:E64)*(E64=E$2:E64)))))-COUNTBLANK(OFFSET(A$1,,,SUMPRODUCT(MAX(ROW(E$1:E63)*(E2=E$1:E63))))))</f>
        <v>0</v>
      </c>
      <c r="K64" s="24" t="e">
        <f>IF(OR(E64="",E64="!!!",F64="NEW"),"",INDEX(J$1:J63,SUMPRODUCT(MAX(ROW(E$1:E63)*(E64=E$1:E63)))))</f>
        <v>#VALUE!</v>
      </c>
      <c r="L64" s="25"/>
    </row>
    <row r="65" spans="1:12" x14ac:dyDescent="0.3">
      <c r="A65" t="s">
        <v>155</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152</v>
      </c>
      <c r="B66" s="26" t="s">
        <v>153</v>
      </c>
      <c r="C66" s="26" t="s">
        <v>154</v>
      </c>
      <c r="D66" s="26" t="s">
        <v>151</v>
      </c>
      <c r="E66" s="20" t="s">
        <v>533</v>
      </c>
      <c r="F66" s="21" t="str">
        <f>IF(OR(E66="",E66="!!!"),"",IF(NOT(ISNA(VLOOKUP(E66,E$1:E65,1,FALSE()))),"OLD",IF(AND(E66&lt;&gt;"",E66&lt;&gt;"!!!"),"NEW","")))</f>
        <v>OLD</v>
      </c>
      <c r="G66" s="22" t="s">
        <v>592</v>
      </c>
      <c r="H66" s="23" t="str">
        <f t="shared" ca="1" si="7"/>
        <v/>
      </c>
      <c r="I66" s="24" t="str">
        <f>IF(OR(E66="",E66="!!!",F66="NEW"),"",INDEX(B$2:B65,-1+SUMPRODUCT(MAX(ROW(E$2:E65)*(E66=E$2:E65)))))</f>
        <v>other_2</v>
      </c>
      <c r="J66" s="24">
        <f ca="1">IF(OR(E66="",E66="!!!",F66="NEW"),"",COUNTBLANK(OFFSET(A$1,,,SUMPRODUCT(MAX(ROW(E$2:E66)*(E66=E$2:E66)))))-COUNTBLANK(OFFSET(A$1,,,SUMPRODUCT(MAX(ROW(E$1:E65)*(E2=E$1:E65))))))</f>
        <v>0</v>
      </c>
      <c r="K66" s="24" t="str">
        <f ca="1">IF(OR(E66="",E66="!!!",F66="NEW"),"",INDEX(J$1:J65,SUMPRODUCT(MAX(ROW(E$1:E65)*(E66=E$1:E65)))))</f>
        <v/>
      </c>
      <c r="L66" s="25"/>
    </row>
    <row r="67" spans="1:12" x14ac:dyDescent="0.3">
      <c r="A67" t="s">
        <v>216</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155</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156</v>
      </c>
      <c r="B69" s="26" t="s">
        <v>173</v>
      </c>
      <c r="C69" s="26" t="s">
        <v>154</v>
      </c>
      <c r="D69" s="26" t="s">
        <v>151</v>
      </c>
      <c r="E69" s="20" t="s">
        <v>534</v>
      </c>
      <c r="F69" s="21" t="str">
        <f>IF(OR(E69="",E69="!!!"),"",IF(NOT(ISNA(VLOOKUP(E69,E$1:E68,1,FALSE()))),"OLD",IF(AND(E69&lt;&gt;"",E69&lt;&gt;"!!!"),"NEW","")))</f>
        <v>OLD</v>
      </c>
      <c r="G69" s="22" t="s">
        <v>592</v>
      </c>
      <c r="H69" s="23" t="str">
        <f t="shared" ca="1" si="7"/>
        <v/>
      </c>
      <c r="I69" s="24" t="str">
        <f>IF(OR(E69="",E69="!!!",F69="NEW"),"",INDEX(B$2:B68,-1+SUMPRODUCT(MAX(ROW(E$2:E68)*(E69=E$2:E68)))))</f>
        <v>other_3</v>
      </c>
      <c r="J69" s="24">
        <f ca="1">IF(OR(E69="",E69="!!!",F69="NEW"),"",COUNTBLANK(OFFSET(A$1,,,SUMPRODUCT(MAX(ROW(E$2:E69)*(E69=E$2:E69)))))-COUNTBLANK(OFFSET(A$1,,,SUMPRODUCT(MAX(ROW(E$1:E68)*(E2=E$1:E68))))))</f>
        <v>0</v>
      </c>
      <c r="K69" s="24" t="str">
        <f ca="1">IF(OR(E69="",E69="!!!",F69="NEW"),"",INDEX(J$1:J68,SUMPRODUCT(MAX(ROW(E$1:E68)*(E69=E$1:E68)))))</f>
        <v/>
      </c>
      <c r="L69" s="25"/>
    </row>
    <row r="70" spans="1:12" x14ac:dyDescent="0.3">
      <c r="A70" t="s">
        <v>217</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158</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218</v>
      </c>
      <c r="B72" s="26" t="s">
        <v>153</v>
      </c>
      <c r="C72" s="26" t="s">
        <v>154</v>
      </c>
      <c r="D72" s="26" t="s">
        <v>151</v>
      </c>
      <c r="E72" s="20" t="s">
        <v>535</v>
      </c>
      <c r="F72" s="21" t="str">
        <f>IF(OR(E72="",E72="!!!"),"",IF(NOT(ISNA(VLOOKUP(E72,E$1:E71,1,FALSE()))),"OLD",IF(AND(E72&lt;&gt;"",E72&lt;&gt;"!!!"),"NEW","")))</f>
        <v>OLD</v>
      </c>
      <c r="G72" s="22" t="s">
        <v>592</v>
      </c>
      <c r="H72" s="23" t="str">
        <f t="shared" ca="1" si="7"/>
        <v/>
      </c>
      <c r="I72" s="24" t="str">
        <f>IF(OR(E72="",E72="!!!",F72="NEW"),"",INDEX(B$2:B71,-1+SUMPRODUCT(MAX(ROW(E$2:E71)*(E72=E$2:E71)))))</f>
        <v>other_3</v>
      </c>
      <c r="J72" s="24">
        <f ca="1">IF(OR(E72="",E72="!!!",F72="NEW"),"",COUNTBLANK(OFFSET(A$1,,,SUMPRODUCT(MAX(ROW(E$2:E72)*(E72=E$2:E72)))))-COUNTBLANK(OFFSET(A$1,,,SUMPRODUCT(MAX(ROW(E$1:E71)*(E2=E$1:E71))))))</f>
        <v>0</v>
      </c>
      <c r="K72" s="24" t="str">
        <f ca="1">IF(OR(E72="",E72="!!!",F72="NEW"),"",INDEX(J$1:J71,SUMPRODUCT(MAX(ROW(E$1:E71)*(E72=E$1:E71)))))</f>
        <v/>
      </c>
      <c r="L72" s="25"/>
    </row>
    <row r="73" spans="1:12" x14ac:dyDescent="0.3">
      <c r="A73" t="s">
        <v>219</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159</v>
      </c>
      <c r="B74" s="26" t="s">
        <v>157</v>
      </c>
      <c r="C74" s="26" t="s">
        <v>154</v>
      </c>
      <c r="D74" s="26" t="s">
        <v>151</v>
      </c>
      <c r="E74" s="20"/>
      <c r="F74" s="21" t="s">
        <v>540</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219</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220</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155</v>
      </c>
      <c r="E77" s="20" t="str">
        <f t="shared" si="6"/>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197</v>
      </c>
      <c r="B78" s="26" t="s">
        <v>221</v>
      </c>
      <c r="E78" s="20" t="s">
        <v>213</v>
      </c>
      <c r="F78" s="21" t="s">
        <v>543</v>
      </c>
      <c r="G78" s="22" t="s">
        <v>593</v>
      </c>
      <c r="H78" s="23" t="str">
        <f t="shared" ca="1" si="7"/>
        <v/>
      </c>
      <c r="I78" s="24" t="e">
        <f>IF(OR(E78="",E78="!!!",F78="NEW"),"",INDEX(B$2:B77,-1+SUMPRODUCT(MAX(ROW(E$2:E77)*(E78=E$2:E77)))))</f>
        <v>#VALUE!</v>
      </c>
      <c r="J78" s="24">
        <f ca="1">IF(OR(E78="",E78="!!!",F78="NEW"),"",COUNTBLANK(OFFSET(A$1,,,SUMPRODUCT(MAX(ROW(E$2:E78)*(E78=E$2:E78)))))-COUNTBLANK(OFFSET(A$1,,,SUMPRODUCT(MAX(ROW(E$1:E77)*(E2=E$1:E77))))))</f>
        <v>0</v>
      </c>
      <c r="K78" s="24" t="e">
        <f>IF(OR(E78="",E78="!!!",F78="NEW"),"",INDEX(J$1:J77,SUMPRODUCT(MAX(ROW(E$1:E77)*(E78=E$1:E77)))))</f>
        <v>#VALUE!</v>
      </c>
      <c r="L78" s="25"/>
    </row>
    <row r="79" spans="1:12" x14ac:dyDescent="0.3">
      <c r="A79" t="s">
        <v>222</v>
      </c>
      <c r="E79" s="20" t="str">
        <f t="shared" si="6"/>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7"/>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223</v>
      </c>
      <c r="E80" s="20" t="str">
        <f t="shared" si="6"/>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7"/>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224</v>
      </c>
      <c r="E81" s="20" t="str">
        <f t="shared" si="6"/>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7"/>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225</v>
      </c>
      <c r="B82" s="26" t="s">
        <v>226</v>
      </c>
      <c r="C82" s="26" t="s">
        <v>215</v>
      </c>
      <c r="E82" s="20" t="s">
        <v>563</v>
      </c>
      <c r="F82" s="21" t="str">
        <f>IF(OR(E82="",E82="!!!"),"",IF(NOT(ISNA(VLOOKUP(E82,E$1:E81,1,FALSE()))),"OLD",IF(AND(E82&lt;&gt;"",E82&lt;&gt;"!!!"),"NEW","")))</f>
        <v>NEW</v>
      </c>
      <c r="G82" s="22" t="s">
        <v>592</v>
      </c>
      <c r="H82" s="23" t="str">
        <f t="shared" ca="1" si="7"/>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t="s">
        <v>564</v>
      </c>
    </row>
    <row r="83" spans="1:12" x14ac:dyDescent="0.3">
      <c r="A83" t="s">
        <v>227</v>
      </c>
      <c r="E83" s="20" t="str">
        <f t="shared" si="6"/>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7"/>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228</v>
      </c>
      <c r="B84" s="26" t="s">
        <v>229</v>
      </c>
      <c r="C84" s="26" t="s">
        <v>160</v>
      </c>
      <c r="E84" s="20" t="str">
        <f t="shared" si="6"/>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7"/>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230</v>
      </c>
      <c r="E85" s="20" t="str">
        <f t="shared" si="6"/>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7"/>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231</v>
      </c>
      <c r="E86" s="20" t="str">
        <f t="shared" si="6"/>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7"/>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186</v>
      </c>
      <c r="E87" s="20" t="str">
        <f t="shared" si="6"/>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7"/>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9" spans="1:12" x14ac:dyDescent="0.3">
      <c r="A89" t="s">
        <v>232</v>
      </c>
    </row>
    <row r="90" spans="1:12" x14ac:dyDescent="0.3">
      <c r="A90" t="s">
        <v>233</v>
      </c>
      <c r="E90" s="20" t="str">
        <f t="shared" ref="E90:E115" si="8">IF(D90="?OLD","!!!","")</f>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ref="H90:H115" ca="1" si="9">IF(J90&lt;&gt;1,"",IF(I90="SBJ","CB","?"))</f>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234</v>
      </c>
      <c r="B91" s="26" t="s">
        <v>235</v>
      </c>
      <c r="C91" s="26" t="s">
        <v>236</v>
      </c>
      <c r="D91" s="26" t="s">
        <v>151</v>
      </c>
      <c r="E91" s="20" t="s">
        <v>568</v>
      </c>
      <c r="F91" s="21" t="str">
        <f>IF(OR(E91="",E91="!!!"),"",IF(NOT(ISNA(VLOOKUP(E91,E$1:E90,1,FALSE()))),"OLD",IF(AND(E91&lt;&gt;"",E91&lt;&gt;"!!!"),"NEW","")))</f>
        <v>OLD</v>
      </c>
      <c r="G91" s="22" t="s">
        <v>592</v>
      </c>
      <c r="H91" s="23" t="str">
        <f t="shared" ca="1" si="9"/>
        <v/>
      </c>
      <c r="I91" s="24" t="str">
        <f>IF(OR(E91="",E91="!!!",F91="NEW"),"",INDEX(B$2:B90,-1+SUMPRODUCT(MAX(ROW(E$2:E90)*(E91=E$2:E90)))))</f>
        <v>SBJ</v>
      </c>
      <c r="J91" s="24">
        <f ca="1">IF(OR(E91="",E91="!!!",F91="NEW"),"",COUNTBLANK(OFFSET(A$1,,,SUMPRODUCT(MAX(ROW(E$2:E91)*(E91=E$2:E91)))))-COUNTBLANK(OFFSET(A$1,,,SUMPRODUCT(MAX(ROW(E$1:E90)*(E2=E$1:E90))))))</f>
        <v>0</v>
      </c>
      <c r="K91" s="24">
        <f ca="1">IF(OR(E91="",E91="!!!",F91="NEW"),"",INDEX(J$1:J90,SUMPRODUCT(MAX(ROW(E$1:E90)*(E91=E$1:E90)))))</f>
        <v>0</v>
      </c>
      <c r="L91" s="25"/>
    </row>
    <row r="92" spans="1:12" x14ac:dyDescent="0.3">
      <c r="A92" t="s">
        <v>237</v>
      </c>
      <c r="B92" s="26" t="s">
        <v>226</v>
      </c>
      <c r="C92" s="26" t="s">
        <v>163</v>
      </c>
      <c r="D92" s="26" t="s">
        <v>151</v>
      </c>
      <c r="E92" s="20"/>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210</v>
      </c>
      <c r="B93" s="26" t="s">
        <v>157</v>
      </c>
      <c r="C93" s="26" t="s">
        <v>211</v>
      </c>
      <c r="D93" s="26" t="s">
        <v>151</v>
      </c>
      <c r="E93" s="20" t="s">
        <v>538</v>
      </c>
      <c r="F93" s="21" t="str">
        <f>IF(OR(E93="",E93="!!!"),"",IF(NOT(ISNA(VLOOKUP(E93,E$1:E92,1,FALSE()))),"OLD",IF(AND(E93&lt;&gt;"",E93&lt;&gt;"!!!"),"NEW","")))</f>
        <v>OLD</v>
      </c>
      <c r="G93" s="22" t="s">
        <v>593</v>
      </c>
      <c r="H93" s="23" t="s">
        <v>142</v>
      </c>
      <c r="I93" s="24" t="str">
        <f>IF(OR(E93="",E93="!!!",F93="NEW"),"",INDEX(B$2:B92,-1+SUMPRODUCT(MAX(ROW(E$2:E92)*(E93=E$2:E92)))))</f>
        <v>SBJ</v>
      </c>
      <c r="J93" s="24">
        <f ca="1">IF(OR(E93="",E93="!!!",F93="NEW"),"",COUNTBLANK(OFFSET(A$1,,,SUMPRODUCT(MAX(ROW(E$2:E93)*(E93=E$2:E93)))))-COUNTBLANK(OFFSET(A$1,,,SUMPRODUCT(MAX(ROW(E$1:E92)*(E2=E$1:E92))))))</f>
        <v>0</v>
      </c>
      <c r="K93" s="24">
        <f ca="1">IF(OR(E93="",E93="!!!",F93="NEW"),"",INDEX(J$1:J92,SUMPRODUCT(MAX(ROW(E$1:E92)*(E93=E$1:E92)))))</f>
        <v>0</v>
      </c>
      <c r="L93" s="25"/>
    </row>
    <row r="94" spans="1:12" x14ac:dyDescent="0.3">
      <c r="A94" t="s">
        <v>155</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197</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238</v>
      </c>
      <c r="B96" s="26" t="s">
        <v>157</v>
      </c>
      <c r="C96" s="26" t="s">
        <v>154</v>
      </c>
      <c r="D96" s="26" t="s">
        <v>151</v>
      </c>
      <c r="E96" s="20" t="s">
        <v>544</v>
      </c>
      <c r="F96" s="21" t="str">
        <f>IF(OR(E96="",E96="!!!"),"",IF(NOT(ISNA(VLOOKUP(E96,E$1:E95,1,FALSE()))),"OLD",IF(AND(E96&lt;&gt;"",E96&lt;&gt;"!!!"),"NEW","")))</f>
        <v>NEW</v>
      </c>
      <c r="G96" s="22" t="s">
        <v>140</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239</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155</v>
      </c>
      <c r="E98" s="20" t="str">
        <f t="shared" si="8"/>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9"/>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197</v>
      </c>
      <c r="E99" s="20" t="str">
        <f t="shared" si="8"/>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9"/>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0" spans="1:12" x14ac:dyDescent="0.3">
      <c r="A100" t="s">
        <v>240</v>
      </c>
      <c r="B100" s="26" t="s">
        <v>149</v>
      </c>
      <c r="C100" s="26" t="s">
        <v>174</v>
      </c>
      <c r="D100" s="26" t="s">
        <v>151</v>
      </c>
      <c r="E100" s="20"/>
      <c r="F100" s="21" t="s">
        <v>540</v>
      </c>
      <c r="G100" s="22" t="str">
        <f>IF(OR(E100="",E100="!!!"),"",IF(OR(J100=0,AND(J100=1,K100=1),AND(J100=1,I100="SBJ"),AND(J100=1,I100=0)),"?IN_FOCUS",IF(J100&lt;=2,"?ACTIVATED",IF(J100&lt;&gt;"","?FAMILIAR",IF(F100="NEW",IF(ISNA(VLOOKUP(E100,#REF!,1,FALSE())),"?TYPE_IDENTIFIABLE","?REFERENTIAL"),"_")))))</f>
        <v/>
      </c>
      <c r="H100" s="23" t="str">
        <f t="shared" ca="1" si="9"/>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164</v>
      </c>
      <c r="E101" s="20" t="str">
        <f t="shared" si="8"/>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9"/>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158</v>
      </c>
      <c r="E102" s="20" t="str">
        <f t="shared" si="8"/>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9"/>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241</v>
      </c>
      <c r="B103" s="26" t="s">
        <v>153</v>
      </c>
      <c r="C103" s="26" t="s">
        <v>154</v>
      </c>
      <c r="D103" s="26" t="s">
        <v>151</v>
      </c>
      <c r="E103" s="20" t="s">
        <v>545</v>
      </c>
      <c r="F103" s="21" t="str">
        <f>IF(OR(E103="",E103="!!!"),"",IF(NOT(ISNA(VLOOKUP(E103,E$1:E102,1,FALSE()))),"OLD",IF(AND(E103&lt;&gt;"",E103&lt;&gt;"!!!"),"NEW","")))</f>
        <v>NEW</v>
      </c>
      <c r="G103" s="22" t="s">
        <v>140</v>
      </c>
      <c r="H103" s="23" t="str">
        <f t="shared" ca="1" si="9"/>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242</v>
      </c>
      <c r="E104" s="20" t="str">
        <f t="shared" si="8"/>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9"/>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155</v>
      </c>
      <c r="E105" s="20" t="str">
        <f t="shared" si="8"/>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9"/>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197</v>
      </c>
      <c r="E106" s="20" t="str">
        <f t="shared" si="8"/>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9"/>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243</v>
      </c>
      <c r="B107" s="26" t="s">
        <v>244</v>
      </c>
      <c r="C107" s="26" t="s">
        <v>174</v>
      </c>
      <c r="D107" s="26" t="s">
        <v>151</v>
      </c>
      <c r="E107" s="20"/>
      <c r="F107" s="21" t="s">
        <v>540</v>
      </c>
      <c r="G107" s="22" t="str">
        <f>IF(OR(E107="",E107="!!!"),"",IF(OR(J107=0,AND(J107=1,K107=1),AND(J107=1,I107="SBJ"),AND(J107=1,I107=0)),"?IN_FOCUS",IF(J107&lt;=2,"?ACTIVATED",IF(J107&lt;&gt;"","?FAMILIAR",IF(F107="NEW",IF(ISNA(VLOOKUP(E107,#REF!,1,FALSE())),"?TYPE_IDENTIFIABLE","?REFERENTIAL"),"_")))))</f>
        <v/>
      </c>
      <c r="H107" s="23" t="str">
        <f t="shared" ca="1" si="9"/>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164</v>
      </c>
      <c r="E108" s="20" t="str">
        <f t="shared" si="8"/>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9"/>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155</v>
      </c>
      <c r="E109" s="20" t="str">
        <f t="shared" si="8"/>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9"/>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245</v>
      </c>
      <c r="E110" s="20" t="str">
        <f t="shared" si="8"/>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9"/>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155</v>
      </c>
      <c r="E111" s="20" t="str">
        <f t="shared" si="8"/>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9"/>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246</v>
      </c>
      <c r="E112" s="20" t="str">
        <f t="shared" si="8"/>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9"/>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247</v>
      </c>
      <c r="B113" s="26" t="s">
        <v>153</v>
      </c>
      <c r="C113" s="26" t="s">
        <v>194</v>
      </c>
      <c r="E113" s="20" t="str">
        <f t="shared" si="8"/>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9"/>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248</v>
      </c>
      <c r="E114" s="20" t="str">
        <f t="shared" si="8"/>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9"/>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186</v>
      </c>
      <c r="E115" s="20" t="str">
        <f t="shared" si="8"/>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9"/>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7" spans="1:12" x14ac:dyDescent="0.3">
      <c r="A117" t="s">
        <v>249</v>
      </c>
    </row>
    <row r="118" spans="1:12" x14ac:dyDescent="0.3">
      <c r="A118" t="s">
        <v>209</v>
      </c>
      <c r="B118" s="26" t="s">
        <v>153</v>
      </c>
      <c r="C118" s="26" t="s">
        <v>163</v>
      </c>
      <c r="D118" s="26" t="s">
        <v>151</v>
      </c>
      <c r="E118" s="20"/>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ref="H118:H125" ca="1" si="10">IF(J118&lt;&gt;1,"",IF(I118="SBJ","CB","?"))</f>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t="s">
        <v>539</v>
      </c>
    </row>
    <row r="119" spans="1:12" x14ac:dyDescent="0.3">
      <c r="A119" t="s">
        <v>210</v>
      </c>
      <c r="B119" s="26" t="s">
        <v>149</v>
      </c>
      <c r="C119" s="26" t="s">
        <v>211</v>
      </c>
      <c r="D119" s="26" t="s">
        <v>151</v>
      </c>
      <c r="E119" s="20" t="s">
        <v>538</v>
      </c>
      <c r="F119" s="21" t="str">
        <f>IF(OR(E119="",E119="!!!"),"",IF(NOT(ISNA(VLOOKUP(E119,E$1:E118,1,FALSE()))),"OLD",IF(AND(E119&lt;&gt;"",E119&lt;&gt;"!!!"),"NEW","")))</f>
        <v>OLD</v>
      </c>
      <c r="G119" s="22" t="s">
        <v>593</v>
      </c>
      <c r="H119" s="23" t="s">
        <v>142</v>
      </c>
      <c r="I119" s="24" t="str">
        <f>IF(OR(E119="",E119="!!!",F119="NEW"),"",INDEX(B$2:B118,-1+SUMPRODUCT(MAX(ROW(E$2:E118)*(E119=E$2:E118)))))</f>
        <v>other_3</v>
      </c>
      <c r="J119" s="24">
        <f ca="1">IF(OR(E119="",E119="!!!",F119="NEW"),"",COUNTBLANK(OFFSET(A$1,,,SUMPRODUCT(MAX(ROW(E$2:E119)*(E119=E$2:E119)))))-COUNTBLANK(OFFSET(A$1,,,SUMPRODUCT(MAX(ROW(E$1:E118)*(E2=E$1:E118))))))</f>
        <v>0</v>
      </c>
      <c r="K119" s="24">
        <f ca="1">IF(OR(E119="",E119="!!!",F119="NEW"),"",INDEX(J$1:J118,SUMPRODUCT(MAX(ROW(E$1:E118)*(E119=E$1:E118)))))</f>
        <v>0</v>
      </c>
      <c r="L119" s="25"/>
    </row>
    <row r="120" spans="1:12" x14ac:dyDescent="0.3">
      <c r="A120" t="s">
        <v>250</v>
      </c>
      <c r="E120" s="20" t="str">
        <f t="shared" ref="E120:E125" si="11">IF(D120="?OLD","!!!","")</f>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0"/>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251</v>
      </c>
      <c r="E121" s="20" t="str">
        <f t="shared" si="11"/>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10"/>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197</v>
      </c>
      <c r="E122" s="20" t="str">
        <f t="shared" si="11"/>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0"/>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198</v>
      </c>
      <c r="B123" s="26" t="s">
        <v>166</v>
      </c>
      <c r="C123" s="26" t="s">
        <v>154</v>
      </c>
      <c r="D123" s="26" t="s">
        <v>151</v>
      </c>
      <c r="E123" s="20" t="s">
        <v>546</v>
      </c>
      <c r="F123" s="21" t="str">
        <f>IF(OR(E123="",E123="!!!"),"",IF(NOT(ISNA(VLOOKUP(E123,E$1:E122,1,FALSE()))),"OLD",IF(AND(E123&lt;&gt;"",E123&lt;&gt;"!!!"),"NEW","")))</f>
        <v>OLD</v>
      </c>
      <c r="G123" s="22" t="s">
        <v>592</v>
      </c>
      <c r="H123" s="23" t="str">
        <f t="shared" ca="1" si="10"/>
        <v/>
      </c>
      <c r="I123" s="24" t="str">
        <f>IF(OR(E123="",E123="!!!",F123="NEW"),"",INDEX(B$2:B122,-1+SUMPRODUCT(MAX(ROW(E$2:E122)*(E123=E$2:E122)))))</f>
        <v>SBJ</v>
      </c>
      <c r="J123" s="24">
        <f ca="1">IF(OR(E123="",E123="!!!",F123="NEW"),"",COUNTBLANK(OFFSET(A$1,,,SUMPRODUCT(MAX(ROW(E$2:E123)*(E123=E$2:E123)))))-COUNTBLANK(OFFSET(A$1,,,SUMPRODUCT(MAX(ROW(E$1:E122)*(E2=E$1:E122))))))</f>
        <v>0</v>
      </c>
      <c r="K123" s="24" t="str">
        <f ca="1">IF(OR(E123="",E123="!!!",F123="NEW"),"",INDEX(J$1:J122,SUMPRODUCT(MAX(ROW(E$1:E122)*(E123=E$1:E122)))))</f>
        <v/>
      </c>
      <c r="L123" s="25"/>
    </row>
    <row r="124" spans="1:12" x14ac:dyDescent="0.3">
      <c r="A124" t="s">
        <v>252</v>
      </c>
      <c r="B124" s="26" t="s">
        <v>173</v>
      </c>
      <c r="C124" s="26" t="s">
        <v>194</v>
      </c>
      <c r="E124" s="20" t="str">
        <f t="shared" si="11"/>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10"/>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186</v>
      </c>
      <c r="E125" s="20" t="str">
        <f t="shared" si="11"/>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0"/>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7" spans="1:12" x14ac:dyDescent="0.3">
      <c r="A127" t="s">
        <v>253</v>
      </c>
    </row>
    <row r="128" spans="1:12" x14ac:dyDescent="0.3">
      <c r="A128" t="s">
        <v>254</v>
      </c>
      <c r="B128" s="26" t="s">
        <v>149</v>
      </c>
      <c r="C128" s="26" t="s">
        <v>168</v>
      </c>
      <c r="D128" s="26" t="s">
        <v>151</v>
      </c>
      <c r="E128" s="20" t="s">
        <v>590</v>
      </c>
      <c r="F128" s="21" t="str">
        <f>IF(OR(E128="",E128="!!!"),"",IF(NOT(ISNA(VLOOKUP(E128,E$1:E127,1,FALSE()))),"OLD",IF(AND(E128&lt;&gt;"",E128&lt;&gt;"!!!"),"NEW","")))</f>
        <v>NEW</v>
      </c>
      <c r="G128" s="22" t="s">
        <v>595</v>
      </c>
      <c r="H128" s="23" t="str">
        <f t="shared" ref="H128:H142" ca="1" si="12">IF(J128&lt;&gt;1,"",IF(I128="SBJ","CB","?"))</f>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212</v>
      </c>
      <c r="E129" s="20" t="str">
        <f t="shared" ref="E128:E142" si="13">IF(D129="?OLD","!!!","")</f>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2"/>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197</v>
      </c>
      <c r="E130" s="20" t="str">
        <f t="shared" si="13"/>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2"/>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255</v>
      </c>
      <c r="E131" s="20" t="str">
        <f t="shared" si="13"/>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2"/>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158</v>
      </c>
      <c r="E132" s="20" t="str">
        <f t="shared" si="13"/>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12"/>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3">
      <c r="A133" t="s">
        <v>256</v>
      </c>
      <c r="E133" s="20" t="str">
        <f t="shared" si="13"/>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2"/>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257</v>
      </c>
      <c r="E134" s="20" t="str">
        <f t="shared" si="13"/>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2"/>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258</v>
      </c>
      <c r="B135" s="26" t="s">
        <v>166</v>
      </c>
      <c r="C135" s="26" t="s">
        <v>174</v>
      </c>
      <c r="D135" s="26" t="s">
        <v>151</v>
      </c>
      <c r="E135" s="20" t="s">
        <v>568</v>
      </c>
      <c r="F135" s="21" t="str">
        <f>IF(OR(E135="",E135="!!!"),"",IF(NOT(ISNA(VLOOKUP(E135,E$1:E134,1,FALSE()))),"OLD",IF(AND(E135&lt;&gt;"",E135&lt;&gt;"!!!"),"NEW","")))</f>
        <v>OLD</v>
      </c>
      <c r="G135" s="22" t="s">
        <v>594</v>
      </c>
      <c r="H135" s="23" t="str">
        <f t="shared" ca="1" si="12"/>
        <v/>
      </c>
      <c r="I135" s="24" t="str">
        <f>IF(OR(E135="",E135="!!!",F135="NEW"),"",INDEX(B$2:B134,-1+SUMPRODUCT(MAX(ROW(E$2:E134)*(E135=E$2:E134)))))</f>
        <v>SBJ_2</v>
      </c>
      <c r="J135" s="24">
        <f ca="1">IF(OR(E135="",E135="!!!",F135="NEW"),"",COUNTBLANK(OFFSET(A$1,,,SUMPRODUCT(MAX(ROW(E$2:E135)*(E135=E$2:E135)))))-COUNTBLANK(OFFSET(A$1,,,SUMPRODUCT(MAX(ROW(E$1:E134)*(E2=E$1:E134))))))</f>
        <v>0</v>
      </c>
      <c r="K135" s="24">
        <f ca="1">IF(OR(E135="",E135="!!!",F135="NEW"),"",INDEX(J$1:J134,SUMPRODUCT(MAX(ROW(E$1:E134)*(E135=E$1:E134)))))</f>
        <v>0</v>
      </c>
      <c r="L135" s="25"/>
    </row>
    <row r="136" spans="1:12" x14ac:dyDescent="0.3">
      <c r="A136" t="s">
        <v>259</v>
      </c>
      <c r="E136" s="20" t="str">
        <f t="shared" si="13"/>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2"/>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171</v>
      </c>
      <c r="E137" s="20" t="str">
        <f t="shared" si="13"/>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2"/>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260</v>
      </c>
      <c r="B138" s="26" t="s">
        <v>173</v>
      </c>
      <c r="C138" s="26" t="s">
        <v>174</v>
      </c>
      <c r="D138" s="26" t="s">
        <v>151</v>
      </c>
      <c r="E138" s="20" t="s">
        <v>566</v>
      </c>
      <c r="F138" s="21" t="str">
        <f>IF(OR(E138="",E138="!!!"),"",IF(NOT(ISNA(VLOOKUP(E138,E$1:E137,1,FALSE()))),"OLD",IF(AND(E138&lt;&gt;"",E138&lt;&gt;"!!!"),"NEW","")))</f>
        <v>NEW</v>
      </c>
      <c r="G138" s="22" t="s">
        <v>595</v>
      </c>
      <c r="H138" s="23" t="str">
        <f t="shared" ca="1" si="12"/>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237</v>
      </c>
      <c r="B139" s="26" t="s">
        <v>157</v>
      </c>
      <c r="C139" s="26" t="s">
        <v>163</v>
      </c>
      <c r="D139" s="26" t="s">
        <v>151</v>
      </c>
      <c r="E139" s="20"/>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2"/>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261</v>
      </c>
      <c r="B140" s="26" t="s">
        <v>153</v>
      </c>
      <c r="C140" s="26" t="s">
        <v>211</v>
      </c>
      <c r="D140" s="26" t="s">
        <v>151</v>
      </c>
      <c r="E140" s="20" t="s">
        <v>547</v>
      </c>
      <c r="F140" s="21" t="str">
        <f>IF(OR(E140="",E140="!!!"),"",IF(NOT(ISNA(VLOOKUP(E140,E$1:E139,1,FALSE()))),"OLD",IF(AND(E140&lt;&gt;"",E140&lt;&gt;"!!!"),"NEW","")))</f>
        <v>OLD</v>
      </c>
      <c r="G140" s="22" t="s">
        <v>592</v>
      </c>
      <c r="H140" s="23" t="str">
        <f t="shared" ca="1" si="12"/>
        <v/>
      </c>
      <c r="I140" s="24" t="str">
        <f>IF(OR(E140="",E140="!!!",F140="NEW"),"",INDEX(B$2:B139,-1+SUMPRODUCT(MAX(ROW(E$2:E139)*(E140=E$2:E139)))))</f>
        <v>other</v>
      </c>
      <c r="J140" s="24">
        <f ca="1">IF(OR(E140="",E140="!!!",F140="NEW"),"",COUNTBLANK(OFFSET(A$1,,,SUMPRODUCT(MAX(ROW(E$2:E140)*(E140=E$2:E140)))))-COUNTBLANK(OFFSET(A$1,,,SUMPRODUCT(MAX(ROW(E$1:E139)*(E2=E$1:E139))))))</f>
        <v>0</v>
      </c>
      <c r="K140" s="24">
        <f ca="1">IF(OR(E140="",E140="!!!",F140="NEW"),"",INDEX(J$1:J139,SUMPRODUCT(MAX(ROW(E$1:E139)*(E140=E$1:E139)))))</f>
        <v>0</v>
      </c>
      <c r="L140" s="25"/>
    </row>
    <row r="141" spans="1:12" x14ac:dyDescent="0.3">
      <c r="A141" t="s">
        <v>262</v>
      </c>
      <c r="E141" s="20" t="str">
        <f t="shared" si="13"/>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2"/>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186</v>
      </c>
      <c r="E142" s="20" t="str">
        <f t="shared" si="13"/>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2"/>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4" spans="1:12" x14ac:dyDescent="0.3">
      <c r="A144" t="s">
        <v>263</v>
      </c>
    </row>
    <row r="145" spans="1:12" x14ac:dyDescent="0.3">
      <c r="A145" t="s">
        <v>264</v>
      </c>
      <c r="E145" s="20" t="str">
        <f t="shared" ref="E145:E162" si="14">IF(D145="?OLD","!!!","")</f>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ref="H145:H162" ca="1" si="15">IF(J145&lt;&gt;1,"",IF(I145="SBJ","CB","?"))</f>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265</v>
      </c>
      <c r="E146" s="20" t="str">
        <f t="shared" si="14"/>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5"/>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266</v>
      </c>
      <c r="E147" s="20" t="str">
        <f t="shared" si="14"/>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5"/>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267</v>
      </c>
      <c r="E148" s="20" t="str">
        <f t="shared" si="14"/>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5"/>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268</v>
      </c>
      <c r="B149" s="26" t="s">
        <v>173</v>
      </c>
      <c r="C149" s="26" t="s">
        <v>269</v>
      </c>
      <c r="D149" s="26" t="s">
        <v>151</v>
      </c>
      <c r="E149" s="20"/>
      <c r="F149" s="21" t="s">
        <v>550</v>
      </c>
      <c r="G149" s="22" t="str">
        <f>IF(OR(E149="",E149="!!!"),"",IF(OR(J149=0,AND(J149=1,K149=1),AND(J149=1,I149="SBJ"),AND(J149=1,I149=0)),"?IN_FOCUS",IF(J149&lt;=2,"?ACTIVATED",IF(J149&lt;&gt;"","?FAMILIAR",IF(F149="NEW",IF(ISNA(VLOOKUP(E149,#REF!,1,FALSE())),"?TYPE_IDENTIFIABLE","?REFERENTIAL"),"_")))))</f>
        <v/>
      </c>
      <c r="H149" s="23" t="str">
        <f t="shared" ca="1" si="15"/>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270</v>
      </c>
      <c r="E150" s="20" t="str">
        <f t="shared" si="14"/>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5"/>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197</v>
      </c>
      <c r="E151" s="20" t="str">
        <f t="shared" si="14"/>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5"/>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271</v>
      </c>
      <c r="B152" s="26" t="s">
        <v>149</v>
      </c>
      <c r="C152" s="26" t="s">
        <v>174</v>
      </c>
      <c r="D152" s="26" t="s">
        <v>151</v>
      </c>
      <c r="E152" s="20"/>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5"/>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272</v>
      </c>
      <c r="E153" s="20" t="s">
        <v>570</v>
      </c>
      <c r="F153" s="21" t="str">
        <f>IF(OR(E153="",E153="!!!"),"",IF(NOT(ISNA(VLOOKUP(E153,E$1:E152,1,FALSE()))),"OLD",IF(AND(E153&lt;&gt;"",E153&lt;&gt;"!!!"),"NEW","")))</f>
        <v>NEW</v>
      </c>
      <c r="G153" s="22" t="s">
        <v>595</v>
      </c>
      <c r="H153" s="23" t="str">
        <f t="shared" ca="1" si="15"/>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t="s">
        <v>569</v>
      </c>
    </row>
    <row r="154" spans="1:12" x14ac:dyDescent="0.3">
      <c r="A154" t="s">
        <v>170</v>
      </c>
      <c r="E154" s="20" t="str">
        <f t="shared" si="14"/>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5"/>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171</v>
      </c>
      <c r="E155" s="20" t="str">
        <f t="shared" si="14"/>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5"/>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273</v>
      </c>
      <c r="E156" s="20" t="str">
        <f t="shared" si="14"/>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5"/>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214</v>
      </c>
      <c r="B157" s="26" t="s">
        <v>153</v>
      </c>
      <c r="C157" s="26" t="s">
        <v>174</v>
      </c>
      <c r="D157" s="26" t="s">
        <v>151</v>
      </c>
      <c r="E157" s="20" t="s">
        <v>567</v>
      </c>
      <c r="F157" s="21" t="str">
        <f>IF(OR(E157="",E157="!!!"),"",IF(NOT(ISNA(VLOOKUP(E157,E$1:E156,1,FALSE()))),"OLD",IF(AND(E157&lt;&gt;"",E157&lt;&gt;"!!!"),"NEW","")))</f>
        <v>NEW</v>
      </c>
      <c r="G157" s="22" t="s">
        <v>592</v>
      </c>
      <c r="H157" s="23" t="str">
        <f t="shared" ca="1" si="15"/>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274</v>
      </c>
      <c r="E158" s="20" t="str">
        <f t="shared" si="14"/>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5"/>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275</v>
      </c>
      <c r="E159" s="20" t="str">
        <f t="shared" si="14"/>
        <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5"/>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3">
      <c r="A160" t="s">
        <v>12</v>
      </c>
      <c r="E160" s="20" t="str">
        <f t="shared" si="14"/>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5"/>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276</v>
      </c>
      <c r="B161" s="26" t="s">
        <v>166</v>
      </c>
      <c r="C161" s="26" t="s">
        <v>185</v>
      </c>
      <c r="E161" s="20" t="str">
        <f t="shared" si="14"/>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5"/>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3">
      <c r="A162" t="s">
        <v>186</v>
      </c>
      <c r="E162" s="20" t="str">
        <f t="shared" si="14"/>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5"/>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4" spans="1:12" x14ac:dyDescent="0.3">
      <c r="A164" t="s">
        <v>204</v>
      </c>
      <c r="E164" s="20" t="str">
        <f>IF(D164="?OLD","!!!","")</f>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ca="1">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277</v>
      </c>
    </row>
    <row r="166" spans="1:12" x14ac:dyDescent="0.3">
      <c r="A166" t="s">
        <v>278</v>
      </c>
      <c r="E166" s="20" t="str">
        <f t="shared" ref="E166:E172" si="16">IF(D166="?OLD","!!!","")</f>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ref="H166:H172" ca="1" si="17">IF(J166&lt;&gt;1,"",IF(I166="SBJ","CB","?"))</f>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279</v>
      </c>
      <c r="B167" s="26" t="s">
        <v>173</v>
      </c>
      <c r="C167" s="26" t="s">
        <v>160</v>
      </c>
      <c r="E167" s="20" t="str">
        <f t="shared" si="16"/>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7"/>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199</v>
      </c>
      <c r="E168" s="20" t="str">
        <f t="shared" si="16"/>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7"/>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152</v>
      </c>
      <c r="B169" s="26" t="s">
        <v>173</v>
      </c>
      <c r="C169" s="26" t="s">
        <v>154</v>
      </c>
      <c r="D169" s="26" t="s">
        <v>151</v>
      </c>
      <c r="E169" s="20" t="s">
        <v>533</v>
      </c>
      <c r="F169" s="21" t="str">
        <f>IF(OR(E169="",E169="!!!"),"",IF(NOT(ISNA(VLOOKUP(E169,E$1:E168,1,FALSE()))),"OLD",IF(AND(E169&lt;&gt;"",E169&lt;&gt;"!!!"),"NEW","")))</f>
        <v>OLD</v>
      </c>
      <c r="G169" s="22" t="s">
        <v>592</v>
      </c>
      <c r="H169" s="23" t="str">
        <f t="shared" ca="1" si="17"/>
        <v/>
      </c>
      <c r="I169" s="24" t="str">
        <f>IF(OR(E169="",E169="!!!",F169="NEW"),"",INDEX(B$2:B168,-1+SUMPRODUCT(MAX(ROW(E$2:E168)*(E169=E$2:E168)))))</f>
        <v>other_2</v>
      </c>
      <c r="J169" s="24">
        <f ca="1">IF(OR(E169="",E169="!!!",F169="NEW"),"",COUNTBLANK(OFFSET(A$1,,,SUMPRODUCT(MAX(ROW(E$2:E169)*(E169=E$2:E169)))))-COUNTBLANK(OFFSET(A$1,,,SUMPRODUCT(MAX(ROW(E$1:E168)*(E2=E$1:E168))))))</f>
        <v>0</v>
      </c>
      <c r="K169" s="24">
        <f ca="1">IF(OR(E169="",E169="!!!",F169="NEW"),"",INDEX(J$1:J168,SUMPRODUCT(MAX(ROW(E$1:E168)*(E169=E$1:E168)))))</f>
        <v>0</v>
      </c>
      <c r="L169" s="25"/>
    </row>
    <row r="170" spans="1:12" x14ac:dyDescent="0.3">
      <c r="A170" t="s">
        <v>158</v>
      </c>
      <c r="E170" s="20" t="str">
        <f t="shared" si="16"/>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7"/>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156</v>
      </c>
      <c r="B171" s="26" t="s">
        <v>173</v>
      </c>
      <c r="C171" s="26" t="s">
        <v>154</v>
      </c>
      <c r="D171" s="26" t="s">
        <v>151</v>
      </c>
      <c r="E171" s="20" t="s">
        <v>534</v>
      </c>
      <c r="F171" s="21" t="str">
        <f>IF(OR(E171="",E171="!!!"),"",IF(NOT(ISNA(VLOOKUP(E171,E$1:E170,1,FALSE()))),"OLD",IF(AND(E171&lt;&gt;"",E171&lt;&gt;"!!!"),"NEW","")))</f>
        <v>OLD</v>
      </c>
      <c r="G171" s="22" t="s">
        <v>592</v>
      </c>
      <c r="H171" s="23" t="str">
        <f t="shared" ca="1" si="17"/>
        <v/>
      </c>
      <c r="I171" s="24" t="str">
        <f>IF(OR(E171="",E171="!!!",F171="NEW"),"",INDEX(B$2:B170,-1+SUMPRODUCT(MAX(ROW(E$2:E170)*(E171=E$2:E170)))))</f>
        <v>other</v>
      </c>
      <c r="J171" s="24">
        <f ca="1">IF(OR(E171="",E171="!!!",F171="NEW"),"",COUNTBLANK(OFFSET(A$1,,,SUMPRODUCT(MAX(ROW(E$2:E171)*(E171=E$2:E171)))))-COUNTBLANK(OFFSET(A$1,,,SUMPRODUCT(MAX(ROW(E$1:E170)*(E2=E$1:E170))))))</f>
        <v>0</v>
      </c>
      <c r="K171" s="24">
        <f ca="1">IF(OR(E171="",E171="!!!",F171="NEW"),"",INDEX(J$1:J170,SUMPRODUCT(MAX(ROW(E$1:E170)*(E171=E$1:E170)))))</f>
        <v>0</v>
      </c>
      <c r="L171" s="25"/>
    </row>
    <row r="172" spans="1:12" x14ac:dyDescent="0.3">
      <c r="A172" t="s">
        <v>186</v>
      </c>
      <c r="E172" s="20" t="str">
        <f t="shared" si="16"/>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17"/>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4" spans="1:12" x14ac:dyDescent="0.3">
      <c r="A174" t="s">
        <v>280</v>
      </c>
    </row>
    <row r="175" spans="1:12" x14ac:dyDescent="0.3">
      <c r="A175" t="s">
        <v>162</v>
      </c>
      <c r="E175" s="20" t="str">
        <f>IF(D175="?OLD","!!!","")</f>
        <v/>
      </c>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ca="1">IF(J175&lt;&gt;1,"",IF(I175="SBJ","CB","?"))</f>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281</v>
      </c>
      <c r="E176" s="20" t="str">
        <f>IF(D176="?OLD","!!!","")</f>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ca="1">IF(J176&lt;&gt;1,"",IF(I176="SBJ","CB","?"))</f>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51</v>
      </c>
      <c r="B177" s="26" t="s">
        <v>173</v>
      </c>
      <c r="C177" s="26" t="s">
        <v>211</v>
      </c>
      <c r="D177" s="26" t="s">
        <v>151</v>
      </c>
      <c r="E177" s="20"/>
      <c r="F177" s="21" t="s">
        <v>537</v>
      </c>
      <c r="G177" s="22" t="str">
        <f>IF(OR(E177="",E177="!!!"),"",IF(OR(J177=0,AND(J177=1,K177=1),AND(J177=1,I177="SBJ"),AND(J177=1,I177=0)),"?IN_FOCUS",IF(J177&lt;=2,"?ACTIVATED",IF(J177&lt;&gt;"","?FAMILIAR",IF(F177="NEW",IF(ISNA(VLOOKUP(E177,#REF!,1,FALSE())),"?TYPE_IDENTIFIABLE","?REFERENTIAL"),"_")))))</f>
        <v/>
      </c>
      <c r="H177" s="23" t="str">
        <f ca="1">IF(J177&lt;&gt;1,"",IF(I177="SBJ","CB","?"))</f>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8" spans="1:12" x14ac:dyDescent="0.3">
      <c r="A178" t="s">
        <v>186</v>
      </c>
      <c r="E178" s="20" t="str">
        <f>IF(D178="?OLD","!!!","")</f>
        <v/>
      </c>
      <c r="F178" s="21"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ca="1">IF(J178&lt;&gt;1,"",IF(I178="SBJ","CB","?"))</f>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5"/>
    </row>
    <row r="180" spans="1:12" x14ac:dyDescent="0.3">
      <c r="A180" t="s">
        <v>282</v>
      </c>
    </row>
    <row r="181" spans="1:12" x14ac:dyDescent="0.3">
      <c r="A181" t="s">
        <v>283</v>
      </c>
      <c r="E181" s="20" t="str">
        <f t="shared" ref="E181:E195" si="18">IF(D181="?OLD","!!!","")</f>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ref="H181:H195" ca="1" si="19">IF(J181&lt;&gt;1,"",IF(I181="SBJ","CB","?"))</f>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265</v>
      </c>
      <c r="E182" s="20" t="str">
        <f t="shared" si="18"/>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9"/>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266</v>
      </c>
      <c r="E183" s="20" t="str">
        <f t="shared" si="18"/>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9"/>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284</v>
      </c>
      <c r="E184" s="20" t="str">
        <f t="shared" si="18"/>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9"/>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285</v>
      </c>
      <c r="B185" s="26" t="s">
        <v>153</v>
      </c>
      <c r="C185" s="26" t="s">
        <v>154</v>
      </c>
      <c r="D185" s="26" t="s">
        <v>151</v>
      </c>
      <c r="E185" s="20" t="s">
        <v>573</v>
      </c>
      <c r="F185" s="21" t="s">
        <v>572</v>
      </c>
      <c r="G185" s="22" t="s">
        <v>595</v>
      </c>
      <c r="H185" s="23" t="str">
        <f t="shared" ca="1" si="19"/>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270</v>
      </c>
      <c r="E186" s="20" t="str">
        <f t="shared" si="18"/>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9"/>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156</v>
      </c>
      <c r="B187" s="26" t="s">
        <v>235</v>
      </c>
      <c r="C187" s="26" t="s">
        <v>154</v>
      </c>
      <c r="D187" s="26" t="s">
        <v>151</v>
      </c>
      <c r="E187" s="20" t="s">
        <v>534</v>
      </c>
      <c r="F187" s="21" t="str">
        <f>IF(OR(E187="",E187="!!!"),"",IF(NOT(ISNA(VLOOKUP(E187,E$1:E186,1,FALSE()))),"OLD",IF(AND(E187&lt;&gt;"",E187&lt;&gt;"!!!"),"NEW","")))</f>
        <v>OLD</v>
      </c>
      <c r="G187" s="22" t="s">
        <v>592</v>
      </c>
      <c r="H187" s="23" t="str">
        <f t="shared" ca="1" si="19"/>
        <v/>
      </c>
      <c r="I187" s="24" t="str">
        <f>IF(OR(E187="",E187="!!!",F187="NEW"),"",INDEX(B$2:B186,-1+SUMPRODUCT(MAX(ROW(E$2:E186)*(E187=E$2:E186)))))</f>
        <v>other</v>
      </c>
      <c r="J187" s="24">
        <f ca="1">IF(OR(E187="",E187="!!!",F187="NEW"),"",COUNTBLANK(OFFSET(A$1,,,SUMPRODUCT(MAX(ROW(E$2:E187)*(E187=E$2:E187)))))-COUNTBLANK(OFFSET(A$1,,,SUMPRODUCT(MAX(ROW(E$1:E186)*(E2=E$1:E186))))))</f>
        <v>0</v>
      </c>
      <c r="K187" s="24">
        <f ca="1">IF(OR(E187="",E187="!!!",F187="NEW"),"",INDEX(J$1:J186,SUMPRODUCT(MAX(ROW(E$1:E186)*(E187=E$1:E186)))))</f>
        <v>0</v>
      </c>
      <c r="L187" s="25"/>
    </row>
    <row r="188" spans="1:12" x14ac:dyDescent="0.3">
      <c r="A188" t="s">
        <v>217</v>
      </c>
      <c r="E188" s="20" t="str">
        <f t="shared" si="18"/>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9"/>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274</v>
      </c>
      <c r="E189" s="20" t="str">
        <f t="shared" si="18"/>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9"/>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286</v>
      </c>
      <c r="E190" s="20" t="str">
        <f t="shared" si="18"/>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9"/>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287</v>
      </c>
      <c r="B191" s="26" t="s">
        <v>173</v>
      </c>
      <c r="C191" s="26" t="s">
        <v>185</v>
      </c>
      <c r="E191" s="20" t="str">
        <f t="shared" si="18"/>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9"/>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158</v>
      </c>
      <c r="E192" s="20" t="str">
        <f t="shared" si="18"/>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9"/>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288</v>
      </c>
      <c r="B193" s="26" t="s">
        <v>153</v>
      </c>
      <c r="C193" s="26" t="s">
        <v>160</v>
      </c>
      <c r="E193" s="20" t="str">
        <f t="shared" si="18"/>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9"/>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289</v>
      </c>
      <c r="E194" s="20" t="str">
        <f t="shared" si="18"/>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9"/>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186</v>
      </c>
      <c r="E195" s="20" t="str">
        <f t="shared" si="18"/>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9"/>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7" spans="1:12" x14ac:dyDescent="0.3">
      <c r="A197" t="s">
        <v>290</v>
      </c>
    </row>
    <row r="198" spans="1:12" x14ac:dyDescent="0.3">
      <c r="A198" t="s">
        <v>291</v>
      </c>
      <c r="E198" s="20" t="str">
        <f t="shared" ref="E198:E231" si="20">IF(D198="?OLD","!!!","")</f>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ref="H198:H231" ca="1" si="21">IF(J198&lt;&gt;1,"",IF(I198="SBJ","CB","?"))</f>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270</v>
      </c>
      <c r="E199" s="20" t="str">
        <f t="shared" si="20"/>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21"/>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197</v>
      </c>
      <c r="E200" s="20" t="str">
        <f t="shared" si="20"/>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21"/>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292</v>
      </c>
      <c r="B201" s="26" t="s">
        <v>149</v>
      </c>
      <c r="C201" s="26" t="s">
        <v>174</v>
      </c>
      <c r="D201" s="26" t="s">
        <v>151</v>
      </c>
      <c r="E201" s="20"/>
      <c r="F201" s="21" t="s">
        <v>537</v>
      </c>
      <c r="G201" s="22" t="str">
        <f>IF(OR(E201="",E201="!!!"),"",IF(OR(J201=0,AND(J201=1,K201=1),AND(J201=1,I201="SBJ"),AND(J201=1,I201=0)),"?IN_FOCUS",IF(J201&lt;=2,"?ACTIVATED",IF(J201&lt;&gt;"","?FAMILIAR",IF(F201="NEW",IF(ISNA(VLOOKUP(E201,#REF!,1,FALSE())),"?TYPE_IDENTIFIABLE","?REFERENTIAL"),"_")))))</f>
        <v/>
      </c>
      <c r="H201" s="23" t="str">
        <f t="shared" ca="1" si="21"/>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175</v>
      </c>
      <c r="E202" s="20" t="str">
        <f t="shared" si="20"/>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21"/>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171</v>
      </c>
      <c r="E203" s="20" t="str">
        <f t="shared" si="20"/>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21"/>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293</v>
      </c>
      <c r="B204" s="26" t="s">
        <v>173</v>
      </c>
      <c r="C204" s="26" t="s">
        <v>174</v>
      </c>
      <c r="D204" s="26" t="s">
        <v>151</v>
      </c>
      <c r="E204" s="20"/>
      <c r="F204" s="21" t="s">
        <v>549</v>
      </c>
      <c r="G204" s="22" t="str">
        <f>IF(OR(E204="",E204="!!!"),"",IF(OR(J204=0,AND(J204=1,K204=1),AND(J204=1,I204="SBJ"),AND(J204=1,I204=0)),"?IN_FOCUS",IF(J204&lt;=2,"?ACTIVATED",IF(J204&lt;&gt;"","?FAMILIAR",IF(F204="NEW",IF(ISNA(VLOOKUP(E204,#REF!,1,FALSE())),"?TYPE_IDENTIFIABLE","?REFERENTIAL"),"_")))))</f>
        <v/>
      </c>
      <c r="H204" s="23" t="str">
        <f t="shared" ca="1" si="21"/>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155</v>
      </c>
      <c r="E205" s="20" t="str">
        <f t="shared" si="20"/>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1"/>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294</v>
      </c>
      <c r="B206" s="26" t="s">
        <v>173</v>
      </c>
      <c r="C206" s="26" t="s">
        <v>160</v>
      </c>
      <c r="E206" s="20" t="str">
        <f t="shared" si="20"/>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1"/>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171</v>
      </c>
      <c r="E207" s="20" t="str">
        <f t="shared" si="20"/>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21"/>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3">
      <c r="A208" t="s">
        <v>295</v>
      </c>
      <c r="E208" s="20" t="str">
        <f t="shared" si="20"/>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21"/>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296</v>
      </c>
      <c r="B209" s="26" t="s">
        <v>153</v>
      </c>
      <c r="C209" s="26" t="s">
        <v>174</v>
      </c>
      <c r="D209" s="26" t="s">
        <v>151</v>
      </c>
      <c r="E209" s="20" t="s">
        <v>590</v>
      </c>
      <c r="F209" s="21" t="str">
        <f>IF(OR(E209="",E209="!!!"),"",IF(NOT(ISNA(VLOOKUP(E209,E$1:E208,1,FALSE()))),"OLD",IF(AND(E209&lt;&gt;"",E209&lt;&gt;"!!!"),"NEW","")))</f>
        <v>OLD</v>
      </c>
      <c r="G209" s="22" t="s">
        <v>592</v>
      </c>
      <c r="H209" s="23" t="str">
        <f t="shared" ca="1" si="21"/>
        <v/>
      </c>
      <c r="I209" s="24" t="str">
        <f>IF(OR(E209="",E209="!!!",F209="NEW"),"",INDEX(B$2:B208,-1+SUMPRODUCT(MAX(ROW(E$2:E208)*(E209=E$2:E208)))))</f>
        <v>SBJ</v>
      </c>
      <c r="J209" s="24">
        <f ca="1">IF(OR(E209="",E209="!!!",F209="NEW"),"",COUNTBLANK(OFFSET(A$1,,,SUMPRODUCT(MAX(ROW(E$2:E209)*(E209=E$2:E209)))))-COUNTBLANK(OFFSET(A$1,,,SUMPRODUCT(MAX(ROW(E$1:E208)*(E2=E$1:E208))))))</f>
        <v>0</v>
      </c>
      <c r="K209" s="24" t="str">
        <f ca="1">IF(OR(E209="",E209="!!!",F209="NEW"),"",INDEX(J$1:J208,SUMPRODUCT(MAX(ROW(E$1:E208)*(E209=E$1:E208)))))</f>
        <v/>
      </c>
      <c r="L209" s="25"/>
    </row>
    <row r="210" spans="1:12" x14ac:dyDescent="0.3">
      <c r="A210" t="s">
        <v>171</v>
      </c>
      <c r="E210" s="20" t="str">
        <f t="shared" si="20"/>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21"/>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297</v>
      </c>
      <c r="E211" s="20" t="str">
        <f t="shared" si="20"/>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21"/>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298</v>
      </c>
      <c r="B212" s="26" t="s">
        <v>157</v>
      </c>
      <c r="C212" s="26" t="s">
        <v>174</v>
      </c>
      <c r="D212" s="26" t="s">
        <v>151</v>
      </c>
      <c r="E212" s="20"/>
      <c r="F212" s="21" t="s">
        <v>540</v>
      </c>
      <c r="G212" s="22" t="str">
        <f>IF(OR(E212="",E212="!!!"),"",IF(OR(J212=0,AND(J212=1,K212=1),AND(J212=1,I212="SBJ"),AND(J212=1,I212=0)),"?IN_FOCUS",IF(J212&lt;=2,"?ACTIVATED",IF(J212&lt;&gt;"","?FAMILIAR",IF(F212="NEW",IF(ISNA(VLOOKUP(E212,#REF!,1,FALSE())),"?TYPE_IDENTIFIABLE","?REFERENTIAL"),"_")))))</f>
        <v/>
      </c>
      <c r="H212" s="23" t="str">
        <f t="shared" ca="1" si="2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152</v>
      </c>
      <c r="B213" s="26" t="s">
        <v>226</v>
      </c>
      <c r="C213" s="26" t="s">
        <v>154</v>
      </c>
      <c r="D213" s="26" t="s">
        <v>151</v>
      </c>
      <c r="E213" s="20" t="s">
        <v>533</v>
      </c>
      <c r="F213" s="21" t="str">
        <f>IF(OR(E213="",E213="!!!"),"",IF(NOT(ISNA(VLOOKUP(E213,E$1:E212,1,FALSE()))),"OLD",IF(AND(E213&lt;&gt;"",E213&lt;&gt;"!!!"),"NEW","")))</f>
        <v>OLD</v>
      </c>
      <c r="G213" s="22" t="s">
        <v>592</v>
      </c>
      <c r="H213" s="23" t="str">
        <f t="shared" ca="1" si="21"/>
        <v/>
      </c>
      <c r="I213" s="24" t="str">
        <f>IF(OR(E213="",E213="!!!",F213="NEW"),"",INDEX(B$2:B212,-1+SUMPRODUCT(MAX(ROW(E$2:E212)*(E213=E$2:E212)))))</f>
        <v>other</v>
      </c>
      <c r="J213" s="24">
        <f ca="1">IF(OR(E213="",E213="!!!",F213="NEW"),"",COUNTBLANK(OFFSET(A$1,,,SUMPRODUCT(MAX(ROW(E$2:E213)*(E213=E$2:E213)))))-COUNTBLANK(OFFSET(A$1,,,SUMPRODUCT(MAX(ROW(E$1:E212)*(E2=E$1:E212))))))</f>
        <v>0</v>
      </c>
      <c r="K213" s="24">
        <f ca="1">IF(OR(E213="",E213="!!!",F213="NEW"),"",INDEX(J$1:J212,SUMPRODUCT(MAX(ROW(E$1:E212)*(E213=E$1:E212)))))</f>
        <v>0</v>
      </c>
      <c r="L213" s="25"/>
    </row>
    <row r="214" spans="1:12" x14ac:dyDescent="0.3">
      <c r="A214" t="s">
        <v>216</v>
      </c>
      <c r="E214" s="20" t="str">
        <f t="shared" si="20"/>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155</v>
      </c>
      <c r="E215" s="20" t="str">
        <f t="shared" si="20"/>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217</v>
      </c>
      <c r="B216" s="26" t="s">
        <v>229</v>
      </c>
      <c r="C216" s="26" t="s">
        <v>154</v>
      </c>
      <c r="D216" s="26" t="s">
        <v>151</v>
      </c>
      <c r="E216" s="20" t="s">
        <v>534</v>
      </c>
      <c r="F216" s="21" t="str">
        <f>IF(OR(E216="",E216="!!!"),"",IF(NOT(ISNA(VLOOKUP(E216,E$1:E215,1,FALSE()))),"OLD",IF(AND(E216&lt;&gt;"",E216&lt;&gt;"!!!"),"NEW","")))</f>
        <v>OLD</v>
      </c>
      <c r="G216" s="22" t="s">
        <v>594</v>
      </c>
      <c r="H216" s="23" t="str">
        <f t="shared" ca="1" si="21"/>
        <v/>
      </c>
      <c r="I216" s="24" t="str">
        <f>IF(OR(E216="",E216="!!!",F216="NEW"),"",INDEX(B$2:B215,-1+SUMPRODUCT(MAX(ROW(E$2:E215)*(E216=E$2:E215)))))</f>
        <v>SBJ_2</v>
      </c>
      <c r="J216" s="24">
        <f ca="1">IF(OR(E216="",E216="!!!",F216="NEW"),"",COUNTBLANK(OFFSET(A$1,,,SUMPRODUCT(MAX(ROW(E$2:E216)*(E216=E$2:E216)))))-COUNTBLANK(OFFSET(A$1,,,SUMPRODUCT(MAX(ROW(E$1:E215)*(E2=E$1:E215))))))</f>
        <v>0</v>
      </c>
      <c r="K216" s="24">
        <f ca="1">IF(OR(E216="",E216="!!!",F216="NEW"),"",INDEX(J$1:J215,SUMPRODUCT(MAX(ROW(E$1:E215)*(E216=E$1:E215)))))</f>
        <v>0</v>
      </c>
      <c r="L216" s="25"/>
    </row>
    <row r="217" spans="1:12" x14ac:dyDescent="0.3">
      <c r="A217" t="s">
        <v>158</v>
      </c>
      <c r="E217" s="20" t="str">
        <f t="shared" si="20"/>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159</v>
      </c>
      <c r="B218" s="26" t="s">
        <v>229</v>
      </c>
      <c r="C218" s="26" t="s">
        <v>154</v>
      </c>
      <c r="D218" s="26" t="s">
        <v>151</v>
      </c>
      <c r="E218" s="20" t="s">
        <v>535</v>
      </c>
      <c r="F218" s="21" t="str">
        <f>IF(OR(E218="",E218="!!!"),"",IF(NOT(ISNA(VLOOKUP(E218,E$1:E217,1,FALSE()))),"OLD",IF(AND(E218&lt;&gt;"",E218&lt;&gt;"!!!"),"NEW","")))</f>
        <v>OLD</v>
      </c>
      <c r="G218" s="22" t="s">
        <v>592</v>
      </c>
      <c r="H218" s="23" t="str">
        <f t="shared" ca="1" si="21"/>
        <v/>
      </c>
      <c r="I218" s="24" t="str">
        <f>IF(OR(E218="",E218="!!!",F218="NEW"),"",INDEX(B$2:B217,-1+SUMPRODUCT(MAX(ROW(E$2:E217)*(E218=E$2:E217)))))</f>
        <v>other_2</v>
      </c>
      <c r="J218" s="24">
        <f ca="1">IF(OR(E218="",E218="!!!",F218="NEW"),"",COUNTBLANK(OFFSET(A$1,,,SUMPRODUCT(MAX(ROW(E$2:E218)*(E218=E$2:E218)))))-COUNTBLANK(OFFSET(A$1,,,SUMPRODUCT(MAX(ROW(E$1:E217)*(E2=E$1:E217))))))</f>
        <v>0</v>
      </c>
      <c r="K218" s="24">
        <f ca="1">IF(OR(E218="",E218="!!!",F218="NEW"),"",INDEX(J$1:J217,SUMPRODUCT(MAX(ROW(E$1:E217)*(E218=E$1:E217)))))</f>
        <v>0</v>
      </c>
      <c r="L218" s="25"/>
    </row>
    <row r="219" spans="1:12" x14ac:dyDescent="0.3">
      <c r="A219" t="s">
        <v>220</v>
      </c>
      <c r="E219" s="20" t="str">
        <f t="shared" si="20"/>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2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299</v>
      </c>
      <c r="E220" s="20" t="str">
        <f t="shared" si="20"/>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2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3">
      <c r="A221" t="s">
        <v>300</v>
      </c>
      <c r="E221" s="20" t="str">
        <f t="shared" si="20"/>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155</v>
      </c>
      <c r="E222" s="20" t="str">
        <f t="shared" si="20"/>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301</v>
      </c>
      <c r="E223" s="20" t="str">
        <f t="shared" si="20"/>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2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302</v>
      </c>
      <c r="B224" s="26" t="s">
        <v>235</v>
      </c>
      <c r="C224" s="26" t="s">
        <v>150</v>
      </c>
      <c r="D224" s="26" t="s">
        <v>151</v>
      </c>
      <c r="E224" s="20" t="s">
        <v>213</v>
      </c>
      <c r="F224" s="21" t="str">
        <f>IF(OR(E224="",E224="!!!"),"",IF(NOT(ISNA(VLOOKUP(E224,E$1:E223,1,FALSE()))),"OLD",IF(AND(E224&lt;&gt;"",E224&lt;&gt;"!!!"),"NEW","")))</f>
        <v>OLD</v>
      </c>
      <c r="G224" s="22" t="s">
        <v>593</v>
      </c>
      <c r="H224" s="23" t="str">
        <f t="shared" ca="1" si="21"/>
        <v/>
      </c>
      <c r="I224" s="24" t="str">
        <f>IF(OR(E224="",E224="!!!",F224="NEW"),"",INDEX(B$2:B223,-1+SUMPRODUCT(MAX(ROW(E$2:E223)*(E224=E$2:E223)))))</f>
        <v>SBJ_4</v>
      </c>
      <c r="J224" s="24">
        <f ca="1">IF(OR(E224="",E224="!!!",F224="NEW"),"",COUNTBLANK(OFFSET(A$1,,,SUMPRODUCT(MAX(ROW(E$2:E224)*(E224=E$2:E224)))))-COUNTBLANK(OFFSET(A$1,,,SUMPRODUCT(MAX(ROW(E$1:E223)*(E2=E$1:E223))))))</f>
        <v>0</v>
      </c>
      <c r="K224" s="24">
        <f ca="1">IF(OR(E224="",E224="!!!",F224="NEW"),"",INDEX(J$1:J223,SUMPRODUCT(MAX(ROW(E$1:E223)*(E224=E$1:E223)))))</f>
        <v>0</v>
      </c>
      <c r="L224" s="25"/>
    </row>
    <row r="225" spans="1:12" x14ac:dyDescent="0.3">
      <c r="A225" t="s">
        <v>303</v>
      </c>
      <c r="E225" s="20" t="str">
        <f t="shared" si="20"/>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155</v>
      </c>
      <c r="E226" s="20" t="str">
        <f t="shared" si="20"/>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21"/>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304</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305</v>
      </c>
      <c r="E228" s="20" t="str">
        <f t="shared" si="20"/>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306</v>
      </c>
      <c r="B229" s="26" t="s">
        <v>307</v>
      </c>
      <c r="C229" s="26" t="s">
        <v>160</v>
      </c>
      <c r="E229" s="20" t="str">
        <f t="shared" si="20"/>
        <v/>
      </c>
      <c r="F229" s="21"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2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308</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186</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3" spans="1:12" x14ac:dyDescent="0.3">
      <c r="A233" t="s">
        <v>309</v>
      </c>
    </row>
    <row r="234" spans="1:12" x14ac:dyDescent="0.3">
      <c r="A234" t="s">
        <v>310</v>
      </c>
      <c r="E234" s="20" t="str">
        <f t="shared" ref="E234:E254" si="22">IF(D234="?OLD","!!!","")</f>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ref="H234:H254" ca="1" si="23">IF(J234&lt;&gt;1,"",IF(I234="SBJ","CB","?"))</f>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176</v>
      </c>
      <c r="E235" s="20" t="str">
        <f t="shared" si="22"/>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3"/>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311</v>
      </c>
      <c r="B236" s="26" t="s">
        <v>173</v>
      </c>
      <c r="C236" s="26" t="s">
        <v>154</v>
      </c>
      <c r="D236" s="26" t="s">
        <v>151</v>
      </c>
      <c r="E236" s="20"/>
      <c r="F236" s="21" t="s">
        <v>550</v>
      </c>
      <c r="G236" s="22" t="str">
        <f>IF(OR(E236="",E236="!!!"),"",IF(OR(J236=0,AND(J236=1,K236=1),AND(J236=1,I236="SBJ"),AND(J236=1,I236=0)),"?IN_FOCUS",IF(J236&lt;=2,"?ACTIVATED",IF(J236&lt;&gt;"","?FAMILIAR",IF(F236="NEW",IF(ISNA(VLOOKUP(E236,#REF!,1,FALSE())),"?TYPE_IDENTIFIABLE","?REFERENTIAL"),"_")))))</f>
        <v/>
      </c>
      <c r="H236" s="23" t="str">
        <f t="shared" ca="1" si="23"/>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312</v>
      </c>
      <c r="E237" s="20" t="str">
        <f t="shared" si="22"/>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3"/>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152</v>
      </c>
      <c r="B238" s="26" t="s">
        <v>235</v>
      </c>
      <c r="C238" s="26" t="s">
        <v>150</v>
      </c>
      <c r="D238" s="26" t="s">
        <v>151</v>
      </c>
      <c r="E238" s="20" t="s">
        <v>533</v>
      </c>
      <c r="F238" s="21" t="str">
        <f>IF(OR(E238="",E238="!!!"),"",IF(NOT(ISNA(VLOOKUP(E238,E$1:E237,1,FALSE()))),"OLD",IF(AND(E238&lt;&gt;"",E238&lt;&gt;"!!!"),"NEW","")))</f>
        <v>OLD</v>
      </c>
      <c r="G238" s="22" t="s">
        <v>593</v>
      </c>
      <c r="H238" s="23" t="s">
        <v>142</v>
      </c>
      <c r="I238" s="24" t="str">
        <f>IF(OR(E238="",E238="!!!",F238="NEW"),"",INDEX(B$2:B237,-1+SUMPRODUCT(MAX(ROW(E$2:E237)*(E238=E$2:E237)))))</f>
        <v>other_4</v>
      </c>
      <c r="J238" s="24">
        <f ca="1">IF(OR(E238="",E238="!!!",F238="NEW"),"",COUNTBLANK(OFFSET(A$1,,,SUMPRODUCT(MAX(ROW(E$2:E238)*(E238=E$2:E238)))))-COUNTBLANK(OFFSET(A$1,,,SUMPRODUCT(MAX(ROW(E$1:E237)*(E2=E$1:E237))))))</f>
        <v>0</v>
      </c>
      <c r="K238" s="24">
        <f ca="1">IF(OR(E238="",E238="!!!",F238="NEW"),"",INDEX(J$1:J237,SUMPRODUCT(MAX(ROW(E$1:E237)*(E238=E$1:E237)))))</f>
        <v>0</v>
      </c>
      <c r="L238" s="25"/>
    </row>
    <row r="239" spans="1:12" x14ac:dyDescent="0.3">
      <c r="A239" t="s">
        <v>197</v>
      </c>
      <c r="E239" s="20" t="str">
        <f t="shared" si="22"/>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3"/>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313</v>
      </c>
      <c r="E240" s="20" t="str">
        <f t="shared" si="22"/>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3"/>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155</v>
      </c>
      <c r="E241" s="20" t="str">
        <f t="shared" si="22"/>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3"/>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314</v>
      </c>
      <c r="E242" s="20" t="str">
        <f t="shared" si="22"/>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3"/>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276</v>
      </c>
      <c r="B243" s="26" t="s">
        <v>173</v>
      </c>
      <c r="C243" s="26" t="s">
        <v>211</v>
      </c>
      <c r="D243" s="26" t="s">
        <v>151</v>
      </c>
      <c r="E243" s="20"/>
      <c r="F243" s="21" t="s">
        <v>540</v>
      </c>
      <c r="G243" s="22" t="str">
        <f>IF(OR(E243="",E243="!!!"),"",IF(OR(J243=0,AND(J243=1,K243=1),AND(J243=1,I243="SBJ"),AND(J243=1,I243=0)),"?IN_FOCUS",IF(J243&lt;=2,"?ACTIVATED",IF(J243&lt;&gt;"","?FAMILIAR",IF(F243="NEW",IF(ISNA(VLOOKUP(E243,#REF!,1,FALSE())),"?TYPE_IDENTIFIABLE","?REFERENTIAL"),"_")))))</f>
        <v/>
      </c>
      <c r="H243" s="23" t="str">
        <f t="shared" ca="1" si="23"/>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155</v>
      </c>
      <c r="E244" s="20" t="str">
        <f t="shared" si="22"/>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3"/>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197</v>
      </c>
      <c r="B245" s="26" t="s">
        <v>244</v>
      </c>
      <c r="E245" s="20" t="str">
        <f t="shared" si="22"/>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3"/>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6" spans="1:12" x14ac:dyDescent="0.3">
      <c r="A246" t="s">
        <v>192</v>
      </c>
      <c r="E246" s="20" t="str">
        <f t="shared" si="22"/>
        <v/>
      </c>
      <c r="F246" s="21"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23"/>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315</v>
      </c>
      <c r="E247" s="20" t="str">
        <f t="shared" si="22"/>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23"/>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316</v>
      </c>
      <c r="E248" s="20" t="str">
        <f t="shared" si="22"/>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23"/>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317</v>
      </c>
      <c r="B249" s="26" t="s">
        <v>157</v>
      </c>
      <c r="C249" s="26" t="s">
        <v>185</v>
      </c>
      <c r="E249" s="20" t="str">
        <f t="shared" si="22"/>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3"/>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222</v>
      </c>
      <c r="E250" s="20" t="str">
        <f t="shared" si="22"/>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3"/>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318</v>
      </c>
      <c r="B251" s="26" t="s">
        <v>226</v>
      </c>
      <c r="C251" s="26" t="s">
        <v>160</v>
      </c>
      <c r="E251" s="20" t="str">
        <f t="shared" si="22"/>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3"/>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319</v>
      </c>
      <c r="E252" s="20" t="str">
        <f t="shared" si="22"/>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3"/>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320</v>
      </c>
      <c r="E253" s="20" t="str">
        <f t="shared" si="22"/>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3"/>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186</v>
      </c>
      <c r="E254" s="20" t="str">
        <f t="shared" si="22"/>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23"/>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6" spans="1:12" x14ac:dyDescent="0.3">
      <c r="A256" t="s">
        <v>321</v>
      </c>
    </row>
    <row r="257" spans="1:12" x14ac:dyDescent="0.3">
      <c r="A257" t="s">
        <v>322</v>
      </c>
      <c r="B257" s="26" t="s">
        <v>153</v>
      </c>
      <c r="C257" s="26" t="s">
        <v>160</v>
      </c>
      <c r="E257" s="20" t="str">
        <f t="shared" ref="E257:E262" si="24">IF(D257="?OLD","!!!","")</f>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ref="H257:H262" ca="1" si="25">IF(J257&lt;&gt;1,"",IF(I257="SBJ","CB","?"))</f>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238</v>
      </c>
      <c r="B258" s="26" t="s">
        <v>149</v>
      </c>
      <c r="C258" s="26" t="s">
        <v>154</v>
      </c>
      <c r="D258" s="26" t="s">
        <v>151</v>
      </c>
      <c r="E258" s="20" t="s">
        <v>544</v>
      </c>
      <c r="F258" s="21" t="str">
        <f>IF(OR(E258="",E258="!!!"),"",IF(NOT(ISNA(VLOOKUP(E258,E$1:E257,1,FALSE()))),"OLD",IF(AND(E258&lt;&gt;"",E258&lt;&gt;"!!!"),"NEW","")))</f>
        <v>OLD</v>
      </c>
      <c r="G258" s="22" t="s">
        <v>592</v>
      </c>
      <c r="H258" s="23" t="str">
        <f t="shared" ca="1" si="25"/>
        <v/>
      </c>
      <c r="I258" s="24" t="str">
        <f>IF(OR(E258="",E258="!!!",F258="NEW"),"",INDEX(B$2:B257,-1+SUMPRODUCT(MAX(ROW(E$2:E257)*(E258=E$2:E257)))))</f>
        <v>other_3</v>
      </c>
      <c r="J258" s="24">
        <f ca="1">IF(OR(E258="",E258="!!!",F258="NEW"),"",COUNTBLANK(OFFSET(A$1,,,SUMPRODUCT(MAX(ROW(E$2:E258)*(E258=E$2:E258)))))-COUNTBLANK(OFFSET(A$1,,,SUMPRODUCT(MAX(ROW(E$1:E257)*(E2=E$1:E257))))))</f>
        <v>0</v>
      </c>
      <c r="K258" s="24" t="str">
        <f ca="1">IF(OR(E258="",E258="!!!",F258="NEW"),"",INDEX(J$1:J257,SUMPRODUCT(MAX(ROW(E$1:E257)*(E258=E$1:E257)))))</f>
        <v/>
      </c>
      <c r="L258" s="25"/>
    </row>
    <row r="259" spans="1:12" x14ac:dyDescent="0.3">
      <c r="A259" t="s">
        <v>239</v>
      </c>
      <c r="E259" s="20" t="str">
        <f t="shared" si="24"/>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25"/>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3">
      <c r="A260" t="s">
        <v>320</v>
      </c>
      <c r="E260" s="20" t="str">
        <f t="shared" si="24"/>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25"/>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323</v>
      </c>
      <c r="B261" s="26" t="s">
        <v>166</v>
      </c>
      <c r="C261" s="26" t="s">
        <v>160</v>
      </c>
      <c r="E261" s="20" t="str">
        <f t="shared" si="24"/>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25"/>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186</v>
      </c>
      <c r="E262" s="20" t="str">
        <f t="shared" si="24"/>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25"/>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4" spans="1:12" x14ac:dyDescent="0.3">
      <c r="A264" t="s">
        <v>324</v>
      </c>
    </row>
    <row r="265" spans="1:12" x14ac:dyDescent="0.3">
      <c r="A265" t="s">
        <v>325</v>
      </c>
      <c r="B265" s="26" t="s">
        <v>149</v>
      </c>
      <c r="C265" s="26" t="s">
        <v>150</v>
      </c>
      <c r="D265" s="26" t="s">
        <v>151</v>
      </c>
      <c r="E265" s="20"/>
      <c r="F265" s="21" t="s">
        <v>537</v>
      </c>
      <c r="G265" s="22" t="str">
        <f>IF(OR(E265="",E265="!!!"),"",IF(OR(J265=0,AND(J265=1,K265=1),AND(J265=1,I265="SBJ"),AND(J265=1,I265=0)),"?IN_FOCUS",IF(J265&lt;=2,"?ACTIVATED",IF(J265&lt;&gt;"","?FAMILIAR",IF(F265="NEW",IF(ISNA(VLOOKUP(E265,#REF!,1,FALSE())),"?TYPE_IDENTIFIABLE","?REFERENTIAL"),"_")))))</f>
        <v/>
      </c>
      <c r="H265" s="23" t="str">
        <f t="shared" ref="H265:H282" ca="1" si="26">IF(J265&lt;&gt;1,"",IF(I265="SBJ","CB","?"))</f>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66</v>
      </c>
      <c r="E266" s="20" t="str">
        <f t="shared" ref="E266:E282" si="27">IF(D266="?OLD","!!!","")</f>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6"/>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197</v>
      </c>
      <c r="E267" s="20" t="str">
        <f t="shared" si="27"/>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6"/>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260</v>
      </c>
      <c r="B268" s="26" t="s">
        <v>166</v>
      </c>
      <c r="C268" s="26" t="s">
        <v>174</v>
      </c>
      <c r="D268" s="26" t="s">
        <v>151</v>
      </c>
      <c r="E268" s="20" t="s">
        <v>566</v>
      </c>
      <c r="F268" s="21" t="str">
        <f>IF(OR(E268="",E268="!!!"),"",IF(NOT(ISNA(VLOOKUP(E268,E$1:E267,1,FALSE()))),"OLD",IF(AND(E268&lt;&gt;"",E268&lt;&gt;"!!!"),"NEW","")))</f>
        <v>OLD</v>
      </c>
      <c r="G268" s="22" t="s">
        <v>592</v>
      </c>
      <c r="H268" s="23" t="str">
        <f t="shared" ca="1" si="26"/>
        <v/>
      </c>
      <c r="I268" s="24" t="str">
        <f>IF(OR(E268="",E268="!!!",F268="NEW"),"",INDEX(B$2:B267,-1+SUMPRODUCT(MAX(ROW(E$2:E267)*(E268=E$2:E267)))))</f>
        <v>other</v>
      </c>
      <c r="J268" s="24">
        <f ca="1">IF(OR(E268="",E268="!!!",F268="NEW"),"",COUNTBLANK(OFFSET(A$1,,,SUMPRODUCT(MAX(ROW(E$2:E268)*(E268=E$2:E268)))))-COUNTBLANK(OFFSET(A$1,,,SUMPRODUCT(MAX(ROW(E$1:E267)*(E2=E$1:E267))))))</f>
        <v>0</v>
      </c>
      <c r="K268" s="24" t="str">
        <f ca="1">IF(OR(E268="",E268="!!!",F268="NEW"),"",INDEX(J$1:J267,SUMPRODUCT(MAX(ROW(E$1:E267)*(E268=E$1:E267)))))</f>
        <v/>
      </c>
      <c r="L268" s="25"/>
    </row>
    <row r="269" spans="1:12" x14ac:dyDescent="0.3">
      <c r="A269" t="s">
        <v>237</v>
      </c>
      <c r="B269" s="26" t="s">
        <v>157</v>
      </c>
      <c r="C269" s="26" t="s">
        <v>163</v>
      </c>
      <c r="D269" s="26" t="s">
        <v>151</v>
      </c>
      <c r="E269" s="20"/>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6"/>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t="s">
        <v>539</v>
      </c>
    </row>
    <row r="270" spans="1:12" x14ac:dyDescent="0.3">
      <c r="A270" t="s">
        <v>261</v>
      </c>
      <c r="B270" s="26" t="s">
        <v>153</v>
      </c>
      <c r="C270" s="26" t="s">
        <v>211</v>
      </c>
      <c r="D270" s="26" t="s">
        <v>151</v>
      </c>
      <c r="E270" s="20" t="s">
        <v>547</v>
      </c>
      <c r="F270" s="21" t="str">
        <f>IF(OR(E270="",E270="!!!"),"",IF(NOT(ISNA(VLOOKUP(E270,E$1:E269,1,FALSE()))),"OLD",IF(AND(E270&lt;&gt;"",E270&lt;&gt;"!!!"),"NEW","")))</f>
        <v>OLD</v>
      </c>
      <c r="G270" s="22" t="s">
        <v>592</v>
      </c>
      <c r="H270" s="23" t="str">
        <f t="shared" ca="1" si="26"/>
        <v/>
      </c>
      <c r="I270" s="24" t="str">
        <f>IF(OR(E270="",E270="!!!",F270="NEW"),"",INDEX(B$2:B269,-1+SUMPRODUCT(MAX(ROW(E$2:E269)*(E270=E$2:E269)))))</f>
        <v>other_2</v>
      </c>
      <c r="J270" s="24">
        <f ca="1">IF(OR(E270="",E270="!!!",F270="NEW"),"",COUNTBLANK(OFFSET(A$1,,,SUMPRODUCT(MAX(ROW(E$2:E270)*(E270=E$2:E270)))))-COUNTBLANK(OFFSET(A$1,,,SUMPRODUCT(MAX(ROW(E$1:E269)*(E2=E$1:E269))))))</f>
        <v>0</v>
      </c>
      <c r="K270" s="24">
        <f ca="1">IF(OR(E270="",E270="!!!",F270="NEW"),"",INDEX(J$1:J269,SUMPRODUCT(MAX(ROW(E$1:E269)*(E270=E$1:E269)))))</f>
        <v>0</v>
      </c>
      <c r="L270" s="25"/>
    </row>
    <row r="271" spans="1:12" x14ac:dyDescent="0.3">
      <c r="A271" t="s">
        <v>155</v>
      </c>
      <c r="E271" s="20" t="str">
        <f t="shared" si="27"/>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6"/>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326</v>
      </c>
      <c r="E272" s="20" t="str">
        <f t="shared" si="27"/>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6"/>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202</v>
      </c>
      <c r="E273" s="20" t="str">
        <f t="shared" si="27"/>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26"/>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82</v>
      </c>
      <c r="E274" s="20" t="str">
        <f t="shared" si="27"/>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6"/>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327</v>
      </c>
      <c r="B275" s="26" t="s">
        <v>235</v>
      </c>
      <c r="C275" s="26" t="s">
        <v>160</v>
      </c>
      <c r="E275" s="20" t="str">
        <f t="shared" si="27"/>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26"/>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175</v>
      </c>
      <c r="E276" s="20" t="str">
        <f t="shared" si="27"/>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6"/>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176</v>
      </c>
      <c r="E277" s="20" t="str">
        <f t="shared" si="27"/>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6"/>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328</v>
      </c>
      <c r="E278" s="20" t="str">
        <f t="shared" si="27"/>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6"/>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329</v>
      </c>
      <c r="B279" s="26" t="s">
        <v>153</v>
      </c>
      <c r="C279" s="26" t="s">
        <v>174</v>
      </c>
      <c r="D279" s="26" t="s">
        <v>151</v>
      </c>
      <c r="E279" s="20" t="s">
        <v>546</v>
      </c>
      <c r="F279" s="21" t="str">
        <f>IF(OR(E279="",E279="!!!"),"",IF(NOT(ISNA(VLOOKUP(E279,E$1:E278,1,FALSE()))),"OLD",IF(AND(E279&lt;&gt;"",E279&lt;&gt;"!!!"),"NEW","")))</f>
        <v>OLD</v>
      </c>
      <c r="G279" s="22" t="s">
        <v>592</v>
      </c>
      <c r="H279" s="23" t="str">
        <f t="shared" ca="1" si="26"/>
        <v/>
      </c>
      <c r="I279" s="24" t="str">
        <f>IF(OR(E279="",E279="!!!",F279="NEW"),"",INDEX(B$2:B278,-1+SUMPRODUCT(MAX(ROW(E$2:E278)*(E279=E$2:E278)))))</f>
        <v>OBJ</v>
      </c>
      <c r="J279" s="24">
        <f ca="1">IF(OR(E279="",E279="!!!",F279="NEW"),"",COUNTBLANK(OFFSET(A$1,,,SUMPRODUCT(MAX(ROW(E$2:E279)*(E279=E$2:E279)))))-COUNTBLANK(OFFSET(A$1,,,SUMPRODUCT(MAX(ROW(E$1:E278)*(E2=E$1:E278))))))</f>
        <v>0</v>
      </c>
      <c r="K279" s="24">
        <f ca="1">IF(OR(E279="",E279="!!!",F279="NEW"),"",INDEX(J$1:J278,SUMPRODUCT(MAX(ROW(E$1:E278)*(E279=E$1:E278)))))</f>
        <v>0</v>
      </c>
      <c r="L279" s="25"/>
    </row>
    <row r="280" spans="1:12" x14ac:dyDescent="0.3">
      <c r="A280" t="s">
        <v>330</v>
      </c>
      <c r="E280" s="20" t="str">
        <f t="shared" si="27"/>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26"/>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180</v>
      </c>
      <c r="E281" s="20" t="str">
        <f t="shared" si="27"/>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26"/>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186</v>
      </c>
      <c r="E282" s="20" t="str">
        <f t="shared" si="27"/>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26"/>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4" spans="1:12" x14ac:dyDescent="0.3">
      <c r="A284" t="s">
        <v>331</v>
      </c>
    </row>
    <row r="285" spans="1:12" x14ac:dyDescent="0.3">
      <c r="A285" t="s">
        <v>152</v>
      </c>
      <c r="B285" s="26" t="s">
        <v>149</v>
      </c>
      <c r="C285" s="26" t="s">
        <v>154</v>
      </c>
      <c r="D285" s="26" t="s">
        <v>151</v>
      </c>
      <c r="E285" s="20" t="s">
        <v>533</v>
      </c>
      <c r="F285" s="21" t="str">
        <f>IF(OR(E285="",E285="!!!"),"",IF(NOT(ISNA(VLOOKUP(E285,E$1:E284,1,FALSE()))),"OLD",IF(AND(E285&lt;&gt;"",E285&lt;&gt;"!!!"),"NEW","")))</f>
        <v>OLD</v>
      </c>
      <c r="G285" s="22" t="s">
        <v>592</v>
      </c>
      <c r="H285" s="23" t="str">
        <f t="shared" ref="H285:H309" ca="1" si="28">IF(J285&lt;&gt;1,"",IF(I285="SBJ","CB","?"))</f>
        <v/>
      </c>
      <c r="I285" s="24" t="str">
        <f>IF(OR(E285="",E285="!!!",F285="NEW"),"",INDEX(B$2:B284,-1+SUMPRODUCT(MAX(ROW(E$2:E284)*(E285=E$2:E284)))))</f>
        <v>SBJ_2</v>
      </c>
      <c r="J285" s="24">
        <f ca="1">IF(OR(E285="",E285="!!!",F285="NEW"),"",COUNTBLANK(OFFSET(A$1,,,SUMPRODUCT(MAX(ROW(E$2:E285)*(E285=E$2:E285)))))-COUNTBLANK(OFFSET(A$1,,,SUMPRODUCT(MAX(ROW(E$1:E284)*(E2=E$1:E284))))))</f>
        <v>0</v>
      </c>
      <c r="K285" s="24">
        <f ca="1">IF(OR(E285="",E285="!!!",F285="NEW"),"",INDEX(J$1:J284,SUMPRODUCT(MAX(ROW(E$1:E284)*(E285=E$1:E284)))))</f>
        <v>0</v>
      </c>
      <c r="L285" s="25"/>
    </row>
    <row r="286" spans="1:12" x14ac:dyDescent="0.3">
      <c r="A286" t="s">
        <v>155</v>
      </c>
      <c r="E286" s="20" t="str">
        <f t="shared" ref="E286:E309" si="29">IF(D286="?OLD","!!!","")</f>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8"/>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156</v>
      </c>
      <c r="B287" s="26" t="s">
        <v>153</v>
      </c>
      <c r="C287" s="26" t="s">
        <v>154</v>
      </c>
      <c r="D287" s="26" t="s">
        <v>151</v>
      </c>
      <c r="E287" s="20" t="s">
        <v>534</v>
      </c>
      <c r="F287" s="21" t="str">
        <f>IF(OR(E287="",E287="!!!"),"",IF(NOT(ISNA(VLOOKUP(E287,E$1:E286,1,FALSE()))),"OLD",IF(AND(E287&lt;&gt;"",E287&lt;&gt;"!!!"),"NEW","")))</f>
        <v>OLD</v>
      </c>
      <c r="G287" s="22" t="s">
        <v>592</v>
      </c>
      <c r="H287" s="23" t="str">
        <f t="shared" ca="1" si="28"/>
        <v/>
      </c>
      <c r="I287" s="24" t="str">
        <f>IF(OR(E287="",E287="!!!",F287="NEW"),"",INDEX(B$2:B286,-1+SUMPRODUCT(MAX(ROW(E$2:E286)*(E287=E$2:E286)))))</f>
        <v>other_5</v>
      </c>
      <c r="J287" s="24">
        <f ca="1">IF(OR(E287="",E287="!!!",F287="NEW"),"",COUNTBLANK(OFFSET(A$1,,,SUMPRODUCT(MAX(ROW(E$2:E287)*(E287=E$2:E287)))))-COUNTBLANK(OFFSET(A$1,,,SUMPRODUCT(MAX(ROW(E$1:E286)*(E2=E$1:E286))))))</f>
        <v>0</v>
      </c>
      <c r="K287" s="24">
        <f ca="1">IF(OR(E287="",E287="!!!",F287="NEW"),"",INDEX(J$1:J286,SUMPRODUCT(MAX(ROW(E$1:E286)*(E287=E$1:E286)))))</f>
        <v>0</v>
      </c>
      <c r="L287" s="25"/>
    </row>
    <row r="288" spans="1:12" x14ac:dyDescent="0.3">
      <c r="A288" t="s">
        <v>158</v>
      </c>
      <c r="E288" s="20" t="str">
        <f t="shared" si="29"/>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8"/>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159</v>
      </c>
      <c r="B289" s="26" t="s">
        <v>153</v>
      </c>
      <c r="C289" s="26" t="s">
        <v>160</v>
      </c>
      <c r="E289" s="20" t="s">
        <v>535</v>
      </c>
      <c r="F289" s="21" t="str">
        <f>IF(OR(E289="",E289="!!!"),"",IF(NOT(ISNA(VLOOKUP(E289,E$1:E288,1,FALSE()))),"OLD",IF(AND(E289&lt;&gt;"",E289&lt;&gt;"!!!"),"NEW","")))</f>
        <v>OLD</v>
      </c>
      <c r="G289" s="22" t="s">
        <v>592</v>
      </c>
      <c r="H289" s="23" t="str">
        <f t="shared" ca="1" si="28"/>
        <v/>
      </c>
      <c r="I289" s="24" t="str">
        <f>IF(OR(E289="",E289="!!!",F289="NEW"),"",INDEX(B$2:B288,-1+SUMPRODUCT(MAX(ROW(E$2:E288)*(E289=E$2:E288)))))</f>
        <v>other_5</v>
      </c>
      <c r="J289" s="24">
        <f ca="1">IF(OR(E289="",E289="!!!",F289="NEW"),"",COUNTBLANK(OFFSET(A$1,,,SUMPRODUCT(MAX(ROW(E$2:E289)*(E289=E$2:E289)))))-COUNTBLANK(OFFSET(A$1,,,SUMPRODUCT(MAX(ROW(E$1:E288)*(E2=E$1:E288))))))</f>
        <v>0</v>
      </c>
      <c r="K289" s="24">
        <f ca="1">IF(OR(E289="",E289="!!!",F289="NEW"),"",INDEX(J$1:J288,SUMPRODUCT(MAX(ROW(E$1:E288)*(E289=E$1:E288)))))</f>
        <v>0</v>
      </c>
      <c r="L289" s="25"/>
    </row>
    <row r="290" spans="1:12" x14ac:dyDescent="0.3">
      <c r="A290" t="s">
        <v>332</v>
      </c>
      <c r="E290" s="20" t="str">
        <f t="shared" si="29"/>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28"/>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333</v>
      </c>
      <c r="B291" s="26" t="s">
        <v>173</v>
      </c>
      <c r="C291" s="26" t="s">
        <v>194</v>
      </c>
      <c r="E291" s="20" t="str">
        <f t="shared" si="29"/>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8"/>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265</v>
      </c>
      <c r="E292" s="20" t="str">
        <f t="shared" si="29"/>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8"/>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334</v>
      </c>
      <c r="E293" s="20" t="str">
        <f t="shared" si="29"/>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8"/>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335</v>
      </c>
      <c r="B294" s="26" t="s">
        <v>166</v>
      </c>
      <c r="C294" s="26" t="s">
        <v>236</v>
      </c>
      <c r="D294" s="26" t="s">
        <v>151</v>
      </c>
      <c r="E294" s="20"/>
      <c r="F294" s="21" t="s">
        <v>549</v>
      </c>
      <c r="G294" s="22" t="str">
        <f>IF(OR(E294="",E294="!!!"),"",IF(OR(J294=0,AND(J294=1,K294=1),AND(J294=1,I294="SBJ"),AND(J294=1,I294=0)),"?IN_FOCUS",IF(J294&lt;=2,"?ACTIVATED",IF(J294&lt;&gt;"","?FAMILIAR",IF(F294="NEW",IF(ISNA(VLOOKUP(E294,#REF!,1,FALSE())),"?TYPE_IDENTIFIABLE","?REFERENTIAL"),"_")))))</f>
        <v/>
      </c>
      <c r="H294" s="23" t="str">
        <f t="shared" ca="1" si="28"/>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301</v>
      </c>
      <c r="E295" s="20" t="str">
        <f t="shared" si="29"/>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8"/>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238</v>
      </c>
      <c r="B296" s="26" t="s">
        <v>153</v>
      </c>
      <c r="C296" s="26" t="s">
        <v>154</v>
      </c>
      <c r="D296" s="26" t="s">
        <v>151</v>
      </c>
      <c r="E296" s="20" t="s">
        <v>544</v>
      </c>
      <c r="F296" s="21" t="str">
        <f>IF(OR(E296="",E296="!!!"),"",IF(NOT(ISNA(VLOOKUP(E296,E$1:E295,1,FALSE()))),"OLD",IF(AND(E296&lt;&gt;"",E296&lt;&gt;"!!!"),"NEW","")))</f>
        <v>OLD</v>
      </c>
      <c r="G296" s="22" t="s">
        <v>594</v>
      </c>
      <c r="H296" s="23" t="str">
        <f t="shared" ca="1" si="28"/>
        <v/>
      </c>
      <c r="I296" s="24" t="str">
        <f>IF(OR(E296="",E296="!!!",F296="NEW"),"",INDEX(B$2:B295,-1+SUMPRODUCT(MAX(ROW(E$2:E295)*(E296=E$2:E295)))))</f>
        <v>SBJ</v>
      </c>
      <c r="J296" s="24">
        <f ca="1">IF(OR(E296="",E296="!!!",F296="NEW"),"",COUNTBLANK(OFFSET(A$1,,,SUMPRODUCT(MAX(ROW(E$2:E296)*(E296=E$2:E296)))))-COUNTBLANK(OFFSET(A$1,,,SUMPRODUCT(MAX(ROW(E$1:E295)*(E2=E$1:E295))))))</f>
        <v>0</v>
      </c>
      <c r="K296" s="24">
        <f ca="1">IF(OR(E296="",E296="!!!",F296="NEW"),"",INDEX(J$1:J295,SUMPRODUCT(MAX(ROW(E$1:E295)*(E296=E$1:E295)))))</f>
        <v>0</v>
      </c>
      <c r="L296" s="25"/>
    </row>
    <row r="297" spans="1:12" x14ac:dyDescent="0.3">
      <c r="A297" t="s">
        <v>158</v>
      </c>
      <c r="E297" s="20" t="str">
        <f t="shared" si="29"/>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8"/>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241</v>
      </c>
      <c r="B298" s="26" t="s">
        <v>157</v>
      </c>
      <c r="C298" s="26" t="s">
        <v>154</v>
      </c>
      <c r="D298" s="26" t="s">
        <v>151</v>
      </c>
      <c r="E298" s="20" t="s">
        <v>545</v>
      </c>
      <c r="F298" s="21" t="str">
        <f>IF(OR(E298="",E298="!!!"),"",IF(NOT(ISNA(VLOOKUP(E298,E$1:E297,1,FALSE()))),"OLD",IF(AND(E298&lt;&gt;"",E298&lt;&gt;"!!!"),"NEW","")))</f>
        <v>OLD</v>
      </c>
      <c r="G298" s="22" t="s">
        <v>592</v>
      </c>
      <c r="H298" s="23" t="str">
        <f t="shared" ca="1" si="28"/>
        <v/>
      </c>
      <c r="I298" s="24" t="str">
        <f>IF(OR(E298="",E298="!!!",F298="NEW"),"",INDEX(B$2:B297,-1+SUMPRODUCT(MAX(ROW(E$2:E297)*(E298=E$2:E297)))))</f>
        <v>other_2</v>
      </c>
      <c r="J298" s="24">
        <f ca="1">IF(OR(E298="",E298="!!!",F298="NEW"),"",COUNTBLANK(OFFSET(A$1,,,SUMPRODUCT(MAX(ROW(E$2:E298)*(E298=E$2:E298)))))-COUNTBLANK(OFFSET(A$1,,,SUMPRODUCT(MAX(ROW(E$1:E297)*(E2=E$1:E297))))))</f>
        <v>0</v>
      </c>
      <c r="K298" s="24" t="str">
        <f ca="1">IF(OR(E298="",E298="!!!",F298="NEW"),"",INDEX(J$1:J297,SUMPRODUCT(MAX(ROW(E$1:E297)*(E298=E$1:E297)))))</f>
        <v/>
      </c>
      <c r="L298" s="25"/>
    </row>
    <row r="299" spans="1:12" x14ac:dyDescent="0.3">
      <c r="A299" t="s">
        <v>336</v>
      </c>
      <c r="E299" s="20" t="str">
        <f t="shared" si="29"/>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8"/>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155</v>
      </c>
      <c r="E300" s="20" t="str">
        <f t="shared" si="29"/>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8"/>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337</v>
      </c>
      <c r="E301" s="20" t="str">
        <f t="shared" si="29"/>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8"/>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338</v>
      </c>
      <c r="B302" s="26" t="s">
        <v>339</v>
      </c>
      <c r="C302" s="26" t="s">
        <v>168</v>
      </c>
      <c r="D302" s="26" t="s">
        <v>151</v>
      </c>
      <c r="E302" s="20"/>
      <c r="F302" s="21" t="s">
        <v>551</v>
      </c>
      <c r="G302" s="22" t="str">
        <f>IF(OR(E302="",E302="!!!"),"",IF(OR(J302=0,AND(J302=1,K302=1),AND(J302=1,I302="SBJ"),AND(J302=1,I302=0)),"?IN_FOCUS",IF(J302&lt;=2,"?ACTIVATED",IF(J302&lt;&gt;"","?FAMILIAR",IF(F302="NEW",IF(ISNA(VLOOKUP(E302,#REF!,1,FALSE())),"?TYPE_IDENTIFIABLE","?REFERENTIAL"),"_")))))</f>
        <v/>
      </c>
      <c r="H302" s="23" t="str">
        <f t="shared" ca="1" si="28"/>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175</v>
      </c>
      <c r="E303" s="20" t="str">
        <f t="shared" si="29"/>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28"/>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179</v>
      </c>
      <c r="E304" s="20" t="str">
        <f t="shared" si="29"/>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8"/>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340</v>
      </c>
      <c r="E305" s="20" t="str">
        <f t="shared" si="29"/>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8"/>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341</v>
      </c>
      <c r="B306" s="26" t="s">
        <v>153</v>
      </c>
      <c r="C306" s="26" t="s">
        <v>174</v>
      </c>
      <c r="D306" s="26" t="s">
        <v>151</v>
      </c>
      <c r="E306" s="20" t="s">
        <v>538</v>
      </c>
      <c r="F306" s="21" t="str">
        <f>IF(OR(E306="",E306="!!!"),"",IF(NOT(ISNA(VLOOKUP(E306,E$1:E305,1,FALSE()))),"OLD",IF(AND(E306&lt;&gt;"",E306&lt;&gt;"!!!"),"NEW","")))</f>
        <v>OLD</v>
      </c>
      <c r="G306" s="22" t="s">
        <v>592</v>
      </c>
      <c r="H306" s="23" t="str">
        <f t="shared" ca="1" si="28"/>
        <v/>
      </c>
      <c r="I306" s="24" t="str">
        <f>IF(OR(E306="",E306="!!!",F306="NEW"),"",INDEX(B$2:B305,-1+SUMPRODUCT(MAX(ROW(E$2:E305)*(E306=E$2:E305)))))</f>
        <v>SBJ</v>
      </c>
      <c r="J306" s="24">
        <f ca="1">IF(OR(E306="",E306="!!!",F306="NEW"),"",COUNTBLANK(OFFSET(A$1,,,SUMPRODUCT(MAX(ROW(E$2:E306)*(E306=E$2:E306)))))-COUNTBLANK(OFFSET(A$1,,,SUMPRODUCT(MAX(ROW(E$1:E305)*(E2=E$1:E305))))))</f>
        <v>0</v>
      </c>
      <c r="K306" s="24">
        <f ca="1">IF(OR(E306="",E306="!!!",F306="NEW"),"",INDEX(J$1:J305,SUMPRODUCT(MAX(ROW(E$1:E305)*(E306=E$1:E305)))))</f>
        <v>0</v>
      </c>
      <c r="L306" s="25"/>
    </row>
    <row r="307" spans="1:12" x14ac:dyDescent="0.3">
      <c r="A307" t="s">
        <v>299</v>
      </c>
      <c r="E307" s="20" t="str">
        <f t="shared" si="29"/>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8"/>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342</v>
      </c>
      <c r="E308" s="20" t="str">
        <f t="shared" si="29"/>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8"/>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186</v>
      </c>
      <c r="E309" s="20" t="str">
        <f t="shared" si="29"/>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8"/>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1" spans="1:12" x14ac:dyDescent="0.3">
      <c r="A311" t="s">
        <v>204</v>
      </c>
      <c r="E311" s="20" t="str">
        <f>IF(D311="?OLD","!!!","")</f>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ca="1">IF(J311&lt;&gt;1,"",IF(I311="SBJ","CB","?"))</f>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343</v>
      </c>
    </row>
    <row r="313" spans="1:12" x14ac:dyDescent="0.3">
      <c r="A313" t="s">
        <v>344</v>
      </c>
      <c r="B313" s="26" t="s">
        <v>149</v>
      </c>
      <c r="C313" s="26" t="s">
        <v>168</v>
      </c>
      <c r="D313" s="26" t="s">
        <v>151</v>
      </c>
      <c r="E313" s="20" t="s">
        <v>538</v>
      </c>
      <c r="F313" s="21" t="str">
        <f>IF(OR(E313="",E313="!!!"),"",IF(NOT(ISNA(VLOOKUP(E313,E$1:E312,1,FALSE()))),"OLD",IF(AND(E313&lt;&gt;"",E313&lt;&gt;"!!!"),"NEW","")))</f>
        <v>OLD</v>
      </c>
      <c r="G313" s="22" t="s">
        <v>593</v>
      </c>
      <c r="H313" s="23" t="s">
        <v>142</v>
      </c>
      <c r="I313" s="24" t="str">
        <f>IF(OR(E313="",E313="!!!",F313="NEW"),"",INDEX(B$2:B312,-1+SUMPRODUCT(MAX(ROW(E$2:E312)*(E313=E$2:E312)))))</f>
        <v>other_2</v>
      </c>
      <c r="J313" s="24">
        <f ca="1">IF(OR(E313="",E313="!!!",F313="NEW"),"",COUNTBLANK(OFFSET(A$1,,,SUMPRODUCT(MAX(ROW(E$2:E313)*(E313=E$2:E313)))))-COUNTBLANK(OFFSET(A$1,,,SUMPRODUCT(MAX(ROW(E$1:E312)*(E2=E$1:E312))))))</f>
        <v>0</v>
      </c>
      <c r="K313" s="24">
        <f ca="1">IF(OR(E313="",E313="!!!",F313="NEW"),"",INDEX(J$1:J312,SUMPRODUCT(MAX(ROW(E$1:E312)*(E313=E$1:E312)))))</f>
        <v>0</v>
      </c>
      <c r="L313" s="25"/>
    </row>
    <row r="314" spans="1:12" x14ac:dyDescent="0.3">
      <c r="A314" t="s">
        <v>345</v>
      </c>
      <c r="E314" s="20" t="str">
        <f t="shared" ref="E314:E333" si="30">IF(D314="?OLD","!!!","")</f>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ref="H313:H333" ca="1" si="31">IF(J314&lt;&gt;1,"",IF(I314="SBJ","CB","?"))</f>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197</v>
      </c>
      <c r="E315" s="20" t="str">
        <f t="shared" si="30"/>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31"/>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219</v>
      </c>
      <c r="E316" s="20" t="str">
        <f t="shared" si="30"/>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31"/>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346</v>
      </c>
      <c r="E317" s="20" t="str">
        <f t="shared" si="30"/>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31"/>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347</v>
      </c>
      <c r="B318" s="26" t="s">
        <v>173</v>
      </c>
      <c r="C318" s="26" t="s">
        <v>174</v>
      </c>
      <c r="D318" s="26" t="s">
        <v>151</v>
      </c>
      <c r="E318" s="20"/>
      <c r="F318" s="21" t="s">
        <v>540</v>
      </c>
      <c r="G318" s="22" t="str">
        <f>IF(OR(E318="",E318="!!!"),"",IF(OR(J318=0,AND(J318=1,K318=1),AND(J318=1,I318="SBJ"),AND(J318=1,I318=0)),"?IN_FOCUS",IF(J318&lt;=2,"?ACTIVATED",IF(J318&lt;&gt;"","?FAMILIAR",IF(F318="NEW",IF(ISNA(VLOOKUP(E318,#REF!,1,FALSE())),"?TYPE_IDENTIFIABLE","?REFERENTIAL"),"_")))))</f>
        <v/>
      </c>
      <c r="H318" s="23" t="str">
        <f t="shared" ca="1" si="31"/>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219</v>
      </c>
      <c r="E319" s="20" t="str">
        <f t="shared" si="30"/>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31"/>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155</v>
      </c>
      <c r="E320" s="20" t="str">
        <f t="shared" si="30"/>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31"/>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348</v>
      </c>
      <c r="E321" s="20" t="str">
        <f t="shared" si="30"/>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31"/>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197</v>
      </c>
      <c r="E322" s="20" t="str">
        <f t="shared" si="30"/>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31"/>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349</v>
      </c>
      <c r="E323" s="20" t="str">
        <f t="shared" si="30"/>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31"/>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350</v>
      </c>
      <c r="B324" s="26" t="s">
        <v>235</v>
      </c>
      <c r="C324" s="26" t="s">
        <v>174</v>
      </c>
      <c r="D324" s="26" t="s">
        <v>151</v>
      </c>
      <c r="E324" s="20" t="s">
        <v>571</v>
      </c>
      <c r="F324" s="21" t="s">
        <v>572</v>
      </c>
      <c r="G324" s="22" t="s">
        <v>595</v>
      </c>
      <c r="H324" s="23" t="str">
        <f t="shared" ca="1" si="31"/>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351</v>
      </c>
      <c r="E325" s="20" t="str">
        <f t="shared" si="30"/>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31"/>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267</v>
      </c>
      <c r="E326" s="20" t="str">
        <f t="shared" si="30"/>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31"/>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214</v>
      </c>
      <c r="B327" s="26" t="s">
        <v>339</v>
      </c>
      <c r="C327" s="26" t="s">
        <v>215</v>
      </c>
      <c r="E327" s="20" t="str">
        <f t="shared" si="30"/>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31"/>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175</v>
      </c>
      <c r="E328" s="20" t="str">
        <f t="shared" si="30"/>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31"/>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171</v>
      </c>
      <c r="E329" s="20" t="str">
        <f t="shared" si="30"/>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31"/>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210</v>
      </c>
      <c r="B330" s="26" t="s">
        <v>157</v>
      </c>
      <c r="C330" s="26" t="s">
        <v>174</v>
      </c>
      <c r="D330" s="26" t="s">
        <v>151</v>
      </c>
      <c r="E330" s="20" t="s">
        <v>571</v>
      </c>
      <c r="F330" s="21" t="str">
        <f>IF(OR(E330="",E330="!!!"),"",IF(NOT(ISNA(VLOOKUP(E330,E$1:E329,1,FALSE()))),"OLD",IF(AND(E330&lt;&gt;"",E330&lt;&gt;"!!!"),"NEW","")))</f>
        <v>OLD</v>
      </c>
      <c r="G330" s="22" t="s">
        <v>593</v>
      </c>
      <c r="H330" s="23" t="str">
        <f t="shared" ca="1" si="31"/>
        <v/>
      </c>
      <c r="I330" s="24" t="str">
        <f>IF(OR(E330="",E330="!!!",F330="NEW"),"",INDEX(B$2:B329,-1+SUMPRODUCT(MAX(ROW(E$2:E329)*(E330=E$2:E329)))))</f>
        <v>SBJ_2</v>
      </c>
      <c r="J330" s="24">
        <f ca="1">IF(OR(E330="",E330="!!!",F330="NEW"),"",COUNTBLANK(OFFSET(A$1,,,SUMPRODUCT(MAX(ROW(E$2:E330)*(E330=E$2:E330)))))-COUNTBLANK(OFFSET(A$1,,,SUMPRODUCT(MAX(ROW(E$1:E329)*(E2=E$1:E329))))))</f>
        <v>0</v>
      </c>
      <c r="K330" s="24" t="str">
        <f ca="1">IF(OR(E330="",E330="!!!",F330="NEW"),"",INDEX(J$1:J329,SUMPRODUCT(MAX(ROW(E$1:E329)*(E330=E$1:E329)))))</f>
        <v/>
      </c>
      <c r="L330" s="25"/>
    </row>
    <row r="331" spans="1:12" x14ac:dyDescent="0.3">
      <c r="A331" t="s">
        <v>27</v>
      </c>
      <c r="E331" s="20" t="str">
        <f t="shared" si="30"/>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31"/>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352</v>
      </c>
      <c r="E332" s="20" t="str">
        <f t="shared" si="30"/>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31"/>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186</v>
      </c>
      <c r="E333" s="20" t="str">
        <f t="shared" si="30"/>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31"/>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5" spans="1:12" x14ac:dyDescent="0.3">
      <c r="A335" t="s">
        <v>353</v>
      </c>
    </row>
    <row r="336" spans="1:12" x14ac:dyDescent="0.3">
      <c r="A336" t="s">
        <v>354</v>
      </c>
      <c r="E336" s="20" t="str">
        <f t="shared" ref="E336:E347" si="32">IF(D336="?OLD","!!!","")</f>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ref="H336:H347" ca="1" si="33">IF(J336&lt;&gt;1,"",IF(I336="SBJ","CB","?"))</f>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164</v>
      </c>
      <c r="E337" s="20" t="str">
        <f t="shared" si="32"/>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33"/>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179</v>
      </c>
      <c r="B338" s="26" t="s">
        <v>149</v>
      </c>
      <c r="C338" s="26" t="s">
        <v>163</v>
      </c>
      <c r="D338" s="26" t="s">
        <v>151</v>
      </c>
      <c r="E338" s="20" t="s">
        <v>574</v>
      </c>
      <c r="F338" s="21" t="s">
        <v>572</v>
      </c>
      <c r="G338" s="22" t="s">
        <v>595</v>
      </c>
      <c r="H338" s="23" t="str">
        <f t="shared" ca="1" si="33"/>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179</v>
      </c>
      <c r="E339" s="20" t="str">
        <f t="shared" si="32"/>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33"/>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355</v>
      </c>
      <c r="E340" s="20" t="str">
        <f t="shared" si="32"/>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33"/>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279</v>
      </c>
      <c r="B341" s="26" t="s">
        <v>173</v>
      </c>
      <c r="C341" s="26" t="s">
        <v>174</v>
      </c>
      <c r="D341" s="26" t="s">
        <v>151</v>
      </c>
      <c r="E341" s="20"/>
      <c r="F341" s="21" t="s">
        <v>540</v>
      </c>
      <c r="G341" s="22" t="str">
        <f>IF(OR(E341="",E341="!!!"),"",IF(OR(J341=0,AND(J341=1,K341=1),AND(J341=1,I341="SBJ"),AND(J341=1,I341=0)),"?IN_FOCUS",IF(J341&lt;=2,"?ACTIVATED",IF(J341&lt;&gt;"","?FAMILIAR",IF(F341="NEW",IF(ISNA(VLOOKUP(E341,#REF!,1,FALSE())),"?TYPE_IDENTIFIABLE","?REFERENTIAL"),"_")))))</f>
        <v/>
      </c>
      <c r="H341" s="23" t="str">
        <f t="shared" ca="1" si="33"/>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356</v>
      </c>
      <c r="E342" s="20" t="str">
        <f t="shared" si="32"/>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33"/>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357</v>
      </c>
      <c r="B343" s="26" t="s">
        <v>173</v>
      </c>
      <c r="C343" s="26" t="s">
        <v>154</v>
      </c>
      <c r="D343" s="26" t="s">
        <v>151</v>
      </c>
      <c r="E343" s="20" t="s">
        <v>552</v>
      </c>
      <c r="F343" s="21" t="str">
        <f>IF(OR(E343="",E343="!!!"),"",IF(NOT(ISNA(VLOOKUP(E343,E$1:E342,1,FALSE()))),"OLD",IF(AND(E343&lt;&gt;"",E343&lt;&gt;"!!!"),"NEW","")))</f>
        <v>NEW</v>
      </c>
      <c r="G343" s="22" t="s">
        <v>595</v>
      </c>
      <c r="H343" s="23" t="str">
        <f t="shared" ca="1" si="33"/>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358</v>
      </c>
      <c r="E344" s="20" t="str">
        <f t="shared" si="32"/>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33"/>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182</v>
      </c>
      <c r="E345" s="20" t="str">
        <f t="shared" si="32"/>
        <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33"/>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359</v>
      </c>
      <c r="B346" s="26" t="s">
        <v>173</v>
      </c>
      <c r="C346" s="26" t="s">
        <v>160</v>
      </c>
      <c r="E346" s="20" t="str">
        <f t="shared" si="32"/>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33"/>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186</v>
      </c>
      <c r="E347" s="20" t="str">
        <f t="shared" si="32"/>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33"/>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9" spans="1:12" x14ac:dyDescent="0.3">
      <c r="A349" t="s">
        <v>360</v>
      </c>
    </row>
    <row r="350" spans="1:12" x14ac:dyDescent="0.3">
      <c r="A350" t="s">
        <v>361</v>
      </c>
      <c r="E350" s="20" t="str">
        <f t="shared" ref="E350:E381" si="34">IF(D350="?OLD","!!!","")</f>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ref="H350:H381" ca="1" si="35">IF(J350&lt;&gt;1,"",IF(I350="SBJ","CB","?"))</f>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197</v>
      </c>
      <c r="E351" s="20" t="str">
        <f t="shared" si="34"/>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35"/>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362</v>
      </c>
      <c r="B352" s="26" t="s">
        <v>149</v>
      </c>
      <c r="C352" s="26" t="s">
        <v>174</v>
      </c>
      <c r="D352" s="26" t="s">
        <v>151</v>
      </c>
      <c r="E352" s="20"/>
      <c r="F352" s="21" t="s">
        <v>549</v>
      </c>
      <c r="G352" s="22" t="str">
        <f>IF(OR(E352="",E352="!!!"),"",IF(OR(J352=0,AND(J352=1,K352=1),AND(J352=1,I352="SBJ"),AND(J352=1,I352=0)),"?IN_FOCUS",IF(J352&lt;=2,"?ACTIVATED",IF(J352&lt;&gt;"","?FAMILIAR",IF(F352="NEW",IF(ISNA(VLOOKUP(E352,#REF!,1,FALSE())),"?TYPE_IDENTIFIABLE","?REFERENTIAL"),"_")))))</f>
        <v/>
      </c>
      <c r="H352" s="23" t="str">
        <f t="shared" ca="1" si="35"/>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363</v>
      </c>
      <c r="E353" s="20" t="str">
        <f t="shared" si="34"/>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35"/>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202</v>
      </c>
      <c r="E354" s="20" t="str">
        <f t="shared" si="34"/>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35"/>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180</v>
      </c>
      <c r="E355" s="20" t="str">
        <f t="shared" si="34"/>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35"/>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155</v>
      </c>
      <c r="E356" s="20" t="str">
        <f t="shared" si="34"/>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35"/>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364</v>
      </c>
      <c r="E357" s="20" t="str">
        <f t="shared" si="34"/>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35"/>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177</v>
      </c>
      <c r="B358" s="26" t="s">
        <v>235</v>
      </c>
      <c r="C358" s="26" t="s">
        <v>160</v>
      </c>
      <c r="E358" s="20" t="s">
        <v>547</v>
      </c>
      <c r="F358" s="21" t="str">
        <f>IF(OR(E358="",E358="!!!"),"",IF(NOT(ISNA(VLOOKUP(E358,E$1:E357,1,FALSE()))),"OLD",IF(AND(E358&lt;&gt;"",E358&lt;&gt;"!!!"),"NEW","")))</f>
        <v>OLD</v>
      </c>
      <c r="G358" s="22" t="s">
        <v>592</v>
      </c>
      <c r="H358" s="23" t="str">
        <f t="shared" ca="1" si="35"/>
        <v/>
      </c>
      <c r="I358" s="24" t="str">
        <f>IF(OR(E358="",E358="!!!",F358="NEW"),"",INDEX(B$2:B357,-1+SUMPRODUCT(MAX(ROW(E$2:E357)*(E358=E$2:E357)))))</f>
        <v>other_2</v>
      </c>
      <c r="J358" s="24">
        <f ca="1">IF(OR(E358="",E358="!!!",F358="NEW"),"",COUNTBLANK(OFFSET(A$1,,,SUMPRODUCT(MAX(ROW(E$2:E358)*(E358=E$2:E358)))))-COUNTBLANK(OFFSET(A$1,,,SUMPRODUCT(MAX(ROW(E$1:E357)*(E2=E$1:E357))))))</f>
        <v>0</v>
      </c>
      <c r="K358" s="24">
        <f ca="1">IF(OR(E358="",E358="!!!",F358="NEW"),"",INDEX(J$1:J357,SUMPRODUCT(MAX(ROW(E$1:E357)*(E358=E$1:E357)))))</f>
        <v>0</v>
      </c>
      <c r="L358" s="25"/>
    </row>
    <row r="359" spans="1:12" x14ac:dyDescent="0.3">
      <c r="A359" t="s">
        <v>336</v>
      </c>
      <c r="E359" s="20" t="str">
        <f t="shared" si="34"/>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35"/>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365</v>
      </c>
      <c r="E360" s="20" t="str">
        <f t="shared" si="34"/>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35"/>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366</v>
      </c>
      <c r="B361" s="26" t="s">
        <v>173</v>
      </c>
      <c r="C361" s="26" t="s">
        <v>185</v>
      </c>
      <c r="E361" s="20" t="str">
        <f t="shared" si="34"/>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35"/>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164</v>
      </c>
      <c r="E362" s="20" t="str">
        <f t="shared" si="34"/>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35"/>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158</v>
      </c>
      <c r="E363" s="20" t="str">
        <f t="shared" si="34"/>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35"/>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367</v>
      </c>
      <c r="B364" s="26" t="s">
        <v>153</v>
      </c>
      <c r="C364" s="26" t="s">
        <v>160</v>
      </c>
      <c r="E364" s="20" t="str">
        <f t="shared" si="34"/>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35"/>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175</v>
      </c>
      <c r="E365" s="20" t="str">
        <f t="shared" si="34"/>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35"/>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368</v>
      </c>
      <c r="E366" s="20" t="str">
        <f t="shared" si="34"/>
        <v/>
      </c>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35"/>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row>
    <row r="367" spans="1:12" x14ac:dyDescent="0.3">
      <c r="A367" t="s">
        <v>369</v>
      </c>
      <c r="B367" s="26" t="s">
        <v>226</v>
      </c>
      <c r="C367" s="26" t="s">
        <v>160</v>
      </c>
      <c r="E367" s="20" t="str">
        <f t="shared" si="34"/>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35"/>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175</v>
      </c>
      <c r="E368" s="20" t="str">
        <f t="shared" si="34"/>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35"/>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370</v>
      </c>
      <c r="E369" s="20" t="str">
        <f t="shared" si="34"/>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35"/>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371</v>
      </c>
      <c r="B370" s="26" t="s">
        <v>157</v>
      </c>
      <c r="C370" s="26" t="s">
        <v>160</v>
      </c>
      <c r="E370" s="20" t="s">
        <v>579</v>
      </c>
      <c r="F370" s="21" t="str">
        <f>IF(OR(E370="",E370="!!!"),"",IF(NOT(ISNA(VLOOKUP(E370,E$1:E369,1,FALSE()))),"OLD",IF(AND(E370&lt;&gt;"",E370&lt;&gt;"!!!"),"NEW","")))</f>
        <v>NEW</v>
      </c>
      <c r="G370" s="22" t="s">
        <v>595</v>
      </c>
      <c r="H370" s="23" t="str">
        <f t="shared" ca="1" si="35"/>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t="s">
        <v>564</v>
      </c>
    </row>
    <row r="371" spans="1:12" x14ac:dyDescent="0.3">
      <c r="A371" t="s">
        <v>155</v>
      </c>
      <c r="E371" s="20" t="str">
        <f t="shared" si="34"/>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35"/>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197</v>
      </c>
      <c r="B372" s="26" t="s">
        <v>372</v>
      </c>
      <c r="E372" s="20" t="str">
        <f t="shared" si="34"/>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35"/>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373</v>
      </c>
      <c r="E373" s="20" t="str">
        <f t="shared" si="34"/>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35"/>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374</v>
      </c>
      <c r="B374" s="26" t="s">
        <v>229</v>
      </c>
      <c r="C374" s="26" t="s">
        <v>160</v>
      </c>
      <c r="E374" s="20" t="str">
        <f t="shared" si="34"/>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35"/>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375</v>
      </c>
      <c r="E375" s="20" t="str">
        <f t="shared" si="34"/>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35"/>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376</v>
      </c>
      <c r="E376" s="20" t="str">
        <f t="shared" si="34"/>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5"/>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155</v>
      </c>
      <c r="E377" s="20" t="str">
        <f t="shared" si="34"/>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35"/>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197</v>
      </c>
      <c r="B378" s="26" t="s">
        <v>377</v>
      </c>
      <c r="E378" s="20" t="str">
        <f t="shared" si="34"/>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5"/>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222</v>
      </c>
      <c r="E379" s="20" t="str">
        <f t="shared" si="34"/>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35"/>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197</v>
      </c>
      <c r="E380" s="20" t="str">
        <f t="shared" si="34"/>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35"/>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378</v>
      </c>
      <c r="B381" s="26" t="s">
        <v>379</v>
      </c>
      <c r="C381" s="26" t="s">
        <v>174</v>
      </c>
      <c r="D381" s="26" t="s">
        <v>151</v>
      </c>
      <c r="E381" s="20" t="s">
        <v>575</v>
      </c>
      <c r="F381" s="21" t="str">
        <f>IF(OR(E381="",E381="!!!"),"",IF(NOT(ISNA(VLOOKUP(E381,E$1:E380,1,FALSE()))),"OLD",IF(AND(E381&lt;&gt;"",E381&lt;&gt;"!!!"),"NEW","")))</f>
        <v>NEW</v>
      </c>
      <c r="G381" s="22" t="s">
        <v>595</v>
      </c>
      <c r="H381" s="23" t="str">
        <f t="shared" ca="1" si="35"/>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12</v>
      </c>
      <c r="E382" s="20" t="str">
        <f t="shared" ref="E382:E407" si="36">IF(D382="?OLD","!!!","")</f>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ref="H382:H407" ca="1" si="37">IF(J382&lt;&gt;1,"",IF(I382="SBJ","CB","?"))</f>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155</v>
      </c>
      <c r="E383" s="20" t="str">
        <f t="shared" si="36"/>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7"/>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380</v>
      </c>
      <c r="B384" s="26" t="s">
        <v>381</v>
      </c>
      <c r="C384" s="26" t="s">
        <v>160</v>
      </c>
      <c r="E384" s="20" t="str">
        <f t="shared" si="36"/>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37"/>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12</v>
      </c>
      <c r="E385" s="20" t="str">
        <f t="shared" si="36"/>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7"/>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155</v>
      </c>
      <c r="E386" s="20" t="str">
        <f t="shared" si="36"/>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37"/>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382</v>
      </c>
      <c r="B387" s="26" t="s">
        <v>381</v>
      </c>
      <c r="C387" s="26" t="s">
        <v>160</v>
      </c>
      <c r="E387" s="20" t="str">
        <f t="shared" si="36"/>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37"/>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12</v>
      </c>
      <c r="E388" s="20" t="str">
        <f t="shared" si="36"/>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37"/>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383</v>
      </c>
      <c r="B389" s="26" t="s">
        <v>381</v>
      </c>
      <c r="C389" s="26" t="s">
        <v>160</v>
      </c>
      <c r="E389" s="20" t="str">
        <f t="shared" si="36"/>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37"/>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12</v>
      </c>
      <c r="E390" s="20" t="str">
        <f t="shared" si="36"/>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7"/>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155</v>
      </c>
      <c r="E391" s="20" t="str">
        <f t="shared" si="36"/>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7"/>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384</v>
      </c>
      <c r="B392" s="26" t="s">
        <v>381</v>
      </c>
      <c r="C392" s="26" t="s">
        <v>160</v>
      </c>
      <c r="E392" s="20" t="str">
        <f t="shared" si="36"/>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7"/>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12</v>
      </c>
      <c r="E393" s="20" t="str">
        <f t="shared" si="36"/>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37"/>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158</v>
      </c>
      <c r="E394" s="20" t="str">
        <f t="shared" si="36"/>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37"/>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385</v>
      </c>
      <c r="B395" s="26" t="s">
        <v>381</v>
      </c>
      <c r="C395" s="26" t="s">
        <v>160</v>
      </c>
      <c r="E395" s="20" t="str">
        <f t="shared" si="36"/>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37"/>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386</v>
      </c>
      <c r="E396" s="20" t="str">
        <f t="shared" si="36"/>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37"/>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222</v>
      </c>
      <c r="E397" s="20" t="str">
        <f t="shared" si="36"/>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7"/>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197</v>
      </c>
      <c r="E398" s="20" t="str">
        <f t="shared" si="36"/>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37"/>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387</v>
      </c>
      <c r="B399" s="26" t="s">
        <v>381</v>
      </c>
      <c r="C399" s="26" t="s">
        <v>174</v>
      </c>
      <c r="D399" s="26" t="s">
        <v>151</v>
      </c>
      <c r="E399" s="20" t="s">
        <v>576</v>
      </c>
      <c r="F399" s="21" t="s">
        <v>537</v>
      </c>
      <c r="G399" s="22" t="s">
        <v>595</v>
      </c>
      <c r="H399" s="23" t="str">
        <f t="shared" ca="1" si="37"/>
        <v/>
      </c>
      <c r="I399" s="24" t="e">
        <f>IF(OR(E399="",E399="!!!",F399="NEW"),"",INDEX(B$2:B398,-1+SUMPRODUCT(MAX(ROW(E$2:E398)*(E399=E$2:E398)))))</f>
        <v>#VALUE!</v>
      </c>
      <c r="J399" s="24">
        <f ca="1">IF(OR(E399="",E399="!!!",F399="NEW"),"",COUNTBLANK(OFFSET(A$1,,,SUMPRODUCT(MAX(ROW(E$2:E399)*(E399=E$2:E399)))))-COUNTBLANK(OFFSET(A$1,,,SUMPRODUCT(MAX(ROW(E$1:E398)*(E2=E$1:E398))))))</f>
        <v>0</v>
      </c>
      <c r="K399" s="24" t="e">
        <f>IF(OR(E399="",E399="!!!",F399="NEW"),"",INDEX(J$1:J398,SUMPRODUCT(MAX(ROW(E$1:E398)*(E399=E$1:E398)))))</f>
        <v>#VALUE!</v>
      </c>
      <c r="L399" s="25" t="s">
        <v>548</v>
      </c>
    </row>
    <row r="400" spans="1:12" x14ac:dyDescent="0.3">
      <c r="A400" t="s">
        <v>158</v>
      </c>
      <c r="E400" s="20" t="str">
        <f t="shared" si="36"/>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37"/>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388</v>
      </c>
      <c r="E401" s="20" t="s">
        <v>576</v>
      </c>
      <c r="F401" s="21" t="str">
        <f>IF(OR(E401="",E401="!!!"),"",IF(NOT(ISNA(VLOOKUP(E401,E$1:E400,1,FALSE()))),"OLD",IF(AND(E401&lt;&gt;"",E401&lt;&gt;"!!!"),"NEW","")))</f>
        <v>OLD</v>
      </c>
      <c r="G401" s="22" t="s">
        <v>593</v>
      </c>
      <c r="H401" s="23" t="str">
        <f t="shared" ca="1" si="37"/>
        <v/>
      </c>
      <c r="I401" s="24" t="str">
        <f>IF(OR(E401="",E401="!!!",F401="NEW"),"",INDEX(B$2:B400,-1+SUMPRODUCT(MAX(ROW(E$2:E400)*(E401=E$2:E400)))))</f>
        <v>other_7</v>
      </c>
      <c r="J401" s="24">
        <f ca="1">IF(OR(E401="",E401="!!!",F401="NEW"),"",COUNTBLANK(OFFSET(A$1,,,SUMPRODUCT(MAX(ROW(E$2:E401)*(E401=E$2:E401)))))-COUNTBLANK(OFFSET(A$1,,,SUMPRODUCT(MAX(ROW(E$1:E400)*(E2=E$1:E400))))))</f>
        <v>0</v>
      </c>
      <c r="K401" s="24">
        <f ca="1">IF(OR(E401="",E401="!!!",F401="NEW"),"",INDEX(J$1:J400,SUMPRODUCT(MAX(ROW(E$1:E400)*(E401=E$1:E400)))))</f>
        <v>0</v>
      </c>
      <c r="L401" s="25" t="s">
        <v>577</v>
      </c>
    </row>
    <row r="402" spans="1:12" x14ac:dyDescent="0.3">
      <c r="A402" t="s">
        <v>367</v>
      </c>
      <c r="B402" s="26" t="s">
        <v>389</v>
      </c>
      <c r="C402" s="26" t="s">
        <v>236</v>
      </c>
      <c r="D402" s="26" t="s">
        <v>151</v>
      </c>
      <c r="E402" s="20" t="s">
        <v>578</v>
      </c>
      <c r="F402" s="21" t="str">
        <f>IF(OR(E402="",E402="!!!"),"",IF(NOT(ISNA(VLOOKUP(E402,E$1:E401,1,FALSE()))),"OLD",IF(AND(E402&lt;&gt;"",E402&lt;&gt;"!!!"),"NEW","")))</f>
        <v>NEW</v>
      </c>
      <c r="G402" s="22" t="s">
        <v>595</v>
      </c>
      <c r="H402" s="23" t="str">
        <f t="shared" ca="1" si="37"/>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158</v>
      </c>
      <c r="E403" s="20" t="str">
        <f t="shared" si="36"/>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7"/>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390</v>
      </c>
      <c r="B404" s="26" t="s">
        <v>391</v>
      </c>
      <c r="C404" s="26" t="s">
        <v>160</v>
      </c>
      <c r="E404" s="20" t="str">
        <f t="shared" si="36"/>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37"/>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392</v>
      </c>
      <c r="E405" s="20" t="str">
        <f t="shared" si="36"/>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7"/>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393</v>
      </c>
      <c r="E406" s="20" t="str">
        <f t="shared" si="36"/>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7"/>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186</v>
      </c>
      <c r="E407" s="20" t="str">
        <f t="shared" si="36"/>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7"/>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9" spans="1:12" x14ac:dyDescent="0.3">
      <c r="A409" t="s">
        <v>394</v>
      </c>
    </row>
    <row r="410" spans="1:12" x14ac:dyDescent="0.3">
      <c r="A410" t="s">
        <v>233</v>
      </c>
      <c r="E410" s="20" t="str">
        <f t="shared" ref="E410:E416" si="38">IF(D410="?OLD","!!!","")</f>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ref="H410:H416" ca="1" si="39">IF(J410&lt;&gt;1,"",IF(I410="SBJ","CB","?"))</f>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395</v>
      </c>
      <c r="B411" s="26" t="s">
        <v>149</v>
      </c>
      <c r="C411" s="26" t="s">
        <v>174</v>
      </c>
      <c r="D411" s="26" t="s">
        <v>151</v>
      </c>
      <c r="E411" s="20" t="s">
        <v>575</v>
      </c>
      <c r="F411" s="21" t="str">
        <f>IF(OR(E411="",E411="!!!"),"",IF(NOT(ISNA(VLOOKUP(E411,E$1:E410,1,FALSE()))),"OLD",IF(AND(E411&lt;&gt;"",E411&lt;&gt;"!!!"),"NEW","")))</f>
        <v>OLD</v>
      </c>
      <c r="G411" s="22" t="s">
        <v>594</v>
      </c>
      <c r="H411" s="23" t="s">
        <v>142</v>
      </c>
      <c r="I411" s="24" t="str">
        <f>IF(OR(E411="",E411="!!!",F411="NEW"),"",INDEX(B$2:B410,-1+SUMPRODUCT(MAX(ROW(E$2:E410)*(E411=E$2:E410)))))</f>
        <v>other_6</v>
      </c>
      <c r="J411" s="24">
        <f ca="1">IF(OR(E411="",E411="!!!",F411="NEW"),"",COUNTBLANK(OFFSET(A$1,,,SUMPRODUCT(MAX(ROW(E$2:E411)*(E411=E$2:E411)))))-COUNTBLANK(OFFSET(A$1,,,SUMPRODUCT(MAX(ROW(E$1:E410)*(E2=E$1:E410))))))</f>
        <v>0</v>
      </c>
      <c r="K411" s="24" t="str">
        <f ca="1">IF(OR(E411="",E411="!!!",F411="NEW"),"",INDEX(J$1:J410,SUMPRODUCT(MAX(ROW(E$1:E410)*(E411=E$1:E410)))))</f>
        <v/>
      </c>
      <c r="L411" s="25"/>
    </row>
    <row r="412" spans="1:12" x14ac:dyDescent="0.3">
      <c r="A412" t="s">
        <v>396</v>
      </c>
      <c r="E412" s="20" t="str">
        <f t="shared" si="38"/>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9"/>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397</v>
      </c>
      <c r="B413" s="26" t="s">
        <v>166</v>
      </c>
      <c r="E413" s="20" t="str">
        <f t="shared" si="38"/>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9"/>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398</v>
      </c>
      <c r="E414" s="20" t="str">
        <f t="shared" si="38"/>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39"/>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399</v>
      </c>
      <c r="E415" s="20" t="str">
        <f t="shared" si="38"/>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39"/>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186</v>
      </c>
      <c r="E416" s="20" t="str">
        <f t="shared" si="38"/>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9"/>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8" spans="1:12" x14ac:dyDescent="0.3">
      <c r="A418" t="s">
        <v>400</v>
      </c>
    </row>
    <row r="419" spans="1:12" x14ac:dyDescent="0.3">
      <c r="A419" t="s">
        <v>233</v>
      </c>
      <c r="E419" s="20" t="str">
        <f t="shared" ref="E419:E433" si="40">IF(D419="?OLD","!!!","")</f>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ref="H419:H433" ca="1" si="41">IF(J419&lt;&gt;1,"",IF(I419="SBJ","CB","?"))</f>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401</v>
      </c>
      <c r="B420" s="26" t="s">
        <v>149</v>
      </c>
      <c r="C420" s="26" t="s">
        <v>236</v>
      </c>
      <c r="D420" s="26" t="s">
        <v>151</v>
      </c>
      <c r="E420" s="20" t="s">
        <v>580</v>
      </c>
      <c r="F420" s="21" t="str">
        <f>IF(OR(E420="",E420="!!!"),"",IF(NOT(ISNA(VLOOKUP(E420,E$1:E419,1,FALSE()))),"OLD",IF(AND(E420&lt;&gt;"",E420&lt;&gt;"!!!"),"NEW","")))</f>
        <v>NEW</v>
      </c>
      <c r="G420" s="22" t="s">
        <v>595</v>
      </c>
      <c r="H420" s="23" t="str">
        <f t="shared" ca="1" si="41"/>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237</v>
      </c>
      <c r="B421" s="26" t="s">
        <v>157</v>
      </c>
      <c r="C421" s="26" t="s">
        <v>163</v>
      </c>
      <c r="D421" s="26" t="s">
        <v>151</v>
      </c>
      <c r="E421" s="20"/>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41"/>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t="s">
        <v>539</v>
      </c>
    </row>
    <row r="422" spans="1:12" x14ac:dyDescent="0.3">
      <c r="A422" t="s">
        <v>402</v>
      </c>
      <c r="B422" s="26" t="s">
        <v>153</v>
      </c>
      <c r="C422" s="26" t="s">
        <v>211</v>
      </c>
      <c r="D422" s="26" t="s">
        <v>151</v>
      </c>
      <c r="E422" s="20" t="s">
        <v>579</v>
      </c>
      <c r="F422" s="21" t="str">
        <f>IF(OR(E422="",E422="!!!"),"",IF(NOT(ISNA(VLOOKUP(E422,E$1:E421,1,FALSE()))),"OLD",IF(AND(E422&lt;&gt;"",E422&lt;&gt;"!!!"),"NEW","")))</f>
        <v>OLD</v>
      </c>
      <c r="G422" s="22" t="s">
        <v>594</v>
      </c>
      <c r="H422" s="23" t="str">
        <f t="shared" ca="1" si="41"/>
        <v/>
      </c>
      <c r="I422" s="24" t="str">
        <f>IF(OR(E422="",E422="!!!",F422="NEW"),"",INDEX(B$2:B421,-1+SUMPRODUCT(MAX(ROW(E$2:E421)*(E422=E$2:E421)))))</f>
        <v>other_3</v>
      </c>
      <c r="J422" s="24">
        <f ca="1">IF(OR(E422="",E422="!!!",F422="NEW"),"",COUNTBLANK(OFFSET(A$1,,,SUMPRODUCT(MAX(ROW(E$2:E422)*(E422=E$2:E422)))))-COUNTBLANK(OFFSET(A$1,,,SUMPRODUCT(MAX(ROW(E$1:E421)*(E2=E$1:E421))))))</f>
        <v>0</v>
      </c>
      <c r="K422" s="24" t="str">
        <f ca="1">IF(OR(E422="",E422="!!!",F422="NEW"),"",INDEX(J$1:J421,SUMPRODUCT(MAX(ROW(E$1:E421)*(E422=E$1:E421)))))</f>
        <v/>
      </c>
      <c r="L422" s="25"/>
    </row>
    <row r="423" spans="1:12" x14ac:dyDescent="0.3">
      <c r="A423" t="s">
        <v>90</v>
      </c>
      <c r="E423" s="20" t="str">
        <f t="shared" si="40"/>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1"/>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175</v>
      </c>
      <c r="E424" s="20" t="str">
        <f t="shared" si="40"/>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1"/>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403</v>
      </c>
      <c r="E425" s="20" t="str">
        <f t="shared" si="40"/>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41"/>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404</v>
      </c>
      <c r="B426" s="26" t="s">
        <v>173</v>
      </c>
      <c r="C426" s="26" t="s">
        <v>160</v>
      </c>
      <c r="E426" s="20" t="str">
        <f t="shared" si="40"/>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1"/>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155</v>
      </c>
      <c r="E427" s="20" t="str">
        <f t="shared" si="40"/>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41"/>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197</v>
      </c>
      <c r="B428" s="26" t="s">
        <v>244</v>
      </c>
      <c r="E428" s="20" t="str">
        <f t="shared" si="40"/>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1"/>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179</v>
      </c>
      <c r="E429" s="20" t="str">
        <f t="shared" si="40"/>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1"/>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405</v>
      </c>
      <c r="B430" s="26" t="s">
        <v>307</v>
      </c>
      <c r="C430" s="26" t="s">
        <v>174</v>
      </c>
      <c r="D430" s="26" t="s">
        <v>151</v>
      </c>
      <c r="E430" s="20" t="s">
        <v>547</v>
      </c>
      <c r="F430" s="21" t="str">
        <f>IF(OR(E430="",E430="!!!"),"",IF(NOT(ISNA(VLOOKUP(E430,E$1:E429,1,FALSE()))),"OLD",IF(AND(E430&lt;&gt;"",E430&lt;&gt;"!!!"),"NEW","")))</f>
        <v>OLD</v>
      </c>
      <c r="G430" s="22" t="s">
        <v>594</v>
      </c>
      <c r="H430" s="23" t="str">
        <f t="shared" ca="1" si="41"/>
        <v/>
      </c>
      <c r="I430" s="24" t="str">
        <f>IF(OR(E430="",E430="!!!",F430="NEW"),"",INDEX(B$2:B429,-1+SUMPRODUCT(MAX(ROW(E$2:E429)*(E430=E$2:E429)))))</f>
        <v>SBJ_2</v>
      </c>
      <c r="J430" s="24">
        <f ca="1">IF(OR(E430="",E430="!!!",F430="NEW"),"",COUNTBLANK(OFFSET(A$1,,,SUMPRODUCT(MAX(ROW(E$2:E430)*(E430=E$2:E430)))))-COUNTBLANK(OFFSET(A$1,,,SUMPRODUCT(MAX(ROW(E$1:E429)*(E2=E$1:E429))))))</f>
        <v>0</v>
      </c>
      <c r="K430" s="24">
        <f ca="1">IF(OR(E430="",E430="!!!",F430="NEW"),"",INDEX(J$1:J429,SUMPRODUCT(MAX(ROW(E$1:E429)*(E430=E$1:E429)))))</f>
        <v>0</v>
      </c>
      <c r="L430" s="25"/>
    </row>
    <row r="431" spans="1:12" x14ac:dyDescent="0.3">
      <c r="A431" t="s">
        <v>406</v>
      </c>
      <c r="E431" s="20" t="str">
        <f t="shared" si="40"/>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41"/>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407</v>
      </c>
      <c r="E432" s="20" t="str">
        <f t="shared" si="40"/>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41"/>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186</v>
      </c>
      <c r="E433" s="20" t="str">
        <f t="shared" si="40"/>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41"/>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5" spans="1:12" x14ac:dyDescent="0.3">
      <c r="A435" t="s">
        <v>408</v>
      </c>
    </row>
    <row r="436" spans="1:12" x14ac:dyDescent="0.3">
      <c r="A436" t="s">
        <v>264</v>
      </c>
      <c r="E436" s="20" t="str">
        <f t="shared" ref="E436:E456" si="42">IF(D436="?OLD","!!!","")</f>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ref="H436:H456" ca="1" si="43">IF(J436&lt;&gt;1,"",IF(I436="SBJ","CB","?"))</f>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7" spans="1:12" x14ac:dyDescent="0.3">
      <c r="A437" t="s">
        <v>409</v>
      </c>
      <c r="B437" s="26" t="s">
        <v>153</v>
      </c>
      <c r="C437" s="26" t="s">
        <v>163</v>
      </c>
      <c r="D437" s="26" t="s">
        <v>151</v>
      </c>
      <c r="E437" s="20"/>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43"/>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410</v>
      </c>
      <c r="B438" s="26" t="s">
        <v>173</v>
      </c>
      <c r="C438" s="26" t="s">
        <v>211</v>
      </c>
      <c r="D438" s="26" t="s">
        <v>151</v>
      </c>
      <c r="E438" s="20" t="s">
        <v>580</v>
      </c>
      <c r="F438" s="21" t="str">
        <f>IF(OR(E438="",E438="!!!"),"",IF(NOT(ISNA(VLOOKUP(E438,E$1:E437,1,FALSE()))),"OLD",IF(AND(E438&lt;&gt;"",E438&lt;&gt;"!!!"),"NEW","")))</f>
        <v>OLD</v>
      </c>
      <c r="G438" s="22" t="s">
        <v>593</v>
      </c>
      <c r="H438" s="23" t="s">
        <v>142</v>
      </c>
      <c r="I438" s="24" t="str">
        <f>IF(OR(E438="",E438="!!!",F438="NEW"),"",INDEX(B$2:B437,-1+SUMPRODUCT(MAX(ROW(E$2:E437)*(E438=E$2:E437)))))</f>
        <v>SBJ</v>
      </c>
      <c r="J438" s="24">
        <f ca="1">IF(OR(E438="",E438="!!!",F438="NEW"),"",COUNTBLANK(OFFSET(A$1,,,SUMPRODUCT(MAX(ROW(E$2:E438)*(E438=E$2:E438)))))-COUNTBLANK(OFFSET(A$1,,,SUMPRODUCT(MAX(ROW(E$1:E437)*(E2=E$1:E437))))))</f>
        <v>0</v>
      </c>
      <c r="K438" s="24" t="str">
        <f ca="1">IF(OR(E438="",E438="!!!",F438="NEW"),"",INDEX(J$1:J437,SUMPRODUCT(MAX(ROW(E$1:E437)*(E438=E$1:E437)))))</f>
        <v/>
      </c>
      <c r="L438" s="25"/>
    </row>
    <row r="439" spans="1:12" x14ac:dyDescent="0.3">
      <c r="A439" t="s">
        <v>94</v>
      </c>
      <c r="E439" s="20" t="str">
        <f t="shared" si="42"/>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43"/>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197</v>
      </c>
      <c r="E440" s="20" t="str">
        <f t="shared" si="42"/>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43"/>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367</v>
      </c>
      <c r="B441" s="26" t="s">
        <v>149</v>
      </c>
      <c r="C441" s="26" t="s">
        <v>174</v>
      </c>
      <c r="D441" s="26" t="s">
        <v>151</v>
      </c>
      <c r="E441" s="20" t="s">
        <v>581</v>
      </c>
      <c r="F441" s="21" t="str">
        <f>IF(OR(E441="",E441="!!!"),"",IF(NOT(ISNA(VLOOKUP(E441,E$1:E440,1,FALSE()))),"OLD",IF(AND(E441&lt;&gt;"",E441&lt;&gt;"!!!"),"NEW","")))</f>
        <v>NEW</v>
      </c>
      <c r="G441" s="22" t="s">
        <v>595</v>
      </c>
      <c r="H441" s="23" t="str">
        <f t="shared" ca="1" si="43"/>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411</v>
      </c>
      <c r="E442" s="20" t="s">
        <v>581</v>
      </c>
      <c r="F442" s="21" t="str">
        <f>IF(OR(E442="",E442="!!!"),"",IF(NOT(ISNA(VLOOKUP(E442,E$1:E441,1,FALSE()))),"OLD",IF(AND(E442&lt;&gt;"",E442&lt;&gt;"!!!"),"NEW","")))</f>
        <v>OLD</v>
      </c>
      <c r="G442" s="22" t="s">
        <v>593</v>
      </c>
      <c r="H442" s="23" t="str">
        <f t="shared" ca="1" si="43"/>
        <v/>
      </c>
      <c r="I442" s="24" t="str">
        <f>IF(OR(E442="",E442="!!!",F442="NEW"),"",INDEX(B$2:B441,-1+SUMPRODUCT(MAX(ROW(E$2:E441)*(E442=E$2:E441)))))</f>
        <v>SBJ</v>
      </c>
      <c r="J442" s="24">
        <f ca="1">IF(OR(E442="",E442="!!!",F442="NEW"),"",COUNTBLANK(OFFSET(A$1,,,SUMPRODUCT(MAX(ROW(E$2:E442)*(E442=E$2:E442)))))-COUNTBLANK(OFFSET(A$1,,,SUMPRODUCT(MAX(ROW(E$1:E441)*(E2=E$1:E441))))))</f>
        <v>0</v>
      </c>
      <c r="K442" s="24" t="str">
        <f ca="1">IF(OR(E442="",E442="!!!",F442="NEW"),"",INDEX(J$1:J441,SUMPRODUCT(MAX(ROW(E$1:E441)*(E442=E$1:E441)))))</f>
        <v/>
      </c>
      <c r="L442" s="25" t="s">
        <v>577</v>
      </c>
    </row>
    <row r="443" spans="1:12" x14ac:dyDescent="0.3">
      <c r="A443" t="s">
        <v>412</v>
      </c>
      <c r="E443" s="20" t="str">
        <f t="shared" si="42"/>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43"/>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413</v>
      </c>
      <c r="B444" s="26" t="s">
        <v>166</v>
      </c>
      <c r="C444" s="26" t="s">
        <v>414</v>
      </c>
      <c r="E444" s="20" t="s">
        <v>582</v>
      </c>
      <c r="F444" s="21" t="str">
        <f>IF(OR(E444="",E444="!!!"),"",IF(NOT(ISNA(VLOOKUP(E444,E$1:E443,1,FALSE()))),"OLD",IF(AND(E444&lt;&gt;"",E444&lt;&gt;"!!!"),"NEW","")))</f>
        <v>NEW</v>
      </c>
      <c r="G444" s="22" t="s">
        <v>595</v>
      </c>
      <c r="H444" s="23" t="str">
        <f t="shared" ca="1" si="43"/>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158</v>
      </c>
      <c r="E445" s="20" t="str">
        <f t="shared" si="42"/>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43"/>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179</v>
      </c>
      <c r="B446" s="26" t="s">
        <v>235</v>
      </c>
      <c r="C446" s="26" t="s">
        <v>150</v>
      </c>
      <c r="D446" s="26" t="s">
        <v>151</v>
      </c>
      <c r="E446" s="20" t="s">
        <v>582</v>
      </c>
      <c r="F446" s="21" t="str">
        <f>IF(OR(E446="",E446="!!!"),"",IF(NOT(ISNA(VLOOKUP(E446,E$1:E445,1,FALSE()))),"OLD",IF(AND(E446&lt;&gt;"",E446&lt;&gt;"!!!"),"NEW","")))</f>
        <v>OLD</v>
      </c>
      <c r="G446" s="22" t="s">
        <v>593</v>
      </c>
      <c r="H446" s="23" t="str">
        <f t="shared" ca="1" si="43"/>
        <v/>
      </c>
      <c r="I446" s="24" t="str">
        <f>IF(OR(E446="",E446="!!!",F446="NEW"),"",INDEX(B$2:B445,-1+SUMPRODUCT(MAX(ROW(E$2:E445)*(E446=E$2:E445)))))</f>
        <v>OBJ</v>
      </c>
      <c r="J446" s="24">
        <f ca="1">IF(OR(E446="",E446="!!!",F446="NEW"),"",COUNTBLANK(OFFSET(A$1,,,SUMPRODUCT(MAX(ROW(E$2:E446)*(E446=E$2:E446)))))-COUNTBLANK(OFFSET(A$1,,,SUMPRODUCT(MAX(ROW(E$1:E445)*(E2=E$1:E445))))))</f>
        <v>0</v>
      </c>
      <c r="K446" s="24" t="str">
        <f ca="1">IF(OR(E446="",E446="!!!",F446="NEW"),"",INDEX(J$1:J445,SUMPRODUCT(MAX(ROW(E$1:E445)*(E446=E$1:E445)))))</f>
        <v/>
      </c>
      <c r="L446" s="25"/>
    </row>
    <row r="447" spans="1:12" x14ac:dyDescent="0.3">
      <c r="A447" t="s">
        <v>164</v>
      </c>
      <c r="E447" s="20" t="str">
        <f t="shared" si="42"/>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43"/>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222</v>
      </c>
      <c r="E448" s="20" t="str">
        <f t="shared" si="42"/>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43"/>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197</v>
      </c>
      <c r="E449" s="20" t="str">
        <f t="shared" si="42"/>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43"/>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390</v>
      </c>
      <c r="B450" s="26" t="s">
        <v>153</v>
      </c>
      <c r="C450" s="26" t="s">
        <v>174</v>
      </c>
      <c r="D450" s="26" t="s">
        <v>151</v>
      </c>
      <c r="E450" s="20" t="s">
        <v>583</v>
      </c>
      <c r="F450" s="21" t="str">
        <f>IF(OR(E450="",E450="!!!"),"",IF(NOT(ISNA(VLOOKUP(E450,E$1:E449,1,FALSE()))),"OLD",IF(AND(E450&lt;&gt;"",E450&lt;&gt;"!!!"),"NEW","")))</f>
        <v>NEW</v>
      </c>
      <c r="G450" s="22" t="s">
        <v>595</v>
      </c>
      <c r="H450" s="23" t="str">
        <f t="shared" ca="1" si="43"/>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336</v>
      </c>
      <c r="E451" s="20" t="str">
        <f t="shared" si="42"/>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43"/>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415</v>
      </c>
      <c r="E452" s="20" t="str">
        <f t="shared" si="42"/>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43"/>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158</v>
      </c>
      <c r="E453" s="20" t="str">
        <f t="shared" si="42"/>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43"/>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416</v>
      </c>
      <c r="B454" s="26" t="s">
        <v>157</v>
      </c>
      <c r="C454" s="26" t="s">
        <v>194</v>
      </c>
      <c r="E454" s="20" t="str">
        <f t="shared" si="42"/>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43"/>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417</v>
      </c>
      <c r="B455" s="26" t="s">
        <v>173</v>
      </c>
      <c r="C455" s="26" t="s">
        <v>185</v>
      </c>
      <c r="E455" s="20" t="str">
        <f t="shared" si="42"/>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43"/>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186</v>
      </c>
      <c r="E456" s="20" t="str">
        <f t="shared" si="42"/>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43"/>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8" spans="1:12" x14ac:dyDescent="0.3">
      <c r="A458" t="s">
        <v>418</v>
      </c>
    </row>
    <row r="459" spans="1:12" x14ac:dyDescent="0.3">
      <c r="A459" t="s">
        <v>419</v>
      </c>
      <c r="B459" s="26" t="s">
        <v>149</v>
      </c>
      <c r="C459" s="26" t="s">
        <v>154</v>
      </c>
      <c r="D459" s="26" t="s">
        <v>151</v>
      </c>
      <c r="E459" s="20" t="s">
        <v>553</v>
      </c>
      <c r="F459" s="21" t="str">
        <f>IF(OR(E459="",E459="!!!"),"",IF(NOT(ISNA(VLOOKUP(E459,E$1:E458,1,FALSE()))),"OLD",IF(AND(E459&lt;&gt;"",E459&lt;&gt;"!!!"),"NEW","")))</f>
        <v>NEW</v>
      </c>
      <c r="G459" s="22" t="s">
        <v>595</v>
      </c>
      <c r="H459" s="23" t="str">
        <f t="shared" ref="H459:H489" ca="1" si="44">IF(J459&lt;&gt;1,"",IF(I459="SBJ","CB","?"))</f>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420</v>
      </c>
      <c r="E460" s="20" t="str">
        <f t="shared" ref="E460:E489" si="45">IF(D460="?OLD","!!!","")</f>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44"/>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155</v>
      </c>
      <c r="E461" s="20" t="str">
        <f t="shared" si="45"/>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44"/>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359</v>
      </c>
      <c r="B462" s="26" t="s">
        <v>153</v>
      </c>
      <c r="C462" s="26" t="s">
        <v>160</v>
      </c>
      <c r="E462" s="20" t="str">
        <f t="shared" si="45"/>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44"/>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373</v>
      </c>
      <c r="E463" s="20" t="str">
        <f t="shared" si="45"/>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44"/>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152</v>
      </c>
      <c r="B464" s="26" t="s">
        <v>157</v>
      </c>
      <c r="C464" s="26" t="s">
        <v>154</v>
      </c>
      <c r="D464" s="26" t="s">
        <v>151</v>
      </c>
      <c r="E464" s="20" t="s">
        <v>533</v>
      </c>
      <c r="F464" s="21" t="str">
        <f>IF(OR(E464="",E464="!!!"),"",IF(NOT(ISNA(VLOOKUP(E464,E$1:E463,1,FALSE()))),"OLD",IF(AND(E464&lt;&gt;"",E464&lt;&gt;"!!!"),"NEW","")))</f>
        <v>OLD</v>
      </c>
      <c r="G464" s="22" t="s">
        <v>592</v>
      </c>
      <c r="H464" s="23" t="str">
        <f t="shared" ca="1" si="44"/>
        <v/>
      </c>
      <c r="I464" s="24" t="str">
        <f>IF(OR(E464="",E464="!!!",F464="NEW"),"",INDEX(B$2:B463,-1+SUMPRODUCT(MAX(ROW(E$2:E463)*(E464=E$2:E463)))))</f>
        <v>SBJ</v>
      </c>
      <c r="J464" s="24">
        <f ca="1">IF(OR(E464="",E464="!!!",F464="NEW"),"",COUNTBLANK(OFFSET(A$1,,,SUMPRODUCT(MAX(ROW(E$2:E464)*(E464=E$2:E464)))))-COUNTBLANK(OFFSET(A$1,,,SUMPRODUCT(MAX(ROW(E$1:E463)*(E2=E$1:E463))))))</f>
        <v>0</v>
      </c>
      <c r="K464" s="24">
        <f ca="1">IF(OR(E464="",E464="!!!",F464="NEW"),"",INDEX(J$1:J463,SUMPRODUCT(MAX(ROW(E$1:E463)*(E464=E$1:E463)))))</f>
        <v>0</v>
      </c>
      <c r="L464" s="25"/>
    </row>
    <row r="465" spans="1:12" x14ac:dyDescent="0.3">
      <c r="A465" t="s">
        <v>216</v>
      </c>
      <c r="E465" s="20" t="str">
        <f t="shared" si="45"/>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44"/>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3">
      <c r="A466" t="s">
        <v>155</v>
      </c>
      <c r="E466" s="20" t="str">
        <f t="shared" si="45"/>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44"/>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158</v>
      </c>
      <c r="E467" s="20" t="str">
        <f t="shared" si="45"/>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t="shared" ca="1" si="44"/>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421</v>
      </c>
      <c r="B468" s="26" t="s">
        <v>153</v>
      </c>
      <c r="C468" s="26" t="s">
        <v>154</v>
      </c>
      <c r="D468" s="26" t="s">
        <v>151</v>
      </c>
      <c r="E468" s="20" t="s">
        <v>554</v>
      </c>
      <c r="F468" s="21" t="str">
        <f>IF(OR(E468="",E468="!!!"),"",IF(NOT(ISNA(VLOOKUP(E468,E$1:E467,1,FALSE()))),"OLD",IF(AND(E468&lt;&gt;"",E468&lt;&gt;"!!!"),"NEW","")))</f>
        <v>NEW</v>
      </c>
      <c r="G468" s="22" t="s">
        <v>595</v>
      </c>
      <c r="H468" s="23" t="str">
        <f t="shared" ca="1" si="44"/>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422</v>
      </c>
      <c r="E469" s="20" t="str">
        <f t="shared" si="45"/>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ca="1" si="44"/>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155</v>
      </c>
      <c r="E470" s="20" t="str">
        <f t="shared" si="45"/>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44"/>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359</v>
      </c>
      <c r="B471" s="26" t="s">
        <v>153</v>
      </c>
      <c r="C471" s="26" t="s">
        <v>160</v>
      </c>
      <c r="E471" s="20" t="str">
        <f t="shared" si="45"/>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44"/>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373</v>
      </c>
      <c r="E472" s="20" t="str">
        <f t="shared" si="45"/>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t="shared" ca="1" si="44"/>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3">
      <c r="A473" t="s">
        <v>159</v>
      </c>
      <c r="B473" s="26" t="s">
        <v>157</v>
      </c>
      <c r="C473" s="26" t="s">
        <v>154</v>
      </c>
      <c r="D473" s="26" t="s">
        <v>151</v>
      </c>
      <c r="E473" s="20" t="s">
        <v>535</v>
      </c>
      <c r="F473" s="21" t="str">
        <f>IF(OR(E473="",E473="!!!"),"",IF(NOT(ISNA(VLOOKUP(E473,E$1:E472,1,FALSE()))),"OLD",IF(AND(E473&lt;&gt;"",E473&lt;&gt;"!!!"),"NEW","")))</f>
        <v>OLD</v>
      </c>
      <c r="G473" s="22" t="s">
        <v>592</v>
      </c>
      <c r="H473" s="23" t="str">
        <f t="shared" ca="1" si="44"/>
        <v/>
      </c>
      <c r="I473" s="24" t="str">
        <f>IF(OR(E473="",E473="!!!",F473="NEW"),"",INDEX(B$2:B472,-1+SUMPRODUCT(MAX(ROW(E$2:E472)*(E473=E$2:E472)))))</f>
        <v>other_2</v>
      </c>
      <c r="J473" s="24">
        <f ca="1">IF(OR(E473="",E473="!!!",F473="NEW"),"",COUNTBLANK(OFFSET(A$1,,,SUMPRODUCT(MAX(ROW(E$2:E473)*(E473=E$2:E473)))))-COUNTBLANK(OFFSET(A$1,,,SUMPRODUCT(MAX(ROW(E$1:E472)*(E2=E$1:E472))))))</f>
        <v>0</v>
      </c>
      <c r="K473" s="24">
        <f ca="1">IF(OR(E473="",E473="!!!",F473="NEW"),"",INDEX(J$1:J472,SUMPRODUCT(MAX(ROW(E$1:E472)*(E473=E$1:E472)))))</f>
        <v>0</v>
      </c>
      <c r="L473" s="25"/>
    </row>
    <row r="474" spans="1:12" x14ac:dyDescent="0.3">
      <c r="A474" t="s">
        <v>220</v>
      </c>
      <c r="E474" s="20" t="str">
        <f t="shared" si="45"/>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44"/>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155</v>
      </c>
      <c r="E475" s="20" t="str">
        <f t="shared" si="45"/>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44"/>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3">
      <c r="A476" t="s">
        <v>27</v>
      </c>
      <c r="E476" s="20" t="str">
        <f t="shared" si="45"/>
        <v/>
      </c>
      <c r="F476" s="21" t="str">
        <f>IF(OR(E476="",E476="!!!"),"",IF(NOT(ISNA(VLOOKUP(E476,E$1:E475,1,FALSE()))),"OLD",IF(AND(E476&lt;&gt;"",E476&lt;&gt;"!!!"),"NEW","")))</f>
        <v/>
      </c>
      <c r="G476" s="22" t="str">
        <f>IF(OR(E476="",E476="!!!"),"",IF(OR(J476=0,AND(J476=1,K476=1),AND(J476=1,I476="SBJ"),AND(J476=1,I476=0)),"?IN_FOCUS",IF(J476&lt;=2,"?ACTIVATED",IF(J476&lt;&gt;"","?FAMILIAR",IF(F476="NEW",IF(ISNA(VLOOKUP(E476,#REF!,1,FALSE())),"?TYPE_IDENTIFIABLE","?REFERENTIAL"),"_")))))</f>
        <v/>
      </c>
      <c r="H476" s="23" t="str">
        <f t="shared" ca="1" si="44"/>
        <v/>
      </c>
      <c r="I476" s="24" t="str">
        <f>IF(OR(E476="",E476="!!!",F476="NEW"),"",INDEX(B$2:B475,-1+SUMPRODUCT(MAX(ROW(E$2:E475)*(E476=E$2:E475)))))</f>
        <v/>
      </c>
      <c r="J476" s="24" t="str">
        <f ca="1">IF(OR(E476="",E476="!!!",F476="NEW"),"",COUNTBLANK(OFFSET(A$1,,,SUMPRODUCT(MAX(ROW(E$2:E476)*(E476=E$2:E476)))))-COUNTBLANK(OFFSET(A$1,,,SUMPRODUCT(MAX(ROW(E$1:E475)*(E2=E$1:E475))))))</f>
        <v/>
      </c>
      <c r="K476" s="24" t="str">
        <f>IF(OR(E476="",E476="!!!",F476="NEW"),"",INDEX(J$1:J475,SUMPRODUCT(MAX(ROW(E$1:E475)*(E476=E$1:E475)))))</f>
        <v/>
      </c>
      <c r="L476" s="25"/>
    </row>
    <row r="477" spans="1:12" x14ac:dyDescent="0.3">
      <c r="A477" t="s">
        <v>423</v>
      </c>
      <c r="B477" s="26" t="s">
        <v>149</v>
      </c>
      <c r="C477" s="26" t="s">
        <v>194</v>
      </c>
      <c r="E477" s="20"/>
      <c r="F477" s="21"/>
      <c r="G477" s="22" t="str">
        <f>IF(OR(E477="",E477="!!!"),"",IF(OR(J477=0,AND(J477=1,K477=1),AND(J477=1,I477="SBJ"),AND(J477=1,I477=0)),"?IN_FOCUS",IF(J477&lt;=2,"?ACTIVATED",IF(J477&lt;&gt;"","?FAMILIAR",IF(F477="NEW",IF(ISNA(VLOOKUP(E477,#REF!,1,FALSE())),"?TYPE_IDENTIFIABLE","?REFERENTIAL"),"_")))))</f>
        <v/>
      </c>
      <c r="H477" s="23" t="str">
        <f t="shared" ca="1" si="44"/>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424</v>
      </c>
      <c r="E478" s="20" t="s">
        <v>555</v>
      </c>
      <c r="F478" s="21" t="s">
        <v>541</v>
      </c>
      <c r="G478" s="22" t="s">
        <v>593</v>
      </c>
      <c r="H478" s="23" t="str">
        <f t="shared" ca="1" si="44"/>
        <v/>
      </c>
      <c r="I478" s="24" t="e">
        <f>IF(OR(E478="",E478="!!!",F478="NEW"),"",INDEX(B$2:B477,-1+SUMPRODUCT(MAX(ROW(E$2:E477)*(E478=E$2:E477)))))</f>
        <v>#VALUE!</v>
      </c>
      <c r="J478" s="24">
        <f ca="1">IF(OR(E478="",E478="!!!",F478="NEW"),"",COUNTBLANK(OFFSET(A$1,,,SUMPRODUCT(MAX(ROW(E$2:E478)*(E478=E$2:E478)))))-COUNTBLANK(OFFSET(A$1,,,SUMPRODUCT(MAX(ROW(E$1:E477)*(E2=E$1:E477))))))</f>
        <v>0</v>
      </c>
      <c r="K478" s="24" t="e">
        <f>IF(OR(E478="",E478="!!!",F478="NEW"),"",INDEX(J$1:J477,SUMPRODUCT(MAX(ROW(E$1:E477)*(E478=E$1:E477)))))</f>
        <v>#VALUE!</v>
      </c>
      <c r="L478" s="25" t="s">
        <v>557</v>
      </c>
    </row>
    <row r="479" spans="1:12" x14ac:dyDescent="0.3">
      <c r="A479" t="s">
        <v>425</v>
      </c>
      <c r="B479" s="26" t="s">
        <v>166</v>
      </c>
      <c r="C479" s="26" t="s">
        <v>414</v>
      </c>
      <c r="E479" s="20" t="s">
        <v>556</v>
      </c>
      <c r="F479" s="21" t="s">
        <v>541</v>
      </c>
      <c r="G479" s="22" t="s">
        <v>593</v>
      </c>
      <c r="H479" s="23" t="str">
        <f t="shared" ca="1" si="44"/>
        <v/>
      </c>
      <c r="I479" s="24" t="e">
        <f>IF(OR(E479="",E479="!!!",F479="NEW"),"",INDEX(B$2:B478,-1+SUMPRODUCT(MAX(ROW(E$2:E478)*(E479=E$2:E478)))))</f>
        <v>#VALUE!</v>
      </c>
      <c r="J479" s="24">
        <f ca="1">IF(OR(E479="",E479="!!!",F479="NEW"),"",COUNTBLANK(OFFSET(A$1,,,SUMPRODUCT(MAX(ROW(E$2:E479)*(E479=E$2:E479)))))-COUNTBLANK(OFFSET(A$1,,,SUMPRODUCT(MAX(ROW(E$1:E478)*(E2=E$1:E478))))))</f>
        <v>0</v>
      </c>
      <c r="K479" s="24" t="e">
        <f>IF(OR(E479="",E479="!!!",F479="NEW"),"",INDEX(J$1:J478,SUMPRODUCT(MAX(ROW(E$1:E478)*(E479=E$1:E478)))))</f>
        <v>#VALUE!</v>
      </c>
      <c r="L479" s="25"/>
    </row>
    <row r="480" spans="1:12" x14ac:dyDescent="0.3">
      <c r="A480" t="s">
        <v>426</v>
      </c>
      <c r="E480" s="20" t="str">
        <f t="shared" si="45"/>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44"/>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155</v>
      </c>
      <c r="E481" s="20" t="str">
        <f t="shared" si="45"/>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44"/>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427</v>
      </c>
      <c r="E482" s="20" t="str">
        <f t="shared" si="45"/>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44"/>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302</v>
      </c>
      <c r="B483" s="26" t="s">
        <v>235</v>
      </c>
      <c r="C483" s="26" t="s">
        <v>150</v>
      </c>
      <c r="D483" s="26" t="s">
        <v>151</v>
      </c>
      <c r="E483" s="20" t="s">
        <v>558</v>
      </c>
      <c r="F483" s="21" t="s">
        <v>543</v>
      </c>
      <c r="G483" s="22" t="s">
        <v>593</v>
      </c>
      <c r="H483" s="23" t="str">
        <f t="shared" ca="1" si="44"/>
        <v/>
      </c>
      <c r="I483" s="24" t="e">
        <f>IF(OR(E483="",E483="!!!",F483="NEW"),"",INDEX(B$2:B482,-1+SUMPRODUCT(MAX(ROW(E$2:E482)*(E483=E$2:E482)))))</f>
        <v>#VALUE!</v>
      </c>
      <c r="J483" s="24">
        <f ca="1">IF(OR(E483="",E483="!!!",F483="NEW"),"",COUNTBLANK(OFFSET(A$1,,,SUMPRODUCT(MAX(ROW(E$2:E483)*(E483=E$2:E483)))))-COUNTBLANK(OFFSET(A$1,,,SUMPRODUCT(MAX(ROW(E$1:E482)*(E2=E$1:E482))))))</f>
        <v>0</v>
      </c>
      <c r="K483" s="24" t="e">
        <f>IF(OR(E483="",E483="!!!",F483="NEW"),"",INDEX(J$1:J482,SUMPRODUCT(MAX(ROW(E$1:E482)*(E483=E$1:E482)))))</f>
        <v>#VALUE!</v>
      </c>
      <c r="L483" s="25"/>
    </row>
    <row r="484" spans="1:12" x14ac:dyDescent="0.3">
      <c r="A484" t="s">
        <v>356</v>
      </c>
      <c r="E484" s="20" t="str">
        <f t="shared" si="45"/>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44"/>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176</v>
      </c>
      <c r="E485" s="20" t="str">
        <f t="shared" si="45"/>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44"/>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177</v>
      </c>
      <c r="B486" s="26" t="s">
        <v>153</v>
      </c>
      <c r="C486" s="26" t="s">
        <v>174</v>
      </c>
      <c r="D486" s="26" t="s">
        <v>151</v>
      </c>
      <c r="E486" s="20" t="s">
        <v>547</v>
      </c>
      <c r="F486" s="21" t="str">
        <f>IF(OR(E486="",E486="!!!"),"",IF(NOT(ISNA(VLOOKUP(E486,E$1:E485,1,FALSE()))),"OLD",IF(AND(E486&lt;&gt;"",E486&lt;&gt;"!!!"),"NEW","")))</f>
        <v>OLD</v>
      </c>
      <c r="G486" s="22" t="s">
        <v>594</v>
      </c>
      <c r="H486" s="23" t="str">
        <f t="shared" ca="1" si="44"/>
        <v/>
      </c>
      <c r="I486" s="24" t="str">
        <f>IF(OR(E486="",E486="!!!",F486="NEW"),"",INDEX(B$2:B485,-1+SUMPRODUCT(MAX(ROW(E$2:E485)*(E486=E$2:E485)))))</f>
        <v>OBJ_3</v>
      </c>
      <c r="J486" s="24">
        <f ca="1">IF(OR(E486="",E486="!!!",F486="NEW"),"",COUNTBLANK(OFFSET(A$1,,,SUMPRODUCT(MAX(ROW(E$2:E486)*(E486=E$2:E486)))))-COUNTBLANK(OFFSET(A$1,,,SUMPRODUCT(MAX(ROW(E$1:E485)*(E2=E$1:E485))))))</f>
        <v>0</v>
      </c>
      <c r="K486" s="24">
        <f ca="1">IF(OR(E486="",E486="!!!",F486="NEW"),"",INDEX(J$1:J485,SUMPRODUCT(MAX(ROW(E$1:E485)*(E486=E$1:E485)))))</f>
        <v>0</v>
      </c>
      <c r="L486" s="25"/>
    </row>
    <row r="487" spans="1:12" x14ac:dyDescent="0.3">
      <c r="A487" t="s">
        <v>428</v>
      </c>
      <c r="E487" s="20" t="str">
        <f t="shared" si="45"/>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44"/>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27</v>
      </c>
      <c r="E488" s="20" t="str">
        <f t="shared" si="45"/>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44"/>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186</v>
      </c>
      <c r="E489" s="20" t="str">
        <f t="shared" si="45"/>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44"/>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1" spans="1:12" x14ac:dyDescent="0.3">
      <c r="A491" t="s">
        <v>429</v>
      </c>
    </row>
    <row r="492" spans="1:12" x14ac:dyDescent="0.3">
      <c r="A492" t="s">
        <v>325</v>
      </c>
      <c r="B492" s="26" t="s">
        <v>149</v>
      </c>
      <c r="C492" s="26" t="s">
        <v>150</v>
      </c>
      <c r="D492" s="26" t="s">
        <v>151</v>
      </c>
      <c r="E492" s="20"/>
      <c r="F492" s="21" t="s">
        <v>537</v>
      </c>
      <c r="G492" s="22" t="str">
        <f>IF(OR(E492="",E492="!!!"),"",IF(OR(J492=0,AND(J492=1,K492=1),AND(J492=1,I492="SBJ"),AND(J492=1,I492=0)),"?IN_FOCUS",IF(J492&lt;=2,"?ACTIVATED",IF(J492&lt;&gt;"","?FAMILIAR",IF(F492="NEW",IF(ISNA(VLOOKUP(E492,#REF!,1,FALSE())),"?TYPE_IDENTIFIABLE","?REFERENTIAL"),"_")))))</f>
        <v/>
      </c>
      <c r="H492" s="23" t="str">
        <f t="shared" ref="H492:H519" ca="1" si="46">IF(J492&lt;&gt;1,"",IF(I492="SBJ","CB","?"))</f>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430</v>
      </c>
      <c r="E493" s="20" t="str">
        <f t="shared" ref="E492:E519" si="47">IF(D493="?OLD","!!!","")</f>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46"/>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265</v>
      </c>
      <c r="E494" s="20" t="str">
        <f t="shared" si="47"/>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46"/>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431</v>
      </c>
      <c r="B495" s="26" t="s">
        <v>166</v>
      </c>
      <c r="C495" s="26" t="s">
        <v>174</v>
      </c>
      <c r="D495" s="26" t="s">
        <v>151</v>
      </c>
      <c r="E495" s="20" t="s">
        <v>584</v>
      </c>
      <c r="F495" s="21" t="str">
        <f>IF(OR(E495="",E495="!!!"),"",IF(NOT(ISNA(VLOOKUP(E495,E$1:E494,1,FALSE()))),"OLD",IF(AND(E495&lt;&gt;"",E495&lt;&gt;"!!!"),"NEW","")))</f>
        <v>NEW</v>
      </c>
      <c r="G495" s="22" t="s">
        <v>592</v>
      </c>
      <c r="H495" s="23" t="str">
        <f t="shared" ca="1" si="46"/>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432</v>
      </c>
      <c r="E496" s="20" t="str">
        <f t="shared" si="47"/>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46"/>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3">
      <c r="A497" t="s">
        <v>433</v>
      </c>
      <c r="E497" s="20" t="str">
        <f t="shared" si="47"/>
        <v/>
      </c>
      <c r="F497" s="21" t="str">
        <f>IF(OR(E497="",E497="!!!"),"",IF(NOT(ISNA(VLOOKUP(E497,E$1:E496,1,FALSE()))),"OLD",IF(AND(E497&lt;&gt;"",E497&lt;&gt;"!!!"),"NEW","")))</f>
        <v/>
      </c>
      <c r="G497" s="22" t="str">
        <f>IF(OR(E497="",E497="!!!"),"",IF(OR(J497=0,AND(J497=1,K497=1),AND(J497=1,I497="SBJ"),AND(J497=1,I497=0)),"?IN_FOCUS",IF(J497&lt;=2,"?ACTIVATED",IF(J497&lt;&gt;"","?FAMILIAR",IF(F497="NEW",IF(ISNA(VLOOKUP(E497,#REF!,1,FALSE())),"?TYPE_IDENTIFIABLE","?REFERENTIAL"),"_")))))</f>
        <v/>
      </c>
      <c r="H497" s="23" t="str">
        <f t="shared" ca="1" si="46"/>
        <v/>
      </c>
      <c r="I497" s="24" t="str">
        <f>IF(OR(E497="",E497="!!!",F497="NEW"),"",INDEX(B$2:B496,-1+SUMPRODUCT(MAX(ROW(E$2:E496)*(E497=E$2:E496)))))</f>
        <v/>
      </c>
      <c r="J497" s="24" t="str">
        <f ca="1">IF(OR(E497="",E497="!!!",F497="NEW"),"",COUNTBLANK(OFFSET(A$1,,,SUMPRODUCT(MAX(ROW(E$2:E497)*(E497=E$2:E497)))))-COUNTBLANK(OFFSET(A$1,,,SUMPRODUCT(MAX(ROW(E$1:E496)*(E2=E$1:E496))))))</f>
        <v/>
      </c>
      <c r="K497" s="24" t="str">
        <f>IF(OR(E497="",E497="!!!",F497="NEW"),"",INDEX(J$1:J496,SUMPRODUCT(MAX(ROW(E$1:E496)*(E497=E$1:E496)))))</f>
        <v/>
      </c>
      <c r="L497" s="25"/>
    </row>
    <row r="498" spans="1:12" x14ac:dyDescent="0.3">
      <c r="A498" t="s">
        <v>155</v>
      </c>
      <c r="E498" s="20" t="str">
        <f t="shared" si="47"/>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46"/>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434</v>
      </c>
      <c r="E499" s="20" t="str">
        <f t="shared" si="47"/>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46"/>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3">
      <c r="A500" t="s">
        <v>225</v>
      </c>
      <c r="B500" s="26" t="s">
        <v>173</v>
      </c>
      <c r="C500" s="26" t="s">
        <v>160</v>
      </c>
      <c r="E500" s="20" t="s">
        <v>563</v>
      </c>
      <c r="F500" s="21" t="str">
        <f>IF(OR(E500="",E500="!!!"),"",IF(NOT(ISNA(VLOOKUP(E500,E$1:E499,1,FALSE()))),"OLD",IF(AND(E500&lt;&gt;"",E500&lt;&gt;"!!!"),"NEW","")))</f>
        <v>OLD</v>
      </c>
      <c r="G500" s="22" t="s">
        <v>592</v>
      </c>
      <c r="H500" s="23" t="str">
        <f t="shared" ca="1" si="46"/>
        <v/>
      </c>
      <c r="I500" s="24" t="str">
        <f>IF(OR(E500="",E500="!!!",F500="NEW"),"",INDEX(B$2:B499,-1+SUMPRODUCT(MAX(ROW(E$2:E499)*(E500=E$2:E499)))))</f>
        <v>other_4</v>
      </c>
      <c r="J500" s="24">
        <f ca="1">IF(OR(E500="",E500="!!!",F500="NEW"),"",COUNTBLANK(OFFSET(A$1,,,SUMPRODUCT(MAX(ROW(E$2:E500)*(E500=E$2:E500)))))-COUNTBLANK(OFFSET(A$1,,,SUMPRODUCT(MAX(ROW(E$1:E499)*(E2=E$1:E499))))))</f>
        <v>0</v>
      </c>
      <c r="K500" s="24" t="str">
        <f ca="1">IF(OR(E500="",E500="!!!",F500="NEW"),"",INDEX(J$1:J499,SUMPRODUCT(MAX(ROW(E$1:E499)*(E500=E$1:E499)))))</f>
        <v/>
      </c>
      <c r="L500" s="25" t="s">
        <v>564</v>
      </c>
    </row>
    <row r="501" spans="1:12" x14ac:dyDescent="0.3">
      <c r="A501" t="s">
        <v>155</v>
      </c>
      <c r="E501" s="20" t="str">
        <f t="shared" si="47"/>
        <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46"/>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3">
      <c r="A502" t="s">
        <v>197</v>
      </c>
      <c r="B502" s="26" t="s">
        <v>244</v>
      </c>
      <c r="C502" s="26" t="s">
        <v>150</v>
      </c>
      <c r="D502" s="26" t="s">
        <v>151</v>
      </c>
      <c r="E502" s="20"/>
      <c r="F502" s="21" t="s">
        <v>559</v>
      </c>
      <c r="G502" s="22" t="str">
        <f>IF(OR(E502="",E502="!!!"),"",IF(OR(J502=0,AND(J502=1,K502=1),AND(J502=1,I502="SBJ"),AND(J502=1,I502=0)),"?IN_FOCUS",IF(J502&lt;=2,"?ACTIVATED",IF(J502&lt;&gt;"","?FAMILIAR",IF(F502="NEW",IF(ISNA(VLOOKUP(E502,#REF!,1,FALSE())),"?TYPE_IDENTIFIABLE","?REFERENTIAL"),"_")))))</f>
        <v/>
      </c>
      <c r="H502" s="23" t="str">
        <f t="shared" ca="1" si="46"/>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373</v>
      </c>
      <c r="E503" s="20" t="str">
        <f t="shared" si="47"/>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46"/>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152</v>
      </c>
      <c r="B504" s="26" t="s">
        <v>157</v>
      </c>
      <c r="C504" s="26" t="s">
        <v>154</v>
      </c>
      <c r="D504" s="26" t="s">
        <v>151</v>
      </c>
      <c r="E504" s="20" t="s">
        <v>533</v>
      </c>
      <c r="F504" s="21" t="str">
        <f>IF(OR(E504="",E504="!!!"),"",IF(NOT(ISNA(VLOOKUP(E504,E$1:E503,1,FALSE()))),"OLD",IF(AND(E504&lt;&gt;"",E504&lt;&gt;"!!!"),"NEW","")))</f>
        <v>OLD</v>
      </c>
      <c r="G504" s="22" t="s">
        <v>594</v>
      </c>
      <c r="H504" s="23" t="s">
        <v>142</v>
      </c>
      <c r="I504" s="24" t="str">
        <f>IF(OR(E504="",E504="!!!",F504="NEW"),"",INDEX(B$2:B503,-1+SUMPRODUCT(MAX(ROW(E$2:E503)*(E504=E$2:E503)))))</f>
        <v>other_3</v>
      </c>
      <c r="J504" s="24">
        <f ca="1">IF(OR(E504="",E504="!!!",F504="NEW"),"",COUNTBLANK(OFFSET(A$1,,,SUMPRODUCT(MAX(ROW(E$2:E504)*(E504=E$2:E504)))))-COUNTBLANK(OFFSET(A$1,,,SUMPRODUCT(MAX(ROW(E$1:E503)*(E2=E$1:E503))))))</f>
        <v>0</v>
      </c>
      <c r="K504" s="24">
        <f ca="1">IF(OR(E504="",E504="!!!",F504="NEW"),"",INDEX(J$1:J503,SUMPRODUCT(MAX(ROW(E$1:E503)*(E504=E$1:E503)))))</f>
        <v>0</v>
      </c>
      <c r="L504" s="25"/>
    </row>
    <row r="505" spans="1:12" x14ac:dyDescent="0.3">
      <c r="A505" t="s">
        <v>155</v>
      </c>
      <c r="E505" s="20" t="str">
        <f t="shared" si="47"/>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46"/>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156</v>
      </c>
      <c r="B506" s="26" t="s">
        <v>226</v>
      </c>
      <c r="C506" s="26" t="s">
        <v>154</v>
      </c>
      <c r="D506" s="26" t="s">
        <v>151</v>
      </c>
      <c r="E506" s="20" t="s">
        <v>534</v>
      </c>
      <c r="F506" s="21" t="str">
        <f>IF(OR(E506="",E506="!!!"),"",IF(NOT(ISNA(VLOOKUP(E506,E$1:E505,1,FALSE()))),"OLD",IF(AND(E506&lt;&gt;"",E506&lt;&gt;"!!!"),"NEW","")))</f>
        <v>OLD</v>
      </c>
      <c r="G506" s="22" t="s">
        <v>592</v>
      </c>
      <c r="H506" s="23" t="str">
        <f t="shared" ca="1" si="46"/>
        <v/>
      </c>
      <c r="I506" s="24" t="str">
        <f>IF(OR(E506="",E506="!!!",F506="NEW"),"",INDEX(B$2:B505,-1+SUMPRODUCT(MAX(ROW(E$2:E505)*(E506=E$2:E505)))))</f>
        <v>other_2</v>
      </c>
      <c r="J506" s="24">
        <f ca="1">IF(OR(E506="",E506="!!!",F506="NEW"),"",COUNTBLANK(OFFSET(A$1,,,SUMPRODUCT(MAX(ROW(E$2:E506)*(E506=E$2:E506)))))-COUNTBLANK(OFFSET(A$1,,,SUMPRODUCT(MAX(ROW(E$1:E505)*(E2=E$1:E505))))))</f>
        <v>0</v>
      </c>
      <c r="K506" s="24">
        <f ca="1">IF(OR(E506="",E506="!!!",F506="NEW"),"",INDEX(J$1:J505,SUMPRODUCT(MAX(ROW(E$1:E505)*(E506=E$1:E505)))))</f>
        <v>0</v>
      </c>
      <c r="L506" s="25"/>
    </row>
    <row r="507" spans="1:12" x14ac:dyDescent="0.3">
      <c r="A507" t="s">
        <v>158</v>
      </c>
      <c r="E507" s="20" t="str">
        <f t="shared" si="47"/>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t="shared" ca="1" si="46"/>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3">
      <c r="A508" t="s">
        <v>159</v>
      </c>
      <c r="B508" s="26" t="s">
        <v>226</v>
      </c>
      <c r="C508" s="26" t="s">
        <v>160</v>
      </c>
      <c r="E508" s="20" t="s">
        <v>535</v>
      </c>
      <c r="F508" s="21" t="str">
        <f>IF(OR(E508="",E508="!!!"),"",IF(NOT(ISNA(VLOOKUP(E508,E$1:E507,1,FALSE()))),"OLD",IF(AND(E508&lt;&gt;"",E508&lt;&gt;"!!!"),"NEW","")))</f>
        <v>OLD</v>
      </c>
      <c r="G508" s="22" t="s">
        <v>594</v>
      </c>
      <c r="H508" s="23" t="str">
        <f t="shared" ca="1" si="46"/>
        <v/>
      </c>
      <c r="I508" s="24" t="str">
        <f>IF(OR(E508="",E508="!!!",F508="NEW"),"",INDEX(B$2:B507,-1+SUMPRODUCT(MAX(ROW(E$2:E507)*(E508=E$2:E507)))))</f>
        <v>other_3</v>
      </c>
      <c r="J508" s="24">
        <f ca="1">IF(OR(E508="",E508="!!!",F508="NEW"),"",COUNTBLANK(OFFSET(A$1,,,SUMPRODUCT(MAX(ROW(E$2:E508)*(E508=E$2:E508)))))-COUNTBLANK(OFFSET(A$1,,,SUMPRODUCT(MAX(ROW(E$1:E507)*(E2=E$1:E507))))))</f>
        <v>0</v>
      </c>
      <c r="K508" s="24">
        <f ca="1">IF(OR(E508="",E508="!!!",F508="NEW"),"",INDEX(J$1:J507,SUMPRODUCT(MAX(ROW(E$1:E507)*(E508=E$1:E507)))))</f>
        <v>0</v>
      </c>
      <c r="L508" s="25"/>
    </row>
    <row r="509" spans="1:12" x14ac:dyDescent="0.3">
      <c r="A509" t="s">
        <v>435</v>
      </c>
      <c r="E509" s="20" t="str">
        <f t="shared" si="47"/>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46"/>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0" spans="1:12" x14ac:dyDescent="0.3">
      <c r="A510" t="s">
        <v>376</v>
      </c>
      <c r="E510" s="20" t="str">
        <f t="shared" si="47"/>
        <v/>
      </c>
      <c r="F510" s="21" t="str">
        <f>IF(OR(E510="",E510="!!!"),"",IF(NOT(ISNA(VLOOKUP(E510,E$1:E509,1,FALSE()))),"OLD",IF(AND(E510&lt;&gt;"",E510&lt;&gt;"!!!"),"NEW","")))</f>
        <v/>
      </c>
      <c r="G510" s="22" t="str">
        <f>IF(OR(E510="",E510="!!!"),"",IF(OR(J510=0,AND(J510=1,K510=1),AND(J510=1,I510="SBJ"),AND(J510=1,I510=0)),"?IN_FOCUS",IF(J510&lt;=2,"?ACTIVATED",IF(J510&lt;&gt;"","?FAMILIAR",IF(F510="NEW",IF(ISNA(VLOOKUP(E510,#REF!,1,FALSE())),"?TYPE_IDENTIFIABLE","?REFERENTIAL"),"_")))))</f>
        <v/>
      </c>
      <c r="H510" s="23" t="str">
        <f t="shared" ca="1" si="46"/>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155</v>
      </c>
      <c r="E511" s="20" t="str">
        <f t="shared" si="47"/>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46"/>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336</v>
      </c>
      <c r="E512" s="20" t="str">
        <f t="shared" si="47"/>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46"/>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436</v>
      </c>
      <c r="E513" s="20" t="str">
        <f t="shared" si="47"/>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46"/>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158</v>
      </c>
      <c r="E514" s="20" t="str">
        <f t="shared" si="47"/>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46"/>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437</v>
      </c>
      <c r="E515" s="20" t="str">
        <f t="shared" si="47"/>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46"/>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438</v>
      </c>
      <c r="E516" s="20" t="str">
        <f t="shared" si="47"/>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46"/>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439</v>
      </c>
      <c r="B517" s="26" t="s">
        <v>339</v>
      </c>
      <c r="C517" s="26" t="s">
        <v>185</v>
      </c>
      <c r="E517" s="20" t="str">
        <f t="shared" si="47"/>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46"/>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440</v>
      </c>
      <c r="E518" s="20" t="str">
        <f t="shared" si="47"/>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46"/>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3">
      <c r="A519" t="s">
        <v>186</v>
      </c>
      <c r="E519" s="20" t="str">
        <f t="shared" si="47"/>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46"/>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1" spans="1:12" x14ac:dyDescent="0.3">
      <c r="A521" t="s">
        <v>441</v>
      </c>
    </row>
    <row r="522" spans="1:12" x14ac:dyDescent="0.3">
      <c r="A522" t="s">
        <v>442</v>
      </c>
      <c r="B522" s="26" t="s">
        <v>149</v>
      </c>
      <c r="C522" s="26" t="s">
        <v>168</v>
      </c>
      <c r="D522" s="26" t="s">
        <v>151</v>
      </c>
      <c r="E522" s="20" t="s">
        <v>536</v>
      </c>
      <c r="F522" s="21" t="str">
        <f>IF(OR(E522="",E522="!!!"),"",IF(NOT(ISNA(VLOOKUP(E522,E$1:E521,1,FALSE()))),"OLD",IF(AND(E522&lt;&gt;"",E522&lt;&gt;"!!!"),"NEW","")))</f>
        <v>OLD</v>
      </c>
      <c r="G522" s="22" t="s">
        <v>592</v>
      </c>
      <c r="H522" s="23" t="str">
        <f t="shared" ref="H522:H530" ca="1" si="48">IF(J522&lt;&gt;1,"",IF(I522="SBJ","CB","?"))</f>
        <v/>
      </c>
      <c r="I522" s="24" t="str">
        <f>IF(OR(E522="",E522="!!!",F522="NEW"),"",INDEX(B$2:B521,-1+SUMPRODUCT(MAX(ROW(E$2:E521)*(E522=E$2:E521)))))</f>
        <v>SBJ</v>
      </c>
      <c r="J522" s="24">
        <f ca="1">IF(OR(E522="",E522="!!!",F522="NEW"),"",COUNTBLANK(OFFSET(A$1,,,SUMPRODUCT(MAX(ROW(E$2:E522)*(E522=E$2:E522)))))-COUNTBLANK(OFFSET(A$1,,,SUMPRODUCT(MAX(ROW(E$1:E521)*(E2=E$1:E521))))))</f>
        <v>0</v>
      </c>
      <c r="K522" s="24">
        <f ca="1">IF(OR(E522="",E522="!!!",F522="NEW"),"",INDEX(J$1:J521,SUMPRODUCT(MAX(ROW(E$1:E521)*(E522=E$1:E521)))))</f>
        <v>0</v>
      </c>
      <c r="L522" s="25"/>
    </row>
    <row r="523" spans="1:12" x14ac:dyDescent="0.3">
      <c r="A523" t="s">
        <v>443</v>
      </c>
      <c r="E523" s="20" t="str">
        <f t="shared" ref="E523:E530" si="49">IF(D523="?OLD","!!!","")</f>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48"/>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444</v>
      </c>
      <c r="E524" s="20" t="s">
        <v>536</v>
      </c>
      <c r="F524" s="21" t="str">
        <f>IF(OR(E524="",E524="!!!"),"",IF(NOT(ISNA(VLOOKUP(E524,E$1:E523,1,FALSE()))),"OLD",IF(AND(E524&lt;&gt;"",E524&lt;&gt;"!!!"),"NEW","")))</f>
        <v>OLD</v>
      </c>
      <c r="G524" s="22" t="s">
        <v>593</v>
      </c>
      <c r="H524" s="23" t="str">
        <f t="shared" ca="1" si="48"/>
        <v/>
      </c>
      <c r="I524" s="24" t="str">
        <f>IF(OR(E524="",E524="!!!",F524="NEW"),"",INDEX(B$2:B523,-1+SUMPRODUCT(MAX(ROW(E$2:E523)*(E524=E$2:E523)))))</f>
        <v>SBJ</v>
      </c>
      <c r="J524" s="24">
        <f ca="1">IF(OR(E524="",E524="!!!",F524="NEW"),"",COUNTBLANK(OFFSET(A$1,,,SUMPRODUCT(MAX(ROW(E$2:E524)*(E524=E$2:E524)))))-COUNTBLANK(OFFSET(A$1,,,SUMPRODUCT(MAX(ROW(E$1:E523)*(E2=E$1:E523))))))</f>
        <v>0</v>
      </c>
      <c r="K524" s="24">
        <f ca="1">IF(OR(E524="",E524="!!!",F524="NEW"),"",INDEX(J$1:J523,SUMPRODUCT(MAX(ROW(E$1:E523)*(E524=E$1:E523)))))</f>
        <v>0</v>
      </c>
      <c r="L524" s="25"/>
    </row>
    <row r="525" spans="1:12" x14ac:dyDescent="0.3">
      <c r="A525" t="s">
        <v>445</v>
      </c>
      <c r="B525" s="26" t="s">
        <v>166</v>
      </c>
      <c r="C525" s="26" t="s">
        <v>414</v>
      </c>
      <c r="E525" s="20" t="s">
        <v>562</v>
      </c>
      <c r="F525" s="21" t="str">
        <f>IF(OR(E525="",E525="!!!"),"",IF(NOT(ISNA(VLOOKUP(E525,E$1:E524,1,FALSE()))),"OLD",IF(AND(E525&lt;&gt;"",E525&lt;&gt;"!!!"),"NEW","")))</f>
        <v>NEW</v>
      </c>
      <c r="G525" s="22" t="s">
        <v>595</v>
      </c>
      <c r="H525" s="23" t="str">
        <f t="shared" ca="1" si="48"/>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373</v>
      </c>
      <c r="E526" s="20" t="str">
        <f t="shared" si="49"/>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48"/>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85</v>
      </c>
      <c r="E527" s="20" t="str">
        <f t="shared" si="49"/>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t="shared" ca="1" si="48"/>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268</v>
      </c>
      <c r="B528" s="26" t="s">
        <v>173</v>
      </c>
      <c r="C528" s="26" t="s">
        <v>215</v>
      </c>
      <c r="E528" s="20" t="str">
        <f t="shared" si="49"/>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48"/>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446</v>
      </c>
      <c r="E529" s="20" t="str">
        <f t="shared" si="49"/>
        <v/>
      </c>
      <c r="F529" s="21" t="str">
        <f>IF(OR(E529="",E529="!!!"),"",IF(NOT(ISNA(VLOOKUP(E529,E$1:E528,1,FALSE()))),"OLD",IF(AND(E529&lt;&gt;"",E529&lt;&gt;"!!!"),"NEW","")))</f>
        <v/>
      </c>
      <c r="G529" s="22" t="str">
        <f>IF(OR(E529="",E529="!!!"),"",IF(OR(J529=0,AND(J529=1,K529=1),AND(J529=1,I529="SBJ"),AND(J529=1,I529=0)),"?IN_FOCUS",IF(J529&lt;=2,"?ACTIVATED",IF(J529&lt;&gt;"","?FAMILIAR",IF(F529="NEW",IF(ISNA(VLOOKUP(E529,#REF!,1,FALSE())),"?TYPE_IDENTIFIABLE","?REFERENTIAL"),"_")))))</f>
        <v/>
      </c>
      <c r="H529" s="23" t="str">
        <f t="shared" ca="1" si="48"/>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186</v>
      </c>
      <c r="E530" s="20" t="str">
        <f t="shared" si="49"/>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48"/>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2" spans="1:12" x14ac:dyDescent="0.3">
      <c r="A532" t="s">
        <v>447</v>
      </c>
    </row>
    <row r="533" spans="1:12" x14ac:dyDescent="0.3">
      <c r="A533" t="s">
        <v>283</v>
      </c>
      <c r="E533" s="20" t="str">
        <f t="shared" ref="E533:E563" si="50">IF(D533="?OLD","!!!","")</f>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ref="H533:H563" ca="1" si="51">IF(J533&lt;&gt;1,"",IF(I533="SBJ","CB","?"))</f>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448</v>
      </c>
      <c r="B534" s="26" t="s">
        <v>153</v>
      </c>
      <c r="C534" s="26" t="s">
        <v>449</v>
      </c>
      <c r="D534" s="26" t="s">
        <v>151</v>
      </c>
      <c r="E534" s="20" t="s">
        <v>536</v>
      </c>
      <c r="F534" s="21" t="str">
        <f>IF(OR(E534="",E534="!!!"),"",IF(NOT(ISNA(VLOOKUP(E534,E$1:E533,1,FALSE()))),"OLD",IF(AND(E534&lt;&gt;"",E534&lt;&gt;"!!!"),"NEW","")))</f>
        <v>OLD</v>
      </c>
      <c r="G534" s="22" t="s">
        <v>593</v>
      </c>
      <c r="H534" s="23" t="s">
        <v>142</v>
      </c>
      <c r="I534" s="24">
        <f>IF(OR(E534="",E534="!!!",F534="NEW"),"",INDEX(B$2:B533,-1+SUMPRODUCT(MAX(ROW(E$2:E533)*(E534=E$2:E533)))))</f>
        <v>0</v>
      </c>
      <c r="J534" s="24">
        <f ca="1">IF(OR(E534="",E534="!!!",F534="NEW"),"",COUNTBLANK(OFFSET(A$1,,,SUMPRODUCT(MAX(ROW(E$2:E534)*(E534=E$2:E534)))))-COUNTBLANK(OFFSET(A$1,,,SUMPRODUCT(MAX(ROW(E$1:E533)*(E2=E$1:E533))))))</f>
        <v>0</v>
      </c>
      <c r="K534" s="24">
        <f ca="1">IF(OR(E534="",E534="!!!",F534="NEW"),"",INDEX(J$1:J533,SUMPRODUCT(MAX(ROW(E$1:E533)*(E534=E$1:E533)))))</f>
        <v>0</v>
      </c>
      <c r="L534" s="25"/>
    </row>
    <row r="535" spans="1:12" x14ac:dyDescent="0.3">
      <c r="A535" t="s">
        <v>450</v>
      </c>
      <c r="B535" s="26" t="s">
        <v>173</v>
      </c>
      <c r="C535" s="26" t="s">
        <v>160</v>
      </c>
      <c r="E535" s="20" t="s">
        <v>560</v>
      </c>
      <c r="F535" s="21" t="str">
        <f>IF(OR(E535="",E535="!!!"),"",IF(NOT(ISNA(VLOOKUP(E535,E$1:E534,1,FALSE()))),"OLD",IF(AND(E535&lt;&gt;"",E535&lt;&gt;"!!!"),"NEW","")))</f>
        <v>NEW</v>
      </c>
      <c r="G535" s="22" t="s">
        <v>595</v>
      </c>
      <c r="H535" s="23" t="str">
        <f t="shared" ca="1" si="51"/>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27</v>
      </c>
      <c r="E536" s="20" t="str">
        <f t="shared" si="50"/>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51"/>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148</v>
      </c>
      <c r="B537" s="26" t="s">
        <v>149</v>
      </c>
      <c r="C537" s="26" t="s">
        <v>150</v>
      </c>
      <c r="D537" s="26" t="s">
        <v>151</v>
      </c>
      <c r="E537" s="20" t="s">
        <v>562</v>
      </c>
      <c r="F537" s="21" t="str">
        <f>IF(OR(E537="",E537="!!!"),"",IF(NOT(ISNA(VLOOKUP(E537,E$1:E536,1,FALSE()))),"OLD",IF(AND(E537&lt;&gt;"",E537&lt;&gt;"!!!"),"NEW","")))</f>
        <v>OLD</v>
      </c>
      <c r="G537" s="22" t="s">
        <v>594</v>
      </c>
      <c r="H537" s="23" t="str">
        <f t="shared" ca="1" si="51"/>
        <v/>
      </c>
      <c r="I537" s="24" t="str">
        <f>IF(OR(E537="",E537="!!!",F537="NEW"),"",INDEX(B$2:B536,-1+SUMPRODUCT(MAX(ROW(E$2:E536)*(E537=E$2:E536)))))</f>
        <v>OBJ</v>
      </c>
      <c r="J537" s="24">
        <f ca="1">IF(OR(E537="",E537="!!!",F537="NEW"),"",COUNTBLANK(OFFSET(A$1,,,SUMPRODUCT(MAX(ROW(E$2:E537)*(E537=E$2:E537)))))-COUNTBLANK(OFFSET(A$1,,,SUMPRODUCT(MAX(ROW(E$1:E536)*(E2=E$1:E536))))))</f>
        <v>0</v>
      </c>
      <c r="K537" s="24" t="str">
        <f ca="1">IF(OR(E537="",E537="!!!",F537="NEW"),"",INDEX(J$1:J536,SUMPRODUCT(MAX(ROW(E$1:E536)*(E537=E$1:E536)))))</f>
        <v/>
      </c>
      <c r="L537" s="25"/>
    </row>
    <row r="538" spans="1:12" x14ac:dyDescent="0.3">
      <c r="A538" t="s">
        <v>451</v>
      </c>
      <c r="E538" s="20" t="str">
        <f t="shared" si="50"/>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ca="1" si="51"/>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158</v>
      </c>
      <c r="E539" s="20" t="str">
        <f t="shared" si="50"/>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51"/>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452</v>
      </c>
      <c r="E540" s="20" t="str">
        <f t="shared" si="50"/>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51"/>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177</v>
      </c>
      <c r="B541" s="26" t="s">
        <v>166</v>
      </c>
      <c r="C541" s="26" t="s">
        <v>160</v>
      </c>
      <c r="E541" s="20" t="s">
        <v>547</v>
      </c>
      <c r="F541" s="21" t="str">
        <f>IF(OR(E541="",E541="!!!"),"",IF(NOT(ISNA(VLOOKUP(E541,E$1:E540,1,FALSE()))),"OLD",IF(AND(E541&lt;&gt;"",E541&lt;&gt;"!!!"),"NEW","")))</f>
        <v>OLD</v>
      </c>
      <c r="G541" s="22" t="s">
        <v>592</v>
      </c>
      <c r="H541" s="23" t="str">
        <f t="shared" ca="1" si="51"/>
        <v/>
      </c>
      <c r="I541" s="24" t="str">
        <f>IF(OR(E541="",E541="!!!",F541="NEW"),"",INDEX(B$2:B540,-1+SUMPRODUCT(MAX(ROW(E$2:E540)*(E541=E$2:E540)))))</f>
        <v>other_2</v>
      </c>
      <c r="J541" s="24">
        <f ca="1">IF(OR(E541="",E541="!!!",F541="NEW"),"",COUNTBLANK(OFFSET(A$1,,,SUMPRODUCT(MAX(ROW(E$2:E541)*(E541=E$2:E541)))))-COUNTBLANK(OFFSET(A$1,,,SUMPRODUCT(MAX(ROW(E$1:E540)*(E2=E$1:E540))))))</f>
        <v>0</v>
      </c>
      <c r="K541" s="24">
        <f ca="1">IF(OR(E541="",E541="!!!",F541="NEW"),"",INDEX(J$1:J540,SUMPRODUCT(MAX(ROW(E$1:E540)*(E541=E$1:E540)))))</f>
        <v>0</v>
      </c>
      <c r="L541" s="25"/>
    </row>
    <row r="542" spans="1:12" x14ac:dyDescent="0.3">
      <c r="A542" t="s">
        <v>175</v>
      </c>
      <c r="E542" s="20" t="str">
        <f t="shared" si="50"/>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51"/>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453</v>
      </c>
      <c r="B543" s="26" t="s">
        <v>153</v>
      </c>
      <c r="C543" s="26" t="s">
        <v>160</v>
      </c>
      <c r="E543" s="20" t="str">
        <f t="shared" si="50"/>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51"/>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222</v>
      </c>
      <c r="E544" s="20" t="str">
        <f t="shared" si="50"/>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51"/>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454</v>
      </c>
      <c r="E545" s="20" t="str">
        <f t="shared" si="50"/>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51"/>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6" spans="1:12" x14ac:dyDescent="0.3">
      <c r="A546" t="s">
        <v>455</v>
      </c>
      <c r="E546" s="20" t="str">
        <f t="shared" si="50"/>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51"/>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456</v>
      </c>
      <c r="E547" s="20" t="str">
        <f t="shared" si="50"/>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51"/>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457</v>
      </c>
      <c r="B548" s="26" t="s">
        <v>153</v>
      </c>
      <c r="C548" s="26" t="s">
        <v>215</v>
      </c>
      <c r="E548" s="20" t="s">
        <v>585</v>
      </c>
      <c r="F548" s="21" t="str">
        <f>IF(OR(E548="",E548="!!!"),"",IF(NOT(ISNA(VLOOKUP(E548,E$1:E547,1,FALSE()))),"OLD",IF(AND(E548&lt;&gt;"",E548&lt;&gt;"!!!"),"NEW","")))</f>
        <v>NEW</v>
      </c>
      <c r="G548" s="22" t="s">
        <v>592</v>
      </c>
      <c r="H548" s="23" t="str">
        <f t="shared" ca="1" si="51"/>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t="s">
        <v>564</v>
      </c>
    </row>
    <row r="549" spans="1:12" x14ac:dyDescent="0.3">
      <c r="A549" t="s">
        <v>386</v>
      </c>
      <c r="E549" s="20" t="str">
        <f t="shared" si="50"/>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51"/>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458</v>
      </c>
      <c r="E550" s="20" t="str">
        <f t="shared" si="50"/>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51"/>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459</v>
      </c>
      <c r="B551" s="26" t="s">
        <v>226</v>
      </c>
      <c r="C551" s="26" t="s">
        <v>194</v>
      </c>
      <c r="E551" s="20" t="str">
        <f t="shared" si="50"/>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51"/>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255</v>
      </c>
      <c r="E552" s="20" t="str">
        <f t="shared" si="50"/>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51"/>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158</v>
      </c>
      <c r="E553" s="20" t="str">
        <f t="shared" si="50"/>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51"/>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256</v>
      </c>
      <c r="E554" s="20" t="str">
        <f t="shared" si="50"/>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51"/>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3">
      <c r="A555" t="s">
        <v>392</v>
      </c>
      <c r="E555" s="20" t="str">
        <f t="shared" si="50"/>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51"/>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460</v>
      </c>
      <c r="E556" s="20" t="str">
        <f t="shared" si="50"/>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51"/>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158</v>
      </c>
      <c r="E557" s="20" t="str">
        <f t="shared" si="50"/>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51"/>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8" spans="1:12" x14ac:dyDescent="0.3">
      <c r="A558" t="s">
        <v>461</v>
      </c>
      <c r="E558" s="20" t="str">
        <f t="shared" si="50"/>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t="shared" ca="1" si="51"/>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158</v>
      </c>
      <c r="E559" s="20" t="str">
        <f t="shared" si="50"/>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t="shared" ca="1" si="51"/>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462</v>
      </c>
      <c r="E560" s="20" t="str">
        <f t="shared" si="50"/>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t="shared" ca="1" si="51"/>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1" spans="1:12" x14ac:dyDescent="0.3">
      <c r="A561" t="s">
        <v>463</v>
      </c>
      <c r="B561" s="26" t="s">
        <v>153</v>
      </c>
      <c r="C561" s="26" t="s">
        <v>160</v>
      </c>
      <c r="E561" s="20" t="str">
        <f t="shared" si="50"/>
        <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t="shared" ca="1" si="51"/>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3">
      <c r="A562" t="s">
        <v>426</v>
      </c>
      <c r="E562" s="20" t="str">
        <f t="shared" si="50"/>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51"/>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186</v>
      </c>
      <c r="E563" s="20" t="str">
        <f t="shared" si="50"/>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51"/>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5" spans="1:12" x14ac:dyDescent="0.3">
      <c r="A565" t="s">
        <v>464</v>
      </c>
    </row>
    <row r="566" spans="1:12" x14ac:dyDescent="0.3">
      <c r="A566" t="s">
        <v>264</v>
      </c>
      <c r="E566" s="20" t="str">
        <f t="shared" ref="E566:E602" si="52">IF(D566="?OLD","!!!","")</f>
        <v/>
      </c>
      <c r="F566" s="21" t="str">
        <f>IF(OR(E566="",E566="!!!"),"",IF(NOT(ISNA(VLOOKUP(E566,E$1:E565,1,FALSE()))),"OLD",IF(AND(E566&lt;&gt;"",E566&lt;&gt;"!!!"),"NEW","")))</f>
        <v/>
      </c>
      <c r="G566" s="22" t="str">
        <f>IF(OR(E566="",E566="!!!"),"",IF(OR(J566=0,AND(J566=1,K566=1),AND(J566=1,I566="SBJ"),AND(J566=1,I566=0)),"?IN_FOCUS",IF(J566&lt;=2,"?ACTIVATED",IF(J566&lt;&gt;"","?FAMILIAR",IF(F566="NEW",IF(ISNA(VLOOKUP(E566,#REF!,1,FALSE())),"?TYPE_IDENTIFIABLE","?REFERENTIAL"),"_")))))</f>
        <v/>
      </c>
      <c r="H566" s="23" t="str">
        <f t="shared" ref="H566:H602" ca="1" si="53">IF(J566&lt;&gt;1,"",IF(I566="SBJ","CB","?"))</f>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176</v>
      </c>
      <c r="E567" s="20" t="str">
        <f t="shared" si="52"/>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53"/>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465</v>
      </c>
      <c r="B568" s="26" t="s">
        <v>173</v>
      </c>
      <c r="C568" s="26" t="s">
        <v>154</v>
      </c>
      <c r="D568" s="26" t="s">
        <v>151</v>
      </c>
      <c r="E568" s="20"/>
      <c r="F568" s="21" t="s">
        <v>550</v>
      </c>
      <c r="G568" s="22" t="str">
        <f>IF(OR(E568="",E568="!!!"),"",IF(OR(J568=0,AND(J568=1,K568=1),AND(J568=1,I568="SBJ"),AND(J568=1,I568=0)),"?IN_FOCUS",IF(J568&lt;=2,"?ACTIVATED",IF(J568&lt;&gt;"","?FAMILIAR",IF(F568="NEW",IF(ISNA(VLOOKUP(E568,#REF!,1,FALSE())),"?TYPE_IDENTIFIABLE","?REFERENTIAL"),"_")))))</f>
        <v/>
      </c>
      <c r="H568" s="23" t="str">
        <f t="shared" ca="1" si="53"/>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376</v>
      </c>
      <c r="E569" s="20" t="str">
        <f t="shared" si="52"/>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53"/>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148</v>
      </c>
      <c r="B570" s="26" t="s">
        <v>149</v>
      </c>
      <c r="C570" s="26" t="s">
        <v>150</v>
      </c>
      <c r="D570" s="26" t="s">
        <v>151</v>
      </c>
      <c r="E570" s="20" t="s">
        <v>562</v>
      </c>
      <c r="F570" s="21" t="str">
        <f>IF(OR(E570="",E570="!!!"),"",IF(NOT(ISNA(VLOOKUP(E570,E$1:E569,1,FALSE()))),"OLD",IF(AND(E570&lt;&gt;"",E570&lt;&gt;"!!!"),"NEW","")))</f>
        <v>OLD</v>
      </c>
      <c r="G570" s="22" t="s">
        <v>593</v>
      </c>
      <c r="H570" s="23" t="s">
        <v>142</v>
      </c>
      <c r="I570" s="24" t="str">
        <f>IF(OR(E570="",E570="!!!",F570="NEW"),"",INDEX(B$2:B569,-1+SUMPRODUCT(MAX(ROW(E$2:E569)*(E570=E$2:E569)))))</f>
        <v>SBJ</v>
      </c>
      <c r="J570" s="24">
        <f ca="1">IF(OR(E570="",E570="!!!",F570="NEW"),"",COUNTBLANK(OFFSET(A$1,,,SUMPRODUCT(MAX(ROW(E$2:E570)*(E570=E$2:E570)))))-COUNTBLANK(OFFSET(A$1,,,SUMPRODUCT(MAX(ROW(E$1:E569)*(E2=E$1:E569))))))</f>
        <v>0</v>
      </c>
      <c r="K570" s="24">
        <f ca="1">IF(OR(E570="",E570="!!!",F570="NEW"),"",INDEX(J$1:J569,SUMPRODUCT(MAX(ROW(E$1:E569)*(E570=E$1:E569)))))</f>
        <v>0</v>
      </c>
      <c r="L570" s="25"/>
    </row>
    <row r="571" spans="1:12" x14ac:dyDescent="0.3">
      <c r="A571" t="s">
        <v>466</v>
      </c>
      <c r="E571" s="20" t="str">
        <f t="shared" si="52"/>
        <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53"/>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467</v>
      </c>
      <c r="B572" s="26" t="s">
        <v>173</v>
      </c>
      <c r="C572" s="26" t="s">
        <v>154</v>
      </c>
      <c r="D572" s="26" t="s">
        <v>151</v>
      </c>
      <c r="E572" s="20" t="s">
        <v>561</v>
      </c>
      <c r="F572" s="21" t="str">
        <f>IF(OR(E572="",E572="!!!"),"",IF(NOT(ISNA(VLOOKUP(E572,E$1:E571,1,FALSE()))),"OLD",IF(AND(E572&lt;&gt;"",E572&lt;&gt;"!!!"),"NEW","")))</f>
        <v>NEW</v>
      </c>
      <c r="G572" s="22" t="s">
        <v>592</v>
      </c>
      <c r="H572" s="23" t="str">
        <f t="shared" ca="1" si="53"/>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386</v>
      </c>
      <c r="E573" s="20" t="str">
        <f t="shared" si="52"/>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53"/>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444</v>
      </c>
      <c r="B574" s="26" t="s">
        <v>157</v>
      </c>
      <c r="C574" s="26" t="s">
        <v>449</v>
      </c>
      <c r="D574" s="26" t="s">
        <v>151</v>
      </c>
      <c r="E574" s="20"/>
      <c r="F574" s="21" t="s">
        <v>540</v>
      </c>
      <c r="G574" s="22" t="str">
        <f>IF(OR(E574="",E574="!!!"),"",IF(OR(J574=0,AND(J574=1,K574=1),AND(J574=1,I574="SBJ"),AND(J574=1,I574=0)),"?IN_FOCUS",IF(J574&lt;=2,"?ACTIVATED",IF(J574&lt;&gt;"","?FAMILIAR",IF(F574="NEW",IF(ISNA(VLOOKUP(E574,#REF!,1,FALSE())),"?TYPE_IDENTIFIABLE","?REFERENTIAL"),"_")))))</f>
        <v/>
      </c>
      <c r="H574" s="23" t="str">
        <f t="shared" ca="1" si="53"/>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468</v>
      </c>
      <c r="B575" s="26" t="s">
        <v>153</v>
      </c>
      <c r="C575" s="26" t="s">
        <v>160</v>
      </c>
      <c r="E575" s="20" t="str">
        <f t="shared" si="52"/>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53"/>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392</v>
      </c>
      <c r="E576" s="20" t="str">
        <f t="shared" si="52"/>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53"/>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469</v>
      </c>
      <c r="E577" s="20" t="str">
        <f t="shared" si="52"/>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53"/>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155</v>
      </c>
      <c r="E578" s="20" t="str">
        <f t="shared" si="52"/>
        <v/>
      </c>
      <c r="F578" s="21" t="str">
        <f>IF(OR(E578="",E578="!!!"),"",IF(NOT(ISNA(VLOOKUP(E578,E$1:E577,1,FALSE()))),"OLD",IF(AND(E578&lt;&gt;"",E578&lt;&gt;"!!!"),"NEW","")))</f>
        <v/>
      </c>
      <c r="G578" s="22" t="str">
        <f>IF(OR(E578="",E578="!!!"),"",IF(OR(J578=0,AND(J578=1,K578=1),AND(J578=1,I578="SBJ"),AND(J578=1,I578=0)),"?IN_FOCUS",IF(J578&lt;=2,"?ACTIVATED",IF(J578&lt;&gt;"","?FAMILIAR",IF(F578="NEW",IF(ISNA(VLOOKUP(E578,#REF!,1,FALSE())),"?TYPE_IDENTIFIABLE","?REFERENTIAL"),"_")))))</f>
        <v/>
      </c>
      <c r="H578" s="23" t="str">
        <f t="shared" ca="1" si="53"/>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337</v>
      </c>
      <c r="E579" s="20" t="str">
        <f t="shared" si="52"/>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53"/>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171</v>
      </c>
      <c r="E580" s="20" t="str">
        <f t="shared" si="52"/>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53"/>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470</v>
      </c>
      <c r="B581" s="26" t="s">
        <v>339</v>
      </c>
      <c r="C581" s="26" t="s">
        <v>174</v>
      </c>
      <c r="D581" s="26" t="s">
        <v>151</v>
      </c>
      <c r="E581" s="20" t="s">
        <v>585</v>
      </c>
      <c r="F581" s="21" t="s">
        <v>543</v>
      </c>
      <c r="G581" s="22" t="s">
        <v>594</v>
      </c>
      <c r="H581" s="23" t="str">
        <f t="shared" ca="1" si="53"/>
        <v/>
      </c>
      <c r="I581" s="24" t="str">
        <f>IF(OR(E581="",E581="!!!",F581="NEW"),"",INDEX(B$2:B580,-1+SUMPRODUCT(MAX(ROW(E$2:E580)*(E581=E$2:E580)))))</f>
        <v>other_2</v>
      </c>
      <c r="J581" s="24">
        <f ca="1">IF(OR(E581="",E581="!!!",F581="NEW"),"",COUNTBLANK(OFFSET(A$1,,,SUMPRODUCT(MAX(ROW(E$2:E581)*(E581=E$2:E581)))))-COUNTBLANK(OFFSET(A$1,,,SUMPRODUCT(MAX(ROW(E$1:E580)*(E2=E$1:E580))))))</f>
        <v>0</v>
      </c>
      <c r="K581" s="24" t="str">
        <f ca="1">IF(OR(E581="",E581="!!!",F581="NEW"),"",INDEX(J$1:J580,SUMPRODUCT(MAX(ROW(E$1:E580)*(E581=E$1:E580)))))</f>
        <v/>
      </c>
      <c r="L581" s="25"/>
    </row>
    <row r="582" spans="1:12" x14ac:dyDescent="0.3">
      <c r="A582" t="s">
        <v>471</v>
      </c>
      <c r="E582" s="20" t="str">
        <f t="shared" si="52"/>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53"/>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177</v>
      </c>
      <c r="B583" s="26" t="s">
        <v>339</v>
      </c>
      <c r="C583" s="26" t="s">
        <v>160</v>
      </c>
      <c r="E583" s="20" t="s">
        <v>547</v>
      </c>
      <c r="F583" s="21" t="str">
        <f>IF(OR(E583="",E583="!!!"),"",IF(NOT(ISNA(VLOOKUP(E583,E$1:E582,1,FALSE()))),"OLD",IF(AND(E583&lt;&gt;"",E583&lt;&gt;"!!!"),"NEW","")))</f>
        <v>OLD</v>
      </c>
      <c r="G583" s="22" t="s">
        <v>593</v>
      </c>
      <c r="H583" s="23" t="str">
        <f t="shared" ca="1" si="53"/>
        <v/>
      </c>
      <c r="I583" s="24" t="str">
        <f>IF(OR(E583="",E583="!!!",F583="NEW"),"",INDEX(B$2:B582,-1+SUMPRODUCT(MAX(ROW(E$2:E582)*(E583=E$2:E582)))))</f>
        <v>OBJ</v>
      </c>
      <c r="J583" s="24">
        <f ca="1">IF(OR(E583="",E583="!!!",F583="NEW"),"",COUNTBLANK(OFFSET(A$1,,,SUMPRODUCT(MAX(ROW(E$2:E583)*(E583=E$2:E583)))))-COUNTBLANK(OFFSET(A$1,,,SUMPRODUCT(MAX(ROW(E$1:E582)*(E2=E$1:E582))))))</f>
        <v>0</v>
      </c>
      <c r="K583" s="24">
        <f ca="1">IF(OR(E583="",E583="!!!",F583="NEW"),"",INDEX(J$1:J582,SUMPRODUCT(MAX(ROW(E$1:E582)*(E583=E$1:E582)))))</f>
        <v>0</v>
      </c>
      <c r="L583" s="25"/>
    </row>
    <row r="584" spans="1:12" x14ac:dyDescent="0.3">
      <c r="A584" t="s">
        <v>299</v>
      </c>
      <c r="E584" s="20" t="str">
        <f t="shared" si="52"/>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53"/>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3">
      <c r="A585" t="s">
        <v>116</v>
      </c>
      <c r="E585" s="20" t="str">
        <f t="shared" si="52"/>
        <v/>
      </c>
      <c r="F585" s="21" t="str">
        <f>IF(OR(E585="",E585="!!!"),"",IF(NOT(ISNA(VLOOKUP(E585,E$1:E584,1,FALSE()))),"OLD",IF(AND(E585&lt;&gt;"",E585&lt;&gt;"!!!"),"NEW","")))</f>
        <v/>
      </c>
      <c r="G585" s="22" t="str">
        <f>IF(OR(E585="",E585="!!!"),"",IF(OR(J585=0,AND(J585=1,K585=1),AND(J585=1,I585="SBJ"),AND(J585=1,I585=0)),"?IN_FOCUS",IF(J585&lt;=2,"?ACTIVATED",IF(J585&lt;&gt;"","?FAMILIAR",IF(F585="NEW",IF(ISNA(VLOOKUP(E585,#REF!,1,FALSE())),"?TYPE_IDENTIFIABLE","?REFERENTIAL"),"_")))))</f>
        <v/>
      </c>
      <c r="H585" s="23" t="str">
        <f t="shared" ca="1" si="53"/>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155</v>
      </c>
      <c r="E586" s="20" t="str">
        <f t="shared" si="52"/>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53"/>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197</v>
      </c>
      <c r="B587" s="26" t="s">
        <v>235</v>
      </c>
      <c r="E587" s="20" t="str">
        <f t="shared" si="52"/>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53"/>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197</v>
      </c>
      <c r="E588" s="20" t="str">
        <f t="shared" si="52"/>
        <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53"/>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89" spans="1:12" x14ac:dyDescent="0.3">
      <c r="A589" t="s">
        <v>472</v>
      </c>
      <c r="B589" s="26" t="s">
        <v>339</v>
      </c>
      <c r="C589" s="26" t="s">
        <v>174</v>
      </c>
      <c r="D589" s="26" t="s">
        <v>151</v>
      </c>
      <c r="E589" s="20"/>
      <c r="F589" s="21" t="s">
        <v>537</v>
      </c>
      <c r="G589" s="22" t="str">
        <f>IF(OR(E589="",E589="!!!"),"",IF(OR(J589=0,AND(J589=1,K589=1),AND(J589=1,I589="SBJ"),AND(J589=1,I589=0)),"?IN_FOCUS",IF(J589&lt;=2,"?ACTIVATED",IF(J589&lt;&gt;"","?FAMILIAR",IF(F589="NEW",IF(ISNA(VLOOKUP(E589,#REF!,1,FALSE())),"?TYPE_IDENTIFIABLE","?REFERENTIAL"),"_")))))</f>
        <v/>
      </c>
      <c r="H589" s="23" t="str">
        <f t="shared" ca="1" si="53"/>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473</v>
      </c>
      <c r="E590" s="20" t="str">
        <f t="shared" si="52"/>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53"/>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155</v>
      </c>
      <c r="E591" s="20" t="str">
        <f t="shared" si="52"/>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53"/>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373</v>
      </c>
      <c r="E592" s="20" t="str">
        <f t="shared" si="52"/>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53"/>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237</v>
      </c>
      <c r="B593" s="26" t="s">
        <v>157</v>
      </c>
      <c r="C593" s="26" t="s">
        <v>163</v>
      </c>
      <c r="D593" s="26" t="s">
        <v>151</v>
      </c>
      <c r="E593" s="20"/>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53"/>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t="s">
        <v>539</v>
      </c>
    </row>
    <row r="594" spans="1:12" x14ac:dyDescent="0.3">
      <c r="A594" t="s">
        <v>474</v>
      </c>
      <c r="E594" s="20" t="str">
        <f t="shared" si="52"/>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53"/>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475</v>
      </c>
      <c r="E595" s="20" t="str">
        <f t="shared" si="52"/>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53"/>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261</v>
      </c>
      <c r="B596" s="26" t="s">
        <v>153</v>
      </c>
      <c r="C596" s="26" t="s">
        <v>211</v>
      </c>
      <c r="D596" s="26" t="s">
        <v>151</v>
      </c>
      <c r="E596" s="20" t="s">
        <v>547</v>
      </c>
      <c r="F596" s="21" t="str">
        <f>IF(OR(E596="",E596="!!!"),"",IF(NOT(ISNA(VLOOKUP(E596,E$1:E595,1,FALSE()))),"OLD",IF(AND(E596&lt;&gt;"",E596&lt;&gt;"!!!"),"NEW","")))</f>
        <v>OLD</v>
      </c>
      <c r="G596" s="22" t="s">
        <v>593</v>
      </c>
      <c r="H596" s="23" t="str">
        <f t="shared" ca="1" si="53"/>
        <v/>
      </c>
      <c r="I596" s="24" t="str">
        <f>IF(OR(E596="",E596="!!!",F596="NEW"),"",INDEX(B$2:B595,-1+SUMPRODUCT(MAX(ROW(E$2:E595)*(E596=E$2:E595)))))</f>
        <v>OBJ_2</v>
      </c>
      <c r="J596" s="24">
        <f ca="1">IF(OR(E596="",E596="!!!",F596="NEW"),"",COUNTBLANK(OFFSET(A$1,,,SUMPRODUCT(MAX(ROW(E$2:E596)*(E596=E$2:E596)))))-COUNTBLANK(OFFSET(A$1,,,SUMPRODUCT(MAX(ROW(E$1:E595)*(E2=E$1:E595))))))</f>
        <v>0</v>
      </c>
      <c r="K596" s="24">
        <f ca="1">IF(OR(E596="",E596="!!!",F596="NEW"),"",INDEX(J$1:J595,SUMPRODUCT(MAX(ROW(E$1:E595)*(E596=E$1:E595)))))</f>
        <v>0</v>
      </c>
      <c r="L596" s="25"/>
    </row>
    <row r="597" spans="1:12" x14ac:dyDescent="0.3">
      <c r="A597" t="s">
        <v>299</v>
      </c>
      <c r="E597" s="20" t="str">
        <f t="shared" si="52"/>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53"/>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476</v>
      </c>
      <c r="E598" s="20" t="str">
        <f t="shared" si="52"/>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53"/>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158</v>
      </c>
      <c r="E599" s="20" t="str">
        <f t="shared" si="52"/>
        <v/>
      </c>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53"/>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299</v>
      </c>
      <c r="E600" s="20" t="str">
        <f t="shared" si="52"/>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53"/>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477</v>
      </c>
      <c r="E601" s="20" t="str">
        <f t="shared" si="52"/>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53"/>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186</v>
      </c>
      <c r="E602" s="20" t="str">
        <f t="shared" si="52"/>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53"/>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4" spans="1:12" x14ac:dyDescent="0.3">
      <c r="A604" t="s">
        <v>478</v>
      </c>
    </row>
    <row r="605" spans="1:12" x14ac:dyDescent="0.3">
      <c r="A605" t="s">
        <v>177</v>
      </c>
      <c r="B605" s="26" t="s">
        <v>149</v>
      </c>
      <c r="C605" s="26" t="s">
        <v>160</v>
      </c>
      <c r="E605" s="20" t="s">
        <v>547</v>
      </c>
      <c r="F605" s="21" t="str">
        <f>IF(OR(E605="",E605="!!!"),"",IF(NOT(ISNA(VLOOKUP(E605,E$1:E604,1,FALSE()))),"OLD",IF(AND(E605&lt;&gt;"",E605&lt;&gt;"!!!"),"NEW","")))</f>
        <v>OLD</v>
      </c>
      <c r="G605" s="22" t="s">
        <v>593</v>
      </c>
      <c r="H605" s="23" t="s">
        <v>142</v>
      </c>
      <c r="I605" s="24" t="str">
        <f>IF(OR(E605="",E605="!!!",F605="NEW"),"",INDEX(B$2:B604,-1+SUMPRODUCT(MAX(ROW(E$2:E604)*(E605=E$2:E604)))))</f>
        <v>other_2</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479</v>
      </c>
      <c r="E606" s="20" t="s">
        <v>586</v>
      </c>
      <c r="F606" s="21" t="str">
        <f>IF(OR(E606="",E606="!!!"),"",IF(NOT(ISNA(VLOOKUP(E606,E$1:E605,1,FALSE()))),"OLD",IF(AND(E606&lt;&gt;"",E606&lt;&gt;"!!!"),"NEW","")))</f>
        <v>NEW</v>
      </c>
      <c r="G606" s="22" t="s">
        <v>595</v>
      </c>
      <c r="H606" s="23" t="str">
        <f t="shared" ref="H605:H625" ca="1" si="54">IF(J606&lt;&gt;1,"",IF(I606="SBJ","CB","?"))</f>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t="s">
        <v>564</v>
      </c>
    </row>
    <row r="607" spans="1:12" x14ac:dyDescent="0.3">
      <c r="A607" t="s">
        <v>51</v>
      </c>
      <c r="B607" s="26" t="s">
        <v>166</v>
      </c>
      <c r="C607" s="26" t="s">
        <v>160</v>
      </c>
      <c r="E607" s="20" t="str">
        <f t="shared" ref="E606:E625" si="55">IF(D607="?OLD","!!!","")</f>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54"/>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155</v>
      </c>
      <c r="E608" s="20" t="str">
        <f t="shared" si="55"/>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54"/>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480</v>
      </c>
      <c r="B609" s="26" t="s">
        <v>153</v>
      </c>
      <c r="C609" s="26" t="s">
        <v>160</v>
      </c>
      <c r="E609" s="20" t="str">
        <f t="shared" si="55"/>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54"/>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3">
      <c r="A610" t="s">
        <v>158</v>
      </c>
      <c r="E610" s="20" t="str">
        <f t="shared" si="55"/>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54"/>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481</v>
      </c>
      <c r="B611" s="26" t="s">
        <v>153</v>
      </c>
      <c r="C611" s="26" t="s">
        <v>160</v>
      </c>
      <c r="E611" s="20" t="str">
        <f t="shared" si="55"/>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54"/>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2" spans="1:12" x14ac:dyDescent="0.3">
      <c r="A612" t="s">
        <v>222</v>
      </c>
      <c r="E612" s="20" t="str">
        <f t="shared" si="55"/>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54"/>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265</v>
      </c>
      <c r="E613" s="20" t="str">
        <f t="shared" si="55"/>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54"/>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482</v>
      </c>
      <c r="B614" s="26" t="s">
        <v>173</v>
      </c>
      <c r="C614" s="26" t="s">
        <v>174</v>
      </c>
      <c r="D614" s="26" t="s">
        <v>151</v>
      </c>
      <c r="E614" s="20"/>
      <c r="F614" s="21" t="s">
        <v>537</v>
      </c>
      <c r="G614" s="22" t="str">
        <f>IF(OR(E614="",E614="!!!"),"",IF(OR(J614=0,AND(J614=1,K614=1),AND(J614=1,I614="SBJ"),AND(J614=1,I614=0)),"?IN_FOCUS",IF(J614&lt;=2,"?ACTIVATED",IF(J614&lt;&gt;"","?FAMILIAR",IF(F614="NEW",IF(ISNA(VLOOKUP(E614,#REF!,1,FALSE())),"?TYPE_IDENTIFIABLE","?REFERENTIAL"),"_")))))</f>
        <v/>
      </c>
      <c r="H614" s="23" t="str">
        <f t="shared" ca="1" si="54"/>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3">
      <c r="A615" t="s">
        <v>483</v>
      </c>
      <c r="E615" s="20" t="str">
        <f t="shared" si="55"/>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54"/>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484</v>
      </c>
      <c r="E616" s="20" t="str">
        <f t="shared" si="55"/>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54"/>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485</v>
      </c>
      <c r="B617" s="26" t="s">
        <v>153</v>
      </c>
      <c r="C617" s="26" t="s">
        <v>160</v>
      </c>
      <c r="E617" s="20" t="str">
        <f t="shared" si="55"/>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54"/>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155</v>
      </c>
      <c r="E618" s="20" t="str">
        <f t="shared" si="55"/>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54"/>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486</v>
      </c>
      <c r="B619" s="26" t="s">
        <v>157</v>
      </c>
      <c r="C619" s="26" t="s">
        <v>160</v>
      </c>
      <c r="E619" s="20" t="str">
        <f t="shared" si="55"/>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54"/>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158</v>
      </c>
      <c r="E620" s="20" t="str">
        <f t="shared" si="55"/>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54"/>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487</v>
      </c>
      <c r="B621" s="26" t="s">
        <v>157</v>
      </c>
      <c r="C621" s="26" t="s">
        <v>160</v>
      </c>
      <c r="E621" s="20" t="str">
        <f t="shared" si="55"/>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54"/>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222</v>
      </c>
      <c r="E622" s="20" t="str">
        <f t="shared" si="55"/>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54"/>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3" spans="1:12" x14ac:dyDescent="0.3">
      <c r="A623" t="s">
        <v>265</v>
      </c>
      <c r="E623" s="20" t="str">
        <f t="shared" si="55"/>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54"/>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488</v>
      </c>
      <c r="B624" s="26" t="s">
        <v>157</v>
      </c>
      <c r="C624" s="26" t="s">
        <v>174</v>
      </c>
      <c r="D624" s="26" t="s">
        <v>151</v>
      </c>
      <c r="E624" s="20"/>
      <c r="F624" s="21" t="s">
        <v>537</v>
      </c>
      <c r="G624" s="22" t="str">
        <f>IF(OR(E624="",E624="!!!"),"",IF(OR(J624=0,AND(J624=1,K624=1),AND(J624=1,I624="SBJ"),AND(J624=1,I624=0)),"?IN_FOCUS",IF(J624&lt;=2,"?ACTIVATED",IF(J624&lt;&gt;"","?FAMILIAR",IF(F624="NEW",IF(ISNA(VLOOKUP(E624,#REF!,1,FALSE())),"?TYPE_IDENTIFIABLE","?REFERENTIAL"),"_")))))</f>
        <v/>
      </c>
      <c r="H624" s="23" t="str">
        <f t="shared" ca="1" si="54"/>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186</v>
      </c>
      <c r="E625" s="20" t="str">
        <f t="shared" si="55"/>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54"/>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7" spans="1:12" x14ac:dyDescent="0.3">
      <c r="A627" t="s">
        <v>489</v>
      </c>
    </row>
    <row r="628" spans="1:12" x14ac:dyDescent="0.3">
      <c r="A628" t="s">
        <v>209</v>
      </c>
      <c r="B628" s="26" t="s">
        <v>153</v>
      </c>
      <c r="C628" s="26" t="s">
        <v>163</v>
      </c>
      <c r="D628" s="26" t="s">
        <v>151</v>
      </c>
      <c r="E628" s="20"/>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ref="H628:H643" ca="1" si="56">IF(J628&lt;&gt;1,"",IF(I628="SBJ","CB","?"))</f>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t="s">
        <v>539</v>
      </c>
    </row>
    <row r="629" spans="1:12" x14ac:dyDescent="0.3">
      <c r="A629" t="s">
        <v>490</v>
      </c>
      <c r="B629" s="26" t="s">
        <v>149</v>
      </c>
      <c r="C629" s="26" t="s">
        <v>211</v>
      </c>
      <c r="D629" s="26" t="s">
        <v>151</v>
      </c>
      <c r="E629" s="20" t="s">
        <v>586</v>
      </c>
      <c r="F629" s="21" t="str">
        <f>IF(OR(E629="",E629="!!!"),"",IF(NOT(ISNA(VLOOKUP(E629,E$1:E628,1,FALSE()))),"OLD",IF(AND(E629&lt;&gt;"",E629&lt;&gt;"!!!"),"NEW","")))</f>
        <v>OLD</v>
      </c>
      <c r="G629" s="22" t="s">
        <v>594</v>
      </c>
      <c r="H629" s="23" t="s">
        <v>142</v>
      </c>
      <c r="I629" s="24">
        <f>IF(OR(E629="",E629="!!!",F629="NEW"),"",INDEX(B$2:B628,-1+SUMPRODUCT(MAX(ROW(E$2:E628)*(E629=E$2:E628)))))</f>
        <v>0</v>
      </c>
      <c r="J629" s="24">
        <f ca="1">IF(OR(E629="",E629="!!!",F629="NEW"),"",COUNTBLANK(OFFSET(A$1,,,SUMPRODUCT(MAX(ROW(E$2:E629)*(E629=E$2:E629)))))-COUNTBLANK(OFFSET(A$1,,,SUMPRODUCT(MAX(ROW(E$1:E628)*(E2=E$1:E628))))))</f>
        <v>0</v>
      </c>
      <c r="K629" s="24" t="str">
        <f ca="1">IF(OR(E629="",E629="!!!",F629="NEW"),"",INDEX(J$1:J628,SUMPRODUCT(MAX(ROW(E$1:E628)*(E629=E$1:E628)))))</f>
        <v/>
      </c>
      <c r="L629" s="25"/>
    </row>
    <row r="630" spans="1:12" x14ac:dyDescent="0.3">
      <c r="A630" t="s">
        <v>491</v>
      </c>
      <c r="E630" s="20" t="str">
        <f t="shared" ref="E629:E643" si="57">IF(D630="?OLD","!!!","")</f>
        <v/>
      </c>
      <c r="F630" s="21" t="str">
        <f>IF(OR(E630="",E630="!!!"),"",IF(NOT(ISNA(VLOOKUP(E630,E$1:E629,1,FALSE()))),"OLD",IF(AND(E630&lt;&gt;"",E630&lt;&gt;"!!!"),"NEW","")))</f>
        <v/>
      </c>
      <c r="G630" s="22" t="str">
        <f>IF(OR(E630="",E630="!!!"),"",IF(OR(J630=0,AND(J630=1,K630=1),AND(J630=1,I630="SBJ"),AND(J630=1,I630=0)),"?IN_FOCUS",IF(J630&lt;=2,"?ACTIVATED",IF(J630&lt;&gt;"","?FAMILIAR",IF(F630="NEW",IF(ISNA(VLOOKUP(E630,#REF!,1,FALSE())),"?TYPE_IDENTIFIABLE","?REFERENTIAL"),"_")))))</f>
        <v/>
      </c>
      <c r="H630" s="23" t="str">
        <f t="shared" ca="1" si="56"/>
        <v/>
      </c>
      <c r="I630" s="24" t="str">
        <f>IF(OR(E630="",E630="!!!",F630="NEW"),"",INDEX(B$2:B629,-1+SUMPRODUCT(MAX(ROW(E$2:E629)*(E630=E$2:E629)))))</f>
        <v/>
      </c>
      <c r="J630" s="24" t="str">
        <f ca="1">IF(OR(E630="",E630="!!!",F630="NEW"),"",COUNTBLANK(OFFSET(A$1,,,SUMPRODUCT(MAX(ROW(E$2:E630)*(E630=E$2:E630)))))-COUNTBLANK(OFFSET(A$1,,,SUMPRODUCT(MAX(ROW(E$1:E629)*(E2=E$1:E629))))))</f>
        <v/>
      </c>
      <c r="K630" s="24" t="str">
        <f>IF(OR(E630="",E630="!!!",F630="NEW"),"",INDEX(J$1:J629,SUMPRODUCT(MAX(ROW(E$1:E629)*(E630=E$1:E629)))))</f>
        <v/>
      </c>
      <c r="L630" s="25"/>
    </row>
    <row r="631" spans="1:12" x14ac:dyDescent="0.3">
      <c r="A631" t="s">
        <v>492</v>
      </c>
      <c r="E631" s="20" t="str">
        <f t="shared" si="57"/>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ca="1" si="56"/>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493</v>
      </c>
      <c r="B632" s="26" t="s">
        <v>166</v>
      </c>
      <c r="C632" s="26" t="s">
        <v>160</v>
      </c>
      <c r="E632" s="20" t="str">
        <f t="shared" si="57"/>
        <v/>
      </c>
      <c r="F632" s="21" t="str">
        <f>IF(OR(E632="",E632="!!!"),"",IF(NOT(ISNA(VLOOKUP(E632,E$1:E631,1,FALSE()))),"OLD",IF(AND(E632&lt;&gt;"",E632&lt;&gt;"!!!"),"NEW","")))</f>
        <v/>
      </c>
      <c r="G632" s="22" t="str">
        <f>IF(OR(E632="",E632="!!!"),"",IF(OR(J632=0,AND(J632=1,K632=1),AND(J632=1,I632="SBJ"),AND(J632=1,I632=0)),"?IN_FOCUS",IF(J632&lt;=2,"?ACTIVATED",IF(J632&lt;&gt;"","?FAMILIAR",IF(F632="NEW",IF(ISNA(VLOOKUP(E632,#REF!,1,FALSE())),"?TYPE_IDENTIFIABLE","?REFERENTIAL"),"_")))))</f>
        <v/>
      </c>
      <c r="H632" s="23" t="str">
        <f t="shared" ca="1" si="56"/>
        <v/>
      </c>
      <c r="I632" s="24" t="str">
        <f>IF(OR(E632="",E632="!!!",F632="NEW"),"",INDEX(B$2:B631,-1+SUMPRODUCT(MAX(ROW(E$2:E631)*(E632=E$2:E631)))))</f>
        <v/>
      </c>
      <c r="J632" s="24" t="str">
        <f ca="1">IF(OR(E632="",E632="!!!",F632="NEW"),"",COUNTBLANK(OFFSET(A$1,,,SUMPRODUCT(MAX(ROW(E$2:E632)*(E632=E$2:E632)))))-COUNTBLANK(OFFSET(A$1,,,SUMPRODUCT(MAX(ROW(E$1:E631)*(E2=E$1:E631))))))</f>
        <v/>
      </c>
      <c r="K632" s="24" t="str">
        <f>IF(OR(E632="",E632="!!!",F632="NEW"),"",INDEX(J$1:J631,SUMPRODUCT(MAX(ROW(E$1:E631)*(E632=E$1:E631)))))</f>
        <v/>
      </c>
      <c r="L632" s="25"/>
    </row>
    <row r="633" spans="1:12" x14ac:dyDescent="0.3">
      <c r="A633" t="s">
        <v>222</v>
      </c>
      <c r="E633" s="20" t="str">
        <f t="shared" si="57"/>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56"/>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197</v>
      </c>
      <c r="E634" s="20" t="str">
        <f t="shared" si="57"/>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56"/>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494</v>
      </c>
      <c r="B635" s="26" t="s">
        <v>153</v>
      </c>
      <c r="C635" s="26" t="s">
        <v>174</v>
      </c>
      <c r="D635" s="26" t="s">
        <v>151</v>
      </c>
      <c r="E635" s="20"/>
      <c r="F635" s="21" t="s">
        <v>537</v>
      </c>
      <c r="G635" s="22" t="str">
        <f>IF(OR(E635="",E635="!!!"),"",IF(OR(J635=0,AND(J635=1,K635=1),AND(J635=1,I635="SBJ"),AND(J635=1,I635=0)),"?IN_FOCUS",IF(J635&lt;=2,"?ACTIVATED",IF(J635&lt;&gt;"","?FAMILIAR",IF(F635="NEW",IF(ISNA(VLOOKUP(E635,#REF!,1,FALSE())),"?TYPE_IDENTIFIABLE","?REFERENTIAL"),"_")))))</f>
        <v/>
      </c>
      <c r="H635" s="23" t="str">
        <f t="shared" ca="1" si="56"/>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3">
      <c r="A636" t="s">
        <v>483</v>
      </c>
      <c r="E636" s="20" t="str">
        <f t="shared" si="57"/>
        <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t="shared" ca="1" si="56"/>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3">
      <c r="A637" t="s">
        <v>222</v>
      </c>
      <c r="E637" s="20" t="str">
        <f t="shared" si="57"/>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56"/>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265</v>
      </c>
      <c r="E638" s="20" t="str">
        <f t="shared" si="57"/>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t="shared" ca="1" si="56"/>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39" spans="1:12" x14ac:dyDescent="0.3">
      <c r="A639" t="s">
        <v>495</v>
      </c>
      <c r="E639" s="20" t="str">
        <f t="shared" si="57"/>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56"/>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158</v>
      </c>
      <c r="E640" s="20" t="str">
        <f t="shared" si="57"/>
        <v/>
      </c>
      <c r="F640" s="21" t="str">
        <f>IF(OR(E640="",E640="!!!"),"",IF(NOT(ISNA(VLOOKUP(E640,E$1:E639,1,FALSE()))),"OLD",IF(AND(E640&lt;&gt;"",E640&lt;&gt;"!!!"),"NEW","")))</f>
        <v/>
      </c>
      <c r="G640" s="22" t="str">
        <f>IF(OR(E640="",E640="!!!"),"",IF(OR(J640=0,AND(J640=1,K640=1),AND(J640=1,I640="SBJ"),AND(J640=1,I640=0)),"?IN_FOCUS",IF(J640&lt;=2,"?ACTIVATED",IF(J640&lt;&gt;"","?FAMILIAR",IF(F640="NEW",IF(ISNA(VLOOKUP(E640,#REF!,1,FALSE())),"?TYPE_IDENTIFIABLE","?REFERENTIAL"),"_")))))</f>
        <v/>
      </c>
      <c r="H640" s="23" t="str">
        <f t="shared" ca="1" si="56"/>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row>
    <row r="641" spans="1:12" x14ac:dyDescent="0.3">
      <c r="A641" t="s">
        <v>496</v>
      </c>
      <c r="E641" s="20" t="str">
        <f t="shared" si="57"/>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56"/>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497</v>
      </c>
      <c r="B642" s="26" t="s">
        <v>173</v>
      </c>
      <c r="C642" s="26" t="s">
        <v>174</v>
      </c>
      <c r="D642" s="26" t="s">
        <v>151</v>
      </c>
      <c r="E642" s="20"/>
      <c r="F642" s="21" t="s">
        <v>537</v>
      </c>
      <c r="G642" s="22" t="str">
        <f>IF(OR(E642="",E642="!!!"),"",IF(OR(J642=0,AND(J642=1,K642=1),AND(J642=1,I642="SBJ"),AND(J642=1,I642=0)),"?IN_FOCUS",IF(J642&lt;=2,"?ACTIVATED",IF(J642&lt;&gt;"","?FAMILIAR",IF(F642="NEW",IF(ISNA(VLOOKUP(E642,#REF!,1,FALSE())),"?TYPE_IDENTIFIABLE","?REFERENTIAL"),"_")))))</f>
        <v/>
      </c>
      <c r="H642" s="23" t="str">
        <f t="shared" ca="1" si="56"/>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186</v>
      </c>
      <c r="E643" s="20" t="str">
        <f t="shared" si="57"/>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56"/>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5" spans="1:12" x14ac:dyDescent="0.3">
      <c r="A645" t="s">
        <v>498</v>
      </c>
    </row>
    <row r="646" spans="1:12" x14ac:dyDescent="0.3">
      <c r="A646" t="s">
        <v>254</v>
      </c>
      <c r="B646" s="26" t="s">
        <v>149</v>
      </c>
      <c r="C646" s="26" t="s">
        <v>168</v>
      </c>
      <c r="D646" s="26" t="s">
        <v>151</v>
      </c>
      <c r="E646" s="20"/>
      <c r="F646" s="21" t="s">
        <v>551</v>
      </c>
      <c r="G646" s="22" t="str">
        <f>IF(OR(E646="",E646="!!!"),"",IF(OR(J646=0,AND(J646=1,K646=1),AND(J646=1,I646="SBJ"),AND(J646=1,I646=0)),"?IN_FOCUS",IF(J646&lt;=2,"?ACTIVATED",IF(J646&lt;&gt;"","?FAMILIAR",IF(F646="NEW",IF(ISNA(VLOOKUP(E646,#REF!,1,FALSE())),"?TYPE_IDENTIFIABLE","?REFERENTIAL"),"_")))))</f>
        <v/>
      </c>
      <c r="H646" s="23" t="str">
        <f t="shared" ref="H646:H670" ca="1" si="58">IF(J646&lt;&gt;1,"",IF(I646="SBJ","CB","?"))</f>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164</v>
      </c>
      <c r="E647" s="20" t="str">
        <f t="shared" ref="E646:E670" si="59">IF(D647="?OLD","!!!","")</f>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58"/>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197</v>
      </c>
      <c r="E648" s="20" t="str">
        <f t="shared" si="59"/>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58"/>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499</v>
      </c>
      <c r="B649" s="26" t="s">
        <v>173</v>
      </c>
      <c r="C649" s="26" t="s">
        <v>236</v>
      </c>
      <c r="D649" s="26" t="s">
        <v>151</v>
      </c>
      <c r="E649" s="20" t="s">
        <v>587</v>
      </c>
      <c r="F649" s="21" t="str">
        <f>IF(OR(E649="",E649="!!!"),"",IF(NOT(ISNA(VLOOKUP(E649,E$1:E648,1,FALSE()))),"OLD",IF(AND(E649&lt;&gt;"",E649&lt;&gt;"!!!"),"NEW","")))</f>
        <v>NEW</v>
      </c>
      <c r="G649" s="22" t="s">
        <v>595</v>
      </c>
      <c r="H649" s="23" t="str">
        <f t="shared" ca="1" si="58"/>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3">
      <c r="A650" t="s">
        <v>237</v>
      </c>
      <c r="B650" s="26" t="s">
        <v>153</v>
      </c>
      <c r="C650" s="26" t="s">
        <v>163</v>
      </c>
      <c r="D650" s="26" t="s">
        <v>151</v>
      </c>
      <c r="E650" s="20"/>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58"/>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t="s">
        <v>539</v>
      </c>
    </row>
    <row r="651" spans="1:12" x14ac:dyDescent="0.3">
      <c r="A651" t="s">
        <v>210</v>
      </c>
      <c r="B651" s="26" t="s">
        <v>173</v>
      </c>
      <c r="C651" s="26" t="s">
        <v>211</v>
      </c>
      <c r="D651" s="26" t="s">
        <v>151</v>
      </c>
      <c r="E651" s="20" t="s">
        <v>538</v>
      </c>
      <c r="F651" s="21" t="str">
        <f>IF(OR(E651="",E651="!!!"),"",IF(NOT(ISNA(VLOOKUP(E651,E$1:E650,1,FALSE()))),"OLD",IF(AND(E651&lt;&gt;"",E651&lt;&gt;"!!!"),"NEW","")))</f>
        <v>OLD</v>
      </c>
      <c r="G651" s="22" t="s">
        <v>592</v>
      </c>
      <c r="H651" s="23" t="str">
        <f t="shared" ca="1" si="58"/>
        <v/>
      </c>
      <c r="I651" s="24" t="str">
        <f>IF(OR(E651="",E651="!!!",F651="NEW"),"",INDEX(B$2:B650,-1+SUMPRODUCT(MAX(ROW(E$2:E650)*(E651=E$2:E650)))))</f>
        <v>SBJ</v>
      </c>
      <c r="J651" s="24">
        <f ca="1">IF(OR(E651="",E651="!!!",F651="NEW"),"",COUNTBLANK(OFFSET(A$1,,,SUMPRODUCT(MAX(ROW(E$2:E651)*(E651=E$2:E651)))))-COUNTBLANK(OFFSET(A$1,,,SUMPRODUCT(MAX(ROW(E$1:E650)*(E2=E$1:E650))))))</f>
        <v>0</v>
      </c>
      <c r="K651" s="24">
        <f ca="1">IF(OR(E651="",E651="!!!",F651="NEW"),"",INDEX(J$1:J650,SUMPRODUCT(MAX(ROW(E$1:E650)*(E651=E$1:E650)))))</f>
        <v>0</v>
      </c>
      <c r="L651" s="25"/>
    </row>
    <row r="652" spans="1:12" x14ac:dyDescent="0.3">
      <c r="A652" t="s">
        <v>155</v>
      </c>
      <c r="E652" s="20" t="str">
        <f t="shared" si="59"/>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58"/>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197</v>
      </c>
      <c r="B653" s="26" t="s">
        <v>235</v>
      </c>
      <c r="C653" s="26" t="s">
        <v>150</v>
      </c>
      <c r="D653" s="26" t="s">
        <v>151</v>
      </c>
      <c r="E653" s="20" t="s">
        <v>587</v>
      </c>
      <c r="F653" s="21" t="str">
        <f>IF(OR(E653="",E653="!!!"),"",IF(NOT(ISNA(VLOOKUP(E653,E$1:E652,1,FALSE()))),"OLD",IF(AND(E653&lt;&gt;"",E653&lt;&gt;"!!!"),"NEW","")))</f>
        <v>OLD</v>
      </c>
      <c r="G653" s="22" t="s">
        <v>593</v>
      </c>
      <c r="H653" s="23" t="str">
        <f t="shared" ca="1" si="58"/>
        <v/>
      </c>
      <c r="I653" s="24" t="str">
        <f>IF(OR(E653="",E653="!!!",F653="NEW"),"",INDEX(B$2:B652,-1+SUMPRODUCT(MAX(ROW(E$2:E652)*(E653=E$2:E652)))))</f>
        <v>other</v>
      </c>
      <c r="J653" s="24">
        <f ca="1">IF(OR(E653="",E653="!!!",F653="NEW"),"",COUNTBLANK(OFFSET(A$1,,,SUMPRODUCT(MAX(ROW(E$2:E653)*(E653=E$2:E653)))))-COUNTBLANK(OFFSET(A$1,,,SUMPRODUCT(MAX(ROW(E$1:E652)*(E2=E$1:E652))))))</f>
        <v>0</v>
      </c>
      <c r="K653" s="24" t="str">
        <f ca="1">IF(OR(E653="",E653="!!!",F653="NEW"),"",INDEX(J$1:J652,SUMPRODUCT(MAX(ROW(E$1:E652)*(E653=E$1:E652)))))</f>
        <v/>
      </c>
      <c r="L653" s="25"/>
    </row>
    <row r="654" spans="1:12" x14ac:dyDescent="0.3">
      <c r="A654" t="s">
        <v>500</v>
      </c>
      <c r="E654" s="20" t="str">
        <f t="shared" si="59"/>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58"/>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224</v>
      </c>
      <c r="E655" s="20" t="str">
        <f t="shared" si="59"/>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58"/>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225</v>
      </c>
      <c r="B656" s="26" t="s">
        <v>339</v>
      </c>
      <c r="C656" s="26" t="s">
        <v>160</v>
      </c>
      <c r="E656" s="20" t="s">
        <v>563</v>
      </c>
      <c r="F656" s="21" t="str">
        <f>IF(OR(E656="",E656="!!!"),"",IF(NOT(ISNA(VLOOKUP(E656,E$1:E655,1,FALSE()))),"OLD",IF(AND(E656&lt;&gt;"",E656&lt;&gt;"!!!"),"NEW","")))</f>
        <v>OLD</v>
      </c>
      <c r="G656" s="22" t="s">
        <v>592</v>
      </c>
      <c r="H656" s="23" t="str">
        <f t="shared" ca="1" si="58"/>
        <v/>
      </c>
      <c r="I656" s="24" t="str">
        <f>IF(OR(E656="",E656="!!!",F656="NEW"),"",INDEX(B$2:B655,-1+SUMPRODUCT(MAX(ROW(E$2:E655)*(E656=E$2:E655)))))</f>
        <v>other</v>
      </c>
      <c r="J656" s="24">
        <f ca="1">IF(OR(E656="",E656="!!!",F656="NEW"),"",COUNTBLANK(OFFSET(A$1,,,SUMPRODUCT(MAX(ROW(E$2:E656)*(E656=E$2:E656)))))-COUNTBLANK(OFFSET(A$1,,,SUMPRODUCT(MAX(ROW(E$1:E655)*(E2=E$1:E655))))))</f>
        <v>0</v>
      </c>
      <c r="K656" s="24">
        <f ca="1">IF(OR(E656="",E656="!!!",F656="NEW"),"",INDEX(J$1:J655,SUMPRODUCT(MAX(ROW(E$1:E655)*(E656=E$1:E655)))))</f>
        <v>0</v>
      </c>
      <c r="L656" s="25"/>
    </row>
    <row r="657" spans="1:12" x14ac:dyDescent="0.3">
      <c r="A657" t="s">
        <v>501</v>
      </c>
      <c r="E657" s="20" t="str">
        <f t="shared" si="59"/>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58"/>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502</v>
      </c>
      <c r="E658" s="20" t="str">
        <f t="shared" si="59"/>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58"/>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155</v>
      </c>
      <c r="E659" s="20" t="str">
        <f t="shared" si="59"/>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58"/>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0" spans="1:12" x14ac:dyDescent="0.3">
      <c r="A660" t="s">
        <v>397</v>
      </c>
      <c r="B660" s="26" t="s">
        <v>307</v>
      </c>
      <c r="E660" s="20" t="str">
        <f t="shared" si="59"/>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ca="1" si="58"/>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222</v>
      </c>
      <c r="E661" s="20" t="str">
        <f t="shared" si="59"/>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58"/>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179</v>
      </c>
      <c r="E662" s="20" t="str">
        <f t="shared" si="59"/>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58"/>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177</v>
      </c>
      <c r="B663" s="26" t="s">
        <v>157</v>
      </c>
      <c r="C663" s="26" t="s">
        <v>174</v>
      </c>
      <c r="D663" s="26" t="s">
        <v>151</v>
      </c>
      <c r="E663" s="20" t="s">
        <v>547</v>
      </c>
      <c r="F663" s="21" t="str">
        <f>IF(OR(E663="",E663="!!!"),"",IF(NOT(ISNA(VLOOKUP(E663,E$1:E662,1,FALSE()))),"OLD",IF(AND(E663&lt;&gt;"",E663&lt;&gt;"!!!"),"NEW","")))</f>
        <v>OLD</v>
      </c>
      <c r="G663" s="22" t="s">
        <v>594</v>
      </c>
      <c r="H663" s="23" t="str">
        <f t="shared" ca="1" si="58"/>
        <v/>
      </c>
      <c r="I663" s="24" t="str">
        <f>IF(OR(E663="",E663="!!!",F663="NEW"),"",INDEX(B$2:B662,-1+SUMPRODUCT(MAX(ROW(E$2:E662)*(E663=E$2:E662)))))</f>
        <v>SBJ</v>
      </c>
      <c r="J663" s="24">
        <f ca="1">IF(OR(E663="",E663="!!!",F663="NEW"),"",COUNTBLANK(OFFSET(A$1,,,SUMPRODUCT(MAX(ROW(E$2:E663)*(E663=E$2:E663)))))-COUNTBLANK(OFFSET(A$1,,,SUMPRODUCT(MAX(ROW(E$1:E662)*(E2=E$1:E662))))))</f>
        <v>0</v>
      </c>
      <c r="K663" s="24">
        <f ca="1">IF(OR(E663="",E663="!!!",F663="NEW"),"",INDEX(J$1:J662,SUMPRODUCT(MAX(ROW(E$1:E662)*(E663=E$1:E662)))))</f>
        <v>0</v>
      </c>
      <c r="L663" s="25"/>
    </row>
    <row r="664" spans="1:12" x14ac:dyDescent="0.3">
      <c r="A664" t="s">
        <v>299</v>
      </c>
      <c r="E664" s="20" t="str">
        <f t="shared" si="59"/>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58"/>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503</v>
      </c>
      <c r="E665" s="20" t="s">
        <v>588</v>
      </c>
      <c r="F665" s="21" t="str">
        <f>IF(OR(E665="",E665="!!!"),"",IF(NOT(ISNA(VLOOKUP(E665,E$1:E664,1,FALSE()))),"OLD",IF(AND(E665&lt;&gt;"",E665&lt;&gt;"!!!"),"NEW","")))</f>
        <v>NEW</v>
      </c>
      <c r="G665" s="22" t="s">
        <v>595</v>
      </c>
      <c r="H665" s="23" t="str">
        <f t="shared" ca="1" si="58"/>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t="s">
        <v>564</v>
      </c>
    </row>
    <row r="666" spans="1:12" x14ac:dyDescent="0.3">
      <c r="A666" t="s">
        <v>158</v>
      </c>
      <c r="E666" s="20" t="str">
        <f t="shared" si="59"/>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58"/>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179</v>
      </c>
      <c r="B667" s="26" t="s">
        <v>235</v>
      </c>
      <c r="C667" s="26" t="s">
        <v>150</v>
      </c>
      <c r="D667" s="26" t="s">
        <v>151</v>
      </c>
      <c r="E667" s="20" t="s">
        <v>588</v>
      </c>
      <c r="F667" s="21" t="str">
        <f>IF(OR(E667="",E667="!!!"),"",IF(NOT(ISNA(VLOOKUP(E667,E$1:E666,1,FALSE()))),"OLD",IF(AND(E667&lt;&gt;"",E667&lt;&gt;"!!!"),"NEW","")))</f>
        <v>OLD</v>
      </c>
      <c r="G667" s="22" t="s">
        <v>593</v>
      </c>
      <c r="H667" s="23" t="str">
        <f t="shared" ca="1" si="58"/>
        <v/>
      </c>
      <c r="I667" s="24">
        <f>IF(OR(E667="",E667="!!!",F667="NEW"),"",INDEX(B$2:B666,-1+SUMPRODUCT(MAX(ROW(E$2:E666)*(E667=E$2:E666)))))</f>
        <v>0</v>
      </c>
      <c r="J667" s="24">
        <f ca="1">IF(OR(E667="",E667="!!!",F667="NEW"),"",COUNTBLANK(OFFSET(A$1,,,SUMPRODUCT(MAX(ROW(E$2:E667)*(E667=E$2:E667)))))-COUNTBLANK(OFFSET(A$1,,,SUMPRODUCT(MAX(ROW(E$1:E666)*(E2=E$1:E666))))))</f>
        <v>0</v>
      </c>
      <c r="K667" s="24" t="str">
        <f ca="1">IF(OR(E667="",E667="!!!",F667="NEW"),"",INDEX(J$1:J666,SUMPRODUCT(MAX(ROW(E$1:E666)*(E667=E$1:E666)))))</f>
        <v/>
      </c>
      <c r="L667" s="25"/>
    </row>
    <row r="668" spans="1:12" x14ac:dyDescent="0.3">
      <c r="A668" t="s">
        <v>164</v>
      </c>
      <c r="E668" s="20" t="str">
        <f t="shared" si="59"/>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58"/>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504</v>
      </c>
      <c r="E669" s="20" t="str">
        <f t="shared" si="59"/>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58"/>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186</v>
      </c>
      <c r="E670" s="20" t="str">
        <f t="shared" si="59"/>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58"/>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2" spans="1:12" x14ac:dyDescent="0.3">
      <c r="A672" t="s">
        <v>505</v>
      </c>
    </row>
    <row r="673" spans="1:12" x14ac:dyDescent="0.3">
      <c r="A673" t="s">
        <v>254</v>
      </c>
      <c r="B673" s="26" t="s">
        <v>149</v>
      </c>
      <c r="C673" s="26" t="s">
        <v>168</v>
      </c>
      <c r="D673" s="26" t="s">
        <v>151</v>
      </c>
      <c r="E673" s="20"/>
      <c r="F673" s="21" t="s">
        <v>551</v>
      </c>
      <c r="G673" s="22" t="str">
        <f>IF(OR(E673="",E673="!!!"),"",IF(OR(J673=0,AND(J673=1,K673=1),AND(J673=1,I673="SBJ"),AND(J673=1,I673=0)),"?IN_FOCUS",IF(J673&lt;=2,"?ACTIVATED",IF(J673&lt;&gt;"","?FAMILIAR",IF(F673="NEW",IF(ISNA(VLOOKUP(E673,#REF!,1,FALSE())),"?TYPE_IDENTIFIABLE","?REFERENTIAL"),"_")))))</f>
        <v/>
      </c>
      <c r="H673" s="23" t="str">
        <f t="shared" ref="H673:H687" ca="1" si="60">IF(J673&lt;&gt;1,"",IF(I673="SBJ","CB","?"))</f>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164</v>
      </c>
      <c r="E674" s="20" t="str">
        <f t="shared" ref="E674:E687" si="61">IF(D674="?OLD","!!!","")</f>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60"/>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202</v>
      </c>
      <c r="E675" s="20" t="str">
        <f t="shared" si="61"/>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60"/>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506</v>
      </c>
      <c r="E676" s="20" t="str">
        <f t="shared" si="61"/>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60"/>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155</v>
      </c>
      <c r="E677" s="20" t="str">
        <f t="shared" si="61"/>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60"/>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259</v>
      </c>
      <c r="E678" s="20" t="str">
        <f t="shared" si="61"/>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60"/>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79" spans="1:12" x14ac:dyDescent="0.3">
      <c r="A679" t="s">
        <v>176</v>
      </c>
      <c r="E679" s="20" t="str">
        <f t="shared" si="61"/>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ca="1" si="60"/>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366</v>
      </c>
      <c r="B680" s="26" t="s">
        <v>153</v>
      </c>
      <c r="C680" s="26" t="s">
        <v>174</v>
      </c>
      <c r="D680" s="26" t="s">
        <v>151</v>
      </c>
      <c r="E680" s="20" t="s">
        <v>547</v>
      </c>
      <c r="F680" s="21" t="str">
        <f>IF(OR(E680="",E680="!!!"),"",IF(NOT(ISNA(VLOOKUP(E680,E$1:E679,1,FALSE()))),"OLD",IF(AND(E680&lt;&gt;"",E680&lt;&gt;"!!!"),"NEW","")))</f>
        <v>OLD</v>
      </c>
      <c r="G680" s="22" t="s">
        <v>594</v>
      </c>
      <c r="H680" s="23" t="s">
        <v>142</v>
      </c>
      <c r="I680" s="24" t="str">
        <f>IF(OR(E680="",E680="!!!",F680="NEW"),"",INDEX(B$2:B679,-1+SUMPRODUCT(MAX(ROW(E$2:E679)*(E680=E$2:E679)))))</f>
        <v>other_3</v>
      </c>
      <c r="J680" s="24">
        <f ca="1">IF(OR(E680="",E680="!!!",F680="NEW"),"",COUNTBLANK(OFFSET(A$1,,,SUMPRODUCT(MAX(ROW(E$2:E680)*(E680=E$2:E680)))))-COUNTBLANK(OFFSET(A$1,,,SUMPRODUCT(MAX(ROW(E$1:E679)*(E2=E$1:E679))))))</f>
        <v>0</v>
      </c>
      <c r="K680" s="24">
        <f ca="1">IF(OR(E680="",E680="!!!",F680="NEW"),"",INDEX(J$1:J679,SUMPRODUCT(MAX(ROW(E$1:E679)*(E680=E$1:E679)))))</f>
        <v>0</v>
      </c>
      <c r="L680" s="25"/>
    </row>
    <row r="681" spans="1:12" x14ac:dyDescent="0.3">
      <c r="A681" t="s">
        <v>507</v>
      </c>
      <c r="E681" s="20" t="str">
        <f t="shared" si="61"/>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60"/>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155</v>
      </c>
      <c r="E682" s="20" t="str">
        <f t="shared" si="61"/>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60"/>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458</v>
      </c>
      <c r="E683" s="20" t="str">
        <f t="shared" si="61"/>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60"/>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row>
    <row r="684" spans="1:12" x14ac:dyDescent="0.3">
      <c r="A684" t="s">
        <v>459</v>
      </c>
      <c r="B684" s="26" t="s">
        <v>153</v>
      </c>
      <c r="C684" s="26" t="s">
        <v>194</v>
      </c>
      <c r="E684" s="20" t="str">
        <f t="shared" si="61"/>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60"/>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222</v>
      </c>
      <c r="E685" s="20" t="str">
        <f t="shared" si="61"/>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60"/>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225</v>
      </c>
      <c r="B686" s="26" t="s">
        <v>153</v>
      </c>
      <c r="C686" s="26" t="s">
        <v>160</v>
      </c>
      <c r="E686" s="20" t="s">
        <v>563</v>
      </c>
      <c r="F686" s="21" t="str">
        <f>IF(OR(E686="",E686="!!!"),"",IF(NOT(ISNA(VLOOKUP(E686,E$1:E685,1,FALSE()))),"OLD",IF(AND(E686&lt;&gt;"",E686&lt;&gt;"!!!"),"NEW","")))</f>
        <v>OLD</v>
      </c>
      <c r="G686" s="22" t="s">
        <v>594</v>
      </c>
      <c r="H686" s="23" t="str">
        <f t="shared" ca="1" si="60"/>
        <v/>
      </c>
      <c r="I686" s="24" t="str">
        <f>IF(OR(E686="",E686="!!!",F686="NEW"),"",INDEX(B$2:B685,-1+SUMPRODUCT(MAX(ROW(E$2:E685)*(E686=E$2:E685)))))</f>
        <v>OBJ_2</v>
      </c>
      <c r="J686" s="24">
        <f ca="1">IF(OR(E686="",E686="!!!",F686="NEW"),"",COUNTBLANK(OFFSET(A$1,,,SUMPRODUCT(MAX(ROW(E$2:E686)*(E686=E$2:E686)))))-COUNTBLANK(OFFSET(A$1,,,SUMPRODUCT(MAX(ROW(E$1:E685)*(E2=E$1:E685))))))</f>
        <v>0</v>
      </c>
      <c r="K686" s="24">
        <f ca="1">IF(OR(E686="",E686="!!!",F686="NEW"),"",INDEX(J$1:J685,SUMPRODUCT(MAX(ROW(E$1:E685)*(E686=E$1:E685)))))</f>
        <v>0</v>
      </c>
      <c r="L686" s="25"/>
    </row>
    <row r="687" spans="1:12" x14ac:dyDescent="0.3">
      <c r="A687" t="s">
        <v>186</v>
      </c>
      <c r="E687" s="20" t="str">
        <f t="shared" si="61"/>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60"/>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9" spans="1:12" x14ac:dyDescent="0.3">
      <c r="A689" t="s">
        <v>508</v>
      </c>
    </row>
    <row r="690" spans="1:12" x14ac:dyDescent="0.3">
      <c r="A690" t="s">
        <v>162</v>
      </c>
      <c r="B690" s="26" t="s">
        <v>149</v>
      </c>
      <c r="C690" s="26" t="s">
        <v>163</v>
      </c>
      <c r="D690" s="26" t="s">
        <v>151</v>
      </c>
      <c r="E690" s="20"/>
      <c r="F690" s="21" t="s">
        <v>549</v>
      </c>
      <c r="G690" s="22" t="str">
        <f>IF(OR(E690="",E690="!!!"),"",IF(OR(J690=0,AND(J690=1,K690=1),AND(J690=1,I690="SBJ"),AND(J690=1,I690=0)),"?IN_FOCUS",IF(J690&lt;=2,"?ACTIVATED",IF(J690&lt;&gt;"","?FAMILIAR",IF(F690="NEW",IF(ISNA(VLOOKUP(E690,#REF!,1,FALSE())),"?TYPE_IDENTIFIABLE","?REFERENTIAL"),"_")))))</f>
        <v/>
      </c>
      <c r="H690" s="23" t="str">
        <f t="shared" ref="H690:H696" ca="1" si="62">IF(J690&lt;&gt;1,"",IF(I690="SBJ","CB","?"))</f>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164</v>
      </c>
      <c r="E691" s="20" t="str">
        <f t="shared" ref="E690:E696" si="63">IF(D691="?OLD","!!!","")</f>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62"/>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274</v>
      </c>
      <c r="E692" s="20" t="str">
        <f t="shared" si="63"/>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62"/>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202</v>
      </c>
      <c r="E693" s="20" t="str">
        <f t="shared" si="63"/>
        <v/>
      </c>
      <c r="F693" s="21" t="str">
        <f>IF(OR(E693="",E693="!!!"),"",IF(NOT(ISNA(VLOOKUP(E693,E$1:E692,1,FALSE()))),"OLD",IF(AND(E693&lt;&gt;"",E693&lt;&gt;"!!!"),"NEW","")))</f>
        <v/>
      </c>
      <c r="G693" s="22" t="str">
        <f>IF(OR(E693="",E693="!!!"),"",IF(OR(J693=0,AND(J693=1,K693=1),AND(J693=1,I693="SBJ"),AND(J693=1,I693=0)),"?IN_FOCUS",IF(J693&lt;=2,"?ACTIVATED",IF(J693&lt;&gt;"","?FAMILIAR",IF(F693="NEW",IF(ISNA(VLOOKUP(E693,#REF!,1,FALSE())),"?TYPE_IDENTIFIABLE","?REFERENTIAL"),"_")))))</f>
        <v/>
      </c>
      <c r="H693" s="23" t="str">
        <f t="shared" ca="1" si="62"/>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509</v>
      </c>
      <c r="E694" s="20" t="str">
        <f t="shared" si="63"/>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62"/>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510</v>
      </c>
      <c r="B695" s="26" t="s">
        <v>173</v>
      </c>
      <c r="C695" s="26" t="s">
        <v>185</v>
      </c>
      <c r="E695" s="20" t="str">
        <f t="shared" si="63"/>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62"/>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186</v>
      </c>
      <c r="E696" s="20" t="str">
        <f t="shared" si="63"/>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62"/>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8" spans="1:12" x14ac:dyDescent="0.3">
      <c r="A698" t="s">
        <v>204</v>
      </c>
      <c r="E698" s="20" t="str">
        <f>IF(D698="?OLD","!!!","")</f>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ca="1">IF(J698&lt;&gt;1,"",IF(I698="SBJ","CB","?"))</f>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699" spans="1:12" x14ac:dyDescent="0.3">
      <c r="A699" t="s">
        <v>511</v>
      </c>
    </row>
    <row r="700" spans="1:12" x14ac:dyDescent="0.3">
      <c r="A700" t="s">
        <v>512</v>
      </c>
      <c r="B700" s="26" t="s">
        <v>173</v>
      </c>
      <c r="C700" s="26" t="s">
        <v>160</v>
      </c>
      <c r="E700" s="20" t="str">
        <f t="shared" ref="E700:E731" si="64">IF(D700="?OLD","!!!","")</f>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ref="H700:H731" ca="1" si="65">IF(J700&lt;&gt;1,"",IF(I700="SBJ","CB","?"))</f>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152</v>
      </c>
      <c r="B701" s="26" t="s">
        <v>173</v>
      </c>
      <c r="C701" s="26" t="s">
        <v>154</v>
      </c>
      <c r="D701" s="26" t="s">
        <v>151</v>
      </c>
      <c r="E701" s="20" t="s">
        <v>533</v>
      </c>
      <c r="F701" s="21" t="str">
        <f>IF(OR(E701="",E701="!!!"),"",IF(NOT(ISNA(VLOOKUP(E701,E$1:E700,1,FALSE()))),"OLD",IF(AND(E701&lt;&gt;"",E701&lt;&gt;"!!!"),"NEW","")))</f>
        <v>OLD</v>
      </c>
      <c r="G701" s="22" t="s">
        <v>592</v>
      </c>
      <c r="H701" s="23" t="str">
        <f t="shared" ca="1" si="65"/>
        <v/>
      </c>
      <c r="I701" s="24" t="str">
        <f>IF(OR(E701="",E701="!!!",F701="NEW"),"",INDEX(B$2:B700,-1+SUMPRODUCT(MAX(ROW(E$2:E700)*(E701=E$2:E700)))))</f>
        <v>other_3</v>
      </c>
      <c r="J701" s="24">
        <f ca="1">IF(OR(E701="",E701="!!!",F701="NEW"),"",COUNTBLANK(OFFSET(A$1,,,SUMPRODUCT(MAX(ROW(E$2:E701)*(E701=E$2:E701)))))-COUNTBLANK(OFFSET(A$1,,,SUMPRODUCT(MAX(ROW(E$1:E700)*(E2=E$1:E700))))))</f>
        <v>0</v>
      </c>
      <c r="K701" s="24">
        <f ca="1">IF(OR(E701="",E701="!!!",F701="NEW"),"",INDEX(J$1:J700,SUMPRODUCT(MAX(ROW(E$1:E700)*(E701=E$1:E700)))))</f>
        <v>0</v>
      </c>
      <c r="L701" s="25"/>
    </row>
    <row r="702" spans="1:12" x14ac:dyDescent="0.3">
      <c r="A702" t="s">
        <v>155</v>
      </c>
      <c r="E702" s="20" t="str">
        <f t="shared" si="64"/>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65"/>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238</v>
      </c>
      <c r="B703" s="26" t="s">
        <v>153</v>
      </c>
      <c r="C703" s="26" t="s">
        <v>154</v>
      </c>
      <c r="D703" s="26" t="s">
        <v>151</v>
      </c>
      <c r="E703" s="20" t="s">
        <v>544</v>
      </c>
      <c r="F703" s="21" t="str">
        <f>IF(OR(E703="",E703="!!!"),"",IF(NOT(ISNA(VLOOKUP(E703,E$1:E702,1,FALSE()))),"OLD",IF(AND(E703&lt;&gt;"",E703&lt;&gt;"!!!"),"NEW","")))</f>
        <v>OLD</v>
      </c>
      <c r="G703" s="22" t="s">
        <v>592</v>
      </c>
      <c r="H703" s="23" t="str">
        <f t="shared" ca="1" si="65"/>
        <v/>
      </c>
      <c r="I703" s="24" t="str">
        <f>IF(OR(E703="",E703="!!!",F703="NEW"),"",INDEX(B$2:B702,-1+SUMPRODUCT(MAX(ROW(E$2:E702)*(E703=E$2:E702)))))</f>
        <v>other_2</v>
      </c>
      <c r="J703" s="24">
        <f ca="1">IF(OR(E703="",E703="!!!",F703="NEW"),"",COUNTBLANK(OFFSET(A$1,,,SUMPRODUCT(MAX(ROW(E$2:E703)*(E703=E$2:E703)))))-COUNTBLANK(OFFSET(A$1,,,SUMPRODUCT(MAX(ROW(E$1:E702)*(E2=E$1:E702))))))</f>
        <v>0</v>
      </c>
      <c r="K703" s="24">
        <f ca="1">IF(OR(E703="",E703="!!!",F703="NEW"),"",INDEX(J$1:J702,SUMPRODUCT(MAX(ROW(E$1:E702)*(E703=E$1:E702)))))</f>
        <v>0</v>
      </c>
      <c r="L703" s="25"/>
    </row>
    <row r="704" spans="1:12" x14ac:dyDescent="0.3">
      <c r="A704" t="s">
        <v>155</v>
      </c>
      <c r="E704" s="20" t="str">
        <f t="shared" si="64"/>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65"/>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159</v>
      </c>
      <c r="B705" s="26" t="s">
        <v>153</v>
      </c>
      <c r="C705" s="26" t="s">
        <v>154</v>
      </c>
      <c r="D705" s="26" t="s">
        <v>151</v>
      </c>
      <c r="E705" s="20" t="s">
        <v>535</v>
      </c>
      <c r="F705" s="21" t="str">
        <f>IF(OR(E705="",E705="!!!"),"",IF(NOT(ISNA(VLOOKUP(E705,E$1:E704,1,FALSE()))),"OLD",IF(AND(E705&lt;&gt;"",E705&lt;&gt;"!!!"),"NEW","")))</f>
        <v>OLD</v>
      </c>
      <c r="G705" s="22" t="s">
        <v>592</v>
      </c>
      <c r="H705" s="23" t="str">
        <f t="shared" ca="1" si="65"/>
        <v/>
      </c>
      <c r="I705" s="24" t="str">
        <f>IF(OR(E705="",E705="!!!",F705="NEW"),"",INDEX(B$2:B704,-1+SUMPRODUCT(MAX(ROW(E$2:E704)*(E705=E$2:E704)))))</f>
        <v>other_4</v>
      </c>
      <c r="J705" s="24">
        <f ca="1">IF(OR(E705="",E705="!!!",F705="NEW"),"",COUNTBLANK(OFFSET(A$1,,,SUMPRODUCT(MAX(ROW(E$2:E705)*(E705=E$2:E705)))))-COUNTBLANK(OFFSET(A$1,,,SUMPRODUCT(MAX(ROW(E$1:E704)*(E2=E$1:E704))))))</f>
        <v>0</v>
      </c>
      <c r="K705" s="24">
        <f ca="1">IF(OR(E705="",E705="!!!",F705="NEW"),"",INDEX(J$1:J704,SUMPRODUCT(MAX(ROW(E$1:E704)*(E705=E$1:E704)))))</f>
        <v>0</v>
      </c>
      <c r="L705" s="25"/>
    </row>
    <row r="706" spans="1:12" x14ac:dyDescent="0.3">
      <c r="A706" t="s">
        <v>155</v>
      </c>
      <c r="E706" s="20" t="str">
        <f t="shared" si="64"/>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65"/>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156</v>
      </c>
      <c r="B707" s="26" t="s">
        <v>153</v>
      </c>
      <c r="C707" s="26" t="s">
        <v>154</v>
      </c>
      <c r="D707" s="26" t="s">
        <v>151</v>
      </c>
      <c r="E707" s="20" t="s">
        <v>534</v>
      </c>
      <c r="F707" s="21" t="str">
        <f>IF(OR(E707="",E707="!!!"),"",IF(NOT(ISNA(VLOOKUP(E707,E$1:E706,1,FALSE()))),"OLD",IF(AND(E707&lt;&gt;"",E707&lt;&gt;"!!!"),"NEW","")))</f>
        <v>OLD</v>
      </c>
      <c r="G707" s="22" t="s">
        <v>592</v>
      </c>
      <c r="H707" s="23" t="str">
        <f t="shared" ca="1" si="65"/>
        <v/>
      </c>
      <c r="I707" s="24" t="str">
        <f>IF(OR(E707="",E707="!!!",F707="NEW"),"",INDEX(B$2:B706,-1+SUMPRODUCT(MAX(ROW(E$2:E706)*(E707=E$2:E706)))))</f>
        <v>other_4</v>
      </c>
      <c r="J707" s="24">
        <f ca="1">IF(OR(E707="",E707="!!!",F707="NEW"),"",COUNTBLANK(OFFSET(A$1,,,SUMPRODUCT(MAX(ROW(E$2:E707)*(E707=E$2:E707)))))-COUNTBLANK(OFFSET(A$1,,,SUMPRODUCT(MAX(ROW(E$1:E706)*(E2=E$1:E706))))))</f>
        <v>0</v>
      </c>
      <c r="K707" s="24">
        <f ca="1">IF(OR(E707="",E707="!!!",F707="NEW"),"",INDEX(J$1:J706,SUMPRODUCT(MAX(ROW(E$1:E706)*(E707=E$1:E706)))))</f>
        <v>0</v>
      </c>
      <c r="L707" s="25"/>
    </row>
    <row r="708" spans="1:12" x14ac:dyDescent="0.3">
      <c r="A708" t="s">
        <v>158</v>
      </c>
      <c r="E708" s="20" t="str">
        <f t="shared" si="64"/>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65"/>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241</v>
      </c>
      <c r="B709" s="26" t="s">
        <v>153</v>
      </c>
      <c r="C709" s="26" t="s">
        <v>154</v>
      </c>
      <c r="D709" s="26" t="s">
        <v>151</v>
      </c>
      <c r="E709" s="20" t="s">
        <v>545</v>
      </c>
      <c r="F709" s="21" t="str">
        <f>IF(OR(E709="",E709="!!!"),"",IF(NOT(ISNA(VLOOKUP(E709,E$1:E708,1,FALSE()))),"OLD",IF(AND(E709&lt;&gt;"",E709&lt;&gt;"!!!"),"NEW","")))</f>
        <v>OLD</v>
      </c>
      <c r="G709" s="22" t="s">
        <v>592</v>
      </c>
      <c r="H709" s="23" t="str">
        <f t="shared" ca="1" si="65"/>
        <v/>
      </c>
      <c r="I709" s="24" t="str">
        <f>IF(OR(E709="",E709="!!!",F709="NEW"),"",INDEX(B$2:B708,-1+SUMPRODUCT(MAX(ROW(E$2:E708)*(E709=E$2:E708)))))</f>
        <v>other_3</v>
      </c>
      <c r="J709" s="24">
        <f ca="1">IF(OR(E709="",E709="!!!",F709="NEW"),"",COUNTBLANK(OFFSET(A$1,,,SUMPRODUCT(MAX(ROW(E$2:E709)*(E709=E$2:E709)))))-COUNTBLANK(OFFSET(A$1,,,SUMPRODUCT(MAX(ROW(E$1:E708)*(E2=E$1:E708))))))</f>
        <v>0</v>
      </c>
      <c r="K709" s="24">
        <f ca="1">IF(OR(E709="",E709="!!!",F709="NEW"),"",INDEX(J$1:J708,SUMPRODUCT(MAX(ROW(E$1:E708)*(E709=E$1:E708)))))</f>
        <v>0</v>
      </c>
      <c r="L709" s="25"/>
    </row>
    <row r="710" spans="1:12" x14ac:dyDescent="0.3">
      <c r="A710" t="s">
        <v>222</v>
      </c>
      <c r="E710" s="20" t="str">
        <f t="shared" si="64"/>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65"/>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513</v>
      </c>
      <c r="B711" s="26" t="s">
        <v>153</v>
      </c>
      <c r="C711" s="26" t="s">
        <v>163</v>
      </c>
      <c r="D711" s="26" t="s">
        <v>151</v>
      </c>
      <c r="E711" s="20"/>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65"/>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t="s">
        <v>539</v>
      </c>
    </row>
    <row r="712" spans="1:12" x14ac:dyDescent="0.3">
      <c r="A712" t="s">
        <v>514</v>
      </c>
      <c r="E712" s="20" t="str">
        <f t="shared" si="64"/>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65"/>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515</v>
      </c>
      <c r="B713" s="26" t="s">
        <v>173</v>
      </c>
      <c r="C713" s="26" t="s">
        <v>211</v>
      </c>
      <c r="D713" s="26" t="s">
        <v>151</v>
      </c>
      <c r="E713" s="20" t="s">
        <v>589</v>
      </c>
      <c r="F713" s="21" t="str">
        <f>IF(OR(E713="",E713="!!!"),"",IF(NOT(ISNA(VLOOKUP(E713,E$1:E712,1,FALSE()))),"OLD",IF(AND(E713&lt;&gt;"",E713&lt;&gt;"!!!"),"NEW","")))</f>
        <v>NEW</v>
      </c>
      <c r="G713" s="22" t="s">
        <v>595</v>
      </c>
      <c r="H713" s="23" t="str">
        <f t="shared" ca="1" si="65"/>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373</v>
      </c>
      <c r="E714" s="20" t="str">
        <f t="shared" si="64"/>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65"/>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219</v>
      </c>
      <c r="E715" s="20" t="str">
        <f t="shared" si="64"/>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65"/>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516</v>
      </c>
      <c r="B716" s="26" t="s">
        <v>153</v>
      </c>
      <c r="C716" s="26" t="s">
        <v>154</v>
      </c>
      <c r="D716" s="26" t="s">
        <v>151</v>
      </c>
      <c r="E716" s="20"/>
      <c r="F716" s="21" t="s">
        <v>540</v>
      </c>
      <c r="G716" s="22" t="str">
        <f>IF(OR(E716="",E716="!!!"),"",IF(OR(J716=0,AND(J716=1,K716=1),AND(J716=1,I716="SBJ"),AND(J716=1,I716=0)),"?IN_FOCUS",IF(J716&lt;=2,"?ACTIVATED",IF(J716&lt;&gt;"","?FAMILIAR",IF(F716="NEW",IF(ISNA(VLOOKUP(E716,#REF!,1,FALSE())),"?TYPE_IDENTIFIABLE","?REFERENTIAL"),"_")))))</f>
        <v/>
      </c>
      <c r="H716" s="23" t="str">
        <f t="shared" ca="1" si="65"/>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517</v>
      </c>
      <c r="E717" s="20" t="str">
        <f t="shared" si="64"/>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65"/>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219</v>
      </c>
      <c r="E718" s="20" t="str">
        <f t="shared" si="64"/>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65"/>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518</v>
      </c>
      <c r="E719" s="20" t="str">
        <f t="shared" si="64"/>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65"/>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179</v>
      </c>
      <c r="E720" s="20" t="str">
        <f t="shared" si="64"/>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65"/>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3">
      <c r="A721" t="s">
        <v>519</v>
      </c>
      <c r="B721" s="26" t="s">
        <v>153</v>
      </c>
      <c r="C721" s="26" t="s">
        <v>174</v>
      </c>
      <c r="D721" s="26" t="s">
        <v>151</v>
      </c>
      <c r="E721" s="20"/>
      <c r="F721" s="21" t="s">
        <v>549</v>
      </c>
      <c r="G721" s="22" t="str">
        <f>IF(OR(E721="",E721="!!!"),"",IF(OR(J721=0,AND(J721=1,K721=1),AND(J721=1,I721="SBJ"),AND(J721=1,I721=0)),"?IN_FOCUS",IF(J721&lt;=2,"?ACTIVATED",IF(J721&lt;&gt;"","?FAMILIAR",IF(F721="NEW",IF(ISNA(VLOOKUP(E721,#REF!,1,FALSE())),"?TYPE_IDENTIFIABLE","?REFERENTIAL"),"_")))))</f>
        <v/>
      </c>
      <c r="H721" s="23" t="str">
        <f t="shared" ca="1" si="65"/>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520</v>
      </c>
      <c r="E722" s="20" t="str">
        <f t="shared" si="64"/>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65"/>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3">
      <c r="A723" t="s">
        <v>475</v>
      </c>
      <c r="E723" s="20" t="str">
        <f t="shared" si="64"/>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ca="1" si="65"/>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521</v>
      </c>
      <c r="B724" s="26" t="s">
        <v>157</v>
      </c>
      <c r="C724" s="26" t="s">
        <v>174</v>
      </c>
      <c r="D724" s="26" t="s">
        <v>151</v>
      </c>
      <c r="E724" s="20" t="s">
        <v>590</v>
      </c>
      <c r="F724" s="21" t="str">
        <f>IF(OR(E724="",E724="!!!"),"",IF(NOT(ISNA(VLOOKUP(E724,E$1:E723,1,FALSE()))),"OLD",IF(AND(E724&lt;&gt;"",E724&lt;&gt;"!!!"),"NEW","")))</f>
        <v>OLD</v>
      </c>
      <c r="G724" s="22" t="s">
        <v>592</v>
      </c>
      <c r="H724" s="23" t="str">
        <f t="shared" ca="1" si="65"/>
        <v/>
      </c>
      <c r="I724" s="24" t="str">
        <f>IF(OR(E724="",E724="!!!",F724="NEW"),"",INDEX(B$2:B723,-1+SUMPRODUCT(MAX(ROW(E$2:E723)*(E724=E$2:E723)))))</f>
        <v>other_2</v>
      </c>
      <c r="J724" s="24">
        <f ca="1">IF(OR(E724="",E724="!!!",F724="NEW"),"",COUNTBLANK(OFFSET(A$1,,,SUMPRODUCT(MAX(ROW(E$2:E724)*(E724=E$2:E724)))))-COUNTBLANK(OFFSET(A$1,,,SUMPRODUCT(MAX(ROW(E$1:E723)*(E2=E$1:E723))))))</f>
        <v>0</v>
      </c>
      <c r="K724" s="24">
        <f ca="1">IF(OR(E724="",E724="!!!",F724="NEW"),"",INDEX(J$1:J723,SUMPRODUCT(MAX(ROW(E$1:E723)*(E724=E$1:E723)))))</f>
        <v>0</v>
      </c>
      <c r="L724" s="25"/>
    </row>
    <row r="725" spans="1:12" x14ac:dyDescent="0.3">
      <c r="A725" t="s">
        <v>158</v>
      </c>
      <c r="E725" s="20" t="str">
        <f t="shared" si="64"/>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65"/>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522</v>
      </c>
      <c r="E726" s="20" t="str">
        <f t="shared" si="64"/>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65"/>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155</v>
      </c>
      <c r="E727" s="20" t="str">
        <f t="shared" si="64"/>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65"/>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523</v>
      </c>
      <c r="E728" s="20" t="str">
        <f t="shared" si="64"/>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65"/>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411</v>
      </c>
      <c r="B729" s="26" t="s">
        <v>307</v>
      </c>
      <c r="C729" s="26" t="s">
        <v>168</v>
      </c>
      <c r="D729" s="26" t="s">
        <v>151</v>
      </c>
      <c r="E729" s="20" t="s">
        <v>538</v>
      </c>
      <c r="F729" s="21" t="str">
        <f>IF(OR(E729="",E729="!!!"),"",IF(NOT(ISNA(VLOOKUP(E729,E$1:E728,1,FALSE()))),"OLD",IF(AND(E729&lt;&gt;"",E729&lt;&gt;"!!!"),"NEW","")))</f>
        <v>OLD</v>
      </c>
      <c r="G729" s="22" t="s">
        <v>593</v>
      </c>
      <c r="H729" s="23" t="str">
        <f t="shared" ca="1" si="65"/>
        <v/>
      </c>
      <c r="I729" s="24" t="str">
        <f>IF(OR(E729="",E729="!!!",F729="NEW"),"",INDEX(B$2:B728,-1+SUMPRODUCT(MAX(ROW(E$2:E728)*(E729=E$2:E728)))))</f>
        <v>other</v>
      </c>
      <c r="J729" s="24">
        <f ca="1">IF(OR(E729="",E729="!!!",F729="NEW"),"",COUNTBLANK(OFFSET(A$1,,,SUMPRODUCT(MAX(ROW(E$2:E729)*(E729=E$2:E729)))))-COUNTBLANK(OFFSET(A$1,,,SUMPRODUCT(MAX(ROW(E$1:E728)*(E2=E$1:E728))))))</f>
        <v>0</v>
      </c>
      <c r="K729" s="24">
        <f ca="1">IF(OR(E729="",E729="!!!",F729="NEW"),"",INDEX(J$1:J728,SUMPRODUCT(MAX(ROW(E$1:E728)*(E729=E$1:E728)))))</f>
        <v>0</v>
      </c>
      <c r="L729" s="25"/>
    </row>
    <row r="730" spans="1:12" x14ac:dyDescent="0.3">
      <c r="A730" t="s">
        <v>202</v>
      </c>
      <c r="E730" s="20" t="str">
        <f t="shared" si="64"/>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65"/>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223</v>
      </c>
      <c r="E731" s="20" t="str">
        <f t="shared" si="64"/>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65"/>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224</v>
      </c>
      <c r="E732" s="20" t="str">
        <f t="shared" ref="E732:E754" si="66">IF(D732="?OLD","!!!","")</f>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ref="H732:H754" ca="1" si="67">IF(J732&lt;&gt;1,"",IF(I732="SBJ","CB","?"))</f>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225</v>
      </c>
      <c r="B733" s="26" t="s">
        <v>244</v>
      </c>
      <c r="C733" s="26" t="s">
        <v>215</v>
      </c>
      <c r="E733" s="20" t="s">
        <v>563</v>
      </c>
      <c r="F733" s="21" t="str">
        <f>IF(OR(E733="",E733="!!!"),"",IF(NOT(ISNA(VLOOKUP(E733,E$1:E732,1,FALSE()))),"OLD",IF(AND(E733&lt;&gt;"",E733&lt;&gt;"!!!"),"NEW","")))</f>
        <v>OLD</v>
      </c>
      <c r="G733" s="22" t="s">
        <v>594</v>
      </c>
      <c r="H733" s="23" t="str">
        <f t="shared" ca="1" si="67"/>
        <v/>
      </c>
      <c r="I733" s="24" t="str">
        <f>IF(OR(E733="",E733="!!!",F733="NEW"),"",INDEX(B$2:B732,-1+SUMPRODUCT(MAX(ROW(E$2:E732)*(E733=E$2:E732)))))</f>
        <v>other_2</v>
      </c>
      <c r="J733" s="24">
        <f ca="1">IF(OR(E733="",E733="!!!",F733="NEW"),"",COUNTBLANK(OFFSET(A$1,,,SUMPRODUCT(MAX(ROW(E$2:E733)*(E733=E$2:E733)))))-COUNTBLANK(OFFSET(A$1,,,SUMPRODUCT(MAX(ROW(E$1:E732)*(E2=E$1:E732))))))</f>
        <v>0</v>
      </c>
      <c r="K733" s="24">
        <f ca="1">IF(OR(E733="",E733="!!!",F733="NEW"),"",INDEX(J$1:J732,SUMPRODUCT(MAX(ROW(E$1:E732)*(E733=E$1:E732)))))</f>
        <v>0</v>
      </c>
      <c r="L733" s="25" t="s">
        <v>564</v>
      </c>
    </row>
    <row r="734" spans="1:12" x14ac:dyDescent="0.3">
      <c r="A734" t="s">
        <v>356</v>
      </c>
      <c r="E734" s="20" t="str">
        <f t="shared" si="66"/>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67"/>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524</v>
      </c>
      <c r="E735" s="20" t="str">
        <f t="shared" si="66"/>
        <v/>
      </c>
      <c r="F735" s="21" t="str">
        <f>IF(OR(E735="",E735="!!!"),"",IF(NOT(ISNA(VLOOKUP(E735,E$1:E734,1,FALSE()))),"OLD",IF(AND(E735&lt;&gt;"",E735&lt;&gt;"!!!"),"NEW","")))</f>
        <v/>
      </c>
      <c r="G735" s="22" t="str">
        <f>IF(OR(E735="",E735="!!!"),"",IF(OR(J735=0,AND(J735=1,K735=1),AND(J735=1,I735="SBJ"),AND(J735=1,I735=0)),"?IN_FOCUS",IF(J735&lt;=2,"?ACTIVATED",IF(J735&lt;&gt;"","?FAMILIAR",IF(F735="NEW",IF(ISNA(VLOOKUP(E735,#REF!,1,FALSE())),"?TYPE_IDENTIFIABLE","?REFERENTIAL"),"_")))))</f>
        <v/>
      </c>
      <c r="H735" s="23" t="str">
        <f t="shared" ca="1" si="67"/>
        <v/>
      </c>
      <c r="I735" s="24" t="str">
        <f>IF(OR(E735="",E735="!!!",F735="NEW"),"",INDEX(B$2:B734,-1+SUMPRODUCT(MAX(ROW(E$2:E734)*(E735=E$2:E734)))))</f>
        <v/>
      </c>
      <c r="J735" s="24" t="str">
        <f ca="1">IF(OR(E735="",E735="!!!",F735="NEW"),"",COUNTBLANK(OFFSET(A$1,,,SUMPRODUCT(MAX(ROW(E$2:E735)*(E735=E$2:E735)))))-COUNTBLANK(OFFSET(A$1,,,SUMPRODUCT(MAX(ROW(E$1:E734)*(E2=E$1:E734))))))</f>
        <v/>
      </c>
      <c r="K735" s="24" t="str">
        <f>IF(OR(E735="",E735="!!!",F735="NEW"),"",INDEX(J$1:J734,SUMPRODUCT(MAX(ROW(E$1:E734)*(E735=E$1:E734)))))</f>
        <v/>
      </c>
      <c r="L735" s="25"/>
    </row>
    <row r="736" spans="1:12" x14ac:dyDescent="0.3">
      <c r="A736" t="s">
        <v>525</v>
      </c>
      <c r="B736" s="26" t="s">
        <v>157</v>
      </c>
      <c r="C736" s="26" t="s">
        <v>160</v>
      </c>
      <c r="E736" s="20" t="str">
        <f t="shared" si="66"/>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67"/>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526</v>
      </c>
      <c r="E737" s="20" t="str">
        <f t="shared" si="66"/>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67"/>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155</v>
      </c>
      <c r="E738" s="20" t="str">
        <f t="shared" si="66"/>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67"/>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337</v>
      </c>
      <c r="E739" s="20" t="str">
        <f t="shared" si="66"/>
        <v/>
      </c>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67"/>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527</v>
      </c>
      <c r="E740" s="20" t="s">
        <v>563</v>
      </c>
      <c r="F740" s="21" t="str">
        <f>IF(OR(E740="",E740="!!!"),"",IF(NOT(ISNA(VLOOKUP(E740,E$1:E739,1,FALSE()))),"OLD",IF(AND(E740&lt;&gt;"",E740&lt;&gt;"!!!"),"NEW","")))</f>
        <v>OLD</v>
      </c>
      <c r="G740" s="22" t="s">
        <v>593</v>
      </c>
      <c r="H740" s="23" t="str">
        <f t="shared" ca="1" si="67"/>
        <v/>
      </c>
      <c r="I740" s="24" t="str">
        <f>IF(OR(E740="",E740="!!!",F740="NEW"),"",INDEX(B$2:B739,-1+SUMPRODUCT(MAX(ROW(E$2:E739)*(E740=E$2:E739)))))</f>
        <v>SBJ_3</v>
      </c>
      <c r="J740" s="24">
        <f ca="1">IF(OR(E740="",E740="!!!",F740="NEW"),"",COUNTBLANK(OFFSET(A$1,,,SUMPRODUCT(MAX(ROW(E$2:E740)*(E740=E$2:E740)))))-COUNTBLANK(OFFSET(A$1,,,SUMPRODUCT(MAX(ROW(E$1:E739)*(E2=E$1:E739))))))</f>
        <v>0</v>
      </c>
      <c r="K740" s="24">
        <f ca="1">IF(OR(E740="",E740="!!!",F740="NEW"),"",INDEX(J$1:J739,SUMPRODUCT(MAX(ROW(E$1:E739)*(E740=E$1:E739)))))</f>
        <v>0</v>
      </c>
      <c r="L740" s="25" t="s">
        <v>557</v>
      </c>
    </row>
    <row r="741" spans="1:12" x14ac:dyDescent="0.3">
      <c r="A741" t="s">
        <v>335</v>
      </c>
      <c r="B741" s="26" t="s">
        <v>528</v>
      </c>
      <c r="C741" s="26" t="s">
        <v>414</v>
      </c>
      <c r="E741" s="20" t="s">
        <v>565</v>
      </c>
      <c r="F741" s="21" t="str">
        <f>IF(OR(E741="",E741="!!!"),"",IF(NOT(ISNA(VLOOKUP(E741,E$1:E740,1,FALSE()))),"OLD",IF(AND(E741&lt;&gt;"",E741&lt;&gt;"!!!"),"NEW","")))</f>
        <v>NEW</v>
      </c>
      <c r="G741" s="22" t="s">
        <v>595</v>
      </c>
      <c r="H741" s="23" t="str">
        <f t="shared" ca="1" si="67"/>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299</v>
      </c>
      <c r="E742" s="20" t="str">
        <f t="shared" si="66"/>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67"/>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529</v>
      </c>
      <c r="E743" s="20" t="str">
        <f t="shared" si="66"/>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67"/>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155</v>
      </c>
      <c r="E744" s="20" t="str">
        <f t="shared" si="66"/>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67"/>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530</v>
      </c>
      <c r="E745" s="20" t="str">
        <f t="shared" si="66"/>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67"/>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155</v>
      </c>
      <c r="E746" s="20" t="str">
        <f t="shared" si="66"/>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67"/>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531</v>
      </c>
      <c r="E747" s="20" t="str">
        <f t="shared" si="66"/>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67"/>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158</v>
      </c>
      <c r="E748" s="20" t="str">
        <f t="shared" si="66"/>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67"/>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532</v>
      </c>
      <c r="E749" s="20" t="str">
        <f t="shared" si="66"/>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67"/>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224</v>
      </c>
      <c r="E750" s="20" t="str">
        <f t="shared" si="66"/>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67"/>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318</v>
      </c>
      <c r="B751" s="26" t="s">
        <v>226</v>
      </c>
      <c r="C751" s="26" t="s">
        <v>160</v>
      </c>
      <c r="E751" s="20" t="str">
        <f t="shared" si="66"/>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67"/>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299</v>
      </c>
      <c r="E752" s="20" t="str">
        <f t="shared" si="66"/>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67"/>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376</v>
      </c>
      <c r="E753" s="20" t="str">
        <f t="shared" si="66"/>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67"/>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186</v>
      </c>
      <c r="E754" s="20" t="str">
        <f t="shared" si="66"/>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67"/>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2024-12-05T17:54:44Z</dcterms:created>
  <dcterms:modified xsi:type="dcterms:W3CDTF">2025-02-19T17:22:48Z</dcterms:modified>
</cp:coreProperties>
</file>