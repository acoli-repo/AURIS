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preanno_parcor_coref\de\raw\"/>
    </mc:Choice>
  </mc:AlternateContent>
  <xr:revisionPtr revIDLastSave="0" documentId="13_ncr:1_{46A8288D-6AB5-4083-AF06-9A3B43B42677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479" i="2" l="1"/>
  <c r="F479" i="2"/>
  <c r="E479" i="2"/>
  <c r="F478" i="2"/>
  <c r="G477" i="2"/>
  <c r="F477" i="2"/>
  <c r="I477" i="2" s="1"/>
  <c r="E477" i="2"/>
  <c r="G476" i="2"/>
  <c r="F476" i="2"/>
  <c r="J476" i="2" s="1"/>
  <c r="H476" i="2" s="1"/>
  <c r="E476" i="2"/>
  <c r="G475" i="2"/>
  <c r="F475" i="2"/>
  <c r="J475" i="2" s="1"/>
  <c r="H475" i="2" s="1"/>
  <c r="E475" i="2"/>
  <c r="G474" i="2"/>
  <c r="F474" i="2"/>
  <c r="K474" i="2" s="1"/>
  <c r="E474" i="2"/>
  <c r="G473" i="2"/>
  <c r="F473" i="2"/>
  <c r="J473" i="2" s="1"/>
  <c r="H473" i="2" s="1"/>
  <c r="E473" i="2"/>
  <c r="G472" i="2"/>
  <c r="E472" i="2"/>
  <c r="F471" i="2"/>
  <c r="I471" i="2" s="1"/>
  <c r="G468" i="2"/>
  <c r="F468" i="2"/>
  <c r="E468" i="2"/>
  <c r="G467" i="2"/>
  <c r="F467" i="2"/>
  <c r="J467" i="2" s="1"/>
  <c r="H467" i="2" s="1"/>
  <c r="E467" i="2"/>
  <c r="F466" i="2"/>
  <c r="J466" i="2" s="1"/>
  <c r="H466" i="2" s="1"/>
  <c r="G465" i="2"/>
  <c r="F465" i="2"/>
  <c r="K465" i="2" s="1"/>
  <c r="E465" i="2"/>
  <c r="F464" i="2"/>
  <c r="K464" i="2" s="1"/>
  <c r="G463" i="2"/>
  <c r="F463" i="2"/>
  <c r="J463" i="2" s="1"/>
  <c r="H463" i="2" s="1"/>
  <c r="E463" i="2"/>
  <c r="G462" i="2"/>
  <c r="E462" i="2"/>
  <c r="G461" i="2"/>
  <c r="F461" i="2"/>
  <c r="I461" i="2" s="1"/>
  <c r="E461" i="2"/>
  <c r="F460" i="2"/>
  <c r="G459" i="2"/>
  <c r="F459" i="2"/>
  <c r="K459" i="2" s="1"/>
  <c r="E459" i="2"/>
  <c r="G458" i="2"/>
  <c r="F458" i="2"/>
  <c r="J458" i="2" s="1"/>
  <c r="H458" i="2" s="1"/>
  <c r="E458" i="2"/>
  <c r="G457" i="2"/>
  <c r="F457" i="2"/>
  <c r="K457" i="2" s="1"/>
  <c r="E457" i="2"/>
  <c r="G456" i="2"/>
  <c r="F456" i="2"/>
  <c r="K456" i="2" s="1"/>
  <c r="E456" i="2"/>
  <c r="G455" i="2"/>
  <c r="F455" i="2"/>
  <c r="K455" i="2" s="1"/>
  <c r="E455" i="2"/>
  <c r="G454" i="2"/>
  <c r="F454" i="2"/>
  <c r="E454" i="2"/>
  <c r="G453" i="2"/>
  <c r="F453" i="2"/>
  <c r="E453" i="2"/>
  <c r="G452" i="2"/>
  <c r="F452" i="2"/>
  <c r="E452" i="2"/>
  <c r="G451" i="2"/>
  <c r="F451" i="2"/>
  <c r="K451" i="2" s="1"/>
  <c r="E451" i="2"/>
  <c r="G450" i="2"/>
  <c r="F450" i="2"/>
  <c r="I450" i="2" s="1"/>
  <c r="E450" i="2"/>
  <c r="G447" i="2"/>
  <c r="F447" i="2"/>
  <c r="I447" i="2" s="1"/>
  <c r="E447" i="2"/>
  <c r="G446" i="2"/>
  <c r="F446" i="2"/>
  <c r="K446" i="2" s="1"/>
  <c r="E446" i="2"/>
  <c r="F445" i="2"/>
  <c r="G444" i="2"/>
  <c r="F444" i="2"/>
  <c r="E444" i="2"/>
  <c r="G442" i="2"/>
  <c r="F442" i="2"/>
  <c r="E442" i="2"/>
  <c r="G441" i="2"/>
  <c r="F441" i="2"/>
  <c r="I441" i="2" s="1"/>
  <c r="E441" i="2"/>
  <c r="G440" i="2"/>
  <c r="F440" i="2"/>
  <c r="K440" i="2" s="1"/>
  <c r="E440" i="2"/>
  <c r="G439" i="2"/>
  <c r="F439" i="2"/>
  <c r="K439" i="2" s="1"/>
  <c r="E439" i="2"/>
  <c r="G438" i="2"/>
  <c r="F438" i="2"/>
  <c r="K438" i="2" s="1"/>
  <c r="G437" i="2"/>
  <c r="F437" i="2"/>
  <c r="K437" i="2" s="1"/>
  <c r="E437" i="2"/>
  <c r="G434" i="2"/>
  <c r="F434" i="2"/>
  <c r="E434" i="2"/>
  <c r="G433" i="2"/>
  <c r="F433" i="2"/>
  <c r="E433" i="2"/>
  <c r="F432" i="2"/>
  <c r="G431" i="2"/>
  <c r="F431" i="2"/>
  <c r="K431" i="2" s="1"/>
  <c r="E431" i="2"/>
  <c r="F430" i="2"/>
  <c r="K430" i="2" s="1"/>
  <c r="E430" i="2"/>
  <c r="G430" i="2" s="1"/>
  <c r="G429" i="2"/>
  <c r="F429" i="2"/>
  <c r="K429" i="2" s="1"/>
  <c r="G428" i="2"/>
  <c r="F428" i="2"/>
  <c r="J428" i="2" s="1"/>
  <c r="H428" i="2" s="1"/>
  <c r="E428" i="2"/>
  <c r="G427" i="2"/>
  <c r="F427" i="2"/>
  <c r="K427" i="2" s="1"/>
  <c r="E427" i="2"/>
  <c r="F426" i="2"/>
  <c r="E425" i="2"/>
  <c r="G424" i="2"/>
  <c r="F424" i="2"/>
  <c r="E424" i="2"/>
  <c r="G423" i="2"/>
  <c r="F423" i="2"/>
  <c r="K423" i="2" s="1"/>
  <c r="E423" i="2"/>
  <c r="F422" i="2"/>
  <c r="K422" i="2" s="1"/>
  <c r="E422" i="2"/>
  <c r="G422" i="2" s="1"/>
  <c r="F421" i="2"/>
  <c r="J421" i="2" s="1"/>
  <c r="H421" i="2" s="1"/>
  <c r="G420" i="2"/>
  <c r="F420" i="2"/>
  <c r="I420" i="2" s="1"/>
  <c r="E420" i="2"/>
  <c r="G419" i="2"/>
  <c r="F419" i="2"/>
  <c r="K419" i="2" s="1"/>
  <c r="E419" i="2"/>
  <c r="G418" i="2"/>
  <c r="F418" i="2"/>
  <c r="E418" i="2"/>
  <c r="G417" i="2"/>
  <c r="F417" i="2"/>
  <c r="E417" i="2"/>
  <c r="F416" i="2"/>
  <c r="G415" i="2"/>
  <c r="F415" i="2"/>
  <c r="J415" i="2" s="1"/>
  <c r="H415" i="2" s="1"/>
  <c r="E415" i="2"/>
  <c r="F414" i="2"/>
  <c r="K414" i="2" s="1"/>
  <c r="E414" i="2"/>
  <c r="G414" i="2" s="1"/>
  <c r="G413" i="2"/>
  <c r="F413" i="2"/>
  <c r="K413" i="2" s="1"/>
  <c r="E413" i="2"/>
  <c r="G412" i="2"/>
  <c r="F412" i="2"/>
  <c r="J412" i="2" s="1"/>
  <c r="H412" i="2" s="1"/>
  <c r="E412" i="2"/>
  <c r="G411" i="2"/>
  <c r="F411" i="2"/>
  <c r="K411" i="2" s="1"/>
  <c r="E411" i="2"/>
  <c r="G410" i="2"/>
  <c r="F410" i="2"/>
  <c r="E410" i="2"/>
  <c r="E409" i="2"/>
  <c r="F408" i="2"/>
  <c r="K408" i="2" s="1"/>
  <c r="G407" i="2"/>
  <c r="F407" i="2"/>
  <c r="K407" i="2" s="1"/>
  <c r="E407" i="2"/>
  <c r="F406" i="2"/>
  <c r="K406" i="2" s="1"/>
  <c r="E406" i="2"/>
  <c r="G406" i="2" s="1"/>
  <c r="G405" i="2"/>
  <c r="F405" i="2"/>
  <c r="K405" i="2" s="1"/>
  <c r="E405" i="2"/>
  <c r="G404" i="2"/>
  <c r="F404" i="2"/>
  <c r="K404" i="2" s="1"/>
  <c r="E404" i="2"/>
  <c r="F403" i="2"/>
  <c r="F402" i="2"/>
  <c r="E402" i="2"/>
  <c r="G402" i="2" s="1"/>
  <c r="E401" i="2"/>
  <c r="F400" i="2"/>
  <c r="K400" i="2" s="1"/>
  <c r="G399" i="2"/>
  <c r="F399" i="2"/>
  <c r="I399" i="2" s="1"/>
  <c r="E399" i="2"/>
  <c r="E398" i="2"/>
  <c r="G398" i="2" s="1"/>
  <c r="F397" i="2"/>
  <c r="G396" i="2"/>
  <c r="F396" i="2"/>
  <c r="K396" i="2" s="1"/>
  <c r="E396" i="2"/>
  <c r="G395" i="2"/>
  <c r="F395" i="2"/>
  <c r="I395" i="2" s="1"/>
  <c r="E395" i="2"/>
  <c r="G394" i="2"/>
  <c r="E394" i="2"/>
  <c r="G393" i="2"/>
  <c r="F393" i="2"/>
  <c r="E393" i="2"/>
  <c r="F392" i="2"/>
  <c r="G391" i="2"/>
  <c r="F391" i="2"/>
  <c r="K391" i="2" s="1"/>
  <c r="E391" i="2"/>
  <c r="E390" i="2"/>
  <c r="G390" i="2" s="1"/>
  <c r="G389" i="2"/>
  <c r="E389" i="2"/>
  <c r="F389" i="2" s="1"/>
  <c r="K389" i="2" s="1"/>
  <c r="G388" i="2"/>
  <c r="F388" i="2"/>
  <c r="K388" i="2" s="1"/>
  <c r="E388" i="2"/>
  <c r="F387" i="2"/>
  <c r="I387" i="2" s="1"/>
  <c r="G386" i="2"/>
  <c r="F386" i="2"/>
  <c r="E386" i="2"/>
  <c r="G385" i="2"/>
  <c r="F385" i="2"/>
  <c r="K385" i="2" s="1"/>
  <c r="E385" i="2"/>
  <c r="F384" i="2"/>
  <c r="J384" i="2" s="1"/>
  <c r="H384" i="2" s="1"/>
  <c r="G383" i="2"/>
  <c r="F383" i="2"/>
  <c r="I383" i="2" s="1"/>
  <c r="E383" i="2"/>
  <c r="E382" i="2"/>
  <c r="G382" i="2" s="1"/>
  <c r="G381" i="2"/>
  <c r="E381" i="2"/>
  <c r="F381" i="2" s="1"/>
  <c r="K381" i="2" s="1"/>
  <c r="G380" i="2"/>
  <c r="K380" i="2"/>
  <c r="E380" i="2"/>
  <c r="G379" i="2"/>
  <c r="F379" i="2"/>
  <c r="I379" i="2" s="1"/>
  <c r="E379" i="2"/>
  <c r="G378" i="2"/>
  <c r="F378" i="2"/>
  <c r="E378" i="2"/>
  <c r="G375" i="2"/>
  <c r="F375" i="2"/>
  <c r="K375" i="2" s="1"/>
  <c r="E375" i="2"/>
  <c r="F374" i="2"/>
  <c r="J374" i="2" s="1"/>
  <c r="H374" i="2" s="1"/>
  <c r="E374" i="2"/>
  <c r="G373" i="2"/>
  <c r="F373" i="2"/>
  <c r="K373" i="2" s="1"/>
  <c r="E373" i="2"/>
  <c r="E372" i="2"/>
  <c r="G372" i="2" s="1"/>
  <c r="G371" i="2"/>
  <c r="E371" i="2"/>
  <c r="F371" i="2" s="1"/>
  <c r="K371" i="2" s="1"/>
  <c r="G370" i="2"/>
  <c r="F370" i="2"/>
  <c r="K370" i="2" s="1"/>
  <c r="E370" i="2"/>
  <c r="G369" i="2"/>
  <c r="F369" i="2"/>
  <c r="I369" i="2" s="1"/>
  <c r="E369" i="2"/>
  <c r="G368" i="2"/>
  <c r="F368" i="2"/>
  <c r="E368" i="2"/>
  <c r="F367" i="2"/>
  <c r="K367" i="2" s="1"/>
  <c r="F366" i="2"/>
  <c r="J366" i="2" s="1"/>
  <c r="H366" i="2" s="1"/>
  <c r="E366" i="2"/>
  <c r="E365" i="2"/>
  <c r="E364" i="2"/>
  <c r="G364" i="2" s="1"/>
  <c r="J363" i="2"/>
  <c r="H363" i="2" s="1"/>
  <c r="G362" i="2"/>
  <c r="F362" i="2"/>
  <c r="K362" i="2" s="1"/>
  <c r="E362" i="2"/>
  <c r="G361" i="2"/>
  <c r="F361" i="2"/>
  <c r="I361" i="2" s="1"/>
  <c r="E361" i="2"/>
  <c r="F359" i="2"/>
  <c r="K359" i="2" s="1"/>
  <c r="E359" i="2"/>
  <c r="G359" i="2" s="1"/>
  <c r="F357" i="2"/>
  <c r="K357" i="2" s="1"/>
  <c r="E357" i="2"/>
  <c r="F356" i="2"/>
  <c r="K356" i="2" s="1"/>
  <c r="E356" i="2"/>
  <c r="G356" i="2" s="1"/>
  <c r="G355" i="2"/>
  <c r="F355" i="2"/>
  <c r="K355" i="2" s="1"/>
  <c r="G354" i="2"/>
  <c r="F354" i="2"/>
  <c r="K354" i="2" s="1"/>
  <c r="G353" i="2"/>
  <c r="E353" i="2"/>
  <c r="E352" i="2"/>
  <c r="G351" i="2"/>
  <c r="F351" i="2"/>
  <c r="K351" i="2" s="1"/>
  <c r="E351" i="2"/>
  <c r="F350" i="2"/>
  <c r="E350" i="2"/>
  <c r="G350" i="2" s="1"/>
  <c r="G348" i="2"/>
  <c r="E348" i="2"/>
  <c r="F346" i="2"/>
  <c r="K346" i="2" s="1"/>
  <c r="E346" i="2"/>
  <c r="G345" i="2"/>
  <c r="E345" i="2"/>
  <c r="F345" i="2" s="1"/>
  <c r="K345" i="2" s="1"/>
  <c r="G344" i="2"/>
  <c r="F344" i="2"/>
  <c r="I344" i="2" s="1"/>
  <c r="E344" i="2"/>
  <c r="F343" i="2"/>
  <c r="J343" i="2" s="1"/>
  <c r="H343" i="2" s="1"/>
  <c r="E343" i="2"/>
  <c r="G342" i="2"/>
  <c r="E342" i="2"/>
  <c r="E341" i="2"/>
  <c r="F340" i="2"/>
  <c r="K340" i="2" s="1"/>
  <c r="F339" i="2"/>
  <c r="K339" i="2" s="1"/>
  <c r="E339" i="2"/>
  <c r="E338" i="2"/>
  <c r="G336" i="2"/>
  <c r="F336" i="2"/>
  <c r="K336" i="2" s="1"/>
  <c r="E336" i="2"/>
  <c r="E335" i="2"/>
  <c r="E334" i="2"/>
  <c r="G331" i="2"/>
  <c r="F331" i="2"/>
  <c r="J331" i="2" s="1"/>
  <c r="H331" i="2" s="1"/>
  <c r="E331" i="2"/>
  <c r="G330" i="2"/>
  <c r="F329" i="2"/>
  <c r="E329" i="2"/>
  <c r="G327" i="2"/>
  <c r="E327" i="2"/>
  <c r="G326" i="2"/>
  <c r="F326" i="2"/>
  <c r="E326" i="2"/>
  <c r="F325" i="2"/>
  <c r="I325" i="2" s="1"/>
  <c r="E325" i="2"/>
  <c r="E322" i="2"/>
  <c r="G321" i="2"/>
  <c r="F321" i="2"/>
  <c r="J321" i="2" s="1"/>
  <c r="H321" i="2" s="1"/>
  <c r="E321" i="2"/>
  <c r="G320" i="2"/>
  <c r="F320" i="2"/>
  <c r="K320" i="2" s="1"/>
  <c r="E320" i="2"/>
  <c r="F319" i="2"/>
  <c r="E319" i="2"/>
  <c r="F318" i="2"/>
  <c r="E318" i="2"/>
  <c r="G317" i="2"/>
  <c r="E317" i="2"/>
  <c r="G316" i="2"/>
  <c r="F316" i="2"/>
  <c r="I316" i="2" s="1"/>
  <c r="E316" i="2"/>
  <c r="E315" i="2"/>
  <c r="G315" i="2" s="1"/>
  <c r="E314" i="2"/>
  <c r="G313" i="2"/>
  <c r="F313" i="2"/>
  <c r="J313" i="2" s="1"/>
  <c r="H313" i="2" s="1"/>
  <c r="E313" i="2"/>
  <c r="G312" i="2"/>
  <c r="F312" i="2"/>
  <c r="K312" i="2" s="1"/>
  <c r="E312" i="2"/>
  <c r="E311" i="2"/>
  <c r="E310" i="2"/>
  <c r="E309" i="2"/>
  <c r="G308" i="2"/>
  <c r="F308" i="2"/>
  <c r="I308" i="2" s="1"/>
  <c r="E308" i="2"/>
  <c r="F307" i="2"/>
  <c r="I307" i="2" s="1"/>
  <c r="E306" i="2"/>
  <c r="G305" i="2"/>
  <c r="F305" i="2"/>
  <c r="J305" i="2" s="1"/>
  <c r="H305" i="2" s="1"/>
  <c r="E305" i="2"/>
  <c r="G304" i="2"/>
  <c r="F304" i="2"/>
  <c r="E304" i="2"/>
  <c r="E302" i="2"/>
  <c r="G301" i="2"/>
  <c r="E301" i="2"/>
  <c r="G300" i="2"/>
  <c r="F300" i="2"/>
  <c r="I300" i="2" s="1"/>
  <c r="E300" i="2"/>
  <c r="F299" i="2"/>
  <c r="J299" i="2" s="1"/>
  <c r="H299" i="2" s="1"/>
  <c r="E299" i="2"/>
  <c r="G299" i="2" s="1"/>
  <c r="G298" i="2"/>
  <c r="E298" i="2"/>
  <c r="F297" i="2"/>
  <c r="J297" i="2" s="1"/>
  <c r="H297" i="2" s="1"/>
  <c r="G296" i="2"/>
  <c r="F296" i="2"/>
  <c r="J296" i="2" s="1"/>
  <c r="H296" i="2" s="1"/>
  <c r="E296" i="2"/>
  <c r="G293" i="2"/>
  <c r="E293" i="2"/>
  <c r="G291" i="2"/>
  <c r="F291" i="2"/>
  <c r="K291" i="2" s="1"/>
  <c r="E291" i="2"/>
  <c r="E289" i="2"/>
  <c r="G288" i="2"/>
  <c r="E288" i="2"/>
  <c r="G287" i="2"/>
  <c r="F287" i="2"/>
  <c r="E287" i="2"/>
  <c r="G286" i="2"/>
  <c r="K286" i="2"/>
  <c r="F284" i="2"/>
  <c r="I284" i="2" s="1"/>
  <c r="E284" i="2"/>
  <c r="G283" i="2"/>
  <c r="E283" i="2"/>
  <c r="E281" i="2"/>
  <c r="E280" i="2"/>
  <c r="F279" i="2"/>
  <c r="I279" i="2" s="1"/>
  <c r="F278" i="2"/>
  <c r="K278" i="2" s="1"/>
  <c r="E278" i="2"/>
  <c r="G278" i="2" s="1"/>
  <c r="E276" i="2"/>
  <c r="G273" i="2"/>
  <c r="E273" i="2"/>
  <c r="F272" i="2"/>
  <c r="E271" i="2"/>
  <c r="G271" i="2" s="1"/>
  <c r="E270" i="2"/>
  <c r="G267" i="2"/>
  <c r="F267" i="2"/>
  <c r="E267" i="2"/>
  <c r="G266" i="2"/>
  <c r="E266" i="2"/>
  <c r="F265" i="2"/>
  <c r="I265" i="2" s="1"/>
  <c r="E265" i="2"/>
  <c r="G264" i="2"/>
  <c r="E264" i="2"/>
  <c r="G260" i="2"/>
  <c r="E260" i="2"/>
  <c r="F259" i="2"/>
  <c r="J259" i="2" s="1"/>
  <c r="H259" i="2" s="1"/>
  <c r="E259" i="2"/>
  <c r="E258" i="2"/>
  <c r="F258" i="2" s="1"/>
  <c r="K258" i="2" s="1"/>
  <c r="F257" i="2"/>
  <c r="I257" i="2" s="1"/>
  <c r="G256" i="2"/>
  <c r="F256" i="2"/>
  <c r="J256" i="2" s="1"/>
  <c r="H256" i="2" s="1"/>
  <c r="E256" i="2"/>
  <c r="F254" i="2"/>
  <c r="I254" i="2" s="1"/>
  <c r="E254" i="2"/>
  <c r="E253" i="2"/>
  <c r="G252" i="2"/>
  <c r="E252" i="2"/>
  <c r="F252" i="2" s="1"/>
  <c r="J252" i="2" s="1"/>
  <c r="H252" i="2" s="1"/>
  <c r="G249" i="2"/>
  <c r="F249" i="2"/>
  <c r="E249" i="2"/>
  <c r="G248" i="2"/>
  <c r="E248" i="2"/>
  <c r="F247" i="2"/>
  <c r="E247" i="2"/>
  <c r="E246" i="2"/>
  <c r="G245" i="2"/>
  <c r="F245" i="2"/>
  <c r="K245" i="2" s="1"/>
  <c r="E245" i="2"/>
  <c r="E244" i="2"/>
  <c r="E243" i="2"/>
  <c r="G242" i="2"/>
  <c r="E242" i="2"/>
  <c r="F242" i="2" s="1"/>
  <c r="J242" i="2" s="1"/>
  <c r="H242" i="2" s="1"/>
  <c r="F241" i="2"/>
  <c r="E240" i="2"/>
  <c r="E239" i="2"/>
  <c r="G237" i="2"/>
  <c r="F237" i="2"/>
  <c r="K237" i="2" s="1"/>
  <c r="E237" i="2"/>
  <c r="E233" i="2"/>
  <c r="G232" i="2"/>
  <c r="E232" i="2"/>
  <c r="F232" i="2" s="1"/>
  <c r="J232" i="2" s="1"/>
  <c r="H232" i="2" s="1"/>
  <c r="F231" i="2"/>
  <c r="G230" i="2"/>
  <c r="F230" i="2"/>
  <c r="J230" i="2" s="1"/>
  <c r="H230" i="2" s="1"/>
  <c r="E230" i="2"/>
  <c r="E229" i="2"/>
  <c r="G228" i="2"/>
  <c r="G227" i="2"/>
  <c r="F227" i="2"/>
  <c r="K227" i="2" s="1"/>
  <c r="E227" i="2"/>
  <c r="E225" i="2"/>
  <c r="G222" i="2"/>
  <c r="E222" i="2"/>
  <c r="F222" i="2" s="1"/>
  <c r="J222" i="2" s="1"/>
  <c r="H222" i="2" s="1"/>
  <c r="F221" i="2"/>
  <c r="I221" i="2" s="1"/>
  <c r="E220" i="2"/>
  <c r="E219" i="2"/>
  <c r="E218" i="2"/>
  <c r="G217" i="2"/>
  <c r="F217" i="2"/>
  <c r="E217" i="2"/>
  <c r="F216" i="2"/>
  <c r="K216" i="2" s="1"/>
  <c r="E216" i="2"/>
  <c r="G216" i="2" s="1"/>
  <c r="E215" i="2"/>
  <c r="G214" i="2"/>
  <c r="E214" i="2"/>
  <c r="F214" i="2" s="1"/>
  <c r="I214" i="2" s="1"/>
  <c r="G213" i="2"/>
  <c r="F213" i="2"/>
  <c r="I213" i="2" s="1"/>
  <c r="E213" i="2"/>
  <c r="F212" i="2"/>
  <c r="J212" i="2" s="1"/>
  <c r="H212" i="2" s="1"/>
  <c r="G211" i="2"/>
  <c r="F211" i="2"/>
  <c r="E211" i="2"/>
  <c r="F209" i="2"/>
  <c r="J209" i="2" s="1"/>
  <c r="H209" i="2" s="1"/>
  <c r="E209" i="2"/>
  <c r="E208" i="2"/>
  <c r="G206" i="2"/>
  <c r="E206" i="2"/>
  <c r="F206" i="2" s="1"/>
  <c r="J206" i="2" s="1"/>
  <c r="H206" i="2" s="1"/>
  <c r="G205" i="2"/>
  <c r="F205" i="2"/>
  <c r="J205" i="2" s="1"/>
  <c r="H205" i="2" s="1"/>
  <c r="E205" i="2"/>
  <c r="G202" i="2"/>
  <c r="E202" i="2"/>
  <c r="G201" i="2"/>
  <c r="F201" i="2"/>
  <c r="I201" i="2" s="1"/>
  <c r="E201" i="2"/>
  <c r="G200" i="2"/>
  <c r="E200" i="2"/>
  <c r="F199" i="2"/>
  <c r="K199" i="2" s="1"/>
  <c r="E199" i="2"/>
  <c r="F198" i="2"/>
  <c r="I198" i="2" s="1"/>
  <c r="E197" i="2"/>
  <c r="G194" i="2"/>
  <c r="E194" i="2"/>
  <c r="F194" i="2" s="1"/>
  <c r="I194" i="2" s="1"/>
  <c r="F193" i="2"/>
  <c r="J193" i="2" s="1"/>
  <c r="H193" i="2" s="1"/>
  <c r="G192" i="2"/>
  <c r="F192" i="2"/>
  <c r="J192" i="2" s="1"/>
  <c r="H192" i="2" s="1"/>
  <c r="E192" i="2"/>
  <c r="G191" i="2"/>
  <c r="F191" i="2"/>
  <c r="E191" i="2"/>
  <c r="F190" i="2"/>
  <c r="I190" i="2" s="1"/>
  <c r="E190" i="2"/>
  <c r="E189" i="2"/>
  <c r="G188" i="2"/>
  <c r="F188" i="2"/>
  <c r="I188" i="2" s="1"/>
  <c r="E188" i="2"/>
  <c r="F187" i="2"/>
  <c r="J187" i="2" s="1"/>
  <c r="H187" i="2" s="1"/>
  <c r="F186" i="2"/>
  <c r="J186" i="2" s="1"/>
  <c r="H186" i="2" s="1"/>
  <c r="E186" i="2"/>
  <c r="G186" i="2" s="1"/>
  <c r="G185" i="2"/>
  <c r="E185" i="2"/>
  <c r="G184" i="2"/>
  <c r="F184" i="2"/>
  <c r="E184" i="2"/>
  <c r="E183" i="2"/>
  <c r="F182" i="2"/>
  <c r="I182" i="2" s="1"/>
  <c r="E182" i="2"/>
  <c r="G178" i="2"/>
  <c r="F178" i="2"/>
  <c r="I178" i="2" s="1"/>
  <c r="E178" i="2"/>
  <c r="G177" i="2"/>
  <c r="F177" i="2"/>
  <c r="J177" i="2" s="1"/>
  <c r="H177" i="2" s="1"/>
  <c r="E177" i="2"/>
  <c r="F176" i="2"/>
  <c r="J176" i="2" s="1"/>
  <c r="H176" i="2" s="1"/>
  <c r="E176" i="2"/>
  <c r="G176" i="2" s="1"/>
  <c r="E175" i="2"/>
  <c r="G174" i="2"/>
  <c r="F174" i="2"/>
  <c r="E174" i="2"/>
  <c r="E173" i="2"/>
  <c r="F172" i="2"/>
  <c r="I172" i="2" s="1"/>
  <c r="E171" i="2"/>
  <c r="G170" i="2"/>
  <c r="F170" i="2"/>
  <c r="K170" i="2" s="1"/>
  <c r="E170" i="2"/>
  <c r="G169" i="2"/>
  <c r="F169" i="2"/>
  <c r="J169" i="2" s="1"/>
  <c r="H169" i="2" s="1"/>
  <c r="E169" i="2"/>
  <c r="F168" i="2"/>
  <c r="J168" i="2" s="1"/>
  <c r="H168" i="2" s="1"/>
  <c r="E168" i="2"/>
  <c r="G168" i="2" s="1"/>
  <c r="G167" i="2"/>
  <c r="E167" i="2"/>
  <c r="G166" i="2"/>
  <c r="F166" i="2"/>
  <c r="E166" i="2"/>
  <c r="E165" i="2"/>
  <c r="F164" i="2"/>
  <c r="I164" i="2" s="1"/>
  <c r="E164" i="2"/>
  <c r="E163" i="2"/>
  <c r="G162" i="2"/>
  <c r="F162" i="2"/>
  <c r="K162" i="2" s="1"/>
  <c r="E162" i="2"/>
  <c r="G161" i="2"/>
  <c r="F161" i="2"/>
  <c r="J161" i="2" s="1"/>
  <c r="H161" i="2" s="1"/>
  <c r="E161" i="2"/>
  <c r="F160" i="2"/>
  <c r="J160" i="2" s="1"/>
  <c r="H160" i="2" s="1"/>
  <c r="G158" i="2"/>
  <c r="F158" i="2"/>
  <c r="E158" i="2"/>
  <c r="G157" i="2"/>
  <c r="E157" i="2"/>
  <c r="F156" i="2"/>
  <c r="I156" i="2" s="1"/>
  <c r="E156" i="2"/>
  <c r="G152" i="2"/>
  <c r="F152" i="2"/>
  <c r="K152" i="2" s="1"/>
  <c r="E152" i="2"/>
  <c r="F151" i="2"/>
  <c r="J151" i="2" s="1"/>
  <c r="H151" i="2" s="1"/>
  <c r="F150" i="2"/>
  <c r="J150" i="2" s="1"/>
  <c r="H150" i="2" s="1"/>
  <c r="E150" i="2"/>
  <c r="G150" i="2" s="1"/>
  <c r="G149" i="2"/>
  <c r="E149" i="2"/>
  <c r="G148" i="2"/>
  <c r="F148" i="2"/>
  <c r="E148" i="2"/>
  <c r="E147" i="2"/>
  <c r="F146" i="2"/>
  <c r="I146" i="2" s="1"/>
  <c r="E146" i="2"/>
  <c r="E145" i="2"/>
  <c r="G144" i="2"/>
  <c r="F144" i="2"/>
  <c r="J144" i="2" s="1"/>
  <c r="H144" i="2" s="1"/>
  <c r="E144" i="2"/>
  <c r="G143" i="2"/>
  <c r="F143" i="2"/>
  <c r="J143" i="2" s="1"/>
  <c r="H143" i="2" s="1"/>
  <c r="E143" i="2"/>
  <c r="F142" i="2"/>
  <c r="J142" i="2" s="1"/>
  <c r="H142" i="2" s="1"/>
  <c r="E142" i="2"/>
  <c r="G142" i="2" s="1"/>
  <c r="E141" i="2"/>
  <c r="G140" i="2"/>
  <c r="F140" i="2"/>
  <c r="J140" i="2" s="1"/>
  <c r="H140" i="2" s="1"/>
  <c r="E140" i="2"/>
  <c r="F138" i="2"/>
  <c r="J138" i="2" s="1"/>
  <c r="H138" i="2" s="1"/>
  <c r="E138" i="2"/>
  <c r="G136" i="2"/>
  <c r="F136" i="2"/>
  <c r="J136" i="2" s="1"/>
  <c r="H136" i="2" s="1"/>
  <c r="E136" i="2"/>
  <c r="J135" i="2"/>
  <c r="H135" i="2" s="1"/>
  <c r="E134" i="2"/>
  <c r="G133" i="2"/>
  <c r="E133" i="2"/>
  <c r="G130" i="2"/>
  <c r="F130" i="2"/>
  <c r="J130" i="2" s="1"/>
  <c r="H130" i="2" s="1"/>
  <c r="E130" i="2"/>
  <c r="E129" i="2"/>
  <c r="F128" i="2"/>
  <c r="J128" i="2" s="1"/>
  <c r="H128" i="2" s="1"/>
  <c r="E128" i="2"/>
  <c r="E127" i="2"/>
  <c r="G126" i="2"/>
  <c r="F126" i="2"/>
  <c r="J126" i="2" s="1"/>
  <c r="H126" i="2" s="1"/>
  <c r="E126" i="2"/>
  <c r="G125" i="2"/>
  <c r="F125" i="2"/>
  <c r="K125" i="2" s="1"/>
  <c r="E125" i="2"/>
  <c r="F124" i="2"/>
  <c r="I124" i="2" s="1"/>
  <c r="E124" i="2"/>
  <c r="G123" i="2"/>
  <c r="E123" i="2"/>
  <c r="G122" i="2"/>
  <c r="F122" i="2"/>
  <c r="J122" i="2" s="1"/>
  <c r="H122" i="2" s="1"/>
  <c r="E122" i="2"/>
  <c r="G121" i="2"/>
  <c r="F121" i="2"/>
  <c r="J121" i="2" s="1"/>
  <c r="H121" i="2" s="1"/>
  <c r="E121" i="2"/>
  <c r="F118" i="2"/>
  <c r="J118" i="2" s="1"/>
  <c r="H118" i="2" s="1"/>
  <c r="E118" i="2"/>
  <c r="G116" i="2"/>
  <c r="F116" i="2"/>
  <c r="J116" i="2" s="1"/>
  <c r="H116" i="2" s="1"/>
  <c r="E116" i="2"/>
  <c r="G115" i="2"/>
  <c r="F115" i="2"/>
  <c r="I115" i="2" s="1"/>
  <c r="E115" i="2"/>
  <c r="E114" i="2"/>
  <c r="F114" i="2" s="1"/>
  <c r="E113" i="2"/>
  <c r="G112" i="2"/>
  <c r="F112" i="2"/>
  <c r="J112" i="2" s="1"/>
  <c r="H112" i="2" s="1"/>
  <c r="E112" i="2"/>
  <c r="E111" i="2"/>
  <c r="E110" i="2"/>
  <c r="E109" i="2"/>
  <c r="G108" i="2"/>
  <c r="F108" i="2"/>
  <c r="J108" i="2" s="1"/>
  <c r="H108" i="2" s="1"/>
  <c r="E108" i="2"/>
  <c r="G106" i="2"/>
  <c r="F106" i="2"/>
  <c r="K106" i="2" s="1"/>
  <c r="E106" i="2"/>
  <c r="F104" i="2"/>
  <c r="I104" i="2" s="1"/>
  <c r="E104" i="2"/>
  <c r="G103" i="2"/>
  <c r="E103" i="2"/>
  <c r="G102" i="2"/>
  <c r="F102" i="2"/>
  <c r="J102" i="2" s="1"/>
  <c r="H102" i="2" s="1"/>
  <c r="E102" i="2"/>
  <c r="F101" i="2"/>
  <c r="J101" i="2" s="1"/>
  <c r="H101" i="2" s="1"/>
  <c r="E101" i="2"/>
  <c r="F100" i="2"/>
  <c r="J100" i="2" s="1"/>
  <c r="H100" i="2" s="1"/>
  <c r="E99" i="2"/>
  <c r="G98" i="2"/>
  <c r="F98" i="2"/>
  <c r="K98" i="2" s="1"/>
  <c r="E98" i="2"/>
  <c r="G97" i="2"/>
  <c r="F96" i="2"/>
  <c r="I96" i="2" s="1"/>
  <c r="E96" i="2"/>
  <c r="E95" i="2"/>
  <c r="G94" i="2"/>
  <c r="F94" i="2"/>
  <c r="K94" i="2" s="1"/>
  <c r="E94" i="2"/>
  <c r="E91" i="2"/>
  <c r="F90" i="2"/>
  <c r="J90" i="2" s="1"/>
  <c r="H90" i="2" s="1"/>
  <c r="E90" i="2"/>
  <c r="E89" i="2"/>
  <c r="G88" i="2"/>
  <c r="F88" i="2"/>
  <c r="K88" i="2" s="1"/>
  <c r="E88" i="2"/>
  <c r="E87" i="2"/>
  <c r="F86" i="2"/>
  <c r="J86" i="2" s="1"/>
  <c r="H86" i="2" s="1"/>
  <c r="E86" i="2"/>
  <c r="E85" i="2"/>
  <c r="G84" i="2"/>
  <c r="F84" i="2"/>
  <c r="K84" i="2" s="1"/>
  <c r="E84" i="2"/>
  <c r="G83" i="2"/>
  <c r="E83" i="2"/>
  <c r="F83" i="2" s="1"/>
  <c r="J83" i="2" s="1"/>
  <c r="H83" i="2" s="1"/>
  <c r="F82" i="2"/>
  <c r="I82" i="2" s="1"/>
  <c r="E82" i="2"/>
  <c r="E81" i="2"/>
  <c r="F80" i="2"/>
  <c r="E79" i="2"/>
  <c r="F78" i="2"/>
  <c r="J78" i="2" s="1"/>
  <c r="H78" i="2" s="1"/>
  <c r="E78" i="2"/>
  <c r="E77" i="2"/>
  <c r="G76" i="2"/>
  <c r="F76" i="2"/>
  <c r="K76" i="2" s="1"/>
  <c r="E76" i="2"/>
  <c r="F74" i="2"/>
  <c r="J74" i="2" s="1"/>
  <c r="H74" i="2" s="1"/>
  <c r="E74" i="2"/>
  <c r="E73" i="2"/>
  <c r="G72" i="2"/>
  <c r="F72" i="2"/>
  <c r="J72" i="2" s="1"/>
  <c r="H72" i="2" s="1"/>
  <c r="E72" i="2"/>
  <c r="E71" i="2"/>
  <c r="F70" i="2"/>
  <c r="I70" i="2" s="1"/>
  <c r="E70" i="2"/>
  <c r="E69" i="2"/>
  <c r="G66" i="2"/>
  <c r="F66" i="2"/>
  <c r="K66" i="2" s="1"/>
  <c r="E66" i="2"/>
  <c r="F65" i="2"/>
  <c r="J65" i="2" s="1"/>
  <c r="H65" i="2" s="1"/>
  <c r="F64" i="2"/>
  <c r="I64" i="2" s="1"/>
  <c r="E64" i="2"/>
  <c r="E63" i="2"/>
  <c r="F62" i="2"/>
  <c r="E61" i="2"/>
  <c r="G61" i="2" s="1"/>
  <c r="F60" i="2"/>
  <c r="J60" i="2" s="1"/>
  <c r="H60" i="2" s="1"/>
  <c r="E60" i="2"/>
  <c r="E59" i="2"/>
  <c r="F58" i="2"/>
  <c r="K58" i="2" s="1"/>
  <c r="E56" i="2"/>
  <c r="F54" i="2"/>
  <c r="I54" i="2" s="1"/>
  <c r="E54" i="2"/>
  <c r="E53" i="2"/>
  <c r="G53" i="2" s="1"/>
  <c r="F52" i="2"/>
  <c r="E52" i="2"/>
  <c r="E51" i="2"/>
  <c r="F50" i="2"/>
  <c r="I50" i="2" s="1"/>
  <c r="E50" i="2"/>
  <c r="G50" i="2" s="1"/>
  <c r="G48" i="2"/>
  <c r="F48" i="2"/>
  <c r="K48" i="2" s="1"/>
  <c r="E48" i="2"/>
  <c r="G47" i="2"/>
  <c r="E47" i="2"/>
  <c r="F47" i="2" s="1"/>
  <c r="G46" i="2"/>
  <c r="F46" i="2"/>
  <c r="J46" i="2" s="1"/>
  <c r="H46" i="2" s="1"/>
  <c r="E46" i="2"/>
  <c r="E45" i="2"/>
  <c r="F42" i="2"/>
  <c r="E42" i="2"/>
  <c r="F40" i="2"/>
  <c r="I40" i="2" s="1"/>
  <c r="E40" i="2"/>
  <c r="G40" i="2" s="1"/>
  <c r="E39" i="2"/>
  <c r="G39" i="2" s="1"/>
  <c r="G38" i="2"/>
  <c r="F38" i="2"/>
  <c r="K38" i="2" s="1"/>
  <c r="E38" i="2"/>
  <c r="G37" i="2"/>
  <c r="E37" i="2"/>
  <c r="F37" i="2" s="1"/>
  <c r="G36" i="2"/>
  <c r="F36" i="2"/>
  <c r="J36" i="2" s="1"/>
  <c r="H36" i="2" s="1"/>
  <c r="E36" i="2"/>
  <c r="E35" i="2"/>
  <c r="F34" i="2"/>
  <c r="E34" i="2"/>
  <c r="E33" i="2"/>
  <c r="F32" i="2"/>
  <c r="I32" i="2" s="1"/>
  <c r="E32" i="2"/>
  <c r="G32" i="2" s="1"/>
  <c r="E31" i="2"/>
  <c r="G31" i="2" s="1"/>
  <c r="G30" i="2"/>
  <c r="F30" i="2"/>
  <c r="K30" i="2" s="1"/>
  <c r="E30" i="2"/>
  <c r="G29" i="2"/>
  <c r="E29" i="2"/>
  <c r="F29" i="2" s="1"/>
  <c r="F28" i="2"/>
  <c r="J28" i="2" s="1"/>
  <c r="H28" i="2" s="1"/>
  <c r="E27" i="2"/>
  <c r="F26" i="2"/>
  <c r="E25" i="2"/>
  <c r="F24" i="2"/>
  <c r="I24" i="2" s="1"/>
  <c r="E24" i="2"/>
  <c r="G24" i="2" s="1"/>
  <c r="E23" i="2"/>
  <c r="G23" i="2" s="1"/>
  <c r="G22" i="2"/>
  <c r="F22" i="2"/>
  <c r="K22" i="2" s="1"/>
  <c r="E22" i="2"/>
  <c r="G21" i="2"/>
  <c r="E21" i="2"/>
  <c r="F21" i="2" s="1"/>
  <c r="G20" i="2"/>
  <c r="F20" i="2"/>
  <c r="J20" i="2" s="1"/>
  <c r="H20" i="2" s="1"/>
  <c r="E20" i="2"/>
  <c r="E17" i="2"/>
  <c r="F16" i="2"/>
  <c r="E16" i="2"/>
  <c r="E15" i="2"/>
  <c r="K14" i="2"/>
  <c r="J14" i="2"/>
  <c r="H14" i="2" s="1"/>
  <c r="I14" i="2"/>
  <c r="E13" i="2"/>
  <c r="G13" i="2" s="1"/>
  <c r="G12" i="2"/>
  <c r="F12" i="2"/>
  <c r="K12" i="2" s="1"/>
  <c r="E12" i="2"/>
  <c r="F11" i="2"/>
  <c r="F10" i="2"/>
  <c r="J10" i="2" s="1"/>
  <c r="H10" i="2" s="1"/>
  <c r="F6" i="2"/>
  <c r="E6" i="2"/>
  <c r="K6" i="2" s="1"/>
  <c r="E5" i="2"/>
  <c r="F4" i="2"/>
  <c r="I4" i="2" s="1"/>
  <c r="E3" i="2"/>
  <c r="G3" i="2" s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282" i="2" l="1"/>
  <c r="G14" i="2"/>
  <c r="J12" i="2"/>
  <c r="H12" i="2" s="1"/>
  <c r="J40" i="2"/>
  <c r="H40" i="2" s="1"/>
  <c r="I76" i="2"/>
  <c r="K4" i="2"/>
  <c r="J24" i="2"/>
  <c r="H24" i="2" s="1"/>
  <c r="J4" i="2"/>
  <c r="K10" i="2" s="1"/>
  <c r="K24" i="2"/>
  <c r="K299" i="2"/>
  <c r="K136" i="2"/>
  <c r="K126" i="2"/>
  <c r="I362" i="2"/>
  <c r="J66" i="2"/>
  <c r="H66" i="2" s="1"/>
  <c r="K128" i="2"/>
  <c r="I351" i="2"/>
  <c r="J456" i="2"/>
  <c r="H456" i="2" s="1"/>
  <c r="J477" i="2"/>
  <c r="H477" i="2" s="1"/>
  <c r="K116" i="2"/>
  <c r="I66" i="2"/>
  <c r="K108" i="2"/>
  <c r="I130" i="2"/>
  <c r="K169" i="2"/>
  <c r="I406" i="2"/>
  <c r="I94" i="2"/>
  <c r="J447" i="2"/>
  <c r="H447" i="2" s="1"/>
  <c r="I193" i="2"/>
  <c r="I445" i="2"/>
  <c r="K447" i="2"/>
  <c r="K52" i="2"/>
  <c r="I414" i="2"/>
  <c r="I162" i="2"/>
  <c r="J172" i="2"/>
  <c r="H172" i="2" s="1"/>
  <c r="J414" i="2"/>
  <c r="H414" i="2" s="1"/>
  <c r="I122" i="2"/>
  <c r="K209" i="2"/>
  <c r="J406" i="2"/>
  <c r="H406" i="2" s="1"/>
  <c r="K444" i="2"/>
  <c r="K475" i="2"/>
  <c r="K477" i="2"/>
  <c r="K188" i="2"/>
  <c r="I98" i="2"/>
  <c r="I102" i="2"/>
  <c r="K205" i="2"/>
  <c r="I305" i="2"/>
  <c r="K454" i="2"/>
  <c r="J213" i="2"/>
  <c r="H213" i="2" s="1"/>
  <c r="I242" i="2"/>
  <c r="I252" i="2"/>
  <c r="J279" i="2"/>
  <c r="K305" i="2"/>
  <c r="I371" i="2"/>
  <c r="K415" i="2"/>
  <c r="J420" i="2"/>
  <c r="H420" i="2" s="1"/>
  <c r="I456" i="2"/>
  <c r="K458" i="2"/>
  <c r="J70" i="2"/>
  <c r="H70" i="2" s="1"/>
  <c r="I88" i="2"/>
  <c r="K190" i="2"/>
  <c r="K213" i="2"/>
  <c r="J30" i="2"/>
  <c r="H30" i="2" s="1"/>
  <c r="K36" i="2"/>
  <c r="K46" i="2"/>
  <c r="I312" i="2"/>
  <c r="K412" i="2"/>
  <c r="J32" i="2"/>
  <c r="H32" i="2" s="1"/>
  <c r="I58" i="2"/>
  <c r="I62" i="2"/>
  <c r="I80" i="2"/>
  <c r="K101" i="2"/>
  <c r="I126" i="2"/>
  <c r="K144" i="2"/>
  <c r="I152" i="2"/>
  <c r="I158" i="2"/>
  <c r="I232" i="2"/>
  <c r="K252" i="2"/>
  <c r="J265" i="2"/>
  <c r="H265" i="2" s="1"/>
  <c r="I297" i="2"/>
  <c r="I321" i="2"/>
  <c r="K344" i="2"/>
  <c r="I356" i="2"/>
  <c r="I405" i="2"/>
  <c r="I423" i="2"/>
  <c r="I430" i="2"/>
  <c r="J441" i="2"/>
  <c r="H441" i="2" s="1"/>
  <c r="J464" i="2"/>
  <c r="K32" i="2"/>
  <c r="J94" i="2"/>
  <c r="H94" i="2" s="1"/>
  <c r="J98" i="2"/>
  <c r="H98" i="2" s="1"/>
  <c r="K297" i="2"/>
  <c r="K321" i="2"/>
  <c r="J356" i="2"/>
  <c r="H356" i="2" s="1"/>
  <c r="J383" i="2"/>
  <c r="H383" i="2" s="1"/>
  <c r="I391" i="2"/>
  <c r="J405" i="2"/>
  <c r="H405" i="2" s="1"/>
  <c r="I419" i="2"/>
  <c r="J423" i="2"/>
  <c r="H423" i="2" s="1"/>
  <c r="K441" i="2"/>
  <c r="I474" i="2"/>
  <c r="I136" i="2"/>
  <c r="J178" i="2"/>
  <c r="H178" i="2" s="1"/>
  <c r="I187" i="2"/>
  <c r="J194" i="2"/>
  <c r="H194" i="2" s="1"/>
  <c r="I320" i="2"/>
  <c r="J357" i="2"/>
  <c r="H357" i="2" s="1"/>
  <c r="K383" i="2"/>
  <c r="J388" i="2"/>
  <c r="H388" i="2" s="1"/>
  <c r="J391" i="2"/>
  <c r="H391" i="2" s="1"/>
  <c r="K420" i="2"/>
  <c r="K421" i="2"/>
  <c r="I440" i="2"/>
  <c r="J450" i="2"/>
  <c r="H450" i="2" s="1"/>
  <c r="I455" i="2"/>
  <c r="K467" i="2"/>
  <c r="J474" i="2"/>
  <c r="H474" i="2" s="1"/>
  <c r="K259" i="2"/>
  <c r="K20" i="2"/>
  <c r="K42" i="2"/>
  <c r="J58" i="2"/>
  <c r="K193" i="2" s="1"/>
  <c r="J62" i="2"/>
  <c r="K221" i="2" s="1"/>
  <c r="I108" i="2"/>
  <c r="I116" i="2"/>
  <c r="I169" i="2"/>
  <c r="K178" i="2"/>
  <c r="K187" i="2"/>
  <c r="K194" i="2"/>
  <c r="I205" i="2"/>
  <c r="I354" i="2"/>
  <c r="J370" i="2"/>
  <c r="H370" i="2" s="1"/>
  <c r="I373" i="2"/>
  <c r="I429" i="2"/>
  <c r="I438" i="2"/>
  <c r="J440" i="2"/>
  <c r="H440" i="2" s="1"/>
  <c r="K28" i="2"/>
  <c r="K156" i="2"/>
  <c r="I211" i="2"/>
  <c r="J373" i="2"/>
  <c r="H373" i="2" s="1"/>
  <c r="J429" i="2"/>
  <c r="H429" i="2" s="1"/>
  <c r="I144" i="2"/>
  <c r="I174" i="2"/>
  <c r="I411" i="2"/>
  <c r="K443" i="2"/>
  <c r="K461" i="2"/>
  <c r="I216" i="2"/>
  <c r="I258" i="2"/>
  <c r="I291" i="2"/>
  <c r="K308" i="2"/>
  <c r="I437" i="2"/>
  <c r="I451" i="2"/>
  <c r="I457" i="2"/>
  <c r="I463" i="2"/>
  <c r="K466" i="2"/>
  <c r="G466" i="2" s="1"/>
  <c r="I22" i="2"/>
  <c r="K26" i="2"/>
  <c r="I38" i="2"/>
  <c r="J50" i="2"/>
  <c r="H50" i="2" s="1"/>
  <c r="J54" i="2"/>
  <c r="H54" i="2" s="1"/>
  <c r="K72" i="2"/>
  <c r="I84" i="2"/>
  <c r="I90" i="2"/>
  <c r="K143" i="2"/>
  <c r="J162" i="2"/>
  <c r="H162" i="2" s="1"/>
  <c r="J170" i="2"/>
  <c r="H170" i="2" s="1"/>
  <c r="I192" i="2"/>
  <c r="K198" i="2"/>
  <c r="J258" i="2"/>
  <c r="H258" i="2" s="1"/>
  <c r="K296" i="2"/>
  <c r="J300" i="2"/>
  <c r="H300" i="2" s="1"/>
  <c r="I343" i="2"/>
  <c r="J355" i="2"/>
  <c r="H355" i="2" s="1"/>
  <c r="J396" i="2"/>
  <c r="H396" i="2" s="1"/>
  <c r="J399" i="2"/>
  <c r="H399" i="2" s="1"/>
  <c r="I404" i="2"/>
  <c r="I407" i="2"/>
  <c r="I413" i="2"/>
  <c r="I422" i="2"/>
  <c r="I428" i="2"/>
  <c r="I431" i="2"/>
  <c r="I439" i="2"/>
  <c r="J446" i="2"/>
  <c r="H446" i="2" s="1"/>
  <c r="J451" i="2"/>
  <c r="H451" i="2" s="1"/>
  <c r="J457" i="2"/>
  <c r="H457" i="2" s="1"/>
  <c r="K463" i="2"/>
  <c r="J22" i="2"/>
  <c r="H22" i="2" s="1"/>
  <c r="J38" i="2"/>
  <c r="H38" i="2" s="1"/>
  <c r="J76" i="2"/>
  <c r="H76" i="2" s="1"/>
  <c r="K102" i="2"/>
  <c r="J106" i="2"/>
  <c r="H106" i="2" s="1"/>
  <c r="K122" i="2"/>
  <c r="I125" i="2"/>
  <c r="I135" i="2"/>
  <c r="I177" i="2"/>
  <c r="I206" i="2"/>
  <c r="J214" i="2"/>
  <c r="H214" i="2" s="1"/>
  <c r="I256" i="2"/>
  <c r="I282" i="2"/>
  <c r="K300" i="2"/>
  <c r="I313" i="2"/>
  <c r="J320" i="2"/>
  <c r="H320" i="2" s="1"/>
  <c r="I331" i="2"/>
  <c r="I345" i="2"/>
  <c r="I389" i="2"/>
  <c r="K399" i="2"/>
  <c r="J404" i="2"/>
  <c r="H404" i="2" s="1"/>
  <c r="J407" i="2"/>
  <c r="H407" i="2" s="1"/>
  <c r="J413" i="2"/>
  <c r="H413" i="2" s="1"/>
  <c r="J422" i="2"/>
  <c r="H422" i="2" s="1"/>
  <c r="J431" i="2"/>
  <c r="H431" i="2" s="1"/>
  <c r="K434" i="2"/>
  <c r="J439" i="2"/>
  <c r="H439" i="2" s="1"/>
  <c r="I459" i="2"/>
  <c r="I465" i="2"/>
  <c r="I473" i="2"/>
  <c r="K476" i="2"/>
  <c r="I446" i="2"/>
  <c r="J80" i="2"/>
  <c r="K151" i="2" s="1"/>
  <c r="G151" i="2" s="1"/>
  <c r="J125" i="2"/>
  <c r="H125" i="2" s="1"/>
  <c r="K130" i="2"/>
  <c r="K135" i="2"/>
  <c r="J152" i="2"/>
  <c r="H152" i="2" s="1"/>
  <c r="K177" i="2"/>
  <c r="K206" i="2"/>
  <c r="K214" i="2"/>
  <c r="J282" i="2"/>
  <c r="K363" i="2" s="1"/>
  <c r="G363" i="2" s="1"/>
  <c r="K313" i="2"/>
  <c r="K331" i="2"/>
  <c r="J340" i="2"/>
  <c r="J345" i="2"/>
  <c r="H345" i="2" s="1"/>
  <c r="J459" i="2"/>
  <c r="H459" i="2" s="1"/>
  <c r="J465" i="2"/>
  <c r="H465" i="2" s="1"/>
  <c r="K473" i="2"/>
  <c r="I143" i="2"/>
  <c r="J156" i="2"/>
  <c r="H156" i="2" s="1"/>
  <c r="I396" i="2"/>
  <c r="I48" i="2"/>
  <c r="J84" i="2"/>
  <c r="H84" i="2" s="1"/>
  <c r="I128" i="2"/>
  <c r="I161" i="2"/>
  <c r="J245" i="2"/>
  <c r="H245" i="2" s="1"/>
  <c r="I412" i="2"/>
  <c r="I415" i="2"/>
  <c r="I421" i="2"/>
  <c r="I427" i="2"/>
  <c r="J430" i="2"/>
  <c r="H430" i="2" s="1"/>
  <c r="K450" i="2"/>
  <c r="I467" i="2"/>
  <c r="I475" i="2"/>
  <c r="I212" i="2"/>
  <c r="I381" i="2"/>
  <c r="I12" i="2"/>
  <c r="K16" i="2"/>
  <c r="I30" i="2"/>
  <c r="K34" i="2"/>
  <c r="J48" i="2"/>
  <c r="H48" i="2" s="1"/>
  <c r="I72" i="2"/>
  <c r="I74" i="2"/>
  <c r="J88" i="2"/>
  <c r="H88" i="2" s="1"/>
  <c r="I151" i="2"/>
  <c r="K161" i="2"/>
  <c r="I170" i="2"/>
  <c r="J188" i="2"/>
  <c r="H188" i="2" s="1"/>
  <c r="K222" i="2"/>
  <c r="J344" i="2"/>
  <c r="H344" i="2" s="1"/>
  <c r="J380" i="2"/>
  <c r="H380" i="2" s="1"/>
  <c r="K428" i="2"/>
  <c r="J438" i="2"/>
  <c r="H438" i="2" s="1"/>
  <c r="I464" i="2"/>
  <c r="I29" i="2"/>
  <c r="K29" i="2"/>
  <c r="K21" i="2"/>
  <c r="I21" i="2"/>
  <c r="I37" i="2"/>
  <c r="K37" i="2"/>
  <c r="I11" i="2"/>
  <c r="K11" i="2"/>
  <c r="I47" i="2"/>
  <c r="K47" i="2"/>
  <c r="F89" i="2"/>
  <c r="J89" i="2" s="1"/>
  <c r="H89" i="2" s="1"/>
  <c r="G145" i="2"/>
  <c r="F145" i="2"/>
  <c r="I145" i="2" s="1"/>
  <c r="K166" i="2"/>
  <c r="J166" i="2"/>
  <c r="H166" i="2" s="1"/>
  <c r="F220" i="2"/>
  <c r="J220" i="2" s="1"/>
  <c r="H220" i="2" s="1"/>
  <c r="G243" i="2"/>
  <c r="F243" i="2"/>
  <c r="J243" i="2" s="1"/>
  <c r="H243" i="2" s="1"/>
  <c r="F246" i="2"/>
  <c r="J246" i="2" s="1"/>
  <c r="H246" i="2" s="1"/>
  <c r="G246" i="2"/>
  <c r="I249" i="2"/>
  <c r="J249" i="2"/>
  <c r="H249" i="2" s="1"/>
  <c r="F270" i="2"/>
  <c r="I270" i="2" s="1"/>
  <c r="G270" i="2"/>
  <c r="F276" i="2"/>
  <c r="J276" i="2" s="1"/>
  <c r="H276" i="2" s="1"/>
  <c r="F7" i="2"/>
  <c r="K7" i="2" s="1"/>
  <c r="F17" i="2"/>
  <c r="J17" i="2" s="1"/>
  <c r="H17" i="2" s="1"/>
  <c r="F27" i="2"/>
  <c r="K27" i="2" s="1"/>
  <c r="F35" i="2"/>
  <c r="K35" i="2" s="1"/>
  <c r="K40" i="2"/>
  <c r="F45" i="2"/>
  <c r="K45" i="2" s="1"/>
  <c r="K50" i="2"/>
  <c r="F61" i="2"/>
  <c r="I61" i="2" s="1"/>
  <c r="K64" i="2"/>
  <c r="G64" i="2"/>
  <c r="I65" i="2"/>
  <c r="G73" i="2"/>
  <c r="F79" i="2"/>
  <c r="K79" i="2" s="1"/>
  <c r="K82" i="2"/>
  <c r="G82" i="2"/>
  <c r="I83" i="2"/>
  <c r="G89" i="2"/>
  <c r="F97" i="2"/>
  <c r="J97" i="2" s="1"/>
  <c r="H97" i="2" s="1"/>
  <c r="K100" i="2"/>
  <c r="F110" i="2"/>
  <c r="J110" i="2" s="1"/>
  <c r="H110" i="2" s="1"/>
  <c r="I112" i="2"/>
  <c r="I118" i="2"/>
  <c r="G124" i="2"/>
  <c r="K124" i="2"/>
  <c r="K138" i="2"/>
  <c r="I140" i="2"/>
  <c r="I148" i="2"/>
  <c r="K158" i="2"/>
  <c r="J158" i="2"/>
  <c r="H158" i="2" s="1"/>
  <c r="K164" i="2"/>
  <c r="J182" i="2"/>
  <c r="H182" i="2" s="1"/>
  <c r="F185" i="2"/>
  <c r="K185" i="2" s="1"/>
  <c r="I191" i="2"/>
  <c r="G208" i="2"/>
  <c r="F208" i="2"/>
  <c r="I208" i="2" s="1"/>
  <c r="G220" i="2"/>
  <c r="G244" i="2"/>
  <c r="F244" i="2"/>
  <c r="I244" i="2" s="1"/>
  <c r="G253" i="2"/>
  <c r="F253" i="2"/>
  <c r="I253" i="2" s="1"/>
  <c r="G276" i="2"/>
  <c r="G311" i="2"/>
  <c r="F311" i="2"/>
  <c r="K311" i="2" s="1"/>
  <c r="F53" i="2"/>
  <c r="I53" i="2" s="1"/>
  <c r="G17" i="2"/>
  <c r="G27" i="2"/>
  <c r="I86" i="2"/>
  <c r="F175" i="2"/>
  <c r="I175" i="2" s="1"/>
  <c r="F263" i="2"/>
  <c r="J263" i="2" s="1"/>
  <c r="H263" i="2" s="1"/>
  <c r="K330" i="2"/>
  <c r="J330" i="2"/>
  <c r="H330" i="2" s="1"/>
  <c r="F5" i="2"/>
  <c r="K5" i="2" s="1"/>
  <c r="G6" i="2"/>
  <c r="I10" i="2"/>
  <c r="J11" i="2"/>
  <c r="F15" i="2"/>
  <c r="K15" i="2" s="1"/>
  <c r="G16" i="2"/>
  <c r="I20" i="2"/>
  <c r="J21" i="2"/>
  <c r="H21" i="2" s="1"/>
  <c r="F25" i="2"/>
  <c r="K25" i="2" s="1"/>
  <c r="I28" i="2"/>
  <c r="J29" i="2"/>
  <c r="H29" i="2" s="1"/>
  <c r="F33" i="2"/>
  <c r="K33" i="2" s="1"/>
  <c r="G34" i="2"/>
  <c r="I36" i="2"/>
  <c r="J37" i="2"/>
  <c r="H37" i="2" s="1"/>
  <c r="F41" i="2"/>
  <c r="K41" i="2" s="1"/>
  <c r="G42" i="2"/>
  <c r="I46" i="2"/>
  <c r="J47" i="2"/>
  <c r="H47" i="2" s="1"/>
  <c r="F51" i="2"/>
  <c r="K51" i="2" s="1"/>
  <c r="G52" i="2"/>
  <c r="F56" i="2"/>
  <c r="J56" i="2" s="1"/>
  <c r="H56" i="2" s="1"/>
  <c r="G60" i="2"/>
  <c r="K60" i="2"/>
  <c r="G69" i="2"/>
  <c r="F75" i="2"/>
  <c r="K75" i="2" s="1"/>
  <c r="G78" i="2"/>
  <c r="K78" i="2"/>
  <c r="K83" i="2"/>
  <c r="G85" i="2"/>
  <c r="F91" i="2"/>
  <c r="I91" i="2" s="1"/>
  <c r="G96" i="2"/>
  <c r="K96" i="2"/>
  <c r="I100" i="2"/>
  <c r="G104" i="2"/>
  <c r="K104" i="2"/>
  <c r="I106" i="2"/>
  <c r="J115" i="2"/>
  <c r="H115" i="2" s="1"/>
  <c r="F117" i="2"/>
  <c r="I121" i="2"/>
  <c r="G129" i="2"/>
  <c r="F133" i="2"/>
  <c r="I133" i="2" s="1"/>
  <c r="I138" i="2"/>
  <c r="K146" i="2"/>
  <c r="J164" i="2"/>
  <c r="H164" i="2" s="1"/>
  <c r="F167" i="2"/>
  <c r="K167" i="2" s="1"/>
  <c r="F173" i="2"/>
  <c r="K173" i="2" s="1"/>
  <c r="G175" i="2"/>
  <c r="G183" i="2"/>
  <c r="G189" i="2"/>
  <c r="F189" i="2"/>
  <c r="I189" i="2" s="1"/>
  <c r="K217" i="2"/>
  <c r="J217" i="2"/>
  <c r="H217" i="2" s="1"/>
  <c r="G225" i="2"/>
  <c r="F225" i="2"/>
  <c r="K225" i="2" s="1"/>
  <c r="J237" i="2"/>
  <c r="H237" i="2" s="1"/>
  <c r="K249" i="2"/>
  <c r="K350" i="2"/>
  <c r="J350" i="2"/>
  <c r="H350" i="2" s="1"/>
  <c r="G110" i="2"/>
  <c r="G79" i="2"/>
  <c r="G114" i="2"/>
  <c r="K114" i="2"/>
  <c r="K148" i="2"/>
  <c r="J148" i="2"/>
  <c r="H148" i="2" s="1"/>
  <c r="G5" i="2"/>
  <c r="G15" i="2"/>
  <c r="G25" i="2"/>
  <c r="G33" i="2"/>
  <c r="G51" i="2"/>
  <c r="G56" i="2"/>
  <c r="F63" i="2"/>
  <c r="K63" i="2" s="1"/>
  <c r="F81" i="2"/>
  <c r="K81" i="2" s="1"/>
  <c r="G91" i="2"/>
  <c r="F99" i="2"/>
  <c r="K99" i="2" s="1"/>
  <c r="G109" i="2"/>
  <c r="F109" i="2"/>
  <c r="K109" i="2" s="1"/>
  <c r="K115" i="2"/>
  <c r="F159" i="2"/>
  <c r="J159" i="2" s="1"/>
  <c r="H159" i="2" s="1"/>
  <c r="F165" i="2"/>
  <c r="J165" i="2" s="1"/>
  <c r="H165" i="2" s="1"/>
  <c r="G173" i="2"/>
  <c r="F181" i="2"/>
  <c r="J181" i="2" s="1"/>
  <c r="H181" i="2" s="1"/>
  <c r="F202" i="2"/>
  <c r="J202" i="2" s="1"/>
  <c r="H202" i="2" s="1"/>
  <c r="F238" i="2"/>
  <c r="I238" i="2" s="1"/>
  <c r="G35" i="2"/>
  <c r="G45" i="2"/>
  <c r="F183" i="2"/>
  <c r="J183" i="2" s="1"/>
  <c r="H183" i="2" s="1"/>
  <c r="F3" i="2"/>
  <c r="I6" i="2"/>
  <c r="J7" i="2"/>
  <c r="H7" i="2" s="1"/>
  <c r="F13" i="2"/>
  <c r="I16" i="2"/>
  <c r="F23" i="2"/>
  <c r="I26" i="2"/>
  <c r="F31" i="2"/>
  <c r="I34" i="2"/>
  <c r="F39" i="2"/>
  <c r="I42" i="2"/>
  <c r="F49" i="2"/>
  <c r="J49" i="2" s="1"/>
  <c r="K65" i="2" s="1"/>
  <c r="I52" i="2"/>
  <c r="K54" i="2"/>
  <c r="G54" i="2"/>
  <c r="G63" i="2"/>
  <c r="J64" i="2"/>
  <c r="H64" i="2" s="1"/>
  <c r="F71" i="2"/>
  <c r="J71" i="2" s="1"/>
  <c r="H71" i="2" s="1"/>
  <c r="K74" i="2"/>
  <c r="G74" i="2"/>
  <c r="G81" i="2"/>
  <c r="J82" i="2"/>
  <c r="H82" i="2" s="1"/>
  <c r="F87" i="2"/>
  <c r="J87" i="2" s="1"/>
  <c r="H87" i="2" s="1"/>
  <c r="K90" i="2"/>
  <c r="G90" i="2"/>
  <c r="G99" i="2"/>
  <c r="I101" i="2"/>
  <c r="F111" i="2"/>
  <c r="K111" i="2" s="1"/>
  <c r="K112" i="2"/>
  <c r="I114" i="2"/>
  <c r="F123" i="2"/>
  <c r="I123" i="2" s="1"/>
  <c r="J124" i="2"/>
  <c r="H124" i="2" s="1"/>
  <c r="F137" i="2"/>
  <c r="K137" i="2" s="1"/>
  <c r="F139" i="2"/>
  <c r="J139" i="2" s="1"/>
  <c r="K140" i="2"/>
  <c r="J146" i="2"/>
  <c r="H146" i="2" s="1"/>
  <c r="F149" i="2"/>
  <c r="J149" i="2" s="1"/>
  <c r="H149" i="2" s="1"/>
  <c r="F157" i="2"/>
  <c r="J157" i="2" s="1"/>
  <c r="H157" i="2" s="1"/>
  <c r="G165" i="2"/>
  <c r="G171" i="2"/>
  <c r="F171" i="2"/>
  <c r="I171" i="2" s="1"/>
  <c r="I184" i="2"/>
  <c r="F200" i="2"/>
  <c r="J200" i="2" s="1"/>
  <c r="H200" i="2" s="1"/>
  <c r="F218" i="2"/>
  <c r="J218" i="2" s="1"/>
  <c r="H218" i="2" s="1"/>
  <c r="G218" i="2"/>
  <c r="K226" i="2"/>
  <c r="I231" i="2"/>
  <c r="J231" i="2"/>
  <c r="K257" i="2" s="1"/>
  <c r="G239" i="2"/>
  <c r="F239" i="2"/>
  <c r="K239" i="2" s="1"/>
  <c r="F248" i="2"/>
  <c r="K248" i="2" s="1"/>
  <c r="F85" i="2"/>
  <c r="I85" i="2" s="1"/>
  <c r="I241" i="2"/>
  <c r="K241" i="2"/>
  <c r="J241" i="2"/>
  <c r="J287" i="2"/>
  <c r="H287" i="2" s="1"/>
  <c r="K287" i="2"/>
  <c r="I287" i="2"/>
  <c r="I5" i="2"/>
  <c r="J6" i="2"/>
  <c r="H6" i="2" s="1"/>
  <c r="J16" i="2"/>
  <c r="H16" i="2" s="1"/>
  <c r="J26" i="2"/>
  <c r="H26" i="2" s="1"/>
  <c r="J34" i="2"/>
  <c r="H34" i="2" s="1"/>
  <c r="J42" i="2"/>
  <c r="H42" i="2" s="1"/>
  <c r="J52" i="2"/>
  <c r="H52" i="2" s="1"/>
  <c r="F59" i="2"/>
  <c r="J59" i="2" s="1"/>
  <c r="H59" i="2" s="1"/>
  <c r="I60" i="2"/>
  <c r="G71" i="2"/>
  <c r="F77" i="2"/>
  <c r="K77" i="2" s="1"/>
  <c r="I78" i="2"/>
  <c r="G87" i="2"/>
  <c r="F95" i="2"/>
  <c r="K95" i="2" s="1"/>
  <c r="G111" i="2"/>
  <c r="F113" i="2"/>
  <c r="I113" i="2" s="1"/>
  <c r="J114" i="2"/>
  <c r="H114" i="2" s="1"/>
  <c r="G134" i="2"/>
  <c r="F141" i="2"/>
  <c r="I141" i="2" s="1"/>
  <c r="F147" i="2"/>
  <c r="K147" i="2" s="1"/>
  <c r="G163" i="2"/>
  <c r="F163" i="2"/>
  <c r="K163" i="2" s="1"/>
  <c r="K184" i="2"/>
  <c r="J184" i="2"/>
  <c r="H184" i="2" s="1"/>
  <c r="F210" i="2"/>
  <c r="J210" i="2" s="1"/>
  <c r="H210" i="2" s="1"/>
  <c r="G229" i="2"/>
  <c r="F229" i="2"/>
  <c r="J229" i="2" s="1"/>
  <c r="H229" i="2" s="1"/>
  <c r="F236" i="2"/>
  <c r="J236" i="2" s="1"/>
  <c r="H236" i="2" s="1"/>
  <c r="F255" i="2"/>
  <c r="J255" i="2" s="1"/>
  <c r="H255" i="2" s="1"/>
  <c r="F73" i="2"/>
  <c r="J73" i="2" s="1"/>
  <c r="H73" i="2" s="1"/>
  <c r="F69" i="2"/>
  <c r="I69" i="2" s="1"/>
  <c r="G127" i="2"/>
  <c r="F127" i="2"/>
  <c r="I127" i="2" s="1"/>
  <c r="F129" i="2"/>
  <c r="K129" i="2" s="1"/>
  <c r="J227" i="2"/>
  <c r="H227" i="2" s="1"/>
  <c r="K397" i="2"/>
  <c r="J397" i="2"/>
  <c r="I397" i="2"/>
  <c r="G59" i="2"/>
  <c r="G70" i="2"/>
  <c r="K70" i="2"/>
  <c r="G77" i="2"/>
  <c r="G86" i="2"/>
  <c r="K86" i="2"/>
  <c r="G95" i="2"/>
  <c r="J96" i="2"/>
  <c r="H96" i="2" s="1"/>
  <c r="G101" i="2"/>
  <c r="F103" i="2"/>
  <c r="I103" i="2" s="1"/>
  <c r="J104" i="2"/>
  <c r="H104" i="2" s="1"/>
  <c r="G113" i="2"/>
  <c r="K118" i="2"/>
  <c r="G118" i="2"/>
  <c r="K121" i="2"/>
  <c r="F134" i="2"/>
  <c r="I134" i="2" s="1"/>
  <c r="G141" i="2"/>
  <c r="G147" i="2"/>
  <c r="F155" i="2"/>
  <c r="J155" i="2" s="1"/>
  <c r="H155" i="2" s="1"/>
  <c r="I166" i="2"/>
  <c r="K174" i="2"/>
  <c r="J174" i="2"/>
  <c r="H174" i="2" s="1"/>
  <c r="K182" i="2"/>
  <c r="G219" i="2"/>
  <c r="F219" i="2"/>
  <c r="K219" i="2" s="1"/>
  <c r="G240" i="2"/>
  <c r="F240" i="2"/>
  <c r="J240" i="2" s="1"/>
  <c r="H240" i="2" s="1"/>
  <c r="G289" i="2"/>
  <c r="F289" i="2"/>
  <c r="K289" i="2" s="1"/>
  <c r="I142" i="2"/>
  <c r="I150" i="2"/>
  <c r="I160" i="2"/>
  <c r="I168" i="2"/>
  <c r="I176" i="2"/>
  <c r="I186" i="2"/>
  <c r="J190" i="2"/>
  <c r="H190" i="2" s="1"/>
  <c r="I199" i="2"/>
  <c r="I217" i="2"/>
  <c r="K242" i="2"/>
  <c r="I272" i="2"/>
  <c r="F283" i="2"/>
  <c r="I283" i="2" s="1"/>
  <c r="G128" i="2"/>
  <c r="G138" i="2"/>
  <c r="K142" i="2"/>
  <c r="G146" i="2"/>
  <c r="K150" i="2"/>
  <c r="G156" i="2"/>
  <c r="K160" i="2"/>
  <c r="G164" i="2"/>
  <c r="K168" i="2"/>
  <c r="K176" i="2"/>
  <c r="G182" i="2"/>
  <c r="K186" i="2"/>
  <c r="G190" i="2"/>
  <c r="G199" i="2"/>
  <c r="K201" i="2"/>
  <c r="J201" i="2"/>
  <c r="H201" i="2" s="1"/>
  <c r="F207" i="2"/>
  <c r="K232" i="2"/>
  <c r="I245" i="2"/>
  <c r="K256" i="2"/>
  <c r="G259" i="2"/>
  <c r="I259" i="2"/>
  <c r="K265" i="2"/>
  <c r="G265" i="2"/>
  <c r="J272" i="2"/>
  <c r="H272" i="2" s="1"/>
  <c r="I278" i="2"/>
  <c r="F280" i="2"/>
  <c r="I280" i="2" s="1"/>
  <c r="G280" i="2"/>
  <c r="G294" i="2"/>
  <c r="F294" i="2"/>
  <c r="K294" i="2" s="1"/>
  <c r="F317" i="2"/>
  <c r="J317" i="2" s="1"/>
  <c r="H317" i="2" s="1"/>
  <c r="G322" i="2"/>
  <c r="F322" i="2"/>
  <c r="K322" i="2" s="1"/>
  <c r="G338" i="2"/>
  <c r="F338" i="2"/>
  <c r="J338" i="2" s="1"/>
  <c r="H338" i="2" s="1"/>
  <c r="K192" i="2"/>
  <c r="J199" i="2"/>
  <c r="H199" i="2" s="1"/>
  <c r="K212" i="2"/>
  <c r="I222" i="2"/>
  <c r="J228" i="2"/>
  <c r="H228" i="2" s="1"/>
  <c r="K230" i="2"/>
  <c r="G233" i="2"/>
  <c r="F233" i="2"/>
  <c r="I233" i="2" s="1"/>
  <c r="G247" i="2"/>
  <c r="K247" i="2"/>
  <c r="J247" i="2"/>
  <c r="H247" i="2" s="1"/>
  <c r="J254" i="2"/>
  <c r="H254" i="2" s="1"/>
  <c r="G254" i="2"/>
  <c r="J257" i="2"/>
  <c r="K267" i="2"/>
  <c r="J267" i="2"/>
  <c r="H267" i="2" s="1"/>
  <c r="J278" i="2"/>
  <c r="H278" i="2" s="1"/>
  <c r="J284" i="2"/>
  <c r="H284" i="2" s="1"/>
  <c r="G284" i="2"/>
  <c r="J286" i="2"/>
  <c r="H286" i="2" s="1"/>
  <c r="F328" i="2"/>
  <c r="I209" i="2"/>
  <c r="I237" i="2"/>
  <c r="F273" i="2"/>
  <c r="J273" i="2" s="1"/>
  <c r="H273" i="2" s="1"/>
  <c r="G281" i="2"/>
  <c r="K191" i="2"/>
  <c r="J191" i="2"/>
  <c r="H191" i="2" s="1"/>
  <c r="G197" i="2"/>
  <c r="F197" i="2"/>
  <c r="K197" i="2" s="1"/>
  <c r="J198" i="2"/>
  <c r="G209" i="2"/>
  <c r="K211" i="2"/>
  <c r="J211" i="2"/>
  <c r="H211" i="2" s="1"/>
  <c r="G215" i="2"/>
  <c r="F215" i="2"/>
  <c r="K215" i="2" s="1"/>
  <c r="J216" i="2"/>
  <c r="H216" i="2" s="1"/>
  <c r="J221" i="2"/>
  <c r="K272" i="2" s="1"/>
  <c r="I227" i="2"/>
  <c r="I230" i="2"/>
  <c r="I247" i="2"/>
  <c r="K254" i="2"/>
  <c r="F260" i="2"/>
  <c r="I260" i="2" s="1"/>
  <c r="F266" i="2"/>
  <c r="K266" i="2" s="1"/>
  <c r="I267" i="2"/>
  <c r="F281" i="2"/>
  <c r="K281" i="2" s="1"/>
  <c r="K284" i="2"/>
  <c r="F301" i="2"/>
  <c r="J301" i="2" s="1"/>
  <c r="H301" i="2" s="1"/>
  <c r="K304" i="2"/>
  <c r="J304" i="2"/>
  <c r="H304" i="2" s="1"/>
  <c r="F309" i="2"/>
  <c r="I309" i="2" s="1"/>
  <c r="G309" i="2"/>
  <c r="K319" i="2"/>
  <c r="J319" i="2"/>
  <c r="H319" i="2" s="1"/>
  <c r="I319" i="2"/>
  <c r="G319" i="2"/>
  <c r="I326" i="2"/>
  <c r="K326" i="2"/>
  <c r="J326" i="2"/>
  <c r="H326" i="2" s="1"/>
  <c r="I330" i="2"/>
  <c r="G352" i="2"/>
  <c r="F352" i="2"/>
  <c r="K352" i="2" s="1"/>
  <c r="J291" i="2"/>
  <c r="H291" i="2" s="1"/>
  <c r="J307" i="2"/>
  <c r="J312" i="2"/>
  <c r="H312" i="2" s="1"/>
  <c r="G314" i="2"/>
  <c r="F314" i="2"/>
  <c r="K314" i="2" s="1"/>
  <c r="G346" i="2"/>
  <c r="J346" i="2"/>
  <c r="H346" i="2" s="1"/>
  <c r="I346" i="2"/>
  <c r="G258" i="2"/>
  <c r="F264" i="2"/>
  <c r="J264" i="2" s="1"/>
  <c r="H264" i="2" s="1"/>
  <c r="F271" i="2"/>
  <c r="F277" i="2"/>
  <c r="K277" i="2" s="1"/>
  <c r="F285" i="2"/>
  <c r="F288" i="2"/>
  <c r="K288" i="2" s="1"/>
  <c r="I296" i="2"/>
  <c r="F303" i="2"/>
  <c r="K303" i="2" s="1"/>
  <c r="G306" i="2"/>
  <c r="F306" i="2"/>
  <c r="K306" i="2" s="1"/>
  <c r="G334" i="2"/>
  <c r="F334" i="2"/>
  <c r="I334" i="2" s="1"/>
  <c r="J336" i="2"/>
  <c r="H336" i="2" s="1"/>
  <c r="I336" i="2"/>
  <c r="K343" i="2"/>
  <c r="F293" i="2"/>
  <c r="K293" i="2" s="1"/>
  <c r="K318" i="2"/>
  <c r="J318" i="2"/>
  <c r="H318" i="2" s="1"/>
  <c r="G318" i="2"/>
  <c r="G325" i="2"/>
  <c r="K325" i="2"/>
  <c r="K329" i="2"/>
  <c r="G329" i="2"/>
  <c r="I339" i="2"/>
  <c r="G302" i="2"/>
  <c r="G310" i="2"/>
  <c r="G341" i="2"/>
  <c r="F360" i="2"/>
  <c r="I360" i="2" s="1"/>
  <c r="G425" i="2"/>
  <c r="F425" i="2"/>
  <c r="K425" i="2" s="1"/>
  <c r="F302" i="2"/>
  <c r="F310" i="2"/>
  <c r="I310" i="2" s="1"/>
  <c r="J316" i="2"/>
  <c r="H316" i="2" s="1"/>
  <c r="I329" i="2"/>
  <c r="G335" i="2"/>
  <c r="J339" i="2"/>
  <c r="H339" i="2" s="1"/>
  <c r="F341" i="2"/>
  <c r="I341" i="2" s="1"/>
  <c r="I286" i="2"/>
  <c r="F295" i="2"/>
  <c r="I295" i="2" s="1"/>
  <c r="F298" i="2"/>
  <c r="K298" i="2" s="1"/>
  <c r="I299" i="2"/>
  <c r="I304" i="2"/>
  <c r="J308" i="2"/>
  <c r="H308" i="2" s="1"/>
  <c r="F315" i="2"/>
  <c r="K315" i="2" s="1"/>
  <c r="K316" i="2"/>
  <c r="I318" i="2"/>
  <c r="J325" i="2"/>
  <c r="H325" i="2" s="1"/>
  <c r="J329" i="2"/>
  <c r="H329" i="2" s="1"/>
  <c r="F335" i="2"/>
  <c r="J416" i="2"/>
  <c r="I416" i="2"/>
  <c r="K416" i="2"/>
  <c r="G339" i="2"/>
  <c r="G343" i="2"/>
  <c r="K361" i="2"/>
  <c r="J361" i="2"/>
  <c r="H361" i="2" s="1"/>
  <c r="J400" i="2"/>
  <c r="I400" i="2"/>
  <c r="J408" i="2"/>
  <c r="I408" i="2"/>
  <c r="K453" i="2"/>
  <c r="F327" i="2"/>
  <c r="K327" i="2" s="1"/>
  <c r="F337" i="2"/>
  <c r="F342" i="2"/>
  <c r="K342" i="2" s="1"/>
  <c r="F348" i="2"/>
  <c r="I348" i="2" s="1"/>
  <c r="F353" i="2"/>
  <c r="K353" i="2" s="1"/>
  <c r="I355" i="2"/>
  <c r="F358" i="2"/>
  <c r="K358" i="2" s="1"/>
  <c r="J362" i="2"/>
  <c r="H362" i="2" s="1"/>
  <c r="I366" i="2"/>
  <c r="G366" i="2"/>
  <c r="K368" i="2"/>
  <c r="J368" i="2"/>
  <c r="H368" i="2" s="1"/>
  <c r="I368" i="2"/>
  <c r="I374" i="2"/>
  <c r="G374" i="2"/>
  <c r="K378" i="2"/>
  <c r="J378" i="2"/>
  <c r="H378" i="2" s="1"/>
  <c r="I378" i="2"/>
  <c r="I384" i="2"/>
  <c r="K386" i="2"/>
  <c r="J386" i="2"/>
  <c r="H386" i="2" s="1"/>
  <c r="I386" i="2"/>
  <c r="F394" i="2"/>
  <c r="I394" i="2" s="1"/>
  <c r="K417" i="2"/>
  <c r="J417" i="2"/>
  <c r="H417" i="2" s="1"/>
  <c r="I417" i="2"/>
  <c r="J442" i="2"/>
  <c r="H442" i="2" s="1"/>
  <c r="I442" i="2"/>
  <c r="K442" i="2"/>
  <c r="J392" i="2"/>
  <c r="I392" i="2"/>
  <c r="K426" i="2"/>
  <c r="J460" i="2"/>
  <c r="I460" i="2"/>
  <c r="K460" i="2"/>
  <c r="J478" i="2"/>
  <c r="I478" i="2"/>
  <c r="K478" i="2"/>
  <c r="K403" i="2"/>
  <c r="J403" i="2"/>
  <c r="J432" i="2"/>
  <c r="I432" i="2"/>
  <c r="K432" i="2"/>
  <c r="I340" i="2"/>
  <c r="J351" i="2"/>
  <c r="H351" i="2" s="1"/>
  <c r="J354" i="2"/>
  <c r="H354" i="2" s="1"/>
  <c r="G357" i="2"/>
  <c r="K366" i="2"/>
  <c r="J371" i="2"/>
  <c r="H371" i="2" s="1"/>
  <c r="K374" i="2"/>
  <c r="J381" i="2"/>
  <c r="H381" i="2" s="1"/>
  <c r="K384" i="2"/>
  <c r="J389" i="2"/>
  <c r="H389" i="2" s="1"/>
  <c r="K392" i="2"/>
  <c r="F401" i="2"/>
  <c r="I401" i="2" s="1"/>
  <c r="F409" i="2"/>
  <c r="J409" i="2" s="1"/>
  <c r="H409" i="2" s="1"/>
  <c r="K418" i="2"/>
  <c r="I357" i="2"/>
  <c r="I363" i="2"/>
  <c r="G365" i="2"/>
  <c r="F365" i="2"/>
  <c r="J367" i="2"/>
  <c r="I367" i="2"/>
  <c r="J375" i="2"/>
  <c r="H375" i="2" s="1"/>
  <c r="I375" i="2"/>
  <c r="J385" i="2"/>
  <c r="H385" i="2" s="1"/>
  <c r="I385" i="2"/>
  <c r="K393" i="2"/>
  <c r="J393" i="2"/>
  <c r="H393" i="2" s="1"/>
  <c r="I393" i="2"/>
  <c r="K395" i="2"/>
  <c r="J395" i="2"/>
  <c r="H395" i="2" s="1"/>
  <c r="G401" i="2"/>
  <c r="G409" i="2"/>
  <c r="J424" i="2"/>
  <c r="H424" i="2" s="1"/>
  <c r="I424" i="2"/>
  <c r="K424" i="2"/>
  <c r="K433" i="2"/>
  <c r="K479" i="2"/>
  <c r="J479" i="2"/>
  <c r="H479" i="2" s="1"/>
  <c r="I479" i="2"/>
  <c r="I350" i="2"/>
  <c r="J359" i="2"/>
  <c r="H359" i="2" s="1"/>
  <c r="I359" i="2"/>
  <c r="K369" i="2"/>
  <c r="J369" i="2"/>
  <c r="H369" i="2" s="1"/>
  <c r="I370" i="2"/>
  <c r="K379" i="2"/>
  <c r="J379" i="2"/>
  <c r="H379" i="2" s="1"/>
  <c r="I380" i="2"/>
  <c r="K387" i="2"/>
  <c r="J387" i="2"/>
  <c r="I388" i="2"/>
  <c r="K402" i="2"/>
  <c r="J402" i="2"/>
  <c r="H402" i="2" s="1"/>
  <c r="I402" i="2"/>
  <c r="I403" i="2"/>
  <c r="K410" i="2"/>
  <c r="J452" i="2"/>
  <c r="H452" i="2" s="1"/>
  <c r="I452" i="2"/>
  <c r="K452" i="2"/>
  <c r="J468" i="2"/>
  <c r="H468" i="2" s="1"/>
  <c r="I468" i="2"/>
  <c r="K468" i="2"/>
  <c r="I458" i="2"/>
  <c r="I466" i="2"/>
  <c r="I476" i="2"/>
  <c r="F462" i="2"/>
  <c r="J462" i="2" s="1"/>
  <c r="H462" i="2" s="1"/>
  <c r="F472" i="2"/>
  <c r="J472" i="2" s="1"/>
  <c r="H472" i="2" s="1"/>
  <c r="I410" i="2"/>
  <c r="J411" i="2"/>
  <c r="H411" i="2" s="1"/>
  <c r="I418" i="2"/>
  <c r="J419" i="2"/>
  <c r="H419" i="2" s="1"/>
  <c r="I426" i="2"/>
  <c r="J427" i="2"/>
  <c r="H427" i="2" s="1"/>
  <c r="I434" i="2"/>
  <c r="J437" i="2"/>
  <c r="H437" i="2" s="1"/>
  <c r="I444" i="2"/>
  <c r="J445" i="2"/>
  <c r="I454" i="2"/>
  <c r="J455" i="2"/>
  <c r="H455" i="2" s="1"/>
  <c r="F364" i="2"/>
  <c r="F372" i="2"/>
  <c r="F382" i="2"/>
  <c r="F390" i="2"/>
  <c r="F398" i="2"/>
  <c r="J410" i="2"/>
  <c r="H410" i="2" s="1"/>
  <c r="J418" i="2"/>
  <c r="H418" i="2" s="1"/>
  <c r="J426" i="2"/>
  <c r="I433" i="2"/>
  <c r="J434" i="2"/>
  <c r="H434" i="2" s="1"/>
  <c r="I443" i="2"/>
  <c r="J444" i="2"/>
  <c r="H444" i="2" s="1"/>
  <c r="I453" i="2"/>
  <c r="J454" i="2"/>
  <c r="H454" i="2" s="1"/>
  <c r="J433" i="2"/>
  <c r="H433" i="2" s="1"/>
  <c r="J443" i="2"/>
  <c r="J453" i="2"/>
  <c r="H453" i="2" s="1"/>
  <c r="J461" i="2"/>
  <c r="H461" i="2" s="1"/>
  <c r="J471" i="2"/>
  <c r="H478" i="2" l="1"/>
  <c r="G478" i="2"/>
  <c r="H464" i="2"/>
  <c r="G464" i="2"/>
  <c r="H460" i="2"/>
  <c r="G460" i="2"/>
  <c r="H367" i="2"/>
  <c r="G367" i="2"/>
  <c r="H443" i="2"/>
  <c r="G443" i="2"/>
  <c r="H340" i="2"/>
  <c r="G340" i="2"/>
  <c r="H307" i="2"/>
  <c r="G135" i="2"/>
  <c r="H282" i="2"/>
  <c r="G282" i="2"/>
  <c r="G272" i="2"/>
  <c r="H241" i="2"/>
  <c r="G241" i="2"/>
  <c r="H221" i="2"/>
  <c r="G221" i="2"/>
  <c r="H198" i="2"/>
  <c r="G198" i="2"/>
  <c r="H80" i="2"/>
  <c r="K62" i="2"/>
  <c r="G62" i="2" s="1"/>
  <c r="G100" i="2"/>
  <c r="H62" i="2"/>
  <c r="I89" i="2"/>
  <c r="G421" i="2"/>
  <c r="H11" i="2"/>
  <c r="G11" i="2"/>
  <c r="I15" i="2"/>
  <c r="G297" i="2"/>
  <c r="I25" i="2"/>
  <c r="K89" i="2"/>
  <c r="G384" i="2"/>
  <c r="G193" i="2"/>
  <c r="H4" i="2"/>
  <c r="G4" i="2"/>
  <c r="I7" i="2"/>
  <c r="G7" i="2" s="1"/>
  <c r="H471" i="2"/>
  <c r="H445" i="2"/>
  <c r="H432" i="2"/>
  <c r="G432" i="2"/>
  <c r="H426" i="2"/>
  <c r="G426" i="2"/>
  <c r="H416" i="2"/>
  <c r="G416" i="2"/>
  <c r="H408" i="2"/>
  <c r="G408" i="2"/>
  <c r="H403" i="2"/>
  <c r="G403" i="2"/>
  <c r="H400" i="2"/>
  <c r="G400" i="2"/>
  <c r="H397" i="2"/>
  <c r="G397" i="2"/>
  <c r="H392" i="2"/>
  <c r="G392" i="2"/>
  <c r="H387" i="2"/>
  <c r="G387" i="2"/>
  <c r="K279" i="2"/>
  <c r="G279" i="2" s="1"/>
  <c r="H279" i="2"/>
  <c r="H257" i="2"/>
  <c r="G257" i="2"/>
  <c r="H231" i="2"/>
  <c r="K231" i="2"/>
  <c r="G231" i="2" s="1"/>
  <c r="G212" i="2"/>
  <c r="G65" i="2"/>
  <c r="G187" i="2"/>
  <c r="K61" i="2"/>
  <c r="H58" i="2"/>
  <c r="G58" i="2"/>
  <c r="K172" i="2"/>
  <c r="G172" i="2" s="1"/>
  <c r="G160" i="2"/>
  <c r="J348" i="2"/>
  <c r="H348" i="2" s="1"/>
  <c r="I236" i="2"/>
  <c r="H139" i="2"/>
  <c r="K236" i="2"/>
  <c r="I185" i="2"/>
  <c r="I210" i="2"/>
  <c r="H49" i="2"/>
  <c r="I137" i="2"/>
  <c r="K175" i="2"/>
  <c r="K189" i="2"/>
  <c r="I110" i="2"/>
  <c r="J75" i="2"/>
  <c r="K80" i="2" s="1"/>
  <c r="G80" i="2" s="1"/>
  <c r="I75" i="2"/>
  <c r="I149" i="2"/>
  <c r="I27" i="2"/>
  <c r="J225" i="2"/>
  <c r="H225" i="2" s="1"/>
  <c r="K229" i="2"/>
  <c r="K85" i="2"/>
  <c r="K110" i="2"/>
  <c r="J173" i="2"/>
  <c r="H173" i="2" s="1"/>
  <c r="I337" i="2"/>
  <c r="J337" i="2"/>
  <c r="K360" i="2" s="1"/>
  <c r="G26" i="2"/>
  <c r="I240" i="2"/>
  <c r="K145" i="2"/>
  <c r="I33" i="2"/>
  <c r="K149" i="2"/>
  <c r="K270" i="2"/>
  <c r="G28" i="2"/>
  <c r="I352" i="2"/>
  <c r="I109" i="2"/>
  <c r="J109" i="2"/>
  <c r="H109" i="2" s="1"/>
  <c r="K263" i="2"/>
  <c r="J311" i="2"/>
  <c r="H311" i="2" s="1"/>
  <c r="K200" i="2"/>
  <c r="K134" i="2"/>
  <c r="I51" i="2"/>
  <c r="J189" i="2"/>
  <c r="H189" i="2" s="1"/>
  <c r="J145" i="2"/>
  <c r="H145" i="2" s="1"/>
  <c r="J45" i="2"/>
  <c r="H45" i="2" s="1"/>
  <c r="K283" i="2"/>
  <c r="J79" i="2"/>
  <c r="H79" i="2" s="1"/>
  <c r="I79" i="2"/>
  <c r="K228" i="2"/>
  <c r="J27" i="2"/>
  <c r="H27" i="2" s="1"/>
  <c r="I409" i="2"/>
  <c r="I183" i="2"/>
  <c r="K87" i="2"/>
  <c r="K246" i="2"/>
  <c r="K409" i="2"/>
  <c r="J111" i="2"/>
  <c r="H111" i="2" s="1"/>
  <c r="K113" i="2"/>
  <c r="I41" i="2"/>
  <c r="K97" i="2"/>
  <c r="I97" i="2"/>
  <c r="K310" i="2"/>
  <c r="I338" i="2"/>
  <c r="I159" i="2"/>
  <c r="I228" i="2"/>
  <c r="K280" i="2"/>
  <c r="I81" i="2"/>
  <c r="J103" i="2"/>
  <c r="H103" i="2" s="1"/>
  <c r="J141" i="2"/>
  <c r="H141" i="2" s="1"/>
  <c r="I263" i="2"/>
  <c r="K243" i="2"/>
  <c r="J341" i="2"/>
  <c r="H341" i="2" s="1"/>
  <c r="I301" i="2"/>
  <c r="K255" i="2"/>
  <c r="J91" i="2"/>
  <c r="H91" i="2" s="1"/>
  <c r="I248" i="2"/>
  <c r="I202" i="2"/>
  <c r="J53" i="2"/>
  <c r="H53" i="2" s="1"/>
  <c r="J295" i="2"/>
  <c r="K307" i="2" s="1"/>
  <c r="G307" i="2" s="1"/>
  <c r="K317" i="2"/>
  <c r="K171" i="2"/>
  <c r="J69" i="2"/>
  <c r="H69" i="2" s="1"/>
  <c r="J163" i="2"/>
  <c r="H163" i="2" s="1"/>
  <c r="J248" i="2"/>
  <c r="H248" i="2" s="1"/>
  <c r="J171" i="2"/>
  <c r="H171" i="2" s="1"/>
  <c r="K202" i="2"/>
  <c r="K159" i="2"/>
  <c r="J99" i="2"/>
  <c r="H99" i="2" s="1"/>
  <c r="J175" i="2"/>
  <c r="H175" i="2" s="1"/>
  <c r="I246" i="2"/>
  <c r="G10" i="2"/>
  <c r="I77" i="2"/>
  <c r="J394" i="2"/>
  <c r="H394" i="2" s="1"/>
  <c r="J425" i="2"/>
  <c r="H425" i="2" s="1"/>
  <c r="J309" i="2"/>
  <c r="H309" i="2" s="1"/>
  <c r="K295" i="2"/>
  <c r="I317" i="2"/>
  <c r="I163" i="2"/>
  <c r="K238" i="2"/>
  <c r="J129" i="2"/>
  <c r="H129" i="2" s="1"/>
  <c r="J208" i="2"/>
  <c r="H208" i="2" s="1"/>
  <c r="K91" i="2"/>
  <c r="I425" i="2"/>
  <c r="I342" i="2"/>
  <c r="I462" i="2"/>
  <c r="J353" i="2"/>
  <c r="H353" i="2" s="1"/>
  <c r="I266" i="2"/>
  <c r="K273" i="2"/>
  <c r="I147" i="2"/>
  <c r="J77" i="2"/>
  <c r="H77" i="2" s="1"/>
  <c r="J85" i="2"/>
  <c r="H85" i="2" s="1"/>
  <c r="I200" i="2"/>
  <c r="J137" i="2"/>
  <c r="J238" i="2"/>
  <c r="I45" i="2"/>
  <c r="I173" i="2"/>
  <c r="I243" i="2"/>
  <c r="K127" i="2"/>
  <c r="I255" i="2"/>
  <c r="K183" i="2"/>
  <c r="I87" i="2"/>
  <c r="J233" i="2"/>
  <c r="H233" i="2" s="1"/>
  <c r="K233" i="2"/>
  <c r="K53" i="2"/>
  <c r="J401" i="2"/>
  <c r="H401" i="2" s="1"/>
  <c r="J293" i="2"/>
  <c r="H293" i="2" s="1"/>
  <c r="I293" i="2"/>
  <c r="J352" i="2"/>
  <c r="H352" i="2" s="1"/>
  <c r="K301" i="2"/>
  <c r="K260" i="2"/>
  <c r="I273" i="2"/>
  <c r="K338" i="2"/>
  <c r="I99" i="2"/>
  <c r="I129" i="2"/>
  <c r="I229" i="2"/>
  <c r="K165" i="2"/>
  <c r="J95" i="2"/>
  <c r="H95" i="2" s="1"/>
  <c r="J123" i="2"/>
  <c r="H123" i="2" s="1"/>
  <c r="I225" i="2"/>
  <c r="K244" i="2"/>
  <c r="J33" i="2"/>
  <c r="H33" i="2" s="1"/>
  <c r="K39" i="2"/>
  <c r="I39" i="2"/>
  <c r="I398" i="2"/>
  <c r="K398" i="2"/>
  <c r="J398" i="2"/>
  <c r="H398" i="2" s="1"/>
  <c r="J342" i="2"/>
  <c r="H342" i="2" s="1"/>
  <c r="K401" i="2"/>
  <c r="K394" i="2"/>
  <c r="J315" i="2"/>
  <c r="H315" i="2" s="1"/>
  <c r="I315" i="2"/>
  <c r="J327" i="2"/>
  <c r="H327" i="2" s="1"/>
  <c r="J288" i="2"/>
  <c r="H288" i="2" s="1"/>
  <c r="I288" i="2"/>
  <c r="I298" i="2"/>
  <c r="J294" i="2"/>
  <c r="H294" i="2" s="1"/>
  <c r="K240" i="2"/>
  <c r="K210" i="2"/>
  <c r="K157" i="2"/>
  <c r="I239" i="2"/>
  <c r="I226" i="2"/>
  <c r="I167" i="2"/>
  <c r="I56" i="2"/>
  <c r="J35" i="2"/>
  <c r="H35" i="2" s="1"/>
  <c r="K13" i="2"/>
  <c r="J13" i="2"/>
  <c r="H13" i="2" s="1"/>
  <c r="I13" i="2"/>
  <c r="K117" i="2"/>
  <c r="I117" i="2"/>
  <c r="K208" i="2"/>
  <c r="J270" i="2"/>
  <c r="H270" i="2" s="1"/>
  <c r="I220" i="2"/>
  <c r="I71" i="2"/>
  <c r="K73" i="2"/>
  <c r="K390" i="2"/>
  <c r="J390" i="2"/>
  <c r="H390" i="2" s="1"/>
  <c r="I390" i="2"/>
  <c r="K302" i="2"/>
  <c r="I302" i="2"/>
  <c r="J285" i="2"/>
  <c r="I285" i="2"/>
  <c r="I281" i="2"/>
  <c r="I35" i="2"/>
  <c r="K253" i="2"/>
  <c r="K56" i="2"/>
  <c r="K382" i="2"/>
  <c r="J382" i="2"/>
  <c r="H382" i="2" s="1"/>
  <c r="I382" i="2"/>
  <c r="K341" i="2"/>
  <c r="J360" i="2"/>
  <c r="K471" i="2" s="1"/>
  <c r="G471" i="2" s="1"/>
  <c r="J310" i="2"/>
  <c r="H310" i="2" s="1"/>
  <c r="J277" i="2"/>
  <c r="K445" i="2" s="1"/>
  <c r="G445" i="2" s="1"/>
  <c r="I277" i="2"/>
  <c r="J266" i="2"/>
  <c r="H266" i="2" s="1"/>
  <c r="I328" i="2"/>
  <c r="J280" i="2"/>
  <c r="H280" i="2" s="1"/>
  <c r="J283" i="2"/>
  <c r="H283" i="2" s="1"/>
  <c r="I289" i="2"/>
  <c r="K103" i="2"/>
  <c r="J127" i="2"/>
  <c r="H127" i="2" s="1"/>
  <c r="J147" i="2"/>
  <c r="H147" i="2" s="1"/>
  <c r="J113" i="2"/>
  <c r="H113" i="2" s="1"/>
  <c r="J298" i="2"/>
  <c r="H298" i="2" s="1"/>
  <c r="J239" i="2"/>
  <c r="H239" i="2" s="1"/>
  <c r="K123" i="2"/>
  <c r="I31" i="2"/>
  <c r="K31" i="2"/>
  <c r="J31" i="2"/>
  <c r="H31" i="2" s="1"/>
  <c r="J63" i="2"/>
  <c r="H63" i="2" s="1"/>
  <c r="J117" i="2"/>
  <c r="K139" i="2" s="1"/>
  <c r="I311" i="2"/>
  <c r="J244" i="2"/>
  <c r="H244" i="2" s="1"/>
  <c r="K220" i="2"/>
  <c r="J134" i="2"/>
  <c r="H134" i="2" s="1"/>
  <c r="J15" i="2"/>
  <c r="H15" i="2" s="1"/>
  <c r="J51" i="2"/>
  <c r="H51" i="2" s="1"/>
  <c r="K69" i="2"/>
  <c r="K271" i="2"/>
  <c r="I271" i="2"/>
  <c r="J271" i="2"/>
  <c r="H271" i="2" s="1"/>
  <c r="J314" i="2"/>
  <c r="H314" i="2" s="1"/>
  <c r="I314" i="2"/>
  <c r="K285" i="2"/>
  <c r="J289" i="2"/>
  <c r="H289" i="2" s="1"/>
  <c r="K59" i="2"/>
  <c r="I59" i="2"/>
  <c r="J281" i="2"/>
  <c r="H281" i="2" s="1"/>
  <c r="K218" i="2"/>
  <c r="K3" i="2"/>
  <c r="J3" i="2"/>
  <c r="H3" i="2" s="1"/>
  <c r="I3" i="2"/>
  <c r="J61" i="2"/>
  <c r="H61" i="2" s="1"/>
  <c r="J133" i="2"/>
  <c r="H133" i="2" s="1"/>
  <c r="I73" i="2"/>
  <c r="J185" i="2"/>
  <c r="H185" i="2" s="1"/>
  <c r="J5" i="2"/>
  <c r="H5" i="2" s="1"/>
  <c r="I365" i="2"/>
  <c r="K365" i="2"/>
  <c r="J365" i="2"/>
  <c r="H365" i="2" s="1"/>
  <c r="J358" i="2"/>
  <c r="I358" i="2"/>
  <c r="J335" i="2"/>
  <c r="H335" i="2" s="1"/>
  <c r="I335" i="2"/>
  <c r="J306" i="2"/>
  <c r="H306" i="2" s="1"/>
  <c r="I306" i="2"/>
  <c r="K364" i="2"/>
  <c r="I364" i="2"/>
  <c r="J364" i="2"/>
  <c r="H364" i="2" s="1"/>
  <c r="I327" i="2"/>
  <c r="K335" i="2"/>
  <c r="K348" i="2"/>
  <c r="K264" i="2"/>
  <c r="I264" i="2"/>
  <c r="K309" i="2"/>
  <c r="J260" i="2"/>
  <c r="H260" i="2" s="1"/>
  <c r="I322" i="2"/>
  <c r="I219" i="2"/>
  <c r="K141" i="2"/>
  <c r="I157" i="2"/>
  <c r="I139" i="2"/>
  <c r="I49" i="2"/>
  <c r="K49" i="2"/>
  <c r="I165" i="2"/>
  <c r="I111" i="2"/>
  <c r="K133" i="2"/>
  <c r="I276" i="2"/>
  <c r="K17" i="2"/>
  <c r="J25" i="2"/>
  <c r="H25" i="2" s="1"/>
  <c r="J226" i="2"/>
  <c r="I472" i="2"/>
  <c r="K472" i="2"/>
  <c r="J302" i="2"/>
  <c r="H302" i="2" s="1"/>
  <c r="J334" i="2"/>
  <c r="H334" i="2" s="1"/>
  <c r="J303" i="2"/>
  <c r="K328" i="2" s="1"/>
  <c r="I303" i="2"/>
  <c r="I197" i="2"/>
  <c r="J197" i="2"/>
  <c r="H197" i="2" s="1"/>
  <c r="J328" i="2"/>
  <c r="K337" i="2" s="1"/>
  <c r="J322" i="2"/>
  <c r="H322" i="2" s="1"/>
  <c r="J219" i="2"/>
  <c r="H219" i="2" s="1"/>
  <c r="I218" i="2"/>
  <c r="I23" i="2"/>
  <c r="K23" i="2"/>
  <c r="J23" i="2"/>
  <c r="H23" i="2" s="1"/>
  <c r="I17" i="2"/>
  <c r="J167" i="2"/>
  <c r="H167" i="2" s="1"/>
  <c r="K71" i="2"/>
  <c r="K276" i="2"/>
  <c r="I95" i="2"/>
  <c r="I215" i="2"/>
  <c r="J215" i="2"/>
  <c r="H215" i="2" s="1"/>
  <c r="K207" i="2"/>
  <c r="I207" i="2"/>
  <c r="J207" i="2"/>
  <c r="K155" i="2"/>
  <c r="I155" i="2"/>
  <c r="K372" i="2"/>
  <c r="J372" i="2"/>
  <c r="H372" i="2" s="1"/>
  <c r="I372" i="2"/>
  <c r="I353" i="2"/>
  <c r="K462" i="2"/>
  <c r="K334" i="2"/>
  <c r="I294" i="2"/>
  <c r="I63" i="2"/>
  <c r="K181" i="2"/>
  <c r="I181" i="2"/>
  <c r="J81" i="2"/>
  <c r="H81" i="2" s="1"/>
  <c r="J253" i="2"/>
  <c r="H253" i="2" s="1"/>
  <c r="J39" i="2"/>
  <c r="H39" i="2" s="1"/>
  <c r="J41" i="2"/>
  <c r="H295" i="2" l="1"/>
  <c r="G295" i="2"/>
  <c r="G236" i="2"/>
  <c r="H226" i="2"/>
  <c r="G226" i="2"/>
  <c r="H238" i="2"/>
  <c r="G238" i="2"/>
  <c r="H207" i="2"/>
  <c r="G207" i="2"/>
  <c r="H75" i="2"/>
  <c r="G75" i="2"/>
  <c r="H41" i="2"/>
  <c r="G41" i="2"/>
  <c r="G49" i="2"/>
  <c r="G210" i="2"/>
  <c r="G181" i="2"/>
  <c r="G155" i="2"/>
  <c r="G263" i="2"/>
  <c r="H358" i="2"/>
  <c r="G358" i="2"/>
  <c r="H360" i="2"/>
  <c r="G360" i="2"/>
  <c r="H337" i="2"/>
  <c r="G337" i="2"/>
  <c r="H328" i="2"/>
  <c r="G328" i="2"/>
  <c r="H303" i="2"/>
  <c r="G303" i="2"/>
  <c r="H285" i="2"/>
  <c r="G285" i="2"/>
  <c r="H277" i="2"/>
  <c r="G277" i="2"/>
  <c r="G255" i="2"/>
  <c r="G159" i="2"/>
  <c r="G139" i="2"/>
  <c r="H137" i="2"/>
  <c r="G137" i="2"/>
  <c r="H117" i="2"/>
  <c r="G117" i="2"/>
</calcChain>
</file>

<file path=xl/sharedStrings.xml><?xml version="1.0" encoding="utf-8"?>
<sst xmlns="http://schemas.openxmlformats.org/spreadsheetml/2006/main" count="1158" uniqueCount="479">
  <si>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</si>
  <si>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</si>
  <si>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</si>
  <si>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</si>
  <si>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</si>
  <si>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</si>
  <si>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</si>
  <si>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</si>
  <si>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</si>
  <si>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</si>
  <si>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</si>
  <si>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</si>
  <si>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</si>
  <si>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erhalten</t>
  </si>
  <si>
    <t>Golfer Langer erhält die Sportpyramide</t>
  </si>
  <si>
    <t>file://conllu/de/an-online.de.224441.conllu#s1_0</t>
  </si>
  <si>
    <t>2</t>
  </si>
  <si>
    <t>6</t>
  </si>
  <si>
    <t>sein (sein überschaubar)</t>
  </si>
  <si>
    <t>Seine Erfahrungen auf dem Pferd sind überschaubar .</t>
  </si>
  <si>
    <t>file://conllu/de/an-online.de.224441.conllu#s2_0</t>
  </si>
  <si>
    <t>4</t>
  </si>
  <si>
    <t>sein (sein Premiere)</t>
  </si>
  <si>
    <t>Für den 58 Jährigen war es eine Premiere .</t>
  </si>
  <si>
    <t>file://conllu/de/an-online.de.224441.conllu#s4_0</t>
  </si>
  <si>
    <t>5</t>
  </si>
  <si>
    <t>CHIO</t>
  </si>
  <si>
    <t>CHIO : &amp;quot; Goldene Sportpyramide &amp;quot; für Bernhard Langer</t>
  </si>
  <si>
    <t>file://conllu/de/an-online.de.224441.conllu#s5_0</t>
  </si>
  <si>
    <t>erinnern</t>
  </si>
  <si>
    <t>Nach einigen Minuten erinnerten sich die Pferde an ihren Feierabend , sie jagten im in dem schnellen Galopp nach Hause zu den Futtertrögen .</t>
  </si>
  <si>
    <t>file://conllu/de/an-online.de.224441.conllu#s6_0</t>
  </si>
  <si>
    <t>7</t>
  </si>
  <si>
    <t>Kilometer</t>
  </si>
  <si>
    <t>Ein Kilometer bei diesem Tempo , ich habe Angst gehabt .</t>
  </si>
  <si>
    <t>file://conllu/de/an-online.de.224441.conllu#s7_0</t>
  </si>
  <si>
    <t>8</t>
  </si>
  <si>
    <t>9</t>
  </si>
  <si>
    <t>sagen</t>
  </si>
  <si>
    <t>&amp;quot; Es war kein gutes Erlebnis &amp;quot; , sagt Langer .</t>
  </si>
  <si>
    <t>file://conllu/de/an-online.de.224441.conllu#s8_0</t>
  </si>
  <si>
    <t>enden</t>
  </si>
  <si>
    <t>Und damit endete die Reitkarriere dann auch schon wieder .</t>
  </si>
  <si>
    <t>file://conllu/de/an-online.de.224441.conllu#s9_0</t>
  </si>
  <si>
    <t>11</t>
  </si>
  <si>
    <t>lassen</t>
  </si>
  <si>
    <t>Er ließ sich mit seiner Familie über die Anlage des ALRV führen , auf ein Pferd schwang er sich nicht mal zu Fotozwecken .</t>
  </si>
  <si>
    <t>file://conllu/de/an-online.de.224441.conllu#s11_0</t>
  </si>
  <si>
    <t>12</t>
  </si>
  <si>
    <t>sein (sein Mal)</t>
  </si>
  <si>
    <t>Langer war das erste Mal in Aachen und damit auch beim bei dem CHIO .</t>
  </si>
  <si>
    <t>file://conllu/de/an-online.de.224441.conllu#s12_0</t>
  </si>
  <si>
    <t>13</t>
  </si>
  <si>
    <t>sein (sein überzeugend)</t>
  </si>
  <si>
    <t>Der Grund war durchaus überzeugend .</t>
  </si>
  <si>
    <t>file://conllu/de/an-online.de.224441.conllu#s13_0</t>
  </si>
  <si>
    <t>14</t>
  </si>
  <si>
    <t>überreichen</t>
  </si>
  <si>
    <t>Die deutsche Sporthilfe überreichte dem Mann aus Anhausen im in dem Rahmen einer kleinen Gala die Goldene Sportpyramide .</t>
  </si>
  <si>
    <t>file://conllu/de/an-online.de.224441.conllu#s14_0</t>
  </si>
  <si>
    <t>15</t>
  </si>
  <si>
    <t>mangeln</t>
  </si>
  <si>
    <t>An Auszeichnungen mangelt es dem sympathischen Sportler nicht .</t>
  </si>
  <si>
    <t>file://conllu/de/an-online.de.224441.conllu#s15_0</t>
  </si>
  <si>
    <t>16</t>
  </si>
  <si>
    <t>Bundesverdienstkreuz</t>
  </si>
  <si>
    <t>Bundesverdienstkreuz , Silbernes Lorbeerblatt , Champions Tour Player of the year ...</t>
  </si>
  <si>
    <t>file://conllu/de/an-online.de.224441.conllu#s16_0</t>
  </si>
  <si>
    <t>17</t>
  </si>
  <si>
    <t>adeln</t>
  </si>
  <si>
    <t>Selbst die britische Queen hat ihn schon geadelt .</t>
  </si>
  <si>
    <t>file://conllu/de/an-online.de.224441.conllu#s17_0</t>
  </si>
  <si>
    <t>18</t>
  </si>
  <si>
    <t>sein (sein 18)</t>
  </si>
  <si>
    <t>Langer ist der 18 .</t>
  </si>
  <si>
    <t>file://conllu/de/an-online.de.224441.conllu#s18_0</t>
  </si>
  <si>
    <t>19</t>
  </si>
  <si>
    <t>Preisträger</t>
  </si>
  <si>
    <t>Preisträger der Sportpyramide .</t>
  </si>
  <si>
    <t>file://conllu/de/an-online.de.224441.conllu#s19_0</t>
  </si>
  <si>
    <t>20</t>
  </si>
  <si>
    <t>treffen</t>
  </si>
  <si>
    <t>In Aachen traf er am an dem Samstag den ersten Preisträger Hans Günter Winkler .</t>
  </si>
  <si>
    <t>file://conllu/de/an-online.de.224441.conllu#s20_0</t>
  </si>
  <si>
    <t>21</t>
  </si>
  <si>
    <t>10</t>
  </si>
  <si>
    <t>&amp;quot; Diese Auszeichnung bedeutet mir sehr viel &amp;quot; , sagt Langer , &amp;quot; denn sie wird nicht nur für sportliche Erfolge , sondern auch für gesellschaftliches Engagement vergeben &amp;quot; .</t>
  </si>
  <si>
    <t>file://conllu/de/an-online.de.224441.conllu#s21_0</t>
  </si>
  <si>
    <t>22</t>
  </si>
  <si>
    <t>fördern</t>
  </si>
  <si>
    <t>Seit Jahrzehnten fördert Langer den Nachwuchs .</t>
  </si>
  <si>
    <t>file://conllu/de/an-online.de.224441.conllu#s22_0</t>
  </si>
  <si>
    <t>23</t>
  </si>
  <si>
    <t>geben</t>
  </si>
  <si>
    <t>Und so gab er auch das Preisgeld von 25.000 Euro gleich weiter .</t>
  </si>
  <si>
    <t>file://conllu/de/an-online.de.224441.conllu#s23_0</t>
  </si>
  <si>
    <t>24</t>
  </si>
  <si>
    <t>25</t>
  </si>
  <si>
    <t>aufnehmen</t>
  </si>
  <si>
    <t>Mit 15 weiteren herausragenden Sportlern wurde der zweifache US Masterssieger am an dem Samstag in die &amp;quot; Hall of Fame des deutschen Sports &amp;quot; aufgenommen .</t>
  </si>
  <si>
    <t>file://conllu/de/an-online.de.224441.conllu#s24_0</t>
  </si>
  <si>
    <t>gehören</t>
  </si>
  <si>
    <t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</si>
  <si>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>file://conllu/de/an-online.de.224441.conllu#s25_0</t>
  </si>
  <si>
    <t>26</t>
  </si>
  <si>
    <t>sein (sein kommen)</t>
  </si>
  <si>
    <t>Viele dieser Sportlegenden waren am an dem Samstag nach Aachen gekommen .</t>
  </si>
  <si>
    <t>file://conllu/de/an-online.de.224441.conllu#s26_0</t>
  </si>
  <si>
    <t>27</t>
  </si>
  <si>
    <t>wandern</t>
  </si>
  <si>
    <t>Nach dem offiziellen Teil wanderte die illustre Gesellschaft ins in das Springstadion , wo der Lavazza Preis lief .</t>
  </si>
  <si>
    <t>file://conllu/de/an-online.de.224441.conllu#s27_0</t>
  </si>
  <si>
    <t>28</t>
  </si>
  <si>
    <t>halten</t>
  </si>
  <si>
    <t>Bernhard Langer hielt Abstand zu den großen Tieren .</t>
  </si>
  <si>
    <t>file://conllu/de/an-online.de.224441.conllu#s28_0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</si>
  <si>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</si>
  <si>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</si>
  <si>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</si>
  <si>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</si>
  <si>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</si>
  <si>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</si>
  <si>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</si>
  <si>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</si>
  <si>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</si>
  <si>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</si>
  <si>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</si>
  <si>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erhält die Sportpyramide</t>
  </si>
  <si>
    <t>Golfer</t>
  </si>
  <si>
    <t>SBJ</t>
  </si>
  <si>
    <t>ne</t>
  </si>
  <si>
    <t>?OLD</t>
  </si>
  <si>
    <t>Langer</t>
  </si>
  <si>
    <t>erhält</t>
  </si>
  <si>
    <t>die</t>
  </si>
  <si>
    <t>Sportpyramide</t>
  </si>
  <si>
    <t>OBJ</t>
  </si>
  <si>
    <t>def-np.the</t>
  </si>
  <si>
    <t># text = Seine Erfahrungen auf dem Pferd sind überschaubar.</t>
  </si>
  <si>
    <t>Seine</t>
  </si>
  <si>
    <t>Erfahrungen</t>
  </si>
  <si>
    <t>indef-np</t>
  </si>
  <si>
    <t>auf</t>
  </si>
  <si>
    <t>dem</t>
  </si>
  <si>
    <t>Pferd</t>
  </si>
  <si>
    <t>other_2</t>
  </si>
  <si>
    <t>sind</t>
  </si>
  <si>
    <t>überschaubar</t>
  </si>
  <si>
    <t>.</t>
  </si>
  <si>
    <t># text = Am Ende eines Golfturniers in Südafrika suchte Bernhard Langer mit einigen Kollegen ein bisschen Abwechslung mit einem Ausritt am Strand.</t>
  </si>
  <si>
    <t>An</t>
  </si>
  <si>
    <t>Ende</t>
  </si>
  <si>
    <t>other</t>
  </si>
  <si>
    <t>eines</t>
  </si>
  <si>
    <t>Golfturniers</t>
  </si>
  <si>
    <t>indef-np.a</t>
  </si>
  <si>
    <t>in</t>
  </si>
  <si>
    <t>Südafrika</t>
  </si>
  <si>
    <t>other_3</t>
  </si>
  <si>
    <t>suchte</t>
  </si>
  <si>
    <t>Bernhard</t>
  </si>
  <si>
    <t>mit</t>
  </si>
  <si>
    <t>einigen</t>
  </si>
  <si>
    <t>pron.pind</t>
  </si>
  <si>
    <t>Kollegen</t>
  </si>
  <si>
    <t>indef-np.quant</t>
  </si>
  <si>
    <t>ein</t>
  </si>
  <si>
    <t>bisschen</t>
  </si>
  <si>
    <t>Abwechslung</t>
  </si>
  <si>
    <t>einem</t>
  </si>
  <si>
    <t>Ausritt</t>
  </si>
  <si>
    <t>an</t>
  </si>
  <si>
    <t>Strand</t>
  </si>
  <si>
    <t># text = Für den 58-Jährigen war es eine Premiere.</t>
  </si>
  <si>
    <t>Für</t>
  </si>
  <si>
    <t>den</t>
  </si>
  <si>
    <t>58</t>
  </si>
  <si>
    <t>Jährigen</t>
  </si>
  <si>
    <t>def-np.quant</t>
  </si>
  <si>
    <t>war</t>
  </si>
  <si>
    <t>es</t>
  </si>
  <si>
    <t>pron.pper</t>
  </si>
  <si>
    <t>eine</t>
  </si>
  <si>
    <t>Premiere</t>
  </si>
  <si>
    <t>--</t>
  </si>
  <si>
    <t># text = CHIO: "Goldene Sportpyramide" für Bernhard Langer</t>
  </si>
  <si>
    <t>:</t>
  </si>
  <si>
    <t>&amp;quot;</t>
  </si>
  <si>
    <t>Goldene</t>
  </si>
  <si>
    <t>für</t>
  </si>
  <si>
    <t># text = Nach einigen Minuten erinnerten sich die Pferde an ihren Feierabend, sie jagten im schnellen Galopp nach Hause zu den Futtertrögen.</t>
  </si>
  <si>
    <t>Nach</t>
  </si>
  <si>
    <t>Minuten</t>
  </si>
  <si>
    <t>erinnerten</t>
  </si>
  <si>
    <t>sich</t>
  </si>
  <si>
    <t>Pferde</t>
  </si>
  <si>
    <t>ihren</t>
  </si>
  <si>
    <t>Feierabend</t>
  </si>
  <si>
    <t>,</t>
  </si>
  <si>
    <t>sie</t>
  </si>
  <si>
    <t>SBJ_2</t>
  </si>
  <si>
    <t>pron</t>
  </si>
  <si>
    <t>jagten</t>
  </si>
  <si>
    <t>schnellen</t>
  </si>
  <si>
    <t>Galopp</t>
  </si>
  <si>
    <t>nach</t>
  </si>
  <si>
    <t>Hause</t>
  </si>
  <si>
    <t>indef-np.bare</t>
  </si>
  <si>
    <t>zu</t>
  </si>
  <si>
    <t>other_5</t>
  </si>
  <si>
    <t>Futtertrögen</t>
  </si>
  <si>
    <t>other_4</t>
  </si>
  <si>
    <t># text = Ein Kilometer bei diesem Tempo, ich habe Angst gehabt.</t>
  </si>
  <si>
    <t>Ein</t>
  </si>
  <si>
    <t>bei</t>
  </si>
  <si>
    <t>diesem</t>
  </si>
  <si>
    <t>pron.pds</t>
  </si>
  <si>
    <t>Tempo</t>
  </si>
  <si>
    <t>def-np.dem</t>
  </si>
  <si>
    <t>ich</t>
  </si>
  <si>
    <t>habe</t>
  </si>
  <si>
    <t>Angst</t>
  </si>
  <si>
    <t>OBJ_2</t>
  </si>
  <si>
    <t>gehabt</t>
  </si>
  <si>
    <t># text = \"Es war kein gutes Erlebnis\", sagt Langer.</t>
  </si>
  <si>
    <t>Es</t>
  </si>
  <si>
    <t>kein</t>
  </si>
  <si>
    <t>gutes</t>
  </si>
  <si>
    <t>Erlebnis</t>
  </si>
  <si>
    <t>sagt</t>
  </si>
  <si>
    <t># text = Und damit endete die Reitkarriere dann auch schon wieder.</t>
  </si>
  <si>
    <t>Und</t>
  </si>
  <si>
    <t>damit</t>
  </si>
  <si>
    <t>endete</t>
  </si>
  <si>
    <t>Reitkarriere</t>
  </si>
  <si>
    <t>dann</t>
  </si>
  <si>
    <t>auch</t>
  </si>
  <si>
    <t>schon</t>
  </si>
  <si>
    <t>wieder</t>
  </si>
  <si>
    <t># text = Am Samstag war Deutschlands bester Golfer aller Zeiten - 101 Turniersiege - wieder in der Nähe von Pferden.</t>
  </si>
  <si>
    <t>Samstag</t>
  </si>
  <si>
    <t>Deutschlands</t>
  </si>
  <si>
    <t>bester</t>
  </si>
  <si>
    <t>def-np.poss</t>
  </si>
  <si>
    <t>aller</t>
  </si>
  <si>
    <t>Zeiten</t>
  </si>
  <si>
    <t>101</t>
  </si>
  <si>
    <t>Turniersiege</t>
  </si>
  <si>
    <t>der</t>
  </si>
  <si>
    <t>Nähe</t>
  </si>
  <si>
    <t>von</t>
  </si>
  <si>
    <t>Pferden</t>
  </si>
  <si>
    <t># text = Er ließ sich mit seiner Familie über die Anlage des ALRV führen, auf ein Pferd schwang er sich nicht mal zu Fotozwecken.</t>
  </si>
  <si>
    <t>Er</t>
  </si>
  <si>
    <t>ließ</t>
  </si>
  <si>
    <t>seiner</t>
  </si>
  <si>
    <t>Familie</t>
  </si>
  <si>
    <t>über</t>
  </si>
  <si>
    <t>Anlage</t>
  </si>
  <si>
    <t>des</t>
  </si>
  <si>
    <t>ALRV</t>
  </si>
  <si>
    <t>führen</t>
  </si>
  <si>
    <t>schwang</t>
  </si>
  <si>
    <t>er</t>
  </si>
  <si>
    <t>nicht</t>
  </si>
  <si>
    <t>mal</t>
  </si>
  <si>
    <t>Fotozwecken</t>
  </si>
  <si>
    <t># text = Langer war das erste Mal in Aachen und damit auch beim CHIO.</t>
  </si>
  <si>
    <t>das</t>
  </si>
  <si>
    <t>erste</t>
  </si>
  <si>
    <t>Mal</t>
  </si>
  <si>
    <t>Aachen</t>
  </si>
  <si>
    <t>und</t>
  </si>
  <si>
    <t># text = Der Grund war durchaus überzeugend.</t>
  </si>
  <si>
    <t>Der</t>
  </si>
  <si>
    <t>Grund</t>
  </si>
  <si>
    <t>durchaus</t>
  </si>
  <si>
    <t>überzeugend</t>
  </si>
  <si>
    <t># text = Die deutsche Sporthilfe überreichte dem Mann aus Anhausen im Rahmen einer kleinen Gala die Goldene Sportpyramide.</t>
  </si>
  <si>
    <t>Die</t>
  </si>
  <si>
    <t>deutsche</t>
  </si>
  <si>
    <t>Sporthilfe</t>
  </si>
  <si>
    <t>überreichte</t>
  </si>
  <si>
    <t>Mann</t>
  </si>
  <si>
    <t>aus</t>
  </si>
  <si>
    <t>Anhausen</t>
  </si>
  <si>
    <t>Rahmen</t>
  </si>
  <si>
    <t>einer</t>
  </si>
  <si>
    <t>kleinen</t>
  </si>
  <si>
    <t>Gala</t>
  </si>
  <si>
    <t># text = An Auszeichnungen mangelt es dem sympathischen Sportler nicht.</t>
  </si>
  <si>
    <t>Auszeichnungen</t>
  </si>
  <si>
    <t>mangelt</t>
  </si>
  <si>
    <t>sympathischen</t>
  </si>
  <si>
    <t>Sportler</t>
  </si>
  <si>
    <t># text = Bundesverdienstkreuz, Silbernes Lorbeerblatt, Champions-Tour-Player of the year...</t>
  </si>
  <si>
    <t>Silbernes</t>
  </si>
  <si>
    <t>Lorbeerblatt</t>
  </si>
  <si>
    <t>Champions</t>
  </si>
  <si>
    <t>Tour</t>
  </si>
  <si>
    <t>Player</t>
  </si>
  <si>
    <t>of</t>
  </si>
  <si>
    <t>the</t>
  </si>
  <si>
    <t>year</t>
  </si>
  <si>
    <t>...</t>
  </si>
  <si>
    <t># text = Selbst die britische Queen hat ihn schon geadelt.</t>
  </si>
  <si>
    <t>Selbst</t>
  </si>
  <si>
    <t>britische</t>
  </si>
  <si>
    <t>Queen</t>
  </si>
  <si>
    <t>hat</t>
  </si>
  <si>
    <t>ihn</t>
  </si>
  <si>
    <t>geadelt</t>
  </si>
  <si>
    <t># text = Langer ist der 18.</t>
  </si>
  <si>
    <t>ist</t>
  </si>
  <si>
    <t># text = Preisträger der Sportpyramide.</t>
  </si>
  <si>
    <t># text = In Aachen traf er am Samstag den ersten Preisträger Hans Günter Winkler.</t>
  </si>
  <si>
    <t>In</t>
  </si>
  <si>
    <t>traf</t>
  </si>
  <si>
    <t>ersten</t>
  </si>
  <si>
    <t>Hans</t>
  </si>
  <si>
    <t>Günter</t>
  </si>
  <si>
    <t>Winkler</t>
  </si>
  <si>
    <t># text = "Diese Auszeichnung bedeutet mir sehr viel", sagt Langer, "denn sie wird nicht nur für sportliche Erfolge, sondern auch für gesellschaftliches Engagement vergeben".</t>
  </si>
  <si>
    <t>Diese</t>
  </si>
  <si>
    <t>Auszeichnung</t>
  </si>
  <si>
    <t>bedeutet</t>
  </si>
  <si>
    <t>mir</t>
  </si>
  <si>
    <t>sehr</t>
  </si>
  <si>
    <t>viel</t>
  </si>
  <si>
    <t>denn</t>
  </si>
  <si>
    <t>SBJ_3</t>
  </si>
  <si>
    <t>wird</t>
  </si>
  <si>
    <t>nur</t>
  </si>
  <si>
    <t>sportliche</t>
  </si>
  <si>
    <t>Erfolge</t>
  </si>
  <si>
    <t>sondern</t>
  </si>
  <si>
    <t>gesellschaftliches</t>
  </si>
  <si>
    <t>Engagement</t>
  </si>
  <si>
    <t>vergeben</t>
  </si>
  <si>
    <t># text = Seit Jahrzehnten fördert Langer den Nachwuchs.</t>
  </si>
  <si>
    <t>Seit</t>
  </si>
  <si>
    <t>Jahrzehnten</t>
  </si>
  <si>
    <t>fördert</t>
  </si>
  <si>
    <t>Nachwuchs</t>
  </si>
  <si>
    <t># text = Und so gab er auch das Preisgeld von 25.000 Euro gleich weiter.</t>
  </si>
  <si>
    <t>so</t>
  </si>
  <si>
    <t>gab</t>
  </si>
  <si>
    <t>Preisgeld</t>
  </si>
  <si>
    <t>25.000</t>
  </si>
  <si>
    <t>Euro</t>
  </si>
  <si>
    <t>gleich</t>
  </si>
  <si>
    <t>weiter</t>
  </si>
  <si>
    <t># text = Mit 15 weiteren herausragenden Sportlern wurde der zweifache US-Masterssieger am Samstag in die "Hall of Fame des deutschen Sports" aufgenommen.</t>
  </si>
  <si>
    <t>Mit</t>
  </si>
  <si>
    <t>weiteren</t>
  </si>
  <si>
    <t>herausragenden</t>
  </si>
  <si>
    <t>Sportlern</t>
  </si>
  <si>
    <t>wurde</t>
  </si>
  <si>
    <t>zweifache</t>
  </si>
  <si>
    <t>US</t>
  </si>
  <si>
    <t>Masterssieger</t>
  </si>
  <si>
    <t>Hall</t>
  </si>
  <si>
    <t>Fame</t>
  </si>
  <si>
    <t>deutschen</t>
  </si>
  <si>
    <t>Sports</t>
  </si>
  <si>
    <t>aufgenommen</t>
  </si>
  <si>
    <t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</si>
  <si>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>Zu</t>
  </si>
  <si>
    <t>Ausgezeichneten</t>
  </si>
  <si>
    <t>Leichtathleten</t>
  </si>
  <si>
    <t>Hartwig</t>
  </si>
  <si>
    <t>Gauder</t>
  </si>
  <si>
    <t>Harald</t>
  </si>
  <si>
    <t>Schmitt</t>
  </si>
  <si>
    <t>Turner</t>
  </si>
  <si>
    <t>Eberhard</t>
  </si>
  <si>
    <t>Gienger</t>
  </si>
  <si>
    <t>Fechter</t>
  </si>
  <si>
    <t>Cornelia</t>
  </si>
  <si>
    <t>Hanisch</t>
  </si>
  <si>
    <t>Alexander</t>
  </si>
  <si>
    <t>Pusch</t>
  </si>
  <si>
    <t>Arnd</t>
  </si>
  <si>
    <t>Ruderer</t>
  </si>
  <si>
    <t>Peter</t>
  </si>
  <si>
    <t>Michael</t>
  </si>
  <si>
    <t>Kolbe</t>
  </si>
  <si>
    <t>Bob</t>
  </si>
  <si>
    <t>Fahrer</t>
  </si>
  <si>
    <t>Meinhard</t>
  </si>
  <si>
    <t>Nehmer</t>
  </si>
  <si>
    <t>Judoka</t>
  </si>
  <si>
    <t>Frank</t>
  </si>
  <si>
    <t>Wieneke</t>
  </si>
  <si>
    <t>Springreiter</t>
  </si>
  <si>
    <t>Alwin</t>
  </si>
  <si>
    <t>Schockemöhle</t>
  </si>
  <si>
    <t>posthum</t>
  </si>
  <si>
    <t>Handballer</t>
  </si>
  <si>
    <t>Erhard</t>
  </si>
  <si>
    <t>Wunderlich</t>
  </si>
  <si>
    <t># text = Viele dieser Sportlegenden waren am Samstag nach Aachen gekommen.</t>
  </si>
  <si>
    <t>Viele</t>
  </si>
  <si>
    <t>dieser</t>
  </si>
  <si>
    <t>Sportlegenden</t>
  </si>
  <si>
    <t>waren</t>
  </si>
  <si>
    <t>gekommen</t>
  </si>
  <si>
    <t># text = Nach dem offiziellen Teil wanderte die illustre Gesellschaft ins Springstadion, wo der Lavazza-Preis lief.</t>
  </si>
  <si>
    <t>offiziellen</t>
  </si>
  <si>
    <t>Teil</t>
  </si>
  <si>
    <t>wanderte</t>
  </si>
  <si>
    <t>illustre</t>
  </si>
  <si>
    <t>Gesellschaft</t>
  </si>
  <si>
    <t>Springstadion</t>
  </si>
  <si>
    <t>wo</t>
  </si>
  <si>
    <t>Lavazza</t>
  </si>
  <si>
    <t>SBJ_4</t>
  </si>
  <si>
    <t>Preis</t>
  </si>
  <si>
    <t>lief</t>
  </si>
  <si>
    <t># text = Bernhard Langer hielt Abstand zu den großen Tieren.</t>
  </si>
  <si>
    <t>hielt</t>
  </si>
  <si>
    <t>Abstand</t>
  </si>
  <si>
    <t>großen</t>
  </si>
  <si>
    <t>Tieren</t>
  </si>
  <si>
    <t>bernhard_langer</t>
  </si>
  <si>
    <t>kein auto ref</t>
  </si>
  <si>
    <t>GEN</t>
  </si>
  <si>
    <t>CHECK ob ID</t>
  </si>
  <si>
    <t>suedafrika</t>
  </si>
  <si>
    <t>deutschland</t>
  </si>
  <si>
    <t>SIT</t>
  </si>
  <si>
    <t>familie_langer</t>
  </si>
  <si>
    <t>aachen</t>
  </si>
  <si>
    <t>chio</t>
  </si>
  <si>
    <t>anhausen</t>
  </si>
  <si>
    <t>queen</t>
  </si>
  <si>
    <t>hans_winkler</t>
  </si>
  <si>
    <t>PRED</t>
  </si>
  <si>
    <t>usa</t>
  </si>
  <si>
    <t>nur extra ref-id, weil auto ref</t>
  </si>
  <si>
    <t>syntaktischer Kopf</t>
  </si>
  <si>
    <t>harald_schmitt</t>
  </si>
  <si>
    <t>hartwig_gauder</t>
  </si>
  <si>
    <t>CHECK</t>
  </si>
  <si>
    <t>CHECK PRED</t>
  </si>
  <si>
    <t>eberhard_gienger</t>
  </si>
  <si>
    <t>cornelia_hanisch</t>
  </si>
  <si>
    <t>alexander_pusch</t>
  </si>
  <si>
    <t>arnd_schmitt</t>
  </si>
  <si>
    <t>peter_kolbe</t>
  </si>
  <si>
    <t>meinhard_nehmer</t>
  </si>
  <si>
    <t>frank_wieneke</t>
  </si>
  <si>
    <t>alwin_schockemoehle</t>
  </si>
  <si>
    <t>parser error</t>
  </si>
  <si>
    <t>erhard_wunderlicher</t>
  </si>
  <si>
    <t>parser error: Artikel</t>
  </si>
  <si>
    <t>sportpyramide</t>
  </si>
  <si>
    <t>langer_erfahrungen</t>
  </si>
  <si>
    <t>pferde</t>
  </si>
  <si>
    <t>strand</t>
  </si>
  <si>
    <t>CHECK: andere Pferde?</t>
  </si>
  <si>
    <t>Bezug</t>
  </si>
  <si>
    <t>grund</t>
  </si>
  <si>
    <t>deutsche_sporthilfe</t>
  </si>
  <si>
    <t>EXPL</t>
  </si>
  <si>
    <t>bvk</t>
  </si>
  <si>
    <t>slb</t>
  </si>
  <si>
    <t>ctp</t>
  </si>
  <si>
    <t>GROUP</t>
  </si>
  <si>
    <t>preise&gt;bvk,slb,ctp</t>
  </si>
  <si>
    <t>alternativ auch CAT denkbar</t>
  </si>
  <si>
    <t>samstag</t>
  </si>
  <si>
    <t>OLD</t>
  </si>
  <si>
    <t>preisgeld</t>
  </si>
  <si>
    <t>!!!</t>
  </si>
  <si>
    <t>hall_of_fame</t>
  </si>
  <si>
    <t>springstadion</t>
  </si>
  <si>
    <t>lavazza_preis</t>
  </si>
  <si>
    <t>nicht syntaktischer 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</si>
</sst>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7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17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17</v>
      </c>
      <c r="B6" s="6" t="s">
        <v>21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37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52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60</v>
      </c>
      <c r="B14" s="6" t="s">
        <v>11</v>
      </c>
      <c r="C14" s="6" t="s">
        <v>12</v>
      </c>
      <c r="D14" s="7" t="s">
        <v>61</v>
      </c>
      <c r="E14" s="8" t="s">
        <v>62</v>
      </c>
      <c r="F14" s="6" t="s">
        <v>63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64</v>
      </c>
      <c r="B15" s="6" t="s">
        <v>10</v>
      </c>
      <c r="C15" s="6" t="s">
        <v>12</v>
      </c>
      <c r="D15" s="7" t="s">
        <v>65</v>
      </c>
      <c r="E15" s="8" t="s">
        <v>66</v>
      </c>
      <c r="F15" s="6" t="s">
        <v>67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68</v>
      </c>
      <c r="B16" s="6" t="s">
        <v>36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72</v>
      </c>
      <c r="B17" s="6" t="s">
        <v>16</v>
      </c>
      <c r="C17" s="6" t="s">
        <v>12</v>
      </c>
      <c r="D17" s="7" t="s">
        <v>73</v>
      </c>
      <c r="E17" s="8" t="s">
        <v>74</v>
      </c>
      <c r="F17" s="6" t="s">
        <v>75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84</v>
      </c>
      <c r="B20" s="6" t="s">
        <v>85</v>
      </c>
      <c r="C20" s="6" t="s">
        <v>12</v>
      </c>
      <c r="D20" s="7" t="s">
        <v>38</v>
      </c>
      <c r="E20" s="8" t="s">
        <v>86</v>
      </c>
      <c r="F20" s="6" t="s">
        <v>87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88</v>
      </c>
      <c r="B21" s="6" t="s">
        <v>11</v>
      </c>
      <c r="C21" s="6" t="s">
        <v>12</v>
      </c>
      <c r="D21" s="7" t="s">
        <v>89</v>
      </c>
      <c r="E21" s="8" t="s">
        <v>90</v>
      </c>
      <c r="F21" s="6" t="s">
        <v>91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92</v>
      </c>
      <c r="B22" s="6" t="s">
        <v>11</v>
      </c>
      <c r="C22" s="6" t="s">
        <v>12</v>
      </c>
      <c r="D22" s="7" t="s">
        <v>93</v>
      </c>
      <c r="E22" s="8" t="s">
        <v>94</v>
      </c>
      <c r="F22" s="6" t="s">
        <v>95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96</v>
      </c>
      <c r="B23" s="6" t="s">
        <v>97</v>
      </c>
      <c r="C23" s="6" t="s">
        <v>12</v>
      </c>
      <c r="D23" s="7" t="s">
        <v>98</v>
      </c>
      <c r="E23" s="8" t="s">
        <v>99</v>
      </c>
      <c r="F23" s="6" t="s">
        <v>100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97</v>
      </c>
      <c r="B24" s="6" t="s">
        <v>21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104</v>
      </c>
      <c r="B25" s="6" t="s">
        <v>21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108</v>
      </c>
      <c r="B26" s="6" t="s">
        <v>25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tr">
        <f t="shared" si="0"/>
        <v>???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tr">
        <f t="shared" si="0"/>
        <v>???</v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9"/>
  <sheetViews>
    <sheetView tabSelected="1" workbookViewId="0">
      <pane xSplit="1" ySplit="1" topLeftCell="C42" activePane="bottomRight" state="frozen"/>
      <selection pane="topRight" activeCell="B1" sqref="B1"/>
      <selection pane="bottomLeft" activeCell="A2" sqref="A2"/>
      <selection pane="bottomRight" activeCell="E55" sqref="E55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116</v>
      </c>
      <c r="B1" s="13" t="s">
        <v>117</v>
      </c>
      <c r="C1" s="13" t="s">
        <v>118</v>
      </c>
      <c r="D1" s="13" t="s">
        <v>119</v>
      </c>
      <c r="E1" s="14" t="s">
        <v>120</v>
      </c>
      <c r="F1" s="15" t="s">
        <v>121</v>
      </c>
      <c r="G1" s="16" t="s">
        <v>122</v>
      </c>
      <c r="H1" s="17" t="s">
        <v>123</v>
      </c>
      <c r="I1" s="18" t="s">
        <v>124</v>
      </c>
      <c r="J1" s="18" t="s">
        <v>125</v>
      </c>
      <c r="K1" s="18" t="s">
        <v>126</v>
      </c>
      <c r="L1" s="19" t="s">
        <v>9</v>
      </c>
    </row>
    <row r="2" spans="1:12" x14ac:dyDescent="0.3">
      <c r="A2" t="s">
        <v>127</v>
      </c>
    </row>
    <row r="3" spans="1:12" x14ac:dyDescent="0.3">
      <c r="A3" t="s">
        <v>128</v>
      </c>
      <c r="B3" s="20" t="s">
        <v>129</v>
      </c>
      <c r="C3" s="20" t="s">
        <v>130</v>
      </c>
      <c r="D3" s="20" t="s">
        <v>131</v>
      </c>
      <c r="E3" s="21" t="str">
        <f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ca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444</v>
      </c>
    </row>
    <row r="4" spans="1:12" x14ac:dyDescent="0.3">
      <c r="A4" t="s">
        <v>132</v>
      </c>
      <c r="E4" s="21" t="s">
        <v>424</v>
      </c>
      <c r="F4" s="22" t="str">
        <f>IF(OR(E4="",E4="!!!"),"",IF(NOT(ISNA(VLOOKUP(E4,E$1:E3,1,FALSE()))),"OLD",IF(AND(E4&lt;&gt;"",E4&lt;&gt;"!!!"),"NEW","")))</f>
        <v>NEW</v>
      </c>
      <c r="G4" s="23" t="str">
        <f ca="1">IF(OR(E4="",E4="!!!"),"",IF(OR(J4=0,AND(J4=1,K4=1),AND(J4=1,I4="SBJ"),AND(J4=1,I4=0)),"?IN_FOCUS",IF(J4&lt;=2,"?ACTIVATED",IF(J4&lt;&gt;"","?FAMILIAR",IF(F4="NEW",IF(ISNA(VLOOKUP(E4,#REF!,1,FALSE())),"?TYPE_IDENTIFIABLE","?REFERENTIAL"),"_")))))</f>
        <v>?REFERENTIAL</v>
      </c>
      <c r="H4" s="24" t="str">
        <f ca="1">IF(J4&lt;&gt;1,"",IF(I4="SBJ","CB","?"))</f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133</v>
      </c>
      <c r="E5" s="21" t="str">
        <f>IF(D5="?OLD","!!!","")</f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ca="1">IF(J5&lt;&gt;1,"",IF(I5="SBJ","CB","?"))</f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134</v>
      </c>
      <c r="E6" s="21" t="str">
        <f>IF(D6="?OLD","!!!","")</f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ca="1">IF(J6&lt;&gt;1,"",IF(I6="SBJ","CB","?"))</f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135</v>
      </c>
      <c r="B7" s="20" t="s">
        <v>136</v>
      </c>
      <c r="C7" s="20" t="s">
        <v>137</v>
      </c>
      <c r="D7" s="20" t="s">
        <v>131</v>
      </c>
      <c r="E7" s="21" t="s">
        <v>456</v>
      </c>
      <c r="F7" s="22" t="str">
        <f>IF(OR(E7="",E7="!!!"),"",IF(NOT(ISNA(VLOOKUP(E7,E$1:E6,1,FALSE()))),"OLD",IF(AND(E7&lt;&gt;"",E7&lt;&gt;"!!!"),"NEW","")))</f>
        <v>NEW</v>
      </c>
      <c r="G7" s="23" t="str">
        <f ca="1">IF(OR(E7="",E7="!!!"),"",IF(OR(J7=0,AND(J7=1,K7=1),AND(J7=1,I7="SBJ"),AND(J7=1,I7=0)),"?IN_FOCUS",IF(J7&lt;=2,"?ACTIVATED",IF(J7&lt;&gt;"","?FAMILIAR",IF(F7="NEW",IF(ISNA(VLOOKUP(E7,#REF!,1,FALSE())),"?TYPE_IDENTIFIABLE","?REFERENTIAL"),"_")))))</f>
        <v>?REFERENTIAL</v>
      </c>
      <c r="H7" s="24" t="str">
        <f ca="1">IF(J7&lt;&gt;1,"",IF(I7="SBJ","CB","?"))</f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9" spans="1:12" x14ac:dyDescent="0.3">
      <c r="A9" t="s">
        <v>138</v>
      </c>
    </row>
    <row r="10" spans="1:12" x14ac:dyDescent="0.3">
      <c r="A10" t="s">
        <v>139</v>
      </c>
      <c r="E10" s="21" t="s">
        <v>424</v>
      </c>
      <c r="F10" s="22" t="str">
        <f>IF(OR(E10="",E10="!!!"),"",IF(NOT(ISNA(VLOOKUP(E10,E$1:E9,1,FALSE()))),"OLD",IF(AND(E10&lt;&gt;"",E10&lt;&gt;"!!!"),"NEW","")))</f>
        <v>OLD</v>
      </c>
      <c r="G10" s="23" t="str">
        <f ca="1">IF(OR(E10="",E10="!!!"),"",IF(OR(J10=0,AND(J10=1,K10=1),AND(J10=1,I10="SBJ"),AND(J10=1,I10=0)),"?IN_FOCUS",IF(J10&lt;=2,"?ACTIVATED",IF(J10&lt;&gt;"","?FAMILIAR",IF(F10="NEW",IF(ISNA(VLOOKUP(E10,#REF!,1,FALSE())),"?TYPE_IDENTIFIABLE","?REFERENTIAL"),"_")))))</f>
        <v>?IN_FOCUS</v>
      </c>
      <c r="H10" s="24" t="str">
        <f t="shared" ref="H10:H17" ca="1" si="0">IF(J10&lt;&gt;1,"",IF(I10="SBJ","CB","?"))</f>
        <v/>
      </c>
      <c r="I10" s="25">
        <f>IF(OR(E10="",E10="!!!",F10="NEW"),"",INDEX(B$2:B9,-1+SUMPRODUCT(MAX(ROW(E$2:E9)*(E10=E$2:E9)))))</f>
        <v>0</v>
      </c>
      <c r="J10" s="25">
        <f ca="1">IF(OR(E10="",E10="!!!",F10="NEW"),"",COUNTBLANK(OFFSET(A$1,,,SUMPRODUCT(MAX(ROW(E$2:E10)*(E10=E$2:E10)))))-COUNTBLANK(OFFSET(A$1,,,SUMPRODUCT(MAX(ROW(E$1:E9)*(E2=E$1:E9))))))</f>
        <v>0</v>
      </c>
      <c r="K10" s="25" t="str">
        <f ca="1">IF(OR(E10="",E10="!!!",F10="NEW"),"",INDEX(J$1:J9,SUMPRODUCT(MAX(ROW(E$1:E9)*(E10=E$1:E9)))))</f>
        <v/>
      </c>
      <c r="L10" s="26" t="s">
        <v>425</v>
      </c>
    </row>
    <row r="11" spans="1:12" x14ac:dyDescent="0.3">
      <c r="A11" t="s">
        <v>140</v>
      </c>
      <c r="B11" s="20" t="s">
        <v>129</v>
      </c>
      <c r="C11" s="20" t="s">
        <v>141</v>
      </c>
      <c r="E11" s="21" t="s">
        <v>457</v>
      </c>
      <c r="F11" s="22" t="str">
        <f>IF(OR(E11="",E11="!!!"),"",IF(NOT(ISNA(VLOOKUP(E11,E$1:E10,1,FALSE()))),"OLD",IF(AND(E11&lt;&gt;"",E11&lt;&gt;"!!!"),"NEW","")))</f>
        <v>NEW</v>
      </c>
      <c r="G11" s="23" t="str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?REFERENTIAL</v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142</v>
      </c>
      <c r="E12" s="21" t="str">
        <f t="shared" ref="E10:E17" si="1">IF(D12="?OLD","!!!","")</f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143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144</v>
      </c>
      <c r="B14" s="20" t="s">
        <v>145</v>
      </c>
      <c r="C14" s="20" t="s">
        <v>137</v>
      </c>
      <c r="D14" s="20" t="s">
        <v>131</v>
      </c>
      <c r="E14" s="21" t="s">
        <v>458</v>
      </c>
      <c r="F14" s="22" t="s">
        <v>426</v>
      </c>
      <c r="G14" s="23" t="e">
        <f ca="1">IF(OR(E14="",E14="!!!"),"",IF(OR(J14=0,AND(J14=1,K14=1),AND(J14=1,I14="SBJ"),AND(J14=1,I14=0)),"?IN_FOCUS",IF(J14&lt;=2,"?ACTIVATED",IF(J14&lt;&gt;"","?FAMILIAR",IF(F14="NEW",IF(ISNA(VLOOKUP(E14,#REF!,1,FALSE())),"?TYPE_IDENTIFIABLE","?REFERENTIAL"),"_")))))</f>
        <v>#VALUE!</v>
      </c>
      <c r="H14" s="24" t="str">
        <f t="shared" ca="1" si="0"/>
        <v/>
      </c>
      <c r="I14" s="25" t="e">
        <f>IF(OR(E14="",E14="!!!",F14="NEW"),"",INDEX(B$2:B13,-1+SUMPRODUCT(MAX(ROW(E$2:E13)*(E14=E$2:E13)))))</f>
        <v>#VALUE!</v>
      </c>
      <c r="J14" s="25">
        <f ca="1">IF(OR(E14="",E14="!!!",F14="NEW"),"",COUNTBLANK(OFFSET(A$1,,,SUMPRODUCT(MAX(ROW(E$2:E14)*(E14=E$2:E14)))))-COUNTBLANK(OFFSET(A$1,,,SUMPRODUCT(MAX(ROW(E$1:E13)*(E2=E$1:E13))))))</f>
        <v>0</v>
      </c>
      <c r="K14" s="25" t="e">
        <f>IF(OR(E14="",E14="!!!",F14="NEW"),"",INDEX(J$1:J13,SUMPRODUCT(MAX(ROW(E$1:E13)*(E14=E$1:E13)))))</f>
        <v>#VALUE!</v>
      </c>
      <c r="L14" s="26" t="s">
        <v>427</v>
      </c>
    </row>
    <row r="15" spans="1:12" x14ac:dyDescent="0.3">
      <c r="A15" t="s">
        <v>146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147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148</v>
      </c>
      <c r="E17" s="21" t="str">
        <f t="shared" si="1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149</v>
      </c>
    </row>
    <row r="20" spans="1:12" x14ac:dyDescent="0.3">
      <c r="A20" t="s">
        <v>150</v>
      </c>
      <c r="E20" s="21" t="str">
        <f t="shared" ref="E20:E42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42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143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151</v>
      </c>
      <c r="B22" s="20" t="s">
        <v>152</v>
      </c>
      <c r="C22" s="20" t="s">
        <v>137</v>
      </c>
      <c r="D22" s="20" t="s">
        <v>131</v>
      </c>
      <c r="E22" s="21" t="str">
        <f t="shared" si="2"/>
        <v>!!!</v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153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154</v>
      </c>
      <c r="B24" s="20" t="s">
        <v>145</v>
      </c>
      <c r="C24" s="20" t="s">
        <v>155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156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157</v>
      </c>
      <c r="B26" s="20" t="s">
        <v>158</v>
      </c>
      <c r="C26" s="20" t="s">
        <v>130</v>
      </c>
      <c r="D26" s="20" t="s">
        <v>131</v>
      </c>
      <c r="E26" s="21" t="s">
        <v>428</v>
      </c>
      <c r="F26" s="22" t="str">
        <f>IF(OR(E26="",E26="!!!"),"",IF(NOT(ISNA(VLOOKUP(E26,E$1:E25,1,FALSE()))),"OLD",IF(AND(E26&lt;&gt;"",E26&lt;&gt;"!!!"),"NEW","")))</f>
        <v>NEW</v>
      </c>
      <c r="G26" s="23" t="str">
        <f ca="1">IF(OR(E26="",E26="!!!"),"",IF(OR(J26=0,AND(J26=1,K26=1),AND(J26=1,I26="SBJ"),AND(J26=1,I26=0)),"?IN_FOCUS",IF(J26&lt;=2,"?ACTIVATED",IF(J26&lt;&gt;"","?FAMILIAR",IF(F26="NEW",IF(ISNA(VLOOKUP(E26,#REF!,1,FALSE())),"?TYPE_IDENTIFIABLE","?REFERENTIAL"),"_")))))</f>
        <v>?REFERENTIAL</v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159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160</v>
      </c>
      <c r="B28" s="20" t="s">
        <v>129</v>
      </c>
      <c r="C28" s="20" t="s">
        <v>130</v>
      </c>
      <c r="D28" s="20" t="s">
        <v>131</v>
      </c>
      <c r="E28" s="21" t="s">
        <v>424</v>
      </c>
      <c r="F28" s="22" t="str">
        <f>IF(OR(E28="",E28="!!!"),"",IF(NOT(ISNA(VLOOKUP(E28,E$1:E27,1,FALSE()))),"OLD",IF(AND(E28&lt;&gt;"",E28&lt;&gt;"!!!"),"NEW","")))</f>
        <v>OLD</v>
      </c>
      <c r="G28" s="23" t="str">
        <f ca="1">IF(OR(E28="",E28="!!!"),"",IF(OR(J28=0,AND(J28=1,K28=1),AND(J28=1,I28="SBJ"),AND(J28=1,I28=0)),"?IN_FOCUS",IF(J28&lt;=2,"?ACTIVATED",IF(J28&lt;&gt;"","?FAMILIAR",IF(F28="NEW",IF(ISNA(VLOOKUP(E28,#REF!,1,FALSE())),"?TYPE_IDENTIFIABLE","?REFERENTIAL"),"_")))))</f>
        <v>?IN_FOCUS</v>
      </c>
      <c r="H28" s="24" t="str">
        <f t="shared" ca="1" si="3"/>
        <v/>
      </c>
      <c r="I28" s="25">
        <f>IF(OR(E28="",E28="!!!",F28="NEW"),"",INDEX(B$2:B27,-1+SUMPRODUCT(MAX(ROW(E$2:E27)*(E28=E$2:E27)))))</f>
        <v>0</v>
      </c>
      <c r="J28" s="25">
        <f ca="1">IF(OR(E28="",E28="!!!",F28="NEW"),"",COUNTBLANK(OFFSET(A$1,,,SUMPRODUCT(MAX(ROW(E$2:E28)*(E28=E$2:E28)))))-COUNTBLANK(OFFSET(A$1,,,SUMPRODUCT(MAX(ROW(E$1:E27)*(E2=E$1:E27))))))</f>
        <v>0</v>
      </c>
      <c r="K28" s="25">
        <f ca="1">IF(OR(E28="",E28="!!!",F28="NEW"),"",INDEX(J$1:J27,SUMPRODUCT(MAX(ROW(E$1:E27)*(E28=E$1:E27)))))</f>
        <v>0</v>
      </c>
      <c r="L28" s="26"/>
    </row>
    <row r="29" spans="1:12" x14ac:dyDescent="0.3">
      <c r="A29" t="s">
        <v>132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161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162</v>
      </c>
      <c r="B31" s="20" t="s">
        <v>145</v>
      </c>
      <c r="C31" s="20" t="s">
        <v>163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164</v>
      </c>
      <c r="B32" s="20" t="s">
        <v>152</v>
      </c>
      <c r="C32" s="20" t="s">
        <v>165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166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167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168</v>
      </c>
      <c r="B35" s="20" t="s">
        <v>136</v>
      </c>
      <c r="C35" s="20" t="s">
        <v>155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161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169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170</v>
      </c>
      <c r="B38" s="20" t="s">
        <v>145</v>
      </c>
      <c r="C38" s="20" t="s">
        <v>155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171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143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172</v>
      </c>
      <c r="B41" s="20" t="s">
        <v>158</v>
      </c>
      <c r="C41" s="20" t="s">
        <v>137</v>
      </c>
      <c r="D41" s="20" t="s">
        <v>131</v>
      </c>
      <c r="E41" s="21" t="s">
        <v>459</v>
      </c>
      <c r="F41" s="22" t="str">
        <f>IF(OR(E41="",E41="!!!"),"",IF(NOT(ISNA(VLOOKUP(E41,E$1:E40,1,FALSE()))),"OLD",IF(AND(E41&lt;&gt;"",E41&lt;&gt;"!!!"),"NEW","")))</f>
        <v>NEW</v>
      </c>
      <c r="G41" s="23" t="str">
        <f ca="1">IF(OR(E41="",E41="!!!"),"",IF(OR(J41=0,AND(J41=1,K41=1),AND(J41=1,I41="SBJ"),AND(J41=1,I41=0)),"?IN_FOCUS",IF(J41&lt;=2,"?ACTIVATED",IF(J41&lt;&gt;"","?FAMILIAR",IF(F41="NEW",IF(ISNA(VLOOKUP(E41,#REF!,1,FALSE())),"?TYPE_IDENTIFIABLE","?REFERENTIAL"),"_")))))</f>
        <v>?REFERENTIAL</v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148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4" spans="1:12" x14ac:dyDescent="0.3">
      <c r="A44" t="s">
        <v>173</v>
      </c>
    </row>
    <row r="45" spans="1:12" x14ac:dyDescent="0.3">
      <c r="A45" t="s">
        <v>174</v>
      </c>
      <c r="E45" s="21" t="str">
        <f t="shared" ref="E45:E54" si="4">IF(D45="?OLD","!!!","")</f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ref="H45:H54" ca="1" si="5">IF(J45&lt;&gt;1,"",IF(I45="SBJ","CB","?"))</f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175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176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12</v>
      </c>
      <c r="E48" s="21" t="str">
        <f t="shared" si="4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177</v>
      </c>
      <c r="B49" s="20" t="s">
        <v>152</v>
      </c>
      <c r="C49" s="20" t="s">
        <v>178</v>
      </c>
      <c r="D49" s="20" t="s">
        <v>131</v>
      </c>
      <c r="E49" s="21" t="s">
        <v>424</v>
      </c>
      <c r="F49" s="22" t="str">
        <f>IF(OR(E49="",E49="!!!"),"",IF(NOT(ISNA(VLOOKUP(E49,E$1:E48,1,FALSE()))),"OLD",IF(AND(E49&lt;&gt;"",E49&lt;&gt;"!!!"),"NEW","")))</f>
        <v>OLD</v>
      </c>
      <c r="G49" s="23" t="str">
        <f ca="1">IF(OR(E49="",E49="!!!"),"",IF(OR(J49=0,AND(J49=1,K49=1),AND(J49=1,I49="SBJ"),AND(J49=1,I49=0)),"?IN_FOCUS",IF(J49&lt;=2,"?ACTIVATED",IF(J49&lt;&gt;"","?FAMILIAR",IF(F49="NEW",IF(ISNA(VLOOKUP(E49,#REF!,1,FALSE())),"?TYPE_IDENTIFIABLE","?REFERENTIAL"),"_")))))</f>
        <v>?IN_FOCUS</v>
      </c>
      <c r="H49" s="24" t="str">
        <f t="shared" ca="1" si="5"/>
        <v/>
      </c>
      <c r="I49" s="25" t="str">
        <f>IF(OR(E49="",E49="!!!",F49="NEW"),"",INDEX(B$2:B48,-1+SUMPRODUCT(MAX(ROW(E$2:E48)*(E49=E$2:E48)))))</f>
        <v>SBJ</v>
      </c>
      <c r="J49" s="25">
        <f ca="1">IF(OR(E49="",E49="!!!",F49="NEW"),"",COUNTBLANK(OFFSET(A$1,,,SUMPRODUCT(MAX(ROW(E$2:E49)*(E49=E$2:E49)))))-COUNTBLANK(OFFSET(A$1,,,SUMPRODUCT(MAX(ROW(E$1:E48)*(E2=E$1:E48))))))</f>
        <v>0</v>
      </c>
      <c r="K49" s="25">
        <f ca="1">IF(OR(E49="",E49="!!!",F49="NEW"),"",INDEX(J$1:J48,SUMPRODUCT(MAX(ROW(E$1:E48)*(E49=E$1:E48)))))</f>
        <v>0</v>
      </c>
      <c r="L49" s="26"/>
    </row>
    <row r="50" spans="1:12" x14ac:dyDescent="0.3">
      <c r="A50" t="s">
        <v>179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180</v>
      </c>
      <c r="B51" s="20" t="s">
        <v>129</v>
      </c>
      <c r="C51" s="20" t="s">
        <v>181</v>
      </c>
      <c r="D51" s="20" t="s">
        <v>131</v>
      </c>
      <c r="E51" s="21" t="str">
        <f t="shared" si="4"/>
        <v>!!!</v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182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183</v>
      </c>
      <c r="B53" s="20" t="s">
        <v>152</v>
      </c>
      <c r="C53" s="20" t="s">
        <v>155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148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6" spans="1:12" x14ac:dyDescent="0.3">
      <c r="A56" t="s">
        <v>184</v>
      </c>
      <c r="E56" s="21" t="str">
        <f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ca="1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185</v>
      </c>
    </row>
    <row r="58" spans="1:12" x14ac:dyDescent="0.3">
      <c r="A58" t="s">
        <v>26</v>
      </c>
      <c r="B58" s="20" t="s">
        <v>152</v>
      </c>
      <c r="C58" s="20" t="s">
        <v>130</v>
      </c>
      <c r="D58" s="20" t="s">
        <v>131</v>
      </c>
      <c r="E58" s="21" t="s">
        <v>433</v>
      </c>
      <c r="F58" s="22" t="str">
        <f>IF(OR(E58="",E58="!!!"),"",IF(NOT(ISNA(VLOOKUP(E58,E$1:E57,1,FALSE()))),"OLD",IF(AND(E58&lt;&gt;"",E58&lt;&gt;"!!!"),"NEW","")))</f>
        <v>NEW</v>
      </c>
      <c r="G58" s="23" t="str">
        <f ca="1">IF(OR(E58="",E58="!!!"),"",IF(OR(J58=0,AND(J58=1,K58=1),AND(J58=1,I58="SBJ"),AND(J58=1,I58=0)),"?IN_FOCUS",IF(J58&lt;=2,"?ACTIVATED",IF(J58&lt;&gt;"","?FAMILIAR",IF(F58="NEW",IF(ISNA(VLOOKUP(E58,#REF!,1,FALSE())),"?TYPE_IDENTIFIABLE","?REFERENTIAL"),"_")))))</f>
        <v>?REFERENTIAL</v>
      </c>
      <c r="H58" s="24" t="str">
        <f t="shared" ref="H58:H66" ca="1" si="6">IF(J58&lt;&gt;1,"",IF(I58="SBJ","CB","?"))</f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186</v>
      </c>
      <c r="E59" s="21" t="str">
        <f t="shared" ref="E58:E66" si="7">IF(D59="?OLD","!!!","")</f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6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187</v>
      </c>
      <c r="E60" s="21" t="str">
        <f t="shared" si="7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6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188</v>
      </c>
      <c r="E61" s="21" t="str">
        <f t="shared" si="7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6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135</v>
      </c>
      <c r="B62" s="20" t="s">
        <v>152</v>
      </c>
      <c r="C62" s="20" t="s">
        <v>130</v>
      </c>
      <c r="D62" s="20" t="s">
        <v>131</v>
      </c>
      <c r="E62" s="21" t="s">
        <v>456</v>
      </c>
      <c r="F62" s="22" t="str">
        <f>IF(OR(E62="",E62="!!!"),"",IF(NOT(ISNA(VLOOKUP(E62,E$1:E61,1,FALSE()))),"OLD",IF(AND(E62&lt;&gt;"",E62&lt;&gt;"!!!"),"NEW","")))</f>
        <v>OLD</v>
      </c>
      <c r="G62" s="23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?IN_FOCUS</v>
      </c>
      <c r="H62" s="24" t="str">
        <f t="shared" ca="1" si="6"/>
        <v/>
      </c>
      <c r="I62" s="25" t="str">
        <f>IF(OR(E62="",E62="!!!",F62="NEW"),"",INDEX(B$2:B61,-1+SUMPRODUCT(MAX(ROW(E$2:E61)*(E62=E$2:E61)))))</f>
        <v>OBJ</v>
      </c>
      <c r="J62" s="25">
        <f ca="1">IF(OR(E62="",E62="!!!",F62="NEW"),"",COUNTBLANK(OFFSET(A$1,,,SUMPRODUCT(MAX(ROW(E$2:E62)*(E62=E$2:E62)))))-COUNTBLANK(OFFSET(A$1,,,SUMPRODUCT(MAX(ROW(E$1:E61)*(E2=E$1:E61))))))</f>
        <v>0</v>
      </c>
      <c r="K62" s="25" t="str">
        <f ca="1">IF(OR(E62="",E62="!!!",F62="NEW"),"",INDEX(J$1:J61,SUMPRODUCT(MAX(ROW(E$1:E61)*(E62=E$1:E61)))))</f>
        <v/>
      </c>
      <c r="L62" s="26"/>
    </row>
    <row r="63" spans="1:12" x14ac:dyDescent="0.3">
      <c r="A63" t="s">
        <v>187</v>
      </c>
      <c r="E63" s="21" t="str">
        <f t="shared" si="7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6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189</v>
      </c>
      <c r="E64" s="21" t="str">
        <f t="shared" si="7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6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160</v>
      </c>
      <c r="B65" s="20" t="s">
        <v>145</v>
      </c>
      <c r="C65" s="20" t="s">
        <v>130</v>
      </c>
      <c r="D65" s="20" t="s">
        <v>131</v>
      </c>
      <c r="E65" s="21" t="s">
        <v>424</v>
      </c>
      <c r="F65" s="22" t="str">
        <f>IF(OR(E65="",E65="!!!"),"",IF(NOT(ISNA(VLOOKUP(E65,E$1:E64,1,FALSE()))),"OLD",IF(AND(E65&lt;&gt;"",E65&lt;&gt;"!!!"),"NEW","")))</f>
        <v>OLD</v>
      </c>
      <c r="G65" s="23" t="str">
        <f ca="1">IF(OR(E65="",E65="!!!"),"",IF(OR(J65=0,AND(J65=1,K65=1),AND(J65=1,I65="SBJ"),AND(J65=1,I65=0)),"?IN_FOCUS",IF(J65&lt;=2,"?ACTIVATED",IF(J65&lt;&gt;"","?FAMILIAR",IF(F65="NEW",IF(ISNA(VLOOKUP(E65,#REF!,1,FALSE())),"?TYPE_IDENTIFIABLE","?REFERENTIAL"),"_")))))</f>
        <v>?IN_FOCUS</v>
      </c>
      <c r="H65" s="24" t="str">
        <f t="shared" ca="1" si="6"/>
        <v/>
      </c>
      <c r="I65" s="25" t="str">
        <f>IF(OR(E65="",E65="!!!",F65="NEW"),"",INDEX(B$2:B64,-1+SUMPRODUCT(MAX(ROW(E$2:E64)*(E65=E$2:E64)))))</f>
        <v>other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>
        <f ca="1">IF(OR(E65="",E65="!!!",F65="NEW"),"",INDEX(J$1:J64,SUMPRODUCT(MAX(ROW(E$1:E64)*(E65=E$1:E64)))))</f>
        <v>0</v>
      </c>
      <c r="L65" s="26"/>
    </row>
    <row r="66" spans="1:12" x14ac:dyDescent="0.3">
      <c r="A66" t="s">
        <v>132</v>
      </c>
      <c r="E66" s="21" t="str">
        <f t="shared" si="7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6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190</v>
      </c>
    </row>
    <row r="69" spans="1:12" x14ac:dyDescent="0.3">
      <c r="A69" t="s">
        <v>191</v>
      </c>
      <c r="E69" s="21" t="str">
        <f t="shared" ref="E69:E91" si="8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91" ca="1" si="9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162</v>
      </c>
      <c r="B70" s="20" t="s">
        <v>145</v>
      </c>
      <c r="C70" s="20" t="s">
        <v>163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192</v>
      </c>
      <c r="B71" s="20" t="s">
        <v>152</v>
      </c>
      <c r="C71" s="20" t="s">
        <v>165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193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194</v>
      </c>
      <c r="B73" s="20" t="s">
        <v>136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134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195</v>
      </c>
      <c r="B75" s="20" t="s">
        <v>129</v>
      </c>
      <c r="C75" s="20" t="s">
        <v>137</v>
      </c>
      <c r="D75" s="20" t="s">
        <v>131</v>
      </c>
      <c r="E75" s="21" t="s">
        <v>458</v>
      </c>
      <c r="F75" s="22" t="str">
        <f>IF(OR(E75="",E75="!!!"),"",IF(NOT(ISNA(VLOOKUP(E75,E$1:E74,1,FALSE()))),"OLD",IF(AND(E75&lt;&gt;"",E75&lt;&gt;"!!!"),"NEW","")))</f>
        <v>OLD</v>
      </c>
      <c r="G75" s="23" t="str">
        <f ca="1">IF(OR(E75="",E75="!!!"),"",IF(OR(J75=0,AND(J75=1,K75=1),AND(J75=1,I75="SBJ"),AND(J75=1,I75=0)),"?IN_FOCUS",IF(J75&lt;=2,"?ACTIVATED",IF(J75&lt;&gt;"","?FAMILIAR",IF(F75="NEW",IF(ISNA(VLOOKUP(E75,#REF!,1,FALSE())),"?TYPE_IDENTIFIABLE","?REFERENTIAL"),"_")))))</f>
        <v>?IN_FOCUS</v>
      </c>
      <c r="H75" s="24" t="str">
        <f t="shared" ca="1" si="9"/>
        <v/>
      </c>
      <c r="I75" s="25" t="str">
        <f>IF(OR(E75="",E75="!!!",F75="NEW"),"",INDEX(B$2:B74,-1+SUMPRODUCT(MAX(ROW(E$2:E74)*(E75=E$2:E74)))))</f>
        <v>other_2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>
        <f ca="1">IF(OR(E75="",E75="!!!",F75="NEW"),"",INDEX(J$1:J74,SUMPRODUCT(MAX(ROW(E$1:E74)*(E75=E$1:E74)))))</f>
        <v>0</v>
      </c>
      <c r="L75" s="26" t="s">
        <v>460</v>
      </c>
    </row>
    <row r="76" spans="1:12" x14ac:dyDescent="0.3">
      <c r="A76" t="s">
        <v>171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196</v>
      </c>
      <c r="E77" s="21" t="str">
        <f t="shared" si="8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9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197</v>
      </c>
      <c r="B78" s="20" t="s">
        <v>152</v>
      </c>
      <c r="C78" s="20" t="s">
        <v>141</v>
      </c>
      <c r="E78" s="21" t="str">
        <f t="shared" si="8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9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198</v>
      </c>
      <c r="E79" s="21" t="str">
        <f t="shared" si="8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9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199</v>
      </c>
      <c r="B80" s="20" t="s">
        <v>200</v>
      </c>
      <c r="C80" s="20" t="s">
        <v>201</v>
      </c>
      <c r="D80" s="20" t="s">
        <v>131</v>
      </c>
      <c r="E80" s="21" t="s">
        <v>458</v>
      </c>
      <c r="F80" s="22" t="str">
        <f>IF(OR(E80="",E80="!!!"),"",IF(NOT(ISNA(VLOOKUP(E80,E$1:E79,1,FALSE()))),"OLD",IF(AND(E80&lt;&gt;"",E80&lt;&gt;"!!!"),"NEW","")))</f>
        <v>OLD</v>
      </c>
      <c r="G80" s="23" t="str">
        <f ca="1">IF(OR(E80="",E80="!!!"),"",IF(OR(J80=0,AND(J80=1,K80=1),AND(J80=1,I80="SBJ"),AND(J80=1,I80=0)),"?IN_FOCUS",IF(J80&lt;=2,"?ACTIVATED",IF(J80&lt;&gt;"","?FAMILIAR",IF(F80="NEW",IF(ISNA(VLOOKUP(E80,#REF!,1,FALSE())),"?TYPE_IDENTIFIABLE","?REFERENTIAL"),"_")))))</f>
        <v>?IN_FOCUS</v>
      </c>
      <c r="H80" s="24" t="str">
        <f t="shared" ca="1" si="9"/>
        <v/>
      </c>
      <c r="I80" s="25" t="str">
        <f>IF(OR(E80="",E80="!!!",F80="NEW"),"",INDEX(B$2:B79,-1+SUMPRODUCT(MAX(ROW(E$2:E79)*(E80=E$2:E79)))))</f>
        <v>SBJ</v>
      </c>
      <c r="J80" s="25">
        <f ca="1">IF(OR(E80="",E80="!!!",F80="NEW"),"",COUNTBLANK(OFFSET(A$1,,,SUMPRODUCT(MAX(ROW(E$2:E80)*(E80=E$2:E80)))))-COUNTBLANK(OFFSET(A$1,,,SUMPRODUCT(MAX(ROW(E$1:E79)*(E2=E$1:E79))))))</f>
        <v>0</v>
      </c>
      <c r="K80" s="25">
        <f ca="1">IF(OR(E80="",E80="!!!",F80="NEW"),"",INDEX(J$1:J79,SUMPRODUCT(MAX(ROW(E$1:E79)*(E80=E$1:E79)))))</f>
        <v>0</v>
      </c>
      <c r="L80" s="26"/>
    </row>
    <row r="81" spans="1:12" x14ac:dyDescent="0.3">
      <c r="A81" t="s">
        <v>202</v>
      </c>
      <c r="E81" s="21" t="str">
        <f t="shared" si="8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9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156</v>
      </c>
      <c r="E82" s="21" t="str">
        <f t="shared" si="8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9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143</v>
      </c>
      <c r="E83" s="21" t="str">
        <f t="shared" si="8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203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204</v>
      </c>
      <c r="B85" s="20" t="s">
        <v>145</v>
      </c>
      <c r="C85" s="20" t="s">
        <v>137</v>
      </c>
      <c r="D85" s="20" t="s">
        <v>131</v>
      </c>
      <c r="E85" s="21" t="str">
        <f t="shared" si="8"/>
        <v>!!!</v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9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205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206</v>
      </c>
      <c r="B87" s="20" t="s">
        <v>158</v>
      </c>
      <c r="C87" s="20" t="s">
        <v>207</v>
      </c>
      <c r="E87" s="21" t="str">
        <f t="shared" si="8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208</v>
      </c>
      <c r="B88" s="20" t="s">
        <v>209</v>
      </c>
      <c r="C88" s="20" t="s">
        <v>163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175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210</v>
      </c>
      <c r="B90" s="20" t="s">
        <v>211</v>
      </c>
      <c r="C90" s="20" t="s">
        <v>137</v>
      </c>
      <c r="D90" s="20" t="s">
        <v>131</v>
      </c>
      <c r="E90" s="21" t="str">
        <f t="shared" si="8"/>
        <v>!!!</v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148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3" spans="1:12" x14ac:dyDescent="0.3">
      <c r="A93" t="s">
        <v>212</v>
      </c>
    </row>
    <row r="94" spans="1:12" x14ac:dyDescent="0.3">
      <c r="A94" t="s">
        <v>213</v>
      </c>
      <c r="E94" s="21" t="str">
        <f t="shared" ref="E94:E104" si="10">IF(D94="?OLD","!!!","")</f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ref="H94:H104" ca="1" si="11">IF(J94&lt;&gt;1,"",IF(I94="SBJ","CB","?"))</f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33</v>
      </c>
      <c r="B95" s="20" t="s">
        <v>152</v>
      </c>
      <c r="C95" s="20" t="s">
        <v>155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214</v>
      </c>
      <c r="E96" s="21" t="str">
        <f t="shared" si="10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1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215</v>
      </c>
      <c r="B97" s="20" t="s">
        <v>145</v>
      </c>
      <c r="C97" s="20" t="s">
        <v>216</v>
      </c>
      <c r="D97" s="20" t="s">
        <v>131</v>
      </c>
      <c r="E97" s="21"/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1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 t="s">
        <v>455</v>
      </c>
    </row>
    <row r="98" spans="1:12" x14ac:dyDescent="0.3">
      <c r="A98" t="s">
        <v>217</v>
      </c>
      <c r="B98" s="20" t="s">
        <v>152</v>
      </c>
      <c r="C98" s="20" t="s">
        <v>218</v>
      </c>
      <c r="D98" s="20" t="s">
        <v>131</v>
      </c>
      <c r="E98" s="21" t="str">
        <f t="shared" si="10"/>
        <v>!!!</v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11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198</v>
      </c>
      <c r="E99" s="21" t="str">
        <f t="shared" si="10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1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219</v>
      </c>
      <c r="B100" s="20" t="s">
        <v>200</v>
      </c>
      <c r="C100" s="20" t="s">
        <v>181</v>
      </c>
      <c r="D100" s="20" t="s">
        <v>131</v>
      </c>
      <c r="E100" s="21" t="s">
        <v>424</v>
      </c>
      <c r="F100" s="22" t="str">
        <f>IF(OR(E100="",E100="!!!"),"",IF(NOT(ISNA(VLOOKUP(E100,E$1:E99,1,FALSE()))),"OLD",IF(AND(E100&lt;&gt;"",E100&lt;&gt;"!!!"),"NEW","")))</f>
        <v>OLD</v>
      </c>
      <c r="G100" s="23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?IN_FOCUS</v>
      </c>
      <c r="H100" s="24" t="str">
        <f t="shared" ca="1" si="11"/>
        <v/>
      </c>
      <c r="I100" s="25" t="str">
        <f>IF(OR(E100="",E100="!!!",F100="NEW"),"",INDEX(B$2:B99,-1+SUMPRODUCT(MAX(ROW(E$2:E99)*(E100=E$2:E99)))))</f>
        <v>other_2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>
        <f ca="1">IF(OR(E100="",E100="!!!",F100="NEW"),"",INDEX(J$1:J99,SUMPRODUCT(MAX(ROW(E$1:E99)*(E100=E$1:E99)))))</f>
        <v>0</v>
      </c>
      <c r="L100" s="26"/>
    </row>
    <row r="101" spans="1:12" x14ac:dyDescent="0.3">
      <c r="A101" t="s">
        <v>220</v>
      </c>
      <c r="E101" s="21" t="str">
        <f t="shared" si="10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1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221</v>
      </c>
      <c r="B102" s="20" t="s">
        <v>222</v>
      </c>
      <c r="C102" s="20" t="s">
        <v>207</v>
      </c>
      <c r="E102" s="21" t="str">
        <f t="shared" si="10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11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223</v>
      </c>
      <c r="E103" s="21" t="str">
        <f t="shared" si="10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11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148</v>
      </c>
      <c r="E104" s="21" t="str">
        <f t="shared" si="10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11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6" spans="1:12" x14ac:dyDescent="0.3">
      <c r="A106" t="s">
        <v>184</v>
      </c>
      <c r="E106" s="21" t="str">
        <f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ca="1">IF(J106&lt;&gt;1,"",IF(I106="SBJ","CB","?"))</f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224</v>
      </c>
    </row>
    <row r="108" spans="1:12" x14ac:dyDescent="0.3">
      <c r="A108" t="s">
        <v>187</v>
      </c>
      <c r="E108" s="21" t="str">
        <f t="shared" ref="E108:E118" si="12">IF(D108="?OLD","!!!","")</f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ref="H108:H118" ca="1" si="13">IF(J108&lt;&gt;1,"",IF(I108="SBJ","CB","?"))</f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225</v>
      </c>
      <c r="B109" s="20" t="s">
        <v>200</v>
      </c>
      <c r="C109" s="20" t="s">
        <v>181</v>
      </c>
      <c r="D109" s="20" t="s">
        <v>131</v>
      </c>
      <c r="E109" s="21" t="str">
        <f t="shared" si="12"/>
        <v>!!!</v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3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179</v>
      </c>
      <c r="E110" s="21" t="str">
        <f t="shared" si="12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3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226</v>
      </c>
      <c r="B111" s="20" t="s">
        <v>145</v>
      </c>
      <c r="C111" s="20" t="s">
        <v>201</v>
      </c>
      <c r="D111" s="20" t="s">
        <v>131</v>
      </c>
      <c r="E111" s="21" t="str">
        <f t="shared" si="12"/>
        <v>!!!</v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3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227</v>
      </c>
      <c r="E112" s="21" t="str">
        <f t="shared" si="12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3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228</v>
      </c>
      <c r="B113" s="20" t="s">
        <v>152</v>
      </c>
      <c r="C113" s="20" t="s">
        <v>165</v>
      </c>
      <c r="E113" s="21" t="str">
        <f t="shared" si="12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3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187</v>
      </c>
      <c r="E114" s="21" t="str">
        <f t="shared" si="12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3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198</v>
      </c>
      <c r="E115" s="21" t="str">
        <f t="shared" si="12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3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229</v>
      </c>
      <c r="E116" s="21" t="str">
        <f t="shared" si="12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3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132</v>
      </c>
      <c r="B117" s="20" t="s">
        <v>129</v>
      </c>
      <c r="C117" s="20" t="s">
        <v>207</v>
      </c>
      <c r="E117" s="21" t="s">
        <v>424</v>
      </c>
      <c r="F117" s="22" t="str">
        <f>IF(OR(E117="",E117="!!!"),"",IF(NOT(ISNA(VLOOKUP(E117,E$1:E116,1,FALSE()))),"OLD",IF(AND(E117&lt;&gt;"",E117&lt;&gt;"!!!"),"NEW","")))</f>
        <v>OLD</v>
      </c>
      <c r="G117" s="23" t="str">
        <f ca="1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?IN_FOCUS</v>
      </c>
      <c r="H117" s="24" t="str">
        <f t="shared" ca="1" si="13"/>
        <v/>
      </c>
      <c r="I117" s="25" t="str">
        <f>IF(OR(E117="",E117="!!!",F117="NEW"),"",INDEX(B$2:B116,-1+SUMPRODUCT(MAX(ROW(E$2:E116)*(E117=E$2:E116)))))</f>
        <v>SBJ_2</v>
      </c>
      <c r="J117" s="25">
        <f ca="1">IF(OR(E117="",E117="!!!",F117="NEW"),"",COUNTBLANK(OFFSET(A$1,,,SUMPRODUCT(MAX(ROW(E$2:E117)*(E117=E$2:E117)))))-COUNTBLANK(OFFSET(A$1,,,SUMPRODUCT(MAX(ROW(E$1:E116)*(E2=E$1:E116))))))</f>
        <v>0</v>
      </c>
      <c r="K117" s="25">
        <f ca="1">IF(OR(E117="",E117="!!!",F117="NEW"),"",INDEX(J$1:J116,SUMPRODUCT(MAX(ROW(E$1:E116)*(E117=E$1:E116)))))</f>
        <v>0</v>
      </c>
      <c r="L117" s="26" t="s">
        <v>425</v>
      </c>
    </row>
    <row r="118" spans="1:12" x14ac:dyDescent="0.3">
      <c r="A118" t="s">
        <v>148</v>
      </c>
      <c r="E118" s="21" t="str">
        <f t="shared" si="12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3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20" spans="1:12" x14ac:dyDescent="0.3">
      <c r="A120" t="s">
        <v>230</v>
      </c>
    </row>
    <row r="121" spans="1:12" x14ac:dyDescent="0.3">
      <c r="A121" t="s">
        <v>231</v>
      </c>
      <c r="E121" s="21" t="str">
        <f t="shared" ref="E121:E130" si="14">IF(D121="?OLD","!!!","")</f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ref="H121:H130" ca="1" si="15">IF(J121&lt;&gt;1,"",IF(I121="SBJ","CB","?"))</f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232</v>
      </c>
      <c r="E122" s="21" t="str">
        <f t="shared" si="14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5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233</v>
      </c>
      <c r="E123" s="21" t="str">
        <f t="shared" si="14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5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134</v>
      </c>
      <c r="E124" s="21" t="str">
        <f t="shared" si="14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5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234</v>
      </c>
      <c r="B125" s="20" t="s">
        <v>129</v>
      </c>
      <c r="C125" s="20" t="s">
        <v>137</v>
      </c>
      <c r="D125" s="20" t="s">
        <v>131</v>
      </c>
      <c r="E125" s="21" t="str">
        <f t="shared" si="14"/>
        <v>!!!</v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5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235</v>
      </c>
      <c r="E126" s="21" t="str">
        <f t="shared" si="14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5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236</v>
      </c>
      <c r="E127" s="21" t="str">
        <f t="shared" si="14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5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237</v>
      </c>
      <c r="E128" s="21" t="str">
        <f t="shared" si="14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5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238</v>
      </c>
      <c r="E129" s="21" t="str">
        <f t="shared" si="14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5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148</v>
      </c>
      <c r="E130" s="21" t="str">
        <f t="shared" si="14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5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239</v>
      </c>
    </row>
    <row r="133" spans="1:12" x14ac:dyDescent="0.3">
      <c r="A133" t="s">
        <v>150</v>
      </c>
      <c r="E133" s="21" t="str">
        <f t="shared" ref="E133:E152" si="16">IF(D133="?OLD","!!!","")</f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ref="H133:H152" ca="1" si="17">IF(J133&lt;&gt;1,"",IF(I133="SBJ","CB","?"))</f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143</v>
      </c>
      <c r="E134" s="21" t="str">
        <f t="shared" si="16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7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240</v>
      </c>
      <c r="B135" s="20" t="s">
        <v>152</v>
      </c>
      <c r="C135" s="20" t="s">
        <v>130</v>
      </c>
      <c r="D135" s="20" t="s">
        <v>131</v>
      </c>
      <c r="E135" s="21" t="s">
        <v>471</v>
      </c>
      <c r="F135" s="22" t="s">
        <v>430</v>
      </c>
      <c r="G135" s="23" t="e">
        <f ca="1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#VALUE!</v>
      </c>
      <c r="H135" s="24" t="str">
        <f t="shared" ca="1" si="17"/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179</v>
      </c>
      <c r="E136" s="21" t="str">
        <f t="shared" si="16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7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241</v>
      </c>
      <c r="B137" s="20" t="s">
        <v>152</v>
      </c>
      <c r="C137" s="20" t="s">
        <v>130</v>
      </c>
      <c r="D137" s="20" t="s">
        <v>131</v>
      </c>
      <c r="E137" s="21" t="s">
        <v>429</v>
      </c>
      <c r="F137" s="22" t="str">
        <f>IF(OR(E137="",E137="!!!"),"",IF(NOT(ISNA(VLOOKUP(E137,E$1:E136,1,FALSE()))),"OLD",IF(AND(E137&lt;&gt;"",E137&lt;&gt;"!!!"),"NEW","")))</f>
        <v>NEW</v>
      </c>
      <c r="G137" s="23" t="str">
        <f ca="1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?REFERENTIAL</v>
      </c>
      <c r="H137" s="24" t="str">
        <f t="shared" ca="1" si="17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242</v>
      </c>
      <c r="E138" s="21" t="str">
        <f t="shared" si="16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7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128</v>
      </c>
      <c r="B139" s="20" t="s">
        <v>152</v>
      </c>
      <c r="C139" s="20" t="s">
        <v>243</v>
      </c>
      <c r="D139" s="20" t="s">
        <v>131</v>
      </c>
      <c r="E139" s="21" t="s">
        <v>424</v>
      </c>
      <c r="F139" s="22" t="str">
        <f>IF(OR(E139="",E139="!!!"),"",IF(NOT(ISNA(VLOOKUP(E139,E$1:E138,1,FALSE()))),"OLD",IF(AND(E139&lt;&gt;"",E139&lt;&gt;"!!!"),"NEW","")))</f>
        <v>OLD</v>
      </c>
      <c r="G139" s="23" t="str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?IN_FOCUS</v>
      </c>
      <c r="H139" s="24" t="str">
        <f t="shared" ca="1" si="17"/>
        <v/>
      </c>
      <c r="I139" s="25" t="str">
        <f>IF(OR(E139="",E139="!!!",F139="NEW"),"",INDEX(B$2:B138,-1+SUMPRODUCT(MAX(ROW(E$2:E138)*(E139=E$2:E138)))))</f>
        <v>SBJ</v>
      </c>
      <c r="J139" s="25">
        <f ca="1">IF(OR(E139="",E139="!!!",F139="NEW"),"",COUNTBLANK(OFFSET(A$1,,,SUMPRODUCT(MAX(ROW(E$2:E139)*(E139=E$2:E139)))))-COUNTBLANK(OFFSET(A$1,,,SUMPRODUCT(MAX(ROW(E$1:E138)*(E2=E$1:E138))))))</f>
        <v>0</v>
      </c>
      <c r="K139" s="25">
        <f ca="1">IF(OR(E139="",E139="!!!",F139="NEW"),"",INDEX(J$1:J138,SUMPRODUCT(MAX(ROW(E$1:E138)*(E139=E$1:E138)))))</f>
        <v>0</v>
      </c>
      <c r="L139" s="26"/>
    </row>
    <row r="140" spans="1:12" x14ac:dyDescent="0.3">
      <c r="A140" t="s">
        <v>244</v>
      </c>
      <c r="B140" s="20" t="s">
        <v>158</v>
      </c>
      <c r="C140" s="20" t="s">
        <v>163</v>
      </c>
      <c r="E140" s="21" t="str">
        <f t="shared" si="16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7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245</v>
      </c>
      <c r="E141" s="21" t="str">
        <f t="shared" si="16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7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12</v>
      </c>
      <c r="E142" s="21" t="str">
        <f t="shared" si="16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7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6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7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247</v>
      </c>
      <c r="B144" s="20" t="s">
        <v>152</v>
      </c>
      <c r="C144" s="20" t="s">
        <v>165</v>
      </c>
      <c r="E144" s="21" t="str">
        <f t="shared" si="16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7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12</v>
      </c>
      <c r="E145" s="21" t="str">
        <f t="shared" si="16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7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238</v>
      </c>
      <c r="E146" s="21" t="str">
        <f t="shared" si="16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7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156</v>
      </c>
      <c r="E147" s="21" t="str">
        <f t="shared" si="16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7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248</v>
      </c>
      <c r="E148" s="21" t="str">
        <f t="shared" si="16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7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249</v>
      </c>
      <c r="B149" s="20" t="s">
        <v>152</v>
      </c>
      <c r="C149" s="20" t="s">
        <v>137</v>
      </c>
      <c r="D149" s="20" t="s">
        <v>131</v>
      </c>
      <c r="E149" s="21" t="str">
        <f t="shared" si="16"/>
        <v>!!!</v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7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250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251</v>
      </c>
      <c r="B151" s="20" t="s">
        <v>145</v>
      </c>
      <c r="C151" s="20" t="s">
        <v>207</v>
      </c>
      <c r="E151" s="21" t="s">
        <v>458</v>
      </c>
      <c r="F151" s="22" t="str">
        <f>IF(OR(E151="",E151="!!!"),"",IF(NOT(ISNA(VLOOKUP(E151,E$1:E150,1,FALSE()))),"OLD",IF(AND(E151&lt;&gt;"",E151&lt;&gt;"!!!"),"NEW","")))</f>
        <v>OLD</v>
      </c>
      <c r="G151" s="23" t="str">
        <f ca="1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?IN_FOCUS</v>
      </c>
      <c r="H151" s="24" t="str">
        <f t="shared" ca="1" si="17"/>
        <v/>
      </c>
      <c r="I151" s="25" t="str">
        <f>IF(OR(E151="",E151="!!!",F151="NEW"),"",INDEX(B$2:B150,-1+SUMPRODUCT(MAX(ROW(E$2:E150)*(E151=E$2:E150)))))</f>
        <v>SBJ_2</v>
      </c>
      <c r="J151" s="25">
        <f ca="1">IF(OR(E151="",E151="!!!",F151="NEW"),"",COUNTBLANK(OFFSET(A$1,,,SUMPRODUCT(MAX(ROW(E$2:E151)*(E151=E$2:E151)))))-COUNTBLANK(OFFSET(A$1,,,SUMPRODUCT(MAX(ROW(E$1:E150)*(E2=E$1:E150))))))</f>
        <v>0</v>
      </c>
      <c r="K151" s="25">
        <f ca="1">IF(OR(E151="",E151="!!!",F151="NEW"),"",INDEX(J$1:J150,SUMPRODUCT(MAX(ROW(E$1:E150)*(E151=E$1:E150)))))</f>
        <v>0</v>
      </c>
      <c r="L151" s="26" t="s">
        <v>461</v>
      </c>
    </row>
    <row r="152" spans="1:12" x14ac:dyDescent="0.3">
      <c r="A152" t="s">
        <v>148</v>
      </c>
      <c r="E152" s="21" t="str">
        <f t="shared" si="16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7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252</v>
      </c>
    </row>
    <row r="155" spans="1:12" x14ac:dyDescent="0.3">
      <c r="A155" t="s">
        <v>253</v>
      </c>
      <c r="B155" s="20" t="s">
        <v>129</v>
      </c>
      <c r="C155" s="20" t="s">
        <v>181</v>
      </c>
      <c r="D155" s="20" t="s">
        <v>131</v>
      </c>
      <c r="E155" s="21" t="s">
        <v>424</v>
      </c>
      <c r="F155" s="22" t="str">
        <f>IF(OR(E155="",E155="!!!"),"",IF(NOT(ISNA(VLOOKUP(E155,E$1:E154,1,FALSE()))),"OLD",IF(AND(E155&lt;&gt;"",E155&lt;&gt;"!!!"),"NEW","")))</f>
        <v>OLD</v>
      </c>
      <c r="G155" s="23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?IN_FOCUS</v>
      </c>
      <c r="H155" s="24" t="str">
        <f t="shared" ref="H155:H178" ca="1" si="18">IF(J155&lt;&gt;1,"",IF(I155="SBJ","CB","?"))</f>
        <v/>
      </c>
      <c r="I155" s="25" t="str">
        <f>IF(OR(E155="",E155="!!!",F155="NEW"),"",INDEX(B$2:B154,-1+SUMPRODUCT(MAX(ROW(E$2:E154)*(E155=E$2:E154)))))</f>
        <v>other</v>
      </c>
      <c r="J155" s="25">
        <f ca="1">IF(OR(E155="",E155="!!!",F155="NEW"),"",COUNTBLANK(OFFSET(A$1,,,SUMPRODUCT(MAX(ROW(E$2:E155)*(E155=E$2:E155)))))-COUNTBLANK(OFFSET(A$1,,,SUMPRODUCT(MAX(ROW(E$1:E154)*(E2=E$1:E154))))))</f>
        <v>0</v>
      </c>
      <c r="K155" s="25">
        <f ca="1">IF(OR(E155="",E155="!!!",F155="NEW"),"",INDEX(J$1:J154,SUMPRODUCT(MAX(ROW(E$1:E154)*(E155=E$1:E154)))))</f>
        <v>0</v>
      </c>
      <c r="L155" s="26"/>
    </row>
    <row r="156" spans="1:12" x14ac:dyDescent="0.3">
      <c r="A156" t="s">
        <v>254</v>
      </c>
      <c r="E156" s="21" t="str">
        <f t="shared" ref="E155:E178" si="19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8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194</v>
      </c>
      <c r="B157" s="20" t="s">
        <v>136</v>
      </c>
      <c r="E157" s="21" t="str">
        <f t="shared" si="19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8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161</v>
      </c>
      <c r="E158" s="21" t="str">
        <f t="shared" si="19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8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255</v>
      </c>
      <c r="E159" s="21" t="s">
        <v>424</v>
      </c>
      <c r="F159" s="22" t="str">
        <f>IF(OR(E159="",E159="!!!"),"",IF(NOT(ISNA(VLOOKUP(E159,E$1:E158,1,FALSE()))),"OLD",IF(AND(E159&lt;&gt;"",E159&lt;&gt;"!!!"),"NEW","")))</f>
        <v>OLD</v>
      </c>
      <c r="G159" s="23" t="str">
        <f ca="1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?IN_FOCUS</v>
      </c>
      <c r="H159" s="24" t="str">
        <f t="shared" ca="1" si="18"/>
        <v/>
      </c>
      <c r="I159" s="25" t="str">
        <f>IF(OR(E159="",E159="!!!",F159="NEW"),"",INDEX(B$2:B158,-1+SUMPRODUCT(MAX(ROW(E$2:E158)*(E159=E$2:E158)))))</f>
        <v>SBJ</v>
      </c>
      <c r="J159" s="25">
        <f ca="1">IF(OR(E159="",E159="!!!",F159="NEW"),"",COUNTBLANK(OFFSET(A$1,,,SUMPRODUCT(MAX(ROW(E$2:E159)*(E159=E$2:E159)))))-COUNTBLANK(OFFSET(A$1,,,SUMPRODUCT(MAX(ROW(E$1:E158)*(E2=E$1:E158))))))</f>
        <v>0</v>
      </c>
      <c r="K159" s="25">
        <f ca="1">IF(OR(E159="",E159="!!!",F159="NEW"),"",INDEX(J$1:J158,SUMPRODUCT(MAX(ROW(E$1:E158)*(E159=E$1:E158)))))</f>
        <v>0</v>
      </c>
      <c r="L159" s="26" t="s">
        <v>425</v>
      </c>
    </row>
    <row r="160" spans="1:12" x14ac:dyDescent="0.3">
      <c r="A160" t="s">
        <v>256</v>
      </c>
      <c r="B160" s="20" t="s">
        <v>152</v>
      </c>
      <c r="C160" s="20" t="s">
        <v>141</v>
      </c>
      <c r="E160" s="21" t="s">
        <v>431</v>
      </c>
      <c r="F160" s="22" t="str">
        <f>IF(OR(E160="",E160="!!!"),"",IF(NOT(ISNA(VLOOKUP(E160,E$1:E159,1,FALSE()))),"OLD",IF(AND(E160&lt;&gt;"",E160&lt;&gt;"!!!"),"NEW","")))</f>
        <v>NEW</v>
      </c>
      <c r="G160" s="23" t="str">
        <f ca="1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?REFERENTIAL</v>
      </c>
      <c r="H160" s="24" t="str">
        <f t="shared" ca="1" si="18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257</v>
      </c>
      <c r="E161" s="21" t="str">
        <f t="shared" si="19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8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134</v>
      </c>
      <c r="E162" s="21" t="str">
        <f t="shared" si="19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8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258</v>
      </c>
      <c r="B163" s="20" t="s">
        <v>145</v>
      </c>
      <c r="C163" s="20" t="s">
        <v>243</v>
      </c>
      <c r="D163" s="20" t="s">
        <v>131</v>
      </c>
      <c r="E163" s="21" t="str">
        <f t="shared" si="19"/>
        <v>!!!</v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8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259</v>
      </c>
      <c r="E164" s="21" t="str">
        <f t="shared" si="19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8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260</v>
      </c>
      <c r="B165" s="20" t="s">
        <v>158</v>
      </c>
      <c r="C165" s="20" t="s">
        <v>130</v>
      </c>
      <c r="D165" s="20" t="s">
        <v>131</v>
      </c>
      <c r="E165" s="21" t="str">
        <f t="shared" si="19"/>
        <v>!!!</v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8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261</v>
      </c>
      <c r="E166" s="21" t="str">
        <f t="shared" si="19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8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198</v>
      </c>
      <c r="E167" s="21" t="str">
        <f t="shared" si="19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8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142</v>
      </c>
      <c r="E168" s="21" t="str">
        <f t="shared" si="19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8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166</v>
      </c>
      <c r="E169" s="21" t="str">
        <f t="shared" si="19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8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144</v>
      </c>
      <c r="B170" s="20" t="s">
        <v>145</v>
      </c>
      <c r="C170" s="20" t="s">
        <v>155</v>
      </c>
      <c r="E170" s="21" t="str">
        <f t="shared" si="19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8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262</v>
      </c>
      <c r="E171" s="21" t="str">
        <f t="shared" si="19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8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B172" s="20" t="s">
        <v>200</v>
      </c>
      <c r="C172" s="20" t="s">
        <v>181</v>
      </c>
      <c r="D172" s="20" t="s">
        <v>131</v>
      </c>
      <c r="E172" s="21" t="s">
        <v>424</v>
      </c>
      <c r="F172" s="22" t="str">
        <f>IF(OR(E172="",E172="!!!"),"",IF(NOT(ISNA(VLOOKUP(E172,E$1:E171,1,FALSE()))),"OLD",IF(AND(E172&lt;&gt;"",E172&lt;&gt;"!!!"),"NEW","")))</f>
        <v>OLD</v>
      </c>
      <c r="G172" s="23" t="str">
        <f ca="1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?IN_FOCUS</v>
      </c>
      <c r="H172" s="24" t="str">
        <f t="shared" ca="1" si="18"/>
        <v/>
      </c>
      <c r="I172" s="25">
        <f>IF(OR(E172="",E172="!!!",F172="NEW"),"",INDEX(B$2:B171,-1+SUMPRODUCT(MAX(ROW(E$2:E171)*(E172=E$2:E171)))))</f>
        <v>0</v>
      </c>
      <c r="J172" s="25">
        <f ca="1">IF(OR(E172="",E172="!!!",F172="NEW"),"",COUNTBLANK(OFFSET(A$1,,,SUMPRODUCT(MAX(ROW(E$2:E172)*(E172=E$2:E172)))))-COUNTBLANK(OFFSET(A$1,,,SUMPRODUCT(MAX(ROW(E$1:E171)*(E2=E$1:E171))))))</f>
        <v>0</v>
      </c>
      <c r="K172" s="25">
        <f ca="1">IF(OR(E172="",E172="!!!",F172="NEW"),"",INDEX(J$1:J171,SUMPRODUCT(MAX(ROW(E$1:E171)*(E172=E$1:E171)))))</f>
        <v>0</v>
      </c>
      <c r="L172" s="26"/>
    </row>
    <row r="173" spans="1:12" x14ac:dyDescent="0.3">
      <c r="A173" t="s">
        <v>194</v>
      </c>
      <c r="B173" s="20" t="s">
        <v>222</v>
      </c>
      <c r="E173" s="21" t="str">
        <f t="shared" si="19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8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264</v>
      </c>
      <c r="E174" s="21" t="str">
        <f t="shared" si="19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8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265</v>
      </c>
      <c r="E175" s="21" t="str">
        <f t="shared" si="19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8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208</v>
      </c>
      <c r="B176" s="20" t="s">
        <v>158</v>
      </c>
      <c r="C176" s="20" t="s">
        <v>163</v>
      </c>
      <c r="E176" s="21" t="str">
        <f t="shared" si="19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8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266</v>
      </c>
      <c r="B177" s="20" t="s">
        <v>145</v>
      </c>
      <c r="C177" s="20" t="s">
        <v>207</v>
      </c>
      <c r="E177" s="21" t="str">
        <f t="shared" si="19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8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148</v>
      </c>
      <c r="E178" s="21" t="str">
        <f t="shared" si="19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8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267</v>
      </c>
    </row>
    <row r="181" spans="1:12" x14ac:dyDescent="0.3">
      <c r="A181" t="s">
        <v>132</v>
      </c>
      <c r="E181" s="21" t="s">
        <v>424</v>
      </c>
      <c r="F181" s="22" t="str">
        <f>IF(OR(E181="",E181="!!!"),"",IF(NOT(ISNA(VLOOKUP(E181,E$1:E180,1,FALSE()))),"OLD",IF(AND(E181&lt;&gt;"",E181&lt;&gt;"!!!"),"NEW","")))</f>
        <v>OLD</v>
      </c>
      <c r="G181" s="23" t="str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?IN_FOCUS</v>
      </c>
      <c r="H181" s="24" t="str">
        <f t="shared" ref="H181:H194" ca="1" si="20">IF(J181&lt;&gt;1,"",IF(I181="SBJ","CB","?"))</f>
        <v/>
      </c>
      <c r="I181" s="25" t="str">
        <f>IF(OR(E181="",E181="!!!",F181="NEW"),"",INDEX(B$2:B180,-1+SUMPRODUCT(MAX(ROW(E$2:E180)*(E181=E$2:E180)))))</f>
        <v>SBJ_2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 t="s">
        <v>425</v>
      </c>
    </row>
    <row r="182" spans="1:12" x14ac:dyDescent="0.3">
      <c r="A182" t="s">
        <v>179</v>
      </c>
      <c r="E182" s="21" t="str">
        <f t="shared" ref="E181:E194" si="21">IF(D182="?OLD","!!!","")</f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20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268</v>
      </c>
      <c r="E183" s="21" t="str">
        <f t="shared" si="21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20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269</v>
      </c>
      <c r="E184" s="21" t="str">
        <f t="shared" si="21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0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270</v>
      </c>
      <c r="B185" s="20" t="s">
        <v>152</v>
      </c>
      <c r="C185" s="20" t="s">
        <v>137</v>
      </c>
      <c r="D185" s="20" t="s">
        <v>131</v>
      </c>
      <c r="E185" s="21" t="str">
        <f t="shared" si="21"/>
        <v>!!!</v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0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156</v>
      </c>
      <c r="E186" s="21" t="str">
        <f t="shared" si="21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20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271</v>
      </c>
      <c r="B187" s="20" t="s">
        <v>152</v>
      </c>
      <c r="C187" s="20" t="s">
        <v>130</v>
      </c>
      <c r="D187" s="20" t="s">
        <v>131</v>
      </c>
      <c r="E187" s="21" t="s">
        <v>432</v>
      </c>
      <c r="F187" s="22" t="str">
        <f>IF(OR(E187="",E187="!!!"),"",IF(NOT(ISNA(VLOOKUP(E187,E$1:E186,1,FALSE()))),"OLD",IF(AND(E187&lt;&gt;"",E187&lt;&gt;"!!!"),"NEW","")))</f>
        <v>NEW</v>
      </c>
      <c r="G187" s="23" t="str">
        <f ca="1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?REFERENTIAL</v>
      </c>
      <c r="H187" s="24" t="str">
        <f t="shared" ca="1" si="20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272</v>
      </c>
      <c r="E188" s="21" t="str">
        <f t="shared" si="21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0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232</v>
      </c>
      <c r="E189" s="21" t="str">
        <f t="shared" si="21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0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236</v>
      </c>
      <c r="E190" s="21" t="str">
        <f t="shared" si="21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20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214</v>
      </c>
      <c r="E191" s="21" t="str">
        <f t="shared" si="21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20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143</v>
      </c>
      <c r="E192" s="21" t="str">
        <f t="shared" si="21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20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26</v>
      </c>
      <c r="B193" s="20" t="s">
        <v>145</v>
      </c>
      <c r="C193" s="20" t="s">
        <v>130</v>
      </c>
      <c r="D193" s="20" t="s">
        <v>131</v>
      </c>
      <c r="E193" s="21" t="s">
        <v>433</v>
      </c>
      <c r="F193" s="22" t="str">
        <f>IF(OR(E193="",E193="!!!"),"",IF(NOT(ISNA(VLOOKUP(E193,E$1:E192,1,FALSE()))),"OLD",IF(AND(E193&lt;&gt;"",E193&lt;&gt;"!!!"),"NEW","")))</f>
        <v>OLD</v>
      </c>
      <c r="G193" s="23" t="str">
        <f ca="1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?IN_FOCUS</v>
      </c>
      <c r="H193" s="24" t="str">
        <f t="shared" ca="1" si="20"/>
        <v/>
      </c>
      <c r="I193" s="25" t="str">
        <f>IF(OR(E193="",E193="!!!",F193="NEW"),"",INDEX(B$2:B192,-1+SUMPRODUCT(MAX(ROW(E$2:E192)*(E193=E$2:E192)))))</f>
        <v>other</v>
      </c>
      <c r="J193" s="25">
        <f ca="1">IF(OR(E193="",E193="!!!",F193="NEW"),"",COUNTBLANK(OFFSET(A$1,,,SUMPRODUCT(MAX(ROW(E$2:E193)*(E193=E$2:E193)))))-COUNTBLANK(OFFSET(A$1,,,SUMPRODUCT(MAX(ROW(E$1:E192)*(E2=E$1:E192))))))</f>
        <v>0</v>
      </c>
      <c r="K193" s="25" t="str">
        <f ca="1">IF(OR(E193="",E193="!!!",F193="NEW"),"",INDEX(J$1:J192,SUMPRODUCT(MAX(ROW(E$1:E192)*(E193=E$1:E192)))))</f>
        <v/>
      </c>
      <c r="L193" s="26"/>
    </row>
    <row r="194" spans="1:12" x14ac:dyDescent="0.3">
      <c r="A194" t="s">
        <v>148</v>
      </c>
      <c r="E194" s="21" t="str">
        <f t="shared" si="21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0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6" spans="1:12" x14ac:dyDescent="0.3">
      <c r="A196" t="s">
        <v>273</v>
      </c>
    </row>
    <row r="197" spans="1:12" x14ac:dyDescent="0.3">
      <c r="A197" t="s">
        <v>274</v>
      </c>
      <c r="E197" s="21" t="str">
        <f t="shared" ref="E197:E202" si="22">IF(D197="?OLD","!!!","")</f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ref="H197:H202" ca="1" si="23">IF(J197&lt;&gt;1,"",IF(I197="SBJ","CB","?"))</f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275</v>
      </c>
      <c r="B198" s="20" t="s">
        <v>129</v>
      </c>
      <c r="C198" s="20" t="s">
        <v>137</v>
      </c>
      <c r="D198" s="20" t="s">
        <v>131</v>
      </c>
      <c r="E198" s="21" t="s">
        <v>462</v>
      </c>
      <c r="F198" s="22" t="str">
        <f>IF(OR(E198="",E198="!!!"),"",IF(NOT(ISNA(VLOOKUP(E198,E$1:E197,1,FALSE()))),"OLD",IF(AND(E198&lt;&gt;"",E198&lt;&gt;"!!!"),"NEW","")))</f>
        <v>NEW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?REFERENTIAL</v>
      </c>
      <c r="H198" s="24" t="str">
        <f t="shared" ca="1" si="23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179</v>
      </c>
      <c r="E199" s="21" t="str">
        <f t="shared" si="22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23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276</v>
      </c>
      <c r="E200" s="21" t="str">
        <f t="shared" si="22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3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277</v>
      </c>
      <c r="E201" s="21" t="str">
        <f t="shared" si="22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3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148</v>
      </c>
      <c r="E202" s="21" t="str">
        <f t="shared" si="22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3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4" spans="1:12" x14ac:dyDescent="0.3">
      <c r="A204" t="s">
        <v>278</v>
      </c>
    </row>
    <row r="205" spans="1:12" x14ac:dyDescent="0.3">
      <c r="A205" t="s">
        <v>279</v>
      </c>
      <c r="E205" s="21" t="str">
        <f t="shared" ref="E205:E222" si="24">IF(D205="?OLD","!!!","")</f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ref="H205:H222" ca="1" si="25">IF(J205&lt;&gt;1,"",IF(I205="SBJ","CB","?"))</f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280</v>
      </c>
      <c r="E206" s="21" t="str">
        <f t="shared" si="24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25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281</v>
      </c>
      <c r="B207" s="20" t="s">
        <v>129</v>
      </c>
      <c r="C207" s="20" t="s">
        <v>137</v>
      </c>
      <c r="D207" s="20" t="s">
        <v>131</v>
      </c>
      <c r="E207" s="21" t="s">
        <v>463</v>
      </c>
      <c r="F207" s="22" t="str">
        <f>IF(OR(E207="",E207="!!!"),"",IF(NOT(ISNA(VLOOKUP(E207,E$1:E206,1,FALSE()))),"OLD",IF(AND(E207&lt;&gt;"",E207&lt;&gt;"!!!"),"NEW","")))</f>
        <v>NEW</v>
      </c>
      <c r="G207" s="23" t="str">
        <f ca="1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?REFERENTIAL</v>
      </c>
      <c r="H207" s="24" t="str">
        <f t="shared" ca="1" si="25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282</v>
      </c>
      <c r="E208" s="21" t="str">
        <f t="shared" si="24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5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143</v>
      </c>
      <c r="E209" s="21" t="str">
        <f t="shared" si="24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5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283</v>
      </c>
      <c r="B210" s="20" t="s">
        <v>136</v>
      </c>
      <c r="C210" s="20" t="s">
        <v>137</v>
      </c>
      <c r="D210" s="20" t="s">
        <v>131</v>
      </c>
      <c r="E210" s="21" t="s">
        <v>424</v>
      </c>
      <c r="F210" s="22" t="str">
        <f>IF(OR(E210="",E210="!!!"),"",IF(NOT(ISNA(VLOOKUP(E210,E$1:E209,1,FALSE()))),"OLD",IF(AND(E210&lt;&gt;"",E210&lt;&gt;"!!!"),"NEW","")))</f>
        <v>OLD</v>
      </c>
      <c r="G210" s="23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?IN_FOCUS</v>
      </c>
      <c r="H210" s="24" t="str">
        <f t="shared" ca="1" si="25"/>
        <v/>
      </c>
      <c r="I210" s="25">
        <f>IF(OR(E210="",E210="!!!",F210="NEW"),"",INDEX(B$2:B209,-1+SUMPRODUCT(MAX(ROW(E$2:E209)*(E210=E$2:E209)))))</f>
        <v>0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284</v>
      </c>
      <c r="E211" s="21" t="str">
        <f t="shared" si="24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5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285</v>
      </c>
      <c r="B212" s="20" t="s">
        <v>145</v>
      </c>
      <c r="C212" s="20" t="s">
        <v>130</v>
      </c>
      <c r="D212" s="20" t="s">
        <v>131</v>
      </c>
      <c r="E212" s="21" t="s">
        <v>434</v>
      </c>
      <c r="F212" s="22" t="str">
        <f>IF(OR(E212="",E212="!!!"),"",IF(NOT(ISNA(VLOOKUP(E212,E$1:E211,1,FALSE()))),"OLD",IF(AND(E212&lt;&gt;"",E212&lt;&gt;"!!!"),"NEW","")))</f>
        <v>NEW</v>
      </c>
      <c r="G212" s="23" t="str">
        <f ca="1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?REFERENTIAL</v>
      </c>
      <c r="H212" s="24" t="str">
        <f t="shared" ca="1" si="25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156</v>
      </c>
      <c r="E213" s="21" t="str">
        <f t="shared" si="24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5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143</v>
      </c>
      <c r="E214" s="21" t="str">
        <f t="shared" si="24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5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286</v>
      </c>
      <c r="B215" s="20" t="s">
        <v>152</v>
      </c>
      <c r="C215" s="20" t="s">
        <v>137</v>
      </c>
      <c r="D215" s="20" t="s">
        <v>131</v>
      </c>
      <c r="E215" s="21" t="str">
        <f t="shared" si="24"/>
        <v>!!!</v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5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287</v>
      </c>
      <c r="E216" s="21" t="str">
        <f t="shared" si="24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5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288</v>
      </c>
      <c r="E217" s="21" t="str">
        <f t="shared" si="24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5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289</v>
      </c>
      <c r="B218" s="20" t="s">
        <v>145</v>
      </c>
      <c r="C218" s="20" t="s">
        <v>155</v>
      </c>
      <c r="E218" s="21" t="str">
        <f t="shared" si="24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5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134</v>
      </c>
      <c r="E219" s="21" t="str">
        <f t="shared" si="24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5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188</v>
      </c>
      <c r="E220" s="21" t="str">
        <f t="shared" si="24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5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135</v>
      </c>
      <c r="B221" s="20" t="s">
        <v>136</v>
      </c>
      <c r="C221" s="20" t="s">
        <v>130</v>
      </c>
      <c r="D221" s="20" t="s">
        <v>131</v>
      </c>
      <c r="E221" s="21" t="s">
        <v>456</v>
      </c>
      <c r="F221" s="22" t="str">
        <f>IF(OR(E221="",E221="!!!"),"",IF(NOT(ISNA(VLOOKUP(E221,E$1:E220,1,FALSE()))),"OLD",IF(AND(E221&lt;&gt;"",E221&lt;&gt;"!!!"),"NEW","")))</f>
        <v>OLD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25"/>
        <v/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148</v>
      </c>
      <c r="E222" s="21" t="str">
        <f t="shared" si="24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5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4" spans="1:12" x14ac:dyDescent="0.3">
      <c r="A224" t="s">
        <v>290</v>
      </c>
    </row>
    <row r="225" spans="1:12" x14ac:dyDescent="0.3">
      <c r="A225" t="s">
        <v>150</v>
      </c>
      <c r="E225" s="21" t="str">
        <f t="shared" ref="E225:E233" si="26">IF(D225="?OLD","!!!","")</f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ref="H225:H233" ca="1" si="27">IF(J225&lt;&gt;1,"",IF(I225="SBJ","CB","?"))</f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291</v>
      </c>
      <c r="B226" s="20" t="s">
        <v>152</v>
      </c>
      <c r="C226" s="20" t="s">
        <v>207</v>
      </c>
      <c r="E226" s="21" t="s">
        <v>469</v>
      </c>
      <c r="F226" s="22" t="s">
        <v>468</v>
      </c>
      <c r="G226" s="23" t="e">
        <f ca="1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#VALUE!</v>
      </c>
      <c r="H226" s="24" t="str">
        <f t="shared" ca="1" si="27"/>
        <v/>
      </c>
      <c r="I226" s="25" t="e">
        <f>IF(OR(E226="",E226="!!!",F226="NEW"),"",INDEX(B$2:B225,-1+SUMPRODUCT(MAX(ROW(E$2:E225)*(E226=E$2:E225)))))</f>
        <v>#VALUE!</v>
      </c>
      <c r="J226" s="25">
        <f ca="1">IF(OR(E226="",E226="!!!",F226="NEW"),"",COUNTBLANK(OFFSET(A$1,,,SUMPRODUCT(MAX(ROW(E$2:E226)*(E226=E$2:E226)))))-COUNTBLANK(OFFSET(A$1,,,SUMPRODUCT(MAX(ROW(E$1:E225)*(E2=E$1:E225))))))</f>
        <v>0</v>
      </c>
      <c r="K226" s="25" t="e">
        <f>IF(OR(E226="",E226="!!!",F226="NEW"),"",INDEX(J$1:J225,SUMPRODUCT(MAX(ROW(E$1:E225)*(E226=E$1:E225)))))</f>
        <v>#VALUE!</v>
      </c>
      <c r="L226" s="26" t="s">
        <v>470</v>
      </c>
    </row>
    <row r="227" spans="1:12" x14ac:dyDescent="0.3">
      <c r="A227" t="s">
        <v>292</v>
      </c>
      <c r="E227" s="21" t="str">
        <f t="shared" si="2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180</v>
      </c>
      <c r="B228" s="20" t="s">
        <v>129</v>
      </c>
      <c r="C228" s="20" t="s">
        <v>181</v>
      </c>
      <c r="D228" s="20" t="s">
        <v>131</v>
      </c>
      <c r="E228" s="21"/>
      <c r="F228" s="22" t="s">
        <v>464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143</v>
      </c>
      <c r="E229" s="21" t="str">
        <f t="shared" si="2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293</v>
      </c>
      <c r="E230" s="21" t="str">
        <f t="shared" si="2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294</v>
      </c>
      <c r="B231" s="20" t="s">
        <v>136</v>
      </c>
      <c r="C231" s="20" t="s">
        <v>137</v>
      </c>
      <c r="D231" s="20" t="s">
        <v>131</v>
      </c>
      <c r="E231" s="21" t="s">
        <v>424</v>
      </c>
      <c r="F231" s="22" t="str">
        <f>IF(OR(E231="",E231="!!!"),"",IF(NOT(ISNA(VLOOKUP(E231,E$1:E230,1,FALSE()))),"OLD",IF(AND(E231&lt;&gt;"",E231&lt;&gt;"!!!"),"NEW","")))</f>
        <v>OLD</v>
      </c>
      <c r="G231" s="23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4" t="str">
        <f t="shared" ca="1" si="27"/>
        <v/>
      </c>
      <c r="I231" s="25" t="str">
        <f>IF(OR(E231="",E231="!!!",F231="NEW"),"",INDEX(B$2:B230,-1+SUMPRODUCT(MAX(ROW(E$2:E230)*(E231=E$2:E230)))))</f>
        <v>OBJ</v>
      </c>
      <c r="J231" s="25">
        <f ca="1">IF(OR(E231="",E231="!!!",F231="NEW"),"",COUNTBLANK(OFFSET(A$1,,,SUMPRODUCT(MAX(ROW(E$2:E231)*(E231=E$2:E231)))))-COUNTBLANK(OFFSET(A$1,,,SUMPRODUCT(MAX(ROW(E$1:E230)*(E2=E$1:E230))))))</f>
        <v>0</v>
      </c>
      <c r="K231" s="25">
        <f ca="1">IF(OR(E231="",E231="!!!",F231="NEW"),"",INDEX(J$1:J230,SUMPRODUCT(MAX(ROW(E$1:E230)*(E231=E$1:E230)))))</f>
        <v>0</v>
      </c>
      <c r="L231" s="26"/>
    </row>
    <row r="232" spans="1:12" x14ac:dyDescent="0.3">
      <c r="A232" t="s">
        <v>264</v>
      </c>
      <c r="E232" s="21" t="str">
        <f t="shared" si="2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148</v>
      </c>
      <c r="E233" s="21" t="str">
        <f t="shared" si="2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5" spans="1:12" x14ac:dyDescent="0.3">
      <c r="A235" t="s">
        <v>295</v>
      </c>
    </row>
    <row r="236" spans="1:12" x14ac:dyDescent="0.3">
      <c r="A236" t="s">
        <v>65</v>
      </c>
      <c r="B236" s="20" t="s">
        <v>152</v>
      </c>
      <c r="C236" s="20" t="s">
        <v>130</v>
      </c>
      <c r="D236" s="20" t="s">
        <v>131</v>
      </c>
      <c r="E236" s="21" t="s">
        <v>465</v>
      </c>
      <c r="F236" s="22" t="str">
        <f>IF(OR(E236="",E236="!!!"),"",IF(NOT(ISNA(VLOOKUP(E236,E$1:E235,1,FALSE()))),"OLD",IF(AND(E236&lt;&gt;"",E236&lt;&gt;"!!!"),"NEW","")))</f>
        <v>NEW</v>
      </c>
      <c r="G236" s="23" t="str">
        <f ca="1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?REFERENTIAL</v>
      </c>
      <c r="H236" s="24" t="str">
        <f t="shared" ref="H236:H249" ca="1" si="28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198</v>
      </c>
      <c r="E237" s="21" t="str">
        <f t="shared" ref="E236:E249" si="29">IF(D237="?OLD","!!!","")</f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8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296</v>
      </c>
      <c r="B238" s="20" t="s">
        <v>152</v>
      </c>
      <c r="C238" s="20" t="s">
        <v>130</v>
      </c>
      <c r="D238" s="20" t="s">
        <v>131</v>
      </c>
      <c r="E238" s="21" t="s">
        <v>466</v>
      </c>
      <c r="F238" s="22" t="str">
        <f>IF(OR(E238="",E238="!!!"),"",IF(NOT(ISNA(VLOOKUP(E238,E$1:E237,1,FALSE()))),"OLD",IF(AND(E238&lt;&gt;"",E238&lt;&gt;"!!!"),"NEW","")))</f>
        <v>NEW</v>
      </c>
      <c r="G238" s="23" t="str">
        <f ca="1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?REFERENTIAL</v>
      </c>
      <c r="H238" s="24" t="str">
        <f t="shared" ca="1" si="28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297</v>
      </c>
      <c r="E239" s="21" t="str">
        <f t="shared" si="29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8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198</v>
      </c>
      <c r="E240" s="21" t="str">
        <f t="shared" si="29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8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298</v>
      </c>
      <c r="B241" s="20" t="s">
        <v>152</v>
      </c>
      <c r="C241" s="20" t="s">
        <v>130</v>
      </c>
      <c r="D241" s="20" t="s">
        <v>131</v>
      </c>
      <c r="E241" s="21" t="s">
        <v>467</v>
      </c>
      <c r="F241" s="22" t="str">
        <f>IF(OR(E241="",E241="!!!"),"",IF(NOT(ISNA(VLOOKUP(E241,E$1:E240,1,FALSE()))),"OLD",IF(AND(E241&lt;&gt;"",E241&lt;&gt;"!!!"),"NEW","")))</f>
        <v>NEW</v>
      </c>
      <c r="G241" s="23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?REFERENTIAL</v>
      </c>
      <c r="H241" s="24" t="str">
        <f t="shared" ca="1" si="28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12</v>
      </c>
      <c r="E242" s="21" t="str">
        <f t="shared" si="29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8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299</v>
      </c>
      <c r="E243" s="21" t="str">
        <f t="shared" si="29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8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12</v>
      </c>
      <c r="E244" s="21" t="str">
        <f t="shared" si="29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8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300</v>
      </c>
      <c r="E245" s="21" t="str">
        <f t="shared" si="29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8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301</v>
      </c>
      <c r="E246" s="21" t="str">
        <f t="shared" si="29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8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302</v>
      </c>
      <c r="E247" s="21" t="str">
        <f t="shared" si="29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8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303</v>
      </c>
      <c r="E248" s="21" t="str">
        <f t="shared" si="29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8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304</v>
      </c>
      <c r="E249" s="21" t="str">
        <f t="shared" si="29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8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1" spans="1:12" x14ac:dyDescent="0.3">
      <c r="A251" t="s">
        <v>305</v>
      </c>
    </row>
    <row r="252" spans="1:12" x14ac:dyDescent="0.3">
      <c r="A252" t="s">
        <v>306</v>
      </c>
      <c r="E252" s="21" t="str">
        <f t="shared" ref="E252:E260" si="30">IF(D252="?OLD","!!!","")</f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ref="H252:H260" ca="1" si="31">IF(J252&lt;&gt;1,"",IF(I252="SBJ","CB","?"))</f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134</v>
      </c>
      <c r="E253" s="21" t="str">
        <f t="shared" si="3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307</v>
      </c>
      <c r="E254" s="21" t="str">
        <f t="shared" si="30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3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308</v>
      </c>
      <c r="B255" s="20" t="s">
        <v>129</v>
      </c>
      <c r="C255" s="20" t="s">
        <v>137</v>
      </c>
      <c r="D255" s="20" t="s">
        <v>131</v>
      </c>
      <c r="E255" s="21" t="s">
        <v>435</v>
      </c>
      <c r="F255" s="22" t="str">
        <f>IF(OR(E255="",E255="!!!"),"",IF(NOT(ISNA(VLOOKUP(E255,E$1:E254,1,FALSE()))),"OLD",IF(AND(E255&lt;&gt;"",E255&lt;&gt;"!!!"),"NEW","")))</f>
        <v>NEW</v>
      </c>
      <c r="G255" s="23" t="str">
        <f ca="1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?REFERENTIAL</v>
      </c>
      <c r="H255" s="24" t="str">
        <f t="shared" ca="1" si="3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309</v>
      </c>
      <c r="E256" s="21" t="str">
        <f t="shared" si="3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3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310</v>
      </c>
      <c r="B257" s="20" t="s">
        <v>136</v>
      </c>
      <c r="C257" s="20" t="s">
        <v>181</v>
      </c>
      <c r="D257" s="20" t="s">
        <v>131</v>
      </c>
      <c r="E257" s="21" t="s">
        <v>424</v>
      </c>
      <c r="F257" s="22" t="str">
        <f>IF(OR(E257="",E257="!!!"),"",IF(NOT(ISNA(VLOOKUP(E257,E$1:E256,1,FALSE()))),"OLD",IF(AND(E257&lt;&gt;"",E257&lt;&gt;"!!!"),"NEW","")))</f>
        <v>OLD</v>
      </c>
      <c r="G257" s="23" t="str">
        <f ca="1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?IN_FOCUS</v>
      </c>
      <c r="H257" s="24" t="str">
        <f t="shared" ca="1" si="31"/>
        <v/>
      </c>
      <c r="I257" s="25" t="str">
        <f>IF(OR(E257="",E257="!!!",F257="NEW"),"",INDEX(B$2:B256,-1+SUMPRODUCT(MAX(ROW(E$2:E256)*(E257=E$2:E256)))))</f>
        <v>OBJ</v>
      </c>
      <c r="J257" s="25">
        <f ca="1">IF(OR(E257="",E257="!!!",F257="NEW"),"",COUNTBLANK(OFFSET(A$1,,,SUMPRODUCT(MAX(ROW(E$2:E257)*(E257=E$2:E257)))))-COUNTBLANK(OFFSET(A$1,,,SUMPRODUCT(MAX(ROW(E$1:E256)*(E2=E$1:E256))))))</f>
        <v>0</v>
      </c>
      <c r="K257" s="25">
        <f ca="1">IF(OR(E257="",E257="!!!",F257="NEW"),"",INDEX(J$1:J256,SUMPRODUCT(MAX(ROW(E$1:E256)*(E257=E$1:E256)))))</f>
        <v>0</v>
      </c>
      <c r="L257" s="26"/>
    </row>
    <row r="258" spans="1:12" x14ac:dyDescent="0.3">
      <c r="A258" t="s">
        <v>237</v>
      </c>
      <c r="E258" s="21" t="str">
        <f t="shared" si="30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1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311</v>
      </c>
      <c r="E259" s="21" t="str">
        <f t="shared" si="30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1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148</v>
      </c>
      <c r="E260" s="21" t="str">
        <f t="shared" si="30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1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2" spans="1:12" x14ac:dyDescent="0.3">
      <c r="A262" t="s">
        <v>312</v>
      </c>
    </row>
    <row r="263" spans="1:12" x14ac:dyDescent="0.3">
      <c r="A263" t="s">
        <v>132</v>
      </c>
      <c r="B263" s="20" t="s">
        <v>129</v>
      </c>
      <c r="C263" s="20" t="s">
        <v>207</v>
      </c>
      <c r="E263" s="21" t="s">
        <v>424</v>
      </c>
      <c r="F263" s="22" t="str">
        <f>IF(OR(E263="",E263="!!!"),"",IF(NOT(ISNA(VLOOKUP(E263,E$1:E262,1,FALSE()))),"OLD",IF(AND(E263&lt;&gt;"",E263&lt;&gt;"!!!"),"NEW","")))</f>
        <v>OLD</v>
      </c>
      <c r="G263" s="23" t="str">
        <f ca="1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?IN_FOCUS</v>
      </c>
      <c r="H263" s="24" t="str">
        <f ca="1">IF(J263&lt;&gt;1,"",IF(I263="SBJ","CB","?"))</f>
        <v/>
      </c>
      <c r="I263" s="25" t="str">
        <f>IF(OR(E263="",E263="!!!",F263="NEW"),"",INDEX(B$2:B262,-1+SUMPRODUCT(MAX(ROW(E$2:E262)*(E263=E$2:E262)))))</f>
        <v>OBJ</v>
      </c>
      <c r="J263" s="25">
        <f ca="1">IF(OR(E263="",E263="!!!",F263="NEW"),"",COUNTBLANK(OFFSET(A$1,,,SUMPRODUCT(MAX(ROW(E$2:E263)*(E263=E$2:E263)))))-COUNTBLANK(OFFSET(A$1,,,SUMPRODUCT(MAX(ROW(E$1:E262)*(E2=E$1:E262))))))</f>
        <v>0</v>
      </c>
      <c r="K263" s="25">
        <f ca="1">IF(OR(E263="",E263="!!!",F263="NEW"),"",INDEX(J$1:J262,SUMPRODUCT(MAX(ROW(E$1:E262)*(E263=E$1:E262)))))</f>
        <v>0</v>
      </c>
      <c r="L263" s="26"/>
    </row>
    <row r="264" spans="1:12" x14ac:dyDescent="0.3">
      <c r="A264" t="s">
        <v>313</v>
      </c>
      <c r="E264" s="21" t="str">
        <f>IF(D264="?OLD","!!!","")</f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ca="1">IF(J264&lt;&gt;1,"",IF(I264="SBJ","CB","?"))</f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248</v>
      </c>
      <c r="E265" s="21" t="str">
        <f>IF(D265="?OLD","!!!","")</f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ca="1">IF(J265&lt;&gt;1,"",IF(I265="SBJ","CB","?"))</f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72</v>
      </c>
      <c r="E266" s="21" t="str">
        <f>IF(D266="?OLD","!!!","")</f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ca="1">IF(J266&lt;&gt;1,"",IF(I266="SBJ","CB","?"))</f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148</v>
      </c>
      <c r="E267" s="21" t="str">
        <f>IF(D267="?OLD","!!!","")</f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ca="1">IF(J267&lt;&gt;1,"",IF(I267="SBJ","CB","?"))</f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9" spans="1:12" x14ac:dyDescent="0.3">
      <c r="A269" t="s">
        <v>314</v>
      </c>
    </row>
    <row r="270" spans="1:12" x14ac:dyDescent="0.3">
      <c r="A270" t="s">
        <v>77</v>
      </c>
      <c r="B270" s="20" t="s">
        <v>152</v>
      </c>
      <c r="C270" s="20" t="s">
        <v>207</v>
      </c>
      <c r="E270" s="21" t="str">
        <f>IF(D270="?OLD","!!!","")</f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ca="1">IF(J270&lt;&gt;1,"",IF(I270="SBJ","CB","?"))</f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248</v>
      </c>
      <c r="E271" s="21" t="str">
        <f>IF(D271="?OLD","!!!","")</f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ca="1">IF(J271&lt;&gt;1,"",IF(I271="SBJ","CB","?"))</f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135</v>
      </c>
      <c r="B272" s="20" t="s">
        <v>152</v>
      </c>
      <c r="C272" s="20" t="s">
        <v>137</v>
      </c>
      <c r="D272" s="20" t="s">
        <v>131</v>
      </c>
      <c r="E272" s="21" t="s">
        <v>456</v>
      </c>
      <c r="F272" s="22" t="str">
        <f>IF(OR(E272="",E272="!!!"),"",IF(NOT(ISNA(VLOOKUP(E272,E$1:E271,1,FALSE()))),"OLD",IF(AND(E272&lt;&gt;"",E272&lt;&gt;"!!!"),"NEW","")))</f>
        <v>OLD</v>
      </c>
      <c r="G272" s="23" t="str">
        <f ca="1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?IN_FOCUS</v>
      </c>
      <c r="H272" s="24" t="str">
        <f ca="1">IF(J272&lt;&gt;1,"",IF(I272="SBJ","CB","?"))</f>
        <v/>
      </c>
      <c r="I272" s="25" t="str">
        <f>IF(OR(E272="",E272="!!!",F272="NEW"),"",INDEX(B$2:B271,-1+SUMPRODUCT(MAX(ROW(E$2:E271)*(E272=E$2:E271)))))</f>
        <v>OBJ</v>
      </c>
      <c r="J272" s="25">
        <f ca="1">IF(OR(E272="",E272="!!!",F272="NEW"),"",COUNTBLANK(OFFSET(A$1,,,SUMPRODUCT(MAX(ROW(E$2:E272)*(E272=E$2:E272)))))-COUNTBLANK(OFFSET(A$1,,,SUMPRODUCT(MAX(ROW(E$1:E271)*(E2=E$1:E271))))))</f>
        <v>0</v>
      </c>
      <c r="K272" s="25">
        <f ca="1">IF(OR(E272="",E272="!!!",F272="NEW"),"",INDEX(J$1:J271,SUMPRODUCT(MAX(ROW(E$1:E271)*(E272=E$1:E271)))))</f>
        <v>0</v>
      </c>
      <c r="L272" s="26"/>
    </row>
    <row r="273" spans="1:12" x14ac:dyDescent="0.3">
      <c r="A273" t="s">
        <v>148</v>
      </c>
      <c r="E273" s="21" t="str">
        <f>IF(D273="?OLD","!!!","")</f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ca="1">IF(J273&lt;&gt;1,"",IF(I273="SBJ","CB","?"))</f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5" spans="1:12" x14ac:dyDescent="0.3">
      <c r="A275" t="s">
        <v>315</v>
      </c>
    </row>
    <row r="276" spans="1:12" x14ac:dyDescent="0.3">
      <c r="A276" t="s">
        <v>316</v>
      </c>
      <c r="E276" s="21" t="str">
        <f t="shared" ref="E276:E289" si="32">IF(D276="?OLD","!!!","")</f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ref="H276:H289" ca="1" si="33">IF(J276&lt;&gt;1,"",IF(I276="SBJ","CB","?"))</f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271</v>
      </c>
      <c r="B277" s="20" t="s">
        <v>152</v>
      </c>
      <c r="C277" s="20" t="s">
        <v>130</v>
      </c>
      <c r="D277" s="20" t="s">
        <v>131</v>
      </c>
      <c r="E277" s="21" t="s">
        <v>432</v>
      </c>
      <c r="F277" s="22" t="str">
        <f>IF(OR(E277="",E277="!!!"),"",IF(NOT(ISNA(VLOOKUP(E277,E$1:E276,1,FALSE()))),"OLD",IF(AND(E277&lt;&gt;"",E277&lt;&gt;"!!!"),"NEW","")))</f>
        <v>OLD</v>
      </c>
      <c r="G277" s="23" t="str">
        <f ca="1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?IN_FOCUS</v>
      </c>
      <c r="H277" s="24" t="str">
        <f t="shared" ca="1" si="33"/>
        <v/>
      </c>
      <c r="I277" s="25" t="str">
        <f>IF(OR(E277="",E277="!!!",F277="NEW"),"",INDEX(B$2:B276,-1+SUMPRODUCT(MAX(ROW(E$2:E276)*(E277=E$2:E276)))))</f>
        <v>other</v>
      </c>
      <c r="J277" s="25">
        <f ca="1">IF(OR(E277="",E277="!!!",F277="NEW"),"",COUNTBLANK(OFFSET(A$1,,,SUMPRODUCT(MAX(ROW(E$2:E277)*(E277=E$2:E277)))))-COUNTBLANK(OFFSET(A$1,,,SUMPRODUCT(MAX(ROW(E$1:E276)*(E2=E$1:E276))))))</f>
        <v>0</v>
      </c>
      <c r="K277" s="25" t="str">
        <f ca="1">IF(OR(E277="",E277="!!!",F277="NEW"),"",INDEX(J$1:J276,SUMPRODUCT(MAX(ROW(E$1:E276)*(E277=E$1:E276)))))</f>
        <v/>
      </c>
      <c r="L277" s="26"/>
    </row>
    <row r="278" spans="1:12" x14ac:dyDescent="0.3">
      <c r="A278" t="s">
        <v>317</v>
      </c>
      <c r="E278" s="21" t="str">
        <f t="shared" si="3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3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263</v>
      </c>
      <c r="B279" s="20" t="s">
        <v>129</v>
      </c>
      <c r="C279" s="20" t="s">
        <v>181</v>
      </c>
      <c r="D279" s="20" t="s">
        <v>131</v>
      </c>
      <c r="E279" s="21" t="s">
        <v>424</v>
      </c>
      <c r="F279" s="22" t="str">
        <f>IF(OR(E279="",E279="!!!"),"",IF(NOT(ISNA(VLOOKUP(E279,E$1:E278,1,FALSE()))),"OLD",IF(AND(E279&lt;&gt;"",E279&lt;&gt;"!!!"),"NEW","")))</f>
        <v>OLD</v>
      </c>
      <c r="G279" s="23" t="str">
        <f ca="1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?IN_FOCUS</v>
      </c>
      <c r="H279" s="24" t="str">
        <f t="shared" ca="1" si="33"/>
        <v/>
      </c>
      <c r="I279" s="25" t="str">
        <f>IF(OR(E279="",E279="!!!",F279="NEW"),"",INDEX(B$2:B278,-1+SUMPRODUCT(MAX(ROW(E$2:E278)*(E279=E$2:E278)))))</f>
        <v>SBJ</v>
      </c>
      <c r="J279" s="25">
        <f ca="1">IF(OR(E279="",E279="!!!",F279="NEW"),"",COUNTBLANK(OFFSET(A$1,,,SUMPRODUCT(MAX(ROW(E$2:E279)*(E279=E$2:E279)))))-COUNTBLANK(OFFSET(A$1,,,SUMPRODUCT(MAX(ROW(E$1:E278)*(E2=E$1:E278))))))</f>
        <v>0</v>
      </c>
      <c r="K279" s="25">
        <f ca="1">IF(OR(E279="",E279="!!!",F279="NEW"),"",INDEX(J$1:J278,SUMPRODUCT(MAX(ROW(E$1:E278)*(E279=E$1:E278)))))</f>
        <v>0</v>
      </c>
      <c r="L279" s="26"/>
    </row>
    <row r="280" spans="1:12" x14ac:dyDescent="0.3">
      <c r="A280" t="s">
        <v>171</v>
      </c>
      <c r="E280" s="21" t="str">
        <f t="shared" si="3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3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143</v>
      </c>
      <c r="E281" s="21" t="str">
        <f t="shared" si="32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3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240</v>
      </c>
      <c r="B282" s="20" t="s">
        <v>152</v>
      </c>
      <c r="C282" s="20" t="s">
        <v>130</v>
      </c>
      <c r="D282" s="20" t="s">
        <v>131</v>
      </c>
      <c r="E282" s="21" t="s">
        <v>471</v>
      </c>
      <c r="F282" s="22" t="s">
        <v>472</v>
      </c>
      <c r="G282" s="23" t="str">
        <f ca="1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?IN_FOCUS</v>
      </c>
      <c r="H282" s="24" t="str">
        <f t="shared" ca="1" si="33"/>
        <v/>
      </c>
      <c r="I282" s="25" t="str">
        <f>IF(OR(E282="",E282="!!!",F282="NEW"),"",INDEX(B$2:B281,-1+SUMPRODUCT(MAX(ROW(E$2:E281)*(E282=E$2:E281)))))</f>
        <v>other</v>
      </c>
      <c r="J282" s="25">
        <f ca="1">IF(OR(E282="",E282="!!!",F282="NEW"),"",COUNTBLANK(OFFSET(A$1,,,SUMPRODUCT(MAX(ROW(E$2:E282)*(E282=E$2:E282)))))-COUNTBLANK(OFFSET(A$1,,,SUMPRODUCT(MAX(ROW(E$1:E281)*(E2=E$1:E281))))))</f>
        <v>0</v>
      </c>
      <c r="K282" s="25">
        <f ca="1">IF(OR(E282="",E282="!!!",F282="NEW"),"",INDEX(J$1:J281,SUMPRODUCT(MAX(ROW(E$1:E281)*(E282=E$1:E281)))))</f>
        <v>0</v>
      </c>
      <c r="L282" s="26"/>
    </row>
    <row r="283" spans="1:12" x14ac:dyDescent="0.3">
      <c r="A283" t="s">
        <v>175</v>
      </c>
      <c r="E283" s="21" t="str">
        <f t="shared" si="32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318</v>
      </c>
      <c r="E284" s="21" t="str">
        <f t="shared" si="32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77</v>
      </c>
      <c r="B285" s="20" t="s">
        <v>136</v>
      </c>
      <c r="C285" s="20" t="s">
        <v>137</v>
      </c>
      <c r="D285" s="20" t="s">
        <v>131</v>
      </c>
      <c r="E285" s="21" t="s">
        <v>436</v>
      </c>
      <c r="F285" s="22" t="str">
        <f>IF(OR(E285="",E285="!!!"),"",IF(NOT(ISNA(VLOOKUP(E285,E$1:E284,1,FALSE()))),"OLD",IF(AND(E285&lt;&gt;"",E285&lt;&gt;"!!!"),"NEW","")))</f>
        <v>NEW</v>
      </c>
      <c r="G285" s="23" t="str">
        <f ca="1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?REFERENTIAL</v>
      </c>
      <c r="H285" s="24" t="str">
        <f t="shared" ca="1" si="3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 t="s">
        <v>444</v>
      </c>
    </row>
    <row r="286" spans="1:12" x14ac:dyDescent="0.3">
      <c r="A286" t="s">
        <v>319</v>
      </c>
      <c r="B286" s="20" t="s">
        <v>145</v>
      </c>
      <c r="C286" s="20" t="s">
        <v>130</v>
      </c>
      <c r="D286" s="20" t="s">
        <v>131</v>
      </c>
      <c r="E286" s="21"/>
      <c r="F286" s="22" t="s">
        <v>437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 t="s">
        <v>443</v>
      </c>
    </row>
    <row r="287" spans="1:12" x14ac:dyDescent="0.3">
      <c r="A287" t="s">
        <v>320</v>
      </c>
      <c r="E287" s="21" t="str">
        <f t="shared" si="3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321</v>
      </c>
      <c r="E288" s="21" t="str">
        <f t="shared" si="3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148</v>
      </c>
      <c r="E289" s="21" t="str">
        <f t="shared" si="3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1" spans="1:12" x14ac:dyDescent="0.3">
      <c r="A291" t="s">
        <v>184</v>
      </c>
      <c r="E291" s="21" t="str">
        <f>IF(D291="?OLD","!!!","")</f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ca="1">IF(J291&lt;&gt;1,"",IF(I291="SBJ","CB","?"))</f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322</v>
      </c>
    </row>
    <row r="293" spans="1:12" x14ac:dyDescent="0.3">
      <c r="A293" t="s">
        <v>187</v>
      </c>
      <c r="E293" s="21" t="str">
        <f t="shared" ref="E293:E322" si="34">IF(D293="?OLD","!!!","")</f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ref="H293:H322" ca="1" si="35">IF(J293&lt;&gt;1,"",IF(I293="SBJ","CB","?"))</f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323</v>
      </c>
      <c r="B294" s="20" t="s">
        <v>158</v>
      </c>
      <c r="C294" s="20" t="s">
        <v>216</v>
      </c>
      <c r="D294" s="20" t="s">
        <v>131</v>
      </c>
      <c r="E294" s="21"/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5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 t="s">
        <v>455</v>
      </c>
    </row>
    <row r="295" spans="1:12" x14ac:dyDescent="0.3">
      <c r="A295" t="s">
        <v>324</v>
      </c>
      <c r="B295" s="20" t="s">
        <v>200</v>
      </c>
      <c r="C295" s="20" t="s">
        <v>218</v>
      </c>
      <c r="D295" s="20" t="s">
        <v>131</v>
      </c>
      <c r="E295" s="21" t="s">
        <v>456</v>
      </c>
      <c r="F295" s="22" t="str">
        <f>IF(OR(E295="",E295="!!!"),"",IF(NOT(ISNA(VLOOKUP(E295,E$1:E294,1,FALSE()))),"OLD",IF(AND(E295&lt;&gt;"",E295&lt;&gt;"!!!"),"NEW","")))</f>
        <v>OLD</v>
      </c>
      <c r="G295" s="23" t="str">
        <f ca="1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?IN_FOCUS</v>
      </c>
      <c r="H295" s="24" t="str">
        <f t="shared" ca="1" si="35"/>
        <v/>
      </c>
      <c r="I295" s="25" t="str">
        <f>IF(OR(E295="",E295="!!!",F295="NEW"),"",INDEX(B$2:B294,-1+SUMPRODUCT(MAX(ROW(E$2:E294)*(E295=E$2:E294)))))</f>
        <v>other</v>
      </c>
      <c r="J295" s="25">
        <f ca="1">IF(OR(E295="",E295="!!!",F295="NEW"),"",COUNTBLANK(OFFSET(A$1,,,SUMPRODUCT(MAX(ROW(E$2:E295)*(E295=E$2:E295)))))-COUNTBLANK(OFFSET(A$1,,,SUMPRODUCT(MAX(ROW(E$1:E294)*(E2=E$1:E294))))))</f>
        <v>0</v>
      </c>
      <c r="K295" s="25">
        <f ca="1">IF(OR(E295="",E295="!!!",F295="NEW"),"",INDEX(J$1:J294,SUMPRODUCT(MAX(ROW(E$1:E294)*(E295=E$1:E294)))))</f>
        <v>0</v>
      </c>
      <c r="L295" s="26"/>
    </row>
    <row r="296" spans="1:12" x14ac:dyDescent="0.3">
      <c r="A296" t="s">
        <v>325</v>
      </c>
      <c r="E296" s="21" t="str">
        <f t="shared" si="34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5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326</v>
      </c>
      <c r="B297" s="20" t="s">
        <v>222</v>
      </c>
      <c r="C297" s="20" t="s">
        <v>181</v>
      </c>
      <c r="D297" s="20" t="s">
        <v>131</v>
      </c>
      <c r="E297" s="21" t="s">
        <v>424</v>
      </c>
      <c r="F297" s="22" t="str">
        <f>IF(OR(E297="",E297="!!!"),"",IF(NOT(ISNA(VLOOKUP(E297,E$1:E296,1,FALSE()))),"OLD",IF(AND(E297&lt;&gt;"",E297&lt;&gt;"!!!"),"NEW","")))</f>
        <v>OLD</v>
      </c>
      <c r="G297" s="23" t="str">
        <f ca="1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?IN_FOCUS</v>
      </c>
      <c r="H297" s="24" t="str">
        <f t="shared" ca="1" si="35"/>
        <v/>
      </c>
      <c r="I297" s="25" t="str">
        <f>IF(OR(E297="",E297="!!!",F297="NEW"),"",INDEX(B$2:B296,-1+SUMPRODUCT(MAX(ROW(E$2:E296)*(E297=E$2:E296)))))</f>
        <v>SBJ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>
        <f ca="1">IF(OR(E297="",E297="!!!",F297="NEW"),"",INDEX(J$1:J296,SUMPRODUCT(MAX(ROW(E$1:E296)*(E297=E$1:E296)))))</f>
        <v>0</v>
      </c>
      <c r="L297" s="26"/>
    </row>
    <row r="298" spans="1:12" x14ac:dyDescent="0.3">
      <c r="A298" t="s">
        <v>327</v>
      </c>
      <c r="E298" s="21" t="str">
        <f t="shared" si="34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35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328</v>
      </c>
      <c r="B299" s="20" t="s">
        <v>222</v>
      </c>
      <c r="C299" s="20" t="s">
        <v>163</v>
      </c>
      <c r="E299" s="21" t="str">
        <f t="shared" si="34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5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187</v>
      </c>
      <c r="E300" s="21" t="str">
        <f t="shared" si="34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5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198</v>
      </c>
      <c r="E301" s="21" t="str">
        <f t="shared" si="34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5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229</v>
      </c>
      <c r="E302" s="21" t="str">
        <f t="shared" si="3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132</v>
      </c>
      <c r="B303" s="20" t="s">
        <v>129</v>
      </c>
      <c r="C303" s="20" t="s">
        <v>207</v>
      </c>
      <c r="E303" s="21" t="s">
        <v>424</v>
      </c>
      <c r="F303" s="22" t="str">
        <f>IF(OR(E303="",E303="!!!"),"",IF(NOT(ISNA(VLOOKUP(E303,E$1:E302,1,FALSE()))),"OLD",IF(AND(E303&lt;&gt;"",E303&lt;&gt;"!!!"),"NEW","")))</f>
        <v>OLD</v>
      </c>
      <c r="G303" s="23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24" t="str">
        <f t="shared" ca="1" si="35"/>
        <v/>
      </c>
      <c r="I303" s="25" t="str">
        <f>IF(OR(E303="",E303="!!!",F303="NEW"),"",INDEX(B$2:B302,-1+SUMPRODUCT(MAX(ROW(E$2:E302)*(E303=E$2:E302)))))</f>
        <v>OBJ_2</v>
      </c>
      <c r="J303" s="25">
        <f ca="1">IF(OR(E303="",E303="!!!",F303="NEW"),"",COUNTBLANK(OFFSET(A$1,,,SUMPRODUCT(MAX(ROW(E$2:E303)*(E303=E$2:E303)))))-COUNTBLANK(OFFSET(A$1,,,SUMPRODUCT(MAX(ROW(E$1:E302)*(E2=E$1:E302))))))</f>
        <v>0</v>
      </c>
      <c r="K303" s="25">
        <f ca="1">IF(OR(E303="",E303="!!!",F303="NEW"),"",INDEX(J$1:J302,SUMPRODUCT(MAX(ROW(E$1:E302)*(E303=E$1:E302)))))</f>
        <v>0</v>
      </c>
      <c r="L303" s="26" t="s">
        <v>425</v>
      </c>
    </row>
    <row r="304" spans="1:12" x14ac:dyDescent="0.3">
      <c r="A304" t="s">
        <v>198</v>
      </c>
      <c r="E304" s="21" t="str">
        <f t="shared" si="3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187</v>
      </c>
      <c r="E305" s="21" t="str">
        <f t="shared" si="3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329</v>
      </c>
      <c r="E306" s="21" t="str">
        <f t="shared" si="3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199</v>
      </c>
      <c r="B307" s="20" t="s">
        <v>330</v>
      </c>
      <c r="C307" s="20" t="s">
        <v>201</v>
      </c>
      <c r="D307" s="20" t="s">
        <v>131</v>
      </c>
      <c r="E307" s="21" t="s">
        <v>456</v>
      </c>
      <c r="F307" s="22" t="str">
        <f>IF(OR(E307="",E307="!!!"),"",IF(NOT(ISNA(VLOOKUP(E307,E$1:E306,1,FALSE()))),"OLD",IF(AND(E307&lt;&gt;"",E307&lt;&gt;"!!!"),"NEW","")))</f>
        <v>OLD</v>
      </c>
      <c r="G307" s="23" t="str">
        <f ca="1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?IN_FOCUS</v>
      </c>
      <c r="H307" s="24" t="str">
        <f t="shared" ca="1" si="35"/>
        <v/>
      </c>
      <c r="I307" s="25" t="str">
        <f>IF(OR(E307="",E307="!!!",F307="NEW"),"",INDEX(B$2:B306,-1+SUMPRODUCT(MAX(ROW(E$2:E306)*(E307=E$2:E306)))))</f>
        <v>SBJ_2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331</v>
      </c>
      <c r="E308" s="21" t="str">
        <f t="shared" si="3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264</v>
      </c>
      <c r="E309" s="21" t="str">
        <f t="shared" si="3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332</v>
      </c>
      <c r="E310" s="21" t="str">
        <f t="shared" si="3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189</v>
      </c>
      <c r="E311" s="21" t="str">
        <f t="shared" si="3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333</v>
      </c>
      <c r="E312" s="21" t="str">
        <f t="shared" si="3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334</v>
      </c>
      <c r="B313" s="20" t="s">
        <v>145</v>
      </c>
      <c r="C313" s="20" t="s">
        <v>207</v>
      </c>
      <c r="E313" s="21" t="str">
        <f t="shared" si="3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198</v>
      </c>
      <c r="E314" s="21" t="str">
        <f t="shared" si="3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335</v>
      </c>
      <c r="E315" s="21" t="str">
        <f t="shared" si="3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236</v>
      </c>
      <c r="E316" s="21" t="str">
        <f t="shared" si="3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189</v>
      </c>
      <c r="E317" s="21" t="str">
        <f t="shared" si="3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336</v>
      </c>
      <c r="E318" s="21" t="str">
        <f t="shared" si="3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337</v>
      </c>
      <c r="B319" s="20" t="s">
        <v>211</v>
      </c>
      <c r="C319" s="20" t="s">
        <v>207</v>
      </c>
      <c r="E319" s="21" t="str">
        <f t="shared" si="3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3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338</v>
      </c>
      <c r="E320" s="21" t="str">
        <f t="shared" si="3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3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187</v>
      </c>
      <c r="E321" s="21" t="str">
        <f t="shared" si="34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148</v>
      </c>
      <c r="E322" s="21" t="str">
        <f t="shared" si="34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4" spans="1:12" x14ac:dyDescent="0.3">
      <c r="A324" t="s">
        <v>339</v>
      </c>
    </row>
    <row r="325" spans="1:12" x14ac:dyDescent="0.3">
      <c r="A325" t="s">
        <v>340</v>
      </c>
      <c r="E325" s="21" t="str">
        <f t="shared" ref="E325:E331" si="36">IF(D325="?OLD","!!!","")</f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ref="H325:H331" ca="1" si="37">IF(J325&lt;&gt;1,"",IF(I325="SBJ","CB","?"))</f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341</v>
      </c>
      <c r="B326" s="20" t="s">
        <v>152</v>
      </c>
      <c r="C326" s="20" t="s">
        <v>207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342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132</v>
      </c>
      <c r="B328" s="20" t="s">
        <v>129</v>
      </c>
      <c r="C328" s="20" t="s">
        <v>130</v>
      </c>
      <c r="D328" s="20" t="s">
        <v>131</v>
      </c>
      <c r="E328" s="21" t="s">
        <v>424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37"/>
        <v/>
      </c>
      <c r="I328" s="25" t="str">
        <f>IF(OR(E328="",E328="!!!",F328="NEW"),"",INDEX(B$2:B327,-1+SUMPRODUCT(MAX(ROW(E$2:E327)*(E328=E$2:E327)))))</f>
        <v>SBJ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175</v>
      </c>
      <c r="E329" s="21" t="str">
        <f t="shared" si="3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343</v>
      </c>
      <c r="B330" s="20" t="s">
        <v>136</v>
      </c>
      <c r="C330" s="20" t="s">
        <v>137</v>
      </c>
      <c r="D330" s="20" t="s">
        <v>131</v>
      </c>
      <c r="E330" s="21"/>
      <c r="F330" s="22" t="s">
        <v>426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148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3" spans="1:12" x14ac:dyDescent="0.3">
      <c r="A333" t="s">
        <v>344</v>
      </c>
    </row>
    <row r="334" spans="1:12" x14ac:dyDescent="0.3">
      <c r="A334" t="s">
        <v>231</v>
      </c>
      <c r="E334" s="21" t="str">
        <f t="shared" ref="E334:E346" si="38">IF(D334="?OLD","!!!","")</f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ref="H334:H346" ca="1" si="39">IF(J334&lt;&gt;1,"",IF(I334="SBJ","CB","?"))</f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345</v>
      </c>
      <c r="E335" s="21" t="str">
        <f t="shared" si="38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9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346</v>
      </c>
      <c r="E336" s="21" t="str">
        <f t="shared" si="38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9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263</v>
      </c>
      <c r="B337" s="20" t="s">
        <v>129</v>
      </c>
      <c r="C337" s="20" t="s">
        <v>181</v>
      </c>
      <c r="D337" s="20" t="s">
        <v>131</v>
      </c>
      <c r="E337" s="21" t="s">
        <v>424</v>
      </c>
      <c r="F337" s="22" t="str">
        <f>IF(OR(E337="",E337="!!!"),"",IF(NOT(ISNA(VLOOKUP(E337,E$1:E336,1,FALSE()))),"OLD",IF(AND(E337&lt;&gt;"",E337&lt;&gt;"!!!"),"NEW","")))</f>
        <v>OLD</v>
      </c>
      <c r="G337" s="23" t="str">
        <f ca="1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?IN_FOCUS</v>
      </c>
      <c r="H337" s="24" t="str">
        <f t="shared" ca="1" si="39"/>
        <v/>
      </c>
      <c r="I337" s="25" t="str">
        <f>IF(OR(E337="",E337="!!!",F337="NEW"),"",INDEX(B$2:B336,-1+SUMPRODUCT(MAX(ROW(E$2:E336)*(E337=E$2:E336)))))</f>
        <v>SBJ</v>
      </c>
      <c r="J337" s="25">
        <f ca="1">IF(OR(E337="",E337="!!!",F337="NEW"),"",COUNTBLANK(OFFSET(A$1,,,SUMPRODUCT(MAX(ROW(E$2:E337)*(E337=E$2:E337)))))-COUNTBLANK(OFFSET(A$1,,,SUMPRODUCT(MAX(ROW(E$1:E336)*(E2=E$1:E336))))))</f>
        <v>0</v>
      </c>
      <c r="K337" s="25">
        <f ca="1">IF(OR(E337="",E337="!!!",F337="NEW"),"",INDEX(J$1:J336,SUMPRODUCT(MAX(ROW(E$1:E336)*(E337=E$1:E336)))))</f>
        <v>0</v>
      </c>
      <c r="L337" s="26"/>
    </row>
    <row r="338" spans="1:12" x14ac:dyDescent="0.3">
      <c r="A338" t="s">
        <v>236</v>
      </c>
      <c r="E338" s="21" t="str">
        <f t="shared" si="38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9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268</v>
      </c>
      <c r="E339" s="21" t="str">
        <f t="shared" si="38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9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347</v>
      </c>
      <c r="B340" s="20" t="s">
        <v>136</v>
      </c>
      <c r="C340" s="20" t="s">
        <v>137</v>
      </c>
      <c r="D340" s="20" t="s">
        <v>131</v>
      </c>
      <c r="E340" s="21" t="s">
        <v>473</v>
      </c>
      <c r="F340" s="22" t="str">
        <f>IF(OR(E340="",E340="!!!"),"",IF(NOT(ISNA(VLOOKUP(E340,E$1:E339,1,FALSE()))),"OLD",IF(AND(E340&lt;&gt;"",E340&lt;&gt;"!!!"),"NEW","")))</f>
        <v>NEW</v>
      </c>
      <c r="G340" s="23" t="str">
        <f ca="1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?REFERENTIAL</v>
      </c>
      <c r="H340" s="24" t="str">
        <f t="shared" ca="1" si="39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250</v>
      </c>
      <c r="E341" s="21" t="str">
        <f t="shared" si="38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9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348</v>
      </c>
      <c r="E342" s="21" t="str">
        <f t="shared" si="38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9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349</v>
      </c>
      <c r="B343" s="20" t="s">
        <v>145</v>
      </c>
      <c r="C343" s="20" t="s">
        <v>130</v>
      </c>
      <c r="D343" s="20" t="s">
        <v>131</v>
      </c>
      <c r="E343" s="21" t="str">
        <f t="shared" si="38"/>
        <v>!!!</v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9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350</v>
      </c>
      <c r="E344" s="21" t="str">
        <f t="shared" si="38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9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351</v>
      </c>
      <c r="E345" s="21" t="str">
        <f t="shared" si="38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9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148</v>
      </c>
      <c r="E346" s="21" t="str">
        <f t="shared" si="38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9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8" spans="1:12" x14ac:dyDescent="0.3">
      <c r="A348" t="s">
        <v>184</v>
      </c>
      <c r="E348" s="21" t="str">
        <f>IF(D348="?OLD","!!!","")</f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ca="1">IF(J348&lt;&gt;1,"",IF(I348="SBJ","CB","?"))</f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352</v>
      </c>
    </row>
    <row r="350" spans="1:12" x14ac:dyDescent="0.3">
      <c r="A350" t="s">
        <v>353</v>
      </c>
      <c r="E350" s="21" t="str">
        <f t="shared" ref="E350:E375" si="40">IF(D350="?OLD","!!!","")</f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ref="H350:H375" ca="1" si="41">IF(J350&lt;&gt;1,"",IF(I350="SBJ","CB","?"))</f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60</v>
      </c>
      <c r="E351" s="21" t="str">
        <f t="shared" si="4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354</v>
      </c>
      <c r="E352" s="21" t="str">
        <f t="shared" si="4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355</v>
      </c>
      <c r="E353" s="21" t="str">
        <f t="shared" si="4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356</v>
      </c>
      <c r="B354" s="20" t="s">
        <v>152</v>
      </c>
      <c r="C354" s="20" t="s">
        <v>165</v>
      </c>
      <c r="E354" s="21" t="s">
        <v>474</v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4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 t="s">
        <v>425</v>
      </c>
    </row>
    <row r="355" spans="1:12" x14ac:dyDescent="0.3">
      <c r="A355" t="s">
        <v>357</v>
      </c>
      <c r="B355" s="20" t="s">
        <v>152</v>
      </c>
      <c r="C355" s="20" t="s">
        <v>243</v>
      </c>
      <c r="D355" s="20" t="s">
        <v>131</v>
      </c>
      <c r="E355" s="21"/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 t="s">
        <v>453</v>
      </c>
    </row>
    <row r="356" spans="1:12" x14ac:dyDescent="0.3">
      <c r="A356" t="s">
        <v>248</v>
      </c>
      <c r="E356" s="21" t="str">
        <f t="shared" si="4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4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358</v>
      </c>
      <c r="E357" s="21" t="str">
        <f t="shared" si="4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359</v>
      </c>
      <c r="B358" s="20" t="s">
        <v>145</v>
      </c>
      <c r="C358" s="20" t="s">
        <v>130</v>
      </c>
      <c r="D358" s="20" t="s">
        <v>131</v>
      </c>
      <c r="E358" s="21" t="s">
        <v>438</v>
      </c>
      <c r="F358" s="22" t="str">
        <f>IF(OR(E358="",E358="!!!"),"",IF(NOT(ISNA(VLOOKUP(E358,E$1:E357,1,FALSE()))),"OLD",IF(AND(E358&lt;&gt;"",E358&lt;&gt;"!!!"),"NEW","")))</f>
        <v>NEW</v>
      </c>
      <c r="G358" s="23" t="str">
        <f ca="1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?REFERENTIAL</v>
      </c>
      <c r="H358" s="24" t="str">
        <f t="shared" ca="1" si="4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 t="s">
        <v>439</v>
      </c>
    </row>
    <row r="359" spans="1:12" x14ac:dyDescent="0.3">
      <c r="A359" t="s">
        <v>12</v>
      </c>
      <c r="E359" s="21" t="str">
        <f t="shared" si="4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4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360</v>
      </c>
      <c r="E360" s="21" t="s">
        <v>424</v>
      </c>
      <c r="F360" s="22" t="str">
        <f>IF(OR(E360="",E360="!!!"),"",IF(NOT(ISNA(VLOOKUP(E360,E$1:E359,1,FALSE()))),"OLD",IF(AND(E360&lt;&gt;"",E360&lt;&gt;"!!!"),"NEW","")))</f>
        <v>OLD</v>
      </c>
      <c r="G360" s="23" t="str">
        <f ca="1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?IN_FOCUS</v>
      </c>
      <c r="H360" s="24" t="str">
        <f t="shared" ca="1" si="41"/>
        <v/>
      </c>
      <c r="I360" s="25" t="str">
        <f>IF(OR(E360="",E360="!!!",F360="NEW"),"",INDEX(B$2:B359,-1+SUMPRODUCT(MAX(ROW(E$2:E359)*(E360=E$2:E359)))))</f>
        <v>SBJ</v>
      </c>
      <c r="J360" s="25">
        <f ca="1">IF(OR(E360="",E360="!!!",F360="NEW"),"",COUNTBLANK(OFFSET(A$1,,,SUMPRODUCT(MAX(ROW(E$2:E360)*(E360=E$2:E360)))))-COUNTBLANK(OFFSET(A$1,,,SUMPRODUCT(MAX(ROW(E$1:E359)*(E2=E$1:E359))))))</f>
        <v>0</v>
      </c>
      <c r="K360" s="25">
        <f ca="1">IF(OR(E360="",E360="!!!",F360="NEW"),"",INDEX(J$1:J359,SUMPRODUCT(MAX(ROW(E$1:E359)*(E360=E$1:E359)))))</f>
        <v>0</v>
      </c>
      <c r="L360" s="26" t="s">
        <v>440</v>
      </c>
    </row>
    <row r="361" spans="1:12" x14ac:dyDescent="0.3">
      <c r="A361" t="s">
        <v>171</v>
      </c>
      <c r="E361" s="21" t="str">
        <f t="shared" si="40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1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143</v>
      </c>
      <c r="E362" s="21" t="str">
        <f t="shared" si="4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240</v>
      </c>
      <c r="B363" s="20" t="s">
        <v>158</v>
      </c>
      <c r="C363" s="20" t="s">
        <v>130</v>
      </c>
      <c r="D363" s="20" t="s">
        <v>131</v>
      </c>
      <c r="E363" s="21" t="s">
        <v>471</v>
      </c>
      <c r="F363" s="22" t="s">
        <v>472</v>
      </c>
      <c r="G363" s="23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?IN_FOCUS</v>
      </c>
      <c r="H363" s="24" t="str">
        <f t="shared" ca="1" si="41"/>
        <v/>
      </c>
      <c r="I363" s="25" t="str">
        <f>IF(OR(E363="",E363="!!!",F363="NEW"),"",INDEX(B$2:B362,-1+SUMPRODUCT(MAX(ROW(E$2:E362)*(E363=E$2:E362)))))</f>
        <v>other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156</v>
      </c>
      <c r="E364" s="21" t="str">
        <f t="shared" si="40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134</v>
      </c>
      <c r="E365" s="21" t="str">
        <f t="shared" si="4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187</v>
      </c>
      <c r="E366" s="21" t="str">
        <f t="shared" si="40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4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361</v>
      </c>
      <c r="B367" s="20" t="s">
        <v>152</v>
      </c>
      <c r="C367" s="20" t="s">
        <v>130</v>
      </c>
      <c r="D367" s="20" t="s">
        <v>131</v>
      </c>
      <c r="E367" s="21" t="s">
        <v>475</v>
      </c>
      <c r="F367" s="22" t="str">
        <f>IF(OR(E367="",E367="!!!"),"",IF(NOT(ISNA(VLOOKUP(E367,E$1:E366,1,FALSE()))),"OLD",IF(AND(E367&lt;&gt;"",E367&lt;&gt;"!!!"),"NEW","")))</f>
        <v>NEW</v>
      </c>
      <c r="G367" s="23" t="str">
        <f ca="1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?REFERENTIAL</v>
      </c>
      <c r="H367" s="24" t="str">
        <f t="shared" ca="1" si="4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301</v>
      </c>
      <c r="E368" s="21" t="str">
        <f t="shared" si="40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362</v>
      </c>
      <c r="E369" s="21" t="str">
        <f t="shared" si="4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259</v>
      </c>
      <c r="E370" s="21" t="str">
        <f t="shared" si="4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363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364</v>
      </c>
      <c r="E372" s="21" t="str">
        <f t="shared" si="4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187</v>
      </c>
      <c r="E373" s="21" t="str">
        <f t="shared" si="4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365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148</v>
      </c>
      <c r="E375" s="21" t="str">
        <f t="shared" si="4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4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7" spans="1:12" x14ac:dyDescent="0.3">
      <c r="A377" t="s">
        <v>366</v>
      </c>
    </row>
    <row r="378" spans="1:12" x14ac:dyDescent="0.3">
      <c r="A378" t="s">
        <v>367</v>
      </c>
      <c r="B378" s="20" t="s">
        <v>145</v>
      </c>
      <c r="C378" s="20" t="s">
        <v>163</v>
      </c>
      <c r="E378" s="21" t="str">
        <f t="shared" ref="E378:E409" si="42">IF(D378="?OLD","!!!","")</f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ref="H378:H409" ca="1" si="43">IF(J378&lt;&gt;1,"",IF(I378="SBJ","CB","?"))</f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175</v>
      </c>
      <c r="E379" s="21" t="str">
        <f t="shared" si="4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4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368</v>
      </c>
      <c r="B380" s="20" t="s">
        <v>152</v>
      </c>
      <c r="C380" s="20" t="s">
        <v>137</v>
      </c>
      <c r="D380" s="20" t="s">
        <v>131</v>
      </c>
      <c r="E380" s="21" t="str">
        <f t="shared" si="42"/>
        <v>!!!</v>
      </c>
      <c r="F380" s="22" t="s">
        <v>468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4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101</v>
      </c>
      <c r="E381" s="21" t="str">
        <f t="shared" si="4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134</v>
      </c>
      <c r="E382" s="21" t="str">
        <f t="shared" si="4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369</v>
      </c>
      <c r="B383" s="20" t="s">
        <v>129</v>
      </c>
      <c r="C383" s="20" t="s">
        <v>137</v>
      </c>
      <c r="D383" s="20" t="s">
        <v>131</v>
      </c>
      <c r="E383" s="21" t="str">
        <f t="shared" si="42"/>
        <v>!!!</v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 t="s">
        <v>444</v>
      </c>
    </row>
    <row r="384" spans="1:12" x14ac:dyDescent="0.3">
      <c r="A384" t="s">
        <v>370</v>
      </c>
      <c r="B384" s="20" t="s">
        <v>145</v>
      </c>
      <c r="C384" s="20" t="s">
        <v>130</v>
      </c>
      <c r="D384" s="20" t="s">
        <v>131</v>
      </c>
      <c r="E384" s="21" t="s">
        <v>442</v>
      </c>
      <c r="F384" s="22" t="str">
        <f>IF(OR(E384="",E384="!!!"),"",IF(NOT(ISNA(VLOOKUP(E384,E$1:E383,1,FALSE()))),"OLD",IF(AND(E384&lt;&gt;"",E384&lt;&gt;"!!!"),"NEW","")))</f>
        <v>NEW</v>
      </c>
      <c r="G384" s="23" t="str">
        <f ca="1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?REFERENTIAL</v>
      </c>
      <c r="H384" s="24" t="str">
        <f t="shared" ca="1" si="43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371</v>
      </c>
      <c r="E385" s="21" t="str">
        <f t="shared" si="42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3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272</v>
      </c>
      <c r="E386" s="21" t="str">
        <f t="shared" si="42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3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372</v>
      </c>
      <c r="B387" s="20" t="s">
        <v>158</v>
      </c>
      <c r="C387" s="20" t="s">
        <v>130</v>
      </c>
      <c r="D387" s="20" t="s">
        <v>131</v>
      </c>
      <c r="E387" s="21" t="s">
        <v>441</v>
      </c>
      <c r="F387" s="22" t="str">
        <f>IF(OR(E387="",E387="!!!"),"",IF(NOT(ISNA(VLOOKUP(E387,E$1:E386,1,FALSE()))),"OLD",IF(AND(E387&lt;&gt;"",E387&lt;&gt;"!!!"),"NEW","")))</f>
        <v>NEW</v>
      </c>
      <c r="G387" s="23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?REFERENTIAL</v>
      </c>
      <c r="H387" s="24" t="str">
        <f t="shared" ca="1" si="43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373</v>
      </c>
      <c r="E388" s="21" t="str">
        <f t="shared" si="42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198</v>
      </c>
      <c r="E389" s="21" t="str">
        <f t="shared" si="4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248</v>
      </c>
      <c r="E390" s="21" t="str">
        <f t="shared" si="42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374</v>
      </c>
      <c r="B391" s="20" t="s">
        <v>145</v>
      </c>
      <c r="C391" s="20" t="s">
        <v>137</v>
      </c>
      <c r="D391" s="20" t="s">
        <v>131</v>
      </c>
      <c r="E391" s="21" t="str">
        <f t="shared" si="42"/>
        <v>!!!</v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 t="s">
        <v>444</v>
      </c>
    </row>
    <row r="392" spans="1:12" x14ac:dyDescent="0.3">
      <c r="A392" t="s">
        <v>375</v>
      </c>
      <c r="B392" s="20" t="s">
        <v>158</v>
      </c>
      <c r="C392" s="20" t="s">
        <v>130</v>
      </c>
      <c r="D392" s="20" t="s">
        <v>131</v>
      </c>
      <c r="E392" s="21" t="s">
        <v>445</v>
      </c>
      <c r="F392" s="22" t="str">
        <f>IF(OR(E392="",E392="!!!"),"",IF(NOT(ISNA(VLOOKUP(E392,E$1:E391,1,FALSE()))),"OLD",IF(AND(E392&lt;&gt;"",E392&lt;&gt;"!!!"),"NEW","")))</f>
        <v>NEW</v>
      </c>
      <c r="G392" s="23" t="str">
        <f ca="1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?REFERENTIAL</v>
      </c>
      <c r="H392" s="24" t="str">
        <f t="shared" ca="1" si="4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376</v>
      </c>
      <c r="E393" s="21" t="str">
        <f t="shared" si="4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198</v>
      </c>
      <c r="E394" s="21" t="str">
        <f t="shared" si="42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4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134</v>
      </c>
      <c r="E395" s="21" t="str">
        <f t="shared" si="4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4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377</v>
      </c>
      <c r="B396" s="20" t="s">
        <v>145</v>
      </c>
      <c r="C396" s="20" t="s">
        <v>137</v>
      </c>
      <c r="D396" s="20" t="s">
        <v>131</v>
      </c>
      <c r="E396" s="21" t="str">
        <f t="shared" si="42"/>
        <v>!!!</v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 t="s">
        <v>444</v>
      </c>
    </row>
    <row r="397" spans="1:12" x14ac:dyDescent="0.3">
      <c r="A397" t="s">
        <v>378</v>
      </c>
      <c r="B397" s="20" t="s">
        <v>158</v>
      </c>
      <c r="C397" s="20" t="s">
        <v>130</v>
      </c>
      <c r="D397" s="20" t="s">
        <v>131</v>
      </c>
      <c r="E397" s="21" t="s">
        <v>446</v>
      </c>
      <c r="F397" s="22" t="str">
        <f>IF(OR(E397="",E397="!!!"),"",IF(NOT(ISNA(VLOOKUP(E397,E$1:E396,1,FALSE()))),"OLD",IF(AND(E397&lt;&gt;"",E397&lt;&gt;"!!!"),"NEW","")))</f>
        <v>NEW</v>
      </c>
      <c r="G397" s="23" t="str">
        <f ca="1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?REFERENTIAL</v>
      </c>
      <c r="H397" s="24" t="str">
        <f t="shared" ca="1" si="4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379</v>
      </c>
      <c r="E398" s="21" t="str">
        <f t="shared" si="4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198</v>
      </c>
      <c r="E399" s="21" t="str">
        <f t="shared" si="4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380</v>
      </c>
      <c r="B400" s="20" t="s">
        <v>145</v>
      </c>
      <c r="C400" s="20" t="s">
        <v>130</v>
      </c>
      <c r="D400" s="20" t="s">
        <v>131</v>
      </c>
      <c r="E400" s="21" t="s">
        <v>447</v>
      </c>
      <c r="F400" s="22" t="str">
        <f>IF(OR(E400="",E400="!!!"),"",IF(NOT(ISNA(VLOOKUP(E400,E$1:E399,1,FALSE()))),"OLD",IF(AND(E400&lt;&gt;"",E400&lt;&gt;"!!!"),"NEW","")))</f>
        <v>NEW</v>
      </c>
      <c r="G400" s="23" t="str">
        <f ca="1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?REFERENTIAL</v>
      </c>
      <c r="H400" s="24" t="str">
        <f t="shared" ca="1" si="4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381</v>
      </c>
      <c r="E401" s="21" t="str">
        <f t="shared" si="4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272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382</v>
      </c>
      <c r="B403" s="20" t="s">
        <v>145</v>
      </c>
      <c r="C403" s="20" t="s">
        <v>130</v>
      </c>
      <c r="D403" s="20" t="s">
        <v>131</v>
      </c>
      <c r="E403" s="21" t="s">
        <v>448</v>
      </c>
      <c r="F403" s="22" t="str">
        <f>IF(OR(E403="",E403="!!!"),"",IF(NOT(ISNA(VLOOKUP(E403,E$1:E402,1,FALSE()))),"OLD",IF(AND(E403&lt;&gt;"",E403&lt;&gt;"!!!"),"NEW","")))</f>
        <v>NEW</v>
      </c>
      <c r="G403" s="23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?REFERENTIAL</v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373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198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248</v>
      </c>
      <c r="E406" s="21" t="str">
        <f t="shared" si="4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383</v>
      </c>
      <c r="B407" s="20" t="s">
        <v>145</v>
      </c>
      <c r="C407" s="20" t="s">
        <v>137</v>
      </c>
      <c r="D407" s="20" t="s">
        <v>131</v>
      </c>
      <c r="E407" s="21" t="str">
        <f t="shared" si="42"/>
        <v>!!!</v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 t="s">
        <v>444</v>
      </c>
    </row>
    <row r="408" spans="1:12" x14ac:dyDescent="0.3">
      <c r="A408" t="s">
        <v>384</v>
      </c>
      <c r="B408" s="20" t="s">
        <v>158</v>
      </c>
      <c r="C408" s="20" t="s">
        <v>130</v>
      </c>
      <c r="D408" s="20" t="s">
        <v>131</v>
      </c>
      <c r="E408" s="21" t="s">
        <v>449</v>
      </c>
      <c r="F408" s="22" t="str">
        <f>IF(OR(E408="",E408="!!!"),"",IF(NOT(ISNA(VLOOKUP(E408,E$1:E407,1,FALSE()))),"OLD",IF(AND(E408&lt;&gt;"",E408&lt;&gt;"!!!"),"NEW","")))</f>
        <v>NEW</v>
      </c>
      <c r="G408" s="23" t="str">
        <f ca="1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?REFERENTIAL</v>
      </c>
      <c r="H408" s="24" t="str">
        <f t="shared" ca="1" si="4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12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385</v>
      </c>
      <c r="E410" s="21" t="str">
        <f t="shared" ref="E410:E441" si="44">IF(D410="?OLD","!!!","")</f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ref="H410:H441" ca="1" si="45">IF(J410&lt;&gt;1,"",IF(I410="SBJ","CB","?"))</f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386</v>
      </c>
      <c r="E411" s="21" t="str">
        <f t="shared" si="44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198</v>
      </c>
      <c r="E412" s="21" t="str">
        <f t="shared" si="44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387</v>
      </c>
      <c r="B413" s="20" t="s">
        <v>145</v>
      </c>
      <c r="C413" s="20" t="s">
        <v>130</v>
      </c>
      <c r="D413" s="20" t="s">
        <v>131</v>
      </c>
      <c r="E413" s="21" t="str">
        <f t="shared" si="44"/>
        <v>!!!</v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 t="s">
        <v>444</v>
      </c>
    </row>
    <row r="414" spans="1:12" x14ac:dyDescent="0.3">
      <c r="A414" t="s">
        <v>12</v>
      </c>
      <c r="E414" s="21" t="str">
        <f t="shared" si="44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388</v>
      </c>
      <c r="E415" s="21" t="str">
        <f t="shared" si="44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389</v>
      </c>
      <c r="B416" s="20" t="s">
        <v>158</v>
      </c>
      <c r="C416" s="20" t="s">
        <v>130</v>
      </c>
      <c r="D416" s="20" t="s">
        <v>131</v>
      </c>
      <c r="E416" s="21" t="s">
        <v>450</v>
      </c>
      <c r="F416" s="22" t="str">
        <f>IF(OR(E416="",E416="!!!"),"",IF(NOT(ISNA(VLOOKUP(E416,E$1:E415,1,FALSE()))),"OLD",IF(AND(E416&lt;&gt;"",E416&lt;&gt;"!!!"),"NEW","")))</f>
        <v>NEW</v>
      </c>
      <c r="G416" s="23" t="str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?REFERENTIAL</v>
      </c>
      <c r="H416" s="24" t="str">
        <f t="shared" ca="1" si="4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390</v>
      </c>
      <c r="E417" s="21" t="str">
        <f t="shared" si="44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198</v>
      </c>
      <c r="E418" s="21" t="str">
        <f t="shared" si="44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5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248</v>
      </c>
      <c r="E419" s="21" t="str">
        <f t="shared" si="44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5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391</v>
      </c>
      <c r="B420" s="20" t="s">
        <v>145</v>
      </c>
      <c r="C420" s="20" t="s">
        <v>130</v>
      </c>
      <c r="D420" s="20" t="s">
        <v>131</v>
      </c>
      <c r="E420" s="21" t="str">
        <f t="shared" si="44"/>
        <v>!!!</v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5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 t="s">
        <v>444</v>
      </c>
    </row>
    <row r="421" spans="1:12" x14ac:dyDescent="0.3">
      <c r="A421" t="s">
        <v>392</v>
      </c>
      <c r="E421" s="21" t="s">
        <v>451</v>
      </c>
      <c r="F421" s="22" t="str">
        <f>IF(OR(E421="",E421="!!!"),"",IF(NOT(ISNA(VLOOKUP(E421,E$1:E420,1,FALSE()))),"OLD",IF(AND(E421&lt;&gt;"",E421&lt;&gt;"!!!"),"NEW","")))</f>
        <v>NEW</v>
      </c>
      <c r="G421" s="23" t="str">
        <f ca="1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?REFERENTIAL</v>
      </c>
      <c r="H421" s="24" t="str">
        <f t="shared" ca="1" si="45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 t="s">
        <v>425</v>
      </c>
    </row>
    <row r="422" spans="1:12" x14ac:dyDescent="0.3">
      <c r="A422" t="s">
        <v>393</v>
      </c>
      <c r="E422" s="21" t="str">
        <f t="shared" si="44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5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198</v>
      </c>
      <c r="E423" s="21" t="str">
        <f t="shared" si="44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5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248</v>
      </c>
      <c r="E424" s="21" t="str">
        <f t="shared" si="44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5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394</v>
      </c>
      <c r="B425" s="20" t="s">
        <v>145</v>
      </c>
      <c r="C425" s="20" t="s">
        <v>137</v>
      </c>
      <c r="D425" s="20" t="s">
        <v>131</v>
      </c>
      <c r="E425" s="21" t="str">
        <f t="shared" si="44"/>
        <v>!!!</v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5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 t="s">
        <v>444</v>
      </c>
    </row>
    <row r="426" spans="1:12" x14ac:dyDescent="0.3">
      <c r="A426" t="s">
        <v>395</v>
      </c>
      <c r="B426" s="20" t="s">
        <v>158</v>
      </c>
      <c r="C426" s="20" t="s">
        <v>130</v>
      </c>
      <c r="D426" s="20" t="s">
        <v>131</v>
      </c>
      <c r="E426" s="21" t="s">
        <v>452</v>
      </c>
      <c r="F426" s="22" t="str">
        <f>IF(OR(E426="",E426="!!!"),"",IF(NOT(ISNA(VLOOKUP(E426,E$1:E425,1,FALSE()))),"OLD",IF(AND(E426&lt;&gt;"",E426&lt;&gt;"!!!"),"NEW","")))</f>
        <v>NEW</v>
      </c>
      <c r="G426" s="23" t="str">
        <f ca="1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?REFERENTIAL</v>
      </c>
      <c r="H426" s="24" t="str">
        <f t="shared" ca="1" si="4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396</v>
      </c>
      <c r="E427" s="21" t="str">
        <f t="shared" si="4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272</v>
      </c>
      <c r="E428" s="21" t="str">
        <f t="shared" si="44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5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397</v>
      </c>
      <c r="B429" s="20" t="s">
        <v>158</v>
      </c>
      <c r="C429" s="20" t="s">
        <v>130</v>
      </c>
      <c r="D429" s="20" t="s">
        <v>131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5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453</v>
      </c>
    </row>
    <row r="430" spans="1:12" x14ac:dyDescent="0.3">
      <c r="A430" t="s">
        <v>248</v>
      </c>
      <c r="E430" s="21" t="str">
        <f t="shared" si="4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398</v>
      </c>
      <c r="B431" s="20" t="s">
        <v>145</v>
      </c>
      <c r="C431" s="20" t="s">
        <v>137</v>
      </c>
      <c r="D431" s="20" t="s">
        <v>131</v>
      </c>
      <c r="E431" s="21" t="str">
        <f t="shared" si="44"/>
        <v>!!!</v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 t="s">
        <v>444</v>
      </c>
    </row>
    <row r="432" spans="1:12" x14ac:dyDescent="0.3">
      <c r="A432" t="s">
        <v>399</v>
      </c>
      <c r="B432" s="20" t="s">
        <v>158</v>
      </c>
      <c r="C432" s="20" t="s">
        <v>130</v>
      </c>
      <c r="D432" s="20" t="s">
        <v>131</v>
      </c>
      <c r="E432" s="21" t="s">
        <v>454</v>
      </c>
      <c r="F432" s="22" t="str">
        <f>IF(OR(E432="",E432="!!!"),"",IF(NOT(ISNA(VLOOKUP(E432,E$1:E431,1,FALSE()))),"OLD",IF(AND(E432&lt;&gt;"",E432&lt;&gt;"!!!"),"NEW","")))</f>
        <v>NEW</v>
      </c>
      <c r="G432" s="23" t="str">
        <f ca="1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?REFERENTIAL</v>
      </c>
      <c r="H432" s="24" t="str">
        <f t="shared" ca="1" si="4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400</v>
      </c>
      <c r="E433" s="21" t="str">
        <f t="shared" si="4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148</v>
      </c>
      <c r="E434" s="21" t="str">
        <f t="shared" si="4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401</v>
      </c>
    </row>
    <row r="437" spans="1:12" x14ac:dyDescent="0.3">
      <c r="A437" t="s">
        <v>402</v>
      </c>
      <c r="B437" s="20" t="s">
        <v>129</v>
      </c>
      <c r="C437" s="20" t="s">
        <v>201</v>
      </c>
      <c r="D437" s="20" t="s">
        <v>131</v>
      </c>
      <c r="E437" s="21" t="str">
        <f t="shared" ref="E437:E447" si="46">IF(D437="?OLD","!!!","")</f>
        <v>!!!</v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ref="H437:H447" ca="1" si="47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403</v>
      </c>
      <c r="B438" s="20" t="s">
        <v>158</v>
      </c>
      <c r="C438" s="20" t="s">
        <v>216</v>
      </c>
      <c r="D438" s="20" t="s">
        <v>131</v>
      </c>
      <c r="E438" s="21"/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 t="s">
        <v>455</v>
      </c>
    </row>
    <row r="439" spans="1:12" x14ac:dyDescent="0.3">
      <c r="A439" t="s">
        <v>404</v>
      </c>
      <c r="B439" s="20" t="s">
        <v>145</v>
      </c>
      <c r="C439" s="20" t="s">
        <v>218</v>
      </c>
      <c r="D439" s="20" t="s">
        <v>131</v>
      </c>
      <c r="E439" s="21" t="str">
        <f t="shared" si="46"/>
        <v>!!!</v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47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405</v>
      </c>
      <c r="E440" s="21" t="str">
        <f t="shared" si="4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171</v>
      </c>
      <c r="E441" s="21" t="str">
        <f t="shared" si="46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143</v>
      </c>
      <c r="E442" s="21" t="str">
        <f t="shared" si="46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7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240</v>
      </c>
      <c r="B443" s="20" t="s">
        <v>152</v>
      </c>
      <c r="C443" s="20" t="s">
        <v>130</v>
      </c>
      <c r="D443" s="20" t="s">
        <v>131</v>
      </c>
      <c r="E443" s="21" t="s">
        <v>471</v>
      </c>
      <c r="F443" s="22" t="s">
        <v>472</v>
      </c>
      <c r="G443" s="23" t="str">
        <f ca="1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?IN_FOCUS</v>
      </c>
      <c r="H443" s="24" t="str">
        <f t="shared" ca="1" si="47"/>
        <v/>
      </c>
      <c r="I443" s="25" t="str">
        <f>IF(OR(E443="",E443="!!!",F443="NEW"),"",INDEX(B$2:B442,-1+SUMPRODUCT(MAX(ROW(E$2:E442)*(E443=E$2:E442)))))</f>
        <v>other_3</v>
      </c>
      <c r="J443" s="25">
        <f ca="1">IF(OR(E443="",E443="!!!",F443="NEW"),"",COUNTBLANK(OFFSET(A$1,,,SUMPRODUCT(MAX(ROW(E$2:E443)*(E443=E$2:E443)))))-COUNTBLANK(OFFSET(A$1,,,SUMPRODUCT(MAX(ROW(E$1:E442)*(E2=E$1:E442))))))</f>
        <v>0</v>
      </c>
      <c r="K443" s="25">
        <f ca="1">IF(OR(E443="",E443="!!!",F443="NEW"),"",INDEX(J$1:J442,SUMPRODUCT(MAX(ROW(E$1:E442)*(E443=E$1:E442)))))</f>
        <v>0</v>
      </c>
      <c r="L443" s="26"/>
    </row>
    <row r="444" spans="1:12" x14ac:dyDescent="0.3">
      <c r="A444" t="s">
        <v>205</v>
      </c>
      <c r="E444" s="21" t="str">
        <f t="shared" si="46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271</v>
      </c>
      <c r="B445" s="20" t="s">
        <v>152</v>
      </c>
      <c r="C445" s="20" t="s">
        <v>130</v>
      </c>
      <c r="D445" s="20" t="s">
        <v>131</v>
      </c>
      <c r="E445" s="21" t="s">
        <v>432</v>
      </c>
      <c r="F445" s="22" t="str">
        <f>IF(OR(E445="",E445="!!!"),"",IF(NOT(ISNA(VLOOKUP(E445,E$1:E444,1,FALSE()))),"OLD",IF(AND(E445&lt;&gt;"",E445&lt;&gt;"!!!"),"NEW","")))</f>
        <v>OLD</v>
      </c>
      <c r="G445" s="23" t="str">
        <f ca="1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?IN_FOCUS</v>
      </c>
      <c r="H445" s="24" t="str">
        <f t="shared" ca="1" si="47"/>
        <v/>
      </c>
      <c r="I445" s="25" t="str">
        <f>IF(OR(E445="",E445="!!!",F445="NEW"),"",INDEX(B$2:B444,-1+SUMPRODUCT(MAX(ROW(E$2:E444)*(E445=E$2:E444)))))</f>
        <v>other</v>
      </c>
      <c r="J445" s="25">
        <f ca="1">IF(OR(E445="",E445="!!!",F445="NEW"),"",COUNTBLANK(OFFSET(A$1,,,SUMPRODUCT(MAX(ROW(E$2:E445)*(E445=E$2:E445)))))-COUNTBLANK(OFFSET(A$1,,,SUMPRODUCT(MAX(ROW(E$1:E444)*(E2=E$1:E444))))))</f>
        <v>0</v>
      </c>
      <c r="K445" s="25">
        <f ca="1">IF(OR(E445="",E445="!!!",F445="NEW"),"",INDEX(J$1:J444,SUMPRODUCT(MAX(ROW(E$1:E444)*(E445=E$1:E444)))))</f>
        <v>0</v>
      </c>
      <c r="L445" s="26"/>
    </row>
    <row r="446" spans="1:12" x14ac:dyDescent="0.3">
      <c r="A446" t="s">
        <v>406</v>
      </c>
      <c r="E446" s="21" t="str">
        <f t="shared" si="4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148</v>
      </c>
      <c r="E447" s="21" t="str">
        <f t="shared" si="46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9" spans="1:12" x14ac:dyDescent="0.3">
      <c r="A449" t="s">
        <v>407</v>
      </c>
    </row>
    <row r="450" spans="1:12" x14ac:dyDescent="0.3">
      <c r="A450" t="s">
        <v>191</v>
      </c>
      <c r="E450" s="21" t="str">
        <f t="shared" ref="E450:E468" si="48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ref="H450:H468" ca="1" si="49">IF(J450&lt;&gt;1,"",IF(I450="SBJ","CB","?"))</f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143</v>
      </c>
      <c r="E451" s="21" t="str">
        <f t="shared" si="48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9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408</v>
      </c>
      <c r="E452" s="21" t="str">
        <f t="shared" si="4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409</v>
      </c>
      <c r="B453" s="20" t="s">
        <v>152</v>
      </c>
      <c r="C453" s="20" t="s">
        <v>137</v>
      </c>
      <c r="D453" s="20" t="s">
        <v>131</v>
      </c>
      <c r="E453" s="21" t="str">
        <f t="shared" si="48"/>
        <v>!!!</v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9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410</v>
      </c>
      <c r="E454" s="21" t="str">
        <f t="shared" si="48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4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134</v>
      </c>
      <c r="E455" s="21" t="str">
        <f t="shared" si="4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411</v>
      </c>
      <c r="E456" s="21" t="str">
        <f t="shared" si="4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412</v>
      </c>
      <c r="B457" s="20" t="s">
        <v>129</v>
      </c>
      <c r="C457" s="20" t="s">
        <v>137</v>
      </c>
      <c r="D457" s="20" t="s">
        <v>131</v>
      </c>
      <c r="E457" s="21" t="str">
        <f t="shared" si="48"/>
        <v>!!!</v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156</v>
      </c>
      <c r="E458" s="21" t="str">
        <f t="shared" si="4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268</v>
      </c>
      <c r="E459" s="21" t="str">
        <f t="shared" si="4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413</v>
      </c>
      <c r="B460" s="20" t="s">
        <v>145</v>
      </c>
      <c r="C460" s="20" t="s">
        <v>137</v>
      </c>
      <c r="D460" s="20" t="s">
        <v>131</v>
      </c>
      <c r="E460" s="21" t="s">
        <v>476</v>
      </c>
      <c r="F460" s="22" t="str">
        <f>IF(OR(E460="",E460="!!!"),"",IF(NOT(ISNA(VLOOKUP(E460,E$1:E459,1,FALSE()))),"OLD",IF(AND(E460&lt;&gt;"",E460&lt;&gt;"!!!"),"NEW","")))</f>
        <v>NEW</v>
      </c>
      <c r="G460" s="23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?REFERENTIAL</v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198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414</v>
      </c>
      <c r="E462" s="21" t="str">
        <f t="shared" si="4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248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415</v>
      </c>
      <c r="B464" s="20" t="s">
        <v>416</v>
      </c>
      <c r="C464" s="20" t="s">
        <v>130</v>
      </c>
      <c r="D464" s="20" t="s">
        <v>131</v>
      </c>
      <c r="E464" s="21"/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 t="s">
        <v>478</v>
      </c>
    </row>
    <row r="465" spans="1:12" x14ac:dyDescent="0.3">
      <c r="A465" t="s">
        <v>12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417</v>
      </c>
      <c r="E466" s="21" t="s">
        <v>477</v>
      </c>
      <c r="F466" s="22" t="str">
        <f>IF(OR(E466="",E466="!!!"),"",IF(NOT(ISNA(VLOOKUP(E466,E$1:E465,1,FALSE()))),"OLD",IF(AND(E466&lt;&gt;"",E466&lt;&gt;"!!!"),"NEW","")))</f>
        <v>NEW</v>
      </c>
      <c r="G466" s="23" t="str">
        <f ca="1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?REFERENTIAL</v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418</v>
      </c>
      <c r="E467" s="21" t="str">
        <f t="shared" si="4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148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70" spans="1:12" x14ac:dyDescent="0.3">
      <c r="A470" t="s">
        <v>419</v>
      </c>
    </row>
    <row r="471" spans="1:12" x14ac:dyDescent="0.3">
      <c r="A471" t="s">
        <v>160</v>
      </c>
      <c r="B471" s="20" t="s">
        <v>129</v>
      </c>
      <c r="C471" s="20" t="s">
        <v>130</v>
      </c>
      <c r="D471" s="20" t="s">
        <v>131</v>
      </c>
      <c r="E471" s="21" t="s">
        <v>424</v>
      </c>
      <c r="F471" s="22" t="str">
        <f>IF(OR(E471="",E471="!!!"),"",IF(NOT(ISNA(VLOOKUP(E471,E$1:E470,1,FALSE()))),"OLD",IF(AND(E471&lt;&gt;"",E471&lt;&gt;"!!!"),"NEW","")))</f>
        <v>OLD</v>
      </c>
      <c r="G471" s="23" t="str">
        <f ca="1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?IN_FOCUS</v>
      </c>
      <c r="H471" s="24" t="str">
        <f t="shared" ref="H471:H479" ca="1" si="50">IF(J471&lt;&gt;1,"",IF(I471="SBJ","CB","?"))</f>
        <v/>
      </c>
      <c r="I471" s="25">
        <f>IF(OR(E471="",E471="!!!",F471="NEW"),"",INDEX(B$2:B470,-1+SUMPRODUCT(MAX(ROW(E$2:E470)*(E471=E$2:E470)))))</f>
        <v>0</v>
      </c>
      <c r="J471" s="25">
        <f ca="1">IF(OR(E471="",E471="!!!",F471="NEW"),"",COUNTBLANK(OFFSET(A$1,,,SUMPRODUCT(MAX(ROW(E$2:E471)*(E471=E$2:E471)))))-COUNTBLANK(OFFSET(A$1,,,SUMPRODUCT(MAX(ROW(E$1:E470)*(E2=E$1:E470))))))</f>
        <v>0</v>
      </c>
      <c r="K471" s="25">
        <f ca="1">IF(OR(E471="",E471="!!!",F471="NEW"),"",INDEX(J$1:J470,SUMPRODUCT(MAX(ROW(E$1:E470)*(E471=E$1:E470)))))</f>
        <v>0</v>
      </c>
      <c r="L471" s="26"/>
    </row>
    <row r="472" spans="1:12" x14ac:dyDescent="0.3">
      <c r="A472" t="s">
        <v>132</v>
      </c>
      <c r="E472" s="21" t="str">
        <f t="shared" ref="E471:E479" si="51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50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1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0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421</v>
      </c>
      <c r="B474" s="20" t="s">
        <v>136</v>
      </c>
      <c r="C474" s="20" t="s">
        <v>207</v>
      </c>
      <c r="E474" s="21" t="str">
        <f t="shared" si="51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0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208</v>
      </c>
      <c r="B475" s="20" t="s">
        <v>145</v>
      </c>
      <c r="C475" s="20" t="s">
        <v>163</v>
      </c>
      <c r="E475" s="21" t="str">
        <f t="shared" si="51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0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175</v>
      </c>
      <c r="E476" s="21" t="str">
        <f t="shared" si="51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0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1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0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423</v>
      </c>
      <c r="B478" s="20" t="s">
        <v>152</v>
      </c>
      <c r="C478" s="20" t="s">
        <v>137</v>
      </c>
      <c r="D478" s="20" t="s">
        <v>131</v>
      </c>
      <c r="E478" s="21" t="s">
        <v>458</v>
      </c>
      <c r="F478" s="22" t="str">
        <f>IF(OR(E478="",E478="!!!"),"",IF(NOT(ISNA(VLOOKUP(E478,E$1:E477,1,FALSE()))),"OLD",IF(AND(E478&lt;&gt;"",E478&lt;&gt;"!!!"),"NEW","")))</f>
        <v>OLD</v>
      </c>
      <c r="G478" s="23" t="str">
        <f ca="1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?IN_FOCUS</v>
      </c>
      <c r="H478" s="24" t="str">
        <f t="shared" ca="1" si="50"/>
        <v/>
      </c>
      <c r="I478" s="25" t="str">
        <f>IF(OR(E478="",E478="!!!",F478="NEW"),"",INDEX(B$2:B477,-1+SUMPRODUCT(MAX(ROW(E$2:E477)*(E478=E$2:E477)))))</f>
        <v>other_2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148</v>
      </c>
      <c r="E479" s="21" t="str">
        <f t="shared" si="51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0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2024-12-05T17:52:21Z</dcterms:created>
  <dcterms:modified xsi:type="dcterms:W3CDTF">2024-12-16T19:33:00Z</dcterms:modified>
</cp:coreProperties>
</file>