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2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abea\Desktop\Git\AURIS\annotators\team\tg\in-progress\"/>
    </mc:Choice>
  </mc:AlternateContent>
  <xr:revisionPtr revIDLastSave="0" documentId="13_ncr:1_{2ACC353A-8B92-4919-A8D3-6672C94572C2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sentence-level annotation" sheetId="1" r:id="rId1"/>
    <sheet name="word-level annotation" sheetId="2" r:id="rId2"/>
  </sheets>
  <calcPr calcId="191029"/>
</workbook>
</file>

<file path=xl/calcChain.xml><?xml version="1.0" encoding="utf-8"?>
<calcChain xmlns="http://schemas.openxmlformats.org/spreadsheetml/2006/main">
  <c r="G479" i="2" l="1"/>
  <c r="F479" i="2"/>
  <c r="E479" i="2"/>
  <c r="F478" i="2"/>
  <c r="G477" i="2"/>
  <c r="F477" i="2"/>
  <c r="I477" i="2" s="1"/>
  <c r="E477" i="2"/>
  <c r="G476" i="2"/>
  <c r="F476" i="2"/>
  <c r="J476" i="2" s="1"/>
  <c r="H476" i="2" s="1"/>
  <c r="E476" i="2"/>
  <c r="G475" i="2"/>
  <c r="F475" i="2"/>
  <c r="J475" i="2" s="1"/>
  <c r="H475" i="2" s="1"/>
  <c r="E475" i="2"/>
  <c r="G474" i="2"/>
  <c r="F474" i="2"/>
  <c r="K474" i="2" s="1"/>
  <c r="E474" i="2"/>
  <c r="G473" i="2"/>
  <c r="F473" i="2"/>
  <c r="J473" i="2" s="1"/>
  <c r="H473" i="2" s="1"/>
  <c r="E473" i="2"/>
  <c r="G472" i="2"/>
  <c r="E472" i="2"/>
  <c r="F471" i="2"/>
  <c r="I471" i="2" s="1"/>
  <c r="G468" i="2"/>
  <c r="F468" i="2"/>
  <c r="E468" i="2"/>
  <c r="G467" i="2"/>
  <c r="F467" i="2"/>
  <c r="J467" i="2" s="1"/>
  <c r="H467" i="2" s="1"/>
  <c r="E467" i="2"/>
  <c r="F466" i="2"/>
  <c r="J466" i="2" s="1"/>
  <c r="H466" i="2" s="1"/>
  <c r="G465" i="2"/>
  <c r="F465" i="2"/>
  <c r="K465" i="2" s="1"/>
  <c r="E465" i="2"/>
  <c r="F464" i="2"/>
  <c r="K464" i="2" s="1"/>
  <c r="G463" i="2"/>
  <c r="F463" i="2"/>
  <c r="J463" i="2" s="1"/>
  <c r="H463" i="2" s="1"/>
  <c r="E463" i="2"/>
  <c r="G462" i="2"/>
  <c r="E462" i="2"/>
  <c r="G461" i="2"/>
  <c r="F461" i="2"/>
  <c r="I461" i="2" s="1"/>
  <c r="E461" i="2"/>
  <c r="F460" i="2"/>
  <c r="G459" i="2"/>
  <c r="F459" i="2"/>
  <c r="K459" i="2" s="1"/>
  <c r="E459" i="2"/>
  <c r="G458" i="2"/>
  <c r="F458" i="2"/>
  <c r="J458" i="2" s="1"/>
  <c r="H458" i="2" s="1"/>
  <c r="E458" i="2"/>
  <c r="F457" i="2"/>
  <c r="G456" i="2"/>
  <c r="F456" i="2"/>
  <c r="K456" i="2" s="1"/>
  <c r="E456" i="2"/>
  <c r="G455" i="2"/>
  <c r="F455" i="2"/>
  <c r="K455" i="2" s="1"/>
  <c r="E455" i="2"/>
  <c r="G454" i="2"/>
  <c r="F454" i="2"/>
  <c r="E454" i="2"/>
  <c r="F453" i="2"/>
  <c r="G452" i="2"/>
  <c r="F452" i="2"/>
  <c r="E452" i="2"/>
  <c r="G451" i="2"/>
  <c r="F451" i="2"/>
  <c r="K451" i="2" s="1"/>
  <c r="E451" i="2"/>
  <c r="G450" i="2"/>
  <c r="F450" i="2"/>
  <c r="I450" i="2" s="1"/>
  <c r="E450" i="2"/>
  <c r="G447" i="2"/>
  <c r="F447" i="2"/>
  <c r="I447" i="2" s="1"/>
  <c r="E447" i="2"/>
  <c r="G446" i="2"/>
  <c r="F446" i="2"/>
  <c r="K446" i="2" s="1"/>
  <c r="E446" i="2"/>
  <c r="F445" i="2"/>
  <c r="G444" i="2"/>
  <c r="F444" i="2"/>
  <c r="E444" i="2"/>
  <c r="G442" i="2"/>
  <c r="F442" i="2"/>
  <c r="E442" i="2"/>
  <c r="G441" i="2"/>
  <c r="F441" i="2"/>
  <c r="I441" i="2" s="1"/>
  <c r="E441" i="2"/>
  <c r="G440" i="2"/>
  <c r="F440" i="2"/>
  <c r="K440" i="2" s="1"/>
  <c r="E440" i="2"/>
  <c r="F439" i="2"/>
  <c r="G438" i="2"/>
  <c r="F438" i="2"/>
  <c r="K438" i="2" s="1"/>
  <c r="F437" i="2"/>
  <c r="K437" i="2" s="1"/>
  <c r="G434" i="2"/>
  <c r="F434" i="2"/>
  <c r="E434" i="2"/>
  <c r="G433" i="2"/>
  <c r="F433" i="2"/>
  <c r="E433" i="2"/>
  <c r="F432" i="2"/>
  <c r="G431" i="2"/>
  <c r="F431" i="2"/>
  <c r="K431" i="2" s="1"/>
  <c r="E431" i="2"/>
  <c r="F430" i="2"/>
  <c r="K430" i="2" s="1"/>
  <c r="E430" i="2"/>
  <c r="G430" i="2" s="1"/>
  <c r="G429" i="2"/>
  <c r="F429" i="2"/>
  <c r="K429" i="2" s="1"/>
  <c r="G428" i="2"/>
  <c r="F428" i="2"/>
  <c r="J428" i="2" s="1"/>
  <c r="H428" i="2" s="1"/>
  <c r="E428" i="2"/>
  <c r="G427" i="2"/>
  <c r="F427" i="2"/>
  <c r="K427" i="2" s="1"/>
  <c r="E427" i="2"/>
  <c r="F426" i="2"/>
  <c r="E425" i="2"/>
  <c r="G424" i="2"/>
  <c r="F424" i="2"/>
  <c r="E424" i="2"/>
  <c r="G423" i="2"/>
  <c r="F423" i="2"/>
  <c r="K423" i="2" s="1"/>
  <c r="E423" i="2"/>
  <c r="F422" i="2"/>
  <c r="K422" i="2" s="1"/>
  <c r="E422" i="2"/>
  <c r="G422" i="2" s="1"/>
  <c r="F421" i="2"/>
  <c r="J421" i="2" s="1"/>
  <c r="H421" i="2" s="1"/>
  <c r="G420" i="2"/>
  <c r="F420" i="2"/>
  <c r="I420" i="2" s="1"/>
  <c r="E420" i="2"/>
  <c r="G419" i="2"/>
  <c r="F419" i="2"/>
  <c r="K419" i="2" s="1"/>
  <c r="E419" i="2"/>
  <c r="G418" i="2"/>
  <c r="F418" i="2"/>
  <c r="E418" i="2"/>
  <c r="G417" i="2"/>
  <c r="F417" i="2"/>
  <c r="E417" i="2"/>
  <c r="F416" i="2"/>
  <c r="G415" i="2"/>
  <c r="F415" i="2"/>
  <c r="J415" i="2" s="1"/>
  <c r="H415" i="2" s="1"/>
  <c r="E415" i="2"/>
  <c r="F414" i="2"/>
  <c r="K414" i="2" s="1"/>
  <c r="E414" i="2"/>
  <c r="G414" i="2" s="1"/>
  <c r="G413" i="2"/>
  <c r="F413" i="2"/>
  <c r="K413" i="2" s="1"/>
  <c r="E413" i="2"/>
  <c r="G412" i="2"/>
  <c r="F412" i="2"/>
  <c r="J412" i="2" s="1"/>
  <c r="H412" i="2" s="1"/>
  <c r="E412" i="2"/>
  <c r="G411" i="2"/>
  <c r="F411" i="2"/>
  <c r="K411" i="2" s="1"/>
  <c r="E411" i="2"/>
  <c r="G410" i="2"/>
  <c r="F410" i="2"/>
  <c r="E410" i="2"/>
  <c r="E409" i="2"/>
  <c r="F408" i="2"/>
  <c r="K408" i="2" s="1"/>
  <c r="G407" i="2"/>
  <c r="F407" i="2"/>
  <c r="K407" i="2" s="1"/>
  <c r="E407" i="2"/>
  <c r="F406" i="2"/>
  <c r="K406" i="2" s="1"/>
  <c r="E406" i="2"/>
  <c r="G406" i="2" s="1"/>
  <c r="G405" i="2"/>
  <c r="F405" i="2"/>
  <c r="K405" i="2" s="1"/>
  <c r="E405" i="2"/>
  <c r="G404" i="2"/>
  <c r="F404" i="2"/>
  <c r="K404" i="2" s="1"/>
  <c r="E404" i="2"/>
  <c r="F403" i="2"/>
  <c r="F402" i="2"/>
  <c r="E402" i="2"/>
  <c r="G402" i="2" s="1"/>
  <c r="E401" i="2"/>
  <c r="F400" i="2"/>
  <c r="K400" i="2" s="1"/>
  <c r="G399" i="2"/>
  <c r="F399" i="2"/>
  <c r="I399" i="2" s="1"/>
  <c r="E399" i="2"/>
  <c r="E398" i="2"/>
  <c r="G398" i="2" s="1"/>
  <c r="F397" i="2"/>
  <c r="G396" i="2"/>
  <c r="F396" i="2"/>
  <c r="K396" i="2" s="1"/>
  <c r="E396" i="2"/>
  <c r="G395" i="2"/>
  <c r="F395" i="2"/>
  <c r="I395" i="2" s="1"/>
  <c r="E395" i="2"/>
  <c r="G394" i="2"/>
  <c r="E394" i="2"/>
  <c r="G393" i="2"/>
  <c r="F393" i="2"/>
  <c r="E393" i="2"/>
  <c r="F392" i="2"/>
  <c r="G391" i="2"/>
  <c r="F391" i="2"/>
  <c r="K391" i="2" s="1"/>
  <c r="E391" i="2"/>
  <c r="E390" i="2"/>
  <c r="G390" i="2" s="1"/>
  <c r="G389" i="2"/>
  <c r="E389" i="2"/>
  <c r="F389" i="2" s="1"/>
  <c r="K389" i="2" s="1"/>
  <c r="G388" i="2"/>
  <c r="F388" i="2"/>
  <c r="K388" i="2" s="1"/>
  <c r="E388" i="2"/>
  <c r="F387" i="2"/>
  <c r="I387" i="2" s="1"/>
  <c r="G386" i="2"/>
  <c r="F386" i="2"/>
  <c r="E386" i="2"/>
  <c r="G385" i="2"/>
  <c r="F385" i="2"/>
  <c r="K385" i="2" s="1"/>
  <c r="E385" i="2"/>
  <c r="F384" i="2"/>
  <c r="J384" i="2" s="1"/>
  <c r="H384" i="2" s="1"/>
  <c r="G383" i="2"/>
  <c r="F383" i="2"/>
  <c r="I383" i="2" s="1"/>
  <c r="E383" i="2"/>
  <c r="E382" i="2"/>
  <c r="G382" i="2" s="1"/>
  <c r="G381" i="2"/>
  <c r="E381" i="2"/>
  <c r="F381" i="2" s="1"/>
  <c r="K381" i="2" s="1"/>
  <c r="G379" i="2"/>
  <c r="F379" i="2"/>
  <c r="I379" i="2" s="1"/>
  <c r="E379" i="2"/>
  <c r="G378" i="2"/>
  <c r="F378" i="2"/>
  <c r="E378" i="2"/>
  <c r="G375" i="2"/>
  <c r="F375" i="2"/>
  <c r="K375" i="2" s="1"/>
  <c r="E375" i="2"/>
  <c r="F374" i="2"/>
  <c r="J374" i="2" s="1"/>
  <c r="H374" i="2" s="1"/>
  <c r="E374" i="2"/>
  <c r="G373" i="2"/>
  <c r="F373" i="2"/>
  <c r="K373" i="2" s="1"/>
  <c r="E373" i="2"/>
  <c r="E372" i="2"/>
  <c r="G372" i="2" s="1"/>
  <c r="G371" i="2"/>
  <c r="E371" i="2"/>
  <c r="F371" i="2" s="1"/>
  <c r="K371" i="2" s="1"/>
  <c r="G370" i="2"/>
  <c r="F370" i="2"/>
  <c r="K370" i="2" s="1"/>
  <c r="E370" i="2"/>
  <c r="G369" i="2"/>
  <c r="F369" i="2"/>
  <c r="I369" i="2" s="1"/>
  <c r="E369" i="2"/>
  <c r="G368" i="2"/>
  <c r="F368" i="2"/>
  <c r="E368" i="2"/>
  <c r="F367" i="2"/>
  <c r="K367" i="2" s="1"/>
  <c r="F366" i="2"/>
  <c r="J366" i="2" s="1"/>
  <c r="H366" i="2" s="1"/>
  <c r="E366" i="2"/>
  <c r="E365" i="2"/>
  <c r="E364" i="2"/>
  <c r="G364" i="2" s="1"/>
  <c r="J363" i="2"/>
  <c r="H363" i="2" s="1"/>
  <c r="G362" i="2"/>
  <c r="F362" i="2"/>
  <c r="K362" i="2" s="1"/>
  <c r="E362" i="2"/>
  <c r="G361" i="2"/>
  <c r="F361" i="2"/>
  <c r="I361" i="2" s="1"/>
  <c r="E361" i="2"/>
  <c r="F359" i="2"/>
  <c r="K359" i="2" s="1"/>
  <c r="E359" i="2"/>
  <c r="G359" i="2" s="1"/>
  <c r="F357" i="2"/>
  <c r="K357" i="2" s="1"/>
  <c r="E357" i="2"/>
  <c r="F356" i="2"/>
  <c r="K356" i="2" s="1"/>
  <c r="E356" i="2"/>
  <c r="G356" i="2" s="1"/>
  <c r="G355" i="2"/>
  <c r="F355" i="2"/>
  <c r="K355" i="2" s="1"/>
  <c r="F354" i="2"/>
  <c r="K354" i="2" s="1"/>
  <c r="G353" i="2"/>
  <c r="E353" i="2"/>
  <c r="E352" i="2"/>
  <c r="G351" i="2"/>
  <c r="F351" i="2"/>
  <c r="K351" i="2" s="1"/>
  <c r="E351" i="2"/>
  <c r="F350" i="2"/>
  <c r="E350" i="2"/>
  <c r="G350" i="2" s="1"/>
  <c r="G348" i="2"/>
  <c r="E348" i="2"/>
  <c r="F346" i="2"/>
  <c r="K346" i="2" s="1"/>
  <c r="E346" i="2"/>
  <c r="G345" i="2"/>
  <c r="E345" i="2"/>
  <c r="F345" i="2" s="1"/>
  <c r="K345" i="2" s="1"/>
  <c r="G344" i="2"/>
  <c r="F344" i="2"/>
  <c r="I344" i="2" s="1"/>
  <c r="E344" i="2"/>
  <c r="F343" i="2"/>
  <c r="J343" i="2" s="1"/>
  <c r="H343" i="2" s="1"/>
  <c r="E343" i="2"/>
  <c r="G342" i="2"/>
  <c r="E342" i="2"/>
  <c r="E341" i="2"/>
  <c r="F340" i="2"/>
  <c r="K340" i="2" s="1"/>
  <c r="F339" i="2"/>
  <c r="K339" i="2" s="1"/>
  <c r="E339" i="2"/>
  <c r="E338" i="2"/>
  <c r="G336" i="2"/>
  <c r="F336" i="2"/>
  <c r="K336" i="2" s="1"/>
  <c r="E336" i="2"/>
  <c r="E335" i="2"/>
  <c r="E334" i="2"/>
  <c r="G331" i="2"/>
  <c r="F331" i="2"/>
  <c r="J331" i="2" s="1"/>
  <c r="H331" i="2" s="1"/>
  <c r="E331" i="2"/>
  <c r="G330" i="2"/>
  <c r="F329" i="2"/>
  <c r="E329" i="2"/>
  <c r="G327" i="2"/>
  <c r="E327" i="2"/>
  <c r="G326" i="2"/>
  <c r="F326" i="2"/>
  <c r="E326" i="2"/>
  <c r="F325" i="2"/>
  <c r="I325" i="2" s="1"/>
  <c r="E325" i="2"/>
  <c r="E322" i="2"/>
  <c r="G321" i="2"/>
  <c r="F321" i="2"/>
  <c r="J321" i="2" s="1"/>
  <c r="H321" i="2" s="1"/>
  <c r="E321" i="2"/>
  <c r="G320" i="2"/>
  <c r="F320" i="2"/>
  <c r="K320" i="2" s="1"/>
  <c r="E320" i="2"/>
  <c r="F319" i="2"/>
  <c r="E319" i="2"/>
  <c r="F318" i="2"/>
  <c r="E318" i="2"/>
  <c r="G317" i="2"/>
  <c r="E317" i="2"/>
  <c r="G316" i="2"/>
  <c r="F316" i="2"/>
  <c r="I316" i="2" s="1"/>
  <c r="E316" i="2"/>
  <c r="E315" i="2"/>
  <c r="G315" i="2" s="1"/>
  <c r="E314" i="2"/>
  <c r="G313" i="2"/>
  <c r="F313" i="2"/>
  <c r="J313" i="2" s="1"/>
  <c r="H313" i="2" s="1"/>
  <c r="E313" i="2"/>
  <c r="G312" i="2"/>
  <c r="F312" i="2"/>
  <c r="K312" i="2" s="1"/>
  <c r="E312" i="2"/>
  <c r="E311" i="2"/>
  <c r="E310" i="2"/>
  <c r="E309" i="2"/>
  <c r="G308" i="2"/>
  <c r="F308" i="2"/>
  <c r="I308" i="2" s="1"/>
  <c r="E308" i="2"/>
  <c r="F307" i="2"/>
  <c r="I307" i="2" s="1"/>
  <c r="E306" i="2"/>
  <c r="G305" i="2"/>
  <c r="F305" i="2"/>
  <c r="J305" i="2" s="1"/>
  <c r="H305" i="2" s="1"/>
  <c r="E305" i="2"/>
  <c r="G304" i="2"/>
  <c r="F304" i="2"/>
  <c r="E304" i="2"/>
  <c r="E302" i="2"/>
  <c r="G301" i="2"/>
  <c r="E301" i="2"/>
  <c r="G300" i="2"/>
  <c r="F300" i="2"/>
  <c r="I300" i="2" s="1"/>
  <c r="E300" i="2"/>
  <c r="F299" i="2"/>
  <c r="J299" i="2" s="1"/>
  <c r="H299" i="2" s="1"/>
  <c r="E299" i="2"/>
  <c r="G299" i="2" s="1"/>
  <c r="G298" i="2"/>
  <c r="E298" i="2"/>
  <c r="F297" i="2"/>
  <c r="J297" i="2" s="1"/>
  <c r="H297" i="2" s="1"/>
  <c r="G296" i="2"/>
  <c r="F296" i="2"/>
  <c r="J296" i="2" s="1"/>
  <c r="H296" i="2" s="1"/>
  <c r="E296" i="2"/>
  <c r="G293" i="2"/>
  <c r="E293" i="2"/>
  <c r="G291" i="2"/>
  <c r="F291" i="2"/>
  <c r="K291" i="2" s="1"/>
  <c r="E291" i="2"/>
  <c r="E289" i="2"/>
  <c r="G288" i="2"/>
  <c r="E288" i="2"/>
  <c r="G287" i="2"/>
  <c r="F287" i="2"/>
  <c r="E287" i="2"/>
  <c r="G286" i="2"/>
  <c r="K286" i="2"/>
  <c r="F284" i="2"/>
  <c r="I284" i="2" s="1"/>
  <c r="E284" i="2"/>
  <c r="G283" i="2"/>
  <c r="E283" i="2"/>
  <c r="E281" i="2"/>
  <c r="E280" i="2"/>
  <c r="F279" i="2"/>
  <c r="I279" i="2" s="1"/>
  <c r="F278" i="2"/>
  <c r="K278" i="2" s="1"/>
  <c r="E278" i="2"/>
  <c r="G278" i="2" s="1"/>
  <c r="E276" i="2"/>
  <c r="G273" i="2"/>
  <c r="E273" i="2"/>
  <c r="F272" i="2"/>
  <c r="E271" i="2"/>
  <c r="G271" i="2" s="1"/>
  <c r="E270" i="2"/>
  <c r="G267" i="2"/>
  <c r="F267" i="2"/>
  <c r="E267" i="2"/>
  <c r="G266" i="2"/>
  <c r="E266" i="2"/>
  <c r="F265" i="2"/>
  <c r="I265" i="2" s="1"/>
  <c r="E265" i="2"/>
  <c r="G264" i="2"/>
  <c r="E264" i="2"/>
  <c r="G260" i="2"/>
  <c r="E260" i="2"/>
  <c r="F259" i="2"/>
  <c r="J259" i="2" s="1"/>
  <c r="H259" i="2" s="1"/>
  <c r="E259" i="2"/>
  <c r="E258" i="2"/>
  <c r="F258" i="2" s="1"/>
  <c r="K258" i="2" s="1"/>
  <c r="F257" i="2"/>
  <c r="I257" i="2" s="1"/>
  <c r="G256" i="2"/>
  <c r="F256" i="2"/>
  <c r="J256" i="2" s="1"/>
  <c r="H256" i="2" s="1"/>
  <c r="E256" i="2"/>
  <c r="F254" i="2"/>
  <c r="I254" i="2" s="1"/>
  <c r="E254" i="2"/>
  <c r="E253" i="2"/>
  <c r="G252" i="2"/>
  <c r="E252" i="2"/>
  <c r="F252" i="2" s="1"/>
  <c r="J252" i="2" s="1"/>
  <c r="H252" i="2" s="1"/>
  <c r="G249" i="2"/>
  <c r="F249" i="2"/>
  <c r="E249" i="2"/>
  <c r="G248" i="2"/>
  <c r="E248" i="2"/>
  <c r="F247" i="2"/>
  <c r="E247" i="2"/>
  <c r="E246" i="2"/>
  <c r="G245" i="2"/>
  <c r="F245" i="2"/>
  <c r="K245" i="2" s="1"/>
  <c r="E245" i="2"/>
  <c r="E244" i="2"/>
  <c r="E243" i="2"/>
  <c r="G242" i="2"/>
  <c r="E242" i="2"/>
  <c r="F242" i="2" s="1"/>
  <c r="J242" i="2" s="1"/>
  <c r="H242" i="2" s="1"/>
  <c r="F241" i="2"/>
  <c r="E240" i="2"/>
  <c r="E239" i="2"/>
  <c r="G237" i="2"/>
  <c r="F237" i="2"/>
  <c r="K237" i="2" s="1"/>
  <c r="E237" i="2"/>
  <c r="E233" i="2"/>
  <c r="G232" i="2"/>
  <c r="E232" i="2"/>
  <c r="F232" i="2" s="1"/>
  <c r="J232" i="2" s="1"/>
  <c r="H232" i="2" s="1"/>
  <c r="F231" i="2"/>
  <c r="G230" i="2"/>
  <c r="F230" i="2"/>
  <c r="J230" i="2" s="1"/>
  <c r="H230" i="2" s="1"/>
  <c r="E230" i="2"/>
  <c r="E229" i="2"/>
  <c r="G228" i="2"/>
  <c r="G227" i="2"/>
  <c r="F227" i="2"/>
  <c r="K227" i="2" s="1"/>
  <c r="E227" i="2"/>
  <c r="E225" i="2"/>
  <c r="G222" i="2"/>
  <c r="E222" i="2"/>
  <c r="F222" i="2" s="1"/>
  <c r="J222" i="2" s="1"/>
  <c r="H222" i="2" s="1"/>
  <c r="F221" i="2"/>
  <c r="I221" i="2" s="1"/>
  <c r="E220" i="2"/>
  <c r="E219" i="2"/>
  <c r="E218" i="2"/>
  <c r="G217" i="2"/>
  <c r="F217" i="2"/>
  <c r="E217" i="2"/>
  <c r="F216" i="2"/>
  <c r="K216" i="2" s="1"/>
  <c r="E216" i="2"/>
  <c r="G216" i="2" s="1"/>
  <c r="G214" i="2"/>
  <c r="E214" i="2"/>
  <c r="F214" i="2" s="1"/>
  <c r="I214" i="2" s="1"/>
  <c r="G213" i="2"/>
  <c r="F213" i="2"/>
  <c r="I213" i="2" s="1"/>
  <c r="E213" i="2"/>
  <c r="F212" i="2"/>
  <c r="J212" i="2" s="1"/>
  <c r="H212" i="2" s="1"/>
  <c r="G211" i="2"/>
  <c r="F211" i="2"/>
  <c r="E211" i="2"/>
  <c r="F209" i="2"/>
  <c r="J209" i="2" s="1"/>
  <c r="H209" i="2" s="1"/>
  <c r="E209" i="2"/>
  <c r="E208" i="2"/>
  <c r="G206" i="2"/>
  <c r="E206" i="2"/>
  <c r="F206" i="2" s="1"/>
  <c r="J206" i="2" s="1"/>
  <c r="H206" i="2" s="1"/>
  <c r="G205" i="2"/>
  <c r="F205" i="2"/>
  <c r="J205" i="2" s="1"/>
  <c r="H205" i="2" s="1"/>
  <c r="E205" i="2"/>
  <c r="G202" i="2"/>
  <c r="E202" i="2"/>
  <c r="G201" i="2"/>
  <c r="F201" i="2"/>
  <c r="I201" i="2" s="1"/>
  <c r="E201" i="2"/>
  <c r="G200" i="2"/>
  <c r="E200" i="2"/>
  <c r="F199" i="2"/>
  <c r="K199" i="2" s="1"/>
  <c r="E199" i="2"/>
  <c r="F198" i="2"/>
  <c r="I198" i="2" s="1"/>
  <c r="E197" i="2"/>
  <c r="G194" i="2"/>
  <c r="E194" i="2"/>
  <c r="F194" i="2" s="1"/>
  <c r="I194" i="2" s="1"/>
  <c r="F193" i="2"/>
  <c r="J193" i="2" s="1"/>
  <c r="H193" i="2" s="1"/>
  <c r="G192" i="2"/>
  <c r="F192" i="2"/>
  <c r="J192" i="2" s="1"/>
  <c r="H192" i="2" s="1"/>
  <c r="E192" i="2"/>
  <c r="G191" i="2"/>
  <c r="F191" i="2"/>
  <c r="E191" i="2"/>
  <c r="F190" i="2"/>
  <c r="I190" i="2" s="1"/>
  <c r="E190" i="2"/>
  <c r="E189" i="2"/>
  <c r="G188" i="2"/>
  <c r="F188" i="2"/>
  <c r="I188" i="2" s="1"/>
  <c r="E188" i="2"/>
  <c r="F187" i="2"/>
  <c r="J187" i="2" s="1"/>
  <c r="H187" i="2" s="1"/>
  <c r="F186" i="2"/>
  <c r="J186" i="2" s="1"/>
  <c r="H186" i="2" s="1"/>
  <c r="E186" i="2"/>
  <c r="G186" i="2" s="1"/>
  <c r="G185" i="2"/>
  <c r="E185" i="2"/>
  <c r="G184" i="2"/>
  <c r="F184" i="2"/>
  <c r="E184" i="2"/>
  <c r="E183" i="2"/>
  <c r="F182" i="2"/>
  <c r="I182" i="2" s="1"/>
  <c r="E182" i="2"/>
  <c r="G178" i="2"/>
  <c r="F178" i="2"/>
  <c r="I178" i="2" s="1"/>
  <c r="E178" i="2"/>
  <c r="G177" i="2"/>
  <c r="F177" i="2"/>
  <c r="J177" i="2" s="1"/>
  <c r="H177" i="2" s="1"/>
  <c r="E177" i="2"/>
  <c r="F176" i="2"/>
  <c r="J176" i="2" s="1"/>
  <c r="H176" i="2" s="1"/>
  <c r="E176" i="2"/>
  <c r="G176" i="2" s="1"/>
  <c r="E175" i="2"/>
  <c r="G174" i="2"/>
  <c r="F174" i="2"/>
  <c r="E174" i="2"/>
  <c r="E173" i="2"/>
  <c r="F172" i="2"/>
  <c r="I172" i="2" s="1"/>
  <c r="E171" i="2"/>
  <c r="F170" i="2"/>
  <c r="G169" i="2"/>
  <c r="F169" i="2"/>
  <c r="J169" i="2" s="1"/>
  <c r="H169" i="2" s="1"/>
  <c r="E169" i="2"/>
  <c r="F168" i="2"/>
  <c r="J168" i="2" s="1"/>
  <c r="H168" i="2" s="1"/>
  <c r="E168" i="2"/>
  <c r="G168" i="2" s="1"/>
  <c r="G167" i="2"/>
  <c r="E167" i="2"/>
  <c r="G166" i="2"/>
  <c r="F166" i="2"/>
  <c r="E166" i="2"/>
  <c r="F164" i="2"/>
  <c r="I164" i="2" s="1"/>
  <c r="E164" i="2"/>
  <c r="G162" i="2"/>
  <c r="F162" i="2"/>
  <c r="K162" i="2" s="1"/>
  <c r="E162" i="2"/>
  <c r="G161" i="2"/>
  <c r="F161" i="2"/>
  <c r="J161" i="2" s="1"/>
  <c r="H161" i="2" s="1"/>
  <c r="E161" i="2"/>
  <c r="F160" i="2"/>
  <c r="J160" i="2" s="1"/>
  <c r="H160" i="2" s="1"/>
  <c r="G158" i="2"/>
  <c r="F158" i="2"/>
  <c r="E158" i="2"/>
  <c r="G157" i="2"/>
  <c r="E157" i="2"/>
  <c r="F156" i="2"/>
  <c r="I156" i="2" s="1"/>
  <c r="E156" i="2"/>
  <c r="G152" i="2"/>
  <c r="F152" i="2"/>
  <c r="K152" i="2" s="1"/>
  <c r="E152" i="2"/>
  <c r="F151" i="2"/>
  <c r="J151" i="2" s="1"/>
  <c r="H151" i="2" s="1"/>
  <c r="F150" i="2"/>
  <c r="J150" i="2" s="1"/>
  <c r="H150" i="2" s="1"/>
  <c r="E150" i="2"/>
  <c r="G150" i="2" s="1"/>
  <c r="G149" i="2"/>
  <c r="G148" i="2"/>
  <c r="F148" i="2"/>
  <c r="E148" i="2"/>
  <c r="E147" i="2"/>
  <c r="F146" i="2"/>
  <c r="I146" i="2" s="1"/>
  <c r="E146" i="2"/>
  <c r="E145" i="2"/>
  <c r="G144" i="2"/>
  <c r="F144" i="2"/>
  <c r="J144" i="2" s="1"/>
  <c r="H144" i="2" s="1"/>
  <c r="E144" i="2"/>
  <c r="G143" i="2"/>
  <c r="F143" i="2"/>
  <c r="J143" i="2" s="1"/>
  <c r="H143" i="2" s="1"/>
  <c r="E143" i="2"/>
  <c r="F142" i="2"/>
  <c r="J142" i="2" s="1"/>
  <c r="H142" i="2" s="1"/>
  <c r="E142" i="2"/>
  <c r="G142" i="2" s="1"/>
  <c r="E141" i="2"/>
  <c r="G140" i="2"/>
  <c r="F140" i="2"/>
  <c r="J140" i="2" s="1"/>
  <c r="H140" i="2" s="1"/>
  <c r="E140" i="2"/>
  <c r="F138" i="2"/>
  <c r="J138" i="2" s="1"/>
  <c r="H138" i="2" s="1"/>
  <c r="E138" i="2"/>
  <c r="G136" i="2"/>
  <c r="F136" i="2"/>
  <c r="J136" i="2" s="1"/>
  <c r="H136" i="2" s="1"/>
  <c r="E136" i="2"/>
  <c r="J135" i="2"/>
  <c r="H135" i="2" s="1"/>
  <c r="E134" i="2"/>
  <c r="G133" i="2"/>
  <c r="E133" i="2"/>
  <c r="G130" i="2"/>
  <c r="F130" i="2"/>
  <c r="J130" i="2" s="1"/>
  <c r="H130" i="2" s="1"/>
  <c r="E130" i="2"/>
  <c r="E129" i="2"/>
  <c r="F128" i="2"/>
  <c r="J128" i="2" s="1"/>
  <c r="H128" i="2" s="1"/>
  <c r="E128" i="2"/>
  <c r="E127" i="2"/>
  <c r="G126" i="2"/>
  <c r="F126" i="2"/>
  <c r="J126" i="2" s="1"/>
  <c r="H126" i="2" s="1"/>
  <c r="E126" i="2"/>
  <c r="F125" i="2"/>
  <c r="K125" i="2" s="1"/>
  <c r="F124" i="2"/>
  <c r="I124" i="2" s="1"/>
  <c r="E124" i="2"/>
  <c r="G123" i="2"/>
  <c r="E123" i="2"/>
  <c r="G122" i="2"/>
  <c r="F122" i="2"/>
  <c r="J122" i="2" s="1"/>
  <c r="H122" i="2" s="1"/>
  <c r="E122" i="2"/>
  <c r="G121" i="2"/>
  <c r="F121" i="2"/>
  <c r="J121" i="2" s="1"/>
  <c r="H121" i="2" s="1"/>
  <c r="E121" i="2"/>
  <c r="F118" i="2"/>
  <c r="J118" i="2" s="1"/>
  <c r="H118" i="2" s="1"/>
  <c r="E118" i="2"/>
  <c r="G116" i="2"/>
  <c r="F116" i="2"/>
  <c r="J116" i="2" s="1"/>
  <c r="H116" i="2" s="1"/>
  <c r="E116" i="2"/>
  <c r="G115" i="2"/>
  <c r="F115" i="2"/>
  <c r="I115" i="2" s="1"/>
  <c r="E115" i="2"/>
  <c r="E114" i="2"/>
  <c r="F114" i="2" s="1"/>
  <c r="E113" i="2"/>
  <c r="G112" i="2"/>
  <c r="F112" i="2"/>
  <c r="J112" i="2" s="1"/>
  <c r="H112" i="2" s="1"/>
  <c r="E112" i="2"/>
  <c r="E110" i="2"/>
  <c r="G108" i="2"/>
  <c r="F108" i="2"/>
  <c r="J108" i="2" s="1"/>
  <c r="H108" i="2" s="1"/>
  <c r="E108" i="2"/>
  <c r="G106" i="2"/>
  <c r="F106" i="2"/>
  <c r="K106" i="2" s="1"/>
  <c r="E106" i="2"/>
  <c r="F104" i="2"/>
  <c r="I104" i="2" s="1"/>
  <c r="E104" i="2"/>
  <c r="G103" i="2"/>
  <c r="E103" i="2"/>
  <c r="G102" i="2"/>
  <c r="F102" i="2"/>
  <c r="J102" i="2" s="1"/>
  <c r="H102" i="2" s="1"/>
  <c r="E102" i="2"/>
  <c r="F101" i="2"/>
  <c r="J101" i="2" s="1"/>
  <c r="H101" i="2" s="1"/>
  <c r="E101" i="2"/>
  <c r="F100" i="2"/>
  <c r="J100" i="2" s="1"/>
  <c r="H100" i="2" s="1"/>
  <c r="E99" i="2"/>
  <c r="F98" i="2"/>
  <c r="G97" i="2"/>
  <c r="F96" i="2"/>
  <c r="I96" i="2" s="1"/>
  <c r="E96" i="2"/>
  <c r="E95" i="2"/>
  <c r="G94" i="2"/>
  <c r="F94" i="2"/>
  <c r="K94" i="2" s="1"/>
  <c r="E94" i="2"/>
  <c r="E91" i="2"/>
  <c r="F90" i="2"/>
  <c r="J90" i="2" s="1"/>
  <c r="H90" i="2" s="1"/>
  <c r="E89" i="2"/>
  <c r="G88" i="2"/>
  <c r="F88" i="2"/>
  <c r="K88" i="2" s="1"/>
  <c r="E88" i="2"/>
  <c r="E87" i="2"/>
  <c r="F86" i="2"/>
  <c r="J86" i="2" s="1"/>
  <c r="H86" i="2" s="1"/>
  <c r="E86" i="2"/>
  <c r="G84" i="2"/>
  <c r="F84" i="2"/>
  <c r="K84" i="2" s="1"/>
  <c r="E84" i="2"/>
  <c r="G83" i="2"/>
  <c r="E83" i="2"/>
  <c r="F83" i="2" s="1"/>
  <c r="J83" i="2" s="1"/>
  <c r="H83" i="2" s="1"/>
  <c r="F82" i="2"/>
  <c r="I82" i="2" s="1"/>
  <c r="E82" i="2"/>
  <c r="E81" i="2"/>
  <c r="F80" i="2"/>
  <c r="E79" i="2"/>
  <c r="F78" i="2"/>
  <c r="J78" i="2" s="1"/>
  <c r="H78" i="2" s="1"/>
  <c r="E78" i="2"/>
  <c r="E77" i="2"/>
  <c r="G76" i="2"/>
  <c r="F76" i="2"/>
  <c r="K76" i="2" s="1"/>
  <c r="E76" i="2"/>
  <c r="F74" i="2"/>
  <c r="J74" i="2" s="1"/>
  <c r="H74" i="2" s="1"/>
  <c r="E74" i="2"/>
  <c r="E73" i="2"/>
  <c r="G72" i="2"/>
  <c r="F72" i="2"/>
  <c r="J72" i="2" s="1"/>
  <c r="H72" i="2" s="1"/>
  <c r="E72" i="2"/>
  <c r="E71" i="2"/>
  <c r="F70" i="2"/>
  <c r="I70" i="2" s="1"/>
  <c r="E70" i="2"/>
  <c r="E69" i="2"/>
  <c r="G66" i="2"/>
  <c r="F66" i="2"/>
  <c r="K66" i="2" s="1"/>
  <c r="E66" i="2"/>
  <c r="F65" i="2"/>
  <c r="J65" i="2" s="1"/>
  <c r="H65" i="2" s="1"/>
  <c r="F64" i="2"/>
  <c r="I64" i="2" s="1"/>
  <c r="E64" i="2"/>
  <c r="E63" i="2"/>
  <c r="F62" i="2"/>
  <c r="E61" i="2"/>
  <c r="G61" i="2" s="1"/>
  <c r="F60" i="2"/>
  <c r="J60" i="2" s="1"/>
  <c r="H60" i="2" s="1"/>
  <c r="E60" i="2"/>
  <c r="E59" i="2"/>
  <c r="F58" i="2"/>
  <c r="K58" i="2" s="1"/>
  <c r="E56" i="2"/>
  <c r="F54" i="2"/>
  <c r="I54" i="2" s="1"/>
  <c r="E54" i="2"/>
  <c r="E53" i="2"/>
  <c r="G53" i="2" s="1"/>
  <c r="F52" i="2"/>
  <c r="E52" i="2"/>
  <c r="F50" i="2"/>
  <c r="I50" i="2" s="1"/>
  <c r="E50" i="2"/>
  <c r="G50" i="2" s="1"/>
  <c r="G48" i="2"/>
  <c r="F48" i="2"/>
  <c r="K48" i="2" s="1"/>
  <c r="E48" i="2"/>
  <c r="G47" i="2"/>
  <c r="E47" i="2"/>
  <c r="F47" i="2" s="1"/>
  <c r="G46" i="2"/>
  <c r="F46" i="2"/>
  <c r="J46" i="2" s="1"/>
  <c r="H46" i="2" s="1"/>
  <c r="E46" i="2"/>
  <c r="E45" i="2"/>
  <c r="F42" i="2"/>
  <c r="E42" i="2"/>
  <c r="F40" i="2"/>
  <c r="I40" i="2" s="1"/>
  <c r="E40" i="2"/>
  <c r="G40" i="2" s="1"/>
  <c r="E39" i="2"/>
  <c r="G39" i="2" s="1"/>
  <c r="F38" i="2"/>
  <c r="K38" i="2" s="1"/>
  <c r="G37" i="2"/>
  <c r="E37" i="2"/>
  <c r="F37" i="2" s="1"/>
  <c r="G36" i="2"/>
  <c r="F36" i="2"/>
  <c r="J36" i="2" s="1"/>
  <c r="H36" i="2" s="1"/>
  <c r="E36" i="2"/>
  <c r="E35" i="2"/>
  <c r="F34" i="2"/>
  <c r="E34" i="2"/>
  <c r="E33" i="2"/>
  <c r="F32" i="2"/>
  <c r="I32" i="2" s="1"/>
  <c r="E32" i="2"/>
  <c r="G32" i="2" s="1"/>
  <c r="E31" i="2"/>
  <c r="G31" i="2" s="1"/>
  <c r="G30" i="2"/>
  <c r="F30" i="2"/>
  <c r="K30" i="2" s="1"/>
  <c r="E30" i="2"/>
  <c r="G29" i="2"/>
  <c r="E29" i="2"/>
  <c r="F29" i="2" s="1"/>
  <c r="F28" i="2"/>
  <c r="J28" i="2" s="1"/>
  <c r="H28" i="2" s="1"/>
  <c r="E27" i="2"/>
  <c r="F26" i="2"/>
  <c r="E25" i="2"/>
  <c r="F24" i="2"/>
  <c r="I24" i="2" s="1"/>
  <c r="E24" i="2"/>
  <c r="G24" i="2" s="1"/>
  <c r="E23" i="2"/>
  <c r="G23" i="2" s="1"/>
  <c r="K22" i="2"/>
  <c r="G21" i="2"/>
  <c r="E21" i="2"/>
  <c r="F21" i="2" s="1"/>
  <c r="G20" i="2"/>
  <c r="F20" i="2"/>
  <c r="J20" i="2" s="1"/>
  <c r="H20" i="2" s="1"/>
  <c r="E20" i="2"/>
  <c r="E17" i="2"/>
  <c r="F16" i="2"/>
  <c r="E16" i="2"/>
  <c r="E15" i="2"/>
  <c r="K14" i="2"/>
  <c r="J14" i="2"/>
  <c r="H14" i="2" s="1"/>
  <c r="I14" i="2"/>
  <c r="E13" i="2"/>
  <c r="G13" i="2" s="1"/>
  <c r="G12" i="2"/>
  <c r="F12" i="2"/>
  <c r="K12" i="2" s="1"/>
  <c r="E12" i="2"/>
  <c r="F11" i="2"/>
  <c r="F10" i="2"/>
  <c r="J10" i="2" s="1"/>
  <c r="H10" i="2" s="1"/>
  <c r="F6" i="2"/>
  <c r="E6" i="2"/>
  <c r="K6" i="2" s="1"/>
  <c r="E5" i="2"/>
  <c r="F4" i="2"/>
  <c r="I4" i="2" s="1"/>
  <c r="E3" i="2"/>
  <c r="G3" i="2" s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K170" i="2" l="1"/>
  <c r="K282" i="2"/>
  <c r="G14" i="2"/>
  <c r="J12" i="2"/>
  <c r="H12" i="2" s="1"/>
  <c r="J40" i="2"/>
  <c r="H40" i="2" s="1"/>
  <c r="I76" i="2"/>
  <c r="K4" i="2"/>
  <c r="J24" i="2"/>
  <c r="H24" i="2" s="1"/>
  <c r="J4" i="2"/>
  <c r="K10" i="2" s="1"/>
  <c r="K24" i="2"/>
  <c r="K299" i="2"/>
  <c r="K136" i="2"/>
  <c r="K126" i="2"/>
  <c r="I362" i="2"/>
  <c r="J66" i="2"/>
  <c r="H66" i="2" s="1"/>
  <c r="K128" i="2"/>
  <c r="I351" i="2"/>
  <c r="J456" i="2"/>
  <c r="H456" i="2" s="1"/>
  <c r="J477" i="2"/>
  <c r="H477" i="2" s="1"/>
  <c r="K116" i="2"/>
  <c r="I66" i="2"/>
  <c r="K108" i="2"/>
  <c r="I130" i="2"/>
  <c r="K169" i="2"/>
  <c r="I406" i="2"/>
  <c r="I94" i="2"/>
  <c r="J447" i="2"/>
  <c r="H447" i="2" s="1"/>
  <c r="I193" i="2"/>
  <c r="I445" i="2"/>
  <c r="K447" i="2"/>
  <c r="K52" i="2"/>
  <c r="I414" i="2"/>
  <c r="I162" i="2"/>
  <c r="J172" i="2"/>
  <c r="H172" i="2" s="1"/>
  <c r="J414" i="2"/>
  <c r="H414" i="2" s="1"/>
  <c r="I122" i="2"/>
  <c r="K209" i="2"/>
  <c r="J406" i="2"/>
  <c r="H406" i="2" s="1"/>
  <c r="K444" i="2"/>
  <c r="K475" i="2"/>
  <c r="K477" i="2"/>
  <c r="K188" i="2"/>
  <c r="I98" i="2"/>
  <c r="I102" i="2"/>
  <c r="K205" i="2"/>
  <c r="I305" i="2"/>
  <c r="K454" i="2"/>
  <c r="J213" i="2"/>
  <c r="H213" i="2" s="1"/>
  <c r="I242" i="2"/>
  <c r="I252" i="2"/>
  <c r="J279" i="2"/>
  <c r="K297" i="2" s="1"/>
  <c r="K305" i="2"/>
  <c r="I371" i="2"/>
  <c r="K415" i="2"/>
  <c r="J420" i="2"/>
  <c r="H420" i="2" s="1"/>
  <c r="I456" i="2"/>
  <c r="K458" i="2"/>
  <c r="J70" i="2"/>
  <c r="H70" i="2" s="1"/>
  <c r="I88" i="2"/>
  <c r="K190" i="2"/>
  <c r="K213" i="2"/>
  <c r="J30" i="2"/>
  <c r="H30" i="2" s="1"/>
  <c r="K36" i="2"/>
  <c r="K46" i="2"/>
  <c r="I312" i="2"/>
  <c r="K412" i="2"/>
  <c r="J32" i="2"/>
  <c r="H32" i="2" s="1"/>
  <c r="I58" i="2"/>
  <c r="I62" i="2"/>
  <c r="I80" i="2"/>
  <c r="K101" i="2"/>
  <c r="I126" i="2"/>
  <c r="K144" i="2"/>
  <c r="I152" i="2"/>
  <c r="I158" i="2"/>
  <c r="I232" i="2"/>
  <c r="K252" i="2"/>
  <c r="J265" i="2"/>
  <c r="H265" i="2" s="1"/>
  <c r="I297" i="2"/>
  <c r="I321" i="2"/>
  <c r="K344" i="2"/>
  <c r="I356" i="2"/>
  <c r="I405" i="2"/>
  <c r="I423" i="2"/>
  <c r="I430" i="2"/>
  <c r="J441" i="2"/>
  <c r="H441" i="2" s="1"/>
  <c r="J464" i="2"/>
  <c r="K32" i="2"/>
  <c r="J94" i="2"/>
  <c r="H94" i="2" s="1"/>
  <c r="J98" i="2"/>
  <c r="K321" i="2"/>
  <c r="J356" i="2"/>
  <c r="H356" i="2" s="1"/>
  <c r="J383" i="2"/>
  <c r="H383" i="2" s="1"/>
  <c r="I391" i="2"/>
  <c r="J405" i="2"/>
  <c r="H405" i="2" s="1"/>
  <c r="I419" i="2"/>
  <c r="J423" i="2"/>
  <c r="H423" i="2" s="1"/>
  <c r="K441" i="2"/>
  <c r="I474" i="2"/>
  <c r="I136" i="2"/>
  <c r="J178" i="2"/>
  <c r="H178" i="2" s="1"/>
  <c r="I187" i="2"/>
  <c r="J194" i="2"/>
  <c r="H194" i="2" s="1"/>
  <c r="I320" i="2"/>
  <c r="J357" i="2"/>
  <c r="H357" i="2" s="1"/>
  <c r="K383" i="2"/>
  <c r="J388" i="2"/>
  <c r="H388" i="2" s="1"/>
  <c r="J391" i="2"/>
  <c r="H391" i="2" s="1"/>
  <c r="K420" i="2"/>
  <c r="K421" i="2"/>
  <c r="I440" i="2"/>
  <c r="J450" i="2"/>
  <c r="H450" i="2" s="1"/>
  <c r="I455" i="2"/>
  <c r="K467" i="2"/>
  <c r="J474" i="2"/>
  <c r="H474" i="2" s="1"/>
  <c r="K259" i="2"/>
  <c r="K20" i="2"/>
  <c r="K42" i="2"/>
  <c r="J58" i="2"/>
  <c r="K193" i="2" s="1"/>
  <c r="J62" i="2"/>
  <c r="K221" i="2" s="1"/>
  <c r="I108" i="2"/>
  <c r="I116" i="2"/>
  <c r="I169" i="2"/>
  <c r="K178" i="2"/>
  <c r="K187" i="2"/>
  <c r="K194" i="2"/>
  <c r="I205" i="2"/>
  <c r="I354" i="2"/>
  <c r="J370" i="2"/>
  <c r="H370" i="2" s="1"/>
  <c r="I373" i="2"/>
  <c r="I429" i="2"/>
  <c r="I438" i="2"/>
  <c r="J440" i="2"/>
  <c r="H440" i="2" s="1"/>
  <c r="K28" i="2"/>
  <c r="K156" i="2"/>
  <c r="I211" i="2"/>
  <c r="J373" i="2"/>
  <c r="H373" i="2" s="1"/>
  <c r="J429" i="2"/>
  <c r="H429" i="2" s="1"/>
  <c r="I144" i="2"/>
  <c r="I174" i="2"/>
  <c r="I411" i="2"/>
  <c r="K443" i="2"/>
  <c r="K461" i="2"/>
  <c r="I216" i="2"/>
  <c r="I258" i="2"/>
  <c r="I291" i="2"/>
  <c r="K308" i="2"/>
  <c r="I437" i="2"/>
  <c r="I451" i="2"/>
  <c r="I457" i="2"/>
  <c r="I463" i="2"/>
  <c r="K466" i="2"/>
  <c r="I22" i="2"/>
  <c r="K26" i="2"/>
  <c r="I38" i="2"/>
  <c r="J50" i="2"/>
  <c r="H50" i="2" s="1"/>
  <c r="J54" i="2"/>
  <c r="H54" i="2" s="1"/>
  <c r="K72" i="2"/>
  <c r="I84" i="2"/>
  <c r="I90" i="2"/>
  <c r="K143" i="2"/>
  <c r="J162" i="2"/>
  <c r="H162" i="2" s="1"/>
  <c r="J170" i="2"/>
  <c r="I192" i="2"/>
  <c r="K198" i="2"/>
  <c r="J258" i="2"/>
  <c r="H258" i="2" s="1"/>
  <c r="K296" i="2"/>
  <c r="J300" i="2"/>
  <c r="H300" i="2" s="1"/>
  <c r="I343" i="2"/>
  <c r="J355" i="2"/>
  <c r="H355" i="2" s="1"/>
  <c r="J396" i="2"/>
  <c r="H396" i="2" s="1"/>
  <c r="J399" i="2"/>
  <c r="H399" i="2" s="1"/>
  <c r="I404" i="2"/>
  <c r="I407" i="2"/>
  <c r="I413" i="2"/>
  <c r="I422" i="2"/>
  <c r="I428" i="2"/>
  <c r="I431" i="2"/>
  <c r="I439" i="2"/>
  <c r="J446" i="2"/>
  <c r="H446" i="2" s="1"/>
  <c r="J451" i="2"/>
  <c r="H451" i="2" s="1"/>
  <c r="J457" i="2"/>
  <c r="K463" i="2"/>
  <c r="J22" i="2"/>
  <c r="J38" i="2"/>
  <c r="J76" i="2"/>
  <c r="H76" i="2" s="1"/>
  <c r="K102" i="2"/>
  <c r="J106" i="2"/>
  <c r="H106" i="2" s="1"/>
  <c r="K122" i="2"/>
  <c r="I125" i="2"/>
  <c r="I135" i="2"/>
  <c r="I177" i="2"/>
  <c r="I206" i="2"/>
  <c r="J214" i="2"/>
  <c r="H214" i="2" s="1"/>
  <c r="I256" i="2"/>
  <c r="I282" i="2"/>
  <c r="K300" i="2"/>
  <c r="I313" i="2"/>
  <c r="J320" i="2"/>
  <c r="H320" i="2" s="1"/>
  <c r="I331" i="2"/>
  <c r="I345" i="2"/>
  <c r="I389" i="2"/>
  <c r="K399" i="2"/>
  <c r="J404" i="2"/>
  <c r="H404" i="2" s="1"/>
  <c r="J407" i="2"/>
  <c r="H407" i="2" s="1"/>
  <c r="J413" i="2"/>
  <c r="H413" i="2" s="1"/>
  <c r="J422" i="2"/>
  <c r="H422" i="2" s="1"/>
  <c r="J431" i="2"/>
  <c r="H431" i="2" s="1"/>
  <c r="K434" i="2"/>
  <c r="J439" i="2"/>
  <c r="I459" i="2"/>
  <c r="I465" i="2"/>
  <c r="I473" i="2"/>
  <c r="K476" i="2"/>
  <c r="I446" i="2"/>
  <c r="J80" i="2"/>
  <c r="K151" i="2" s="1"/>
  <c r="J125" i="2"/>
  <c r="K130" i="2"/>
  <c r="K135" i="2"/>
  <c r="J152" i="2"/>
  <c r="H152" i="2" s="1"/>
  <c r="K177" i="2"/>
  <c r="K206" i="2"/>
  <c r="K214" i="2"/>
  <c r="J282" i="2"/>
  <c r="K363" i="2" s="1"/>
  <c r="K313" i="2"/>
  <c r="K331" i="2"/>
  <c r="J340" i="2"/>
  <c r="J345" i="2"/>
  <c r="H345" i="2" s="1"/>
  <c r="J459" i="2"/>
  <c r="H459" i="2" s="1"/>
  <c r="J465" i="2"/>
  <c r="H465" i="2" s="1"/>
  <c r="K473" i="2"/>
  <c r="I143" i="2"/>
  <c r="J156" i="2"/>
  <c r="H156" i="2" s="1"/>
  <c r="I396" i="2"/>
  <c r="I48" i="2"/>
  <c r="J84" i="2"/>
  <c r="H84" i="2" s="1"/>
  <c r="I128" i="2"/>
  <c r="I161" i="2"/>
  <c r="J245" i="2"/>
  <c r="H245" i="2" s="1"/>
  <c r="I412" i="2"/>
  <c r="I415" i="2"/>
  <c r="I421" i="2"/>
  <c r="I427" i="2"/>
  <c r="J430" i="2"/>
  <c r="H430" i="2" s="1"/>
  <c r="K450" i="2"/>
  <c r="I467" i="2"/>
  <c r="I475" i="2"/>
  <c r="I212" i="2"/>
  <c r="I381" i="2"/>
  <c r="I12" i="2"/>
  <c r="K16" i="2"/>
  <c r="I30" i="2"/>
  <c r="K34" i="2"/>
  <c r="J48" i="2"/>
  <c r="H48" i="2" s="1"/>
  <c r="I72" i="2"/>
  <c r="I74" i="2"/>
  <c r="J88" i="2"/>
  <c r="H88" i="2" s="1"/>
  <c r="I151" i="2"/>
  <c r="K161" i="2"/>
  <c r="I170" i="2"/>
  <c r="J188" i="2"/>
  <c r="H188" i="2" s="1"/>
  <c r="K222" i="2"/>
  <c r="J344" i="2"/>
  <c r="H344" i="2" s="1"/>
  <c r="J380" i="2"/>
  <c r="K439" i="2" s="1"/>
  <c r="K428" i="2"/>
  <c r="J438" i="2"/>
  <c r="H438" i="2" s="1"/>
  <c r="I464" i="2"/>
  <c r="I29" i="2"/>
  <c r="K29" i="2"/>
  <c r="K21" i="2"/>
  <c r="I21" i="2"/>
  <c r="I37" i="2"/>
  <c r="K37" i="2"/>
  <c r="I11" i="2"/>
  <c r="K11" i="2"/>
  <c r="I47" i="2"/>
  <c r="K47" i="2"/>
  <c r="F89" i="2"/>
  <c r="J89" i="2" s="1"/>
  <c r="H89" i="2" s="1"/>
  <c r="G145" i="2"/>
  <c r="F145" i="2"/>
  <c r="I145" i="2" s="1"/>
  <c r="K166" i="2"/>
  <c r="J166" i="2"/>
  <c r="H166" i="2" s="1"/>
  <c r="F220" i="2"/>
  <c r="J220" i="2" s="1"/>
  <c r="H220" i="2" s="1"/>
  <c r="G243" i="2"/>
  <c r="F243" i="2"/>
  <c r="J243" i="2" s="1"/>
  <c r="H243" i="2" s="1"/>
  <c r="F246" i="2"/>
  <c r="J246" i="2" s="1"/>
  <c r="H246" i="2" s="1"/>
  <c r="G246" i="2"/>
  <c r="I249" i="2"/>
  <c r="J249" i="2"/>
  <c r="H249" i="2" s="1"/>
  <c r="F270" i="2"/>
  <c r="I270" i="2" s="1"/>
  <c r="G270" i="2"/>
  <c r="F276" i="2"/>
  <c r="J276" i="2" s="1"/>
  <c r="H276" i="2" s="1"/>
  <c r="F7" i="2"/>
  <c r="K7" i="2" s="1"/>
  <c r="F17" i="2"/>
  <c r="J17" i="2" s="1"/>
  <c r="H17" i="2" s="1"/>
  <c r="F27" i="2"/>
  <c r="K27" i="2" s="1"/>
  <c r="F35" i="2"/>
  <c r="K35" i="2" s="1"/>
  <c r="K40" i="2"/>
  <c r="F45" i="2"/>
  <c r="K45" i="2" s="1"/>
  <c r="K50" i="2"/>
  <c r="F61" i="2"/>
  <c r="I61" i="2" s="1"/>
  <c r="K64" i="2"/>
  <c r="G64" i="2"/>
  <c r="I65" i="2"/>
  <c r="G73" i="2"/>
  <c r="F79" i="2"/>
  <c r="K79" i="2" s="1"/>
  <c r="K82" i="2"/>
  <c r="G82" i="2"/>
  <c r="I83" i="2"/>
  <c r="G89" i="2"/>
  <c r="F97" i="2"/>
  <c r="J97" i="2" s="1"/>
  <c r="H97" i="2" s="1"/>
  <c r="K100" i="2"/>
  <c r="F110" i="2"/>
  <c r="J110" i="2" s="1"/>
  <c r="H110" i="2" s="1"/>
  <c r="I112" i="2"/>
  <c r="I118" i="2"/>
  <c r="G124" i="2"/>
  <c r="K124" i="2"/>
  <c r="K138" i="2"/>
  <c r="I140" i="2"/>
  <c r="I148" i="2"/>
  <c r="K158" i="2"/>
  <c r="J158" i="2"/>
  <c r="H158" i="2" s="1"/>
  <c r="K164" i="2"/>
  <c r="J182" i="2"/>
  <c r="H182" i="2" s="1"/>
  <c r="F185" i="2"/>
  <c r="K185" i="2" s="1"/>
  <c r="I191" i="2"/>
  <c r="G208" i="2"/>
  <c r="F208" i="2"/>
  <c r="I208" i="2" s="1"/>
  <c r="G220" i="2"/>
  <c r="G244" i="2"/>
  <c r="F244" i="2"/>
  <c r="I244" i="2" s="1"/>
  <c r="G253" i="2"/>
  <c r="F253" i="2"/>
  <c r="I253" i="2" s="1"/>
  <c r="G276" i="2"/>
  <c r="G311" i="2"/>
  <c r="F311" i="2"/>
  <c r="K311" i="2" s="1"/>
  <c r="F53" i="2"/>
  <c r="I53" i="2" s="1"/>
  <c r="G17" i="2"/>
  <c r="G27" i="2"/>
  <c r="I86" i="2"/>
  <c r="F175" i="2"/>
  <c r="I175" i="2" s="1"/>
  <c r="F263" i="2"/>
  <c r="J263" i="2" s="1"/>
  <c r="H263" i="2" s="1"/>
  <c r="K330" i="2"/>
  <c r="J330" i="2"/>
  <c r="H330" i="2" s="1"/>
  <c r="F5" i="2"/>
  <c r="K5" i="2" s="1"/>
  <c r="G6" i="2"/>
  <c r="I10" i="2"/>
  <c r="J11" i="2"/>
  <c r="F15" i="2"/>
  <c r="K15" i="2" s="1"/>
  <c r="G16" i="2"/>
  <c r="I20" i="2"/>
  <c r="J21" i="2"/>
  <c r="H21" i="2" s="1"/>
  <c r="F25" i="2"/>
  <c r="K25" i="2" s="1"/>
  <c r="I28" i="2"/>
  <c r="J29" i="2"/>
  <c r="H29" i="2" s="1"/>
  <c r="F33" i="2"/>
  <c r="K33" i="2" s="1"/>
  <c r="G34" i="2"/>
  <c r="I36" i="2"/>
  <c r="J37" i="2"/>
  <c r="H37" i="2" s="1"/>
  <c r="F41" i="2"/>
  <c r="K41" i="2" s="1"/>
  <c r="G42" i="2"/>
  <c r="I46" i="2"/>
  <c r="J47" i="2"/>
  <c r="H47" i="2" s="1"/>
  <c r="F51" i="2"/>
  <c r="G52" i="2"/>
  <c r="F56" i="2"/>
  <c r="J56" i="2" s="1"/>
  <c r="H56" i="2" s="1"/>
  <c r="G60" i="2"/>
  <c r="K60" i="2"/>
  <c r="G69" i="2"/>
  <c r="F75" i="2"/>
  <c r="K75" i="2" s="1"/>
  <c r="G78" i="2"/>
  <c r="K78" i="2"/>
  <c r="K83" i="2"/>
  <c r="F91" i="2"/>
  <c r="I91" i="2" s="1"/>
  <c r="G96" i="2"/>
  <c r="K96" i="2"/>
  <c r="I100" i="2"/>
  <c r="G104" i="2"/>
  <c r="K104" i="2"/>
  <c r="I106" i="2"/>
  <c r="J115" i="2"/>
  <c r="H115" i="2" s="1"/>
  <c r="F117" i="2"/>
  <c r="I121" i="2"/>
  <c r="G129" i="2"/>
  <c r="F133" i="2"/>
  <c r="I133" i="2" s="1"/>
  <c r="I138" i="2"/>
  <c r="K146" i="2"/>
  <c r="J164" i="2"/>
  <c r="H164" i="2" s="1"/>
  <c r="F167" i="2"/>
  <c r="K167" i="2" s="1"/>
  <c r="F173" i="2"/>
  <c r="K173" i="2" s="1"/>
  <c r="G175" i="2"/>
  <c r="G183" i="2"/>
  <c r="G189" i="2"/>
  <c r="F189" i="2"/>
  <c r="I189" i="2" s="1"/>
  <c r="K217" i="2"/>
  <c r="J217" i="2"/>
  <c r="H217" i="2" s="1"/>
  <c r="G225" i="2"/>
  <c r="F225" i="2"/>
  <c r="K225" i="2" s="1"/>
  <c r="J237" i="2"/>
  <c r="H237" i="2" s="1"/>
  <c r="K249" i="2"/>
  <c r="K350" i="2"/>
  <c r="J350" i="2"/>
  <c r="H350" i="2" s="1"/>
  <c r="G110" i="2"/>
  <c r="G79" i="2"/>
  <c r="G114" i="2"/>
  <c r="K114" i="2"/>
  <c r="K148" i="2"/>
  <c r="J148" i="2"/>
  <c r="H148" i="2" s="1"/>
  <c r="G5" i="2"/>
  <c r="G15" i="2"/>
  <c r="G25" i="2"/>
  <c r="G33" i="2"/>
  <c r="G56" i="2"/>
  <c r="F63" i="2"/>
  <c r="K63" i="2" s="1"/>
  <c r="F81" i="2"/>
  <c r="K81" i="2" s="1"/>
  <c r="G91" i="2"/>
  <c r="F99" i="2"/>
  <c r="K99" i="2" s="1"/>
  <c r="F109" i="2"/>
  <c r="K115" i="2"/>
  <c r="F159" i="2"/>
  <c r="J159" i="2" s="1"/>
  <c r="H159" i="2" s="1"/>
  <c r="F165" i="2"/>
  <c r="J165" i="2" s="1"/>
  <c r="H165" i="2" s="1"/>
  <c r="G173" i="2"/>
  <c r="F181" i="2"/>
  <c r="J181" i="2" s="1"/>
  <c r="H181" i="2" s="1"/>
  <c r="F202" i="2"/>
  <c r="J202" i="2" s="1"/>
  <c r="H202" i="2" s="1"/>
  <c r="F238" i="2"/>
  <c r="I238" i="2" s="1"/>
  <c r="G35" i="2"/>
  <c r="G45" i="2"/>
  <c r="F183" i="2"/>
  <c r="J183" i="2" s="1"/>
  <c r="H183" i="2" s="1"/>
  <c r="F3" i="2"/>
  <c r="I6" i="2"/>
  <c r="J7" i="2"/>
  <c r="H7" i="2" s="1"/>
  <c r="F13" i="2"/>
  <c r="I16" i="2"/>
  <c r="F23" i="2"/>
  <c r="I26" i="2"/>
  <c r="F31" i="2"/>
  <c r="I34" i="2"/>
  <c r="F39" i="2"/>
  <c r="I42" i="2"/>
  <c r="F49" i="2"/>
  <c r="J49" i="2" s="1"/>
  <c r="K65" i="2" s="1"/>
  <c r="I52" i="2"/>
  <c r="K54" i="2"/>
  <c r="G54" i="2"/>
  <c r="G63" i="2"/>
  <c r="J64" i="2"/>
  <c r="H64" i="2" s="1"/>
  <c r="F71" i="2"/>
  <c r="J71" i="2" s="1"/>
  <c r="H71" i="2" s="1"/>
  <c r="K74" i="2"/>
  <c r="G74" i="2"/>
  <c r="G81" i="2"/>
  <c r="J82" i="2"/>
  <c r="H82" i="2" s="1"/>
  <c r="F87" i="2"/>
  <c r="J87" i="2" s="1"/>
  <c r="H87" i="2" s="1"/>
  <c r="K90" i="2"/>
  <c r="G99" i="2"/>
  <c r="I101" i="2"/>
  <c r="F111" i="2"/>
  <c r="K111" i="2" s="1"/>
  <c r="K112" i="2"/>
  <c r="I114" i="2"/>
  <c r="F123" i="2"/>
  <c r="I123" i="2" s="1"/>
  <c r="J124" i="2"/>
  <c r="H124" i="2" s="1"/>
  <c r="F137" i="2"/>
  <c r="K137" i="2" s="1"/>
  <c r="F139" i="2"/>
  <c r="J139" i="2" s="1"/>
  <c r="K140" i="2"/>
  <c r="J146" i="2"/>
  <c r="H146" i="2" s="1"/>
  <c r="J149" i="2"/>
  <c r="H149" i="2" s="1"/>
  <c r="F157" i="2"/>
  <c r="J157" i="2" s="1"/>
  <c r="H157" i="2" s="1"/>
  <c r="G171" i="2"/>
  <c r="F171" i="2"/>
  <c r="I171" i="2" s="1"/>
  <c r="I184" i="2"/>
  <c r="F200" i="2"/>
  <c r="J200" i="2" s="1"/>
  <c r="H200" i="2" s="1"/>
  <c r="F218" i="2"/>
  <c r="J218" i="2" s="1"/>
  <c r="H218" i="2" s="1"/>
  <c r="G218" i="2"/>
  <c r="K226" i="2"/>
  <c r="I231" i="2"/>
  <c r="J231" i="2"/>
  <c r="K257" i="2" s="1"/>
  <c r="G239" i="2"/>
  <c r="F239" i="2"/>
  <c r="K239" i="2" s="1"/>
  <c r="F248" i="2"/>
  <c r="K248" i="2" s="1"/>
  <c r="I85" i="2"/>
  <c r="I241" i="2"/>
  <c r="K241" i="2"/>
  <c r="J241" i="2"/>
  <c r="J287" i="2"/>
  <c r="H287" i="2" s="1"/>
  <c r="K287" i="2"/>
  <c r="I287" i="2"/>
  <c r="I5" i="2"/>
  <c r="J6" i="2"/>
  <c r="H6" i="2" s="1"/>
  <c r="J16" i="2"/>
  <c r="H16" i="2" s="1"/>
  <c r="J26" i="2"/>
  <c r="H26" i="2" s="1"/>
  <c r="J34" i="2"/>
  <c r="H34" i="2" s="1"/>
  <c r="J42" i="2"/>
  <c r="H42" i="2" s="1"/>
  <c r="J52" i="2"/>
  <c r="H52" i="2" s="1"/>
  <c r="F59" i="2"/>
  <c r="J59" i="2" s="1"/>
  <c r="H59" i="2" s="1"/>
  <c r="I60" i="2"/>
  <c r="G71" i="2"/>
  <c r="F77" i="2"/>
  <c r="K77" i="2" s="1"/>
  <c r="I78" i="2"/>
  <c r="G87" i="2"/>
  <c r="F95" i="2"/>
  <c r="K95" i="2" s="1"/>
  <c r="G111" i="2"/>
  <c r="I113" i="2"/>
  <c r="J114" i="2"/>
  <c r="H114" i="2" s="1"/>
  <c r="G134" i="2"/>
  <c r="F141" i="2"/>
  <c r="I141" i="2" s="1"/>
  <c r="F147" i="2"/>
  <c r="K147" i="2" s="1"/>
  <c r="F163" i="2"/>
  <c r="K163" i="2" s="1"/>
  <c r="K184" i="2"/>
  <c r="J184" i="2"/>
  <c r="H184" i="2" s="1"/>
  <c r="F210" i="2"/>
  <c r="J210" i="2" s="1"/>
  <c r="H210" i="2" s="1"/>
  <c r="G229" i="2"/>
  <c r="F229" i="2"/>
  <c r="J229" i="2" s="1"/>
  <c r="H229" i="2" s="1"/>
  <c r="F236" i="2"/>
  <c r="J236" i="2" s="1"/>
  <c r="H236" i="2" s="1"/>
  <c r="F255" i="2"/>
  <c r="J255" i="2" s="1"/>
  <c r="H255" i="2" s="1"/>
  <c r="F73" i="2"/>
  <c r="J73" i="2" s="1"/>
  <c r="H73" i="2" s="1"/>
  <c r="F69" i="2"/>
  <c r="I69" i="2" s="1"/>
  <c r="G127" i="2"/>
  <c r="F127" i="2"/>
  <c r="I127" i="2" s="1"/>
  <c r="F129" i="2"/>
  <c r="K129" i="2" s="1"/>
  <c r="J227" i="2"/>
  <c r="H227" i="2" s="1"/>
  <c r="K397" i="2"/>
  <c r="J397" i="2"/>
  <c r="I397" i="2"/>
  <c r="G59" i="2"/>
  <c r="G70" i="2"/>
  <c r="K70" i="2"/>
  <c r="G77" i="2"/>
  <c r="G86" i="2"/>
  <c r="K86" i="2"/>
  <c r="G95" i="2"/>
  <c r="J96" i="2"/>
  <c r="H96" i="2" s="1"/>
  <c r="G101" i="2"/>
  <c r="F103" i="2"/>
  <c r="I103" i="2" s="1"/>
  <c r="J104" i="2"/>
  <c r="H104" i="2" s="1"/>
  <c r="G113" i="2"/>
  <c r="K118" i="2"/>
  <c r="G118" i="2"/>
  <c r="K121" i="2"/>
  <c r="F134" i="2"/>
  <c r="I134" i="2" s="1"/>
  <c r="G141" i="2"/>
  <c r="G147" i="2"/>
  <c r="F155" i="2"/>
  <c r="J155" i="2" s="1"/>
  <c r="H155" i="2" s="1"/>
  <c r="I166" i="2"/>
  <c r="K174" i="2"/>
  <c r="J174" i="2"/>
  <c r="H174" i="2" s="1"/>
  <c r="K182" i="2"/>
  <c r="G219" i="2"/>
  <c r="F219" i="2"/>
  <c r="K219" i="2" s="1"/>
  <c r="G240" i="2"/>
  <c r="F240" i="2"/>
  <c r="J240" i="2" s="1"/>
  <c r="H240" i="2" s="1"/>
  <c r="G289" i="2"/>
  <c r="F289" i="2"/>
  <c r="K289" i="2" s="1"/>
  <c r="I142" i="2"/>
  <c r="I150" i="2"/>
  <c r="I160" i="2"/>
  <c r="I168" i="2"/>
  <c r="I176" i="2"/>
  <c r="I186" i="2"/>
  <c r="J190" i="2"/>
  <c r="H190" i="2" s="1"/>
  <c r="I199" i="2"/>
  <c r="I217" i="2"/>
  <c r="K242" i="2"/>
  <c r="I272" i="2"/>
  <c r="F283" i="2"/>
  <c r="I283" i="2" s="1"/>
  <c r="G128" i="2"/>
  <c r="G138" i="2"/>
  <c r="K142" i="2"/>
  <c r="G146" i="2"/>
  <c r="K150" i="2"/>
  <c r="G156" i="2"/>
  <c r="K160" i="2"/>
  <c r="G164" i="2"/>
  <c r="K168" i="2"/>
  <c r="K176" i="2"/>
  <c r="G182" i="2"/>
  <c r="K186" i="2"/>
  <c r="G190" i="2"/>
  <c r="G199" i="2"/>
  <c r="K201" i="2"/>
  <c r="J201" i="2"/>
  <c r="H201" i="2" s="1"/>
  <c r="F207" i="2"/>
  <c r="K232" i="2"/>
  <c r="I245" i="2"/>
  <c r="K256" i="2"/>
  <c r="G259" i="2"/>
  <c r="I259" i="2"/>
  <c r="K265" i="2"/>
  <c r="G265" i="2"/>
  <c r="J272" i="2"/>
  <c r="H272" i="2" s="1"/>
  <c r="I278" i="2"/>
  <c r="F280" i="2"/>
  <c r="I280" i="2" s="1"/>
  <c r="G280" i="2"/>
  <c r="G294" i="2"/>
  <c r="F294" i="2"/>
  <c r="K294" i="2" s="1"/>
  <c r="F317" i="2"/>
  <c r="J317" i="2" s="1"/>
  <c r="H317" i="2" s="1"/>
  <c r="G322" i="2"/>
  <c r="F322" i="2"/>
  <c r="K322" i="2" s="1"/>
  <c r="G338" i="2"/>
  <c r="F338" i="2"/>
  <c r="J338" i="2" s="1"/>
  <c r="H338" i="2" s="1"/>
  <c r="K192" i="2"/>
  <c r="J199" i="2"/>
  <c r="H199" i="2" s="1"/>
  <c r="K212" i="2"/>
  <c r="I222" i="2"/>
  <c r="J228" i="2"/>
  <c r="H228" i="2" s="1"/>
  <c r="K230" i="2"/>
  <c r="G233" i="2"/>
  <c r="F233" i="2"/>
  <c r="I233" i="2" s="1"/>
  <c r="G247" i="2"/>
  <c r="K247" i="2"/>
  <c r="J247" i="2"/>
  <c r="H247" i="2" s="1"/>
  <c r="J254" i="2"/>
  <c r="H254" i="2" s="1"/>
  <c r="G254" i="2"/>
  <c r="J257" i="2"/>
  <c r="K267" i="2"/>
  <c r="J267" i="2"/>
  <c r="H267" i="2" s="1"/>
  <c r="J278" i="2"/>
  <c r="H278" i="2" s="1"/>
  <c r="J284" i="2"/>
  <c r="H284" i="2" s="1"/>
  <c r="G284" i="2"/>
  <c r="J286" i="2"/>
  <c r="H286" i="2" s="1"/>
  <c r="F328" i="2"/>
  <c r="I209" i="2"/>
  <c r="I237" i="2"/>
  <c r="F273" i="2"/>
  <c r="J273" i="2" s="1"/>
  <c r="H273" i="2" s="1"/>
  <c r="G281" i="2"/>
  <c r="K191" i="2"/>
  <c r="J191" i="2"/>
  <c r="H191" i="2" s="1"/>
  <c r="G197" i="2"/>
  <c r="F197" i="2"/>
  <c r="K197" i="2" s="1"/>
  <c r="J198" i="2"/>
  <c r="G209" i="2"/>
  <c r="K211" i="2"/>
  <c r="J211" i="2"/>
  <c r="H211" i="2" s="1"/>
  <c r="G215" i="2"/>
  <c r="K215" i="2"/>
  <c r="J216" i="2"/>
  <c r="H216" i="2" s="1"/>
  <c r="J221" i="2"/>
  <c r="K272" i="2" s="1"/>
  <c r="I227" i="2"/>
  <c r="I230" i="2"/>
  <c r="I247" i="2"/>
  <c r="K254" i="2"/>
  <c r="F260" i="2"/>
  <c r="I260" i="2" s="1"/>
  <c r="F266" i="2"/>
  <c r="K266" i="2" s="1"/>
  <c r="I267" i="2"/>
  <c r="F281" i="2"/>
  <c r="K281" i="2" s="1"/>
  <c r="K284" i="2"/>
  <c r="F301" i="2"/>
  <c r="J301" i="2" s="1"/>
  <c r="H301" i="2" s="1"/>
  <c r="K304" i="2"/>
  <c r="J304" i="2"/>
  <c r="H304" i="2" s="1"/>
  <c r="F309" i="2"/>
  <c r="I309" i="2" s="1"/>
  <c r="G309" i="2"/>
  <c r="K319" i="2"/>
  <c r="J319" i="2"/>
  <c r="H319" i="2" s="1"/>
  <c r="I319" i="2"/>
  <c r="G319" i="2"/>
  <c r="I326" i="2"/>
  <c r="K326" i="2"/>
  <c r="J326" i="2"/>
  <c r="H326" i="2" s="1"/>
  <c r="I330" i="2"/>
  <c r="G352" i="2"/>
  <c r="F352" i="2"/>
  <c r="K352" i="2" s="1"/>
  <c r="J291" i="2"/>
  <c r="H291" i="2" s="1"/>
  <c r="J307" i="2"/>
  <c r="J312" i="2"/>
  <c r="H312" i="2" s="1"/>
  <c r="G314" i="2"/>
  <c r="F314" i="2"/>
  <c r="K314" i="2" s="1"/>
  <c r="G346" i="2"/>
  <c r="J346" i="2"/>
  <c r="H346" i="2" s="1"/>
  <c r="I346" i="2"/>
  <c r="G258" i="2"/>
  <c r="F264" i="2"/>
  <c r="J264" i="2" s="1"/>
  <c r="H264" i="2" s="1"/>
  <c r="F271" i="2"/>
  <c r="F277" i="2"/>
  <c r="K277" i="2" s="1"/>
  <c r="F285" i="2"/>
  <c r="F288" i="2"/>
  <c r="K288" i="2" s="1"/>
  <c r="I296" i="2"/>
  <c r="F303" i="2"/>
  <c r="K303" i="2" s="1"/>
  <c r="G306" i="2"/>
  <c r="F306" i="2"/>
  <c r="K306" i="2" s="1"/>
  <c r="G334" i="2"/>
  <c r="F334" i="2"/>
  <c r="I334" i="2" s="1"/>
  <c r="J336" i="2"/>
  <c r="H336" i="2" s="1"/>
  <c r="I336" i="2"/>
  <c r="K343" i="2"/>
  <c r="F293" i="2"/>
  <c r="K293" i="2" s="1"/>
  <c r="K318" i="2"/>
  <c r="J318" i="2"/>
  <c r="H318" i="2" s="1"/>
  <c r="G318" i="2"/>
  <c r="G325" i="2"/>
  <c r="K325" i="2"/>
  <c r="K329" i="2"/>
  <c r="G329" i="2"/>
  <c r="I339" i="2"/>
  <c r="G302" i="2"/>
  <c r="G310" i="2"/>
  <c r="G341" i="2"/>
  <c r="F360" i="2"/>
  <c r="I360" i="2" s="1"/>
  <c r="G425" i="2"/>
  <c r="F425" i="2"/>
  <c r="K425" i="2" s="1"/>
  <c r="F302" i="2"/>
  <c r="F310" i="2"/>
  <c r="I310" i="2" s="1"/>
  <c r="J316" i="2"/>
  <c r="H316" i="2" s="1"/>
  <c r="I329" i="2"/>
  <c r="G335" i="2"/>
  <c r="J339" i="2"/>
  <c r="H339" i="2" s="1"/>
  <c r="F341" i="2"/>
  <c r="I341" i="2" s="1"/>
  <c r="I286" i="2"/>
  <c r="F295" i="2"/>
  <c r="I295" i="2" s="1"/>
  <c r="F298" i="2"/>
  <c r="K298" i="2" s="1"/>
  <c r="I299" i="2"/>
  <c r="I304" i="2"/>
  <c r="J308" i="2"/>
  <c r="H308" i="2" s="1"/>
  <c r="F315" i="2"/>
  <c r="K315" i="2" s="1"/>
  <c r="K316" i="2"/>
  <c r="I318" i="2"/>
  <c r="J325" i="2"/>
  <c r="H325" i="2" s="1"/>
  <c r="J329" i="2"/>
  <c r="H329" i="2" s="1"/>
  <c r="F335" i="2"/>
  <c r="J416" i="2"/>
  <c r="I416" i="2"/>
  <c r="K416" i="2"/>
  <c r="G339" i="2"/>
  <c r="G343" i="2"/>
  <c r="K361" i="2"/>
  <c r="J361" i="2"/>
  <c r="H361" i="2" s="1"/>
  <c r="J400" i="2"/>
  <c r="I400" i="2"/>
  <c r="J408" i="2"/>
  <c r="I408" i="2"/>
  <c r="K453" i="2"/>
  <c r="F327" i="2"/>
  <c r="K327" i="2" s="1"/>
  <c r="F337" i="2"/>
  <c r="F342" i="2"/>
  <c r="K342" i="2" s="1"/>
  <c r="F348" i="2"/>
  <c r="I348" i="2" s="1"/>
  <c r="F353" i="2"/>
  <c r="K353" i="2" s="1"/>
  <c r="I355" i="2"/>
  <c r="F358" i="2"/>
  <c r="K358" i="2" s="1"/>
  <c r="J362" i="2"/>
  <c r="H362" i="2" s="1"/>
  <c r="I366" i="2"/>
  <c r="G366" i="2"/>
  <c r="K368" i="2"/>
  <c r="J368" i="2"/>
  <c r="H368" i="2" s="1"/>
  <c r="I368" i="2"/>
  <c r="I374" i="2"/>
  <c r="G374" i="2"/>
  <c r="K378" i="2"/>
  <c r="J378" i="2"/>
  <c r="H378" i="2" s="1"/>
  <c r="I378" i="2"/>
  <c r="I384" i="2"/>
  <c r="K386" i="2"/>
  <c r="J386" i="2"/>
  <c r="H386" i="2" s="1"/>
  <c r="I386" i="2"/>
  <c r="F394" i="2"/>
  <c r="I394" i="2" s="1"/>
  <c r="K417" i="2"/>
  <c r="J417" i="2"/>
  <c r="H417" i="2" s="1"/>
  <c r="I417" i="2"/>
  <c r="J442" i="2"/>
  <c r="H442" i="2" s="1"/>
  <c r="I442" i="2"/>
  <c r="K442" i="2"/>
  <c r="J392" i="2"/>
  <c r="I392" i="2"/>
  <c r="K426" i="2"/>
  <c r="J460" i="2"/>
  <c r="I460" i="2"/>
  <c r="K460" i="2"/>
  <c r="J478" i="2"/>
  <c r="I478" i="2"/>
  <c r="K403" i="2"/>
  <c r="J403" i="2"/>
  <c r="J432" i="2"/>
  <c r="I432" i="2"/>
  <c r="K432" i="2"/>
  <c r="I340" i="2"/>
  <c r="J351" i="2"/>
  <c r="H351" i="2" s="1"/>
  <c r="J354" i="2"/>
  <c r="K380" i="2" s="1"/>
  <c r="G357" i="2"/>
  <c r="K366" i="2"/>
  <c r="J371" i="2"/>
  <c r="H371" i="2" s="1"/>
  <c r="K374" i="2"/>
  <c r="J381" i="2"/>
  <c r="H381" i="2" s="1"/>
  <c r="K384" i="2"/>
  <c r="J389" i="2"/>
  <c r="H389" i="2" s="1"/>
  <c r="K392" i="2"/>
  <c r="F401" i="2"/>
  <c r="I401" i="2" s="1"/>
  <c r="F409" i="2"/>
  <c r="J409" i="2" s="1"/>
  <c r="H409" i="2" s="1"/>
  <c r="K418" i="2"/>
  <c r="I357" i="2"/>
  <c r="I363" i="2"/>
  <c r="G365" i="2"/>
  <c r="F365" i="2"/>
  <c r="J367" i="2"/>
  <c r="I367" i="2"/>
  <c r="J375" i="2"/>
  <c r="H375" i="2" s="1"/>
  <c r="I375" i="2"/>
  <c r="J385" i="2"/>
  <c r="H385" i="2" s="1"/>
  <c r="I385" i="2"/>
  <c r="K393" i="2"/>
  <c r="J393" i="2"/>
  <c r="H393" i="2" s="1"/>
  <c r="I393" i="2"/>
  <c r="K395" i="2"/>
  <c r="J395" i="2"/>
  <c r="H395" i="2" s="1"/>
  <c r="G401" i="2"/>
  <c r="G409" i="2"/>
  <c r="J424" i="2"/>
  <c r="H424" i="2" s="1"/>
  <c r="I424" i="2"/>
  <c r="K424" i="2"/>
  <c r="K433" i="2"/>
  <c r="K479" i="2"/>
  <c r="J479" i="2"/>
  <c r="H479" i="2" s="1"/>
  <c r="I479" i="2"/>
  <c r="I350" i="2"/>
  <c r="J359" i="2"/>
  <c r="H359" i="2" s="1"/>
  <c r="I359" i="2"/>
  <c r="K369" i="2"/>
  <c r="J369" i="2"/>
  <c r="H369" i="2" s="1"/>
  <c r="I370" i="2"/>
  <c r="K379" i="2"/>
  <c r="J379" i="2"/>
  <c r="H379" i="2" s="1"/>
  <c r="I380" i="2"/>
  <c r="K387" i="2"/>
  <c r="J387" i="2"/>
  <c r="I388" i="2"/>
  <c r="K402" i="2"/>
  <c r="J402" i="2"/>
  <c r="H402" i="2" s="1"/>
  <c r="I402" i="2"/>
  <c r="I403" i="2"/>
  <c r="K410" i="2"/>
  <c r="J452" i="2"/>
  <c r="H452" i="2" s="1"/>
  <c r="I452" i="2"/>
  <c r="K452" i="2"/>
  <c r="J468" i="2"/>
  <c r="H468" i="2" s="1"/>
  <c r="I468" i="2"/>
  <c r="K468" i="2"/>
  <c r="I458" i="2"/>
  <c r="I466" i="2"/>
  <c r="I476" i="2"/>
  <c r="F462" i="2"/>
  <c r="J462" i="2" s="1"/>
  <c r="H462" i="2" s="1"/>
  <c r="F472" i="2"/>
  <c r="J472" i="2" s="1"/>
  <c r="H472" i="2" s="1"/>
  <c r="I410" i="2"/>
  <c r="J411" i="2"/>
  <c r="H411" i="2" s="1"/>
  <c r="I418" i="2"/>
  <c r="J419" i="2"/>
  <c r="H419" i="2" s="1"/>
  <c r="I426" i="2"/>
  <c r="J427" i="2"/>
  <c r="H427" i="2" s="1"/>
  <c r="I434" i="2"/>
  <c r="J437" i="2"/>
  <c r="K457" i="2" s="1"/>
  <c r="I444" i="2"/>
  <c r="J445" i="2"/>
  <c r="I454" i="2"/>
  <c r="J455" i="2"/>
  <c r="H455" i="2" s="1"/>
  <c r="F364" i="2"/>
  <c r="F372" i="2"/>
  <c r="F382" i="2"/>
  <c r="F390" i="2"/>
  <c r="F398" i="2"/>
  <c r="J410" i="2"/>
  <c r="H410" i="2" s="1"/>
  <c r="J418" i="2"/>
  <c r="H418" i="2" s="1"/>
  <c r="J426" i="2"/>
  <c r="I433" i="2"/>
  <c r="J434" i="2"/>
  <c r="H434" i="2" s="1"/>
  <c r="I443" i="2"/>
  <c r="J444" i="2"/>
  <c r="H444" i="2" s="1"/>
  <c r="I453" i="2"/>
  <c r="J454" i="2"/>
  <c r="H454" i="2" s="1"/>
  <c r="J433" i="2"/>
  <c r="H433" i="2" s="1"/>
  <c r="J443" i="2"/>
  <c r="J453" i="2"/>
  <c r="J461" i="2"/>
  <c r="H461" i="2" s="1"/>
  <c r="J471" i="2"/>
  <c r="H453" i="2" l="1"/>
  <c r="G453" i="2"/>
  <c r="H457" i="2"/>
  <c r="G457" i="2"/>
  <c r="H437" i="2"/>
  <c r="G437" i="2"/>
  <c r="H439" i="2"/>
  <c r="G439" i="2"/>
  <c r="H380" i="2"/>
  <c r="G380" i="2"/>
  <c r="H354" i="2"/>
  <c r="G354" i="2"/>
  <c r="H170" i="2"/>
  <c r="G170" i="2"/>
  <c r="K478" i="2"/>
  <c r="G478" i="2" s="1"/>
  <c r="H125" i="2"/>
  <c r="G125" i="2"/>
  <c r="G151" i="2"/>
  <c r="H98" i="2"/>
  <c r="G90" i="2"/>
  <c r="K51" i="2"/>
  <c r="G466" i="2"/>
  <c r="H38" i="2"/>
  <c r="G38" i="2"/>
  <c r="G363" i="2"/>
  <c r="H22" i="2"/>
  <c r="G22" i="2"/>
  <c r="H478" i="2"/>
  <c r="H464" i="2"/>
  <c r="G464" i="2"/>
  <c r="H460" i="2"/>
  <c r="G460" i="2"/>
  <c r="H367" i="2"/>
  <c r="G367" i="2"/>
  <c r="H443" i="2"/>
  <c r="G443" i="2"/>
  <c r="H340" i="2"/>
  <c r="G340" i="2"/>
  <c r="H307" i="2"/>
  <c r="G135" i="2"/>
  <c r="H282" i="2"/>
  <c r="G282" i="2"/>
  <c r="G272" i="2"/>
  <c r="H241" i="2"/>
  <c r="G241" i="2"/>
  <c r="H221" i="2"/>
  <c r="G221" i="2"/>
  <c r="H198" i="2"/>
  <c r="G198" i="2"/>
  <c r="H80" i="2"/>
  <c r="K62" i="2"/>
  <c r="G62" i="2" s="1"/>
  <c r="G100" i="2"/>
  <c r="H62" i="2"/>
  <c r="I89" i="2"/>
  <c r="G421" i="2"/>
  <c r="H11" i="2"/>
  <c r="G11" i="2"/>
  <c r="I15" i="2"/>
  <c r="G297" i="2"/>
  <c r="I25" i="2"/>
  <c r="K89" i="2"/>
  <c r="G384" i="2"/>
  <c r="G193" i="2"/>
  <c r="H4" i="2"/>
  <c r="G4" i="2"/>
  <c r="I7" i="2"/>
  <c r="G7" i="2" s="1"/>
  <c r="H471" i="2"/>
  <c r="H445" i="2"/>
  <c r="H432" i="2"/>
  <c r="G432" i="2"/>
  <c r="H426" i="2"/>
  <c r="G426" i="2"/>
  <c r="H416" i="2"/>
  <c r="G416" i="2"/>
  <c r="H408" i="2"/>
  <c r="G408" i="2"/>
  <c r="H403" i="2"/>
  <c r="G403" i="2"/>
  <c r="H400" i="2"/>
  <c r="G400" i="2"/>
  <c r="H397" i="2"/>
  <c r="G397" i="2"/>
  <c r="H392" i="2"/>
  <c r="G392" i="2"/>
  <c r="H387" i="2"/>
  <c r="G387" i="2"/>
  <c r="K279" i="2"/>
  <c r="G279" i="2" s="1"/>
  <c r="H279" i="2"/>
  <c r="H257" i="2"/>
  <c r="G257" i="2"/>
  <c r="H231" i="2"/>
  <c r="K231" i="2"/>
  <c r="G231" i="2" s="1"/>
  <c r="G212" i="2"/>
  <c r="G65" i="2"/>
  <c r="G187" i="2"/>
  <c r="K61" i="2"/>
  <c r="H58" i="2"/>
  <c r="G58" i="2"/>
  <c r="K172" i="2"/>
  <c r="G172" i="2" s="1"/>
  <c r="G160" i="2"/>
  <c r="J348" i="2"/>
  <c r="H348" i="2" s="1"/>
  <c r="I236" i="2"/>
  <c r="H139" i="2"/>
  <c r="K236" i="2"/>
  <c r="I185" i="2"/>
  <c r="I210" i="2"/>
  <c r="H49" i="2"/>
  <c r="I137" i="2"/>
  <c r="K175" i="2"/>
  <c r="K189" i="2"/>
  <c r="I110" i="2"/>
  <c r="J75" i="2"/>
  <c r="K80" i="2" s="1"/>
  <c r="G80" i="2" s="1"/>
  <c r="I75" i="2"/>
  <c r="I149" i="2"/>
  <c r="I27" i="2"/>
  <c r="J225" i="2"/>
  <c r="H225" i="2" s="1"/>
  <c r="K229" i="2"/>
  <c r="K85" i="2"/>
  <c r="K110" i="2"/>
  <c r="J173" i="2"/>
  <c r="H173" i="2" s="1"/>
  <c r="I337" i="2"/>
  <c r="J337" i="2"/>
  <c r="K360" i="2" s="1"/>
  <c r="G26" i="2"/>
  <c r="I240" i="2"/>
  <c r="K145" i="2"/>
  <c r="I33" i="2"/>
  <c r="K149" i="2"/>
  <c r="K270" i="2"/>
  <c r="G28" i="2"/>
  <c r="I352" i="2"/>
  <c r="I109" i="2"/>
  <c r="J109" i="2"/>
  <c r="K263" i="2"/>
  <c r="J311" i="2"/>
  <c r="H311" i="2" s="1"/>
  <c r="K200" i="2"/>
  <c r="K134" i="2"/>
  <c r="I51" i="2"/>
  <c r="J189" i="2"/>
  <c r="H189" i="2" s="1"/>
  <c r="J145" i="2"/>
  <c r="H145" i="2" s="1"/>
  <c r="J45" i="2"/>
  <c r="H45" i="2" s="1"/>
  <c r="K283" i="2"/>
  <c r="J79" i="2"/>
  <c r="H79" i="2" s="1"/>
  <c r="I79" i="2"/>
  <c r="K228" i="2"/>
  <c r="J27" i="2"/>
  <c r="H27" i="2" s="1"/>
  <c r="I409" i="2"/>
  <c r="I183" i="2"/>
  <c r="K87" i="2"/>
  <c r="K246" i="2"/>
  <c r="K409" i="2"/>
  <c r="J111" i="2"/>
  <c r="H111" i="2" s="1"/>
  <c r="K113" i="2"/>
  <c r="I41" i="2"/>
  <c r="K97" i="2"/>
  <c r="I97" i="2"/>
  <c r="K310" i="2"/>
  <c r="I338" i="2"/>
  <c r="I159" i="2"/>
  <c r="I228" i="2"/>
  <c r="K280" i="2"/>
  <c r="I81" i="2"/>
  <c r="J103" i="2"/>
  <c r="H103" i="2" s="1"/>
  <c r="J141" i="2"/>
  <c r="H141" i="2" s="1"/>
  <c r="I263" i="2"/>
  <c r="K243" i="2"/>
  <c r="J341" i="2"/>
  <c r="H341" i="2" s="1"/>
  <c r="I301" i="2"/>
  <c r="K255" i="2"/>
  <c r="J91" i="2"/>
  <c r="H91" i="2" s="1"/>
  <c r="I248" i="2"/>
  <c r="I202" i="2"/>
  <c r="J53" i="2"/>
  <c r="H53" i="2" s="1"/>
  <c r="J295" i="2"/>
  <c r="K307" i="2" s="1"/>
  <c r="G307" i="2" s="1"/>
  <c r="K317" i="2"/>
  <c r="K171" i="2"/>
  <c r="J69" i="2"/>
  <c r="H69" i="2" s="1"/>
  <c r="J163" i="2"/>
  <c r="J248" i="2"/>
  <c r="H248" i="2" s="1"/>
  <c r="J171" i="2"/>
  <c r="H171" i="2" s="1"/>
  <c r="K202" i="2"/>
  <c r="K159" i="2"/>
  <c r="J99" i="2"/>
  <c r="H99" i="2" s="1"/>
  <c r="J175" i="2"/>
  <c r="H175" i="2" s="1"/>
  <c r="I246" i="2"/>
  <c r="G10" i="2"/>
  <c r="I77" i="2"/>
  <c r="J394" i="2"/>
  <c r="H394" i="2" s="1"/>
  <c r="J425" i="2"/>
  <c r="H425" i="2" s="1"/>
  <c r="J309" i="2"/>
  <c r="H309" i="2" s="1"/>
  <c r="K295" i="2"/>
  <c r="I317" i="2"/>
  <c r="I163" i="2"/>
  <c r="K238" i="2"/>
  <c r="J129" i="2"/>
  <c r="H129" i="2" s="1"/>
  <c r="J208" i="2"/>
  <c r="H208" i="2" s="1"/>
  <c r="K91" i="2"/>
  <c r="I425" i="2"/>
  <c r="I342" i="2"/>
  <c r="I462" i="2"/>
  <c r="J353" i="2"/>
  <c r="H353" i="2" s="1"/>
  <c r="I266" i="2"/>
  <c r="K273" i="2"/>
  <c r="I147" i="2"/>
  <c r="J77" i="2"/>
  <c r="H77" i="2" s="1"/>
  <c r="J85" i="2"/>
  <c r="I200" i="2"/>
  <c r="J137" i="2"/>
  <c r="J238" i="2"/>
  <c r="I45" i="2"/>
  <c r="I173" i="2"/>
  <c r="I243" i="2"/>
  <c r="K127" i="2"/>
  <c r="I255" i="2"/>
  <c r="K183" i="2"/>
  <c r="I87" i="2"/>
  <c r="J233" i="2"/>
  <c r="H233" i="2" s="1"/>
  <c r="K233" i="2"/>
  <c r="K53" i="2"/>
  <c r="J401" i="2"/>
  <c r="H401" i="2" s="1"/>
  <c r="J293" i="2"/>
  <c r="H293" i="2" s="1"/>
  <c r="I293" i="2"/>
  <c r="J352" i="2"/>
  <c r="H352" i="2" s="1"/>
  <c r="K301" i="2"/>
  <c r="K260" i="2"/>
  <c r="I273" i="2"/>
  <c r="K338" i="2"/>
  <c r="I99" i="2"/>
  <c r="I129" i="2"/>
  <c r="I229" i="2"/>
  <c r="K165" i="2"/>
  <c r="G165" i="2" s="1"/>
  <c r="J95" i="2"/>
  <c r="H95" i="2" s="1"/>
  <c r="J123" i="2"/>
  <c r="H123" i="2" s="1"/>
  <c r="I225" i="2"/>
  <c r="K244" i="2"/>
  <c r="J33" i="2"/>
  <c r="H33" i="2" s="1"/>
  <c r="K39" i="2"/>
  <c r="I39" i="2"/>
  <c r="I398" i="2"/>
  <c r="K398" i="2"/>
  <c r="J398" i="2"/>
  <c r="H398" i="2" s="1"/>
  <c r="J342" i="2"/>
  <c r="H342" i="2" s="1"/>
  <c r="K401" i="2"/>
  <c r="K394" i="2"/>
  <c r="J315" i="2"/>
  <c r="H315" i="2" s="1"/>
  <c r="I315" i="2"/>
  <c r="J327" i="2"/>
  <c r="H327" i="2" s="1"/>
  <c r="J288" i="2"/>
  <c r="H288" i="2" s="1"/>
  <c r="I288" i="2"/>
  <c r="I298" i="2"/>
  <c r="J294" i="2"/>
  <c r="H294" i="2" s="1"/>
  <c r="K240" i="2"/>
  <c r="K210" i="2"/>
  <c r="K157" i="2"/>
  <c r="I239" i="2"/>
  <c r="I226" i="2"/>
  <c r="I167" i="2"/>
  <c r="I56" i="2"/>
  <c r="J35" i="2"/>
  <c r="H35" i="2" s="1"/>
  <c r="K13" i="2"/>
  <c r="J13" i="2"/>
  <c r="H13" i="2" s="1"/>
  <c r="I13" i="2"/>
  <c r="K117" i="2"/>
  <c r="I117" i="2"/>
  <c r="K208" i="2"/>
  <c r="J270" i="2"/>
  <c r="H270" i="2" s="1"/>
  <c r="I220" i="2"/>
  <c r="I71" i="2"/>
  <c r="K73" i="2"/>
  <c r="K390" i="2"/>
  <c r="J390" i="2"/>
  <c r="H390" i="2" s="1"/>
  <c r="I390" i="2"/>
  <c r="K302" i="2"/>
  <c r="I302" i="2"/>
  <c r="J285" i="2"/>
  <c r="I285" i="2"/>
  <c r="I281" i="2"/>
  <c r="I35" i="2"/>
  <c r="K253" i="2"/>
  <c r="K56" i="2"/>
  <c r="K382" i="2"/>
  <c r="J382" i="2"/>
  <c r="H382" i="2" s="1"/>
  <c r="I382" i="2"/>
  <c r="K341" i="2"/>
  <c r="J360" i="2"/>
  <c r="K471" i="2" s="1"/>
  <c r="G471" i="2" s="1"/>
  <c r="J310" i="2"/>
  <c r="H310" i="2" s="1"/>
  <c r="J277" i="2"/>
  <c r="K445" i="2" s="1"/>
  <c r="G445" i="2" s="1"/>
  <c r="I277" i="2"/>
  <c r="J266" i="2"/>
  <c r="H266" i="2" s="1"/>
  <c r="I328" i="2"/>
  <c r="J280" i="2"/>
  <c r="H280" i="2" s="1"/>
  <c r="J283" i="2"/>
  <c r="H283" i="2" s="1"/>
  <c r="I289" i="2"/>
  <c r="K103" i="2"/>
  <c r="J127" i="2"/>
  <c r="H127" i="2" s="1"/>
  <c r="J147" i="2"/>
  <c r="H147" i="2" s="1"/>
  <c r="J113" i="2"/>
  <c r="H113" i="2" s="1"/>
  <c r="J298" i="2"/>
  <c r="H298" i="2" s="1"/>
  <c r="J239" i="2"/>
  <c r="H239" i="2" s="1"/>
  <c r="K123" i="2"/>
  <c r="I31" i="2"/>
  <c r="K31" i="2"/>
  <c r="J31" i="2"/>
  <c r="H31" i="2" s="1"/>
  <c r="J63" i="2"/>
  <c r="H63" i="2" s="1"/>
  <c r="J117" i="2"/>
  <c r="K139" i="2" s="1"/>
  <c r="I311" i="2"/>
  <c r="J244" i="2"/>
  <c r="H244" i="2" s="1"/>
  <c r="K220" i="2"/>
  <c r="J134" i="2"/>
  <c r="H134" i="2" s="1"/>
  <c r="J15" i="2"/>
  <c r="H15" i="2" s="1"/>
  <c r="J51" i="2"/>
  <c r="K109" i="2" s="1"/>
  <c r="K69" i="2"/>
  <c r="K271" i="2"/>
  <c r="I271" i="2"/>
  <c r="J271" i="2"/>
  <c r="H271" i="2" s="1"/>
  <c r="J314" i="2"/>
  <c r="H314" i="2" s="1"/>
  <c r="I314" i="2"/>
  <c r="K285" i="2"/>
  <c r="J289" i="2"/>
  <c r="H289" i="2" s="1"/>
  <c r="K59" i="2"/>
  <c r="I59" i="2"/>
  <c r="J281" i="2"/>
  <c r="H281" i="2" s="1"/>
  <c r="K218" i="2"/>
  <c r="K3" i="2"/>
  <c r="J3" i="2"/>
  <c r="H3" i="2" s="1"/>
  <c r="I3" i="2"/>
  <c r="J61" i="2"/>
  <c r="H61" i="2" s="1"/>
  <c r="J133" i="2"/>
  <c r="H133" i="2" s="1"/>
  <c r="I73" i="2"/>
  <c r="J185" i="2"/>
  <c r="H185" i="2" s="1"/>
  <c r="J5" i="2"/>
  <c r="H5" i="2" s="1"/>
  <c r="I365" i="2"/>
  <c r="K365" i="2"/>
  <c r="J365" i="2"/>
  <c r="H365" i="2" s="1"/>
  <c r="J358" i="2"/>
  <c r="I358" i="2"/>
  <c r="J335" i="2"/>
  <c r="H335" i="2" s="1"/>
  <c r="I335" i="2"/>
  <c r="J306" i="2"/>
  <c r="H306" i="2" s="1"/>
  <c r="I306" i="2"/>
  <c r="K364" i="2"/>
  <c r="I364" i="2"/>
  <c r="J364" i="2"/>
  <c r="H364" i="2" s="1"/>
  <c r="I327" i="2"/>
  <c r="K335" i="2"/>
  <c r="K348" i="2"/>
  <c r="K264" i="2"/>
  <c r="I264" i="2"/>
  <c r="K309" i="2"/>
  <c r="J260" i="2"/>
  <c r="H260" i="2" s="1"/>
  <c r="I322" i="2"/>
  <c r="I219" i="2"/>
  <c r="K141" i="2"/>
  <c r="I157" i="2"/>
  <c r="I139" i="2"/>
  <c r="I49" i="2"/>
  <c r="K49" i="2"/>
  <c r="I165" i="2"/>
  <c r="I111" i="2"/>
  <c r="K133" i="2"/>
  <c r="I276" i="2"/>
  <c r="K17" i="2"/>
  <c r="J25" i="2"/>
  <c r="H25" i="2" s="1"/>
  <c r="J226" i="2"/>
  <c r="I472" i="2"/>
  <c r="K472" i="2"/>
  <c r="J302" i="2"/>
  <c r="H302" i="2" s="1"/>
  <c r="J334" i="2"/>
  <c r="H334" i="2" s="1"/>
  <c r="J303" i="2"/>
  <c r="K328" i="2" s="1"/>
  <c r="I303" i="2"/>
  <c r="I197" i="2"/>
  <c r="J197" i="2"/>
  <c r="H197" i="2" s="1"/>
  <c r="J328" i="2"/>
  <c r="K337" i="2" s="1"/>
  <c r="J322" i="2"/>
  <c r="H322" i="2" s="1"/>
  <c r="J219" i="2"/>
  <c r="H219" i="2" s="1"/>
  <c r="I218" i="2"/>
  <c r="I23" i="2"/>
  <c r="K23" i="2"/>
  <c r="J23" i="2"/>
  <c r="H23" i="2" s="1"/>
  <c r="I17" i="2"/>
  <c r="J167" i="2"/>
  <c r="H167" i="2" s="1"/>
  <c r="K71" i="2"/>
  <c r="K276" i="2"/>
  <c r="I95" i="2"/>
  <c r="I215" i="2"/>
  <c r="J215" i="2"/>
  <c r="H215" i="2" s="1"/>
  <c r="K207" i="2"/>
  <c r="I207" i="2"/>
  <c r="J207" i="2"/>
  <c r="K155" i="2"/>
  <c r="I155" i="2"/>
  <c r="K372" i="2"/>
  <c r="J372" i="2"/>
  <c r="H372" i="2" s="1"/>
  <c r="I372" i="2"/>
  <c r="I353" i="2"/>
  <c r="K462" i="2"/>
  <c r="K334" i="2"/>
  <c r="I294" i="2"/>
  <c r="I63" i="2"/>
  <c r="K181" i="2"/>
  <c r="I181" i="2"/>
  <c r="J81" i="2"/>
  <c r="H81" i="2" s="1"/>
  <c r="J253" i="2"/>
  <c r="H253" i="2" s="1"/>
  <c r="J39" i="2"/>
  <c r="H39" i="2" s="1"/>
  <c r="J41" i="2"/>
  <c r="H163" i="2" l="1"/>
  <c r="G163" i="2"/>
  <c r="H109" i="2"/>
  <c r="G109" i="2"/>
  <c r="H85" i="2"/>
  <c r="K98" i="2"/>
  <c r="G98" i="2" s="1"/>
  <c r="G85" i="2"/>
  <c r="H51" i="2"/>
  <c r="G51" i="2"/>
  <c r="H295" i="2"/>
  <c r="G295" i="2"/>
  <c r="G236" i="2"/>
  <c r="H226" i="2"/>
  <c r="G226" i="2"/>
  <c r="H238" i="2"/>
  <c r="G238" i="2"/>
  <c r="H207" i="2"/>
  <c r="G207" i="2"/>
  <c r="H75" i="2"/>
  <c r="G75" i="2"/>
  <c r="H41" i="2"/>
  <c r="G41" i="2"/>
  <c r="G49" i="2"/>
  <c r="G210" i="2"/>
  <c r="G181" i="2"/>
  <c r="G155" i="2"/>
  <c r="G263" i="2"/>
  <c r="H358" i="2"/>
  <c r="G358" i="2"/>
  <c r="H360" i="2"/>
  <c r="G360" i="2"/>
  <c r="H337" i="2"/>
  <c r="G337" i="2"/>
  <c r="H328" i="2"/>
  <c r="G328" i="2"/>
  <c r="H303" i="2"/>
  <c r="G303" i="2"/>
  <c r="H285" i="2"/>
  <c r="G285" i="2"/>
  <c r="H277" i="2"/>
  <c r="G277" i="2"/>
  <c r="G255" i="2"/>
  <c r="G159" i="2"/>
  <c r="G139" i="2"/>
  <c r="H137" i="2"/>
  <c r="G137" i="2"/>
  <c r="H117" i="2"/>
  <c r="G117" i="2"/>
</calcChain>
</file>

<file path=xl/sharedStrings.xml><?xml version="1.0" encoding="utf-8"?>
<sst xmlns="http://schemas.openxmlformats.org/spreadsheetml/2006/main" count="1189" uniqueCount="498">
  <si>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</si>
  <si>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</si>
  <si>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</si>
  <si>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</si>
  <si>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</si>
  <si>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</si>
  <si>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</si>
  <si>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</si>
  <si>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</si>
  <si>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</si>
  <si>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</si>
  <si>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</si>
  <si>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</si>
  <si>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erhalten</t>
  </si>
  <si>
    <t>Golfer Langer erhält die Sportpyramide</t>
  </si>
  <si>
    <t>file://conllu/de/an-online.de.224441.conllu#s1_0</t>
  </si>
  <si>
    <t>2</t>
  </si>
  <si>
    <t>6</t>
  </si>
  <si>
    <t>sein (sein überschaubar)</t>
  </si>
  <si>
    <t>Seine Erfahrungen auf dem Pferd sind überschaubar .</t>
  </si>
  <si>
    <t>file://conllu/de/an-online.de.224441.conllu#s2_0</t>
  </si>
  <si>
    <t>4</t>
  </si>
  <si>
    <t>sein (sein Premiere)</t>
  </si>
  <si>
    <t>Für den 58 Jährigen war es eine Premiere .</t>
  </si>
  <si>
    <t>file://conllu/de/an-online.de.224441.conllu#s4_0</t>
  </si>
  <si>
    <t>5</t>
  </si>
  <si>
    <t>CHIO</t>
  </si>
  <si>
    <t>CHIO : &amp;quot; Goldene Sportpyramide &amp;quot; für Bernhard Langer</t>
  </si>
  <si>
    <t>file://conllu/de/an-online.de.224441.conllu#s5_0</t>
  </si>
  <si>
    <t>erinnern</t>
  </si>
  <si>
    <t>Nach einigen Minuten erinnerten sich die Pferde an ihren Feierabend , sie jagten im in dem schnellen Galopp nach Hause zu den Futtertrögen .</t>
  </si>
  <si>
    <t>file://conllu/de/an-online.de.224441.conllu#s6_0</t>
  </si>
  <si>
    <t>7</t>
  </si>
  <si>
    <t>Kilometer</t>
  </si>
  <si>
    <t>Ein Kilometer bei diesem Tempo , ich habe Angst gehabt .</t>
  </si>
  <si>
    <t>file://conllu/de/an-online.de.224441.conllu#s7_0</t>
  </si>
  <si>
    <t>8</t>
  </si>
  <si>
    <t>9</t>
  </si>
  <si>
    <t>sagen</t>
  </si>
  <si>
    <t>&amp;quot; Es war kein gutes Erlebnis &amp;quot; , sagt Langer .</t>
  </si>
  <si>
    <t>file://conllu/de/an-online.de.224441.conllu#s8_0</t>
  </si>
  <si>
    <t>enden</t>
  </si>
  <si>
    <t>Und damit endete die Reitkarriere dann auch schon wieder .</t>
  </si>
  <si>
    <t>file://conllu/de/an-online.de.224441.conllu#s9_0</t>
  </si>
  <si>
    <t>11</t>
  </si>
  <si>
    <t>lassen</t>
  </si>
  <si>
    <t>Er ließ sich mit seiner Familie über die Anlage des ALRV führen , auf ein Pferd schwang er sich nicht mal zu Fotozwecken .</t>
  </si>
  <si>
    <t>file://conllu/de/an-online.de.224441.conllu#s11_0</t>
  </si>
  <si>
    <t>12</t>
  </si>
  <si>
    <t>sein (sein Mal)</t>
  </si>
  <si>
    <t>Langer war das erste Mal in Aachen und damit auch beim bei dem CHIO .</t>
  </si>
  <si>
    <t>file://conllu/de/an-online.de.224441.conllu#s12_0</t>
  </si>
  <si>
    <t>13</t>
  </si>
  <si>
    <t>sein (sein überzeugend)</t>
  </si>
  <si>
    <t>Der Grund war durchaus überzeugend .</t>
  </si>
  <si>
    <t>file://conllu/de/an-online.de.224441.conllu#s13_0</t>
  </si>
  <si>
    <t>14</t>
  </si>
  <si>
    <t>überreichen</t>
  </si>
  <si>
    <t>Die deutsche Sporthilfe überreichte dem Mann aus Anhausen im in dem Rahmen einer kleinen Gala die Goldene Sportpyramide .</t>
  </si>
  <si>
    <t>file://conllu/de/an-online.de.224441.conllu#s14_0</t>
  </si>
  <si>
    <t>15</t>
  </si>
  <si>
    <t>mangeln</t>
  </si>
  <si>
    <t>An Auszeichnungen mangelt es dem sympathischen Sportler nicht .</t>
  </si>
  <si>
    <t>file://conllu/de/an-online.de.224441.conllu#s15_0</t>
  </si>
  <si>
    <t>16</t>
  </si>
  <si>
    <t>Bundesverdienstkreuz</t>
  </si>
  <si>
    <t>Bundesverdienstkreuz , Silbernes Lorbeerblatt , Champions Tour Player of the year ...</t>
  </si>
  <si>
    <t>file://conllu/de/an-online.de.224441.conllu#s16_0</t>
  </si>
  <si>
    <t>17</t>
  </si>
  <si>
    <t>adeln</t>
  </si>
  <si>
    <t>Selbst die britische Queen hat ihn schon geadelt .</t>
  </si>
  <si>
    <t>file://conllu/de/an-online.de.224441.conllu#s17_0</t>
  </si>
  <si>
    <t>18</t>
  </si>
  <si>
    <t>sein (sein 18)</t>
  </si>
  <si>
    <t>Langer ist der 18 .</t>
  </si>
  <si>
    <t>file://conllu/de/an-online.de.224441.conllu#s18_0</t>
  </si>
  <si>
    <t>19</t>
  </si>
  <si>
    <t>Preisträger</t>
  </si>
  <si>
    <t>Preisträger der Sportpyramide .</t>
  </si>
  <si>
    <t>file://conllu/de/an-online.de.224441.conllu#s19_0</t>
  </si>
  <si>
    <t>20</t>
  </si>
  <si>
    <t>treffen</t>
  </si>
  <si>
    <t>In Aachen traf er am an dem Samstag den ersten Preisträger Hans Günter Winkler .</t>
  </si>
  <si>
    <t>file://conllu/de/an-online.de.224441.conllu#s20_0</t>
  </si>
  <si>
    <t>21</t>
  </si>
  <si>
    <t>10</t>
  </si>
  <si>
    <t>&amp;quot; Diese Auszeichnung bedeutet mir sehr viel &amp;quot; , sagt Langer , &amp;quot; denn sie wird nicht nur für sportliche Erfolge , sondern auch für gesellschaftliches Engagement vergeben &amp;quot; .</t>
  </si>
  <si>
    <t>file://conllu/de/an-online.de.224441.conllu#s21_0</t>
  </si>
  <si>
    <t>22</t>
  </si>
  <si>
    <t>fördern</t>
  </si>
  <si>
    <t>Seit Jahrzehnten fördert Langer den Nachwuchs .</t>
  </si>
  <si>
    <t>file://conllu/de/an-online.de.224441.conllu#s22_0</t>
  </si>
  <si>
    <t>23</t>
  </si>
  <si>
    <t>geben</t>
  </si>
  <si>
    <t>Und so gab er auch das Preisgeld von 25.000 Euro gleich weiter .</t>
  </si>
  <si>
    <t>file://conllu/de/an-online.de.224441.conllu#s23_0</t>
  </si>
  <si>
    <t>24</t>
  </si>
  <si>
    <t>25</t>
  </si>
  <si>
    <t>aufnehmen</t>
  </si>
  <si>
    <t>Mit 15 weiteren herausragenden Sportlern wurde der zweifache US Masterssieger am an dem Samstag in die &amp;quot; Hall of Fame des deutschen Sports &amp;quot; aufgenommen .</t>
  </si>
  <si>
    <t>file://conllu/de/an-online.de.224441.conllu#s24_0</t>
  </si>
  <si>
    <t>gehören</t>
  </si>
  <si>
    <t>Zu den Ausgezeichneten gehören die Leichtathleten Hartwig Gauder und Harald Schmitt , der Turner Eberhard Gienger , die Fechter Cornelia Hanisch , Alexander Pusch und Arnd Schmitt , der Ruderer Peter Michael Kolbe , Bob Fahrer Meinhard Nehmer , der Judoka Frank Wieneke , der Springreiter Alwin Schockemöhle und posthum der Handballer Erhard Wunderlich .</t>
  </si>
  <si>
    <t>file://conllu/de/an-online.de.224441.conllu#s25_0</t>
  </si>
  <si>
    <t>26</t>
  </si>
  <si>
    <t>sein (sein kommen)</t>
  </si>
  <si>
    <t>Viele dieser Sportlegenden waren am an dem Samstag nach Aachen gekommen .</t>
  </si>
  <si>
    <t>file://conllu/de/an-online.de.224441.conllu#s26_0</t>
  </si>
  <si>
    <t>27</t>
  </si>
  <si>
    <t>wandern</t>
  </si>
  <si>
    <t>Nach dem offiziellen Teil wanderte die illustre Gesellschaft ins in das Springstadion , wo der Lavazza Preis lief .</t>
  </si>
  <si>
    <t>file://conllu/de/an-online.de.224441.conllu#s27_0</t>
  </si>
  <si>
    <t>28</t>
  </si>
  <si>
    <t>halten</t>
  </si>
  <si>
    <t>Bernhard Langer hielt Abstand zu den großen Tieren .</t>
  </si>
  <si>
    <t>file://conllu/de/an-online.de.224441.conllu#s28_0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</si>
  <si>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</si>
  <si>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</si>
  <si>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</si>
  <si>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</si>
  <si>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</si>
  <si>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</si>
  <si>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</si>
  <si>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</si>
  <si>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</si>
  <si>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</si>
  <si>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</si>
  <si>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Golfer Langer erhält die Sportpyramide</t>
  </si>
  <si>
    <t>Golfer</t>
  </si>
  <si>
    <t>SBJ</t>
  </si>
  <si>
    <t>ne</t>
  </si>
  <si>
    <t>?OLD</t>
  </si>
  <si>
    <t>Langer</t>
  </si>
  <si>
    <t>erhält</t>
  </si>
  <si>
    <t>die</t>
  </si>
  <si>
    <t>Sportpyramide</t>
  </si>
  <si>
    <t>OBJ</t>
  </si>
  <si>
    <t>def-np.the</t>
  </si>
  <si>
    <t># text = Seine Erfahrungen auf dem Pferd sind überschaubar.</t>
  </si>
  <si>
    <t>Seine</t>
  </si>
  <si>
    <t>Erfahrungen</t>
  </si>
  <si>
    <t>indef-np</t>
  </si>
  <si>
    <t>auf</t>
  </si>
  <si>
    <t>dem</t>
  </si>
  <si>
    <t>Pferd</t>
  </si>
  <si>
    <t>other_2</t>
  </si>
  <si>
    <t>sind</t>
  </si>
  <si>
    <t>überschaubar</t>
  </si>
  <si>
    <t>.</t>
  </si>
  <si>
    <t># text = Am Ende eines Golfturniers in Südafrika suchte Bernhard Langer mit einigen Kollegen ein bisschen Abwechslung mit einem Ausritt am Strand.</t>
  </si>
  <si>
    <t>An</t>
  </si>
  <si>
    <t>Ende</t>
  </si>
  <si>
    <t>other</t>
  </si>
  <si>
    <t>eines</t>
  </si>
  <si>
    <t>Golfturniers</t>
  </si>
  <si>
    <t>indef-np.a</t>
  </si>
  <si>
    <t>in</t>
  </si>
  <si>
    <t>Südafrika</t>
  </si>
  <si>
    <t>other_3</t>
  </si>
  <si>
    <t>suchte</t>
  </si>
  <si>
    <t>Bernhard</t>
  </si>
  <si>
    <t>mit</t>
  </si>
  <si>
    <t>einigen</t>
  </si>
  <si>
    <t>pron.pind</t>
  </si>
  <si>
    <t>Kollegen</t>
  </si>
  <si>
    <t>indef-np.quant</t>
  </si>
  <si>
    <t>ein</t>
  </si>
  <si>
    <t>bisschen</t>
  </si>
  <si>
    <t>Abwechslung</t>
  </si>
  <si>
    <t>einem</t>
  </si>
  <si>
    <t>Ausritt</t>
  </si>
  <si>
    <t>an</t>
  </si>
  <si>
    <t>Strand</t>
  </si>
  <si>
    <t># text = Für den 58-Jährigen war es eine Premiere.</t>
  </si>
  <si>
    <t>Für</t>
  </si>
  <si>
    <t>den</t>
  </si>
  <si>
    <t>58</t>
  </si>
  <si>
    <t>Jährigen</t>
  </si>
  <si>
    <t>def-np.quant</t>
  </si>
  <si>
    <t>war</t>
  </si>
  <si>
    <t>es</t>
  </si>
  <si>
    <t>pron.pper</t>
  </si>
  <si>
    <t>eine</t>
  </si>
  <si>
    <t>Premiere</t>
  </si>
  <si>
    <t>--</t>
  </si>
  <si>
    <t># text = CHIO: "Goldene Sportpyramide" für Bernhard Langer</t>
  </si>
  <si>
    <t>:</t>
  </si>
  <si>
    <t>&amp;quot;</t>
  </si>
  <si>
    <t>Goldene</t>
  </si>
  <si>
    <t>für</t>
  </si>
  <si>
    <t># text = Nach einigen Minuten erinnerten sich die Pferde an ihren Feierabend, sie jagten im schnellen Galopp nach Hause zu den Futtertrögen.</t>
  </si>
  <si>
    <t>Nach</t>
  </si>
  <si>
    <t>Minuten</t>
  </si>
  <si>
    <t>erinnerten</t>
  </si>
  <si>
    <t>sich</t>
  </si>
  <si>
    <t>Pferde</t>
  </si>
  <si>
    <t>ihren</t>
  </si>
  <si>
    <t>Feierabend</t>
  </si>
  <si>
    <t>,</t>
  </si>
  <si>
    <t>sie</t>
  </si>
  <si>
    <t>SBJ_2</t>
  </si>
  <si>
    <t>pron</t>
  </si>
  <si>
    <t>jagten</t>
  </si>
  <si>
    <t>schnellen</t>
  </si>
  <si>
    <t>Galopp</t>
  </si>
  <si>
    <t>nach</t>
  </si>
  <si>
    <t>Hause</t>
  </si>
  <si>
    <t>indef-np.bare</t>
  </si>
  <si>
    <t>zu</t>
  </si>
  <si>
    <t>other_5</t>
  </si>
  <si>
    <t>Futtertrögen</t>
  </si>
  <si>
    <t>other_4</t>
  </si>
  <si>
    <t># text = Ein Kilometer bei diesem Tempo, ich habe Angst gehabt.</t>
  </si>
  <si>
    <t>Ein</t>
  </si>
  <si>
    <t>bei</t>
  </si>
  <si>
    <t>diesem</t>
  </si>
  <si>
    <t>pron.pds</t>
  </si>
  <si>
    <t>Tempo</t>
  </si>
  <si>
    <t>def-np.dem</t>
  </si>
  <si>
    <t>ich</t>
  </si>
  <si>
    <t>habe</t>
  </si>
  <si>
    <t>Angst</t>
  </si>
  <si>
    <t>OBJ_2</t>
  </si>
  <si>
    <t>gehabt</t>
  </si>
  <si>
    <t># text = \"Es war kein gutes Erlebnis\", sagt Langer.</t>
  </si>
  <si>
    <t>Es</t>
  </si>
  <si>
    <t>kein</t>
  </si>
  <si>
    <t>gutes</t>
  </si>
  <si>
    <t>Erlebnis</t>
  </si>
  <si>
    <t>sagt</t>
  </si>
  <si>
    <t># text = Und damit endete die Reitkarriere dann auch schon wieder.</t>
  </si>
  <si>
    <t>Und</t>
  </si>
  <si>
    <t>damit</t>
  </si>
  <si>
    <t>endete</t>
  </si>
  <si>
    <t>Reitkarriere</t>
  </si>
  <si>
    <t>dann</t>
  </si>
  <si>
    <t>auch</t>
  </si>
  <si>
    <t>schon</t>
  </si>
  <si>
    <t>wieder</t>
  </si>
  <si>
    <t># text = Am Samstag war Deutschlands bester Golfer aller Zeiten - 101 Turniersiege - wieder in der Nähe von Pferden.</t>
  </si>
  <si>
    <t>Samstag</t>
  </si>
  <si>
    <t>Deutschlands</t>
  </si>
  <si>
    <t>bester</t>
  </si>
  <si>
    <t>def-np.poss</t>
  </si>
  <si>
    <t>aller</t>
  </si>
  <si>
    <t>Zeiten</t>
  </si>
  <si>
    <t>101</t>
  </si>
  <si>
    <t>Turniersiege</t>
  </si>
  <si>
    <t>der</t>
  </si>
  <si>
    <t>Nähe</t>
  </si>
  <si>
    <t>von</t>
  </si>
  <si>
    <t>Pferden</t>
  </si>
  <si>
    <t># text = Er ließ sich mit seiner Familie über die Anlage des ALRV führen, auf ein Pferd schwang er sich nicht mal zu Fotozwecken.</t>
  </si>
  <si>
    <t>Er</t>
  </si>
  <si>
    <t>ließ</t>
  </si>
  <si>
    <t>seiner</t>
  </si>
  <si>
    <t>Familie</t>
  </si>
  <si>
    <t>über</t>
  </si>
  <si>
    <t>Anlage</t>
  </si>
  <si>
    <t>des</t>
  </si>
  <si>
    <t>ALRV</t>
  </si>
  <si>
    <t>führen</t>
  </si>
  <si>
    <t>schwang</t>
  </si>
  <si>
    <t>er</t>
  </si>
  <si>
    <t>nicht</t>
  </si>
  <si>
    <t>mal</t>
  </si>
  <si>
    <t>Fotozwecken</t>
  </si>
  <si>
    <t># text = Langer war das erste Mal in Aachen und damit auch beim CHIO.</t>
  </si>
  <si>
    <t>das</t>
  </si>
  <si>
    <t>erste</t>
  </si>
  <si>
    <t>Mal</t>
  </si>
  <si>
    <t>Aachen</t>
  </si>
  <si>
    <t>und</t>
  </si>
  <si>
    <t># text = Der Grund war durchaus überzeugend.</t>
  </si>
  <si>
    <t>Der</t>
  </si>
  <si>
    <t>Grund</t>
  </si>
  <si>
    <t>durchaus</t>
  </si>
  <si>
    <t>überzeugend</t>
  </si>
  <si>
    <t># text = Die deutsche Sporthilfe überreichte dem Mann aus Anhausen im Rahmen einer kleinen Gala die Goldene Sportpyramide.</t>
  </si>
  <si>
    <t>Die</t>
  </si>
  <si>
    <t>deutsche</t>
  </si>
  <si>
    <t>Sporthilfe</t>
  </si>
  <si>
    <t>überreichte</t>
  </si>
  <si>
    <t>Mann</t>
  </si>
  <si>
    <t>aus</t>
  </si>
  <si>
    <t>Anhausen</t>
  </si>
  <si>
    <t>Rahmen</t>
  </si>
  <si>
    <t>einer</t>
  </si>
  <si>
    <t>kleinen</t>
  </si>
  <si>
    <t>Gala</t>
  </si>
  <si>
    <t># text = An Auszeichnungen mangelt es dem sympathischen Sportler nicht.</t>
  </si>
  <si>
    <t>Auszeichnungen</t>
  </si>
  <si>
    <t>mangelt</t>
  </si>
  <si>
    <t>sympathischen</t>
  </si>
  <si>
    <t>Sportler</t>
  </si>
  <si>
    <t># text = Bundesverdienstkreuz, Silbernes Lorbeerblatt, Champions-Tour-Player of the year...</t>
  </si>
  <si>
    <t>Silbernes</t>
  </si>
  <si>
    <t>Lorbeerblatt</t>
  </si>
  <si>
    <t>Champions</t>
  </si>
  <si>
    <t>Tour</t>
  </si>
  <si>
    <t>Player</t>
  </si>
  <si>
    <t>of</t>
  </si>
  <si>
    <t>the</t>
  </si>
  <si>
    <t>year</t>
  </si>
  <si>
    <t>...</t>
  </si>
  <si>
    <t># text = Selbst die britische Queen hat ihn schon geadelt.</t>
  </si>
  <si>
    <t>Selbst</t>
  </si>
  <si>
    <t>britische</t>
  </si>
  <si>
    <t>Queen</t>
  </si>
  <si>
    <t>hat</t>
  </si>
  <si>
    <t>ihn</t>
  </si>
  <si>
    <t>geadelt</t>
  </si>
  <si>
    <t># text = Langer ist der 18.</t>
  </si>
  <si>
    <t>ist</t>
  </si>
  <si>
    <t># text = Preisträger der Sportpyramide.</t>
  </si>
  <si>
    <t># text = In Aachen traf er am Samstag den ersten Preisträger Hans Günter Winkler.</t>
  </si>
  <si>
    <t>In</t>
  </si>
  <si>
    <t>traf</t>
  </si>
  <si>
    <t>ersten</t>
  </si>
  <si>
    <t>Hans</t>
  </si>
  <si>
    <t>Günter</t>
  </si>
  <si>
    <t>Winkler</t>
  </si>
  <si>
    <t># text = "Diese Auszeichnung bedeutet mir sehr viel", sagt Langer, "denn sie wird nicht nur für sportliche Erfolge, sondern auch für gesellschaftliches Engagement vergeben".</t>
  </si>
  <si>
    <t>Diese</t>
  </si>
  <si>
    <t>Auszeichnung</t>
  </si>
  <si>
    <t>bedeutet</t>
  </si>
  <si>
    <t>mir</t>
  </si>
  <si>
    <t>sehr</t>
  </si>
  <si>
    <t>viel</t>
  </si>
  <si>
    <t>denn</t>
  </si>
  <si>
    <t>SBJ_3</t>
  </si>
  <si>
    <t>wird</t>
  </si>
  <si>
    <t>nur</t>
  </si>
  <si>
    <t>sportliche</t>
  </si>
  <si>
    <t>Erfolge</t>
  </si>
  <si>
    <t>sondern</t>
  </si>
  <si>
    <t>gesellschaftliches</t>
  </si>
  <si>
    <t>Engagement</t>
  </si>
  <si>
    <t>vergeben</t>
  </si>
  <si>
    <t># text = Seit Jahrzehnten fördert Langer den Nachwuchs.</t>
  </si>
  <si>
    <t>Seit</t>
  </si>
  <si>
    <t>Jahrzehnten</t>
  </si>
  <si>
    <t>fördert</t>
  </si>
  <si>
    <t>Nachwuchs</t>
  </si>
  <si>
    <t># text = Und so gab er auch das Preisgeld von 25.000 Euro gleich weiter.</t>
  </si>
  <si>
    <t>so</t>
  </si>
  <si>
    <t>gab</t>
  </si>
  <si>
    <t>Preisgeld</t>
  </si>
  <si>
    <t>25.000</t>
  </si>
  <si>
    <t>Euro</t>
  </si>
  <si>
    <t>gleich</t>
  </si>
  <si>
    <t>weiter</t>
  </si>
  <si>
    <t># text = Mit 15 weiteren herausragenden Sportlern wurde der zweifache US-Masterssieger am Samstag in die "Hall of Fame des deutschen Sports" aufgenommen.</t>
  </si>
  <si>
    <t>Mit</t>
  </si>
  <si>
    <t>weiteren</t>
  </si>
  <si>
    <t>herausragenden</t>
  </si>
  <si>
    <t>Sportlern</t>
  </si>
  <si>
    <t>wurde</t>
  </si>
  <si>
    <t>zweifache</t>
  </si>
  <si>
    <t>US</t>
  </si>
  <si>
    <t>Masterssieger</t>
  </si>
  <si>
    <t>Hall</t>
  </si>
  <si>
    <t>Fame</t>
  </si>
  <si>
    <t>deutschen</t>
  </si>
  <si>
    <t>Sports</t>
  </si>
  <si>
    <t>aufgenommen</t>
  </si>
  <si>
    <t># text = Zu den Ausgezeichneten gehören die Leichtathleten Hartwig Gauder und Harald Schmitt, der Turner Eberhard Gienger, die Fechter Cornelia Hanisch, Alexander Pusch und Arnd Schmitt, der Ruderer Peter-Michael Kolbe, Bob-Fahrer Meinhard Nehmer, der Judoka Frank Wieneke, der Springreiter Alwin Schockemöhle und posthum der Handballer Erhard Wunderlich.</t>
  </si>
  <si>
    <t>Zu</t>
  </si>
  <si>
    <t>Ausgezeichneten</t>
  </si>
  <si>
    <t>Leichtathleten</t>
  </si>
  <si>
    <t>Hartwig</t>
  </si>
  <si>
    <t>Gauder</t>
  </si>
  <si>
    <t>Harald</t>
  </si>
  <si>
    <t>Schmitt</t>
  </si>
  <si>
    <t>Turner</t>
  </si>
  <si>
    <t>Eberhard</t>
  </si>
  <si>
    <t>Gienger</t>
  </si>
  <si>
    <t>Fechter</t>
  </si>
  <si>
    <t>Cornelia</t>
  </si>
  <si>
    <t>Hanisch</t>
  </si>
  <si>
    <t>Alexander</t>
  </si>
  <si>
    <t>Pusch</t>
  </si>
  <si>
    <t>Arnd</t>
  </si>
  <si>
    <t>Ruderer</t>
  </si>
  <si>
    <t>Peter</t>
  </si>
  <si>
    <t>Michael</t>
  </si>
  <si>
    <t>Kolbe</t>
  </si>
  <si>
    <t>Bob</t>
  </si>
  <si>
    <t>Fahrer</t>
  </si>
  <si>
    <t>Meinhard</t>
  </si>
  <si>
    <t>Nehmer</t>
  </si>
  <si>
    <t>Judoka</t>
  </si>
  <si>
    <t>Frank</t>
  </si>
  <si>
    <t>Wieneke</t>
  </si>
  <si>
    <t>Springreiter</t>
  </si>
  <si>
    <t>Alwin</t>
  </si>
  <si>
    <t>Schockemöhle</t>
  </si>
  <si>
    <t>posthum</t>
  </si>
  <si>
    <t>Handballer</t>
  </si>
  <si>
    <t>Erhard</t>
  </si>
  <si>
    <t>Wunderlich</t>
  </si>
  <si>
    <t># text = Viele dieser Sportlegenden waren am Samstag nach Aachen gekommen.</t>
  </si>
  <si>
    <t>Viele</t>
  </si>
  <si>
    <t>dieser</t>
  </si>
  <si>
    <t>Sportlegenden</t>
  </si>
  <si>
    <t>waren</t>
  </si>
  <si>
    <t>gekommen</t>
  </si>
  <si>
    <t># text = Nach dem offiziellen Teil wanderte die illustre Gesellschaft ins Springstadion, wo der Lavazza-Preis lief.</t>
  </si>
  <si>
    <t>offiziellen</t>
  </si>
  <si>
    <t>Teil</t>
  </si>
  <si>
    <t>wanderte</t>
  </si>
  <si>
    <t>illustre</t>
  </si>
  <si>
    <t>Gesellschaft</t>
  </si>
  <si>
    <t>Springstadion</t>
  </si>
  <si>
    <t>wo</t>
  </si>
  <si>
    <t>Lavazza</t>
  </si>
  <si>
    <t>SBJ_4</t>
  </si>
  <si>
    <t>Preis</t>
  </si>
  <si>
    <t>lief</t>
  </si>
  <si>
    <t># text = Bernhard Langer hielt Abstand zu den großen Tieren.</t>
  </si>
  <si>
    <t>hielt</t>
  </si>
  <si>
    <t>Abstand</t>
  </si>
  <si>
    <t>großen</t>
  </si>
  <si>
    <t>Tieren</t>
  </si>
  <si>
    <t>bernhard_langer</t>
  </si>
  <si>
    <t>kein auto ref</t>
  </si>
  <si>
    <t>GEN</t>
  </si>
  <si>
    <t>suedafrika</t>
  </si>
  <si>
    <t>deutschland</t>
  </si>
  <si>
    <t>SIT</t>
  </si>
  <si>
    <t>familie_langer</t>
  </si>
  <si>
    <t>aachen</t>
  </si>
  <si>
    <t>chio</t>
  </si>
  <si>
    <t>anhausen</t>
  </si>
  <si>
    <t>queen</t>
  </si>
  <si>
    <t>hans_winkler</t>
  </si>
  <si>
    <t>PRED</t>
  </si>
  <si>
    <t>usa</t>
  </si>
  <si>
    <t>nur extra ref-id, weil auto ref</t>
  </si>
  <si>
    <t>syntaktischer Kopf</t>
  </si>
  <si>
    <t>harald_schmitt</t>
  </si>
  <si>
    <t>hartwig_gauder</t>
  </si>
  <si>
    <t>CHECK</t>
  </si>
  <si>
    <t>CHECK PRED</t>
  </si>
  <si>
    <t>eberhard_gienger</t>
  </si>
  <si>
    <t>cornelia_hanisch</t>
  </si>
  <si>
    <t>alexander_pusch</t>
  </si>
  <si>
    <t>arnd_schmitt</t>
  </si>
  <si>
    <t>peter_kolbe</t>
  </si>
  <si>
    <t>meinhard_nehmer</t>
  </si>
  <si>
    <t>frank_wieneke</t>
  </si>
  <si>
    <t>alwin_schockemoehle</t>
  </si>
  <si>
    <t>parser error</t>
  </si>
  <si>
    <t>erhard_wunderlicher</t>
  </si>
  <si>
    <t>parser error: Artikel</t>
  </si>
  <si>
    <t>sportpyramide</t>
  </si>
  <si>
    <t>langer_erfahrungen</t>
  </si>
  <si>
    <t>pferde</t>
  </si>
  <si>
    <t>strand</t>
  </si>
  <si>
    <t>CHECK: andere Pferde?</t>
  </si>
  <si>
    <t>Bezug</t>
  </si>
  <si>
    <t>grund</t>
  </si>
  <si>
    <t>deutsche_sporthilfe</t>
  </si>
  <si>
    <t>EXPL</t>
  </si>
  <si>
    <t>bvk</t>
  </si>
  <si>
    <t>slb</t>
  </si>
  <si>
    <t>ctp</t>
  </si>
  <si>
    <t>GROUP</t>
  </si>
  <si>
    <t>preise&gt;bvk,slb,ctp</t>
  </si>
  <si>
    <t>samstag</t>
  </si>
  <si>
    <t>OLD</t>
  </si>
  <si>
    <t>preisgeld</t>
  </si>
  <si>
    <t>hall_of_fame</t>
  </si>
  <si>
    <t>springstadion</t>
  </si>
  <si>
    <t>lavazza_preis</t>
  </si>
  <si>
    <t>nicht syntaktischer Kopf</t>
  </si>
  <si>
    <t>ID, weil später referenziert</t>
  </si>
  <si>
    <t>ende_turnier</t>
  </si>
  <si>
    <t>konkreter Zeitpunkt</t>
  </si>
  <si>
    <t>auch GEN denkbar</t>
  </si>
  <si>
    <t>ausritt</t>
  </si>
  <si>
    <t>Antezedens für 51: es</t>
  </si>
  <si>
    <t>futtertroege</t>
  </si>
  <si>
    <t>galopp</t>
  </si>
  <si>
    <t>ID, weil Antezedens für "dieses Tempo" in 98</t>
  </si>
  <si>
    <t>parser error: nicht syntaktischer Kopf</t>
  </si>
  <si>
    <t>reitkarriere</t>
  </si>
  <si>
    <t>anlage_alrv</t>
  </si>
  <si>
    <t>alrv</t>
  </si>
  <si>
    <t>CHECK: unclear</t>
  </si>
  <si>
    <t>IDIOM</t>
  </si>
  <si>
    <t>alternativ auch CAT oder GEN denkbar</t>
  </si>
  <si>
    <t>wrong sentence break</t>
  </si>
  <si>
    <t>kein auto ref; CHECK ob CAT oder GROUP</t>
  </si>
  <si>
    <t>ausgezeichnete</t>
  </si>
  <si>
    <t>Untermenge der Ausgezeichneten</t>
  </si>
  <si>
    <t>viele_sportler</t>
  </si>
  <si>
    <t>off_teil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</si>
</sst>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7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baseColWidth="10" defaultColWidth="8.88671875" defaultRowHeight="60" customHeight="1" x14ac:dyDescent="0.3"/>
  <cols>
    <col min="2" max="3" width="0" hidden="1" customWidth="1"/>
    <col min="4" max="4" width="10.6640625" customWidth="1"/>
    <col min="5" max="5" width="80.6640625" customWidth="1"/>
    <col min="6" max="6" width="0" hidden="1" customWidth="1"/>
    <col min="7" max="7" width="10.6640625" customWidth="1"/>
    <col min="9" max="9" width="10.6640625" customWidth="1"/>
    <col min="10" max="10" width="40.6640625" customWidth="1"/>
  </cols>
  <sheetData>
    <row r="1" spans="1:10" ht="60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 x14ac:dyDescent="0.3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 t="str">
        <f t="shared" ref="G2:G27" si="0">IF(A2=1,"_",IF(C2="_","???",C2))</f>
        <v>???</v>
      </c>
      <c r="H2" s="10" t="s">
        <v>12</v>
      </c>
      <c r="I2" s="11" t="s">
        <v>12</v>
      </c>
      <c r="J2" s="12"/>
    </row>
    <row r="3" spans="1:10" ht="60" customHeight="1" x14ac:dyDescent="0.3">
      <c r="A3" s="6" t="s">
        <v>16</v>
      </c>
      <c r="B3" s="6" t="s">
        <v>17</v>
      </c>
      <c r="C3" s="6" t="s">
        <v>12</v>
      </c>
      <c r="D3" s="7" t="s">
        <v>18</v>
      </c>
      <c r="E3" s="8" t="s">
        <v>19</v>
      </c>
      <c r="F3" s="6" t="s">
        <v>20</v>
      </c>
      <c r="G3" s="9" t="str">
        <f t="shared" si="0"/>
        <v>???</v>
      </c>
      <c r="H3" s="10" t="s">
        <v>12</v>
      </c>
      <c r="I3" s="11" t="s">
        <v>12</v>
      </c>
      <c r="J3" s="12"/>
    </row>
    <row r="4" spans="1:10" ht="60" customHeight="1" x14ac:dyDescent="0.3">
      <c r="A4" s="6" t="s">
        <v>21</v>
      </c>
      <c r="B4" s="6" t="s">
        <v>17</v>
      </c>
      <c r="C4" s="6" t="s">
        <v>12</v>
      </c>
      <c r="D4" s="7" t="s">
        <v>22</v>
      </c>
      <c r="E4" s="8" t="s">
        <v>23</v>
      </c>
      <c r="F4" s="6" t="s">
        <v>24</v>
      </c>
      <c r="G4" s="9" t="str">
        <f t="shared" si="0"/>
        <v>???</v>
      </c>
      <c r="H4" s="10" t="s">
        <v>12</v>
      </c>
      <c r="I4" s="11" t="s">
        <v>12</v>
      </c>
      <c r="J4" s="12"/>
    </row>
    <row r="5" spans="1:10" ht="60" customHeight="1" x14ac:dyDescent="0.3">
      <c r="A5" s="6" t="s">
        <v>25</v>
      </c>
      <c r="B5" s="6" t="s">
        <v>10</v>
      </c>
      <c r="C5" s="6" t="s">
        <v>12</v>
      </c>
      <c r="D5" s="7" t="s">
        <v>26</v>
      </c>
      <c r="E5" s="8" t="s">
        <v>27</v>
      </c>
      <c r="F5" s="6" t="s">
        <v>28</v>
      </c>
      <c r="G5" s="9" t="str">
        <f t="shared" si="0"/>
        <v>???</v>
      </c>
      <c r="H5" s="10" t="s">
        <v>12</v>
      </c>
      <c r="I5" s="11" t="s">
        <v>12</v>
      </c>
      <c r="J5" s="12"/>
    </row>
    <row r="6" spans="1:10" ht="60" customHeight="1" x14ac:dyDescent="0.3">
      <c r="A6" s="6" t="s">
        <v>17</v>
      </c>
      <c r="B6" s="6" t="s">
        <v>21</v>
      </c>
      <c r="C6" s="6" t="s">
        <v>12</v>
      </c>
      <c r="D6" s="7" t="s">
        <v>29</v>
      </c>
      <c r="E6" s="8" t="s">
        <v>30</v>
      </c>
      <c r="F6" s="6" t="s">
        <v>31</v>
      </c>
      <c r="G6" s="9" t="str">
        <f t="shared" si="0"/>
        <v>???</v>
      </c>
      <c r="H6" s="10" t="s">
        <v>12</v>
      </c>
      <c r="I6" s="11" t="s">
        <v>12</v>
      </c>
      <c r="J6" s="12"/>
    </row>
    <row r="7" spans="1:10" ht="60" customHeight="1" x14ac:dyDescent="0.3">
      <c r="A7" s="6" t="s">
        <v>32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 t="str">
        <f t="shared" si="0"/>
        <v>???</v>
      </c>
      <c r="H7" s="10" t="s">
        <v>12</v>
      </c>
      <c r="I7" s="11" t="s">
        <v>12</v>
      </c>
      <c r="J7" s="12"/>
    </row>
    <row r="8" spans="1:10" ht="60" customHeight="1" x14ac:dyDescent="0.3">
      <c r="A8" s="6" t="s">
        <v>36</v>
      </c>
      <c r="B8" s="6" t="s">
        <v>37</v>
      </c>
      <c r="C8" s="6" t="s">
        <v>12</v>
      </c>
      <c r="D8" s="7" t="s">
        <v>38</v>
      </c>
      <c r="E8" s="8" t="s">
        <v>39</v>
      </c>
      <c r="F8" s="6" t="s">
        <v>40</v>
      </c>
      <c r="G8" s="9" t="str">
        <f t="shared" si="0"/>
        <v>???</v>
      </c>
      <c r="H8" s="10" t="s">
        <v>12</v>
      </c>
      <c r="I8" s="11" t="s">
        <v>12</v>
      </c>
      <c r="J8" s="12"/>
    </row>
    <row r="9" spans="1:10" ht="60" customHeight="1" x14ac:dyDescent="0.3">
      <c r="A9" s="6" t="s">
        <v>37</v>
      </c>
      <c r="B9" s="6" t="s">
        <v>11</v>
      </c>
      <c r="C9" s="6" t="s">
        <v>12</v>
      </c>
      <c r="D9" s="7" t="s">
        <v>41</v>
      </c>
      <c r="E9" s="8" t="s">
        <v>42</v>
      </c>
      <c r="F9" s="6" t="s">
        <v>43</v>
      </c>
      <c r="G9" s="9" t="str">
        <f t="shared" si="0"/>
        <v>???</v>
      </c>
      <c r="H9" s="10" t="s">
        <v>12</v>
      </c>
      <c r="I9" s="11" t="s">
        <v>12</v>
      </c>
      <c r="J9" s="12"/>
    </row>
    <row r="10" spans="1:10" ht="60" customHeight="1" x14ac:dyDescent="0.3">
      <c r="A10" s="6" t="s">
        <v>44</v>
      </c>
      <c r="B10" s="6" t="s">
        <v>16</v>
      </c>
      <c r="C10" s="6" t="s">
        <v>12</v>
      </c>
      <c r="D10" s="7" t="s">
        <v>45</v>
      </c>
      <c r="E10" s="8" t="s">
        <v>46</v>
      </c>
      <c r="F10" s="6" t="s">
        <v>47</v>
      </c>
      <c r="G10" s="9" t="str">
        <f t="shared" si="0"/>
        <v>???</v>
      </c>
      <c r="H10" s="10" t="s">
        <v>12</v>
      </c>
      <c r="I10" s="11" t="s">
        <v>12</v>
      </c>
      <c r="J10" s="12"/>
    </row>
    <row r="11" spans="1:10" ht="60" customHeight="1" x14ac:dyDescent="0.3">
      <c r="A11" s="6" t="s">
        <v>48</v>
      </c>
      <c r="B11" s="6" t="s">
        <v>16</v>
      </c>
      <c r="C11" s="6" t="s">
        <v>12</v>
      </c>
      <c r="D11" s="7" t="s">
        <v>49</v>
      </c>
      <c r="E11" s="8" t="s">
        <v>50</v>
      </c>
      <c r="F11" s="6" t="s">
        <v>51</v>
      </c>
      <c r="G11" s="9" t="str">
        <f t="shared" si="0"/>
        <v>???</v>
      </c>
      <c r="H11" s="10" t="s">
        <v>12</v>
      </c>
      <c r="I11" s="11" t="s">
        <v>12</v>
      </c>
      <c r="J11" s="12"/>
    </row>
    <row r="12" spans="1:10" ht="60" customHeight="1" x14ac:dyDescent="0.3">
      <c r="A12" s="6" t="s">
        <v>52</v>
      </c>
      <c r="B12" s="6" t="s">
        <v>11</v>
      </c>
      <c r="C12" s="6" t="s">
        <v>12</v>
      </c>
      <c r="D12" s="7" t="s">
        <v>53</v>
      </c>
      <c r="E12" s="8" t="s">
        <v>54</v>
      </c>
      <c r="F12" s="6" t="s">
        <v>55</v>
      </c>
      <c r="G12" s="9" t="str">
        <f t="shared" si="0"/>
        <v>???</v>
      </c>
      <c r="H12" s="10" t="s">
        <v>12</v>
      </c>
      <c r="I12" s="11" t="s">
        <v>12</v>
      </c>
      <c r="J12" s="12"/>
    </row>
    <row r="13" spans="1:10" ht="60" customHeight="1" x14ac:dyDescent="0.3">
      <c r="A13" s="6" t="s">
        <v>56</v>
      </c>
      <c r="B13" s="6" t="s">
        <v>21</v>
      </c>
      <c r="C13" s="6" t="s">
        <v>12</v>
      </c>
      <c r="D13" s="7" t="s">
        <v>57</v>
      </c>
      <c r="E13" s="8" t="s">
        <v>58</v>
      </c>
      <c r="F13" s="6" t="s">
        <v>59</v>
      </c>
      <c r="G13" s="9" t="str">
        <f t="shared" si="0"/>
        <v>???</v>
      </c>
      <c r="H13" s="10" t="s">
        <v>12</v>
      </c>
      <c r="I13" s="11" t="s">
        <v>12</v>
      </c>
      <c r="J13" s="12"/>
    </row>
    <row r="14" spans="1:10" ht="60" customHeight="1" x14ac:dyDescent="0.3">
      <c r="A14" s="6" t="s">
        <v>60</v>
      </c>
      <c r="B14" s="6" t="s">
        <v>11</v>
      </c>
      <c r="C14" s="6" t="s">
        <v>12</v>
      </c>
      <c r="D14" s="7" t="s">
        <v>61</v>
      </c>
      <c r="E14" s="8" t="s">
        <v>62</v>
      </c>
      <c r="F14" s="6" t="s">
        <v>63</v>
      </c>
      <c r="G14" s="9" t="str">
        <f t="shared" si="0"/>
        <v>???</v>
      </c>
      <c r="H14" s="10" t="s">
        <v>12</v>
      </c>
      <c r="I14" s="11" t="s">
        <v>12</v>
      </c>
      <c r="J14" s="12"/>
    </row>
    <row r="15" spans="1:10" ht="60" customHeight="1" x14ac:dyDescent="0.3">
      <c r="A15" s="6" t="s">
        <v>64</v>
      </c>
      <c r="B15" s="6" t="s">
        <v>10</v>
      </c>
      <c r="C15" s="6" t="s">
        <v>12</v>
      </c>
      <c r="D15" s="7" t="s">
        <v>65</v>
      </c>
      <c r="E15" s="8" t="s">
        <v>66</v>
      </c>
      <c r="F15" s="6" t="s">
        <v>67</v>
      </c>
      <c r="G15" s="9" t="str">
        <f t="shared" si="0"/>
        <v>???</v>
      </c>
      <c r="H15" s="10" t="s">
        <v>12</v>
      </c>
      <c r="I15" s="11" t="s">
        <v>12</v>
      </c>
      <c r="J15" s="12"/>
    </row>
    <row r="16" spans="1:10" ht="60" customHeight="1" x14ac:dyDescent="0.3">
      <c r="A16" s="6" t="s">
        <v>68</v>
      </c>
      <c r="B16" s="6" t="s">
        <v>36</v>
      </c>
      <c r="C16" s="6" t="s">
        <v>12</v>
      </c>
      <c r="D16" s="7" t="s">
        <v>69</v>
      </c>
      <c r="E16" s="8" t="s">
        <v>70</v>
      </c>
      <c r="F16" s="6" t="s">
        <v>71</v>
      </c>
      <c r="G16" s="9" t="str">
        <f t="shared" si="0"/>
        <v>???</v>
      </c>
      <c r="H16" s="10" t="s">
        <v>12</v>
      </c>
      <c r="I16" s="11" t="s">
        <v>12</v>
      </c>
      <c r="J16" s="12"/>
    </row>
    <row r="17" spans="1:10" ht="60" customHeight="1" x14ac:dyDescent="0.3">
      <c r="A17" s="6" t="s">
        <v>72</v>
      </c>
      <c r="B17" s="6" t="s">
        <v>16</v>
      </c>
      <c r="C17" s="6" t="s">
        <v>12</v>
      </c>
      <c r="D17" s="7" t="s">
        <v>73</v>
      </c>
      <c r="E17" s="8" t="s">
        <v>74</v>
      </c>
      <c r="F17" s="6" t="s">
        <v>75</v>
      </c>
      <c r="G17" s="9" t="str">
        <f t="shared" si="0"/>
        <v>???</v>
      </c>
      <c r="H17" s="10" t="s">
        <v>12</v>
      </c>
      <c r="I17" s="11" t="s">
        <v>12</v>
      </c>
      <c r="J17" s="12"/>
    </row>
    <row r="18" spans="1:10" ht="60" customHeight="1" x14ac:dyDescent="0.3">
      <c r="A18" s="6" t="s">
        <v>76</v>
      </c>
      <c r="B18" s="6" t="s">
        <v>10</v>
      </c>
      <c r="C18" s="6" t="s">
        <v>12</v>
      </c>
      <c r="D18" s="7" t="s">
        <v>77</v>
      </c>
      <c r="E18" s="8" t="s">
        <v>78</v>
      </c>
      <c r="F18" s="6" t="s">
        <v>79</v>
      </c>
      <c r="G18" s="9" t="str">
        <f t="shared" si="0"/>
        <v>???</v>
      </c>
      <c r="H18" s="10" t="s">
        <v>12</v>
      </c>
      <c r="I18" s="11" t="s">
        <v>12</v>
      </c>
      <c r="J18" s="12"/>
    </row>
    <row r="19" spans="1:10" ht="60" customHeight="1" x14ac:dyDescent="0.3">
      <c r="A19" s="6" t="s">
        <v>80</v>
      </c>
      <c r="B19" s="6" t="s">
        <v>11</v>
      </c>
      <c r="C19" s="6" t="s">
        <v>12</v>
      </c>
      <c r="D19" s="7" t="s">
        <v>81</v>
      </c>
      <c r="E19" s="8" t="s">
        <v>82</v>
      </c>
      <c r="F19" s="6" t="s">
        <v>83</v>
      </c>
      <c r="G19" s="9" t="str">
        <f t="shared" si="0"/>
        <v>???</v>
      </c>
      <c r="H19" s="10" t="s">
        <v>12</v>
      </c>
      <c r="I19" s="11" t="s">
        <v>12</v>
      </c>
      <c r="J19" s="12"/>
    </row>
    <row r="20" spans="1:10" ht="60" customHeight="1" x14ac:dyDescent="0.3">
      <c r="A20" s="6" t="s">
        <v>84</v>
      </c>
      <c r="B20" s="6" t="s">
        <v>85</v>
      </c>
      <c r="C20" s="6" t="s">
        <v>12</v>
      </c>
      <c r="D20" s="7" t="s">
        <v>38</v>
      </c>
      <c r="E20" s="8" t="s">
        <v>86</v>
      </c>
      <c r="F20" s="6" t="s">
        <v>87</v>
      </c>
      <c r="G20" s="9" t="str">
        <f t="shared" si="0"/>
        <v>???</v>
      </c>
      <c r="H20" s="10" t="s">
        <v>12</v>
      </c>
      <c r="I20" s="11" t="s">
        <v>12</v>
      </c>
      <c r="J20" s="12"/>
    </row>
    <row r="21" spans="1:10" ht="60" customHeight="1" x14ac:dyDescent="0.3">
      <c r="A21" s="6" t="s">
        <v>88</v>
      </c>
      <c r="B21" s="6" t="s">
        <v>11</v>
      </c>
      <c r="C21" s="6" t="s">
        <v>12</v>
      </c>
      <c r="D21" s="7" t="s">
        <v>89</v>
      </c>
      <c r="E21" s="8" t="s">
        <v>90</v>
      </c>
      <c r="F21" s="6" t="s">
        <v>91</v>
      </c>
      <c r="G21" s="9" t="str">
        <f t="shared" si="0"/>
        <v>???</v>
      </c>
      <c r="H21" s="10" t="s">
        <v>12</v>
      </c>
      <c r="I21" s="11" t="s">
        <v>12</v>
      </c>
      <c r="J21" s="12"/>
    </row>
    <row r="22" spans="1:10" ht="60" customHeight="1" x14ac:dyDescent="0.3">
      <c r="A22" s="6" t="s">
        <v>92</v>
      </c>
      <c r="B22" s="6" t="s">
        <v>11</v>
      </c>
      <c r="C22" s="6" t="s">
        <v>12</v>
      </c>
      <c r="D22" s="7" t="s">
        <v>93</v>
      </c>
      <c r="E22" s="8" t="s">
        <v>94</v>
      </c>
      <c r="F22" s="6" t="s">
        <v>95</v>
      </c>
      <c r="G22" s="9" t="str">
        <f t="shared" si="0"/>
        <v>???</v>
      </c>
      <c r="H22" s="10" t="s">
        <v>12</v>
      </c>
      <c r="I22" s="11" t="s">
        <v>12</v>
      </c>
      <c r="J22" s="12"/>
    </row>
    <row r="23" spans="1:10" ht="60" customHeight="1" x14ac:dyDescent="0.3">
      <c r="A23" s="6" t="s">
        <v>96</v>
      </c>
      <c r="B23" s="6" t="s">
        <v>97</v>
      </c>
      <c r="C23" s="6" t="s">
        <v>12</v>
      </c>
      <c r="D23" s="7" t="s">
        <v>98</v>
      </c>
      <c r="E23" s="8" t="s">
        <v>99</v>
      </c>
      <c r="F23" s="6" t="s">
        <v>100</v>
      </c>
      <c r="G23" s="9" t="str">
        <f t="shared" si="0"/>
        <v>???</v>
      </c>
      <c r="H23" s="10" t="s">
        <v>12</v>
      </c>
      <c r="I23" s="11" t="s">
        <v>12</v>
      </c>
      <c r="J23" s="12"/>
    </row>
    <row r="24" spans="1:10" ht="60" customHeight="1" x14ac:dyDescent="0.3">
      <c r="A24" s="6" t="s">
        <v>97</v>
      </c>
      <c r="B24" s="6" t="s">
        <v>21</v>
      </c>
      <c r="C24" s="6" t="s">
        <v>12</v>
      </c>
      <c r="D24" s="7" t="s">
        <v>101</v>
      </c>
      <c r="E24" s="8" t="s">
        <v>102</v>
      </c>
      <c r="F24" s="6" t="s">
        <v>103</v>
      </c>
      <c r="G24" s="9" t="str">
        <f t="shared" si="0"/>
        <v>???</v>
      </c>
      <c r="H24" s="10" t="s">
        <v>12</v>
      </c>
      <c r="I24" s="11" t="s">
        <v>12</v>
      </c>
      <c r="J24" s="12"/>
    </row>
    <row r="25" spans="1:10" ht="60" customHeight="1" x14ac:dyDescent="0.3">
      <c r="A25" s="6" t="s">
        <v>104</v>
      </c>
      <c r="B25" s="6" t="s">
        <v>21</v>
      </c>
      <c r="C25" s="6" t="s">
        <v>12</v>
      </c>
      <c r="D25" s="7" t="s">
        <v>105</v>
      </c>
      <c r="E25" s="8" t="s">
        <v>106</v>
      </c>
      <c r="F25" s="6" t="s">
        <v>107</v>
      </c>
      <c r="G25" s="9" t="str">
        <f t="shared" si="0"/>
        <v>???</v>
      </c>
      <c r="H25" s="10" t="s">
        <v>12</v>
      </c>
      <c r="I25" s="11" t="s">
        <v>12</v>
      </c>
      <c r="J25" s="12"/>
    </row>
    <row r="26" spans="1:10" ht="60" customHeight="1" x14ac:dyDescent="0.3">
      <c r="A26" s="6" t="s">
        <v>108</v>
      </c>
      <c r="B26" s="6" t="s">
        <v>25</v>
      </c>
      <c r="C26" s="6" t="s">
        <v>12</v>
      </c>
      <c r="D26" s="7" t="s">
        <v>109</v>
      </c>
      <c r="E26" s="8" t="s">
        <v>110</v>
      </c>
      <c r="F26" s="6" t="s">
        <v>111</v>
      </c>
      <c r="G26" s="9" t="str">
        <f t="shared" si="0"/>
        <v>???</v>
      </c>
      <c r="H26" s="10" t="s">
        <v>12</v>
      </c>
      <c r="I26" s="11" t="s">
        <v>12</v>
      </c>
      <c r="J26" s="12"/>
    </row>
    <row r="27" spans="1:10" ht="60" customHeight="1" x14ac:dyDescent="0.3">
      <c r="A27" s="6" t="s">
        <v>112</v>
      </c>
      <c r="B27" s="6" t="s">
        <v>11</v>
      </c>
      <c r="C27" s="6" t="s">
        <v>12</v>
      </c>
      <c r="D27" s="7" t="s">
        <v>113</v>
      </c>
      <c r="E27" s="8" t="s">
        <v>114</v>
      </c>
      <c r="F27" s="6" t="s">
        <v>115</v>
      </c>
      <c r="G27" s="9" t="str">
        <f t="shared" si="0"/>
        <v>???</v>
      </c>
      <c r="H27" s="10" t="s">
        <v>12</v>
      </c>
      <c r="I27" s="11" t="s">
        <v>12</v>
      </c>
      <c r="J27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479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M8" sqref="M8"/>
    </sheetView>
  </sheetViews>
  <sheetFormatPr baseColWidth="10" defaultColWidth="8.88671875" defaultRowHeight="14.4" x14ac:dyDescent="0.3"/>
  <cols>
    <col min="1" max="1" width="20.6640625" customWidth="1"/>
    <col min="3" max="3" width="15.6640625" customWidth="1"/>
    <col min="4" max="4" width="10.6640625" customWidth="1"/>
    <col min="9" max="11" width="0" hidden="1" customWidth="1"/>
    <col min="12" max="12" width="40.6640625" customWidth="1"/>
  </cols>
  <sheetData>
    <row r="1" spans="1:12" x14ac:dyDescent="0.3">
      <c r="A1" s="13" t="s">
        <v>116</v>
      </c>
      <c r="B1" s="13" t="s">
        <v>117</v>
      </c>
      <c r="C1" s="13" t="s">
        <v>118</v>
      </c>
      <c r="D1" s="13" t="s">
        <v>119</v>
      </c>
      <c r="E1" s="14" t="s">
        <v>120</v>
      </c>
      <c r="F1" s="15" t="s">
        <v>121</v>
      </c>
      <c r="G1" s="16" t="s">
        <v>122</v>
      </c>
      <c r="H1" s="17" t="s">
        <v>123</v>
      </c>
      <c r="I1" s="18" t="s">
        <v>124</v>
      </c>
      <c r="J1" s="18" t="s">
        <v>125</v>
      </c>
      <c r="K1" s="18" t="s">
        <v>126</v>
      </c>
      <c r="L1" s="19" t="s">
        <v>9</v>
      </c>
    </row>
    <row r="2" spans="1:12" x14ac:dyDescent="0.3">
      <c r="A2" t="s">
        <v>127</v>
      </c>
    </row>
    <row r="3" spans="1:12" x14ac:dyDescent="0.3">
      <c r="A3" t="s">
        <v>128</v>
      </c>
      <c r="B3" s="20" t="s">
        <v>129</v>
      </c>
      <c r="C3" s="20" t="s">
        <v>130</v>
      </c>
      <c r="D3" s="20" t="s">
        <v>131</v>
      </c>
      <c r="E3" s="21" t="str">
        <f>IF(D3="?OLD","!!!","")</f>
        <v>!!!</v>
      </c>
      <c r="F3" s="22" t="str">
        <f>IF(OR(E3="",E3="!!!"),"",IF(NOT(ISNA(VLOOKUP(E3,E$1:E2,1,FALSE()))),"OLD",IF(AND(E3&lt;&gt;"",E3&lt;&gt;"!!!"),"NEW","")))</f>
        <v/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/>
      </c>
      <c r="H3" s="24" t="str">
        <f ca="1">IF(J3&lt;&gt;1,"",IF(I3="SBJ","CB","?"))</f>
        <v/>
      </c>
      <c r="I3" s="25" t="str">
        <f>IF(OR(E3="",E3="!!!",F3="NEW"),"",INDEX(B2:B$2,-1+SUMPRODUCT(MAX(ROW(E2:E$2)*(E3=E2:E$2)))))</f>
        <v/>
      </c>
      <c r="J3" s="25" t="str">
        <f ca="1">IF(OR(E3="",E3="!!!",F3="NEW"),"",COUNTBLANK(OFFSET(A$1,,,SUMPRODUCT(MAX(ROW(E$2:E3)*(E3=E$2:E3)))))-COUNTBLANK(OFFSET(A$1,,,SUMPRODUCT(MAX(ROW(E$1:E2)*(E2=E$1:E2))))))</f>
        <v/>
      </c>
      <c r="K3" s="25" t="str">
        <f>IF(OR(E3="",E3="!!!",F3="NEW"),"",INDEX(J$1:J2,SUMPRODUCT(MAX(ROW(E$1:E2)*(E3=E$1:E2)))))</f>
        <v/>
      </c>
      <c r="L3" s="26" t="s">
        <v>443</v>
      </c>
    </row>
    <row r="4" spans="1:12" x14ac:dyDescent="0.3">
      <c r="A4" t="s">
        <v>132</v>
      </c>
      <c r="E4" s="21" t="s">
        <v>424</v>
      </c>
      <c r="F4" s="22" t="str">
        <f>IF(OR(E4="",E4="!!!"),"",IF(NOT(ISNA(VLOOKUP(E4,E$1:E3,1,FALSE()))),"OLD",IF(AND(E4&lt;&gt;"",E4&lt;&gt;"!!!"),"NEW","")))</f>
        <v>NEW</v>
      </c>
      <c r="G4" s="23" t="str">
        <f ca="1">IF(OR(E4="",E4="!!!"),"",IF(OR(J4=0,AND(J4=1,K4=1),AND(J4=1,I4="SBJ"),AND(J4=1,I4=0)),"?IN_FOCUS",IF(J4&lt;=2,"?ACTIVATED",IF(J4&lt;&gt;"","?FAMILIAR",IF(F4="NEW",IF(ISNA(VLOOKUP(E4,#REF!,1,FALSE())),"?TYPE_IDENTIFIABLE","?REFERENTIAL"),"_")))))</f>
        <v>?REFERENTIAL</v>
      </c>
      <c r="H4" s="24" t="str">
        <f ca="1">IF(J4&lt;&gt;1,"",IF(I4="SBJ","CB","?"))</f>
        <v/>
      </c>
      <c r="I4" s="25" t="str">
        <f>IF(OR(E4="",E4="!!!",F4="NEW"),"",INDEX(B$2:B3,-1+SUMPRODUCT(MAX(ROW(E$2:E3)*(E4=E$2:E3)))))</f>
        <v/>
      </c>
      <c r="J4" s="25" t="str">
        <f ca="1">IF(OR(E4="",E4="!!!",F4="NEW"),"",COUNTBLANK(OFFSET(A$1,,,SUMPRODUCT(MAX(ROW(E$2:E4)*(E4=E$2:E4)))))-COUNTBLANK(OFFSET(A$1,,,SUMPRODUCT(MAX(ROW(E$1:E3)*(E2=E$1:E3))))))</f>
        <v/>
      </c>
      <c r="K4" s="25" t="str">
        <f>IF(OR(E4="",E4="!!!",F4="NEW"),"",INDEX(J$1:J3,SUMPRODUCT(MAX(ROW(E$1:E3)*(E4=E$1:E3)))))</f>
        <v/>
      </c>
      <c r="L4" s="26"/>
    </row>
    <row r="5" spans="1:12" x14ac:dyDescent="0.3">
      <c r="A5" t="s">
        <v>133</v>
      </c>
      <c r="E5" s="21" t="str">
        <f>IF(D5="?OLD","!!!","")</f>
        <v/>
      </c>
      <c r="F5" s="22" t="str">
        <f>IF(OR(E5="",E5="!!!"),"",IF(NOT(ISNA(VLOOKUP(E5,E$1:E4,1,FALSE()))),"OLD",IF(AND(E5&lt;&gt;"",E5&lt;&gt;"!!!"),"NEW","")))</f>
        <v/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/>
      </c>
      <c r="H5" s="24" t="str">
        <f ca="1">IF(J5&lt;&gt;1,"",IF(I5="SBJ","CB","?"))</f>
        <v/>
      </c>
      <c r="I5" s="25" t="str">
        <f>IF(OR(E5="",E5="!!!",F5="NEW"),"",INDEX(B$2:B4,-1+SUMPRODUCT(MAX(ROW(E$2:E4)*(E5=E$2:E4)))))</f>
        <v/>
      </c>
      <c r="J5" s="25" t="str">
        <f ca="1">IF(OR(E5="",E5="!!!",F5="NEW"),"",COUNTBLANK(OFFSET(A$1,,,SUMPRODUCT(MAX(ROW(E$2:E5)*(E5=E$2:E5)))))-COUNTBLANK(OFFSET(A$1,,,SUMPRODUCT(MAX(ROW(E$1:E4)*(E2=E$1:E4))))))</f>
        <v/>
      </c>
      <c r="K5" s="25" t="str">
        <f>IF(OR(E5="",E5="!!!",F5="NEW"),"",INDEX(J$1:J4,SUMPRODUCT(MAX(ROW(E$1:E4)*(E5=E$1:E4)))))</f>
        <v/>
      </c>
      <c r="L5" s="26"/>
    </row>
    <row r="6" spans="1:12" x14ac:dyDescent="0.3">
      <c r="A6" t="s">
        <v>134</v>
      </c>
      <c r="E6" s="21" t="str">
        <f>IF(D6="?OLD","!!!","")</f>
        <v/>
      </c>
      <c r="F6" s="22" t="str">
        <f>IF(OR(E6="",E6="!!!"),"",IF(NOT(ISNA(VLOOKUP(E6,E$1:E5,1,FALSE()))),"OLD",IF(AND(E6&lt;&gt;"",E6&lt;&gt;"!!!"),"NEW","")))</f>
        <v/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/>
      </c>
      <c r="H6" s="24" t="str">
        <f ca="1">IF(J6&lt;&gt;1,"",IF(I6="SBJ","CB","?"))</f>
        <v/>
      </c>
      <c r="I6" s="25" t="str">
        <f>IF(OR(E6="",E6="!!!",F6="NEW"),"",INDEX(B$2:B5,-1+SUMPRODUCT(MAX(ROW(E$2:E5)*(E6=E$2:E5)))))</f>
        <v/>
      </c>
      <c r="J6" s="25" t="str">
        <f ca="1">IF(OR(E6="",E6="!!!",F6="NEW"),"",COUNTBLANK(OFFSET(A$1,,,SUMPRODUCT(MAX(ROW(E$2:E6)*(E6=E$2:E6)))))-COUNTBLANK(OFFSET(A$1,,,SUMPRODUCT(MAX(ROW(E$1:E5)*(E2=E$1:E5))))))</f>
        <v/>
      </c>
      <c r="K6" s="25" t="str">
        <f>IF(OR(E6="",E6="!!!",F6="NEW"),"",INDEX(J$1:J5,SUMPRODUCT(MAX(ROW(E$1:E5)*(E6=E$1:E5)))))</f>
        <v/>
      </c>
      <c r="L6" s="26"/>
    </row>
    <row r="7" spans="1:12" x14ac:dyDescent="0.3">
      <c r="A7" t="s">
        <v>135</v>
      </c>
      <c r="B7" s="20" t="s">
        <v>136</v>
      </c>
      <c r="C7" s="20" t="s">
        <v>137</v>
      </c>
      <c r="D7" s="20" t="s">
        <v>131</v>
      </c>
      <c r="E7" s="21" t="s">
        <v>455</v>
      </c>
      <c r="F7" s="22" t="str">
        <f>IF(OR(E7="",E7="!!!"),"",IF(NOT(ISNA(VLOOKUP(E7,E$1:E6,1,FALSE()))),"OLD",IF(AND(E7&lt;&gt;"",E7&lt;&gt;"!!!"),"NEW","")))</f>
        <v>NEW</v>
      </c>
      <c r="G7" s="23" t="str">
        <f ca="1">IF(OR(E7="",E7="!!!"),"",IF(OR(J7=0,AND(J7=1,K7=1),AND(J7=1,I7="SBJ"),AND(J7=1,I7=0)),"?IN_FOCUS",IF(J7&lt;=2,"?ACTIVATED",IF(J7&lt;&gt;"","?FAMILIAR",IF(F7="NEW",IF(ISNA(VLOOKUP(E7,#REF!,1,FALSE())),"?TYPE_IDENTIFIABLE","?REFERENTIAL"),"_")))))</f>
        <v>?REFERENTIAL</v>
      </c>
      <c r="H7" s="24" t="str">
        <f ca="1">IF(J7&lt;&gt;1,"",IF(I7="SBJ","CB","?"))</f>
        <v/>
      </c>
      <c r="I7" s="25" t="str">
        <f>IF(OR(E7="",E7="!!!",F7="NEW"),"",INDEX(B$2:B6,-1+SUMPRODUCT(MAX(ROW(E$2:E6)*(E7=E$2:E6)))))</f>
        <v/>
      </c>
      <c r="J7" s="25" t="str">
        <f ca="1">IF(OR(E7="",E7="!!!",F7="NEW"),"",COUNTBLANK(OFFSET(A$1,,,SUMPRODUCT(MAX(ROW(E$2:E7)*(E7=E$2:E7)))))-COUNTBLANK(OFFSET(A$1,,,SUMPRODUCT(MAX(ROW(E$1:E6)*(E2=E$1:E6))))))</f>
        <v/>
      </c>
      <c r="K7" s="25" t="str">
        <f>IF(OR(E7="",E7="!!!",F7="NEW"),"",INDEX(J$1:J6,SUMPRODUCT(MAX(ROW(E$1:E6)*(E7=E$1:E6)))))</f>
        <v/>
      </c>
      <c r="L7" s="26"/>
    </row>
    <row r="9" spans="1:12" x14ac:dyDescent="0.3">
      <c r="A9" t="s">
        <v>138</v>
      </c>
    </row>
    <row r="10" spans="1:12" x14ac:dyDescent="0.3">
      <c r="A10" t="s">
        <v>139</v>
      </c>
      <c r="E10" s="21" t="s">
        <v>424</v>
      </c>
      <c r="F10" s="22" t="str">
        <f>IF(OR(E10="",E10="!!!"),"",IF(NOT(ISNA(VLOOKUP(E10,E$1:E9,1,FALSE()))),"OLD",IF(AND(E10&lt;&gt;"",E10&lt;&gt;"!!!"),"NEW","")))</f>
        <v>OLD</v>
      </c>
      <c r="G10" s="23" t="str">
        <f ca="1">IF(OR(E10="",E10="!!!"),"",IF(OR(J10=0,AND(J10=1,K10=1),AND(J10=1,I10="SBJ"),AND(J10=1,I10=0)),"?IN_FOCUS",IF(J10&lt;=2,"?ACTIVATED",IF(J10&lt;&gt;"","?FAMILIAR",IF(F10="NEW",IF(ISNA(VLOOKUP(E10,#REF!,1,FALSE())),"?TYPE_IDENTIFIABLE","?REFERENTIAL"),"_")))))</f>
        <v>?IN_FOCUS</v>
      </c>
      <c r="H10" s="24" t="str">
        <f t="shared" ref="H10:H17" ca="1" si="0">IF(J10&lt;&gt;1,"",IF(I10="SBJ","CB","?"))</f>
        <v/>
      </c>
      <c r="I10" s="25">
        <f>IF(OR(E10="",E10="!!!",F10="NEW"),"",INDEX(B$2:B9,-1+SUMPRODUCT(MAX(ROW(E$2:E9)*(E10=E$2:E9)))))</f>
        <v>0</v>
      </c>
      <c r="J10" s="25">
        <f ca="1">IF(OR(E10="",E10="!!!",F10="NEW"),"",COUNTBLANK(OFFSET(A$1,,,SUMPRODUCT(MAX(ROW(E$2:E10)*(E10=E$2:E10)))))-COUNTBLANK(OFFSET(A$1,,,SUMPRODUCT(MAX(ROW(E$1:E9)*(E2=E$1:E9))))))</f>
        <v>0</v>
      </c>
      <c r="K10" s="25" t="str">
        <f ca="1">IF(OR(E10="",E10="!!!",F10="NEW"),"",INDEX(J$1:J9,SUMPRODUCT(MAX(ROW(E$1:E9)*(E10=E$1:E9)))))</f>
        <v/>
      </c>
      <c r="L10" s="26" t="s">
        <v>425</v>
      </c>
    </row>
    <row r="11" spans="1:12" x14ac:dyDescent="0.3">
      <c r="A11" t="s">
        <v>140</v>
      </c>
      <c r="B11" s="20" t="s">
        <v>129</v>
      </c>
      <c r="C11" s="20" t="s">
        <v>141</v>
      </c>
      <c r="E11" s="21" t="s">
        <v>456</v>
      </c>
      <c r="F11" s="22" t="str">
        <f>IF(OR(E11="",E11="!!!"),"",IF(NOT(ISNA(VLOOKUP(E11,E$1:E10,1,FALSE()))),"OLD",IF(AND(E11&lt;&gt;"",E11&lt;&gt;"!!!"),"NEW","")))</f>
        <v>NEW</v>
      </c>
      <c r="G11" s="23" t="str">
        <f ca="1">IF(OR(E11="",E11="!!!"),"",IF(OR(J11=0,AND(J11=1,K11=1),AND(J11=1,I11="SBJ"),AND(J11=1,I11=0)),"?IN_FOCUS",IF(J11&lt;=2,"?ACTIVATED",IF(J11&lt;&gt;"","?FAMILIAR",IF(F11="NEW",IF(ISNA(VLOOKUP(E11,#REF!,1,FALSE())),"?TYPE_IDENTIFIABLE","?REFERENTIAL"),"_")))))</f>
        <v>?REFERENTIAL</v>
      </c>
      <c r="H11" s="24" t="str">
        <f t="shared" ca="1" si="0"/>
        <v/>
      </c>
      <c r="I11" s="25" t="str">
        <f>IF(OR(E11="",E11="!!!",F11="NEW"),"",INDEX(B$2:B10,-1+SUMPRODUCT(MAX(ROW(E$2:E10)*(E11=E$2:E10)))))</f>
        <v/>
      </c>
      <c r="J11" s="25" t="str">
        <f ca="1">IF(OR(E11="",E11="!!!",F11="NEW"),"",COUNTBLANK(OFFSET(A$1,,,SUMPRODUCT(MAX(ROW(E$2:E11)*(E11=E$2:E11)))))-COUNTBLANK(OFFSET(A$1,,,SUMPRODUCT(MAX(ROW(E$1:E10)*(E2=E$1:E10))))))</f>
        <v/>
      </c>
      <c r="K11" s="25" t="str">
        <f>IF(OR(E11="",E11="!!!",F11="NEW"),"",INDEX(J$1:J10,SUMPRODUCT(MAX(ROW(E$1:E10)*(E11=E$1:E10)))))</f>
        <v/>
      </c>
      <c r="L11" s="26"/>
    </row>
    <row r="12" spans="1:12" x14ac:dyDescent="0.3">
      <c r="A12" t="s">
        <v>142</v>
      </c>
      <c r="E12" s="21" t="str">
        <f t="shared" ref="E12:E17" si="1">IF(D12="?OLD","!!!","")</f>
        <v/>
      </c>
      <c r="F12" s="22" t="str">
        <f>IF(OR(E12="",E12="!!!"),"",IF(NOT(ISNA(VLOOKUP(E12,E$1:E11,1,FALSE()))),"OLD",IF(AND(E12&lt;&gt;"",E12&lt;&gt;"!!!"),"NEW","")))</f>
        <v/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/>
      </c>
      <c r="H12" s="24" t="str">
        <f t="shared" ca="1" si="0"/>
        <v/>
      </c>
      <c r="I12" s="25" t="str">
        <f>IF(OR(E12="",E12="!!!",F12="NEW"),"",INDEX(B$2:B11,-1+SUMPRODUCT(MAX(ROW(E$2:E11)*(E12=E$2:E11)))))</f>
        <v/>
      </c>
      <c r="J12" s="25" t="str">
        <f ca="1">IF(OR(E12="",E12="!!!",F12="NEW"),"",COUNTBLANK(OFFSET(A$1,,,SUMPRODUCT(MAX(ROW(E$2:E12)*(E12=E$2:E12)))))-COUNTBLANK(OFFSET(A$1,,,SUMPRODUCT(MAX(ROW(E$1:E11)*(E2=E$1:E11))))))</f>
        <v/>
      </c>
      <c r="K12" s="25" t="str">
        <f>IF(OR(E12="",E12="!!!",F12="NEW"),"",INDEX(J$1:J11,SUMPRODUCT(MAX(ROW(E$1:E11)*(E12=E$1:E11)))))</f>
        <v/>
      </c>
      <c r="L12" s="26"/>
    </row>
    <row r="13" spans="1:12" x14ac:dyDescent="0.3">
      <c r="A13" t="s">
        <v>143</v>
      </c>
      <c r="E13" s="21" t="str">
        <f t="shared" si="1"/>
        <v/>
      </c>
      <c r="F13" s="22" t="str">
        <f>IF(OR(E13="",E13="!!!"),"",IF(NOT(ISNA(VLOOKUP(E13,E$1:E12,1,FALSE()))),"OLD",IF(AND(E13&lt;&gt;"",E13&lt;&gt;"!!!"),"NEW","")))</f>
        <v/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/>
      </c>
      <c r="H13" s="24" t="str">
        <f t="shared" ca="1" si="0"/>
        <v/>
      </c>
      <c r="I13" s="25" t="str">
        <f>IF(OR(E13="",E13="!!!",F13="NEW"),"",INDEX(B$2:B12,-1+SUMPRODUCT(MAX(ROW(E$2:E12)*(E13=E$2:E12)))))</f>
        <v/>
      </c>
      <c r="J13" s="25" t="str">
        <f ca="1">IF(OR(E13="",E13="!!!",F13="NEW"),"",COUNTBLANK(OFFSET(A$1,,,SUMPRODUCT(MAX(ROW(E$2:E13)*(E13=E$2:E13)))))-COUNTBLANK(OFFSET(A$1,,,SUMPRODUCT(MAX(ROW(E$1:E12)*(E2=E$1:E12))))))</f>
        <v/>
      </c>
      <c r="K13" s="25" t="str">
        <f>IF(OR(E13="",E13="!!!",F13="NEW"),"",INDEX(J$1:J12,SUMPRODUCT(MAX(ROW(E$1:E12)*(E13=E$1:E12)))))</f>
        <v/>
      </c>
      <c r="L13" s="26"/>
    </row>
    <row r="14" spans="1:12" x14ac:dyDescent="0.3">
      <c r="A14" t="s">
        <v>144</v>
      </c>
      <c r="B14" s="20" t="s">
        <v>145</v>
      </c>
      <c r="C14" s="20" t="s">
        <v>137</v>
      </c>
      <c r="D14" s="20" t="s">
        <v>131</v>
      </c>
      <c r="E14" s="21" t="s">
        <v>457</v>
      </c>
      <c r="F14" s="22" t="s">
        <v>426</v>
      </c>
      <c r="G14" s="23" t="e">
        <f ca="1">IF(OR(E14="",E14="!!!"),"",IF(OR(J14=0,AND(J14=1,K14=1),AND(J14=1,I14="SBJ"),AND(J14=1,I14=0)),"?IN_FOCUS",IF(J14&lt;=2,"?ACTIVATED",IF(J14&lt;&gt;"","?FAMILIAR",IF(F14="NEW",IF(ISNA(VLOOKUP(E14,#REF!,1,FALSE())),"?TYPE_IDENTIFIABLE","?REFERENTIAL"),"_")))))</f>
        <v>#VALUE!</v>
      </c>
      <c r="H14" s="24" t="str">
        <f t="shared" ca="1" si="0"/>
        <v/>
      </c>
      <c r="I14" s="25" t="e">
        <f>IF(OR(E14="",E14="!!!",F14="NEW"),"",INDEX(B$2:B13,-1+SUMPRODUCT(MAX(ROW(E$2:E13)*(E14=E$2:E13)))))</f>
        <v>#VALUE!</v>
      </c>
      <c r="J14" s="25">
        <f ca="1">IF(OR(E14="",E14="!!!",F14="NEW"),"",COUNTBLANK(OFFSET(A$1,,,SUMPRODUCT(MAX(ROW(E$2:E14)*(E14=E$2:E14)))))-COUNTBLANK(OFFSET(A$1,,,SUMPRODUCT(MAX(ROW(E$1:E13)*(E2=E$1:E13))))))</f>
        <v>0</v>
      </c>
      <c r="K14" s="25" t="e">
        <f>IF(OR(E14="",E14="!!!",F14="NEW"),"",INDEX(J$1:J13,SUMPRODUCT(MAX(ROW(E$1:E13)*(E14=E$1:E13)))))</f>
        <v>#VALUE!</v>
      </c>
      <c r="L14" s="26" t="s">
        <v>476</v>
      </c>
    </row>
    <row r="15" spans="1:12" x14ac:dyDescent="0.3">
      <c r="A15" t="s">
        <v>146</v>
      </c>
      <c r="E15" s="21" t="str">
        <f t="shared" si="1"/>
        <v/>
      </c>
      <c r="F15" s="22" t="str">
        <f>IF(OR(E15="",E15="!!!"),"",IF(NOT(ISNA(VLOOKUP(E15,E$1:E14,1,FALSE()))),"OLD",IF(AND(E15&lt;&gt;"",E15&lt;&gt;"!!!"),"NEW","")))</f>
        <v/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/>
      </c>
      <c r="H15" s="24" t="str">
        <f t="shared" ca="1" si="0"/>
        <v/>
      </c>
      <c r="I15" s="25" t="str">
        <f>IF(OR(E15="",E15="!!!",F15="NEW"),"",INDEX(B$2:B14,-1+SUMPRODUCT(MAX(ROW(E$2:E14)*(E15=E$2:E14)))))</f>
        <v/>
      </c>
      <c r="J15" s="25" t="str">
        <f ca="1">IF(OR(E15="",E15="!!!",F15="NEW"),"",COUNTBLANK(OFFSET(A$1,,,SUMPRODUCT(MAX(ROW(E$2:E15)*(E15=E$2:E15)))))-COUNTBLANK(OFFSET(A$1,,,SUMPRODUCT(MAX(ROW(E$1:E14)*(E2=E$1:E14))))))</f>
        <v/>
      </c>
      <c r="K15" s="25" t="str">
        <f>IF(OR(E15="",E15="!!!",F15="NEW"),"",INDEX(J$1:J14,SUMPRODUCT(MAX(ROW(E$1:E14)*(E15=E$1:E14)))))</f>
        <v/>
      </c>
      <c r="L15" s="26"/>
    </row>
    <row r="16" spans="1:12" x14ac:dyDescent="0.3">
      <c r="A16" t="s">
        <v>147</v>
      </c>
      <c r="E16" s="21" t="str">
        <f t="shared" si="1"/>
        <v/>
      </c>
      <c r="F16" s="22" t="str">
        <f>IF(OR(E16="",E16="!!!"),"",IF(NOT(ISNA(VLOOKUP(E16,E$1:E15,1,FALSE()))),"OLD",IF(AND(E16&lt;&gt;"",E16&lt;&gt;"!!!"),"NEW","")))</f>
        <v/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/>
      </c>
      <c r="H16" s="24" t="str">
        <f t="shared" ca="1" si="0"/>
        <v/>
      </c>
      <c r="I16" s="25" t="str">
        <f>IF(OR(E16="",E16="!!!",F16="NEW"),"",INDEX(B$2:B15,-1+SUMPRODUCT(MAX(ROW(E$2:E15)*(E16=E$2:E15)))))</f>
        <v/>
      </c>
      <c r="J16" s="25" t="str">
        <f ca="1">IF(OR(E16="",E16="!!!",F16="NEW"),"",COUNTBLANK(OFFSET(A$1,,,SUMPRODUCT(MAX(ROW(E$2:E16)*(E16=E$2:E16)))))-COUNTBLANK(OFFSET(A$1,,,SUMPRODUCT(MAX(ROW(E$1:E15)*(E2=E$1:E15))))))</f>
        <v/>
      </c>
      <c r="K16" s="25" t="str">
        <f>IF(OR(E16="",E16="!!!",F16="NEW"),"",INDEX(J$1:J15,SUMPRODUCT(MAX(ROW(E$1:E15)*(E16=E$1:E15)))))</f>
        <v/>
      </c>
      <c r="L16" s="26"/>
    </row>
    <row r="17" spans="1:12" x14ac:dyDescent="0.3">
      <c r="A17" t="s">
        <v>148</v>
      </c>
      <c r="E17" s="21" t="str">
        <f t="shared" si="1"/>
        <v/>
      </c>
      <c r="F17" s="22" t="str">
        <f>IF(OR(E17="",E17="!!!"),"",IF(NOT(ISNA(VLOOKUP(E17,E$1:E16,1,FALSE()))),"OLD",IF(AND(E17&lt;&gt;"",E17&lt;&gt;"!!!"),"NEW","")))</f>
        <v/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/>
      </c>
      <c r="H17" s="24" t="str">
        <f t="shared" ca="1" si="0"/>
        <v/>
      </c>
      <c r="I17" s="25" t="str">
        <f>IF(OR(E17="",E17="!!!",F17="NEW"),"",INDEX(B$2:B16,-1+SUMPRODUCT(MAX(ROW(E$2:E16)*(E17=E$2:E16)))))</f>
        <v/>
      </c>
      <c r="J17" s="25" t="str">
        <f ca="1">IF(OR(E17="",E17="!!!",F17="NEW"),"",COUNTBLANK(OFFSET(A$1,,,SUMPRODUCT(MAX(ROW(E$2:E17)*(E17=E$2:E17)))))-COUNTBLANK(OFFSET(A$1,,,SUMPRODUCT(MAX(ROW(E$1:E16)*(E2=E$1:E16))))))</f>
        <v/>
      </c>
      <c r="K17" s="25" t="str">
        <f>IF(OR(E17="",E17="!!!",F17="NEW"),"",INDEX(J$1:J16,SUMPRODUCT(MAX(ROW(E$1:E16)*(E17=E$1:E16)))))</f>
        <v/>
      </c>
      <c r="L17" s="26"/>
    </row>
    <row r="19" spans="1:12" x14ac:dyDescent="0.3">
      <c r="A19" t="s">
        <v>149</v>
      </c>
    </row>
    <row r="20" spans="1:12" x14ac:dyDescent="0.3">
      <c r="A20" t="s">
        <v>150</v>
      </c>
      <c r="E20" s="21" t="str">
        <f t="shared" ref="E20:E42" si="2">IF(D20="?OLD","!!!","")</f>
        <v/>
      </c>
      <c r="F20" s="22" t="str">
        <f>IF(OR(E20="",E20="!!!"),"",IF(NOT(ISNA(VLOOKUP(E20,E$1:E19,1,FALSE()))),"OLD",IF(AND(E20&lt;&gt;"",E20&lt;&gt;"!!!"),"NEW","")))</f>
        <v/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/>
      </c>
      <c r="H20" s="24" t="str">
        <f t="shared" ref="H20:H42" ca="1" si="3">IF(J20&lt;&gt;1,"",IF(I20="SBJ","CB","?"))</f>
        <v/>
      </c>
      <c r="I20" s="25" t="str">
        <f>IF(OR(E20="",E20="!!!",F20="NEW"),"",INDEX(B$2:B19,-1+SUMPRODUCT(MAX(ROW(E$2:E19)*(E20=E$2:E19)))))</f>
        <v/>
      </c>
      <c r="J20" s="25" t="str">
        <f ca="1">IF(OR(E20="",E20="!!!",F20="NEW"),"",COUNTBLANK(OFFSET(A$1,,,SUMPRODUCT(MAX(ROW(E$2:E20)*(E20=E$2:E20)))))-COUNTBLANK(OFFSET(A$1,,,SUMPRODUCT(MAX(ROW(E$1:E19)*(E2=E$1:E19))))))</f>
        <v/>
      </c>
      <c r="K20" s="25" t="str">
        <f>IF(OR(E20="",E20="!!!",F20="NEW"),"",INDEX(J$1:J19,SUMPRODUCT(MAX(ROW(E$1:E19)*(E20=E$1:E19)))))</f>
        <v/>
      </c>
      <c r="L20" s="26"/>
    </row>
    <row r="21" spans="1:12" x14ac:dyDescent="0.3">
      <c r="A21" t="s">
        <v>143</v>
      </c>
      <c r="E21" s="21" t="str">
        <f t="shared" si="2"/>
        <v/>
      </c>
      <c r="F21" s="22" t="str">
        <f>IF(OR(E21="",E21="!!!"),"",IF(NOT(ISNA(VLOOKUP(E21,E$1:E20,1,FALSE()))),"OLD",IF(AND(E21&lt;&gt;"",E21&lt;&gt;"!!!"),"NEW","")))</f>
        <v/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/>
      </c>
      <c r="H21" s="24" t="str">
        <f t="shared" ca="1" si="3"/>
        <v/>
      </c>
      <c r="I21" s="25" t="str">
        <f>IF(OR(E21="",E21="!!!",F21="NEW"),"",INDEX(B$2:B20,-1+SUMPRODUCT(MAX(ROW(E$2:E20)*(E21=E$2:E20)))))</f>
        <v/>
      </c>
      <c r="J21" s="25" t="str">
        <f ca="1">IF(OR(E21="",E21="!!!",F21="NEW"),"",COUNTBLANK(OFFSET(A$1,,,SUMPRODUCT(MAX(ROW(E$2:E21)*(E21=E$2:E21)))))-COUNTBLANK(OFFSET(A$1,,,SUMPRODUCT(MAX(ROW(E$1:E20)*(E2=E$1:E20))))))</f>
        <v/>
      </c>
      <c r="K21" s="25" t="str">
        <f>IF(OR(E21="",E21="!!!",F21="NEW"),"",INDEX(J$1:J20,SUMPRODUCT(MAX(ROW(E$1:E20)*(E21=E$1:E20)))))</f>
        <v/>
      </c>
      <c r="L21" s="26"/>
    </row>
    <row r="22" spans="1:12" x14ac:dyDescent="0.3">
      <c r="A22" t="s">
        <v>151</v>
      </c>
      <c r="B22" s="20" t="s">
        <v>152</v>
      </c>
      <c r="C22" s="20" t="s">
        <v>137</v>
      </c>
      <c r="D22" s="20" t="s">
        <v>131</v>
      </c>
      <c r="E22" s="21" t="s">
        <v>477</v>
      </c>
      <c r="F22" s="22" t="s">
        <v>429</v>
      </c>
      <c r="G22" s="23" t="e">
        <f ca="1">IF(OR(E22="",E22="!!!"),"",IF(OR(J22=0,AND(J22=1,K22=1),AND(J22=1,I22="SBJ"),AND(J22=1,I22=0)),"?IN_FOCUS",IF(J22&lt;=2,"?ACTIVATED",IF(J22&lt;&gt;"","?FAMILIAR",IF(F22="NEW",IF(ISNA(VLOOKUP(E22,#REF!,1,FALSE())),"?TYPE_IDENTIFIABLE","?REFERENTIAL"),"_")))))</f>
        <v>#VALUE!</v>
      </c>
      <c r="H22" s="24" t="str">
        <f t="shared" ca="1" si="3"/>
        <v/>
      </c>
      <c r="I22" s="25" t="e">
        <f>IF(OR(E22="",E22="!!!",F22="NEW"),"",INDEX(B$2:B21,-1+SUMPRODUCT(MAX(ROW(E$2:E21)*(E22=E$2:E21)))))</f>
        <v>#VALUE!</v>
      </c>
      <c r="J22" s="25">
        <f ca="1">IF(OR(E22="",E22="!!!",F22="NEW"),"",COUNTBLANK(OFFSET(A$1,,,SUMPRODUCT(MAX(ROW(E$2:E22)*(E22=E$2:E22)))))-COUNTBLANK(OFFSET(A$1,,,SUMPRODUCT(MAX(ROW(E$1:E21)*(E2=E$1:E21))))))</f>
        <v>0</v>
      </c>
      <c r="K22" s="25" t="e">
        <f>IF(OR(E22="",E22="!!!",F22="NEW"),"",INDEX(J$1:J21,SUMPRODUCT(MAX(ROW(E$1:E21)*(E22=E$1:E21)))))</f>
        <v>#VALUE!</v>
      </c>
      <c r="L22" s="26" t="s">
        <v>478</v>
      </c>
    </row>
    <row r="23" spans="1:12" x14ac:dyDescent="0.3">
      <c r="A23" t="s">
        <v>153</v>
      </c>
      <c r="E23" s="21" t="str">
        <f t="shared" si="2"/>
        <v/>
      </c>
      <c r="F23" s="22" t="str">
        <f>IF(OR(E23="",E23="!!!"),"",IF(NOT(ISNA(VLOOKUP(E23,E$1:E22,1,FALSE()))),"OLD",IF(AND(E23&lt;&gt;"",E23&lt;&gt;"!!!"),"NEW","")))</f>
        <v/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/>
      </c>
      <c r="H23" s="24" t="str">
        <f t="shared" ca="1" si="3"/>
        <v/>
      </c>
      <c r="I23" s="25" t="str">
        <f>IF(OR(E23="",E23="!!!",F23="NEW"),"",INDEX(B$2:B22,-1+SUMPRODUCT(MAX(ROW(E$2:E22)*(E23=E$2:E22)))))</f>
        <v/>
      </c>
      <c r="J23" s="25" t="str">
        <f ca="1">IF(OR(E23="",E23="!!!",F23="NEW"),"",COUNTBLANK(OFFSET(A$1,,,SUMPRODUCT(MAX(ROW(E$2:E23)*(E23=E$2:E23)))))-COUNTBLANK(OFFSET(A$1,,,SUMPRODUCT(MAX(ROW(E$1:E22)*(E2=E$1:E22))))))</f>
        <v/>
      </c>
      <c r="K23" s="25" t="str">
        <f>IF(OR(E23="",E23="!!!",F23="NEW"),"",INDEX(J$1:J22,SUMPRODUCT(MAX(ROW(E$1:E22)*(E23=E$1:E22)))))</f>
        <v/>
      </c>
      <c r="L23" s="26"/>
    </row>
    <row r="24" spans="1:12" x14ac:dyDescent="0.3">
      <c r="A24" t="s">
        <v>154</v>
      </c>
      <c r="B24" s="20" t="s">
        <v>145</v>
      </c>
      <c r="C24" s="20" t="s">
        <v>155</v>
      </c>
      <c r="E24" s="21" t="str">
        <f t="shared" si="2"/>
        <v/>
      </c>
      <c r="F24" s="22" t="str">
        <f>IF(OR(E24="",E24="!!!"),"",IF(NOT(ISNA(VLOOKUP(E24,E$1:E23,1,FALSE()))),"OLD",IF(AND(E24&lt;&gt;"",E24&lt;&gt;"!!!"),"NEW","")))</f>
        <v/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/>
      </c>
      <c r="H24" s="24" t="str">
        <f t="shared" ca="1" si="3"/>
        <v/>
      </c>
      <c r="I24" s="25" t="str">
        <f>IF(OR(E24="",E24="!!!",F24="NEW"),"",INDEX(B$2:B23,-1+SUMPRODUCT(MAX(ROW(E$2:E23)*(E24=E$2:E23)))))</f>
        <v/>
      </c>
      <c r="J24" s="25" t="str">
        <f ca="1">IF(OR(E24="",E24="!!!",F24="NEW"),"",COUNTBLANK(OFFSET(A$1,,,SUMPRODUCT(MAX(ROW(E$2:E24)*(E24=E$2:E24)))))-COUNTBLANK(OFFSET(A$1,,,SUMPRODUCT(MAX(ROW(E$1:E23)*(E2=E$1:E23))))))</f>
        <v/>
      </c>
      <c r="K24" s="25" t="str">
        <f>IF(OR(E24="",E24="!!!",F24="NEW"),"",INDEX(J$1:J23,SUMPRODUCT(MAX(ROW(E$1:E23)*(E24=E$1:E23)))))</f>
        <v/>
      </c>
      <c r="L24" s="26"/>
    </row>
    <row r="25" spans="1:12" x14ac:dyDescent="0.3">
      <c r="A25" t="s">
        <v>156</v>
      </c>
      <c r="E25" s="21" t="str">
        <f t="shared" si="2"/>
        <v/>
      </c>
      <c r="F25" s="22" t="str">
        <f>IF(OR(E25="",E25="!!!"),"",IF(NOT(ISNA(VLOOKUP(E25,E$1:E24,1,FALSE()))),"OLD",IF(AND(E25&lt;&gt;"",E25&lt;&gt;"!!!"),"NEW","")))</f>
        <v/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/>
      </c>
      <c r="H25" s="24" t="str">
        <f t="shared" ca="1" si="3"/>
        <v/>
      </c>
      <c r="I25" s="25" t="str">
        <f>IF(OR(E25="",E25="!!!",F25="NEW"),"",INDEX(B$2:B24,-1+SUMPRODUCT(MAX(ROW(E$2:E24)*(E25=E$2:E24)))))</f>
        <v/>
      </c>
      <c r="J25" s="25" t="str">
        <f ca="1">IF(OR(E25="",E25="!!!",F25="NEW"),"",COUNTBLANK(OFFSET(A$1,,,SUMPRODUCT(MAX(ROW(E$2:E25)*(E25=E$2:E25)))))-COUNTBLANK(OFFSET(A$1,,,SUMPRODUCT(MAX(ROW(E$1:E24)*(E2=E$1:E24))))))</f>
        <v/>
      </c>
      <c r="K25" s="25" t="str">
        <f>IF(OR(E25="",E25="!!!",F25="NEW"),"",INDEX(J$1:J24,SUMPRODUCT(MAX(ROW(E$1:E24)*(E25=E$1:E24)))))</f>
        <v/>
      </c>
      <c r="L25" s="26"/>
    </row>
    <row r="26" spans="1:12" x14ac:dyDescent="0.3">
      <c r="A26" t="s">
        <v>157</v>
      </c>
      <c r="B26" s="20" t="s">
        <v>158</v>
      </c>
      <c r="C26" s="20" t="s">
        <v>130</v>
      </c>
      <c r="D26" s="20" t="s">
        <v>131</v>
      </c>
      <c r="E26" s="21" t="s">
        <v>427</v>
      </c>
      <c r="F26" s="22" t="str">
        <f>IF(OR(E26="",E26="!!!"),"",IF(NOT(ISNA(VLOOKUP(E26,E$1:E25,1,FALSE()))),"OLD",IF(AND(E26&lt;&gt;"",E26&lt;&gt;"!!!"),"NEW","")))</f>
        <v>NEW</v>
      </c>
      <c r="G26" s="23" t="str">
        <f ca="1">IF(OR(E26="",E26="!!!"),"",IF(OR(J26=0,AND(J26=1,K26=1),AND(J26=1,I26="SBJ"),AND(J26=1,I26=0)),"?IN_FOCUS",IF(J26&lt;=2,"?ACTIVATED",IF(J26&lt;&gt;"","?FAMILIAR",IF(F26="NEW",IF(ISNA(VLOOKUP(E26,#REF!,1,FALSE())),"?TYPE_IDENTIFIABLE","?REFERENTIAL"),"_")))))</f>
        <v>?REFERENTIAL</v>
      </c>
      <c r="H26" s="24" t="str">
        <f t="shared" ca="1" si="3"/>
        <v/>
      </c>
      <c r="I26" s="25" t="str">
        <f>IF(OR(E26="",E26="!!!",F26="NEW"),"",INDEX(B$2:B25,-1+SUMPRODUCT(MAX(ROW(E$2:E25)*(E26=E$2:E25)))))</f>
        <v/>
      </c>
      <c r="J26" s="25" t="str">
        <f ca="1">IF(OR(E26="",E26="!!!",F26="NEW"),"",COUNTBLANK(OFFSET(A$1,,,SUMPRODUCT(MAX(ROW(E$2:E26)*(E26=E$2:E26)))))-COUNTBLANK(OFFSET(A$1,,,SUMPRODUCT(MAX(ROW(E$1:E25)*(E2=E$1:E25))))))</f>
        <v/>
      </c>
      <c r="K26" s="25" t="str">
        <f>IF(OR(E26="",E26="!!!",F26="NEW"),"",INDEX(J$1:J25,SUMPRODUCT(MAX(ROW(E$1:E25)*(E26=E$1:E25)))))</f>
        <v/>
      </c>
      <c r="L26" s="26"/>
    </row>
    <row r="27" spans="1:12" x14ac:dyDescent="0.3">
      <c r="A27" t="s">
        <v>159</v>
      </c>
      <c r="E27" s="21" t="str">
        <f t="shared" si="2"/>
        <v/>
      </c>
      <c r="F27" s="22" t="str">
        <f>IF(OR(E27="",E27="!!!"),"",IF(NOT(ISNA(VLOOKUP(E27,E$1:E26,1,FALSE()))),"OLD",IF(AND(E27&lt;&gt;"",E27&lt;&gt;"!!!"),"NEW","")))</f>
        <v/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/>
      </c>
      <c r="H27" s="24" t="str">
        <f t="shared" ca="1" si="3"/>
        <v/>
      </c>
      <c r="I27" s="25" t="str">
        <f>IF(OR(E27="",E27="!!!",F27="NEW"),"",INDEX(B$2:B26,-1+SUMPRODUCT(MAX(ROW(E$2:E26)*(E27=E$2:E26)))))</f>
        <v/>
      </c>
      <c r="J27" s="25" t="str">
        <f ca="1">IF(OR(E27="",E27="!!!",F27="NEW"),"",COUNTBLANK(OFFSET(A$1,,,SUMPRODUCT(MAX(ROW(E$2:E27)*(E27=E$2:E27)))))-COUNTBLANK(OFFSET(A$1,,,SUMPRODUCT(MAX(ROW(E$1:E26)*(E2=E$1:E26))))))</f>
        <v/>
      </c>
      <c r="K27" s="25" t="str">
        <f>IF(OR(E27="",E27="!!!",F27="NEW"),"",INDEX(J$1:J26,SUMPRODUCT(MAX(ROW(E$1:E26)*(E27=E$1:E26)))))</f>
        <v/>
      </c>
      <c r="L27" s="26"/>
    </row>
    <row r="28" spans="1:12" x14ac:dyDescent="0.3">
      <c r="A28" t="s">
        <v>160</v>
      </c>
      <c r="B28" s="20" t="s">
        <v>129</v>
      </c>
      <c r="C28" s="20" t="s">
        <v>130</v>
      </c>
      <c r="D28" s="20" t="s">
        <v>131</v>
      </c>
      <c r="E28" s="21" t="s">
        <v>424</v>
      </c>
      <c r="F28" s="22" t="str">
        <f>IF(OR(E28="",E28="!!!"),"",IF(NOT(ISNA(VLOOKUP(E28,E$1:E27,1,FALSE()))),"OLD",IF(AND(E28&lt;&gt;"",E28&lt;&gt;"!!!"),"NEW","")))</f>
        <v>OLD</v>
      </c>
      <c r="G28" s="23" t="str">
        <f ca="1">IF(OR(E28="",E28="!!!"),"",IF(OR(J28=0,AND(J28=1,K28=1),AND(J28=1,I28="SBJ"),AND(J28=1,I28=0)),"?IN_FOCUS",IF(J28&lt;=2,"?ACTIVATED",IF(J28&lt;&gt;"","?FAMILIAR",IF(F28="NEW",IF(ISNA(VLOOKUP(E28,#REF!,1,FALSE())),"?TYPE_IDENTIFIABLE","?REFERENTIAL"),"_")))))</f>
        <v>?IN_FOCUS</v>
      </c>
      <c r="H28" s="24" t="str">
        <f t="shared" ca="1" si="3"/>
        <v/>
      </c>
      <c r="I28" s="25">
        <f>IF(OR(E28="",E28="!!!",F28="NEW"),"",INDEX(B$2:B27,-1+SUMPRODUCT(MAX(ROW(E$2:E27)*(E28=E$2:E27)))))</f>
        <v>0</v>
      </c>
      <c r="J28" s="25">
        <f ca="1">IF(OR(E28="",E28="!!!",F28="NEW"),"",COUNTBLANK(OFFSET(A$1,,,SUMPRODUCT(MAX(ROW(E$2:E28)*(E28=E$2:E28)))))-COUNTBLANK(OFFSET(A$1,,,SUMPRODUCT(MAX(ROW(E$1:E27)*(E2=E$1:E27))))))</f>
        <v>0</v>
      </c>
      <c r="K28" s="25">
        <f ca="1">IF(OR(E28="",E28="!!!",F28="NEW"),"",INDEX(J$1:J27,SUMPRODUCT(MAX(ROW(E$1:E27)*(E28=E$1:E27)))))</f>
        <v>0</v>
      </c>
      <c r="L28" s="26"/>
    </row>
    <row r="29" spans="1:12" x14ac:dyDescent="0.3">
      <c r="A29" t="s">
        <v>132</v>
      </c>
      <c r="E29" s="21" t="str">
        <f t="shared" si="2"/>
        <v/>
      </c>
      <c r="F29" s="22" t="str">
        <f>IF(OR(E29="",E29="!!!"),"",IF(NOT(ISNA(VLOOKUP(E29,E$1:E28,1,FALSE()))),"OLD",IF(AND(E29&lt;&gt;"",E29&lt;&gt;"!!!"),"NEW","")))</f>
        <v/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/>
      </c>
      <c r="H29" s="24" t="str">
        <f t="shared" ca="1" si="3"/>
        <v/>
      </c>
      <c r="I29" s="25" t="str">
        <f>IF(OR(E29="",E29="!!!",F29="NEW"),"",INDEX(B$2:B28,-1+SUMPRODUCT(MAX(ROW(E$2:E28)*(E29=E$2:E28)))))</f>
        <v/>
      </c>
      <c r="J29" s="25" t="str">
        <f ca="1">IF(OR(E29="",E29="!!!",F29="NEW"),"",COUNTBLANK(OFFSET(A$1,,,SUMPRODUCT(MAX(ROW(E$2:E29)*(E29=E$2:E29)))))-COUNTBLANK(OFFSET(A$1,,,SUMPRODUCT(MAX(ROW(E$1:E28)*(E2=E$1:E28))))))</f>
        <v/>
      </c>
      <c r="K29" s="25" t="str">
        <f>IF(OR(E29="",E29="!!!",F29="NEW"),"",INDEX(J$1:J28,SUMPRODUCT(MAX(ROW(E$1:E28)*(E29=E$1:E28)))))</f>
        <v/>
      </c>
      <c r="L29" s="26"/>
    </row>
    <row r="30" spans="1:12" x14ac:dyDescent="0.3">
      <c r="A30" t="s">
        <v>161</v>
      </c>
      <c r="E30" s="21" t="str">
        <f t="shared" si="2"/>
        <v/>
      </c>
      <c r="F30" s="22" t="str">
        <f>IF(OR(E30="",E30="!!!"),"",IF(NOT(ISNA(VLOOKUP(E30,E$1:E29,1,FALSE()))),"OLD",IF(AND(E30&lt;&gt;"",E30&lt;&gt;"!!!"),"NEW","")))</f>
        <v/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/>
      </c>
      <c r="H30" s="24" t="str">
        <f t="shared" ca="1" si="3"/>
        <v/>
      </c>
      <c r="I30" s="25" t="str">
        <f>IF(OR(E30="",E30="!!!",F30="NEW"),"",INDEX(B$2:B29,-1+SUMPRODUCT(MAX(ROW(E$2:E29)*(E30=E$2:E29)))))</f>
        <v/>
      </c>
      <c r="J30" s="25" t="str">
        <f ca="1">IF(OR(E30="",E30="!!!",F30="NEW"),"",COUNTBLANK(OFFSET(A$1,,,SUMPRODUCT(MAX(ROW(E$2:E30)*(E30=E$2:E30)))))-COUNTBLANK(OFFSET(A$1,,,SUMPRODUCT(MAX(ROW(E$1:E29)*(E2=E$1:E29))))))</f>
        <v/>
      </c>
      <c r="K30" s="25" t="str">
        <f>IF(OR(E30="",E30="!!!",F30="NEW"),"",INDEX(J$1:J29,SUMPRODUCT(MAX(ROW(E$1:E29)*(E30=E$1:E29)))))</f>
        <v/>
      </c>
      <c r="L30" s="26"/>
    </row>
    <row r="31" spans="1:12" x14ac:dyDescent="0.3">
      <c r="A31" t="s">
        <v>162</v>
      </c>
      <c r="B31" s="20" t="s">
        <v>145</v>
      </c>
      <c r="C31" s="20" t="s">
        <v>163</v>
      </c>
      <c r="E31" s="21" t="str">
        <f t="shared" si="2"/>
        <v/>
      </c>
      <c r="F31" s="22" t="str">
        <f>IF(OR(E31="",E31="!!!"),"",IF(NOT(ISNA(VLOOKUP(E31,E$1:E30,1,FALSE()))),"OLD",IF(AND(E31&lt;&gt;"",E31&lt;&gt;"!!!"),"NEW","")))</f>
        <v/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/>
      </c>
      <c r="H31" s="24" t="str">
        <f t="shared" ca="1" si="3"/>
        <v/>
      </c>
      <c r="I31" s="25" t="str">
        <f>IF(OR(E31="",E31="!!!",F31="NEW"),"",INDEX(B$2:B30,-1+SUMPRODUCT(MAX(ROW(E$2:E30)*(E31=E$2:E30)))))</f>
        <v/>
      </c>
      <c r="J31" s="25" t="str">
        <f ca="1">IF(OR(E31="",E31="!!!",F31="NEW"),"",COUNTBLANK(OFFSET(A$1,,,SUMPRODUCT(MAX(ROW(E$2:E31)*(E31=E$2:E31)))))-COUNTBLANK(OFFSET(A$1,,,SUMPRODUCT(MAX(ROW(E$1:E30)*(E2=E$1:E30))))))</f>
        <v/>
      </c>
      <c r="K31" s="25" t="str">
        <f>IF(OR(E31="",E31="!!!",F31="NEW"),"",INDEX(J$1:J30,SUMPRODUCT(MAX(ROW(E$1:E30)*(E31=E$1:E30)))))</f>
        <v/>
      </c>
      <c r="L31" s="26"/>
    </row>
    <row r="32" spans="1:12" x14ac:dyDescent="0.3">
      <c r="A32" t="s">
        <v>164</v>
      </c>
      <c r="B32" s="20" t="s">
        <v>152</v>
      </c>
      <c r="C32" s="20" t="s">
        <v>165</v>
      </c>
      <c r="E32" s="21" t="str">
        <f t="shared" si="2"/>
        <v/>
      </c>
      <c r="F32" s="22" t="str">
        <f>IF(OR(E32="",E32="!!!"),"",IF(NOT(ISNA(VLOOKUP(E32,E$1:E31,1,FALSE()))),"OLD",IF(AND(E32&lt;&gt;"",E32&lt;&gt;"!!!"),"NEW","")))</f>
        <v/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/>
      </c>
      <c r="H32" s="24" t="str">
        <f t="shared" ca="1" si="3"/>
        <v/>
      </c>
      <c r="I32" s="25" t="str">
        <f>IF(OR(E32="",E32="!!!",F32="NEW"),"",INDEX(B$2:B31,-1+SUMPRODUCT(MAX(ROW(E$2:E31)*(E32=E$2:E31)))))</f>
        <v/>
      </c>
      <c r="J32" s="25" t="str">
        <f ca="1">IF(OR(E32="",E32="!!!",F32="NEW"),"",COUNTBLANK(OFFSET(A$1,,,SUMPRODUCT(MAX(ROW(E$2:E32)*(E32=E$2:E32)))))-COUNTBLANK(OFFSET(A$1,,,SUMPRODUCT(MAX(ROW(E$1:E31)*(E2=E$1:E31))))))</f>
        <v/>
      </c>
      <c r="K32" s="25" t="str">
        <f>IF(OR(E32="",E32="!!!",F32="NEW"),"",INDEX(J$1:J31,SUMPRODUCT(MAX(ROW(E$1:E31)*(E32=E$1:E31)))))</f>
        <v/>
      </c>
      <c r="L32" s="26"/>
    </row>
    <row r="33" spans="1:12" x14ac:dyDescent="0.3">
      <c r="A33" t="s">
        <v>166</v>
      </c>
      <c r="E33" s="21" t="str">
        <f t="shared" si="2"/>
        <v/>
      </c>
      <c r="F33" s="22" t="str">
        <f>IF(OR(E33="",E33="!!!"),"",IF(NOT(ISNA(VLOOKUP(E33,E$1:E32,1,FALSE()))),"OLD",IF(AND(E33&lt;&gt;"",E33&lt;&gt;"!!!"),"NEW","")))</f>
        <v/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/>
      </c>
      <c r="H33" s="24" t="str">
        <f t="shared" ca="1" si="3"/>
        <v/>
      </c>
      <c r="I33" s="25" t="str">
        <f>IF(OR(E33="",E33="!!!",F33="NEW"),"",INDEX(B$2:B32,-1+SUMPRODUCT(MAX(ROW(E$2:E32)*(E33=E$2:E32)))))</f>
        <v/>
      </c>
      <c r="J33" s="25" t="str">
        <f ca="1">IF(OR(E33="",E33="!!!",F33="NEW"),"",COUNTBLANK(OFFSET(A$1,,,SUMPRODUCT(MAX(ROW(E$2:E33)*(E33=E$2:E33)))))-COUNTBLANK(OFFSET(A$1,,,SUMPRODUCT(MAX(ROW(E$1:E32)*(E2=E$1:E32))))))</f>
        <v/>
      </c>
      <c r="K33" s="25" t="str">
        <f>IF(OR(E33="",E33="!!!",F33="NEW"),"",INDEX(J$1:J32,SUMPRODUCT(MAX(ROW(E$1:E32)*(E33=E$1:E32)))))</f>
        <v/>
      </c>
      <c r="L33" s="26"/>
    </row>
    <row r="34" spans="1:12" x14ac:dyDescent="0.3">
      <c r="A34" t="s">
        <v>167</v>
      </c>
      <c r="E34" s="21" t="str">
        <f t="shared" si="2"/>
        <v/>
      </c>
      <c r="F34" s="22" t="str">
        <f>IF(OR(E34="",E34="!!!"),"",IF(NOT(ISNA(VLOOKUP(E34,E$1:E33,1,FALSE()))),"OLD",IF(AND(E34&lt;&gt;"",E34&lt;&gt;"!!!"),"NEW","")))</f>
        <v/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/>
      </c>
      <c r="H34" s="24" t="str">
        <f t="shared" ca="1" si="3"/>
        <v/>
      </c>
      <c r="I34" s="25" t="str">
        <f>IF(OR(E34="",E34="!!!",F34="NEW"),"",INDEX(B$2:B33,-1+SUMPRODUCT(MAX(ROW(E$2:E33)*(E34=E$2:E33)))))</f>
        <v/>
      </c>
      <c r="J34" s="25" t="str">
        <f ca="1">IF(OR(E34="",E34="!!!",F34="NEW"),"",COUNTBLANK(OFFSET(A$1,,,SUMPRODUCT(MAX(ROW(E$2:E34)*(E34=E$2:E34)))))-COUNTBLANK(OFFSET(A$1,,,SUMPRODUCT(MAX(ROW(E$1:E33)*(E2=E$1:E33))))))</f>
        <v/>
      </c>
      <c r="K34" s="25" t="str">
        <f>IF(OR(E34="",E34="!!!",F34="NEW"),"",INDEX(J$1:J33,SUMPRODUCT(MAX(ROW(E$1:E33)*(E34=E$1:E33)))))</f>
        <v/>
      </c>
      <c r="L34" s="26"/>
    </row>
    <row r="35" spans="1:12" x14ac:dyDescent="0.3">
      <c r="A35" t="s">
        <v>168</v>
      </c>
      <c r="B35" s="20" t="s">
        <v>136</v>
      </c>
      <c r="C35" s="20" t="s">
        <v>155</v>
      </c>
      <c r="E35" s="21" t="str">
        <f t="shared" si="2"/>
        <v/>
      </c>
      <c r="F35" s="22" t="str">
        <f>IF(OR(E35="",E35="!!!"),"",IF(NOT(ISNA(VLOOKUP(E35,E$1:E34,1,FALSE()))),"OLD",IF(AND(E35&lt;&gt;"",E35&lt;&gt;"!!!"),"NEW","")))</f>
        <v/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/>
      </c>
      <c r="H35" s="24" t="str">
        <f t="shared" ca="1" si="3"/>
        <v/>
      </c>
      <c r="I35" s="25" t="str">
        <f>IF(OR(E35="",E35="!!!",F35="NEW"),"",INDEX(B$2:B34,-1+SUMPRODUCT(MAX(ROW(E$2:E34)*(E35=E$2:E34)))))</f>
        <v/>
      </c>
      <c r="J35" s="25" t="str">
        <f ca="1">IF(OR(E35="",E35="!!!",F35="NEW"),"",COUNTBLANK(OFFSET(A$1,,,SUMPRODUCT(MAX(ROW(E$2:E35)*(E35=E$2:E35)))))-COUNTBLANK(OFFSET(A$1,,,SUMPRODUCT(MAX(ROW(E$1:E34)*(E2=E$1:E34))))))</f>
        <v/>
      </c>
      <c r="K35" s="25" t="str">
        <f>IF(OR(E35="",E35="!!!",F35="NEW"),"",INDEX(J$1:J34,SUMPRODUCT(MAX(ROW(E$1:E34)*(E35=E$1:E34)))))</f>
        <v/>
      </c>
      <c r="L35" s="26"/>
    </row>
    <row r="36" spans="1:12" x14ac:dyDescent="0.3">
      <c r="A36" t="s">
        <v>161</v>
      </c>
      <c r="E36" s="21" t="str">
        <f t="shared" si="2"/>
        <v/>
      </c>
      <c r="F36" s="22" t="str">
        <f>IF(OR(E36="",E36="!!!"),"",IF(NOT(ISNA(VLOOKUP(E36,E$1:E35,1,FALSE()))),"OLD",IF(AND(E36&lt;&gt;"",E36&lt;&gt;"!!!"),"NEW","")))</f>
        <v/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/>
      </c>
      <c r="H36" s="24" t="str">
        <f t="shared" ca="1" si="3"/>
        <v/>
      </c>
      <c r="I36" s="25" t="str">
        <f>IF(OR(E36="",E36="!!!",F36="NEW"),"",INDEX(B$2:B35,-1+SUMPRODUCT(MAX(ROW(E$2:E35)*(E36=E$2:E35)))))</f>
        <v/>
      </c>
      <c r="J36" s="25" t="str">
        <f ca="1">IF(OR(E36="",E36="!!!",F36="NEW"),"",COUNTBLANK(OFFSET(A$1,,,SUMPRODUCT(MAX(ROW(E$2:E36)*(E36=E$2:E36)))))-COUNTBLANK(OFFSET(A$1,,,SUMPRODUCT(MAX(ROW(E$1:E35)*(E2=E$1:E35))))))</f>
        <v/>
      </c>
      <c r="K36" s="25" t="str">
        <f>IF(OR(E36="",E36="!!!",F36="NEW"),"",INDEX(J$1:J35,SUMPRODUCT(MAX(ROW(E$1:E35)*(E36=E$1:E35)))))</f>
        <v/>
      </c>
      <c r="L36" s="26"/>
    </row>
    <row r="37" spans="1:12" x14ac:dyDescent="0.3">
      <c r="A37" t="s">
        <v>169</v>
      </c>
      <c r="E37" s="21" t="str">
        <f t="shared" si="2"/>
        <v/>
      </c>
      <c r="F37" s="22" t="str">
        <f>IF(OR(E37="",E37="!!!"),"",IF(NOT(ISNA(VLOOKUP(E37,E$1:E36,1,FALSE()))),"OLD",IF(AND(E37&lt;&gt;"",E37&lt;&gt;"!!!"),"NEW","")))</f>
        <v/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/>
      </c>
      <c r="H37" s="24" t="str">
        <f t="shared" ca="1" si="3"/>
        <v/>
      </c>
      <c r="I37" s="25" t="str">
        <f>IF(OR(E37="",E37="!!!",F37="NEW"),"",INDEX(B$2:B36,-1+SUMPRODUCT(MAX(ROW(E$2:E36)*(E37=E$2:E36)))))</f>
        <v/>
      </c>
      <c r="J37" s="25" t="str">
        <f ca="1">IF(OR(E37="",E37="!!!",F37="NEW"),"",COUNTBLANK(OFFSET(A$1,,,SUMPRODUCT(MAX(ROW(E$2:E37)*(E37=E$2:E37)))))-COUNTBLANK(OFFSET(A$1,,,SUMPRODUCT(MAX(ROW(E$1:E36)*(E2=E$1:E36))))))</f>
        <v/>
      </c>
      <c r="K37" s="25" t="str">
        <f>IF(OR(E37="",E37="!!!",F37="NEW"),"",INDEX(J$1:J36,SUMPRODUCT(MAX(ROW(E$1:E36)*(E37=E$1:E36)))))</f>
        <v/>
      </c>
      <c r="L37" s="26"/>
    </row>
    <row r="38" spans="1:12" x14ac:dyDescent="0.3">
      <c r="A38" t="s">
        <v>170</v>
      </c>
      <c r="B38" s="20" t="s">
        <v>145</v>
      </c>
      <c r="C38" s="20" t="s">
        <v>155</v>
      </c>
      <c r="E38" s="21" t="s">
        <v>480</v>
      </c>
      <c r="F38" s="22" t="str">
        <f>IF(OR(E38="",E38="!!!"),"",IF(NOT(ISNA(VLOOKUP(E38,E$1:E37,1,FALSE()))),"OLD",IF(AND(E38&lt;&gt;"",E38&lt;&gt;"!!!"),"NEW","")))</f>
        <v>NEW</v>
      </c>
      <c r="G38" s="23" t="str">
        <f ca="1">IF(OR(E38="",E38="!!!"),"",IF(OR(J38=0,AND(J38=1,K38=1),AND(J38=1,I38="SBJ"),AND(J38=1,I38=0)),"?IN_FOCUS",IF(J38&lt;=2,"?ACTIVATED",IF(J38&lt;&gt;"","?FAMILIAR",IF(F38="NEW",IF(ISNA(VLOOKUP(E38,#REF!,1,FALSE())),"?TYPE_IDENTIFIABLE","?REFERENTIAL"),"_")))))</f>
        <v>?REFERENTIAL</v>
      </c>
      <c r="H38" s="24" t="str">
        <f t="shared" ca="1" si="3"/>
        <v/>
      </c>
      <c r="I38" s="25" t="str">
        <f>IF(OR(E38="",E38="!!!",F38="NEW"),"",INDEX(B$2:B37,-1+SUMPRODUCT(MAX(ROW(E$2:E37)*(E38=E$2:E37)))))</f>
        <v/>
      </c>
      <c r="J38" s="25" t="str">
        <f ca="1">IF(OR(E38="",E38="!!!",F38="NEW"),"",COUNTBLANK(OFFSET(A$1,,,SUMPRODUCT(MAX(ROW(E$2:E38)*(E38=E$2:E38)))))-COUNTBLANK(OFFSET(A$1,,,SUMPRODUCT(MAX(ROW(E$1:E37)*(E2=E$1:E37))))))</f>
        <v/>
      </c>
      <c r="K38" s="25" t="str">
        <f>IF(OR(E38="",E38="!!!",F38="NEW"),"",INDEX(J$1:J37,SUMPRODUCT(MAX(ROW(E$1:E37)*(E38=E$1:E37)))))</f>
        <v/>
      </c>
      <c r="L38" s="26" t="s">
        <v>481</v>
      </c>
    </row>
    <row r="39" spans="1:12" x14ac:dyDescent="0.3">
      <c r="A39" t="s">
        <v>171</v>
      </c>
      <c r="E39" s="21" t="str">
        <f t="shared" si="2"/>
        <v/>
      </c>
      <c r="F39" s="22" t="str">
        <f>IF(OR(E39="",E39="!!!"),"",IF(NOT(ISNA(VLOOKUP(E39,E$1:E38,1,FALSE()))),"OLD",IF(AND(E39&lt;&gt;"",E39&lt;&gt;"!!!"),"NEW","")))</f>
        <v/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/>
      </c>
      <c r="H39" s="24" t="str">
        <f t="shared" ca="1" si="3"/>
        <v/>
      </c>
      <c r="I39" s="25" t="str">
        <f>IF(OR(E39="",E39="!!!",F39="NEW"),"",INDEX(B$2:B38,-1+SUMPRODUCT(MAX(ROW(E$2:E38)*(E39=E$2:E38)))))</f>
        <v/>
      </c>
      <c r="J39" s="25" t="str">
        <f ca="1">IF(OR(E39="",E39="!!!",F39="NEW"),"",COUNTBLANK(OFFSET(A$1,,,SUMPRODUCT(MAX(ROW(E$2:E39)*(E39=E$2:E39)))))-COUNTBLANK(OFFSET(A$1,,,SUMPRODUCT(MAX(ROW(E$1:E38)*(E2=E$1:E38))))))</f>
        <v/>
      </c>
      <c r="K39" s="25" t="str">
        <f>IF(OR(E39="",E39="!!!",F39="NEW"),"",INDEX(J$1:J38,SUMPRODUCT(MAX(ROW(E$1:E38)*(E39=E$1:E38)))))</f>
        <v/>
      </c>
      <c r="L39" s="26"/>
    </row>
    <row r="40" spans="1:12" x14ac:dyDescent="0.3">
      <c r="A40" t="s">
        <v>143</v>
      </c>
      <c r="E40" s="21" t="str">
        <f t="shared" si="2"/>
        <v/>
      </c>
      <c r="F40" s="22" t="str">
        <f>IF(OR(E40="",E40="!!!"),"",IF(NOT(ISNA(VLOOKUP(E40,E$1:E39,1,FALSE()))),"OLD",IF(AND(E40&lt;&gt;"",E40&lt;&gt;"!!!"),"NEW","")))</f>
        <v/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/>
      </c>
      <c r="H40" s="24" t="str">
        <f t="shared" ca="1" si="3"/>
        <v/>
      </c>
      <c r="I40" s="25" t="str">
        <f>IF(OR(E40="",E40="!!!",F40="NEW"),"",INDEX(B$2:B39,-1+SUMPRODUCT(MAX(ROW(E$2:E39)*(E40=E$2:E39)))))</f>
        <v/>
      </c>
      <c r="J40" s="25" t="str">
        <f ca="1">IF(OR(E40="",E40="!!!",F40="NEW"),"",COUNTBLANK(OFFSET(A$1,,,SUMPRODUCT(MAX(ROW(E$2:E40)*(E40=E$2:E40)))))-COUNTBLANK(OFFSET(A$1,,,SUMPRODUCT(MAX(ROW(E$1:E39)*(E2=E$1:E39))))))</f>
        <v/>
      </c>
      <c r="K40" s="25" t="str">
        <f>IF(OR(E40="",E40="!!!",F40="NEW"),"",INDEX(J$1:J39,SUMPRODUCT(MAX(ROW(E$1:E39)*(E40=E$1:E39)))))</f>
        <v/>
      </c>
      <c r="L40" s="26"/>
    </row>
    <row r="41" spans="1:12" x14ac:dyDescent="0.3">
      <c r="A41" t="s">
        <v>172</v>
      </c>
      <c r="B41" s="20" t="s">
        <v>158</v>
      </c>
      <c r="C41" s="20" t="s">
        <v>137</v>
      </c>
      <c r="D41" s="20" t="s">
        <v>131</v>
      </c>
      <c r="E41" s="21" t="s">
        <v>458</v>
      </c>
      <c r="F41" s="22" t="str">
        <f>IF(OR(E41="",E41="!!!"),"",IF(NOT(ISNA(VLOOKUP(E41,E$1:E40,1,FALSE()))),"OLD",IF(AND(E41&lt;&gt;"",E41&lt;&gt;"!!!"),"NEW","")))</f>
        <v>NEW</v>
      </c>
      <c r="G41" s="23" t="str">
        <f ca="1">IF(OR(E41="",E41="!!!"),"",IF(OR(J41=0,AND(J41=1,K41=1),AND(J41=1,I41="SBJ"),AND(J41=1,I41=0)),"?IN_FOCUS",IF(J41&lt;=2,"?ACTIVATED",IF(J41&lt;&gt;"","?FAMILIAR",IF(F41="NEW",IF(ISNA(VLOOKUP(E41,#REF!,1,FALSE())),"?TYPE_IDENTIFIABLE","?REFERENTIAL"),"_")))))</f>
        <v>?REFERENTIAL</v>
      </c>
      <c r="H41" s="24" t="str">
        <f t="shared" ca="1" si="3"/>
        <v/>
      </c>
      <c r="I41" s="25" t="str">
        <f>IF(OR(E41="",E41="!!!",F41="NEW"),"",INDEX(B$2:B40,-1+SUMPRODUCT(MAX(ROW(E$2:E40)*(E41=E$2:E40)))))</f>
        <v/>
      </c>
      <c r="J41" s="25" t="str">
        <f ca="1">IF(OR(E41="",E41="!!!",F41="NEW"),"",COUNTBLANK(OFFSET(A$1,,,SUMPRODUCT(MAX(ROW(E$2:E41)*(E41=E$2:E41)))))-COUNTBLANK(OFFSET(A$1,,,SUMPRODUCT(MAX(ROW(E$1:E40)*(E2=E$1:E40))))))</f>
        <v/>
      </c>
      <c r="K41" s="25" t="str">
        <f>IF(OR(E41="",E41="!!!",F41="NEW"),"",INDEX(J$1:J40,SUMPRODUCT(MAX(ROW(E$1:E40)*(E41=E$1:E40)))))</f>
        <v/>
      </c>
      <c r="L41" s="26" t="s">
        <v>479</v>
      </c>
    </row>
    <row r="42" spans="1:12" x14ac:dyDescent="0.3">
      <c r="A42" t="s">
        <v>148</v>
      </c>
      <c r="E42" s="21" t="str">
        <f t="shared" si="2"/>
        <v/>
      </c>
      <c r="F42" s="22" t="str">
        <f>IF(OR(E42="",E42="!!!"),"",IF(NOT(ISNA(VLOOKUP(E42,E$1:E41,1,FALSE()))),"OLD",IF(AND(E42&lt;&gt;"",E42&lt;&gt;"!!!"),"NEW","")))</f>
        <v/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/>
      </c>
      <c r="H42" s="24" t="str">
        <f t="shared" ca="1" si="3"/>
        <v/>
      </c>
      <c r="I42" s="25" t="str">
        <f>IF(OR(E42="",E42="!!!",F42="NEW"),"",INDEX(B$2:B41,-1+SUMPRODUCT(MAX(ROW(E$2:E41)*(E42=E$2:E41)))))</f>
        <v/>
      </c>
      <c r="J42" s="25" t="str">
        <f ca="1">IF(OR(E42="",E42="!!!",F42="NEW"),"",COUNTBLANK(OFFSET(A$1,,,SUMPRODUCT(MAX(ROW(E$2:E42)*(E42=E$2:E42)))))-COUNTBLANK(OFFSET(A$1,,,SUMPRODUCT(MAX(ROW(E$1:E41)*(E2=E$1:E41))))))</f>
        <v/>
      </c>
      <c r="K42" s="25" t="str">
        <f>IF(OR(E42="",E42="!!!",F42="NEW"),"",INDEX(J$1:J41,SUMPRODUCT(MAX(ROW(E$1:E41)*(E42=E$1:E41)))))</f>
        <v/>
      </c>
      <c r="L42" s="26"/>
    </row>
    <row r="44" spans="1:12" x14ac:dyDescent="0.3">
      <c r="A44" t="s">
        <v>173</v>
      </c>
    </row>
    <row r="45" spans="1:12" x14ac:dyDescent="0.3">
      <c r="A45" t="s">
        <v>174</v>
      </c>
      <c r="E45" s="21" t="str">
        <f t="shared" ref="E45:E54" si="4">IF(D45="?OLD","!!!","")</f>
        <v/>
      </c>
      <c r="F45" s="22" t="str">
        <f>IF(OR(E45="",E45="!!!"),"",IF(NOT(ISNA(VLOOKUP(E45,E$1:E44,1,FALSE()))),"OLD",IF(AND(E45&lt;&gt;"",E45&lt;&gt;"!!!"),"NEW","")))</f>
        <v/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/>
      </c>
      <c r="H45" s="24" t="str">
        <f t="shared" ref="H45:H54" ca="1" si="5">IF(J45&lt;&gt;1,"",IF(I45="SBJ","CB","?"))</f>
        <v/>
      </c>
      <c r="I45" s="25" t="str">
        <f>IF(OR(E45="",E45="!!!",F45="NEW"),"",INDEX(B$2:B44,-1+SUMPRODUCT(MAX(ROW(E$2:E44)*(E45=E$2:E44)))))</f>
        <v/>
      </c>
      <c r="J45" s="25" t="str">
        <f ca="1">IF(OR(E45="",E45="!!!",F45="NEW"),"",COUNTBLANK(OFFSET(A$1,,,SUMPRODUCT(MAX(ROW(E$2:E45)*(E45=E$2:E45)))))-COUNTBLANK(OFFSET(A$1,,,SUMPRODUCT(MAX(ROW(E$1:E44)*(E2=E$1:E44))))))</f>
        <v/>
      </c>
      <c r="K45" s="25" t="str">
        <f>IF(OR(E45="",E45="!!!",F45="NEW"),"",INDEX(J$1:J44,SUMPRODUCT(MAX(ROW(E$1:E44)*(E45=E$1:E44)))))</f>
        <v/>
      </c>
      <c r="L45" s="26"/>
    </row>
    <row r="46" spans="1:12" x14ac:dyDescent="0.3">
      <c r="A46" t="s">
        <v>175</v>
      </c>
      <c r="E46" s="21" t="str">
        <f t="shared" si="4"/>
        <v/>
      </c>
      <c r="F46" s="22" t="str">
        <f>IF(OR(E46="",E46="!!!"),"",IF(NOT(ISNA(VLOOKUP(E46,E$1:E45,1,FALSE()))),"OLD",IF(AND(E46&lt;&gt;"",E46&lt;&gt;"!!!"),"NEW","")))</f>
        <v/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/>
      </c>
      <c r="H46" s="24" t="str">
        <f t="shared" ca="1" si="5"/>
        <v/>
      </c>
      <c r="I46" s="25" t="str">
        <f>IF(OR(E46="",E46="!!!",F46="NEW"),"",INDEX(B$2:B45,-1+SUMPRODUCT(MAX(ROW(E$2:E45)*(E46=E$2:E45)))))</f>
        <v/>
      </c>
      <c r="J46" s="25" t="str">
        <f ca="1">IF(OR(E46="",E46="!!!",F46="NEW"),"",COUNTBLANK(OFFSET(A$1,,,SUMPRODUCT(MAX(ROW(E$2:E46)*(E46=E$2:E46)))))-COUNTBLANK(OFFSET(A$1,,,SUMPRODUCT(MAX(ROW(E$1:E45)*(E2=E$1:E45))))))</f>
        <v/>
      </c>
      <c r="K46" s="25" t="str">
        <f>IF(OR(E46="",E46="!!!",F46="NEW"),"",INDEX(J$1:J45,SUMPRODUCT(MAX(ROW(E$1:E45)*(E46=E$1:E45)))))</f>
        <v/>
      </c>
      <c r="L46" s="26"/>
    </row>
    <row r="47" spans="1:12" x14ac:dyDescent="0.3">
      <c r="A47" t="s">
        <v>176</v>
      </c>
      <c r="E47" s="21" t="str">
        <f t="shared" si="4"/>
        <v/>
      </c>
      <c r="F47" s="22" t="str">
        <f>IF(OR(E47="",E47="!!!"),"",IF(NOT(ISNA(VLOOKUP(E47,E$1:E46,1,FALSE()))),"OLD",IF(AND(E47&lt;&gt;"",E47&lt;&gt;"!!!"),"NEW","")))</f>
        <v/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/>
      </c>
      <c r="H47" s="24" t="str">
        <f t="shared" ca="1" si="5"/>
        <v/>
      </c>
      <c r="I47" s="25" t="str">
        <f>IF(OR(E47="",E47="!!!",F47="NEW"),"",INDEX(B$2:B46,-1+SUMPRODUCT(MAX(ROW(E$2:E46)*(E47=E$2:E46)))))</f>
        <v/>
      </c>
      <c r="J47" s="25" t="str">
        <f ca="1">IF(OR(E47="",E47="!!!",F47="NEW"),"",COUNTBLANK(OFFSET(A$1,,,SUMPRODUCT(MAX(ROW(E$2:E47)*(E47=E$2:E47)))))-COUNTBLANK(OFFSET(A$1,,,SUMPRODUCT(MAX(ROW(E$1:E46)*(E2=E$1:E46))))))</f>
        <v/>
      </c>
      <c r="K47" s="25" t="str">
        <f>IF(OR(E47="",E47="!!!",F47="NEW"),"",INDEX(J$1:J46,SUMPRODUCT(MAX(ROW(E$1:E46)*(E47=E$1:E46)))))</f>
        <v/>
      </c>
      <c r="L47" s="26"/>
    </row>
    <row r="48" spans="1:12" x14ac:dyDescent="0.3">
      <c r="A48" t="s">
        <v>12</v>
      </c>
      <c r="E48" s="21" t="str">
        <f t="shared" si="4"/>
        <v/>
      </c>
      <c r="F48" s="22" t="str">
        <f>IF(OR(E48="",E48="!!!"),"",IF(NOT(ISNA(VLOOKUP(E48,E$1:E47,1,FALSE()))),"OLD",IF(AND(E48&lt;&gt;"",E48&lt;&gt;"!!!"),"NEW","")))</f>
        <v/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/>
      </c>
      <c r="H48" s="24" t="str">
        <f t="shared" ca="1" si="5"/>
        <v/>
      </c>
      <c r="I48" s="25" t="str">
        <f>IF(OR(E48="",E48="!!!",F48="NEW"),"",INDEX(B$2:B47,-1+SUMPRODUCT(MAX(ROW(E$2:E47)*(E48=E$2:E47)))))</f>
        <v/>
      </c>
      <c r="J48" s="25" t="str">
        <f ca="1">IF(OR(E48="",E48="!!!",F48="NEW"),"",COUNTBLANK(OFFSET(A$1,,,SUMPRODUCT(MAX(ROW(E$2:E48)*(E48=E$2:E48)))))-COUNTBLANK(OFFSET(A$1,,,SUMPRODUCT(MAX(ROW(E$1:E47)*(E2=E$1:E47))))))</f>
        <v/>
      </c>
      <c r="K48" s="25" t="str">
        <f>IF(OR(E48="",E48="!!!",F48="NEW"),"",INDEX(J$1:J47,SUMPRODUCT(MAX(ROW(E$1:E47)*(E48=E$1:E47)))))</f>
        <v/>
      </c>
      <c r="L48" s="26"/>
    </row>
    <row r="49" spans="1:12" x14ac:dyDescent="0.3">
      <c r="A49" t="s">
        <v>177</v>
      </c>
      <c r="B49" s="20" t="s">
        <v>152</v>
      </c>
      <c r="C49" s="20" t="s">
        <v>178</v>
      </c>
      <c r="D49" s="20" t="s">
        <v>131</v>
      </c>
      <c r="E49" s="21" t="s">
        <v>424</v>
      </c>
      <c r="F49" s="22" t="str">
        <f>IF(OR(E49="",E49="!!!"),"",IF(NOT(ISNA(VLOOKUP(E49,E$1:E48,1,FALSE()))),"OLD",IF(AND(E49&lt;&gt;"",E49&lt;&gt;"!!!"),"NEW","")))</f>
        <v>OLD</v>
      </c>
      <c r="G49" s="23" t="str">
        <f ca="1">IF(OR(E49="",E49="!!!"),"",IF(OR(J49=0,AND(J49=1,K49=1),AND(J49=1,I49="SBJ"),AND(J49=1,I49=0)),"?IN_FOCUS",IF(J49&lt;=2,"?ACTIVATED",IF(J49&lt;&gt;"","?FAMILIAR",IF(F49="NEW",IF(ISNA(VLOOKUP(E49,#REF!,1,FALSE())),"?TYPE_IDENTIFIABLE","?REFERENTIAL"),"_")))))</f>
        <v>?IN_FOCUS</v>
      </c>
      <c r="H49" s="24" t="str">
        <f t="shared" ca="1" si="5"/>
        <v/>
      </c>
      <c r="I49" s="25" t="str">
        <f>IF(OR(E49="",E49="!!!",F49="NEW"),"",INDEX(B$2:B48,-1+SUMPRODUCT(MAX(ROW(E$2:E48)*(E49=E$2:E48)))))</f>
        <v>SBJ</v>
      </c>
      <c r="J49" s="25">
        <f ca="1">IF(OR(E49="",E49="!!!",F49="NEW"),"",COUNTBLANK(OFFSET(A$1,,,SUMPRODUCT(MAX(ROW(E$2:E49)*(E49=E$2:E49)))))-COUNTBLANK(OFFSET(A$1,,,SUMPRODUCT(MAX(ROW(E$1:E48)*(E2=E$1:E48))))))</f>
        <v>0</v>
      </c>
      <c r="K49" s="25">
        <f ca="1">IF(OR(E49="",E49="!!!",F49="NEW"),"",INDEX(J$1:J48,SUMPRODUCT(MAX(ROW(E$1:E48)*(E49=E$1:E48)))))</f>
        <v>0</v>
      </c>
      <c r="L49" s="26"/>
    </row>
    <row r="50" spans="1:12" x14ac:dyDescent="0.3">
      <c r="A50" t="s">
        <v>179</v>
      </c>
      <c r="E50" s="21" t="str">
        <f t="shared" si="4"/>
        <v/>
      </c>
      <c r="F50" s="22" t="str">
        <f>IF(OR(E50="",E50="!!!"),"",IF(NOT(ISNA(VLOOKUP(E50,E$1:E49,1,FALSE()))),"OLD",IF(AND(E50&lt;&gt;"",E50&lt;&gt;"!!!"),"NEW","")))</f>
        <v/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/>
      </c>
      <c r="H50" s="24" t="str">
        <f t="shared" ca="1" si="5"/>
        <v/>
      </c>
      <c r="I50" s="25" t="str">
        <f>IF(OR(E50="",E50="!!!",F50="NEW"),"",INDEX(B$2:B49,-1+SUMPRODUCT(MAX(ROW(E$2:E49)*(E50=E$2:E49)))))</f>
        <v/>
      </c>
      <c r="J50" s="25" t="str">
        <f ca="1">IF(OR(E50="",E50="!!!",F50="NEW"),"",COUNTBLANK(OFFSET(A$1,,,SUMPRODUCT(MAX(ROW(E$2:E50)*(E50=E$2:E50)))))-COUNTBLANK(OFFSET(A$1,,,SUMPRODUCT(MAX(ROW(E$1:E49)*(E2=E$1:E49))))))</f>
        <v/>
      </c>
      <c r="K50" s="25" t="str">
        <f>IF(OR(E50="",E50="!!!",F50="NEW"),"",INDEX(J$1:J49,SUMPRODUCT(MAX(ROW(E$1:E49)*(E50=E$1:E49)))))</f>
        <v/>
      </c>
      <c r="L50" s="26"/>
    </row>
    <row r="51" spans="1:12" x14ac:dyDescent="0.3">
      <c r="A51" t="s">
        <v>180</v>
      </c>
      <c r="B51" s="20" t="s">
        <v>129</v>
      </c>
      <c r="C51" s="20" t="s">
        <v>181</v>
      </c>
      <c r="D51" s="20" t="s">
        <v>131</v>
      </c>
      <c r="E51" s="21" t="s">
        <v>480</v>
      </c>
      <c r="F51" s="22" t="str">
        <f>IF(OR(E51="",E51="!!!"),"",IF(NOT(ISNA(VLOOKUP(E51,E$1:E50,1,FALSE()))),"OLD",IF(AND(E51&lt;&gt;"",E51&lt;&gt;"!!!"),"NEW","")))</f>
        <v>OLD</v>
      </c>
      <c r="G51" s="23" t="str">
        <f ca="1">IF(OR(E51="",E51="!!!"),"",IF(OR(J51=0,AND(J51=1,K51=1),AND(J51=1,I51="SBJ"),AND(J51=1,I51=0)),"?IN_FOCUS",IF(J51&lt;=2,"?ACTIVATED",IF(J51&lt;&gt;"","?FAMILIAR",IF(F51="NEW",IF(ISNA(VLOOKUP(E51,#REF!,1,FALSE())),"?TYPE_IDENTIFIABLE","?REFERENTIAL"),"_")))))</f>
        <v>?IN_FOCUS</v>
      </c>
      <c r="H51" s="24" t="str">
        <f t="shared" ca="1" si="5"/>
        <v/>
      </c>
      <c r="I51" s="25" t="str">
        <f>IF(OR(E51="",E51="!!!",F51="NEW"),"",INDEX(B$2:B50,-1+SUMPRODUCT(MAX(ROW(E$2:E50)*(E51=E$2:E50)))))</f>
        <v>other_2</v>
      </c>
      <c r="J51" s="25">
        <f ca="1">IF(OR(E51="",E51="!!!",F51="NEW"),"",COUNTBLANK(OFFSET(A$1,,,SUMPRODUCT(MAX(ROW(E$2:E51)*(E51=E$2:E51)))))-COUNTBLANK(OFFSET(A$1,,,SUMPRODUCT(MAX(ROW(E$1:E50)*(E2=E$1:E50))))))</f>
        <v>0</v>
      </c>
      <c r="K51" s="25" t="str">
        <f ca="1">IF(OR(E51="",E51="!!!",F51="NEW"),"",INDEX(J$1:J50,SUMPRODUCT(MAX(ROW(E$1:E50)*(E51=E$1:E50)))))</f>
        <v/>
      </c>
      <c r="L51" s="26"/>
    </row>
    <row r="52" spans="1:12" x14ac:dyDescent="0.3">
      <c r="A52" t="s">
        <v>182</v>
      </c>
      <c r="E52" s="21" t="str">
        <f t="shared" si="4"/>
        <v/>
      </c>
      <c r="F52" s="22" t="str">
        <f>IF(OR(E52="",E52="!!!"),"",IF(NOT(ISNA(VLOOKUP(E52,E$1:E51,1,FALSE()))),"OLD",IF(AND(E52&lt;&gt;"",E52&lt;&gt;"!!!"),"NEW","")))</f>
        <v/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/>
      </c>
      <c r="H52" s="24" t="str">
        <f t="shared" ca="1" si="5"/>
        <v/>
      </c>
      <c r="I52" s="25" t="str">
        <f>IF(OR(E52="",E52="!!!",F52="NEW"),"",INDEX(B$2:B51,-1+SUMPRODUCT(MAX(ROW(E$2:E51)*(E52=E$2:E51)))))</f>
        <v/>
      </c>
      <c r="J52" s="25" t="str">
        <f ca="1">IF(OR(E52="",E52="!!!",F52="NEW"),"",COUNTBLANK(OFFSET(A$1,,,SUMPRODUCT(MAX(ROW(E$2:E52)*(E52=E$2:E52)))))-COUNTBLANK(OFFSET(A$1,,,SUMPRODUCT(MAX(ROW(E$1:E51)*(E2=E$1:E51))))))</f>
        <v/>
      </c>
      <c r="K52" s="25" t="str">
        <f>IF(OR(E52="",E52="!!!",F52="NEW"),"",INDEX(J$1:J51,SUMPRODUCT(MAX(ROW(E$1:E51)*(E52=E$1:E51)))))</f>
        <v/>
      </c>
      <c r="L52" s="26"/>
    </row>
    <row r="53" spans="1:12" x14ac:dyDescent="0.3">
      <c r="A53" t="s">
        <v>183</v>
      </c>
      <c r="B53" s="20" t="s">
        <v>152</v>
      </c>
      <c r="C53" s="20" t="s">
        <v>155</v>
      </c>
      <c r="E53" s="21" t="str">
        <f t="shared" si="4"/>
        <v/>
      </c>
      <c r="F53" s="22" t="str">
        <f>IF(OR(E53="",E53="!!!"),"",IF(NOT(ISNA(VLOOKUP(E53,E$1:E52,1,FALSE()))),"OLD",IF(AND(E53&lt;&gt;"",E53&lt;&gt;"!!!"),"NEW","")))</f>
        <v/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/>
      </c>
      <c r="H53" s="24" t="str">
        <f t="shared" ca="1" si="5"/>
        <v/>
      </c>
      <c r="I53" s="25" t="str">
        <f>IF(OR(E53="",E53="!!!",F53="NEW"),"",INDEX(B$2:B52,-1+SUMPRODUCT(MAX(ROW(E$2:E52)*(E53=E$2:E52)))))</f>
        <v/>
      </c>
      <c r="J53" s="25" t="str">
        <f ca="1">IF(OR(E53="",E53="!!!",F53="NEW"),"",COUNTBLANK(OFFSET(A$1,,,SUMPRODUCT(MAX(ROW(E$2:E53)*(E53=E$2:E53)))))-COUNTBLANK(OFFSET(A$1,,,SUMPRODUCT(MAX(ROW(E$1:E52)*(E2=E$1:E52))))))</f>
        <v/>
      </c>
      <c r="K53" s="25" t="str">
        <f>IF(OR(E53="",E53="!!!",F53="NEW"),"",INDEX(J$1:J52,SUMPRODUCT(MAX(ROW(E$1:E52)*(E53=E$1:E52)))))</f>
        <v/>
      </c>
      <c r="L53" s="26"/>
    </row>
    <row r="54" spans="1:12" x14ac:dyDescent="0.3">
      <c r="A54" t="s">
        <v>148</v>
      </c>
      <c r="E54" s="21" t="str">
        <f t="shared" si="4"/>
        <v/>
      </c>
      <c r="F54" s="22" t="str">
        <f>IF(OR(E54="",E54="!!!"),"",IF(NOT(ISNA(VLOOKUP(E54,E$1:E53,1,FALSE()))),"OLD",IF(AND(E54&lt;&gt;"",E54&lt;&gt;"!!!"),"NEW","")))</f>
        <v/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/>
      </c>
      <c r="H54" s="24" t="str">
        <f t="shared" ca="1" si="5"/>
        <v/>
      </c>
      <c r="I54" s="25" t="str">
        <f>IF(OR(E54="",E54="!!!",F54="NEW"),"",INDEX(B$2:B53,-1+SUMPRODUCT(MAX(ROW(E$2:E53)*(E54=E$2:E53)))))</f>
        <v/>
      </c>
      <c r="J54" s="25" t="str">
        <f ca="1">IF(OR(E54="",E54="!!!",F54="NEW"),"",COUNTBLANK(OFFSET(A$1,,,SUMPRODUCT(MAX(ROW(E$2:E54)*(E54=E$2:E54)))))-COUNTBLANK(OFFSET(A$1,,,SUMPRODUCT(MAX(ROW(E$1:E53)*(E2=E$1:E53))))))</f>
        <v/>
      </c>
      <c r="K54" s="25" t="str">
        <f>IF(OR(E54="",E54="!!!",F54="NEW"),"",INDEX(J$1:J53,SUMPRODUCT(MAX(ROW(E$1:E53)*(E54=E$1:E53)))))</f>
        <v/>
      </c>
      <c r="L54" s="26"/>
    </row>
    <row r="56" spans="1:12" x14ac:dyDescent="0.3">
      <c r="A56" t="s">
        <v>184</v>
      </c>
      <c r="E56" s="21" t="str">
        <f>IF(D56="?OLD","!!!","")</f>
        <v/>
      </c>
      <c r="F56" s="22" t="str">
        <f>IF(OR(E56="",E56="!!!"),"",IF(NOT(ISNA(VLOOKUP(E56,E$1:E55,1,FALSE()))),"OLD",IF(AND(E56&lt;&gt;"",E56&lt;&gt;"!!!"),"NEW","")))</f>
        <v/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/>
      </c>
      <c r="H56" s="24" t="str">
        <f ca="1">IF(J56&lt;&gt;1,"",IF(I56="SBJ","CB","?"))</f>
        <v/>
      </c>
      <c r="I56" s="25" t="str">
        <f>IF(OR(E56="",E56="!!!",F56="NEW"),"",INDEX(B$2:B55,-1+SUMPRODUCT(MAX(ROW(E$2:E55)*(E56=E$2:E55)))))</f>
        <v/>
      </c>
      <c r="J56" s="25" t="str">
        <f ca="1">IF(OR(E56="",E56="!!!",F56="NEW"),"",COUNTBLANK(OFFSET(A$1,,,SUMPRODUCT(MAX(ROW(E$2:E56)*(E56=E$2:E56)))))-COUNTBLANK(OFFSET(A$1,,,SUMPRODUCT(MAX(ROW(E$1:E55)*(E2=E$1:E55))))))</f>
        <v/>
      </c>
      <c r="K56" s="25" t="str">
        <f>IF(OR(E56="",E56="!!!",F56="NEW"),"",INDEX(J$1:J55,SUMPRODUCT(MAX(ROW(E$1:E55)*(E56=E$1:E55)))))</f>
        <v/>
      </c>
      <c r="L56" s="26"/>
    </row>
    <row r="57" spans="1:12" x14ac:dyDescent="0.3">
      <c r="A57" t="s">
        <v>185</v>
      </c>
    </row>
    <row r="58" spans="1:12" x14ac:dyDescent="0.3">
      <c r="A58" t="s">
        <v>26</v>
      </c>
      <c r="B58" s="20" t="s">
        <v>152</v>
      </c>
      <c r="C58" s="20" t="s">
        <v>130</v>
      </c>
      <c r="D58" s="20" t="s">
        <v>131</v>
      </c>
      <c r="E58" s="21" t="s">
        <v>432</v>
      </c>
      <c r="F58" s="22" t="str">
        <f>IF(OR(E58="",E58="!!!"),"",IF(NOT(ISNA(VLOOKUP(E58,E$1:E57,1,FALSE()))),"OLD",IF(AND(E58&lt;&gt;"",E58&lt;&gt;"!!!"),"NEW","")))</f>
        <v>NEW</v>
      </c>
      <c r="G58" s="23" t="str">
        <f ca="1">IF(OR(E58="",E58="!!!"),"",IF(OR(J58=0,AND(J58=1,K58=1),AND(J58=1,I58="SBJ"),AND(J58=1,I58=0)),"?IN_FOCUS",IF(J58&lt;=2,"?ACTIVATED",IF(J58&lt;&gt;"","?FAMILIAR",IF(F58="NEW",IF(ISNA(VLOOKUP(E58,#REF!,1,FALSE())),"?TYPE_IDENTIFIABLE","?REFERENTIAL"),"_")))))</f>
        <v>?REFERENTIAL</v>
      </c>
      <c r="H58" s="24" t="str">
        <f t="shared" ref="H58:H66" ca="1" si="6">IF(J58&lt;&gt;1,"",IF(I58="SBJ","CB","?"))</f>
        <v/>
      </c>
      <c r="I58" s="25" t="str">
        <f>IF(OR(E58="",E58="!!!",F58="NEW"),"",INDEX(B$2:B57,-1+SUMPRODUCT(MAX(ROW(E$2:E57)*(E58=E$2:E57)))))</f>
        <v/>
      </c>
      <c r="J58" s="25" t="str">
        <f ca="1">IF(OR(E58="",E58="!!!",F58="NEW"),"",COUNTBLANK(OFFSET(A$1,,,SUMPRODUCT(MAX(ROW(E$2:E58)*(E58=E$2:E58)))))-COUNTBLANK(OFFSET(A$1,,,SUMPRODUCT(MAX(ROW(E$1:E57)*(E2=E$1:E57))))))</f>
        <v/>
      </c>
      <c r="K58" s="25" t="str">
        <f>IF(OR(E58="",E58="!!!",F58="NEW"),"",INDEX(J$1:J57,SUMPRODUCT(MAX(ROW(E$1:E57)*(E58=E$1:E57)))))</f>
        <v/>
      </c>
      <c r="L58" s="26"/>
    </row>
    <row r="59" spans="1:12" x14ac:dyDescent="0.3">
      <c r="A59" t="s">
        <v>186</v>
      </c>
      <c r="E59" s="21" t="str">
        <f t="shared" ref="E59:E66" si="7">IF(D59="?OLD","!!!","")</f>
        <v/>
      </c>
      <c r="F59" s="22" t="str">
        <f>IF(OR(E59="",E59="!!!"),"",IF(NOT(ISNA(VLOOKUP(E59,E$1:E58,1,FALSE()))),"OLD",IF(AND(E59&lt;&gt;"",E59&lt;&gt;"!!!"),"NEW","")))</f>
        <v/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/>
      </c>
      <c r="H59" s="24" t="str">
        <f t="shared" ca="1" si="6"/>
        <v/>
      </c>
      <c r="I59" s="25" t="str">
        <f>IF(OR(E59="",E59="!!!",F59="NEW"),"",INDEX(B$2:B58,-1+SUMPRODUCT(MAX(ROW(E$2:E58)*(E59=E$2:E58)))))</f>
        <v/>
      </c>
      <c r="J59" s="25" t="str">
        <f ca="1">IF(OR(E59="",E59="!!!",F59="NEW"),"",COUNTBLANK(OFFSET(A$1,,,SUMPRODUCT(MAX(ROW(E$2:E59)*(E59=E$2:E59)))))-COUNTBLANK(OFFSET(A$1,,,SUMPRODUCT(MAX(ROW(E$1:E58)*(E2=E$1:E58))))))</f>
        <v/>
      </c>
      <c r="K59" s="25" t="str">
        <f>IF(OR(E59="",E59="!!!",F59="NEW"),"",INDEX(J$1:J58,SUMPRODUCT(MAX(ROW(E$1:E58)*(E59=E$1:E58)))))</f>
        <v/>
      </c>
      <c r="L59" s="26"/>
    </row>
    <row r="60" spans="1:12" x14ac:dyDescent="0.3">
      <c r="A60" t="s">
        <v>187</v>
      </c>
      <c r="E60" s="21" t="str">
        <f t="shared" si="7"/>
        <v/>
      </c>
      <c r="F60" s="22" t="str">
        <f>IF(OR(E60="",E60="!!!"),"",IF(NOT(ISNA(VLOOKUP(E60,E$1:E59,1,FALSE()))),"OLD",IF(AND(E60&lt;&gt;"",E60&lt;&gt;"!!!"),"NEW","")))</f>
        <v/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/>
      </c>
      <c r="H60" s="24" t="str">
        <f t="shared" ca="1" si="6"/>
        <v/>
      </c>
      <c r="I60" s="25" t="str">
        <f>IF(OR(E60="",E60="!!!",F60="NEW"),"",INDEX(B$2:B59,-1+SUMPRODUCT(MAX(ROW(E$2:E59)*(E60=E$2:E59)))))</f>
        <v/>
      </c>
      <c r="J60" s="25" t="str">
        <f ca="1">IF(OR(E60="",E60="!!!",F60="NEW"),"",COUNTBLANK(OFFSET(A$1,,,SUMPRODUCT(MAX(ROW(E$2:E60)*(E60=E$2:E60)))))-COUNTBLANK(OFFSET(A$1,,,SUMPRODUCT(MAX(ROW(E$1:E59)*(E2=E$1:E59))))))</f>
        <v/>
      </c>
      <c r="K60" s="25" t="str">
        <f>IF(OR(E60="",E60="!!!",F60="NEW"),"",INDEX(J$1:J59,SUMPRODUCT(MAX(ROW(E$1:E59)*(E60=E$1:E59)))))</f>
        <v/>
      </c>
      <c r="L60" s="26"/>
    </row>
    <row r="61" spans="1:12" x14ac:dyDescent="0.3">
      <c r="A61" t="s">
        <v>188</v>
      </c>
      <c r="E61" s="21" t="str">
        <f t="shared" si="7"/>
        <v/>
      </c>
      <c r="F61" s="22" t="str">
        <f>IF(OR(E61="",E61="!!!"),"",IF(NOT(ISNA(VLOOKUP(E61,E$1:E60,1,FALSE()))),"OLD",IF(AND(E61&lt;&gt;"",E61&lt;&gt;"!!!"),"NEW","")))</f>
        <v/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/>
      </c>
      <c r="H61" s="24" t="str">
        <f t="shared" ca="1" si="6"/>
        <v/>
      </c>
      <c r="I61" s="25" t="str">
        <f>IF(OR(E61="",E61="!!!",F61="NEW"),"",INDEX(B$2:B60,-1+SUMPRODUCT(MAX(ROW(E$2:E60)*(E61=E$2:E60)))))</f>
        <v/>
      </c>
      <c r="J61" s="25" t="str">
        <f ca="1">IF(OR(E61="",E61="!!!",F61="NEW"),"",COUNTBLANK(OFFSET(A$1,,,SUMPRODUCT(MAX(ROW(E$2:E61)*(E61=E$2:E61)))))-COUNTBLANK(OFFSET(A$1,,,SUMPRODUCT(MAX(ROW(E$1:E60)*(E2=E$1:E60))))))</f>
        <v/>
      </c>
      <c r="K61" s="25" t="str">
        <f>IF(OR(E61="",E61="!!!",F61="NEW"),"",INDEX(J$1:J60,SUMPRODUCT(MAX(ROW(E$1:E60)*(E61=E$1:E60)))))</f>
        <v/>
      </c>
      <c r="L61" s="26"/>
    </row>
    <row r="62" spans="1:12" x14ac:dyDescent="0.3">
      <c r="A62" t="s">
        <v>135</v>
      </c>
      <c r="B62" s="20" t="s">
        <v>152</v>
      </c>
      <c r="C62" s="20" t="s">
        <v>130</v>
      </c>
      <c r="D62" s="20" t="s">
        <v>131</v>
      </c>
      <c r="E62" s="21" t="s">
        <v>455</v>
      </c>
      <c r="F62" s="22" t="str">
        <f>IF(OR(E62="",E62="!!!"),"",IF(NOT(ISNA(VLOOKUP(E62,E$1:E61,1,FALSE()))),"OLD",IF(AND(E62&lt;&gt;"",E62&lt;&gt;"!!!"),"NEW","")))</f>
        <v>OLD</v>
      </c>
      <c r="G62" s="23" t="str">
        <f ca="1">IF(OR(E62="",E62="!!!"),"",IF(OR(J62=0,AND(J62=1,K62=1),AND(J62=1,I62="SBJ"),AND(J62=1,I62=0)),"?IN_FOCUS",IF(J62&lt;=2,"?ACTIVATED",IF(J62&lt;&gt;"","?FAMILIAR",IF(F62="NEW",IF(ISNA(VLOOKUP(E62,#REF!,1,FALSE())),"?TYPE_IDENTIFIABLE","?REFERENTIAL"),"_")))))</f>
        <v>?IN_FOCUS</v>
      </c>
      <c r="H62" s="24" t="str">
        <f t="shared" ca="1" si="6"/>
        <v/>
      </c>
      <c r="I62" s="25" t="str">
        <f>IF(OR(E62="",E62="!!!",F62="NEW"),"",INDEX(B$2:B61,-1+SUMPRODUCT(MAX(ROW(E$2:E61)*(E62=E$2:E61)))))</f>
        <v>OBJ</v>
      </c>
      <c r="J62" s="25">
        <f ca="1">IF(OR(E62="",E62="!!!",F62="NEW"),"",COUNTBLANK(OFFSET(A$1,,,SUMPRODUCT(MAX(ROW(E$2:E62)*(E62=E$2:E62)))))-COUNTBLANK(OFFSET(A$1,,,SUMPRODUCT(MAX(ROW(E$1:E61)*(E2=E$1:E61))))))</f>
        <v>0</v>
      </c>
      <c r="K62" s="25" t="str">
        <f ca="1">IF(OR(E62="",E62="!!!",F62="NEW"),"",INDEX(J$1:J61,SUMPRODUCT(MAX(ROW(E$1:E61)*(E62=E$1:E61)))))</f>
        <v/>
      </c>
      <c r="L62" s="26"/>
    </row>
    <row r="63" spans="1:12" x14ac:dyDescent="0.3">
      <c r="A63" t="s">
        <v>187</v>
      </c>
      <c r="E63" s="21" t="str">
        <f t="shared" si="7"/>
        <v/>
      </c>
      <c r="F63" s="22" t="str">
        <f>IF(OR(E63="",E63="!!!"),"",IF(NOT(ISNA(VLOOKUP(E63,E$1:E62,1,FALSE()))),"OLD",IF(AND(E63&lt;&gt;"",E63&lt;&gt;"!!!"),"NEW","")))</f>
        <v/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/>
      </c>
      <c r="H63" s="24" t="str">
        <f t="shared" ca="1" si="6"/>
        <v/>
      </c>
      <c r="I63" s="25" t="str">
        <f>IF(OR(E63="",E63="!!!",F63="NEW"),"",INDEX(B$2:B62,-1+SUMPRODUCT(MAX(ROW(E$2:E62)*(E63=E$2:E62)))))</f>
        <v/>
      </c>
      <c r="J63" s="25" t="str">
        <f ca="1">IF(OR(E63="",E63="!!!",F63="NEW"),"",COUNTBLANK(OFFSET(A$1,,,SUMPRODUCT(MAX(ROW(E$2:E63)*(E63=E$2:E63)))))-COUNTBLANK(OFFSET(A$1,,,SUMPRODUCT(MAX(ROW(E$1:E62)*(E2=E$1:E62))))))</f>
        <v/>
      </c>
      <c r="K63" s="25" t="str">
        <f>IF(OR(E63="",E63="!!!",F63="NEW"),"",INDEX(J$1:J62,SUMPRODUCT(MAX(ROW(E$1:E62)*(E63=E$1:E62)))))</f>
        <v/>
      </c>
      <c r="L63" s="26"/>
    </row>
    <row r="64" spans="1:12" x14ac:dyDescent="0.3">
      <c r="A64" t="s">
        <v>189</v>
      </c>
      <c r="E64" s="21" t="str">
        <f t="shared" si="7"/>
        <v/>
      </c>
      <c r="F64" s="22" t="str">
        <f>IF(OR(E64="",E64="!!!"),"",IF(NOT(ISNA(VLOOKUP(E64,E$1:E63,1,FALSE()))),"OLD",IF(AND(E64&lt;&gt;"",E64&lt;&gt;"!!!"),"NEW","")))</f>
        <v/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/>
      </c>
      <c r="H64" s="24" t="str">
        <f t="shared" ca="1" si="6"/>
        <v/>
      </c>
      <c r="I64" s="25" t="str">
        <f>IF(OR(E64="",E64="!!!",F64="NEW"),"",INDEX(B$2:B63,-1+SUMPRODUCT(MAX(ROW(E$2:E63)*(E64=E$2:E63)))))</f>
        <v/>
      </c>
      <c r="J64" s="25" t="str">
        <f ca="1">IF(OR(E64="",E64="!!!",F64="NEW"),"",COUNTBLANK(OFFSET(A$1,,,SUMPRODUCT(MAX(ROW(E$2:E64)*(E64=E$2:E64)))))-COUNTBLANK(OFFSET(A$1,,,SUMPRODUCT(MAX(ROW(E$1:E63)*(E2=E$1:E63))))))</f>
        <v/>
      </c>
      <c r="K64" s="25" t="str">
        <f>IF(OR(E64="",E64="!!!",F64="NEW"),"",INDEX(J$1:J63,SUMPRODUCT(MAX(ROW(E$1:E63)*(E64=E$1:E63)))))</f>
        <v/>
      </c>
      <c r="L64" s="26"/>
    </row>
    <row r="65" spans="1:12" x14ac:dyDescent="0.3">
      <c r="A65" t="s">
        <v>160</v>
      </c>
      <c r="B65" s="20" t="s">
        <v>145</v>
      </c>
      <c r="C65" s="20" t="s">
        <v>130</v>
      </c>
      <c r="D65" s="20" t="s">
        <v>131</v>
      </c>
      <c r="E65" s="21" t="s">
        <v>424</v>
      </c>
      <c r="F65" s="22" t="str">
        <f>IF(OR(E65="",E65="!!!"),"",IF(NOT(ISNA(VLOOKUP(E65,E$1:E64,1,FALSE()))),"OLD",IF(AND(E65&lt;&gt;"",E65&lt;&gt;"!!!"),"NEW","")))</f>
        <v>OLD</v>
      </c>
      <c r="G65" s="23" t="str">
        <f ca="1">IF(OR(E65="",E65="!!!"),"",IF(OR(J65=0,AND(J65=1,K65=1),AND(J65=1,I65="SBJ"),AND(J65=1,I65=0)),"?IN_FOCUS",IF(J65&lt;=2,"?ACTIVATED",IF(J65&lt;&gt;"","?FAMILIAR",IF(F65="NEW",IF(ISNA(VLOOKUP(E65,#REF!,1,FALSE())),"?TYPE_IDENTIFIABLE","?REFERENTIAL"),"_")))))</f>
        <v>?IN_FOCUS</v>
      </c>
      <c r="H65" s="24" t="str">
        <f t="shared" ca="1" si="6"/>
        <v/>
      </c>
      <c r="I65" s="25" t="str">
        <f>IF(OR(E65="",E65="!!!",F65="NEW"),"",INDEX(B$2:B64,-1+SUMPRODUCT(MAX(ROW(E$2:E64)*(E65=E$2:E64)))))</f>
        <v>other</v>
      </c>
      <c r="J65" s="25">
        <f ca="1">IF(OR(E65="",E65="!!!",F65="NEW"),"",COUNTBLANK(OFFSET(A$1,,,SUMPRODUCT(MAX(ROW(E$2:E65)*(E65=E$2:E65)))))-COUNTBLANK(OFFSET(A$1,,,SUMPRODUCT(MAX(ROW(E$1:E64)*(E2=E$1:E64))))))</f>
        <v>0</v>
      </c>
      <c r="K65" s="25">
        <f ca="1">IF(OR(E65="",E65="!!!",F65="NEW"),"",INDEX(J$1:J64,SUMPRODUCT(MAX(ROW(E$1:E64)*(E65=E$1:E64)))))</f>
        <v>0</v>
      </c>
      <c r="L65" s="26"/>
    </row>
    <row r="66" spans="1:12" x14ac:dyDescent="0.3">
      <c r="A66" t="s">
        <v>132</v>
      </c>
      <c r="E66" s="21" t="str">
        <f t="shared" si="7"/>
        <v/>
      </c>
      <c r="F66" s="22" t="str">
        <f>IF(OR(E66="",E66="!!!"),"",IF(NOT(ISNA(VLOOKUP(E66,E$1:E65,1,FALSE()))),"OLD",IF(AND(E66&lt;&gt;"",E66&lt;&gt;"!!!"),"NEW","")))</f>
        <v/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/>
      </c>
      <c r="H66" s="24" t="str">
        <f t="shared" ca="1" si="6"/>
        <v/>
      </c>
      <c r="I66" s="25" t="str">
        <f>IF(OR(E66="",E66="!!!",F66="NEW"),"",INDEX(B$2:B65,-1+SUMPRODUCT(MAX(ROW(E$2:E65)*(E66=E$2:E65)))))</f>
        <v/>
      </c>
      <c r="J66" s="25" t="str">
        <f ca="1">IF(OR(E66="",E66="!!!",F66="NEW"),"",COUNTBLANK(OFFSET(A$1,,,SUMPRODUCT(MAX(ROW(E$2:E66)*(E66=E$2:E66)))))-COUNTBLANK(OFFSET(A$1,,,SUMPRODUCT(MAX(ROW(E$1:E65)*(E2=E$1:E65))))))</f>
        <v/>
      </c>
      <c r="K66" s="25" t="str">
        <f>IF(OR(E66="",E66="!!!",F66="NEW"),"",INDEX(J$1:J65,SUMPRODUCT(MAX(ROW(E$1:E65)*(E66=E$1:E65)))))</f>
        <v/>
      </c>
      <c r="L66" s="26"/>
    </row>
    <row r="68" spans="1:12" x14ac:dyDescent="0.3">
      <c r="A68" t="s">
        <v>190</v>
      </c>
    </row>
    <row r="69" spans="1:12" x14ac:dyDescent="0.3">
      <c r="A69" t="s">
        <v>191</v>
      </c>
      <c r="E69" s="21" t="str">
        <f t="shared" ref="E69:E91" si="8">IF(D69="?OLD","!!!","")</f>
        <v/>
      </c>
      <c r="F69" s="22" t="str">
        <f>IF(OR(E69="",E69="!!!"),"",IF(NOT(ISNA(VLOOKUP(E69,E$1:E68,1,FALSE()))),"OLD",IF(AND(E69&lt;&gt;"",E69&lt;&gt;"!!!"),"NEW","")))</f>
        <v/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/>
      </c>
      <c r="H69" s="24" t="str">
        <f t="shared" ref="H69:H91" ca="1" si="9">IF(J69&lt;&gt;1,"",IF(I69="SBJ","CB","?"))</f>
        <v/>
      </c>
      <c r="I69" s="25" t="str">
        <f>IF(OR(E69="",E69="!!!",F69="NEW"),"",INDEX(B$2:B68,-1+SUMPRODUCT(MAX(ROW(E$2:E68)*(E69=E$2:E68)))))</f>
        <v/>
      </c>
      <c r="J69" s="25" t="str">
        <f ca="1">IF(OR(E69="",E69="!!!",F69="NEW"),"",COUNTBLANK(OFFSET(A$1,,,SUMPRODUCT(MAX(ROW(E$2:E69)*(E69=E$2:E69)))))-COUNTBLANK(OFFSET(A$1,,,SUMPRODUCT(MAX(ROW(E$1:E68)*(E2=E$1:E68))))))</f>
        <v/>
      </c>
      <c r="K69" s="25" t="str">
        <f>IF(OR(E69="",E69="!!!",F69="NEW"),"",INDEX(J$1:J68,SUMPRODUCT(MAX(ROW(E$1:E68)*(E69=E$1:E68)))))</f>
        <v/>
      </c>
      <c r="L69" s="26"/>
    </row>
    <row r="70" spans="1:12" x14ac:dyDescent="0.3">
      <c r="A70" t="s">
        <v>162</v>
      </c>
      <c r="B70" s="20" t="s">
        <v>145</v>
      </c>
      <c r="C70" s="20" t="s">
        <v>163</v>
      </c>
      <c r="E70" s="21" t="str">
        <f t="shared" si="8"/>
        <v/>
      </c>
      <c r="F70" s="22" t="str">
        <f>IF(OR(E70="",E70="!!!"),"",IF(NOT(ISNA(VLOOKUP(E70,E$1:E69,1,FALSE()))),"OLD",IF(AND(E70&lt;&gt;"",E70&lt;&gt;"!!!"),"NEW","")))</f>
        <v/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/>
      </c>
      <c r="H70" s="24" t="str">
        <f t="shared" ca="1" si="9"/>
        <v/>
      </c>
      <c r="I70" s="25" t="str">
        <f>IF(OR(E70="",E70="!!!",F70="NEW"),"",INDEX(B$2:B69,-1+SUMPRODUCT(MAX(ROW(E$2:E69)*(E70=E$2:E69)))))</f>
        <v/>
      </c>
      <c r="J70" s="25" t="str">
        <f ca="1">IF(OR(E70="",E70="!!!",F70="NEW"),"",COUNTBLANK(OFFSET(A$1,,,SUMPRODUCT(MAX(ROW(E$2:E70)*(E70=E$2:E70)))))-COUNTBLANK(OFFSET(A$1,,,SUMPRODUCT(MAX(ROW(E$1:E69)*(E2=E$1:E69))))))</f>
        <v/>
      </c>
      <c r="K70" s="25" t="str">
        <f>IF(OR(E70="",E70="!!!",F70="NEW"),"",INDEX(J$1:J69,SUMPRODUCT(MAX(ROW(E$1:E69)*(E70=E$1:E69)))))</f>
        <v/>
      </c>
      <c r="L70" s="26"/>
    </row>
    <row r="71" spans="1:12" x14ac:dyDescent="0.3">
      <c r="A71" t="s">
        <v>192</v>
      </c>
      <c r="B71" s="20" t="s">
        <v>152</v>
      </c>
      <c r="C71" s="20" t="s">
        <v>165</v>
      </c>
      <c r="E71" s="21" t="str">
        <f t="shared" si="8"/>
        <v/>
      </c>
      <c r="F71" s="22" t="str">
        <f>IF(OR(E71="",E71="!!!"),"",IF(NOT(ISNA(VLOOKUP(E71,E$1:E70,1,FALSE()))),"OLD",IF(AND(E71&lt;&gt;"",E71&lt;&gt;"!!!"),"NEW","")))</f>
        <v/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/>
      </c>
      <c r="H71" s="24" t="str">
        <f t="shared" ca="1" si="9"/>
        <v/>
      </c>
      <c r="I71" s="25" t="str">
        <f>IF(OR(E71="",E71="!!!",F71="NEW"),"",INDEX(B$2:B70,-1+SUMPRODUCT(MAX(ROW(E$2:E70)*(E71=E$2:E70)))))</f>
        <v/>
      </c>
      <c r="J71" s="25" t="str">
        <f ca="1">IF(OR(E71="",E71="!!!",F71="NEW"),"",COUNTBLANK(OFFSET(A$1,,,SUMPRODUCT(MAX(ROW(E$2:E71)*(E71=E$2:E71)))))-COUNTBLANK(OFFSET(A$1,,,SUMPRODUCT(MAX(ROW(E$1:E70)*(E2=E$1:E70))))))</f>
        <v/>
      </c>
      <c r="K71" s="25" t="str">
        <f>IF(OR(E71="",E71="!!!",F71="NEW"),"",INDEX(J$1:J70,SUMPRODUCT(MAX(ROW(E$1:E70)*(E71=E$1:E70)))))</f>
        <v/>
      </c>
      <c r="L71" s="26"/>
    </row>
    <row r="72" spans="1:12" x14ac:dyDescent="0.3">
      <c r="A72" t="s">
        <v>193</v>
      </c>
      <c r="E72" s="21" t="str">
        <f t="shared" si="8"/>
        <v/>
      </c>
      <c r="F72" s="22" t="str">
        <f>IF(OR(E72="",E72="!!!"),"",IF(NOT(ISNA(VLOOKUP(E72,E$1:E71,1,FALSE()))),"OLD",IF(AND(E72&lt;&gt;"",E72&lt;&gt;"!!!"),"NEW","")))</f>
        <v/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/>
      </c>
      <c r="H72" s="24" t="str">
        <f t="shared" ca="1" si="9"/>
        <v/>
      </c>
      <c r="I72" s="25" t="str">
        <f>IF(OR(E72="",E72="!!!",F72="NEW"),"",INDEX(B$2:B71,-1+SUMPRODUCT(MAX(ROW(E$2:E71)*(E72=E$2:E71)))))</f>
        <v/>
      </c>
      <c r="J72" s="25" t="str">
        <f ca="1">IF(OR(E72="",E72="!!!",F72="NEW"),"",COUNTBLANK(OFFSET(A$1,,,SUMPRODUCT(MAX(ROW(E$2:E72)*(E72=E$2:E72)))))-COUNTBLANK(OFFSET(A$1,,,SUMPRODUCT(MAX(ROW(E$1:E71)*(E2=E$1:E71))))))</f>
        <v/>
      </c>
      <c r="K72" s="25" t="str">
        <f>IF(OR(E72="",E72="!!!",F72="NEW"),"",INDEX(J$1:J71,SUMPRODUCT(MAX(ROW(E$1:E71)*(E72=E$1:E71)))))</f>
        <v/>
      </c>
      <c r="L72" s="26"/>
    </row>
    <row r="73" spans="1:12" x14ac:dyDescent="0.3">
      <c r="A73" t="s">
        <v>194</v>
      </c>
      <c r="B73" s="20" t="s">
        <v>136</v>
      </c>
      <c r="E73" s="21" t="str">
        <f t="shared" si="8"/>
        <v/>
      </c>
      <c r="F73" s="22" t="str">
        <f>IF(OR(E73="",E73="!!!"),"",IF(NOT(ISNA(VLOOKUP(E73,E$1:E72,1,FALSE()))),"OLD",IF(AND(E73&lt;&gt;"",E73&lt;&gt;"!!!"),"NEW","")))</f>
        <v/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/>
      </c>
      <c r="H73" s="24" t="str">
        <f t="shared" ca="1" si="9"/>
        <v/>
      </c>
      <c r="I73" s="25" t="str">
        <f>IF(OR(E73="",E73="!!!",F73="NEW"),"",INDEX(B$2:B72,-1+SUMPRODUCT(MAX(ROW(E$2:E72)*(E73=E$2:E72)))))</f>
        <v/>
      </c>
      <c r="J73" s="25" t="str">
        <f ca="1">IF(OR(E73="",E73="!!!",F73="NEW"),"",COUNTBLANK(OFFSET(A$1,,,SUMPRODUCT(MAX(ROW(E$2:E73)*(E73=E$2:E73)))))-COUNTBLANK(OFFSET(A$1,,,SUMPRODUCT(MAX(ROW(E$1:E72)*(E2=E$1:E72))))))</f>
        <v/>
      </c>
      <c r="K73" s="25" t="str">
        <f>IF(OR(E73="",E73="!!!",F73="NEW"),"",INDEX(J$1:J72,SUMPRODUCT(MAX(ROW(E$1:E72)*(E73=E$1:E72)))))</f>
        <v/>
      </c>
      <c r="L73" s="26"/>
    </row>
    <row r="74" spans="1:12" x14ac:dyDescent="0.3">
      <c r="A74" t="s">
        <v>134</v>
      </c>
      <c r="E74" s="21" t="str">
        <f t="shared" si="8"/>
        <v/>
      </c>
      <c r="F74" s="22" t="str">
        <f>IF(OR(E74="",E74="!!!"),"",IF(NOT(ISNA(VLOOKUP(E74,E$1:E73,1,FALSE()))),"OLD",IF(AND(E74&lt;&gt;"",E74&lt;&gt;"!!!"),"NEW","")))</f>
        <v/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/>
      </c>
      <c r="H74" s="24" t="str">
        <f t="shared" ca="1" si="9"/>
        <v/>
      </c>
      <c r="I74" s="25" t="str">
        <f>IF(OR(E74="",E74="!!!",F74="NEW"),"",INDEX(B$2:B73,-1+SUMPRODUCT(MAX(ROW(E$2:E73)*(E74=E$2:E73)))))</f>
        <v/>
      </c>
      <c r="J74" s="25" t="str">
        <f ca="1">IF(OR(E74="",E74="!!!",F74="NEW"),"",COUNTBLANK(OFFSET(A$1,,,SUMPRODUCT(MAX(ROW(E$2:E74)*(E74=E$2:E74)))))-COUNTBLANK(OFFSET(A$1,,,SUMPRODUCT(MAX(ROW(E$1:E73)*(E2=E$1:E73))))))</f>
        <v/>
      </c>
      <c r="K74" s="25" t="str">
        <f>IF(OR(E74="",E74="!!!",F74="NEW"),"",INDEX(J$1:J73,SUMPRODUCT(MAX(ROW(E$1:E73)*(E74=E$1:E73)))))</f>
        <v/>
      </c>
      <c r="L74" s="26"/>
    </row>
    <row r="75" spans="1:12" x14ac:dyDescent="0.3">
      <c r="A75" t="s">
        <v>195</v>
      </c>
      <c r="B75" s="20" t="s">
        <v>129</v>
      </c>
      <c r="C75" s="20" t="s">
        <v>137</v>
      </c>
      <c r="D75" s="20" t="s">
        <v>131</v>
      </c>
      <c r="E75" s="21" t="s">
        <v>457</v>
      </c>
      <c r="F75" s="22" t="str">
        <f>IF(OR(E75="",E75="!!!"),"",IF(NOT(ISNA(VLOOKUP(E75,E$1:E74,1,FALSE()))),"OLD",IF(AND(E75&lt;&gt;"",E75&lt;&gt;"!!!"),"NEW","")))</f>
        <v>OLD</v>
      </c>
      <c r="G75" s="23" t="str">
        <f ca="1">IF(OR(E75="",E75="!!!"),"",IF(OR(J75=0,AND(J75=1,K75=1),AND(J75=1,I75="SBJ"),AND(J75=1,I75=0)),"?IN_FOCUS",IF(J75&lt;=2,"?ACTIVATED",IF(J75&lt;&gt;"","?FAMILIAR",IF(F75="NEW",IF(ISNA(VLOOKUP(E75,#REF!,1,FALSE())),"?TYPE_IDENTIFIABLE","?REFERENTIAL"),"_")))))</f>
        <v>?IN_FOCUS</v>
      </c>
      <c r="H75" s="24" t="str">
        <f t="shared" ca="1" si="9"/>
        <v/>
      </c>
      <c r="I75" s="25" t="str">
        <f>IF(OR(E75="",E75="!!!",F75="NEW"),"",INDEX(B$2:B74,-1+SUMPRODUCT(MAX(ROW(E$2:E74)*(E75=E$2:E74)))))</f>
        <v>other_2</v>
      </c>
      <c r="J75" s="25">
        <f ca="1">IF(OR(E75="",E75="!!!",F75="NEW"),"",COUNTBLANK(OFFSET(A$1,,,SUMPRODUCT(MAX(ROW(E$2:E75)*(E75=E$2:E75)))))-COUNTBLANK(OFFSET(A$1,,,SUMPRODUCT(MAX(ROW(E$1:E74)*(E2=E$1:E74))))))</f>
        <v>0</v>
      </c>
      <c r="K75" s="25">
        <f ca="1">IF(OR(E75="",E75="!!!",F75="NEW"),"",INDEX(J$1:J74,SUMPRODUCT(MAX(ROW(E$1:E74)*(E75=E$1:E74)))))</f>
        <v>0</v>
      </c>
      <c r="L75" s="26" t="s">
        <v>459</v>
      </c>
    </row>
    <row r="76" spans="1:12" x14ac:dyDescent="0.3">
      <c r="A76" t="s">
        <v>171</v>
      </c>
      <c r="E76" s="21" t="str">
        <f t="shared" si="8"/>
        <v/>
      </c>
      <c r="F76" s="22" t="str">
        <f>IF(OR(E76="",E76="!!!"),"",IF(NOT(ISNA(VLOOKUP(E76,E$1:E75,1,FALSE()))),"OLD",IF(AND(E76&lt;&gt;"",E76&lt;&gt;"!!!"),"NEW","")))</f>
        <v/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/>
      </c>
      <c r="H76" s="24" t="str">
        <f t="shared" ca="1" si="9"/>
        <v/>
      </c>
      <c r="I76" s="25" t="str">
        <f>IF(OR(E76="",E76="!!!",F76="NEW"),"",INDEX(B$2:B75,-1+SUMPRODUCT(MAX(ROW(E$2:E75)*(E76=E$2:E75)))))</f>
        <v/>
      </c>
      <c r="J76" s="25" t="str">
        <f ca="1">IF(OR(E76="",E76="!!!",F76="NEW"),"",COUNTBLANK(OFFSET(A$1,,,SUMPRODUCT(MAX(ROW(E$2:E76)*(E76=E$2:E76)))))-COUNTBLANK(OFFSET(A$1,,,SUMPRODUCT(MAX(ROW(E$1:E75)*(E2=E$1:E75))))))</f>
        <v/>
      </c>
      <c r="K76" s="25" t="str">
        <f>IF(OR(E76="",E76="!!!",F76="NEW"),"",INDEX(J$1:J75,SUMPRODUCT(MAX(ROW(E$1:E75)*(E76=E$1:E75)))))</f>
        <v/>
      </c>
      <c r="L76" s="26"/>
    </row>
    <row r="77" spans="1:12" x14ac:dyDescent="0.3">
      <c r="A77" t="s">
        <v>196</v>
      </c>
      <c r="E77" s="21" t="str">
        <f t="shared" si="8"/>
        <v/>
      </c>
      <c r="F77" s="22" t="str">
        <f>IF(OR(E77="",E77="!!!"),"",IF(NOT(ISNA(VLOOKUP(E77,E$1:E76,1,FALSE()))),"OLD",IF(AND(E77&lt;&gt;"",E77&lt;&gt;"!!!"),"NEW","")))</f>
        <v/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/>
      </c>
      <c r="H77" s="24" t="str">
        <f t="shared" ca="1" si="9"/>
        <v/>
      </c>
      <c r="I77" s="25" t="str">
        <f>IF(OR(E77="",E77="!!!",F77="NEW"),"",INDEX(B$2:B76,-1+SUMPRODUCT(MAX(ROW(E$2:E76)*(E77=E$2:E76)))))</f>
        <v/>
      </c>
      <c r="J77" s="25" t="str">
        <f ca="1">IF(OR(E77="",E77="!!!",F77="NEW"),"",COUNTBLANK(OFFSET(A$1,,,SUMPRODUCT(MAX(ROW(E$2:E77)*(E77=E$2:E77)))))-COUNTBLANK(OFFSET(A$1,,,SUMPRODUCT(MAX(ROW(E$1:E76)*(E2=E$1:E76))))))</f>
        <v/>
      </c>
      <c r="K77" s="25" t="str">
        <f>IF(OR(E77="",E77="!!!",F77="NEW"),"",INDEX(J$1:J76,SUMPRODUCT(MAX(ROW(E$1:E76)*(E77=E$1:E76)))))</f>
        <v/>
      </c>
      <c r="L77" s="26"/>
    </row>
    <row r="78" spans="1:12" x14ac:dyDescent="0.3">
      <c r="A78" t="s">
        <v>197</v>
      </c>
      <c r="B78" s="20" t="s">
        <v>152</v>
      </c>
      <c r="C78" s="20" t="s">
        <v>141</v>
      </c>
      <c r="E78" s="21" t="str">
        <f t="shared" si="8"/>
        <v/>
      </c>
      <c r="F78" s="22" t="str">
        <f>IF(OR(E78="",E78="!!!"),"",IF(NOT(ISNA(VLOOKUP(E78,E$1:E77,1,FALSE()))),"OLD",IF(AND(E78&lt;&gt;"",E78&lt;&gt;"!!!"),"NEW","")))</f>
        <v/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/>
      </c>
      <c r="H78" s="24" t="str">
        <f t="shared" ca="1" si="9"/>
        <v/>
      </c>
      <c r="I78" s="25" t="str">
        <f>IF(OR(E78="",E78="!!!",F78="NEW"),"",INDEX(B$2:B77,-1+SUMPRODUCT(MAX(ROW(E$2:E77)*(E78=E$2:E77)))))</f>
        <v/>
      </c>
      <c r="J78" s="25" t="str">
        <f ca="1">IF(OR(E78="",E78="!!!",F78="NEW"),"",COUNTBLANK(OFFSET(A$1,,,SUMPRODUCT(MAX(ROW(E$2:E78)*(E78=E$2:E78)))))-COUNTBLANK(OFFSET(A$1,,,SUMPRODUCT(MAX(ROW(E$1:E77)*(E2=E$1:E77))))))</f>
        <v/>
      </c>
      <c r="K78" s="25" t="str">
        <f>IF(OR(E78="",E78="!!!",F78="NEW"),"",INDEX(J$1:J77,SUMPRODUCT(MAX(ROW(E$1:E77)*(E78=E$1:E77)))))</f>
        <v/>
      </c>
      <c r="L78" s="26"/>
    </row>
    <row r="79" spans="1:12" x14ac:dyDescent="0.3">
      <c r="A79" t="s">
        <v>198</v>
      </c>
      <c r="E79" s="21" t="str">
        <f t="shared" si="8"/>
        <v/>
      </c>
      <c r="F79" s="22" t="str">
        <f>IF(OR(E79="",E79="!!!"),"",IF(NOT(ISNA(VLOOKUP(E79,E$1:E78,1,FALSE()))),"OLD",IF(AND(E79&lt;&gt;"",E79&lt;&gt;"!!!"),"NEW","")))</f>
        <v/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/>
      </c>
      <c r="H79" s="24" t="str">
        <f t="shared" ca="1" si="9"/>
        <v/>
      </c>
      <c r="I79" s="25" t="str">
        <f>IF(OR(E79="",E79="!!!",F79="NEW"),"",INDEX(B$2:B78,-1+SUMPRODUCT(MAX(ROW(E$2:E78)*(E79=E$2:E78)))))</f>
        <v/>
      </c>
      <c r="J79" s="25" t="str">
        <f ca="1">IF(OR(E79="",E79="!!!",F79="NEW"),"",COUNTBLANK(OFFSET(A$1,,,SUMPRODUCT(MAX(ROW(E$2:E79)*(E79=E$2:E79)))))-COUNTBLANK(OFFSET(A$1,,,SUMPRODUCT(MAX(ROW(E$1:E78)*(E2=E$1:E78))))))</f>
        <v/>
      </c>
      <c r="K79" s="25" t="str">
        <f>IF(OR(E79="",E79="!!!",F79="NEW"),"",INDEX(J$1:J78,SUMPRODUCT(MAX(ROW(E$1:E78)*(E79=E$1:E78)))))</f>
        <v/>
      </c>
      <c r="L79" s="26"/>
    </row>
    <row r="80" spans="1:12" x14ac:dyDescent="0.3">
      <c r="A80" t="s">
        <v>199</v>
      </c>
      <c r="B80" s="20" t="s">
        <v>200</v>
      </c>
      <c r="C80" s="20" t="s">
        <v>201</v>
      </c>
      <c r="D80" s="20" t="s">
        <v>131</v>
      </c>
      <c r="E80" s="21" t="s">
        <v>457</v>
      </c>
      <c r="F80" s="22" t="str">
        <f>IF(OR(E80="",E80="!!!"),"",IF(NOT(ISNA(VLOOKUP(E80,E$1:E79,1,FALSE()))),"OLD",IF(AND(E80&lt;&gt;"",E80&lt;&gt;"!!!"),"NEW","")))</f>
        <v>OLD</v>
      </c>
      <c r="G80" s="23" t="str">
        <f ca="1">IF(OR(E80="",E80="!!!"),"",IF(OR(J80=0,AND(J80=1,K80=1),AND(J80=1,I80="SBJ"),AND(J80=1,I80=0)),"?IN_FOCUS",IF(J80&lt;=2,"?ACTIVATED",IF(J80&lt;&gt;"","?FAMILIAR",IF(F80="NEW",IF(ISNA(VLOOKUP(E80,#REF!,1,FALSE())),"?TYPE_IDENTIFIABLE","?REFERENTIAL"),"_")))))</f>
        <v>?IN_FOCUS</v>
      </c>
      <c r="H80" s="24" t="str">
        <f t="shared" ca="1" si="9"/>
        <v/>
      </c>
      <c r="I80" s="25" t="str">
        <f>IF(OR(E80="",E80="!!!",F80="NEW"),"",INDEX(B$2:B79,-1+SUMPRODUCT(MAX(ROW(E$2:E79)*(E80=E$2:E79)))))</f>
        <v>SBJ</v>
      </c>
      <c r="J80" s="25">
        <f ca="1">IF(OR(E80="",E80="!!!",F80="NEW"),"",COUNTBLANK(OFFSET(A$1,,,SUMPRODUCT(MAX(ROW(E$2:E80)*(E80=E$2:E80)))))-COUNTBLANK(OFFSET(A$1,,,SUMPRODUCT(MAX(ROW(E$1:E79)*(E2=E$1:E79))))))</f>
        <v>0</v>
      </c>
      <c r="K80" s="25">
        <f ca="1">IF(OR(E80="",E80="!!!",F80="NEW"),"",INDEX(J$1:J79,SUMPRODUCT(MAX(ROW(E$1:E79)*(E80=E$1:E79)))))</f>
        <v>0</v>
      </c>
      <c r="L80" s="26"/>
    </row>
    <row r="81" spans="1:12" x14ac:dyDescent="0.3">
      <c r="A81" t="s">
        <v>202</v>
      </c>
      <c r="E81" s="21" t="str">
        <f t="shared" si="8"/>
        <v/>
      </c>
      <c r="F81" s="22" t="str">
        <f>IF(OR(E81="",E81="!!!"),"",IF(NOT(ISNA(VLOOKUP(E81,E$1:E80,1,FALSE()))),"OLD",IF(AND(E81&lt;&gt;"",E81&lt;&gt;"!!!"),"NEW","")))</f>
        <v/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/>
      </c>
      <c r="H81" s="24" t="str">
        <f t="shared" ca="1" si="9"/>
        <v/>
      </c>
      <c r="I81" s="25" t="str">
        <f>IF(OR(E81="",E81="!!!",F81="NEW"),"",INDEX(B$2:B80,-1+SUMPRODUCT(MAX(ROW(E$2:E80)*(E81=E$2:E80)))))</f>
        <v/>
      </c>
      <c r="J81" s="25" t="str">
        <f ca="1">IF(OR(E81="",E81="!!!",F81="NEW"),"",COUNTBLANK(OFFSET(A$1,,,SUMPRODUCT(MAX(ROW(E$2:E81)*(E81=E$2:E81)))))-COUNTBLANK(OFFSET(A$1,,,SUMPRODUCT(MAX(ROW(E$1:E80)*(E2=E$1:E80))))))</f>
        <v/>
      </c>
      <c r="K81" s="25" t="str">
        <f>IF(OR(E81="",E81="!!!",F81="NEW"),"",INDEX(J$1:J80,SUMPRODUCT(MAX(ROW(E$1:E80)*(E81=E$1:E80)))))</f>
        <v/>
      </c>
      <c r="L81" s="26"/>
    </row>
    <row r="82" spans="1:12" x14ac:dyDescent="0.3">
      <c r="A82" t="s">
        <v>156</v>
      </c>
      <c r="E82" s="21" t="str">
        <f t="shared" si="8"/>
        <v/>
      </c>
      <c r="F82" s="22" t="str">
        <f>IF(OR(E82="",E82="!!!"),"",IF(NOT(ISNA(VLOOKUP(E82,E$1:E81,1,FALSE()))),"OLD",IF(AND(E82&lt;&gt;"",E82&lt;&gt;"!!!"),"NEW","")))</f>
        <v/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/>
      </c>
      <c r="H82" s="24" t="str">
        <f t="shared" ca="1" si="9"/>
        <v/>
      </c>
      <c r="I82" s="25" t="str">
        <f>IF(OR(E82="",E82="!!!",F82="NEW"),"",INDEX(B$2:B81,-1+SUMPRODUCT(MAX(ROW(E$2:E81)*(E82=E$2:E81)))))</f>
        <v/>
      </c>
      <c r="J82" s="25" t="str">
        <f ca="1">IF(OR(E82="",E82="!!!",F82="NEW"),"",COUNTBLANK(OFFSET(A$1,,,SUMPRODUCT(MAX(ROW(E$2:E82)*(E82=E$2:E82)))))-COUNTBLANK(OFFSET(A$1,,,SUMPRODUCT(MAX(ROW(E$1:E81)*(E2=E$1:E81))))))</f>
        <v/>
      </c>
      <c r="K82" s="25" t="str">
        <f>IF(OR(E82="",E82="!!!",F82="NEW"),"",INDEX(J$1:J81,SUMPRODUCT(MAX(ROW(E$1:E81)*(E82=E$1:E81)))))</f>
        <v/>
      </c>
      <c r="L82" s="26"/>
    </row>
    <row r="83" spans="1:12" x14ac:dyDescent="0.3">
      <c r="A83" t="s">
        <v>143</v>
      </c>
      <c r="E83" s="21" t="str">
        <f t="shared" si="8"/>
        <v/>
      </c>
      <c r="F83" s="22" t="str">
        <f>IF(OR(E83="",E83="!!!"),"",IF(NOT(ISNA(VLOOKUP(E83,E$1:E82,1,FALSE()))),"OLD",IF(AND(E83&lt;&gt;"",E83&lt;&gt;"!!!"),"NEW","")))</f>
        <v/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/>
      </c>
      <c r="H83" s="24" t="str">
        <f t="shared" ca="1" si="9"/>
        <v/>
      </c>
      <c r="I83" s="25" t="str">
        <f>IF(OR(E83="",E83="!!!",F83="NEW"),"",INDEX(B$2:B82,-1+SUMPRODUCT(MAX(ROW(E$2:E82)*(E83=E$2:E82)))))</f>
        <v/>
      </c>
      <c r="J83" s="25" t="str">
        <f ca="1">IF(OR(E83="",E83="!!!",F83="NEW"),"",COUNTBLANK(OFFSET(A$1,,,SUMPRODUCT(MAX(ROW(E$2:E83)*(E83=E$2:E83)))))-COUNTBLANK(OFFSET(A$1,,,SUMPRODUCT(MAX(ROW(E$1:E82)*(E2=E$1:E82))))))</f>
        <v/>
      </c>
      <c r="K83" s="25" t="str">
        <f>IF(OR(E83="",E83="!!!",F83="NEW"),"",INDEX(J$1:J82,SUMPRODUCT(MAX(ROW(E$1:E82)*(E83=E$1:E82)))))</f>
        <v/>
      </c>
      <c r="L83" s="26"/>
    </row>
    <row r="84" spans="1:12" x14ac:dyDescent="0.3">
      <c r="A84" t="s">
        <v>203</v>
      </c>
      <c r="E84" s="21" t="str">
        <f t="shared" si="8"/>
        <v/>
      </c>
      <c r="F84" s="22" t="str">
        <f>IF(OR(E84="",E84="!!!"),"",IF(NOT(ISNA(VLOOKUP(E84,E$1:E83,1,FALSE()))),"OLD",IF(AND(E84&lt;&gt;"",E84&lt;&gt;"!!!"),"NEW","")))</f>
        <v/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/>
      </c>
      <c r="H84" s="24" t="str">
        <f t="shared" ca="1" si="9"/>
        <v/>
      </c>
      <c r="I84" s="25" t="str">
        <f>IF(OR(E84="",E84="!!!",F84="NEW"),"",INDEX(B$2:B83,-1+SUMPRODUCT(MAX(ROW(E$2:E83)*(E84=E$2:E83)))))</f>
        <v/>
      </c>
      <c r="J84" s="25" t="str">
        <f ca="1">IF(OR(E84="",E84="!!!",F84="NEW"),"",COUNTBLANK(OFFSET(A$1,,,SUMPRODUCT(MAX(ROW(E$2:E84)*(E84=E$2:E84)))))-COUNTBLANK(OFFSET(A$1,,,SUMPRODUCT(MAX(ROW(E$1:E83)*(E2=E$1:E83))))))</f>
        <v/>
      </c>
      <c r="K84" s="25" t="str">
        <f>IF(OR(E84="",E84="!!!",F84="NEW"),"",INDEX(J$1:J83,SUMPRODUCT(MAX(ROW(E$1:E83)*(E84=E$1:E83)))))</f>
        <v/>
      </c>
      <c r="L84" s="26"/>
    </row>
    <row r="85" spans="1:12" x14ac:dyDescent="0.3">
      <c r="A85" t="s">
        <v>204</v>
      </c>
      <c r="B85" s="20" t="s">
        <v>145</v>
      </c>
      <c r="C85" s="20" t="s">
        <v>137</v>
      </c>
      <c r="D85" s="20" t="s">
        <v>131</v>
      </c>
      <c r="E85" s="21" t="s">
        <v>483</v>
      </c>
      <c r="F85" s="22" t="s">
        <v>426</v>
      </c>
      <c r="G85" s="23" t="e">
        <f ca="1">IF(OR(E85="",E85="!!!"),"",IF(OR(J85=0,AND(J85=1,K85=1),AND(J85=1,I85="SBJ"),AND(J85=1,I85=0)),"?IN_FOCUS",IF(J85&lt;=2,"?ACTIVATED",IF(J85&lt;&gt;"","?FAMILIAR",IF(F85="NEW",IF(ISNA(VLOOKUP(E85,#REF!,1,FALSE())),"?TYPE_IDENTIFIABLE","?REFERENTIAL"),"_")))))</f>
        <v>#VALUE!</v>
      </c>
      <c r="H85" s="24" t="str">
        <f t="shared" ca="1" si="9"/>
        <v/>
      </c>
      <c r="I85" s="25" t="e">
        <f>IF(OR(E85="",E85="!!!",F85="NEW"),"",INDEX(B$2:B84,-1+SUMPRODUCT(MAX(ROW(E$2:E84)*(E85=E$2:E84)))))</f>
        <v>#VALUE!</v>
      </c>
      <c r="J85" s="25">
        <f ca="1">IF(OR(E85="",E85="!!!",F85="NEW"),"",COUNTBLANK(OFFSET(A$1,,,SUMPRODUCT(MAX(ROW(E$2:E85)*(E85=E$2:E85)))))-COUNTBLANK(OFFSET(A$1,,,SUMPRODUCT(MAX(ROW(E$1:E84)*(E2=E$1:E84))))))</f>
        <v>0</v>
      </c>
      <c r="K85" s="25" t="e">
        <f>IF(OR(E85="",E85="!!!",F85="NEW"),"",INDEX(J$1:J84,SUMPRODUCT(MAX(ROW(E$1:E84)*(E85=E$1:E84)))))</f>
        <v>#VALUE!</v>
      </c>
      <c r="L85" s="26" t="s">
        <v>484</v>
      </c>
    </row>
    <row r="86" spans="1:12" x14ac:dyDescent="0.3">
      <c r="A86" t="s">
        <v>205</v>
      </c>
      <c r="E86" s="21" t="str">
        <f t="shared" si="8"/>
        <v/>
      </c>
      <c r="F86" s="22" t="str">
        <f>IF(OR(E86="",E86="!!!"),"",IF(NOT(ISNA(VLOOKUP(E86,E$1:E85,1,FALSE()))),"OLD",IF(AND(E86&lt;&gt;"",E86&lt;&gt;"!!!"),"NEW","")))</f>
        <v/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/>
      </c>
      <c r="H86" s="24" t="str">
        <f t="shared" ca="1" si="9"/>
        <v/>
      </c>
      <c r="I86" s="25" t="str">
        <f>IF(OR(E86="",E86="!!!",F86="NEW"),"",INDEX(B$2:B85,-1+SUMPRODUCT(MAX(ROW(E$2:E85)*(E86=E$2:E85)))))</f>
        <v/>
      </c>
      <c r="J86" s="25" t="str">
        <f ca="1">IF(OR(E86="",E86="!!!",F86="NEW"),"",COUNTBLANK(OFFSET(A$1,,,SUMPRODUCT(MAX(ROW(E$2:E86)*(E86=E$2:E86)))))-COUNTBLANK(OFFSET(A$1,,,SUMPRODUCT(MAX(ROW(E$1:E85)*(E2=E$1:E85))))))</f>
        <v/>
      </c>
      <c r="K86" s="25" t="str">
        <f>IF(OR(E86="",E86="!!!",F86="NEW"),"",INDEX(J$1:J85,SUMPRODUCT(MAX(ROW(E$1:E85)*(E86=E$1:E85)))))</f>
        <v/>
      </c>
      <c r="L86" s="26"/>
    </row>
    <row r="87" spans="1:12" x14ac:dyDescent="0.3">
      <c r="A87" t="s">
        <v>206</v>
      </c>
      <c r="B87" s="20" t="s">
        <v>158</v>
      </c>
      <c r="C87" s="20" t="s">
        <v>207</v>
      </c>
      <c r="E87" s="21" t="str">
        <f t="shared" si="8"/>
        <v/>
      </c>
      <c r="F87" s="22" t="str">
        <f>IF(OR(E87="",E87="!!!"),"",IF(NOT(ISNA(VLOOKUP(E87,E$1:E86,1,FALSE()))),"OLD",IF(AND(E87&lt;&gt;"",E87&lt;&gt;"!!!"),"NEW","")))</f>
        <v/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/>
      </c>
      <c r="H87" s="24" t="str">
        <f t="shared" ca="1" si="9"/>
        <v/>
      </c>
      <c r="I87" s="25" t="str">
        <f>IF(OR(E87="",E87="!!!",F87="NEW"),"",INDEX(B$2:B86,-1+SUMPRODUCT(MAX(ROW(E$2:E86)*(E87=E$2:E86)))))</f>
        <v/>
      </c>
      <c r="J87" s="25" t="str">
        <f ca="1">IF(OR(E87="",E87="!!!",F87="NEW"),"",COUNTBLANK(OFFSET(A$1,,,SUMPRODUCT(MAX(ROW(E$2:E87)*(E87=E$2:E87)))))-COUNTBLANK(OFFSET(A$1,,,SUMPRODUCT(MAX(ROW(E$1:E86)*(E2=E$1:E86))))))</f>
        <v/>
      </c>
      <c r="K87" s="25" t="str">
        <f>IF(OR(E87="",E87="!!!",F87="NEW"),"",INDEX(J$1:J86,SUMPRODUCT(MAX(ROW(E$1:E86)*(E87=E$1:E86)))))</f>
        <v/>
      </c>
      <c r="L87" s="26"/>
    </row>
    <row r="88" spans="1:12" x14ac:dyDescent="0.3">
      <c r="A88" t="s">
        <v>208</v>
      </c>
      <c r="B88" s="20" t="s">
        <v>209</v>
      </c>
      <c r="C88" s="20" t="s">
        <v>163</v>
      </c>
      <c r="E88" s="21" t="str">
        <f t="shared" si="8"/>
        <v/>
      </c>
      <c r="F88" s="22" t="str">
        <f>IF(OR(E88="",E88="!!!"),"",IF(NOT(ISNA(VLOOKUP(E88,E$1:E87,1,FALSE()))),"OLD",IF(AND(E88&lt;&gt;"",E88&lt;&gt;"!!!"),"NEW","")))</f>
        <v/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/>
      </c>
      <c r="H88" s="24" t="str">
        <f t="shared" ca="1" si="9"/>
        <v/>
      </c>
      <c r="I88" s="25" t="str">
        <f>IF(OR(E88="",E88="!!!",F88="NEW"),"",INDEX(B$2:B87,-1+SUMPRODUCT(MAX(ROW(E$2:E87)*(E88=E$2:E87)))))</f>
        <v/>
      </c>
      <c r="J88" s="25" t="str">
        <f ca="1">IF(OR(E88="",E88="!!!",F88="NEW"),"",COUNTBLANK(OFFSET(A$1,,,SUMPRODUCT(MAX(ROW(E$2:E88)*(E88=E$2:E88)))))-COUNTBLANK(OFFSET(A$1,,,SUMPRODUCT(MAX(ROW(E$1:E87)*(E2=E$1:E87))))))</f>
        <v/>
      </c>
      <c r="K88" s="25" t="str">
        <f>IF(OR(E88="",E88="!!!",F88="NEW"),"",INDEX(J$1:J87,SUMPRODUCT(MAX(ROW(E$1:E87)*(E88=E$1:E87)))))</f>
        <v/>
      </c>
      <c r="L88" s="26"/>
    </row>
    <row r="89" spans="1:12" x14ac:dyDescent="0.3">
      <c r="A89" t="s">
        <v>175</v>
      </c>
      <c r="E89" s="21" t="str">
        <f t="shared" si="8"/>
        <v/>
      </c>
      <c r="F89" s="22" t="str">
        <f>IF(OR(E89="",E89="!!!"),"",IF(NOT(ISNA(VLOOKUP(E89,E$1:E88,1,FALSE()))),"OLD",IF(AND(E89&lt;&gt;"",E89&lt;&gt;"!!!"),"NEW","")))</f>
        <v/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/>
      </c>
      <c r="H89" s="24" t="str">
        <f t="shared" ca="1" si="9"/>
        <v/>
      </c>
      <c r="I89" s="25" t="str">
        <f>IF(OR(E89="",E89="!!!",F89="NEW"),"",INDEX(B$2:B88,-1+SUMPRODUCT(MAX(ROW(E$2:E88)*(E89=E$2:E88)))))</f>
        <v/>
      </c>
      <c r="J89" s="25" t="str">
        <f ca="1">IF(OR(E89="",E89="!!!",F89="NEW"),"",COUNTBLANK(OFFSET(A$1,,,SUMPRODUCT(MAX(ROW(E$2:E89)*(E89=E$2:E89)))))-COUNTBLANK(OFFSET(A$1,,,SUMPRODUCT(MAX(ROW(E$1:E88)*(E2=E$1:E88))))))</f>
        <v/>
      </c>
      <c r="K89" s="25" t="str">
        <f>IF(OR(E89="",E89="!!!",F89="NEW"),"",INDEX(J$1:J88,SUMPRODUCT(MAX(ROW(E$1:E88)*(E89=E$1:E88)))))</f>
        <v/>
      </c>
      <c r="L89" s="26"/>
    </row>
    <row r="90" spans="1:12" x14ac:dyDescent="0.3">
      <c r="A90" t="s">
        <v>210</v>
      </c>
      <c r="B90" s="20" t="s">
        <v>211</v>
      </c>
      <c r="C90" s="20" t="s">
        <v>137</v>
      </c>
      <c r="D90" s="20" t="s">
        <v>131</v>
      </c>
      <c r="E90" s="21" t="s">
        <v>482</v>
      </c>
      <c r="F90" s="22" t="str">
        <f>IF(OR(E90="",E90="!!!"),"",IF(NOT(ISNA(VLOOKUP(E90,E$1:E89,1,FALSE()))),"OLD",IF(AND(E90&lt;&gt;"",E90&lt;&gt;"!!!"),"NEW","")))</f>
        <v>NEW</v>
      </c>
      <c r="G90" s="23" t="str">
        <f ca="1">IF(OR(E90="",E90="!!!"),"",IF(OR(J90=0,AND(J90=1,K90=1),AND(J90=1,I90="SBJ"),AND(J90=1,I90=0)),"?IN_FOCUS",IF(J90&lt;=2,"?ACTIVATED",IF(J90&lt;&gt;"","?FAMILIAR",IF(F90="NEW",IF(ISNA(VLOOKUP(E90,#REF!,1,FALSE())),"?TYPE_IDENTIFIABLE","?REFERENTIAL"),"_")))))</f>
        <v>?REFERENTIAL</v>
      </c>
      <c r="H90" s="24" t="str">
        <f t="shared" ca="1" si="9"/>
        <v/>
      </c>
      <c r="I90" s="25" t="str">
        <f>IF(OR(E90="",E90="!!!",F90="NEW"),"",INDEX(B$2:B89,-1+SUMPRODUCT(MAX(ROW(E$2:E89)*(E90=E$2:E89)))))</f>
        <v/>
      </c>
      <c r="J90" s="25" t="str">
        <f ca="1">IF(OR(E90="",E90="!!!",F90="NEW"),"",COUNTBLANK(OFFSET(A$1,,,SUMPRODUCT(MAX(ROW(E$2:E90)*(E90=E$2:E90)))))-COUNTBLANK(OFFSET(A$1,,,SUMPRODUCT(MAX(ROW(E$1:E89)*(E2=E$1:E89))))))</f>
        <v/>
      </c>
      <c r="K90" s="25" t="str">
        <f>IF(OR(E90="",E90="!!!",F90="NEW"),"",INDEX(J$1:J89,SUMPRODUCT(MAX(ROW(E$1:E89)*(E90=E$1:E89)))))</f>
        <v/>
      </c>
      <c r="L90" s="26"/>
    </row>
    <row r="91" spans="1:12" x14ac:dyDescent="0.3">
      <c r="A91" t="s">
        <v>148</v>
      </c>
      <c r="E91" s="21" t="str">
        <f t="shared" si="8"/>
        <v/>
      </c>
      <c r="F91" s="22" t="str">
        <f>IF(OR(E91="",E91="!!!"),"",IF(NOT(ISNA(VLOOKUP(E91,E$1:E90,1,FALSE()))),"OLD",IF(AND(E91&lt;&gt;"",E91&lt;&gt;"!!!"),"NEW","")))</f>
        <v/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/>
      </c>
      <c r="H91" s="24" t="str">
        <f t="shared" ca="1" si="9"/>
        <v/>
      </c>
      <c r="I91" s="25" t="str">
        <f>IF(OR(E91="",E91="!!!",F91="NEW"),"",INDEX(B$2:B90,-1+SUMPRODUCT(MAX(ROW(E$2:E90)*(E91=E$2:E90)))))</f>
        <v/>
      </c>
      <c r="J91" s="25" t="str">
        <f ca="1">IF(OR(E91="",E91="!!!",F91="NEW"),"",COUNTBLANK(OFFSET(A$1,,,SUMPRODUCT(MAX(ROW(E$2:E91)*(E91=E$2:E91)))))-COUNTBLANK(OFFSET(A$1,,,SUMPRODUCT(MAX(ROW(E$1:E90)*(E2=E$1:E90))))))</f>
        <v/>
      </c>
      <c r="K91" s="25" t="str">
        <f>IF(OR(E91="",E91="!!!",F91="NEW"),"",INDEX(J$1:J90,SUMPRODUCT(MAX(ROW(E$1:E90)*(E91=E$1:E90)))))</f>
        <v/>
      </c>
      <c r="L91" s="26"/>
    </row>
    <row r="93" spans="1:12" x14ac:dyDescent="0.3">
      <c r="A93" t="s">
        <v>212</v>
      </c>
    </row>
    <row r="94" spans="1:12" x14ac:dyDescent="0.3">
      <c r="A94" t="s">
        <v>213</v>
      </c>
      <c r="E94" s="21" t="str">
        <f t="shared" ref="E94:E104" si="10">IF(D94="?OLD","!!!","")</f>
        <v/>
      </c>
      <c r="F94" s="22" t="str">
        <f>IF(OR(E94="",E94="!!!"),"",IF(NOT(ISNA(VLOOKUP(E94,E$1:E93,1,FALSE()))),"OLD",IF(AND(E94&lt;&gt;"",E94&lt;&gt;"!!!"),"NEW","")))</f>
        <v/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/>
      </c>
      <c r="H94" s="24" t="str">
        <f t="shared" ref="H94:H104" ca="1" si="11">IF(J94&lt;&gt;1,"",IF(I94="SBJ","CB","?"))</f>
        <v/>
      </c>
      <c r="I94" s="25" t="str">
        <f>IF(OR(E94="",E94="!!!",F94="NEW"),"",INDEX(B$2:B93,-1+SUMPRODUCT(MAX(ROW(E$2:E93)*(E94=E$2:E93)))))</f>
        <v/>
      </c>
      <c r="J94" s="25" t="str">
        <f ca="1">IF(OR(E94="",E94="!!!",F94="NEW"),"",COUNTBLANK(OFFSET(A$1,,,SUMPRODUCT(MAX(ROW(E$2:E94)*(E94=E$2:E94)))))-COUNTBLANK(OFFSET(A$1,,,SUMPRODUCT(MAX(ROW(E$1:E93)*(E2=E$1:E93))))))</f>
        <v/>
      </c>
      <c r="K94" s="25" t="str">
        <f>IF(OR(E94="",E94="!!!",F94="NEW"),"",INDEX(J$1:J93,SUMPRODUCT(MAX(ROW(E$1:E93)*(E94=E$1:E93)))))</f>
        <v/>
      </c>
      <c r="L94" s="26"/>
    </row>
    <row r="95" spans="1:12" x14ac:dyDescent="0.3">
      <c r="A95" t="s">
        <v>33</v>
      </c>
      <c r="B95" s="20" t="s">
        <v>152</v>
      </c>
      <c r="C95" s="20" t="s">
        <v>155</v>
      </c>
      <c r="E95" s="21" t="str">
        <f t="shared" si="10"/>
        <v/>
      </c>
      <c r="F95" s="22" t="str">
        <f>IF(OR(E95="",E95="!!!"),"",IF(NOT(ISNA(VLOOKUP(E95,E$1:E94,1,FALSE()))),"OLD",IF(AND(E95&lt;&gt;"",E95&lt;&gt;"!!!"),"NEW","")))</f>
        <v/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/>
      </c>
      <c r="H95" s="24" t="str">
        <f t="shared" ca="1" si="11"/>
        <v/>
      </c>
      <c r="I95" s="25" t="str">
        <f>IF(OR(E95="",E95="!!!",F95="NEW"),"",INDEX(B$2:B94,-1+SUMPRODUCT(MAX(ROW(E$2:E94)*(E95=E$2:E94)))))</f>
        <v/>
      </c>
      <c r="J95" s="25" t="str">
        <f ca="1">IF(OR(E95="",E95="!!!",F95="NEW"),"",COUNTBLANK(OFFSET(A$1,,,SUMPRODUCT(MAX(ROW(E$2:E95)*(E95=E$2:E95)))))-COUNTBLANK(OFFSET(A$1,,,SUMPRODUCT(MAX(ROW(E$1:E94)*(E2=E$1:E94))))))</f>
        <v/>
      </c>
      <c r="K95" s="25" t="str">
        <f>IF(OR(E95="",E95="!!!",F95="NEW"),"",INDEX(J$1:J94,SUMPRODUCT(MAX(ROW(E$1:E94)*(E95=E$1:E94)))))</f>
        <v/>
      </c>
      <c r="L95" s="26"/>
    </row>
    <row r="96" spans="1:12" x14ac:dyDescent="0.3">
      <c r="A96" t="s">
        <v>214</v>
      </c>
      <c r="E96" s="21" t="str">
        <f t="shared" si="10"/>
        <v/>
      </c>
      <c r="F96" s="22" t="str">
        <f>IF(OR(E96="",E96="!!!"),"",IF(NOT(ISNA(VLOOKUP(E96,E$1:E95,1,FALSE()))),"OLD",IF(AND(E96&lt;&gt;"",E96&lt;&gt;"!!!"),"NEW","")))</f>
        <v/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/>
      </c>
      <c r="H96" s="24" t="str">
        <f t="shared" ca="1" si="11"/>
        <v/>
      </c>
      <c r="I96" s="25" t="str">
        <f>IF(OR(E96="",E96="!!!",F96="NEW"),"",INDEX(B$2:B95,-1+SUMPRODUCT(MAX(ROW(E$2:E95)*(E96=E$2:E95)))))</f>
        <v/>
      </c>
      <c r="J96" s="25" t="str">
        <f ca="1">IF(OR(E96="",E96="!!!",F96="NEW"),"",COUNTBLANK(OFFSET(A$1,,,SUMPRODUCT(MAX(ROW(E$2:E96)*(E96=E$2:E96)))))-COUNTBLANK(OFFSET(A$1,,,SUMPRODUCT(MAX(ROW(E$1:E95)*(E2=E$1:E95))))))</f>
        <v/>
      </c>
      <c r="K96" s="25" t="str">
        <f>IF(OR(E96="",E96="!!!",F96="NEW"),"",INDEX(J$1:J95,SUMPRODUCT(MAX(ROW(E$1:E95)*(E96=E$1:E95)))))</f>
        <v/>
      </c>
      <c r="L96" s="26"/>
    </row>
    <row r="97" spans="1:12" x14ac:dyDescent="0.3">
      <c r="A97" t="s">
        <v>215</v>
      </c>
      <c r="B97" s="20" t="s">
        <v>145</v>
      </c>
      <c r="C97" s="20" t="s">
        <v>216</v>
      </c>
      <c r="D97" s="20" t="s">
        <v>131</v>
      </c>
      <c r="E97" s="21"/>
      <c r="F97" s="22" t="str">
        <f>IF(OR(E97="",E97="!!!"),"",IF(NOT(ISNA(VLOOKUP(E97,E$1:E96,1,FALSE()))),"OLD",IF(AND(E97&lt;&gt;"",E97&lt;&gt;"!!!"),"NEW","")))</f>
        <v/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/>
      </c>
      <c r="H97" s="24" t="str">
        <f t="shared" ca="1" si="11"/>
        <v/>
      </c>
      <c r="I97" s="25" t="str">
        <f>IF(OR(E97="",E97="!!!",F97="NEW"),"",INDEX(B$2:B96,-1+SUMPRODUCT(MAX(ROW(E$2:E96)*(E97=E$2:E96)))))</f>
        <v/>
      </c>
      <c r="J97" s="25" t="str">
        <f ca="1">IF(OR(E97="",E97="!!!",F97="NEW"),"",COUNTBLANK(OFFSET(A$1,,,SUMPRODUCT(MAX(ROW(E$2:E97)*(E97=E$2:E97)))))-COUNTBLANK(OFFSET(A$1,,,SUMPRODUCT(MAX(ROW(E$1:E96)*(E2=E$1:E96))))))</f>
        <v/>
      </c>
      <c r="K97" s="25" t="str">
        <f>IF(OR(E97="",E97="!!!",F97="NEW"),"",INDEX(J$1:J96,SUMPRODUCT(MAX(ROW(E$1:E96)*(E97=E$1:E96)))))</f>
        <v/>
      </c>
      <c r="L97" s="26" t="s">
        <v>454</v>
      </c>
    </row>
    <row r="98" spans="1:12" x14ac:dyDescent="0.3">
      <c r="A98" t="s">
        <v>217</v>
      </c>
      <c r="B98" s="20" t="s">
        <v>152</v>
      </c>
      <c r="C98" s="20" t="s">
        <v>218</v>
      </c>
      <c r="D98" s="20" t="s">
        <v>131</v>
      </c>
      <c r="E98" s="21" t="s">
        <v>483</v>
      </c>
      <c r="F98" s="22" t="str">
        <f>IF(OR(E98="",E98="!!!"),"",IF(NOT(ISNA(VLOOKUP(E98,E$1:E97,1,FALSE()))),"OLD",IF(AND(E98&lt;&gt;"",E98&lt;&gt;"!!!"),"NEW","")))</f>
        <v>OLD</v>
      </c>
      <c r="G98" s="23" t="str">
        <f ca="1">IF(OR(E98="",E98="!!!"),"",IF(OR(J98=0,AND(J98=1,K98=1),AND(J98=1,I98="SBJ"),AND(J98=1,I98=0)),"?IN_FOCUS",IF(J98&lt;=2,"?ACTIVATED",IF(J98&lt;&gt;"","?FAMILIAR",IF(F98="NEW",IF(ISNA(VLOOKUP(E98,#REF!,1,FALSE())),"?TYPE_IDENTIFIABLE","?REFERENTIAL"),"_")))))</f>
        <v>?IN_FOCUS</v>
      </c>
      <c r="H98" s="24" t="str">
        <f t="shared" ca="1" si="11"/>
        <v/>
      </c>
      <c r="I98" s="25" t="str">
        <f>IF(OR(E98="",E98="!!!",F98="NEW"),"",INDEX(B$2:B97,-1+SUMPRODUCT(MAX(ROW(E$2:E97)*(E98=E$2:E97)))))</f>
        <v>other_2</v>
      </c>
      <c r="J98" s="25">
        <f ca="1">IF(OR(E98="",E98="!!!",F98="NEW"),"",COUNTBLANK(OFFSET(A$1,,,SUMPRODUCT(MAX(ROW(E$2:E98)*(E98=E$2:E98)))))-COUNTBLANK(OFFSET(A$1,,,SUMPRODUCT(MAX(ROW(E$1:E97)*(E2=E$1:E97))))))</f>
        <v>0</v>
      </c>
      <c r="K98" s="25">
        <f ca="1">IF(OR(E98="",E98="!!!",F98="NEW"),"",INDEX(J$1:J97,SUMPRODUCT(MAX(ROW(E$1:E97)*(E98=E$1:E97)))))</f>
        <v>0</v>
      </c>
      <c r="L98" s="26"/>
    </row>
    <row r="99" spans="1:12" x14ac:dyDescent="0.3">
      <c r="A99" t="s">
        <v>198</v>
      </c>
      <c r="E99" s="21" t="str">
        <f t="shared" si="10"/>
        <v/>
      </c>
      <c r="F99" s="22" t="str">
        <f>IF(OR(E99="",E99="!!!"),"",IF(NOT(ISNA(VLOOKUP(E99,E$1:E98,1,FALSE()))),"OLD",IF(AND(E99&lt;&gt;"",E99&lt;&gt;"!!!"),"NEW","")))</f>
        <v/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/>
      </c>
      <c r="H99" s="24" t="str">
        <f t="shared" ca="1" si="11"/>
        <v/>
      </c>
      <c r="I99" s="25" t="str">
        <f>IF(OR(E99="",E99="!!!",F99="NEW"),"",INDEX(B$2:B98,-1+SUMPRODUCT(MAX(ROW(E$2:E98)*(E99=E$2:E98)))))</f>
        <v/>
      </c>
      <c r="J99" s="25" t="str">
        <f ca="1">IF(OR(E99="",E99="!!!",F99="NEW"),"",COUNTBLANK(OFFSET(A$1,,,SUMPRODUCT(MAX(ROW(E$2:E99)*(E99=E$2:E99)))))-COUNTBLANK(OFFSET(A$1,,,SUMPRODUCT(MAX(ROW(E$1:E98)*(E2=E$1:E98))))))</f>
        <v/>
      </c>
      <c r="K99" s="25" t="str">
        <f>IF(OR(E99="",E99="!!!",F99="NEW"),"",INDEX(J$1:J98,SUMPRODUCT(MAX(ROW(E$1:E98)*(E99=E$1:E98)))))</f>
        <v/>
      </c>
      <c r="L99" s="26"/>
    </row>
    <row r="100" spans="1:12" x14ac:dyDescent="0.3">
      <c r="A100" t="s">
        <v>219</v>
      </c>
      <c r="B100" s="20" t="s">
        <v>200</v>
      </c>
      <c r="C100" s="20" t="s">
        <v>181</v>
      </c>
      <c r="D100" s="20" t="s">
        <v>131</v>
      </c>
      <c r="E100" s="21" t="s">
        <v>424</v>
      </c>
      <c r="F100" s="22" t="str">
        <f>IF(OR(E100="",E100="!!!"),"",IF(NOT(ISNA(VLOOKUP(E100,E$1:E99,1,FALSE()))),"OLD",IF(AND(E100&lt;&gt;"",E100&lt;&gt;"!!!"),"NEW","")))</f>
        <v>OLD</v>
      </c>
      <c r="G100" s="23" t="str">
        <f ca="1"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?IN_FOCUS</v>
      </c>
      <c r="H100" s="24" t="str">
        <f t="shared" ca="1" si="11"/>
        <v/>
      </c>
      <c r="I100" s="25" t="str">
        <f>IF(OR(E100="",E100="!!!",F100="NEW"),"",INDEX(B$2:B99,-1+SUMPRODUCT(MAX(ROW(E$2:E99)*(E100=E$2:E99)))))</f>
        <v>other_2</v>
      </c>
      <c r="J100" s="25">
        <f ca="1">IF(OR(E100="",E100="!!!",F100="NEW"),"",COUNTBLANK(OFFSET(A$1,,,SUMPRODUCT(MAX(ROW(E$2:E100)*(E100=E$2:E100)))))-COUNTBLANK(OFFSET(A$1,,,SUMPRODUCT(MAX(ROW(E$1:E99)*(E2=E$1:E99))))))</f>
        <v>0</v>
      </c>
      <c r="K100" s="25">
        <f ca="1">IF(OR(E100="",E100="!!!",F100="NEW"),"",INDEX(J$1:J99,SUMPRODUCT(MAX(ROW(E$1:E99)*(E100=E$1:E99)))))</f>
        <v>0</v>
      </c>
      <c r="L100" s="26"/>
    </row>
    <row r="101" spans="1:12" x14ac:dyDescent="0.3">
      <c r="A101" t="s">
        <v>220</v>
      </c>
      <c r="E101" s="21" t="str">
        <f t="shared" si="10"/>
        <v/>
      </c>
      <c r="F101" s="22" t="str">
        <f>IF(OR(E101="",E101="!!!"),"",IF(NOT(ISNA(VLOOKUP(E101,E$1:E100,1,FALSE()))),"OLD",IF(AND(E101&lt;&gt;"",E101&lt;&gt;"!!!"),"NEW","")))</f>
        <v/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/>
      </c>
      <c r="H101" s="24" t="str">
        <f t="shared" ca="1" si="11"/>
        <v/>
      </c>
      <c r="I101" s="25" t="str">
        <f>IF(OR(E101="",E101="!!!",F101="NEW"),"",INDEX(B$2:B100,-1+SUMPRODUCT(MAX(ROW(E$2:E100)*(E101=E$2:E100)))))</f>
        <v/>
      </c>
      <c r="J101" s="25" t="str">
        <f ca="1">IF(OR(E101="",E101="!!!",F101="NEW"),"",COUNTBLANK(OFFSET(A$1,,,SUMPRODUCT(MAX(ROW(E$2:E101)*(E101=E$2:E101)))))-COUNTBLANK(OFFSET(A$1,,,SUMPRODUCT(MAX(ROW(E$1:E100)*(E2=E$1:E100))))))</f>
        <v/>
      </c>
      <c r="K101" s="25" t="str">
        <f>IF(OR(E101="",E101="!!!",F101="NEW"),"",INDEX(J$1:J100,SUMPRODUCT(MAX(ROW(E$1:E100)*(E101=E$1:E100)))))</f>
        <v/>
      </c>
      <c r="L101" s="26"/>
    </row>
    <row r="102" spans="1:12" x14ac:dyDescent="0.3">
      <c r="A102" t="s">
        <v>221</v>
      </c>
      <c r="B102" s="20" t="s">
        <v>222</v>
      </c>
      <c r="C102" s="20" t="s">
        <v>207</v>
      </c>
      <c r="E102" s="21" t="str">
        <f t="shared" si="10"/>
        <v/>
      </c>
      <c r="F102" s="22" t="str">
        <f>IF(OR(E102="",E102="!!!"),"",IF(NOT(ISNA(VLOOKUP(E102,E$1:E101,1,FALSE()))),"OLD",IF(AND(E102&lt;&gt;"",E102&lt;&gt;"!!!"),"NEW","")))</f>
        <v/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/>
      </c>
      <c r="H102" s="24" t="str">
        <f t="shared" ca="1" si="11"/>
        <v/>
      </c>
      <c r="I102" s="25" t="str">
        <f>IF(OR(E102="",E102="!!!",F102="NEW"),"",INDEX(B$2:B101,-1+SUMPRODUCT(MAX(ROW(E$2:E101)*(E102=E$2:E101)))))</f>
        <v/>
      </c>
      <c r="J102" s="25" t="str">
        <f ca="1">IF(OR(E102="",E102="!!!",F102="NEW"),"",COUNTBLANK(OFFSET(A$1,,,SUMPRODUCT(MAX(ROW(E$2:E102)*(E102=E$2:E102)))))-COUNTBLANK(OFFSET(A$1,,,SUMPRODUCT(MAX(ROW(E$1:E101)*(E2=E$1:E101))))))</f>
        <v/>
      </c>
      <c r="K102" s="25" t="str">
        <f>IF(OR(E102="",E102="!!!",F102="NEW"),"",INDEX(J$1:J101,SUMPRODUCT(MAX(ROW(E$1:E101)*(E102=E$1:E101)))))</f>
        <v/>
      </c>
      <c r="L102" s="26"/>
    </row>
    <row r="103" spans="1:12" x14ac:dyDescent="0.3">
      <c r="A103" t="s">
        <v>223</v>
      </c>
      <c r="E103" s="21" t="str">
        <f t="shared" si="10"/>
        <v/>
      </c>
      <c r="F103" s="22" t="str">
        <f>IF(OR(E103="",E103="!!!"),"",IF(NOT(ISNA(VLOOKUP(E103,E$1:E102,1,FALSE()))),"OLD",IF(AND(E103&lt;&gt;"",E103&lt;&gt;"!!!"),"NEW","")))</f>
        <v/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/>
      </c>
      <c r="H103" s="24" t="str">
        <f t="shared" ca="1" si="11"/>
        <v/>
      </c>
      <c r="I103" s="25" t="str">
        <f>IF(OR(E103="",E103="!!!",F103="NEW"),"",INDEX(B$2:B102,-1+SUMPRODUCT(MAX(ROW(E$2:E102)*(E103=E$2:E102)))))</f>
        <v/>
      </c>
      <c r="J103" s="25" t="str">
        <f ca="1">IF(OR(E103="",E103="!!!",F103="NEW"),"",COUNTBLANK(OFFSET(A$1,,,SUMPRODUCT(MAX(ROW(E$2:E103)*(E103=E$2:E103)))))-COUNTBLANK(OFFSET(A$1,,,SUMPRODUCT(MAX(ROW(E$1:E102)*(E2=E$1:E102))))))</f>
        <v/>
      </c>
      <c r="K103" s="25" t="str">
        <f>IF(OR(E103="",E103="!!!",F103="NEW"),"",INDEX(J$1:J102,SUMPRODUCT(MAX(ROW(E$1:E102)*(E103=E$1:E102)))))</f>
        <v/>
      </c>
      <c r="L103" s="26"/>
    </row>
    <row r="104" spans="1:12" x14ac:dyDescent="0.3">
      <c r="A104" t="s">
        <v>148</v>
      </c>
      <c r="E104" s="21" t="str">
        <f t="shared" si="10"/>
        <v/>
      </c>
      <c r="F104" s="22" t="str">
        <f>IF(OR(E104="",E104="!!!"),"",IF(NOT(ISNA(VLOOKUP(E104,E$1:E103,1,FALSE()))),"OLD",IF(AND(E104&lt;&gt;"",E104&lt;&gt;"!!!"),"NEW","")))</f>
        <v/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/>
      </c>
      <c r="H104" s="24" t="str">
        <f t="shared" ca="1" si="11"/>
        <v/>
      </c>
      <c r="I104" s="25" t="str">
        <f>IF(OR(E104="",E104="!!!",F104="NEW"),"",INDEX(B$2:B103,-1+SUMPRODUCT(MAX(ROW(E$2:E103)*(E104=E$2:E103)))))</f>
        <v/>
      </c>
      <c r="J104" s="25" t="str">
        <f ca="1">IF(OR(E104="",E104="!!!",F104="NEW"),"",COUNTBLANK(OFFSET(A$1,,,SUMPRODUCT(MAX(ROW(E$2:E104)*(E104=E$2:E104)))))-COUNTBLANK(OFFSET(A$1,,,SUMPRODUCT(MAX(ROW(E$1:E103)*(E2=E$1:E103))))))</f>
        <v/>
      </c>
      <c r="K104" s="25" t="str">
        <f>IF(OR(E104="",E104="!!!",F104="NEW"),"",INDEX(J$1:J103,SUMPRODUCT(MAX(ROW(E$1:E103)*(E104=E$1:E103)))))</f>
        <v/>
      </c>
      <c r="L104" s="26"/>
    </row>
    <row r="106" spans="1:12" x14ac:dyDescent="0.3">
      <c r="A106" t="s">
        <v>184</v>
      </c>
      <c r="E106" s="21" t="str">
        <f>IF(D106="?OLD","!!!","")</f>
        <v/>
      </c>
      <c r="F106" s="22" t="str">
        <f>IF(OR(E106="",E106="!!!"),"",IF(NOT(ISNA(VLOOKUP(E106,E$1:E105,1,FALSE()))),"OLD",IF(AND(E106&lt;&gt;"",E106&lt;&gt;"!!!"),"NEW","")))</f>
        <v/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/>
      </c>
      <c r="H106" s="24" t="str">
        <f ca="1">IF(J106&lt;&gt;1,"",IF(I106="SBJ","CB","?"))</f>
        <v/>
      </c>
      <c r="I106" s="25" t="str">
        <f>IF(OR(E106="",E106="!!!",F106="NEW"),"",INDEX(B$2:B105,-1+SUMPRODUCT(MAX(ROW(E$2:E105)*(E106=E$2:E105)))))</f>
        <v/>
      </c>
      <c r="J106" s="25" t="str">
        <f ca="1">IF(OR(E106="",E106="!!!",F106="NEW"),"",COUNTBLANK(OFFSET(A$1,,,SUMPRODUCT(MAX(ROW(E$2:E106)*(E106=E$2:E106)))))-COUNTBLANK(OFFSET(A$1,,,SUMPRODUCT(MAX(ROW(E$1:E105)*(E2=E$1:E105))))))</f>
        <v/>
      </c>
      <c r="K106" s="25" t="str">
        <f>IF(OR(E106="",E106="!!!",F106="NEW"),"",INDEX(J$1:J105,SUMPRODUCT(MAX(ROW(E$1:E105)*(E106=E$1:E105)))))</f>
        <v/>
      </c>
      <c r="L106" s="26"/>
    </row>
    <row r="107" spans="1:12" x14ac:dyDescent="0.3">
      <c r="A107" t="s">
        <v>224</v>
      </c>
    </row>
    <row r="108" spans="1:12" x14ac:dyDescent="0.3">
      <c r="A108" t="s">
        <v>187</v>
      </c>
      <c r="E108" s="21" t="str">
        <f t="shared" ref="E108:E118" si="12">IF(D108="?OLD","!!!","")</f>
        <v/>
      </c>
      <c r="F108" s="22" t="str">
        <f>IF(OR(E108="",E108="!!!"),"",IF(NOT(ISNA(VLOOKUP(E108,E$1:E107,1,FALSE()))),"OLD",IF(AND(E108&lt;&gt;"",E108&lt;&gt;"!!!"),"NEW","")))</f>
        <v/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/>
      </c>
      <c r="H108" s="24" t="str">
        <f t="shared" ref="H108:H118" ca="1" si="13">IF(J108&lt;&gt;1,"",IF(I108="SBJ","CB","?"))</f>
        <v/>
      </c>
      <c r="I108" s="25" t="str">
        <f>IF(OR(E108="",E108="!!!",F108="NEW"),"",INDEX(B$2:B107,-1+SUMPRODUCT(MAX(ROW(E$2:E107)*(E108=E$2:E107)))))</f>
        <v/>
      </c>
      <c r="J108" s="25" t="str">
        <f ca="1">IF(OR(E108="",E108="!!!",F108="NEW"),"",COUNTBLANK(OFFSET(A$1,,,SUMPRODUCT(MAX(ROW(E$2:E108)*(E108=E$2:E108)))))-COUNTBLANK(OFFSET(A$1,,,SUMPRODUCT(MAX(ROW(E$1:E107)*(E2=E$1:E107))))))</f>
        <v/>
      </c>
      <c r="K108" s="25" t="str">
        <f>IF(OR(E108="",E108="!!!",F108="NEW"),"",INDEX(J$1:J107,SUMPRODUCT(MAX(ROW(E$1:E107)*(E108=E$1:E107)))))</f>
        <v/>
      </c>
      <c r="L108" s="26"/>
    </row>
    <row r="109" spans="1:12" x14ac:dyDescent="0.3">
      <c r="A109" t="s">
        <v>225</v>
      </c>
      <c r="B109" s="20" t="s">
        <v>200</v>
      </c>
      <c r="C109" s="20" t="s">
        <v>181</v>
      </c>
      <c r="D109" s="20" t="s">
        <v>131</v>
      </c>
      <c r="E109" s="21" t="s">
        <v>480</v>
      </c>
      <c r="F109" s="22" t="str">
        <f>IF(OR(E109="",E109="!!!"),"",IF(NOT(ISNA(VLOOKUP(E109,E$1:E108,1,FALSE()))),"OLD",IF(AND(E109&lt;&gt;"",E109&lt;&gt;"!!!"),"NEW","")))</f>
        <v>OLD</v>
      </c>
      <c r="G109" s="23" t="str">
        <f ca="1"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?IN_FOCUS</v>
      </c>
      <c r="H109" s="24" t="str">
        <f t="shared" ca="1" si="13"/>
        <v/>
      </c>
      <c r="I109" s="25" t="str">
        <f>IF(OR(E109="",E109="!!!",F109="NEW"),"",INDEX(B$2:B108,-1+SUMPRODUCT(MAX(ROW(E$2:E108)*(E109=E$2:E108)))))</f>
        <v>SBJ</v>
      </c>
      <c r="J109" s="25">
        <f ca="1">IF(OR(E109="",E109="!!!",F109="NEW"),"",COUNTBLANK(OFFSET(A$1,,,SUMPRODUCT(MAX(ROW(E$2:E109)*(E109=E$2:E109)))))-COUNTBLANK(OFFSET(A$1,,,SUMPRODUCT(MAX(ROW(E$1:E108)*(E2=E$1:E108))))))</f>
        <v>0</v>
      </c>
      <c r="K109" s="25">
        <f ca="1">IF(OR(E109="",E109="!!!",F109="NEW"),"",INDEX(J$1:J108,SUMPRODUCT(MAX(ROW(E$1:E108)*(E109=E$1:E108)))))</f>
        <v>0</v>
      </c>
      <c r="L109" s="26"/>
    </row>
    <row r="110" spans="1:12" x14ac:dyDescent="0.3">
      <c r="A110" t="s">
        <v>179</v>
      </c>
      <c r="E110" s="21" t="str">
        <f t="shared" si="12"/>
        <v/>
      </c>
      <c r="F110" s="22" t="str">
        <f>IF(OR(E110="",E110="!!!"),"",IF(NOT(ISNA(VLOOKUP(E110,E$1:E109,1,FALSE()))),"OLD",IF(AND(E110&lt;&gt;"",E110&lt;&gt;"!!!"),"NEW","")))</f>
        <v/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/>
      </c>
      <c r="H110" s="24" t="str">
        <f t="shared" ca="1" si="13"/>
        <v/>
      </c>
      <c r="I110" s="25" t="str">
        <f>IF(OR(E110="",E110="!!!",F110="NEW"),"",INDEX(B$2:B109,-1+SUMPRODUCT(MAX(ROW(E$2:E109)*(E110=E$2:E109)))))</f>
        <v/>
      </c>
      <c r="J110" s="25" t="str">
        <f ca="1">IF(OR(E110="",E110="!!!",F110="NEW"),"",COUNTBLANK(OFFSET(A$1,,,SUMPRODUCT(MAX(ROW(E$2:E110)*(E110=E$2:E110)))))-COUNTBLANK(OFFSET(A$1,,,SUMPRODUCT(MAX(ROW(E$1:E109)*(E2=E$1:E109))))))</f>
        <v/>
      </c>
      <c r="K110" s="25" t="str">
        <f>IF(OR(E110="",E110="!!!",F110="NEW"),"",INDEX(J$1:J109,SUMPRODUCT(MAX(ROW(E$1:E109)*(E110=E$1:E109)))))</f>
        <v/>
      </c>
      <c r="L110" s="26"/>
    </row>
    <row r="111" spans="1:12" x14ac:dyDescent="0.3">
      <c r="A111" t="s">
        <v>226</v>
      </c>
      <c r="B111" s="20" t="s">
        <v>145</v>
      </c>
      <c r="C111" s="20" t="s">
        <v>201</v>
      </c>
      <c r="D111" s="20" t="s">
        <v>131</v>
      </c>
      <c r="E111" s="21"/>
      <c r="F111" s="22" t="str">
        <f>IF(OR(E111="",E111="!!!"),"",IF(NOT(ISNA(VLOOKUP(E111,E$1:E110,1,FALSE()))),"OLD",IF(AND(E111&lt;&gt;"",E111&lt;&gt;"!!!"),"NEW","")))</f>
        <v/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/>
      </c>
      <c r="H111" s="24" t="str">
        <f t="shared" ca="1" si="13"/>
        <v/>
      </c>
      <c r="I111" s="25" t="str">
        <f>IF(OR(E111="",E111="!!!",F111="NEW"),"",INDEX(B$2:B110,-1+SUMPRODUCT(MAX(ROW(E$2:E110)*(E111=E$2:E110)))))</f>
        <v/>
      </c>
      <c r="J111" s="25" t="str">
        <f ca="1">IF(OR(E111="",E111="!!!",F111="NEW"),"",COUNTBLANK(OFFSET(A$1,,,SUMPRODUCT(MAX(ROW(E$2:E111)*(E111=E$2:E111)))))-COUNTBLANK(OFFSET(A$1,,,SUMPRODUCT(MAX(ROW(E$1:E110)*(E2=E$1:E110))))))</f>
        <v/>
      </c>
      <c r="K111" s="25" t="str">
        <f>IF(OR(E111="",E111="!!!",F111="NEW"),"",INDEX(J$1:J110,SUMPRODUCT(MAX(ROW(E$1:E110)*(E111=E$1:E110)))))</f>
        <v/>
      </c>
      <c r="L111" s="26" t="s">
        <v>485</v>
      </c>
    </row>
    <row r="112" spans="1:12" x14ac:dyDescent="0.3">
      <c r="A112" t="s">
        <v>227</v>
      </c>
      <c r="E112" s="21" t="str">
        <f t="shared" si="12"/>
        <v/>
      </c>
      <c r="F112" s="22" t="str">
        <f>IF(OR(E112="",E112="!!!"),"",IF(NOT(ISNA(VLOOKUP(E112,E$1:E111,1,FALSE()))),"OLD",IF(AND(E112&lt;&gt;"",E112&lt;&gt;"!!!"),"NEW","")))</f>
        <v/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/>
      </c>
      <c r="H112" s="24" t="str">
        <f t="shared" ca="1" si="13"/>
        <v/>
      </c>
      <c r="I112" s="25" t="str">
        <f>IF(OR(E112="",E112="!!!",F112="NEW"),"",INDEX(B$2:B111,-1+SUMPRODUCT(MAX(ROW(E$2:E111)*(E112=E$2:E111)))))</f>
        <v/>
      </c>
      <c r="J112" s="25" t="str">
        <f ca="1">IF(OR(E112="",E112="!!!",F112="NEW"),"",COUNTBLANK(OFFSET(A$1,,,SUMPRODUCT(MAX(ROW(E$2:E112)*(E112=E$2:E112)))))-COUNTBLANK(OFFSET(A$1,,,SUMPRODUCT(MAX(ROW(E$1:E111)*(E2=E$1:E111))))))</f>
        <v/>
      </c>
      <c r="K112" s="25" t="str">
        <f>IF(OR(E112="",E112="!!!",F112="NEW"),"",INDEX(J$1:J111,SUMPRODUCT(MAX(ROW(E$1:E111)*(E112=E$1:E111)))))</f>
        <v/>
      </c>
      <c r="L112" s="26"/>
    </row>
    <row r="113" spans="1:12" x14ac:dyDescent="0.3">
      <c r="A113" t="s">
        <v>228</v>
      </c>
      <c r="B113" s="20" t="s">
        <v>152</v>
      </c>
      <c r="C113" s="20" t="s">
        <v>165</v>
      </c>
      <c r="E113" s="21" t="str">
        <f t="shared" si="12"/>
        <v/>
      </c>
      <c r="F113" s="22" t="s">
        <v>436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/>
      </c>
      <c r="H113" s="24" t="str">
        <f t="shared" ca="1" si="13"/>
        <v/>
      </c>
      <c r="I113" s="25" t="str">
        <f>IF(OR(E113="",E113="!!!",F113="NEW"),"",INDEX(B$2:B112,-1+SUMPRODUCT(MAX(ROW(E$2:E112)*(E113=E$2:E112)))))</f>
        <v/>
      </c>
      <c r="J113" s="25" t="str">
        <f ca="1">IF(OR(E113="",E113="!!!",F113="NEW"),"",COUNTBLANK(OFFSET(A$1,,,SUMPRODUCT(MAX(ROW(E$2:E113)*(E113=E$2:E113)))))-COUNTBLANK(OFFSET(A$1,,,SUMPRODUCT(MAX(ROW(E$1:E112)*(E2=E$1:E112))))))</f>
        <v/>
      </c>
      <c r="K113" s="25" t="str">
        <f>IF(OR(E113="",E113="!!!",F113="NEW"),"",INDEX(J$1:J112,SUMPRODUCT(MAX(ROW(E$1:E112)*(E113=E$1:E112)))))</f>
        <v/>
      </c>
      <c r="L113" s="26" t="s">
        <v>439</v>
      </c>
    </row>
    <row r="114" spans="1:12" x14ac:dyDescent="0.3">
      <c r="A114" t="s">
        <v>187</v>
      </c>
      <c r="E114" s="21" t="str">
        <f t="shared" si="12"/>
        <v/>
      </c>
      <c r="F114" s="22" t="str">
        <f>IF(OR(E114="",E114="!!!"),"",IF(NOT(ISNA(VLOOKUP(E114,E$1:E113,1,FALSE()))),"OLD",IF(AND(E114&lt;&gt;"",E114&lt;&gt;"!!!"),"NEW","")))</f>
        <v/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/>
      </c>
      <c r="H114" s="24" t="str">
        <f t="shared" ca="1" si="13"/>
        <v/>
      </c>
      <c r="I114" s="25" t="str">
        <f>IF(OR(E114="",E114="!!!",F114="NEW"),"",INDEX(B$2:B113,-1+SUMPRODUCT(MAX(ROW(E$2:E113)*(E114=E$2:E113)))))</f>
        <v/>
      </c>
      <c r="J114" s="25" t="str">
        <f ca="1">IF(OR(E114="",E114="!!!",F114="NEW"),"",COUNTBLANK(OFFSET(A$1,,,SUMPRODUCT(MAX(ROW(E$2:E114)*(E114=E$2:E114)))))-COUNTBLANK(OFFSET(A$1,,,SUMPRODUCT(MAX(ROW(E$1:E113)*(E2=E$1:E113))))))</f>
        <v/>
      </c>
      <c r="K114" s="25" t="str">
        <f>IF(OR(E114="",E114="!!!",F114="NEW"),"",INDEX(J$1:J113,SUMPRODUCT(MAX(ROW(E$1:E113)*(E114=E$1:E113)))))</f>
        <v/>
      </c>
      <c r="L114" s="26"/>
    </row>
    <row r="115" spans="1:12" x14ac:dyDescent="0.3">
      <c r="A115" t="s">
        <v>198</v>
      </c>
      <c r="E115" s="21" t="str">
        <f t="shared" si="12"/>
        <v/>
      </c>
      <c r="F115" s="22" t="str">
        <f>IF(OR(E115="",E115="!!!"),"",IF(NOT(ISNA(VLOOKUP(E115,E$1:E114,1,FALSE()))),"OLD",IF(AND(E115&lt;&gt;"",E115&lt;&gt;"!!!"),"NEW","")))</f>
        <v/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/>
      </c>
      <c r="H115" s="24" t="str">
        <f t="shared" ca="1" si="13"/>
        <v/>
      </c>
      <c r="I115" s="25" t="str">
        <f>IF(OR(E115="",E115="!!!",F115="NEW"),"",INDEX(B$2:B114,-1+SUMPRODUCT(MAX(ROW(E$2:E114)*(E115=E$2:E114)))))</f>
        <v/>
      </c>
      <c r="J115" s="25" t="str">
        <f ca="1">IF(OR(E115="",E115="!!!",F115="NEW"),"",COUNTBLANK(OFFSET(A$1,,,SUMPRODUCT(MAX(ROW(E$2:E115)*(E115=E$2:E115)))))-COUNTBLANK(OFFSET(A$1,,,SUMPRODUCT(MAX(ROW(E$1:E114)*(E2=E$1:E114))))))</f>
        <v/>
      </c>
      <c r="K115" s="25" t="str">
        <f>IF(OR(E115="",E115="!!!",F115="NEW"),"",INDEX(J$1:J114,SUMPRODUCT(MAX(ROW(E$1:E114)*(E115=E$1:E114)))))</f>
        <v/>
      </c>
      <c r="L115" s="26"/>
    </row>
    <row r="116" spans="1:12" x14ac:dyDescent="0.3">
      <c r="A116" t="s">
        <v>229</v>
      </c>
      <c r="E116" s="21" t="str">
        <f t="shared" si="12"/>
        <v/>
      </c>
      <c r="F116" s="22" t="str">
        <f>IF(OR(E116="",E116="!!!"),"",IF(NOT(ISNA(VLOOKUP(E116,E$1:E115,1,FALSE()))),"OLD",IF(AND(E116&lt;&gt;"",E116&lt;&gt;"!!!"),"NEW","")))</f>
        <v/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/>
      </c>
      <c r="H116" s="24" t="str">
        <f t="shared" ca="1" si="13"/>
        <v/>
      </c>
      <c r="I116" s="25" t="str">
        <f>IF(OR(E116="",E116="!!!",F116="NEW"),"",INDEX(B$2:B115,-1+SUMPRODUCT(MAX(ROW(E$2:E115)*(E116=E$2:E115)))))</f>
        <v/>
      </c>
      <c r="J116" s="25" t="str">
        <f ca="1">IF(OR(E116="",E116="!!!",F116="NEW"),"",COUNTBLANK(OFFSET(A$1,,,SUMPRODUCT(MAX(ROW(E$2:E116)*(E116=E$2:E116)))))-COUNTBLANK(OFFSET(A$1,,,SUMPRODUCT(MAX(ROW(E$1:E115)*(E2=E$1:E115))))))</f>
        <v/>
      </c>
      <c r="K116" s="25" t="str">
        <f>IF(OR(E116="",E116="!!!",F116="NEW"),"",INDEX(J$1:J115,SUMPRODUCT(MAX(ROW(E$1:E115)*(E116=E$1:E115)))))</f>
        <v/>
      </c>
      <c r="L116" s="26"/>
    </row>
    <row r="117" spans="1:12" x14ac:dyDescent="0.3">
      <c r="A117" t="s">
        <v>132</v>
      </c>
      <c r="B117" s="20" t="s">
        <v>129</v>
      </c>
      <c r="C117" s="20" t="s">
        <v>207</v>
      </c>
      <c r="E117" s="21" t="s">
        <v>424</v>
      </c>
      <c r="F117" s="22" t="str">
        <f>IF(OR(E117="",E117="!!!"),"",IF(NOT(ISNA(VLOOKUP(E117,E$1:E116,1,FALSE()))),"OLD",IF(AND(E117&lt;&gt;"",E117&lt;&gt;"!!!"),"NEW","")))</f>
        <v>OLD</v>
      </c>
      <c r="G117" s="23" t="str">
        <f ca="1"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?IN_FOCUS</v>
      </c>
      <c r="H117" s="24" t="str">
        <f t="shared" ca="1" si="13"/>
        <v/>
      </c>
      <c r="I117" s="25" t="str">
        <f>IF(OR(E117="",E117="!!!",F117="NEW"),"",INDEX(B$2:B116,-1+SUMPRODUCT(MAX(ROW(E$2:E116)*(E117=E$2:E116)))))</f>
        <v>SBJ_2</v>
      </c>
      <c r="J117" s="25">
        <f ca="1">IF(OR(E117="",E117="!!!",F117="NEW"),"",COUNTBLANK(OFFSET(A$1,,,SUMPRODUCT(MAX(ROW(E$2:E117)*(E117=E$2:E117)))))-COUNTBLANK(OFFSET(A$1,,,SUMPRODUCT(MAX(ROW(E$1:E116)*(E2=E$1:E116))))))</f>
        <v>0</v>
      </c>
      <c r="K117" s="25">
        <f ca="1">IF(OR(E117="",E117="!!!",F117="NEW"),"",INDEX(J$1:J116,SUMPRODUCT(MAX(ROW(E$1:E116)*(E117=E$1:E116)))))</f>
        <v>0</v>
      </c>
      <c r="L117" s="26" t="s">
        <v>425</v>
      </c>
    </row>
    <row r="118" spans="1:12" x14ac:dyDescent="0.3">
      <c r="A118" t="s">
        <v>148</v>
      </c>
      <c r="E118" s="21" t="str">
        <f t="shared" si="12"/>
        <v/>
      </c>
      <c r="F118" s="22" t="str">
        <f>IF(OR(E118="",E118="!!!"),"",IF(NOT(ISNA(VLOOKUP(E118,E$1:E117,1,FALSE()))),"OLD",IF(AND(E118&lt;&gt;"",E118&lt;&gt;"!!!"),"NEW","")))</f>
        <v/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/>
      </c>
      <c r="H118" s="24" t="str">
        <f t="shared" ca="1" si="13"/>
        <v/>
      </c>
      <c r="I118" s="25" t="str">
        <f>IF(OR(E118="",E118="!!!",F118="NEW"),"",INDEX(B$2:B117,-1+SUMPRODUCT(MAX(ROW(E$2:E117)*(E118=E$2:E117)))))</f>
        <v/>
      </c>
      <c r="J118" s="25" t="str">
        <f ca="1">IF(OR(E118="",E118="!!!",F118="NEW"),"",COUNTBLANK(OFFSET(A$1,,,SUMPRODUCT(MAX(ROW(E$2:E118)*(E118=E$2:E118)))))-COUNTBLANK(OFFSET(A$1,,,SUMPRODUCT(MAX(ROW(E$1:E117)*(E2=E$1:E117))))))</f>
        <v/>
      </c>
      <c r="K118" s="25" t="str">
        <f>IF(OR(E118="",E118="!!!",F118="NEW"),"",INDEX(J$1:J117,SUMPRODUCT(MAX(ROW(E$1:E117)*(E118=E$1:E117)))))</f>
        <v/>
      </c>
      <c r="L118" s="26"/>
    </row>
    <row r="120" spans="1:12" x14ac:dyDescent="0.3">
      <c r="A120" t="s">
        <v>230</v>
      </c>
    </row>
    <row r="121" spans="1:12" x14ac:dyDescent="0.3">
      <c r="A121" t="s">
        <v>231</v>
      </c>
      <c r="E121" s="21" t="str">
        <f t="shared" ref="E121:E130" si="14">IF(D121="?OLD","!!!","")</f>
        <v/>
      </c>
      <c r="F121" s="22" t="str">
        <f>IF(OR(E121="",E121="!!!"),"",IF(NOT(ISNA(VLOOKUP(E121,E$1:E120,1,FALSE()))),"OLD",IF(AND(E121&lt;&gt;"",E121&lt;&gt;"!!!"),"NEW","")))</f>
        <v/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/>
      </c>
      <c r="H121" s="24" t="str">
        <f t="shared" ref="H121:H130" ca="1" si="15">IF(J121&lt;&gt;1,"",IF(I121="SBJ","CB","?"))</f>
        <v/>
      </c>
      <c r="I121" s="25" t="str">
        <f>IF(OR(E121="",E121="!!!",F121="NEW"),"",INDEX(B$2:B120,-1+SUMPRODUCT(MAX(ROW(E$2:E120)*(E121=E$2:E120)))))</f>
        <v/>
      </c>
      <c r="J121" s="25" t="str">
        <f ca="1">IF(OR(E121="",E121="!!!",F121="NEW"),"",COUNTBLANK(OFFSET(A$1,,,SUMPRODUCT(MAX(ROW(E$2:E121)*(E121=E$2:E121)))))-COUNTBLANK(OFFSET(A$1,,,SUMPRODUCT(MAX(ROW(E$1:E120)*(E2=E$1:E120))))))</f>
        <v/>
      </c>
      <c r="K121" s="25" t="str">
        <f>IF(OR(E121="",E121="!!!",F121="NEW"),"",INDEX(J$1:J120,SUMPRODUCT(MAX(ROW(E$1:E120)*(E121=E$1:E120)))))</f>
        <v/>
      </c>
      <c r="L121" s="26"/>
    </row>
    <row r="122" spans="1:12" x14ac:dyDescent="0.3">
      <c r="A122" t="s">
        <v>232</v>
      </c>
      <c r="E122" s="21" t="str">
        <f t="shared" si="14"/>
        <v/>
      </c>
      <c r="F122" s="22" t="str">
        <f>IF(OR(E122="",E122="!!!"),"",IF(NOT(ISNA(VLOOKUP(E122,E$1:E121,1,FALSE()))),"OLD",IF(AND(E122&lt;&gt;"",E122&lt;&gt;"!!!"),"NEW","")))</f>
        <v/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/>
      </c>
      <c r="H122" s="24" t="str">
        <f t="shared" ca="1" si="15"/>
        <v/>
      </c>
      <c r="I122" s="25" t="str">
        <f>IF(OR(E122="",E122="!!!",F122="NEW"),"",INDEX(B$2:B121,-1+SUMPRODUCT(MAX(ROW(E$2:E121)*(E122=E$2:E121)))))</f>
        <v/>
      </c>
      <c r="J122" s="25" t="str">
        <f ca="1">IF(OR(E122="",E122="!!!",F122="NEW"),"",COUNTBLANK(OFFSET(A$1,,,SUMPRODUCT(MAX(ROW(E$2:E122)*(E122=E$2:E122)))))-COUNTBLANK(OFFSET(A$1,,,SUMPRODUCT(MAX(ROW(E$1:E121)*(E2=E$1:E121))))))</f>
        <v/>
      </c>
      <c r="K122" s="25" t="str">
        <f>IF(OR(E122="",E122="!!!",F122="NEW"),"",INDEX(J$1:J121,SUMPRODUCT(MAX(ROW(E$1:E121)*(E122=E$1:E121)))))</f>
        <v/>
      </c>
      <c r="L122" s="26"/>
    </row>
    <row r="123" spans="1:12" x14ac:dyDescent="0.3">
      <c r="A123" t="s">
        <v>233</v>
      </c>
      <c r="E123" s="21" t="str">
        <f t="shared" si="14"/>
        <v/>
      </c>
      <c r="F123" s="22" t="str">
        <f>IF(OR(E123="",E123="!!!"),"",IF(NOT(ISNA(VLOOKUP(E123,E$1:E122,1,FALSE()))),"OLD",IF(AND(E123&lt;&gt;"",E123&lt;&gt;"!!!"),"NEW","")))</f>
        <v/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/>
      </c>
      <c r="H123" s="24" t="str">
        <f t="shared" ca="1" si="15"/>
        <v/>
      </c>
      <c r="I123" s="25" t="str">
        <f>IF(OR(E123="",E123="!!!",F123="NEW"),"",INDEX(B$2:B122,-1+SUMPRODUCT(MAX(ROW(E$2:E122)*(E123=E$2:E122)))))</f>
        <v/>
      </c>
      <c r="J123" s="25" t="str">
        <f ca="1">IF(OR(E123="",E123="!!!",F123="NEW"),"",COUNTBLANK(OFFSET(A$1,,,SUMPRODUCT(MAX(ROW(E$2:E123)*(E123=E$2:E123)))))-COUNTBLANK(OFFSET(A$1,,,SUMPRODUCT(MAX(ROW(E$1:E122)*(E2=E$1:E122))))))</f>
        <v/>
      </c>
      <c r="K123" s="25" t="str">
        <f>IF(OR(E123="",E123="!!!",F123="NEW"),"",INDEX(J$1:J122,SUMPRODUCT(MAX(ROW(E$1:E122)*(E123=E$1:E122)))))</f>
        <v/>
      </c>
      <c r="L123" s="26"/>
    </row>
    <row r="124" spans="1:12" x14ac:dyDescent="0.3">
      <c r="A124" t="s">
        <v>134</v>
      </c>
      <c r="E124" s="21" t="str">
        <f t="shared" si="14"/>
        <v/>
      </c>
      <c r="F124" s="22" t="str">
        <f>IF(OR(E124="",E124="!!!"),"",IF(NOT(ISNA(VLOOKUP(E124,E$1:E123,1,FALSE()))),"OLD",IF(AND(E124&lt;&gt;"",E124&lt;&gt;"!!!"),"NEW","")))</f>
        <v/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/>
      </c>
      <c r="H124" s="24" t="str">
        <f t="shared" ca="1" si="15"/>
        <v/>
      </c>
      <c r="I124" s="25" t="str">
        <f>IF(OR(E124="",E124="!!!",F124="NEW"),"",INDEX(B$2:B123,-1+SUMPRODUCT(MAX(ROW(E$2:E123)*(E124=E$2:E123)))))</f>
        <v/>
      </c>
      <c r="J124" s="25" t="str">
        <f ca="1">IF(OR(E124="",E124="!!!",F124="NEW"),"",COUNTBLANK(OFFSET(A$1,,,SUMPRODUCT(MAX(ROW(E$2:E124)*(E124=E$2:E124)))))-COUNTBLANK(OFFSET(A$1,,,SUMPRODUCT(MAX(ROW(E$1:E123)*(E2=E$1:E123))))))</f>
        <v/>
      </c>
      <c r="K124" s="25" t="str">
        <f>IF(OR(E124="",E124="!!!",F124="NEW"),"",INDEX(J$1:J123,SUMPRODUCT(MAX(ROW(E$1:E123)*(E124=E$1:E123)))))</f>
        <v/>
      </c>
      <c r="L124" s="26"/>
    </row>
    <row r="125" spans="1:12" x14ac:dyDescent="0.3">
      <c r="A125" t="s">
        <v>234</v>
      </c>
      <c r="B125" s="20" t="s">
        <v>129</v>
      </c>
      <c r="C125" s="20" t="s">
        <v>137</v>
      </c>
      <c r="D125" s="20" t="s">
        <v>131</v>
      </c>
      <c r="E125" s="21" t="s">
        <v>486</v>
      </c>
      <c r="F125" s="22" t="str">
        <f>IF(OR(E125="",E125="!!!"),"",IF(NOT(ISNA(VLOOKUP(E125,E$1:E124,1,FALSE()))),"OLD",IF(AND(E125&lt;&gt;"",E125&lt;&gt;"!!!"),"NEW","")))</f>
        <v>NEW</v>
      </c>
      <c r="G125" s="23" t="str">
        <f ca="1"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?REFERENTIAL</v>
      </c>
      <c r="H125" s="24" t="str">
        <f t="shared" ca="1" si="15"/>
        <v/>
      </c>
      <c r="I125" s="25" t="str">
        <f>IF(OR(E125="",E125="!!!",F125="NEW"),"",INDEX(B$2:B124,-1+SUMPRODUCT(MAX(ROW(E$2:E124)*(E125=E$2:E124)))))</f>
        <v/>
      </c>
      <c r="J125" s="25" t="str">
        <f ca="1">IF(OR(E125="",E125="!!!",F125="NEW"),"",COUNTBLANK(OFFSET(A$1,,,SUMPRODUCT(MAX(ROW(E$2:E125)*(E125=E$2:E125)))))-COUNTBLANK(OFFSET(A$1,,,SUMPRODUCT(MAX(ROW(E$1:E124)*(E2=E$1:E124))))))</f>
        <v/>
      </c>
      <c r="K125" s="25" t="str">
        <f>IF(OR(E125="",E125="!!!",F125="NEW"),"",INDEX(J$1:J124,SUMPRODUCT(MAX(ROW(E$1:E124)*(E125=E$1:E124)))))</f>
        <v/>
      </c>
      <c r="L125" s="26"/>
    </row>
    <row r="126" spans="1:12" x14ac:dyDescent="0.3">
      <c r="A126" t="s">
        <v>235</v>
      </c>
      <c r="E126" s="21" t="str">
        <f t="shared" si="14"/>
        <v/>
      </c>
      <c r="F126" s="22" t="str">
        <f>IF(OR(E126="",E126="!!!"),"",IF(NOT(ISNA(VLOOKUP(E126,E$1:E125,1,FALSE()))),"OLD",IF(AND(E126&lt;&gt;"",E126&lt;&gt;"!!!"),"NEW","")))</f>
        <v/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/>
      </c>
      <c r="H126" s="24" t="str">
        <f t="shared" ca="1" si="15"/>
        <v/>
      </c>
      <c r="I126" s="25" t="str">
        <f>IF(OR(E126="",E126="!!!",F126="NEW"),"",INDEX(B$2:B125,-1+SUMPRODUCT(MAX(ROW(E$2:E125)*(E126=E$2:E125)))))</f>
        <v/>
      </c>
      <c r="J126" s="25" t="str">
        <f ca="1">IF(OR(E126="",E126="!!!",F126="NEW"),"",COUNTBLANK(OFFSET(A$1,,,SUMPRODUCT(MAX(ROW(E$2:E126)*(E126=E$2:E126)))))-COUNTBLANK(OFFSET(A$1,,,SUMPRODUCT(MAX(ROW(E$1:E125)*(E2=E$1:E125))))))</f>
        <v/>
      </c>
      <c r="K126" s="25" t="str">
        <f>IF(OR(E126="",E126="!!!",F126="NEW"),"",INDEX(J$1:J125,SUMPRODUCT(MAX(ROW(E$1:E125)*(E126=E$1:E125)))))</f>
        <v/>
      </c>
      <c r="L126" s="26"/>
    </row>
    <row r="127" spans="1:12" x14ac:dyDescent="0.3">
      <c r="A127" t="s">
        <v>236</v>
      </c>
      <c r="E127" s="21" t="str">
        <f t="shared" si="14"/>
        <v/>
      </c>
      <c r="F127" s="22" t="str">
        <f>IF(OR(E127="",E127="!!!"),"",IF(NOT(ISNA(VLOOKUP(E127,E$1:E126,1,FALSE()))),"OLD",IF(AND(E127&lt;&gt;"",E127&lt;&gt;"!!!"),"NEW","")))</f>
        <v/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/>
      </c>
      <c r="H127" s="24" t="str">
        <f t="shared" ca="1" si="15"/>
        <v/>
      </c>
      <c r="I127" s="25" t="str">
        <f>IF(OR(E127="",E127="!!!",F127="NEW"),"",INDEX(B$2:B126,-1+SUMPRODUCT(MAX(ROW(E$2:E126)*(E127=E$2:E126)))))</f>
        <v/>
      </c>
      <c r="J127" s="25" t="str">
        <f ca="1">IF(OR(E127="",E127="!!!",F127="NEW"),"",COUNTBLANK(OFFSET(A$1,,,SUMPRODUCT(MAX(ROW(E$2:E127)*(E127=E$2:E127)))))-COUNTBLANK(OFFSET(A$1,,,SUMPRODUCT(MAX(ROW(E$1:E126)*(E2=E$1:E126))))))</f>
        <v/>
      </c>
      <c r="K127" s="25" t="str">
        <f>IF(OR(E127="",E127="!!!",F127="NEW"),"",INDEX(J$1:J126,SUMPRODUCT(MAX(ROW(E$1:E126)*(E127=E$1:E126)))))</f>
        <v/>
      </c>
      <c r="L127" s="26"/>
    </row>
    <row r="128" spans="1:12" x14ac:dyDescent="0.3">
      <c r="A128" t="s">
        <v>237</v>
      </c>
      <c r="E128" s="21" t="str">
        <f t="shared" si="14"/>
        <v/>
      </c>
      <c r="F128" s="22" t="str">
        <f>IF(OR(E128="",E128="!!!"),"",IF(NOT(ISNA(VLOOKUP(E128,E$1:E127,1,FALSE()))),"OLD",IF(AND(E128&lt;&gt;"",E128&lt;&gt;"!!!"),"NEW","")))</f>
        <v/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/>
      </c>
      <c r="H128" s="24" t="str">
        <f t="shared" ca="1" si="15"/>
        <v/>
      </c>
      <c r="I128" s="25" t="str">
        <f>IF(OR(E128="",E128="!!!",F128="NEW"),"",INDEX(B$2:B127,-1+SUMPRODUCT(MAX(ROW(E$2:E127)*(E128=E$2:E127)))))</f>
        <v/>
      </c>
      <c r="J128" s="25" t="str">
        <f ca="1">IF(OR(E128="",E128="!!!",F128="NEW"),"",COUNTBLANK(OFFSET(A$1,,,SUMPRODUCT(MAX(ROW(E$2:E128)*(E128=E$2:E128)))))-COUNTBLANK(OFFSET(A$1,,,SUMPRODUCT(MAX(ROW(E$1:E127)*(E2=E$1:E127))))))</f>
        <v/>
      </c>
      <c r="K128" s="25" t="str">
        <f>IF(OR(E128="",E128="!!!",F128="NEW"),"",INDEX(J$1:J127,SUMPRODUCT(MAX(ROW(E$1:E127)*(E128=E$1:E127)))))</f>
        <v/>
      </c>
      <c r="L128" s="26"/>
    </row>
    <row r="129" spans="1:12" x14ac:dyDescent="0.3">
      <c r="A129" t="s">
        <v>238</v>
      </c>
      <c r="E129" s="21" t="str">
        <f t="shared" si="14"/>
        <v/>
      </c>
      <c r="F129" s="22" t="str">
        <f>IF(OR(E129="",E129="!!!"),"",IF(NOT(ISNA(VLOOKUP(E129,E$1:E128,1,FALSE()))),"OLD",IF(AND(E129&lt;&gt;"",E129&lt;&gt;"!!!"),"NEW","")))</f>
        <v/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/>
      </c>
      <c r="H129" s="24" t="str">
        <f t="shared" ca="1" si="15"/>
        <v/>
      </c>
      <c r="I129" s="25" t="str">
        <f>IF(OR(E129="",E129="!!!",F129="NEW"),"",INDEX(B$2:B128,-1+SUMPRODUCT(MAX(ROW(E$2:E128)*(E129=E$2:E128)))))</f>
        <v/>
      </c>
      <c r="J129" s="25" t="str">
        <f ca="1">IF(OR(E129="",E129="!!!",F129="NEW"),"",COUNTBLANK(OFFSET(A$1,,,SUMPRODUCT(MAX(ROW(E$2:E129)*(E129=E$2:E129)))))-COUNTBLANK(OFFSET(A$1,,,SUMPRODUCT(MAX(ROW(E$1:E128)*(E2=E$1:E128))))))</f>
        <v/>
      </c>
      <c r="K129" s="25" t="str">
        <f>IF(OR(E129="",E129="!!!",F129="NEW"),"",INDEX(J$1:J128,SUMPRODUCT(MAX(ROW(E$1:E128)*(E129=E$1:E128)))))</f>
        <v/>
      </c>
      <c r="L129" s="26"/>
    </row>
    <row r="130" spans="1:12" x14ac:dyDescent="0.3">
      <c r="A130" t="s">
        <v>148</v>
      </c>
      <c r="E130" s="21" t="str">
        <f t="shared" si="14"/>
        <v/>
      </c>
      <c r="F130" s="22" t="str">
        <f>IF(OR(E130="",E130="!!!"),"",IF(NOT(ISNA(VLOOKUP(E130,E$1:E129,1,FALSE()))),"OLD",IF(AND(E130&lt;&gt;"",E130&lt;&gt;"!!!"),"NEW","")))</f>
        <v/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/>
      </c>
      <c r="H130" s="24" t="str">
        <f t="shared" ca="1" si="15"/>
        <v/>
      </c>
      <c r="I130" s="25" t="str">
        <f>IF(OR(E130="",E130="!!!",F130="NEW"),"",INDEX(B$2:B129,-1+SUMPRODUCT(MAX(ROW(E$2:E129)*(E130=E$2:E129)))))</f>
        <v/>
      </c>
      <c r="J130" s="25" t="str">
        <f ca="1">IF(OR(E130="",E130="!!!",F130="NEW"),"",COUNTBLANK(OFFSET(A$1,,,SUMPRODUCT(MAX(ROW(E$2:E130)*(E130=E$2:E130)))))-COUNTBLANK(OFFSET(A$1,,,SUMPRODUCT(MAX(ROW(E$1:E129)*(E2=E$1:E129))))))</f>
        <v/>
      </c>
      <c r="K130" s="25" t="str">
        <f>IF(OR(E130="",E130="!!!",F130="NEW"),"",INDEX(J$1:J129,SUMPRODUCT(MAX(ROW(E$1:E129)*(E130=E$1:E129)))))</f>
        <v/>
      </c>
      <c r="L130" s="26"/>
    </row>
    <row r="132" spans="1:12" x14ac:dyDescent="0.3">
      <c r="A132" t="s">
        <v>239</v>
      </c>
    </row>
    <row r="133" spans="1:12" x14ac:dyDescent="0.3">
      <c r="A133" t="s">
        <v>150</v>
      </c>
      <c r="E133" s="21" t="str">
        <f t="shared" ref="E133:E152" si="16">IF(D133="?OLD","!!!","")</f>
        <v/>
      </c>
      <c r="F133" s="22" t="str">
        <f>IF(OR(E133="",E133="!!!"),"",IF(NOT(ISNA(VLOOKUP(E133,E$1:E132,1,FALSE()))),"OLD",IF(AND(E133&lt;&gt;"",E133&lt;&gt;"!!!"),"NEW","")))</f>
        <v/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/>
      </c>
      <c r="H133" s="24" t="str">
        <f t="shared" ref="H133:H152" ca="1" si="17">IF(J133&lt;&gt;1,"",IF(I133="SBJ","CB","?"))</f>
        <v/>
      </c>
      <c r="I133" s="25" t="str">
        <f>IF(OR(E133="",E133="!!!",F133="NEW"),"",INDEX(B$2:B132,-1+SUMPRODUCT(MAX(ROW(E$2:E132)*(E133=E$2:E132)))))</f>
        <v/>
      </c>
      <c r="J133" s="25" t="str">
        <f ca="1">IF(OR(E133="",E133="!!!",F133="NEW"),"",COUNTBLANK(OFFSET(A$1,,,SUMPRODUCT(MAX(ROW(E$2:E133)*(E133=E$2:E133)))))-COUNTBLANK(OFFSET(A$1,,,SUMPRODUCT(MAX(ROW(E$1:E132)*(E2=E$1:E132))))))</f>
        <v/>
      </c>
      <c r="K133" s="25" t="str">
        <f>IF(OR(E133="",E133="!!!",F133="NEW"),"",INDEX(J$1:J132,SUMPRODUCT(MAX(ROW(E$1:E132)*(E133=E$1:E132)))))</f>
        <v/>
      </c>
      <c r="L133" s="26"/>
    </row>
    <row r="134" spans="1:12" x14ac:dyDescent="0.3">
      <c r="A134" t="s">
        <v>143</v>
      </c>
      <c r="E134" s="21" t="str">
        <f t="shared" si="16"/>
        <v/>
      </c>
      <c r="F134" s="22" t="str">
        <f>IF(OR(E134="",E134="!!!"),"",IF(NOT(ISNA(VLOOKUP(E134,E$1:E133,1,FALSE()))),"OLD",IF(AND(E134&lt;&gt;"",E134&lt;&gt;"!!!"),"NEW","")))</f>
        <v/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/>
      </c>
      <c r="H134" s="24" t="str">
        <f t="shared" ca="1" si="17"/>
        <v/>
      </c>
      <c r="I134" s="25" t="str">
        <f>IF(OR(E134="",E134="!!!",F134="NEW"),"",INDEX(B$2:B133,-1+SUMPRODUCT(MAX(ROW(E$2:E133)*(E134=E$2:E133)))))</f>
        <v/>
      </c>
      <c r="J134" s="25" t="str">
        <f ca="1">IF(OR(E134="",E134="!!!",F134="NEW"),"",COUNTBLANK(OFFSET(A$1,,,SUMPRODUCT(MAX(ROW(E$2:E134)*(E134=E$2:E134)))))-COUNTBLANK(OFFSET(A$1,,,SUMPRODUCT(MAX(ROW(E$1:E133)*(E2=E$1:E133))))))</f>
        <v/>
      </c>
      <c r="K134" s="25" t="str">
        <f>IF(OR(E134="",E134="!!!",F134="NEW"),"",INDEX(J$1:J133,SUMPRODUCT(MAX(ROW(E$1:E133)*(E134=E$1:E133)))))</f>
        <v/>
      </c>
      <c r="L134" s="26"/>
    </row>
    <row r="135" spans="1:12" x14ac:dyDescent="0.3">
      <c r="A135" t="s">
        <v>240</v>
      </c>
      <c r="B135" s="20" t="s">
        <v>152</v>
      </c>
      <c r="C135" s="20" t="s">
        <v>130</v>
      </c>
      <c r="D135" s="20" t="s">
        <v>131</v>
      </c>
      <c r="E135" s="21" t="s">
        <v>469</v>
      </c>
      <c r="F135" s="22" t="s">
        <v>429</v>
      </c>
      <c r="G135" s="23" t="e">
        <f ca="1"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#VALUE!</v>
      </c>
      <c r="H135" s="24" t="str">
        <f t="shared" ca="1" si="17"/>
        <v/>
      </c>
      <c r="I135" s="25" t="e">
        <f>IF(OR(E135="",E135="!!!",F135="NEW"),"",INDEX(B$2:B134,-1+SUMPRODUCT(MAX(ROW(E$2:E134)*(E135=E$2:E134)))))</f>
        <v>#VALUE!</v>
      </c>
      <c r="J135" s="25">
        <f ca="1">IF(OR(E135="",E135="!!!",F135="NEW"),"",COUNTBLANK(OFFSET(A$1,,,SUMPRODUCT(MAX(ROW(E$2:E135)*(E135=E$2:E135)))))-COUNTBLANK(OFFSET(A$1,,,SUMPRODUCT(MAX(ROW(E$1:E134)*(E2=E$1:E134))))))</f>
        <v>0</v>
      </c>
      <c r="K135" s="25" t="e">
        <f>IF(OR(E135="",E135="!!!",F135="NEW"),"",INDEX(J$1:J134,SUMPRODUCT(MAX(ROW(E$1:E134)*(E135=E$1:E134)))))</f>
        <v>#VALUE!</v>
      </c>
      <c r="L135" s="26"/>
    </row>
    <row r="136" spans="1:12" x14ac:dyDescent="0.3">
      <c r="A136" t="s">
        <v>179</v>
      </c>
      <c r="E136" s="21" t="str">
        <f t="shared" si="16"/>
        <v/>
      </c>
      <c r="F136" s="22" t="str">
        <f>IF(OR(E136="",E136="!!!"),"",IF(NOT(ISNA(VLOOKUP(E136,E$1:E135,1,FALSE()))),"OLD",IF(AND(E136&lt;&gt;"",E136&lt;&gt;"!!!"),"NEW","")))</f>
        <v/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/>
      </c>
      <c r="H136" s="24" t="str">
        <f t="shared" ca="1" si="17"/>
        <v/>
      </c>
      <c r="I136" s="25" t="str">
        <f>IF(OR(E136="",E136="!!!",F136="NEW"),"",INDEX(B$2:B135,-1+SUMPRODUCT(MAX(ROW(E$2:E135)*(E136=E$2:E135)))))</f>
        <v/>
      </c>
      <c r="J136" s="25" t="str">
        <f ca="1">IF(OR(E136="",E136="!!!",F136="NEW"),"",COUNTBLANK(OFFSET(A$1,,,SUMPRODUCT(MAX(ROW(E$2:E136)*(E136=E$2:E136)))))-COUNTBLANK(OFFSET(A$1,,,SUMPRODUCT(MAX(ROW(E$1:E135)*(E2=E$1:E135))))))</f>
        <v/>
      </c>
      <c r="K136" s="25" t="str">
        <f>IF(OR(E136="",E136="!!!",F136="NEW"),"",INDEX(J$1:J135,SUMPRODUCT(MAX(ROW(E$1:E135)*(E136=E$1:E135)))))</f>
        <v/>
      </c>
      <c r="L136" s="26"/>
    </row>
    <row r="137" spans="1:12" x14ac:dyDescent="0.3">
      <c r="A137" t="s">
        <v>241</v>
      </c>
      <c r="B137" s="20" t="s">
        <v>152</v>
      </c>
      <c r="C137" s="20" t="s">
        <v>130</v>
      </c>
      <c r="D137" s="20" t="s">
        <v>131</v>
      </c>
      <c r="E137" s="21" t="s">
        <v>428</v>
      </c>
      <c r="F137" s="22" t="str">
        <f>IF(OR(E137="",E137="!!!"),"",IF(NOT(ISNA(VLOOKUP(E137,E$1:E136,1,FALSE()))),"OLD",IF(AND(E137&lt;&gt;"",E137&lt;&gt;"!!!"),"NEW","")))</f>
        <v>NEW</v>
      </c>
      <c r="G137" s="23" t="str">
        <f ca="1"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?REFERENTIAL</v>
      </c>
      <c r="H137" s="24" t="str">
        <f t="shared" ca="1" si="17"/>
        <v/>
      </c>
      <c r="I137" s="25" t="str">
        <f>IF(OR(E137="",E137="!!!",F137="NEW"),"",INDEX(B$2:B136,-1+SUMPRODUCT(MAX(ROW(E$2:E136)*(E137=E$2:E136)))))</f>
        <v/>
      </c>
      <c r="J137" s="25" t="str">
        <f ca="1">IF(OR(E137="",E137="!!!",F137="NEW"),"",COUNTBLANK(OFFSET(A$1,,,SUMPRODUCT(MAX(ROW(E$2:E137)*(E137=E$2:E137)))))-COUNTBLANK(OFFSET(A$1,,,SUMPRODUCT(MAX(ROW(E$1:E136)*(E2=E$1:E136))))))</f>
        <v/>
      </c>
      <c r="K137" s="25" t="str">
        <f>IF(OR(E137="",E137="!!!",F137="NEW"),"",INDEX(J$1:J136,SUMPRODUCT(MAX(ROW(E$1:E136)*(E137=E$1:E136)))))</f>
        <v/>
      </c>
      <c r="L137" s="26"/>
    </row>
    <row r="138" spans="1:12" x14ac:dyDescent="0.3">
      <c r="A138" t="s">
        <v>242</v>
      </c>
      <c r="E138" s="21" t="str">
        <f t="shared" si="16"/>
        <v/>
      </c>
      <c r="F138" s="22" t="str">
        <f>IF(OR(E138="",E138="!!!"),"",IF(NOT(ISNA(VLOOKUP(E138,E$1:E137,1,FALSE()))),"OLD",IF(AND(E138&lt;&gt;"",E138&lt;&gt;"!!!"),"NEW","")))</f>
        <v/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/>
      </c>
      <c r="H138" s="24" t="str">
        <f t="shared" ca="1" si="17"/>
        <v/>
      </c>
      <c r="I138" s="25" t="str">
        <f>IF(OR(E138="",E138="!!!",F138="NEW"),"",INDEX(B$2:B137,-1+SUMPRODUCT(MAX(ROW(E$2:E137)*(E138=E$2:E137)))))</f>
        <v/>
      </c>
      <c r="J138" s="25" t="str">
        <f ca="1">IF(OR(E138="",E138="!!!",F138="NEW"),"",COUNTBLANK(OFFSET(A$1,,,SUMPRODUCT(MAX(ROW(E$2:E138)*(E138=E$2:E138)))))-COUNTBLANK(OFFSET(A$1,,,SUMPRODUCT(MAX(ROW(E$1:E137)*(E2=E$1:E137))))))</f>
        <v/>
      </c>
      <c r="K138" s="25" t="str">
        <f>IF(OR(E138="",E138="!!!",F138="NEW"),"",INDEX(J$1:J137,SUMPRODUCT(MAX(ROW(E$1:E137)*(E138=E$1:E137)))))</f>
        <v/>
      </c>
      <c r="L138" s="26"/>
    </row>
    <row r="139" spans="1:12" x14ac:dyDescent="0.3">
      <c r="A139" t="s">
        <v>128</v>
      </c>
      <c r="B139" s="20" t="s">
        <v>152</v>
      </c>
      <c r="C139" s="20" t="s">
        <v>243</v>
      </c>
      <c r="D139" s="20" t="s">
        <v>131</v>
      </c>
      <c r="E139" s="21" t="s">
        <v>424</v>
      </c>
      <c r="F139" s="22" t="str">
        <f>IF(OR(E139="",E139="!!!"),"",IF(NOT(ISNA(VLOOKUP(E139,E$1:E138,1,FALSE()))),"OLD",IF(AND(E139&lt;&gt;"",E139&lt;&gt;"!!!"),"NEW","")))</f>
        <v>OLD</v>
      </c>
      <c r="G139" s="23" t="str">
        <f ca="1"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?IN_FOCUS</v>
      </c>
      <c r="H139" s="24" t="str">
        <f t="shared" ca="1" si="17"/>
        <v/>
      </c>
      <c r="I139" s="25" t="str">
        <f>IF(OR(E139="",E139="!!!",F139="NEW"),"",INDEX(B$2:B138,-1+SUMPRODUCT(MAX(ROW(E$2:E138)*(E139=E$2:E138)))))</f>
        <v>SBJ</v>
      </c>
      <c r="J139" s="25">
        <f ca="1">IF(OR(E139="",E139="!!!",F139="NEW"),"",COUNTBLANK(OFFSET(A$1,,,SUMPRODUCT(MAX(ROW(E$2:E139)*(E139=E$2:E139)))))-COUNTBLANK(OFFSET(A$1,,,SUMPRODUCT(MAX(ROW(E$1:E138)*(E2=E$1:E138))))))</f>
        <v>0</v>
      </c>
      <c r="K139" s="25">
        <f ca="1">IF(OR(E139="",E139="!!!",F139="NEW"),"",INDEX(J$1:J138,SUMPRODUCT(MAX(ROW(E$1:E138)*(E139=E$1:E138)))))</f>
        <v>0</v>
      </c>
      <c r="L139" s="26"/>
    </row>
    <row r="140" spans="1:12" x14ac:dyDescent="0.3">
      <c r="A140" t="s">
        <v>244</v>
      </c>
      <c r="B140" s="20" t="s">
        <v>158</v>
      </c>
      <c r="C140" s="20" t="s">
        <v>163</v>
      </c>
      <c r="E140" s="21" t="str">
        <f t="shared" si="16"/>
        <v/>
      </c>
      <c r="F140" s="22" t="str">
        <f>IF(OR(E140="",E140="!!!"),"",IF(NOT(ISNA(VLOOKUP(E140,E$1:E139,1,FALSE()))),"OLD",IF(AND(E140&lt;&gt;"",E140&lt;&gt;"!!!"),"NEW","")))</f>
        <v/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/>
      </c>
      <c r="H140" s="24" t="str">
        <f t="shared" ca="1" si="17"/>
        <v/>
      </c>
      <c r="I140" s="25" t="str">
        <f>IF(OR(E140="",E140="!!!",F140="NEW"),"",INDEX(B$2:B139,-1+SUMPRODUCT(MAX(ROW(E$2:E139)*(E140=E$2:E139)))))</f>
        <v/>
      </c>
      <c r="J140" s="25" t="str">
        <f ca="1">IF(OR(E140="",E140="!!!",F140="NEW"),"",COUNTBLANK(OFFSET(A$1,,,SUMPRODUCT(MAX(ROW(E$2:E140)*(E140=E$2:E140)))))-COUNTBLANK(OFFSET(A$1,,,SUMPRODUCT(MAX(ROW(E$1:E139)*(E2=E$1:E139))))))</f>
        <v/>
      </c>
      <c r="K140" s="25" t="str">
        <f>IF(OR(E140="",E140="!!!",F140="NEW"),"",INDEX(J$1:J139,SUMPRODUCT(MAX(ROW(E$1:E139)*(E140=E$1:E139)))))</f>
        <v/>
      </c>
      <c r="L140" s="26"/>
    </row>
    <row r="141" spans="1:12" x14ac:dyDescent="0.3">
      <c r="A141" t="s">
        <v>245</v>
      </c>
      <c r="E141" s="21" t="str">
        <f t="shared" si="16"/>
        <v/>
      </c>
      <c r="F141" s="22" t="str">
        <f>IF(OR(E141="",E141="!!!"),"",IF(NOT(ISNA(VLOOKUP(E141,E$1:E140,1,FALSE()))),"OLD",IF(AND(E141&lt;&gt;"",E141&lt;&gt;"!!!"),"NEW","")))</f>
        <v/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/>
      </c>
      <c r="H141" s="24" t="str">
        <f t="shared" ca="1" si="17"/>
        <v/>
      </c>
      <c r="I141" s="25" t="str">
        <f>IF(OR(E141="",E141="!!!",F141="NEW"),"",INDEX(B$2:B140,-1+SUMPRODUCT(MAX(ROW(E$2:E140)*(E141=E$2:E140)))))</f>
        <v/>
      </c>
      <c r="J141" s="25" t="str">
        <f ca="1">IF(OR(E141="",E141="!!!",F141="NEW"),"",COUNTBLANK(OFFSET(A$1,,,SUMPRODUCT(MAX(ROW(E$2:E141)*(E141=E$2:E141)))))-COUNTBLANK(OFFSET(A$1,,,SUMPRODUCT(MAX(ROW(E$1:E140)*(E2=E$1:E140))))))</f>
        <v/>
      </c>
      <c r="K141" s="25" t="str">
        <f>IF(OR(E141="",E141="!!!",F141="NEW"),"",INDEX(J$1:J140,SUMPRODUCT(MAX(ROW(E$1:E140)*(E141=E$1:E140)))))</f>
        <v/>
      </c>
      <c r="L141" s="26"/>
    </row>
    <row r="142" spans="1:12" x14ac:dyDescent="0.3">
      <c r="A142" t="s">
        <v>12</v>
      </c>
      <c r="E142" s="21" t="str">
        <f t="shared" si="16"/>
        <v/>
      </c>
      <c r="F142" s="22" t="str">
        <f>IF(OR(E142="",E142="!!!"),"",IF(NOT(ISNA(VLOOKUP(E142,E$1:E141,1,FALSE()))),"OLD",IF(AND(E142&lt;&gt;"",E142&lt;&gt;"!!!"),"NEW","")))</f>
        <v/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/>
      </c>
      <c r="H142" s="24" t="str">
        <f t="shared" ca="1" si="17"/>
        <v/>
      </c>
      <c r="I142" s="25" t="str">
        <f>IF(OR(E142="",E142="!!!",F142="NEW"),"",INDEX(B$2:B141,-1+SUMPRODUCT(MAX(ROW(E$2:E141)*(E142=E$2:E141)))))</f>
        <v/>
      </c>
      <c r="J142" s="25" t="str">
        <f ca="1">IF(OR(E142="",E142="!!!",F142="NEW"),"",COUNTBLANK(OFFSET(A$1,,,SUMPRODUCT(MAX(ROW(E$2:E142)*(E142=E$2:E142)))))-COUNTBLANK(OFFSET(A$1,,,SUMPRODUCT(MAX(ROW(E$1:E141)*(E2=E$1:E141))))))</f>
        <v/>
      </c>
      <c r="K142" s="25" t="str">
        <f>IF(OR(E142="",E142="!!!",F142="NEW"),"",INDEX(J$1:J141,SUMPRODUCT(MAX(ROW(E$1:E141)*(E142=E$1:E141)))))</f>
        <v/>
      </c>
      <c r="L142" s="26"/>
    </row>
    <row r="143" spans="1:12" x14ac:dyDescent="0.3">
      <c r="A143" t="s">
        <v>246</v>
      </c>
      <c r="E143" s="21" t="str">
        <f t="shared" si="16"/>
        <v/>
      </c>
      <c r="F143" s="22" t="str">
        <f>IF(OR(E143="",E143="!!!"),"",IF(NOT(ISNA(VLOOKUP(E143,E$1:E142,1,FALSE()))),"OLD",IF(AND(E143&lt;&gt;"",E143&lt;&gt;"!!!"),"NEW","")))</f>
        <v/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/>
      </c>
      <c r="H143" s="24" t="str">
        <f t="shared" ca="1" si="17"/>
        <v/>
      </c>
      <c r="I143" s="25" t="str">
        <f>IF(OR(E143="",E143="!!!",F143="NEW"),"",INDEX(B$2:B142,-1+SUMPRODUCT(MAX(ROW(E$2:E142)*(E143=E$2:E142)))))</f>
        <v/>
      </c>
      <c r="J143" s="25" t="str">
        <f ca="1">IF(OR(E143="",E143="!!!",F143="NEW"),"",COUNTBLANK(OFFSET(A$1,,,SUMPRODUCT(MAX(ROW(E$2:E143)*(E143=E$2:E143)))))-COUNTBLANK(OFFSET(A$1,,,SUMPRODUCT(MAX(ROW(E$1:E142)*(E2=E$1:E142))))))</f>
        <v/>
      </c>
      <c r="K143" s="25" t="str">
        <f>IF(OR(E143="",E143="!!!",F143="NEW"),"",INDEX(J$1:J142,SUMPRODUCT(MAX(ROW(E$1:E142)*(E143=E$1:E142)))))</f>
        <v/>
      </c>
      <c r="L143" s="26"/>
    </row>
    <row r="144" spans="1:12" x14ac:dyDescent="0.3">
      <c r="A144" t="s">
        <v>247</v>
      </c>
      <c r="B144" s="20" t="s">
        <v>152</v>
      </c>
      <c r="C144" s="20" t="s">
        <v>165</v>
      </c>
      <c r="E144" s="21" t="str">
        <f t="shared" si="16"/>
        <v/>
      </c>
      <c r="F144" s="22" t="str">
        <f>IF(OR(E144="",E144="!!!"),"",IF(NOT(ISNA(VLOOKUP(E144,E$1:E143,1,FALSE()))),"OLD",IF(AND(E144&lt;&gt;"",E144&lt;&gt;"!!!"),"NEW","")))</f>
        <v/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/>
      </c>
      <c r="H144" s="24" t="str">
        <f t="shared" ca="1" si="17"/>
        <v/>
      </c>
      <c r="I144" s="25" t="str">
        <f>IF(OR(E144="",E144="!!!",F144="NEW"),"",INDEX(B$2:B143,-1+SUMPRODUCT(MAX(ROW(E$2:E143)*(E144=E$2:E143)))))</f>
        <v/>
      </c>
      <c r="J144" s="25" t="str">
        <f ca="1">IF(OR(E144="",E144="!!!",F144="NEW"),"",COUNTBLANK(OFFSET(A$1,,,SUMPRODUCT(MAX(ROW(E$2:E144)*(E144=E$2:E144)))))-COUNTBLANK(OFFSET(A$1,,,SUMPRODUCT(MAX(ROW(E$1:E143)*(E2=E$1:E143))))))</f>
        <v/>
      </c>
      <c r="K144" s="25" t="str">
        <f>IF(OR(E144="",E144="!!!",F144="NEW"),"",INDEX(J$1:J143,SUMPRODUCT(MAX(ROW(E$1:E143)*(E144=E$1:E143)))))</f>
        <v/>
      </c>
      <c r="L144" s="26"/>
    </row>
    <row r="145" spans="1:12" x14ac:dyDescent="0.3">
      <c r="A145" t="s">
        <v>12</v>
      </c>
      <c r="E145" s="21" t="str">
        <f t="shared" si="16"/>
        <v/>
      </c>
      <c r="F145" s="22" t="str">
        <f>IF(OR(E145="",E145="!!!"),"",IF(NOT(ISNA(VLOOKUP(E145,E$1:E144,1,FALSE()))),"OLD",IF(AND(E145&lt;&gt;"",E145&lt;&gt;"!!!"),"NEW","")))</f>
        <v/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/>
      </c>
      <c r="H145" s="24" t="str">
        <f t="shared" ca="1" si="17"/>
        <v/>
      </c>
      <c r="I145" s="25" t="str">
        <f>IF(OR(E145="",E145="!!!",F145="NEW"),"",INDEX(B$2:B144,-1+SUMPRODUCT(MAX(ROW(E$2:E144)*(E145=E$2:E144)))))</f>
        <v/>
      </c>
      <c r="J145" s="25" t="str">
        <f ca="1">IF(OR(E145="",E145="!!!",F145="NEW"),"",COUNTBLANK(OFFSET(A$1,,,SUMPRODUCT(MAX(ROW(E$2:E145)*(E145=E$2:E145)))))-COUNTBLANK(OFFSET(A$1,,,SUMPRODUCT(MAX(ROW(E$1:E144)*(E2=E$1:E144))))))</f>
        <v/>
      </c>
      <c r="K145" s="25" t="str">
        <f>IF(OR(E145="",E145="!!!",F145="NEW"),"",INDEX(J$1:J144,SUMPRODUCT(MAX(ROW(E$1:E144)*(E145=E$1:E144)))))</f>
        <v/>
      </c>
      <c r="L145" s="26"/>
    </row>
    <row r="146" spans="1:12" x14ac:dyDescent="0.3">
      <c r="A146" t="s">
        <v>238</v>
      </c>
      <c r="E146" s="21" t="str">
        <f t="shared" si="16"/>
        <v/>
      </c>
      <c r="F146" s="22" t="str">
        <f>IF(OR(E146="",E146="!!!"),"",IF(NOT(ISNA(VLOOKUP(E146,E$1:E145,1,FALSE()))),"OLD",IF(AND(E146&lt;&gt;"",E146&lt;&gt;"!!!"),"NEW","")))</f>
        <v/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/>
      </c>
      <c r="H146" s="24" t="str">
        <f t="shared" ca="1" si="17"/>
        <v/>
      </c>
      <c r="I146" s="25" t="str">
        <f>IF(OR(E146="",E146="!!!",F146="NEW"),"",INDEX(B$2:B145,-1+SUMPRODUCT(MAX(ROW(E$2:E145)*(E146=E$2:E145)))))</f>
        <v/>
      </c>
      <c r="J146" s="25" t="str">
        <f ca="1">IF(OR(E146="",E146="!!!",F146="NEW"),"",COUNTBLANK(OFFSET(A$1,,,SUMPRODUCT(MAX(ROW(E$2:E146)*(E146=E$2:E146)))))-COUNTBLANK(OFFSET(A$1,,,SUMPRODUCT(MAX(ROW(E$1:E145)*(E2=E$1:E145))))))</f>
        <v/>
      </c>
      <c r="K146" s="25" t="str">
        <f>IF(OR(E146="",E146="!!!",F146="NEW"),"",INDEX(J$1:J145,SUMPRODUCT(MAX(ROW(E$1:E145)*(E146=E$1:E145)))))</f>
        <v/>
      </c>
      <c r="L146" s="26"/>
    </row>
    <row r="147" spans="1:12" x14ac:dyDescent="0.3">
      <c r="A147" t="s">
        <v>156</v>
      </c>
      <c r="E147" s="21" t="str">
        <f t="shared" si="16"/>
        <v/>
      </c>
      <c r="F147" s="22" t="str">
        <f>IF(OR(E147="",E147="!!!"),"",IF(NOT(ISNA(VLOOKUP(E147,E$1:E146,1,FALSE()))),"OLD",IF(AND(E147&lt;&gt;"",E147&lt;&gt;"!!!"),"NEW","")))</f>
        <v/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/>
      </c>
      <c r="H147" s="24" t="str">
        <f t="shared" ca="1" si="17"/>
        <v/>
      </c>
      <c r="I147" s="25" t="str">
        <f>IF(OR(E147="",E147="!!!",F147="NEW"),"",INDEX(B$2:B146,-1+SUMPRODUCT(MAX(ROW(E$2:E146)*(E147=E$2:E146)))))</f>
        <v/>
      </c>
      <c r="J147" s="25" t="str">
        <f ca="1">IF(OR(E147="",E147="!!!",F147="NEW"),"",COUNTBLANK(OFFSET(A$1,,,SUMPRODUCT(MAX(ROW(E$2:E147)*(E147=E$2:E147)))))-COUNTBLANK(OFFSET(A$1,,,SUMPRODUCT(MAX(ROW(E$1:E146)*(E2=E$1:E146))))))</f>
        <v/>
      </c>
      <c r="K147" s="25" t="str">
        <f>IF(OR(E147="",E147="!!!",F147="NEW"),"",INDEX(J$1:J146,SUMPRODUCT(MAX(ROW(E$1:E146)*(E147=E$1:E146)))))</f>
        <v/>
      </c>
      <c r="L147" s="26"/>
    </row>
    <row r="148" spans="1:12" x14ac:dyDescent="0.3">
      <c r="A148" t="s">
        <v>248</v>
      </c>
      <c r="E148" s="21" t="str">
        <f t="shared" si="16"/>
        <v/>
      </c>
      <c r="F148" s="22" t="str">
        <f>IF(OR(E148="",E148="!!!"),"",IF(NOT(ISNA(VLOOKUP(E148,E$1:E147,1,FALSE()))),"OLD",IF(AND(E148&lt;&gt;"",E148&lt;&gt;"!!!"),"NEW","")))</f>
        <v/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/>
      </c>
      <c r="H148" s="24" t="str">
        <f t="shared" ca="1" si="17"/>
        <v/>
      </c>
      <c r="I148" s="25" t="str">
        <f>IF(OR(E148="",E148="!!!",F148="NEW"),"",INDEX(B$2:B147,-1+SUMPRODUCT(MAX(ROW(E$2:E147)*(E148=E$2:E147)))))</f>
        <v/>
      </c>
      <c r="J148" s="25" t="str">
        <f ca="1">IF(OR(E148="",E148="!!!",F148="NEW"),"",COUNTBLANK(OFFSET(A$1,,,SUMPRODUCT(MAX(ROW(E$2:E148)*(E148=E$2:E148)))))-COUNTBLANK(OFFSET(A$1,,,SUMPRODUCT(MAX(ROW(E$1:E147)*(E2=E$1:E147))))))</f>
        <v/>
      </c>
      <c r="K148" s="25" t="str">
        <f>IF(OR(E148="",E148="!!!",F148="NEW"),"",INDEX(J$1:J147,SUMPRODUCT(MAX(ROW(E$1:E147)*(E148=E$1:E147)))))</f>
        <v/>
      </c>
      <c r="L148" s="26"/>
    </row>
    <row r="149" spans="1:12" x14ac:dyDescent="0.3">
      <c r="A149" t="s">
        <v>249</v>
      </c>
      <c r="B149" s="20" t="s">
        <v>152</v>
      </c>
      <c r="C149" s="20" t="s">
        <v>137</v>
      </c>
      <c r="D149" s="20" t="s">
        <v>131</v>
      </c>
      <c r="E149" s="21"/>
      <c r="F149" s="22" t="s">
        <v>426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/>
      </c>
      <c r="H149" s="24" t="str">
        <f t="shared" ca="1" si="17"/>
        <v/>
      </c>
      <c r="I149" s="25" t="str">
        <f>IF(OR(E149="",E149="!!!",F149="NEW"),"",INDEX(B$2:B148,-1+SUMPRODUCT(MAX(ROW(E$2:E148)*(E149=E$2:E148)))))</f>
        <v/>
      </c>
      <c r="J149" s="25" t="str">
        <f ca="1">IF(OR(E149="",E149="!!!",F149="NEW"),"",COUNTBLANK(OFFSET(A$1,,,SUMPRODUCT(MAX(ROW(E$2:E149)*(E149=E$2:E149)))))-COUNTBLANK(OFFSET(A$1,,,SUMPRODUCT(MAX(ROW(E$1:E148)*(E2=E$1:E148))))))</f>
        <v/>
      </c>
      <c r="K149" s="25" t="str">
        <f>IF(OR(E149="",E149="!!!",F149="NEW"),"",INDEX(J$1:J148,SUMPRODUCT(MAX(ROW(E$1:E148)*(E149=E$1:E148)))))</f>
        <v/>
      </c>
      <c r="L149" s="26"/>
    </row>
    <row r="150" spans="1:12" x14ac:dyDescent="0.3">
      <c r="A150" t="s">
        <v>250</v>
      </c>
      <c r="E150" s="21" t="str">
        <f t="shared" si="16"/>
        <v/>
      </c>
      <c r="F150" s="22" t="str">
        <f>IF(OR(E150="",E150="!!!"),"",IF(NOT(ISNA(VLOOKUP(E150,E$1:E149,1,FALSE()))),"OLD",IF(AND(E150&lt;&gt;"",E150&lt;&gt;"!!!"),"NEW","")))</f>
        <v/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/>
      </c>
      <c r="H150" s="24" t="str">
        <f t="shared" ca="1" si="17"/>
        <v/>
      </c>
      <c r="I150" s="25" t="str">
        <f>IF(OR(E150="",E150="!!!",F150="NEW"),"",INDEX(B$2:B149,-1+SUMPRODUCT(MAX(ROW(E$2:E149)*(E150=E$2:E149)))))</f>
        <v/>
      </c>
      <c r="J150" s="25" t="str">
        <f ca="1">IF(OR(E150="",E150="!!!",F150="NEW"),"",COUNTBLANK(OFFSET(A$1,,,SUMPRODUCT(MAX(ROW(E$2:E150)*(E150=E$2:E150)))))-COUNTBLANK(OFFSET(A$1,,,SUMPRODUCT(MAX(ROW(E$1:E149)*(E2=E$1:E149))))))</f>
        <v/>
      </c>
      <c r="K150" s="25" t="str">
        <f>IF(OR(E150="",E150="!!!",F150="NEW"),"",INDEX(J$1:J149,SUMPRODUCT(MAX(ROW(E$1:E149)*(E150=E$1:E149)))))</f>
        <v/>
      </c>
      <c r="L150" s="26"/>
    </row>
    <row r="151" spans="1:12" x14ac:dyDescent="0.3">
      <c r="A151" t="s">
        <v>251</v>
      </c>
      <c r="B151" s="20" t="s">
        <v>145</v>
      </c>
      <c r="C151" s="20" t="s">
        <v>207</v>
      </c>
      <c r="E151" s="21" t="s">
        <v>457</v>
      </c>
      <c r="F151" s="22" t="str">
        <f>IF(OR(E151="",E151="!!!"),"",IF(NOT(ISNA(VLOOKUP(E151,E$1:E150,1,FALSE()))),"OLD",IF(AND(E151&lt;&gt;"",E151&lt;&gt;"!!!"),"NEW","")))</f>
        <v>OLD</v>
      </c>
      <c r="G151" s="23" t="str">
        <f ca="1"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?IN_FOCUS</v>
      </c>
      <c r="H151" s="24" t="str">
        <f t="shared" ca="1" si="17"/>
        <v/>
      </c>
      <c r="I151" s="25" t="str">
        <f>IF(OR(E151="",E151="!!!",F151="NEW"),"",INDEX(B$2:B150,-1+SUMPRODUCT(MAX(ROW(E$2:E150)*(E151=E$2:E150)))))</f>
        <v>SBJ_2</v>
      </c>
      <c r="J151" s="25">
        <f ca="1">IF(OR(E151="",E151="!!!",F151="NEW"),"",COUNTBLANK(OFFSET(A$1,,,SUMPRODUCT(MAX(ROW(E$2:E151)*(E151=E$2:E151)))))-COUNTBLANK(OFFSET(A$1,,,SUMPRODUCT(MAX(ROW(E$1:E150)*(E2=E$1:E150))))))</f>
        <v>0</v>
      </c>
      <c r="K151" s="25">
        <f ca="1">IF(OR(E151="",E151="!!!",F151="NEW"),"",INDEX(J$1:J150,SUMPRODUCT(MAX(ROW(E$1:E150)*(E151=E$1:E150)))))</f>
        <v>0</v>
      </c>
      <c r="L151" s="26" t="s">
        <v>460</v>
      </c>
    </row>
    <row r="152" spans="1:12" x14ac:dyDescent="0.3">
      <c r="A152" t="s">
        <v>148</v>
      </c>
      <c r="E152" s="21" t="str">
        <f t="shared" si="16"/>
        <v/>
      </c>
      <c r="F152" s="22" t="str">
        <f>IF(OR(E152="",E152="!!!"),"",IF(NOT(ISNA(VLOOKUP(E152,E$1:E151,1,FALSE()))),"OLD",IF(AND(E152&lt;&gt;"",E152&lt;&gt;"!!!"),"NEW","")))</f>
        <v/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/>
      </c>
      <c r="H152" s="24" t="str">
        <f t="shared" ca="1" si="17"/>
        <v/>
      </c>
      <c r="I152" s="25" t="str">
        <f>IF(OR(E152="",E152="!!!",F152="NEW"),"",INDEX(B$2:B151,-1+SUMPRODUCT(MAX(ROW(E$2:E151)*(E152=E$2:E151)))))</f>
        <v/>
      </c>
      <c r="J152" s="25" t="str">
        <f ca="1">IF(OR(E152="",E152="!!!",F152="NEW"),"",COUNTBLANK(OFFSET(A$1,,,SUMPRODUCT(MAX(ROW(E$2:E152)*(E152=E$2:E152)))))-COUNTBLANK(OFFSET(A$1,,,SUMPRODUCT(MAX(ROW(E$1:E151)*(E2=E$1:E151))))))</f>
        <v/>
      </c>
      <c r="K152" s="25" t="str">
        <f>IF(OR(E152="",E152="!!!",F152="NEW"),"",INDEX(J$1:J151,SUMPRODUCT(MAX(ROW(E$1:E151)*(E152=E$1:E151)))))</f>
        <v/>
      </c>
      <c r="L152" s="26"/>
    </row>
    <row r="154" spans="1:12" x14ac:dyDescent="0.3">
      <c r="A154" t="s">
        <v>252</v>
      </c>
    </row>
    <row r="155" spans="1:12" x14ac:dyDescent="0.3">
      <c r="A155" t="s">
        <v>253</v>
      </c>
      <c r="B155" s="20" t="s">
        <v>129</v>
      </c>
      <c r="C155" s="20" t="s">
        <v>181</v>
      </c>
      <c r="D155" s="20" t="s">
        <v>131</v>
      </c>
      <c r="E155" s="21" t="s">
        <v>424</v>
      </c>
      <c r="F155" s="22" t="str">
        <f>IF(OR(E155="",E155="!!!"),"",IF(NOT(ISNA(VLOOKUP(E155,E$1:E154,1,FALSE()))),"OLD",IF(AND(E155&lt;&gt;"",E155&lt;&gt;"!!!"),"NEW","")))</f>
        <v>OLD</v>
      </c>
      <c r="G155" s="23" t="str">
        <f ca="1"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?IN_FOCUS</v>
      </c>
      <c r="H155" s="24" t="str">
        <f t="shared" ref="H155:H178" ca="1" si="18">IF(J155&lt;&gt;1,"",IF(I155="SBJ","CB","?"))</f>
        <v/>
      </c>
      <c r="I155" s="25" t="str">
        <f>IF(OR(E155="",E155="!!!",F155="NEW"),"",INDEX(B$2:B154,-1+SUMPRODUCT(MAX(ROW(E$2:E154)*(E155=E$2:E154)))))</f>
        <v>other</v>
      </c>
      <c r="J155" s="25">
        <f ca="1">IF(OR(E155="",E155="!!!",F155="NEW"),"",COUNTBLANK(OFFSET(A$1,,,SUMPRODUCT(MAX(ROW(E$2:E155)*(E155=E$2:E155)))))-COUNTBLANK(OFFSET(A$1,,,SUMPRODUCT(MAX(ROW(E$1:E154)*(E2=E$1:E154))))))</f>
        <v>0</v>
      </c>
      <c r="K155" s="25">
        <f ca="1">IF(OR(E155="",E155="!!!",F155="NEW"),"",INDEX(J$1:J154,SUMPRODUCT(MAX(ROW(E$1:E154)*(E155=E$1:E154)))))</f>
        <v>0</v>
      </c>
      <c r="L155" s="26"/>
    </row>
    <row r="156" spans="1:12" x14ac:dyDescent="0.3">
      <c r="A156" t="s">
        <v>254</v>
      </c>
      <c r="E156" s="21" t="str">
        <f t="shared" ref="E156:E178" si="19">IF(D156="?OLD","!!!","")</f>
        <v/>
      </c>
      <c r="F156" s="22" t="str">
        <f>IF(OR(E156="",E156="!!!"),"",IF(NOT(ISNA(VLOOKUP(E156,E$1:E155,1,FALSE()))),"OLD",IF(AND(E156&lt;&gt;"",E156&lt;&gt;"!!!"),"NEW","")))</f>
        <v/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/>
      </c>
      <c r="H156" s="24" t="str">
        <f t="shared" ca="1" si="18"/>
        <v/>
      </c>
      <c r="I156" s="25" t="str">
        <f>IF(OR(E156="",E156="!!!",F156="NEW"),"",INDEX(B$2:B155,-1+SUMPRODUCT(MAX(ROW(E$2:E155)*(E156=E$2:E155)))))</f>
        <v/>
      </c>
      <c r="J156" s="25" t="str">
        <f ca="1">IF(OR(E156="",E156="!!!",F156="NEW"),"",COUNTBLANK(OFFSET(A$1,,,SUMPRODUCT(MAX(ROW(E$2:E156)*(E156=E$2:E156)))))-COUNTBLANK(OFFSET(A$1,,,SUMPRODUCT(MAX(ROW(E$1:E155)*(E2=E$1:E155))))))</f>
        <v/>
      </c>
      <c r="K156" s="25" t="str">
        <f>IF(OR(E156="",E156="!!!",F156="NEW"),"",INDEX(J$1:J155,SUMPRODUCT(MAX(ROW(E$1:E155)*(E156=E$1:E155)))))</f>
        <v/>
      </c>
      <c r="L156" s="26"/>
    </row>
    <row r="157" spans="1:12" x14ac:dyDescent="0.3">
      <c r="A157" t="s">
        <v>194</v>
      </c>
      <c r="B157" s="20" t="s">
        <v>136</v>
      </c>
      <c r="E157" s="21" t="str">
        <f t="shared" si="19"/>
        <v/>
      </c>
      <c r="F157" s="22" t="str">
        <f>IF(OR(E157="",E157="!!!"),"",IF(NOT(ISNA(VLOOKUP(E157,E$1:E156,1,FALSE()))),"OLD",IF(AND(E157&lt;&gt;"",E157&lt;&gt;"!!!"),"NEW","")))</f>
        <v/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/>
      </c>
      <c r="H157" s="24" t="str">
        <f t="shared" ca="1" si="18"/>
        <v/>
      </c>
      <c r="I157" s="25" t="str">
        <f>IF(OR(E157="",E157="!!!",F157="NEW"),"",INDEX(B$2:B156,-1+SUMPRODUCT(MAX(ROW(E$2:E156)*(E157=E$2:E156)))))</f>
        <v/>
      </c>
      <c r="J157" s="25" t="str">
        <f ca="1">IF(OR(E157="",E157="!!!",F157="NEW"),"",COUNTBLANK(OFFSET(A$1,,,SUMPRODUCT(MAX(ROW(E$2:E157)*(E157=E$2:E157)))))-COUNTBLANK(OFFSET(A$1,,,SUMPRODUCT(MAX(ROW(E$1:E156)*(E2=E$1:E156))))))</f>
        <v/>
      </c>
      <c r="K157" s="25" t="str">
        <f>IF(OR(E157="",E157="!!!",F157="NEW"),"",INDEX(J$1:J156,SUMPRODUCT(MAX(ROW(E$1:E156)*(E157=E$1:E156)))))</f>
        <v/>
      </c>
      <c r="L157" s="26"/>
    </row>
    <row r="158" spans="1:12" x14ac:dyDescent="0.3">
      <c r="A158" t="s">
        <v>161</v>
      </c>
      <c r="E158" s="21" t="str">
        <f t="shared" si="19"/>
        <v/>
      </c>
      <c r="F158" s="22" t="str">
        <f>IF(OR(E158="",E158="!!!"),"",IF(NOT(ISNA(VLOOKUP(E158,E$1:E157,1,FALSE()))),"OLD",IF(AND(E158&lt;&gt;"",E158&lt;&gt;"!!!"),"NEW","")))</f>
        <v/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/>
      </c>
      <c r="H158" s="24" t="str">
        <f t="shared" ca="1" si="18"/>
        <v/>
      </c>
      <c r="I158" s="25" t="str">
        <f>IF(OR(E158="",E158="!!!",F158="NEW"),"",INDEX(B$2:B157,-1+SUMPRODUCT(MAX(ROW(E$2:E157)*(E158=E$2:E157)))))</f>
        <v/>
      </c>
      <c r="J158" s="25" t="str">
        <f ca="1">IF(OR(E158="",E158="!!!",F158="NEW"),"",COUNTBLANK(OFFSET(A$1,,,SUMPRODUCT(MAX(ROW(E$2:E158)*(E158=E$2:E158)))))-COUNTBLANK(OFFSET(A$1,,,SUMPRODUCT(MAX(ROW(E$1:E157)*(E2=E$1:E157))))))</f>
        <v/>
      </c>
      <c r="K158" s="25" t="str">
        <f>IF(OR(E158="",E158="!!!",F158="NEW"),"",INDEX(J$1:J157,SUMPRODUCT(MAX(ROW(E$1:E157)*(E158=E$1:E157)))))</f>
        <v/>
      </c>
      <c r="L158" s="26"/>
    </row>
    <row r="159" spans="1:12" x14ac:dyDescent="0.3">
      <c r="A159" t="s">
        <v>255</v>
      </c>
      <c r="E159" s="21" t="s">
        <v>424</v>
      </c>
      <c r="F159" s="22" t="str">
        <f>IF(OR(E159="",E159="!!!"),"",IF(NOT(ISNA(VLOOKUP(E159,E$1:E158,1,FALSE()))),"OLD",IF(AND(E159&lt;&gt;"",E159&lt;&gt;"!!!"),"NEW","")))</f>
        <v>OLD</v>
      </c>
      <c r="G159" s="23" t="str">
        <f ca="1"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?IN_FOCUS</v>
      </c>
      <c r="H159" s="24" t="str">
        <f t="shared" ca="1" si="18"/>
        <v/>
      </c>
      <c r="I159" s="25" t="str">
        <f>IF(OR(E159="",E159="!!!",F159="NEW"),"",INDEX(B$2:B158,-1+SUMPRODUCT(MAX(ROW(E$2:E158)*(E159=E$2:E158)))))</f>
        <v>SBJ</v>
      </c>
      <c r="J159" s="25">
        <f ca="1">IF(OR(E159="",E159="!!!",F159="NEW"),"",COUNTBLANK(OFFSET(A$1,,,SUMPRODUCT(MAX(ROW(E$2:E159)*(E159=E$2:E159)))))-COUNTBLANK(OFFSET(A$1,,,SUMPRODUCT(MAX(ROW(E$1:E158)*(E2=E$1:E158))))))</f>
        <v>0</v>
      </c>
      <c r="K159" s="25">
        <f ca="1">IF(OR(E159="",E159="!!!",F159="NEW"),"",INDEX(J$1:J158,SUMPRODUCT(MAX(ROW(E$1:E158)*(E159=E$1:E158)))))</f>
        <v>0</v>
      </c>
      <c r="L159" s="26" t="s">
        <v>425</v>
      </c>
    </row>
    <row r="160" spans="1:12" x14ac:dyDescent="0.3">
      <c r="A160" t="s">
        <v>256</v>
      </c>
      <c r="B160" s="20" t="s">
        <v>152</v>
      </c>
      <c r="C160" s="20" t="s">
        <v>141</v>
      </c>
      <c r="E160" s="21" t="s">
        <v>430</v>
      </c>
      <c r="F160" s="22" t="str">
        <f>IF(OR(E160="",E160="!!!"),"",IF(NOT(ISNA(VLOOKUP(E160,E$1:E159,1,FALSE()))),"OLD",IF(AND(E160&lt;&gt;"",E160&lt;&gt;"!!!"),"NEW","")))</f>
        <v>NEW</v>
      </c>
      <c r="G160" s="23" t="str">
        <f ca="1"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?REFERENTIAL</v>
      </c>
      <c r="H160" s="24" t="str">
        <f t="shared" ca="1" si="18"/>
        <v/>
      </c>
      <c r="I160" s="25" t="str">
        <f>IF(OR(E160="",E160="!!!",F160="NEW"),"",INDEX(B$2:B159,-1+SUMPRODUCT(MAX(ROW(E$2:E159)*(E160=E$2:E159)))))</f>
        <v/>
      </c>
      <c r="J160" s="25" t="str">
        <f ca="1">IF(OR(E160="",E160="!!!",F160="NEW"),"",COUNTBLANK(OFFSET(A$1,,,SUMPRODUCT(MAX(ROW(E$2:E160)*(E160=E$2:E160)))))-COUNTBLANK(OFFSET(A$1,,,SUMPRODUCT(MAX(ROW(E$1:E159)*(E2=E$1:E159))))))</f>
        <v/>
      </c>
      <c r="K160" s="25" t="str">
        <f>IF(OR(E160="",E160="!!!",F160="NEW"),"",INDEX(J$1:J159,SUMPRODUCT(MAX(ROW(E$1:E159)*(E160=E$1:E159)))))</f>
        <v/>
      </c>
      <c r="L160" s="26"/>
    </row>
    <row r="161" spans="1:12" x14ac:dyDescent="0.3">
      <c r="A161" t="s">
        <v>257</v>
      </c>
      <c r="E161" s="21" t="str">
        <f t="shared" si="19"/>
        <v/>
      </c>
      <c r="F161" s="22" t="str">
        <f>IF(OR(E161="",E161="!!!"),"",IF(NOT(ISNA(VLOOKUP(E161,E$1:E160,1,FALSE()))),"OLD",IF(AND(E161&lt;&gt;"",E161&lt;&gt;"!!!"),"NEW","")))</f>
        <v/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/>
      </c>
      <c r="H161" s="24" t="str">
        <f t="shared" ca="1" si="18"/>
        <v/>
      </c>
      <c r="I161" s="25" t="str">
        <f>IF(OR(E161="",E161="!!!",F161="NEW"),"",INDEX(B$2:B160,-1+SUMPRODUCT(MAX(ROW(E$2:E160)*(E161=E$2:E160)))))</f>
        <v/>
      </c>
      <c r="J161" s="25" t="str">
        <f ca="1">IF(OR(E161="",E161="!!!",F161="NEW"),"",COUNTBLANK(OFFSET(A$1,,,SUMPRODUCT(MAX(ROW(E$2:E161)*(E161=E$2:E161)))))-COUNTBLANK(OFFSET(A$1,,,SUMPRODUCT(MAX(ROW(E$1:E160)*(E2=E$1:E160))))))</f>
        <v/>
      </c>
      <c r="K161" s="25" t="str">
        <f>IF(OR(E161="",E161="!!!",F161="NEW"),"",INDEX(J$1:J160,SUMPRODUCT(MAX(ROW(E$1:E160)*(E161=E$1:E160)))))</f>
        <v/>
      </c>
      <c r="L161" s="26"/>
    </row>
    <row r="162" spans="1:12" x14ac:dyDescent="0.3">
      <c r="A162" t="s">
        <v>134</v>
      </c>
      <c r="E162" s="21" t="str">
        <f t="shared" si="19"/>
        <v/>
      </c>
      <c r="F162" s="22" t="str">
        <f>IF(OR(E162="",E162="!!!"),"",IF(NOT(ISNA(VLOOKUP(E162,E$1:E161,1,FALSE()))),"OLD",IF(AND(E162&lt;&gt;"",E162&lt;&gt;"!!!"),"NEW","")))</f>
        <v/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/>
      </c>
      <c r="H162" s="24" t="str">
        <f t="shared" ca="1" si="18"/>
        <v/>
      </c>
      <c r="I162" s="25" t="str">
        <f>IF(OR(E162="",E162="!!!",F162="NEW"),"",INDEX(B$2:B161,-1+SUMPRODUCT(MAX(ROW(E$2:E161)*(E162=E$2:E161)))))</f>
        <v/>
      </c>
      <c r="J162" s="25" t="str">
        <f ca="1">IF(OR(E162="",E162="!!!",F162="NEW"),"",COUNTBLANK(OFFSET(A$1,,,SUMPRODUCT(MAX(ROW(E$2:E162)*(E162=E$2:E162)))))-COUNTBLANK(OFFSET(A$1,,,SUMPRODUCT(MAX(ROW(E$1:E161)*(E2=E$1:E161))))))</f>
        <v/>
      </c>
      <c r="K162" s="25" t="str">
        <f>IF(OR(E162="",E162="!!!",F162="NEW"),"",INDEX(J$1:J161,SUMPRODUCT(MAX(ROW(E$1:E161)*(E162=E$1:E161)))))</f>
        <v/>
      </c>
      <c r="L162" s="26"/>
    </row>
    <row r="163" spans="1:12" x14ac:dyDescent="0.3">
      <c r="A163" t="s">
        <v>258</v>
      </c>
      <c r="B163" s="20" t="s">
        <v>145</v>
      </c>
      <c r="C163" s="20" t="s">
        <v>243</v>
      </c>
      <c r="D163" s="20" t="s">
        <v>131</v>
      </c>
      <c r="E163" s="21" t="s">
        <v>487</v>
      </c>
      <c r="F163" s="22" t="str">
        <f>IF(OR(E163="",E163="!!!"),"",IF(NOT(ISNA(VLOOKUP(E163,E$1:E162,1,FALSE()))),"OLD",IF(AND(E163&lt;&gt;"",E163&lt;&gt;"!!!"),"NEW","")))</f>
        <v>NEW</v>
      </c>
      <c r="G163" s="23" t="str">
        <f ca="1"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?REFERENTIAL</v>
      </c>
      <c r="H163" s="24" t="str">
        <f t="shared" ca="1" si="18"/>
        <v/>
      </c>
      <c r="I163" s="25" t="str">
        <f>IF(OR(E163="",E163="!!!",F163="NEW"),"",INDEX(B$2:B162,-1+SUMPRODUCT(MAX(ROW(E$2:E162)*(E163=E$2:E162)))))</f>
        <v/>
      </c>
      <c r="J163" s="25" t="str">
        <f ca="1">IF(OR(E163="",E163="!!!",F163="NEW"),"",COUNTBLANK(OFFSET(A$1,,,SUMPRODUCT(MAX(ROW(E$2:E163)*(E163=E$2:E163)))))-COUNTBLANK(OFFSET(A$1,,,SUMPRODUCT(MAX(ROW(E$1:E162)*(E2=E$1:E162))))))</f>
        <v/>
      </c>
      <c r="K163" s="25" t="str">
        <f>IF(OR(E163="",E163="!!!",F163="NEW"),"",INDEX(J$1:J162,SUMPRODUCT(MAX(ROW(E$1:E162)*(E163=E$1:E162)))))</f>
        <v/>
      </c>
      <c r="L163" s="26"/>
    </row>
    <row r="164" spans="1:12" x14ac:dyDescent="0.3">
      <c r="A164" t="s">
        <v>259</v>
      </c>
      <c r="E164" s="21" t="str">
        <f t="shared" si="19"/>
        <v/>
      </c>
      <c r="F164" s="22" t="str">
        <f>IF(OR(E164="",E164="!!!"),"",IF(NOT(ISNA(VLOOKUP(E164,E$1:E163,1,FALSE()))),"OLD",IF(AND(E164&lt;&gt;"",E164&lt;&gt;"!!!"),"NEW","")))</f>
        <v/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/>
      </c>
      <c r="H164" s="24" t="str">
        <f t="shared" ca="1" si="18"/>
        <v/>
      </c>
      <c r="I164" s="25" t="str">
        <f>IF(OR(E164="",E164="!!!",F164="NEW"),"",INDEX(B$2:B163,-1+SUMPRODUCT(MAX(ROW(E$2:E163)*(E164=E$2:E163)))))</f>
        <v/>
      </c>
      <c r="J164" s="25" t="str">
        <f ca="1">IF(OR(E164="",E164="!!!",F164="NEW"),"",COUNTBLANK(OFFSET(A$1,,,SUMPRODUCT(MAX(ROW(E$2:E164)*(E164=E$2:E164)))))-COUNTBLANK(OFFSET(A$1,,,SUMPRODUCT(MAX(ROW(E$1:E163)*(E2=E$1:E163))))))</f>
        <v/>
      </c>
      <c r="K164" s="25" t="str">
        <f>IF(OR(E164="",E164="!!!",F164="NEW"),"",INDEX(J$1:J163,SUMPRODUCT(MAX(ROW(E$1:E163)*(E164=E$1:E163)))))</f>
        <v/>
      </c>
      <c r="L164" s="26"/>
    </row>
    <row r="165" spans="1:12" x14ac:dyDescent="0.3">
      <c r="A165" t="s">
        <v>260</v>
      </c>
      <c r="B165" s="20" t="s">
        <v>158</v>
      </c>
      <c r="C165" s="20" t="s">
        <v>130</v>
      </c>
      <c r="D165" s="20" t="s">
        <v>131</v>
      </c>
      <c r="E165" s="21" t="s">
        <v>488</v>
      </c>
      <c r="F165" s="22" t="str">
        <f>IF(OR(E165="",E165="!!!"),"",IF(NOT(ISNA(VLOOKUP(E165,E$1:E164,1,FALSE()))),"OLD",IF(AND(E165&lt;&gt;"",E165&lt;&gt;"!!!"),"NEW","")))</f>
        <v>NEW</v>
      </c>
      <c r="G165" s="23" t="str">
        <f ca="1"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?REFERENTIAL</v>
      </c>
      <c r="H165" s="24" t="str">
        <f t="shared" ca="1" si="18"/>
        <v/>
      </c>
      <c r="I165" s="25" t="str">
        <f>IF(OR(E165="",E165="!!!",F165="NEW"),"",INDEX(B$2:B164,-1+SUMPRODUCT(MAX(ROW(E$2:E164)*(E165=E$2:E164)))))</f>
        <v/>
      </c>
      <c r="J165" s="25" t="str">
        <f ca="1">IF(OR(E165="",E165="!!!",F165="NEW"),"",COUNTBLANK(OFFSET(A$1,,,SUMPRODUCT(MAX(ROW(E$2:E165)*(E165=E$2:E165)))))-COUNTBLANK(OFFSET(A$1,,,SUMPRODUCT(MAX(ROW(E$1:E164)*(E2=E$1:E164))))))</f>
        <v/>
      </c>
      <c r="K165" s="25" t="str">
        <f>IF(OR(E165="",E165="!!!",F165="NEW"),"",INDEX(J$1:J164,SUMPRODUCT(MAX(ROW(E$1:E164)*(E165=E$1:E164)))))</f>
        <v/>
      </c>
      <c r="L165" s="26"/>
    </row>
    <row r="166" spans="1:12" x14ac:dyDescent="0.3">
      <c r="A166" t="s">
        <v>261</v>
      </c>
      <c r="E166" s="21" t="str">
        <f t="shared" si="19"/>
        <v/>
      </c>
      <c r="F166" s="22" t="str">
        <f>IF(OR(E166="",E166="!!!"),"",IF(NOT(ISNA(VLOOKUP(E166,E$1:E165,1,FALSE()))),"OLD",IF(AND(E166&lt;&gt;"",E166&lt;&gt;"!!!"),"NEW","")))</f>
        <v/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/>
      </c>
      <c r="H166" s="24" t="str">
        <f t="shared" ca="1" si="18"/>
        <v/>
      </c>
      <c r="I166" s="25" t="str">
        <f>IF(OR(E166="",E166="!!!",F166="NEW"),"",INDEX(B$2:B165,-1+SUMPRODUCT(MAX(ROW(E$2:E165)*(E166=E$2:E165)))))</f>
        <v/>
      </c>
      <c r="J166" s="25" t="str">
        <f ca="1">IF(OR(E166="",E166="!!!",F166="NEW"),"",COUNTBLANK(OFFSET(A$1,,,SUMPRODUCT(MAX(ROW(E$2:E166)*(E166=E$2:E166)))))-COUNTBLANK(OFFSET(A$1,,,SUMPRODUCT(MAX(ROW(E$1:E165)*(E2=E$1:E165))))))</f>
        <v/>
      </c>
      <c r="K166" s="25" t="str">
        <f>IF(OR(E166="",E166="!!!",F166="NEW"),"",INDEX(J$1:J165,SUMPRODUCT(MAX(ROW(E$1:E165)*(E166=E$1:E165)))))</f>
        <v/>
      </c>
      <c r="L166" s="26"/>
    </row>
    <row r="167" spans="1:12" x14ac:dyDescent="0.3">
      <c r="A167" t="s">
        <v>198</v>
      </c>
      <c r="E167" s="21" t="str">
        <f t="shared" si="19"/>
        <v/>
      </c>
      <c r="F167" s="22" t="str">
        <f>IF(OR(E167="",E167="!!!"),"",IF(NOT(ISNA(VLOOKUP(E167,E$1:E166,1,FALSE()))),"OLD",IF(AND(E167&lt;&gt;"",E167&lt;&gt;"!!!"),"NEW","")))</f>
        <v/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/>
      </c>
      <c r="H167" s="24" t="str">
        <f t="shared" ca="1" si="18"/>
        <v/>
      </c>
      <c r="I167" s="25" t="str">
        <f>IF(OR(E167="",E167="!!!",F167="NEW"),"",INDEX(B$2:B166,-1+SUMPRODUCT(MAX(ROW(E$2:E166)*(E167=E$2:E166)))))</f>
        <v/>
      </c>
      <c r="J167" s="25" t="str">
        <f ca="1">IF(OR(E167="",E167="!!!",F167="NEW"),"",COUNTBLANK(OFFSET(A$1,,,SUMPRODUCT(MAX(ROW(E$2:E167)*(E167=E$2:E167)))))-COUNTBLANK(OFFSET(A$1,,,SUMPRODUCT(MAX(ROW(E$1:E166)*(E2=E$1:E166))))))</f>
        <v/>
      </c>
      <c r="K167" s="25" t="str">
        <f>IF(OR(E167="",E167="!!!",F167="NEW"),"",INDEX(J$1:J166,SUMPRODUCT(MAX(ROW(E$1:E166)*(E167=E$1:E166)))))</f>
        <v/>
      </c>
      <c r="L167" s="26"/>
    </row>
    <row r="168" spans="1:12" x14ac:dyDescent="0.3">
      <c r="A168" t="s">
        <v>142</v>
      </c>
      <c r="E168" s="21" t="str">
        <f t="shared" si="19"/>
        <v/>
      </c>
      <c r="F168" s="22" t="str">
        <f>IF(OR(E168="",E168="!!!"),"",IF(NOT(ISNA(VLOOKUP(E168,E$1:E167,1,FALSE()))),"OLD",IF(AND(E168&lt;&gt;"",E168&lt;&gt;"!!!"),"NEW","")))</f>
        <v/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/>
      </c>
      <c r="H168" s="24" t="str">
        <f t="shared" ca="1" si="18"/>
        <v/>
      </c>
      <c r="I168" s="25" t="str">
        <f>IF(OR(E168="",E168="!!!",F168="NEW"),"",INDEX(B$2:B167,-1+SUMPRODUCT(MAX(ROW(E$2:E167)*(E168=E$2:E167)))))</f>
        <v/>
      </c>
      <c r="J168" s="25" t="str">
        <f ca="1">IF(OR(E168="",E168="!!!",F168="NEW"),"",COUNTBLANK(OFFSET(A$1,,,SUMPRODUCT(MAX(ROW(E$2:E168)*(E168=E$2:E168)))))-COUNTBLANK(OFFSET(A$1,,,SUMPRODUCT(MAX(ROW(E$1:E167)*(E2=E$1:E167))))))</f>
        <v/>
      </c>
      <c r="K168" s="25" t="str">
        <f>IF(OR(E168="",E168="!!!",F168="NEW"),"",INDEX(J$1:J167,SUMPRODUCT(MAX(ROW(E$1:E167)*(E168=E$1:E167)))))</f>
        <v/>
      </c>
      <c r="L168" s="26"/>
    </row>
    <row r="169" spans="1:12" x14ac:dyDescent="0.3">
      <c r="A169" t="s">
        <v>166</v>
      </c>
      <c r="E169" s="21" t="str">
        <f t="shared" si="19"/>
        <v/>
      </c>
      <c r="F169" s="22" t="str">
        <f>IF(OR(E169="",E169="!!!"),"",IF(NOT(ISNA(VLOOKUP(E169,E$1:E168,1,FALSE()))),"OLD",IF(AND(E169&lt;&gt;"",E169&lt;&gt;"!!!"),"NEW","")))</f>
        <v/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/>
      </c>
      <c r="H169" s="24" t="str">
        <f t="shared" ca="1" si="18"/>
        <v/>
      </c>
      <c r="I169" s="25" t="str">
        <f>IF(OR(E169="",E169="!!!",F169="NEW"),"",INDEX(B$2:B168,-1+SUMPRODUCT(MAX(ROW(E$2:E168)*(E169=E$2:E168)))))</f>
        <v/>
      </c>
      <c r="J169" s="25" t="str">
        <f ca="1">IF(OR(E169="",E169="!!!",F169="NEW"),"",COUNTBLANK(OFFSET(A$1,,,SUMPRODUCT(MAX(ROW(E$2:E169)*(E169=E$2:E169)))))-COUNTBLANK(OFFSET(A$1,,,SUMPRODUCT(MAX(ROW(E$1:E168)*(E2=E$1:E168))))))</f>
        <v/>
      </c>
      <c r="K169" s="25" t="str">
        <f>IF(OR(E169="",E169="!!!",F169="NEW"),"",INDEX(J$1:J168,SUMPRODUCT(MAX(ROW(E$1:E168)*(E169=E$1:E168)))))</f>
        <v/>
      </c>
      <c r="L169" s="26"/>
    </row>
    <row r="170" spans="1:12" x14ac:dyDescent="0.3">
      <c r="A170" t="s">
        <v>144</v>
      </c>
      <c r="B170" s="20" t="s">
        <v>145</v>
      </c>
      <c r="C170" s="20" t="s">
        <v>155</v>
      </c>
      <c r="E170" s="21" t="s">
        <v>457</v>
      </c>
      <c r="F170" s="22" t="str">
        <f>IF(OR(E170="",E170="!!!"),"",IF(NOT(ISNA(VLOOKUP(E170,E$1:E169,1,FALSE()))),"OLD",IF(AND(E170&lt;&gt;"",E170&lt;&gt;"!!!"),"NEW","")))</f>
        <v>OLD</v>
      </c>
      <c r="G170" s="23" t="str">
        <f ca="1"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?IN_FOCUS</v>
      </c>
      <c r="H170" s="24" t="str">
        <f t="shared" ca="1" si="18"/>
        <v/>
      </c>
      <c r="I170" s="25" t="str">
        <f>IF(OR(E170="",E170="!!!",F170="NEW"),"",INDEX(B$2:B169,-1+SUMPRODUCT(MAX(ROW(E$2:E169)*(E170=E$2:E169)))))</f>
        <v>other_2</v>
      </c>
      <c r="J170" s="25">
        <f ca="1">IF(OR(E170="",E170="!!!",F170="NEW"),"",COUNTBLANK(OFFSET(A$1,,,SUMPRODUCT(MAX(ROW(E$2:E170)*(E170=E$2:E170)))))-COUNTBLANK(OFFSET(A$1,,,SUMPRODUCT(MAX(ROW(E$1:E169)*(E2=E$1:E169))))))</f>
        <v>0</v>
      </c>
      <c r="K170" s="25">
        <f ca="1">IF(OR(E170="",E170="!!!",F170="NEW"),"",INDEX(J$1:J169,SUMPRODUCT(MAX(ROW(E$1:E169)*(E170=E$1:E169)))))</f>
        <v>0</v>
      </c>
      <c r="L170" s="26"/>
    </row>
    <row r="171" spans="1:12" x14ac:dyDescent="0.3">
      <c r="A171" t="s">
        <v>262</v>
      </c>
      <c r="E171" s="21" t="str">
        <f t="shared" si="19"/>
        <v/>
      </c>
      <c r="F171" s="22" t="str">
        <f>IF(OR(E171="",E171="!!!"),"",IF(NOT(ISNA(VLOOKUP(E171,E$1:E170,1,FALSE()))),"OLD",IF(AND(E171&lt;&gt;"",E171&lt;&gt;"!!!"),"NEW","")))</f>
        <v/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/>
      </c>
      <c r="H171" s="24" t="str">
        <f t="shared" ca="1" si="18"/>
        <v/>
      </c>
      <c r="I171" s="25" t="str">
        <f>IF(OR(E171="",E171="!!!",F171="NEW"),"",INDEX(B$2:B170,-1+SUMPRODUCT(MAX(ROW(E$2:E170)*(E171=E$2:E170)))))</f>
        <v/>
      </c>
      <c r="J171" s="25" t="str">
        <f ca="1">IF(OR(E171="",E171="!!!",F171="NEW"),"",COUNTBLANK(OFFSET(A$1,,,SUMPRODUCT(MAX(ROW(E$2:E171)*(E171=E$2:E171)))))-COUNTBLANK(OFFSET(A$1,,,SUMPRODUCT(MAX(ROW(E$1:E170)*(E2=E$1:E170))))))</f>
        <v/>
      </c>
      <c r="K171" s="25" t="str">
        <f>IF(OR(E171="",E171="!!!",F171="NEW"),"",INDEX(J$1:J170,SUMPRODUCT(MAX(ROW(E$1:E170)*(E171=E$1:E170)))))</f>
        <v/>
      </c>
      <c r="L171" s="26"/>
    </row>
    <row r="172" spans="1:12" x14ac:dyDescent="0.3">
      <c r="A172" t="s">
        <v>263</v>
      </c>
      <c r="B172" s="20" t="s">
        <v>200</v>
      </c>
      <c r="C172" s="20" t="s">
        <v>181</v>
      </c>
      <c r="D172" s="20" t="s">
        <v>131</v>
      </c>
      <c r="E172" s="21" t="s">
        <v>424</v>
      </c>
      <c r="F172" s="22" t="str">
        <f>IF(OR(E172="",E172="!!!"),"",IF(NOT(ISNA(VLOOKUP(E172,E$1:E171,1,FALSE()))),"OLD",IF(AND(E172&lt;&gt;"",E172&lt;&gt;"!!!"),"NEW","")))</f>
        <v>OLD</v>
      </c>
      <c r="G172" s="23" t="str">
        <f ca="1"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?IN_FOCUS</v>
      </c>
      <c r="H172" s="24" t="str">
        <f t="shared" ca="1" si="18"/>
        <v/>
      </c>
      <c r="I172" s="25">
        <f>IF(OR(E172="",E172="!!!",F172="NEW"),"",INDEX(B$2:B171,-1+SUMPRODUCT(MAX(ROW(E$2:E171)*(E172=E$2:E171)))))</f>
        <v>0</v>
      </c>
      <c r="J172" s="25">
        <f ca="1">IF(OR(E172="",E172="!!!",F172="NEW"),"",COUNTBLANK(OFFSET(A$1,,,SUMPRODUCT(MAX(ROW(E$2:E172)*(E172=E$2:E172)))))-COUNTBLANK(OFFSET(A$1,,,SUMPRODUCT(MAX(ROW(E$1:E171)*(E2=E$1:E171))))))</f>
        <v>0</v>
      </c>
      <c r="K172" s="25">
        <f ca="1">IF(OR(E172="",E172="!!!",F172="NEW"),"",INDEX(J$1:J171,SUMPRODUCT(MAX(ROW(E$1:E171)*(E172=E$1:E171)))))</f>
        <v>0</v>
      </c>
      <c r="L172" s="26"/>
    </row>
    <row r="173" spans="1:12" x14ac:dyDescent="0.3">
      <c r="A173" t="s">
        <v>194</v>
      </c>
      <c r="B173" s="20" t="s">
        <v>222</v>
      </c>
      <c r="E173" s="21" t="str">
        <f t="shared" si="19"/>
        <v/>
      </c>
      <c r="F173" s="22" t="str">
        <f>IF(OR(E173="",E173="!!!"),"",IF(NOT(ISNA(VLOOKUP(E173,E$1:E172,1,FALSE()))),"OLD",IF(AND(E173&lt;&gt;"",E173&lt;&gt;"!!!"),"NEW","")))</f>
        <v/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/>
      </c>
      <c r="H173" s="24" t="str">
        <f t="shared" ca="1" si="18"/>
        <v/>
      </c>
      <c r="I173" s="25" t="str">
        <f>IF(OR(E173="",E173="!!!",F173="NEW"),"",INDEX(B$2:B172,-1+SUMPRODUCT(MAX(ROW(E$2:E172)*(E173=E$2:E172)))))</f>
        <v/>
      </c>
      <c r="J173" s="25" t="str">
        <f ca="1">IF(OR(E173="",E173="!!!",F173="NEW"),"",COUNTBLANK(OFFSET(A$1,,,SUMPRODUCT(MAX(ROW(E$2:E173)*(E173=E$2:E173)))))-COUNTBLANK(OFFSET(A$1,,,SUMPRODUCT(MAX(ROW(E$1:E172)*(E2=E$1:E172))))))</f>
        <v/>
      </c>
      <c r="K173" s="25" t="str">
        <f>IF(OR(E173="",E173="!!!",F173="NEW"),"",INDEX(J$1:J172,SUMPRODUCT(MAX(ROW(E$1:E172)*(E173=E$1:E172)))))</f>
        <v/>
      </c>
      <c r="L173" s="26"/>
    </row>
    <row r="174" spans="1:12" x14ac:dyDescent="0.3">
      <c r="A174" t="s">
        <v>264</v>
      </c>
      <c r="E174" s="21" t="str">
        <f t="shared" si="19"/>
        <v/>
      </c>
      <c r="F174" s="22" t="str">
        <f>IF(OR(E174="",E174="!!!"),"",IF(NOT(ISNA(VLOOKUP(E174,E$1:E173,1,FALSE()))),"OLD",IF(AND(E174&lt;&gt;"",E174&lt;&gt;"!!!"),"NEW","")))</f>
        <v/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/>
      </c>
      <c r="H174" s="24" t="str">
        <f t="shared" ca="1" si="18"/>
        <v/>
      </c>
      <c r="I174" s="25" t="str">
        <f>IF(OR(E174="",E174="!!!",F174="NEW"),"",INDEX(B$2:B173,-1+SUMPRODUCT(MAX(ROW(E$2:E173)*(E174=E$2:E173)))))</f>
        <v/>
      </c>
      <c r="J174" s="25" t="str">
        <f ca="1">IF(OR(E174="",E174="!!!",F174="NEW"),"",COUNTBLANK(OFFSET(A$1,,,SUMPRODUCT(MAX(ROW(E$2:E174)*(E174=E$2:E174)))))-COUNTBLANK(OFFSET(A$1,,,SUMPRODUCT(MAX(ROW(E$1:E173)*(E2=E$1:E173))))))</f>
        <v/>
      </c>
      <c r="K174" s="25" t="str">
        <f>IF(OR(E174="",E174="!!!",F174="NEW"),"",INDEX(J$1:J173,SUMPRODUCT(MAX(ROW(E$1:E173)*(E174=E$1:E173)))))</f>
        <v/>
      </c>
      <c r="L174" s="26"/>
    </row>
    <row r="175" spans="1:12" x14ac:dyDescent="0.3">
      <c r="A175" t="s">
        <v>265</v>
      </c>
      <c r="E175" s="21" t="str">
        <f t="shared" si="19"/>
        <v/>
      </c>
      <c r="F175" s="22" t="str">
        <f>IF(OR(E175="",E175="!!!"),"",IF(NOT(ISNA(VLOOKUP(E175,E$1:E174,1,FALSE()))),"OLD",IF(AND(E175&lt;&gt;"",E175&lt;&gt;"!!!"),"NEW","")))</f>
        <v/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/>
      </c>
      <c r="H175" s="24" t="str">
        <f t="shared" ca="1" si="18"/>
        <v/>
      </c>
      <c r="I175" s="25" t="str">
        <f>IF(OR(E175="",E175="!!!",F175="NEW"),"",INDEX(B$2:B174,-1+SUMPRODUCT(MAX(ROW(E$2:E174)*(E175=E$2:E174)))))</f>
        <v/>
      </c>
      <c r="J175" s="25" t="str">
        <f ca="1">IF(OR(E175="",E175="!!!",F175="NEW"),"",COUNTBLANK(OFFSET(A$1,,,SUMPRODUCT(MAX(ROW(E$2:E175)*(E175=E$2:E175)))))-COUNTBLANK(OFFSET(A$1,,,SUMPRODUCT(MAX(ROW(E$1:E174)*(E2=E$1:E174))))))</f>
        <v/>
      </c>
      <c r="K175" s="25" t="str">
        <f>IF(OR(E175="",E175="!!!",F175="NEW"),"",INDEX(J$1:J174,SUMPRODUCT(MAX(ROW(E$1:E174)*(E175=E$1:E174)))))</f>
        <v/>
      </c>
      <c r="L175" s="26"/>
    </row>
    <row r="176" spans="1:12" x14ac:dyDescent="0.3">
      <c r="A176" t="s">
        <v>208</v>
      </c>
      <c r="B176" s="20" t="s">
        <v>158</v>
      </c>
      <c r="C176" s="20" t="s">
        <v>163</v>
      </c>
      <c r="E176" s="21" t="str">
        <f t="shared" si="19"/>
        <v/>
      </c>
      <c r="F176" s="22" t="str">
        <f>IF(OR(E176="",E176="!!!"),"",IF(NOT(ISNA(VLOOKUP(E176,E$1:E175,1,FALSE()))),"OLD",IF(AND(E176&lt;&gt;"",E176&lt;&gt;"!!!"),"NEW","")))</f>
        <v/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/>
      </c>
      <c r="H176" s="24" t="str">
        <f t="shared" ca="1" si="18"/>
        <v/>
      </c>
      <c r="I176" s="25" t="str">
        <f>IF(OR(E176="",E176="!!!",F176="NEW"),"",INDEX(B$2:B175,-1+SUMPRODUCT(MAX(ROW(E$2:E175)*(E176=E$2:E175)))))</f>
        <v/>
      </c>
      <c r="J176" s="25" t="str">
        <f ca="1">IF(OR(E176="",E176="!!!",F176="NEW"),"",COUNTBLANK(OFFSET(A$1,,,SUMPRODUCT(MAX(ROW(E$2:E176)*(E176=E$2:E176)))))-COUNTBLANK(OFFSET(A$1,,,SUMPRODUCT(MAX(ROW(E$1:E175)*(E2=E$1:E175))))))</f>
        <v/>
      </c>
      <c r="K176" s="25" t="str">
        <f>IF(OR(E176="",E176="!!!",F176="NEW"),"",INDEX(J$1:J175,SUMPRODUCT(MAX(ROW(E$1:E175)*(E176=E$1:E175)))))</f>
        <v/>
      </c>
      <c r="L176" s="26"/>
    </row>
    <row r="177" spans="1:12" x14ac:dyDescent="0.3">
      <c r="A177" t="s">
        <v>266</v>
      </c>
      <c r="B177" s="20" t="s">
        <v>145</v>
      </c>
      <c r="C177" s="20" t="s">
        <v>207</v>
      </c>
      <c r="E177" s="21" t="str">
        <f t="shared" si="19"/>
        <v/>
      </c>
      <c r="F177" s="22" t="str">
        <f>IF(OR(E177="",E177="!!!"),"",IF(NOT(ISNA(VLOOKUP(E177,E$1:E176,1,FALSE()))),"OLD",IF(AND(E177&lt;&gt;"",E177&lt;&gt;"!!!"),"NEW","")))</f>
        <v/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/>
      </c>
      <c r="H177" s="24" t="str">
        <f t="shared" ca="1" si="18"/>
        <v/>
      </c>
      <c r="I177" s="25" t="str">
        <f>IF(OR(E177="",E177="!!!",F177="NEW"),"",INDEX(B$2:B176,-1+SUMPRODUCT(MAX(ROW(E$2:E176)*(E177=E$2:E176)))))</f>
        <v/>
      </c>
      <c r="J177" s="25" t="str">
        <f ca="1">IF(OR(E177="",E177="!!!",F177="NEW"),"",COUNTBLANK(OFFSET(A$1,,,SUMPRODUCT(MAX(ROW(E$2:E177)*(E177=E$2:E177)))))-COUNTBLANK(OFFSET(A$1,,,SUMPRODUCT(MAX(ROW(E$1:E176)*(E2=E$1:E176))))))</f>
        <v/>
      </c>
      <c r="K177" s="25" t="str">
        <f>IF(OR(E177="",E177="!!!",F177="NEW"),"",INDEX(J$1:J176,SUMPRODUCT(MAX(ROW(E$1:E176)*(E177=E$1:E176)))))</f>
        <v/>
      </c>
      <c r="L177" s="26"/>
    </row>
    <row r="178" spans="1:12" x14ac:dyDescent="0.3">
      <c r="A178" t="s">
        <v>148</v>
      </c>
      <c r="E178" s="21" t="str">
        <f t="shared" si="19"/>
        <v/>
      </c>
      <c r="F178" s="22" t="str">
        <f>IF(OR(E178="",E178="!!!"),"",IF(NOT(ISNA(VLOOKUP(E178,E$1:E177,1,FALSE()))),"OLD",IF(AND(E178&lt;&gt;"",E178&lt;&gt;"!!!"),"NEW","")))</f>
        <v/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/>
      </c>
      <c r="H178" s="24" t="str">
        <f t="shared" ca="1" si="18"/>
        <v/>
      </c>
      <c r="I178" s="25" t="str">
        <f>IF(OR(E178="",E178="!!!",F178="NEW"),"",INDEX(B$2:B177,-1+SUMPRODUCT(MAX(ROW(E$2:E177)*(E178=E$2:E177)))))</f>
        <v/>
      </c>
      <c r="J178" s="25" t="str">
        <f ca="1">IF(OR(E178="",E178="!!!",F178="NEW"),"",COUNTBLANK(OFFSET(A$1,,,SUMPRODUCT(MAX(ROW(E$2:E178)*(E178=E$2:E178)))))-COUNTBLANK(OFFSET(A$1,,,SUMPRODUCT(MAX(ROW(E$1:E177)*(E2=E$1:E177))))))</f>
        <v/>
      </c>
      <c r="K178" s="25" t="str">
        <f>IF(OR(E178="",E178="!!!",F178="NEW"),"",INDEX(J$1:J177,SUMPRODUCT(MAX(ROW(E$1:E177)*(E178=E$1:E177)))))</f>
        <v/>
      </c>
      <c r="L178" s="26"/>
    </row>
    <row r="180" spans="1:12" x14ac:dyDescent="0.3">
      <c r="A180" t="s">
        <v>267</v>
      </c>
    </row>
    <row r="181" spans="1:12" x14ac:dyDescent="0.3">
      <c r="A181" t="s">
        <v>132</v>
      </c>
      <c r="E181" s="21" t="s">
        <v>424</v>
      </c>
      <c r="F181" s="22" t="str">
        <f>IF(OR(E181="",E181="!!!"),"",IF(NOT(ISNA(VLOOKUP(E181,E$1:E180,1,FALSE()))),"OLD",IF(AND(E181&lt;&gt;"",E181&lt;&gt;"!!!"),"NEW","")))</f>
        <v>OLD</v>
      </c>
      <c r="G181" s="23" t="str">
        <f ca="1"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?IN_FOCUS</v>
      </c>
      <c r="H181" s="24" t="str">
        <f t="shared" ref="H181:H194" ca="1" si="20">IF(J181&lt;&gt;1,"",IF(I181="SBJ","CB","?"))</f>
        <v/>
      </c>
      <c r="I181" s="25" t="str">
        <f>IF(OR(E181="",E181="!!!",F181="NEW"),"",INDEX(B$2:B180,-1+SUMPRODUCT(MAX(ROW(E$2:E180)*(E181=E$2:E180)))))</f>
        <v>SBJ_2</v>
      </c>
      <c r="J181" s="25">
        <f ca="1">IF(OR(E181="",E181="!!!",F181="NEW"),"",COUNTBLANK(OFFSET(A$1,,,SUMPRODUCT(MAX(ROW(E$2:E181)*(E181=E$2:E181)))))-COUNTBLANK(OFFSET(A$1,,,SUMPRODUCT(MAX(ROW(E$1:E180)*(E2=E$1:E180))))))</f>
        <v>0</v>
      </c>
      <c r="K181" s="25">
        <f ca="1">IF(OR(E181="",E181="!!!",F181="NEW"),"",INDEX(J$1:J180,SUMPRODUCT(MAX(ROW(E$1:E180)*(E181=E$1:E180)))))</f>
        <v>0</v>
      </c>
      <c r="L181" s="26" t="s">
        <v>425</v>
      </c>
    </row>
    <row r="182" spans="1:12" x14ac:dyDescent="0.3">
      <c r="A182" t="s">
        <v>179</v>
      </c>
      <c r="E182" s="21" t="str">
        <f t="shared" ref="E182:E194" si="21">IF(D182="?OLD","!!!","")</f>
        <v/>
      </c>
      <c r="F182" s="22" t="str">
        <f>IF(OR(E182="",E182="!!!"),"",IF(NOT(ISNA(VLOOKUP(E182,E$1:E181,1,FALSE()))),"OLD",IF(AND(E182&lt;&gt;"",E182&lt;&gt;"!!!"),"NEW","")))</f>
        <v/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/>
      </c>
      <c r="H182" s="24" t="str">
        <f t="shared" ca="1" si="20"/>
        <v/>
      </c>
      <c r="I182" s="25" t="str">
        <f>IF(OR(E182="",E182="!!!",F182="NEW"),"",INDEX(B$2:B181,-1+SUMPRODUCT(MAX(ROW(E$2:E181)*(E182=E$2:E181)))))</f>
        <v/>
      </c>
      <c r="J182" s="25" t="str">
        <f ca="1">IF(OR(E182="",E182="!!!",F182="NEW"),"",COUNTBLANK(OFFSET(A$1,,,SUMPRODUCT(MAX(ROW(E$2:E182)*(E182=E$2:E182)))))-COUNTBLANK(OFFSET(A$1,,,SUMPRODUCT(MAX(ROW(E$1:E181)*(E2=E$1:E181))))))</f>
        <v/>
      </c>
      <c r="K182" s="25" t="str">
        <f>IF(OR(E182="",E182="!!!",F182="NEW"),"",INDEX(J$1:J181,SUMPRODUCT(MAX(ROW(E$1:E181)*(E182=E$1:E181)))))</f>
        <v/>
      </c>
      <c r="L182" s="26"/>
    </row>
    <row r="183" spans="1:12" x14ac:dyDescent="0.3">
      <c r="A183" t="s">
        <v>268</v>
      </c>
      <c r="E183" s="21" t="str">
        <f t="shared" si="21"/>
        <v/>
      </c>
      <c r="F183" s="22" t="str">
        <f>IF(OR(E183="",E183="!!!"),"",IF(NOT(ISNA(VLOOKUP(E183,E$1:E182,1,FALSE()))),"OLD",IF(AND(E183&lt;&gt;"",E183&lt;&gt;"!!!"),"NEW","")))</f>
        <v/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/>
      </c>
      <c r="H183" s="24" t="str">
        <f t="shared" ca="1" si="20"/>
        <v/>
      </c>
      <c r="I183" s="25" t="str">
        <f>IF(OR(E183="",E183="!!!",F183="NEW"),"",INDEX(B$2:B182,-1+SUMPRODUCT(MAX(ROW(E$2:E182)*(E183=E$2:E182)))))</f>
        <v/>
      </c>
      <c r="J183" s="25" t="str">
        <f ca="1">IF(OR(E183="",E183="!!!",F183="NEW"),"",COUNTBLANK(OFFSET(A$1,,,SUMPRODUCT(MAX(ROW(E$2:E183)*(E183=E$2:E183)))))-COUNTBLANK(OFFSET(A$1,,,SUMPRODUCT(MAX(ROW(E$1:E182)*(E2=E$1:E182))))))</f>
        <v/>
      </c>
      <c r="K183" s="25" t="str">
        <f>IF(OR(E183="",E183="!!!",F183="NEW"),"",INDEX(J$1:J182,SUMPRODUCT(MAX(ROW(E$1:E182)*(E183=E$1:E182)))))</f>
        <v/>
      </c>
      <c r="L183" s="26"/>
    </row>
    <row r="184" spans="1:12" x14ac:dyDescent="0.3">
      <c r="A184" t="s">
        <v>269</v>
      </c>
      <c r="E184" s="21" t="str">
        <f t="shared" si="21"/>
        <v/>
      </c>
      <c r="F184" s="22" t="str">
        <f>IF(OR(E184="",E184="!!!"),"",IF(NOT(ISNA(VLOOKUP(E184,E$1:E183,1,FALSE()))),"OLD",IF(AND(E184&lt;&gt;"",E184&lt;&gt;"!!!"),"NEW","")))</f>
        <v/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/>
      </c>
      <c r="H184" s="24" t="str">
        <f t="shared" ca="1" si="20"/>
        <v/>
      </c>
      <c r="I184" s="25" t="str">
        <f>IF(OR(E184="",E184="!!!",F184="NEW"),"",INDEX(B$2:B183,-1+SUMPRODUCT(MAX(ROW(E$2:E183)*(E184=E$2:E183)))))</f>
        <v/>
      </c>
      <c r="J184" s="25" t="str">
        <f ca="1">IF(OR(E184="",E184="!!!",F184="NEW"),"",COUNTBLANK(OFFSET(A$1,,,SUMPRODUCT(MAX(ROW(E$2:E184)*(E184=E$2:E184)))))-COUNTBLANK(OFFSET(A$1,,,SUMPRODUCT(MAX(ROW(E$1:E183)*(E2=E$1:E183))))))</f>
        <v/>
      </c>
      <c r="K184" s="25" t="str">
        <f>IF(OR(E184="",E184="!!!",F184="NEW"),"",INDEX(J$1:J183,SUMPRODUCT(MAX(ROW(E$1:E183)*(E184=E$1:E183)))))</f>
        <v/>
      </c>
      <c r="L184" s="26"/>
    </row>
    <row r="185" spans="1:12" x14ac:dyDescent="0.3">
      <c r="A185" t="s">
        <v>270</v>
      </c>
      <c r="B185" s="20" t="s">
        <v>152</v>
      </c>
      <c r="C185" s="20" t="s">
        <v>137</v>
      </c>
      <c r="D185" s="20" t="s">
        <v>131</v>
      </c>
      <c r="E185" s="21" t="str">
        <f t="shared" si="21"/>
        <v>!!!</v>
      </c>
      <c r="F185" s="22" t="str">
        <f>IF(OR(E185="",E185="!!!"),"",IF(NOT(ISNA(VLOOKUP(E185,E$1:E184,1,FALSE()))),"OLD",IF(AND(E185&lt;&gt;"",E185&lt;&gt;"!!!"),"NEW","")))</f>
        <v/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/>
      </c>
      <c r="H185" s="24" t="str">
        <f t="shared" ca="1" si="20"/>
        <v/>
      </c>
      <c r="I185" s="25" t="str">
        <f>IF(OR(E185="",E185="!!!",F185="NEW"),"",INDEX(B$2:B184,-1+SUMPRODUCT(MAX(ROW(E$2:E184)*(E185=E$2:E184)))))</f>
        <v/>
      </c>
      <c r="J185" s="25" t="str">
        <f ca="1">IF(OR(E185="",E185="!!!",F185="NEW"),"",COUNTBLANK(OFFSET(A$1,,,SUMPRODUCT(MAX(ROW(E$2:E185)*(E185=E$2:E185)))))-COUNTBLANK(OFFSET(A$1,,,SUMPRODUCT(MAX(ROW(E$1:E184)*(E2=E$1:E184))))))</f>
        <v/>
      </c>
      <c r="K185" s="25" t="str">
        <f>IF(OR(E185="",E185="!!!",F185="NEW"),"",INDEX(J$1:J184,SUMPRODUCT(MAX(ROW(E$1:E184)*(E185=E$1:E184)))))</f>
        <v/>
      </c>
      <c r="L185" s="26" t="s">
        <v>489</v>
      </c>
    </row>
    <row r="186" spans="1:12" x14ac:dyDescent="0.3">
      <c r="A186" t="s">
        <v>156</v>
      </c>
      <c r="E186" s="21" t="str">
        <f t="shared" si="21"/>
        <v/>
      </c>
      <c r="F186" s="22" t="str">
        <f>IF(OR(E186="",E186="!!!"),"",IF(NOT(ISNA(VLOOKUP(E186,E$1:E185,1,FALSE()))),"OLD",IF(AND(E186&lt;&gt;"",E186&lt;&gt;"!!!"),"NEW","")))</f>
        <v/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/>
      </c>
      <c r="H186" s="24" t="str">
        <f t="shared" ca="1" si="20"/>
        <v/>
      </c>
      <c r="I186" s="25" t="str">
        <f>IF(OR(E186="",E186="!!!",F186="NEW"),"",INDEX(B$2:B185,-1+SUMPRODUCT(MAX(ROW(E$2:E185)*(E186=E$2:E185)))))</f>
        <v/>
      </c>
      <c r="J186" s="25" t="str">
        <f ca="1">IF(OR(E186="",E186="!!!",F186="NEW"),"",COUNTBLANK(OFFSET(A$1,,,SUMPRODUCT(MAX(ROW(E$2:E186)*(E186=E$2:E186)))))-COUNTBLANK(OFFSET(A$1,,,SUMPRODUCT(MAX(ROW(E$1:E185)*(E2=E$1:E185))))))</f>
        <v/>
      </c>
      <c r="K186" s="25" t="str">
        <f>IF(OR(E186="",E186="!!!",F186="NEW"),"",INDEX(J$1:J185,SUMPRODUCT(MAX(ROW(E$1:E185)*(E186=E$1:E185)))))</f>
        <v/>
      </c>
      <c r="L186" s="26"/>
    </row>
    <row r="187" spans="1:12" x14ac:dyDescent="0.3">
      <c r="A187" t="s">
        <v>271</v>
      </c>
      <c r="B187" s="20" t="s">
        <v>152</v>
      </c>
      <c r="C187" s="20" t="s">
        <v>130</v>
      </c>
      <c r="D187" s="20" t="s">
        <v>131</v>
      </c>
      <c r="E187" s="21" t="s">
        <v>431</v>
      </c>
      <c r="F187" s="22" t="str">
        <f>IF(OR(E187="",E187="!!!"),"",IF(NOT(ISNA(VLOOKUP(E187,E$1:E186,1,FALSE()))),"OLD",IF(AND(E187&lt;&gt;"",E187&lt;&gt;"!!!"),"NEW","")))</f>
        <v>NEW</v>
      </c>
      <c r="G187" s="23" t="str">
        <f ca="1"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?REFERENTIAL</v>
      </c>
      <c r="H187" s="24" t="str">
        <f t="shared" ca="1" si="20"/>
        <v/>
      </c>
      <c r="I187" s="25" t="str">
        <f>IF(OR(E187="",E187="!!!",F187="NEW"),"",INDEX(B$2:B186,-1+SUMPRODUCT(MAX(ROW(E$2:E186)*(E187=E$2:E186)))))</f>
        <v/>
      </c>
      <c r="J187" s="25" t="str">
        <f ca="1">IF(OR(E187="",E187="!!!",F187="NEW"),"",COUNTBLANK(OFFSET(A$1,,,SUMPRODUCT(MAX(ROW(E$2:E187)*(E187=E$2:E187)))))-COUNTBLANK(OFFSET(A$1,,,SUMPRODUCT(MAX(ROW(E$1:E186)*(E2=E$1:E186))))))</f>
        <v/>
      </c>
      <c r="K187" s="25" t="str">
        <f>IF(OR(E187="",E187="!!!",F187="NEW"),"",INDEX(J$1:J186,SUMPRODUCT(MAX(ROW(E$1:E186)*(E187=E$1:E186)))))</f>
        <v/>
      </c>
      <c r="L187" s="26"/>
    </row>
    <row r="188" spans="1:12" x14ac:dyDescent="0.3">
      <c r="A188" t="s">
        <v>272</v>
      </c>
      <c r="E188" s="21" t="str">
        <f t="shared" si="21"/>
        <v/>
      </c>
      <c r="F188" s="22" t="str">
        <f>IF(OR(E188="",E188="!!!"),"",IF(NOT(ISNA(VLOOKUP(E188,E$1:E187,1,FALSE()))),"OLD",IF(AND(E188&lt;&gt;"",E188&lt;&gt;"!!!"),"NEW","")))</f>
        <v/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/>
      </c>
      <c r="H188" s="24" t="str">
        <f t="shared" ca="1" si="20"/>
        <v/>
      </c>
      <c r="I188" s="25" t="str">
        <f>IF(OR(E188="",E188="!!!",F188="NEW"),"",INDEX(B$2:B187,-1+SUMPRODUCT(MAX(ROW(E$2:E187)*(E188=E$2:E187)))))</f>
        <v/>
      </c>
      <c r="J188" s="25" t="str">
        <f ca="1">IF(OR(E188="",E188="!!!",F188="NEW"),"",COUNTBLANK(OFFSET(A$1,,,SUMPRODUCT(MAX(ROW(E$2:E188)*(E188=E$2:E188)))))-COUNTBLANK(OFFSET(A$1,,,SUMPRODUCT(MAX(ROW(E$1:E187)*(E2=E$1:E187))))))</f>
        <v/>
      </c>
      <c r="K188" s="25" t="str">
        <f>IF(OR(E188="",E188="!!!",F188="NEW"),"",INDEX(J$1:J187,SUMPRODUCT(MAX(ROW(E$1:E187)*(E188=E$1:E187)))))</f>
        <v/>
      </c>
      <c r="L188" s="26"/>
    </row>
    <row r="189" spans="1:12" x14ac:dyDescent="0.3">
      <c r="A189" t="s">
        <v>232</v>
      </c>
      <c r="E189" s="21" t="str">
        <f t="shared" si="21"/>
        <v/>
      </c>
      <c r="F189" s="22" t="str">
        <f>IF(OR(E189="",E189="!!!"),"",IF(NOT(ISNA(VLOOKUP(E189,E$1:E188,1,FALSE()))),"OLD",IF(AND(E189&lt;&gt;"",E189&lt;&gt;"!!!"),"NEW","")))</f>
        <v/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/>
      </c>
      <c r="H189" s="24" t="str">
        <f t="shared" ca="1" si="20"/>
        <v/>
      </c>
      <c r="I189" s="25" t="str">
        <f>IF(OR(E189="",E189="!!!",F189="NEW"),"",INDEX(B$2:B188,-1+SUMPRODUCT(MAX(ROW(E$2:E188)*(E189=E$2:E188)))))</f>
        <v/>
      </c>
      <c r="J189" s="25" t="str">
        <f ca="1">IF(OR(E189="",E189="!!!",F189="NEW"),"",COUNTBLANK(OFFSET(A$1,,,SUMPRODUCT(MAX(ROW(E$2:E189)*(E189=E$2:E189)))))-COUNTBLANK(OFFSET(A$1,,,SUMPRODUCT(MAX(ROW(E$1:E188)*(E2=E$1:E188))))))</f>
        <v/>
      </c>
      <c r="K189" s="25" t="str">
        <f>IF(OR(E189="",E189="!!!",F189="NEW"),"",INDEX(J$1:J188,SUMPRODUCT(MAX(ROW(E$1:E188)*(E189=E$1:E188)))))</f>
        <v/>
      </c>
      <c r="L189" s="26"/>
    </row>
    <row r="190" spans="1:12" x14ac:dyDescent="0.3">
      <c r="A190" t="s">
        <v>236</v>
      </c>
      <c r="E190" s="21" t="str">
        <f t="shared" si="21"/>
        <v/>
      </c>
      <c r="F190" s="22" t="str">
        <f>IF(OR(E190="",E190="!!!"),"",IF(NOT(ISNA(VLOOKUP(E190,E$1:E189,1,FALSE()))),"OLD",IF(AND(E190&lt;&gt;"",E190&lt;&gt;"!!!"),"NEW","")))</f>
        <v/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/>
      </c>
      <c r="H190" s="24" t="str">
        <f t="shared" ca="1" si="20"/>
        <v/>
      </c>
      <c r="I190" s="25" t="str">
        <f>IF(OR(E190="",E190="!!!",F190="NEW"),"",INDEX(B$2:B189,-1+SUMPRODUCT(MAX(ROW(E$2:E189)*(E190=E$2:E189)))))</f>
        <v/>
      </c>
      <c r="J190" s="25" t="str">
        <f ca="1">IF(OR(E190="",E190="!!!",F190="NEW"),"",COUNTBLANK(OFFSET(A$1,,,SUMPRODUCT(MAX(ROW(E$2:E190)*(E190=E$2:E190)))))-COUNTBLANK(OFFSET(A$1,,,SUMPRODUCT(MAX(ROW(E$1:E189)*(E2=E$1:E189))))))</f>
        <v/>
      </c>
      <c r="K190" s="25" t="str">
        <f>IF(OR(E190="",E190="!!!",F190="NEW"),"",INDEX(J$1:J189,SUMPRODUCT(MAX(ROW(E$1:E189)*(E190=E$1:E189)))))</f>
        <v/>
      </c>
      <c r="L190" s="26"/>
    </row>
    <row r="191" spans="1:12" x14ac:dyDescent="0.3">
      <c r="A191" t="s">
        <v>214</v>
      </c>
      <c r="E191" s="21" t="str">
        <f t="shared" si="21"/>
        <v/>
      </c>
      <c r="F191" s="22" t="str">
        <f>IF(OR(E191="",E191="!!!"),"",IF(NOT(ISNA(VLOOKUP(E191,E$1:E190,1,FALSE()))),"OLD",IF(AND(E191&lt;&gt;"",E191&lt;&gt;"!!!"),"NEW","")))</f>
        <v/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/>
      </c>
      <c r="H191" s="24" t="str">
        <f t="shared" ca="1" si="20"/>
        <v/>
      </c>
      <c r="I191" s="25" t="str">
        <f>IF(OR(E191="",E191="!!!",F191="NEW"),"",INDEX(B$2:B190,-1+SUMPRODUCT(MAX(ROW(E$2:E190)*(E191=E$2:E190)))))</f>
        <v/>
      </c>
      <c r="J191" s="25" t="str">
        <f ca="1">IF(OR(E191="",E191="!!!",F191="NEW"),"",COUNTBLANK(OFFSET(A$1,,,SUMPRODUCT(MAX(ROW(E$2:E191)*(E191=E$2:E191)))))-COUNTBLANK(OFFSET(A$1,,,SUMPRODUCT(MAX(ROW(E$1:E190)*(E2=E$1:E190))))))</f>
        <v/>
      </c>
      <c r="K191" s="25" t="str">
        <f>IF(OR(E191="",E191="!!!",F191="NEW"),"",INDEX(J$1:J190,SUMPRODUCT(MAX(ROW(E$1:E190)*(E191=E$1:E190)))))</f>
        <v/>
      </c>
      <c r="L191" s="26"/>
    </row>
    <row r="192" spans="1:12" x14ac:dyDescent="0.3">
      <c r="A192" t="s">
        <v>143</v>
      </c>
      <c r="E192" s="21" t="str">
        <f t="shared" si="21"/>
        <v/>
      </c>
      <c r="F192" s="22" t="str">
        <f>IF(OR(E192="",E192="!!!"),"",IF(NOT(ISNA(VLOOKUP(E192,E$1:E191,1,FALSE()))),"OLD",IF(AND(E192&lt;&gt;"",E192&lt;&gt;"!!!"),"NEW","")))</f>
        <v/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/>
      </c>
      <c r="H192" s="24" t="str">
        <f t="shared" ca="1" si="20"/>
        <v/>
      </c>
      <c r="I192" s="25" t="str">
        <f>IF(OR(E192="",E192="!!!",F192="NEW"),"",INDEX(B$2:B191,-1+SUMPRODUCT(MAX(ROW(E$2:E191)*(E192=E$2:E191)))))</f>
        <v/>
      </c>
      <c r="J192" s="25" t="str">
        <f ca="1">IF(OR(E192="",E192="!!!",F192="NEW"),"",COUNTBLANK(OFFSET(A$1,,,SUMPRODUCT(MAX(ROW(E$2:E192)*(E192=E$2:E192)))))-COUNTBLANK(OFFSET(A$1,,,SUMPRODUCT(MAX(ROW(E$1:E191)*(E2=E$1:E191))))))</f>
        <v/>
      </c>
      <c r="K192" s="25" t="str">
        <f>IF(OR(E192="",E192="!!!",F192="NEW"),"",INDEX(J$1:J191,SUMPRODUCT(MAX(ROW(E$1:E191)*(E192=E$1:E191)))))</f>
        <v/>
      </c>
      <c r="L192" s="26"/>
    </row>
    <row r="193" spans="1:12" x14ac:dyDescent="0.3">
      <c r="A193" t="s">
        <v>26</v>
      </c>
      <c r="B193" s="20" t="s">
        <v>145</v>
      </c>
      <c r="C193" s="20" t="s">
        <v>130</v>
      </c>
      <c r="D193" s="20" t="s">
        <v>131</v>
      </c>
      <c r="E193" s="21" t="s">
        <v>432</v>
      </c>
      <c r="F193" s="22" t="str">
        <f>IF(OR(E193="",E193="!!!"),"",IF(NOT(ISNA(VLOOKUP(E193,E$1:E192,1,FALSE()))),"OLD",IF(AND(E193&lt;&gt;"",E193&lt;&gt;"!!!"),"NEW","")))</f>
        <v>OLD</v>
      </c>
      <c r="G193" s="23" t="str">
        <f ca="1"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?IN_FOCUS</v>
      </c>
      <c r="H193" s="24" t="str">
        <f t="shared" ca="1" si="20"/>
        <v/>
      </c>
      <c r="I193" s="25" t="str">
        <f>IF(OR(E193="",E193="!!!",F193="NEW"),"",INDEX(B$2:B192,-1+SUMPRODUCT(MAX(ROW(E$2:E192)*(E193=E$2:E192)))))</f>
        <v>other</v>
      </c>
      <c r="J193" s="25">
        <f ca="1">IF(OR(E193="",E193="!!!",F193="NEW"),"",COUNTBLANK(OFFSET(A$1,,,SUMPRODUCT(MAX(ROW(E$2:E193)*(E193=E$2:E193)))))-COUNTBLANK(OFFSET(A$1,,,SUMPRODUCT(MAX(ROW(E$1:E192)*(E2=E$1:E192))))))</f>
        <v>0</v>
      </c>
      <c r="K193" s="25" t="str">
        <f ca="1">IF(OR(E193="",E193="!!!",F193="NEW"),"",INDEX(J$1:J192,SUMPRODUCT(MAX(ROW(E$1:E192)*(E193=E$1:E192)))))</f>
        <v/>
      </c>
      <c r="L193" s="26"/>
    </row>
    <row r="194" spans="1:12" x14ac:dyDescent="0.3">
      <c r="A194" t="s">
        <v>148</v>
      </c>
      <c r="E194" s="21" t="str">
        <f t="shared" si="21"/>
        <v/>
      </c>
      <c r="F194" s="22" t="str">
        <f>IF(OR(E194="",E194="!!!"),"",IF(NOT(ISNA(VLOOKUP(E194,E$1:E193,1,FALSE()))),"OLD",IF(AND(E194&lt;&gt;"",E194&lt;&gt;"!!!"),"NEW","")))</f>
        <v/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/>
      </c>
      <c r="H194" s="24" t="str">
        <f t="shared" ca="1" si="20"/>
        <v/>
      </c>
      <c r="I194" s="25" t="str">
        <f>IF(OR(E194="",E194="!!!",F194="NEW"),"",INDEX(B$2:B193,-1+SUMPRODUCT(MAX(ROW(E$2:E193)*(E194=E$2:E193)))))</f>
        <v/>
      </c>
      <c r="J194" s="25" t="str">
        <f ca="1">IF(OR(E194="",E194="!!!",F194="NEW"),"",COUNTBLANK(OFFSET(A$1,,,SUMPRODUCT(MAX(ROW(E$2:E194)*(E194=E$2:E194)))))-COUNTBLANK(OFFSET(A$1,,,SUMPRODUCT(MAX(ROW(E$1:E193)*(E2=E$1:E193))))))</f>
        <v/>
      </c>
      <c r="K194" s="25" t="str">
        <f>IF(OR(E194="",E194="!!!",F194="NEW"),"",INDEX(J$1:J193,SUMPRODUCT(MAX(ROW(E$1:E193)*(E194=E$1:E193)))))</f>
        <v/>
      </c>
      <c r="L194" s="26"/>
    </row>
    <row r="196" spans="1:12" x14ac:dyDescent="0.3">
      <c r="A196" t="s">
        <v>273</v>
      </c>
    </row>
    <row r="197" spans="1:12" x14ac:dyDescent="0.3">
      <c r="A197" t="s">
        <v>274</v>
      </c>
      <c r="E197" s="21" t="str">
        <f t="shared" ref="E197:E202" si="22">IF(D197="?OLD","!!!","")</f>
        <v/>
      </c>
      <c r="F197" s="22" t="str">
        <f>IF(OR(E197="",E197="!!!"),"",IF(NOT(ISNA(VLOOKUP(E197,E$1:E196,1,FALSE()))),"OLD",IF(AND(E197&lt;&gt;"",E197&lt;&gt;"!!!"),"NEW","")))</f>
        <v/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/>
      </c>
      <c r="H197" s="24" t="str">
        <f t="shared" ref="H197:H202" ca="1" si="23">IF(J197&lt;&gt;1,"",IF(I197="SBJ","CB","?"))</f>
        <v/>
      </c>
      <c r="I197" s="25" t="str">
        <f>IF(OR(E197="",E197="!!!",F197="NEW"),"",INDEX(B$2:B196,-1+SUMPRODUCT(MAX(ROW(E$2:E196)*(E197=E$2:E196)))))</f>
        <v/>
      </c>
      <c r="J197" s="25" t="str">
        <f ca="1">IF(OR(E197="",E197="!!!",F197="NEW"),"",COUNTBLANK(OFFSET(A$1,,,SUMPRODUCT(MAX(ROW(E$2:E197)*(E197=E$2:E197)))))-COUNTBLANK(OFFSET(A$1,,,SUMPRODUCT(MAX(ROW(E$1:E196)*(E2=E$1:E196))))))</f>
        <v/>
      </c>
      <c r="K197" s="25" t="str">
        <f>IF(OR(E197="",E197="!!!",F197="NEW"),"",INDEX(J$1:J196,SUMPRODUCT(MAX(ROW(E$1:E196)*(E197=E$1:E196)))))</f>
        <v/>
      </c>
      <c r="L197" s="26"/>
    </row>
    <row r="198" spans="1:12" x14ac:dyDescent="0.3">
      <c r="A198" t="s">
        <v>275</v>
      </c>
      <c r="B198" s="20" t="s">
        <v>129</v>
      </c>
      <c r="C198" s="20" t="s">
        <v>137</v>
      </c>
      <c r="D198" s="20" t="s">
        <v>131</v>
      </c>
      <c r="E198" s="21" t="s">
        <v>461</v>
      </c>
      <c r="F198" s="22" t="str">
        <f>IF(OR(E198="",E198="!!!"),"",IF(NOT(ISNA(VLOOKUP(E198,E$1:E197,1,FALSE()))),"OLD",IF(AND(E198&lt;&gt;"",E198&lt;&gt;"!!!"),"NEW","")))</f>
        <v>NEW</v>
      </c>
      <c r="G198" s="23" t="str">
        <f ca="1"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?REFERENTIAL</v>
      </c>
      <c r="H198" s="24" t="str">
        <f t="shared" ca="1" si="23"/>
        <v/>
      </c>
      <c r="I198" s="25" t="str">
        <f>IF(OR(E198="",E198="!!!",F198="NEW"),"",INDEX(B$2:B197,-1+SUMPRODUCT(MAX(ROW(E$2:E197)*(E198=E$2:E197)))))</f>
        <v/>
      </c>
      <c r="J198" s="25" t="str">
        <f ca="1">IF(OR(E198="",E198="!!!",F198="NEW"),"",COUNTBLANK(OFFSET(A$1,,,SUMPRODUCT(MAX(ROW(E$2:E198)*(E198=E$2:E198)))))-COUNTBLANK(OFFSET(A$1,,,SUMPRODUCT(MAX(ROW(E$1:E197)*(E2=E$1:E197))))))</f>
        <v/>
      </c>
      <c r="K198" s="25" t="str">
        <f>IF(OR(E198="",E198="!!!",F198="NEW"),"",INDEX(J$1:J197,SUMPRODUCT(MAX(ROW(E$1:E197)*(E198=E$1:E197)))))</f>
        <v/>
      </c>
      <c r="L198" s="26"/>
    </row>
    <row r="199" spans="1:12" x14ac:dyDescent="0.3">
      <c r="A199" t="s">
        <v>179</v>
      </c>
      <c r="E199" s="21" t="str">
        <f t="shared" si="22"/>
        <v/>
      </c>
      <c r="F199" s="22" t="str">
        <f>IF(OR(E199="",E199="!!!"),"",IF(NOT(ISNA(VLOOKUP(E199,E$1:E198,1,FALSE()))),"OLD",IF(AND(E199&lt;&gt;"",E199&lt;&gt;"!!!"),"NEW","")))</f>
        <v/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/>
      </c>
      <c r="H199" s="24" t="str">
        <f t="shared" ca="1" si="23"/>
        <v/>
      </c>
      <c r="I199" s="25" t="str">
        <f>IF(OR(E199="",E199="!!!",F199="NEW"),"",INDEX(B$2:B198,-1+SUMPRODUCT(MAX(ROW(E$2:E198)*(E199=E$2:E198)))))</f>
        <v/>
      </c>
      <c r="J199" s="25" t="str">
        <f ca="1">IF(OR(E199="",E199="!!!",F199="NEW"),"",COUNTBLANK(OFFSET(A$1,,,SUMPRODUCT(MAX(ROW(E$2:E199)*(E199=E$2:E199)))))-COUNTBLANK(OFFSET(A$1,,,SUMPRODUCT(MAX(ROW(E$1:E198)*(E2=E$1:E198))))))</f>
        <v/>
      </c>
      <c r="K199" s="25" t="str">
        <f>IF(OR(E199="",E199="!!!",F199="NEW"),"",INDEX(J$1:J198,SUMPRODUCT(MAX(ROW(E$1:E198)*(E199=E$1:E198)))))</f>
        <v/>
      </c>
      <c r="L199" s="26"/>
    </row>
    <row r="200" spans="1:12" x14ac:dyDescent="0.3">
      <c r="A200" t="s">
        <v>276</v>
      </c>
      <c r="E200" s="21" t="str">
        <f t="shared" si="22"/>
        <v/>
      </c>
      <c r="F200" s="22" t="str">
        <f>IF(OR(E200="",E200="!!!"),"",IF(NOT(ISNA(VLOOKUP(E200,E$1:E199,1,FALSE()))),"OLD",IF(AND(E200&lt;&gt;"",E200&lt;&gt;"!!!"),"NEW","")))</f>
        <v/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/>
      </c>
      <c r="H200" s="24" t="str">
        <f t="shared" ca="1" si="23"/>
        <v/>
      </c>
      <c r="I200" s="25" t="str">
        <f>IF(OR(E200="",E200="!!!",F200="NEW"),"",INDEX(B$2:B199,-1+SUMPRODUCT(MAX(ROW(E$2:E199)*(E200=E$2:E199)))))</f>
        <v/>
      </c>
      <c r="J200" s="25" t="str">
        <f ca="1">IF(OR(E200="",E200="!!!",F200="NEW"),"",COUNTBLANK(OFFSET(A$1,,,SUMPRODUCT(MAX(ROW(E$2:E200)*(E200=E$2:E200)))))-COUNTBLANK(OFFSET(A$1,,,SUMPRODUCT(MAX(ROW(E$1:E199)*(E2=E$1:E199))))))</f>
        <v/>
      </c>
      <c r="K200" s="25" t="str">
        <f>IF(OR(E200="",E200="!!!",F200="NEW"),"",INDEX(J$1:J199,SUMPRODUCT(MAX(ROW(E$1:E199)*(E200=E$1:E199)))))</f>
        <v/>
      </c>
      <c r="L200" s="26"/>
    </row>
    <row r="201" spans="1:12" x14ac:dyDescent="0.3">
      <c r="A201" t="s">
        <v>277</v>
      </c>
      <c r="E201" s="21" t="str">
        <f t="shared" si="22"/>
        <v/>
      </c>
      <c r="F201" s="22" t="str">
        <f>IF(OR(E201="",E201="!!!"),"",IF(NOT(ISNA(VLOOKUP(E201,E$1:E200,1,FALSE()))),"OLD",IF(AND(E201&lt;&gt;"",E201&lt;&gt;"!!!"),"NEW","")))</f>
        <v/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/>
      </c>
      <c r="H201" s="24" t="str">
        <f t="shared" ca="1" si="23"/>
        <v/>
      </c>
      <c r="I201" s="25" t="str">
        <f>IF(OR(E201="",E201="!!!",F201="NEW"),"",INDEX(B$2:B200,-1+SUMPRODUCT(MAX(ROW(E$2:E200)*(E201=E$2:E200)))))</f>
        <v/>
      </c>
      <c r="J201" s="25" t="str">
        <f ca="1">IF(OR(E201="",E201="!!!",F201="NEW"),"",COUNTBLANK(OFFSET(A$1,,,SUMPRODUCT(MAX(ROW(E$2:E201)*(E201=E$2:E201)))))-COUNTBLANK(OFFSET(A$1,,,SUMPRODUCT(MAX(ROW(E$1:E200)*(E2=E$1:E200))))))</f>
        <v/>
      </c>
      <c r="K201" s="25" t="str">
        <f>IF(OR(E201="",E201="!!!",F201="NEW"),"",INDEX(J$1:J200,SUMPRODUCT(MAX(ROW(E$1:E200)*(E201=E$1:E200)))))</f>
        <v/>
      </c>
      <c r="L201" s="26"/>
    </row>
    <row r="202" spans="1:12" x14ac:dyDescent="0.3">
      <c r="A202" t="s">
        <v>148</v>
      </c>
      <c r="E202" s="21" t="str">
        <f t="shared" si="22"/>
        <v/>
      </c>
      <c r="F202" s="22" t="str">
        <f>IF(OR(E202="",E202="!!!"),"",IF(NOT(ISNA(VLOOKUP(E202,E$1:E201,1,FALSE()))),"OLD",IF(AND(E202&lt;&gt;"",E202&lt;&gt;"!!!"),"NEW","")))</f>
        <v/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/>
      </c>
      <c r="H202" s="24" t="str">
        <f t="shared" ca="1" si="23"/>
        <v/>
      </c>
      <c r="I202" s="25" t="str">
        <f>IF(OR(E202="",E202="!!!",F202="NEW"),"",INDEX(B$2:B201,-1+SUMPRODUCT(MAX(ROW(E$2:E201)*(E202=E$2:E201)))))</f>
        <v/>
      </c>
      <c r="J202" s="25" t="str">
        <f ca="1">IF(OR(E202="",E202="!!!",F202="NEW"),"",COUNTBLANK(OFFSET(A$1,,,SUMPRODUCT(MAX(ROW(E$2:E202)*(E202=E$2:E202)))))-COUNTBLANK(OFFSET(A$1,,,SUMPRODUCT(MAX(ROW(E$1:E201)*(E2=E$1:E201))))))</f>
        <v/>
      </c>
      <c r="K202" s="25" t="str">
        <f>IF(OR(E202="",E202="!!!",F202="NEW"),"",INDEX(J$1:J201,SUMPRODUCT(MAX(ROW(E$1:E201)*(E202=E$1:E201)))))</f>
        <v/>
      </c>
      <c r="L202" s="26"/>
    </row>
    <row r="204" spans="1:12" x14ac:dyDescent="0.3">
      <c r="A204" t="s">
        <v>278</v>
      </c>
    </row>
    <row r="205" spans="1:12" x14ac:dyDescent="0.3">
      <c r="A205" t="s">
        <v>279</v>
      </c>
      <c r="E205" s="21" t="str">
        <f t="shared" ref="E205:E222" si="24">IF(D205="?OLD","!!!","")</f>
        <v/>
      </c>
      <c r="F205" s="22" t="str">
        <f>IF(OR(E205="",E205="!!!"),"",IF(NOT(ISNA(VLOOKUP(E205,E$1:E204,1,FALSE()))),"OLD",IF(AND(E205&lt;&gt;"",E205&lt;&gt;"!!!"),"NEW","")))</f>
        <v/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/>
      </c>
      <c r="H205" s="24" t="str">
        <f t="shared" ref="H205:H222" ca="1" si="25">IF(J205&lt;&gt;1,"",IF(I205="SBJ","CB","?"))</f>
        <v/>
      </c>
      <c r="I205" s="25" t="str">
        <f>IF(OR(E205="",E205="!!!",F205="NEW"),"",INDEX(B$2:B204,-1+SUMPRODUCT(MAX(ROW(E$2:E204)*(E205=E$2:E204)))))</f>
        <v/>
      </c>
      <c r="J205" s="25" t="str">
        <f ca="1">IF(OR(E205="",E205="!!!",F205="NEW"),"",COUNTBLANK(OFFSET(A$1,,,SUMPRODUCT(MAX(ROW(E$2:E205)*(E205=E$2:E205)))))-COUNTBLANK(OFFSET(A$1,,,SUMPRODUCT(MAX(ROW(E$1:E204)*(E2=E$1:E204))))))</f>
        <v/>
      </c>
      <c r="K205" s="25" t="str">
        <f>IF(OR(E205="",E205="!!!",F205="NEW"),"",INDEX(J$1:J204,SUMPRODUCT(MAX(ROW(E$1:E204)*(E205=E$1:E204)))))</f>
        <v/>
      </c>
      <c r="L205" s="26"/>
    </row>
    <row r="206" spans="1:12" x14ac:dyDescent="0.3">
      <c r="A206" t="s">
        <v>280</v>
      </c>
      <c r="E206" s="21" t="str">
        <f t="shared" si="24"/>
        <v/>
      </c>
      <c r="F206" s="22" t="str">
        <f>IF(OR(E206="",E206="!!!"),"",IF(NOT(ISNA(VLOOKUP(E206,E$1:E205,1,FALSE()))),"OLD",IF(AND(E206&lt;&gt;"",E206&lt;&gt;"!!!"),"NEW","")))</f>
        <v/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/>
      </c>
      <c r="H206" s="24" t="str">
        <f t="shared" ca="1" si="25"/>
        <v/>
      </c>
      <c r="I206" s="25" t="str">
        <f>IF(OR(E206="",E206="!!!",F206="NEW"),"",INDEX(B$2:B205,-1+SUMPRODUCT(MAX(ROW(E$2:E205)*(E206=E$2:E205)))))</f>
        <v/>
      </c>
      <c r="J206" s="25" t="str">
        <f ca="1">IF(OR(E206="",E206="!!!",F206="NEW"),"",COUNTBLANK(OFFSET(A$1,,,SUMPRODUCT(MAX(ROW(E$2:E206)*(E206=E$2:E206)))))-COUNTBLANK(OFFSET(A$1,,,SUMPRODUCT(MAX(ROW(E$1:E205)*(E2=E$1:E205))))))</f>
        <v/>
      </c>
      <c r="K206" s="25" t="str">
        <f>IF(OR(E206="",E206="!!!",F206="NEW"),"",INDEX(J$1:J205,SUMPRODUCT(MAX(ROW(E$1:E205)*(E206=E$1:E205)))))</f>
        <v/>
      </c>
      <c r="L206" s="26"/>
    </row>
    <row r="207" spans="1:12" x14ac:dyDescent="0.3">
      <c r="A207" t="s">
        <v>281</v>
      </c>
      <c r="B207" s="20" t="s">
        <v>129</v>
      </c>
      <c r="C207" s="20" t="s">
        <v>137</v>
      </c>
      <c r="D207" s="20" t="s">
        <v>131</v>
      </c>
      <c r="E207" s="21" t="s">
        <v>462</v>
      </c>
      <c r="F207" s="22" t="str">
        <f>IF(OR(E207="",E207="!!!"),"",IF(NOT(ISNA(VLOOKUP(E207,E$1:E206,1,FALSE()))),"OLD",IF(AND(E207&lt;&gt;"",E207&lt;&gt;"!!!"),"NEW","")))</f>
        <v>NEW</v>
      </c>
      <c r="G207" s="23" t="str">
        <f ca="1"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?REFERENTIAL</v>
      </c>
      <c r="H207" s="24" t="str">
        <f t="shared" ca="1" si="25"/>
        <v/>
      </c>
      <c r="I207" s="25" t="str">
        <f>IF(OR(E207="",E207="!!!",F207="NEW"),"",INDEX(B$2:B206,-1+SUMPRODUCT(MAX(ROW(E$2:E206)*(E207=E$2:E206)))))</f>
        <v/>
      </c>
      <c r="J207" s="25" t="str">
        <f ca="1">IF(OR(E207="",E207="!!!",F207="NEW"),"",COUNTBLANK(OFFSET(A$1,,,SUMPRODUCT(MAX(ROW(E$2:E207)*(E207=E$2:E207)))))-COUNTBLANK(OFFSET(A$1,,,SUMPRODUCT(MAX(ROW(E$1:E206)*(E2=E$1:E206))))))</f>
        <v/>
      </c>
      <c r="K207" s="25" t="str">
        <f>IF(OR(E207="",E207="!!!",F207="NEW"),"",INDEX(J$1:J206,SUMPRODUCT(MAX(ROW(E$1:E206)*(E207=E$1:E206)))))</f>
        <v/>
      </c>
      <c r="L207" s="26"/>
    </row>
    <row r="208" spans="1:12" x14ac:dyDescent="0.3">
      <c r="A208" t="s">
        <v>282</v>
      </c>
      <c r="E208" s="21" t="str">
        <f t="shared" si="24"/>
        <v/>
      </c>
      <c r="F208" s="22" t="str">
        <f>IF(OR(E208="",E208="!!!"),"",IF(NOT(ISNA(VLOOKUP(E208,E$1:E207,1,FALSE()))),"OLD",IF(AND(E208&lt;&gt;"",E208&lt;&gt;"!!!"),"NEW","")))</f>
        <v/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/>
      </c>
      <c r="H208" s="24" t="str">
        <f t="shared" ca="1" si="25"/>
        <v/>
      </c>
      <c r="I208" s="25" t="str">
        <f>IF(OR(E208="",E208="!!!",F208="NEW"),"",INDEX(B$2:B207,-1+SUMPRODUCT(MAX(ROW(E$2:E207)*(E208=E$2:E207)))))</f>
        <v/>
      </c>
      <c r="J208" s="25" t="str">
        <f ca="1">IF(OR(E208="",E208="!!!",F208="NEW"),"",COUNTBLANK(OFFSET(A$1,,,SUMPRODUCT(MAX(ROW(E$2:E208)*(E208=E$2:E208)))))-COUNTBLANK(OFFSET(A$1,,,SUMPRODUCT(MAX(ROW(E$1:E207)*(E2=E$1:E207))))))</f>
        <v/>
      </c>
      <c r="K208" s="25" t="str">
        <f>IF(OR(E208="",E208="!!!",F208="NEW"),"",INDEX(J$1:J207,SUMPRODUCT(MAX(ROW(E$1:E207)*(E208=E$1:E207)))))</f>
        <v/>
      </c>
      <c r="L208" s="26"/>
    </row>
    <row r="209" spans="1:12" x14ac:dyDescent="0.3">
      <c r="A209" t="s">
        <v>143</v>
      </c>
      <c r="E209" s="21" t="str">
        <f t="shared" si="24"/>
        <v/>
      </c>
      <c r="F209" s="22" t="str">
        <f>IF(OR(E209="",E209="!!!"),"",IF(NOT(ISNA(VLOOKUP(E209,E$1:E208,1,FALSE()))),"OLD",IF(AND(E209&lt;&gt;"",E209&lt;&gt;"!!!"),"NEW","")))</f>
        <v/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/>
      </c>
      <c r="H209" s="24" t="str">
        <f t="shared" ca="1" si="25"/>
        <v/>
      </c>
      <c r="I209" s="25" t="str">
        <f>IF(OR(E209="",E209="!!!",F209="NEW"),"",INDEX(B$2:B208,-1+SUMPRODUCT(MAX(ROW(E$2:E208)*(E209=E$2:E208)))))</f>
        <v/>
      </c>
      <c r="J209" s="25" t="str">
        <f ca="1">IF(OR(E209="",E209="!!!",F209="NEW"),"",COUNTBLANK(OFFSET(A$1,,,SUMPRODUCT(MAX(ROW(E$2:E209)*(E209=E$2:E209)))))-COUNTBLANK(OFFSET(A$1,,,SUMPRODUCT(MAX(ROW(E$1:E208)*(E2=E$1:E208))))))</f>
        <v/>
      </c>
      <c r="K209" s="25" t="str">
        <f>IF(OR(E209="",E209="!!!",F209="NEW"),"",INDEX(J$1:J208,SUMPRODUCT(MAX(ROW(E$1:E208)*(E209=E$1:E208)))))</f>
        <v/>
      </c>
      <c r="L209" s="26"/>
    </row>
    <row r="210" spans="1:12" x14ac:dyDescent="0.3">
      <c r="A210" t="s">
        <v>283</v>
      </c>
      <c r="B210" s="20" t="s">
        <v>136</v>
      </c>
      <c r="C210" s="20" t="s">
        <v>137</v>
      </c>
      <c r="D210" s="20" t="s">
        <v>131</v>
      </c>
      <c r="E210" s="21" t="s">
        <v>424</v>
      </c>
      <c r="F210" s="22" t="str">
        <f>IF(OR(E210="",E210="!!!"),"",IF(NOT(ISNA(VLOOKUP(E210,E$1:E209,1,FALSE()))),"OLD",IF(AND(E210&lt;&gt;"",E210&lt;&gt;"!!!"),"NEW","")))</f>
        <v>OLD</v>
      </c>
      <c r="G210" s="23" t="str">
        <f ca="1"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?IN_FOCUS</v>
      </c>
      <c r="H210" s="24" t="str">
        <f t="shared" ca="1" si="25"/>
        <v/>
      </c>
      <c r="I210" s="25">
        <f>IF(OR(E210="",E210="!!!",F210="NEW"),"",INDEX(B$2:B209,-1+SUMPRODUCT(MAX(ROW(E$2:E209)*(E210=E$2:E209)))))</f>
        <v>0</v>
      </c>
      <c r="J210" s="25">
        <f ca="1">IF(OR(E210="",E210="!!!",F210="NEW"),"",COUNTBLANK(OFFSET(A$1,,,SUMPRODUCT(MAX(ROW(E$2:E210)*(E210=E$2:E210)))))-COUNTBLANK(OFFSET(A$1,,,SUMPRODUCT(MAX(ROW(E$1:E209)*(E2=E$1:E209))))))</f>
        <v>0</v>
      </c>
      <c r="K210" s="25">
        <f ca="1">IF(OR(E210="",E210="!!!",F210="NEW"),"",INDEX(J$1:J209,SUMPRODUCT(MAX(ROW(E$1:E209)*(E210=E$1:E209)))))</f>
        <v>0</v>
      </c>
      <c r="L210" s="26"/>
    </row>
    <row r="211" spans="1:12" x14ac:dyDescent="0.3">
      <c r="A211" t="s">
        <v>284</v>
      </c>
      <c r="E211" s="21" t="str">
        <f t="shared" si="24"/>
        <v/>
      </c>
      <c r="F211" s="22" t="str">
        <f>IF(OR(E211="",E211="!!!"),"",IF(NOT(ISNA(VLOOKUP(E211,E$1:E210,1,FALSE()))),"OLD",IF(AND(E211&lt;&gt;"",E211&lt;&gt;"!!!"),"NEW","")))</f>
        <v/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/>
      </c>
      <c r="H211" s="24" t="str">
        <f t="shared" ca="1" si="25"/>
        <v/>
      </c>
      <c r="I211" s="25" t="str">
        <f>IF(OR(E211="",E211="!!!",F211="NEW"),"",INDEX(B$2:B210,-1+SUMPRODUCT(MAX(ROW(E$2:E210)*(E211=E$2:E210)))))</f>
        <v/>
      </c>
      <c r="J211" s="25" t="str">
        <f ca="1">IF(OR(E211="",E211="!!!",F211="NEW"),"",COUNTBLANK(OFFSET(A$1,,,SUMPRODUCT(MAX(ROW(E$2:E211)*(E211=E$2:E211)))))-COUNTBLANK(OFFSET(A$1,,,SUMPRODUCT(MAX(ROW(E$1:E210)*(E2=E$1:E210))))))</f>
        <v/>
      </c>
      <c r="K211" s="25" t="str">
        <f>IF(OR(E211="",E211="!!!",F211="NEW"),"",INDEX(J$1:J210,SUMPRODUCT(MAX(ROW(E$1:E210)*(E211=E$1:E210)))))</f>
        <v/>
      </c>
      <c r="L211" s="26"/>
    </row>
    <row r="212" spans="1:12" x14ac:dyDescent="0.3">
      <c r="A212" t="s">
        <v>285</v>
      </c>
      <c r="B212" s="20" t="s">
        <v>145</v>
      </c>
      <c r="C212" s="20" t="s">
        <v>130</v>
      </c>
      <c r="D212" s="20" t="s">
        <v>131</v>
      </c>
      <c r="E212" s="21" t="s">
        <v>433</v>
      </c>
      <c r="F212" s="22" t="str">
        <f>IF(OR(E212="",E212="!!!"),"",IF(NOT(ISNA(VLOOKUP(E212,E$1:E211,1,FALSE()))),"OLD",IF(AND(E212&lt;&gt;"",E212&lt;&gt;"!!!"),"NEW","")))</f>
        <v>NEW</v>
      </c>
      <c r="G212" s="23" t="str">
        <f ca="1"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?REFERENTIAL</v>
      </c>
      <c r="H212" s="24" t="str">
        <f t="shared" ca="1" si="25"/>
        <v/>
      </c>
      <c r="I212" s="25" t="str">
        <f>IF(OR(E212="",E212="!!!",F212="NEW"),"",INDEX(B$2:B211,-1+SUMPRODUCT(MAX(ROW(E$2:E211)*(E212=E$2:E211)))))</f>
        <v/>
      </c>
      <c r="J212" s="25" t="str">
        <f ca="1">IF(OR(E212="",E212="!!!",F212="NEW"),"",COUNTBLANK(OFFSET(A$1,,,SUMPRODUCT(MAX(ROW(E$2:E212)*(E212=E$2:E212)))))-COUNTBLANK(OFFSET(A$1,,,SUMPRODUCT(MAX(ROW(E$1:E211)*(E2=E$1:E211))))))</f>
        <v/>
      </c>
      <c r="K212" s="25" t="str">
        <f>IF(OR(E212="",E212="!!!",F212="NEW"),"",INDEX(J$1:J211,SUMPRODUCT(MAX(ROW(E$1:E211)*(E212=E$1:E211)))))</f>
        <v/>
      </c>
      <c r="L212" s="26"/>
    </row>
    <row r="213" spans="1:12" x14ac:dyDescent="0.3">
      <c r="A213" t="s">
        <v>156</v>
      </c>
      <c r="E213" s="21" t="str">
        <f t="shared" si="24"/>
        <v/>
      </c>
      <c r="F213" s="22" t="str">
        <f>IF(OR(E213="",E213="!!!"),"",IF(NOT(ISNA(VLOOKUP(E213,E$1:E212,1,FALSE()))),"OLD",IF(AND(E213&lt;&gt;"",E213&lt;&gt;"!!!"),"NEW","")))</f>
        <v/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/>
      </c>
      <c r="H213" s="24" t="str">
        <f t="shared" ca="1" si="25"/>
        <v/>
      </c>
      <c r="I213" s="25" t="str">
        <f>IF(OR(E213="",E213="!!!",F213="NEW"),"",INDEX(B$2:B212,-1+SUMPRODUCT(MAX(ROW(E$2:E212)*(E213=E$2:E212)))))</f>
        <v/>
      </c>
      <c r="J213" s="25" t="str">
        <f ca="1">IF(OR(E213="",E213="!!!",F213="NEW"),"",COUNTBLANK(OFFSET(A$1,,,SUMPRODUCT(MAX(ROW(E$2:E213)*(E213=E$2:E213)))))-COUNTBLANK(OFFSET(A$1,,,SUMPRODUCT(MAX(ROW(E$1:E212)*(E2=E$1:E212))))))</f>
        <v/>
      </c>
      <c r="K213" s="25" t="str">
        <f>IF(OR(E213="",E213="!!!",F213="NEW"),"",INDEX(J$1:J212,SUMPRODUCT(MAX(ROW(E$1:E212)*(E213=E$1:E212)))))</f>
        <v/>
      </c>
      <c r="L213" s="26"/>
    </row>
    <row r="214" spans="1:12" x14ac:dyDescent="0.3">
      <c r="A214" t="s">
        <v>143</v>
      </c>
      <c r="E214" s="21" t="str">
        <f t="shared" si="24"/>
        <v/>
      </c>
      <c r="F214" s="22" t="str">
        <f>IF(OR(E214="",E214="!!!"),"",IF(NOT(ISNA(VLOOKUP(E214,E$1:E213,1,FALSE()))),"OLD",IF(AND(E214&lt;&gt;"",E214&lt;&gt;"!!!"),"NEW","")))</f>
        <v/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/>
      </c>
      <c r="H214" s="24" t="str">
        <f t="shared" ca="1" si="25"/>
        <v/>
      </c>
      <c r="I214" s="25" t="str">
        <f>IF(OR(E214="",E214="!!!",F214="NEW"),"",INDEX(B$2:B213,-1+SUMPRODUCT(MAX(ROW(E$2:E213)*(E214=E$2:E213)))))</f>
        <v/>
      </c>
      <c r="J214" s="25" t="str">
        <f ca="1">IF(OR(E214="",E214="!!!",F214="NEW"),"",COUNTBLANK(OFFSET(A$1,,,SUMPRODUCT(MAX(ROW(E$2:E214)*(E214=E$2:E214)))))-COUNTBLANK(OFFSET(A$1,,,SUMPRODUCT(MAX(ROW(E$1:E213)*(E2=E$1:E213))))))</f>
        <v/>
      </c>
      <c r="K214" s="25" t="str">
        <f>IF(OR(E214="",E214="!!!",F214="NEW"),"",INDEX(J$1:J213,SUMPRODUCT(MAX(ROW(E$1:E213)*(E214=E$1:E213)))))</f>
        <v/>
      </c>
      <c r="L214" s="26"/>
    </row>
    <row r="215" spans="1:12" x14ac:dyDescent="0.3">
      <c r="A215" t="s">
        <v>286</v>
      </c>
      <c r="B215" s="20" t="s">
        <v>152</v>
      </c>
      <c r="C215" s="20" t="s">
        <v>137</v>
      </c>
      <c r="D215" s="20" t="s">
        <v>131</v>
      </c>
      <c r="E215" s="21"/>
      <c r="F215" s="22" t="s">
        <v>490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/>
      </c>
      <c r="H215" s="24" t="str">
        <f t="shared" ca="1" si="25"/>
        <v/>
      </c>
      <c r="I215" s="25" t="str">
        <f>IF(OR(E215="",E215="!!!",F215="NEW"),"",INDEX(B$2:B214,-1+SUMPRODUCT(MAX(ROW(E$2:E214)*(E215=E$2:E214)))))</f>
        <v/>
      </c>
      <c r="J215" s="25" t="str">
        <f ca="1">IF(OR(E215="",E215="!!!",F215="NEW"),"",COUNTBLANK(OFFSET(A$1,,,SUMPRODUCT(MAX(ROW(E$2:E215)*(E215=E$2:E215)))))-COUNTBLANK(OFFSET(A$1,,,SUMPRODUCT(MAX(ROW(E$1:E214)*(E2=E$1:E214))))))</f>
        <v/>
      </c>
      <c r="K215" s="25" t="str">
        <f>IF(OR(E215="",E215="!!!",F215="NEW"),"",INDEX(J$1:J214,SUMPRODUCT(MAX(ROW(E$1:E214)*(E215=E$1:E214)))))</f>
        <v/>
      </c>
      <c r="L215" s="26"/>
    </row>
    <row r="216" spans="1:12" x14ac:dyDescent="0.3">
      <c r="A216" t="s">
        <v>287</v>
      </c>
      <c r="E216" s="21" t="str">
        <f t="shared" si="24"/>
        <v/>
      </c>
      <c r="F216" s="22" t="str">
        <f>IF(OR(E216="",E216="!!!"),"",IF(NOT(ISNA(VLOOKUP(E216,E$1:E215,1,FALSE()))),"OLD",IF(AND(E216&lt;&gt;"",E216&lt;&gt;"!!!"),"NEW","")))</f>
        <v/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/>
      </c>
      <c r="H216" s="24" t="str">
        <f t="shared" ca="1" si="25"/>
        <v/>
      </c>
      <c r="I216" s="25" t="str">
        <f>IF(OR(E216="",E216="!!!",F216="NEW"),"",INDEX(B$2:B215,-1+SUMPRODUCT(MAX(ROW(E$2:E215)*(E216=E$2:E215)))))</f>
        <v/>
      </c>
      <c r="J216" s="25" t="str">
        <f ca="1">IF(OR(E216="",E216="!!!",F216="NEW"),"",COUNTBLANK(OFFSET(A$1,,,SUMPRODUCT(MAX(ROW(E$2:E216)*(E216=E$2:E216)))))-COUNTBLANK(OFFSET(A$1,,,SUMPRODUCT(MAX(ROW(E$1:E215)*(E2=E$1:E215))))))</f>
        <v/>
      </c>
      <c r="K216" s="25" t="str">
        <f>IF(OR(E216="",E216="!!!",F216="NEW"),"",INDEX(J$1:J215,SUMPRODUCT(MAX(ROW(E$1:E215)*(E216=E$1:E215)))))</f>
        <v/>
      </c>
      <c r="L216" s="26"/>
    </row>
    <row r="217" spans="1:12" x14ac:dyDescent="0.3">
      <c r="A217" t="s">
        <v>288</v>
      </c>
      <c r="E217" s="21" t="str">
        <f t="shared" si="24"/>
        <v/>
      </c>
      <c r="F217" s="22" t="str">
        <f>IF(OR(E217="",E217="!!!"),"",IF(NOT(ISNA(VLOOKUP(E217,E$1:E216,1,FALSE()))),"OLD",IF(AND(E217&lt;&gt;"",E217&lt;&gt;"!!!"),"NEW","")))</f>
        <v/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/>
      </c>
      <c r="H217" s="24" t="str">
        <f t="shared" ca="1" si="25"/>
        <v/>
      </c>
      <c r="I217" s="25" t="str">
        <f>IF(OR(E217="",E217="!!!",F217="NEW"),"",INDEX(B$2:B216,-1+SUMPRODUCT(MAX(ROW(E$2:E216)*(E217=E$2:E216)))))</f>
        <v/>
      </c>
      <c r="J217" s="25" t="str">
        <f ca="1">IF(OR(E217="",E217="!!!",F217="NEW"),"",COUNTBLANK(OFFSET(A$1,,,SUMPRODUCT(MAX(ROW(E$2:E217)*(E217=E$2:E217)))))-COUNTBLANK(OFFSET(A$1,,,SUMPRODUCT(MAX(ROW(E$1:E216)*(E2=E$1:E216))))))</f>
        <v/>
      </c>
      <c r="K217" s="25" t="str">
        <f>IF(OR(E217="",E217="!!!",F217="NEW"),"",INDEX(J$1:J216,SUMPRODUCT(MAX(ROW(E$1:E216)*(E217=E$1:E216)))))</f>
        <v/>
      </c>
      <c r="L217" s="26"/>
    </row>
    <row r="218" spans="1:12" x14ac:dyDescent="0.3">
      <c r="A218" t="s">
        <v>289</v>
      </c>
      <c r="B218" s="20" t="s">
        <v>145</v>
      </c>
      <c r="C218" s="20" t="s">
        <v>155</v>
      </c>
      <c r="E218" s="21" t="str">
        <f t="shared" si="24"/>
        <v/>
      </c>
      <c r="F218" s="22" t="str">
        <f>IF(OR(E218="",E218="!!!"),"",IF(NOT(ISNA(VLOOKUP(E218,E$1:E217,1,FALSE()))),"OLD",IF(AND(E218&lt;&gt;"",E218&lt;&gt;"!!!"),"NEW","")))</f>
        <v/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/>
      </c>
      <c r="H218" s="24" t="str">
        <f t="shared" ca="1" si="25"/>
        <v/>
      </c>
      <c r="I218" s="25" t="str">
        <f>IF(OR(E218="",E218="!!!",F218="NEW"),"",INDEX(B$2:B217,-1+SUMPRODUCT(MAX(ROW(E$2:E217)*(E218=E$2:E217)))))</f>
        <v/>
      </c>
      <c r="J218" s="25" t="str">
        <f ca="1">IF(OR(E218="",E218="!!!",F218="NEW"),"",COUNTBLANK(OFFSET(A$1,,,SUMPRODUCT(MAX(ROW(E$2:E218)*(E218=E$2:E218)))))-COUNTBLANK(OFFSET(A$1,,,SUMPRODUCT(MAX(ROW(E$1:E217)*(E2=E$1:E217))))))</f>
        <v/>
      </c>
      <c r="K218" s="25" t="str">
        <f>IF(OR(E218="",E218="!!!",F218="NEW"),"",INDEX(J$1:J217,SUMPRODUCT(MAX(ROW(E$1:E217)*(E218=E$1:E217)))))</f>
        <v/>
      </c>
      <c r="L218" s="26"/>
    </row>
    <row r="219" spans="1:12" x14ac:dyDescent="0.3">
      <c r="A219" t="s">
        <v>134</v>
      </c>
      <c r="E219" s="21" t="str">
        <f t="shared" si="24"/>
        <v/>
      </c>
      <c r="F219" s="22" t="str">
        <f>IF(OR(E219="",E219="!!!"),"",IF(NOT(ISNA(VLOOKUP(E219,E$1:E218,1,FALSE()))),"OLD",IF(AND(E219&lt;&gt;"",E219&lt;&gt;"!!!"),"NEW","")))</f>
        <v/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/>
      </c>
      <c r="H219" s="24" t="str">
        <f t="shared" ca="1" si="25"/>
        <v/>
      </c>
      <c r="I219" s="25" t="str">
        <f>IF(OR(E219="",E219="!!!",F219="NEW"),"",INDEX(B$2:B218,-1+SUMPRODUCT(MAX(ROW(E$2:E218)*(E219=E$2:E218)))))</f>
        <v/>
      </c>
      <c r="J219" s="25" t="str">
        <f ca="1">IF(OR(E219="",E219="!!!",F219="NEW"),"",COUNTBLANK(OFFSET(A$1,,,SUMPRODUCT(MAX(ROW(E$2:E219)*(E219=E$2:E219)))))-COUNTBLANK(OFFSET(A$1,,,SUMPRODUCT(MAX(ROW(E$1:E218)*(E2=E$1:E218))))))</f>
        <v/>
      </c>
      <c r="K219" s="25" t="str">
        <f>IF(OR(E219="",E219="!!!",F219="NEW"),"",INDEX(J$1:J218,SUMPRODUCT(MAX(ROW(E$1:E218)*(E219=E$1:E218)))))</f>
        <v/>
      </c>
      <c r="L219" s="26"/>
    </row>
    <row r="220" spans="1:12" x14ac:dyDescent="0.3">
      <c r="A220" t="s">
        <v>188</v>
      </c>
      <c r="E220" s="21" t="str">
        <f t="shared" si="24"/>
        <v/>
      </c>
      <c r="F220" s="22" t="str">
        <f>IF(OR(E220="",E220="!!!"),"",IF(NOT(ISNA(VLOOKUP(E220,E$1:E219,1,FALSE()))),"OLD",IF(AND(E220&lt;&gt;"",E220&lt;&gt;"!!!"),"NEW","")))</f>
        <v/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/>
      </c>
      <c r="H220" s="24" t="str">
        <f t="shared" ca="1" si="25"/>
        <v/>
      </c>
      <c r="I220" s="25" t="str">
        <f>IF(OR(E220="",E220="!!!",F220="NEW"),"",INDEX(B$2:B219,-1+SUMPRODUCT(MAX(ROW(E$2:E219)*(E220=E$2:E219)))))</f>
        <v/>
      </c>
      <c r="J220" s="25" t="str">
        <f ca="1">IF(OR(E220="",E220="!!!",F220="NEW"),"",COUNTBLANK(OFFSET(A$1,,,SUMPRODUCT(MAX(ROW(E$2:E220)*(E220=E$2:E220)))))-COUNTBLANK(OFFSET(A$1,,,SUMPRODUCT(MAX(ROW(E$1:E219)*(E2=E$1:E219))))))</f>
        <v/>
      </c>
      <c r="K220" s="25" t="str">
        <f>IF(OR(E220="",E220="!!!",F220="NEW"),"",INDEX(J$1:J219,SUMPRODUCT(MAX(ROW(E$1:E219)*(E220=E$1:E219)))))</f>
        <v/>
      </c>
      <c r="L220" s="26"/>
    </row>
    <row r="221" spans="1:12" x14ac:dyDescent="0.3">
      <c r="A221" t="s">
        <v>135</v>
      </c>
      <c r="B221" s="20" t="s">
        <v>136</v>
      </c>
      <c r="C221" s="20" t="s">
        <v>130</v>
      </c>
      <c r="D221" s="20" t="s">
        <v>131</v>
      </c>
      <c r="E221" s="21" t="s">
        <v>455</v>
      </c>
      <c r="F221" s="22" t="str">
        <f>IF(OR(E221="",E221="!!!"),"",IF(NOT(ISNA(VLOOKUP(E221,E$1:E220,1,FALSE()))),"OLD",IF(AND(E221&lt;&gt;"",E221&lt;&gt;"!!!"),"NEW","")))</f>
        <v>OLD</v>
      </c>
      <c r="G221" s="23" t="str">
        <f ca="1"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?IN_FOCUS</v>
      </c>
      <c r="H221" s="24" t="str">
        <f t="shared" ca="1" si="25"/>
        <v/>
      </c>
      <c r="I221" s="25" t="str">
        <f>IF(OR(E221="",E221="!!!",F221="NEW"),"",INDEX(B$2:B220,-1+SUMPRODUCT(MAX(ROW(E$2:E220)*(E221=E$2:E220)))))</f>
        <v>other</v>
      </c>
      <c r="J221" s="25">
        <f ca="1">IF(OR(E221="",E221="!!!",F221="NEW"),"",COUNTBLANK(OFFSET(A$1,,,SUMPRODUCT(MAX(ROW(E$2:E221)*(E221=E$2:E221)))))-COUNTBLANK(OFFSET(A$1,,,SUMPRODUCT(MAX(ROW(E$1:E220)*(E2=E$1:E220))))))</f>
        <v>0</v>
      </c>
      <c r="K221" s="25">
        <f ca="1">IF(OR(E221="",E221="!!!",F221="NEW"),"",INDEX(J$1:J220,SUMPRODUCT(MAX(ROW(E$1:E220)*(E221=E$1:E220)))))</f>
        <v>0</v>
      </c>
      <c r="L221" s="26"/>
    </row>
    <row r="222" spans="1:12" x14ac:dyDescent="0.3">
      <c r="A222" t="s">
        <v>148</v>
      </c>
      <c r="E222" s="21" t="str">
        <f t="shared" si="24"/>
        <v/>
      </c>
      <c r="F222" s="22" t="str">
        <f>IF(OR(E222="",E222="!!!"),"",IF(NOT(ISNA(VLOOKUP(E222,E$1:E221,1,FALSE()))),"OLD",IF(AND(E222&lt;&gt;"",E222&lt;&gt;"!!!"),"NEW","")))</f>
        <v/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/>
      </c>
      <c r="H222" s="24" t="str">
        <f t="shared" ca="1" si="25"/>
        <v/>
      </c>
      <c r="I222" s="25" t="str">
        <f>IF(OR(E222="",E222="!!!",F222="NEW"),"",INDEX(B$2:B221,-1+SUMPRODUCT(MAX(ROW(E$2:E221)*(E222=E$2:E221)))))</f>
        <v/>
      </c>
      <c r="J222" s="25" t="str">
        <f ca="1">IF(OR(E222="",E222="!!!",F222="NEW"),"",COUNTBLANK(OFFSET(A$1,,,SUMPRODUCT(MAX(ROW(E$2:E222)*(E222=E$2:E222)))))-COUNTBLANK(OFFSET(A$1,,,SUMPRODUCT(MAX(ROW(E$1:E221)*(E2=E$1:E221))))))</f>
        <v/>
      </c>
      <c r="K222" s="25" t="str">
        <f>IF(OR(E222="",E222="!!!",F222="NEW"),"",INDEX(J$1:J221,SUMPRODUCT(MAX(ROW(E$1:E221)*(E222=E$1:E221)))))</f>
        <v/>
      </c>
      <c r="L222" s="26"/>
    </row>
    <row r="224" spans="1:12" x14ac:dyDescent="0.3">
      <c r="A224" t="s">
        <v>290</v>
      </c>
    </row>
    <row r="225" spans="1:12" x14ac:dyDescent="0.3">
      <c r="A225" t="s">
        <v>150</v>
      </c>
      <c r="E225" s="21" t="str">
        <f t="shared" ref="E225:E233" si="26">IF(D225="?OLD","!!!","")</f>
        <v/>
      </c>
      <c r="F225" s="22" t="str">
        <f>IF(OR(E225="",E225="!!!"),"",IF(NOT(ISNA(VLOOKUP(E225,E$1:E224,1,FALSE()))),"OLD",IF(AND(E225&lt;&gt;"",E225&lt;&gt;"!!!"),"NEW","")))</f>
        <v/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/>
      </c>
      <c r="H225" s="24" t="str">
        <f t="shared" ref="H225:H233" ca="1" si="27">IF(J225&lt;&gt;1,"",IF(I225="SBJ","CB","?"))</f>
        <v/>
      </c>
      <c r="I225" s="25" t="str">
        <f>IF(OR(E225="",E225="!!!",F225="NEW"),"",INDEX(B$2:B224,-1+SUMPRODUCT(MAX(ROW(E$2:E224)*(E225=E$2:E224)))))</f>
        <v/>
      </c>
      <c r="J225" s="25" t="str">
        <f ca="1">IF(OR(E225="",E225="!!!",F225="NEW"),"",COUNTBLANK(OFFSET(A$1,,,SUMPRODUCT(MAX(ROW(E$2:E225)*(E225=E$2:E225)))))-COUNTBLANK(OFFSET(A$1,,,SUMPRODUCT(MAX(ROW(E$1:E224)*(E2=E$1:E224))))))</f>
        <v/>
      </c>
      <c r="K225" s="25" t="str">
        <f>IF(OR(E225="",E225="!!!",F225="NEW"),"",INDEX(J$1:J224,SUMPRODUCT(MAX(ROW(E$1:E224)*(E225=E$1:E224)))))</f>
        <v/>
      </c>
      <c r="L225" s="26"/>
    </row>
    <row r="226" spans="1:12" x14ac:dyDescent="0.3">
      <c r="A226" t="s">
        <v>291</v>
      </c>
      <c r="B226" s="20" t="s">
        <v>152</v>
      </c>
      <c r="C226" s="20" t="s">
        <v>207</v>
      </c>
      <c r="E226" s="21" t="s">
        <v>468</v>
      </c>
      <c r="F226" s="22" t="s">
        <v>467</v>
      </c>
      <c r="G226" s="23" t="e">
        <f ca="1"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#VALUE!</v>
      </c>
      <c r="H226" s="24" t="str">
        <f t="shared" ca="1" si="27"/>
        <v/>
      </c>
      <c r="I226" s="25" t="e">
        <f>IF(OR(E226="",E226="!!!",F226="NEW"),"",INDEX(B$2:B225,-1+SUMPRODUCT(MAX(ROW(E$2:E225)*(E226=E$2:E225)))))</f>
        <v>#VALUE!</v>
      </c>
      <c r="J226" s="25">
        <f ca="1">IF(OR(E226="",E226="!!!",F226="NEW"),"",COUNTBLANK(OFFSET(A$1,,,SUMPRODUCT(MAX(ROW(E$2:E226)*(E226=E$2:E226)))))-COUNTBLANK(OFFSET(A$1,,,SUMPRODUCT(MAX(ROW(E$1:E225)*(E2=E$1:E225))))))</f>
        <v>0</v>
      </c>
      <c r="K226" s="25" t="e">
        <f>IF(OR(E226="",E226="!!!",F226="NEW"),"",INDEX(J$1:J225,SUMPRODUCT(MAX(ROW(E$1:E225)*(E226=E$1:E225)))))</f>
        <v>#VALUE!</v>
      </c>
      <c r="L226" s="26" t="s">
        <v>491</v>
      </c>
    </row>
    <row r="227" spans="1:12" x14ac:dyDescent="0.3">
      <c r="A227" t="s">
        <v>292</v>
      </c>
      <c r="E227" s="21" t="str">
        <f t="shared" si="26"/>
        <v/>
      </c>
      <c r="F227" s="22" t="str">
        <f>IF(OR(E227="",E227="!!!"),"",IF(NOT(ISNA(VLOOKUP(E227,E$1:E226,1,FALSE()))),"OLD",IF(AND(E227&lt;&gt;"",E227&lt;&gt;"!!!"),"NEW","")))</f>
        <v/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/>
      </c>
      <c r="H227" s="24" t="str">
        <f t="shared" ca="1" si="27"/>
        <v/>
      </c>
      <c r="I227" s="25" t="str">
        <f>IF(OR(E227="",E227="!!!",F227="NEW"),"",INDEX(B$2:B226,-1+SUMPRODUCT(MAX(ROW(E$2:E226)*(E227=E$2:E226)))))</f>
        <v/>
      </c>
      <c r="J227" s="25" t="str">
        <f ca="1">IF(OR(E227="",E227="!!!",F227="NEW"),"",COUNTBLANK(OFFSET(A$1,,,SUMPRODUCT(MAX(ROW(E$2:E227)*(E227=E$2:E227)))))-COUNTBLANK(OFFSET(A$1,,,SUMPRODUCT(MAX(ROW(E$1:E226)*(E2=E$1:E226))))))</f>
        <v/>
      </c>
      <c r="K227" s="25" t="str">
        <f>IF(OR(E227="",E227="!!!",F227="NEW"),"",INDEX(J$1:J226,SUMPRODUCT(MAX(ROW(E$1:E226)*(E227=E$1:E226)))))</f>
        <v/>
      </c>
      <c r="L227" s="26"/>
    </row>
    <row r="228" spans="1:12" x14ac:dyDescent="0.3">
      <c r="A228" t="s">
        <v>180</v>
      </c>
      <c r="B228" s="20" t="s">
        <v>129</v>
      </c>
      <c r="C228" s="20" t="s">
        <v>181</v>
      </c>
      <c r="D228" s="20" t="s">
        <v>131</v>
      </c>
      <c r="E228" s="21"/>
      <c r="F228" s="22" t="s">
        <v>463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/>
      </c>
      <c r="H228" s="24" t="str">
        <f t="shared" ca="1" si="27"/>
        <v/>
      </c>
      <c r="I228" s="25" t="str">
        <f>IF(OR(E228="",E228="!!!",F228="NEW"),"",INDEX(B$2:B227,-1+SUMPRODUCT(MAX(ROW(E$2:E227)*(E228=E$2:E227)))))</f>
        <v/>
      </c>
      <c r="J228" s="25" t="str">
        <f ca="1">IF(OR(E228="",E228="!!!",F228="NEW"),"",COUNTBLANK(OFFSET(A$1,,,SUMPRODUCT(MAX(ROW(E$2:E228)*(E228=E$2:E228)))))-COUNTBLANK(OFFSET(A$1,,,SUMPRODUCT(MAX(ROW(E$1:E227)*(E2=E$1:E227))))))</f>
        <v/>
      </c>
      <c r="K228" s="25" t="str">
        <f>IF(OR(E228="",E228="!!!",F228="NEW"),"",INDEX(J$1:J227,SUMPRODUCT(MAX(ROW(E$1:E227)*(E228=E$1:E227)))))</f>
        <v/>
      </c>
      <c r="L228" s="26"/>
    </row>
    <row r="229" spans="1:12" x14ac:dyDescent="0.3">
      <c r="A229" t="s">
        <v>143</v>
      </c>
      <c r="E229" s="21" t="str">
        <f t="shared" si="26"/>
        <v/>
      </c>
      <c r="F229" s="22" t="str">
        <f>IF(OR(E229="",E229="!!!"),"",IF(NOT(ISNA(VLOOKUP(E229,E$1:E228,1,FALSE()))),"OLD",IF(AND(E229&lt;&gt;"",E229&lt;&gt;"!!!"),"NEW","")))</f>
        <v/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/>
      </c>
      <c r="H229" s="24" t="str">
        <f t="shared" ca="1" si="27"/>
        <v/>
      </c>
      <c r="I229" s="25" t="str">
        <f>IF(OR(E229="",E229="!!!",F229="NEW"),"",INDEX(B$2:B228,-1+SUMPRODUCT(MAX(ROW(E$2:E228)*(E229=E$2:E228)))))</f>
        <v/>
      </c>
      <c r="J229" s="25" t="str">
        <f ca="1">IF(OR(E229="",E229="!!!",F229="NEW"),"",COUNTBLANK(OFFSET(A$1,,,SUMPRODUCT(MAX(ROW(E$2:E229)*(E229=E$2:E229)))))-COUNTBLANK(OFFSET(A$1,,,SUMPRODUCT(MAX(ROW(E$1:E228)*(E2=E$1:E228))))))</f>
        <v/>
      </c>
      <c r="K229" s="25" t="str">
        <f>IF(OR(E229="",E229="!!!",F229="NEW"),"",INDEX(J$1:J228,SUMPRODUCT(MAX(ROW(E$1:E228)*(E229=E$1:E228)))))</f>
        <v/>
      </c>
      <c r="L229" s="26"/>
    </row>
    <row r="230" spans="1:12" x14ac:dyDescent="0.3">
      <c r="A230" t="s">
        <v>293</v>
      </c>
      <c r="E230" s="21" t="str">
        <f t="shared" si="26"/>
        <v/>
      </c>
      <c r="F230" s="22" t="str">
        <f>IF(OR(E230="",E230="!!!"),"",IF(NOT(ISNA(VLOOKUP(E230,E$1:E229,1,FALSE()))),"OLD",IF(AND(E230&lt;&gt;"",E230&lt;&gt;"!!!"),"NEW","")))</f>
        <v/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/>
      </c>
      <c r="H230" s="24" t="str">
        <f t="shared" ca="1" si="27"/>
        <v/>
      </c>
      <c r="I230" s="25" t="str">
        <f>IF(OR(E230="",E230="!!!",F230="NEW"),"",INDEX(B$2:B229,-1+SUMPRODUCT(MAX(ROW(E$2:E229)*(E230=E$2:E229)))))</f>
        <v/>
      </c>
      <c r="J230" s="25" t="str">
        <f ca="1">IF(OR(E230="",E230="!!!",F230="NEW"),"",COUNTBLANK(OFFSET(A$1,,,SUMPRODUCT(MAX(ROW(E$2:E230)*(E230=E$2:E230)))))-COUNTBLANK(OFFSET(A$1,,,SUMPRODUCT(MAX(ROW(E$1:E229)*(E2=E$1:E229))))))</f>
        <v/>
      </c>
      <c r="K230" s="25" t="str">
        <f>IF(OR(E230="",E230="!!!",F230="NEW"),"",INDEX(J$1:J229,SUMPRODUCT(MAX(ROW(E$1:E229)*(E230=E$1:E229)))))</f>
        <v/>
      </c>
      <c r="L230" s="26"/>
    </row>
    <row r="231" spans="1:12" x14ac:dyDescent="0.3">
      <c r="A231" t="s">
        <v>294</v>
      </c>
      <c r="B231" s="20" t="s">
        <v>136</v>
      </c>
      <c r="C231" s="20" t="s">
        <v>137</v>
      </c>
      <c r="D231" s="20" t="s">
        <v>131</v>
      </c>
      <c r="E231" s="21" t="s">
        <v>424</v>
      </c>
      <c r="F231" s="22" t="str">
        <f>IF(OR(E231="",E231="!!!"),"",IF(NOT(ISNA(VLOOKUP(E231,E$1:E230,1,FALSE()))),"OLD",IF(AND(E231&lt;&gt;"",E231&lt;&gt;"!!!"),"NEW","")))</f>
        <v>OLD</v>
      </c>
      <c r="G231" s="23" t="str">
        <f ca="1"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?IN_FOCUS</v>
      </c>
      <c r="H231" s="24" t="str">
        <f t="shared" ca="1" si="27"/>
        <v/>
      </c>
      <c r="I231" s="25" t="str">
        <f>IF(OR(E231="",E231="!!!",F231="NEW"),"",INDEX(B$2:B230,-1+SUMPRODUCT(MAX(ROW(E$2:E230)*(E231=E$2:E230)))))</f>
        <v>OBJ</v>
      </c>
      <c r="J231" s="25">
        <f ca="1">IF(OR(E231="",E231="!!!",F231="NEW"),"",COUNTBLANK(OFFSET(A$1,,,SUMPRODUCT(MAX(ROW(E$2:E231)*(E231=E$2:E231)))))-COUNTBLANK(OFFSET(A$1,,,SUMPRODUCT(MAX(ROW(E$1:E230)*(E2=E$1:E230))))))</f>
        <v>0</v>
      </c>
      <c r="K231" s="25">
        <f ca="1">IF(OR(E231="",E231="!!!",F231="NEW"),"",INDEX(J$1:J230,SUMPRODUCT(MAX(ROW(E$1:E230)*(E231=E$1:E230)))))</f>
        <v>0</v>
      </c>
      <c r="L231" s="26"/>
    </row>
    <row r="232" spans="1:12" x14ac:dyDescent="0.3">
      <c r="A232" t="s">
        <v>264</v>
      </c>
      <c r="E232" s="21" t="str">
        <f t="shared" si="26"/>
        <v/>
      </c>
      <c r="F232" s="22" t="str">
        <f>IF(OR(E232="",E232="!!!"),"",IF(NOT(ISNA(VLOOKUP(E232,E$1:E231,1,FALSE()))),"OLD",IF(AND(E232&lt;&gt;"",E232&lt;&gt;"!!!"),"NEW","")))</f>
        <v/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/>
      </c>
      <c r="H232" s="24" t="str">
        <f t="shared" ca="1" si="27"/>
        <v/>
      </c>
      <c r="I232" s="25" t="str">
        <f>IF(OR(E232="",E232="!!!",F232="NEW"),"",INDEX(B$2:B231,-1+SUMPRODUCT(MAX(ROW(E$2:E231)*(E232=E$2:E231)))))</f>
        <v/>
      </c>
      <c r="J232" s="25" t="str">
        <f ca="1">IF(OR(E232="",E232="!!!",F232="NEW"),"",COUNTBLANK(OFFSET(A$1,,,SUMPRODUCT(MAX(ROW(E$2:E232)*(E232=E$2:E232)))))-COUNTBLANK(OFFSET(A$1,,,SUMPRODUCT(MAX(ROW(E$1:E231)*(E2=E$1:E231))))))</f>
        <v/>
      </c>
      <c r="K232" s="25" t="str">
        <f>IF(OR(E232="",E232="!!!",F232="NEW"),"",INDEX(J$1:J231,SUMPRODUCT(MAX(ROW(E$1:E231)*(E232=E$1:E231)))))</f>
        <v/>
      </c>
      <c r="L232" s="26"/>
    </row>
    <row r="233" spans="1:12" x14ac:dyDescent="0.3">
      <c r="A233" t="s">
        <v>148</v>
      </c>
      <c r="E233" s="21" t="str">
        <f t="shared" si="26"/>
        <v/>
      </c>
      <c r="F233" s="22" t="str">
        <f>IF(OR(E233="",E233="!!!"),"",IF(NOT(ISNA(VLOOKUP(E233,E$1:E232,1,FALSE()))),"OLD",IF(AND(E233&lt;&gt;"",E233&lt;&gt;"!!!"),"NEW","")))</f>
        <v/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/>
      </c>
      <c r="H233" s="24" t="str">
        <f t="shared" ca="1" si="27"/>
        <v/>
      </c>
      <c r="I233" s="25" t="str">
        <f>IF(OR(E233="",E233="!!!",F233="NEW"),"",INDEX(B$2:B232,-1+SUMPRODUCT(MAX(ROW(E$2:E232)*(E233=E$2:E232)))))</f>
        <v/>
      </c>
      <c r="J233" s="25" t="str">
        <f ca="1">IF(OR(E233="",E233="!!!",F233="NEW"),"",COUNTBLANK(OFFSET(A$1,,,SUMPRODUCT(MAX(ROW(E$2:E233)*(E233=E$2:E233)))))-COUNTBLANK(OFFSET(A$1,,,SUMPRODUCT(MAX(ROW(E$1:E232)*(E2=E$1:E232))))))</f>
        <v/>
      </c>
      <c r="K233" s="25" t="str">
        <f>IF(OR(E233="",E233="!!!",F233="NEW"),"",INDEX(J$1:J232,SUMPRODUCT(MAX(ROW(E$1:E232)*(E233=E$1:E232)))))</f>
        <v/>
      </c>
      <c r="L233" s="26"/>
    </row>
    <row r="235" spans="1:12" x14ac:dyDescent="0.3">
      <c r="A235" t="s">
        <v>295</v>
      </c>
    </row>
    <row r="236" spans="1:12" x14ac:dyDescent="0.3">
      <c r="A236" t="s">
        <v>65</v>
      </c>
      <c r="B236" s="20" t="s">
        <v>152</v>
      </c>
      <c r="C236" s="20" t="s">
        <v>130</v>
      </c>
      <c r="D236" s="20" t="s">
        <v>131</v>
      </c>
      <c r="E236" s="21" t="s">
        <v>464</v>
      </c>
      <c r="F236" s="22" t="str">
        <f>IF(OR(E236="",E236="!!!"),"",IF(NOT(ISNA(VLOOKUP(E236,E$1:E235,1,FALSE()))),"OLD",IF(AND(E236&lt;&gt;"",E236&lt;&gt;"!!!"),"NEW","")))</f>
        <v>NEW</v>
      </c>
      <c r="G236" s="23" t="str">
        <f ca="1"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?REFERENTIAL</v>
      </c>
      <c r="H236" s="24" t="str">
        <f t="shared" ref="H236:H249" ca="1" si="28">IF(J236&lt;&gt;1,"",IF(I236="SBJ","CB","?"))</f>
        <v/>
      </c>
      <c r="I236" s="25" t="str">
        <f>IF(OR(E236="",E236="!!!",F236="NEW"),"",INDEX(B$2:B235,-1+SUMPRODUCT(MAX(ROW(E$2:E235)*(E236=E$2:E235)))))</f>
        <v/>
      </c>
      <c r="J236" s="25" t="str">
        <f ca="1">IF(OR(E236="",E236="!!!",F236="NEW"),"",COUNTBLANK(OFFSET(A$1,,,SUMPRODUCT(MAX(ROW(E$2:E236)*(E236=E$2:E236)))))-COUNTBLANK(OFFSET(A$1,,,SUMPRODUCT(MAX(ROW(E$1:E235)*(E2=E$1:E235))))))</f>
        <v/>
      </c>
      <c r="K236" s="25" t="str">
        <f>IF(OR(E236="",E236="!!!",F236="NEW"),"",INDEX(J$1:J235,SUMPRODUCT(MAX(ROW(E$1:E235)*(E236=E$1:E235)))))</f>
        <v/>
      </c>
      <c r="L236" s="26"/>
    </row>
    <row r="237" spans="1:12" x14ac:dyDescent="0.3">
      <c r="A237" t="s">
        <v>198</v>
      </c>
      <c r="E237" s="21" t="str">
        <f t="shared" ref="E237:E249" si="29">IF(D237="?OLD","!!!","")</f>
        <v/>
      </c>
      <c r="F237" s="22" t="str">
        <f>IF(OR(E237="",E237="!!!"),"",IF(NOT(ISNA(VLOOKUP(E237,E$1:E236,1,FALSE()))),"OLD",IF(AND(E237&lt;&gt;"",E237&lt;&gt;"!!!"),"NEW","")))</f>
        <v/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/>
      </c>
      <c r="H237" s="24" t="str">
        <f t="shared" ca="1" si="28"/>
        <v/>
      </c>
      <c r="I237" s="25" t="str">
        <f>IF(OR(E237="",E237="!!!",F237="NEW"),"",INDEX(B$2:B236,-1+SUMPRODUCT(MAX(ROW(E$2:E236)*(E237=E$2:E236)))))</f>
        <v/>
      </c>
      <c r="J237" s="25" t="str">
        <f ca="1">IF(OR(E237="",E237="!!!",F237="NEW"),"",COUNTBLANK(OFFSET(A$1,,,SUMPRODUCT(MAX(ROW(E$2:E237)*(E237=E$2:E237)))))-COUNTBLANK(OFFSET(A$1,,,SUMPRODUCT(MAX(ROW(E$1:E236)*(E2=E$1:E236))))))</f>
        <v/>
      </c>
      <c r="K237" s="25" t="str">
        <f>IF(OR(E237="",E237="!!!",F237="NEW"),"",INDEX(J$1:J236,SUMPRODUCT(MAX(ROW(E$1:E236)*(E237=E$1:E236)))))</f>
        <v/>
      </c>
      <c r="L237" s="26"/>
    </row>
    <row r="238" spans="1:12" x14ac:dyDescent="0.3">
      <c r="A238" t="s">
        <v>296</v>
      </c>
      <c r="B238" s="20" t="s">
        <v>152</v>
      </c>
      <c r="C238" s="20" t="s">
        <v>130</v>
      </c>
      <c r="D238" s="20" t="s">
        <v>131</v>
      </c>
      <c r="E238" s="21" t="s">
        <v>465</v>
      </c>
      <c r="F238" s="22" t="str">
        <f>IF(OR(E238="",E238="!!!"),"",IF(NOT(ISNA(VLOOKUP(E238,E$1:E237,1,FALSE()))),"OLD",IF(AND(E238&lt;&gt;"",E238&lt;&gt;"!!!"),"NEW","")))</f>
        <v>NEW</v>
      </c>
      <c r="G238" s="23" t="str">
        <f ca="1"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?REFERENTIAL</v>
      </c>
      <c r="H238" s="24" t="str">
        <f t="shared" ca="1" si="28"/>
        <v/>
      </c>
      <c r="I238" s="25" t="str">
        <f>IF(OR(E238="",E238="!!!",F238="NEW"),"",INDEX(B$2:B237,-1+SUMPRODUCT(MAX(ROW(E$2:E237)*(E238=E$2:E237)))))</f>
        <v/>
      </c>
      <c r="J238" s="25" t="str">
        <f ca="1">IF(OR(E238="",E238="!!!",F238="NEW"),"",COUNTBLANK(OFFSET(A$1,,,SUMPRODUCT(MAX(ROW(E$2:E238)*(E238=E$2:E238)))))-COUNTBLANK(OFFSET(A$1,,,SUMPRODUCT(MAX(ROW(E$1:E237)*(E2=E$1:E237))))))</f>
        <v/>
      </c>
      <c r="K238" s="25" t="str">
        <f>IF(OR(E238="",E238="!!!",F238="NEW"),"",INDEX(J$1:J237,SUMPRODUCT(MAX(ROW(E$1:E237)*(E238=E$1:E237)))))</f>
        <v/>
      </c>
      <c r="L238" s="26"/>
    </row>
    <row r="239" spans="1:12" x14ac:dyDescent="0.3">
      <c r="A239" t="s">
        <v>297</v>
      </c>
      <c r="E239" s="21" t="str">
        <f t="shared" si="29"/>
        <v/>
      </c>
      <c r="F239" s="22" t="str">
        <f>IF(OR(E239="",E239="!!!"),"",IF(NOT(ISNA(VLOOKUP(E239,E$1:E238,1,FALSE()))),"OLD",IF(AND(E239&lt;&gt;"",E239&lt;&gt;"!!!"),"NEW","")))</f>
        <v/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/>
      </c>
      <c r="H239" s="24" t="str">
        <f t="shared" ca="1" si="28"/>
        <v/>
      </c>
      <c r="I239" s="25" t="str">
        <f>IF(OR(E239="",E239="!!!",F239="NEW"),"",INDEX(B$2:B238,-1+SUMPRODUCT(MAX(ROW(E$2:E238)*(E239=E$2:E238)))))</f>
        <v/>
      </c>
      <c r="J239" s="25" t="str">
        <f ca="1">IF(OR(E239="",E239="!!!",F239="NEW"),"",COUNTBLANK(OFFSET(A$1,,,SUMPRODUCT(MAX(ROW(E$2:E239)*(E239=E$2:E239)))))-COUNTBLANK(OFFSET(A$1,,,SUMPRODUCT(MAX(ROW(E$1:E238)*(E2=E$1:E238))))))</f>
        <v/>
      </c>
      <c r="K239" s="25" t="str">
        <f>IF(OR(E239="",E239="!!!",F239="NEW"),"",INDEX(J$1:J238,SUMPRODUCT(MAX(ROW(E$1:E238)*(E239=E$1:E238)))))</f>
        <v/>
      </c>
      <c r="L239" s="26"/>
    </row>
    <row r="240" spans="1:12" x14ac:dyDescent="0.3">
      <c r="A240" t="s">
        <v>198</v>
      </c>
      <c r="E240" s="21" t="str">
        <f t="shared" si="29"/>
        <v/>
      </c>
      <c r="F240" s="22" t="str">
        <f>IF(OR(E240="",E240="!!!"),"",IF(NOT(ISNA(VLOOKUP(E240,E$1:E239,1,FALSE()))),"OLD",IF(AND(E240&lt;&gt;"",E240&lt;&gt;"!!!"),"NEW","")))</f>
        <v/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/>
      </c>
      <c r="H240" s="24" t="str">
        <f t="shared" ca="1" si="28"/>
        <v/>
      </c>
      <c r="I240" s="25" t="str">
        <f>IF(OR(E240="",E240="!!!",F240="NEW"),"",INDEX(B$2:B239,-1+SUMPRODUCT(MAX(ROW(E$2:E239)*(E240=E$2:E239)))))</f>
        <v/>
      </c>
      <c r="J240" s="25" t="str">
        <f ca="1">IF(OR(E240="",E240="!!!",F240="NEW"),"",COUNTBLANK(OFFSET(A$1,,,SUMPRODUCT(MAX(ROW(E$2:E240)*(E240=E$2:E240)))))-COUNTBLANK(OFFSET(A$1,,,SUMPRODUCT(MAX(ROW(E$1:E239)*(E2=E$1:E239))))))</f>
        <v/>
      </c>
      <c r="K240" s="25" t="str">
        <f>IF(OR(E240="",E240="!!!",F240="NEW"),"",INDEX(J$1:J239,SUMPRODUCT(MAX(ROW(E$1:E239)*(E240=E$1:E239)))))</f>
        <v/>
      </c>
      <c r="L240" s="26"/>
    </row>
    <row r="241" spans="1:12" x14ac:dyDescent="0.3">
      <c r="A241" t="s">
        <v>298</v>
      </c>
      <c r="B241" s="20" t="s">
        <v>152</v>
      </c>
      <c r="C241" s="20" t="s">
        <v>130</v>
      </c>
      <c r="D241" s="20" t="s">
        <v>131</v>
      </c>
      <c r="E241" s="21" t="s">
        <v>466</v>
      </c>
      <c r="F241" s="22" t="str">
        <f>IF(OR(E241="",E241="!!!"),"",IF(NOT(ISNA(VLOOKUP(E241,E$1:E240,1,FALSE()))),"OLD",IF(AND(E241&lt;&gt;"",E241&lt;&gt;"!!!"),"NEW","")))</f>
        <v>NEW</v>
      </c>
      <c r="G241" s="23" t="str">
        <f ca="1"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?REFERENTIAL</v>
      </c>
      <c r="H241" s="24" t="str">
        <f t="shared" ca="1" si="28"/>
        <v/>
      </c>
      <c r="I241" s="25" t="str">
        <f>IF(OR(E241="",E241="!!!",F241="NEW"),"",INDEX(B$2:B240,-1+SUMPRODUCT(MAX(ROW(E$2:E240)*(E241=E$2:E240)))))</f>
        <v/>
      </c>
      <c r="J241" s="25" t="str">
        <f ca="1">IF(OR(E241="",E241="!!!",F241="NEW"),"",COUNTBLANK(OFFSET(A$1,,,SUMPRODUCT(MAX(ROW(E$2:E241)*(E241=E$2:E241)))))-COUNTBLANK(OFFSET(A$1,,,SUMPRODUCT(MAX(ROW(E$1:E240)*(E2=E$1:E240))))))</f>
        <v/>
      </c>
      <c r="K241" s="25" t="str">
        <f>IF(OR(E241="",E241="!!!",F241="NEW"),"",INDEX(J$1:J240,SUMPRODUCT(MAX(ROW(E$1:E240)*(E241=E$1:E240)))))</f>
        <v/>
      </c>
      <c r="L241" s="26"/>
    </row>
    <row r="242" spans="1:12" x14ac:dyDescent="0.3">
      <c r="A242" t="s">
        <v>12</v>
      </c>
      <c r="E242" s="21" t="str">
        <f t="shared" si="29"/>
        <v/>
      </c>
      <c r="F242" s="22" t="str">
        <f>IF(OR(E242="",E242="!!!"),"",IF(NOT(ISNA(VLOOKUP(E242,E$1:E241,1,FALSE()))),"OLD",IF(AND(E242&lt;&gt;"",E242&lt;&gt;"!!!"),"NEW","")))</f>
        <v/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/>
      </c>
      <c r="H242" s="24" t="str">
        <f t="shared" ca="1" si="28"/>
        <v/>
      </c>
      <c r="I242" s="25" t="str">
        <f>IF(OR(E242="",E242="!!!",F242="NEW"),"",INDEX(B$2:B241,-1+SUMPRODUCT(MAX(ROW(E$2:E241)*(E242=E$2:E241)))))</f>
        <v/>
      </c>
      <c r="J242" s="25" t="str">
        <f ca="1">IF(OR(E242="",E242="!!!",F242="NEW"),"",COUNTBLANK(OFFSET(A$1,,,SUMPRODUCT(MAX(ROW(E$2:E242)*(E242=E$2:E242)))))-COUNTBLANK(OFFSET(A$1,,,SUMPRODUCT(MAX(ROW(E$1:E241)*(E2=E$1:E241))))))</f>
        <v/>
      </c>
      <c r="K242" s="25" t="str">
        <f>IF(OR(E242="",E242="!!!",F242="NEW"),"",INDEX(J$1:J241,SUMPRODUCT(MAX(ROW(E$1:E241)*(E242=E$1:E241)))))</f>
        <v/>
      </c>
      <c r="L242" s="26"/>
    </row>
    <row r="243" spans="1:12" x14ac:dyDescent="0.3">
      <c r="A243" t="s">
        <v>299</v>
      </c>
      <c r="E243" s="21" t="str">
        <f t="shared" si="29"/>
        <v/>
      </c>
      <c r="F243" s="22" t="str">
        <f>IF(OR(E243="",E243="!!!"),"",IF(NOT(ISNA(VLOOKUP(E243,E$1:E242,1,FALSE()))),"OLD",IF(AND(E243&lt;&gt;"",E243&lt;&gt;"!!!"),"NEW","")))</f>
        <v/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/>
      </c>
      <c r="H243" s="24" t="str">
        <f t="shared" ca="1" si="28"/>
        <v/>
      </c>
      <c r="I243" s="25" t="str">
        <f>IF(OR(E243="",E243="!!!",F243="NEW"),"",INDEX(B$2:B242,-1+SUMPRODUCT(MAX(ROW(E$2:E242)*(E243=E$2:E242)))))</f>
        <v/>
      </c>
      <c r="J243" s="25" t="str">
        <f ca="1">IF(OR(E243="",E243="!!!",F243="NEW"),"",COUNTBLANK(OFFSET(A$1,,,SUMPRODUCT(MAX(ROW(E$2:E243)*(E243=E$2:E243)))))-COUNTBLANK(OFFSET(A$1,,,SUMPRODUCT(MAX(ROW(E$1:E242)*(E2=E$1:E242))))))</f>
        <v/>
      </c>
      <c r="K243" s="25" t="str">
        <f>IF(OR(E243="",E243="!!!",F243="NEW"),"",INDEX(J$1:J242,SUMPRODUCT(MAX(ROW(E$1:E242)*(E243=E$1:E242)))))</f>
        <v/>
      </c>
      <c r="L243" s="26"/>
    </row>
    <row r="244" spans="1:12" x14ac:dyDescent="0.3">
      <c r="A244" t="s">
        <v>12</v>
      </c>
      <c r="E244" s="21" t="str">
        <f t="shared" si="29"/>
        <v/>
      </c>
      <c r="F244" s="22" t="str">
        <f>IF(OR(E244="",E244="!!!"),"",IF(NOT(ISNA(VLOOKUP(E244,E$1:E243,1,FALSE()))),"OLD",IF(AND(E244&lt;&gt;"",E244&lt;&gt;"!!!"),"NEW","")))</f>
        <v/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/>
      </c>
      <c r="H244" s="24" t="str">
        <f t="shared" ca="1" si="28"/>
        <v/>
      </c>
      <c r="I244" s="25" t="str">
        <f>IF(OR(E244="",E244="!!!",F244="NEW"),"",INDEX(B$2:B243,-1+SUMPRODUCT(MAX(ROW(E$2:E243)*(E244=E$2:E243)))))</f>
        <v/>
      </c>
      <c r="J244" s="25" t="str">
        <f ca="1">IF(OR(E244="",E244="!!!",F244="NEW"),"",COUNTBLANK(OFFSET(A$1,,,SUMPRODUCT(MAX(ROW(E$2:E244)*(E244=E$2:E244)))))-COUNTBLANK(OFFSET(A$1,,,SUMPRODUCT(MAX(ROW(E$1:E243)*(E2=E$1:E243))))))</f>
        <v/>
      </c>
      <c r="K244" s="25" t="str">
        <f>IF(OR(E244="",E244="!!!",F244="NEW"),"",INDEX(J$1:J243,SUMPRODUCT(MAX(ROW(E$1:E243)*(E244=E$1:E243)))))</f>
        <v/>
      </c>
      <c r="L244" s="26"/>
    </row>
    <row r="245" spans="1:12" x14ac:dyDescent="0.3">
      <c r="A245" t="s">
        <v>300</v>
      </c>
      <c r="E245" s="21" t="str">
        <f t="shared" si="29"/>
        <v/>
      </c>
      <c r="F245" s="22" t="str">
        <f>IF(OR(E245="",E245="!!!"),"",IF(NOT(ISNA(VLOOKUP(E245,E$1:E244,1,FALSE()))),"OLD",IF(AND(E245&lt;&gt;"",E245&lt;&gt;"!!!"),"NEW","")))</f>
        <v/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/>
      </c>
      <c r="H245" s="24" t="str">
        <f t="shared" ca="1" si="28"/>
        <v/>
      </c>
      <c r="I245" s="25" t="str">
        <f>IF(OR(E245="",E245="!!!",F245="NEW"),"",INDEX(B$2:B244,-1+SUMPRODUCT(MAX(ROW(E$2:E244)*(E245=E$2:E244)))))</f>
        <v/>
      </c>
      <c r="J245" s="25" t="str">
        <f ca="1">IF(OR(E245="",E245="!!!",F245="NEW"),"",COUNTBLANK(OFFSET(A$1,,,SUMPRODUCT(MAX(ROW(E$2:E245)*(E245=E$2:E245)))))-COUNTBLANK(OFFSET(A$1,,,SUMPRODUCT(MAX(ROW(E$1:E244)*(E2=E$1:E244))))))</f>
        <v/>
      </c>
      <c r="K245" s="25" t="str">
        <f>IF(OR(E245="",E245="!!!",F245="NEW"),"",INDEX(J$1:J244,SUMPRODUCT(MAX(ROW(E$1:E244)*(E245=E$1:E244)))))</f>
        <v/>
      </c>
      <c r="L245" s="26"/>
    </row>
    <row r="246" spans="1:12" x14ac:dyDescent="0.3">
      <c r="A246" t="s">
        <v>301</v>
      </c>
      <c r="E246" s="21" t="str">
        <f t="shared" si="29"/>
        <v/>
      </c>
      <c r="F246" s="22" t="str">
        <f>IF(OR(E246="",E246="!!!"),"",IF(NOT(ISNA(VLOOKUP(E246,E$1:E245,1,FALSE()))),"OLD",IF(AND(E246&lt;&gt;"",E246&lt;&gt;"!!!"),"NEW","")))</f>
        <v/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/>
      </c>
      <c r="H246" s="24" t="str">
        <f t="shared" ca="1" si="28"/>
        <v/>
      </c>
      <c r="I246" s="25" t="str">
        <f>IF(OR(E246="",E246="!!!",F246="NEW"),"",INDEX(B$2:B245,-1+SUMPRODUCT(MAX(ROW(E$2:E245)*(E246=E$2:E245)))))</f>
        <v/>
      </c>
      <c r="J246" s="25" t="str">
        <f ca="1">IF(OR(E246="",E246="!!!",F246="NEW"),"",COUNTBLANK(OFFSET(A$1,,,SUMPRODUCT(MAX(ROW(E$2:E246)*(E246=E$2:E246)))))-COUNTBLANK(OFFSET(A$1,,,SUMPRODUCT(MAX(ROW(E$1:E245)*(E2=E$1:E245))))))</f>
        <v/>
      </c>
      <c r="K246" s="25" t="str">
        <f>IF(OR(E246="",E246="!!!",F246="NEW"),"",INDEX(J$1:J245,SUMPRODUCT(MAX(ROW(E$1:E245)*(E246=E$1:E245)))))</f>
        <v/>
      </c>
      <c r="L246" s="26"/>
    </row>
    <row r="247" spans="1:12" x14ac:dyDescent="0.3">
      <c r="A247" t="s">
        <v>302</v>
      </c>
      <c r="E247" s="21" t="str">
        <f t="shared" si="29"/>
        <v/>
      </c>
      <c r="F247" s="22" t="str">
        <f>IF(OR(E247="",E247="!!!"),"",IF(NOT(ISNA(VLOOKUP(E247,E$1:E246,1,FALSE()))),"OLD",IF(AND(E247&lt;&gt;"",E247&lt;&gt;"!!!"),"NEW","")))</f>
        <v/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/>
      </c>
      <c r="H247" s="24" t="str">
        <f t="shared" ca="1" si="28"/>
        <v/>
      </c>
      <c r="I247" s="25" t="str">
        <f>IF(OR(E247="",E247="!!!",F247="NEW"),"",INDEX(B$2:B246,-1+SUMPRODUCT(MAX(ROW(E$2:E246)*(E247=E$2:E246)))))</f>
        <v/>
      </c>
      <c r="J247" s="25" t="str">
        <f ca="1">IF(OR(E247="",E247="!!!",F247="NEW"),"",COUNTBLANK(OFFSET(A$1,,,SUMPRODUCT(MAX(ROW(E$2:E247)*(E247=E$2:E247)))))-COUNTBLANK(OFFSET(A$1,,,SUMPRODUCT(MAX(ROW(E$1:E246)*(E2=E$1:E246))))))</f>
        <v/>
      </c>
      <c r="K247" s="25" t="str">
        <f>IF(OR(E247="",E247="!!!",F247="NEW"),"",INDEX(J$1:J246,SUMPRODUCT(MAX(ROW(E$1:E246)*(E247=E$1:E246)))))</f>
        <v/>
      </c>
      <c r="L247" s="26"/>
    </row>
    <row r="248" spans="1:12" x14ac:dyDescent="0.3">
      <c r="A248" t="s">
        <v>303</v>
      </c>
      <c r="E248" s="21" t="str">
        <f t="shared" si="29"/>
        <v/>
      </c>
      <c r="F248" s="22" t="str">
        <f>IF(OR(E248="",E248="!!!"),"",IF(NOT(ISNA(VLOOKUP(E248,E$1:E247,1,FALSE()))),"OLD",IF(AND(E248&lt;&gt;"",E248&lt;&gt;"!!!"),"NEW","")))</f>
        <v/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/>
      </c>
      <c r="H248" s="24" t="str">
        <f t="shared" ca="1" si="28"/>
        <v/>
      </c>
      <c r="I248" s="25" t="str">
        <f>IF(OR(E248="",E248="!!!",F248="NEW"),"",INDEX(B$2:B247,-1+SUMPRODUCT(MAX(ROW(E$2:E247)*(E248=E$2:E247)))))</f>
        <v/>
      </c>
      <c r="J248" s="25" t="str">
        <f ca="1">IF(OR(E248="",E248="!!!",F248="NEW"),"",COUNTBLANK(OFFSET(A$1,,,SUMPRODUCT(MAX(ROW(E$2:E248)*(E248=E$2:E248)))))-COUNTBLANK(OFFSET(A$1,,,SUMPRODUCT(MAX(ROW(E$1:E247)*(E2=E$1:E247))))))</f>
        <v/>
      </c>
      <c r="K248" s="25" t="str">
        <f>IF(OR(E248="",E248="!!!",F248="NEW"),"",INDEX(J$1:J247,SUMPRODUCT(MAX(ROW(E$1:E247)*(E248=E$1:E247)))))</f>
        <v/>
      </c>
      <c r="L248" s="26"/>
    </row>
    <row r="249" spans="1:12" x14ac:dyDescent="0.3">
      <c r="A249" t="s">
        <v>304</v>
      </c>
      <c r="E249" s="21" t="str">
        <f t="shared" si="29"/>
        <v/>
      </c>
      <c r="F249" s="22" t="str">
        <f>IF(OR(E249="",E249="!!!"),"",IF(NOT(ISNA(VLOOKUP(E249,E$1:E248,1,FALSE()))),"OLD",IF(AND(E249&lt;&gt;"",E249&lt;&gt;"!!!"),"NEW","")))</f>
        <v/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/>
      </c>
      <c r="H249" s="24" t="str">
        <f t="shared" ca="1" si="28"/>
        <v/>
      </c>
      <c r="I249" s="25" t="str">
        <f>IF(OR(E249="",E249="!!!",F249="NEW"),"",INDEX(B$2:B248,-1+SUMPRODUCT(MAX(ROW(E$2:E248)*(E249=E$2:E248)))))</f>
        <v/>
      </c>
      <c r="J249" s="25" t="str">
        <f ca="1">IF(OR(E249="",E249="!!!",F249="NEW"),"",COUNTBLANK(OFFSET(A$1,,,SUMPRODUCT(MAX(ROW(E$2:E249)*(E249=E$2:E249)))))-COUNTBLANK(OFFSET(A$1,,,SUMPRODUCT(MAX(ROW(E$1:E248)*(E2=E$1:E248))))))</f>
        <v/>
      </c>
      <c r="K249" s="25" t="str">
        <f>IF(OR(E249="",E249="!!!",F249="NEW"),"",INDEX(J$1:J248,SUMPRODUCT(MAX(ROW(E$1:E248)*(E249=E$1:E248)))))</f>
        <v/>
      </c>
      <c r="L249" s="26"/>
    </row>
    <row r="251" spans="1:12" x14ac:dyDescent="0.3">
      <c r="A251" t="s">
        <v>305</v>
      </c>
    </row>
    <row r="252" spans="1:12" x14ac:dyDescent="0.3">
      <c r="A252" t="s">
        <v>306</v>
      </c>
      <c r="E252" s="21" t="str">
        <f t="shared" ref="E252:E260" si="30">IF(D252="?OLD","!!!","")</f>
        <v/>
      </c>
      <c r="F252" s="22" t="str">
        <f>IF(OR(E252="",E252="!!!"),"",IF(NOT(ISNA(VLOOKUP(E252,E$1:E251,1,FALSE()))),"OLD",IF(AND(E252&lt;&gt;"",E252&lt;&gt;"!!!"),"NEW","")))</f>
        <v/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/>
      </c>
      <c r="H252" s="24" t="str">
        <f t="shared" ref="H252:H260" ca="1" si="31">IF(J252&lt;&gt;1,"",IF(I252="SBJ","CB","?"))</f>
        <v/>
      </c>
      <c r="I252" s="25" t="str">
        <f>IF(OR(E252="",E252="!!!",F252="NEW"),"",INDEX(B$2:B251,-1+SUMPRODUCT(MAX(ROW(E$2:E251)*(E252=E$2:E251)))))</f>
        <v/>
      </c>
      <c r="J252" s="25" t="str">
        <f ca="1">IF(OR(E252="",E252="!!!",F252="NEW"),"",COUNTBLANK(OFFSET(A$1,,,SUMPRODUCT(MAX(ROW(E$2:E252)*(E252=E$2:E252)))))-COUNTBLANK(OFFSET(A$1,,,SUMPRODUCT(MAX(ROW(E$1:E251)*(E2=E$1:E251))))))</f>
        <v/>
      </c>
      <c r="K252" s="25" t="str">
        <f>IF(OR(E252="",E252="!!!",F252="NEW"),"",INDEX(J$1:J251,SUMPRODUCT(MAX(ROW(E$1:E251)*(E252=E$1:E251)))))</f>
        <v/>
      </c>
      <c r="L252" s="26"/>
    </row>
    <row r="253" spans="1:12" x14ac:dyDescent="0.3">
      <c r="A253" t="s">
        <v>134</v>
      </c>
      <c r="E253" s="21" t="str">
        <f t="shared" si="30"/>
        <v/>
      </c>
      <c r="F253" s="22" t="str">
        <f>IF(OR(E253="",E253="!!!"),"",IF(NOT(ISNA(VLOOKUP(E253,E$1:E252,1,FALSE()))),"OLD",IF(AND(E253&lt;&gt;"",E253&lt;&gt;"!!!"),"NEW","")))</f>
        <v/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/>
      </c>
      <c r="H253" s="24" t="str">
        <f t="shared" ca="1" si="31"/>
        <v/>
      </c>
      <c r="I253" s="25" t="str">
        <f>IF(OR(E253="",E253="!!!",F253="NEW"),"",INDEX(B$2:B252,-1+SUMPRODUCT(MAX(ROW(E$2:E252)*(E253=E$2:E252)))))</f>
        <v/>
      </c>
      <c r="J253" s="25" t="str">
        <f ca="1">IF(OR(E253="",E253="!!!",F253="NEW"),"",COUNTBLANK(OFFSET(A$1,,,SUMPRODUCT(MAX(ROW(E$2:E253)*(E253=E$2:E253)))))-COUNTBLANK(OFFSET(A$1,,,SUMPRODUCT(MAX(ROW(E$1:E252)*(E2=E$1:E252))))))</f>
        <v/>
      </c>
      <c r="K253" s="25" t="str">
        <f>IF(OR(E253="",E253="!!!",F253="NEW"),"",INDEX(J$1:J252,SUMPRODUCT(MAX(ROW(E$1:E252)*(E253=E$1:E252)))))</f>
        <v/>
      </c>
      <c r="L253" s="26"/>
    </row>
    <row r="254" spans="1:12" x14ac:dyDescent="0.3">
      <c r="A254" t="s">
        <v>307</v>
      </c>
      <c r="E254" s="21" t="str">
        <f t="shared" si="30"/>
        <v/>
      </c>
      <c r="F254" s="22" t="str">
        <f>IF(OR(E254="",E254="!!!"),"",IF(NOT(ISNA(VLOOKUP(E254,E$1:E253,1,FALSE()))),"OLD",IF(AND(E254&lt;&gt;"",E254&lt;&gt;"!!!"),"NEW","")))</f>
        <v/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/>
      </c>
      <c r="H254" s="24" t="str">
        <f t="shared" ca="1" si="31"/>
        <v/>
      </c>
      <c r="I254" s="25" t="str">
        <f>IF(OR(E254="",E254="!!!",F254="NEW"),"",INDEX(B$2:B253,-1+SUMPRODUCT(MAX(ROW(E$2:E253)*(E254=E$2:E253)))))</f>
        <v/>
      </c>
      <c r="J254" s="25" t="str">
        <f ca="1">IF(OR(E254="",E254="!!!",F254="NEW"),"",COUNTBLANK(OFFSET(A$1,,,SUMPRODUCT(MAX(ROW(E$2:E254)*(E254=E$2:E254)))))-COUNTBLANK(OFFSET(A$1,,,SUMPRODUCT(MAX(ROW(E$1:E253)*(E2=E$1:E253))))))</f>
        <v/>
      </c>
      <c r="K254" s="25" t="str">
        <f>IF(OR(E254="",E254="!!!",F254="NEW"),"",INDEX(J$1:J253,SUMPRODUCT(MAX(ROW(E$1:E253)*(E254=E$1:E253)))))</f>
        <v/>
      </c>
      <c r="L254" s="26"/>
    </row>
    <row r="255" spans="1:12" x14ac:dyDescent="0.3">
      <c r="A255" t="s">
        <v>308</v>
      </c>
      <c r="B255" s="20" t="s">
        <v>129</v>
      </c>
      <c r="C255" s="20" t="s">
        <v>137</v>
      </c>
      <c r="D255" s="20" t="s">
        <v>131</v>
      </c>
      <c r="E255" s="21" t="s">
        <v>434</v>
      </c>
      <c r="F255" s="22" t="str">
        <f>IF(OR(E255="",E255="!!!"),"",IF(NOT(ISNA(VLOOKUP(E255,E$1:E254,1,FALSE()))),"OLD",IF(AND(E255&lt;&gt;"",E255&lt;&gt;"!!!"),"NEW","")))</f>
        <v>NEW</v>
      </c>
      <c r="G255" s="23" t="str">
        <f ca="1"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?REFERENTIAL</v>
      </c>
      <c r="H255" s="24" t="str">
        <f t="shared" ca="1" si="31"/>
        <v/>
      </c>
      <c r="I255" s="25" t="str">
        <f>IF(OR(E255="",E255="!!!",F255="NEW"),"",INDEX(B$2:B254,-1+SUMPRODUCT(MAX(ROW(E$2:E254)*(E255=E$2:E254)))))</f>
        <v/>
      </c>
      <c r="J255" s="25" t="str">
        <f ca="1">IF(OR(E255="",E255="!!!",F255="NEW"),"",COUNTBLANK(OFFSET(A$1,,,SUMPRODUCT(MAX(ROW(E$2:E255)*(E255=E$2:E255)))))-COUNTBLANK(OFFSET(A$1,,,SUMPRODUCT(MAX(ROW(E$1:E254)*(E2=E$1:E254))))))</f>
        <v/>
      </c>
      <c r="K255" s="25" t="str">
        <f>IF(OR(E255="",E255="!!!",F255="NEW"),"",INDEX(J$1:J254,SUMPRODUCT(MAX(ROW(E$1:E254)*(E255=E$1:E254)))))</f>
        <v/>
      </c>
      <c r="L255" s="26"/>
    </row>
    <row r="256" spans="1:12" x14ac:dyDescent="0.3">
      <c r="A256" t="s">
        <v>309</v>
      </c>
      <c r="E256" s="21" t="str">
        <f t="shared" si="30"/>
        <v/>
      </c>
      <c r="F256" s="22" t="str">
        <f>IF(OR(E256="",E256="!!!"),"",IF(NOT(ISNA(VLOOKUP(E256,E$1:E255,1,FALSE()))),"OLD",IF(AND(E256&lt;&gt;"",E256&lt;&gt;"!!!"),"NEW","")))</f>
        <v/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/>
      </c>
      <c r="H256" s="24" t="str">
        <f t="shared" ca="1" si="31"/>
        <v/>
      </c>
      <c r="I256" s="25" t="str">
        <f>IF(OR(E256="",E256="!!!",F256="NEW"),"",INDEX(B$2:B255,-1+SUMPRODUCT(MAX(ROW(E$2:E255)*(E256=E$2:E255)))))</f>
        <v/>
      </c>
      <c r="J256" s="25" t="str">
        <f ca="1">IF(OR(E256="",E256="!!!",F256="NEW"),"",COUNTBLANK(OFFSET(A$1,,,SUMPRODUCT(MAX(ROW(E$2:E256)*(E256=E$2:E256)))))-COUNTBLANK(OFFSET(A$1,,,SUMPRODUCT(MAX(ROW(E$1:E255)*(E2=E$1:E255))))))</f>
        <v/>
      </c>
      <c r="K256" s="25" t="str">
        <f>IF(OR(E256="",E256="!!!",F256="NEW"),"",INDEX(J$1:J255,SUMPRODUCT(MAX(ROW(E$1:E255)*(E256=E$1:E255)))))</f>
        <v/>
      </c>
      <c r="L256" s="26"/>
    </row>
    <row r="257" spans="1:12" x14ac:dyDescent="0.3">
      <c r="A257" t="s">
        <v>310</v>
      </c>
      <c r="B257" s="20" t="s">
        <v>136</v>
      </c>
      <c r="C257" s="20" t="s">
        <v>181</v>
      </c>
      <c r="D257" s="20" t="s">
        <v>131</v>
      </c>
      <c r="E257" s="21" t="s">
        <v>424</v>
      </c>
      <c r="F257" s="22" t="str">
        <f>IF(OR(E257="",E257="!!!"),"",IF(NOT(ISNA(VLOOKUP(E257,E$1:E256,1,FALSE()))),"OLD",IF(AND(E257&lt;&gt;"",E257&lt;&gt;"!!!"),"NEW","")))</f>
        <v>OLD</v>
      </c>
      <c r="G257" s="23" t="str">
        <f ca="1"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?IN_FOCUS</v>
      </c>
      <c r="H257" s="24" t="str">
        <f t="shared" ca="1" si="31"/>
        <v/>
      </c>
      <c r="I257" s="25" t="str">
        <f>IF(OR(E257="",E257="!!!",F257="NEW"),"",INDEX(B$2:B256,-1+SUMPRODUCT(MAX(ROW(E$2:E256)*(E257=E$2:E256)))))</f>
        <v>OBJ</v>
      </c>
      <c r="J257" s="25">
        <f ca="1">IF(OR(E257="",E257="!!!",F257="NEW"),"",COUNTBLANK(OFFSET(A$1,,,SUMPRODUCT(MAX(ROW(E$2:E257)*(E257=E$2:E257)))))-COUNTBLANK(OFFSET(A$1,,,SUMPRODUCT(MAX(ROW(E$1:E256)*(E2=E$1:E256))))))</f>
        <v>0</v>
      </c>
      <c r="K257" s="25">
        <f ca="1">IF(OR(E257="",E257="!!!",F257="NEW"),"",INDEX(J$1:J256,SUMPRODUCT(MAX(ROW(E$1:E256)*(E257=E$1:E256)))))</f>
        <v>0</v>
      </c>
      <c r="L257" s="26"/>
    </row>
    <row r="258" spans="1:12" x14ac:dyDescent="0.3">
      <c r="A258" t="s">
        <v>237</v>
      </c>
      <c r="E258" s="21" t="str">
        <f t="shared" si="30"/>
        <v/>
      </c>
      <c r="F258" s="22" t="str">
        <f>IF(OR(E258="",E258="!!!"),"",IF(NOT(ISNA(VLOOKUP(E258,E$1:E257,1,FALSE()))),"OLD",IF(AND(E258&lt;&gt;"",E258&lt;&gt;"!!!"),"NEW","")))</f>
        <v/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/>
      </c>
      <c r="H258" s="24" t="str">
        <f t="shared" ca="1" si="31"/>
        <v/>
      </c>
      <c r="I258" s="25" t="str">
        <f>IF(OR(E258="",E258="!!!",F258="NEW"),"",INDEX(B$2:B257,-1+SUMPRODUCT(MAX(ROW(E$2:E257)*(E258=E$2:E257)))))</f>
        <v/>
      </c>
      <c r="J258" s="25" t="str">
        <f ca="1">IF(OR(E258="",E258="!!!",F258="NEW"),"",COUNTBLANK(OFFSET(A$1,,,SUMPRODUCT(MAX(ROW(E$2:E258)*(E258=E$2:E258)))))-COUNTBLANK(OFFSET(A$1,,,SUMPRODUCT(MAX(ROW(E$1:E257)*(E2=E$1:E257))))))</f>
        <v/>
      </c>
      <c r="K258" s="25" t="str">
        <f>IF(OR(E258="",E258="!!!",F258="NEW"),"",INDEX(J$1:J257,SUMPRODUCT(MAX(ROW(E$1:E257)*(E258=E$1:E257)))))</f>
        <v/>
      </c>
      <c r="L258" s="26"/>
    </row>
    <row r="259" spans="1:12" x14ac:dyDescent="0.3">
      <c r="A259" t="s">
        <v>311</v>
      </c>
      <c r="E259" s="21" t="str">
        <f t="shared" si="30"/>
        <v/>
      </c>
      <c r="F259" s="22" t="str">
        <f>IF(OR(E259="",E259="!!!"),"",IF(NOT(ISNA(VLOOKUP(E259,E$1:E258,1,FALSE()))),"OLD",IF(AND(E259&lt;&gt;"",E259&lt;&gt;"!!!"),"NEW","")))</f>
        <v/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/>
      </c>
      <c r="H259" s="24" t="str">
        <f t="shared" ca="1" si="31"/>
        <v/>
      </c>
      <c r="I259" s="25" t="str">
        <f>IF(OR(E259="",E259="!!!",F259="NEW"),"",INDEX(B$2:B258,-1+SUMPRODUCT(MAX(ROW(E$2:E258)*(E259=E$2:E258)))))</f>
        <v/>
      </c>
      <c r="J259" s="25" t="str">
        <f ca="1">IF(OR(E259="",E259="!!!",F259="NEW"),"",COUNTBLANK(OFFSET(A$1,,,SUMPRODUCT(MAX(ROW(E$2:E259)*(E259=E$2:E259)))))-COUNTBLANK(OFFSET(A$1,,,SUMPRODUCT(MAX(ROW(E$1:E258)*(E2=E$1:E258))))))</f>
        <v/>
      </c>
      <c r="K259" s="25" t="str">
        <f>IF(OR(E259="",E259="!!!",F259="NEW"),"",INDEX(J$1:J258,SUMPRODUCT(MAX(ROW(E$1:E258)*(E259=E$1:E258)))))</f>
        <v/>
      </c>
      <c r="L259" s="26"/>
    </row>
    <row r="260" spans="1:12" x14ac:dyDescent="0.3">
      <c r="A260" t="s">
        <v>148</v>
      </c>
      <c r="E260" s="21" t="str">
        <f t="shared" si="30"/>
        <v/>
      </c>
      <c r="F260" s="22" t="str">
        <f>IF(OR(E260="",E260="!!!"),"",IF(NOT(ISNA(VLOOKUP(E260,E$1:E259,1,FALSE()))),"OLD",IF(AND(E260&lt;&gt;"",E260&lt;&gt;"!!!"),"NEW","")))</f>
        <v/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/>
      </c>
      <c r="H260" s="24" t="str">
        <f t="shared" ca="1" si="31"/>
        <v/>
      </c>
      <c r="I260" s="25" t="str">
        <f>IF(OR(E260="",E260="!!!",F260="NEW"),"",INDEX(B$2:B259,-1+SUMPRODUCT(MAX(ROW(E$2:E259)*(E260=E$2:E259)))))</f>
        <v/>
      </c>
      <c r="J260" s="25" t="str">
        <f ca="1">IF(OR(E260="",E260="!!!",F260="NEW"),"",COUNTBLANK(OFFSET(A$1,,,SUMPRODUCT(MAX(ROW(E$2:E260)*(E260=E$2:E260)))))-COUNTBLANK(OFFSET(A$1,,,SUMPRODUCT(MAX(ROW(E$1:E259)*(E2=E$1:E259))))))</f>
        <v/>
      </c>
      <c r="K260" s="25" t="str">
        <f>IF(OR(E260="",E260="!!!",F260="NEW"),"",INDEX(J$1:J259,SUMPRODUCT(MAX(ROW(E$1:E259)*(E260=E$1:E259)))))</f>
        <v/>
      </c>
      <c r="L260" s="26"/>
    </row>
    <row r="262" spans="1:12" x14ac:dyDescent="0.3">
      <c r="A262" t="s">
        <v>312</v>
      </c>
    </row>
    <row r="263" spans="1:12" x14ac:dyDescent="0.3">
      <c r="A263" t="s">
        <v>132</v>
      </c>
      <c r="B263" s="20" t="s">
        <v>129</v>
      </c>
      <c r="C263" s="20" t="s">
        <v>207</v>
      </c>
      <c r="E263" s="21" t="s">
        <v>424</v>
      </c>
      <c r="F263" s="22" t="str">
        <f>IF(OR(E263="",E263="!!!"),"",IF(NOT(ISNA(VLOOKUP(E263,E$1:E262,1,FALSE()))),"OLD",IF(AND(E263&lt;&gt;"",E263&lt;&gt;"!!!"),"NEW","")))</f>
        <v>OLD</v>
      </c>
      <c r="G263" s="23" t="str">
        <f ca="1"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?IN_FOCUS</v>
      </c>
      <c r="H263" s="24" t="str">
        <f ca="1">IF(J263&lt;&gt;1,"",IF(I263="SBJ","CB","?"))</f>
        <v/>
      </c>
      <c r="I263" s="25" t="str">
        <f>IF(OR(E263="",E263="!!!",F263="NEW"),"",INDEX(B$2:B262,-1+SUMPRODUCT(MAX(ROW(E$2:E262)*(E263=E$2:E262)))))</f>
        <v>OBJ</v>
      </c>
      <c r="J263" s="25">
        <f ca="1">IF(OR(E263="",E263="!!!",F263="NEW"),"",COUNTBLANK(OFFSET(A$1,,,SUMPRODUCT(MAX(ROW(E$2:E263)*(E263=E$2:E263)))))-COUNTBLANK(OFFSET(A$1,,,SUMPRODUCT(MAX(ROW(E$1:E262)*(E2=E$1:E262))))))</f>
        <v>0</v>
      </c>
      <c r="K263" s="25">
        <f ca="1">IF(OR(E263="",E263="!!!",F263="NEW"),"",INDEX(J$1:J262,SUMPRODUCT(MAX(ROW(E$1:E262)*(E263=E$1:E262)))))</f>
        <v>0</v>
      </c>
      <c r="L263" s="26"/>
    </row>
    <row r="264" spans="1:12" x14ac:dyDescent="0.3">
      <c r="A264" t="s">
        <v>313</v>
      </c>
      <c r="E264" s="21" t="str">
        <f>IF(D264="?OLD","!!!","")</f>
        <v/>
      </c>
      <c r="F264" s="22" t="str">
        <f>IF(OR(E264="",E264="!!!"),"",IF(NOT(ISNA(VLOOKUP(E264,E$1:E263,1,FALSE()))),"OLD",IF(AND(E264&lt;&gt;"",E264&lt;&gt;"!!!"),"NEW","")))</f>
        <v/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/>
      </c>
      <c r="H264" s="24" t="str">
        <f ca="1">IF(J264&lt;&gt;1,"",IF(I264="SBJ","CB","?"))</f>
        <v/>
      </c>
      <c r="I264" s="25" t="str">
        <f>IF(OR(E264="",E264="!!!",F264="NEW"),"",INDEX(B$2:B263,-1+SUMPRODUCT(MAX(ROW(E$2:E263)*(E264=E$2:E263)))))</f>
        <v/>
      </c>
      <c r="J264" s="25" t="str">
        <f ca="1">IF(OR(E264="",E264="!!!",F264="NEW"),"",COUNTBLANK(OFFSET(A$1,,,SUMPRODUCT(MAX(ROW(E$2:E264)*(E264=E$2:E264)))))-COUNTBLANK(OFFSET(A$1,,,SUMPRODUCT(MAX(ROW(E$1:E263)*(E2=E$1:E263))))))</f>
        <v/>
      </c>
      <c r="K264" s="25" t="str">
        <f>IF(OR(E264="",E264="!!!",F264="NEW"),"",INDEX(J$1:J263,SUMPRODUCT(MAX(ROW(E$1:E263)*(E264=E$1:E263)))))</f>
        <v/>
      </c>
      <c r="L264" s="26"/>
    </row>
    <row r="265" spans="1:12" x14ac:dyDescent="0.3">
      <c r="A265" t="s">
        <v>248</v>
      </c>
      <c r="E265" s="21" t="str">
        <f>IF(D265="?OLD","!!!","")</f>
        <v/>
      </c>
      <c r="F265" s="22" t="str">
        <f>IF(OR(E265="",E265="!!!"),"",IF(NOT(ISNA(VLOOKUP(E265,E$1:E264,1,FALSE()))),"OLD",IF(AND(E265&lt;&gt;"",E265&lt;&gt;"!!!"),"NEW","")))</f>
        <v/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/>
      </c>
      <c r="H265" s="24" t="str">
        <f ca="1">IF(J265&lt;&gt;1,"",IF(I265="SBJ","CB","?"))</f>
        <v/>
      </c>
      <c r="I265" s="25" t="str">
        <f>IF(OR(E265="",E265="!!!",F265="NEW"),"",INDEX(B$2:B264,-1+SUMPRODUCT(MAX(ROW(E$2:E264)*(E265=E$2:E264)))))</f>
        <v/>
      </c>
      <c r="J265" s="25" t="str">
        <f ca="1">IF(OR(E265="",E265="!!!",F265="NEW"),"",COUNTBLANK(OFFSET(A$1,,,SUMPRODUCT(MAX(ROW(E$2:E265)*(E265=E$2:E265)))))-COUNTBLANK(OFFSET(A$1,,,SUMPRODUCT(MAX(ROW(E$1:E264)*(E2=E$1:E264))))))</f>
        <v/>
      </c>
      <c r="K265" s="25" t="str">
        <f>IF(OR(E265="",E265="!!!",F265="NEW"),"",INDEX(J$1:J264,SUMPRODUCT(MAX(ROW(E$1:E264)*(E265=E$1:E264)))))</f>
        <v/>
      </c>
      <c r="L265" s="26"/>
    </row>
    <row r="266" spans="1:12" x14ac:dyDescent="0.3">
      <c r="A266" t="s">
        <v>72</v>
      </c>
      <c r="E266" s="21" t="str">
        <f>IF(D266="?OLD","!!!","")</f>
        <v/>
      </c>
      <c r="F266" s="22" t="str">
        <f>IF(OR(E266="",E266="!!!"),"",IF(NOT(ISNA(VLOOKUP(E266,E$1:E265,1,FALSE()))),"OLD",IF(AND(E266&lt;&gt;"",E266&lt;&gt;"!!!"),"NEW","")))</f>
        <v/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/>
      </c>
      <c r="H266" s="24" t="str">
        <f ca="1">IF(J266&lt;&gt;1,"",IF(I266="SBJ","CB","?"))</f>
        <v/>
      </c>
      <c r="I266" s="25" t="str">
        <f>IF(OR(E266="",E266="!!!",F266="NEW"),"",INDEX(B$2:B265,-1+SUMPRODUCT(MAX(ROW(E$2:E265)*(E266=E$2:E265)))))</f>
        <v/>
      </c>
      <c r="J266" s="25" t="str">
        <f ca="1">IF(OR(E266="",E266="!!!",F266="NEW"),"",COUNTBLANK(OFFSET(A$1,,,SUMPRODUCT(MAX(ROW(E$2:E266)*(E266=E$2:E266)))))-COUNTBLANK(OFFSET(A$1,,,SUMPRODUCT(MAX(ROW(E$1:E265)*(E2=E$1:E265))))))</f>
        <v/>
      </c>
      <c r="K266" s="25" t="str">
        <f>IF(OR(E266="",E266="!!!",F266="NEW"),"",INDEX(J$1:J265,SUMPRODUCT(MAX(ROW(E$1:E265)*(E266=E$1:E265)))))</f>
        <v/>
      </c>
      <c r="L266" s="26"/>
    </row>
    <row r="267" spans="1:12" x14ac:dyDescent="0.3">
      <c r="A267" t="s">
        <v>148</v>
      </c>
      <c r="E267" s="21" t="str">
        <f>IF(D267="?OLD","!!!","")</f>
        <v/>
      </c>
      <c r="F267" s="22" t="str">
        <f>IF(OR(E267="",E267="!!!"),"",IF(NOT(ISNA(VLOOKUP(E267,E$1:E266,1,FALSE()))),"OLD",IF(AND(E267&lt;&gt;"",E267&lt;&gt;"!!!"),"NEW","")))</f>
        <v/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/>
      </c>
      <c r="H267" s="24" t="str">
        <f ca="1">IF(J267&lt;&gt;1,"",IF(I267="SBJ","CB","?"))</f>
        <v/>
      </c>
      <c r="I267" s="25" t="str">
        <f>IF(OR(E267="",E267="!!!",F267="NEW"),"",INDEX(B$2:B266,-1+SUMPRODUCT(MAX(ROW(E$2:E266)*(E267=E$2:E266)))))</f>
        <v/>
      </c>
      <c r="J267" s="25" t="str">
        <f ca="1">IF(OR(E267="",E267="!!!",F267="NEW"),"",COUNTBLANK(OFFSET(A$1,,,SUMPRODUCT(MAX(ROW(E$2:E267)*(E267=E$2:E267)))))-COUNTBLANK(OFFSET(A$1,,,SUMPRODUCT(MAX(ROW(E$1:E266)*(E2=E$1:E266))))))</f>
        <v/>
      </c>
      <c r="K267" s="25" t="str">
        <f>IF(OR(E267="",E267="!!!",F267="NEW"),"",INDEX(J$1:J266,SUMPRODUCT(MAX(ROW(E$1:E266)*(E267=E$1:E266)))))</f>
        <v/>
      </c>
      <c r="L267" s="26" t="s">
        <v>492</v>
      </c>
    </row>
    <row r="269" spans="1:12" x14ac:dyDescent="0.3">
      <c r="A269" t="s">
        <v>314</v>
      </c>
    </row>
    <row r="270" spans="1:12" x14ac:dyDescent="0.3">
      <c r="A270" t="s">
        <v>77</v>
      </c>
      <c r="B270" s="20" t="s">
        <v>152</v>
      </c>
      <c r="C270" s="20" t="s">
        <v>207</v>
      </c>
      <c r="E270" s="21" t="str">
        <f>IF(D270="?OLD","!!!","")</f>
        <v/>
      </c>
      <c r="F270" s="22" t="str">
        <f>IF(OR(E270="",E270="!!!"),"",IF(NOT(ISNA(VLOOKUP(E270,E$1:E269,1,FALSE()))),"OLD",IF(AND(E270&lt;&gt;"",E270&lt;&gt;"!!!"),"NEW","")))</f>
        <v/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/>
      </c>
      <c r="H270" s="24" t="str">
        <f ca="1">IF(J270&lt;&gt;1,"",IF(I270="SBJ","CB","?"))</f>
        <v/>
      </c>
      <c r="I270" s="25" t="str">
        <f>IF(OR(E270="",E270="!!!",F270="NEW"),"",INDEX(B$2:B269,-1+SUMPRODUCT(MAX(ROW(E$2:E269)*(E270=E$2:E269)))))</f>
        <v/>
      </c>
      <c r="J270" s="25" t="str">
        <f ca="1">IF(OR(E270="",E270="!!!",F270="NEW"),"",COUNTBLANK(OFFSET(A$1,,,SUMPRODUCT(MAX(ROW(E$2:E270)*(E270=E$2:E270)))))-COUNTBLANK(OFFSET(A$1,,,SUMPRODUCT(MAX(ROW(E$1:E269)*(E2=E$1:E269))))))</f>
        <v/>
      </c>
      <c r="K270" s="25" t="str">
        <f>IF(OR(E270="",E270="!!!",F270="NEW"),"",INDEX(J$1:J269,SUMPRODUCT(MAX(ROW(E$1:E269)*(E270=E$1:E269)))))</f>
        <v/>
      </c>
      <c r="L270" s="26"/>
    </row>
    <row r="271" spans="1:12" x14ac:dyDescent="0.3">
      <c r="A271" t="s">
        <v>248</v>
      </c>
      <c r="E271" s="21" t="str">
        <f>IF(D271="?OLD","!!!","")</f>
        <v/>
      </c>
      <c r="F271" s="22" t="str">
        <f>IF(OR(E271="",E271="!!!"),"",IF(NOT(ISNA(VLOOKUP(E271,E$1:E270,1,FALSE()))),"OLD",IF(AND(E271&lt;&gt;"",E271&lt;&gt;"!!!"),"NEW","")))</f>
        <v/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/>
      </c>
      <c r="H271" s="24" t="str">
        <f ca="1">IF(J271&lt;&gt;1,"",IF(I271="SBJ","CB","?"))</f>
        <v/>
      </c>
      <c r="I271" s="25" t="str">
        <f>IF(OR(E271="",E271="!!!",F271="NEW"),"",INDEX(B$2:B270,-1+SUMPRODUCT(MAX(ROW(E$2:E270)*(E271=E$2:E270)))))</f>
        <v/>
      </c>
      <c r="J271" s="25" t="str">
        <f ca="1">IF(OR(E271="",E271="!!!",F271="NEW"),"",COUNTBLANK(OFFSET(A$1,,,SUMPRODUCT(MAX(ROW(E$2:E271)*(E271=E$2:E271)))))-COUNTBLANK(OFFSET(A$1,,,SUMPRODUCT(MAX(ROW(E$1:E270)*(E2=E$1:E270))))))</f>
        <v/>
      </c>
      <c r="K271" s="25" t="str">
        <f>IF(OR(E271="",E271="!!!",F271="NEW"),"",INDEX(J$1:J270,SUMPRODUCT(MAX(ROW(E$1:E270)*(E271=E$1:E270)))))</f>
        <v/>
      </c>
      <c r="L271" s="26"/>
    </row>
    <row r="272" spans="1:12" x14ac:dyDescent="0.3">
      <c r="A272" t="s">
        <v>135</v>
      </c>
      <c r="B272" s="20" t="s">
        <v>152</v>
      </c>
      <c r="C272" s="20" t="s">
        <v>137</v>
      </c>
      <c r="D272" s="20" t="s">
        <v>131</v>
      </c>
      <c r="E272" s="21" t="s">
        <v>455</v>
      </c>
      <c r="F272" s="22" t="str">
        <f>IF(OR(E272="",E272="!!!"),"",IF(NOT(ISNA(VLOOKUP(E272,E$1:E271,1,FALSE()))),"OLD",IF(AND(E272&lt;&gt;"",E272&lt;&gt;"!!!"),"NEW","")))</f>
        <v>OLD</v>
      </c>
      <c r="G272" s="23" t="str">
        <f ca="1"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?IN_FOCUS</v>
      </c>
      <c r="H272" s="24" t="str">
        <f ca="1">IF(J272&lt;&gt;1,"",IF(I272="SBJ","CB","?"))</f>
        <v/>
      </c>
      <c r="I272" s="25" t="str">
        <f>IF(OR(E272="",E272="!!!",F272="NEW"),"",INDEX(B$2:B271,-1+SUMPRODUCT(MAX(ROW(E$2:E271)*(E272=E$2:E271)))))</f>
        <v>OBJ</v>
      </c>
      <c r="J272" s="25">
        <f ca="1">IF(OR(E272="",E272="!!!",F272="NEW"),"",COUNTBLANK(OFFSET(A$1,,,SUMPRODUCT(MAX(ROW(E$2:E272)*(E272=E$2:E272)))))-COUNTBLANK(OFFSET(A$1,,,SUMPRODUCT(MAX(ROW(E$1:E271)*(E2=E$1:E271))))))</f>
        <v>0</v>
      </c>
      <c r="K272" s="25">
        <f ca="1">IF(OR(E272="",E272="!!!",F272="NEW"),"",INDEX(J$1:J271,SUMPRODUCT(MAX(ROW(E$1:E271)*(E272=E$1:E271)))))</f>
        <v>0</v>
      </c>
      <c r="L272" s="26"/>
    </row>
    <row r="273" spans="1:12" x14ac:dyDescent="0.3">
      <c r="A273" t="s">
        <v>148</v>
      </c>
      <c r="E273" s="21" t="str">
        <f>IF(D273="?OLD","!!!","")</f>
        <v/>
      </c>
      <c r="F273" s="22" t="str">
        <f>IF(OR(E273="",E273="!!!"),"",IF(NOT(ISNA(VLOOKUP(E273,E$1:E272,1,FALSE()))),"OLD",IF(AND(E273&lt;&gt;"",E273&lt;&gt;"!!!"),"NEW","")))</f>
        <v/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/>
      </c>
      <c r="H273" s="24" t="str">
        <f ca="1">IF(J273&lt;&gt;1,"",IF(I273="SBJ","CB","?"))</f>
        <v/>
      </c>
      <c r="I273" s="25" t="str">
        <f>IF(OR(E273="",E273="!!!",F273="NEW"),"",INDEX(B$2:B272,-1+SUMPRODUCT(MAX(ROW(E$2:E272)*(E273=E$2:E272)))))</f>
        <v/>
      </c>
      <c r="J273" s="25" t="str">
        <f ca="1">IF(OR(E273="",E273="!!!",F273="NEW"),"",COUNTBLANK(OFFSET(A$1,,,SUMPRODUCT(MAX(ROW(E$2:E273)*(E273=E$2:E273)))))-COUNTBLANK(OFFSET(A$1,,,SUMPRODUCT(MAX(ROW(E$1:E272)*(E2=E$1:E272))))))</f>
        <v/>
      </c>
      <c r="K273" s="25" t="str">
        <f>IF(OR(E273="",E273="!!!",F273="NEW"),"",INDEX(J$1:J272,SUMPRODUCT(MAX(ROW(E$1:E272)*(E273=E$1:E272)))))</f>
        <v/>
      </c>
      <c r="L273" s="26"/>
    </row>
    <row r="275" spans="1:12" x14ac:dyDescent="0.3">
      <c r="A275" t="s">
        <v>315</v>
      </c>
    </row>
    <row r="276" spans="1:12" x14ac:dyDescent="0.3">
      <c r="A276" t="s">
        <v>316</v>
      </c>
      <c r="E276" s="21" t="str">
        <f t="shared" ref="E276:E289" si="32">IF(D276="?OLD","!!!","")</f>
        <v/>
      </c>
      <c r="F276" s="22" t="str">
        <f>IF(OR(E276="",E276="!!!"),"",IF(NOT(ISNA(VLOOKUP(E276,E$1:E275,1,FALSE()))),"OLD",IF(AND(E276&lt;&gt;"",E276&lt;&gt;"!!!"),"NEW","")))</f>
        <v/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/>
      </c>
      <c r="H276" s="24" t="str">
        <f t="shared" ref="H276:H289" ca="1" si="33">IF(J276&lt;&gt;1,"",IF(I276="SBJ","CB","?"))</f>
        <v/>
      </c>
      <c r="I276" s="25" t="str">
        <f>IF(OR(E276="",E276="!!!",F276="NEW"),"",INDEX(B$2:B275,-1+SUMPRODUCT(MAX(ROW(E$2:E275)*(E276=E$2:E275)))))</f>
        <v/>
      </c>
      <c r="J276" s="25" t="str">
        <f ca="1">IF(OR(E276="",E276="!!!",F276="NEW"),"",COUNTBLANK(OFFSET(A$1,,,SUMPRODUCT(MAX(ROW(E$2:E276)*(E276=E$2:E276)))))-COUNTBLANK(OFFSET(A$1,,,SUMPRODUCT(MAX(ROW(E$1:E275)*(E2=E$1:E275))))))</f>
        <v/>
      </c>
      <c r="K276" s="25" t="str">
        <f>IF(OR(E276="",E276="!!!",F276="NEW"),"",INDEX(J$1:J275,SUMPRODUCT(MAX(ROW(E$1:E275)*(E276=E$1:E275)))))</f>
        <v/>
      </c>
      <c r="L276" s="26"/>
    </row>
    <row r="277" spans="1:12" x14ac:dyDescent="0.3">
      <c r="A277" t="s">
        <v>271</v>
      </c>
      <c r="B277" s="20" t="s">
        <v>152</v>
      </c>
      <c r="C277" s="20" t="s">
        <v>130</v>
      </c>
      <c r="D277" s="20" t="s">
        <v>131</v>
      </c>
      <c r="E277" s="21" t="s">
        <v>431</v>
      </c>
      <c r="F277" s="22" t="str">
        <f>IF(OR(E277="",E277="!!!"),"",IF(NOT(ISNA(VLOOKUP(E277,E$1:E276,1,FALSE()))),"OLD",IF(AND(E277&lt;&gt;"",E277&lt;&gt;"!!!"),"NEW","")))</f>
        <v>OLD</v>
      </c>
      <c r="G277" s="23" t="str">
        <f ca="1"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?IN_FOCUS</v>
      </c>
      <c r="H277" s="24" t="str">
        <f t="shared" ca="1" si="33"/>
        <v/>
      </c>
      <c r="I277" s="25" t="str">
        <f>IF(OR(E277="",E277="!!!",F277="NEW"),"",INDEX(B$2:B276,-1+SUMPRODUCT(MAX(ROW(E$2:E276)*(E277=E$2:E276)))))</f>
        <v>other</v>
      </c>
      <c r="J277" s="25">
        <f ca="1">IF(OR(E277="",E277="!!!",F277="NEW"),"",COUNTBLANK(OFFSET(A$1,,,SUMPRODUCT(MAX(ROW(E$2:E277)*(E277=E$2:E277)))))-COUNTBLANK(OFFSET(A$1,,,SUMPRODUCT(MAX(ROW(E$1:E276)*(E2=E$1:E276))))))</f>
        <v>0</v>
      </c>
      <c r="K277" s="25" t="str">
        <f ca="1">IF(OR(E277="",E277="!!!",F277="NEW"),"",INDEX(J$1:J276,SUMPRODUCT(MAX(ROW(E$1:E276)*(E277=E$1:E276)))))</f>
        <v/>
      </c>
      <c r="L277" s="26"/>
    </row>
    <row r="278" spans="1:12" x14ac:dyDescent="0.3">
      <c r="A278" t="s">
        <v>317</v>
      </c>
      <c r="E278" s="21" t="str">
        <f t="shared" si="32"/>
        <v/>
      </c>
      <c r="F278" s="22" t="str">
        <f>IF(OR(E278="",E278="!!!"),"",IF(NOT(ISNA(VLOOKUP(E278,E$1:E277,1,FALSE()))),"OLD",IF(AND(E278&lt;&gt;"",E278&lt;&gt;"!!!"),"NEW","")))</f>
        <v/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/>
      </c>
      <c r="H278" s="24" t="str">
        <f t="shared" ca="1" si="33"/>
        <v/>
      </c>
      <c r="I278" s="25" t="str">
        <f>IF(OR(E278="",E278="!!!",F278="NEW"),"",INDEX(B$2:B277,-1+SUMPRODUCT(MAX(ROW(E$2:E277)*(E278=E$2:E277)))))</f>
        <v/>
      </c>
      <c r="J278" s="25" t="str">
        <f ca="1">IF(OR(E278="",E278="!!!",F278="NEW"),"",COUNTBLANK(OFFSET(A$1,,,SUMPRODUCT(MAX(ROW(E$2:E278)*(E278=E$2:E278)))))-COUNTBLANK(OFFSET(A$1,,,SUMPRODUCT(MAX(ROW(E$1:E277)*(E2=E$1:E277))))))</f>
        <v/>
      </c>
      <c r="K278" s="25" t="str">
        <f>IF(OR(E278="",E278="!!!",F278="NEW"),"",INDEX(J$1:J277,SUMPRODUCT(MAX(ROW(E$1:E277)*(E278=E$1:E277)))))</f>
        <v/>
      </c>
      <c r="L278" s="26"/>
    </row>
    <row r="279" spans="1:12" x14ac:dyDescent="0.3">
      <c r="A279" t="s">
        <v>263</v>
      </c>
      <c r="B279" s="20" t="s">
        <v>129</v>
      </c>
      <c r="C279" s="20" t="s">
        <v>181</v>
      </c>
      <c r="D279" s="20" t="s">
        <v>131</v>
      </c>
      <c r="E279" s="21" t="s">
        <v>424</v>
      </c>
      <c r="F279" s="22" t="str">
        <f>IF(OR(E279="",E279="!!!"),"",IF(NOT(ISNA(VLOOKUP(E279,E$1:E278,1,FALSE()))),"OLD",IF(AND(E279&lt;&gt;"",E279&lt;&gt;"!!!"),"NEW","")))</f>
        <v>OLD</v>
      </c>
      <c r="G279" s="23" t="str">
        <f ca="1"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?IN_FOCUS</v>
      </c>
      <c r="H279" s="24" t="str">
        <f t="shared" ca="1" si="33"/>
        <v/>
      </c>
      <c r="I279" s="25" t="str">
        <f>IF(OR(E279="",E279="!!!",F279="NEW"),"",INDEX(B$2:B278,-1+SUMPRODUCT(MAX(ROW(E$2:E278)*(E279=E$2:E278)))))</f>
        <v>SBJ</v>
      </c>
      <c r="J279" s="25">
        <f ca="1">IF(OR(E279="",E279="!!!",F279="NEW"),"",COUNTBLANK(OFFSET(A$1,,,SUMPRODUCT(MAX(ROW(E$2:E279)*(E279=E$2:E279)))))-COUNTBLANK(OFFSET(A$1,,,SUMPRODUCT(MAX(ROW(E$1:E278)*(E2=E$1:E278))))))</f>
        <v>0</v>
      </c>
      <c r="K279" s="25">
        <f ca="1">IF(OR(E279="",E279="!!!",F279="NEW"),"",INDEX(J$1:J278,SUMPRODUCT(MAX(ROW(E$1:E278)*(E279=E$1:E278)))))</f>
        <v>0</v>
      </c>
      <c r="L279" s="26"/>
    </row>
    <row r="280" spans="1:12" x14ac:dyDescent="0.3">
      <c r="A280" t="s">
        <v>171</v>
      </c>
      <c r="E280" s="21" t="str">
        <f t="shared" si="32"/>
        <v/>
      </c>
      <c r="F280" s="22" t="str">
        <f>IF(OR(E280="",E280="!!!"),"",IF(NOT(ISNA(VLOOKUP(E280,E$1:E279,1,FALSE()))),"OLD",IF(AND(E280&lt;&gt;"",E280&lt;&gt;"!!!"),"NEW","")))</f>
        <v/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/>
      </c>
      <c r="H280" s="24" t="str">
        <f t="shared" ca="1" si="33"/>
        <v/>
      </c>
      <c r="I280" s="25" t="str">
        <f>IF(OR(E280="",E280="!!!",F280="NEW"),"",INDEX(B$2:B279,-1+SUMPRODUCT(MAX(ROW(E$2:E279)*(E280=E$2:E279)))))</f>
        <v/>
      </c>
      <c r="J280" s="25" t="str">
        <f ca="1">IF(OR(E280="",E280="!!!",F280="NEW"),"",COUNTBLANK(OFFSET(A$1,,,SUMPRODUCT(MAX(ROW(E$2:E280)*(E280=E$2:E280)))))-COUNTBLANK(OFFSET(A$1,,,SUMPRODUCT(MAX(ROW(E$1:E279)*(E2=E$1:E279))))))</f>
        <v/>
      </c>
      <c r="K280" s="25" t="str">
        <f>IF(OR(E280="",E280="!!!",F280="NEW"),"",INDEX(J$1:J279,SUMPRODUCT(MAX(ROW(E$1:E279)*(E280=E$1:E279)))))</f>
        <v/>
      </c>
      <c r="L280" s="26"/>
    </row>
    <row r="281" spans="1:12" x14ac:dyDescent="0.3">
      <c r="A281" t="s">
        <v>143</v>
      </c>
      <c r="E281" s="21" t="str">
        <f t="shared" si="32"/>
        <v/>
      </c>
      <c r="F281" s="22" t="str">
        <f>IF(OR(E281="",E281="!!!"),"",IF(NOT(ISNA(VLOOKUP(E281,E$1:E280,1,FALSE()))),"OLD",IF(AND(E281&lt;&gt;"",E281&lt;&gt;"!!!"),"NEW","")))</f>
        <v/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/>
      </c>
      <c r="H281" s="24" t="str">
        <f t="shared" ca="1" si="33"/>
        <v/>
      </c>
      <c r="I281" s="25" t="str">
        <f>IF(OR(E281="",E281="!!!",F281="NEW"),"",INDEX(B$2:B280,-1+SUMPRODUCT(MAX(ROW(E$2:E280)*(E281=E$2:E280)))))</f>
        <v/>
      </c>
      <c r="J281" s="25" t="str">
        <f ca="1">IF(OR(E281="",E281="!!!",F281="NEW"),"",COUNTBLANK(OFFSET(A$1,,,SUMPRODUCT(MAX(ROW(E$2:E281)*(E281=E$2:E281)))))-COUNTBLANK(OFFSET(A$1,,,SUMPRODUCT(MAX(ROW(E$1:E280)*(E2=E$1:E280))))))</f>
        <v/>
      </c>
      <c r="K281" s="25" t="str">
        <f>IF(OR(E281="",E281="!!!",F281="NEW"),"",INDEX(J$1:J280,SUMPRODUCT(MAX(ROW(E$1:E280)*(E281=E$1:E280)))))</f>
        <v/>
      </c>
      <c r="L281" s="26"/>
    </row>
    <row r="282" spans="1:12" x14ac:dyDescent="0.3">
      <c r="A282" t="s">
        <v>240</v>
      </c>
      <c r="B282" s="20" t="s">
        <v>152</v>
      </c>
      <c r="C282" s="20" t="s">
        <v>130</v>
      </c>
      <c r="D282" s="20" t="s">
        <v>131</v>
      </c>
      <c r="E282" s="21" t="s">
        <v>469</v>
      </c>
      <c r="F282" s="22" t="s">
        <v>470</v>
      </c>
      <c r="G282" s="23" t="str">
        <f ca="1"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?IN_FOCUS</v>
      </c>
      <c r="H282" s="24" t="str">
        <f t="shared" ca="1" si="33"/>
        <v/>
      </c>
      <c r="I282" s="25" t="str">
        <f>IF(OR(E282="",E282="!!!",F282="NEW"),"",INDEX(B$2:B281,-1+SUMPRODUCT(MAX(ROW(E$2:E281)*(E282=E$2:E281)))))</f>
        <v>other</v>
      </c>
      <c r="J282" s="25">
        <f ca="1">IF(OR(E282="",E282="!!!",F282="NEW"),"",COUNTBLANK(OFFSET(A$1,,,SUMPRODUCT(MAX(ROW(E$2:E282)*(E282=E$2:E282)))))-COUNTBLANK(OFFSET(A$1,,,SUMPRODUCT(MAX(ROW(E$1:E281)*(E2=E$1:E281))))))</f>
        <v>0</v>
      </c>
      <c r="K282" s="25">
        <f ca="1">IF(OR(E282="",E282="!!!",F282="NEW"),"",INDEX(J$1:J281,SUMPRODUCT(MAX(ROW(E$1:E281)*(E282=E$1:E281)))))</f>
        <v>0</v>
      </c>
      <c r="L282" s="26"/>
    </row>
    <row r="283" spans="1:12" x14ac:dyDescent="0.3">
      <c r="A283" t="s">
        <v>175</v>
      </c>
      <c r="E283" s="21" t="str">
        <f t="shared" si="32"/>
        <v/>
      </c>
      <c r="F283" s="22" t="str">
        <f>IF(OR(E283="",E283="!!!"),"",IF(NOT(ISNA(VLOOKUP(E283,E$1:E282,1,FALSE()))),"OLD",IF(AND(E283&lt;&gt;"",E283&lt;&gt;"!!!"),"NEW","")))</f>
        <v/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/>
      </c>
      <c r="H283" s="24" t="str">
        <f t="shared" ca="1" si="33"/>
        <v/>
      </c>
      <c r="I283" s="25" t="str">
        <f>IF(OR(E283="",E283="!!!",F283="NEW"),"",INDEX(B$2:B282,-1+SUMPRODUCT(MAX(ROW(E$2:E282)*(E283=E$2:E282)))))</f>
        <v/>
      </c>
      <c r="J283" s="25" t="str">
        <f ca="1">IF(OR(E283="",E283="!!!",F283="NEW"),"",COUNTBLANK(OFFSET(A$1,,,SUMPRODUCT(MAX(ROW(E$2:E283)*(E283=E$2:E283)))))-COUNTBLANK(OFFSET(A$1,,,SUMPRODUCT(MAX(ROW(E$1:E282)*(E2=E$1:E282))))))</f>
        <v/>
      </c>
      <c r="K283" s="25" t="str">
        <f>IF(OR(E283="",E283="!!!",F283="NEW"),"",INDEX(J$1:J282,SUMPRODUCT(MAX(ROW(E$1:E282)*(E283=E$1:E282)))))</f>
        <v/>
      </c>
      <c r="L283" s="26"/>
    </row>
    <row r="284" spans="1:12" x14ac:dyDescent="0.3">
      <c r="A284" t="s">
        <v>318</v>
      </c>
      <c r="E284" s="21" t="str">
        <f t="shared" si="32"/>
        <v/>
      </c>
      <c r="F284" s="22" t="str">
        <f>IF(OR(E284="",E284="!!!"),"",IF(NOT(ISNA(VLOOKUP(E284,E$1:E283,1,FALSE()))),"OLD",IF(AND(E284&lt;&gt;"",E284&lt;&gt;"!!!"),"NEW","")))</f>
        <v/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/>
      </c>
      <c r="H284" s="24" t="str">
        <f t="shared" ca="1" si="33"/>
        <v/>
      </c>
      <c r="I284" s="25" t="str">
        <f>IF(OR(E284="",E284="!!!",F284="NEW"),"",INDEX(B$2:B283,-1+SUMPRODUCT(MAX(ROW(E$2:E283)*(E284=E$2:E283)))))</f>
        <v/>
      </c>
      <c r="J284" s="25" t="str">
        <f ca="1">IF(OR(E284="",E284="!!!",F284="NEW"),"",COUNTBLANK(OFFSET(A$1,,,SUMPRODUCT(MAX(ROW(E$2:E284)*(E284=E$2:E284)))))-COUNTBLANK(OFFSET(A$1,,,SUMPRODUCT(MAX(ROW(E$1:E283)*(E2=E$1:E283))))))</f>
        <v/>
      </c>
      <c r="K284" s="25" t="str">
        <f>IF(OR(E284="",E284="!!!",F284="NEW"),"",INDEX(J$1:J283,SUMPRODUCT(MAX(ROW(E$1:E283)*(E284=E$1:E283)))))</f>
        <v/>
      </c>
      <c r="L284" s="26"/>
    </row>
    <row r="285" spans="1:12" x14ac:dyDescent="0.3">
      <c r="A285" t="s">
        <v>77</v>
      </c>
      <c r="B285" s="20" t="s">
        <v>136</v>
      </c>
      <c r="C285" s="20" t="s">
        <v>137</v>
      </c>
      <c r="D285" s="20" t="s">
        <v>131</v>
      </c>
      <c r="E285" s="21" t="s">
        <v>435</v>
      </c>
      <c r="F285" s="22" t="str">
        <f>IF(OR(E285="",E285="!!!"),"",IF(NOT(ISNA(VLOOKUP(E285,E$1:E284,1,FALSE()))),"OLD",IF(AND(E285&lt;&gt;"",E285&lt;&gt;"!!!"),"NEW","")))</f>
        <v>NEW</v>
      </c>
      <c r="G285" s="23" t="str">
        <f ca="1"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?REFERENTIAL</v>
      </c>
      <c r="H285" s="24" t="str">
        <f t="shared" ca="1" si="33"/>
        <v/>
      </c>
      <c r="I285" s="25" t="str">
        <f>IF(OR(E285="",E285="!!!",F285="NEW"),"",INDEX(B$2:B284,-1+SUMPRODUCT(MAX(ROW(E$2:E284)*(E285=E$2:E284)))))</f>
        <v/>
      </c>
      <c r="J285" s="25" t="str">
        <f ca="1">IF(OR(E285="",E285="!!!",F285="NEW"),"",COUNTBLANK(OFFSET(A$1,,,SUMPRODUCT(MAX(ROW(E$2:E285)*(E285=E$2:E285)))))-COUNTBLANK(OFFSET(A$1,,,SUMPRODUCT(MAX(ROW(E$1:E284)*(E2=E$1:E284))))))</f>
        <v/>
      </c>
      <c r="K285" s="25" t="str">
        <f>IF(OR(E285="",E285="!!!",F285="NEW"),"",INDEX(J$1:J284,SUMPRODUCT(MAX(ROW(E$1:E284)*(E285=E$1:E284)))))</f>
        <v/>
      </c>
      <c r="L285" s="26" t="s">
        <v>443</v>
      </c>
    </row>
    <row r="286" spans="1:12" x14ac:dyDescent="0.3">
      <c r="A286" t="s">
        <v>319</v>
      </c>
      <c r="B286" s="20" t="s">
        <v>145</v>
      </c>
      <c r="C286" s="20" t="s">
        <v>130</v>
      </c>
      <c r="D286" s="20" t="s">
        <v>131</v>
      </c>
      <c r="E286" s="21"/>
      <c r="F286" s="22" t="s">
        <v>436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/>
      </c>
      <c r="H286" s="24" t="str">
        <f t="shared" ca="1" si="33"/>
        <v/>
      </c>
      <c r="I286" s="25" t="str">
        <f>IF(OR(E286="",E286="!!!",F286="NEW"),"",INDEX(B$2:B285,-1+SUMPRODUCT(MAX(ROW(E$2:E285)*(E286=E$2:E285)))))</f>
        <v/>
      </c>
      <c r="J286" s="25" t="str">
        <f ca="1">IF(OR(E286="",E286="!!!",F286="NEW"),"",COUNTBLANK(OFFSET(A$1,,,SUMPRODUCT(MAX(ROW(E$2:E286)*(E286=E$2:E286)))))-COUNTBLANK(OFFSET(A$1,,,SUMPRODUCT(MAX(ROW(E$1:E285)*(E2=E$1:E285))))))</f>
        <v/>
      </c>
      <c r="K286" s="25" t="str">
        <f>IF(OR(E286="",E286="!!!",F286="NEW"),"",INDEX(J$1:J285,SUMPRODUCT(MAX(ROW(E$1:E285)*(E286=E$1:E285)))))</f>
        <v/>
      </c>
      <c r="L286" s="26" t="s">
        <v>442</v>
      </c>
    </row>
    <row r="287" spans="1:12" x14ac:dyDescent="0.3">
      <c r="A287" t="s">
        <v>320</v>
      </c>
      <c r="E287" s="21" t="str">
        <f t="shared" si="32"/>
        <v/>
      </c>
      <c r="F287" s="22" t="str">
        <f>IF(OR(E287="",E287="!!!"),"",IF(NOT(ISNA(VLOOKUP(E287,E$1:E286,1,FALSE()))),"OLD",IF(AND(E287&lt;&gt;"",E287&lt;&gt;"!!!"),"NEW","")))</f>
        <v/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/>
      </c>
      <c r="H287" s="24" t="str">
        <f t="shared" ca="1" si="33"/>
        <v/>
      </c>
      <c r="I287" s="25" t="str">
        <f>IF(OR(E287="",E287="!!!",F287="NEW"),"",INDEX(B$2:B286,-1+SUMPRODUCT(MAX(ROW(E$2:E286)*(E287=E$2:E286)))))</f>
        <v/>
      </c>
      <c r="J287" s="25" t="str">
        <f ca="1">IF(OR(E287="",E287="!!!",F287="NEW"),"",COUNTBLANK(OFFSET(A$1,,,SUMPRODUCT(MAX(ROW(E$2:E287)*(E287=E$2:E287)))))-COUNTBLANK(OFFSET(A$1,,,SUMPRODUCT(MAX(ROW(E$1:E286)*(E2=E$1:E286))))))</f>
        <v/>
      </c>
      <c r="K287" s="25" t="str">
        <f>IF(OR(E287="",E287="!!!",F287="NEW"),"",INDEX(J$1:J286,SUMPRODUCT(MAX(ROW(E$1:E286)*(E287=E$1:E286)))))</f>
        <v/>
      </c>
      <c r="L287" s="26"/>
    </row>
    <row r="288" spans="1:12" x14ac:dyDescent="0.3">
      <c r="A288" t="s">
        <v>321</v>
      </c>
      <c r="E288" s="21" t="str">
        <f t="shared" si="32"/>
        <v/>
      </c>
      <c r="F288" s="22" t="str">
        <f>IF(OR(E288="",E288="!!!"),"",IF(NOT(ISNA(VLOOKUP(E288,E$1:E287,1,FALSE()))),"OLD",IF(AND(E288&lt;&gt;"",E288&lt;&gt;"!!!"),"NEW","")))</f>
        <v/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/>
      </c>
      <c r="H288" s="24" t="str">
        <f t="shared" ca="1" si="33"/>
        <v/>
      </c>
      <c r="I288" s="25" t="str">
        <f>IF(OR(E288="",E288="!!!",F288="NEW"),"",INDEX(B$2:B287,-1+SUMPRODUCT(MAX(ROW(E$2:E287)*(E288=E$2:E287)))))</f>
        <v/>
      </c>
      <c r="J288" s="25" t="str">
        <f ca="1">IF(OR(E288="",E288="!!!",F288="NEW"),"",COUNTBLANK(OFFSET(A$1,,,SUMPRODUCT(MAX(ROW(E$2:E288)*(E288=E$2:E288)))))-COUNTBLANK(OFFSET(A$1,,,SUMPRODUCT(MAX(ROW(E$1:E287)*(E2=E$1:E287))))))</f>
        <v/>
      </c>
      <c r="K288" s="25" t="str">
        <f>IF(OR(E288="",E288="!!!",F288="NEW"),"",INDEX(J$1:J287,SUMPRODUCT(MAX(ROW(E$1:E287)*(E288=E$1:E287)))))</f>
        <v/>
      </c>
      <c r="L288" s="26"/>
    </row>
    <row r="289" spans="1:12" x14ac:dyDescent="0.3">
      <c r="A289" t="s">
        <v>148</v>
      </c>
      <c r="E289" s="21" t="str">
        <f t="shared" si="32"/>
        <v/>
      </c>
      <c r="F289" s="22" t="str">
        <f>IF(OR(E289="",E289="!!!"),"",IF(NOT(ISNA(VLOOKUP(E289,E$1:E288,1,FALSE()))),"OLD",IF(AND(E289&lt;&gt;"",E289&lt;&gt;"!!!"),"NEW","")))</f>
        <v/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/>
      </c>
      <c r="H289" s="24" t="str">
        <f t="shared" ca="1" si="33"/>
        <v/>
      </c>
      <c r="I289" s="25" t="str">
        <f>IF(OR(E289="",E289="!!!",F289="NEW"),"",INDEX(B$2:B288,-1+SUMPRODUCT(MAX(ROW(E$2:E288)*(E289=E$2:E288)))))</f>
        <v/>
      </c>
      <c r="J289" s="25" t="str">
        <f ca="1">IF(OR(E289="",E289="!!!",F289="NEW"),"",COUNTBLANK(OFFSET(A$1,,,SUMPRODUCT(MAX(ROW(E$2:E289)*(E289=E$2:E289)))))-COUNTBLANK(OFFSET(A$1,,,SUMPRODUCT(MAX(ROW(E$1:E288)*(E2=E$1:E288))))))</f>
        <v/>
      </c>
      <c r="K289" s="25" t="str">
        <f>IF(OR(E289="",E289="!!!",F289="NEW"),"",INDEX(J$1:J288,SUMPRODUCT(MAX(ROW(E$1:E288)*(E289=E$1:E288)))))</f>
        <v/>
      </c>
      <c r="L289" s="26"/>
    </row>
    <row r="291" spans="1:12" x14ac:dyDescent="0.3">
      <c r="A291" t="s">
        <v>184</v>
      </c>
      <c r="E291" s="21" t="str">
        <f>IF(D291="?OLD","!!!","")</f>
        <v/>
      </c>
      <c r="F291" s="22" t="str">
        <f>IF(OR(E291="",E291="!!!"),"",IF(NOT(ISNA(VLOOKUP(E291,E$1:E290,1,FALSE()))),"OLD",IF(AND(E291&lt;&gt;"",E291&lt;&gt;"!!!"),"NEW","")))</f>
        <v/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/>
      </c>
      <c r="H291" s="24" t="str">
        <f ca="1">IF(J291&lt;&gt;1,"",IF(I291="SBJ","CB","?"))</f>
        <v/>
      </c>
      <c r="I291" s="25" t="str">
        <f>IF(OR(E291="",E291="!!!",F291="NEW"),"",INDEX(B$2:B290,-1+SUMPRODUCT(MAX(ROW(E$2:E290)*(E291=E$2:E290)))))</f>
        <v/>
      </c>
      <c r="J291" s="25" t="str">
        <f ca="1">IF(OR(E291="",E291="!!!",F291="NEW"),"",COUNTBLANK(OFFSET(A$1,,,SUMPRODUCT(MAX(ROW(E$2:E291)*(E291=E$2:E291)))))-COUNTBLANK(OFFSET(A$1,,,SUMPRODUCT(MAX(ROW(E$1:E290)*(E2=E$1:E290))))))</f>
        <v/>
      </c>
      <c r="K291" s="25" t="str">
        <f>IF(OR(E291="",E291="!!!",F291="NEW"),"",INDEX(J$1:J290,SUMPRODUCT(MAX(ROW(E$1:E290)*(E291=E$1:E290)))))</f>
        <v/>
      </c>
      <c r="L291" s="26"/>
    </row>
    <row r="292" spans="1:12" x14ac:dyDescent="0.3">
      <c r="A292" t="s">
        <v>322</v>
      </c>
    </row>
    <row r="293" spans="1:12" x14ac:dyDescent="0.3">
      <c r="A293" t="s">
        <v>187</v>
      </c>
      <c r="E293" s="21" t="str">
        <f t="shared" ref="E293:E322" si="34">IF(D293="?OLD","!!!","")</f>
        <v/>
      </c>
      <c r="F293" s="22" t="str">
        <f>IF(OR(E293="",E293="!!!"),"",IF(NOT(ISNA(VLOOKUP(E293,E$1:E292,1,FALSE()))),"OLD",IF(AND(E293&lt;&gt;"",E293&lt;&gt;"!!!"),"NEW","")))</f>
        <v/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/>
      </c>
      <c r="H293" s="24" t="str">
        <f t="shared" ref="H293:H322" ca="1" si="35">IF(J293&lt;&gt;1,"",IF(I293="SBJ","CB","?"))</f>
        <v/>
      </c>
      <c r="I293" s="25" t="str">
        <f>IF(OR(E293="",E293="!!!",F293="NEW"),"",INDEX(B$2:B292,-1+SUMPRODUCT(MAX(ROW(E$2:E292)*(E293=E$2:E292)))))</f>
        <v/>
      </c>
      <c r="J293" s="25" t="str">
        <f ca="1">IF(OR(E293="",E293="!!!",F293="NEW"),"",COUNTBLANK(OFFSET(A$1,,,SUMPRODUCT(MAX(ROW(E$2:E293)*(E293=E$2:E293)))))-COUNTBLANK(OFFSET(A$1,,,SUMPRODUCT(MAX(ROW(E$1:E292)*(E2=E$1:E292))))))</f>
        <v/>
      </c>
      <c r="K293" s="25" t="str">
        <f>IF(OR(E293="",E293="!!!",F293="NEW"),"",INDEX(J$1:J292,SUMPRODUCT(MAX(ROW(E$1:E292)*(E293=E$1:E292)))))</f>
        <v/>
      </c>
      <c r="L293" s="26"/>
    </row>
    <row r="294" spans="1:12" x14ac:dyDescent="0.3">
      <c r="A294" t="s">
        <v>323</v>
      </c>
      <c r="B294" s="20" t="s">
        <v>158</v>
      </c>
      <c r="C294" s="20" t="s">
        <v>216</v>
      </c>
      <c r="D294" s="20" t="s">
        <v>131</v>
      </c>
      <c r="E294" s="21"/>
      <c r="F294" s="22" t="str">
        <f>IF(OR(E294="",E294="!!!"),"",IF(NOT(ISNA(VLOOKUP(E294,E$1:E293,1,FALSE()))),"OLD",IF(AND(E294&lt;&gt;"",E294&lt;&gt;"!!!"),"NEW","")))</f>
        <v/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/>
      </c>
      <c r="H294" s="24" t="str">
        <f t="shared" ca="1" si="35"/>
        <v/>
      </c>
      <c r="I294" s="25" t="str">
        <f>IF(OR(E294="",E294="!!!",F294="NEW"),"",INDEX(B$2:B293,-1+SUMPRODUCT(MAX(ROW(E$2:E293)*(E294=E$2:E293)))))</f>
        <v/>
      </c>
      <c r="J294" s="25" t="str">
        <f ca="1">IF(OR(E294="",E294="!!!",F294="NEW"),"",COUNTBLANK(OFFSET(A$1,,,SUMPRODUCT(MAX(ROW(E$2:E294)*(E294=E$2:E294)))))-COUNTBLANK(OFFSET(A$1,,,SUMPRODUCT(MAX(ROW(E$1:E293)*(E2=E$1:E293))))))</f>
        <v/>
      </c>
      <c r="K294" s="25" t="str">
        <f>IF(OR(E294="",E294="!!!",F294="NEW"),"",INDEX(J$1:J293,SUMPRODUCT(MAX(ROW(E$1:E293)*(E294=E$1:E293)))))</f>
        <v/>
      </c>
      <c r="L294" s="26" t="s">
        <v>454</v>
      </c>
    </row>
    <row r="295" spans="1:12" x14ac:dyDescent="0.3">
      <c r="A295" t="s">
        <v>324</v>
      </c>
      <c r="B295" s="20" t="s">
        <v>200</v>
      </c>
      <c r="C295" s="20" t="s">
        <v>218</v>
      </c>
      <c r="D295" s="20" t="s">
        <v>131</v>
      </c>
      <c r="E295" s="21" t="s">
        <v>455</v>
      </c>
      <c r="F295" s="22" t="str">
        <f>IF(OR(E295="",E295="!!!"),"",IF(NOT(ISNA(VLOOKUP(E295,E$1:E294,1,FALSE()))),"OLD",IF(AND(E295&lt;&gt;"",E295&lt;&gt;"!!!"),"NEW","")))</f>
        <v>OLD</v>
      </c>
      <c r="G295" s="23" t="str">
        <f ca="1"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?IN_FOCUS</v>
      </c>
      <c r="H295" s="24" t="str">
        <f t="shared" ca="1" si="35"/>
        <v/>
      </c>
      <c r="I295" s="25" t="str">
        <f>IF(OR(E295="",E295="!!!",F295="NEW"),"",INDEX(B$2:B294,-1+SUMPRODUCT(MAX(ROW(E$2:E294)*(E295=E$2:E294)))))</f>
        <v>other</v>
      </c>
      <c r="J295" s="25">
        <f ca="1">IF(OR(E295="",E295="!!!",F295="NEW"),"",COUNTBLANK(OFFSET(A$1,,,SUMPRODUCT(MAX(ROW(E$2:E295)*(E295=E$2:E295)))))-COUNTBLANK(OFFSET(A$1,,,SUMPRODUCT(MAX(ROW(E$1:E294)*(E2=E$1:E294))))))</f>
        <v>0</v>
      </c>
      <c r="K295" s="25">
        <f ca="1">IF(OR(E295="",E295="!!!",F295="NEW"),"",INDEX(J$1:J294,SUMPRODUCT(MAX(ROW(E$1:E294)*(E295=E$1:E294)))))</f>
        <v>0</v>
      </c>
      <c r="L295" s="26"/>
    </row>
    <row r="296" spans="1:12" x14ac:dyDescent="0.3">
      <c r="A296" t="s">
        <v>325</v>
      </c>
      <c r="E296" s="21" t="str">
        <f t="shared" si="34"/>
        <v/>
      </c>
      <c r="F296" s="22" t="str">
        <f>IF(OR(E296="",E296="!!!"),"",IF(NOT(ISNA(VLOOKUP(E296,E$1:E295,1,FALSE()))),"OLD",IF(AND(E296&lt;&gt;"",E296&lt;&gt;"!!!"),"NEW","")))</f>
        <v/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/>
      </c>
      <c r="H296" s="24" t="str">
        <f t="shared" ca="1" si="35"/>
        <v/>
      </c>
      <c r="I296" s="25" t="str">
        <f>IF(OR(E296="",E296="!!!",F296="NEW"),"",INDEX(B$2:B295,-1+SUMPRODUCT(MAX(ROW(E$2:E295)*(E296=E$2:E295)))))</f>
        <v/>
      </c>
      <c r="J296" s="25" t="str">
        <f ca="1">IF(OR(E296="",E296="!!!",F296="NEW"),"",COUNTBLANK(OFFSET(A$1,,,SUMPRODUCT(MAX(ROW(E$2:E296)*(E296=E$2:E296)))))-COUNTBLANK(OFFSET(A$1,,,SUMPRODUCT(MAX(ROW(E$1:E295)*(E2=E$1:E295))))))</f>
        <v/>
      </c>
      <c r="K296" s="25" t="str">
        <f>IF(OR(E296="",E296="!!!",F296="NEW"),"",INDEX(J$1:J295,SUMPRODUCT(MAX(ROW(E$1:E295)*(E296=E$1:E295)))))</f>
        <v/>
      </c>
      <c r="L296" s="26"/>
    </row>
    <row r="297" spans="1:12" x14ac:dyDescent="0.3">
      <c r="A297" t="s">
        <v>326</v>
      </c>
      <c r="B297" s="20" t="s">
        <v>222</v>
      </c>
      <c r="C297" s="20" t="s">
        <v>181</v>
      </c>
      <c r="D297" s="20" t="s">
        <v>131</v>
      </c>
      <c r="E297" s="21" t="s">
        <v>424</v>
      </c>
      <c r="F297" s="22" t="str">
        <f>IF(OR(E297="",E297="!!!"),"",IF(NOT(ISNA(VLOOKUP(E297,E$1:E296,1,FALSE()))),"OLD",IF(AND(E297&lt;&gt;"",E297&lt;&gt;"!!!"),"NEW","")))</f>
        <v>OLD</v>
      </c>
      <c r="G297" s="23" t="str">
        <f ca="1"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?IN_FOCUS</v>
      </c>
      <c r="H297" s="24" t="str">
        <f t="shared" ca="1" si="35"/>
        <v/>
      </c>
      <c r="I297" s="25" t="str">
        <f>IF(OR(E297="",E297="!!!",F297="NEW"),"",INDEX(B$2:B296,-1+SUMPRODUCT(MAX(ROW(E$2:E296)*(E297=E$2:E296)))))</f>
        <v>SBJ</v>
      </c>
      <c r="J297" s="25">
        <f ca="1">IF(OR(E297="",E297="!!!",F297="NEW"),"",COUNTBLANK(OFFSET(A$1,,,SUMPRODUCT(MAX(ROW(E$2:E297)*(E297=E$2:E297)))))-COUNTBLANK(OFFSET(A$1,,,SUMPRODUCT(MAX(ROW(E$1:E296)*(E2=E$1:E296))))))</f>
        <v>0</v>
      </c>
      <c r="K297" s="25">
        <f ca="1">IF(OR(E297="",E297="!!!",F297="NEW"),"",INDEX(J$1:J296,SUMPRODUCT(MAX(ROW(E$1:E296)*(E297=E$1:E296)))))</f>
        <v>0</v>
      </c>
      <c r="L297" s="26"/>
    </row>
    <row r="298" spans="1:12" x14ac:dyDescent="0.3">
      <c r="A298" t="s">
        <v>327</v>
      </c>
      <c r="E298" s="21" t="str">
        <f t="shared" si="34"/>
        <v/>
      </c>
      <c r="F298" s="22" t="str">
        <f>IF(OR(E298="",E298="!!!"),"",IF(NOT(ISNA(VLOOKUP(E298,E$1:E297,1,FALSE()))),"OLD",IF(AND(E298&lt;&gt;"",E298&lt;&gt;"!!!"),"NEW","")))</f>
        <v/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/>
      </c>
      <c r="H298" s="24" t="str">
        <f t="shared" ca="1" si="35"/>
        <v/>
      </c>
      <c r="I298" s="25" t="str">
        <f>IF(OR(E298="",E298="!!!",F298="NEW"),"",INDEX(B$2:B297,-1+SUMPRODUCT(MAX(ROW(E$2:E297)*(E298=E$2:E297)))))</f>
        <v/>
      </c>
      <c r="J298" s="25" t="str">
        <f ca="1">IF(OR(E298="",E298="!!!",F298="NEW"),"",COUNTBLANK(OFFSET(A$1,,,SUMPRODUCT(MAX(ROW(E$2:E298)*(E298=E$2:E298)))))-COUNTBLANK(OFFSET(A$1,,,SUMPRODUCT(MAX(ROW(E$1:E297)*(E2=E$1:E297))))))</f>
        <v/>
      </c>
      <c r="K298" s="25" t="str">
        <f>IF(OR(E298="",E298="!!!",F298="NEW"),"",INDEX(J$1:J297,SUMPRODUCT(MAX(ROW(E$1:E297)*(E298=E$1:E297)))))</f>
        <v/>
      </c>
      <c r="L298" s="26"/>
    </row>
    <row r="299" spans="1:12" x14ac:dyDescent="0.3">
      <c r="A299" t="s">
        <v>328</v>
      </c>
      <c r="B299" s="20" t="s">
        <v>222</v>
      </c>
      <c r="C299" s="20" t="s">
        <v>163</v>
      </c>
      <c r="E299" s="21" t="str">
        <f t="shared" si="34"/>
        <v/>
      </c>
      <c r="F299" s="22" t="str">
        <f>IF(OR(E299="",E299="!!!"),"",IF(NOT(ISNA(VLOOKUP(E299,E$1:E298,1,FALSE()))),"OLD",IF(AND(E299&lt;&gt;"",E299&lt;&gt;"!!!"),"NEW","")))</f>
        <v/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/>
      </c>
      <c r="H299" s="24" t="str">
        <f t="shared" ca="1" si="35"/>
        <v/>
      </c>
      <c r="I299" s="25" t="str">
        <f>IF(OR(E299="",E299="!!!",F299="NEW"),"",INDEX(B$2:B298,-1+SUMPRODUCT(MAX(ROW(E$2:E298)*(E299=E$2:E298)))))</f>
        <v/>
      </c>
      <c r="J299" s="25" t="str">
        <f ca="1">IF(OR(E299="",E299="!!!",F299="NEW"),"",COUNTBLANK(OFFSET(A$1,,,SUMPRODUCT(MAX(ROW(E$2:E299)*(E299=E$2:E299)))))-COUNTBLANK(OFFSET(A$1,,,SUMPRODUCT(MAX(ROW(E$1:E298)*(E2=E$1:E298))))))</f>
        <v/>
      </c>
      <c r="K299" s="25" t="str">
        <f>IF(OR(E299="",E299="!!!",F299="NEW"),"",INDEX(J$1:J298,SUMPRODUCT(MAX(ROW(E$1:E298)*(E299=E$1:E298)))))</f>
        <v/>
      </c>
      <c r="L299" s="26"/>
    </row>
    <row r="300" spans="1:12" x14ac:dyDescent="0.3">
      <c r="A300" t="s">
        <v>187</v>
      </c>
      <c r="E300" s="21" t="str">
        <f t="shared" si="34"/>
        <v/>
      </c>
      <c r="F300" s="22" t="str">
        <f>IF(OR(E300="",E300="!!!"),"",IF(NOT(ISNA(VLOOKUP(E300,E$1:E299,1,FALSE()))),"OLD",IF(AND(E300&lt;&gt;"",E300&lt;&gt;"!!!"),"NEW","")))</f>
        <v/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/>
      </c>
      <c r="H300" s="24" t="str">
        <f t="shared" ca="1" si="35"/>
        <v/>
      </c>
      <c r="I300" s="25" t="str">
        <f>IF(OR(E300="",E300="!!!",F300="NEW"),"",INDEX(B$2:B299,-1+SUMPRODUCT(MAX(ROW(E$2:E299)*(E300=E$2:E299)))))</f>
        <v/>
      </c>
      <c r="J300" s="25" t="str">
        <f ca="1">IF(OR(E300="",E300="!!!",F300="NEW"),"",COUNTBLANK(OFFSET(A$1,,,SUMPRODUCT(MAX(ROW(E$2:E300)*(E300=E$2:E300)))))-COUNTBLANK(OFFSET(A$1,,,SUMPRODUCT(MAX(ROW(E$1:E299)*(E2=E$1:E299))))))</f>
        <v/>
      </c>
      <c r="K300" s="25" t="str">
        <f>IF(OR(E300="",E300="!!!",F300="NEW"),"",INDEX(J$1:J299,SUMPRODUCT(MAX(ROW(E$1:E299)*(E300=E$1:E299)))))</f>
        <v/>
      </c>
      <c r="L300" s="26"/>
    </row>
    <row r="301" spans="1:12" x14ac:dyDescent="0.3">
      <c r="A301" t="s">
        <v>198</v>
      </c>
      <c r="E301" s="21" t="str">
        <f t="shared" si="34"/>
        <v/>
      </c>
      <c r="F301" s="22" t="str">
        <f>IF(OR(E301="",E301="!!!"),"",IF(NOT(ISNA(VLOOKUP(E301,E$1:E300,1,FALSE()))),"OLD",IF(AND(E301&lt;&gt;"",E301&lt;&gt;"!!!"),"NEW","")))</f>
        <v/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/>
      </c>
      <c r="H301" s="24" t="str">
        <f t="shared" ca="1" si="35"/>
        <v/>
      </c>
      <c r="I301" s="25" t="str">
        <f>IF(OR(E301="",E301="!!!",F301="NEW"),"",INDEX(B$2:B300,-1+SUMPRODUCT(MAX(ROW(E$2:E300)*(E301=E$2:E300)))))</f>
        <v/>
      </c>
      <c r="J301" s="25" t="str">
        <f ca="1">IF(OR(E301="",E301="!!!",F301="NEW"),"",COUNTBLANK(OFFSET(A$1,,,SUMPRODUCT(MAX(ROW(E$2:E301)*(E301=E$2:E301)))))-COUNTBLANK(OFFSET(A$1,,,SUMPRODUCT(MAX(ROW(E$1:E300)*(E2=E$1:E300))))))</f>
        <v/>
      </c>
      <c r="K301" s="25" t="str">
        <f>IF(OR(E301="",E301="!!!",F301="NEW"),"",INDEX(J$1:J300,SUMPRODUCT(MAX(ROW(E$1:E300)*(E301=E$1:E300)))))</f>
        <v/>
      </c>
      <c r="L301" s="26"/>
    </row>
    <row r="302" spans="1:12" x14ac:dyDescent="0.3">
      <c r="A302" t="s">
        <v>229</v>
      </c>
      <c r="E302" s="21" t="str">
        <f t="shared" si="34"/>
        <v/>
      </c>
      <c r="F302" s="22" t="str">
        <f>IF(OR(E302="",E302="!!!"),"",IF(NOT(ISNA(VLOOKUP(E302,E$1:E301,1,FALSE()))),"OLD",IF(AND(E302&lt;&gt;"",E302&lt;&gt;"!!!"),"NEW","")))</f>
        <v/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/>
      </c>
      <c r="H302" s="24" t="str">
        <f t="shared" ca="1" si="35"/>
        <v/>
      </c>
      <c r="I302" s="25" t="str">
        <f>IF(OR(E302="",E302="!!!",F302="NEW"),"",INDEX(B$2:B301,-1+SUMPRODUCT(MAX(ROW(E$2:E301)*(E302=E$2:E301)))))</f>
        <v/>
      </c>
      <c r="J302" s="25" t="str">
        <f ca="1">IF(OR(E302="",E302="!!!",F302="NEW"),"",COUNTBLANK(OFFSET(A$1,,,SUMPRODUCT(MAX(ROW(E$2:E302)*(E302=E$2:E302)))))-COUNTBLANK(OFFSET(A$1,,,SUMPRODUCT(MAX(ROW(E$1:E301)*(E2=E$1:E301))))))</f>
        <v/>
      </c>
      <c r="K302" s="25" t="str">
        <f>IF(OR(E302="",E302="!!!",F302="NEW"),"",INDEX(J$1:J301,SUMPRODUCT(MAX(ROW(E$1:E301)*(E302=E$1:E301)))))</f>
        <v/>
      </c>
      <c r="L302" s="26"/>
    </row>
    <row r="303" spans="1:12" x14ac:dyDescent="0.3">
      <c r="A303" t="s">
        <v>132</v>
      </c>
      <c r="B303" s="20" t="s">
        <v>129</v>
      </c>
      <c r="C303" s="20" t="s">
        <v>207</v>
      </c>
      <c r="E303" s="21" t="s">
        <v>424</v>
      </c>
      <c r="F303" s="22" t="str">
        <f>IF(OR(E303="",E303="!!!"),"",IF(NOT(ISNA(VLOOKUP(E303,E$1:E302,1,FALSE()))),"OLD",IF(AND(E303&lt;&gt;"",E303&lt;&gt;"!!!"),"NEW","")))</f>
        <v>OLD</v>
      </c>
      <c r="G303" s="23" t="str">
        <f ca="1"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?IN_FOCUS</v>
      </c>
      <c r="H303" s="24" t="str">
        <f t="shared" ca="1" si="35"/>
        <v/>
      </c>
      <c r="I303" s="25" t="str">
        <f>IF(OR(E303="",E303="!!!",F303="NEW"),"",INDEX(B$2:B302,-1+SUMPRODUCT(MAX(ROW(E$2:E302)*(E303=E$2:E302)))))</f>
        <v>OBJ_2</v>
      </c>
      <c r="J303" s="25">
        <f ca="1">IF(OR(E303="",E303="!!!",F303="NEW"),"",COUNTBLANK(OFFSET(A$1,,,SUMPRODUCT(MAX(ROW(E$2:E303)*(E303=E$2:E303)))))-COUNTBLANK(OFFSET(A$1,,,SUMPRODUCT(MAX(ROW(E$1:E302)*(E2=E$1:E302))))))</f>
        <v>0</v>
      </c>
      <c r="K303" s="25">
        <f ca="1">IF(OR(E303="",E303="!!!",F303="NEW"),"",INDEX(J$1:J302,SUMPRODUCT(MAX(ROW(E$1:E302)*(E303=E$1:E302)))))</f>
        <v>0</v>
      </c>
      <c r="L303" s="26" t="s">
        <v>425</v>
      </c>
    </row>
    <row r="304" spans="1:12" x14ac:dyDescent="0.3">
      <c r="A304" t="s">
        <v>198</v>
      </c>
      <c r="E304" s="21" t="str">
        <f t="shared" si="34"/>
        <v/>
      </c>
      <c r="F304" s="22" t="str">
        <f>IF(OR(E304="",E304="!!!"),"",IF(NOT(ISNA(VLOOKUP(E304,E$1:E303,1,FALSE()))),"OLD",IF(AND(E304&lt;&gt;"",E304&lt;&gt;"!!!"),"NEW","")))</f>
        <v/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/>
      </c>
      <c r="H304" s="24" t="str">
        <f t="shared" ca="1" si="35"/>
        <v/>
      </c>
      <c r="I304" s="25" t="str">
        <f>IF(OR(E304="",E304="!!!",F304="NEW"),"",INDEX(B$2:B303,-1+SUMPRODUCT(MAX(ROW(E$2:E303)*(E304=E$2:E303)))))</f>
        <v/>
      </c>
      <c r="J304" s="25" t="str">
        <f ca="1">IF(OR(E304="",E304="!!!",F304="NEW"),"",COUNTBLANK(OFFSET(A$1,,,SUMPRODUCT(MAX(ROW(E$2:E304)*(E304=E$2:E304)))))-COUNTBLANK(OFFSET(A$1,,,SUMPRODUCT(MAX(ROW(E$1:E303)*(E2=E$1:E303))))))</f>
        <v/>
      </c>
      <c r="K304" s="25" t="str">
        <f>IF(OR(E304="",E304="!!!",F304="NEW"),"",INDEX(J$1:J303,SUMPRODUCT(MAX(ROW(E$1:E303)*(E304=E$1:E303)))))</f>
        <v/>
      </c>
      <c r="L304" s="26"/>
    </row>
    <row r="305" spans="1:12" x14ac:dyDescent="0.3">
      <c r="A305" t="s">
        <v>187</v>
      </c>
      <c r="E305" s="21" t="str">
        <f t="shared" si="34"/>
        <v/>
      </c>
      <c r="F305" s="22" t="str">
        <f>IF(OR(E305="",E305="!!!"),"",IF(NOT(ISNA(VLOOKUP(E305,E$1:E304,1,FALSE()))),"OLD",IF(AND(E305&lt;&gt;"",E305&lt;&gt;"!!!"),"NEW","")))</f>
        <v/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/>
      </c>
      <c r="H305" s="24" t="str">
        <f t="shared" ca="1" si="35"/>
        <v/>
      </c>
      <c r="I305" s="25" t="str">
        <f>IF(OR(E305="",E305="!!!",F305="NEW"),"",INDEX(B$2:B304,-1+SUMPRODUCT(MAX(ROW(E$2:E304)*(E305=E$2:E304)))))</f>
        <v/>
      </c>
      <c r="J305" s="25" t="str">
        <f ca="1">IF(OR(E305="",E305="!!!",F305="NEW"),"",COUNTBLANK(OFFSET(A$1,,,SUMPRODUCT(MAX(ROW(E$2:E305)*(E305=E$2:E305)))))-COUNTBLANK(OFFSET(A$1,,,SUMPRODUCT(MAX(ROW(E$1:E304)*(E2=E$1:E304))))))</f>
        <v/>
      </c>
      <c r="K305" s="25" t="str">
        <f>IF(OR(E305="",E305="!!!",F305="NEW"),"",INDEX(J$1:J304,SUMPRODUCT(MAX(ROW(E$1:E304)*(E305=E$1:E304)))))</f>
        <v/>
      </c>
      <c r="L305" s="26"/>
    </row>
    <row r="306" spans="1:12" x14ac:dyDescent="0.3">
      <c r="A306" t="s">
        <v>329</v>
      </c>
      <c r="E306" s="21" t="str">
        <f t="shared" si="34"/>
        <v/>
      </c>
      <c r="F306" s="22" t="str">
        <f>IF(OR(E306="",E306="!!!"),"",IF(NOT(ISNA(VLOOKUP(E306,E$1:E305,1,FALSE()))),"OLD",IF(AND(E306&lt;&gt;"",E306&lt;&gt;"!!!"),"NEW","")))</f>
        <v/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/>
      </c>
      <c r="H306" s="24" t="str">
        <f t="shared" ca="1" si="35"/>
        <v/>
      </c>
      <c r="I306" s="25" t="str">
        <f>IF(OR(E306="",E306="!!!",F306="NEW"),"",INDEX(B$2:B305,-1+SUMPRODUCT(MAX(ROW(E$2:E305)*(E306=E$2:E305)))))</f>
        <v/>
      </c>
      <c r="J306" s="25" t="str">
        <f ca="1">IF(OR(E306="",E306="!!!",F306="NEW"),"",COUNTBLANK(OFFSET(A$1,,,SUMPRODUCT(MAX(ROW(E$2:E306)*(E306=E$2:E306)))))-COUNTBLANK(OFFSET(A$1,,,SUMPRODUCT(MAX(ROW(E$1:E305)*(E2=E$1:E305))))))</f>
        <v/>
      </c>
      <c r="K306" s="25" t="str">
        <f>IF(OR(E306="",E306="!!!",F306="NEW"),"",INDEX(J$1:J305,SUMPRODUCT(MAX(ROW(E$1:E305)*(E306=E$1:E305)))))</f>
        <v/>
      </c>
      <c r="L306" s="26"/>
    </row>
    <row r="307" spans="1:12" x14ac:dyDescent="0.3">
      <c r="A307" t="s">
        <v>199</v>
      </c>
      <c r="B307" s="20" t="s">
        <v>330</v>
      </c>
      <c r="C307" s="20" t="s">
        <v>201</v>
      </c>
      <c r="D307" s="20" t="s">
        <v>131</v>
      </c>
      <c r="E307" s="21" t="s">
        <v>455</v>
      </c>
      <c r="F307" s="22" t="str">
        <f>IF(OR(E307="",E307="!!!"),"",IF(NOT(ISNA(VLOOKUP(E307,E$1:E306,1,FALSE()))),"OLD",IF(AND(E307&lt;&gt;"",E307&lt;&gt;"!!!"),"NEW","")))</f>
        <v>OLD</v>
      </c>
      <c r="G307" s="23" t="str">
        <f ca="1"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?IN_FOCUS</v>
      </c>
      <c r="H307" s="24" t="str">
        <f t="shared" ca="1" si="35"/>
        <v/>
      </c>
      <c r="I307" s="25" t="str">
        <f>IF(OR(E307="",E307="!!!",F307="NEW"),"",INDEX(B$2:B306,-1+SUMPRODUCT(MAX(ROW(E$2:E306)*(E307=E$2:E306)))))</f>
        <v>SBJ_2</v>
      </c>
      <c r="J307" s="25">
        <f ca="1">IF(OR(E307="",E307="!!!",F307="NEW"),"",COUNTBLANK(OFFSET(A$1,,,SUMPRODUCT(MAX(ROW(E$2:E307)*(E307=E$2:E307)))))-COUNTBLANK(OFFSET(A$1,,,SUMPRODUCT(MAX(ROW(E$1:E306)*(E2=E$1:E306))))))</f>
        <v>0</v>
      </c>
      <c r="K307" s="25">
        <f ca="1">IF(OR(E307="",E307="!!!",F307="NEW"),"",INDEX(J$1:J306,SUMPRODUCT(MAX(ROW(E$1:E306)*(E307=E$1:E306)))))</f>
        <v>0</v>
      </c>
      <c r="L307" s="26"/>
    </row>
    <row r="308" spans="1:12" x14ac:dyDescent="0.3">
      <c r="A308" t="s">
        <v>331</v>
      </c>
      <c r="E308" s="21" t="str">
        <f t="shared" si="34"/>
        <v/>
      </c>
      <c r="F308" s="22" t="str">
        <f>IF(OR(E308="",E308="!!!"),"",IF(NOT(ISNA(VLOOKUP(E308,E$1:E307,1,FALSE()))),"OLD",IF(AND(E308&lt;&gt;"",E308&lt;&gt;"!!!"),"NEW","")))</f>
        <v/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/>
      </c>
      <c r="H308" s="24" t="str">
        <f t="shared" ca="1" si="35"/>
        <v/>
      </c>
      <c r="I308" s="25" t="str">
        <f>IF(OR(E308="",E308="!!!",F308="NEW"),"",INDEX(B$2:B307,-1+SUMPRODUCT(MAX(ROW(E$2:E307)*(E308=E$2:E307)))))</f>
        <v/>
      </c>
      <c r="J308" s="25" t="str">
        <f ca="1">IF(OR(E308="",E308="!!!",F308="NEW"),"",COUNTBLANK(OFFSET(A$1,,,SUMPRODUCT(MAX(ROW(E$2:E308)*(E308=E$2:E308)))))-COUNTBLANK(OFFSET(A$1,,,SUMPRODUCT(MAX(ROW(E$1:E307)*(E2=E$1:E307))))))</f>
        <v/>
      </c>
      <c r="K308" s="25" t="str">
        <f>IF(OR(E308="",E308="!!!",F308="NEW"),"",INDEX(J$1:J307,SUMPRODUCT(MAX(ROW(E$1:E307)*(E308=E$1:E307)))))</f>
        <v/>
      </c>
      <c r="L308" s="26"/>
    </row>
    <row r="309" spans="1:12" x14ac:dyDescent="0.3">
      <c r="A309" t="s">
        <v>264</v>
      </c>
      <c r="E309" s="21" t="str">
        <f t="shared" si="34"/>
        <v/>
      </c>
      <c r="F309" s="22" t="str">
        <f>IF(OR(E309="",E309="!!!"),"",IF(NOT(ISNA(VLOOKUP(E309,E$1:E308,1,FALSE()))),"OLD",IF(AND(E309&lt;&gt;"",E309&lt;&gt;"!!!"),"NEW","")))</f>
        <v/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/>
      </c>
      <c r="H309" s="24" t="str">
        <f t="shared" ca="1" si="35"/>
        <v/>
      </c>
      <c r="I309" s="25" t="str">
        <f>IF(OR(E309="",E309="!!!",F309="NEW"),"",INDEX(B$2:B308,-1+SUMPRODUCT(MAX(ROW(E$2:E308)*(E309=E$2:E308)))))</f>
        <v/>
      </c>
      <c r="J309" s="25" t="str">
        <f ca="1">IF(OR(E309="",E309="!!!",F309="NEW"),"",COUNTBLANK(OFFSET(A$1,,,SUMPRODUCT(MAX(ROW(E$2:E309)*(E309=E$2:E309)))))-COUNTBLANK(OFFSET(A$1,,,SUMPRODUCT(MAX(ROW(E$1:E308)*(E2=E$1:E308))))))</f>
        <v/>
      </c>
      <c r="K309" s="25" t="str">
        <f>IF(OR(E309="",E309="!!!",F309="NEW"),"",INDEX(J$1:J308,SUMPRODUCT(MAX(ROW(E$1:E308)*(E309=E$1:E308)))))</f>
        <v/>
      </c>
      <c r="L309" s="26"/>
    </row>
    <row r="310" spans="1:12" x14ac:dyDescent="0.3">
      <c r="A310" t="s">
        <v>332</v>
      </c>
      <c r="E310" s="21" t="str">
        <f t="shared" si="34"/>
        <v/>
      </c>
      <c r="F310" s="22" t="str">
        <f>IF(OR(E310="",E310="!!!"),"",IF(NOT(ISNA(VLOOKUP(E310,E$1:E309,1,FALSE()))),"OLD",IF(AND(E310&lt;&gt;"",E310&lt;&gt;"!!!"),"NEW","")))</f>
        <v/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/>
      </c>
      <c r="H310" s="24" t="str">
        <f t="shared" ca="1" si="35"/>
        <v/>
      </c>
      <c r="I310" s="25" t="str">
        <f>IF(OR(E310="",E310="!!!",F310="NEW"),"",INDEX(B$2:B309,-1+SUMPRODUCT(MAX(ROW(E$2:E309)*(E310=E$2:E309)))))</f>
        <v/>
      </c>
      <c r="J310" s="25" t="str">
        <f ca="1">IF(OR(E310="",E310="!!!",F310="NEW"),"",COUNTBLANK(OFFSET(A$1,,,SUMPRODUCT(MAX(ROW(E$2:E310)*(E310=E$2:E310)))))-COUNTBLANK(OFFSET(A$1,,,SUMPRODUCT(MAX(ROW(E$1:E309)*(E2=E$1:E309))))))</f>
        <v/>
      </c>
      <c r="K310" s="25" t="str">
        <f>IF(OR(E310="",E310="!!!",F310="NEW"),"",INDEX(J$1:J309,SUMPRODUCT(MAX(ROW(E$1:E309)*(E310=E$1:E309)))))</f>
        <v/>
      </c>
      <c r="L310" s="26"/>
    </row>
    <row r="311" spans="1:12" x14ac:dyDescent="0.3">
      <c r="A311" t="s">
        <v>189</v>
      </c>
      <c r="E311" s="21" t="str">
        <f t="shared" si="34"/>
        <v/>
      </c>
      <c r="F311" s="22" t="str">
        <f>IF(OR(E311="",E311="!!!"),"",IF(NOT(ISNA(VLOOKUP(E311,E$1:E310,1,FALSE()))),"OLD",IF(AND(E311&lt;&gt;"",E311&lt;&gt;"!!!"),"NEW","")))</f>
        <v/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/>
      </c>
      <c r="H311" s="24" t="str">
        <f t="shared" ca="1" si="35"/>
        <v/>
      </c>
      <c r="I311" s="25" t="str">
        <f>IF(OR(E311="",E311="!!!",F311="NEW"),"",INDEX(B$2:B310,-1+SUMPRODUCT(MAX(ROW(E$2:E310)*(E311=E$2:E310)))))</f>
        <v/>
      </c>
      <c r="J311" s="25" t="str">
        <f ca="1">IF(OR(E311="",E311="!!!",F311="NEW"),"",COUNTBLANK(OFFSET(A$1,,,SUMPRODUCT(MAX(ROW(E$2:E311)*(E311=E$2:E311)))))-COUNTBLANK(OFFSET(A$1,,,SUMPRODUCT(MAX(ROW(E$1:E310)*(E2=E$1:E310))))))</f>
        <v/>
      </c>
      <c r="K311" s="25" t="str">
        <f>IF(OR(E311="",E311="!!!",F311="NEW"),"",INDEX(J$1:J310,SUMPRODUCT(MAX(ROW(E$1:E310)*(E311=E$1:E310)))))</f>
        <v/>
      </c>
      <c r="L311" s="26"/>
    </row>
    <row r="312" spans="1:12" x14ac:dyDescent="0.3">
      <c r="A312" t="s">
        <v>333</v>
      </c>
      <c r="E312" s="21" t="str">
        <f t="shared" si="34"/>
        <v/>
      </c>
      <c r="F312" s="22" t="str">
        <f>IF(OR(E312="",E312="!!!"),"",IF(NOT(ISNA(VLOOKUP(E312,E$1:E311,1,FALSE()))),"OLD",IF(AND(E312&lt;&gt;"",E312&lt;&gt;"!!!"),"NEW","")))</f>
        <v/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/>
      </c>
      <c r="H312" s="24" t="str">
        <f t="shared" ca="1" si="35"/>
        <v/>
      </c>
      <c r="I312" s="25" t="str">
        <f>IF(OR(E312="",E312="!!!",F312="NEW"),"",INDEX(B$2:B311,-1+SUMPRODUCT(MAX(ROW(E$2:E311)*(E312=E$2:E311)))))</f>
        <v/>
      </c>
      <c r="J312" s="25" t="str">
        <f ca="1">IF(OR(E312="",E312="!!!",F312="NEW"),"",COUNTBLANK(OFFSET(A$1,,,SUMPRODUCT(MAX(ROW(E$2:E312)*(E312=E$2:E312)))))-COUNTBLANK(OFFSET(A$1,,,SUMPRODUCT(MAX(ROW(E$1:E311)*(E2=E$1:E311))))))</f>
        <v/>
      </c>
      <c r="K312" s="25" t="str">
        <f>IF(OR(E312="",E312="!!!",F312="NEW"),"",INDEX(J$1:J311,SUMPRODUCT(MAX(ROW(E$1:E311)*(E312=E$1:E311)))))</f>
        <v/>
      </c>
      <c r="L312" s="26"/>
    </row>
    <row r="313" spans="1:12" x14ac:dyDescent="0.3">
      <c r="A313" t="s">
        <v>334</v>
      </c>
      <c r="B313" s="20" t="s">
        <v>145</v>
      </c>
      <c r="C313" s="20" t="s">
        <v>207</v>
      </c>
      <c r="E313" s="21" t="str">
        <f t="shared" si="34"/>
        <v/>
      </c>
      <c r="F313" s="22" t="str">
        <f>IF(OR(E313="",E313="!!!"),"",IF(NOT(ISNA(VLOOKUP(E313,E$1:E312,1,FALSE()))),"OLD",IF(AND(E313&lt;&gt;"",E313&lt;&gt;"!!!"),"NEW","")))</f>
        <v/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/>
      </c>
      <c r="H313" s="24" t="str">
        <f t="shared" ca="1" si="35"/>
        <v/>
      </c>
      <c r="I313" s="25" t="str">
        <f>IF(OR(E313="",E313="!!!",F313="NEW"),"",INDEX(B$2:B312,-1+SUMPRODUCT(MAX(ROW(E$2:E312)*(E313=E$2:E312)))))</f>
        <v/>
      </c>
      <c r="J313" s="25" t="str">
        <f ca="1">IF(OR(E313="",E313="!!!",F313="NEW"),"",COUNTBLANK(OFFSET(A$1,,,SUMPRODUCT(MAX(ROW(E$2:E313)*(E313=E$2:E313)))))-COUNTBLANK(OFFSET(A$1,,,SUMPRODUCT(MAX(ROW(E$1:E312)*(E2=E$1:E312))))))</f>
        <v/>
      </c>
      <c r="K313" s="25" t="str">
        <f>IF(OR(E313="",E313="!!!",F313="NEW"),"",INDEX(J$1:J312,SUMPRODUCT(MAX(ROW(E$1:E312)*(E313=E$1:E312)))))</f>
        <v/>
      </c>
      <c r="L313" s="26"/>
    </row>
    <row r="314" spans="1:12" x14ac:dyDescent="0.3">
      <c r="A314" t="s">
        <v>198</v>
      </c>
      <c r="E314" s="21" t="str">
        <f t="shared" si="34"/>
        <v/>
      </c>
      <c r="F314" s="22" t="str">
        <f>IF(OR(E314="",E314="!!!"),"",IF(NOT(ISNA(VLOOKUP(E314,E$1:E313,1,FALSE()))),"OLD",IF(AND(E314&lt;&gt;"",E314&lt;&gt;"!!!"),"NEW","")))</f>
        <v/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/>
      </c>
      <c r="H314" s="24" t="str">
        <f t="shared" ca="1" si="35"/>
        <v/>
      </c>
      <c r="I314" s="25" t="str">
        <f>IF(OR(E314="",E314="!!!",F314="NEW"),"",INDEX(B$2:B313,-1+SUMPRODUCT(MAX(ROW(E$2:E313)*(E314=E$2:E313)))))</f>
        <v/>
      </c>
      <c r="J314" s="25" t="str">
        <f ca="1">IF(OR(E314="",E314="!!!",F314="NEW"),"",COUNTBLANK(OFFSET(A$1,,,SUMPRODUCT(MAX(ROW(E$2:E314)*(E314=E$2:E314)))))-COUNTBLANK(OFFSET(A$1,,,SUMPRODUCT(MAX(ROW(E$1:E313)*(E2=E$1:E313))))))</f>
        <v/>
      </c>
      <c r="K314" s="25" t="str">
        <f>IF(OR(E314="",E314="!!!",F314="NEW"),"",INDEX(J$1:J313,SUMPRODUCT(MAX(ROW(E$1:E313)*(E314=E$1:E313)))))</f>
        <v/>
      </c>
      <c r="L314" s="26"/>
    </row>
    <row r="315" spans="1:12" x14ac:dyDescent="0.3">
      <c r="A315" t="s">
        <v>335</v>
      </c>
      <c r="E315" s="21" t="str">
        <f t="shared" si="34"/>
        <v/>
      </c>
      <c r="F315" s="22" t="str">
        <f>IF(OR(E315="",E315="!!!"),"",IF(NOT(ISNA(VLOOKUP(E315,E$1:E314,1,FALSE()))),"OLD",IF(AND(E315&lt;&gt;"",E315&lt;&gt;"!!!"),"NEW","")))</f>
        <v/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/>
      </c>
      <c r="H315" s="24" t="str">
        <f t="shared" ca="1" si="35"/>
        <v/>
      </c>
      <c r="I315" s="25" t="str">
        <f>IF(OR(E315="",E315="!!!",F315="NEW"),"",INDEX(B$2:B314,-1+SUMPRODUCT(MAX(ROW(E$2:E314)*(E315=E$2:E314)))))</f>
        <v/>
      </c>
      <c r="J315" s="25" t="str">
        <f ca="1">IF(OR(E315="",E315="!!!",F315="NEW"),"",COUNTBLANK(OFFSET(A$1,,,SUMPRODUCT(MAX(ROW(E$2:E315)*(E315=E$2:E315)))))-COUNTBLANK(OFFSET(A$1,,,SUMPRODUCT(MAX(ROW(E$1:E314)*(E2=E$1:E314))))))</f>
        <v/>
      </c>
      <c r="K315" s="25" t="str">
        <f>IF(OR(E315="",E315="!!!",F315="NEW"),"",INDEX(J$1:J314,SUMPRODUCT(MAX(ROW(E$1:E314)*(E315=E$1:E314)))))</f>
        <v/>
      </c>
      <c r="L315" s="26"/>
    </row>
    <row r="316" spans="1:12" x14ac:dyDescent="0.3">
      <c r="A316" t="s">
        <v>236</v>
      </c>
      <c r="E316" s="21" t="str">
        <f t="shared" si="34"/>
        <v/>
      </c>
      <c r="F316" s="22" t="str">
        <f>IF(OR(E316="",E316="!!!"),"",IF(NOT(ISNA(VLOOKUP(E316,E$1:E315,1,FALSE()))),"OLD",IF(AND(E316&lt;&gt;"",E316&lt;&gt;"!!!"),"NEW","")))</f>
        <v/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/>
      </c>
      <c r="H316" s="24" t="str">
        <f t="shared" ca="1" si="35"/>
        <v/>
      </c>
      <c r="I316" s="25" t="str">
        <f>IF(OR(E316="",E316="!!!",F316="NEW"),"",INDEX(B$2:B315,-1+SUMPRODUCT(MAX(ROW(E$2:E315)*(E316=E$2:E315)))))</f>
        <v/>
      </c>
      <c r="J316" s="25" t="str">
        <f ca="1">IF(OR(E316="",E316="!!!",F316="NEW"),"",COUNTBLANK(OFFSET(A$1,,,SUMPRODUCT(MAX(ROW(E$2:E316)*(E316=E$2:E316)))))-COUNTBLANK(OFFSET(A$1,,,SUMPRODUCT(MAX(ROW(E$1:E315)*(E2=E$1:E315))))))</f>
        <v/>
      </c>
      <c r="K316" s="25" t="str">
        <f>IF(OR(E316="",E316="!!!",F316="NEW"),"",INDEX(J$1:J315,SUMPRODUCT(MAX(ROW(E$1:E315)*(E316=E$1:E315)))))</f>
        <v/>
      </c>
      <c r="L316" s="26"/>
    </row>
    <row r="317" spans="1:12" x14ac:dyDescent="0.3">
      <c r="A317" t="s">
        <v>189</v>
      </c>
      <c r="E317" s="21" t="str">
        <f t="shared" si="34"/>
        <v/>
      </c>
      <c r="F317" s="22" t="str">
        <f>IF(OR(E317="",E317="!!!"),"",IF(NOT(ISNA(VLOOKUP(E317,E$1:E316,1,FALSE()))),"OLD",IF(AND(E317&lt;&gt;"",E317&lt;&gt;"!!!"),"NEW","")))</f>
        <v/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/>
      </c>
      <c r="H317" s="24" t="str">
        <f t="shared" ca="1" si="35"/>
        <v/>
      </c>
      <c r="I317" s="25" t="str">
        <f>IF(OR(E317="",E317="!!!",F317="NEW"),"",INDEX(B$2:B316,-1+SUMPRODUCT(MAX(ROW(E$2:E316)*(E317=E$2:E316)))))</f>
        <v/>
      </c>
      <c r="J317" s="25" t="str">
        <f ca="1">IF(OR(E317="",E317="!!!",F317="NEW"),"",COUNTBLANK(OFFSET(A$1,,,SUMPRODUCT(MAX(ROW(E$2:E317)*(E317=E$2:E317)))))-COUNTBLANK(OFFSET(A$1,,,SUMPRODUCT(MAX(ROW(E$1:E316)*(E2=E$1:E316))))))</f>
        <v/>
      </c>
      <c r="K317" s="25" t="str">
        <f>IF(OR(E317="",E317="!!!",F317="NEW"),"",INDEX(J$1:J316,SUMPRODUCT(MAX(ROW(E$1:E316)*(E317=E$1:E316)))))</f>
        <v/>
      </c>
      <c r="L317" s="26"/>
    </row>
    <row r="318" spans="1:12" x14ac:dyDescent="0.3">
      <c r="A318" t="s">
        <v>336</v>
      </c>
      <c r="E318" s="21" t="str">
        <f t="shared" si="34"/>
        <v/>
      </c>
      <c r="F318" s="22" t="str">
        <f>IF(OR(E318="",E318="!!!"),"",IF(NOT(ISNA(VLOOKUP(E318,E$1:E317,1,FALSE()))),"OLD",IF(AND(E318&lt;&gt;"",E318&lt;&gt;"!!!"),"NEW","")))</f>
        <v/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/>
      </c>
      <c r="H318" s="24" t="str">
        <f t="shared" ca="1" si="35"/>
        <v/>
      </c>
      <c r="I318" s="25" t="str">
        <f>IF(OR(E318="",E318="!!!",F318="NEW"),"",INDEX(B$2:B317,-1+SUMPRODUCT(MAX(ROW(E$2:E317)*(E318=E$2:E317)))))</f>
        <v/>
      </c>
      <c r="J318" s="25" t="str">
        <f ca="1">IF(OR(E318="",E318="!!!",F318="NEW"),"",COUNTBLANK(OFFSET(A$1,,,SUMPRODUCT(MAX(ROW(E$2:E318)*(E318=E$2:E318)))))-COUNTBLANK(OFFSET(A$1,,,SUMPRODUCT(MAX(ROW(E$1:E317)*(E2=E$1:E317))))))</f>
        <v/>
      </c>
      <c r="K318" s="25" t="str">
        <f>IF(OR(E318="",E318="!!!",F318="NEW"),"",INDEX(J$1:J317,SUMPRODUCT(MAX(ROW(E$1:E317)*(E318=E$1:E317)))))</f>
        <v/>
      </c>
      <c r="L318" s="26"/>
    </row>
    <row r="319" spans="1:12" x14ac:dyDescent="0.3">
      <c r="A319" t="s">
        <v>337</v>
      </c>
      <c r="B319" s="20" t="s">
        <v>211</v>
      </c>
      <c r="C319" s="20" t="s">
        <v>207</v>
      </c>
      <c r="E319" s="21" t="str">
        <f t="shared" si="34"/>
        <v/>
      </c>
      <c r="F319" s="22" t="str">
        <f>IF(OR(E319="",E319="!!!"),"",IF(NOT(ISNA(VLOOKUP(E319,E$1:E318,1,FALSE()))),"OLD",IF(AND(E319&lt;&gt;"",E319&lt;&gt;"!!!"),"NEW","")))</f>
        <v/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/>
      </c>
      <c r="H319" s="24" t="str">
        <f t="shared" ca="1" si="35"/>
        <v/>
      </c>
      <c r="I319" s="25" t="str">
        <f>IF(OR(E319="",E319="!!!",F319="NEW"),"",INDEX(B$2:B318,-1+SUMPRODUCT(MAX(ROW(E$2:E318)*(E319=E$2:E318)))))</f>
        <v/>
      </c>
      <c r="J319" s="25" t="str">
        <f ca="1">IF(OR(E319="",E319="!!!",F319="NEW"),"",COUNTBLANK(OFFSET(A$1,,,SUMPRODUCT(MAX(ROW(E$2:E319)*(E319=E$2:E319)))))-COUNTBLANK(OFFSET(A$1,,,SUMPRODUCT(MAX(ROW(E$1:E318)*(E2=E$1:E318))))))</f>
        <v/>
      </c>
      <c r="K319" s="25" t="str">
        <f>IF(OR(E319="",E319="!!!",F319="NEW"),"",INDEX(J$1:J318,SUMPRODUCT(MAX(ROW(E$1:E318)*(E319=E$1:E318)))))</f>
        <v/>
      </c>
      <c r="L319" s="26"/>
    </row>
    <row r="320" spans="1:12" x14ac:dyDescent="0.3">
      <c r="A320" t="s">
        <v>338</v>
      </c>
      <c r="E320" s="21" t="str">
        <f t="shared" si="34"/>
        <v/>
      </c>
      <c r="F320" s="22" t="str">
        <f>IF(OR(E320="",E320="!!!"),"",IF(NOT(ISNA(VLOOKUP(E320,E$1:E319,1,FALSE()))),"OLD",IF(AND(E320&lt;&gt;"",E320&lt;&gt;"!!!"),"NEW","")))</f>
        <v/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/>
      </c>
      <c r="H320" s="24" t="str">
        <f t="shared" ca="1" si="35"/>
        <v/>
      </c>
      <c r="I320" s="25" t="str">
        <f>IF(OR(E320="",E320="!!!",F320="NEW"),"",INDEX(B$2:B319,-1+SUMPRODUCT(MAX(ROW(E$2:E319)*(E320=E$2:E319)))))</f>
        <v/>
      </c>
      <c r="J320" s="25" t="str">
        <f ca="1">IF(OR(E320="",E320="!!!",F320="NEW"),"",COUNTBLANK(OFFSET(A$1,,,SUMPRODUCT(MAX(ROW(E$2:E320)*(E320=E$2:E320)))))-COUNTBLANK(OFFSET(A$1,,,SUMPRODUCT(MAX(ROW(E$1:E319)*(E2=E$1:E319))))))</f>
        <v/>
      </c>
      <c r="K320" s="25" t="str">
        <f>IF(OR(E320="",E320="!!!",F320="NEW"),"",INDEX(J$1:J319,SUMPRODUCT(MAX(ROW(E$1:E319)*(E320=E$1:E319)))))</f>
        <v/>
      </c>
      <c r="L320" s="26"/>
    </row>
    <row r="321" spans="1:12" x14ac:dyDescent="0.3">
      <c r="A321" t="s">
        <v>187</v>
      </c>
      <c r="E321" s="21" t="str">
        <f t="shared" si="34"/>
        <v/>
      </c>
      <c r="F321" s="22" t="str">
        <f>IF(OR(E321="",E321="!!!"),"",IF(NOT(ISNA(VLOOKUP(E321,E$1:E320,1,FALSE()))),"OLD",IF(AND(E321&lt;&gt;"",E321&lt;&gt;"!!!"),"NEW","")))</f>
        <v/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/>
      </c>
      <c r="H321" s="24" t="str">
        <f t="shared" ca="1" si="35"/>
        <v/>
      </c>
      <c r="I321" s="25" t="str">
        <f>IF(OR(E321="",E321="!!!",F321="NEW"),"",INDEX(B$2:B320,-1+SUMPRODUCT(MAX(ROW(E$2:E320)*(E321=E$2:E320)))))</f>
        <v/>
      </c>
      <c r="J321" s="25" t="str">
        <f ca="1">IF(OR(E321="",E321="!!!",F321="NEW"),"",COUNTBLANK(OFFSET(A$1,,,SUMPRODUCT(MAX(ROW(E$2:E321)*(E321=E$2:E321)))))-COUNTBLANK(OFFSET(A$1,,,SUMPRODUCT(MAX(ROW(E$1:E320)*(E2=E$1:E320))))))</f>
        <v/>
      </c>
      <c r="K321" s="25" t="str">
        <f>IF(OR(E321="",E321="!!!",F321="NEW"),"",INDEX(J$1:J320,SUMPRODUCT(MAX(ROW(E$1:E320)*(E321=E$1:E320)))))</f>
        <v/>
      </c>
      <c r="L321" s="26"/>
    </row>
    <row r="322" spans="1:12" x14ac:dyDescent="0.3">
      <c r="A322" t="s">
        <v>148</v>
      </c>
      <c r="E322" s="21" t="str">
        <f t="shared" si="34"/>
        <v/>
      </c>
      <c r="F322" s="22" t="str">
        <f>IF(OR(E322="",E322="!!!"),"",IF(NOT(ISNA(VLOOKUP(E322,E$1:E321,1,FALSE()))),"OLD",IF(AND(E322&lt;&gt;"",E322&lt;&gt;"!!!"),"NEW","")))</f>
        <v/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/>
      </c>
      <c r="H322" s="24" t="str">
        <f t="shared" ca="1" si="35"/>
        <v/>
      </c>
      <c r="I322" s="25" t="str">
        <f>IF(OR(E322="",E322="!!!",F322="NEW"),"",INDEX(B$2:B321,-1+SUMPRODUCT(MAX(ROW(E$2:E321)*(E322=E$2:E321)))))</f>
        <v/>
      </c>
      <c r="J322" s="25" t="str">
        <f ca="1">IF(OR(E322="",E322="!!!",F322="NEW"),"",COUNTBLANK(OFFSET(A$1,,,SUMPRODUCT(MAX(ROW(E$2:E322)*(E322=E$2:E322)))))-COUNTBLANK(OFFSET(A$1,,,SUMPRODUCT(MAX(ROW(E$1:E321)*(E2=E$1:E321))))))</f>
        <v/>
      </c>
      <c r="K322" s="25" t="str">
        <f>IF(OR(E322="",E322="!!!",F322="NEW"),"",INDEX(J$1:J321,SUMPRODUCT(MAX(ROW(E$1:E321)*(E322=E$1:E321)))))</f>
        <v/>
      </c>
      <c r="L322" s="26"/>
    </row>
    <row r="324" spans="1:12" x14ac:dyDescent="0.3">
      <c r="A324" t="s">
        <v>339</v>
      </c>
    </row>
    <row r="325" spans="1:12" x14ac:dyDescent="0.3">
      <c r="A325" t="s">
        <v>340</v>
      </c>
      <c r="E325" s="21" t="str">
        <f t="shared" ref="E325:E331" si="36">IF(D325="?OLD","!!!","")</f>
        <v/>
      </c>
      <c r="F325" s="22" t="str">
        <f>IF(OR(E325="",E325="!!!"),"",IF(NOT(ISNA(VLOOKUP(E325,E$1:E324,1,FALSE()))),"OLD",IF(AND(E325&lt;&gt;"",E325&lt;&gt;"!!!"),"NEW","")))</f>
        <v/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/>
      </c>
      <c r="H325" s="24" t="str">
        <f t="shared" ref="H325:H331" ca="1" si="37">IF(J325&lt;&gt;1,"",IF(I325="SBJ","CB","?"))</f>
        <v/>
      </c>
      <c r="I325" s="25" t="str">
        <f>IF(OR(E325="",E325="!!!",F325="NEW"),"",INDEX(B$2:B324,-1+SUMPRODUCT(MAX(ROW(E$2:E324)*(E325=E$2:E324)))))</f>
        <v/>
      </c>
      <c r="J325" s="25" t="str">
        <f ca="1">IF(OR(E325="",E325="!!!",F325="NEW"),"",COUNTBLANK(OFFSET(A$1,,,SUMPRODUCT(MAX(ROW(E$2:E325)*(E325=E$2:E325)))))-COUNTBLANK(OFFSET(A$1,,,SUMPRODUCT(MAX(ROW(E$1:E324)*(E2=E$1:E324))))))</f>
        <v/>
      </c>
      <c r="K325" s="25" t="str">
        <f>IF(OR(E325="",E325="!!!",F325="NEW"),"",INDEX(J$1:J324,SUMPRODUCT(MAX(ROW(E$1:E324)*(E325=E$1:E324)))))</f>
        <v/>
      </c>
      <c r="L325" s="26"/>
    </row>
    <row r="326" spans="1:12" x14ac:dyDescent="0.3">
      <c r="A326" t="s">
        <v>341</v>
      </c>
      <c r="B326" s="20" t="s">
        <v>152</v>
      </c>
      <c r="C326" s="20" t="s">
        <v>207</v>
      </c>
      <c r="E326" s="21" t="str">
        <f t="shared" si="36"/>
        <v/>
      </c>
      <c r="F326" s="22" t="str">
        <f>IF(OR(E326="",E326="!!!"),"",IF(NOT(ISNA(VLOOKUP(E326,E$1:E325,1,FALSE()))),"OLD",IF(AND(E326&lt;&gt;"",E326&lt;&gt;"!!!"),"NEW","")))</f>
        <v/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/>
      </c>
      <c r="H326" s="24" t="str">
        <f t="shared" ca="1" si="37"/>
        <v/>
      </c>
      <c r="I326" s="25" t="str">
        <f>IF(OR(E326="",E326="!!!",F326="NEW"),"",INDEX(B$2:B325,-1+SUMPRODUCT(MAX(ROW(E$2:E325)*(E326=E$2:E325)))))</f>
        <v/>
      </c>
      <c r="J326" s="25" t="str">
        <f ca="1">IF(OR(E326="",E326="!!!",F326="NEW"),"",COUNTBLANK(OFFSET(A$1,,,SUMPRODUCT(MAX(ROW(E$2:E326)*(E326=E$2:E326)))))-COUNTBLANK(OFFSET(A$1,,,SUMPRODUCT(MAX(ROW(E$1:E325)*(E2=E$1:E325))))))</f>
        <v/>
      </c>
      <c r="K326" s="25" t="str">
        <f>IF(OR(E326="",E326="!!!",F326="NEW"),"",INDEX(J$1:J325,SUMPRODUCT(MAX(ROW(E$1:E325)*(E326=E$1:E325)))))</f>
        <v/>
      </c>
      <c r="L326" s="26"/>
    </row>
    <row r="327" spans="1:12" x14ac:dyDescent="0.3">
      <c r="A327" t="s">
        <v>342</v>
      </c>
      <c r="E327" s="21" t="str">
        <f t="shared" si="36"/>
        <v/>
      </c>
      <c r="F327" s="22" t="str">
        <f>IF(OR(E327="",E327="!!!"),"",IF(NOT(ISNA(VLOOKUP(E327,E$1:E326,1,FALSE()))),"OLD",IF(AND(E327&lt;&gt;"",E327&lt;&gt;"!!!"),"NEW","")))</f>
        <v/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/>
      </c>
      <c r="H327" s="24" t="str">
        <f t="shared" ca="1" si="37"/>
        <v/>
      </c>
      <c r="I327" s="25" t="str">
        <f>IF(OR(E327="",E327="!!!",F327="NEW"),"",INDEX(B$2:B326,-1+SUMPRODUCT(MAX(ROW(E$2:E326)*(E327=E$2:E326)))))</f>
        <v/>
      </c>
      <c r="J327" s="25" t="str">
        <f ca="1">IF(OR(E327="",E327="!!!",F327="NEW"),"",COUNTBLANK(OFFSET(A$1,,,SUMPRODUCT(MAX(ROW(E$2:E327)*(E327=E$2:E327)))))-COUNTBLANK(OFFSET(A$1,,,SUMPRODUCT(MAX(ROW(E$1:E326)*(E2=E$1:E326))))))</f>
        <v/>
      </c>
      <c r="K327" s="25" t="str">
        <f>IF(OR(E327="",E327="!!!",F327="NEW"),"",INDEX(J$1:J326,SUMPRODUCT(MAX(ROW(E$1:E326)*(E327=E$1:E326)))))</f>
        <v/>
      </c>
      <c r="L327" s="26"/>
    </row>
    <row r="328" spans="1:12" x14ac:dyDescent="0.3">
      <c r="A328" t="s">
        <v>132</v>
      </c>
      <c r="B328" s="20" t="s">
        <v>129</v>
      </c>
      <c r="C328" s="20" t="s">
        <v>130</v>
      </c>
      <c r="D328" s="20" t="s">
        <v>131</v>
      </c>
      <c r="E328" s="21" t="s">
        <v>424</v>
      </c>
      <c r="F328" s="22" t="str">
        <f>IF(OR(E328="",E328="!!!"),"",IF(NOT(ISNA(VLOOKUP(E328,E$1:E327,1,FALSE()))),"OLD",IF(AND(E328&lt;&gt;"",E328&lt;&gt;"!!!"),"NEW","")))</f>
        <v>OLD</v>
      </c>
      <c r="G328" s="23" t="str">
        <f ca="1"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?IN_FOCUS</v>
      </c>
      <c r="H328" s="24" t="str">
        <f t="shared" ca="1" si="37"/>
        <v/>
      </c>
      <c r="I328" s="25" t="str">
        <f>IF(OR(E328="",E328="!!!",F328="NEW"),"",INDEX(B$2:B327,-1+SUMPRODUCT(MAX(ROW(E$2:E327)*(E328=E$2:E327)))))</f>
        <v>SBJ</v>
      </c>
      <c r="J328" s="25">
        <f ca="1">IF(OR(E328="",E328="!!!",F328="NEW"),"",COUNTBLANK(OFFSET(A$1,,,SUMPRODUCT(MAX(ROW(E$2:E328)*(E328=E$2:E328)))))-COUNTBLANK(OFFSET(A$1,,,SUMPRODUCT(MAX(ROW(E$1:E327)*(E2=E$1:E327))))))</f>
        <v>0</v>
      </c>
      <c r="K328" s="25">
        <f ca="1">IF(OR(E328="",E328="!!!",F328="NEW"),"",INDEX(J$1:J327,SUMPRODUCT(MAX(ROW(E$1:E327)*(E328=E$1:E327)))))</f>
        <v>0</v>
      </c>
      <c r="L328" s="26"/>
    </row>
    <row r="329" spans="1:12" x14ac:dyDescent="0.3">
      <c r="A329" t="s">
        <v>175</v>
      </c>
      <c r="E329" s="21" t="str">
        <f t="shared" si="36"/>
        <v/>
      </c>
      <c r="F329" s="22" t="str">
        <f>IF(OR(E329="",E329="!!!"),"",IF(NOT(ISNA(VLOOKUP(E329,E$1:E328,1,FALSE()))),"OLD",IF(AND(E329&lt;&gt;"",E329&lt;&gt;"!!!"),"NEW","")))</f>
        <v/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/>
      </c>
      <c r="H329" s="24" t="str">
        <f t="shared" ca="1" si="37"/>
        <v/>
      </c>
      <c r="I329" s="25" t="str">
        <f>IF(OR(E329="",E329="!!!",F329="NEW"),"",INDEX(B$2:B328,-1+SUMPRODUCT(MAX(ROW(E$2:E328)*(E329=E$2:E328)))))</f>
        <v/>
      </c>
      <c r="J329" s="25" t="str">
        <f ca="1">IF(OR(E329="",E329="!!!",F329="NEW"),"",COUNTBLANK(OFFSET(A$1,,,SUMPRODUCT(MAX(ROW(E$2:E329)*(E329=E$2:E329)))))-COUNTBLANK(OFFSET(A$1,,,SUMPRODUCT(MAX(ROW(E$1:E328)*(E2=E$1:E328))))))</f>
        <v/>
      </c>
      <c r="K329" s="25" t="str">
        <f>IF(OR(E329="",E329="!!!",F329="NEW"),"",INDEX(J$1:J328,SUMPRODUCT(MAX(ROW(E$1:E328)*(E329=E$1:E328)))))</f>
        <v/>
      </c>
      <c r="L329" s="26"/>
    </row>
    <row r="330" spans="1:12" x14ac:dyDescent="0.3">
      <c r="A330" t="s">
        <v>343</v>
      </c>
      <c r="B330" s="20" t="s">
        <v>136</v>
      </c>
      <c r="C330" s="20" t="s">
        <v>137</v>
      </c>
      <c r="D330" s="20" t="s">
        <v>131</v>
      </c>
      <c r="E330" s="21"/>
      <c r="F330" s="22" t="s">
        <v>426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/>
      </c>
      <c r="H330" s="24" t="str">
        <f t="shared" ca="1" si="37"/>
        <v/>
      </c>
      <c r="I330" s="25" t="str">
        <f>IF(OR(E330="",E330="!!!",F330="NEW"),"",INDEX(B$2:B329,-1+SUMPRODUCT(MAX(ROW(E$2:E329)*(E330=E$2:E329)))))</f>
        <v/>
      </c>
      <c r="J330" s="25" t="str">
        <f ca="1">IF(OR(E330="",E330="!!!",F330="NEW"),"",COUNTBLANK(OFFSET(A$1,,,SUMPRODUCT(MAX(ROW(E$2:E330)*(E330=E$2:E330)))))-COUNTBLANK(OFFSET(A$1,,,SUMPRODUCT(MAX(ROW(E$1:E329)*(E2=E$1:E329))))))</f>
        <v/>
      </c>
      <c r="K330" s="25" t="str">
        <f>IF(OR(E330="",E330="!!!",F330="NEW"),"",INDEX(J$1:J329,SUMPRODUCT(MAX(ROW(E$1:E329)*(E330=E$1:E329)))))</f>
        <v/>
      </c>
      <c r="L330" s="26"/>
    </row>
    <row r="331" spans="1:12" x14ac:dyDescent="0.3">
      <c r="A331" t="s">
        <v>148</v>
      </c>
      <c r="E331" s="21" t="str">
        <f t="shared" si="36"/>
        <v/>
      </c>
      <c r="F331" s="22" t="str">
        <f>IF(OR(E331="",E331="!!!"),"",IF(NOT(ISNA(VLOOKUP(E331,E$1:E330,1,FALSE()))),"OLD",IF(AND(E331&lt;&gt;"",E331&lt;&gt;"!!!"),"NEW","")))</f>
        <v/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/>
      </c>
      <c r="H331" s="24" t="str">
        <f t="shared" ca="1" si="37"/>
        <v/>
      </c>
      <c r="I331" s="25" t="str">
        <f>IF(OR(E331="",E331="!!!",F331="NEW"),"",INDEX(B$2:B330,-1+SUMPRODUCT(MAX(ROW(E$2:E330)*(E331=E$2:E330)))))</f>
        <v/>
      </c>
      <c r="J331" s="25" t="str">
        <f ca="1">IF(OR(E331="",E331="!!!",F331="NEW"),"",COUNTBLANK(OFFSET(A$1,,,SUMPRODUCT(MAX(ROW(E$2:E331)*(E331=E$2:E331)))))-COUNTBLANK(OFFSET(A$1,,,SUMPRODUCT(MAX(ROW(E$1:E330)*(E2=E$1:E330))))))</f>
        <v/>
      </c>
      <c r="K331" s="25" t="str">
        <f>IF(OR(E331="",E331="!!!",F331="NEW"),"",INDEX(J$1:J330,SUMPRODUCT(MAX(ROW(E$1:E330)*(E331=E$1:E330)))))</f>
        <v/>
      </c>
      <c r="L331" s="26"/>
    </row>
    <row r="333" spans="1:12" x14ac:dyDescent="0.3">
      <c r="A333" t="s">
        <v>344</v>
      </c>
    </row>
    <row r="334" spans="1:12" x14ac:dyDescent="0.3">
      <c r="A334" t="s">
        <v>231</v>
      </c>
      <c r="E334" s="21" t="str">
        <f t="shared" ref="E334:E346" si="38">IF(D334="?OLD","!!!","")</f>
        <v/>
      </c>
      <c r="F334" s="22" t="str">
        <f>IF(OR(E334="",E334="!!!"),"",IF(NOT(ISNA(VLOOKUP(E334,E$1:E333,1,FALSE()))),"OLD",IF(AND(E334&lt;&gt;"",E334&lt;&gt;"!!!"),"NEW","")))</f>
        <v/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/>
      </c>
      <c r="H334" s="24" t="str">
        <f t="shared" ref="H334:H346" ca="1" si="39">IF(J334&lt;&gt;1,"",IF(I334="SBJ","CB","?"))</f>
        <v/>
      </c>
      <c r="I334" s="25" t="str">
        <f>IF(OR(E334="",E334="!!!",F334="NEW"),"",INDEX(B$2:B333,-1+SUMPRODUCT(MAX(ROW(E$2:E333)*(E334=E$2:E333)))))</f>
        <v/>
      </c>
      <c r="J334" s="25" t="str">
        <f ca="1">IF(OR(E334="",E334="!!!",F334="NEW"),"",COUNTBLANK(OFFSET(A$1,,,SUMPRODUCT(MAX(ROW(E$2:E334)*(E334=E$2:E334)))))-COUNTBLANK(OFFSET(A$1,,,SUMPRODUCT(MAX(ROW(E$1:E333)*(E2=E$1:E333))))))</f>
        <v/>
      </c>
      <c r="K334" s="25" t="str">
        <f>IF(OR(E334="",E334="!!!",F334="NEW"),"",INDEX(J$1:J333,SUMPRODUCT(MAX(ROW(E$1:E333)*(E334=E$1:E333)))))</f>
        <v/>
      </c>
      <c r="L334" s="26"/>
    </row>
    <row r="335" spans="1:12" x14ac:dyDescent="0.3">
      <c r="A335" t="s">
        <v>345</v>
      </c>
      <c r="E335" s="21" t="str">
        <f t="shared" si="38"/>
        <v/>
      </c>
      <c r="F335" s="22" t="str">
        <f>IF(OR(E335="",E335="!!!"),"",IF(NOT(ISNA(VLOOKUP(E335,E$1:E334,1,FALSE()))),"OLD",IF(AND(E335&lt;&gt;"",E335&lt;&gt;"!!!"),"NEW","")))</f>
        <v/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/>
      </c>
      <c r="H335" s="24" t="str">
        <f t="shared" ca="1" si="39"/>
        <v/>
      </c>
      <c r="I335" s="25" t="str">
        <f>IF(OR(E335="",E335="!!!",F335="NEW"),"",INDEX(B$2:B334,-1+SUMPRODUCT(MAX(ROW(E$2:E334)*(E335=E$2:E334)))))</f>
        <v/>
      </c>
      <c r="J335" s="25" t="str">
        <f ca="1">IF(OR(E335="",E335="!!!",F335="NEW"),"",COUNTBLANK(OFFSET(A$1,,,SUMPRODUCT(MAX(ROW(E$2:E335)*(E335=E$2:E335)))))-COUNTBLANK(OFFSET(A$1,,,SUMPRODUCT(MAX(ROW(E$1:E334)*(E2=E$1:E334))))))</f>
        <v/>
      </c>
      <c r="K335" s="25" t="str">
        <f>IF(OR(E335="",E335="!!!",F335="NEW"),"",INDEX(J$1:J334,SUMPRODUCT(MAX(ROW(E$1:E334)*(E335=E$1:E334)))))</f>
        <v/>
      </c>
      <c r="L335" s="26"/>
    </row>
    <row r="336" spans="1:12" x14ac:dyDescent="0.3">
      <c r="A336" t="s">
        <v>346</v>
      </c>
      <c r="E336" s="21" t="str">
        <f t="shared" si="38"/>
        <v/>
      </c>
      <c r="F336" s="22" t="str">
        <f>IF(OR(E336="",E336="!!!"),"",IF(NOT(ISNA(VLOOKUP(E336,E$1:E335,1,FALSE()))),"OLD",IF(AND(E336&lt;&gt;"",E336&lt;&gt;"!!!"),"NEW","")))</f>
        <v/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/>
      </c>
      <c r="H336" s="24" t="str">
        <f t="shared" ca="1" si="39"/>
        <v/>
      </c>
      <c r="I336" s="25" t="str">
        <f>IF(OR(E336="",E336="!!!",F336="NEW"),"",INDEX(B$2:B335,-1+SUMPRODUCT(MAX(ROW(E$2:E335)*(E336=E$2:E335)))))</f>
        <v/>
      </c>
      <c r="J336" s="25" t="str">
        <f ca="1">IF(OR(E336="",E336="!!!",F336="NEW"),"",COUNTBLANK(OFFSET(A$1,,,SUMPRODUCT(MAX(ROW(E$2:E336)*(E336=E$2:E336)))))-COUNTBLANK(OFFSET(A$1,,,SUMPRODUCT(MAX(ROW(E$1:E335)*(E2=E$1:E335))))))</f>
        <v/>
      </c>
      <c r="K336" s="25" t="str">
        <f>IF(OR(E336="",E336="!!!",F336="NEW"),"",INDEX(J$1:J335,SUMPRODUCT(MAX(ROW(E$1:E335)*(E336=E$1:E335)))))</f>
        <v/>
      </c>
      <c r="L336" s="26"/>
    </row>
    <row r="337" spans="1:12" x14ac:dyDescent="0.3">
      <c r="A337" t="s">
        <v>263</v>
      </c>
      <c r="B337" s="20" t="s">
        <v>129</v>
      </c>
      <c r="C337" s="20" t="s">
        <v>181</v>
      </c>
      <c r="D337" s="20" t="s">
        <v>131</v>
      </c>
      <c r="E337" s="21" t="s">
        <v>424</v>
      </c>
      <c r="F337" s="22" t="str">
        <f>IF(OR(E337="",E337="!!!"),"",IF(NOT(ISNA(VLOOKUP(E337,E$1:E336,1,FALSE()))),"OLD",IF(AND(E337&lt;&gt;"",E337&lt;&gt;"!!!"),"NEW","")))</f>
        <v>OLD</v>
      </c>
      <c r="G337" s="23" t="str">
        <f ca="1"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?IN_FOCUS</v>
      </c>
      <c r="H337" s="24" t="str">
        <f t="shared" ca="1" si="39"/>
        <v/>
      </c>
      <c r="I337" s="25" t="str">
        <f>IF(OR(E337="",E337="!!!",F337="NEW"),"",INDEX(B$2:B336,-1+SUMPRODUCT(MAX(ROW(E$2:E336)*(E337=E$2:E336)))))</f>
        <v>SBJ</v>
      </c>
      <c r="J337" s="25">
        <f ca="1">IF(OR(E337="",E337="!!!",F337="NEW"),"",COUNTBLANK(OFFSET(A$1,,,SUMPRODUCT(MAX(ROW(E$2:E337)*(E337=E$2:E337)))))-COUNTBLANK(OFFSET(A$1,,,SUMPRODUCT(MAX(ROW(E$1:E336)*(E2=E$1:E336))))))</f>
        <v>0</v>
      </c>
      <c r="K337" s="25">
        <f ca="1">IF(OR(E337="",E337="!!!",F337="NEW"),"",INDEX(J$1:J336,SUMPRODUCT(MAX(ROW(E$1:E336)*(E337=E$1:E336)))))</f>
        <v>0</v>
      </c>
      <c r="L337" s="26"/>
    </row>
    <row r="338" spans="1:12" x14ac:dyDescent="0.3">
      <c r="A338" t="s">
        <v>236</v>
      </c>
      <c r="E338" s="21" t="str">
        <f t="shared" si="38"/>
        <v/>
      </c>
      <c r="F338" s="22" t="str">
        <f>IF(OR(E338="",E338="!!!"),"",IF(NOT(ISNA(VLOOKUP(E338,E$1:E337,1,FALSE()))),"OLD",IF(AND(E338&lt;&gt;"",E338&lt;&gt;"!!!"),"NEW","")))</f>
        <v/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/>
      </c>
      <c r="H338" s="24" t="str">
        <f t="shared" ca="1" si="39"/>
        <v/>
      </c>
      <c r="I338" s="25" t="str">
        <f>IF(OR(E338="",E338="!!!",F338="NEW"),"",INDEX(B$2:B337,-1+SUMPRODUCT(MAX(ROW(E$2:E337)*(E338=E$2:E337)))))</f>
        <v/>
      </c>
      <c r="J338" s="25" t="str">
        <f ca="1">IF(OR(E338="",E338="!!!",F338="NEW"),"",COUNTBLANK(OFFSET(A$1,,,SUMPRODUCT(MAX(ROW(E$2:E338)*(E338=E$2:E338)))))-COUNTBLANK(OFFSET(A$1,,,SUMPRODUCT(MAX(ROW(E$1:E337)*(E2=E$1:E337))))))</f>
        <v/>
      </c>
      <c r="K338" s="25" t="str">
        <f>IF(OR(E338="",E338="!!!",F338="NEW"),"",INDEX(J$1:J337,SUMPRODUCT(MAX(ROW(E$1:E337)*(E338=E$1:E337)))))</f>
        <v/>
      </c>
      <c r="L338" s="26"/>
    </row>
    <row r="339" spans="1:12" x14ac:dyDescent="0.3">
      <c r="A339" t="s">
        <v>268</v>
      </c>
      <c r="E339" s="21" t="str">
        <f t="shared" si="38"/>
        <v/>
      </c>
      <c r="F339" s="22" t="str">
        <f>IF(OR(E339="",E339="!!!"),"",IF(NOT(ISNA(VLOOKUP(E339,E$1:E338,1,FALSE()))),"OLD",IF(AND(E339&lt;&gt;"",E339&lt;&gt;"!!!"),"NEW","")))</f>
        <v/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/>
      </c>
      <c r="H339" s="24" t="str">
        <f t="shared" ca="1" si="39"/>
        <v/>
      </c>
      <c r="I339" s="25" t="str">
        <f>IF(OR(E339="",E339="!!!",F339="NEW"),"",INDEX(B$2:B338,-1+SUMPRODUCT(MAX(ROW(E$2:E338)*(E339=E$2:E338)))))</f>
        <v/>
      </c>
      <c r="J339" s="25" t="str">
        <f ca="1">IF(OR(E339="",E339="!!!",F339="NEW"),"",COUNTBLANK(OFFSET(A$1,,,SUMPRODUCT(MAX(ROW(E$2:E339)*(E339=E$2:E339)))))-COUNTBLANK(OFFSET(A$1,,,SUMPRODUCT(MAX(ROW(E$1:E338)*(E2=E$1:E338))))))</f>
        <v/>
      </c>
      <c r="K339" s="25" t="str">
        <f>IF(OR(E339="",E339="!!!",F339="NEW"),"",INDEX(J$1:J338,SUMPRODUCT(MAX(ROW(E$1:E338)*(E339=E$1:E338)))))</f>
        <v/>
      </c>
      <c r="L339" s="26"/>
    </row>
    <row r="340" spans="1:12" x14ac:dyDescent="0.3">
      <c r="A340" t="s">
        <v>347</v>
      </c>
      <c r="B340" s="20" t="s">
        <v>136</v>
      </c>
      <c r="C340" s="20" t="s">
        <v>137</v>
      </c>
      <c r="D340" s="20" t="s">
        <v>131</v>
      </c>
      <c r="E340" s="21" t="s">
        <v>471</v>
      </c>
      <c r="F340" s="22" t="str">
        <f>IF(OR(E340="",E340="!!!"),"",IF(NOT(ISNA(VLOOKUP(E340,E$1:E339,1,FALSE()))),"OLD",IF(AND(E340&lt;&gt;"",E340&lt;&gt;"!!!"),"NEW","")))</f>
        <v>NEW</v>
      </c>
      <c r="G340" s="23" t="str">
        <f ca="1"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?REFERENTIAL</v>
      </c>
      <c r="H340" s="24" t="str">
        <f t="shared" ca="1" si="39"/>
        <v/>
      </c>
      <c r="I340" s="25" t="str">
        <f>IF(OR(E340="",E340="!!!",F340="NEW"),"",INDEX(B$2:B339,-1+SUMPRODUCT(MAX(ROW(E$2:E339)*(E340=E$2:E339)))))</f>
        <v/>
      </c>
      <c r="J340" s="25" t="str">
        <f ca="1">IF(OR(E340="",E340="!!!",F340="NEW"),"",COUNTBLANK(OFFSET(A$1,,,SUMPRODUCT(MAX(ROW(E$2:E340)*(E340=E$2:E340)))))-COUNTBLANK(OFFSET(A$1,,,SUMPRODUCT(MAX(ROW(E$1:E339)*(E2=E$1:E339))))))</f>
        <v/>
      </c>
      <c r="K340" s="25" t="str">
        <f>IF(OR(E340="",E340="!!!",F340="NEW"),"",INDEX(J$1:J339,SUMPRODUCT(MAX(ROW(E$1:E339)*(E340=E$1:E339)))))</f>
        <v/>
      </c>
      <c r="L340" s="26"/>
    </row>
    <row r="341" spans="1:12" x14ac:dyDescent="0.3">
      <c r="A341" t="s">
        <v>250</v>
      </c>
      <c r="E341" s="21" t="str">
        <f t="shared" si="38"/>
        <v/>
      </c>
      <c r="F341" s="22" t="str">
        <f>IF(OR(E341="",E341="!!!"),"",IF(NOT(ISNA(VLOOKUP(E341,E$1:E340,1,FALSE()))),"OLD",IF(AND(E341&lt;&gt;"",E341&lt;&gt;"!!!"),"NEW","")))</f>
        <v/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/>
      </c>
      <c r="H341" s="24" t="str">
        <f t="shared" ca="1" si="39"/>
        <v/>
      </c>
      <c r="I341" s="25" t="str">
        <f>IF(OR(E341="",E341="!!!",F341="NEW"),"",INDEX(B$2:B340,-1+SUMPRODUCT(MAX(ROW(E$2:E340)*(E341=E$2:E340)))))</f>
        <v/>
      </c>
      <c r="J341" s="25" t="str">
        <f ca="1">IF(OR(E341="",E341="!!!",F341="NEW"),"",COUNTBLANK(OFFSET(A$1,,,SUMPRODUCT(MAX(ROW(E$2:E341)*(E341=E$2:E341)))))-COUNTBLANK(OFFSET(A$1,,,SUMPRODUCT(MAX(ROW(E$1:E340)*(E2=E$1:E340))))))</f>
        <v/>
      </c>
      <c r="K341" s="25" t="str">
        <f>IF(OR(E341="",E341="!!!",F341="NEW"),"",INDEX(J$1:J340,SUMPRODUCT(MAX(ROW(E$1:E340)*(E341=E$1:E340)))))</f>
        <v/>
      </c>
      <c r="L341" s="26"/>
    </row>
    <row r="342" spans="1:12" x14ac:dyDescent="0.3">
      <c r="A342" t="s">
        <v>348</v>
      </c>
      <c r="E342" s="21" t="str">
        <f t="shared" si="38"/>
        <v/>
      </c>
      <c r="F342" s="22" t="str">
        <f>IF(OR(E342="",E342="!!!"),"",IF(NOT(ISNA(VLOOKUP(E342,E$1:E341,1,FALSE()))),"OLD",IF(AND(E342&lt;&gt;"",E342&lt;&gt;"!!!"),"NEW","")))</f>
        <v/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/>
      </c>
      <c r="H342" s="24" t="str">
        <f t="shared" ca="1" si="39"/>
        <v/>
      </c>
      <c r="I342" s="25" t="str">
        <f>IF(OR(E342="",E342="!!!",F342="NEW"),"",INDEX(B$2:B341,-1+SUMPRODUCT(MAX(ROW(E$2:E341)*(E342=E$2:E341)))))</f>
        <v/>
      </c>
      <c r="J342" s="25" t="str">
        <f ca="1">IF(OR(E342="",E342="!!!",F342="NEW"),"",COUNTBLANK(OFFSET(A$1,,,SUMPRODUCT(MAX(ROW(E$2:E342)*(E342=E$2:E342)))))-COUNTBLANK(OFFSET(A$1,,,SUMPRODUCT(MAX(ROW(E$1:E341)*(E2=E$1:E341))))))</f>
        <v/>
      </c>
      <c r="K342" s="25" t="str">
        <f>IF(OR(E342="",E342="!!!",F342="NEW"),"",INDEX(J$1:J341,SUMPRODUCT(MAX(ROW(E$1:E341)*(E342=E$1:E341)))))</f>
        <v/>
      </c>
      <c r="L342" s="26"/>
    </row>
    <row r="343" spans="1:12" x14ac:dyDescent="0.3">
      <c r="A343" t="s">
        <v>349</v>
      </c>
      <c r="B343" s="20" t="s">
        <v>145</v>
      </c>
      <c r="C343" s="20" t="s">
        <v>130</v>
      </c>
      <c r="D343" s="20" t="s">
        <v>131</v>
      </c>
      <c r="E343" s="21" t="str">
        <f t="shared" si="38"/>
        <v>!!!</v>
      </c>
      <c r="F343" s="22" t="str">
        <f>IF(OR(E343="",E343="!!!"),"",IF(NOT(ISNA(VLOOKUP(E343,E$1:E342,1,FALSE()))),"OLD",IF(AND(E343&lt;&gt;"",E343&lt;&gt;"!!!"),"NEW","")))</f>
        <v/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/>
      </c>
      <c r="H343" s="24" t="str">
        <f t="shared" ca="1" si="39"/>
        <v/>
      </c>
      <c r="I343" s="25" t="str">
        <f>IF(OR(E343="",E343="!!!",F343="NEW"),"",INDEX(B$2:B342,-1+SUMPRODUCT(MAX(ROW(E$2:E342)*(E343=E$2:E342)))))</f>
        <v/>
      </c>
      <c r="J343" s="25" t="str">
        <f ca="1">IF(OR(E343="",E343="!!!",F343="NEW"),"",COUNTBLANK(OFFSET(A$1,,,SUMPRODUCT(MAX(ROW(E$2:E343)*(E343=E$2:E343)))))-COUNTBLANK(OFFSET(A$1,,,SUMPRODUCT(MAX(ROW(E$1:E342)*(E2=E$1:E342))))))</f>
        <v/>
      </c>
      <c r="K343" s="25" t="str">
        <f>IF(OR(E343="",E343="!!!",F343="NEW"),"",INDEX(J$1:J342,SUMPRODUCT(MAX(ROW(E$1:E342)*(E343=E$1:E342)))))</f>
        <v/>
      </c>
      <c r="L343" s="26" t="s">
        <v>489</v>
      </c>
    </row>
    <row r="344" spans="1:12" x14ac:dyDescent="0.3">
      <c r="A344" t="s">
        <v>350</v>
      </c>
      <c r="E344" s="21" t="str">
        <f t="shared" si="38"/>
        <v/>
      </c>
      <c r="F344" s="22" t="str">
        <f>IF(OR(E344="",E344="!!!"),"",IF(NOT(ISNA(VLOOKUP(E344,E$1:E343,1,FALSE()))),"OLD",IF(AND(E344&lt;&gt;"",E344&lt;&gt;"!!!"),"NEW","")))</f>
        <v/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/>
      </c>
      <c r="H344" s="24" t="str">
        <f t="shared" ca="1" si="39"/>
        <v/>
      </c>
      <c r="I344" s="25" t="str">
        <f>IF(OR(E344="",E344="!!!",F344="NEW"),"",INDEX(B$2:B343,-1+SUMPRODUCT(MAX(ROW(E$2:E343)*(E344=E$2:E343)))))</f>
        <v/>
      </c>
      <c r="J344" s="25" t="str">
        <f ca="1">IF(OR(E344="",E344="!!!",F344="NEW"),"",COUNTBLANK(OFFSET(A$1,,,SUMPRODUCT(MAX(ROW(E$2:E344)*(E344=E$2:E344)))))-COUNTBLANK(OFFSET(A$1,,,SUMPRODUCT(MAX(ROW(E$1:E343)*(E2=E$1:E343))))))</f>
        <v/>
      </c>
      <c r="K344" s="25" t="str">
        <f>IF(OR(E344="",E344="!!!",F344="NEW"),"",INDEX(J$1:J343,SUMPRODUCT(MAX(ROW(E$1:E343)*(E344=E$1:E343)))))</f>
        <v/>
      </c>
      <c r="L344" s="26"/>
    </row>
    <row r="345" spans="1:12" x14ac:dyDescent="0.3">
      <c r="A345" t="s">
        <v>351</v>
      </c>
      <c r="E345" s="21" t="str">
        <f t="shared" si="38"/>
        <v/>
      </c>
      <c r="F345" s="22" t="str">
        <f>IF(OR(E345="",E345="!!!"),"",IF(NOT(ISNA(VLOOKUP(E345,E$1:E344,1,FALSE()))),"OLD",IF(AND(E345&lt;&gt;"",E345&lt;&gt;"!!!"),"NEW","")))</f>
        <v/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/>
      </c>
      <c r="H345" s="24" t="str">
        <f t="shared" ca="1" si="39"/>
        <v/>
      </c>
      <c r="I345" s="25" t="str">
        <f>IF(OR(E345="",E345="!!!",F345="NEW"),"",INDEX(B$2:B344,-1+SUMPRODUCT(MAX(ROW(E$2:E344)*(E345=E$2:E344)))))</f>
        <v/>
      </c>
      <c r="J345" s="25" t="str">
        <f ca="1">IF(OR(E345="",E345="!!!",F345="NEW"),"",COUNTBLANK(OFFSET(A$1,,,SUMPRODUCT(MAX(ROW(E$2:E345)*(E345=E$2:E345)))))-COUNTBLANK(OFFSET(A$1,,,SUMPRODUCT(MAX(ROW(E$1:E344)*(E2=E$1:E344))))))</f>
        <v/>
      </c>
      <c r="K345" s="25" t="str">
        <f>IF(OR(E345="",E345="!!!",F345="NEW"),"",INDEX(J$1:J344,SUMPRODUCT(MAX(ROW(E$1:E344)*(E345=E$1:E344)))))</f>
        <v/>
      </c>
      <c r="L345" s="26"/>
    </row>
    <row r="346" spans="1:12" x14ac:dyDescent="0.3">
      <c r="A346" t="s">
        <v>148</v>
      </c>
      <c r="E346" s="21" t="str">
        <f t="shared" si="38"/>
        <v/>
      </c>
      <c r="F346" s="22" t="str">
        <f>IF(OR(E346="",E346="!!!"),"",IF(NOT(ISNA(VLOOKUP(E346,E$1:E345,1,FALSE()))),"OLD",IF(AND(E346&lt;&gt;"",E346&lt;&gt;"!!!"),"NEW","")))</f>
        <v/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/>
      </c>
      <c r="H346" s="24" t="str">
        <f t="shared" ca="1" si="39"/>
        <v/>
      </c>
      <c r="I346" s="25" t="str">
        <f>IF(OR(E346="",E346="!!!",F346="NEW"),"",INDEX(B$2:B345,-1+SUMPRODUCT(MAX(ROW(E$2:E345)*(E346=E$2:E345)))))</f>
        <v/>
      </c>
      <c r="J346" s="25" t="str">
        <f ca="1">IF(OR(E346="",E346="!!!",F346="NEW"),"",COUNTBLANK(OFFSET(A$1,,,SUMPRODUCT(MAX(ROW(E$2:E346)*(E346=E$2:E346)))))-COUNTBLANK(OFFSET(A$1,,,SUMPRODUCT(MAX(ROW(E$1:E345)*(E2=E$1:E345))))))</f>
        <v/>
      </c>
      <c r="K346" s="25" t="str">
        <f>IF(OR(E346="",E346="!!!",F346="NEW"),"",INDEX(J$1:J345,SUMPRODUCT(MAX(ROW(E$1:E345)*(E346=E$1:E345)))))</f>
        <v/>
      </c>
      <c r="L346" s="26"/>
    </row>
    <row r="348" spans="1:12" x14ac:dyDescent="0.3">
      <c r="A348" t="s">
        <v>184</v>
      </c>
      <c r="E348" s="21" t="str">
        <f>IF(D348="?OLD","!!!","")</f>
        <v/>
      </c>
      <c r="F348" s="22" t="str">
        <f>IF(OR(E348="",E348="!!!"),"",IF(NOT(ISNA(VLOOKUP(E348,E$1:E347,1,FALSE()))),"OLD",IF(AND(E348&lt;&gt;"",E348&lt;&gt;"!!!"),"NEW","")))</f>
        <v/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/>
      </c>
      <c r="H348" s="24" t="str">
        <f ca="1">IF(J348&lt;&gt;1,"",IF(I348="SBJ","CB","?"))</f>
        <v/>
      </c>
      <c r="I348" s="25" t="str">
        <f>IF(OR(E348="",E348="!!!",F348="NEW"),"",INDEX(B$2:B347,-1+SUMPRODUCT(MAX(ROW(E$2:E347)*(E348=E$2:E347)))))</f>
        <v/>
      </c>
      <c r="J348" s="25" t="str">
        <f ca="1">IF(OR(E348="",E348="!!!",F348="NEW"),"",COUNTBLANK(OFFSET(A$1,,,SUMPRODUCT(MAX(ROW(E$2:E348)*(E348=E$2:E348)))))-COUNTBLANK(OFFSET(A$1,,,SUMPRODUCT(MAX(ROW(E$1:E347)*(E2=E$1:E347))))))</f>
        <v/>
      </c>
      <c r="K348" s="25" t="str">
        <f>IF(OR(E348="",E348="!!!",F348="NEW"),"",INDEX(J$1:J347,SUMPRODUCT(MAX(ROW(E$1:E347)*(E348=E$1:E347)))))</f>
        <v/>
      </c>
      <c r="L348" s="26"/>
    </row>
    <row r="349" spans="1:12" x14ac:dyDescent="0.3">
      <c r="A349" t="s">
        <v>352</v>
      </c>
    </row>
    <row r="350" spans="1:12" x14ac:dyDescent="0.3">
      <c r="A350" t="s">
        <v>353</v>
      </c>
      <c r="E350" s="21" t="str">
        <f t="shared" ref="E350:E375" si="40">IF(D350="?OLD","!!!","")</f>
        <v/>
      </c>
      <c r="F350" s="22" t="str">
        <f>IF(OR(E350="",E350="!!!"),"",IF(NOT(ISNA(VLOOKUP(E350,E$1:E349,1,FALSE()))),"OLD",IF(AND(E350&lt;&gt;"",E350&lt;&gt;"!!!"),"NEW","")))</f>
        <v/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/>
      </c>
      <c r="H350" s="24" t="str">
        <f t="shared" ref="H350:H375" ca="1" si="41">IF(J350&lt;&gt;1,"",IF(I350="SBJ","CB","?"))</f>
        <v/>
      </c>
      <c r="I350" s="25" t="str">
        <f>IF(OR(E350="",E350="!!!",F350="NEW"),"",INDEX(B$2:B349,-1+SUMPRODUCT(MAX(ROW(E$2:E349)*(E350=E$2:E349)))))</f>
        <v/>
      </c>
      <c r="J350" s="25" t="str">
        <f ca="1">IF(OR(E350="",E350="!!!",F350="NEW"),"",COUNTBLANK(OFFSET(A$1,,,SUMPRODUCT(MAX(ROW(E$2:E350)*(E350=E$2:E350)))))-COUNTBLANK(OFFSET(A$1,,,SUMPRODUCT(MAX(ROW(E$1:E349)*(E2=E$1:E349))))))</f>
        <v/>
      </c>
      <c r="K350" s="25" t="str">
        <f>IF(OR(E350="",E350="!!!",F350="NEW"),"",INDEX(J$1:J349,SUMPRODUCT(MAX(ROW(E$1:E349)*(E350=E$1:E349)))))</f>
        <v/>
      </c>
      <c r="L350" s="26"/>
    </row>
    <row r="351" spans="1:12" x14ac:dyDescent="0.3">
      <c r="A351" t="s">
        <v>60</v>
      </c>
      <c r="E351" s="21" t="str">
        <f t="shared" si="40"/>
        <v/>
      </c>
      <c r="F351" s="22" t="str">
        <f>IF(OR(E351="",E351="!!!"),"",IF(NOT(ISNA(VLOOKUP(E351,E$1:E350,1,FALSE()))),"OLD",IF(AND(E351&lt;&gt;"",E351&lt;&gt;"!!!"),"NEW","")))</f>
        <v/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/>
      </c>
      <c r="H351" s="24" t="str">
        <f t="shared" ca="1" si="41"/>
        <v/>
      </c>
      <c r="I351" s="25" t="str">
        <f>IF(OR(E351="",E351="!!!",F351="NEW"),"",INDEX(B$2:B350,-1+SUMPRODUCT(MAX(ROW(E$2:E350)*(E351=E$2:E350)))))</f>
        <v/>
      </c>
      <c r="J351" s="25" t="str">
        <f ca="1">IF(OR(E351="",E351="!!!",F351="NEW"),"",COUNTBLANK(OFFSET(A$1,,,SUMPRODUCT(MAX(ROW(E$2:E351)*(E351=E$2:E351)))))-COUNTBLANK(OFFSET(A$1,,,SUMPRODUCT(MAX(ROW(E$1:E350)*(E2=E$1:E350))))))</f>
        <v/>
      </c>
      <c r="K351" s="25" t="str">
        <f>IF(OR(E351="",E351="!!!",F351="NEW"),"",INDEX(J$1:J350,SUMPRODUCT(MAX(ROW(E$1:E350)*(E351=E$1:E350)))))</f>
        <v/>
      </c>
      <c r="L351" s="26"/>
    </row>
    <row r="352" spans="1:12" x14ac:dyDescent="0.3">
      <c r="A352" t="s">
        <v>354</v>
      </c>
      <c r="E352" s="21" t="str">
        <f t="shared" si="40"/>
        <v/>
      </c>
      <c r="F352" s="22" t="str">
        <f>IF(OR(E352="",E352="!!!"),"",IF(NOT(ISNA(VLOOKUP(E352,E$1:E351,1,FALSE()))),"OLD",IF(AND(E352&lt;&gt;"",E352&lt;&gt;"!!!"),"NEW","")))</f>
        <v/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/>
      </c>
      <c r="H352" s="24" t="str">
        <f t="shared" ca="1" si="41"/>
        <v/>
      </c>
      <c r="I352" s="25" t="str">
        <f>IF(OR(E352="",E352="!!!",F352="NEW"),"",INDEX(B$2:B351,-1+SUMPRODUCT(MAX(ROW(E$2:E351)*(E352=E$2:E351)))))</f>
        <v/>
      </c>
      <c r="J352" s="25" t="str">
        <f ca="1">IF(OR(E352="",E352="!!!",F352="NEW"),"",COUNTBLANK(OFFSET(A$1,,,SUMPRODUCT(MAX(ROW(E$2:E352)*(E352=E$2:E352)))))-COUNTBLANK(OFFSET(A$1,,,SUMPRODUCT(MAX(ROW(E$1:E351)*(E2=E$1:E351))))))</f>
        <v/>
      </c>
      <c r="K352" s="25" t="str">
        <f>IF(OR(E352="",E352="!!!",F352="NEW"),"",INDEX(J$1:J351,SUMPRODUCT(MAX(ROW(E$1:E351)*(E352=E$1:E351)))))</f>
        <v/>
      </c>
      <c r="L352" s="26"/>
    </row>
    <row r="353" spans="1:12" x14ac:dyDescent="0.3">
      <c r="A353" t="s">
        <v>355</v>
      </c>
      <c r="E353" s="21" t="str">
        <f t="shared" si="40"/>
        <v/>
      </c>
      <c r="F353" s="22" t="str">
        <f>IF(OR(E353="",E353="!!!"),"",IF(NOT(ISNA(VLOOKUP(E353,E$1:E352,1,FALSE()))),"OLD",IF(AND(E353&lt;&gt;"",E353&lt;&gt;"!!!"),"NEW","")))</f>
        <v/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/>
      </c>
      <c r="H353" s="24" t="str">
        <f t="shared" ca="1" si="41"/>
        <v/>
      </c>
      <c r="I353" s="25" t="str">
        <f>IF(OR(E353="",E353="!!!",F353="NEW"),"",INDEX(B$2:B352,-1+SUMPRODUCT(MAX(ROW(E$2:E352)*(E353=E$2:E352)))))</f>
        <v/>
      </c>
      <c r="J353" s="25" t="str">
        <f ca="1">IF(OR(E353="",E353="!!!",F353="NEW"),"",COUNTBLANK(OFFSET(A$1,,,SUMPRODUCT(MAX(ROW(E$2:E353)*(E353=E$2:E353)))))-COUNTBLANK(OFFSET(A$1,,,SUMPRODUCT(MAX(ROW(E$1:E352)*(E2=E$1:E352))))))</f>
        <v/>
      </c>
      <c r="K353" s="25" t="str">
        <f>IF(OR(E353="",E353="!!!",F353="NEW"),"",INDEX(J$1:J352,SUMPRODUCT(MAX(ROW(E$1:E352)*(E353=E$1:E352)))))</f>
        <v/>
      </c>
      <c r="L353" s="26"/>
    </row>
    <row r="354" spans="1:12" x14ac:dyDescent="0.3">
      <c r="A354" t="s">
        <v>356</v>
      </c>
      <c r="B354" s="20" t="s">
        <v>152</v>
      </c>
      <c r="C354" s="20" t="s">
        <v>165</v>
      </c>
      <c r="E354" s="21" t="s">
        <v>494</v>
      </c>
      <c r="F354" s="22" t="str">
        <f>IF(OR(E354="",E354="!!!"),"",IF(NOT(ISNA(VLOOKUP(E354,E$1:E353,1,FALSE()))),"OLD",IF(AND(E354&lt;&gt;"",E354&lt;&gt;"!!!"),"NEW","")))</f>
        <v>NEW</v>
      </c>
      <c r="G354" s="23" t="str">
        <f ca="1"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?REFERENTIAL</v>
      </c>
      <c r="H354" s="24" t="str">
        <f t="shared" ca="1" si="41"/>
        <v/>
      </c>
      <c r="I354" s="25" t="str">
        <f>IF(OR(E354="",E354="!!!",F354="NEW"),"",INDEX(B$2:B353,-1+SUMPRODUCT(MAX(ROW(E$2:E353)*(E354=E$2:E353)))))</f>
        <v/>
      </c>
      <c r="J354" s="25" t="str">
        <f ca="1">IF(OR(E354="",E354="!!!",F354="NEW"),"",COUNTBLANK(OFFSET(A$1,,,SUMPRODUCT(MAX(ROW(E$2:E354)*(E354=E$2:E354)))))-COUNTBLANK(OFFSET(A$1,,,SUMPRODUCT(MAX(ROW(E$1:E353)*(E2=E$1:E353))))))</f>
        <v/>
      </c>
      <c r="K354" s="25" t="str">
        <f>IF(OR(E354="",E354="!!!",F354="NEW"),"",INDEX(J$1:J353,SUMPRODUCT(MAX(ROW(E$1:E353)*(E354=E$1:E353)))))</f>
        <v/>
      </c>
      <c r="L354" s="26" t="s">
        <v>493</v>
      </c>
    </row>
    <row r="355" spans="1:12" x14ac:dyDescent="0.3">
      <c r="A355" t="s">
        <v>357</v>
      </c>
      <c r="B355" s="20" t="s">
        <v>152</v>
      </c>
      <c r="C355" s="20" t="s">
        <v>243</v>
      </c>
      <c r="D355" s="20" t="s">
        <v>131</v>
      </c>
      <c r="E355" s="21"/>
      <c r="F355" s="22" t="str">
        <f>IF(OR(E355="",E355="!!!"),"",IF(NOT(ISNA(VLOOKUP(E355,E$1:E354,1,FALSE()))),"OLD",IF(AND(E355&lt;&gt;"",E355&lt;&gt;"!!!"),"NEW","")))</f>
        <v/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/>
      </c>
      <c r="H355" s="24" t="str">
        <f t="shared" ca="1" si="41"/>
        <v/>
      </c>
      <c r="I355" s="25" t="str">
        <f>IF(OR(E355="",E355="!!!",F355="NEW"),"",INDEX(B$2:B354,-1+SUMPRODUCT(MAX(ROW(E$2:E354)*(E355=E$2:E354)))))</f>
        <v/>
      </c>
      <c r="J355" s="25" t="str">
        <f ca="1">IF(OR(E355="",E355="!!!",F355="NEW"),"",COUNTBLANK(OFFSET(A$1,,,SUMPRODUCT(MAX(ROW(E$2:E355)*(E355=E$2:E355)))))-COUNTBLANK(OFFSET(A$1,,,SUMPRODUCT(MAX(ROW(E$1:E354)*(E2=E$1:E354))))))</f>
        <v/>
      </c>
      <c r="K355" s="25" t="str">
        <f>IF(OR(E355="",E355="!!!",F355="NEW"),"",INDEX(J$1:J354,SUMPRODUCT(MAX(ROW(E$1:E354)*(E355=E$1:E354)))))</f>
        <v/>
      </c>
      <c r="L355" s="26" t="s">
        <v>452</v>
      </c>
    </row>
    <row r="356" spans="1:12" x14ac:dyDescent="0.3">
      <c r="A356" t="s">
        <v>248</v>
      </c>
      <c r="E356" s="21" t="str">
        <f t="shared" si="40"/>
        <v/>
      </c>
      <c r="F356" s="22" t="str">
        <f>IF(OR(E356="",E356="!!!"),"",IF(NOT(ISNA(VLOOKUP(E356,E$1:E355,1,FALSE()))),"OLD",IF(AND(E356&lt;&gt;"",E356&lt;&gt;"!!!"),"NEW","")))</f>
        <v/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/>
      </c>
      <c r="H356" s="24" t="str">
        <f t="shared" ca="1" si="41"/>
        <v/>
      </c>
      <c r="I356" s="25" t="str">
        <f>IF(OR(E356="",E356="!!!",F356="NEW"),"",INDEX(B$2:B355,-1+SUMPRODUCT(MAX(ROW(E$2:E355)*(E356=E$2:E355)))))</f>
        <v/>
      </c>
      <c r="J356" s="25" t="str">
        <f ca="1">IF(OR(E356="",E356="!!!",F356="NEW"),"",COUNTBLANK(OFFSET(A$1,,,SUMPRODUCT(MAX(ROW(E$2:E356)*(E356=E$2:E356)))))-COUNTBLANK(OFFSET(A$1,,,SUMPRODUCT(MAX(ROW(E$1:E355)*(E2=E$1:E355))))))</f>
        <v/>
      </c>
      <c r="K356" s="25" t="str">
        <f>IF(OR(E356="",E356="!!!",F356="NEW"),"",INDEX(J$1:J355,SUMPRODUCT(MAX(ROW(E$1:E355)*(E356=E$1:E355)))))</f>
        <v/>
      </c>
      <c r="L356" s="26"/>
    </row>
    <row r="357" spans="1:12" x14ac:dyDescent="0.3">
      <c r="A357" t="s">
        <v>358</v>
      </c>
      <c r="E357" s="21" t="str">
        <f t="shared" si="40"/>
        <v/>
      </c>
      <c r="F357" s="22" t="str">
        <f>IF(OR(E357="",E357="!!!"),"",IF(NOT(ISNA(VLOOKUP(E357,E$1:E356,1,FALSE()))),"OLD",IF(AND(E357&lt;&gt;"",E357&lt;&gt;"!!!"),"NEW","")))</f>
        <v/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/>
      </c>
      <c r="H357" s="24" t="str">
        <f t="shared" ca="1" si="41"/>
        <v/>
      </c>
      <c r="I357" s="25" t="str">
        <f>IF(OR(E357="",E357="!!!",F357="NEW"),"",INDEX(B$2:B356,-1+SUMPRODUCT(MAX(ROW(E$2:E356)*(E357=E$2:E356)))))</f>
        <v/>
      </c>
      <c r="J357" s="25" t="str">
        <f ca="1">IF(OR(E357="",E357="!!!",F357="NEW"),"",COUNTBLANK(OFFSET(A$1,,,SUMPRODUCT(MAX(ROW(E$2:E357)*(E357=E$2:E357)))))-COUNTBLANK(OFFSET(A$1,,,SUMPRODUCT(MAX(ROW(E$1:E356)*(E2=E$1:E356))))))</f>
        <v/>
      </c>
      <c r="K357" s="25" t="str">
        <f>IF(OR(E357="",E357="!!!",F357="NEW"),"",INDEX(J$1:J356,SUMPRODUCT(MAX(ROW(E$1:E356)*(E357=E$1:E356)))))</f>
        <v/>
      </c>
      <c r="L357" s="26"/>
    </row>
    <row r="358" spans="1:12" x14ac:dyDescent="0.3">
      <c r="A358" t="s">
        <v>359</v>
      </c>
      <c r="B358" s="20" t="s">
        <v>145</v>
      </c>
      <c r="C358" s="20" t="s">
        <v>130</v>
      </c>
      <c r="D358" s="20" t="s">
        <v>131</v>
      </c>
      <c r="E358" s="21" t="s">
        <v>437</v>
      </c>
      <c r="F358" s="22" t="str">
        <f>IF(OR(E358="",E358="!!!"),"",IF(NOT(ISNA(VLOOKUP(E358,E$1:E357,1,FALSE()))),"OLD",IF(AND(E358&lt;&gt;"",E358&lt;&gt;"!!!"),"NEW","")))</f>
        <v>NEW</v>
      </c>
      <c r="G358" s="23" t="str">
        <f ca="1"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?REFERENTIAL</v>
      </c>
      <c r="H358" s="24" t="str">
        <f t="shared" ca="1" si="41"/>
        <v/>
      </c>
      <c r="I358" s="25" t="str">
        <f>IF(OR(E358="",E358="!!!",F358="NEW"),"",INDEX(B$2:B357,-1+SUMPRODUCT(MAX(ROW(E$2:E357)*(E358=E$2:E357)))))</f>
        <v/>
      </c>
      <c r="J358" s="25" t="str">
        <f ca="1">IF(OR(E358="",E358="!!!",F358="NEW"),"",COUNTBLANK(OFFSET(A$1,,,SUMPRODUCT(MAX(ROW(E$2:E358)*(E358=E$2:E358)))))-COUNTBLANK(OFFSET(A$1,,,SUMPRODUCT(MAX(ROW(E$1:E357)*(E2=E$1:E357))))))</f>
        <v/>
      </c>
      <c r="K358" s="25" t="str">
        <f>IF(OR(E358="",E358="!!!",F358="NEW"),"",INDEX(J$1:J357,SUMPRODUCT(MAX(ROW(E$1:E357)*(E358=E$1:E357)))))</f>
        <v/>
      </c>
      <c r="L358" s="26" t="s">
        <v>438</v>
      </c>
    </row>
    <row r="359" spans="1:12" x14ac:dyDescent="0.3">
      <c r="A359" t="s">
        <v>12</v>
      </c>
      <c r="E359" s="21" t="str">
        <f t="shared" si="40"/>
        <v/>
      </c>
      <c r="F359" s="22" t="str">
        <f>IF(OR(E359="",E359="!!!"),"",IF(NOT(ISNA(VLOOKUP(E359,E$1:E358,1,FALSE()))),"OLD",IF(AND(E359&lt;&gt;"",E359&lt;&gt;"!!!"),"NEW","")))</f>
        <v/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/>
      </c>
      <c r="H359" s="24" t="str">
        <f t="shared" ca="1" si="41"/>
        <v/>
      </c>
      <c r="I359" s="25" t="str">
        <f>IF(OR(E359="",E359="!!!",F359="NEW"),"",INDEX(B$2:B358,-1+SUMPRODUCT(MAX(ROW(E$2:E358)*(E359=E$2:E358)))))</f>
        <v/>
      </c>
      <c r="J359" s="25" t="str">
        <f ca="1">IF(OR(E359="",E359="!!!",F359="NEW"),"",COUNTBLANK(OFFSET(A$1,,,SUMPRODUCT(MAX(ROW(E$2:E359)*(E359=E$2:E359)))))-COUNTBLANK(OFFSET(A$1,,,SUMPRODUCT(MAX(ROW(E$1:E358)*(E2=E$1:E358))))))</f>
        <v/>
      </c>
      <c r="K359" s="25" t="str">
        <f>IF(OR(E359="",E359="!!!",F359="NEW"),"",INDEX(J$1:J358,SUMPRODUCT(MAX(ROW(E$1:E358)*(E359=E$1:E358)))))</f>
        <v/>
      </c>
      <c r="L359" s="26"/>
    </row>
    <row r="360" spans="1:12" x14ac:dyDescent="0.3">
      <c r="A360" t="s">
        <v>360</v>
      </c>
      <c r="E360" s="21" t="s">
        <v>424</v>
      </c>
      <c r="F360" s="22" t="str">
        <f>IF(OR(E360="",E360="!!!"),"",IF(NOT(ISNA(VLOOKUP(E360,E$1:E359,1,FALSE()))),"OLD",IF(AND(E360&lt;&gt;"",E360&lt;&gt;"!!!"),"NEW","")))</f>
        <v>OLD</v>
      </c>
      <c r="G360" s="23" t="str">
        <f ca="1"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?IN_FOCUS</v>
      </c>
      <c r="H360" s="24" t="str">
        <f t="shared" ca="1" si="41"/>
        <v/>
      </c>
      <c r="I360" s="25" t="str">
        <f>IF(OR(E360="",E360="!!!",F360="NEW"),"",INDEX(B$2:B359,-1+SUMPRODUCT(MAX(ROW(E$2:E359)*(E360=E$2:E359)))))</f>
        <v>SBJ</v>
      </c>
      <c r="J360" s="25">
        <f ca="1">IF(OR(E360="",E360="!!!",F360="NEW"),"",COUNTBLANK(OFFSET(A$1,,,SUMPRODUCT(MAX(ROW(E$2:E360)*(E360=E$2:E360)))))-COUNTBLANK(OFFSET(A$1,,,SUMPRODUCT(MAX(ROW(E$1:E359)*(E2=E$1:E359))))))</f>
        <v>0</v>
      </c>
      <c r="K360" s="25">
        <f ca="1">IF(OR(E360="",E360="!!!",F360="NEW"),"",INDEX(J$1:J359,SUMPRODUCT(MAX(ROW(E$1:E359)*(E360=E$1:E359)))))</f>
        <v>0</v>
      </c>
      <c r="L360" s="26" t="s">
        <v>439</v>
      </c>
    </row>
    <row r="361" spans="1:12" x14ac:dyDescent="0.3">
      <c r="A361" t="s">
        <v>171</v>
      </c>
      <c r="E361" s="21" t="str">
        <f t="shared" si="40"/>
        <v/>
      </c>
      <c r="F361" s="22" t="str">
        <f>IF(OR(E361="",E361="!!!"),"",IF(NOT(ISNA(VLOOKUP(E361,E$1:E360,1,FALSE()))),"OLD",IF(AND(E361&lt;&gt;"",E361&lt;&gt;"!!!"),"NEW","")))</f>
        <v/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/>
      </c>
      <c r="H361" s="24" t="str">
        <f t="shared" ca="1" si="41"/>
        <v/>
      </c>
      <c r="I361" s="25" t="str">
        <f>IF(OR(E361="",E361="!!!",F361="NEW"),"",INDEX(B$2:B360,-1+SUMPRODUCT(MAX(ROW(E$2:E360)*(E361=E$2:E360)))))</f>
        <v/>
      </c>
      <c r="J361" s="25" t="str">
        <f ca="1">IF(OR(E361="",E361="!!!",F361="NEW"),"",COUNTBLANK(OFFSET(A$1,,,SUMPRODUCT(MAX(ROW(E$2:E361)*(E361=E$2:E361)))))-COUNTBLANK(OFFSET(A$1,,,SUMPRODUCT(MAX(ROW(E$1:E360)*(E2=E$1:E360))))))</f>
        <v/>
      </c>
      <c r="K361" s="25" t="str">
        <f>IF(OR(E361="",E361="!!!",F361="NEW"),"",INDEX(J$1:J360,SUMPRODUCT(MAX(ROW(E$1:E360)*(E361=E$1:E360)))))</f>
        <v/>
      </c>
      <c r="L361" s="26"/>
    </row>
    <row r="362" spans="1:12" x14ac:dyDescent="0.3">
      <c r="A362" t="s">
        <v>143</v>
      </c>
      <c r="E362" s="21" t="str">
        <f t="shared" si="40"/>
        <v/>
      </c>
      <c r="F362" s="22" t="str">
        <f>IF(OR(E362="",E362="!!!"),"",IF(NOT(ISNA(VLOOKUP(E362,E$1:E361,1,FALSE()))),"OLD",IF(AND(E362&lt;&gt;"",E362&lt;&gt;"!!!"),"NEW","")))</f>
        <v/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/>
      </c>
      <c r="H362" s="24" t="str">
        <f t="shared" ca="1" si="41"/>
        <v/>
      </c>
      <c r="I362" s="25" t="str">
        <f>IF(OR(E362="",E362="!!!",F362="NEW"),"",INDEX(B$2:B361,-1+SUMPRODUCT(MAX(ROW(E$2:E361)*(E362=E$2:E361)))))</f>
        <v/>
      </c>
      <c r="J362" s="25" t="str">
        <f ca="1">IF(OR(E362="",E362="!!!",F362="NEW"),"",COUNTBLANK(OFFSET(A$1,,,SUMPRODUCT(MAX(ROW(E$2:E362)*(E362=E$2:E362)))))-COUNTBLANK(OFFSET(A$1,,,SUMPRODUCT(MAX(ROW(E$1:E361)*(E2=E$1:E361))))))</f>
        <v/>
      </c>
      <c r="K362" s="25" t="str">
        <f>IF(OR(E362="",E362="!!!",F362="NEW"),"",INDEX(J$1:J361,SUMPRODUCT(MAX(ROW(E$1:E361)*(E362=E$1:E361)))))</f>
        <v/>
      </c>
      <c r="L362" s="26"/>
    </row>
    <row r="363" spans="1:12" x14ac:dyDescent="0.3">
      <c r="A363" t="s">
        <v>240</v>
      </c>
      <c r="B363" s="20" t="s">
        <v>158</v>
      </c>
      <c r="C363" s="20" t="s">
        <v>130</v>
      </c>
      <c r="D363" s="20" t="s">
        <v>131</v>
      </c>
      <c r="E363" s="21" t="s">
        <v>469</v>
      </c>
      <c r="F363" s="22" t="s">
        <v>470</v>
      </c>
      <c r="G363" s="23" t="str">
        <f ca="1"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?IN_FOCUS</v>
      </c>
      <c r="H363" s="24" t="str">
        <f t="shared" ca="1" si="41"/>
        <v/>
      </c>
      <c r="I363" s="25" t="str">
        <f>IF(OR(E363="",E363="!!!",F363="NEW"),"",INDEX(B$2:B362,-1+SUMPRODUCT(MAX(ROW(E$2:E362)*(E363=E$2:E362)))))</f>
        <v>other</v>
      </c>
      <c r="J363" s="25">
        <f ca="1">IF(OR(E363="",E363="!!!",F363="NEW"),"",COUNTBLANK(OFFSET(A$1,,,SUMPRODUCT(MAX(ROW(E$2:E363)*(E363=E$2:E363)))))-COUNTBLANK(OFFSET(A$1,,,SUMPRODUCT(MAX(ROW(E$1:E362)*(E2=E$1:E362))))))</f>
        <v>0</v>
      </c>
      <c r="K363" s="25">
        <f ca="1">IF(OR(E363="",E363="!!!",F363="NEW"),"",INDEX(J$1:J362,SUMPRODUCT(MAX(ROW(E$1:E362)*(E363=E$1:E362)))))</f>
        <v>0</v>
      </c>
      <c r="L363" s="26"/>
    </row>
    <row r="364" spans="1:12" x14ac:dyDescent="0.3">
      <c r="A364" t="s">
        <v>156</v>
      </c>
      <c r="E364" s="21" t="str">
        <f t="shared" si="40"/>
        <v/>
      </c>
      <c r="F364" s="22" t="str">
        <f>IF(OR(E364="",E364="!!!"),"",IF(NOT(ISNA(VLOOKUP(E364,E$1:E363,1,FALSE()))),"OLD",IF(AND(E364&lt;&gt;"",E364&lt;&gt;"!!!"),"NEW","")))</f>
        <v/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/>
      </c>
      <c r="H364" s="24" t="str">
        <f t="shared" ca="1" si="41"/>
        <v/>
      </c>
      <c r="I364" s="25" t="str">
        <f>IF(OR(E364="",E364="!!!",F364="NEW"),"",INDEX(B$2:B363,-1+SUMPRODUCT(MAX(ROW(E$2:E363)*(E364=E$2:E363)))))</f>
        <v/>
      </c>
      <c r="J364" s="25" t="str">
        <f ca="1">IF(OR(E364="",E364="!!!",F364="NEW"),"",COUNTBLANK(OFFSET(A$1,,,SUMPRODUCT(MAX(ROW(E$2:E364)*(E364=E$2:E364)))))-COUNTBLANK(OFFSET(A$1,,,SUMPRODUCT(MAX(ROW(E$1:E363)*(E2=E$1:E363))))))</f>
        <v/>
      </c>
      <c r="K364" s="25" t="str">
        <f>IF(OR(E364="",E364="!!!",F364="NEW"),"",INDEX(J$1:J363,SUMPRODUCT(MAX(ROW(E$1:E363)*(E364=E$1:E363)))))</f>
        <v/>
      </c>
      <c r="L364" s="26"/>
    </row>
    <row r="365" spans="1:12" x14ac:dyDescent="0.3">
      <c r="A365" t="s">
        <v>134</v>
      </c>
      <c r="E365" s="21" t="str">
        <f t="shared" si="40"/>
        <v/>
      </c>
      <c r="F365" s="22" t="str">
        <f>IF(OR(E365="",E365="!!!"),"",IF(NOT(ISNA(VLOOKUP(E365,E$1:E364,1,FALSE()))),"OLD",IF(AND(E365&lt;&gt;"",E365&lt;&gt;"!!!"),"NEW","")))</f>
        <v/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/>
      </c>
      <c r="H365" s="24" t="str">
        <f t="shared" ca="1" si="41"/>
        <v/>
      </c>
      <c r="I365" s="25" t="str">
        <f>IF(OR(E365="",E365="!!!",F365="NEW"),"",INDEX(B$2:B364,-1+SUMPRODUCT(MAX(ROW(E$2:E364)*(E365=E$2:E364)))))</f>
        <v/>
      </c>
      <c r="J365" s="25" t="str">
        <f ca="1">IF(OR(E365="",E365="!!!",F365="NEW"),"",COUNTBLANK(OFFSET(A$1,,,SUMPRODUCT(MAX(ROW(E$2:E365)*(E365=E$2:E365)))))-COUNTBLANK(OFFSET(A$1,,,SUMPRODUCT(MAX(ROW(E$1:E364)*(E2=E$1:E364))))))</f>
        <v/>
      </c>
      <c r="K365" s="25" t="str">
        <f>IF(OR(E365="",E365="!!!",F365="NEW"),"",INDEX(J$1:J364,SUMPRODUCT(MAX(ROW(E$1:E364)*(E365=E$1:E364)))))</f>
        <v/>
      </c>
      <c r="L365" s="26"/>
    </row>
    <row r="366" spans="1:12" x14ac:dyDescent="0.3">
      <c r="A366" t="s">
        <v>187</v>
      </c>
      <c r="E366" s="21" t="str">
        <f t="shared" si="40"/>
        <v/>
      </c>
      <c r="F366" s="22" t="str">
        <f>IF(OR(E366="",E366="!!!"),"",IF(NOT(ISNA(VLOOKUP(E366,E$1:E365,1,FALSE()))),"OLD",IF(AND(E366&lt;&gt;"",E366&lt;&gt;"!!!"),"NEW","")))</f>
        <v/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/>
      </c>
      <c r="H366" s="24" t="str">
        <f t="shared" ca="1" si="41"/>
        <v/>
      </c>
      <c r="I366" s="25" t="str">
        <f>IF(OR(E366="",E366="!!!",F366="NEW"),"",INDEX(B$2:B365,-1+SUMPRODUCT(MAX(ROW(E$2:E365)*(E366=E$2:E365)))))</f>
        <v/>
      </c>
      <c r="J366" s="25" t="str">
        <f ca="1">IF(OR(E366="",E366="!!!",F366="NEW"),"",COUNTBLANK(OFFSET(A$1,,,SUMPRODUCT(MAX(ROW(E$2:E366)*(E366=E$2:E366)))))-COUNTBLANK(OFFSET(A$1,,,SUMPRODUCT(MAX(ROW(E$1:E365)*(E2=E$1:E365))))))</f>
        <v/>
      </c>
      <c r="K366" s="25" t="str">
        <f>IF(OR(E366="",E366="!!!",F366="NEW"),"",INDEX(J$1:J365,SUMPRODUCT(MAX(ROW(E$1:E365)*(E366=E$1:E365)))))</f>
        <v/>
      </c>
      <c r="L366" s="26"/>
    </row>
    <row r="367" spans="1:12" x14ac:dyDescent="0.3">
      <c r="A367" t="s">
        <v>361</v>
      </c>
      <c r="B367" s="20" t="s">
        <v>152</v>
      </c>
      <c r="C367" s="20" t="s">
        <v>130</v>
      </c>
      <c r="D367" s="20" t="s">
        <v>131</v>
      </c>
      <c r="E367" s="21" t="s">
        <v>472</v>
      </c>
      <c r="F367" s="22" t="str">
        <f>IF(OR(E367="",E367="!!!"),"",IF(NOT(ISNA(VLOOKUP(E367,E$1:E366,1,FALSE()))),"OLD",IF(AND(E367&lt;&gt;"",E367&lt;&gt;"!!!"),"NEW","")))</f>
        <v>NEW</v>
      </c>
      <c r="G367" s="23" t="str">
        <f ca="1"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?REFERENTIAL</v>
      </c>
      <c r="H367" s="24" t="str">
        <f t="shared" ca="1" si="41"/>
        <v/>
      </c>
      <c r="I367" s="25" t="str">
        <f>IF(OR(E367="",E367="!!!",F367="NEW"),"",INDEX(B$2:B366,-1+SUMPRODUCT(MAX(ROW(E$2:E366)*(E367=E$2:E366)))))</f>
        <v/>
      </c>
      <c r="J367" s="25" t="str">
        <f ca="1">IF(OR(E367="",E367="!!!",F367="NEW"),"",COUNTBLANK(OFFSET(A$1,,,SUMPRODUCT(MAX(ROW(E$2:E367)*(E367=E$2:E367)))))-COUNTBLANK(OFFSET(A$1,,,SUMPRODUCT(MAX(ROW(E$1:E366)*(E2=E$1:E366))))))</f>
        <v/>
      </c>
      <c r="K367" s="25" t="str">
        <f>IF(OR(E367="",E367="!!!",F367="NEW"),"",INDEX(J$1:J366,SUMPRODUCT(MAX(ROW(E$1:E366)*(E367=E$1:E366)))))</f>
        <v/>
      </c>
      <c r="L367" s="26"/>
    </row>
    <row r="368" spans="1:12" x14ac:dyDescent="0.3">
      <c r="A368" t="s">
        <v>301</v>
      </c>
      <c r="E368" s="21" t="str">
        <f t="shared" si="40"/>
        <v/>
      </c>
      <c r="F368" s="22" t="str">
        <f>IF(OR(E368="",E368="!!!"),"",IF(NOT(ISNA(VLOOKUP(E368,E$1:E367,1,FALSE()))),"OLD",IF(AND(E368&lt;&gt;"",E368&lt;&gt;"!!!"),"NEW","")))</f>
        <v/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/>
      </c>
      <c r="H368" s="24" t="str">
        <f t="shared" ca="1" si="41"/>
        <v/>
      </c>
      <c r="I368" s="25" t="str">
        <f>IF(OR(E368="",E368="!!!",F368="NEW"),"",INDEX(B$2:B367,-1+SUMPRODUCT(MAX(ROW(E$2:E367)*(E368=E$2:E367)))))</f>
        <v/>
      </c>
      <c r="J368" s="25" t="str">
        <f ca="1">IF(OR(E368="",E368="!!!",F368="NEW"),"",COUNTBLANK(OFFSET(A$1,,,SUMPRODUCT(MAX(ROW(E$2:E368)*(E368=E$2:E368)))))-COUNTBLANK(OFFSET(A$1,,,SUMPRODUCT(MAX(ROW(E$1:E367)*(E2=E$1:E367))))))</f>
        <v/>
      </c>
      <c r="K368" s="25" t="str">
        <f>IF(OR(E368="",E368="!!!",F368="NEW"),"",INDEX(J$1:J367,SUMPRODUCT(MAX(ROW(E$1:E367)*(E368=E$1:E367)))))</f>
        <v/>
      </c>
      <c r="L368" s="26"/>
    </row>
    <row r="369" spans="1:12" x14ac:dyDescent="0.3">
      <c r="A369" t="s">
        <v>362</v>
      </c>
      <c r="E369" s="21" t="str">
        <f t="shared" si="40"/>
        <v/>
      </c>
      <c r="F369" s="22" t="str">
        <f>IF(OR(E369="",E369="!!!"),"",IF(NOT(ISNA(VLOOKUP(E369,E$1:E368,1,FALSE()))),"OLD",IF(AND(E369&lt;&gt;"",E369&lt;&gt;"!!!"),"NEW","")))</f>
        <v/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/>
      </c>
      <c r="H369" s="24" t="str">
        <f t="shared" ca="1" si="41"/>
        <v/>
      </c>
      <c r="I369" s="25" t="str">
        <f>IF(OR(E369="",E369="!!!",F369="NEW"),"",INDEX(B$2:B368,-1+SUMPRODUCT(MAX(ROW(E$2:E368)*(E369=E$2:E368)))))</f>
        <v/>
      </c>
      <c r="J369" s="25" t="str">
        <f ca="1">IF(OR(E369="",E369="!!!",F369="NEW"),"",COUNTBLANK(OFFSET(A$1,,,SUMPRODUCT(MAX(ROW(E$2:E369)*(E369=E$2:E369)))))-COUNTBLANK(OFFSET(A$1,,,SUMPRODUCT(MAX(ROW(E$1:E368)*(E2=E$1:E368))))))</f>
        <v/>
      </c>
      <c r="K369" s="25" t="str">
        <f>IF(OR(E369="",E369="!!!",F369="NEW"),"",INDEX(J$1:J368,SUMPRODUCT(MAX(ROW(E$1:E368)*(E369=E$1:E368)))))</f>
        <v/>
      </c>
      <c r="L369" s="26"/>
    </row>
    <row r="370" spans="1:12" x14ac:dyDescent="0.3">
      <c r="A370" t="s">
        <v>259</v>
      </c>
      <c r="E370" s="21" t="str">
        <f t="shared" si="40"/>
        <v/>
      </c>
      <c r="F370" s="22" t="str">
        <f>IF(OR(E370="",E370="!!!"),"",IF(NOT(ISNA(VLOOKUP(E370,E$1:E369,1,FALSE()))),"OLD",IF(AND(E370&lt;&gt;"",E370&lt;&gt;"!!!"),"NEW","")))</f>
        <v/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/>
      </c>
      <c r="H370" s="24" t="str">
        <f t="shared" ca="1" si="41"/>
        <v/>
      </c>
      <c r="I370" s="25" t="str">
        <f>IF(OR(E370="",E370="!!!",F370="NEW"),"",INDEX(B$2:B369,-1+SUMPRODUCT(MAX(ROW(E$2:E369)*(E370=E$2:E369)))))</f>
        <v/>
      </c>
      <c r="J370" s="25" t="str">
        <f ca="1">IF(OR(E370="",E370="!!!",F370="NEW"),"",COUNTBLANK(OFFSET(A$1,,,SUMPRODUCT(MAX(ROW(E$2:E370)*(E370=E$2:E370)))))-COUNTBLANK(OFFSET(A$1,,,SUMPRODUCT(MAX(ROW(E$1:E369)*(E2=E$1:E369))))))</f>
        <v/>
      </c>
      <c r="K370" s="25" t="str">
        <f>IF(OR(E370="",E370="!!!",F370="NEW"),"",INDEX(J$1:J369,SUMPRODUCT(MAX(ROW(E$1:E369)*(E370=E$1:E369)))))</f>
        <v/>
      </c>
      <c r="L370" s="26"/>
    </row>
    <row r="371" spans="1:12" x14ac:dyDescent="0.3">
      <c r="A371" t="s">
        <v>363</v>
      </c>
      <c r="E371" s="21" t="str">
        <f t="shared" si="40"/>
        <v/>
      </c>
      <c r="F371" s="22" t="str">
        <f>IF(OR(E371="",E371="!!!"),"",IF(NOT(ISNA(VLOOKUP(E371,E$1:E370,1,FALSE()))),"OLD",IF(AND(E371&lt;&gt;"",E371&lt;&gt;"!!!"),"NEW","")))</f>
        <v/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/>
      </c>
      <c r="H371" s="24" t="str">
        <f t="shared" ca="1" si="41"/>
        <v/>
      </c>
      <c r="I371" s="25" t="str">
        <f>IF(OR(E371="",E371="!!!",F371="NEW"),"",INDEX(B$2:B370,-1+SUMPRODUCT(MAX(ROW(E$2:E370)*(E371=E$2:E370)))))</f>
        <v/>
      </c>
      <c r="J371" s="25" t="str">
        <f ca="1">IF(OR(E371="",E371="!!!",F371="NEW"),"",COUNTBLANK(OFFSET(A$1,,,SUMPRODUCT(MAX(ROW(E$2:E371)*(E371=E$2:E371)))))-COUNTBLANK(OFFSET(A$1,,,SUMPRODUCT(MAX(ROW(E$1:E370)*(E2=E$1:E370))))))</f>
        <v/>
      </c>
      <c r="K371" s="25" t="str">
        <f>IF(OR(E371="",E371="!!!",F371="NEW"),"",INDEX(J$1:J370,SUMPRODUCT(MAX(ROW(E$1:E370)*(E371=E$1:E370)))))</f>
        <v/>
      </c>
      <c r="L371" s="26"/>
    </row>
    <row r="372" spans="1:12" x14ac:dyDescent="0.3">
      <c r="A372" t="s">
        <v>364</v>
      </c>
      <c r="E372" s="21" t="str">
        <f t="shared" si="40"/>
        <v/>
      </c>
      <c r="F372" s="22" t="str">
        <f>IF(OR(E372="",E372="!!!"),"",IF(NOT(ISNA(VLOOKUP(E372,E$1:E371,1,FALSE()))),"OLD",IF(AND(E372&lt;&gt;"",E372&lt;&gt;"!!!"),"NEW","")))</f>
        <v/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/>
      </c>
      <c r="H372" s="24" t="str">
        <f t="shared" ca="1" si="41"/>
        <v/>
      </c>
      <c r="I372" s="25" t="str">
        <f>IF(OR(E372="",E372="!!!",F372="NEW"),"",INDEX(B$2:B371,-1+SUMPRODUCT(MAX(ROW(E$2:E371)*(E372=E$2:E371)))))</f>
        <v/>
      </c>
      <c r="J372" s="25" t="str">
        <f ca="1">IF(OR(E372="",E372="!!!",F372="NEW"),"",COUNTBLANK(OFFSET(A$1,,,SUMPRODUCT(MAX(ROW(E$2:E372)*(E372=E$2:E372)))))-COUNTBLANK(OFFSET(A$1,,,SUMPRODUCT(MAX(ROW(E$1:E371)*(E2=E$1:E371))))))</f>
        <v/>
      </c>
      <c r="K372" s="25" t="str">
        <f>IF(OR(E372="",E372="!!!",F372="NEW"),"",INDEX(J$1:J371,SUMPRODUCT(MAX(ROW(E$1:E371)*(E372=E$1:E371)))))</f>
        <v/>
      </c>
      <c r="L372" s="26"/>
    </row>
    <row r="373" spans="1:12" x14ac:dyDescent="0.3">
      <c r="A373" t="s">
        <v>187</v>
      </c>
      <c r="E373" s="21" t="str">
        <f t="shared" si="40"/>
        <v/>
      </c>
      <c r="F373" s="22" t="str">
        <f>IF(OR(E373="",E373="!!!"),"",IF(NOT(ISNA(VLOOKUP(E373,E$1:E372,1,FALSE()))),"OLD",IF(AND(E373&lt;&gt;"",E373&lt;&gt;"!!!"),"NEW","")))</f>
        <v/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/>
      </c>
      <c r="H373" s="24" t="str">
        <f t="shared" ca="1" si="41"/>
        <v/>
      </c>
      <c r="I373" s="25" t="str">
        <f>IF(OR(E373="",E373="!!!",F373="NEW"),"",INDEX(B$2:B372,-1+SUMPRODUCT(MAX(ROW(E$2:E372)*(E373=E$2:E372)))))</f>
        <v/>
      </c>
      <c r="J373" s="25" t="str">
        <f ca="1">IF(OR(E373="",E373="!!!",F373="NEW"),"",COUNTBLANK(OFFSET(A$1,,,SUMPRODUCT(MAX(ROW(E$2:E373)*(E373=E$2:E373)))))-COUNTBLANK(OFFSET(A$1,,,SUMPRODUCT(MAX(ROW(E$1:E372)*(E2=E$1:E372))))))</f>
        <v/>
      </c>
      <c r="K373" s="25" t="str">
        <f>IF(OR(E373="",E373="!!!",F373="NEW"),"",INDEX(J$1:J372,SUMPRODUCT(MAX(ROW(E$1:E372)*(E373=E$1:E372)))))</f>
        <v/>
      </c>
      <c r="L373" s="26"/>
    </row>
    <row r="374" spans="1:12" x14ac:dyDescent="0.3">
      <c r="A374" t="s">
        <v>365</v>
      </c>
      <c r="E374" s="21" t="str">
        <f t="shared" si="40"/>
        <v/>
      </c>
      <c r="F374" s="22" t="str">
        <f>IF(OR(E374="",E374="!!!"),"",IF(NOT(ISNA(VLOOKUP(E374,E$1:E373,1,FALSE()))),"OLD",IF(AND(E374&lt;&gt;"",E374&lt;&gt;"!!!"),"NEW","")))</f>
        <v/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/>
      </c>
      <c r="H374" s="24" t="str">
        <f t="shared" ca="1" si="41"/>
        <v/>
      </c>
      <c r="I374" s="25" t="str">
        <f>IF(OR(E374="",E374="!!!",F374="NEW"),"",INDEX(B$2:B373,-1+SUMPRODUCT(MAX(ROW(E$2:E373)*(E374=E$2:E373)))))</f>
        <v/>
      </c>
      <c r="J374" s="25" t="str">
        <f ca="1">IF(OR(E374="",E374="!!!",F374="NEW"),"",COUNTBLANK(OFFSET(A$1,,,SUMPRODUCT(MAX(ROW(E$2:E374)*(E374=E$2:E374)))))-COUNTBLANK(OFFSET(A$1,,,SUMPRODUCT(MAX(ROW(E$1:E373)*(E2=E$1:E373))))))</f>
        <v/>
      </c>
      <c r="K374" s="25" t="str">
        <f>IF(OR(E374="",E374="!!!",F374="NEW"),"",INDEX(J$1:J373,SUMPRODUCT(MAX(ROW(E$1:E373)*(E374=E$1:E373)))))</f>
        <v/>
      </c>
      <c r="L374" s="26"/>
    </row>
    <row r="375" spans="1:12" x14ac:dyDescent="0.3">
      <c r="A375" t="s">
        <v>148</v>
      </c>
      <c r="E375" s="21" t="str">
        <f t="shared" si="40"/>
        <v/>
      </c>
      <c r="F375" s="22" t="str">
        <f>IF(OR(E375="",E375="!!!"),"",IF(NOT(ISNA(VLOOKUP(E375,E$1:E374,1,FALSE()))),"OLD",IF(AND(E375&lt;&gt;"",E375&lt;&gt;"!!!"),"NEW","")))</f>
        <v/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/>
      </c>
      <c r="H375" s="24" t="str">
        <f t="shared" ca="1" si="41"/>
        <v/>
      </c>
      <c r="I375" s="25" t="str">
        <f>IF(OR(E375="",E375="!!!",F375="NEW"),"",INDEX(B$2:B374,-1+SUMPRODUCT(MAX(ROW(E$2:E374)*(E375=E$2:E374)))))</f>
        <v/>
      </c>
      <c r="J375" s="25" t="str">
        <f ca="1">IF(OR(E375="",E375="!!!",F375="NEW"),"",COUNTBLANK(OFFSET(A$1,,,SUMPRODUCT(MAX(ROW(E$2:E375)*(E375=E$2:E375)))))-COUNTBLANK(OFFSET(A$1,,,SUMPRODUCT(MAX(ROW(E$1:E374)*(E2=E$1:E374))))))</f>
        <v/>
      </c>
      <c r="K375" s="25" t="str">
        <f>IF(OR(E375="",E375="!!!",F375="NEW"),"",INDEX(J$1:J374,SUMPRODUCT(MAX(ROW(E$1:E374)*(E375=E$1:E374)))))</f>
        <v/>
      </c>
      <c r="L375" s="26"/>
    </row>
    <row r="377" spans="1:12" x14ac:dyDescent="0.3">
      <c r="A377" t="s">
        <v>366</v>
      </c>
    </row>
    <row r="378" spans="1:12" x14ac:dyDescent="0.3">
      <c r="A378" t="s">
        <v>367</v>
      </c>
      <c r="B378" s="20" t="s">
        <v>145</v>
      </c>
      <c r="C378" s="20" t="s">
        <v>163</v>
      </c>
      <c r="E378" s="21" t="str">
        <f t="shared" ref="E378:E409" si="42">IF(D378="?OLD","!!!","")</f>
        <v/>
      </c>
      <c r="F378" s="22" t="str">
        <f>IF(OR(E378="",E378="!!!"),"",IF(NOT(ISNA(VLOOKUP(E378,E$1:E377,1,FALSE()))),"OLD",IF(AND(E378&lt;&gt;"",E378&lt;&gt;"!!!"),"NEW","")))</f>
        <v/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/>
      </c>
      <c r="H378" s="24" t="str">
        <f t="shared" ref="H378:H409" ca="1" si="43">IF(J378&lt;&gt;1,"",IF(I378="SBJ","CB","?"))</f>
        <v/>
      </c>
      <c r="I378" s="25" t="str">
        <f>IF(OR(E378="",E378="!!!",F378="NEW"),"",INDEX(B$2:B377,-1+SUMPRODUCT(MAX(ROW(E$2:E377)*(E378=E$2:E377)))))</f>
        <v/>
      </c>
      <c r="J378" s="25" t="str">
        <f ca="1">IF(OR(E378="",E378="!!!",F378="NEW"),"",COUNTBLANK(OFFSET(A$1,,,SUMPRODUCT(MAX(ROW(E$2:E378)*(E378=E$2:E378)))))-COUNTBLANK(OFFSET(A$1,,,SUMPRODUCT(MAX(ROW(E$1:E377)*(E2=E$1:E377))))))</f>
        <v/>
      </c>
      <c r="K378" s="25" t="str">
        <f>IF(OR(E378="",E378="!!!",F378="NEW"),"",INDEX(J$1:J377,SUMPRODUCT(MAX(ROW(E$1:E377)*(E378=E$1:E377)))))</f>
        <v/>
      </c>
      <c r="L378" s="26"/>
    </row>
    <row r="379" spans="1:12" x14ac:dyDescent="0.3">
      <c r="A379" t="s">
        <v>175</v>
      </c>
      <c r="E379" s="21" t="str">
        <f t="shared" si="42"/>
        <v/>
      </c>
      <c r="F379" s="22" t="str">
        <f>IF(OR(E379="",E379="!!!"),"",IF(NOT(ISNA(VLOOKUP(E379,E$1:E378,1,FALSE()))),"OLD",IF(AND(E379&lt;&gt;"",E379&lt;&gt;"!!!"),"NEW","")))</f>
        <v/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/>
      </c>
      <c r="H379" s="24" t="str">
        <f t="shared" ca="1" si="43"/>
        <v/>
      </c>
      <c r="I379" s="25" t="str">
        <f>IF(OR(E379="",E379="!!!",F379="NEW"),"",INDEX(B$2:B378,-1+SUMPRODUCT(MAX(ROW(E$2:E378)*(E379=E$2:E378)))))</f>
        <v/>
      </c>
      <c r="J379" s="25" t="str">
        <f ca="1">IF(OR(E379="",E379="!!!",F379="NEW"),"",COUNTBLANK(OFFSET(A$1,,,SUMPRODUCT(MAX(ROW(E$2:E379)*(E379=E$2:E379)))))-COUNTBLANK(OFFSET(A$1,,,SUMPRODUCT(MAX(ROW(E$1:E378)*(E2=E$1:E378))))))</f>
        <v/>
      </c>
      <c r="K379" s="25" t="str">
        <f>IF(OR(E379="",E379="!!!",F379="NEW"),"",INDEX(J$1:J378,SUMPRODUCT(MAX(ROW(E$1:E378)*(E379=E$1:E378)))))</f>
        <v/>
      </c>
      <c r="L379" s="26"/>
    </row>
    <row r="380" spans="1:12" x14ac:dyDescent="0.3">
      <c r="A380" t="s">
        <v>368</v>
      </c>
      <c r="B380" s="20" t="s">
        <v>152</v>
      </c>
      <c r="C380" s="20" t="s">
        <v>137</v>
      </c>
      <c r="D380" s="20" t="s">
        <v>131</v>
      </c>
      <c r="E380" s="21" t="s">
        <v>494</v>
      </c>
      <c r="F380" s="22" t="s">
        <v>470</v>
      </c>
      <c r="G380" s="23" t="str">
        <f ca="1"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?IN_FOCUS</v>
      </c>
      <c r="H380" s="24" t="str">
        <f t="shared" ca="1" si="43"/>
        <v/>
      </c>
      <c r="I380" s="25" t="str">
        <f>IF(OR(E380="",E380="!!!",F380="NEW"),"",INDEX(B$2:B379,-1+SUMPRODUCT(MAX(ROW(E$2:E379)*(E380=E$2:E379)))))</f>
        <v>other</v>
      </c>
      <c r="J380" s="25">
        <f ca="1">IF(OR(E380="",E380="!!!",F380="NEW"),"",COUNTBLANK(OFFSET(A$1,,,SUMPRODUCT(MAX(ROW(E$2:E380)*(E380=E$2:E380)))))-COUNTBLANK(OFFSET(A$1,,,SUMPRODUCT(MAX(ROW(E$1:E379)*(E2=E$1:E379))))))</f>
        <v>0</v>
      </c>
      <c r="K380" s="25" t="str">
        <f ca="1">IF(OR(E380="",E380="!!!",F380="NEW"),"",INDEX(J$1:J379,SUMPRODUCT(MAX(ROW(E$1:E379)*(E380=E$1:E379)))))</f>
        <v/>
      </c>
      <c r="L380" s="26"/>
    </row>
    <row r="381" spans="1:12" x14ac:dyDescent="0.3">
      <c r="A381" t="s">
        <v>101</v>
      </c>
      <c r="E381" s="21" t="str">
        <f t="shared" si="42"/>
        <v/>
      </c>
      <c r="F381" s="22" t="str">
        <f>IF(OR(E381="",E381="!!!"),"",IF(NOT(ISNA(VLOOKUP(E381,E$1:E380,1,FALSE()))),"OLD",IF(AND(E381&lt;&gt;"",E381&lt;&gt;"!!!"),"NEW","")))</f>
        <v/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/>
      </c>
      <c r="H381" s="24" t="str">
        <f t="shared" ca="1" si="43"/>
        <v/>
      </c>
      <c r="I381" s="25" t="str">
        <f>IF(OR(E381="",E381="!!!",F381="NEW"),"",INDEX(B$2:B380,-1+SUMPRODUCT(MAX(ROW(E$2:E380)*(E381=E$2:E380)))))</f>
        <v/>
      </c>
      <c r="J381" s="25" t="str">
        <f ca="1">IF(OR(E381="",E381="!!!",F381="NEW"),"",COUNTBLANK(OFFSET(A$1,,,SUMPRODUCT(MAX(ROW(E$2:E381)*(E381=E$2:E381)))))-COUNTBLANK(OFFSET(A$1,,,SUMPRODUCT(MAX(ROW(E$1:E380)*(E2=E$1:E380))))))</f>
        <v/>
      </c>
      <c r="K381" s="25" t="str">
        <f>IF(OR(E381="",E381="!!!",F381="NEW"),"",INDEX(J$1:J380,SUMPRODUCT(MAX(ROW(E$1:E380)*(E381=E$1:E380)))))</f>
        <v/>
      </c>
      <c r="L381" s="26"/>
    </row>
    <row r="382" spans="1:12" x14ac:dyDescent="0.3">
      <c r="A382" t="s">
        <v>134</v>
      </c>
      <c r="E382" s="21" t="str">
        <f t="shared" si="42"/>
        <v/>
      </c>
      <c r="F382" s="22" t="str">
        <f>IF(OR(E382="",E382="!!!"),"",IF(NOT(ISNA(VLOOKUP(E382,E$1:E381,1,FALSE()))),"OLD",IF(AND(E382&lt;&gt;"",E382&lt;&gt;"!!!"),"NEW","")))</f>
        <v/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/>
      </c>
      <c r="H382" s="24" t="str">
        <f t="shared" ca="1" si="43"/>
        <v/>
      </c>
      <c r="I382" s="25" t="str">
        <f>IF(OR(E382="",E382="!!!",F382="NEW"),"",INDEX(B$2:B381,-1+SUMPRODUCT(MAX(ROW(E$2:E381)*(E382=E$2:E381)))))</f>
        <v/>
      </c>
      <c r="J382" s="25" t="str">
        <f ca="1">IF(OR(E382="",E382="!!!",F382="NEW"),"",COUNTBLANK(OFFSET(A$1,,,SUMPRODUCT(MAX(ROW(E$2:E382)*(E382=E$2:E382)))))-COUNTBLANK(OFFSET(A$1,,,SUMPRODUCT(MAX(ROW(E$1:E381)*(E2=E$1:E381))))))</f>
        <v/>
      </c>
      <c r="K382" s="25" t="str">
        <f>IF(OR(E382="",E382="!!!",F382="NEW"),"",INDEX(J$1:J381,SUMPRODUCT(MAX(ROW(E$1:E381)*(E382=E$1:E381)))))</f>
        <v/>
      </c>
      <c r="L382" s="26"/>
    </row>
    <row r="383" spans="1:12" x14ac:dyDescent="0.3">
      <c r="A383" t="s">
        <v>369</v>
      </c>
      <c r="B383" s="20" t="s">
        <v>129</v>
      </c>
      <c r="C383" s="20" t="s">
        <v>137</v>
      </c>
      <c r="D383" s="20" t="s">
        <v>131</v>
      </c>
      <c r="E383" s="21" t="str">
        <f t="shared" si="42"/>
        <v>!!!</v>
      </c>
      <c r="F383" s="22" t="str">
        <f>IF(OR(E383="",E383="!!!"),"",IF(NOT(ISNA(VLOOKUP(E383,E$1:E382,1,FALSE()))),"OLD",IF(AND(E383&lt;&gt;"",E383&lt;&gt;"!!!"),"NEW","")))</f>
        <v/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/>
      </c>
      <c r="H383" s="24" t="str">
        <f t="shared" ca="1" si="43"/>
        <v/>
      </c>
      <c r="I383" s="25" t="str">
        <f>IF(OR(E383="",E383="!!!",F383="NEW"),"",INDEX(B$2:B382,-1+SUMPRODUCT(MAX(ROW(E$2:E382)*(E383=E$2:E382)))))</f>
        <v/>
      </c>
      <c r="J383" s="25" t="str">
        <f ca="1">IF(OR(E383="",E383="!!!",F383="NEW"),"",COUNTBLANK(OFFSET(A$1,,,SUMPRODUCT(MAX(ROW(E$2:E383)*(E383=E$2:E383)))))-COUNTBLANK(OFFSET(A$1,,,SUMPRODUCT(MAX(ROW(E$1:E382)*(E2=E$1:E382))))))</f>
        <v/>
      </c>
      <c r="K383" s="25" t="str">
        <f>IF(OR(E383="",E383="!!!",F383="NEW"),"",INDEX(J$1:J382,SUMPRODUCT(MAX(ROW(E$1:E382)*(E383=E$1:E382)))))</f>
        <v/>
      </c>
      <c r="L383" s="26" t="s">
        <v>443</v>
      </c>
    </row>
    <row r="384" spans="1:12" x14ac:dyDescent="0.3">
      <c r="A384" t="s">
        <v>370</v>
      </c>
      <c r="B384" s="20" t="s">
        <v>145</v>
      </c>
      <c r="C384" s="20" t="s">
        <v>130</v>
      </c>
      <c r="D384" s="20" t="s">
        <v>131</v>
      </c>
      <c r="E384" s="21" t="s">
        <v>441</v>
      </c>
      <c r="F384" s="22" t="str">
        <f>IF(OR(E384="",E384="!!!"),"",IF(NOT(ISNA(VLOOKUP(E384,E$1:E383,1,FALSE()))),"OLD",IF(AND(E384&lt;&gt;"",E384&lt;&gt;"!!!"),"NEW","")))</f>
        <v>NEW</v>
      </c>
      <c r="G384" s="23" t="str">
        <f ca="1"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?REFERENTIAL</v>
      </c>
      <c r="H384" s="24" t="str">
        <f t="shared" ca="1" si="43"/>
        <v/>
      </c>
      <c r="I384" s="25" t="str">
        <f>IF(OR(E384="",E384="!!!",F384="NEW"),"",INDEX(B$2:B383,-1+SUMPRODUCT(MAX(ROW(E$2:E383)*(E384=E$2:E383)))))</f>
        <v/>
      </c>
      <c r="J384" s="25" t="str">
        <f ca="1">IF(OR(E384="",E384="!!!",F384="NEW"),"",COUNTBLANK(OFFSET(A$1,,,SUMPRODUCT(MAX(ROW(E$2:E384)*(E384=E$2:E384)))))-COUNTBLANK(OFFSET(A$1,,,SUMPRODUCT(MAX(ROW(E$1:E383)*(E2=E$1:E383))))))</f>
        <v/>
      </c>
      <c r="K384" s="25" t="str">
        <f>IF(OR(E384="",E384="!!!",F384="NEW"),"",INDEX(J$1:J383,SUMPRODUCT(MAX(ROW(E$1:E383)*(E384=E$1:E383)))))</f>
        <v/>
      </c>
      <c r="L384" s="26"/>
    </row>
    <row r="385" spans="1:12" x14ac:dyDescent="0.3">
      <c r="A385" t="s">
        <v>371</v>
      </c>
      <c r="E385" s="21" t="str">
        <f t="shared" si="42"/>
        <v/>
      </c>
      <c r="F385" s="22" t="str">
        <f>IF(OR(E385="",E385="!!!"),"",IF(NOT(ISNA(VLOOKUP(E385,E$1:E384,1,FALSE()))),"OLD",IF(AND(E385&lt;&gt;"",E385&lt;&gt;"!!!"),"NEW","")))</f>
        <v/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/>
      </c>
      <c r="H385" s="24" t="str">
        <f t="shared" ca="1" si="43"/>
        <v/>
      </c>
      <c r="I385" s="25" t="str">
        <f>IF(OR(E385="",E385="!!!",F385="NEW"),"",INDEX(B$2:B384,-1+SUMPRODUCT(MAX(ROW(E$2:E384)*(E385=E$2:E384)))))</f>
        <v/>
      </c>
      <c r="J385" s="25" t="str">
        <f ca="1">IF(OR(E385="",E385="!!!",F385="NEW"),"",COUNTBLANK(OFFSET(A$1,,,SUMPRODUCT(MAX(ROW(E$2:E385)*(E385=E$2:E385)))))-COUNTBLANK(OFFSET(A$1,,,SUMPRODUCT(MAX(ROW(E$1:E384)*(E2=E$1:E384))))))</f>
        <v/>
      </c>
      <c r="K385" s="25" t="str">
        <f>IF(OR(E385="",E385="!!!",F385="NEW"),"",INDEX(J$1:J384,SUMPRODUCT(MAX(ROW(E$1:E384)*(E385=E$1:E384)))))</f>
        <v/>
      </c>
      <c r="L385" s="26"/>
    </row>
    <row r="386" spans="1:12" x14ac:dyDescent="0.3">
      <c r="A386" t="s">
        <v>272</v>
      </c>
      <c r="E386" s="21" t="str">
        <f t="shared" si="42"/>
        <v/>
      </c>
      <c r="F386" s="22" t="str">
        <f>IF(OR(E386="",E386="!!!"),"",IF(NOT(ISNA(VLOOKUP(E386,E$1:E385,1,FALSE()))),"OLD",IF(AND(E386&lt;&gt;"",E386&lt;&gt;"!!!"),"NEW","")))</f>
        <v/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/>
      </c>
      <c r="H386" s="24" t="str">
        <f t="shared" ca="1" si="43"/>
        <v/>
      </c>
      <c r="I386" s="25" t="str">
        <f>IF(OR(E386="",E386="!!!",F386="NEW"),"",INDEX(B$2:B385,-1+SUMPRODUCT(MAX(ROW(E$2:E385)*(E386=E$2:E385)))))</f>
        <v/>
      </c>
      <c r="J386" s="25" t="str">
        <f ca="1">IF(OR(E386="",E386="!!!",F386="NEW"),"",COUNTBLANK(OFFSET(A$1,,,SUMPRODUCT(MAX(ROW(E$2:E386)*(E386=E$2:E386)))))-COUNTBLANK(OFFSET(A$1,,,SUMPRODUCT(MAX(ROW(E$1:E385)*(E2=E$1:E385))))))</f>
        <v/>
      </c>
      <c r="K386" s="25" t="str">
        <f>IF(OR(E386="",E386="!!!",F386="NEW"),"",INDEX(J$1:J385,SUMPRODUCT(MAX(ROW(E$1:E385)*(E386=E$1:E385)))))</f>
        <v/>
      </c>
      <c r="L386" s="26"/>
    </row>
    <row r="387" spans="1:12" x14ac:dyDescent="0.3">
      <c r="A387" t="s">
        <v>372</v>
      </c>
      <c r="B387" s="20" t="s">
        <v>158</v>
      </c>
      <c r="C387" s="20" t="s">
        <v>130</v>
      </c>
      <c r="D387" s="20" t="s">
        <v>131</v>
      </c>
      <c r="E387" s="21" t="s">
        <v>440</v>
      </c>
      <c r="F387" s="22" t="str">
        <f>IF(OR(E387="",E387="!!!"),"",IF(NOT(ISNA(VLOOKUP(E387,E$1:E386,1,FALSE()))),"OLD",IF(AND(E387&lt;&gt;"",E387&lt;&gt;"!!!"),"NEW","")))</f>
        <v>NEW</v>
      </c>
      <c r="G387" s="23" t="str">
        <f ca="1"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?REFERENTIAL</v>
      </c>
      <c r="H387" s="24" t="str">
        <f t="shared" ca="1" si="43"/>
        <v/>
      </c>
      <c r="I387" s="25" t="str">
        <f>IF(OR(E387="",E387="!!!",F387="NEW"),"",INDEX(B$2:B386,-1+SUMPRODUCT(MAX(ROW(E$2:E386)*(E387=E$2:E386)))))</f>
        <v/>
      </c>
      <c r="J387" s="25" t="str">
        <f ca="1">IF(OR(E387="",E387="!!!",F387="NEW"),"",COUNTBLANK(OFFSET(A$1,,,SUMPRODUCT(MAX(ROW(E$2:E387)*(E387=E$2:E387)))))-COUNTBLANK(OFFSET(A$1,,,SUMPRODUCT(MAX(ROW(E$1:E386)*(E2=E$1:E386))))))</f>
        <v/>
      </c>
      <c r="K387" s="25" t="str">
        <f>IF(OR(E387="",E387="!!!",F387="NEW"),"",INDEX(J$1:J386,SUMPRODUCT(MAX(ROW(E$1:E386)*(E387=E$1:E386)))))</f>
        <v/>
      </c>
      <c r="L387" s="26"/>
    </row>
    <row r="388" spans="1:12" x14ac:dyDescent="0.3">
      <c r="A388" t="s">
        <v>373</v>
      </c>
      <c r="E388" s="21" t="str">
        <f t="shared" si="42"/>
        <v/>
      </c>
      <c r="F388" s="22" t="str">
        <f>IF(OR(E388="",E388="!!!"),"",IF(NOT(ISNA(VLOOKUP(E388,E$1:E387,1,FALSE()))),"OLD",IF(AND(E388&lt;&gt;"",E388&lt;&gt;"!!!"),"NEW","")))</f>
        <v/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/>
      </c>
      <c r="H388" s="24" t="str">
        <f t="shared" ca="1" si="43"/>
        <v/>
      </c>
      <c r="I388" s="25" t="str">
        <f>IF(OR(E388="",E388="!!!",F388="NEW"),"",INDEX(B$2:B387,-1+SUMPRODUCT(MAX(ROW(E$2:E387)*(E388=E$2:E387)))))</f>
        <v/>
      </c>
      <c r="J388" s="25" t="str">
        <f ca="1">IF(OR(E388="",E388="!!!",F388="NEW"),"",COUNTBLANK(OFFSET(A$1,,,SUMPRODUCT(MAX(ROW(E$2:E388)*(E388=E$2:E388)))))-COUNTBLANK(OFFSET(A$1,,,SUMPRODUCT(MAX(ROW(E$1:E387)*(E2=E$1:E387))))))</f>
        <v/>
      </c>
      <c r="K388" s="25" t="str">
        <f>IF(OR(E388="",E388="!!!",F388="NEW"),"",INDEX(J$1:J387,SUMPRODUCT(MAX(ROW(E$1:E387)*(E388=E$1:E387)))))</f>
        <v/>
      </c>
      <c r="L388" s="26"/>
    </row>
    <row r="389" spans="1:12" x14ac:dyDescent="0.3">
      <c r="A389" t="s">
        <v>198</v>
      </c>
      <c r="E389" s="21" t="str">
        <f t="shared" si="42"/>
        <v/>
      </c>
      <c r="F389" s="22" t="str">
        <f>IF(OR(E389="",E389="!!!"),"",IF(NOT(ISNA(VLOOKUP(E389,E$1:E388,1,FALSE()))),"OLD",IF(AND(E389&lt;&gt;"",E389&lt;&gt;"!!!"),"NEW","")))</f>
        <v/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/>
      </c>
      <c r="H389" s="24" t="str">
        <f t="shared" ca="1" si="43"/>
        <v/>
      </c>
      <c r="I389" s="25" t="str">
        <f>IF(OR(E389="",E389="!!!",F389="NEW"),"",INDEX(B$2:B388,-1+SUMPRODUCT(MAX(ROW(E$2:E388)*(E389=E$2:E388)))))</f>
        <v/>
      </c>
      <c r="J389" s="25" t="str">
        <f ca="1">IF(OR(E389="",E389="!!!",F389="NEW"),"",COUNTBLANK(OFFSET(A$1,,,SUMPRODUCT(MAX(ROW(E$2:E389)*(E389=E$2:E389)))))-COUNTBLANK(OFFSET(A$1,,,SUMPRODUCT(MAX(ROW(E$1:E388)*(E2=E$1:E388))))))</f>
        <v/>
      </c>
      <c r="K389" s="25" t="str">
        <f>IF(OR(E389="",E389="!!!",F389="NEW"),"",INDEX(J$1:J388,SUMPRODUCT(MAX(ROW(E$1:E388)*(E389=E$1:E388)))))</f>
        <v/>
      </c>
      <c r="L389" s="26"/>
    </row>
    <row r="390" spans="1:12" x14ac:dyDescent="0.3">
      <c r="A390" t="s">
        <v>248</v>
      </c>
      <c r="E390" s="21" t="str">
        <f t="shared" si="42"/>
        <v/>
      </c>
      <c r="F390" s="22" t="str">
        <f>IF(OR(E390="",E390="!!!"),"",IF(NOT(ISNA(VLOOKUP(E390,E$1:E389,1,FALSE()))),"OLD",IF(AND(E390&lt;&gt;"",E390&lt;&gt;"!!!"),"NEW","")))</f>
        <v/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/>
      </c>
      <c r="H390" s="24" t="str">
        <f t="shared" ca="1" si="43"/>
        <v/>
      </c>
      <c r="I390" s="25" t="str">
        <f>IF(OR(E390="",E390="!!!",F390="NEW"),"",INDEX(B$2:B389,-1+SUMPRODUCT(MAX(ROW(E$2:E389)*(E390=E$2:E389)))))</f>
        <v/>
      </c>
      <c r="J390" s="25" t="str">
        <f ca="1">IF(OR(E390="",E390="!!!",F390="NEW"),"",COUNTBLANK(OFFSET(A$1,,,SUMPRODUCT(MAX(ROW(E$2:E390)*(E390=E$2:E390)))))-COUNTBLANK(OFFSET(A$1,,,SUMPRODUCT(MAX(ROW(E$1:E389)*(E2=E$1:E389))))))</f>
        <v/>
      </c>
      <c r="K390" s="25" t="str">
        <f>IF(OR(E390="",E390="!!!",F390="NEW"),"",INDEX(J$1:J389,SUMPRODUCT(MAX(ROW(E$1:E389)*(E390=E$1:E389)))))</f>
        <v/>
      </c>
      <c r="L390" s="26"/>
    </row>
    <row r="391" spans="1:12" x14ac:dyDescent="0.3">
      <c r="A391" t="s">
        <v>374</v>
      </c>
      <c r="B391" s="20" t="s">
        <v>145</v>
      </c>
      <c r="C391" s="20" t="s">
        <v>137</v>
      </c>
      <c r="D391" s="20" t="s">
        <v>131</v>
      </c>
      <c r="E391" s="21" t="str">
        <f t="shared" si="42"/>
        <v>!!!</v>
      </c>
      <c r="F391" s="22" t="str">
        <f>IF(OR(E391="",E391="!!!"),"",IF(NOT(ISNA(VLOOKUP(E391,E$1:E390,1,FALSE()))),"OLD",IF(AND(E391&lt;&gt;"",E391&lt;&gt;"!!!"),"NEW","")))</f>
        <v/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/>
      </c>
      <c r="H391" s="24" t="str">
        <f t="shared" ca="1" si="43"/>
        <v/>
      </c>
      <c r="I391" s="25" t="str">
        <f>IF(OR(E391="",E391="!!!",F391="NEW"),"",INDEX(B$2:B390,-1+SUMPRODUCT(MAX(ROW(E$2:E390)*(E391=E$2:E390)))))</f>
        <v/>
      </c>
      <c r="J391" s="25" t="str">
        <f ca="1">IF(OR(E391="",E391="!!!",F391="NEW"),"",COUNTBLANK(OFFSET(A$1,,,SUMPRODUCT(MAX(ROW(E$2:E391)*(E391=E$2:E391)))))-COUNTBLANK(OFFSET(A$1,,,SUMPRODUCT(MAX(ROW(E$1:E390)*(E2=E$1:E390))))))</f>
        <v/>
      </c>
      <c r="K391" s="25" t="str">
        <f>IF(OR(E391="",E391="!!!",F391="NEW"),"",INDEX(J$1:J390,SUMPRODUCT(MAX(ROW(E$1:E390)*(E391=E$1:E390)))))</f>
        <v/>
      </c>
      <c r="L391" s="26" t="s">
        <v>443</v>
      </c>
    </row>
    <row r="392" spans="1:12" x14ac:dyDescent="0.3">
      <c r="A392" t="s">
        <v>375</v>
      </c>
      <c r="B392" s="20" t="s">
        <v>158</v>
      </c>
      <c r="C392" s="20" t="s">
        <v>130</v>
      </c>
      <c r="D392" s="20" t="s">
        <v>131</v>
      </c>
      <c r="E392" s="21" t="s">
        <v>444</v>
      </c>
      <c r="F392" s="22" t="str">
        <f>IF(OR(E392="",E392="!!!"),"",IF(NOT(ISNA(VLOOKUP(E392,E$1:E391,1,FALSE()))),"OLD",IF(AND(E392&lt;&gt;"",E392&lt;&gt;"!!!"),"NEW","")))</f>
        <v>NEW</v>
      </c>
      <c r="G392" s="23" t="str">
        <f ca="1"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?REFERENTIAL</v>
      </c>
      <c r="H392" s="24" t="str">
        <f t="shared" ca="1" si="43"/>
        <v/>
      </c>
      <c r="I392" s="25" t="str">
        <f>IF(OR(E392="",E392="!!!",F392="NEW"),"",INDEX(B$2:B391,-1+SUMPRODUCT(MAX(ROW(E$2:E391)*(E392=E$2:E391)))))</f>
        <v/>
      </c>
      <c r="J392" s="25" t="str">
        <f ca="1">IF(OR(E392="",E392="!!!",F392="NEW"),"",COUNTBLANK(OFFSET(A$1,,,SUMPRODUCT(MAX(ROW(E$2:E392)*(E392=E$2:E392)))))-COUNTBLANK(OFFSET(A$1,,,SUMPRODUCT(MAX(ROW(E$1:E391)*(E2=E$1:E391))))))</f>
        <v/>
      </c>
      <c r="K392" s="25" t="str">
        <f>IF(OR(E392="",E392="!!!",F392="NEW"),"",INDEX(J$1:J391,SUMPRODUCT(MAX(ROW(E$1:E391)*(E392=E$1:E391)))))</f>
        <v/>
      </c>
      <c r="L392" s="26"/>
    </row>
    <row r="393" spans="1:12" x14ac:dyDescent="0.3">
      <c r="A393" t="s">
        <v>376</v>
      </c>
      <c r="E393" s="21" t="str">
        <f t="shared" si="42"/>
        <v/>
      </c>
      <c r="F393" s="22" t="str">
        <f>IF(OR(E393="",E393="!!!"),"",IF(NOT(ISNA(VLOOKUP(E393,E$1:E392,1,FALSE()))),"OLD",IF(AND(E393&lt;&gt;"",E393&lt;&gt;"!!!"),"NEW","")))</f>
        <v/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/>
      </c>
      <c r="H393" s="24" t="str">
        <f t="shared" ca="1" si="43"/>
        <v/>
      </c>
      <c r="I393" s="25" t="str">
        <f>IF(OR(E393="",E393="!!!",F393="NEW"),"",INDEX(B$2:B392,-1+SUMPRODUCT(MAX(ROW(E$2:E392)*(E393=E$2:E392)))))</f>
        <v/>
      </c>
      <c r="J393" s="25" t="str">
        <f ca="1">IF(OR(E393="",E393="!!!",F393="NEW"),"",COUNTBLANK(OFFSET(A$1,,,SUMPRODUCT(MAX(ROW(E$2:E393)*(E393=E$2:E393)))))-COUNTBLANK(OFFSET(A$1,,,SUMPRODUCT(MAX(ROW(E$1:E392)*(E2=E$1:E392))))))</f>
        <v/>
      </c>
      <c r="K393" s="25" t="str">
        <f>IF(OR(E393="",E393="!!!",F393="NEW"),"",INDEX(J$1:J392,SUMPRODUCT(MAX(ROW(E$1:E392)*(E393=E$1:E392)))))</f>
        <v/>
      </c>
      <c r="L393" s="26"/>
    </row>
    <row r="394" spans="1:12" x14ac:dyDescent="0.3">
      <c r="A394" t="s">
        <v>198</v>
      </c>
      <c r="E394" s="21" t="str">
        <f t="shared" si="42"/>
        <v/>
      </c>
      <c r="F394" s="22" t="str">
        <f>IF(OR(E394="",E394="!!!"),"",IF(NOT(ISNA(VLOOKUP(E394,E$1:E393,1,FALSE()))),"OLD",IF(AND(E394&lt;&gt;"",E394&lt;&gt;"!!!"),"NEW","")))</f>
        <v/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/>
      </c>
      <c r="H394" s="24" t="str">
        <f t="shared" ca="1" si="43"/>
        <v/>
      </c>
      <c r="I394" s="25" t="str">
        <f>IF(OR(E394="",E394="!!!",F394="NEW"),"",INDEX(B$2:B393,-1+SUMPRODUCT(MAX(ROW(E$2:E393)*(E394=E$2:E393)))))</f>
        <v/>
      </c>
      <c r="J394" s="25" t="str">
        <f ca="1">IF(OR(E394="",E394="!!!",F394="NEW"),"",COUNTBLANK(OFFSET(A$1,,,SUMPRODUCT(MAX(ROW(E$2:E394)*(E394=E$2:E394)))))-COUNTBLANK(OFFSET(A$1,,,SUMPRODUCT(MAX(ROW(E$1:E393)*(E2=E$1:E393))))))</f>
        <v/>
      </c>
      <c r="K394" s="25" t="str">
        <f>IF(OR(E394="",E394="!!!",F394="NEW"),"",INDEX(J$1:J393,SUMPRODUCT(MAX(ROW(E$1:E393)*(E394=E$1:E393)))))</f>
        <v/>
      </c>
      <c r="L394" s="26"/>
    </row>
    <row r="395" spans="1:12" x14ac:dyDescent="0.3">
      <c r="A395" t="s">
        <v>134</v>
      </c>
      <c r="E395" s="21" t="str">
        <f t="shared" si="42"/>
        <v/>
      </c>
      <c r="F395" s="22" t="str">
        <f>IF(OR(E395="",E395="!!!"),"",IF(NOT(ISNA(VLOOKUP(E395,E$1:E394,1,FALSE()))),"OLD",IF(AND(E395&lt;&gt;"",E395&lt;&gt;"!!!"),"NEW","")))</f>
        <v/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/>
      </c>
      <c r="H395" s="24" t="str">
        <f t="shared" ca="1" si="43"/>
        <v/>
      </c>
      <c r="I395" s="25" t="str">
        <f>IF(OR(E395="",E395="!!!",F395="NEW"),"",INDEX(B$2:B394,-1+SUMPRODUCT(MAX(ROW(E$2:E394)*(E395=E$2:E394)))))</f>
        <v/>
      </c>
      <c r="J395" s="25" t="str">
        <f ca="1">IF(OR(E395="",E395="!!!",F395="NEW"),"",COUNTBLANK(OFFSET(A$1,,,SUMPRODUCT(MAX(ROW(E$2:E395)*(E395=E$2:E395)))))-COUNTBLANK(OFFSET(A$1,,,SUMPRODUCT(MAX(ROW(E$1:E394)*(E2=E$1:E394))))))</f>
        <v/>
      </c>
      <c r="K395" s="25" t="str">
        <f>IF(OR(E395="",E395="!!!",F395="NEW"),"",INDEX(J$1:J394,SUMPRODUCT(MAX(ROW(E$1:E394)*(E395=E$1:E394)))))</f>
        <v/>
      </c>
      <c r="L395" s="26"/>
    </row>
    <row r="396" spans="1:12" x14ac:dyDescent="0.3">
      <c r="A396" t="s">
        <v>377</v>
      </c>
      <c r="B396" s="20" t="s">
        <v>145</v>
      </c>
      <c r="C396" s="20" t="s">
        <v>137</v>
      </c>
      <c r="D396" s="20" t="s">
        <v>131</v>
      </c>
      <c r="E396" s="21" t="str">
        <f t="shared" si="42"/>
        <v>!!!</v>
      </c>
      <c r="F396" s="22" t="str">
        <f>IF(OR(E396="",E396="!!!"),"",IF(NOT(ISNA(VLOOKUP(E396,E$1:E395,1,FALSE()))),"OLD",IF(AND(E396&lt;&gt;"",E396&lt;&gt;"!!!"),"NEW","")))</f>
        <v/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/>
      </c>
      <c r="H396" s="24" t="str">
        <f t="shared" ca="1" si="43"/>
        <v/>
      </c>
      <c r="I396" s="25" t="str">
        <f>IF(OR(E396="",E396="!!!",F396="NEW"),"",INDEX(B$2:B395,-1+SUMPRODUCT(MAX(ROW(E$2:E395)*(E396=E$2:E395)))))</f>
        <v/>
      </c>
      <c r="J396" s="25" t="str">
        <f ca="1">IF(OR(E396="",E396="!!!",F396="NEW"),"",COUNTBLANK(OFFSET(A$1,,,SUMPRODUCT(MAX(ROW(E$2:E396)*(E396=E$2:E396)))))-COUNTBLANK(OFFSET(A$1,,,SUMPRODUCT(MAX(ROW(E$1:E395)*(E2=E$1:E395))))))</f>
        <v/>
      </c>
      <c r="K396" s="25" t="str">
        <f>IF(OR(E396="",E396="!!!",F396="NEW"),"",INDEX(J$1:J395,SUMPRODUCT(MAX(ROW(E$1:E395)*(E396=E$1:E395)))))</f>
        <v/>
      </c>
      <c r="L396" s="26" t="s">
        <v>443</v>
      </c>
    </row>
    <row r="397" spans="1:12" x14ac:dyDescent="0.3">
      <c r="A397" t="s">
        <v>378</v>
      </c>
      <c r="B397" s="20" t="s">
        <v>158</v>
      </c>
      <c r="C397" s="20" t="s">
        <v>130</v>
      </c>
      <c r="D397" s="20" t="s">
        <v>131</v>
      </c>
      <c r="E397" s="21" t="s">
        <v>445</v>
      </c>
      <c r="F397" s="22" t="str">
        <f>IF(OR(E397="",E397="!!!"),"",IF(NOT(ISNA(VLOOKUP(E397,E$1:E396,1,FALSE()))),"OLD",IF(AND(E397&lt;&gt;"",E397&lt;&gt;"!!!"),"NEW","")))</f>
        <v>NEW</v>
      </c>
      <c r="G397" s="23" t="str">
        <f ca="1"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?REFERENTIAL</v>
      </c>
      <c r="H397" s="24" t="str">
        <f t="shared" ca="1" si="43"/>
        <v/>
      </c>
      <c r="I397" s="25" t="str">
        <f>IF(OR(E397="",E397="!!!",F397="NEW"),"",INDEX(B$2:B396,-1+SUMPRODUCT(MAX(ROW(E$2:E396)*(E397=E$2:E396)))))</f>
        <v/>
      </c>
      <c r="J397" s="25" t="str">
        <f ca="1">IF(OR(E397="",E397="!!!",F397="NEW"),"",COUNTBLANK(OFFSET(A$1,,,SUMPRODUCT(MAX(ROW(E$2:E397)*(E397=E$2:E397)))))-COUNTBLANK(OFFSET(A$1,,,SUMPRODUCT(MAX(ROW(E$1:E396)*(E2=E$1:E396))))))</f>
        <v/>
      </c>
      <c r="K397" s="25" t="str">
        <f>IF(OR(E397="",E397="!!!",F397="NEW"),"",INDEX(J$1:J396,SUMPRODUCT(MAX(ROW(E$1:E396)*(E397=E$1:E396)))))</f>
        <v/>
      </c>
      <c r="L397" s="26"/>
    </row>
    <row r="398" spans="1:12" x14ac:dyDescent="0.3">
      <c r="A398" t="s">
        <v>379</v>
      </c>
      <c r="E398" s="21" t="str">
        <f t="shared" si="42"/>
        <v/>
      </c>
      <c r="F398" s="22" t="str">
        <f>IF(OR(E398="",E398="!!!"),"",IF(NOT(ISNA(VLOOKUP(E398,E$1:E397,1,FALSE()))),"OLD",IF(AND(E398&lt;&gt;"",E398&lt;&gt;"!!!"),"NEW","")))</f>
        <v/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/>
      </c>
      <c r="H398" s="24" t="str">
        <f t="shared" ca="1" si="43"/>
        <v/>
      </c>
      <c r="I398" s="25" t="str">
        <f>IF(OR(E398="",E398="!!!",F398="NEW"),"",INDEX(B$2:B397,-1+SUMPRODUCT(MAX(ROW(E$2:E397)*(E398=E$2:E397)))))</f>
        <v/>
      </c>
      <c r="J398" s="25" t="str">
        <f ca="1">IF(OR(E398="",E398="!!!",F398="NEW"),"",COUNTBLANK(OFFSET(A$1,,,SUMPRODUCT(MAX(ROW(E$2:E398)*(E398=E$2:E398)))))-COUNTBLANK(OFFSET(A$1,,,SUMPRODUCT(MAX(ROW(E$1:E397)*(E2=E$1:E397))))))</f>
        <v/>
      </c>
      <c r="K398" s="25" t="str">
        <f>IF(OR(E398="",E398="!!!",F398="NEW"),"",INDEX(J$1:J397,SUMPRODUCT(MAX(ROW(E$1:E397)*(E398=E$1:E397)))))</f>
        <v/>
      </c>
      <c r="L398" s="26"/>
    </row>
    <row r="399" spans="1:12" x14ac:dyDescent="0.3">
      <c r="A399" t="s">
        <v>198</v>
      </c>
      <c r="E399" s="21" t="str">
        <f t="shared" si="42"/>
        <v/>
      </c>
      <c r="F399" s="22" t="str">
        <f>IF(OR(E399="",E399="!!!"),"",IF(NOT(ISNA(VLOOKUP(E399,E$1:E398,1,FALSE()))),"OLD",IF(AND(E399&lt;&gt;"",E399&lt;&gt;"!!!"),"NEW","")))</f>
        <v/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/>
      </c>
      <c r="H399" s="24" t="str">
        <f t="shared" ca="1" si="43"/>
        <v/>
      </c>
      <c r="I399" s="25" t="str">
        <f>IF(OR(E399="",E399="!!!",F399="NEW"),"",INDEX(B$2:B398,-1+SUMPRODUCT(MAX(ROW(E$2:E398)*(E399=E$2:E398)))))</f>
        <v/>
      </c>
      <c r="J399" s="25" t="str">
        <f ca="1">IF(OR(E399="",E399="!!!",F399="NEW"),"",COUNTBLANK(OFFSET(A$1,,,SUMPRODUCT(MAX(ROW(E$2:E399)*(E399=E$2:E399)))))-COUNTBLANK(OFFSET(A$1,,,SUMPRODUCT(MAX(ROW(E$1:E398)*(E2=E$1:E398))))))</f>
        <v/>
      </c>
      <c r="K399" s="25" t="str">
        <f>IF(OR(E399="",E399="!!!",F399="NEW"),"",INDEX(J$1:J398,SUMPRODUCT(MAX(ROW(E$1:E398)*(E399=E$1:E398)))))</f>
        <v/>
      </c>
      <c r="L399" s="26"/>
    </row>
    <row r="400" spans="1:12" x14ac:dyDescent="0.3">
      <c r="A400" t="s">
        <v>380</v>
      </c>
      <c r="B400" s="20" t="s">
        <v>145</v>
      </c>
      <c r="C400" s="20" t="s">
        <v>130</v>
      </c>
      <c r="D400" s="20" t="s">
        <v>131</v>
      </c>
      <c r="E400" s="21" t="s">
        <v>446</v>
      </c>
      <c r="F400" s="22" t="str">
        <f>IF(OR(E400="",E400="!!!"),"",IF(NOT(ISNA(VLOOKUP(E400,E$1:E399,1,FALSE()))),"OLD",IF(AND(E400&lt;&gt;"",E400&lt;&gt;"!!!"),"NEW","")))</f>
        <v>NEW</v>
      </c>
      <c r="G400" s="23" t="str">
        <f ca="1"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?REFERENTIAL</v>
      </c>
      <c r="H400" s="24" t="str">
        <f t="shared" ca="1" si="43"/>
        <v/>
      </c>
      <c r="I400" s="25" t="str">
        <f>IF(OR(E400="",E400="!!!",F400="NEW"),"",INDEX(B$2:B399,-1+SUMPRODUCT(MAX(ROW(E$2:E399)*(E400=E$2:E399)))))</f>
        <v/>
      </c>
      <c r="J400" s="25" t="str">
        <f ca="1">IF(OR(E400="",E400="!!!",F400="NEW"),"",COUNTBLANK(OFFSET(A$1,,,SUMPRODUCT(MAX(ROW(E$2:E400)*(E400=E$2:E400)))))-COUNTBLANK(OFFSET(A$1,,,SUMPRODUCT(MAX(ROW(E$1:E399)*(E2=E$1:E399))))))</f>
        <v/>
      </c>
      <c r="K400" s="25" t="str">
        <f>IF(OR(E400="",E400="!!!",F400="NEW"),"",INDEX(J$1:J399,SUMPRODUCT(MAX(ROW(E$1:E399)*(E400=E$1:E399)))))</f>
        <v/>
      </c>
      <c r="L400" s="26"/>
    </row>
    <row r="401" spans="1:12" x14ac:dyDescent="0.3">
      <c r="A401" t="s">
        <v>381</v>
      </c>
      <c r="E401" s="21" t="str">
        <f t="shared" si="42"/>
        <v/>
      </c>
      <c r="F401" s="22" t="str">
        <f>IF(OR(E401="",E401="!!!"),"",IF(NOT(ISNA(VLOOKUP(E401,E$1:E400,1,FALSE()))),"OLD",IF(AND(E401&lt;&gt;"",E401&lt;&gt;"!!!"),"NEW","")))</f>
        <v/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/>
      </c>
      <c r="H401" s="24" t="str">
        <f t="shared" ca="1" si="43"/>
        <v/>
      </c>
      <c r="I401" s="25" t="str">
        <f>IF(OR(E401="",E401="!!!",F401="NEW"),"",INDEX(B$2:B400,-1+SUMPRODUCT(MAX(ROW(E$2:E400)*(E401=E$2:E400)))))</f>
        <v/>
      </c>
      <c r="J401" s="25" t="str">
        <f ca="1">IF(OR(E401="",E401="!!!",F401="NEW"),"",COUNTBLANK(OFFSET(A$1,,,SUMPRODUCT(MAX(ROW(E$2:E401)*(E401=E$2:E401)))))-COUNTBLANK(OFFSET(A$1,,,SUMPRODUCT(MAX(ROW(E$1:E400)*(E2=E$1:E400))))))</f>
        <v/>
      </c>
      <c r="K401" s="25" t="str">
        <f>IF(OR(E401="",E401="!!!",F401="NEW"),"",INDEX(J$1:J400,SUMPRODUCT(MAX(ROW(E$1:E400)*(E401=E$1:E400)))))</f>
        <v/>
      </c>
      <c r="L401" s="26"/>
    </row>
    <row r="402" spans="1:12" x14ac:dyDescent="0.3">
      <c r="A402" t="s">
        <v>272</v>
      </c>
      <c r="E402" s="21" t="str">
        <f t="shared" si="42"/>
        <v/>
      </c>
      <c r="F402" s="22" t="str">
        <f>IF(OR(E402="",E402="!!!"),"",IF(NOT(ISNA(VLOOKUP(E402,E$1:E401,1,FALSE()))),"OLD",IF(AND(E402&lt;&gt;"",E402&lt;&gt;"!!!"),"NEW","")))</f>
        <v/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/>
      </c>
      <c r="H402" s="24" t="str">
        <f t="shared" ca="1" si="43"/>
        <v/>
      </c>
      <c r="I402" s="25" t="str">
        <f>IF(OR(E402="",E402="!!!",F402="NEW"),"",INDEX(B$2:B401,-1+SUMPRODUCT(MAX(ROW(E$2:E401)*(E402=E$2:E401)))))</f>
        <v/>
      </c>
      <c r="J402" s="25" t="str">
        <f ca="1">IF(OR(E402="",E402="!!!",F402="NEW"),"",COUNTBLANK(OFFSET(A$1,,,SUMPRODUCT(MAX(ROW(E$2:E402)*(E402=E$2:E402)))))-COUNTBLANK(OFFSET(A$1,,,SUMPRODUCT(MAX(ROW(E$1:E401)*(E2=E$1:E401))))))</f>
        <v/>
      </c>
      <c r="K402" s="25" t="str">
        <f>IF(OR(E402="",E402="!!!",F402="NEW"),"",INDEX(J$1:J401,SUMPRODUCT(MAX(ROW(E$1:E401)*(E402=E$1:E401)))))</f>
        <v/>
      </c>
      <c r="L402" s="26"/>
    </row>
    <row r="403" spans="1:12" x14ac:dyDescent="0.3">
      <c r="A403" t="s">
        <v>382</v>
      </c>
      <c r="B403" s="20" t="s">
        <v>145</v>
      </c>
      <c r="C403" s="20" t="s">
        <v>130</v>
      </c>
      <c r="D403" s="20" t="s">
        <v>131</v>
      </c>
      <c r="E403" s="21" t="s">
        <v>447</v>
      </c>
      <c r="F403" s="22" t="str">
        <f>IF(OR(E403="",E403="!!!"),"",IF(NOT(ISNA(VLOOKUP(E403,E$1:E402,1,FALSE()))),"OLD",IF(AND(E403&lt;&gt;"",E403&lt;&gt;"!!!"),"NEW","")))</f>
        <v>NEW</v>
      </c>
      <c r="G403" s="23" t="str">
        <f ca="1"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?REFERENTIAL</v>
      </c>
      <c r="H403" s="24" t="str">
        <f t="shared" ca="1" si="43"/>
        <v/>
      </c>
      <c r="I403" s="25" t="str">
        <f>IF(OR(E403="",E403="!!!",F403="NEW"),"",INDEX(B$2:B402,-1+SUMPRODUCT(MAX(ROW(E$2:E402)*(E403=E$2:E402)))))</f>
        <v/>
      </c>
      <c r="J403" s="25" t="str">
        <f ca="1">IF(OR(E403="",E403="!!!",F403="NEW"),"",COUNTBLANK(OFFSET(A$1,,,SUMPRODUCT(MAX(ROW(E$2:E403)*(E403=E$2:E403)))))-COUNTBLANK(OFFSET(A$1,,,SUMPRODUCT(MAX(ROW(E$1:E402)*(E2=E$1:E402))))))</f>
        <v/>
      </c>
      <c r="K403" s="25" t="str">
        <f>IF(OR(E403="",E403="!!!",F403="NEW"),"",INDEX(J$1:J402,SUMPRODUCT(MAX(ROW(E$1:E402)*(E403=E$1:E402)))))</f>
        <v/>
      </c>
      <c r="L403" s="26"/>
    </row>
    <row r="404" spans="1:12" x14ac:dyDescent="0.3">
      <c r="A404" t="s">
        <v>373</v>
      </c>
      <c r="E404" s="21" t="str">
        <f t="shared" si="42"/>
        <v/>
      </c>
      <c r="F404" s="22" t="str">
        <f>IF(OR(E404="",E404="!!!"),"",IF(NOT(ISNA(VLOOKUP(E404,E$1:E403,1,FALSE()))),"OLD",IF(AND(E404&lt;&gt;"",E404&lt;&gt;"!!!"),"NEW","")))</f>
        <v/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/>
      </c>
      <c r="H404" s="24" t="str">
        <f t="shared" ca="1" si="43"/>
        <v/>
      </c>
      <c r="I404" s="25" t="str">
        <f>IF(OR(E404="",E404="!!!",F404="NEW"),"",INDEX(B$2:B403,-1+SUMPRODUCT(MAX(ROW(E$2:E403)*(E404=E$2:E403)))))</f>
        <v/>
      </c>
      <c r="J404" s="25" t="str">
        <f ca="1">IF(OR(E404="",E404="!!!",F404="NEW"),"",COUNTBLANK(OFFSET(A$1,,,SUMPRODUCT(MAX(ROW(E$2:E404)*(E404=E$2:E404)))))-COUNTBLANK(OFFSET(A$1,,,SUMPRODUCT(MAX(ROW(E$1:E403)*(E2=E$1:E403))))))</f>
        <v/>
      </c>
      <c r="K404" s="25" t="str">
        <f>IF(OR(E404="",E404="!!!",F404="NEW"),"",INDEX(J$1:J403,SUMPRODUCT(MAX(ROW(E$1:E403)*(E404=E$1:E403)))))</f>
        <v/>
      </c>
      <c r="L404" s="26"/>
    </row>
    <row r="405" spans="1:12" x14ac:dyDescent="0.3">
      <c r="A405" t="s">
        <v>198</v>
      </c>
      <c r="E405" s="21" t="str">
        <f t="shared" si="42"/>
        <v/>
      </c>
      <c r="F405" s="22" t="str">
        <f>IF(OR(E405="",E405="!!!"),"",IF(NOT(ISNA(VLOOKUP(E405,E$1:E404,1,FALSE()))),"OLD",IF(AND(E405&lt;&gt;"",E405&lt;&gt;"!!!"),"NEW","")))</f>
        <v/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/>
      </c>
      <c r="H405" s="24" t="str">
        <f t="shared" ca="1" si="43"/>
        <v/>
      </c>
      <c r="I405" s="25" t="str">
        <f>IF(OR(E405="",E405="!!!",F405="NEW"),"",INDEX(B$2:B404,-1+SUMPRODUCT(MAX(ROW(E$2:E404)*(E405=E$2:E404)))))</f>
        <v/>
      </c>
      <c r="J405" s="25" t="str">
        <f ca="1">IF(OR(E405="",E405="!!!",F405="NEW"),"",COUNTBLANK(OFFSET(A$1,,,SUMPRODUCT(MAX(ROW(E$2:E405)*(E405=E$2:E405)))))-COUNTBLANK(OFFSET(A$1,,,SUMPRODUCT(MAX(ROW(E$1:E404)*(E2=E$1:E404))))))</f>
        <v/>
      </c>
      <c r="K405" s="25" t="str">
        <f>IF(OR(E405="",E405="!!!",F405="NEW"),"",INDEX(J$1:J404,SUMPRODUCT(MAX(ROW(E$1:E404)*(E405=E$1:E404)))))</f>
        <v/>
      </c>
      <c r="L405" s="26"/>
    </row>
    <row r="406" spans="1:12" x14ac:dyDescent="0.3">
      <c r="A406" t="s">
        <v>248</v>
      </c>
      <c r="E406" s="21" t="str">
        <f t="shared" si="42"/>
        <v/>
      </c>
      <c r="F406" s="22" t="str">
        <f>IF(OR(E406="",E406="!!!"),"",IF(NOT(ISNA(VLOOKUP(E406,E$1:E405,1,FALSE()))),"OLD",IF(AND(E406&lt;&gt;"",E406&lt;&gt;"!!!"),"NEW","")))</f>
        <v/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/>
      </c>
      <c r="H406" s="24" t="str">
        <f t="shared" ca="1" si="43"/>
        <v/>
      </c>
      <c r="I406" s="25" t="str">
        <f>IF(OR(E406="",E406="!!!",F406="NEW"),"",INDEX(B$2:B405,-1+SUMPRODUCT(MAX(ROW(E$2:E405)*(E406=E$2:E405)))))</f>
        <v/>
      </c>
      <c r="J406" s="25" t="str">
        <f ca="1">IF(OR(E406="",E406="!!!",F406="NEW"),"",COUNTBLANK(OFFSET(A$1,,,SUMPRODUCT(MAX(ROW(E$2:E406)*(E406=E$2:E406)))))-COUNTBLANK(OFFSET(A$1,,,SUMPRODUCT(MAX(ROW(E$1:E405)*(E2=E$1:E405))))))</f>
        <v/>
      </c>
      <c r="K406" s="25" t="str">
        <f>IF(OR(E406="",E406="!!!",F406="NEW"),"",INDEX(J$1:J405,SUMPRODUCT(MAX(ROW(E$1:E405)*(E406=E$1:E405)))))</f>
        <v/>
      </c>
      <c r="L406" s="26"/>
    </row>
    <row r="407" spans="1:12" x14ac:dyDescent="0.3">
      <c r="A407" t="s">
        <v>383</v>
      </c>
      <c r="B407" s="20" t="s">
        <v>145</v>
      </c>
      <c r="C407" s="20" t="s">
        <v>137</v>
      </c>
      <c r="D407" s="20" t="s">
        <v>131</v>
      </c>
      <c r="E407" s="21" t="str">
        <f t="shared" si="42"/>
        <v>!!!</v>
      </c>
      <c r="F407" s="22" t="str">
        <f>IF(OR(E407="",E407="!!!"),"",IF(NOT(ISNA(VLOOKUP(E407,E$1:E406,1,FALSE()))),"OLD",IF(AND(E407&lt;&gt;"",E407&lt;&gt;"!!!"),"NEW","")))</f>
        <v/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/>
      </c>
      <c r="H407" s="24" t="str">
        <f t="shared" ca="1" si="43"/>
        <v/>
      </c>
      <c r="I407" s="25" t="str">
        <f>IF(OR(E407="",E407="!!!",F407="NEW"),"",INDEX(B$2:B406,-1+SUMPRODUCT(MAX(ROW(E$2:E406)*(E407=E$2:E406)))))</f>
        <v/>
      </c>
      <c r="J407" s="25" t="str">
        <f ca="1">IF(OR(E407="",E407="!!!",F407="NEW"),"",COUNTBLANK(OFFSET(A$1,,,SUMPRODUCT(MAX(ROW(E$2:E407)*(E407=E$2:E407)))))-COUNTBLANK(OFFSET(A$1,,,SUMPRODUCT(MAX(ROW(E$1:E406)*(E2=E$1:E406))))))</f>
        <v/>
      </c>
      <c r="K407" s="25" t="str">
        <f>IF(OR(E407="",E407="!!!",F407="NEW"),"",INDEX(J$1:J406,SUMPRODUCT(MAX(ROW(E$1:E406)*(E407=E$1:E406)))))</f>
        <v/>
      </c>
      <c r="L407" s="26" t="s">
        <v>443</v>
      </c>
    </row>
    <row r="408" spans="1:12" x14ac:dyDescent="0.3">
      <c r="A408" t="s">
        <v>384</v>
      </c>
      <c r="B408" s="20" t="s">
        <v>158</v>
      </c>
      <c r="C408" s="20" t="s">
        <v>130</v>
      </c>
      <c r="D408" s="20" t="s">
        <v>131</v>
      </c>
      <c r="E408" s="21" t="s">
        <v>448</v>
      </c>
      <c r="F408" s="22" t="str">
        <f>IF(OR(E408="",E408="!!!"),"",IF(NOT(ISNA(VLOOKUP(E408,E$1:E407,1,FALSE()))),"OLD",IF(AND(E408&lt;&gt;"",E408&lt;&gt;"!!!"),"NEW","")))</f>
        <v>NEW</v>
      </c>
      <c r="G408" s="23" t="str">
        <f ca="1"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?REFERENTIAL</v>
      </c>
      <c r="H408" s="24" t="str">
        <f t="shared" ca="1" si="43"/>
        <v/>
      </c>
      <c r="I408" s="25" t="str">
        <f>IF(OR(E408="",E408="!!!",F408="NEW"),"",INDEX(B$2:B407,-1+SUMPRODUCT(MAX(ROW(E$2:E407)*(E408=E$2:E407)))))</f>
        <v/>
      </c>
      <c r="J408" s="25" t="str">
        <f ca="1">IF(OR(E408="",E408="!!!",F408="NEW"),"",COUNTBLANK(OFFSET(A$1,,,SUMPRODUCT(MAX(ROW(E$2:E408)*(E408=E$2:E408)))))-COUNTBLANK(OFFSET(A$1,,,SUMPRODUCT(MAX(ROW(E$1:E407)*(E2=E$1:E407))))))</f>
        <v/>
      </c>
      <c r="K408" s="25" t="str">
        <f>IF(OR(E408="",E408="!!!",F408="NEW"),"",INDEX(J$1:J407,SUMPRODUCT(MAX(ROW(E$1:E407)*(E408=E$1:E407)))))</f>
        <v/>
      </c>
      <c r="L408" s="26"/>
    </row>
    <row r="409" spans="1:12" x14ac:dyDescent="0.3">
      <c r="A409" t="s">
        <v>12</v>
      </c>
      <c r="E409" s="21" t="str">
        <f t="shared" si="42"/>
        <v/>
      </c>
      <c r="F409" s="22" t="str">
        <f>IF(OR(E409="",E409="!!!"),"",IF(NOT(ISNA(VLOOKUP(E409,E$1:E408,1,FALSE()))),"OLD",IF(AND(E409&lt;&gt;"",E409&lt;&gt;"!!!"),"NEW","")))</f>
        <v/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/>
      </c>
      <c r="H409" s="24" t="str">
        <f t="shared" ca="1" si="43"/>
        <v/>
      </c>
      <c r="I409" s="25" t="str">
        <f>IF(OR(E409="",E409="!!!",F409="NEW"),"",INDEX(B$2:B408,-1+SUMPRODUCT(MAX(ROW(E$2:E408)*(E409=E$2:E408)))))</f>
        <v/>
      </c>
      <c r="J409" s="25" t="str">
        <f ca="1">IF(OR(E409="",E409="!!!",F409="NEW"),"",COUNTBLANK(OFFSET(A$1,,,SUMPRODUCT(MAX(ROW(E$2:E409)*(E409=E$2:E409)))))-COUNTBLANK(OFFSET(A$1,,,SUMPRODUCT(MAX(ROW(E$1:E408)*(E2=E$1:E408))))))</f>
        <v/>
      </c>
      <c r="K409" s="25" t="str">
        <f>IF(OR(E409="",E409="!!!",F409="NEW"),"",INDEX(J$1:J408,SUMPRODUCT(MAX(ROW(E$1:E408)*(E409=E$1:E408)))))</f>
        <v/>
      </c>
      <c r="L409" s="26"/>
    </row>
    <row r="410" spans="1:12" x14ac:dyDescent="0.3">
      <c r="A410" t="s">
        <v>385</v>
      </c>
      <c r="E410" s="21" t="str">
        <f t="shared" ref="E410:E434" si="44">IF(D410="?OLD","!!!","")</f>
        <v/>
      </c>
      <c r="F410" s="22" t="str">
        <f>IF(OR(E410="",E410="!!!"),"",IF(NOT(ISNA(VLOOKUP(E410,E$1:E409,1,FALSE()))),"OLD",IF(AND(E410&lt;&gt;"",E410&lt;&gt;"!!!"),"NEW","")))</f>
        <v/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/>
      </c>
      <c r="H410" s="24" t="str">
        <f t="shared" ref="H410:H434" ca="1" si="45">IF(J410&lt;&gt;1,"",IF(I410="SBJ","CB","?"))</f>
        <v/>
      </c>
      <c r="I410" s="25" t="str">
        <f>IF(OR(E410="",E410="!!!",F410="NEW"),"",INDEX(B$2:B409,-1+SUMPRODUCT(MAX(ROW(E$2:E409)*(E410=E$2:E409)))))</f>
        <v/>
      </c>
      <c r="J410" s="25" t="str">
        <f ca="1">IF(OR(E410="",E410="!!!",F410="NEW"),"",COUNTBLANK(OFFSET(A$1,,,SUMPRODUCT(MAX(ROW(E$2:E410)*(E410=E$2:E410)))))-COUNTBLANK(OFFSET(A$1,,,SUMPRODUCT(MAX(ROW(E$1:E409)*(E2=E$1:E409))))))</f>
        <v/>
      </c>
      <c r="K410" s="25" t="str">
        <f>IF(OR(E410="",E410="!!!",F410="NEW"),"",INDEX(J$1:J409,SUMPRODUCT(MAX(ROW(E$1:E409)*(E410=E$1:E409)))))</f>
        <v/>
      </c>
      <c r="L410" s="26"/>
    </row>
    <row r="411" spans="1:12" x14ac:dyDescent="0.3">
      <c r="A411" t="s">
        <v>386</v>
      </c>
      <c r="E411" s="21" t="str">
        <f t="shared" si="44"/>
        <v/>
      </c>
      <c r="F411" s="22" t="str">
        <f>IF(OR(E411="",E411="!!!"),"",IF(NOT(ISNA(VLOOKUP(E411,E$1:E410,1,FALSE()))),"OLD",IF(AND(E411&lt;&gt;"",E411&lt;&gt;"!!!"),"NEW","")))</f>
        <v/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/>
      </c>
      <c r="H411" s="24" t="str">
        <f t="shared" ca="1" si="45"/>
        <v/>
      </c>
      <c r="I411" s="25" t="str">
        <f>IF(OR(E411="",E411="!!!",F411="NEW"),"",INDEX(B$2:B410,-1+SUMPRODUCT(MAX(ROW(E$2:E410)*(E411=E$2:E410)))))</f>
        <v/>
      </c>
      <c r="J411" s="25" t="str">
        <f ca="1">IF(OR(E411="",E411="!!!",F411="NEW"),"",COUNTBLANK(OFFSET(A$1,,,SUMPRODUCT(MAX(ROW(E$2:E411)*(E411=E$2:E411)))))-COUNTBLANK(OFFSET(A$1,,,SUMPRODUCT(MAX(ROW(E$1:E410)*(E2=E$1:E410))))))</f>
        <v/>
      </c>
      <c r="K411" s="25" t="str">
        <f>IF(OR(E411="",E411="!!!",F411="NEW"),"",INDEX(J$1:J410,SUMPRODUCT(MAX(ROW(E$1:E410)*(E411=E$1:E410)))))</f>
        <v/>
      </c>
      <c r="L411" s="26"/>
    </row>
    <row r="412" spans="1:12" x14ac:dyDescent="0.3">
      <c r="A412" t="s">
        <v>198</v>
      </c>
      <c r="E412" s="21" t="str">
        <f t="shared" si="44"/>
        <v/>
      </c>
      <c r="F412" s="22" t="str">
        <f>IF(OR(E412="",E412="!!!"),"",IF(NOT(ISNA(VLOOKUP(E412,E$1:E411,1,FALSE()))),"OLD",IF(AND(E412&lt;&gt;"",E412&lt;&gt;"!!!"),"NEW","")))</f>
        <v/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/>
      </c>
      <c r="H412" s="24" t="str">
        <f t="shared" ca="1" si="45"/>
        <v/>
      </c>
      <c r="I412" s="25" t="str">
        <f>IF(OR(E412="",E412="!!!",F412="NEW"),"",INDEX(B$2:B411,-1+SUMPRODUCT(MAX(ROW(E$2:E411)*(E412=E$2:E411)))))</f>
        <v/>
      </c>
      <c r="J412" s="25" t="str">
        <f ca="1">IF(OR(E412="",E412="!!!",F412="NEW"),"",COUNTBLANK(OFFSET(A$1,,,SUMPRODUCT(MAX(ROW(E$2:E412)*(E412=E$2:E412)))))-COUNTBLANK(OFFSET(A$1,,,SUMPRODUCT(MAX(ROW(E$1:E411)*(E2=E$1:E411))))))</f>
        <v/>
      </c>
      <c r="K412" s="25" t="str">
        <f>IF(OR(E412="",E412="!!!",F412="NEW"),"",INDEX(J$1:J411,SUMPRODUCT(MAX(ROW(E$1:E411)*(E412=E$1:E411)))))</f>
        <v/>
      </c>
      <c r="L412" s="26"/>
    </row>
    <row r="413" spans="1:12" x14ac:dyDescent="0.3">
      <c r="A413" t="s">
        <v>387</v>
      </c>
      <c r="B413" s="20" t="s">
        <v>145</v>
      </c>
      <c r="C413" s="20" t="s">
        <v>130</v>
      </c>
      <c r="D413" s="20" t="s">
        <v>131</v>
      </c>
      <c r="E413" s="21" t="str">
        <f t="shared" si="44"/>
        <v>!!!</v>
      </c>
      <c r="F413" s="22" t="str">
        <f>IF(OR(E413="",E413="!!!"),"",IF(NOT(ISNA(VLOOKUP(E413,E$1:E412,1,FALSE()))),"OLD",IF(AND(E413&lt;&gt;"",E413&lt;&gt;"!!!"),"NEW","")))</f>
        <v/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/>
      </c>
      <c r="H413" s="24" t="str">
        <f t="shared" ca="1" si="45"/>
        <v/>
      </c>
      <c r="I413" s="25" t="str">
        <f>IF(OR(E413="",E413="!!!",F413="NEW"),"",INDEX(B$2:B412,-1+SUMPRODUCT(MAX(ROW(E$2:E412)*(E413=E$2:E412)))))</f>
        <v/>
      </c>
      <c r="J413" s="25" t="str">
        <f ca="1">IF(OR(E413="",E413="!!!",F413="NEW"),"",COUNTBLANK(OFFSET(A$1,,,SUMPRODUCT(MAX(ROW(E$2:E413)*(E413=E$2:E413)))))-COUNTBLANK(OFFSET(A$1,,,SUMPRODUCT(MAX(ROW(E$1:E412)*(E2=E$1:E412))))))</f>
        <v/>
      </c>
      <c r="K413" s="25" t="str">
        <f>IF(OR(E413="",E413="!!!",F413="NEW"),"",INDEX(J$1:J412,SUMPRODUCT(MAX(ROW(E$1:E412)*(E413=E$1:E412)))))</f>
        <v/>
      </c>
      <c r="L413" s="26" t="s">
        <v>443</v>
      </c>
    </row>
    <row r="414" spans="1:12" x14ac:dyDescent="0.3">
      <c r="A414" t="s">
        <v>12</v>
      </c>
      <c r="E414" s="21" t="str">
        <f t="shared" si="44"/>
        <v/>
      </c>
      <c r="F414" s="22" t="str">
        <f>IF(OR(E414="",E414="!!!"),"",IF(NOT(ISNA(VLOOKUP(E414,E$1:E413,1,FALSE()))),"OLD",IF(AND(E414&lt;&gt;"",E414&lt;&gt;"!!!"),"NEW","")))</f>
        <v/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/>
      </c>
      <c r="H414" s="24" t="str">
        <f t="shared" ca="1" si="45"/>
        <v/>
      </c>
      <c r="I414" s="25" t="str">
        <f>IF(OR(E414="",E414="!!!",F414="NEW"),"",INDEX(B$2:B413,-1+SUMPRODUCT(MAX(ROW(E$2:E413)*(E414=E$2:E413)))))</f>
        <v/>
      </c>
      <c r="J414" s="25" t="str">
        <f ca="1">IF(OR(E414="",E414="!!!",F414="NEW"),"",COUNTBLANK(OFFSET(A$1,,,SUMPRODUCT(MAX(ROW(E$2:E414)*(E414=E$2:E414)))))-COUNTBLANK(OFFSET(A$1,,,SUMPRODUCT(MAX(ROW(E$1:E413)*(E2=E$1:E413))))))</f>
        <v/>
      </c>
      <c r="K414" s="25" t="str">
        <f>IF(OR(E414="",E414="!!!",F414="NEW"),"",INDEX(J$1:J413,SUMPRODUCT(MAX(ROW(E$1:E413)*(E414=E$1:E413)))))</f>
        <v/>
      </c>
      <c r="L414" s="26"/>
    </row>
    <row r="415" spans="1:12" x14ac:dyDescent="0.3">
      <c r="A415" t="s">
        <v>388</v>
      </c>
      <c r="E415" s="21" t="str">
        <f t="shared" si="44"/>
        <v/>
      </c>
      <c r="F415" s="22" t="str">
        <f>IF(OR(E415="",E415="!!!"),"",IF(NOT(ISNA(VLOOKUP(E415,E$1:E414,1,FALSE()))),"OLD",IF(AND(E415&lt;&gt;"",E415&lt;&gt;"!!!"),"NEW","")))</f>
        <v/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/>
      </c>
      <c r="H415" s="24" t="str">
        <f t="shared" ca="1" si="45"/>
        <v/>
      </c>
      <c r="I415" s="25" t="str">
        <f>IF(OR(E415="",E415="!!!",F415="NEW"),"",INDEX(B$2:B414,-1+SUMPRODUCT(MAX(ROW(E$2:E414)*(E415=E$2:E414)))))</f>
        <v/>
      </c>
      <c r="J415" s="25" t="str">
        <f ca="1">IF(OR(E415="",E415="!!!",F415="NEW"),"",COUNTBLANK(OFFSET(A$1,,,SUMPRODUCT(MAX(ROW(E$2:E415)*(E415=E$2:E415)))))-COUNTBLANK(OFFSET(A$1,,,SUMPRODUCT(MAX(ROW(E$1:E414)*(E2=E$1:E414))))))</f>
        <v/>
      </c>
      <c r="K415" s="25" t="str">
        <f>IF(OR(E415="",E415="!!!",F415="NEW"),"",INDEX(J$1:J414,SUMPRODUCT(MAX(ROW(E$1:E414)*(E415=E$1:E414)))))</f>
        <v/>
      </c>
      <c r="L415" s="26"/>
    </row>
    <row r="416" spans="1:12" x14ac:dyDescent="0.3">
      <c r="A416" t="s">
        <v>389</v>
      </c>
      <c r="B416" s="20" t="s">
        <v>158</v>
      </c>
      <c r="C416" s="20" t="s">
        <v>130</v>
      </c>
      <c r="D416" s="20" t="s">
        <v>131</v>
      </c>
      <c r="E416" s="21" t="s">
        <v>449</v>
      </c>
      <c r="F416" s="22" t="str">
        <f>IF(OR(E416="",E416="!!!"),"",IF(NOT(ISNA(VLOOKUP(E416,E$1:E415,1,FALSE()))),"OLD",IF(AND(E416&lt;&gt;"",E416&lt;&gt;"!!!"),"NEW","")))</f>
        <v>NEW</v>
      </c>
      <c r="G416" s="23" t="str">
        <f ca="1"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?REFERENTIAL</v>
      </c>
      <c r="H416" s="24" t="str">
        <f t="shared" ca="1" si="45"/>
        <v/>
      </c>
      <c r="I416" s="25" t="str">
        <f>IF(OR(E416="",E416="!!!",F416="NEW"),"",INDEX(B$2:B415,-1+SUMPRODUCT(MAX(ROW(E$2:E415)*(E416=E$2:E415)))))</f>
        <v/>
      </c>
      <c r="J416" s="25" t="str">
        <f ca="1">IF(OR(E416="",E416="!!!",F416="NEW"),"",COUNTBLANK(OFFSET(A$1,,,SUMPRODUCT(MAX(ROW(E$2:E416)*(E416=E$2:E416)))))-COUNTBLANK(OFFSET(A$1,,,SUMPRODUCT(MAX(ROW(E$1:E415)*(E2=E$1:E415))))))</f>
        <v/>
      </c>
      <c r="K416" s="25" t="str">
        <f>IF(OR(E416="",E416="!!!",F416="NEW"),"",INDEX(J$1:J415,SUMPRODUCT(MAX(ROW(E$1:E415)*(E416=E$1:E415)))))</f>
        <v/>
      </c>
      <c r="L416" s="26"/>
    </row>
    <row r="417" spans="1:12" x14ac:dyDescent="0.3">
      <c r="A417" t="s">
        <v>390</v>
      </c>
      <c r="E417" s="21" t="str">
        <f t="shared" si="44"/>
        <v/>
      </c>
      <c r="F417" s="22" t="str">
        <f>IF(OR(E417="",E417="!!!"),"",IF(NOT(ISNA(VLOOKUP(E417,E$1:E416,1,FALSE()))),"OLD",IF(AND(E417&lt;&gt;"",E417&lt;&gt;"!!!"),"NEW","")))</f>
        <v/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/>
      </c>
      <c r="H417" s="24" t="str">
        <f t="shared" ca="1" si="45"/>
        <v/>
      </c>
      <c r="I417" s="25" t="str">
        <f>IF(OR(E417="",E417="!!!",F417="NEW"),"",INDEX(B$2:B416,-1+SUMPRODUCT(MAX(ROW(E$2:E416)*(E417=E$2:E416)))))</f>
        <v/>
      </c>
      <c r="J417" s="25" t="str">
        <f ca="1">IF(OR(E417="",E417="!!!",F417="NEW"),"",COUNTBLANK(OFFSET(A$1,,,SUMPRODUCT(MAX(ROW(E$2:E417)*(E417=E$2:E417)))))-COUNTBLANK(OFFSET(A$1,,,SUMPRODUCT(MAX(ROW(E$1:E416)*(E2=E$1:E416))))))</f>
        <v/>
      </c>
      <c r="K417" s="25" t="str">
        <f>IF(OR(E417="",E417="!!!",F417="NEW"),"",INDEX(J$1:J416,SUMPRODUCT(MAX(ROW(E$1:E416)*(E417=E$1:E416)))))</f>
        <v/>
      </c>
      <c r="L417" s="26"/>
    </row>
    <row r="418" spans="1:12" x14ac:dyDescent="0.3">
      <c r="A418" t="s">
        <v>198</v>
      </c>
      <c r="E418" s="21" t="str">
        <f t="shared" si="44"/>
        <v/>
      </c>
      <c r="F418" s="22" t="str">
        <f>IF(OR(E418="",E418="!!!"),"",IF(NOT(ISNA(VLOOKUP(E418,E$1:E417,1,FALSE()))),"OLD",IF(AND(E418&lt;&gt;"",E418&lt;&gt;"!!!"),"NEW","")))</f>
        <v/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/>
      </c>
      <c r="H418" s="24" t="str">
        <f t="shared" ca="1" si="45"/>
        <v/>
      </c>
      <c r="I418" s="25" t="str">
        <f>IF(OR(E418="",E418="!!!",F418="NEW"),"",INDEX(B$2:B417,-1+SUMPRODUCT(MAX(ROW(E$2:E417)*(E418=E$2:E417)))))</f>
        <v/>
      </c>
      <c r="J418" s="25" t="str">
        <f ca="1">IF(OR(E418="",E418="!!!",F418="NEW"),"",COUNTBLANK(OFFSET(A$1,,,SUMPRODUCT(MAX(ROW(E$2:E418)*(E418=E$2:E418)))))-COUNTBLANK(OFFSET(A$1,,,SUMPRODUCT(MAX(ROW(E$1:E417)*(E2=E$1:E417))))))</f>
        <v/>
      </c>
      <c r="K418" s="25" t="str">
        <f>IF(OR(E418="",E418="!!!",F418="NEW"),"",INDEX(J$1:J417,SUMPRODUCT(MAX(ROW(E$1:E417)*(E418=E$1:E417)))))</f>
        <v/>
      </c>
      <c r="L418" s="26"/>
    </row>
    <row r="419" spans="1:12" x14ac:dyDescent="0.3">
      <c r="A419" t="s">
        <v>248</v>
      </c>
      <c r="E419" s="21" t="str">
        <f t="shared" si="44"/>
        <v/>
      </c>
      <c r="F419" s="22" t="str">
        <f>IF(OR(E419="",E419="!!!"),"",IF(NOT(ISNA(VLOOKUP(E419,E$1:E418,1,FALSE()))),"OLD",IF(AND(E419&lt;&gt;"",E419&lt;&gt;"!!!"),"NEW","")))</f>
        <v/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/>
      </c>
      <c r="H419" s="24" t="str">
        <f t="shared" ca="1" si="45"/>
        <v/>
      </c>
      <c r="I419" s="25" t="str">
        <f>IF(OR(E419="",E419="!!!",F419="NEW"),"",INDEX(B$2:B418,-1+SUMPRODUCT(MAX(ROW(E$2:E418)*(E419=E$2:E418)))))</f>
        <v/>
      </c>
      <c r="J419" s="25" t="str">
        <f ca="1">IF(OR(E419="",E419="!!!",F419="NEW"),"",COUNTBLANK(OFFSET(A$1,,,SUMPRODUCT(MAX(ROW(E$2:E419)*(E419=E$2:E419)))))-COUNTBLANK(OFFSET(A$1,,,SUMPRODUCT(MAX(ROW(E$1:E418)*(E2=E$1:E418))))))</f>
        <v/>
      </c>
      <c r="K419" s="25" t="str">
        <f>IF(OR(E419="",E419="!!!",F419="NEW"),"",INDEX(J$1:J418,SUMPRODUCT(MAX(ROW(E$1:E418)*(E419=E$1:E418)))))</f>
        <v/>
      </c>
      <c r="L419" s="26"/>
    </row>
    <row r="420" spans="1:12" x14ac:dyDescent="0.3">
      <c r="A420" t="s">
        <v>391</v>
      </c>
      <c r="B420" s="20" t="s">
        <v>145</v>
      </c>
      <c r="C420" s="20" t="s">
        <v>130</v>
      </c>
      <c r="D420" s="20" t="s">
        <v>131</v>
      </c>
      <c r="E420" s="21" t="str">
        <f t="shared" si="44"/>
        <v>!!!</v>
      </c>
      <c r="F420" s="22" t="str">
        <f>IF(OR(E420="",E420="!!!"),"",IF(NOT(ISNA(VLOOKUP(E420,E$1:E419,1,FALSE()))),"OLD",IF(AND(E420&lt;&gt;"",E420&lt;&gt;"!!!"),"NEW","")))</f>
        <v/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/>
      </c>
      <c r="H420" s="24" t="str">
        <f t="shared" ca="1" si="45"/>
        <v/>
      </c>
      <c r="I420" s="25" t="str">
        <f>IF(OR(E420="",E420="!!!",F420="NEW"),"",INDEX(B$2:B419,-1+SUMPRODUCT(MAX(ROW(E$2:E419)*(E420=E$2:E419)))))</f>
        <v/>
      </c>
      <c r="J420" s="25" t="str">
        <f ca="1">IF(OR(E420="",E420="!!!",F420="NEW"),"",COUNTBLANK(OFFSET(A$1,,,SUMPRODUCT(MAX(ROW(E$2:E420)*(E420=E$2:E420)))))-COUNTBLANK(OFFSET(A$1,,,SUMPRODUCT(MAX(ROW(E$1:E419)*(E2=E$1:E419))))))</f>
        <v/>
      </c>
      <c r="K420" s="25" t="str">
        <f>IF(OR(E420="",E420="!!!",F420="NEW"),"",INDEX(J$1:J419,SUMPRODUCT(MAX(ROW(E$1:E419)*(E420=E$1:E419)))))</f>
        <v/>
      </c>
      <c r="L420" s="26" t="s">
        <v>443</v>
      </c>
    </row>
    <row r="421" spans="1:12" x14ac:dyDescent="0.3">
      <c r="A421" t="s">
        <v>392</v>
      </c>
      <c r="E421" s="21" t="s">
        <v>450</v>
      </c>
      <c r="F421" s="22" t="str">
        <f>IF(OR(E421="",E421="!!!"),"",IF(NOT(ISNA(VLOOKUP(E421,E$1:E420,1,FALSE()))),"OLD",IF(AND(E421&lt;&gt;"",E421&lt;&gt;"!!!"),"NEW","")))</f>
        <v>NEW</v>
      </c>
      <c r="G421" s="23" t="str">
        <f ca="1"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?REFERENTIAL</v>
      </c>
      <c r="H421" s="24" t="str">
        <f t="shared" ca="1" si="45"/>
        <v/>
      </c>
      <c r="I421" s="25" t="str">
        <f>IF(OR(E421="",E421="!!!",F421="NEW"),"",INDEX(B$2:B420,-1+SUMPRODUCT(MAX(ROW(E$2:E420)*(E421=E$2:E420)))))</f>
        <v/>
      </c>
      <c r="J421" s="25" t="str">
        <f ca="1">IF(OR(E421="",E421="!!!",F421="NEW"),"",COUNTBLANK(OFFSET(A$1,,,SUMPRODUCT(MAX(ROW(E$2:E421)*(E421=E$2:E421)))))-COUNTBLANK(OFFSET(A$1,,,SUMPRODUCT(MAX(ROW(E$1:E420)*(E2=E$1:E420))))))</f>
        <v/>
      </c>
      <c r="K421" s="25" t="str">
        <f>IF(OR(E421="",E421="!!!",F421="NEW"),"",INDEX(J$1:J420,SUMPRODUCT(MAX(ROW(E$1:E420)*(E421=E$1:E420)))))</f>
        <v/>
      </c>
      <c r="L421" s="26" t="s">
        <v>425</v>
      </c>
    </row>
    <row r="422" spans="1:12" x14ac:dyDescent="0.3">
      <c r="A422" t="s">
        <v>393</v>
      </c>
      <c r="E422" s="21" t="str">
        <f t="shared" si="44"/>
        <v/>
      </c>
      <c r="F422" s="22" t="str">
        <f>IF(OR(E422="",E422="!!!"),"",IF(NOT(ISNA(VLOOKUP(E422,E$1:E421,1,FALSE()))),"OLD",IF(AND(E422&lt;&gt;"",E422&lt;&gt;"!!!"),"NEW","")))</f>
        <v/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/>
      </c>
      <c r="H422" s="24" t="str">
        <f t="shared" ca="1" si="45"/>
        <v/>
      </c>
      <c r="I422" s="25" t="str">
        <f>IF(OR(E422="",E422="!!!",F422="NEW"),"",INDEX(B$2:B421,-1+SUMPRODUCT(MAX(ROW(E$2:E421)*(E422=E$2:E421)))))</f>
        <v/>
      </c>
      <c r="J422" s="25" t="str">
        <f ca="1">IF(OR(E422="",E422="!!!",F422="NEW"),"",COUNTBLANK(OFFSET(A$1,,,SUMPRODUCT(MAX(ROW(E$2:E422)*(E422=E$2:E422)))))-COUNTBLANK(OFFSET(A$1,,,SUMPRODUCT(MAX(ROW(E$1:E421)*(E2=E$1:E421))))))</f>
        <v/>
      </c>
      <c r="K422" s="25" t="str">
        <f>IF(OR(E422="",E422="!!!",F422="NEW"),"",INDEX(J$1:J421,SUMPRODUCT(MAX(ROW(E$1:E421)*(E422=E$1:E421)))))</f>
        <v/>
      </c>
      <c r="L422" s="26"/>
    </row>
    <row r="423" spans="1:12" x14ac:dyDescent="0.3">
      <c r="A423" t="s">
        <v>198</v>
      </c>
      <c r="E423" s="21" t="str">
        <f t="shared" si="44"/>
        <v/>
      </c>
      <c r="F423" s="22" t="str">
        <f>IF(OR(E423="",E423="!!!"),"",IF(NOT(ISNA(VLOOKUP(E423,E$1:E422,1,FALSE()))),"OLD",IF(AND(E423&lt;&gt;"",E423&lt;&gt;"!!!"),"NEW","")))</f>
        <v/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/>
      </c>
      <c r="H423" s="24" t="str">
        <f t="shared" ca="1" si="45"/>
        <v/>
      </c>
      <c r="I423" s="25" t="str">
        <f>IF(OR(E423="",E423="!!!",F423="NEW"),"",INDEX(B$2:B422,-1+SUMPRODUCT(MAX(ROW(E$2:E422)*(E423=E$2:E422)))))</f>
        <v/>
      </c>
      <c r="J423" s="25" t="str">
        <f ca="1">IF(OR(E423="",E423="!!!",F423="NEW"),"",COUNTBLANK(OFFSET(A$1,,,SUMPRODUCT(MAX(ROW(E$2:E423)*(E423=E$2:E423)))))-COUNTBLANK(OFFSET(A$1,,,SUMPRODUCT(MAX(ROW(E$1:E422)*(E2=E$1:E422))))))</f>
        <v/>
      </c>
      <c r="K423" s="25" t="str">
        <f>IF(OR(E423="",E423="!!!",F423="NEW"),"",INDEX(J$1:J422,SUMPRODUCT(MAX(ROW(E$1:E422)*(E423=E$1:E422)))))</f>
        <v/>
      </c>
      <c r="L423" s="26"/>
    </row>
    <row r="424" spans="1:12" x14ac:dyDescent="0.3">
      <c r="A424" t="s">
        <v>248</v>
      </c>
      <c r="E424" s="21" t="str">
        <f t="shared" si="44"/>
        <v/>
      </c>
      <c r="F424" s="22" t="str">
        <f>IF(OR(E424="",E424="!!!"),"",IF(NOT(ISNA(VLOOKUP(E424,E$1:E423,1,FALSE()))),"OLD",IF(AND(E424&lt;&gt;"",E424&lt;&gt;"!!!"),"NEW","")))</f>
        <v/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/>
      </c>
      <c r="H424" s="24" t="str">
        <f t="shared" ca="1" si="45"/>
        <v/>
      </c>
      <c r="I424" s="25" t="str">
        <f>IF(OR(E424="",E424="!!!",F424="NEW"),"",INDEX(B$2:B423,-1+SUMPRODUCT(MAX(ROW(E$2:E423)*(E424=E$2:E423)))))</f>
        <v/>
      </c>
      <c r="J424" s="25" t="str">
        <f ca="1">IF(OR(E424="",E424="!!!",F424="NEW"),"",COUNTBLANK(OFFSET(A$1,,,SUMPRODUCT(MAX(ROW(E$2:E424)*(E424=E$2:E424)))))-COUNTBLANK(OFFSET(A$1,,,SUMPRODUCT(MAX(ROW(E$1:E423)*(E2=E$1:E423))))))</f>
        <v/>
      </c>
      <c r="K424" s="25" t="str">
        <f>IF(OR(E424="",E424="!!!",F424="NEW"),"",INDEX(J$1:J423,SUMPRODUCT(MAX(ROW(E$1:E423)*(E424=E$1:E423)))))</f>
        <v/>
      </c>
      <c r="L424" s="26"/>
    </row>
    <row r="425" spans="1:12" x14ac:dyDescent="0.3">
      <c r="A425" t="s">
        <v>394</v>
      </c>
      <c r="B425" s="20" t="s">
        <v>145</v>
      </c>
      <c r="C425" s="20" t="s">
        <v>137</v>
      </c>
      <c r="D425" s="20" t="s">
        <v>131</v>
      </c>
      <c r="E425" s="21" t="str">
        <f t="shared" si="44"/>
        <v>!!!</v>
      </c>
      <c r="F425" s="22" t="str">
        <f>IF(OR(E425="",E425="!!!"),"",IF(NOT(ISNA(VLOOKUP(E425,E$1:E424,1,FALSE()))),"OLD",IF(AND(E425&lt;&gt;"",E425&lt;&gt;"!!!"),"NEW","")))</f>
        <v/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/>
      </c>
      <c r="H425" s="24" t="str">
        <f t="shared" ca="1" si="45"/>
        <v/>
      </c>
      <c r="I425" s="25" t="str">
        <f>IF(OR(E425="",E425="!!!",F425="NEW"),"",INDEX(B$2:B424,-1+SUMPRODUCT(MAX(ROW(E$2:E424)*(E425=E$2:E424)))))</f>
        <v/>
      </c>
      <c r="J425" s="25" t="str">
        <f ca="1">IF(OR(E425="",E425="!!!",F425="NEW"),"",COUNTBLANK(OFFSET(A$1,,,SUMPRODUCT(MAX(ROW(E$2:E425)*(E425=E$2:E425)))))-COUNTBLANK(OFFSET(A$1,,,SUMPRODUCT(MAX(ROW(E$1:E424)*(E2=E$1:E424))))))</f>
        <v/>
      </c>
      <c r="K425" s="25" t="str">
        <f>IF(OR(E425="",E425="!!!",F425="NEW"),"",INDEX(J$1:J424,SUMPRODUCT(MAX(ROW(E$1:E424)*(E425=E$1:E424)))))</f>
        <v/>
      </c>
      <c r="L425" s="26" t="s">
        <v>443</v>
      </c>
    </row>
    <row r="426" spans="1:12" x14ac:dyDescent="0.3">
      <c r="A426" t="s">
        <v>395</v>
      </c>
      <c r="B426" s="20" t="s">
        <v>158</v>
      </c>
      <c r="C426" s="20" t="s">
        <v>130</v>
      </c>
      <c r="D426" s="20" t="s">
        <v>131</v>
      </c>
      <c r="E426" s="21" t="s">
        <v>451</v>
      </c>
      <c r="F426" s="22" t="str">
        <f>IF(OR(E426="",E426="!!!"),"",IF(NOT(ISNA(VLOOKUP(E426,E$1:E425,1,FALSE()))),"OLD",IF(AND(E426&lt;&gt;"",E426&lt;&gt;"!!!"),"NEW","")))</f>
        <v>NEW</v>
      </c>
      <c r="G426" s="23" t="str">
        <f ca="1"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?REFERENTIAL</v>
      </c>
      <c r="H426" s="24" t="str">
        <f t="shared" ca="1" si="45"/>
        <v/>
      </c>
      <c r="I426" s="25" t="str">
        <f>IF(OR(E426="",E426="!!!",F426="NEW"),"",INDEX(B$2:B425,-1+SUMPRODUCT(MAX(ROW(E$2:E425)*(E426=E$2:E425)))))</f>
        <v/>
      </c>
      <c r="J426" s="25" t="str">
        <f ca="1">IF(OR(E426="",E426="!!!",F426="NEW"),"",COUNTBLANK(OFFSET(A$1,,,SUMPRODUCT(MAX(ROW(E$2:E426)*(E426=E$2:E426)))))-COUNTBLANK(OFFSET(A$1,,,SUMPRODUCT(MAX(ROW(E$1:E425)*(E2=E$1:E425))))))</f>
        <v/>
      </c>
      <c r="K426" s="25" t="str">
        <f>IF(OR(E426="",E426="!!!",F426="NEW"),"",INDEX(J$1:J425,SUMPRODUCT(MAX(ROW(E$1:E425)*(E426=E$1:E425)))))</f>
        <v/>
      </c>
      <c r="L426" s="26"/>
    </row>
    <row r="427" spans="1:12" x14ac:dyDescent="0.3">
      <c r="A427" t="s">
        <v>396</v>
      </c>
      <c r="E427" s="21" t="str">
        <f t="shared" si="44"/>
        <v/>
      </c>
      <c r="F427" s="22" t="str">
        <f>IF(OR(E427="",E427="!!!"),"",IF(NOT(ISNA(VLOOKUP(E427,E$1:E426,1,FALSE()))),"OLD",IF(AND(E427&lt;&gt;"",E427&lt;&gt;"!!!"),"NEW","")))</f>
        <v/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/>
      </c>
      <c r="H427" s="24" t="str">
        <f t="shared" ca="1" si="45"/>
        <v/>
      </c>
      <c r="I427" s="25" t="str">
        <f>IF(OR(E427="",E427="!!!",F427="NEW"),"",INDEX(B$2:B426,-1+SUMPRODUCT(MAX(ROW(E$2:E426)*(E427=E$2:E426)))))</f>
        <v/>
      </c>
      <c r="J427" s="25" t="str">
        <f ca="1">IF(OR(E427="",E427="!!!",F427="NEW"),"",COUNTBLANK(OFFSET(A$1,,,SUMPRODUCT(MAX(ROW(E$2:E427)*(E427=E$2:E427)))))-COUNTBLANK(OFFSET(A$1,,,SUMPRODUCT(MAX(ROW(E$1:E426)*(E2=E$1:E426))))))</f>
        <v/>
      </c>
      <c r="K427" s="25" t="str">
        <f>IF(OR(E427="",E427="!!!",F427="NEW"),"",INDEX(J$1:J426,SUMPRODUCT(MAX(ROW(E$1:E426)*(E427=E$1:E426)))))</f>
        <v/>
      </c>
      <c r="L427" s="26"/>
    </row>
    <row r="428" spans="1:12" x14ac:dyDescent="0.3">
      <c r="A428" t="s">
        <v>272</v>
      </c>
      <c r="E428" s="21" t="str">
        <f t="shared" si="44"/>
        <v/>
      </c>
      <c r="F428" s="22" t="str">
        <f>IF(OR(E428="",E428="!!!"),"",IF(NOT(ISNA(VLOOKUP(E428,E$1:E427,1,FALSE()))),"OLD",IF(AND(E428&lt;&gt;"",E428&lt;&gt;"!!!"),"NEW","")))</f>
        <v/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/>
      </c>
      <c r="H428" s="24" t="str">
        <f t="shared" ca="1" si="45"/>
        <v/>
      </c>
      <c r="I428" s="25" t="str">
        <f>IF(OR(E428="",E428="!!!",F428="NEW"),"",INDEX(B$2:B427,-1+SUMPRODUCT(MAX(ROW(E$2:E427)*(E428=E$2:E427)))))</f>
        <v/>
      </c>
      <c r="J428" s="25" t="str">
        <f ca="1">IF(OR(E428="",E428="!!!",F428="NEW"),"",COUNTBLANK(OFFSET(A$1,,,SUMPRODUCT(MAX(ROW(E$2:E428)*(E428=E$2:E428)))))-COUNTBLANK(OFFSET(A$1,,,SUMPRODUCT(MAX(ROW(E$1:E427)*(E2=E$1:E427))))))</f>
        <v/>
      </c>
      <c r="K428" s="25" t="str">
        <f>IF(OR(E428="",E428="!!!",F428="NEW"),"",INDEX(J$1:J427,SUMPRODUCT(MAX(ROW(E$1:E427)*(E428=E$1:E427)))))</f>
        <v/>
      </c>
      <c r="L428" s="26"/>
    </row>
    <row r="429" spans="1:12" x14ac:dyDescent="0.3">
      <c r="A429" t="s">
        <v>397</v>
      </c>
      <c r="B429" s="20" t="s">
        <v>158</v>
      </c>
      <c r="C429" s="20" t="s">
        <v>130</v>
      </c>
      <c r="D429" s="20" t="s">
        <v>131</v>
      </c>
      <c r="E429" s="21"/>
      <c r="F429" s="22" t="str">
        <f>IF(OR(E429="",E429="!!!"),"",IF(NOT(ISNA(VLOOKUP(E429,E$1:E428,1,FALSE()))),"OLD",IF(AND(E429&lt;&gt;"",E429&lt;&gt;"!!!"),"NEW","")))</f>
        <v/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/>
      </c>
      <c r="H429" s="24" t="str">
        <f t="shared" ca="1" si="45"/>
        <v/>
      </c>
      <c r="I429" s="25" t="str">
        <f>IF(OR(E429="",E429="!!!",F429="NEW"),"",INDEX(B$2:B428,-1+SUMPRODUCT(MAX(ROW(E$2:E428)*(E429=E$2:E428)))))</f>
        <v/>
      </c>
      <c r="J429" s="25" t="str">
        <f ca="1">IF(OR(E429="",E429="!!!",F429="NEW"),"",COUNTBLANK(OFFSET(A$1,,,SUMPRODUCT(MAX(ROW(E$2:E429)*(E429=E$2:E429)))))-COUNTBLANK(OFFSET(A$1,,,SUMPRODUCT(MAX(ROW(E$1:E428)*(E2=E$1:E428))))))</f>
        <v/>
      </c>
      <c r="K429" s="25" t="str">
        <f>IF(OR(E429="",E429="!!!",F429="NEW"),"",INDEX(J$1:J428,SUMPRODUCT(MAX(ROW(E$1:E428)*(E429=E$1:E428)))))</f>
        <v/>
      </c>
      <c r="L429" s="26" t="s">
        <v>452</v>
      </c>
    </row>
    <row r="430" spans="1:12" x14ac:dyDescent="0.3">
      <c r="A430" t="s">
        <v>248</v>
      </c>
      <c r="E430" s="21" t="str">
        <f t="shared" si="44"/>
        <v/>
      </c>
      <c r="F430" s="22" t="str">
        <f>IF(OR(E430="",E430="!!!"),"",IF(NOT(ISNA(VLOOKUP(E430,E$1:E429,1,FALSE()))),"OLD",IF(AND(E430&lt;&gt;"",E430&lt;&gt;"!!!"),"NEW","")))</f>
        <v/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/>
      </c>
      <c r="H430" s="24" t="str">
        <f t="shared" ca="1" si="45"/>
        <v/>
      </c>
      <c r="I430" s="25" t="str">
        <f>IF(OR(E430="",E430="!!!",F430="NEW"),"",INDEX(B$2:B429,-1+SUMPRODUCT(MAX(ROW(E$2:E429)*(E430=E$2:E429)))))</f>
        <v/>
      </c>
      <c r="J430" s="25" t="str">
        <f ca="1">IF(OR(E430="",E430="!!!",F430="NEW"),"",COUNTBLANK(OFFSET(A$1,,,SUMPRODUCT(MAX(ROW(E$2:E430)*(E430=E$2:E430)))))-COUNTBLANK(OFFSET(A$1,,,SUMPRODUCT(MAX(ROW(E$1:E429)*(E2=E$1:E429))))))</f>
        <v/>
      </c>
      <c r="K430" s="25" t="str">
        <f>IF(OR(E430="",E430="!!!",F430="NEW"),"",INDEX(J$1:J429,SUMPRODUCT(MAX(ROW(E$1:E429)*(E430=E$1:E429)))))</f>
        <v/>
      </c>
      <c r="L430" s="26"/>
    </row>
    <row r="431" spans="1:12" x14ac:dyDescent="0.3">
      <c r="A431" t="s">
        <v>398</v>
      </c>
      <c r="B431" s="20" t="s">
        <v>145</v>
      </c>
      <c r="C431" s="20" t="s">
        <v>137</v>
      </c>
      <c r="D431" s="20" t="s">
        <v>131</v>
      </c>
      <c r="E431" s="21" t="str">
        <f t="shared" si="44"/>
        <v>!!!</v>
      </c>
      <c r="F431" s="22" t="str">
        <f>IF(OR(E431="",E431="!!!"),"",IF(NOT(ISNA(VLOOKUP(E431,E$1:E430,1,FALSE()))),"OLD",IF(AND(E431&lt;&gt;"",E431&lt;&gt;"!!!"),"NEW","")))</f>
        <v/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/>
      </c>
      <c r="H431" s="24" t="str">
        <f t="shared" ca="1" si="45"/>
        <v/>
      </c>
      <c r="I431" s="25" t="str">
        <f>IF(OR(E431="",E431="!!!",F431="NEW"),"",INDEX(B$2:B430,-1+SUMPRODUCT(MAX(ROW(E$2:E430)*(E431=E$2:E430)))))</f>
        <v/>
      </c>
      <c r="J431" s="25" t="str">
        <f ca="1">IF(OR(E431="",E431="!!!",F431="NEW"),"",COUNTBLANK(OFFSET(A$1,,,SUMPRODUCT(MAX(ROW(E$2:E431)*(E431=E$2:E431)))))-COUNTBLANK(OFFSET(A$1,,,SUMPRODUCT(MAX(ROW(E$1:E430)*(E2=E$1:E430))))))</f>
        <v/>
      </c>
      <c r="K431" s="25" t="str">
        <f>IF(OR(E431="",E431="!!!",F431="NEW"),"",INDEX(J$1:J430,SUMPRODUCT(MAX(ROW(E$1:E430)*(E431=E$1:E430)))))</f>
        <v/>
      </c>
      <c r="L431" s="26" t="s">
        <v>443</v>
      </c>
    </row>
    <row r="432" spans="1:12" x14ac:dyDescent="0.3">
      <c r="A432" t="s">
        <v>399</v>
      </c>
      <c r="B432" s="20" t="s">
        <v>158</v>
      </c>
      <c r="C432" s="20" t="s">
        <v>130</v>
      </c>
      <c r="D432" s="20" t="s">
        <v>131</v>
      </c>
      <c r="E432" s="21" t="s">
        <v>453</v>
      </c>
      <c r="F432" s="22" t="str">
        <f>IF(OR(E432="",E432="!!!"),"",IF(NOT(ISNA(VLOOKUP(E432,E$1:E431,1,FALSE()))),"OLD",IF(AND(E432&lt;&gt;"",E432&lt;&gt;"!!!"),"NEW","")))</f>
        <v>NEW</v>
      </c>
      <c r="G432" s="23" t="str">
        <f ca="1"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?REFERENTIAL</v>
      </c>
      <c r="H432" s="24" t="str">
        <f t="shared" ca="1" si="45"/>
        <v/>
      </c>
      <c r="I432" s="25" t="str">
        <f>IF(OR(E432="",E432="!!!",F432="NEW"),"",INDEX(B$2:B431,-1+SUMPRODUCT(MAX(ROW(E$2:E431)*(E432=E$2:E431)))))</f>
        <v/>
      </c>
      <c r="J432" s="25" t="str">
        <f ca="1">IF(OR(E432="",E432="!!!",F432="NEW"),"",COUNTBLANK(OFFSET(A$1,,,SUMPRODUCT(MAX(ROW(E$2:E432)*(E432=E$2:E432)))))-COUNTBLANK(OFFSET(A$1,,,SUMPRODUCT(MAX(ROW(E$1:E431)*(E2=E$1:E431))))))</f>
        <v/>
      </c>
      <c r="K432" s="25" t="str">
        <f>IF(OR(E432="",E432="!!!",F432="NEW"),"",INDEX(J$1:J431,SUMPRODUCT(MAX(ROW(E$1:E431)*(E432=E$1:E431)))))</f>
        <v/>
      </c>
      <c r="L432" s="26"/>
    </row>
    <row r="433" spans="1:12" x14ac:dyDescent="0.3">
      <c r="A433" t="s">
        <v>400</v>
      </c>
      <c r="E433" s="21" t="str">
        <f t="shared" si="44"/>
        <v/>
      </c>
      <c r="F433" s="22" t="str">
        <f>IF(OR(E433="",E433="!!!"),"",IF(NOT(ISNA(VLOOKUP(E433,E$1:E432,1,FALSE()))),"OLD",IF(AND(E433&lt;&gt;"",E433&lt;&gt;"!!!"),"NEW","")))</f>
        <v/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/>
      </c>
      <c r="H433" s="24" t="str">
        <f t="shared" ca="1" si="45"/>
        <v/>
      </c>
      <c r="I433" s="25" t="str">
        <f>IF(OR(E433="",E433="!!!",F433="NEW"),"",INDEX(B$2:B432,-1+SUMPRODUCT(MAX(ROW(E$2:E432)*(E433=E$2:E432)))))</f>
        <v/>
      </c>
      <c r="J433" s="25" t="str">
        <f ca="1">IF(OR(E433="",E433="!!!",F433="NEW"),"",COUNTBLANK(OFFSET(A$1,,,SUMPRODUCT(MAX(ROW(E$2:E433)*(E433=E$2:E433)))))-COUNTBLANK(OFFSET(A$1,,,SUMPRODUCT(MAX(ROW(E$1:E432)*(E2=E$1:E432))))))</f>
        <v/>
      </c>
      <c r="K433" s="25" t="str">
        <f>IF(OR(E433="",E433="!!!",F433="NEW"),"",INDEX(J$1:J432,SUMPRODUCT(MAX(ROW(E$1:E432)*(E433=E$1:E432)))))</f>
        <v/>
      </c>
      <c r="L433" s="26"/>
    </row>
    <row r="434" spans="1:12" x14ac:dyDescent="0.3">
      <c r="A434" t="s">
        <v>148</v>
      </c>
      <c r="E434" s="21" t="str">
        <f t="shared" si="44"/>
        <v/>
      </c>
      <c r="F434" s="22" t="str">
        <f>IF(OR(E434="",E434="!!!"),"",IF(NOT(ISNA(VLOOKUP(E434,E$1:E433,1,FALSE()))),"OLD",IF(AND(E434&lt;&gt;"",E434&lt;&gt;"!!!"),"NEW","")))</f>
        <v/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/>
      </c>
      <c r="H434" s="24" t="str">
        <f t="shared" ca="1" si="45"/>
        <v/>
      </c>
      <c r="I434" s="25" t="str">
        <f>IF(OR(E434="",E434="!!!",F434="NEW"),"",INDEX(B$2:B433,-1+SUMPRODUCT(MAX(ROW(E$2:E433)*(E434=E$2:E433)))))</f>
        <v/>
      </c>
      <c r="J434" s="25" t="str">
        <f ca="1">IF(OR(E434="",E434="!!!",F434="NEW"),"",COUNTBLANK(OFFSET(A$1,,,SUMPRODUCT(MAX(ROW(E$2:E434)*(E434=E$2:E434)))))-COUNTBLANK(OFFSET(A$1,,,SUMPRODUCT(MAX(ROW(E$1:E433)*(E2=E$1:E433))))))</f>
        <v/>
      </c>
      <c r="K434" s="25" t="str">
        <f>IF(OR(E434="",E434="!!!",F434="NEW"),"",INDEX(J$1:J433,SUMPRODUCT(MAX(ROW(E$1:E433)*(E434=E$1:E433)))))</f>
        <v/>
      </c>
      <c r="L434" s="26"/>
    </row>
    <row r="436" spans="1:12" x14ac:dyDescent="0.3">
      <c r="A436" t="s">
        <v>401</v>
      </c>
    </row>
    <row r="437" spans="1:12" x14ac:dyDescent="0.3">
      <c r="A437" t="s">
        <v>402</v>
      </c>
      <c r="B437" s="20" t="s">
        <v>129</v>
      </c>
      <c r="C437" s="20" t="s">
        <v>201</v>
      </c>
      <c r="D437" s="20" t="s">
        <v>131</v>
      </c>
      <c r="E437" s="21" t="s">
        <v>496</v>
      </c>
      <c r="F437" s="22" t="str">
        <f>IF(OR(E437="",E437="!!!"),"",IF(NOT(ISNA(VLOOKUP(E437,E$1:E436,1,FALSE()))),"OLD",IF(AND(E437&lt;&gt;"",E437&lt;&gt;"!!!"),"NEW","")))</f>
        <v>NEW</v>
      </c>
      <c r="G437" s="23" t="str">
        <f ca="1"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?REFERENTIAL</v>
      </c>
      <c r="H437" s="24" t="str">
        <f t="shared" ref="H437:H447" ca="1" si="46">IF(J437&lt;&gt;1,"",IF(I437="SBJ","CB","?"))</f>
        <v/>
      </c>
      <c r="I437" s="25" t="str">
        <f>IF(OR(E437="",E437="!!!",F437="NEW"),"",INDEX(B$2:B436,-1+SUMPRODUCT(MAX(ROW(E$2:E436)*(E437=E$2:E436)))))</f>
        <v/>
      </c>
      <c r="J437" s="25" t="str">
        <f ca="1">IF(OR(E437="",E437="!!!",F437="NEW"),"",COUNTBLANK(OFFSET(A$1,,,SUMPRODUCT(MAX(ROW(E$2:E437)*(E437=E$2:E437)))))-COUNTBLANK(OFFSET(A$1,,,SUMPRODUCT(MAX(ROW(E$1:E436)*(E2=E$1:E436))))))</f>
        <v/>
      </c>
      <c r="K437" s="25" t="str">
        <f>IF(OR(E437="",E437="!!!",F437="NEW"),"",INDEX(J$1:J436,SUMPRODUCT(MAX(ROW(E$1:E436)*(E437=E$1:E436)))))</f>
        <v/>
      </c>
      <c r="L437" s="26" t="s">
        <v>495</v>
      </c>
    </row>
    <row r="438" spans="1:12" x14ac:dyDescent="0.3">
      <c r="A438" t="s">
        <v>403</v>
      </c>
      <c r="B438" s="20" t="s">
        <v>158</v>
      </c>
      <c r="C438" s="20" t="s">
        <v>216</v>
      </c>
      <c r="D438" s="20" t="s">
        <v>131</v>
      </c>
      <c r="E438" s="21"/>
      <c r="F438" s="22" t="str">
        <f>IF(OR(E438="",E438="!!!"),"",IF(NOT(ISNA(VLOOKUP(E438,E$1:E437,1,FALSE()))),"OLD",IF(AND(E438&lt;&gt;"",E438&lt;&gt;"!!!"),"NEW","")))</f>
        <v/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/>
      </c>
      <c r="H438" s="24" t="str">
        <f t="shared" ca="1" si="46"/>
        <v/>
      </c>
      <c r="I438" s="25" t="str">
        <f>IF(OR(E438="",E438="!!!",F438="NEW"),"",INDEX(B$2:B437,-1+SUMPRODUCT(MAX(ROW(E$2:E437)*(E438=E$2:E437)))))</f>
        <v/>
      </c>
      <c r="J438" s="25" t="str">
        <f ca="1">IF(OR(E438="",E438="!!!",F438="NEW"),"",COUNTBLANK(OFFSET(A$1,,,SUMPRODUCT(MAX(ROW(E$2:E438)*(E438=E$2:E438)))))-COUNTBLANK(OFFSET(A$1,,,SUMPRODUCT(MAX(ROW(E$1:E437)*(E2=E$1:E437))))))</f>
        <v/>
      </c>
      <c r="K438" s="25" t="str">
        <f>IF(OR(E438="",E438="!!!",F438="NEW"),"",INDEX(J$1:J437,SUMPRODUCT(MAX(ROW(E$1:E437)*(E438=E$1:E437)))))</f>
        <v/>
      </c>
      <c r="L438" s="26" t="s">
        <v>454</v>
      </c>
    </row>
    <row r="439" spans="1:12" x14ac:dyDescent="0.3">
      <c r="A439" t="s">
        <v>404</v>
      </c>
      <c r="B439" s="20" t="s">
        <v>145</v>
      </c>
      <c r="C439" s="20" t="s">
        <v>218</v>
      </c>
      <c r="D439" s="20" t="s">
        <v>131</v>
      </c>
      <c r="E439" s="21" t="s">
        <v>494</v>
      </c>
      <c r="F439" s="22" t="str">
        <f>IF(OR(E439="",E439="!!!"),"",IF(NOT(ISNA(VLOOKUP(E439,E$1:E438,1,FALSE()))),"OLD",IF(AND(E439&lt;&gt;"",E439&lt;&gt;"!!!"),"NEW","")))</f>
        <v>OLD</v>
      </c>
      <c r="G439" s="23" t="str">
        <f ca="1"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?IN_FOCUS</v>
      </c>
      <c r="H439" s="24" t="str">
        <f t="shared" ca="1" si="46"/>
        <v/>
      </c>
      <c r="I439" s="25" t="str">
        <f>IF(OR(E439="",E439="!!!",F439="NEW"),"",INDEX(B$2:B438,-1+SUMPRODUCT(MAX(ROW(E$2:E438)*(E439=E$2:E438)))))</f>
        <v>other</v>
      </c>
      <c r="J439" s="25">
        <f ca="1">IF(OR(E439="",E439="!!!",F439="NEW"),"",COUNTBLANK(OFFSET(A$1,,,SUMPRODUCT(MAX(ROW(E$2:E439)*(E439=E$2:E439)))))-COUNTBLANK(OFFSET(A$1,,,SUMPRODUCT(MAX(ROW(E$1:E438)*(E2=E$1:E438))))))</f>
        <v>0</v>
      </c>
      <c r="K439" s="25">
        <f ca="1">IF(OR(E439="",E439="!!!",F439="NEW"),"",INDEX(J$1:J438,SUMPRODUCT(MAX(ROW(E$1:E438)*(E439=E$1:E438)))))</f>
        <v>0</v>
      </c>
      <c r="L439" s="26"/>
    </row>
    <row r="440" spans="1:12" x14ac:dyDescent="0.3">
      <c r="A440" t="s">
        <v>405</v>
      </c>
      <c r="E440" s="21" t="str">
        <f t="shared" ref="E437:E447" si="47">IF(D440="?OLD","!!!","")</f>
        <v/>
      </c>
      <c r="F440" s="22" t="str">
        <f>IF(OR(E440="",E440="!!!"),"",IF(NOT(ISNA(VLOOKUP(E440,E$1:E439,1,FALSE()))),"OLD",IF(AND(E440&lt;&gt;"",E440&lt;&gt;"!!!"),"NEW","")))</f>
        <v/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/>
      </c>
      <c r="H440" s="24" t="str">
        <f t="shared" ca="1" si="46"/>
        <v/>
      </c>
      <c r="I440" s="25" t="str">
        <f>IF(OR(E440="",E440="!!!",F440="NEW"),"",INDEX(B$2:B439,-1+SUMPRODUCT(MAX(ROW(E$2:E439)*(E440=E$2:E439)))))</f>
        <v/>
      </c>
      <c r="J440" s="25" t="str">
        <f ca="1">IF(OR(E440="",E440="!!!",F440="NEW"),"",COUNTBLANK(OFFSET(A$1,,,SUMPRODUCT(MAX(ROW(E$2:E440)*(E440=E$2:E440)))))-COUNTBLANK(OFFSET(A$1,,,SUMPRODUCT(MAX(ROW(E$1:E439)*(E2=E$1:E439))))))</f>
        <v/>
      </c>
      <c r="K440" s="25" t="str">
        <f>IF(OR(E440="",E440="!!!",F440="NEW"),"",INDEX(J$1:J439,SUMPRODUCT(MAX(ROW(E$1:E439)*(E440=E$1:E439)))))</f>
        <v/>
      </c>
      <c r="L440" s="26"/>
    </row>
    <row r="441" spans="1:12" x14ac:dyDescent="0.3">
      <c r="A441" t="s">
        <v>171</v>
      </c>
      <c r="E441" s="21" t="str">
        <f t="shared" si="47"/>
        <v/>
      </c>
      <c r="F441" s="22" t="str">
        <f>IF(OR(E441="",E441="!!!"),"",IF(NOT(ISNA(VLOOKUP(E441,E$1:E440,1,FALSE()))),"OLD",IF(AND(E441&lt;&gt;"",E441&lt;&gt;"!!!"),"NEW","")))</f>
        <v/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/>
      </c>
      <c r="H441" s="24" t="str">
        <f t="shared" ca="1" si="46"/>
        <v/>
      </c>
      <c r="I441" s="25" t="str">
        <f>IF(OR(E441="",E441="!!!",F441="NEW"),"",INDEX(B$2:B440,-1+SUMPRODUCT(MAX(ROW(E$2:E440)*(E441=E$2:E440)))))</f>
        <v/>
      </c>
      <c r="J441" s="25" t="str">
        <f ca="1">IF(OR(E441="",E441="!!!",F441="NEW"),"",COUNTBLANK(OFFSET(A$1,,,SUMPRODUCT(MAX(ROW(E$2:E441)*(E441=E$2:E441)))))-COUNTBLANK(OFFSET(A$1,,,SUMPRODUCT(MAX(ROW(E$1:E440)*(E2=E$1:E440))))))</f>
        <v/>
      </c>
      <c r="K441" s="25" t="str">
        <f>IF(OR(E441="",E441="!!!",F441="NEW"),"",INDEX(J$1:J440,SUMPRODUCT(MAX(ROW(E$1:E440)*(E441=E$1:E440)))))</f>
        <v/>
      </c>
      <c r="L441" s="26"/>
    </row>
    <row r="442" spans="1:12" x14ac:dyDescent="0.3">
      <c r="A442" t="s">
        <v>143</v>
      </c>
      <c r="E442" s="21" t="str">
        <f t="shared" si="47"/>
        <v/>
      </c>
      <c r="F442" s="22" t="str">
        <f>IF(OR(E442="",E442="!!!"),"",IF(NOT(ISNA(VLOOKUP(E442,E$1:E441,1,FALSE()))),"OLD",IF(AND(E442&lt;&gt;"",E442&lt;&gt;"!!!"),"NEW","")))</f>
        <v/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/>
      </c>
      <c r="H442" s="24" t="str">
        <f t="shared" ca="1" si="46"/>
        <v/>
      </c>
      <c r="I442" s="25" t="str">
        <f>IF(OR(E442="",E442="!!!",F442="NEW"),"",INDEX(B$2:B441,-1+SUMPRODUCT(MAX(ROW(E$2:E441)*(E442=E$2:E441)))))</f>
        <v/>
      </c>
      <c r="J442" s="25" t="str">
        <f ca="1">IF(OR(E442="",E442="!!!",F442="NEW"),"",COUNTBLANK(OFFSET(A$1,,,SUMPRODUCT(MAX(ROW(E$2:E442)*(E442=E$2:E442)))))-COUNTBLANK(OFFSET(A$1,,,SUMPRODUCT(MAX(ROW(E$1:E441)*(E2=E$1:E441))))))</f>
        <v/>
      </c>
      <c r="K442" s="25" t="str">
        <f>IF(OR(E442="",E442="!!!",F442="NEW"),"",INDEX(J$1:J441,SUMPRODUCT(MAX(ROW(E$1:E441)*(E442=E$1:E441)))))</f>
        <v/>
      </c>
      <c r="L442" s="26"/>
    </row>
    <row r="443" spans="1:12" x14ac:dyDescent="0.3">
      <c r="A443" t="s">
        <v>240</v>
      </c>
      <c r="B443" s="20" t="s">
        <v>152</v>
      </c>
      <c r="C443" s="20" t="s">
        <v>130</v>
      </c>
      <c r="D443" s="20" t="s">
        <v>131</v>
      </c>
      <c r="E443" s="21" t="s">
        <v>469</v>
      </c>
      <c r="F443" s="22" t="s">
        <v>470</v>
      </c>
      <c r="G443" s="23" t="str">
        <f ca="1"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?IN_FOCUS</v>
      </c>
      <c r="H443" s="24" t="str">
        <f t="shared" ca="1" si="46"/>
        <v/>
      </c>
      <c r="I443" s="25" t="str">
        <f>IF(OR(E443="",E443="!!!",F443="NEW"),"",INDEX(B$2:B442,-1+SUMPRODUCT(MAX(ROW(E$2:E442)*(E443=E$2:E442)))))</f>
        <v>other_3</v>
      </c>
      <c r="J443" s="25">
        <f ca="1">IF(OR(E443="",E443="!!!",F443="NEW"),"",COUNTBLANK(OFFSET(A$1,,,SUMPRODUCT(MAX(ROW(E$2:E443)*(E443=E$2:E443)))))-COUNTBLANK(OFFSET(A$1,,,SUMPRODUCT(MAX(ROW(E$1:E442)*(E2=E$1:E442))))))</f>
        <v>0</v>
      </c>
      <c r="K443" s="25">
        <f ca="1">IF(OR(E443="",E443="!!!",F443="NEW"),"",INDEX(J$1:J442,SUMPRODUCT(MAX(ROW(E$1:E442)*(E443=E$1:E442)))))</f>
        <v>0</v>
      </c>
      <c r="L443" s="26"/>
    </row>
    <row r="444" spans="1:12" x14ac:dyDescent="0.3">
      <c r="A444" t="s">
        <v>205</v>
      </c>
      <c r="E444" s="21" t="str">
        <f t="shared" si="47"/>
        <v/>
      </c>
      <c r="F444" s="22" t="str">
        <f>IF(OR(E444="",E444="!!!"),"",IF(NOT(ISNA(VLOOKUP(E444,E$1:E443,1,FALSE()))),"OLD",IF(AND(E444&lt;&gt;"",E444&lt;&gt;"!!!"),"NEW","")))</f>
        <v/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/>
      </c>
      <c r="H444" s="24" t="str">
        <f t="shared" ca="1" si="46"/>
        <v/>
      </c>
      <c r="I444" s="25" t="str">
        <f>IF(OR(E444="",E444="!!!",F444="NEW"),"",INDEX(B$2:B443,-1+SUMPRODUCT(MAX(ROW(E$2:E443)*(E444=E$2:E443)))))</f>
        <v/>
      </c>
      <c r="J444" s="25" t="str">
        <f ca="1">IF(OR(E444="",E444="!!!",F444="NEW"),"",COUNTBLANK(OFFSET(A$1,,,SUMPRODUCT(MAX(ROW(E$2:E444)*(E444=E$2:E444)))))-COUNTBLANK(OFFSET(A$1,,,SUMPRODUCT(MAX(ROW(E$1:E443)*(E2=E$1:E443))))))</f>
        <v/>
      </c>
      <c r="K444" s="25" t="str">
        <f>IF(OR(E444="",E444="!!!",F444="NEW"),"",INDEX(J$1:J443,SUMPRODUCT(MAX(ROW(E$1:E443)*(E444=E$1:E443)))))</f>
        <v/>
      </c>
      <c r="L444" s="26"/>
    </row>
    <row r="445" spans="1:12" x14ac:dyDescent="0.3">
      <c r="A445" t="s">
        <v>271</v>
      </c>
      <c r="B445" s="20" t="s">
        <v>152</v>
      </c>
      <c r="C445" s="20" t="s">
        <v>130</v>
      </c>
      <c r="D445" s="20" t="s">
        <v>131</v>
      </c>
      <c r="E445" s="21" t="s">
        <v>431</v>
      </c>
      <c r="F445" s="22" t="str">
        <f>IF(OR(E445="",E445="!!!"),"",IF(NOT(ISNA(VLOOKUP(E445,E$1:E444,1,FALSE()))),"OLD",IF(AND(E445&lt;&gt;"",E445&lt;&gt;"!!!"),"NEW","")))</f>
        <v>OLD</v>
      </c>
      <c r="G445" s="23" t="str">
        <f ca="1"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?IN_FOCUS</v>
      </c>
      <c r="H445" s="24" t="str">
        <f t="shared" ca="1" si="46"/>
        <v/>
      </c>
      <c r="I445" s="25" t="str">
        <f>IF(OR(E445="",E445="!!!",F445="NEW"),"",INDEX(B$2:B444,-1+SUMPRODUCT(MAX(ROW(E$2:E444)*(E445=E$2:E444)))))</f>
        <v>other</v>
      </c>
      <c r="J445" s="25">
        <f ca="1">IF(OR(E445="",E445="!!!",F445="NEW"),"",COUNTBLANK(OFFSET(A$1,,,SUMPRODUCT(MAX(ROW(E$2:E445)*(E445=E$2:E445)))))-COUNTBLANK(OFFSET(A$1,,,SUMPRODUCT(MAX(ROW(E$1:E444)*(E2=E$1:E444))))))</f>
        <v>0</v>
      </c>
      <c r="K445" s="25">
        <f ca="1">IF(OR(E445="",E445="!!!",F445="NEW"),"",INDEX(J$1:J444,SUMPRODUCT(MAX(ROW(E$1:E444)*(E445=E$1:E444)))))</f>
        <v>0</v>
      </c>
      <c r="L445" s="26"/>
    </row>
    <row r="446" spans="1:12" x14ac:dyDescent="0.3">
      <c r="A446" t="s">
        <v>406</v>
      </c>
      <c r="E446" s="21" t="str">
        <f t="shared" si="47"/>
        <v/>
      </c>
      <c r="F446" s="22" t="str">
        <f>IF(OR(E446="",E446="!!!"),"",IF(NOT(ISNA(VLOOKUP(E446,E$1:E445,1,FALSE()))),"OLD",IF(AND(E446&lt;&gt;"",E446&lt;&gt;"!!!"),"NEW","")))</f>
        <v/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/>
      </c>
      <c r="H446" s="24" t="str">
        <f t="shared" ca="1" si="46"/>
        <v/>
      </c>
      <c r="I446" s="25" t="str">
        <f>IF(OR(E446="",E446="!!!",F446="NEW"),"",INDEX(B$2:B445,-1+SUMPRODUCT(MAX(ROW(E$2:E445)*(E446=E$2:E445)))))</f>
        <v/>
      </c>
      <c r="J446" s="25" t="str">
        <f ca="1">IF(OR(E446="",E446="!!!",F446="NEW"),"",COUNTBLANK(OFFSET(A$1,,,SUMPRODUCT(MAX(ROW(E$2:E446)*(E446=E$2:E446)))))-COUNTBLANK(OFFSET(A$1,,,SUMPRODUCT(MAX(ROW(E$1:E445)*(E2=E$1:E445))))))</f>
        <v/>
      </c>
      <c r="K446" s="25" t="str">
        <f>IF(OR(E446="",E446="!!!",F446="NEW"),"",INDEX(J$1:J445,SUMPRODUCT(MAX(ROW(E$1:E445)*(E446=E$1:E445)))))</f>
        <v/>
      </c>
      <c r="L446" s="26"/>
    </row>
    <row r="447" spans="1:12" x14ac:dyDescent="0.3">
      <c r="A447" t="s">
        <v>148</v>
      </c>
      <c r="E447" s="21" t="str">
        <f t="shared" si="47"/>
        <v/>
      </c>
      <c r="F447" s="22" t="str">
        <f>IF(OR(E447="",E447="!!!"),"",IF(NOT(ISNA(VLOOKUP(E447,E$1:E446,1,FALSE()))),"OLD",IF(AND(E447&lt;&gt;"",E447&lt;&gt;"!!!"),"NEW","")))</f>
        <v/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/>
      </c>
      <c r="H447" s="24" t="str">
        <f t="shared" ca="1" si="46"/>
        <v/>
      </c>
      <c r="I447" s="25" t="str">
        <f>IF(OR(E447="",E447="!!!",F447="NEW"),"",INDEX(B$2:B446,-1+SUMPRODUCT(MAX(ROW(E$2:E446)*(E447=E$2:E446)))))</f>
        <v/>
      </c>
      <c r="J447" s="25" t="str">
        <f ca="1">IF(OR(E447="",E447="!!!",F447="NEW"),"",COUNTBLANK(OFFSET(A$1,,,SUMPRODUCT(MAX(ROW(E$2:E447)*(E447=E$2:E447)))))-COUNTBLANK(OFFSET(A$1,,,SUMPRODUCT(MAX(ROW(E$1:E446)*(E2=E$1:E446))))))</f>
        <v/>
      </c>
      <c r="K447" s="25" t="str">
        <f>IF(OR(E447="",E447="!!!",F447="NEW"),"",INDEX(J$1:J446,SUMPRODUCT(MAX(ROW(E$1:E446)*(E447=E$1:E446)))))</f>
        <v/>
      </c>
      <c r="L447" s="26"/>
    </row>
    <row r="449" spans="1:12" x14ac:dyDescent="0.3">
      <c r="A449" t="s">
        <v>407</v>
      </c>
    </row>
    <row r="450" spans="1:12" x14ac:dyDescent="0.3">
      <c r="A450" t="s">
        <v>191</v>
      </c>
      <c r="E450" s="21" t="str">
        <f t="shared" ref="E450:E468" si="48">IF(D450="?OLD","!!!","")</f>
        <v/>
      </c>
      <c r="F450" s="22" t="str">
        <f>IF(OR(E450="",E450="!!!"),"",IF(NOT(ISNA(VLOOKUP(E450,E$1:E449,1,FALSE()))),"OLD",IF(AND(E450&lt;&gt;"",E450&lt;&gt;"!!!"),"NEW","")))</f>
        <v/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/>
      </c>
      <c r="H450" s="24" t="str">
        <f t="shared" ref="H450:H468" ca="1" si="49">IF(J450&lt;&gt;1,"",IF(I450="SBJ","CB","?"))</f>
        <v/>
      </c>
      <c r="I450" s="25" t="str">
        <f>IF(OR(E450="",E450="!!!",F450="NEW"),"",INDEX(B$2:B449,-1+SUMPRODUCT(MAX(ROW(E$2:E449)*(E450=E$2:E449)))))</f>
        <v/>
      </c>
      <c r="J450" s="25" t="str">
        <f ca="1">IF(OR(E450="",E450="!!!",F450="NEW"),"",COUNTBLANK(OFFSET(A$1,,,SUMPRODUCT(MAX(ROW(E$2:E450)*(E450=E$2:E450)))))-COUNTBLANK(OFFSET(A$1,,,SUMPRODUCT(MAX(ROW(E$1:E449)*(E2=E$1:E449))))))</f>
        <v/>
      </c>
      <c r="K450" s="25" t="str">
        <f>IF(OR(E450="",E450="!!!",F450="NEW"),"",INDEX(J$1:J449,SUMPRODUCT(MAX(ROW(E$1:E449)*(E450=E$1:E449)))))</f>
        <v/>
      </c>
      <c r="L450" s="26"/>
    </row>
    <row r="451" spans="1:12" x14ac:dyDescent="0.3">
      <c r="A451" t="s">
        <v>143</v>
      </c>
      <c r="E451" s="21" t="str">
        <f t="shared" si="48"/>
        <v/>
      </c>
      <c r="F451" s="22" t="str">
        <f>IF(OR(E451="",E451="!!!"),"",IF(NOT(ISNA(VLOOKUP(E451,E$1:E450,1,FALSE()))),"OLD",IF(AND(E451&lt;&gt;"",E451&lt;&gt;"!!!"),"NEW","")))</f>
        <v/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/>
      </c>
      <c r="H451" s="24" t="str">
        <f t="shared" ca="1" si="49"/>
        <v/>
      </c>
      <c r="I451" s="25" t="str">
        <f>IF(OR(E451="",E451="!!!",F451="NEW"),"",INDEX(B$2:B450,-1+SUMPRODUCT(MAX(ROW(E$2:E450)*(E451=E$2:E450)))))</f>
        <v/>
      </c>
      <c r="J451" s="25" t="str">
        <f ca="1">IF(OR(E451="",E451="!!!",F451="NEW"),"",COUNTBLANK(OFFSET(A$1,,,SUMPRODUCT(MAX(ROW(E$2:E451)*(E451=E$2:E451)))))-COUNTBLANK(OFFSET(A$1,,,SUMPRODUCT(MAX(ROW(E$1:E450)*(E2=E$1:E450))))))</f>
        <v/>
      </c>
      <c r="K451" s="25" t="str">
        <f>IF(OR(E451="",E451="!!!",F451="NEW"),"",INDEX(J$1:J450,SUMPRODUCT(MAX(ROW(E$1:E450)*(E451=E$1:E450)))))</f>
        <v/>
      </c>
      <c r="L451" s="26"/>
    </row>
    <row r="452" spans="1:12" x14ac:dyDescent="0.3">
      <c r="A452" t="s">
        <v>408</v>
      </c>
      <c r="E452" s="21" t="str">
        <f t="shared" si="48"/>
        <v/>
      </c>
      <c r="F452" s="22" t="str">
        <f>IF(OR(E452="",E452="!!!"),"",IF(NOT(ISNA(VLOOKUP(E452,E$1:E451,1,FALSE()))),"OLD",IF(AND(E452&lt;&gt;"",E452&lt;&gt;"!!!"),"NEW","")))</f>
        <v/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/>
      </c>
      <c r="H452" s="24" t="str">
        <f t="shared" ca="1" si="49"/>
        <v/>
      </c>
      <c r="I452" s="25" t="str">
        <f>IF(OR(E452="",E452="!!!",F452="NEW"),"",INDEX(B$2:B451,-1+SUMPRODUCT(MAX(ROW(E$2:E451)*(E452=E$2:E451)))))</f>
        <v/>
      </c>
      <c r="J452" s="25" t="str">
        <f ca="1">IF(OR(E452="",E452="!!!",F452="NEW"),"",COUNTBLANK(OFFSET(A$1,,,SUMPRODUCT(MAX(ROW(E$2:E452)*(E452=E$2:E452)))))-COUNTBLANK(OFFSET(A$1,,,SUMPRODUCT(MAX(ROW(E$1:E451)*(E2=E$1:E451))))))</f>
        <v/>
      </c>
      <c r="K452" s="25" t="str">
        <f>IF(OR(E452="",E452="!!!",F452="NEW"),"",INDEX(J$1:J451,SUMPRODUCT(MAX(ROW(E$1:E451)*(E452=E$1:E451)))))</f>
        <v/>
      </c>
      <c r="L452" s="26"/>
    </row>
    <row r="453" spans="1:12" x14ac:dyDescent="0.3">
      <c r="A453" t="s">
        <v>409</v>
      </c>
      <c r="B453" s="20" t="s">
        <v>152</v>
      </c>
      <c r="C453" s="20" t="s">
        <v>137</v>
      </c>
      <c r="D453" s="20" t="s">
        <v>131</v>
      </c>
      <c r="E453" s="21" t="s">
        <v>497</v>
      </c>
      <c r="F453" s="22" t="str">
        <f>IF(OR(E453="",E453="!!!"),"",IF(NOT(ISNA(VLOOKUP(E453,E$1:E452,1,FALSE()))),"OLD",IF(AND(E453&lt;&gt;"",E453&lt;&gt;"!!!"),"NEW","")))</f>
        <v>NEW</v>
      </c>
      <c r="G453" s="23" t="str">
        <f ca="1"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?REFERENTIAL</v>
      </c>
      <c r="H453" s="24" t="str">
        <f t="shared" ca="1" si="49"/>
        <v/>
      </c>
      <c r="I453" s="25" t="str">
        <f>IF(OR(E453="",E453="!!!",F453="NEW"),"",INDEX(B$2:B452,-1+SUMPRODUCT(MAX(ROW(E$2:E452)*(E453=E$2:E452)))))</f>
        <v/>
      </c>
      <c r="J453" s="25" t="str">
        <f ca="1">IF(OR(E453="",E453="!!!",F453="NEW"),"",COUNTBLANK(OFFSET(A$1,,,SUMPRODUCT(MAX(ROW(E$2:E453)*(E453=E$2:E453)))))-COUNTBLANK(OFFSET(A$1,,,SUMPRODUCT(MAX(ROW(E$1:E452)*(E2=E$1:E452))))))</f>
        <v/>
      </c>
      <c r="K453" s="25" t="str">
        <f>IF(OR(E453="",E453="!!!",F453="NEW"),"",INDEX(J$1:J452,SUMPRODUCT(MAX(ROW(E$1:E452)*(E453=E$1:E452)))))</f>
        <v/>
      </c>
      <c r="L453" s="26"/>
    </row>
    <row r="454" spans="1:12" x14ac:dyDescent="0.3">
      <c r="A454" t="s">
        <v>410</v>
      </c>
      <c r="E454" s="21" t="str">
        <f t="shared" si="48"/>
        <v/>
      </c>
      <c r="F454" s="22" t="str">
        <f>IF(OR(E454="",E454="!!!"),"",IF(NOT(ISNA(VLOOKUP(E454,E$1:E453,1,FALSE()))),"OLD",IF(AND(E454&lt;&gt;"",E454&lt;&gt;"!!!"),"NEW","")))</f>
        <v/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/>
      </c>
      <c r="H454" s="24" t="str">
        <f t="shared" ca="1" si="49"/>
        <v/>
      </c>
      <c r="I454" s="25" t="str">
        <f>IF(OR(E454="",E454="!!!",F454="NEW"),"",INDEX(B$2:B453,-1+SUMPRODUCT(MAX(ROW(E$2:E453)*(E454=E$2:E453)))))</f>
        <v/>
      </c>
      <c r="J454" s="25" t="str">
        <f ca="1">IF(OR(E454="",E454="!!!",F454="NEW"),"",COUNTBLANK(OFFSET(A$1,,,SUMPRODUCT(MAX(ROW(E$2:E454)*(E454=E$2:E454)))))-COUNTBLANK(OFFSET(A$1,,,SUMPRODUCT(MAX(ROW(E$1:E453)*(E2=E$1:E453))))))</f>
        <v/>
      </c>
      <c r="K454" s="25" t="str">
        <f>IF(OR(E454="",E454="!!!",F454="NEW"),"",INDEX(J$1:J453,SUMPRODUCT(MAX(ROW(E$1:E453)*(E454=E$1:E453)))))</f>
        <v/>
      </c>
      <c r="L454" s="26"/>
    </row>
    <row r="455" spans="1:12" x14ac:dyDescent="0.3">
      <c r="A455" t="s">
        <v>134</v>
      </c>
      <c r="E455" s="21" t="str">
        <f t="shared" si="48"/>
        <v/>
      </c>
      <c r="F455" s="22" t="str">
        <f>IF(OR(E455="",E455="!!!"),"",IF(NOT(ISNA(VLOOKUP(E455,E$1:E454,1,FALSE()))),"OLD",IF(AND(E455&lt;&gt;"",E455&lt;&gt;"!!!"),"NEW","")))</f>
        <v/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/>
      </c>
      <c r="H455" s="24" t="str">
        <f t="shared" ca="1" si="49"/>
        <v/>
      </c>
      <c r="I455" s="25" t="str">
        <f>IF(OR(E455="",E455="!!!",F455="NEW"),"",INDEX(B$2:B454,-1+SUMPRODUCT(MAX(ROW(E$2:E454)*(E455=E$2:E454)))))</f>
        <v/>
      </c>
      <c r="J455" s="25" t="str">
        <f ca="1">IF(OR(E455="",E455="!!!",F455="NEW"),"",COUNTBLANK(OFFSET(A$1,,,SUMPRODUCT(MAX(ROW(E$2:E455)*(E455=E$2:E455)))))-COUNTBLANK(OFFSET(A$1,,,SUMPRODUCT(MAX(ROW(E$1:E454)*(E2=E$1:E454))))))</f>
        <v/>
      </c>
      <c r="K455" s="25" t="str">
        <f>IF(OR(E455="",E455="!!!",F455="NEW"),"",INDEX(J$1:J454,SUMPRODUCT(MAX(ROW(E$1:E454)*(E455=E$1:E454)))))</f>
        <v/>
      </c>
      <c r="L455" s="26"/>
    </row>
    <row r="456" spans="1:12" x14ac:dyDescent="0.3">
      <c r="A456" t="s">
        <v>411</v>
      </c>
      <c r="E456" s="21" t="str">
        <f t="shared" si="48"/>
        <v/>
      </c>
      <c r="F456" s="22" t="str">
        <f>IF(OR(E456="",E456="!!!"),"",IF(NOT(ISNA(VLOOKUP(E456,E$1:E455,1,FALSE()))),"OLD",IF(AND(E456&lt;&gt;"",E456&lt;&gt;"!!!"),"NEW","")))</f>
        <v/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/>
      </c>
      <c r="H456" s="24" t="str">
        <f t="shared" ca="1" si="49"/>
        <v/>
      </c>
      <c r="I456" s="25" t="str">
        <f>IF(OR(E456="",E456="!!!",F456="NEW"),"",INDEX(B$2:B455,-1+SUMPRODUCT(MAX(ROW(E$2:E455)*(E456=E$2:E455)))))</f>
        <v/>
      </c>
      <c r="J456" s="25" t="str">
        <f ca="1">IF(OR(E456="",E456="!!!",F456="NEW"),"",COUNTBLANK(OFFSET(A$1,,,SUMPRODUCT(MAX(ROW(E$2:E456)*(E456=E$2:E456)))))-COUNTBLANK(OFFSET(A$1,,,SUMPRODUCT(MAX(ROW(E$1:E455)*(E2=E$1:E455))))))</f>
        <v/>
      </c>
      <c r="K456" s="25" t="str">
        <f>IF(OR(E456="",E456="!!!",F456="NEW"),"",INDEX(J$1:J455,SUMPRODUCT(MAX(ROW(E$1:E455)*(E456=E$1:E455)))))</f>
        <v/>
      </c>
      <c r="L456" s="26"/>
    </row>
    <row r="457" spans="1:12" x14ac:dyDescent="0.3">
      <c r="A457" t="s">
        <v>412</v>
      </c>
      <c r="B457" s="20" t="s">
        <v>129</v>
      </c>
      <c r="C457" s="20" t="s">
        <v>137</v>
      </c>
      <c r="D457" s="20" t="s">
        <v>131</v>
      </c>
      <c r="E457" s="21" t="s">
        <v>496</v>
      </c>
      <c r="F457" s="22" t="str">
        <f>IF(OR(E457="",E457="!!!"),"",IF(NOT(ISNA(VLOOKUP(E457,E$1:E456,1,FALSE()))),"OLD",IF(AND(E457&lt;&gt;"",E457&lt;&gt;"!!!"),"NEW","")))</f>
        <v>OLD</v>
      </c>
      <c r="G457" s="23" t="str">
        <f ca="1"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?IN_FOCUS</v>
      </c>
      <c r="H457" s="24" t="str">
        <f t="shared" ca="1" si="49"/>
        <v/>
      </c>
      <c r="I457" s="25" t="str">
        <f>IF(OR(E457="",E457="!!!",F457="NEW"),"",INDEX(B$2:B456,-1+SUMPRODUCT(MAX(ROW(E$2:E456)*(E457=E$2:E456)))))</f>
        <v>SBJ</v>
      </c>
      <c r="J457" s="25">
        <f ca="1">IF(OR(E457="",E457="!!!",F457="NEW"),"",COUNTBLANK(OFFSET(A$1,,,SUMPRODUCT(MAX(ROW(E$2:E457)*(E457=E$2:E457)))))-COUNTBLANK(OFFSET(A$1,,,SUMPRODUCT(MAX(ROW(E$1:E456)*(E2=E$1:E456))))))</f>
        <v>0</v>
      </c>
      <c r="K457" s="25" t="str">
        <f ca="1">IF(OR(E457="",E457="!!!",F457="NEW"),"",INDEX(J$1:J456,SUMPRODUCT(MAX(ROW(E$1:E456)*(E457=E$1:E456)))))</f>
        <v/>
      </c>
      <c r="L457" s="26"/>
    </row>
    <row r="458" spans="1:12" x14ac:dyDescent="0.3">
      <c r="A458" t="s">
        <v>156</v>
      </c>
      <c r="E458" s="21" t="str">
        <f t="shared" si="48"/>
        <v/>
      </c>
      <c r="F458" s="22" t="str">
        <f>IF(OR(E458="",E458="!!!"),"",IF(NOT(ISNA(VLOOKUP(E458,E$1:E457,1,FALSE()))),"OLD",IF(AND(E458&lt;&gt;"",E458&lt;&gt;"!!!"),"NEW","")))</f>
        <v/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/>
      </c>
      <c r="H458" s="24" t="str">
        <f t="shared" ca="1" si="49"/>
        <v/>
      </c>
      <c r="I458" s="25" t="str">
        <f>IF(OR(E458="",E458="!!!",F458="NEW"),"",INDEX(B$2:B457,-1+SUMPRODUCT(MAX(ROW(E$2:E457)*(E458=E$2:E457)))))</f>
        <v/>
      </c>
      <c r="J458" s="25" t="str">
        <f ca="1">IF(OR(E458="",E458="!!!",F458="NEW"),"",COUNTBLANK(OFFSET(A$1,,,SUMPRODUCT(MAX(ROW(E$2:E458)*(E458=E$2:E458)))))-COUNTBLANK(OFFSET(A$1,,,SUMPRODUCT(MAX(ROW(E$1:E457)*(E2=E$1:E457))))))</f>
        <v/>
      </c>
      <c r="K458" s="25" t="str">
        <f>IF(OR(E458="",E458="!!!",F458="NEW"),"",INDEX(J$1:J457,SUMPRODUCT(MAX(ROW(E$1:E457)*(E458=E$1:E457)))))</f>
        <v/>
      </c>
      <c r="L458" s="26"/>
    </row>
    <row r="459" spans="1:12" x14ac:dyDescent="0.3">
      <c r="A459" t="s">
        <v>268</v>
      </c>
      <c r="E459" s="21" t="str">
        <f t="shared" si="48"/>
        <v/>
      </c>
      <c r="F459" s="22" t="str">
        <f>IF(OR(E459="",E459="!!!"),"",IF(NOT(ISNA(VLOOKUP(E459,E$1:E458,1,FALSE()))),"OLD",IF(AND(E459&lt;&gt;"",E459&lt;&gt;"!!!"),"NEW","")))</f>
        <v/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/>
      </c>
      <c r="H459" s="24" t="str">
        <f t="shared" ca="1" si="49"/>
        <v/>
      </c>
      <c r="I459" s="25" t="str">
        <f>IF(OR(E459="",E459="!!!",F459="NEW"),"",INDEX(B$2:B458,-1+SUMPRODUCT(MAX(ROW(E$2:E458)*(E459=E$2:E458)))))</f>
        <v/>
      </c>
      <c r="J459" s="25" t="str">
        <f ca="1">IF(OR(E459="",E459="!!!",F459="NEW"),"",COUNTBLANK(OFFSET(A$1,,,SUMPRODUCT(MAX(ROW(E$2:E459)*(E459=E$2:E459)))))-COUNTBLANK(OFFSET(A$1,,,SUMPRODUCT(MAX(ROW(E$1:E458)*(E2=E$1:E458))))))</f>
        <v/>
      </c>
      <c r="K459" s="25" t="str">
        <f>IF(OR(E459="",E459="!!!",F459="NEW"),"",INDEX(J$1:J458,SUMPRODUCT(MAX(ROW(E$1:E458)*(E459=E$1:E458)))))</f>
        <v/>
      </c>
      <c r="L459" s="26"/>
    </row>
    <row r="460" spans="1:12" x14ac:dyDescent="0.3">
      <c r="A460" t="s">
        <v>413</v>
      </c>
      <c r="B460" s="20" t="s">
        <v>145</v>
      </c>
      <c r="C460" s="20" t="s">
        <v>137</v>
      </c>
      <c r="D460" s="20" t="s">
        <v>131</v>
      </c>
      <c r="E460" s="21" t="s">
        <v>473</v>
      </c>
      <c r="F460" s="22" t="str">
        <f>IF(OR(E460="",E460="!!!"),"",IF(NOT(ISNA(VLOOKUP(E460,E$1:E459,1,FALSE()))),"OLD",IF(AND(E460&lt;&gt;"",E460&lt;&gt;"!!!"),"NEW","")))</f>
        <v>NEW</v>
      </c>
      <c r="G460" s="23" t="str">
        <f ca="1"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?REFERENTIAL</v>
      </c>
      <c r="H460" s="24" t="str">
        <f t="shared" ca="1" si="49"/>
        <v/>
      </c>
      <c r="I460" s="25" t="str">
        <f>IF(OR(E460="",E460="!!!",F460="NEW"),"",INDEX(B$2:B459,-1+SUMPRODUCT(MAX(ROW(E$2:E459)*(E460=E$2:E459)))))</f>
        <v/>
      </c>
      <c r="J460" s="25" t="str">
        <f ca="1">IF(OR(E460="",E460="!!!",F460="NEW"),"",COUNTBLANK(OFFSET(A$1,,,SUMPRODUCT(MAX(ROW(E$2:E460)*(E460=E$2:E460)))))-COUNTBLANK(OFFSET(A$1,,,SUMPRODUCT(MAX(ROW(E$1:E459)*(E2=E$1:E459))))))</f>
        <v/>
      </c>
      <c r="K460" s="25" t="str">
        <f>IF(OR(E460="",E460="!!!",F460="NEW"),"",INDEX(J$1:J459,SUMPRODUCT(MAX(ROW(E$1:E459)*(E460=E$1:E459)))))</f>
        <v/>
      </c>
      <c r="L460" s="26"/>
    </row>
    <row r="461" spans="1:12" x14ac:dyDescent="0.3">
      <c r="A461" t="s">
        <v>198</v>
      </c>
      <c r="E461" s="21" t="str">
        <f t="shared" si="48"/>
        <v/>
      </c>
      <c r="F461" s="22" t="str">
        <f>IF(OR(E461="",E461="!!!"),"",IF(NOT(ISNA(VLOOKUP(E461,E$1:E460,1,FALSE()))),"OLD",IF(AND(E461&lt;&gt;"",E461&lt;&gt;"!!!"),"NEW","")))</f>
        <v/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/>
      </c>
      <c r="H461" s="24" t="str">
        <f t="shared" ca="1" si="49"/>
        <v/>
      </c>
      <c r="I461" s="25" t="str">
        <f>IF(OR(E461="",E461="!!!",F461="NEW"),"",INDEX(B$2:B460,-1+SUMPRODUCT(MAX(ROW(E$2:E460)*(E461=E$2:E460)))))</f>
        <v/>
      </c>
      <c r="J461" s="25" t="str">
        <f ca="1">IF(OR(E461="",E461="!!!",F461="NEW"),"",COUNTBLANK(OFFSET(A$1,,,SUMPRODUCT(MAX(ROW(E$2:E461)*(E461=E$2:E461)))))-COUNTBLANK(OFFSET(A$1,,,SUMPRODUCT(MAX(ROW(E$1:E460)*(E2=E$1:E460))))))</f>
        <v/>
      </c>
      <c r="K461" s="25" t="str">
        <f>IF(OR(E461="",E461="!!!",F461="NEW"),"",INDEX(J$1:J460,SUMPRODUCT(MAX(ROW(E$1:E460)*(E461=E$1:E460)))))</f>
        <v/>
      </c>
      <c r="L461" s="26"/>
    </row>
    <row r="462" spans="1:12" x14ac:dyDescent="0.3">
      <c r="A462" t="s">
        <v>414</v>
      </c>
      <c r="E462" s="21" t="str">
        <f t="shared" si="48"/>
        <v/>
      </c>
      <c r="F462" s="22" t="str">
        <f>IF(OR(E462="",E462="!!!"),"",IF(NOT(ISNA(VLOOKUP(E462,E$1:E461,1,FALSE()))),"OLD",IF(AND(E462&lt;&gt;"",E462&lt;&gt;"!!!"),"NEW","")))</f>
        <v/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/>
      </c>
      <c r="H462" s="24" t="str">
        <f t="shared" ca="1" si="49"/>
        <v/>
      </c>
      <c r="I462" s="25" t="str">
        <f>IF(OR(E462="",E462="!!!",F462="NEW"),"",INDEX(B$2:B461,-1+SUMPRODUCT(MAX(ROW(E$2:E461)*(E462=E$2:E461)))))</f>
        <v/>
      </c>
      <c r="J462" s="25" t="str">
        <f ca="1">IF(OR(E462="",E462="!!!",F462="NEW"),"",COUNTBLANK(OFFSET(A$1,,,SUMPRODUCT(MAX(ROW(E$2:E462)*(E462=E$2:E462)))))-COUNTBLANK(OFFSET(A$1,,,SUMPRODUCT(MAX(ROW(E$1:E461)*(E2=E$1:E461))))))</f>
        <v/>
      </c>
      <c r="K462" s="25" t="str">
        <f>IF(OR(E462="",E462="!!!",F462="NEW"),"",INDEX(J$1:J461,SUMPRODUCT(MAX(ROW(E$1:E461)*(E462=E$1:E461)))))</f>
        <v/>
      </c>
      <c r="L462" s="26"/>
    </row>
    <row r="463" spans="1:12" x14ac:dyDescent="0.3">
      <c r="A463" t="s">
        <v>248</v>
      </c>
      <c r="E463" s="21" t="str">
        <f t="shared" si="48"/>
        <v/>
      </c>
      <c r="F463" s="22" t="str">
        <f>IF(OR(E463="",E463="!!!"),"",IF(NOT(ISNA(VLOOKUP(E463,E$1:E462,1,FALSE()))),"OLD",IF(AND(E463&lt;&gt;"",E463&lt;&gt;"!!!"),"NEW","")))</f>
        <v/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/>
      </c>
      <c r="H463" s="24" t="str">
        <f t="shared" ca="1" si="49"/>
        <v/>
      </c>
      <c r="I463" s="25" t="str">
        <f>IF(OR(E463="",E463="!!!",F463="NEW"),"",INDEX(B$2:B462,-1+SUMPRODUCT(MAX(ROW(E$2:E462)*(E463=E$2:E462)))))</f>
        <v/>
      </c>
      <c r="J463" s="25" t="str">
        <f ca="1">IF(OR(E463="",E463="!!!",F463="NEW"),"",COUNTBLANK(OFFSET(A$1,,,SUMPRODUCT(MAX(ROW(E$2:E463)*(E463=E$2:E463)))))-COUNTBLANK(OFFSET(A$1,,,SUMPRODUCT(MAX(ROW(E$1:E462)*(E2=E$1:E462))))))</f>
        <v/>
      </c>
      <c r="K463" s="25" t="str">
        <f>IF(OR(E463="",E463="!!!",F463="NEW"),"",INDEX(J$1:J462,SUMPRODUCT(MAX(ROW(E$1:E462)*(E463=E$1:E462)))))</f>
        <v/>
      </c>
      <c r="L463" s="26"/>
    </row>
    <row r="464" spans="1:12" x14ac:dyDescent="0.3">
      <c r="A464" t="s">
        <v>415</v>
      </c>
      <c r="B464" s="20" t="s">
        <v>416</v>
      </c>
      <c r="C464" s="20" t="s">
        <v>130</v>
      </c>
      <c r="D464" s="20" t="s">
        <v>131</v>
      </c>
      <c r="E464" s="21"/>
      <c r="F464" s="22" t="str">
        <f>IF(OR(E464="",E464="!!!"),"",IF(NOT(ISNA(VLOOKUP(E464,E$1:E463,1,FALSE()))),"OLD",IF(AND(E464&lt;&gt;"",E464&lt;&gt;"!!!"),"NEW","")))</f>
        <v/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/>
      </c>
      <c r="H464" s="24" t="str">
        <f t="shared" ca="1" si="49"/>
        <v/>
      </c>
      <c r="I464" s="25" t="str">
        <f>IF(OR(E464="",E464="!!!",F464="NEW"),"",INDEX(B$2:B463,-1+SUMPRODUCT(MAX(ROW(E$2:E463)*(E464=E$2:E463)))))</f>
        <v/>
      </c>
      <c r="J464" s="25" t="str">
        <f ca="1">IF(OR(E464="",E464="!!!",F464="NEW"),"",COUNTBLANK(OFFSET(A$1,,,SUMPRODUCT(MAX(ROW(E$2:E464)*(E464=E$2:E464)))))-COUNTBLANK(OFFSET(A$1,,,SUMPRODUCT(MAX(ROW(E$1:E463)*(E2=E$1:E463))))))</f>
        <v/>
      </c>
      <c r="K464" s="25" t="str">
        <f>IF(OR(E464="",E464="!!!",F464="NEW"),"",INDEX(J$1:J463,SUMPRODUCT(MAX(ROW(E$1:E463)*(E464=E$1:E463)))))</f>
        <v/>
      </c>
      <c r="L464" s="26" t="s">
        <v>475</v>
      </c>
    </row>
    <row r="465" spans="1:12" x14ac:dyDescent="0.3">
      <c r="A465" t="s">
        <v>12</v>
      </c>
      <c r="E465" s="21" t="str">
        <f t="shared" si="48"/>
        <v/>
      </c>
      <c r="F465" s="22" t="str">
        <f>IF(OR(E465="",E465="!!!"),"",IF(NOT(ISNA(VLOOKUP(E465,E$1:E464,1,FALSE()))),"OLD",IF(AND(E465&lt;&gt;"",E465&lt;&gt;"!!!"),"NEW","")))</f>
        <v/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/>
      </c>
      <c r="H465" s="24" t="str">
        <f t="shared" ca="1" si="49"/>
        <v/>
      </c>
      <c r="I465" s="25" t="str">
        <f>IF(OR(E465="",E465="!!!",F465="NEW"),"",INDEX(B$2:B464,-1+SUMPRODUCT(MAX(ROW(E$2:E464)*(E465=E$2:E464)))))</f>
        <v/>
      </c>
      <c r="J465" s="25" t="str">
        <f ca="1">IF(OR(E465="",E465="!!!",F465="NEW"),"",COUNTBLANK(OFFSET(A$1,,,SUMPRODUCT(MAX(ROW(E$2:E465)*(E465=E$2:E465)))))-COUNTBLANK(OFFSET(A$1,,,SUMPRODUCT(MAX(ROW(E$1:E464)*(E2=E$1:E464))))))</f>
        <v/>
      </c>
      <c r="K465" s="25" t="str">
        <f>IF(OR(E465="",E465="!!!",F465="NEW"),"",INDEX(J$1:J464,SUMPRODUCT(MAX(ROW(E$1:E464)*(E465=E$1:E464)))))</f>
        <v/>
      </c>
      <c r="L465" s="26"/>
    </row>
    <row r="466" spans="1:12" x14ac:dyDescent="0.3">
      <c r="A466" t="s">
        <v>417</v>
      </c>
      <c r="E466" s="21" t="s">
        <v>474</v>
      </c>
      <c r="F466" s="22" t="str">
        <f>IF(OR(E466="",E466="!!!"),"",IF(NOT(ISNA(VLOOKUP(E466,E$1:E465,1,FALSE()))),"OLD",IF(AND(E466&lt;&gt;"",E466&lt;&gt;"!!!"),"NEW","")))</f>
        <v>NEW</v>
      </c>
      <c r="G466" s="23" t="str">
        <f ca="1"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?REFERENTIAL</v>
      </c>
      <c r="H466" s="24" t="str">
        <f t="shared" ca="1" si="49"/>
        <v/>
      </c>
      <c r="I466" s="25" t="str">
        <f>IF(OR(E466="",E466="!!!",F466="NEW"),"",INDEX(B$2:B465,-1+SUMPRODUCT(MAX(ROW(E$2:E465)*(E466=E$2:E465)))))</f>
        <v/>
      </c>
      <c r="J466" s="25" t="str">
        <f ca="1">IF(OR(E466="",E466="!!!",F466="NEW"),"",COUNTBLANK(OFFSET(A$1,,,SUMPRODUCT(MAX(ROW(E$2:E466)*(E466=E$2:E466)))))-COUNTBLANK(OFFSET(A$1,,,SUMPRODUCT(MAX(ROW(E$1:E465)*(E2=E$1:E465))))))</f>
        <v/>
      </c>
      <c r="K466" s="25" t="str">
        <f>IF(OR(E466="",E466="!!!",F466="NEW"),"",INDEX(J$1:J465,SUMPRODUCT(MAX(ROW(E$1:E465)*(E466=E$1:E465)))))</f>
        <v/>
      </c>
      <c r="L466" s="26"/>
    </row>
    <row r="467" spans="1:12" x14ac:dyDescent="0.3">
      <c r="A467" t="s">
        <v>418</v>
      </c>
      <c r="E467" s="21" t="str">
        <f t="shared" si="48"/>
        <v/>
      </c>
      <c r="F467" s="22" t="str">
        <f>IF(OR(E467="",E467="!!!"),"",IF(NOT(ISNA(VLOOKUP(E467,E$1:E466,1,FALSE()))),"OLD",IF(AND(E467&lt;&gt;"",E467&lt;&gt;"!!!"),"NEW","")))</f>
        <v/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/>
      </c>
      <c r="H467" s="24" t="str">
        <f t="shared" ca="1" si="49"/>
        <v/>
      </c>
      <c r="I467" s="25" t="str">
        <f>IF(OR(E467="",E467="!!!",F467="NEW"),"",INDEX(B$2:B466,-1+SUMPRODUCT(MAX(ROW(E$2:E466)*(E467=E$2:E466)))))</f>
        <v/>
      </c>
      <c r="J467" s="25" t="str">
        <f ca="1">IF(OR(E467="",E467="!!!",F467="NEW"),"",COUNTBLANK(OFFSET(A$1,,,SUMPRODUCT(MAX(ROW(E$2:E467)*(E467=E$2:E467)))))-COUNTBLANK(OFFSET(A$1,,,SUMPRODUCT(MAX(ROW(E$1:E466)*(E2=E$1:E466))))))</f>
        <v/>
      </c>
      <c r="K467" s="25" t="str">
        <f>IF(OR(E467="",E467="!!!",F467="NEW"),"",INDEX(J$1:J466,SUMPRODUCT(MAX(ROW(E$1:E466)*(E467=E$1:E466)))))</f>
        <v/>
      </c>
      <c r="L467" s="26"/>
    </row>
    <row r="468" spans="1:12" x14ac:dyDescent="0.3">
      <c r="A468" t="s">
        <v>148</v>
      </c>
      <c r="E468" s="21" t="str">
        <f t="shared" si="48"/>
        <v/>
      </c>
      <c r="F468" s="22" t="str">
        <f>IF(OR(E468="",E468="!!!"),"",IF(NOT(ISNA(VLOOKUP(E468,E$1:E467,1,FALSE()))),"OLD",IF(AND(E468&lt;&gt;"",E468&lt;&gt;"!!!"),"NEW","")))</f>
        <v/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/>
      </c>
      <c r="H468" s="24" t="str">
        <f t="shared" ca="1" si="49"/>
        <v/>
      </c>
      <c r="I468" s="25" t="str">
        <f>IF(OR(E468="",E468="!!!",F468="NEW"),"",INDEX(B$2:B467,-1+SUMPRODUCT(MAX(ROW(E$2:E467)*(E468=E$2:E467)))))</f>
        <v/>
      </c>
      <c r="J468" s="25" t="str">
        <f ca="1">IF(OR(E468="",E468="!!!",F468="NEW"),"",COUNTBLANK(OFFSET(A$1,,,SUMPRODUCT(MAX(ROW(E$2:E468)*(E468=E$2:E468)))))-COUNTBLANK(OFFSET(A$1,,,SUMPRODUCT(MAX(ROW(E$1:E467)*(E2=E$1:E467))))))</f>
        <v/>
      </c>
      <c r="K468" s="25" t="str">
        <f>IF(OR(E468="",E468="!!!",F468="NEW"),"",INDEX(J$1:J467,SUMPRODUCT(MAX(ROW(E$1:E467)*(E468=E$1:E467)))))</f>
        <v/>
      </c>
      <c r="L468" s="26"/>
    </row>
    <row r="470" spans="1:12" x14ac:dyDescent="0.3">
      <c r="A470" t="s">
        <v>419</v>
      </c>
    </row>
    <row r="471" spans="1:12" x14ac:dyDescent="0.3">
      <c r="A471" t="s">
        <v>160</v>
      </c>
      <c r="B471" s="20" t="s">
        <v>129</v>
      </c>
      <c r="C471" s="20" t="s">
        <v>130</v>
      </c>
      <c r="D471" s="20" t="s">
        <v>131</v>
      </c>
      <c r="E471" s="21" t="s">
        <v>424</v>
      </c>
      <c r="F471" s="22" t="str">
        <f>IF(OR(E471="",E471="!!!"),"",IF(NOT(ISNA(VLOOKUP(E471,E$1:E470,1,FALSE()))),"OLD",IF(AND(E471&lt;&gt;"",E471&lt;&gt;"!!!"),"NEW","")))</f>
        <v>OLD</v>
      </c>
      <c r="G471" s="23" t="str">
        <f ca="1"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?IN_FOCUS</v>
      </c>
      <c r="H471" s="24" t="str">
        <f t="shared" ref="H471:H479" ca="1" si="50">IF(J471&lt;&gt;1,"",IF(I471="SBJ","CB","?"))</f>
        <v/>
      </c>
      <c r="I471" s="25">
        <f>IF(OR(E471="",E471="!!!",F471="NEW"),"",INDEX(B$2:B470,-1+SUMPRODUCT(MAX(ROW(E$2:E470)*(E471=E$2:E470)))))</f>
        <v>0</v>
      </c>
      <c r="J471" s="25">
        <f ca="1">IF(OR(E471="",E471="!!!",F471="NEW"),"",COUNTBLANK(OFFSET(A$1,,,SUMPRODUCT(MAX(ROW(E$2:E471)*(E471=E$2:E471)))))-COUNTBLANK(OFFSET(A$1,,,SUMPRODUCT(MAX(ROW(E$1:E470)*(E2=E$1:E470))))))</f>
        <v>0</v>
      </c>
      <c r="K471" s="25">
        <f ca="1">IF(OR(E471="",E471="!!!",F471="NEW"),"",INDEX(J$1:J470,SUMPRODUCT(MAX(ROW(E$1:E470)*(E471=E$1:E470)))))</f>
        <v>0</v>
      </c>
      <c r="L471" s="26"/>
    </row>
    <row r="472" spans="1:12" x14ac:dyDescent="0.3">
      <c r="A472" t="s">
        <v>132</v>
      </c>
      <c r="E472" s="21" t="str">
        <f t="shared" ref="E472:E479" si="51">IF(D472="?OLD","!!!","")</f>
        <v/>
      </c>
      <c r="F472" s="22" t="str">
        <f>IF(OR(E472="",E472="!!!"),"",IF(NOT(ISNA(VLOOKUP(E472,E$1:E471,1,FALSE()))),"OLD",IF(AND(E472&lt;&gt;"",E472&lt;&gt;"!!!"),"NEW","")))</f>
        <v/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/>
      </c>
      <c r="H472" s="24" t="str">
        <f t="shared" ca="1" si="50"/>
        <v/>
      </c>
      <c r="I472" s="25" t="str">
        <f>IF(OR(E472="",E472="!!!",F472="NEW"),"",INDEX(B$2:B471,-1+SUMPRODUCT(MAX(ROW(E$2:E471)*(E472=E$2:E471)))))</f>
        <v/>
      </c>
      <c r="J472" s="25" t="str">
        <f ca="1">IF(OR(E472="",E472="!!!",F472="NEW"),"",COUNTBLANK(OFFSET(A$1,,,SUMPRODUCT(MAX(ROW(E$2:E472)*(E472=E$2:E472)))))-COUNTBLANK(OFFSET(A$1,,,SUMPRODUCT(MAX(ROW(E$1:E471)*(E2=E$1:E471))))))</f>
        <v/>
      </c>
      <c r="K472" s="25" t="str">
        <f>IF(OR(E472="",E472="!!!",F472="NEW"),"",INDEX(J$1:J471,SUMPRODUCT(MAX(ROW(E$1:E471)*(E472=E$1:E471)))))</f>
        <v/>
      </c>
      <c r="L472" s="26"/>
    </row>
    <row r="473" spans="1:12" x14ac:dyDescent="0.3">
      <c r="A473" t="s">
        <v>420</v>
      </c>
      <c r="E473" s="21" t="str">
        <f t="shared" si="51"/>
        <v/>
      </c>
      <c r="F473" s="22" t="str">
        <f>IF(OR(E473="",E473="!!!"),"",IF(NOT(ISNA(VLOOKUP(E473,E$1:E472,1,FALSE()))),"OLD",IF(AND(E473&lt;&gt;"",E473&lt;&gt;"!!!"),"NEW","")))</f>
        <v/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/>
      </c>
      <c r="H473" s="24" t="str">
        <f t="shared" ca="1" si="50"/>
        <v/>
      </c>
      <c r="I473" s="25" t="str">
        <f>IF(OR(E473="",E473="!!!",F473="NEW"),"",INDEX(B$2:B472,-1+SUMPRODUCT(MAX(ROW(E$2:E472)*(E473=E$2:E472)))))</f>
        <v/>
      </c>
      <c r="J473" s="25" t="str">
        <f ca="1">IF(OR(E473="",E473="!!!",F473="NEW"),"",COUNTBLANK(OFFSET(A$1,,,SUMPRODUCT(MAX(ROW(E$2:E473)*(E473=E$2:E473)))))-COUNTBLANK(OFFSET(A$1,,,SUMPRODUCT(MAX(ROW(E$1:E472)*(E2=E$1:E472))))))</f>
        <v/>
      </c>
      <c r="K473" s="25" t="str">
        <f>IF(OR(E473="",E473="!!!",F473="NEW"),"",INDEX(J$1:J472,SUMPRODUCT(MAX(ROW(E$1:E472)*(E473=E$1:E472)))))</f>
        <v/>
      </c>
      <c r="L473" s="26"/>
    </row>
    <row r="474" spans="1:12" x14ac:dyDescent="0.3">
      <c r="A474" t="s">
        <v>421</v>
      </c>
      <c r="B474" s="20" t="s">
        <v>136</v>
      </c>
      <c r="C474" s="20" t="s">
        <v>207</v>
      </c>
      <c r="E474" s="21" t="str">
        <f t="shared" si="51"/>
        <v/>
      </c>
      <c r="F474" s="22" t="str">
        <f>IF(OR(E474="",E474="!!!"),"",IF(NOT(ISNA(VLOOKUP(E474,E$1:E473,1,FALSE()))),"OLD",IF(AND(E474&lt;&gt;"",E474&lt;&gt;"!!!"),"NEW","")))</f>
        <v/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/>
      </c>
      <c r="H474" s="24" t="str">
        <f t="shared" ca="1" si="50"/>
        <v/>
      </c>
      <c r="I474" s="25" t="str">
        <f>IF(OR(E474="",E474="!!!",F474="NEW"),"",INDEX(B$2:B473,-1+SUMPRODUCT(MAX(ROW(E$2:E473)*(E474=E$2:E473)))))</f>
        <v/>
      </c>
      <c r="J474" s="25" t="str">
        <f ca="1">IF(OR(E474="",E474="!!!",F474="NEW"),"",COUNTBLANK(OFFSET(A$1,,,SUMPRODUCT(MAX(ROW(E$2:E474)*(E474=E$2:E474)))))-COUNTBLANK(OFFSET(A$1,,,SUMPRODUCT(MAX(ROW(E$1:E473)*(E2=E$1:E473))))))</f>
        <v/>
      </c>
      <c r="K474" s="25" t="str">
        <f>IF(OR(E474="",E474="!!!",F474="NEW"),"",INDEX(J$1:J473,SUMPRODUCT(MAX(ROW(E$1:E473)*(E474=E$1:E473)))))</f>
        <v/>
      </c>
      <c r="L474" s="26"/>
    </row>
    <row r="475" spans="1:12" x14ac:dyDescent="0.3">
      <c r="A475" t="s">
        <v>208</v>
      </c>
      <c r="B475" s="20" t="s">
        <v>145</v>
      </c>
      <c r="C475" s="20" t="s">
        <v>163</v>
      </c>
      <c r="E475" s="21" t="str">
        <f t="shared" si="51"/>
        <v/>
      </c>
      <c r="F475" s="22" t="str">
        <f>IF(OR(E475="",E475="!!!"),"",IF(NOT(ISNA(VLOOKUP(E475,E$1:E474,1,FALSE()))),"OLD",IF(AND(E475&lt;&gt;"",E475&lt;&gt;"!!!"),"NEW","")))</f>
        <v/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/>
      </c>
      <c r="H475" s="24" t="str">
        <f t="shared" ca="1" si="50"/>
        <v/>
      </c>
      <c r="I475" s="25" t="str">
        <f>IF(OR(E475="",E475="!!!",F475="NEW"),"",INDEX(B$2:B474,-1+SUMPRODUCT(MAX(ROW(E$2:E474)*(E475=E$2:E474)))))</f>
        <v/>
      </c>
      <c r="J475" s="25" t="str">
        <f ca="1">IF(OR(E475="",E475="!!!",F475="NEW"),"",COUNTBLANK(OFFSET(A$1,,,SUMPRODUCT(MAX(ROW(E$2:E475)*(E475=E$2:E475)))))-COUNTBLANK(OFFSET(A$1,,,SUMPRODUCT(MAX(ROW(E$1:E474)*(E2=E$1:E474))))))</f>
        <v/>
      </c>
      <c r="K475" s="25" t="str">
        <f>IF(OR(E475="",E475="!!!",F475="NEW"),"",INDEX(J$1:J474,SUMPRODUCT(MAX(ROW(E$1:E474)*(E475=E$1:E474)))))</f>
        <v/>
      </c>
      <c r="L475" s="26"/>
    </row>
    <row r="476" spans="1:12" x14ac:dyDescent="0.3">
      <c r="A476" t="s">
        <v>175</v>
      </c>
      <c r="E476" s="21" t="str">
        <f t="shared" si="51"/>
        <v/>
      </c>
      <c r="F476" s="22" t="str">
        <f>IF(OR(E476="",E476="!!!"),"",IF(NOT(ISNA(VLOOKUP(E476,E$1:E475,1,FALSE()))),"OLD",IF(AND(E476&lt;&gt;"",E476&lt;&gt;"!!!"),"NEW","")))</f>
        <v/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/>
      </c>
      <c r="H476" s="24" t="str">
        <f t="shared" ca="1" si="50"/>
        <v/>
      </c>
      <c r="I476" s="25" t="str">
        <f>IF(OR(E476="",E476="!!!",F476="NEW"),"",INDEX(B$2:B475,-1+SUMPRODUCT(MAX(ROW(E$2:E475)*(E476=E$2:E475)))))</f>
        <v/>
      </c>
      <c r="J476" s="25" t="str">
        <f ca="1">IF(OR(E476="",E476="!!!",F476="NEW"),"",COUNTBLANK(OFFSET(A$1,,,SUMPRODUCT(MAX(ROW(E$2:E476)*(E476=E$2:E476)))))-COUNTBLANK(OFFSET(A$1,,,SUMPRODUCT(MAX(ROW(E$1:E475)*(E2=E$1:E475))))))</f>
        <v/>
      </c>
      <c r="K476" s="25" t="str">
        <f>IF(OR(E476="",E476="!!!",F476="NEW"),"",INDEX(J$1:J475,SUMPRODUCT(MAX(ROW(E$1:E475)*(E476=E$1:E475)))))</f>
        <v/>
      </c>
      <c r="L476" s="26"/>
    </row>
    <row r="477" spans="1:12" x14ac:dyDescent="0.3">
      <c r="A477" t="s">
        <v>422</v>
      </c>
      <c r="E477" s="21" t="str">
        <f t="shared" si="51"/>
        <v/>
      </c>
      <c r="F477" s="22" t="str">
        <f>IF(OR(E477="",E477="!!!"),"",IF(NOT(ISNA(VLOOKUP(E477,E$1:E476,1,FALSE()))),"OLD",IF(AND(E477&lt;&gt;"",E477&lt;&gt;"!!!"),"NEW","")))</f>
        <v/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/>
      </c>
      <c r="H477" s="24" t="str">
        <f t="shared" ca="1" si="50"/>
        <v/>
      </c>
      <c r="I477" s="25" t="str">
        <f>IF(OR(E477="",E477="!!!",F477="NEW"),"",INDEX(B$2:B476,-1+SUMPRODUCT(MAX(ROW(E$2:E476)*(E477=E$2:E476)))))</f>
        <v/>
      </c>
      <c r="J477" s="25" t="str">
        <f ca="1">IF(OR(E477="",E477="!!!",F477="NEW"),"",COUNTBLANK(OFFSET(A$1,,,SUMPRODUCT(MAX(ROW(E$2:E477)*(E477=E$2:E477)))))-COUNTBLANK(OFFSET(A$1,,,SUMPRODUCT(MAX(ROW(E$1:E476)*(E2=E$1:E476))))))</f>
        <v/>
      </c>
      <c r="K477" s="25" t="str">
        <f>IF(OR(E477="",E477="!!!",F477="NEW"),"",INDEX(J$1:J476,SUMPRODUCT(MAX(ROW(E$1:E476)*(E477=E$1:E476)))))</f>
        <v/>
      </c>
      <c r="L477" s="26"/>
    </row>
    <row r="478" spans="1:12" x14ac:dyDescent="0.3">
      <c r="A478" t="s">
        <v>423</v>
      </c>
      <c r="B478" s="20" t="s">
        <v>152</v>
      </c>
      <c r="C478" s="20" t="s">
        <v>137</v>
      </c>
      <c r="D478" s="20" t="s">
        <v>131</v>
      </c>
      <c r="E478" s="21" t="s">
        <v>457</v>
      </c>
      <c r="F478" s="22" t="str">
        <f>IF(OR(E478="",E478="!!!"),"",IF(NOT(ISNA(VLOOKUP(E478,E$1:E477,1,FALSE()))),"OLD",IF(AND(E478&lt;&gt;"",E478&lt;&gt;"!!!"),"NEW","")))</f>
        <v>OLD</v>
      </c>
      <c r="G478" s="23" t="str">
        <f ca="1"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?IN_FOCUS</v>
      </c>
      <c r="H478" s="24" t="str">
        <f t="shared" ca="1" si="50"/>
        <v/>
      </c>
      <c r="I478" s="25" t="str">
        <f>IF(OR(E478="",E478="!!!",F478="NEW"),"",INDEX(B$2:B477,-1+SUMPRODUCT(MAX(ROW(E$2:E477)*(E478=E$2:E477)))))</f>
        <v>other_2</v>
      </c>
      <c r="J478" s="25">
        <f ca="1">IF(OR(E478="",E478="!!!",F478="NEW"),"",COUNTBLANK(OFFSET(A$1,,,SUMPRODUCT(MAX(ROW(E$2:E478)*(E478=E$2:E478)))))-COUNTBLANK(OFFSET(A$1,,,SUMPRODUCT(MAX(ROW(E$1:E477)*(E2=E$1:E477))))))</f>
        <v>0</v>
      </c>
      <c r="K478" s="25">
        <f ca="1">IF(OR(E478="",E478="!!!",F478="NEW"),"",INDEX(J$1:J477,SUMPRODUCT(MAX(ROW(E$1:E477)*(E478=E$1:E477)))))</f>
        <v>0</v>
      </c>
      <c r="L478" s="26"/>
    </row>
    <row r="479" spans="1:12" x14ac:dyDescent="0.3">
      <c r="A479" t="s">
        <v>148</v>
      </c>
      <c r="E479" s="21" t="str">
        <f t="shared" si="51"/>
        <v/>
      </c>
      <c r="F479" s="22" t="str">
        <f>IF(OR(E479="",E479="!!!"),"",IF(NOT(ISNA(VLOOKUP(E479,E$1:E478,1,FALSE()))),"OLD",IF(AND(E479&lt;&gt;"",E479&lt;&gt;"!!!"),"NEW","")))</f>
        <v/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/>
      </c>
      <c r="H479" s="24" t="str">
        <f t="shared" ca="1" si="50"/>
        <v/>
      </c>
      <c r="I479" s="25" t="str">
        <f>IF(OR(E479="",E479="!!!",F479="NEW"),"",INDEX(B$2:B478,-1+SUMPRODUCT(MAX(ROW(E$2:E478)*(E479=E$2:E478)))))</f>
        <v/>
      </c>
      <c r="J479" s="25" t="str">
        <f ca="1">IF(OR(E479="",E479="!!!",F479="NEW"),"",COUNTBLANK(OFFSET(A$1,,,SUMPRODUCT(MAX(ROW(E$2:E479)*(E479=E$2:E479)))))-COUNTBLANK(OFFSET(A$1,,,SUMPRODUCT(MAX(ROW(E$1:E478)*(E2=E$1:E478))))))</f>
        <v/>
      </c>
      <c r="K479" s="25" t="str">
        <f>IF(OR(E479="",E479="!!!",F479="NEW"),"",INDEX(J$1:J478,SUMPRODUCT(MAX(ROW(E$1:E478)*(E479=E$1:E478)))))</f>
        <v/>
      </c>
      <c r="L479" s="26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Tabea Gröger</cp:lastModifiedBy>
  <dcterms:created xsi:type="dcterms:W3CDTF">2024-12-05T17:52:21Z</dcterms:created>
  <dcterms:modified xsi:type="dcterms:W3CDTF">2024-12-17T11:15:39Z</dcterms:modified>
</cp:coreProperties>
</file>